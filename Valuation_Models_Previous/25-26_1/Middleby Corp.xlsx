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comments1.xml" ContentType="application/vnd.openxmlformats-officedocument.spreadsheetml.comment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2.xml" ContentType="application/vnd.openxmlformats-officedocument.drawing+xml"/>
  <Override PartName="/xl/comments3.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omments4.xml" ContentType="application/vnd.openxmlformats-officedocument.spreadsheetml.comment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Research/Equity Research/Team 06 - Ana Luíza Costa/"/>
    </mc:Choice>
  </mc:AlternateContent>
  <xr:revisionPtr revIDLastSave="4415" documentId="13_ncr:1_{B79DD842-B033-41A1-A6C0-BD3606FDCED6}" xr6:coauthVersionLast="47" xr6:coauthVersionMax="47" xr10:uidLastSave="{585210C0-4410-4EA1-BFE5-12913F775AD8}"/>
  <bookViews>
    <workbookView xWindow="-110" yWindow="-110" windowWidth="19420" windowHeight="10300" tabRatio="731" xr2:uid="{00000000-000D-0000-FFFF-FFFF00000000}"/>
  </bookViews>
  <sheets>
    <sheet name="Dashboard" sheetId="66" r:id="rId1"/>
    <sheet name="Key Info" sheetId="85" r:id="rId2"/>
    <sheet name="Industry" sheetId="3" r:id="rId3"/>
    <sheet name="ESG" sheetId="2" r:id="rId4"/>
    <sheet name="Segments" sheetId="84" r:id="rId5"/>
    <sheet name="Peers" sheetId="89" r:id="rId6"/>
    <sheet name="Trading Comps" sheetId="87" r:id="rId7"/>
    <sheet name="WACC" sheetId="6" r:id="rId8"/>
    <sheet name="Revenue" sheetId="93" r:id="rId9"/>
    <sheet name="FCFF" sheetId="78" r:id="rId10"/>
    <sheet name="LBO" sheetId="65" r:id="rId11"/>
    <sheet name="Sensitivity" sheetId="91" r:id="rId12"/>
    <sheet name="IS" sheetId="74" r:id="rId13"/>
    <sheet name="BS" sheetId="76" r:id="rId14"/>
    <sheet name="CF" sheetId="77" r:id="rId15"/>
    <sheet name="Error Check" sheetId="79" r:id="rId16"/>
    <sheet name="Inputs" sheetId="83" r:id="rId17"/>
    <sheet name="Stock Data" sheetId="86" r:id="rId18"/>
    <sheet name="Anexo" sheetId="92" r:id="rId19"/>
  </sheets>
  <definedNames>
    <definedName name="COOLFUCNTION" comment="No description available" localSheetId="13">_xlfn.LAMBDA(_xldudf_BOARDFLARE_EXEC("workbook-settings:coolfucntion"))</definedName>
    <definedName name="COOLFUCNTION" comment="No description available" localSheetId="14">_xlfn.LAMBDA(_xldudf_BOARDFLARE_EXEC("workbook-settings:coolfucntion"))</definedName>
    <definedName name="COOLFUCNTION" comment="No description available" localSheetId="15">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9">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12">_xlfn.LAMBDA(_xldudf_BOARDFLARE_EXEC("workbook-settings:coolfucntion"))</definedName>
    <definedName name="COOLFUCNTION" comment="No description available" localSheetId="10">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7">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13" hidden="1">{"'Sheet1'!$A$1:$H$145"}</definedName>
    <definedName name="HTML_Control" localSheetId="14" hidden="1">{"'Sheet1'!$A$1:$H$145"}</definedName>
    <definedName name="HTML_Control" localSheetId="15" hidden="1">{"'Sheet1'!$A$1:$H$145"}</definedName>
    <definedName name="HTML_Control" localSheetId="3" hidden="1">{"'Sheet1'!$A$1:$H$145"}</definedName>
    <definedName name="HTML_Control" localSheetId="9" hidden="1">{"'Sheet1'!$A$1:$H$145"}</definedName>
    <definedName name="HTML_Control" localSheetId="2" hidden="1">{"'Sheet1'!$A$1:$H$145"}</definedName>
    <definedName name="HTML_Control" localSheetId="12" hidden="1">{"'Sheet1'!$A$1:$H$145"}</definedName>
    <definedName name="HTML_Control" localSheetId="10" hidden="1">{"'Sheet1'!$A$1:$H$145"}</definedName>
    <definedName name="HTML_Control" localSheetId="4" hidden="1">{"'Sheet1'!$A$1:$H$145"}</definedName>
    <definedName name="HTML_Control" localSheetId="7"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13">#REF!</definedName>
    <definedName name="Sectors" localSheetId="14">#REF!</definedName>
    <definedName name="Sectors" localSheetId="15">#REF!</definedName>
    <definedName name="Sectors" localSheetId="3">#REF!</definedName>
    <definedName name="Sectors" localSheetId="9">#REF!</definedName>
    <definedName name="Sectors" localSheetId="12">#REF!</definedName>
    <definedName name="Sectors" localSheetId="4">#REF!</definedName>
    <definedName name="Secto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1" i="89" l="1"/>
  <c r="K61" i="89"/>
  <c r="C61" i="89"/>
  <c r="L27" i="89"/>
  <c r="C27" i="89"/>
  <c r="F27" i="89"/>
  <c r="I19" i="89"/>
  <c r="T28" i="89" a="1"/>
  <c r="T28" i="89" s="1"/>
  <c r="AR178" i="78"/>
  <c r="M15" i="6"/>
  <c r="D17" i="83"/>
  <c r="H42" i="6"/>
  <c r="G42" i="6"/>
  <c r="R91" i="89"/>
  <c r="R90" i="89" a="1"/>
  <c r="R90" i="89" s="1"/>
  <c r="R89" i="89" a="1"/>
  <c r="R89" i="89" s="1"/>
  <c r="R88" i="89" a="1"/>
  <c r="R88" i="89" s="1"/>
  <c r="R84" i="89" a="1"/>
  <c r="R84" i="89" s="1"/>
  <c r="R83" i="89" a="1"/>
  <c r="R83" i="89" s="1"/>
  <c r="R79" i="89" a="1"/>
  <c r="R79" i="89" s="1"/>
  <c r="R78" i="89" a="1"/>
  <c r="R78" i="89" s="1"/>
  <c r="R77" i="89" a="1"/>
  <c r="R77" i="89" s="1"/>
  <c r="R76" i="89" a="1"/>
  <c r="R76" i="89" s="1"/>
  <c r="R75" i="89" a="1"/>
  <c r="R75" i="89" s="1"/>
  <c r="R74" i="89" a="1"/>
  <c r="R74" i="89" s="1"/>
  <c r="R73" i="89" a="1"/>
  <c r="R73" i="89" s="1"/>
  <c r="R69" i="89" a="1"/>
  <c r="R69" i="89" s="1"/>
  <c r="R68" i="89" a="1"/>
  <c r="R68" i="89" s="1"/>
  <c r="R67" i="89" a="1"/>
  <c r="R67" i="89" s="1"/>
  <c r="R63" i="89" a="1"/>
  <c r="R63" i="89" s="1"/>
  <c r="R62" i="89" a="1"/>
  <c r="R62" i="89" s="1"/>
  <c r="R61" i="89" a="1"/>
  <c r="R61" i="89" s="1"/>
  <c r="R60" i="89" a="1"/>
  <c r="R60" i="89" s="1"/>
  <c r="R59" i="89" a="1"/>
  <c r="R59" i="89" s="1"/>
  <c r="R55" i="89" a="1"/>
  <c r="R55" i="89" s="1"/>
  <c r="R54" i="89" a="1"/>
  <c r="R54" i="89" s="1"/>
  <c r="R53" i="89" a="1"/>
  <c r="R53" i="89" s="1"/>
  <c r="R52" i="89" a="1"/>
  <c r="R52" i="89" s="1"/>
  <c r="R51" i="89" a="1"/>
  <c r="R51" i="89" s="1"/>
  <c r="R50" i="89" a="1"/>
  <c r="R50" i="89" s="1"/>
  <c r="R49" i="89" a="1"/>
  <c r="R49" i="89" s="1"/>
  <c r="R45" i="89"/>
  <c r="R44" i="89"/>
  <c r="R43" i="89" a="1"/>
  <c r="R43" i="89" s="1"/>
  <c r="R42" i="89" a="1"/>
  <c r="R42" i="89" s="1"/>
  <c r="R41" i="89" a="1"/>
  <c r="R41" i="89" s="1"/>
  <c r="R37" i="89" a="1"/>
  <c r="R37" i="89" s="1"/>
  <c r="R36" i="89" a="1"/>
  <c r="R36" i="89" s="1"/>
  <c r="R35" i="89" a="1"/>
  <c r="R35" i="89" s="1"/>
  <c r="R34" i="89" a="1"/>
  <c r="R34" i="89" s="1"/>
  <c r="R33" i="89" a="1"/>
  <c r="R33" i="89" s="1"/>
  <c r="R32" i="89" a="1"/>
  <c r="R32" i="89" s="1"/>
  <c r="R28" i="89" a="1"/>
  <c r="R28" i="89" s="1"/>
  <c r="R27" i="89" a="1"/>
  <c r="R27" i="89" s="1"/>
  <c r="R26" i="89" a="1"/>
  <c r="R26" i="89" s="1"/>
  <c r="R25" i="89" a="1"/>
  <c r="R25" i="89" s="1"/>
  <c r="R24" i="89" a="1"/>
  <c r="R24" i="89" s="1"/>
  <c r="R23" i="89" a="1"/>
  <c r="R23" i="89" s="1"/>
  <c r="R19" i="89" a="1"/>
  <c r="R19" i="89" s="1"/>
  <c r="R18" i="89"/>
  <c r="R17" i="89"/>
  <c r="R16" i="89"/>
  <c r="R15" i="89"/>
  <c r="R14" i="89"/>
  <c r="R21" i="89"/>
  <c r="R30" i="89" s="1"/>
  <c r="R39" i="89" s="1"/>
  <c r="R47" i="89" s="1"/>
  <c r="R57" i="89" s="1"/>
  <c r="R65" i="89" s="1"/>
  <c r="R71" i="89" s="1"/>
  <c r="R81" i="89" s="1"/>
  <c r="R86" i="89" s="1"/>
  <c r="Y106" i="78"/>
  <c r="X106" i="78"/>
  <c r="E13" i="6"/>
  <c r="AB73" i="78"/>
  <c r="D31" i="6"/>
  <c r="D30" i="6" s="1"/>
  <c r="L94" i="93"/>
  <c r="L95" i="93"/>
  <c r="I95" i="93"/>
  <c r="I92" i="93"/>
  <c r="I93" i="93" s="1"/>
  <c r="I89" i="93"/>
  <c r="I86" i="93"/>
  <c r="I90" i="93"/>
  <c r="I91" i="93" s="1"/>
  <c r="N89" i="93"/>
  <c r="N88" i="93"/>
  <c r="M88" i="93"/>
  <c r="M89" i="93" s="1"/>
  <c r="L88" i="93"/>
  <c r="L89" i="93" s="1"/>
  <c r="K88" i="93"/>
  <c r="K89" i="93" s="1"/>
  <c r="J88" i="93"/>
  <c r="J89" i="93" s="1"/>
  <c r="I88" i="93"/>
  <c r="K95" i="93"/>
  <c r="M95" i="93"/>
  <c r="N95" i="93"/>
  <c r="J95" i="93"/>
  <c r="N94" i="93"/>
  <c r="M94" i="93"/>
  <c r="K94" i="93"/>
  <c r="J94" i="93"/>
  <c r="I94" i="93"/>
  <c r="K84" i="93"/>
  <c r="L84" i="93"/>
  <c r="M84" i="93"/>
  <c r="N84" i="93"/>
  <c r="J84" i="93"/>
  <c r="N83" i="93"/>
  <c r="M83" i="93"/>
  <c r="L83" i="93"/>
  <c r="K83" i="93"/>
  <c r="J83" i="93"/>
  <c r="I83" i="93"/>
  <c r="I84" i="93"/>
  <c r="K82" i="93"/>
  <c r="L82" i="93"/>
  <c r="M82" i="93"/>
  <c r="N82" i="93"/>
  <c r="J82" i="93"/>
  <c r="I82" i="93"/>
  <c r="N81" i="93"/>
  <c r="M81" i="93"/>
  <c r="L81" i="93"/>
  <c r="K81" i="93"/>
  <c r="J81" i="93"/>
  <c r="I81" i="93"/>
  <c r="I80" i="93"/>
  <c r="E74" i="93"/>
  <c r="F83" i="93"/>
  <c r="F81" i="93"/>
  <c r="F79" i="93"/>
  <c r="F82" i="93"/>
  <c r="F84" i="93" s="1"/>
  <c r="K80" i="93"/>
  <c r="L80" i="93"/>
  <c r="M80" i="93"/>
  <c r="N80" i="93"/>
  <c r="J80" i="93"/>
  <c r="N79" i="93"/>
  <c r="M79" i="93"/>
  <c r="L79" i="93"/>
  <c r="K79" i="93"/>
  <c r="J79" i="93"/>
  <c r="I79" i="93"/>
  <c r="X15" i="3"/>
  <c r="X14" i="3"/>
  <c r="Y15" i="3"/>
  <c r="Y14" i="3"/>
  <c r="Y13" i="3"/>
  <c r="X13" i="3"/>
  <c r="H25" i="85"/>
  <c r="AD123" i="78"/>
  <c r="Y123" i="78"/>
  <c r="E88" i="78"/>
  <c r="M12" i="3"/>
  <c r="M13" i="3"/>
  <c r="H88" i="78"/>
  <c r="Y88" i="78"/>
  <c r="AJ43" i="78"/>
  <c r="Y43" i="78"/>
  <c r="AF35" i="93"/>
  <c r="Z43" i="87"/>
  <c r="S43" i="87"/>
  <c r="E43" i="87"/>
  <c r="D43" i="87"/>
  <c r="C43" i="87"/>
  <c r="T43" i="87"/>
  <c r="F43" i="87"/>
  <c r="V43" i="87" s="1"/>
  <c r="G43" i="87"/>
  <c r="P43" i="87" s="1"/>
  <c r="X67" i="78"/>
  <c r="Y64" i="78"/>
  <c r="X61" i="78"/>
  <c r="Z29" i="87"/>
  <c r="Z19" i="87"/>
  <c r="I18" i="87" a="1"/>
  <c r="I19" i="87" a="1"/>
  <c r="I17" i="87" a="1"/>
  <c r="I16" i="87" a="1"/>
  <c r="F19" i="87"/>
  <c r="G19" i="87"/>
  <c r="G18" i="87"/>
  <c r="F18" i="87"/>
  <c r="G17" i="87"/>
  <c r="F17" i="87"/>
  <c r="F16" i="87"/>
  <c r="G16" i="87"/>
  <c r="M16" i="87" a="1"/>
  <c r="J19" i="87"/>
  <c r="S19" i="87"/>
  <c r="L19" i="87"/>
  <c r="V17" i="87"/>
  <c r="W17" i="87"/>
  <c r="O16" i="87"/>
  <c r="Q18" i="87"/>
  <c r="S18" i="87"/>
  <c r="L18" i="87"/>
  <c r="P29" i="87"/>
  <c r="P28" i="87"/>
  <c r="N28" i="87"/>
  <c r="X28" i="87"/>
  <c r="X15" i="87"/>
  <c r="O15" i="87"/>
  <c r="W15" i="87"/>
  <c r="P15" i="87"/>
  <c r="Q31" i="87"/>
  <c r="X31" i="87"/>
  <c r="W31" i="87"/>
  <c r="V31" i="87"/>
  <c r="O31" i="87"/>
  <c r="P40" i="87"/>
  <c r="N40" i="87"/>
  <c r="Q40" i="87"/>
  <c r="J41" i="87"/>
  <c r="N41" i="87"/>
  <c r="O29" i="87"/>
  <c r="Q39" i="87"/>
  <c r="J39" i="87"/>
  <c r="N39" i="87"/>
  <c r="O41" i="87"/>
  <c r="K41" i="87"/>
  <c r="P41" i="87"/>
  <c r="K31" i="87"/>
  <c r="J31" i="87"/>
  <c r="N31" i="87"/>
  <c r="O40" i="87"/>
  <c r="V29" i="87"/>
  <c r="M29" i="87"/>
  <c r="M30" i="87"/>
  <c r="P30" i="87"/>
  <c r="P27" i="87"/>
  <c r="W30" i="87"/>
  <c r="X30" i="87"/>
  <c r="V30" i="87"/>
  <c r="J30" i="87"/>
  <c r="Q30" i="87"/>
  <c r="X39" i="87"/>
  <c r="K39" i="87"/>
  <c r="O39" i="87"/>
  <c r="M39" i="87"/>
  <c r="Q41" i="87"/>
  <c r="V41" i="87"/>
  <c r="W41" i="87"/>
  <c r="X41" i="87"/>
  <c r="M31" i="87"/>
  <c r="P31" i="87"/>
  <c r="W27" i="87"/>
  <c r="Q27" i="87"/>
  <c r="M27" i="87"/>
  <c r="X27" i="87"/>
  <c r="V28" i="87"/>
  <c r="Q28" i="87"/>
  <c r="K28" i="87"/>
  <c r="M15" i="87"/>
  <c r="J29" i="87"/>
  <c r="K27" i="87"/>
  <c r="V27" i="87"/>
  <c r="J27" i="87"/>
  <c r="O27" i="87"/>
  <c r="N15" i="87" a="1"/>
  <c r="I87" i="93" l="1"/>
  <c r="O43" i="87"/>
  <c r="I43" i="87"/>
  <c r="W43" i="87"/>
  <c r="L43" i="87"/>
  <c r="X43" i="87"/>
  <c r="Q43" i="87"/>
  <c r="M43" i="87"/>
  <c r="J43" i="87"/>
  <c r="K43" i="87"/>
  <c r="N43" i="87"/>
  <c r="I16" i="87"/>
  <c r="I17" i="87"/>
  <c r="I19" i="87"/>
  <c r="I18" i="87"/>
  <c r="M16" i="87"/>
  <c r="N15" i="87"/>
  <c r="J15" i="87" a="1"/>
  <c r="J15" i="87"/>
  <c r="Q15" i="87"/>
  <c r="V15" i="87"/>
  <c r="K40" i="87"/>
  <c r="M40" i="87"/>
  <c r="V40" i="87"/>
  <c r="N29" i="87"/>
  <c r="W29" i="87"/>
  <c r="X29" i="87"/>
  <c r="K29" i="87"/>
  <c r="Q29" i="87"/>
  <c r="P39" i="87"/>
  <c r="W39" i="87"/>
  <c r="V39" i="87"/>
  <c r="K30" i="87"/>
  <c r="O30" i="87"/>
  <c r="N30" i="87"/>
  <c r="O28" i="87"/>
  <c r="M41" i="87"/>
  <c r="Z17" i="87"/>
  <c r="Q17" i="87"/>
  <c r="P17" i="87"/>
  <c r="W40" i="87"/>
  <c r="X40" i="87"/>
  <c r="J40" i="87"/>
  <c r="Q19" i="87"/>
  <c r="S42" i="87"/>
  <c r="W28" i="87"/>
  <c r="M28" i="87"/>
  <c r="Z16" i="87"/>
  <c r="W16" i="87"/>
  <c r="N16" i="87"/>
  <c r="X16" i="87"/>
  <c r="N27" i="87"/>
  <c r="Z31" i="87"/>
  <c r="K15" i="87"/>
  <c r="W18" i="87"/>
  <c r="Z27" i="87"/>
  <c r="S27" i="87"/>
  <c r="L27" i="87"/>
  <c r="I27" i="87"/>
  <c r="M19" i="87"/>
  <c r="O19" i="87"/>
  <c r="N19" i="87"/>
  <c r="S41" i="87"/>
  <c r="L41" i="87"/>
  <c r="I41" i="87"/>
  <c r="Z41" i="87"/>
  <c r="K16" i="87"/>
  <c r="J16" i="87"/>
  <c r="P16" i="87"/>
  <c r="V16" i="87"/>
  <c r="Q16" i="87"/>
  <c r="S16" i="87"/>
  <c r="L16" i="87"/>
  <c r="S29" i="87"/>
  <c r="I29" i="87"/>
  <c r="S30" i="87"/>
  <c r="L30" i="87"/>
  <c r="I30" i="87"/>
  <c r="Z30" i="87"/>
  <c r="X17" i="87"/>
  <c r="O17" i="87"/>
  <c r="M17" i="87"/>
  <c r="N17" i="87"/>
  <c r="L29" i="87"/>
  <c r="S15" i="87"/>
  <c r="L15" i="87"/>
  <c r="I15" i="87" a="1"/>
  <c r="I15" i="87"/>
  <c r="J18" i="87"/>
  <c r="P18" i="87"/>
  <c r="K18" i="87"/>
  <c r="P19" i="87"/>
  <c r="X19" i="87"/>
  <c r="V19" i="87"/>
  <c r="E39" i="87"/>
  <c r="E40" i="87"/>
  <c r="E27" i="87"/>
  <c r="D27" i="87"/>
  <c r="E15" i="87"/>
  <c r="D15" i="87"/>
  <c r="T15" i="87"/>
  <c r="T27" i="87"/>
  <c r="C31" i="87"/>
  <c r="T31" i="87"/>
  <c r="E41" i="87"/>
  <c r="D41" i="87"/>
  <c r="C40" i="87"/>
  <c r="T42" i="87"/>
  <c r="T39" i="87"/>
  <c r="C28" i="87"/>
  <c r="D39" i="87"/>
  <c r="C41" i="87"/>
  <c r="E29" i="87"/>
  <c r="D29" i="87"/>
  <c r="D40" i="87"/>
  <c r="C39" i="87"/>
  <c r="C15" i="87"/>
  <c r="D28" i="87"/>
  <c r="E31" i="87"/>
  <c r="C29" i="87"/>
  <c r="D42" i="87"/>
  <c r="E28" i="87"/>
  <c r="D31" i="87"/>
  <c r="T29" i="87"/>
  <c r="T41" i="87"/>
  <c r="T28" i="87"/>
  <c r="T40" i="87"/>
  <c r="C27" i="87"/>
  <c r="C42" i="87"/>
  <c r="E42" i="87"/>
  <c r="Z39" i="87"/>
  <c r="S28" i="87"/>
  <c r="X18" i="87"/>
  <c r="V18" i="87"/>
  <c r="N18" i="87"/>
  <c r="Z42" i="87"/>
  <c r="J17" i="87"/>
  <c r="S17" i="87"/>
  <c r="G42" i="87"/>
  <c r="G29" i="87"/>
  <c r="F28" i="87"/>
  <c r="F30" i="87"/>
  <c r="G39" i="87"/>
  <c r="G28" i="87"/>
  <c r="F42" i="87"/>
  <c r="F15" i="87"/>
  <c r="G41" i="87"/>
  <c r="F39" i="87"/>
  <c r="G15" i="87"/>
  <c r="G40" i="87"/>
  <c r="F31" i="87"/>
  <c r="F29" i="87"/>
  <c r="G30" i="87"/>
  <c r="G31" i="87"/>
  <c r="F41" i="87"/>
  <c r="F40" i="87"/>
  <c r="S31" i="87"/>
  <c r="I31" i="87"/>
  <c r="L31" i="87"/>
  <c r="S39" i="87"/>
  <c r="I39" i="87"/>
  <c r="L39" i="87"/>
  <c r="K19" i="87"/>
  <c r="W19" i="87"/>
  <c r="T19" i="87"/>
  <c r="T16" i="87"/>
  <c r="T17" i="87"/>
  <c r="Z28" i="87"/>
  <c r="M18" i="87"/>
  <c r="O18" i="87"/>
  <c r="Z18" i="87"/>
  <c r="Z40" i="87"/>
  <c r="S40" i="87"/>
  <c r="L40" i="87"/>
  <c r="I40" i="87"/>
  <c r="L17" i="87"/>
  <c r="K17" i="87"/>
  <c r="Z15" i="87"/>
  <c r="O13" i="83"/>
  <c r="E30" i="87"/>
  <c r="T30" i="87"/>
  <c r="D30" i="87"/>
  <c r="H24" i="83"/>
  <c r="C30" i="87"/>
  <c r="F27" i="87"/>
  <c r="G27" i="87"/>
  <c r="B24" i="83"/>
  <c r="B175" i="83"/>
  <c r="B166" i="83"/>
  <c r="B157" i="83"/>
  <c r="B148" i="83"/>
  <c r="B139" i="83"/>
  <c r="T18" i="87"/>
  <c r="I28" i="87"/>
  <c r="J28" i="87"/>
  <c r="L28" i="87"/>
  <c r="C53" i="91"/>
  <c r="AE106" i="78"/>
  <c r="AD106" i="78"/>
  <c r="AC106" i="78"/>
  <c r="AB106" i="78"/>
  <c r="X123" i="78"/>
  <c r="AD82" i="78"/>
  <c r="AE82" i="78"/>
  <c r="AE43" i="78"/>
  <c r="AD43" i="78"/>
  <c r="AC43" i="78"/>
  <c r="AB43" i="78"/>
  <c r="X85" i="78"/>
  <c r="Y85" i="78"/>
  <c r="AC85" i="78"/>
  <c r="AH132" i="78"/>
  <c r="AE123" i="78"/>
  <c r="AC123" i="78"/>
  <c r="AB123" i="78"/>
  <c r="AC132" i="78"/>
  <c r="AB132" i="78"/>
  <c r="AE132" i="78"/>
  <c r="AD132" i="78"/>
  <c r="Y132" i="78"/>
  <c r="X132" i="78"/>
  <c r="AE64" i="78"/>
  <c r="AD64" i="78"/>
  <c r="AC64" i="78"/>
  <c r="AB64" i="78"/>
  <c r="AE61" i="78"/>
  <c r="AD61" i="78"/>
  <c r="AC61" i="78"/>
  <c r="AB61" i="78"/>
  <c r="Z55" i="78"/>
  <c r="AE85" i="78"/>
  <c r="AD85" i="78"/>
  <c r="AB85" i="78"/>
  <c r="AC82" i="78"/>
  <c r="AB82" i="78"/>
  <c r="AE79" i="78"/>
  <c r="AD79" i="78"/>
  <c r="AC79" i="78"/>
  <c r="AB79" i="78"/>
  <c r="AD94" i="78"/>
  <c r="AE88" i="78"/>
  <c r="AD88" i="78"/>
  <c r="AB88" i="78"/>
  <c r="AC88" i="78"/>
  <c r="AF88" i="78" s="1"/>
  <c r="N88" i="78"/>
  <c r="T88" i="78"/>
  <c r="X88" i="78"/>
  <c r="W88" i="78"/>
  <c r="V88" i="78"/>
  <c r="S88" i="78"/>
  <c r="R88" i="78"/>
  <c r="Q88" i="78"/>
  <c r="P88" i="78"/>
  <c r="J88" i="78"/>
  <c r="M88" i="78"/>
  <c r="L88" i="78"/>
  <c r="K88" i="78"/>
  <c r="AF30" i="76"/>
  <c r="AE30" i="76"/>
  <c r="AF24" i="76"/>
  <c r="AE24" i="76"/>
  <c r="AF25" i="76"/>
  <c r="AE25" i="76"/>
  <c r="H30" i="76"/>
  <c r="G30" i="76"/>
  <c r="H24" i="76"/>
  <c r="G24" i="76"/>
  <c r="H25" i="76"/>
  <c r="G25" i="76"/>
  <c r="N30" i="76"/>
  <c r="M30" i="76"/>
  <c r="N24" i="76"/>
  <c r="N25" i="76"/>
  <c r="M24" i="76"/>
  <c r="M25" i="76"/>
  <c r="Z24" i="76"/>
  <c r="T24" i="76"/>
  <c r="S24" i="76"/>
  <c r="T25" i="76"/>
  <c r="T30" i="76"/>
  <c r="S30" i="76"/>
  <c r="S25" i="76"/>
  <c r="Z30" i="76"/>
  <c r="Y30" i="76"/>
  <c r="Y24" i="76"/>
  <c r="Z25" i="76"/>
  <c r="Y25" i="76"/>
  <c r="G88" i="78"/>
  <c r="F88" i="78"/>
  <c r="Y97" i="78"/>
  <c r="X97" i="78"/>
  <c r="W97" i="78"/>
  <c r="V97" i="78"/>
  <c r="T97" i="78"/>
  <c r="S97" i="78"/>
  <c r="R97" i="78"/>
  <c r="Q97" i="78"/>
  <c r="P97" i="78"/>
  <c r="N97" i="78"/>
  <c r="M97" i="78"/>
  <c r="L97" i="78"/>
  <c r="K97" i="78"/>
  <c r="J97" i="78"/>
  <c r="H97" i="78"/>
  <c r="G97" i="78"/>
  <c r="F97" i="78"/>
  <c r="E97" i="78"/>
  <c r="D97" i="78"/>
  <c r="W91" i="78"/>
  <c r="Y94" i="78"/>
  <c r="X94" i="78"/>
  <c r="X64" i="78"/>
  <c r="AI129" i="92"/>
  <c r="AH129" i="92"/>
  <c r="AF129" i="92"/>
  <c r="AE129" i="92"/>
  <c r="AD129" i="92"/>
  <c r="AC129" i="92"/>
  <c r="AB129" i="92"/>
  <c r="Z129" i="92"/>
  <c r="Y129" i="92"/>
  <c r="X129" i="92"/>
  <c r="W129" i="92"/>
  <c r="V129" i="92"/>
  <c r="T129" i="92"/>
  <c r="S129" i="92"/>
  <c r="R129" i="92"/>
  <c r="Q129" i="92"/>
  <c r="P129" i="92"/>
  <c r="N129" i="92"/>
  <c r="M129" i="92"/>
  <c r="L129" i="92"/>
  <c r="K129" i="92"/>
  <c r="J129" i="92"/>
  <c r="H129" i="92"/>
  <c r="G129" i="92"/>
  <c r="F129" i="92"/>
  <c r="E129" i="92"/>
  <c r="D129" i="92"/>
  <c r="AF128" i="92"/>
  <c r="AF127" i="92"/>
  <c r="Z128" i="92"/>
  <c r="Z127" i="92"/>
  <c r="T128" i="92"/>
  <c r="T127" i="92"/>
  <c r="N128" i="92"/>
  <c r="N127" i="92"/>
  <c r="H128" i="92"/>
  <c r="H127" i="92"/>
  <c r="W42" i="87" l="1"/>
  <c r="X42" i="87"/>
  <c r="V42" i="87"/>
  <c r="P42" i="87"/>
  <c r="Q42" i="87"/>
  <c r="K42" i="87"/>
  <c r="M42" i="87"/>
  <c r="N42" i="87"/>
  <c r="O42" i="87"/>
  <c r="J42" i="87"/>
  <c r="I42" i="87"/>
  <c r="L42" i="87"/>
  <c r="AB52" i="78"/>
  <c r="AC52" i="78"/>
  <c r="AD52" i="78"/>
  <c r="AE52" i="78"/>
  <c r="AC67" i="78"/>
  <c r="AD67" i="78"/>
  <c r="AE67" i="78"/>
  <c r="AB67" i="78"/>
  <c r="Y67" i="78"/>
  <c r="X82" i="78"/>
  <c r="Y82" i="78"/>
  <c r="AS26" i="84"/>
  <c r="Z132" i="78"/>
  <c r="X52" i="78"/>
  <c r="Y52" i="78"/>
  <c r="X43" i="78"/>
  <c r="D11" i="78"/>
  <c r="E11" i="78"/>
  <c r="F11" i="78"/>
  <c r="G11" i="78"/>
  <c r="H11" i="78"/>
  <c r="I11" i="78"/>
  <c r="J11" i="78"/>
  <c r="K11" i="78"/>
  <c r="L11" i="78"/>
  <c r="M11" i="78"/>
  <c r="N11" i="78"/>
  <c r="O11" i="78"/>
  <c r="P11" i="78"/>
  <c r="Q11" i="78"/>
  <c r="R11" i="78"/>
  <c r="S11" i="78"/>
  <c r="T11" i="78"/>
  <c r="U11" i="78"/>
  <c r="V11" i="78"/>
  <c r="W11" i="78"/>
  <c r="D12" i="78"/>
  <c r="E12" i="78"/>
  <c r="F12" i="78"/>
  <c r="G12" i="78"/>
  <c r="H12" i="78"/>
  <c r="I12" i="78"/>
  <c r="J12" i="78"/>
  <c r="K12" i="78"/>
  <c r="L12" i="78"/>
  <c r="M12" i="78"/>
  <c r="N12" i="78"/>
  <c r="O12" i="78"/>
  <c r="P12" i="78"/>
  <c r="Q12" i="78"/>
  <c r="R12" i="78"/>
  <c r="S12" i="78"/>
  <c r="T12" i="78"/>
  <c r="U12" i="78"/>
  <c r="V12" i="78"/>
  <c r="W12" i="78"/>
  <c r="D13" i="78"/>
  <c r="E13" i="78"/>
  <c r="F13" i="78"/>
  <c r="G13" i="78"/>
  <c r="H13" i="78"/>
  <c r="I13" i="78"/>
  <c r="J13" i="78"/>
  <c r="K13" i="78"/>
  <c r="L13" i="78"/>
  <c r="M13" i="78"/>
  <c r="N13" i="78"/>
  <c r="O13" i="78"/>
  <c r="P13" i="78"/>
  <c r="Q13" i="78"/>
  <c r="R13" i="78"/>
  <c r="S13" i="78"/>
  <c r="T13" i="78"/>
  <c r="U13" i="78"/>
  <c r="V13" i="78"/>
  <c r="W13" i="78"/>
  <c r="D14" i="78"/>
  <c r="E14" i="78"/>
  <c r="F14" i="78"/>
  <c r="G14" i="78"/>
  <c r="H14" i="78"/>
  <c r="I14" i="78"/>
  <c r="J14" i="78"/>
  <c r="K14" i="78"/>
  <c r="L14" i="78"/>
  <c r="M14" i="78"/>
  <c r="N14" i="78"/>
  <c r="O14" i="78"/>
  <c r="P14" i="78"/>
  <c r="Q14" i="78"/>
  <c r="R14" i="78"/>
  <c r="S14" i="78"/>
  <c r="T14" i="78"/>
  <c r="U14" i="78"/>
  <c r="V14" i="78"/>
  <c r="W14" i="78"/>
  <c r="D15" i="78"/>
  <c r="E15" i="78"/>
  <c r="F15" i="78"/>
  <c r="G15" i="78"/>
  <c r="H15" i="78"/>
  <c r="I15" i="78"/>
  <c r="J15" i="78"/>
  <c r="K15" i="78"/>
  <c r="L15" i="78"/>
  <c r="M15" i="78"/>
  <c r="N15" i="78"/>
  <c r="O15" i="78"/>
  <c r="P15" i="78"/>
  <c r="Q15" i="78"/>
  <c r="R15" i="78"/>
  <c r="S15" i="78"/>
  <c r="T15" i="78"/>
  <c r="U15" i="78"/>
  <c r="V15" i="78"/>
  <c r="W15" i="78"/>
  <c r="D17" i="78"/>
  <c r="E17" i="78"/>
  <c r="F17" i="78"/>
  <c r="G17" i="78"/>
  <c r="H17" i="78"/>
  <c r="I17" i="78"/>
  <c r="J17" i="78"/>
  <c r="K17" i="78"/>
  <c r="L17" i="78"/>
  <c r="M17" i="78"/>
  <c r="N17" i="78"/>
  <c r="O17" i="78"/>
  <c r="P17" i="78"/>
  <c r="Q17" i="78"/>
  <c r="R17" i="78"/>
  <c r="S17" i="78"/>
  <c r="T17" i="78"/>
  <c r="U17" i="78"/>
  <c r="V17" i="78"/>
  <c r="W17" i="78"/>
  <c r="D18" i="78"/>
  <c r="E18" i="78"/>
  <c r="F18" i="78"/>
  <c r="G18" i="78"/>
  <c r="H18" i="78"/>
  <c r="I18" i="78"/>
  <c r="J18" i="78"/>
  <c r="K18" i="78"/>
  <c r="L18" i="78"/>
  <c r="M18" i="78"/>
  <c r="N18" i="78"/>
  <c r="O18" i="78"/>
  <c r="P18" i="78"/>
  <c r="Q18" i="78"/>
  <c r="R18" i="78"/>
  <c r="S18" i="78"/>
  <c r="T18" i="78"/>
  <c r="U18" i="78"/>
  <c r="V18" i="78"/>
  <c r="W18" i="78"/>
  <c r="D19" i="78"/>
  <c r="E19" i="78"/>
  <c r="F19" i="78"/>
  <c r="G19" i="78"/>
  <c r="H19" i="78"/>
  <c r="I19" i="78"/>
  <c r="J19" i="78"/>
  <c r="K19" i="78"/>
  <c r="L19" i="78"/>
  <c r="M19" i="78"/>
  <c r="N19" i="78"/>
  <c r="O19" i="78"/>
  <c r="P19" i="78"/>
  <c r="Q19" i="78"/>
  <c r="R19" i="78"/>
  <c r="S19" i="78"/>
  <c r="T19" i="78"/>
  <c r="U19" i="78"/>
  <c r="V19" i="78"/>
  <c r="W19" i="78"/>
  <c r="D20" i="78"/>
  <c r="E20" i="78"/>
  <c r="F20" i="78"/>
  <c r="G20" i="78"/>
  <c r="H20" i="78"/>
  <c r="I20" i="78"/>
  <c r="J20" i="78"/>
  <c r="K20" i="78"/>
  <c r="L20" i="78"/>
  <c r="M20" i="78"/>
  <c r="N20" i="78"/>
  <c r="O20" i="78"/>
  <c r="P20" i="78"/>
  <c r="Q20" i="78"/>
  <c r="R20" i="78"/>
  <c r="S20" i="78"/>
  <c r="T20" i="78"/>
  <c r="U20" i="78"/>
  <c r="V20" i="78"/>
  <c r="W20" i="78"/>
  <c r="D21" i="78"/>
  <c r="E21" i="78"/>
  <c r="F21" i="78"/>
  <c r="G21" i="78"/>
  <c r="H21" i="78"/>
  <c r="I21" i="78"/>
  <c r="J21" i="78"/>
  <c r="K21" i="78"/>
  <c r="L21" i="78"/>
  <c r="M21" i="78"/>
  <c r="N21" i="78"/>
  <c r="O21" i="78"/>
  <c r="P21" i="78"/>
  <c r="Q21" i="78"/>
  <c r="R21" i="78"/>
  <c r="S21" i="78"/>
  <c r="T21" i="78"/>
  <c r="U21" i="78"/>
  <c r="V21" i="78"/>
  <c r="W21" i="78"/>
  <c r="D23" i="78"/>
  <c r="E23" i="78"/>
  <c r="F23" i="78"/>
  <c r="G23" i="78"/>
  <c r="H23" i="78"/>
  <c r="I23" i="78"/>
  <c r="J23" i="78"/>
  <c r="K23" i="78"/>
  <c r="L23" i="78"/>
  <c r="M23" i="78"/>
  <c r="N23" i="78"/>
  <c r="O23" i="78"/>
  <c r="P23" i="78"/>
  <c r="Q23" i="78"/>
  <c r="R23" i="78"/>
  <c r="S23" i="78"/>
  <c r="T23" i="78"/>
  <c r="U23" i="78"/>
  <c r="V23" i="78"/>
  <c r="W23" i="78"/>
  <c r="D24" i="78"/>
  <c r="E24" i="78"/>
  <c r="F24" i="78"/>
  <c r="G24" i="78"/>
  <c r="H24" i="78"/>
  <c r="I24" i="78"/>
  <c r="J24" i="78"/>
  <c r="K24" i="78"/>
  <c r="L24" i="78"/>
  <c r="M24" i="78"/>
  <c r="N24" i="78"/>
  <c r="O24" i="78"/>
  <c r="P24" i="78"/>
  <c r="Q24" i="78"/>
  <c r="R24" i="78"/>
  <c r="S24" i="78"/>
  <c r="T24" i="78"/>
  <c r="U24" i="78"/>
  <c r="V24" i="78"/>
  <c r="W24" i="78"/>
  <c r="D25" i="78"/>
  <c r="E25" i="78"/>
  <c r="F25" i="78"/>
  <c r="G25" i="78"/>
  <c r="H25" i="78"/>
  <c r="I25" i="78"/>
  <c r="J25" i="78"/>
  <c r="K25" i="78"/>
  <c r="L25" i="78"/>
  <c r="M25" i="78"/>
  <c r="N25" i="78"/>
  <c r="O25" i="78"/>
  <c r="P25" i="78"/>
  <c r="Q25" i="78"/>
  <c r="R25" i="78"/>
  <c r="S25" i="78"/>
  <c r="T25" i="78"/>
  <c r="U25" i="78"/>
  <c r="V25" i="78"/>
  <c r="W25" i="78"/>
  <c r="D26" i="78"/>
  <c r="E26" i="78"/>
  <c r="F26" i="78"/>
  <c r="G26" i="78"/>
  <c r="H26" i="78"/>
  <c r="I26" i="78"/>
  <c r="J26" i="78"/>
  <c r="K26" i="78"/>
  <c r="L26" i="78"/>
  <c r="M26" i="78"/>
  <c r="N26" i="78"/>
  <c r="O26" i="78"/>
  <c r="P26" i="78"/>
  <c r="Q26" i="78"/>
  <c r="R26" i="78"/>
  <c r="S26" i="78"/>
  <c r="T26" i="78"/>
  <c r="U26" i="78"/>
  <c r="V26" i="78"/>
  <c r="W26" i="78"/>
  <c r="D27" i="78"/>
  <c r="E27" i="78"/>
  <c r="F27" i="78"/>
  <c r="G27" i="78"/>
  <c r="H27" i="78"/>
  <c r="I27" i="78"/>
  <c r="J27" i="78"/>
  <c r="K27" i="78"/>
  <c r="L27" i="78"/>
  <c r="M27" i="78"/>
  <c r="N27" i="78"/>
  <c r="O27" i="78"/>
  <c r="P27" i="78"/>
  <c r="Q27" i="78"/>
  <c r="R27" i="78"/>
  <c r="S27" i="78"/>
  <c r="T27" i="78"/>
  <c r="U27" i="78"/>
  <c r="V27" i="78"/>
  <c r="W27" i="78"/>
  <c r="K74" i="93"/>
  <c r="L74" i="93"/>
  <c r="F74" i="93"/>
  <c r="G74" i="93"/>
  <c r="H74" i="93"/>
  <c r="I74" i="93"/>
  <c r="N69" i="93"/>
  <c r="Y24" i="78" s="1"/>
  <c r="B57" i="93"/>
  <c r="N57" i="93" s="1"/>
  <c r="T57" i="93" s="1"/>
  <c r="AE12" i="78" s="1"/>
  <c r="B63" i="93"/>
  <c r="N63" i="93" s="1"/>
  <c r="B69" i="93"/>
  <c r="Q69" i="93" s="1"/>
  <c r="B70" i="93"/>
  <c r="Q70" i="93" s="1"/>
  <c r="AB25" i="78" s="1"/>
  <c r="B71" i="93"/>
  <c r="R71" i="93" s="1"/>
  <c r="AC26" i="78" s="1"/>
  <c r="B72" i="93"/>
  <c r="N72" i="93" s="1"/>
  <c r="B58" i="93"/>
  <c r="N58" i="93" s="1"/>
  <c r="T58" i="93" s="1"/>
  <c r="AE13" i="78" s="1"/>
  <c r="B59" i="93"/>
  <c r="M59" i="93" s="1"/>
  <c r="S59" i="93" s="1"/>
  <c r="AD14" i="78" s="1"/>
  <c r="B60" i="93"/>
  <c r="M60" i="93" s="1"/>
  <c r="X15" i="78" s="1"/>
  <c r="B64" i="93"/>
  <c r="Q64" i="93" s="1"/>
  <c r="AB19" i="78" s="1"/>
  <c r="B65" i="93"/>
  <c r="M65" i="93" s="1"/>
  <c r="B66" i="93"/>
  <c r="R66" i="93" s="1"/>
  <c r="AC21" i="78" s="1"/>
  <c r="E20" i="3"/>
  <c r="F20" i="3" s="1"/>
  <c r="G20" i="3" s="1"/>
  <c r="H20" i="3" s="1"/>
  <c r="I20" i="3" s="1"/>
  <c r="J20" i="3" s="1"/>
  <c r="K20" i="3" s="1"/>
  <c r="M22" i="3"/>
  <c r="M23" i="3"/>
  <c r="G22" i="3"/>
  <c r="H22" i="3" s="1"/>
  <c r="I22" i="3" s="1"/>
  <c r="J22" i="3" s="1"/>
  <c r="K22" i="3" s="1"/>
  <c r="G16" i="3"/>
  <c r="H16" i="3" s="1"/>
  <c r="I16" i="3" s="1"/>
  <c r="J16" i="3" s="1"/>
  <c r="K16" i="3" s="1"/>
  <c r="G18" i="3"/>
  <c r="H18" i="3" s="1"/>
  <c r="I18" i="3" s="1"/>
  <c r="J18" i="3" s="1"/>
  <c r="K18" i="3" s="1"/>
  <c r="F14" i="3"/>
  <c r="G14" i="3" s="1"/>
  <c r="H14" i="3" s="1"/>
  <c r="I14" i="3" s="1"/>
  <c r="J14" i="3" s="1"/>
  <c r="K14" i="3" s="1"/>
  <c r="M14" i="3" s="1"/>
  <c r="AE29" i="93"/>
  <c r="AF29" i="93" s="1"/>
  <c r="AP28" i="93"/>
  <c r="AP30" i="93"/>
  <c r="AP31" i="93"/>
  <c r="AP34" i="93"/>
  <c r="AP36" i="93"/>
  <c r="AP37" i="93"/>
  <c r="AP40" i="93"/>
  <c r="AP41" i="93"/>
  <c r="AP42" i="93"/>
  <c r="M13" i="6"/>
  <c r="Y43" i="93"/>
  <c r="AD35" i="93"/>
  <c r="AD36" i="93"/>
  <c r="AD14" i="93" s="1"/>
  <c r="Z37" i="93"/>
  <c r="AC36" i="93"/>
  <c r="AC14" i="93" s="1"/>
  <c r="AD21" i="93"/>
  <c r="AE21" i="93"/>
  <c r="AC21" i="93"/>
  <c r="AD9" i="93"/>
  <c r="AD7" i="93"/>
  <c r="AF19" i="93"/>
  <c r="AD41" i="93"/>
  <c r="AD19" i="93" s="1"/>
  <c r="AF41" i="93"/>
  <c r="AC41" i="93"/>
  <c r="AC19" i="93" s="1"/>
  <c r="AF37" i="93"/>
  <c r="AD37" i="93"/>
  <c r="AD15" i="93" s="1"/>
  <c r="AC37" i="93"/>
  <c r="AC15" i="93" s="1"/>
  <c r="AF36" i="93"/>
  <c r="AD13" i="93"/>
  <c r="AC13" i="93"/>
  <c r="AC35" i="93"/>
  <c r="AC20" i="93"/>
  <c r="AD20" i="93"/>
  <c r="AC8" i="93"/>
  <c r="AD8" i="93"/>
  <c r="AC18" i="93"/>
  <c r="AD18" i="93"/>
  <c r="AE18" i="93"/>
  <c r="AC12" i="93"/>
  <c r="AD12" i="93"/>
  <c r="AC6" i="93"/>
  <c r="AD6" i="93"/>
  <c r="AD5" i="93" s="1"/>
  <c r="AD27" i="93" s="1"/>
  <c r="R45" i="93"/>
  <c r="T45" i="93"/>
  <c r="K45" i="93"/>
  <c r="W23" i="93"/>
  <c r="X23" i="93"/>
  <c r="X45" i="93" s="1"/>
  <c r="E23" i="93"/>
  <c r="F23" i="93"/>
  <c r="G23" i="93"/>
  <c r="H23" i="93"/>
  <c r="I23" i="93"/>
  <c r="K23" i="93"/>
  <c r="L23" i="93"/>
  <c r="L45" i="93" s="1"/>
  <c r="M23" i="93"/>
  <c r="M45" i="93" s="1"/>
  <c r="N23" i="93"/>
  <c r="N45" i="93" s="1"/>
  <c r="O23" i="93"/>
  <c r="O45" i="93" s="1"/>
  <c r="Q23" i="93"/>
  <c r="Q45" i="93" s="1"/>
  <c r="R23" i="93"/>
  <c r="S23" i="93"/>
  <c r="S45" i="93" s="1"/>
  <c r="T23" i="93"/>
  <c r="U23" i="93"/>
  <c r="U45" i="93" s="1"/>
  <c r="Y21" i="93"/>
  <c r="Y18" i="93"/>
  <c r="Z18" i="93"/>
  <c r="Z19" i="93"/>
  <c r="Y20" i="93"/>
  <c r="Z21" i="93"/>
  <c r="Y13" i="93"/>
  <c r="AE13" i="93" s="1"/>
  <c r="Z14" i="93"/>
  <c r="AF14" i="93" s="1"/>
  <c r="Z15" i="93"/>
  <c r="AF15" i="93" s="1"/>
  <c r="Y40" i="93"/>
  <c r="Y41" i="93"/>
  <c r="Y19" i="93" s="1"/>
  <c r="Z41" i="93"/>
  <c r="Y42" i="93"/>
  <c r="Z20" i="93"/>
  <c r="AF20" i="93" s="1"/>
  <c r="Y34" i="93"/>
  <c r="Y12" i="93" s="1"/>
  <c r="Z34" i="93"/>
  <c r="Z12" i="93" s="1"/>
  <c r="Y35" i="93"/>
  <c r="Z35" i="93"/>
  <c r="Z13" i="93" s="1"/>
  <c r="AF13" i="93" s="1"/>
  <c r="Y36" i="93"/>
  <c r="Y14" i="93" s="1"/>
  <c r="Z36" i="93"/>
  <c r="Y37" i="93"/>
  <c r="AE37" i="93" s="1"/>
  <c r="Z6" i="93"/>
  <c r="AF6" i="93" s="1"/>
  <c r="Z8" i="93"/>
  <c r="AF8" i="93" s="1"/>
  <c r="Z28" i="93"/>
  <c r="Z29" i="93"/>
  <c r="Z7" i="93" s="1"/>
  <c r="Z30" i="93"/>
  <c r="Z31" i="93"/>
  <c r="Z9" i="93" s="1"/>
  <c r="AF9" i="93" s="1"/>
  <c r="Y6" i="93"/>
  <c r="AA6" i="93" s="1"/>
  <c r="Y8" i="93"/>
  <c r="AA8" i="93" s="1"/>
  <c r="AA30" i="93" s="1"/>
  <c r="Y28" i="93"/>
  <c r="Y29" i="93"/>
  <c r="Y7" i="93" s="1"/>
  <c r="Y30" i="93"/>
  <c r="Y31" i="93"/>
  <c r="Y9" i="93" s="1"/>
  <c r="D16" i="6"/>
  <c r="D107" i="92"/>
  <c r="D93" i="92"/>
  <c r="G12" i="3"/>
  <c r="H12" i="3" s="1"/>
  <c r="I12" i="3" s="1"/>
  <c r="J12" i="3" s="1"/>
  <c r="K12" i="3" s="1"/>
  <c r="AF20" i="74"/>
  <c r="F23" i="74"/>
  <c r="F24" i="74" s="1"/>
  <c r="E23" i="74"/>
  <c r="E24" i="74" s="1"/>
  <c r="D23" i="74"/>
  <c r="D24" i="74" s="1"/>
  <c r="G23" i="74"/>
  <c r="G24" i="74" s="1"/>
  <c r="H23" i="74"/>
  <c r="H24" i="74" s="1"/>
  <c r="G82" i="92"/>
  <c r="G80" i="92"/>
  <c r="G79" i="92"/>
  <c r="F76" i="92"/>
  <c r="D76" i="92"/>
  <c r="G76" i="92"/>
  <c r="G74" i="92"/>
  <c r="G73" i="92"/>
  <c r="G72" i="92"/>
  <c r="AF24" i="74"/>
  <c r="Z24" i="74"/>
  <c r="T24" i="74"/>
  <c r="N24" i="74"/>
  <c r="T30" i="74"/>
  <c r="N46" i="74"/>
  <c r="N52" i="74"/>
  <c r="L30" i="74"/>
  <c r="L31" i="74" s="1"/>
  <c r="L33" i="74" s="1"/>
  <c r="L42" i="74" s="1"/>
  <c r="L47" i="74" s="1"/>
  <c r="N47" i="74" s="1"/>
  <c r="N22" i="83"/>
  <c r="N23" i="83"/>
  <c r="N21" i="83"/>
  <c r="H22" i="83"/>
  <c r="H23" i="83"/>
  <c r="H25" i="83"/>
  <c r="H21" i="83"/>
  <c r="B22" i="83"/>
  <c r="B25" i="83"/>
  <c r="B23" i="83"/>
  <c r="B21" i="83"/>
  <c r="R63" i="93" l="1"/>
  <c r="AC18" i="78" s="1"/>
  <c r="Y12" i="78"/>
  <c r="M64" i="93"/>
  <c r="X19" i="78" s="1"/>
  <c r="M63" i="93"/>
  <c r="O63" i="93" s="1"/>
  <c r="N64" i="93"/>
  <c r="Y19" i="78" s="1"/>
  <c r="T64" i="93"/>
  <c r="AE19" i="78" s="1"/>
  <c r="M69" i="93"/>
  <c r="O69" i="93" s="1"/>
  <c r="R69" i="93"/>
  <c r="AC24" i="78" s="1"/>
  <c r="R65" i="93"/>
  <c r="AC20" i="78" s="1"/>
  <c r="T72" i="93"/>
  <c r="AE27" i="78" s="1"/>
  <c r="Y27" i="78"/>
  <c r="S65" i="93"/>
  <c r="AD20" i="78" s="1"/>
  <c r="X20" i="78"/>
  <c r="AB24" i="78"/>
  <c r="Z19" i="78"/>
  <c r="Y18" i="78"/>
  <c r="T63" i="93"/>
  <c r="AE18" i="78" s="1"/>
  <c r="N65" i="93"/>
  <c r="M71" i="93"/>
  <c r="Q71" i="93"/>
  <c r="AB26" i="78" s="1"/>
  <c r="Q65" i="93"/>
  <c r="Q63" i="93"/>
  <c r="R72" i="93"/>
  <c r="AC27" i="78" s="1"/>
  <c r="Q72" i="93"/>
  <c r="AB27" i="78" s="1"/>
  <c r="N71" i="93"/>
  <c r="N66" i="93"/>
  <c r="M72" i="93"/>
  <c r="S64" i="93"/>
  <c r="X18" i="78"/>
  <c r="T69" i="93"/>
  <c r="AE24" i="78" s="1"/>
  <c r="S63" i="93"/>
  <c r="O64" i="93"/>
  <c r="Q66" i="93"/>
  <c r="M58" i="93"/>
  <c r="O58" i="93" s="1"/>
  <c r="M66" i="93"/>
  <c r="N70" i="93"/>
  <c r="R70" i="93"/>
  <c r="AC25" i="78" s="1"/>
  <c r="R64" i="93"/>
  <c r="AC19" i="78" s="1"/>
  <c r="R57" i="93"/>
  <c r="AC12" i="78" s="1"/>
  <c r="M70" i="93"/>
  <c r="Q57" i="93"/>
  <c r="AG13" i="93"/>
  <c r="AI13" i="93" s="1"/>
  <c r="S60" i="93"/>
  <c r="AD15" i="78" s="1"/>
  <c r="Q60" i="93"/>
  <c r="AB15" i="78" s="1"/>
  <c r="N60" i="93"/>
  <c r="Y15" i="78" s="1"/>
  <c r="Z15" i="78" s="1"/>
  <c r="R58" i="93"/>
  <c r="AC13" i="78" s="1"/>
  <c r="R60" i="93"/>
  <c r="AC15" i="78" s="1"/>
  <c r="Y13" i="78"/>
  <c r="Q58" i="93"/>
  <c r="X14" i="78"/>
  <c r="Q59" i="93"/>
  <c r="AB14" i="78" s="1"/>
  <c r="R59" i="93"/>
  <c r="O60" i="93"/>
  <c r="T60" i="93"/>
  <c r="AE15" i="78" s="1"/>
  <c r="O72" i="93"/>
  <c r="M57" i="93"/>
  <c r="N59" i="93"/>
  <c r="AF7" i="93"/>
  <c r="AD17" i="93"/>
  <c r="AE9" i="93"/>
  <c r="AA9" i="93"/>
  <c r="AA31" i="93" s="1"/>
  <c r="AC31" i="93" s="1"/>
  <c r="AC9" i="93" s="1"/>
  <c r="AG9" i="93" s="1"/>
  <c r="AE7" i="93"/>
  <c r="AA7" i="93"/>
  <c r="AA29" i="93" s="1"/>
  <c r="AC29" i="93" s="1"/>
  <c r="AC7" i="93" s="1"/>
  <c r="AG7" i="93" s="1"/>
  <c r="AD39" i="93"/>
  <c r="AC17" i="93"/>
  <c r="AF12" i="93"/>
  <c r="AF11" i="93" s="1"/>
  <c r="Z11" i="93"/>
  <c r="Z33" i="93" s="1"/>
  <c r="Y11" i="93"/>
  <c r="Y33" i="93" s="1"/>
  <c r="AA12" i="93"/>
  <c r="AE12" i="93"/>
  <c r="AF5" i="93"/>
  <c r="AC11" i="93"/>
  <c r="AC33" i="93" s="1"/>
  <c r="AA20" i="93"/>
  <c r="AA42" i="93" s="1"/>
  <c r="AE14" i="93"/>
  <c r="AG14" i="93" s="1"/>
  <c r="AA14" i="93"/>
  <c r="AA36" i="93" s="1"/>
  <c r="AE19" i="93"/>
  <c r="AG19" i="93" s="1"/>
  <c r="Y17" i="93"/>
  <c r="AA19" i="93"/>
  <c r="AA41" i="93" s="1"/>
  <c r="AD11" i="93"/>
  <c r="AD33" i="93" s="1"/>
  <c r="AF21" i="93"/>
  <c r="AG21" i="93" s="1"/>
  <c r="AA28" i="93"/>
  <c r="AA5" i="93"/>
  <c r="AA27" i="93" s="1"/>
  <c r="Z17" i="93"/>
  <c r="Z5" i="93"/>
  <c r="Z27" i="93" s="1"/>
  <c r="AA13" i="93"/>
  <c r="AA35" i="93" s="1"/>
  <c r="Y5" i="93"/>
  <c r="Y27" i="93" s="1"/>
  <c r="AE6" i="93"/>
  <c r="AE8" i="93"/>
  <c r="AG8" i="93" s="1"/>
  <c r="AE20" i="93"/>
  <c r="AG20" i="93" s="1"/>
  <c r="AE41" i="93"/>
  <c r="AA21" i="93"/>
  <c r="AA43" i="93" s="1"/>
  <c r="W45" i="93"/>
  <c r="Y15" i="93"/>
  <c r="AF18" i="93"/>
  <c r="AA18" i="93"/>
  <c r="N30" i="74"/>
  <c r="H47" i="74"/>
  <c r="S69" i="93" l="1"/>
  <c r="U63" i="93"/>
  <c r="X24" i="78"/>
  <c r="Z24" i="78" s="1"/>
  <c r="M68" i="93"/>
  <c r="X23" i="78" s="1"/>
  <c r="N62" i="93"/>
  <c r="Y17" i="78" s="1"/>
  <c r="Z18" i="78"/>
  <c r="Q68" i="93"/>
  <c r="AB23" i="78" s="1"/>
  <c r="AD24" i="78"/>
  <c r="AF24" i="78" s="1"/>
  <c r="T71" i="93"/>
  <c r="AE26" i="78" s="1"/>
  <c r="Y26" i="78"/>
  <c r="X13" i="78"/>
  <c r="Z13" i="78" s="1"/>
  <c r="AD18" i="78"/>
  <c r="R62" i="93"/>
  <c r="AC17" i="78" s="1"/>
  <c r="R68" i="93"/>
  <c r="AC23" i="78" s="1"/>
  <c r="Z20" i="78"/>
  <c r="U69" i="93"/>
  <c r="W69" i="93" s="1"/>
  <c r="Y20" i="78"/>
  <c r="T65" i="93"/>
  <c r="AE20" i="78" s="1"/>
  <c r="T70" i="93"/>
  <c r="Y25" i="78"/>
  <c r="Q62" i="93"/>
  <c r="AB17" i="78" s="1"/>
  <c r="AB18" i="78"/>
  <c r="O65" i="93"/>
  <c r="O71" i="93"/>
  <c r="O70" i="93"/>
  <c r="X25" i="78"/>
  <c r="S70" i="93"/>
  <c r="AD25" i="78" s="1"/>
  <c r="AB21" i="78"/>
  <c r="U64" i="93"/>
  <c r="W64" i="93" s="1"/>
  <c r="Y64" i="93" s="1"/>
  <c r="AA64" i="93" s="1"/>
  <c r="AD19" i="78"/>
  <c r="AF19" i="78" s="1"/>
  <c r="AB20" i="78"/>
  <c r="S72" i="93"/>
  <c r="AD27" i="78" s="1"/>
  <c r="AF27" i="78" s="1"/>
  <c r="X27" i="78"/>
  <c r="Z27" i="78" s="1"/>
  <c r="S66" i="93"/>
  <c r="AD21" i="78" s="1"/>
  <c r="X21" i="78"/>
  <c r="O66" i="93"/>
  <c r="X12" i="78"/>
  <c r="Z12" i="78" s="1"/>
  <c r="S57" i="93"/>
  <c r="U57" i="93" s="1"/>
  <c r="W57" i="93" s="1"/>
  <c r="AB12" i="78"/>
  <c r="N68" i="93"/>
  <c r="Y23" i="78" s="1"/>
  <c r="S58" i="93"/>
  <c r="AD13" i="78" s="1"/>
  <c r="T66" i="93"/>
  <c r="AE21" i="78" s="1"/>
  <c r="Y21" i="78"/>
  <c r="S71" i="93"/>
  <c r="X26" i="78"/>
  <c r="Z26" i="78" s="1"/>
  <c r="M62" i="93"/>
  <c r="X17" i="78" s="1"/>
  <c r="AG35" i="93"/>
  <c r="AK13" i="93"/>
  <c r="AF15" i="78"/>
  <c r="N56" i="93"/>
  <c r="T59" i="93"/>
  <c r="U59" i="93" s="1"/>
  <c r="W59" i="93" s="1"/>
  <c r="Y14" i="78"/>
  <c r="Z14" i="78" s="1"/>
  <c r="U60" i="93"/>
  <c r="W60" i="93" s="1"/>
  <c r="Q56" i="93"/>
  <c r="U58" i="93"/>
  <c r="AB13" i="78"/>
  <c r="AC14" i="78"/>
  <c r="R56" i="93"/>
  <c r="W63" i="93"/>
  <c r="O59" i="93"/>
  <c r="M56" i="93"/>
  <c r="O57" i="93"/>
  <c r="AF17" i="93"/>
  <c r="AG43" i="93"/>
  <c r="AI21" i="93"/>
  <c r="AK21" i="93" s="1"/>
  <c r="AM21" i="93" s="1"/>
  <c r="AP43" i="93" s="1"/>
  <c r="AI19" i="93"/>
  <c r="AK19" i="93" s="1"/>
  <c r="AM19" i="93" s="1"/>
  <c r="AG41" i="93"/>
  <c r="AG36" i="93"/>
  <c r="AI14" i="93"/>
  <c r="AK14" i="93" s="1"/>
  <c r="AM14" i="93" s="1"/>
  <c r="AE17" i="93"/>
  <c r="AF33" i="93"/>
  <c r="AC39" i="93"/>
  <c r="AG42" i="93"/>
  <c r="AI20" i="93"/>
  <c r="AK20" i="93" s="1"/>
  <c r="AM20" i="93" s="1"/>
  <c r="Z23" i="93"/>
  <c r="Z45" i="93" s="1"/>
  <c r="Z39" i="93"/>
  <c r="AA11" i="93"/>
  <c r="AA33" i="93" s="1"/>
  <c r="AA34" i="93"/>
  <c r="AE5" i="93"/>
  <c r="AE27" i="93" s="1"/>
  <c r="AG6" i="93"/>
  <c r="AF23" i="93"/>
  <c r="AF39" i="93"/>
  <c r="AA15" i="93"/>
  <c r="AA37" i="93" s="1"/>
  <c r="AE15" i="93"/>
  <c r="AG15" i="93" s="1"/>
  <c r="AC5" i="93"/>
  <c r="AC27" i="93" s="1"/>
  <c r="AF27" i="93"/>
  <c r="AG31" i="93"/>
  <c r="AI9" i="93"/>
  <c r="AK9" i="93" s="1"/>
  <c r="AM9" i="93" s="1"/>
  <c r="AG30" i="93"/>
  <c r="AI8" i="93"/>
  <c r="AK8" i="93" s="1"/>
  <c r="AM8" i="93" s="1"/>
  <c r="AA40" i="93"/>
  <c r="AA17" i="93"/>
  <c r="AG29" i="93"/>
  <c r="AI7" i="93"/>
  <c r="AK7" i="93" s="1"/>
  <c r="AM7" i="93" s="1"/>
  <c r="AP29" i="93" s="1"/>
  <c r="AG18" i="93"/>
  <c r="AD23" i="93"/>
  <c r="AD45" i="93" s="1"/>
  <c r="Y23" i="93"/>
  <c r="Y45" i="93" s="1"/>
  <c r="Y39" i="93"/>
  <c r="AE11" i="93"/>
  <c r="AG12" i="93"/>
  <c r="AI48" i="92"/>
  <c r="AH48" i="92"/>
  <c r="AF48" i="92"/>
  <c r="AE48" i="92"/>
  <c r="AD48" i="92"/>
  <c r="AC48" i="92"/>
  <c r="AB48" i="92"/>
  <c r="Z48" i="92"/>
  <c r="Y48" i="92"/>
  <c r="X48" i="92"/>
  <c r="W48" i="92"/>
  <c r="V48" i="92"/>
  <c r="T48" i="92"/>
  <c r="S48" i="92"/>
  <c r="R48" i="92"/>
  <c r="Q48" i="92"/>
  <c r="P48" i="92"/>
  <c r="N48" i="92"/>
  <c r="M48" i="92"/>
  <c r="L48" i="92"/>
  <c r="K48" i="92"/>
  <c r="J48" i="92"/>
  <c r="H48" i="92"/>
  <c r="G48" i="92"/>
  <c r="F48" i="92"/>
  <c r="E48" i="92"/>
  <c r="D48" i="92"/>
  <c r="AI45" i="92"/>
  <c r="AH45" i="92"/>
  <c r="AF45" i="92"/>
  <c r="AE45" i="92"/>
  <c r="AD45" i="92"/>
  <c r="AC45" i="92"/>
  <c r="AB45" i="92"/>
  <c r="Z45" i="92"/>
  <c r="Y45" i="92"/>
  <c r="X45" i="92"/>
  <c r="W45" i="92"/>
  <c r="V45" i="92"/>
  <c r="T45" i="92"/>
  <c r="S45" i="92"/>
  <c r="R45" i="92"/>
  <c r="Q45" i="92"/>
  <c r="P45" i="92"/>
  <c r="N45" i="92"/>
  <c r="M45" i="92"/>
  <c r="L45" i="92"/>
  <c r="K45" i="92"/>
  <c r="J45" i="92"/>
  <c r="AI44" i="92"/>
  <c r="AH44" i="92"/>
  <c r="AF44" i="92"/>
  <c r="AE44" i="92"/>
  <c r="AD44" i="92"/>
  <c r="AC44" i="92"/>
  <c r="AB44" i="92"/>
  <c r="Z44" i="92"/>
  <c r="Y44" i="92"/>
  <c r="X44" i="92"/>
  <c r="W44" i="92"/>
  <c r="V44" i="92"/>
  <c r="T44" i="92"/>
  <c r="S44" i="92"/>
  <c r="R44" i="92"/>
  <c r="Q44" i="92"/>
  <c r="P44" i="92"/>
  <c r="N44" i="92"/>
  <c r="M44" i="92"/>
  <c r="L44" i="92"/>
  <c r="K44" i="92"/>
  <c r="J44" i="92"/>
  <c r="AI43" i="92"/>
  <c r="AH43" i="92"/>
  <c r="AF43" i="92"/>
  <c r="AE43" i="92"/>
  <c r="AD43" i="92"/>
  <c r="AC43" i="92"/>
  <c r="AB43" i="92"/>
  <c r="Z43" i="92"/>
  <c r="Y43" i="92"/>
  <c r="X43" i="92"/>
  <c r="W43" i="92"/>
  <c r="V43" i="92"/>
  <c r="T43" i="92"/>
  <c r="S43" i="92"/>
  <c r="R43" i="92"/>
  <c r="Q43" i="92"/>
  <c r="P43" i="92"/>
  <c r="N43" i="92"/>
  <c r="M43" i="92"/>
  <c r="L43" i="92"/>
  <c r="K43" i="92"/>
  <c r="J43" i="92"/>
  <c r="H45" i="92"/>
  <c r="G45" i="92"/>
  <c r="F45" i="92"/>
  <c r="E45" i="92"/>
  <c r="H44" i="92"/>
  <c r="G44" i="92"/>
  <c r="F44" i="92"/>
  <c r="E44" i="92"/>
  <c r="D45" i="92"/>
  <c r="D44" i="92"/>
  <c r="H43" i="92"/>
  <c r="G43" i="92"/>
  <c r="F43" i="92"/>
  <c r="E43" i="92"/>
  <c r="D43" i="92"/>
  <c r="AI40" i="92"/>
  <c r="AH40" i="92"/>
  <c r="AF40" i="92"/>
  <c r="AE40" i="92"/>
  <c r="AD40" i="92"/>
  <c r="AC40" i="92"/>
  <c r="AB40" i="92"/>
  <c r="Z40" i="92"/>
  <c r="Y40" i="92"/>
  <c r="X40" i="92"/>
  <c r="W40" i="92"/>
  <c r="V40" i="92"/>
  <c r="T40" i="92"/>
  <c r="S40" i="92"/>
  <c r="R40" i="92"/>
  <c r="Q40" i="92"/>
  <c r="P40" i="92"/>
  <c r="N40" i="92"/>
  <c r="M40" i="92"/>
  <c r="L40" i="92"/>
  <c r="K40" i="92"/>
  <c r="J40" i="92"/>
  <c r="H40" i="92"/>
  <c r="G40" i="92"/>
  <c r="F40" i="92"/>
  <c r="E40" i="92"/>
  <c r="D40" i="92"/>
  <c r="O14" i="83"/>
  <c r="E165" i="86" a="1"/>
  <c r="E165" i="86"/>
  <c r="E166" i="86" a="1"/>
  <c r="E166" i="86"/>
  <c r="D18" i="83"/>
  <c r="S7" i="83"/>
  <c r="B171" i="83"/>
  <c r="B162" i="83"/>
  <c r="B153" i="83"/>
  <c r="B144" i="83"/>
  <c r="B135" i="83"/>
  <c r="E173" i="86" a="1"/>
  <c r="E173" i="86"/>
  <c r="E164" i="86" a="1"/>
  <c r="E164" i="86"/>
  <c r="M18" i="83"/>
  <c r="E170" i="86" a="1"/>
  <c r="E170" i="86"/>
  <c r="E168" i="86" a="1"/>
  <c r="E168" i="86"/>
  <c r="E174" i="86" a="1"/>
  <c r="E174" i="86"/>
  <c r="E169" i="86" a="1"/>
  <c r="E169" i="86"/>
  <c r="E171" i="86" a="1"/>
  <c r="E171" i="86"/>
  <c r="AH20" i="92"/>
  <c r="AB20" i="92"/>
  <c r="V20" i="92"/>
  <c r="P20" i="92"/>
  <c r="J20" i="92"/>
  <c r="AI27" i="92"/>
  <c r="AH27" i="92"/>
  <c r="AF27" i="92"/>
  <c r="AE27" i="92"/>
  <c r="AD27" i="92"/>
  <c r="AC27" i="92"/>
  <c r="AB27" i="92"/>
  <c r="Z27" i="92"/>
  <c r="Y27" i="92"/>
  <c r="X27" i="92"/>
  <c r="W27" i="92"/>
  <c r="V27" i="92"/>
  <c r="T27" i="92"/>
  <c r="S27" i="92"/>
  <c r="R27" i="92"/>
  <c r="Q27" i="92"/>
  <c r="P27" i="92"/>
  <c r="N27" i="92"/>
  <c r="M27" i="92"/>
  <c r="L27" i="92"/>
  <c r="K27" i="92"/>
  <c r="J27" i="92"/>
  <c r="H27" i="92"/>
  <c r="G27" i="92"/>
  <c r="F27" i="92"/>
  <c r="E27" i="92"/>
  <c r="D27" i="92"/>
  <c r="AD7" i="92"/>
  <c r="AC7" i="92"/>
  <c r="AA7" i="92"/>
  <c r="Z7" i="92"/>
  <c r="Y7" i="92"/>
  <c r="X7" i="92"/>
  <c r="V7" i="92"/>
  <c r="U7" i="92"/>
  <c r="T7" i="92"/>
  <c r="S7" i="92"/>
  <c r="R7" i="92"/>
  <c r="Q7" i="92"/>
  <c r="P7" i="92"/>
  <c r="O7" i="92"/>
  <c r="N7" i="92"/>
  <c r="M7" i="92"/>
  <c r="L7" i="92"/>
  <c r="K7" i="92"/>
  <c r="J7" i="92"/>
  <c r="I7" i="92"/>
  <c r="G7" i="92"/>
  <c r="F7" i="92"/>
  <c r="E7" i="92"/>
  <c r="D7" i="92"/>
  <c r="AB6" i="92"/>
  <c r="AB7" i="92" s="1"/>
  <c r="W6" i="92"/>
  <c r="W7" i="92" s="1"/>
  <c r="R6" i="92"/>
  <c r="M6" i="92"/>
  <c r="H6" i="92"/>
  <c r="H7" i="92" s="1"/>
  <c r="M4" i="92"/>
  <c r="R4" i="92" s="1"/>
  <c r="W4" i="92" s="1"/>
  <c r="AB4" i="92" s="1"/>
  <c r="AG4" i="92" s="1"/>
  <c r="AF28" i="74"/>
  <c r="AF31" i="74" s="1"/>
  <c r="AF33" i="74" s="1"/>
  <c r="Z28" i="74"/>
  <c r="Z31" i="74" s="1"/>
  <c r="Z33" i="74" s="1"/>
  <c r="T28" i="74"/>
  <c r="T31" i="74" s="1"/>
  <c r="T33" i="74" s="1"/>
  <c r="N28" i="74"/>
  <c r="N31" i="74" s="1"/>
  <c r="N33" i="74" s="1"/>
  <c r="H28" i="74"/>
  <c r="H31" i="74" s="1"/>
  <c r="H33" i="74" s="1"/>
  <c r="H19" i="85"/>
  <c r="AF18" i="78" l="1"/>
  <c r="Z23" i="78"/>
  <c r="AL15" i="84" s="1"/>
  <c r="S62" i="93"/>
  <c r="O62" i="93"/>
  <c r="Z17" i="78"/>
  <c r="AL14" i="84" s="1"/>
  <c r="AL21" i="84"/>
  <c r="J86" i="93" s="1"/>
  <c r="U72" i="93"/>
  <c r="W72" i="93" s="1"/>
  <c r="AH27" i="78" s="1"/>
  <c r="T62" i="93"/>
  <c r="AE17" i="78" s="1"/>
  <c r="AF20" i="78"/>
  <c r="AF21" i="78"/>
  <c r="AR24" i="84" s="1"/>
  <c r="K92" i="93" s="1"/>
  <c r="K93" i="93" s="1"/>
  <c r="U66" i="93"/>
  <c r="W66" i="93" s="1"/>
  <c r="Y66" i="93" s="1"/>
  <c r="AH19" i="78"/>
  <c r="AH12" i="78"/>
  <c r="Y57" i="93"/>
  <c r="Y69" i="93"/>
  <c r="AH24" i="78"/>
  <c r="AL23" i="84"/>
  <c r="J90" i="93" s="1"/>
  <c r="J91" i="93" s="1"/>
  <c r="U70" i="93"/>
  <c r="AE25" i="78"/>
  <c r="AF25" i="78" s="1"/>
  <c r="T68" i="93"/>
  <c r="AE23" i="78" s="1"/>
  <c r="Z25" i="78"/>
  <c r="AL22" i="84" s="1"/>
  <c r="AH21" i="78"/>
  <c r="Z21" i="78"/>
  <c r="AL24" i="84" s="1"/>
  <c r="J92" i="93" s="1"/>
  <c r="J93" i="93" s="1"/>
  <c r="U65" i="93"/>
  <c r="O68" i="93"/>
  <c r="S68" i="93"/>
  <c r="AD26" i="78"/>
  <c r="AF26" i="78" s="1"/>
  <c r="U71" i="93"/>
  <c r="W71" i="93" s="1"/>
  <c r="AD12" i="78"/>
  <c r="AF12" i="78" s="1"/>
  <c r="AR21" i="84" s="1"/>
  <c r="K86" i="93" s="1"/>
  <c r="S56" i="93"/>
  <c r="AD11" i="78" s="1"/>
  <c r="AF13" i="78"/>
  <c r="AH18" i="78"/>
  <c r="Y63" i="93"/>
  <c r="AE33" i="93"/>
  <c r="AD17" i="78"/>
  <c r="AM13" i="93"/>
  <c r="AJ19" i="78"/>
  <c r="Y59" i="93"/>
  <c r="AH14" i="78"/>
  <c r="W58" i="93"/>
  <c r="U56" i="93"/>
  <c r="M74" i="93"/>
  <c r="X11" i="78"/>
  <c r="R74" i="93"/>
  <c r="AC11" i="78"/>
  <c r="AC29" i="78" s="1"/>
  <c r="AC39" i="78" s="1"/>
  <c r="AC96" i="78" s="1"/>
  <c r="AE14" i="78"/>
  <c r="AF14" i="78" s="1"/>
  <c r="T56" i="93"/>
  <c r="Y11" i="78"/>
  <c r="Y29" i="78" s="1"/>
  <c r="Y39" i="78" s="1"/>
  <c r="Y96" i="78" s="1"/>
  <c r="N74" i="93"/>
  <c r="Q74" i="93"/>
  <c r="AB11" i="78"/>
  <c r="Y60" i="93"/>
  <c r="AH15" i="78"/>
  <c r="O56" i="93"/>
  <c r="AG34" i="93"/>
  <c r="AI12" i="93"/>
  <c r="AG11" i="93"/>
  <c r="AG33" i="93" s="1"/>
  <c r="AA39" i="93"/>
  <c r="AA23" i="93"/>
  <c r="AA45" i="93" s="1"/>
  <c r="AI15" i="93"/>
  <c r="AK15" i="93" s="1"/>
  <c r="AM15" i="93" s="1"/>
  <c r="AG37" i="93"/>
  <c r="AF45" i="93"/>
  <c r="AI6" i="93"/>
  <c r="AG28" i="93"/>
  <c r="AG5" i="93"/>
  <c r="AG27" i="93" s="1"/>
  <c r="AC23" i="93"/>
  <c r="AC45" i="93" s="1"/>
  <c r="AE23" i="93"/>
  <c r="AE45" i="93" s="1"/>
  <c r="AE39" i="93"/>
  <c r="AI18" i="93"/>
  <c r="AG17" i="93"/>
  <c r="AG40" i="93"/>
  <c r="Y44" i="91" a="1"/>
  <c r="Y44" i="91" s="1"/>
  <c r="X44" i="91" a="1"/>
  <c r="X44" i="91" s="1"/>
  <c r="Y43" i="91" a="1"/>
  <c r="Y43" i="91" s="1"/>
  <c r="X43" i="91" a="1"/>
  <c r="X43" i="91" s="1"/>
  <c r="Z43" i="91" s="1"/>
  <c r="Y42" i="91" a="1"/>
  <c r="Y42" i="91" s="1"/>
  <c r="X42" i="91" a="1"/>
  <c r="X42" i="91" s="1"/>
  <c r="Y41" i="91" a="1"/>
  <c r="Y41" i="91" s="1"/>
  <c r="X41" i="91" a="1"/>
  <c r="X41" i="91" s="1"/>
  <c r="Y40" i="91" a="1"/>
  <c r="Y40" i="91" s="1"/>
  <c r="X40" i="91" a="1"/>
  <c r="X40" i="91" s="1"/>
  <c r="Z40" i="91" s="1"/>
  <c r="Y39" i="91" a="1"/>
  <c r="Y39" i="91" s="1"/>
  <c r="X39" i="91" a="1"/>
  <c r="X39" i="91" s="1"/>
  <c r="Y38" i="91" a="1"/>
  <c r="Y38" i="91" s="1"/>
  <c r="X38" i="91" a="1"/>
  <c r="X38" i="91" s="1"/>
  <c r="K87" i="93" l="1"/>
  <c r="J87" i="93"/>
  <c r="Y72" i="93"/>
  <c r="O74" i="93"/>
  <c r="AT24" i="84"/>
  <c r="L92" i="93" s="1"/>
  <c r="L93" i="93" s="1"/>
  <c r="AF17" i="78"/>
  <c r="AR14" i="84" s="1"/>
  <c r="AA63" i="93"/>
  <c r="AJ18" i="78"/>
  <c r="AA66" i="93"/>
  <c r="AL21" i="78" s="1"/>
  <c r="AJ21" i="78"/>
  <c r="AR23" i="84"/>
  <c r="K90" i="93" s="1"/>
  <c r="K91" i="93" s="1"/>
  <c r="AA72" i="93"/>
  <c r="AL27" i="78" s="1"/>
  <c r="AJ27" i="78"/>
  <c r="AA69" i="93"/>
  <c r="AJ24" i="78"/>
  <c r="AL26" i="84"/>
  <c r="N12" i="6" s="1"/>
  <c r="AR22" i="84"/>
  <c r="AD23" i="78"/>
  <c r="AF23" i="78" s="1"/>
  <c r="AR15" i="84" s="1"/>
  <c r="S74" i="93"/>
  <c r="W65" i="93"/>
  <c r="U62" i="93"/>
  <c r="W70" i="93"/>
  <c r="U68" i="93"/>
  <c r="AJ12" i="78"/>
  <c r="AA57" i="93"/>
  <c r="AL12" i="78" s="1"/>
  <c r="AH26" i="78"/>
  <c r="Y71" i="93"/>
  <c r="AT21" i="84"/>
  <c r="L86" i="93" s="1"/>
  <c r="L87" i="93" s="1"/>
  <c r="AL19" i="78"/>
  <c r="AP35" i="93"/>
  <c r="Y58" i="93"/>
  <c r="AH13" i="78"/>
  <c r="W56" i="93"/>
  <c r="AE11" i="78"/>
  <c r="AE29" i="78" s="1"/>
  <c r="AE39" i="78" s="1"/>
  <c r="T74" i="93"/>
  <c r="AJ15" i="78"/>
  <c r="AA60" i="93"/>
  <c r="AL15" i="78" s="1"/>
  <c r="AA59" i="93"/>
  <c r="AL14" i="78" s="1"/>
  <c r="AJ14" i="78"/>
  <c r="AB29" i="78"/>
  <c r="AB39" i="78" s="1"/>
  <c r="AB96" i="78" s="1"/>
  <c r="X29" i="78"/>
  <c r="X39" i="78" s="1"/>
  <c r="Z11" i="78"/>
  <c r="AL13" i="84" s="1"/>
  <c r="AL18" i="84" s="1"/>
  <c r="AG23" i="93"/>
  <c r="AG45" i="93" s="1"/>
  <c r="AG39" i="93"/>
  <c r="AK18" i="93"/>
  <c r="AI17" i="93"/>
  <c r="AI11" i="93"/>
  <c r="AK12" i="93"/>
  <c r="AK6" i="93"/>
  <c r="AI5" i="93"/>
  <c r="AI27" i="93" s="1"/>
  <c r="Z39" i="91"/>
  <c r="Z44" i="91"/>
  <c r="Z42" i="91"/>
  <c r="Z38" i="91"/>
  <c r="Z41" i="91"/>
  <c r="AR26" i="84" l="1"/>
  <c r="O15" i="6" s="1"/>
  <c r="U74" i="93"/>
  <c r="AX24" i="84"/>
  <c r="N92" i="93" s="1"/>
  <c r="AV24" i="84"/>
  <c r="M92" i="93" s="1"/>
  <c r="M93" i="93" s="1"/>
  <c r="AD29" i="78"/>
  <c r="AD39" i="78" s="1"/>
  <c r="AD96" i="78" s="1"/>
  <c r="AV21" i="84"/>
  <c r="M86" i="93" s="1"/>
  <c r="M87" i="93" s="1"/>
  <c r="AL24" i="78"/>
  <c r="AL18" i="78"/>
  <c r="AA71" i="93"/>
  <c r="AL26" i="78" s="1"/>
  <c r="AJ26" i="78"/>
  <c r="AH20" i="78"/>
  <c r="AT23" i="84" s="1"/>
  <c r="L90" i="93" s="1"/>
  <c r="L91" i="93" s="1"/>
  <c r="Y65" i="93"/>
  <c r="W62" i="93"/>
  <c r="AH17" i="78" s="1"/>
  <c r="AT14" i="84" s="1"/>
  <c r="Y70" i="93"/>
  <c r="AH25" i="78"/>
  <c r="AT22" i="84" s="1"/>
  <c r="W68" i="93"/>
  <c r="AH23" i="78" s="1"/>
  <c r="AT15" i="84" s="1"/>
  <c r="N13" i="6"/>
  <c r="AI33" i="93"/>
  <c r="AF11" i="78"/>
  <c r="AR13" i="84" s="1"/>
  <c r="AR18" i="84" s="1"/>
  <c r="AH11" i="78"/>
  <c r="AJ13" i="78"/>
  <c r="Y56" i="93"/>
  <c r="AA58" i="93"/>
  <c r="X108" i="78"/>
  <c r="X96" i="78"/>
  <c r="AE96" i="78"/>
  <c r="AE40" i="78"/>
  <c r="AI23" i="93"/>
  <c r="AI45" i="93" s="1"/>
  <c r="AI39" i="93"/>
  <c r="AK5" i="93"/>
  <c r="AK27" i="93" s="1"/>
  <c r="AM6" i="93"/>
  <c r="AM5" i="93" s="1"/>
  <c r="AM12" i="93"/>
  <c r="AM11" i="93" s="1"/>
  <c r="AK11" i="93"/>
  <c r="AK17" i="93"/>
  <c r="AM18" i="93"/>
  <c r="AM17" i="93" s="1"/>
  <c r="AP39" i="93" s="1"/>
  <c r="AD28" i="91" a="1"/>
  <c r="AD28" i="91" s="1"/>
  <c r="N93" i="93" l="1"/>
  <c r="O12" i="6"/>
  <c r="O14" i="6"/>
  <c r="O13" i="6"/>
  <c r="AD40" i="78"/>
  <c r="AT26" i="84"/>
  <c r="P12" i="6" s="1"/>
  <c r="AX21" i="84"/>
  <c r="N86" i="93" s="1"/>
  <c r="N87" i="93" s="1"/>
  <c r="W74" i="93"/>
  <c r="AA65" i="93"/>
  <c r="AJ20" i="78"/>
  <c r="AV23" i="84" s="1"/>
  <c r="M90" i="93" s="1"/>
  <c r="M91" i="93" s="1"/>
  <c r="Y62" i="93"/>
  <c r="AJ17" i="78" s="1"/>
  <c r="AV14" i="84" s="1"/>
  <c r="AA70" i="93"/>
  <c r="AJ25" i="78"/>
  <c r="AV22" i="84" s="1"/>
  <c r="Y68" i="93"/>
  <c r="AJ23" i="78" s="1"/>
  <c r="AV15" i="84" s="1"/>
  <c r="AP33" i="93"/>
  <c r="AK33" i="93"/>
  <c r="AL13" i="78"/>
  <c r="AA56" i="93"/>
  <c r="AJ11" i="78"/>
  <c r="AT13" i="84"/>
  <c r="AT18" i="84" s="1"/>
  <c r="AH29" i="78"/>
  <c r="AH39" i="78" s="1"/>
  <c r="AH96" i="78" s="1"/>
  <c r="AM27" i="93"/>
  <c r="AP27" i="93"/>
  <c r="AM23" i="93"/>
  <c r="AM39" i="93"/>
  <c r="AK23" i="93"/>
  <c r="AK45" i="93" s="1"/>
  <c r="AK39" i="93"/>
  <c r="AM33" i="93"/>
  <c r="AF123" i="78"/>
  <c r="AH123" i="78" s="1"/>
  <c r="P14" i="6" l="1"/>
  <c r="P13" i="6"/>
  <c r="P15" i="6"/>
  <c r="Y74" i="93"/>
  <c r="AV26" i="84"/>
  <c r="AJ123" i="78"/>
  <c r="AL123" i="78"/>
  <c r="AL20" i="78"/>
  <c r="AX23" i="84" s="1"/>
  <c r="N90" i="93" s="1"/>
  <c r="N91" i="93" s="1"/>
  <c r="AA62" i="93"/>
  <c r="AL17" i="78" s="1"/>
  <c r="AX14" i="84" s="1"/>
  <c r="AL25" i="78"/>
  <c r="AX22" i="84" s="1"/>
  <c r="AA68" i="93"/>
  <c r="AL23" i="78" s="1"/>
  <c r="AX15" i="84" s="1"/>
  <c r="AV13" i="84"/>
  <c r="AV18" i="84" s="1"/>
  <c r="AJ29" i="78"/>
  <c r="AJ39" i="78" s="1"/>
  <c r="AJ96" i="78" s="1"/>
  <c r="AL11" i="78"/>
  <c r="AP45" i="93"/>
  <c r="AM45" i="93"/>
  <c r="AT15" i="78"/>
  <c r="AU15" i="78" s="1"/>
  <c r="AV15" i="78" s="1"/>
  <c r="AW15" i="78" s="1"/>
  <c r="AX15" i="78" s="1"/>
  <c r="AY15" i="78" s="1"/>
  <c r="AZ15" i="78" s="1"/>
  <c r="R169" i="78"/>
  <c r="AX26" i="84" l="1"/>
  <c r="AA74" i="93"/>
  <c r="AL29" i="78"/>
  <c r="AL39" i="78" s="1"/>
  <c r="AL96" i="78" s="1"/>
  <c r="AX13" i="84"/>
  <c r="AX18" i="84" s="1"/>
  <c r="H21" i="85"/>
  <c r="H22" i="85"/>
  <c r="AF169" i="78" l="1"/>
  <c r="AL51" i="78"/>
  <c r="AE51" i="78"/>
  <c r="AD51" i="78"/>
  <c r="AC51" i="78"/>
  <c r="AB51" i="78"/>
  <c r="Y51" i="78"/>
  <c r="X51" i="78"/>
  <c r="AE42" i="78"/>
  <c r="AD42" i="78"/>
  <c r="AC42" i="78"/>
  <c r="AB42" i="78"/>
  <c r="Y42" i="78"/>
  <c r="X42" i="78"/>
  <c r="AL114" i="78"/>
  <c r="AL117" i="78" s="1"/>
  <c r="W120" i="78" l="1"/>
  <c r="J123" i="78"/>
  <c r="T123" i="78"/>
  <c r="V120" i="78"/>
  <c r="F120" i="78"/>
  <c r="T120" i="78"/>
  <c r="L120" i="78"/>
  <c r="L123" i="78"/>
  <c r="Q123" i="78"/>
  <c r="J120" i="78"/>
  <c r="D123" i="78"/>
  <c r="E123" i="78"/>
  <c r="M120" i="78"/>
  <c r="R123" i="78"/>
  <c r="D120" i="78"/>
  <c r="D28" i="6"/>
  <c r="N120" i="78"/>
  <c r="M123" i="78"/>
  <c r="P123" i="78"/>
  <c r="W123" i="78"/>
  <c r="F123" i="78"/>
  <c r="V123" i="78"/>
  <c r="E120" i="78"/>
  <c r="H120" i="78"/>
  <c r="S120" i="78"/>
  <c r="Q120" i="78"/>
  <c r="P120" i="78"/>
  <c r="G123" i="78"/>
  <c r="R120" i="78"/>
  <c r="N123" i="78"/>
  <c r="G120" i="78"/>
  <c r="K123" i="78"/>
  <c r="S123" i="78"/>
  <c r="K120" i="78"/>
  <c r="H123" i="78"/>
  <c r="X114" i="78"/>
  <c r="Y114" i="78"/>
  <c r="Y117" i="78" s="1"/>
  <c r="AB114" i="78"/>
  <c r="AB117" i="78" s="1"/>
  <c r="AC114" i="78"/>
  <c r="AC117" i="78" s="1"/>
  <c r="AD114" i="78"/>
  <c r="AD117" i="78" s="1"/>
  <c r="AE114" i="78"/>
  <c r="AE117" i="78" s="1"/>
  <c r="AH114" i="78"/>
  <c r="AH117" i="78" s="1"/>
  <c r="AJ114" i="78"/>
  <c r="AJ117" i="78" s="1"/>
  <c r="X117" i="78" l="1"/>
  <c r="Z123" i="78"/>
  <c r="F20" i="85"/>
  <c r="H30" i="85" l="1"/>
  <c r="H31" i="85"/>
  <c r="H28" i="85" l="1"/>
  <c r="H27" i="85" l="1"/>
  <c r="H26" i="85"/>
  <c r="H23" i="85" l="1"/>
  <c r="J90" i="78" l="1"/>
  <c r="M90" i="78"/>
  <c r="D90" i="78"/>
  <c r="D91" i="78" s="1"/>
  <c r="V90" i="78"/>
  <c r="Q90" i="78"/>
  <c r="E90" i="78"/>
  <c r="K90" i="78"/>
  <c r="P90" i="78"/>
  <c r="W90" i="78"/>
  <c r="F90" i="78"/>
  <c r="L90" i="78"/>
  <c r="G90" i="78"/>
  <c r="S90" i="78"/>
  <c r="R90" i="78"/>
  <c r="D60" i="78" l="1"/>
  <c r="Q133" i="83" l="1"/>
  <c r="R133" i="83" s="1"/>
  <c r="S133" i="83" s="1"/>
  <c r="T133" i="83" s="1"/>
  <c r="U133" i="83" s="1"/>
  <c r="V133" i="83" s="1"/>
  <c r="W133" i="83" s="1"/>
  <c r="B7" i="87" l="1"/>
  <c r="S55" i="87"/>
  <c r="R55" i="87"/>
  <c r="S54" i="87"/>
  <c r="R54" i="87"/>
  <c r="S52" i="87"/>
  <c r="S51" i="87"/>
  <c r="S46" i="87"/>
  <c r="S45" i="87"/>
  <c r="S34" i="87"/>
  <c r="S33" i="87"/>
  <c r="S22" i="87"/>
  <c r="S21" i="87"/>
  <c r="J34" i="87" l="1"/>
  <c r="L34" i="87"/>
  <c r="L33" i="87"/>
  <c r="L54" i="87"/>
  <c r="O55" i="87"/>
  <c r="V33" i="87"/>
  <c r="W55" i="87"/>
  <c r="M33" i="87"/>
  <c r="X34" i="87"/>
  <c r="X33" i="87"/>
  <c r="W22" i="87"/>
  <c r="O34" i="87"/>
  <c r="N45" i="87"/>
  <c r="N55" i="87"/>
  <c r="N52" i="87"/>
  <c r="N54" i="87"/>
  <c r="N51" i="87"/>
  <c r="N46" i="87"/>
  <c r="N34" i="87"/>
  <c r="K55" i="87"/>
  <c r="V22" i="87"/>
  <c r="V21" i="87"/>
  <c r="T33" i="87"/>
  <c r="Q33" i="87"/>
  <c r="X55" i="87"/>
  <c r="X51" i="87"/>
  <c r="X54" i="87"/>
  <c r="X52" i="87"/>
  <c r="X45" i="87"/>
  <c r="X46" i="87"/>
  <c r="P33" i="87"/>
  <c r="V55" i="87"/>
  <c r="V52" i="87"/>
  <c r="I33" i="87"/>
  <c r="K33" i="87"/>
  <c r="J45" i="87"/>
  <c r="Z22" i="87"/>
  <c r="M45" i="87"/>
  <c r="Z52" i="87"/>
  <c r="T45" i="87"/>
  <c r="W34" i="87"/>
  <c r="T22" i="87"/>
  <c r="Z33" i="87"/>
  <c r="X22" i="87"/>
  <c r="P51" i="87"/>
  <c r="W45" i="87"/>
  <c r="V46" i="87"/>
  <c r="V45" i="87"/>
  <c r="V51" i="87"/>
  <c r="V54" i="87"/>
  <c r="W46" i="87"/>
  <c r="W54" i="87"/>
  <c r="W52" i="87"/>
  <c r="W51" i="87"/>
  <c r="M52" i="87"/>
  <c r="M51" i="87"/>
  <c r="M55" i="87"/>
  <c r="M54" i="87"/>
  <c r="N33" i="87"/>
  <c r="P54" i="87"/>
  <c r="P55" i="87"/>
  <c r="P52" i="87"/>
  <c r="P46" i="87"/>
  <c r="V34" i="87"/>
  <c r="M46" i="87"/>
  <c r="P45" i="87"/>
  <c r="K34" i="87"/>
  <c r="W33" i="87"/>
  <c r="W21" i="87"/>
  <c r="P34" i="87"/>
  <c r="O33" i="87"/>
  <c r="L46" i="87"/>
  <c r="J52" i="87"/>
  <c r="L52" i="87"/>
  <c r="O46" i="87"/>
  <c r="Q34" i="87"/>
  <c r="L51" i="87"/>
  <c r="O51" i="87"/>
  <c r="J54" i="87"/>
  <c r="M34" i="87"/>
  <c r="J55" i="87"/>
  <c r="K45" i="87"/>
  <c r="O52" i="87"/>
  <c r="L45" i="87"/>
  <c r="J46" i="87"/>
  <c r="O45" i="87"/>
  <c r="J51" i="87"/>
  <c r="O54" i="87"/>
  <c r="L55" i="87"/>
  <c r="X21" i="87"/>
  <c r="K52" i="87"/>
  <c r="I34" i="87"/>
  <c r="K46" i="87"/>
  <c r="K54" i="87"/>
  <c r="K51" i="87"/>
  <c r="T52" i="87"/>
  <c r="T55" i="87"/>
  <c r="Z55" i="87"/>
  <c r="J33" i="87"/>
  <c r="Z34" i="87"/>
  <c r="I45" i="87"/>
  <c r="I51" i="87"/>
  <c r="I54" i="87"/>
  <c r="I52" i="87"/>
  <c r="I55" i="87"/>
  <c r="I46" i="87"/>
  <c r="Z46" i="87"/>
  <c r="Q45" i="87"/>
  <c r="Q51" i="87"/>
  <c r="Q55" i="87"/>
  <c r="T21" i="87"/>
  <c r="T34" i="87"/>
  <c r="Q46" i="87"/>
  <c r="Q54" i="87"/>
  <c r="Z45" i="87"/>
  <c r="Z54" i="87"/>
  <c r="Z51" i="87"/>
  <c r="Q52" i="87"/>
  <c r="Z21" i="87"/>
  <c r="T51" i="87"/>
  <c r="T54" i="87"/>
  <c r="T46" i="87"/>
  <c r="Q22" i="87"/>
  <c r="Q21" i="87"/>
  <c r="P22" i="87"/>
  <c r="P21" i="87"/>
  <c r="O22" i="87"/>
  <c r="O21" i="87"/>
  <c r="N21" i="87"/>
  <c r="N22" i="87"/>
  <c r="M22" i="87"/>
  <c r="M21" i="87"/>
  <c r="L22" i="87"/>
  <c r="L21" i="87"/>
  <c r="K21" i="87"/>
  <c r="K22" i="87"/>
  <c r="J22" i="87"/>
  <c r="J21" i="87"/>
  <c r="I22" i="87"/>
  <c r="I21" i="87"/>
  <c r="H32" i="6"/>
  <c r="G32" i="6"/>
  <c r="F32" i="6"/>
  <c r="K15" i="6"/>
  <c r="K14" i="6"/>
  <c r="K13" i="6"/>
  <c r="K12" i="6"/>
  <c r="O9" i="6"/>
  <c r="P9" i="6" s="1"/>
  <c r="Q9" i="6" s="1"/>
  <c r="R9" i="6" s="1"/>
  <c r="H13" i="6"/>
  <c r="G13" i="6"/>
  <c r="F13" i="6"/>
  <c r="E9" i="6"/>
  <c r="F9" i="6" s="1"/>
  <c r="G9" i="6" s="1"/>
  <c r="H9" i="6" s="1"/>
  <c r="B27" i="87" l="1"/>
  <c r="B28" i="87"/>
  <c r="B29" i="87"/>
  <c r="B30" i="87"/>
  <c r="B31" i="87"/>
  <c r="B41" i="87"/>
  <c r="B42" i="87"/>
  <c r="B43" i="87"/>
  <c r="B39" i="87"/>
  <c r="B40" i="87"/>
  <c r="B15" i="87"/>
  <c r="B16" i="87"/>
  <c r="B17" i="87"/>
  <c r="B18" i="87"/>
  <c r="B19" i="87"/>
  <c r="C176" i="83"/>
  <c r="B176" i="83"/>
  <c r="C175" i="83" l="1"/>
  <c r="C174" i="83"/>
  <c r="C173" i="83"/>
  <c r="C172" i="83"/>
  <c r="C171" i="83"/>
  <c r="C167" i="83"/>
  <c r="C166" i="83"/>
  <c r="C165" i="83"/>
  <c r="C164" i="83"/>
  <c r="C163" i="83"/>
  <c r="C162" i="83"/>
  <c r="C158" i="83"/>
  <c r="C157" i="83"/>
  <c r="C156" i="83"/>
  <c r="C155" i="83"/>
  <c r="C154" i="83"/>
  <c r="C153" i="83"/>
  <c r="C149" i="83"/>
  <c r="C148" i="83"/>
  <c r="C147" i="83"/>
  <c r="C146" i="83"/>
  <c r="C145" i="83"/>
  <c r="C144" i="83"/>
  <c r="C140" i="83"/>
  <c r="B149" i="83"/>
  <c r="B167" i="83"/>
  <c r="B158" i="83"/>
  <c r="B140" i="83"/>
  <c r="B165" i="83"/>
  <c r="B147" i="83"/>
  <c r="B156" i="83"/>
  <c r="B174" i="83"/>
  <c r="B146" i="83"/>
  <c r="B173" i="83"/>
  <c r="B164" i="83"/>
  <c r="B155" i="83"/>
  <c r="B145" i="83"/>
  <c r="B172" i="83"/>
  <c r="B163" i="83"/>
  <c r="B154" i="83"/>
  <c r="C139" i="83" l="1"/>
  <c r="C138" i="83" l="1"/>
  <c r="B138" i="83"/>
  <c r="C137" i="83" l="1"/>
  <c r="B137" i="83"/>
  <c r="C136" i="83" l="1"/>
  <c r="B136" i="83"/>
  <c r="C135" i="83" l="1"/>
  <c r="H133" i="83" l="1"/>
  <c r="B5" i="86"/>
  <c r="I133" i="83" l="1"/>
  <c r="B6" i="86"/>
  <c r="I5" i="86"/>
  <c r="Q5" i="86" s="1"/>
  <c r="J133" i="83" l="1"/>
  <c r="B7" i="86"/>
  <c r="I6" i="86"/>
  <c r="Q6" i="86" s="1"/>
  <c r="AM4" i="86"/>
  <c r="T4" i="86"/>
  <c r="S4" i="86"/>
  <c r="A61" i="83"/>
  <c r="M21" i="3"/>
  <c r="M19" i="3"/>
  <c r="M17" i="3"/>
  <c r="M15" i="3"/>
  <c r="M18" i="3"/>
  <c r="M16" i="3"/>
  <c r="M20" i="3"/>
  <c r="E9" i="3"/>
  <c r="F9" i="3" s="1"/>
  <c r="G9" i="3" s="1"/>
  <c r="H9" i="3" s="1"/>
  <c r="I9" i="3" s="1"/>
  <c r="J9" i="3" s="1"/>
  <c r="K9" i="3" s="1"/>
  <c r="M9" i="3" s="1"/>
  <c r="J8" i="84"/>
  <c r="P8" i="84" s="1"/>
  <c r="V8" i="84" s="1"/>
  <c r="AB8" i="84" s="1"/>
  <c r="AH8" i="84" s="1"/>
  <c r="AN8" i="84" s="1"/>
  <c r="AT8" i="84" s="1"/>
  <c r="AV8" i="84" s="1"/>
  <c r="AX8" i="84" s="1"/>
  <c r="AR7" i="84"/>
  <c r="AQ7" i="84"/>
  <c r="AO7" i="84"/>
  <c r="AN7" i="84"/>
  <c r="AL7" i="84"/>
  <c r="AK7" i="84"/>
  <c r="AI7" i="84"/>
  <c r="AH7" i="84"/>
  <c r="AF7" i="84"/>
  <c r="AE7" i="84"/>
  <c r="AC7" i="84"/>
  <c r="AB7" i="84"/>
  <c r="Z7" i="84"/>
  <c r="Y7" i="84"/>
  <c r="W7" i="84"/>
  <c r="V7" i="84"/>
  <c r="T7" i="84"/>
  <c r="S7" i="84"/>
  <c r="Q7" i="84"/>
  <c r="P7" i="84"/>
  <c r="N7" i="84"/>
  <c r="M7" i="84"/>
  <c r="K7" i="84"/>
  <c r="J7" i="84"/>
  <c r="H7" i="84"/>
  <c r="G7" i="84"/>
  <c r="E7" i="84"/>
  <c r="D7" i="84"/>
  <c r="C193" i="66" l="1"/>
  <c r="C192" i="66" s="1"/>
  <c r="W4" i="86"/>
  <c r="N17" i="79"/>
  <c r="AF13" i="79"/>
  <c r="AF17" i="79"/>
  <c r="AL16" i="79"/>
  <c r="AR15" i="79"/>
  <c r="N14" i="79"/>
  <c r="T13" i="79"/>
  <c r="T17" i="79"/>
  <c r="Z16" i="79"/>
  <c r="AF15" i="79"/>
  <c r="AR13" i="79"/>
  <c r="AR17" i="79"/>
  <c r="K133" i="83"/>
  <c r="V4" i="86"/>
  <c r="AM5" i="86"/>
  <c r="B8" i="86"/>
  <c r="I7" i="86"/>
  <c r="Q7" i="86" s="1"/>
  <c r="AF16" i="79"/>
  <c r="H17" i="79"/>
  <c r="N16" i="79"/>
  <c r="T16" i="79"/>
  <c r="N15" i="79"/>
  <c r="T14" i="79"/>
  <c r="Z13" i="79"/>
  <c r="Z17" i="79"/>
  <c r="AL15" i="79"/>
  <c r="Z15" i="79"/>
  <c r="AR16" i="79"/>
  <c r="T15" i="79"/>
  <c r="N13" i="79"/>
  <c r="AL17" i="79"/>
  <c r="AR14" i="79"/>
  <c r="AL13" i="79"/>
  <c r="AL14" i="79"/>
  <c r="AF14" i="79"/>
  <c r="Z14" i="79"/>
  <c r="C194" i="66" l="1"/>
  <c r="C191" i="66"/>
  <c r="L133" i="83"/>
  <c r="AM6" i="86"/>
  <c r="B9" i="86"/>
  <c r="I8" i="86"/>
  <c r="Q8" i="86" s="1"/>
  <c r="C195" i="66" l="1"/>
  <c r="C190" i="66"/>
  <c r="M133" i="83"/>
  <c r="AM7" i="86"/>
  <c r="B10" i="86"/>
  <c r="I9" i="86"/>
  <c r="Q9" i="86" s="1"/>
  <c r="L59" i="65"/>
  <c r="L108" i="65" s="1"/>
  <c r="K59" i="65"/>
  <c r="K102" i="65" s="1"/>
  <c r="J59" i="65"/>
  <c r="J108" i="65" s="1"/>
  <c r="I59" i="65"/>
  <c r="I71" i="65" s="1"/>
  <c r="I120" i="65" s="1"/>
  <c r="H59" i="65"/>
  <c r="H71" i="65" s="1"/>
  <c r="H120" i="65" s="1"/>
  <c r="G112" i="65"/>
  <c r="F112" i="65"/>
  <c r="E112" i="65"/>
  <c r="C196" i="66" l="1"/>
  <c r="C189" i="66"/>
  <c r="N133" i="83"/>
  <c r="B11" i="86"/>
  <c r="I10" i="86"/>
  <c r="Q10" i="86" s="1"/>
  <c r="AM8" i="86"/>
  <c r="H131" i="65"/>
  <c r="I131" i="65"/>
  <c r="J131" i="65"/>
  <c r="K131" i="65"/>
  <c r="L131" i="65"/>
  <c r="J71" i="65"/>
  <c r="J120" i="65" s="1"/>
  <c r="K71" i="65"/>
  <c r="K120" i="65" s="1"/>
  <c r="L71" i="65"/>
  <c r="L120" i="65" s="1"/>
  <c r="H108" i="65"/>
  <c r="J102" i="65"/>
  <c r="K108" i="65"/>
  <c r="J60" i="65"/>
  <c r="L60" i="65"/>
  <c r="L102" i="65"/>
  <c r="I108" i="65"/>
  <c r="I60" i="65"/>
  <c r="K60" i="65"/>
  <c r="H102" i="65"/>
  <c r="I102" i="65"/>
  <c r="C197" i="66" l="1"/>
  <c r="C188" i="66"/>
  <c r="AM9" i="86"/>
  <c r="B12" i="86"/>
  <c r="I11" i="86"/>
  <c r="Q11" i="86" s="1"/>
  <c r="C198" i="66" l="1"/>
  <c r="C187" i="66"/>
  <c r="B13" i="86"/>
  <c r="I12" i="86"/>
  <c r="Q12" i="86" s="1"/>
  <c r="AM10" i="86"/>
  <c r="C199" i="66" l="1"/>
  <c r="C186" i="66"/>
  <c r="AM11" i="86"/>
  <c r="B14" i="86"/>
  <c r="I13" i="86"/>
  <c r="Q13" i="86" s="1"/>
  <c r="C200" i="66" l="1"/>
  <c r="C185" i="66"/>
  <c r="B15" i="86"/>
  <c r="I14" i="86"/>
  <c r="Q14" i="86" s="1"/>
  <c r="AM12" i="86"/>
  <c r="C201" i="66" l="1"/>
  <c r="C184" i="66"/>
  <c r="AM13" i="86"/>
  <c r="B16" i="86"/>
  <c r="I15" i="86"/>
  <c r="Q15" i="86" s="1"/>
  <c r="C202" i="66" l="1"/>
  <c r="C183" i="66"/>
  <c r="AM14" i="86"/>
  <c r="B17" i="86"/>
  <c r="I16" i="86"/>
  <c r="Q16" i="86" s="1"/>
  <c r="C203" i="66" l="1"/>
  <c r="C182" i="66"/>
  <c r="B18" i="86"/>
  <c r="I17" i="86"/>
  <c r="Q17" i="86" s="1"/>
  <c r="AM15" i="86"/>
  <c r="Q63" i="83"/>
  <c r="C181" i="66" l="1"/>
  <c r="C204" i="66"/>
  <c r="AM16" i="86"/>
  <c r="B19" i="86"/>
  <c r="I18" i="86"/>
  <c r="Q18" i="86" s="1"/>
  <c r="Q64" i="83"/>
  <c r="C205" i="66" l="1"/>
  <c r="C180" i="66"/>
  <c r="Q65" i="83"/>
  <c r="B20" i="86"/>
  <c r="I19" i="86"/>
  <c r="Q19" i="86" s="1"/>
  <c r="AM17" i="86"/>
  <c r="C206" i="66" l="1"/>
  <c r="C179" i="66"/>
  <c r="Q66" i="83"/>
  <c r="AM18" i="86"/>
  <c r="B21" i="86"/>
  <c r="I20" i="86"/>
  <c r="Q20" i="86" s="1"/>
  <c r="B30" i="83"/>
  <c r="E14" i="65"/>
  <c r="B62" i="83"/>
  <c r="B73" i="83"/>
  <c r="C207" i="66" l="1"/>
  <c r="C178" i="66"/>
  <c r="D4" i="86"/>
  <c r="K4" i="86" s="1"/>
  <c r="C4" i="86"/>
  <c r="Q67" i="83"/>
  <c r="B22" i="86"/>
  <c r="I21" i="86"/>
  <c r="Q21" i="86" s="1"/>
  <c r="AM19" i="86"/>
  <c r="AD18" i="84"/>
  <c r="AD26" i="84"/>
  <c r="AD68" i="79"/>
  <c r="R26" i="84"/>
  <c r="R18" i="84"/>
  <c r="R68" i="79"/>
  <c r="F26" i="84"/>
  <c r="F18" i="84"/>
  <c r="F68" i="79"/>
  <c r="X26" i="84"/>
  <c r="X18" i="84"/>
  <c r="X68" i="79"/>
  <c r="L18" i="84"/>
  <c r="L26" i="84"/>
  <c r="L68" i="79"/>
  <c r="AL154" i="78"/>
  <c r="AJ154" i="78"/>
  <c r="AH154" i="78"/>
  <c r="AE154" i="78"/>
  <c r="AD154" i="78"/>
  <c r="AC154" i="78"/>
  <c r="AB154" i="78"/>
  <c r="Y154" i="78"/>
  <c r="X154" i="78"/>
  <c r="B117" i="83"/>
  <c r="B106" i="83"/>
  <c r="B95" i="83"/>
  <c r="B84" i="83"/>
  <c r="F62" i="83"/>
  <c r="AE155" i="78" l="1"/>
  <c r="C208" i="66"/>
  <c r="C177" i="66"/>
  <c r="E4" i="86"/>
  <c r="H4" i="86"/>
  <c r="F4" i="86"/>
  <c r="G4" i="86"/>
  <c r="J4" i="86"/>
  <c r="Q68" i="83"/>
  <c r="Z4" i="86"/>
  <c r="AM20" i="86"/>
  <c r="B23" i="86"/>
  <c r="I22" i="86"/>
  <c r="Q22" i="86" s="1"/>
  <c r="G62" i="83"/>
  <c r="C209" i="66" l="1"/>
  <c r="C176" i="66"/>
  <c r="N4" i="86"/>
  <c r="AC4" i="86" s="1"/>
  <c r="M4" i="86"/>
  <c r="AB4" i="86" s="1"/>
  <c r="O4" i="86"/>
  <c r="L4" i="86"/>
  <c r="Y4" i="86"/>
  <c r="AF4" i="86" s="1"/>
  <c r="R4" i="86"/>
  <c r="Q69" i="83"/>
  <c r="AG4" i="86"/>
  <c r="B24" i="86"/>
  <c r="I23" i="86"/>
  <c r="Q23" i="86" s="1"/>
  <c r="AM21" i="86"/>
  <c r="H62" i="83"/>
  <c r="AD4" i="86" l="1"/>
  <c r="C210" i="66"/>
  <c r="C175" i="66"/>
  <c r="AA4" i="86"/>
  <c r="U4" i="86"/>
  <c r="Q70" i="83"/>
  <c r="AK4" i="86"/>
  <c r="AI4" i="86"/>
  <c r="AH4" i="86"/>
  <c r="AJ4" i="86"/>
  <c r="B25" i="86"/>
  <c r="I24" i="86"/>
  <c r="Q24" i="86" s="1"/>
  <c r="AM22" i="86"/>
  <c r="I62" i="83"/>
  <c r="S70" i="83"/>
  <c r="S69" i="83" s="1"/>
  <c r="S68" i="83" s="1"/>
  <c r="S67" i="83" s="1"/>
  <c r="S66" i="83" s="1"/>
  <c r="S65" i="83" s="1"/>
  <c r="S64" i="83" s="1"/>
  <c r="S63" i="83" s="1"/>
  <c r="W70" i="83"/>
  <c r="W69" i="83" s="1"/>
  <c r="W68" i="83" s="1"/>
  <c r="W67" i="83" s="1"/>
  <c r="W66" i="83" s="1"/>
  <c r="W65" i="83" s="1"/>
  <c r="W64" i="83" s="1"/>
  <c r="W63" i="83" s="1"/>
  <c r="R70" i="83"/>
  <c r="R69" i="83" s="1"/>
  <c r="R68" i="83" s="1"/>
  <c r="R67" i="83" s="1"/>
  <c r="R66" i="83" s="1"/>
  <c r="R65" i="83" s="1"/>
  <c r="R64" i="83" s="1"/>
  <c r="R63" i="83" s="1"/>
  <c r="C211" i="66" l="1"/>
  <c r="C174" i="66"/>
  <c r="U70" i="83"/>
  <c r="B26" i="86"/>
  <c r="I25" i="86"/>
  <c r="Q25" i="86" s="1"/>
  <c r="AM23" i="86"/>
  <c r="J62" i="83"/>
  <c r="C212" i="66" l="1"/>
  <c r="C173" i="66"/>
  <c r="U69" i="83"/>
  <c r="B27" i="86"/>
  <c r="I26" i="86"/>
  <c r="Q26" i="86" s="1"/>
  <c r="AM24" i="86"/>
  <c r="K62" i="83"/>
  <c r="C213" i="66" l="1"/>
  <c r="C172" i="66"/>
  <c r="U68" i="83"/>
  <c r="AM25" i="86"/>
  <c r="B28" i="86"/>
  <c r="I27" i="86"/>
  <c r="Q27" i="86" s="1"/>
  <c r="L62" i="83"/>
  <c r="C214" i="66" l="1"/>
  <c r="C171" i="66"/>
  <c r="U67" i="83"/>
  <c r="B29" i="86"/>
  <c r="I28" i="86"/>
  <c r="Q28" i="86" s="1"/>
  <c r="AM26" i="86"/>
  <c r="M62" i="83"/>
  <c r="C215" i="66" l="1"/>
  <c r="C170" i="66"/>
  <c r="U66" i="83"/>
  <c r="B30" i="86"/>
  <c r="I29" i="86"/>
  <c r="Q29" i="86" s="1"/>
  <c r="AM27" i="86"/>
  <c r="N62" i="83"/>
  <c r="C169" i="66" l="1"/>
  <c r="C216" i="66"/>
  <c r="U65" i="83"/>
  <c r="AM28" i="86"/>
  <c r="B31" i="86"/>
  <c r="I30" i="86"/>
  <c r="Q30" i="86" s="1"/>
  <c r="C217" i="66" l="1"/>
  <c r="C168" i="66"/>
  <c r="U64" i="83"/>
  <c r="B32" i="86"/>
  <c r="I31" i="86"/>
  <c r="Q31" i="86" s="1"/>
  <c r="AM29" i="86"/>
  <c r="C218" i="66" l="1"/>
  <c r="C167" i="66"/>
  <c r="M16" i="83"/>
  <c r="U63" i="83"/>
  <c r="J14" i="83" s="1"/>
  <c r="AM30" i="86"/>
  <c r="B33" i="86"/>
  <c r="I32" i="86"/>
  <c r="Q32" i="86" s="1"/>
  <c r="AF132" i="78"/>
  <c r="E32" i="6" s="1"/>
  <c r="AF107" i="78"/>
  <c r="Z107" i="78"/>
  <c r="AF91" i="78"/>
  <c r="C219" i="66" l="1"/>
  <c r="C166" i="66"/>
  <c r="B34" i="86"/>
  <c r="I33" i="86"/>
  <c r="Q33" i="86" s="1"/>
  <c r="AM31" i="86"/>
  <c r="Z88" i="78"/>
  <c r="W63" i="78"/>
  <c r="V63" i="78"/>
  <c r="W60" i="78"/>
  <c r="V60" i="78"/>
  <c r="R73" i="78"/>
  <c r="R72" i="78"/>
  <c r="T63" i="78"/>
  <c r="G83" i="65" s="1"/>
  <c r="S63" i="78"/>
  <c r="R63" i="78"/>
  <c r="Q63" i="78"/>
  <c r="P63" i="78"/>
  <c r="T60" i="78"/>
  <c r="G80" i="65" s="1"/>
  <c r="S60" i="78"/>
  <c r="R60" i="78"/>
  <c r="Q60" i="78"/>
  <c r="P60" i="78"/>
  <c r="L73" i="78"/>
  <c r="L72" i="78"/>
  <c r="N63" i="78"/>
  <c r="F83" i="65" s="1"/>
  <c r="M63" i="78"/>
  <c r="L63" i="78"/>
  <c r="K63" i="78"/>
  <c r="J63" i="78"/>
  <c r="N60" i="78"/>
  <c r="F80" i="65" s="1"/>
  <c r="M60" i="78"/>
  <c r="L60" i="78"/>
  <c r="K60" i="78"/>
  <c r="J60" i="78"/>
  <c r="AL88" i="78" l="1"/>
  <c r="AJ88" i="78"/>
  <c r="AH88" i="78"/>
  <c r="C220" i="66"/>
  <c r="C165" i="66"/>
  <c r="AX68" i="79"/>
  <c r="AT68" i="79"/>
  <c r="B35" i="86"/>
  <c r="I34" i="86"/>
  <c r="Q34" i="86" s="1"/>
  <c r="AM32" i="86"/>
  <c r="AB78" i="78"/>
  <c r="AB84" i="78"/>
  <c r="AC78" i="78"/>
  <c r="AC66" i="78"/>
  <c r="AC84" i="78"/>
  <c r="AD84" i="78"/>
  <c r="AD78" i="78"/>
  <c r="AD66" i="78"/>
  <c r="AE66" i="78"/>
  <c r="AE78" i="78"/>
  <c r="AE84" i="78"/>
  <c r="AL40" i="78"/>
  <c r="AZ26" i="78" s="1"/>
  <c r="X78" i="78"/>
  <c r="X66" i="78"/>
  <c r="X84" i="78"/>
  <c r="Y78" i="78"/>
  <c r="Y84" i="78"/>
  <c r="Y66" i="78"/>
  <c r="AF39" i="78"/>
  <c r="AJ40" i="78"/>
  <c r="AY26" i="78" s="1"/>
  <c r="H63" i="78"/>
  <c r="E83" i="65" s="1"/>
  <c r="G63" i="78"/>
  <c r="F63" i="78"/>
  <c r="E63" i="78"/>
  <c r="H60" i="78"/>
  <c r="E80" i="65" s="1"/>
  <c r="G60" i="78"/>
  <c r="F60" i="78"/>
  <c r="E60" i="78"/>
  <c r="D63" i="78"/>
  <c r="AD147" i="78"/>
  <c r="AF147" i="78" s="1"/>
  <c r="X147" i="78"/>
  <c r="Z147" i="78" s="1"/>
  <c r="AD126" i="78"/>
  <c r="AF126" i="78" s="1"/>
  <c r="X126" i="78"/>
  <c r="Y126" i="78" s="1"/>
  <c r="R126" i="78"/>
  <c r="Q126" i="78" s="1"/>
  <c r="L126" i="78"/>
  <c r="N126" i="78" s="1"/>
  <c r="F126" i="78"/>
  <c r="E126" i="78" s="1"/>
  <c r="D126" i="78"/>
  <c r="AM32" i="78"/>
  <c r="AD32" i="78"/>
  <c r="AF32" i="78" s="1"/>
  <c r="X32" i="78"/>
  <c r="Y32" i="78" s="1"/>
  <c r="R32" i="78"/>
  <c r="T32" i="78" s="1"/>
  <c r="L32" i="78"/>
  <c r="K32" i="78" s="1"/>
  <c r="D32" i="78"/>
  <c r="F32" i="78"/>
  <c r="J8" i="78"/>
  <c r="P8" i="78" s="1"/>
  <c r="V8" i="78" s="1"/>
  <c r="AB8" i="78" s="1"/>
  <c r="AH8" i="78" s="1"/>
  <c r="AJ8" i="78" s="1"/>
  <c r="AL8" i="78" s="1"/>
  <c r="AL147" i="78" s="1"/>
  <c r="X155" i="78"/>
  <c r="J162" i="79"/>
  <c r="P162" i="79" s="1"/>
  <c r="V162" i="79" s="1"/>
  <c r="AB162" i="79" s="1"/>
  <c r="AH162" i="79" s="1"/>
  <c r="AN162" i="79" s="1"/>
  <c r="AT162" i="79" s="1"/>
  <c r="AV162" i="79" s="1"/>
  <c r="AX162" i="79" s="1"/>
  <c r="AR161" i="79"/>
  <c r="AQ161" i="79"/>
  <c r="AO161" i="79"/>
  <c r="AN161" i="79"/>
  <c r="AL161" i="79"/>
  <c r="AK161" i="79"/>
  <c r="AI161" i="79"/>
  <c r="AH161" i="79"/>
  <c r="AF161" i="79"/>
  <c r="AE161" i="79"/>
  <c r="AC161" i="79"/>
  <c r="AB161" i="79"/>
  <c r="Z161" i="79"/>
  <c r="Y161" i="79"/>
  <c r="W161" i="79"/>
  <c r="V161" i="79"/>
  <c r="T161" i="79"/>
  <c r="S161" i="79"/>
  <c r="Q161" i="79"/>
  <c r="P161" i="79"/>
  <c r="N161" i="79"/>
  <c r="M161" i="79"/>
  <c r="K161" i="79"/>
  <c r="J161" i="79"/>
  <c r="H161" i="79"/>
  <c r="G161" i="79"/>
  <c r="E161" i="79"/>
  <c r="J120" i="79"/>
  <c r="P120" i="79" s="1"/>
  <c r="V120" i="79" s="1"/>
  <c r="AB120" i="79" s="1"/>
  <c r="AH120" i="79" s="1"/>
  <c r="AN120" i="79" s="1"/>
  <c r="AT120" i="79" s="1"/>
  <c r="AV120" i="79" s="1"/>
  <c r="AX120" i="79" s="1"/>
  <c r="AR119" i="79"/>
  <c r="AQ119" i="79"/>
  <c r="AO119" i="79"/>
  <c r="AN119" i="79"/>
  <c r="AL119" i="79"/>
  <c r="AK119" i="79"/>
  <c r="AI119" i="79"/>
  <c r="AH119" i="79"/>
  <c r="AF119" i="79"/>
  <c r="AE119" i="79"/>
  <c r="AC119" i="79"/>
  <c r="AB119" i="79"/>
  <c r="Z119" i="79"/>
  <c r="Y119" i="79"/>
  <c r="W119" i="79"/>
  <c r="V119" i="79"/>
  <c r="T119" i="79"/>
  <c r="S119" i="79"/>
  <c r="Q119" i="79"/>
  <c r="P119" i="79"/>
  <c r="N119" i="79"/>
  <c r="M119" i="79"/>
  <c r="K119" i="79"/>
  <c r="J119" i="79"/>
  <c r="H119" i="79"/>
  <c r="G119" i="79"/>
  <c r="E119" i="79"/>
  <c r="D119" i="79"/>
  <c r="J90" i="79"/>
  <c r="P90" i="79" s="1"/>
  <c r="V90" i="79" s="1"/>
  <c r="AB90" i="79" s="1"/>
  <c r="AH90" i="79" s="1"/>
  <c r="AN90" i="79" s="1"/>
  <c r="AT90" i="79" s="1"/>
  <c r="AV90" i="79" s="1"/>
  <c r="AX90" i="79" s="1"/>
  <c r="AR89" i="79"/>
  <c r="AQ89" i="79"/>
  <c r="AO89" i="79"/>
  <c r="AN89" i="79"/>
  <c r="AL89" i="79"/>
  <c r="AK89" i="79"/>
  <c r="AI89" i="79"/>
  <c r="AH89" i="79"/>
  <c r="AF89" i="79"/>
  <c r="AE89" i="79"/>
  <c r="AC89" i="79"/>
  <c r="AB89" i="79"/>
  <c r="Z89" i="79"/>
  <c r="Y89" i="79"/>
  <c r="W89" i="79"/>
  <c r="V89" i="79"/>
  <c r="T89" i="79"/>
  <c r="S89" i="79"/>
  <c r="Q89" i="79"/>
  <c r="P89" i="79"/>
  <c r="N89" i="79"/>
  <c r="M89" i="79"/>
  <c r="K89" i="79"/>
  <c r="J89" i="79"/>
  <c r="H89" i="79"/>
  <c r="G89" i="79"/>
  <c r="E89" i="79"/>
  <c r="D89" i="79"/>
  <c r="J63" i="79"/>
  <c r="P63" i="79" s="1"/>
  <c r="V63" i="79" s="1"/>
  <c r="AB63" i="79" s="1"/>
  <c r="AH63" i="79" s="1"/>
  <c r="AN63" i="79" s="1"/>
  <c r="AT63" i="79" s="1"/>
  <c r="AV63" i="79" s="1"/>
  <c r="AX63" i="79" s="1"/>
  <c r="AR62" i="79"/>
  <c r="AQ62" i="79"/>
  <c r="AO62" i="79"/>
  <c r="AN62" i="79"/>
  <c r="AL62" i="79"/>
  <c r="AK62" i="79"/>
  <c r="AI62" i="79"/>
  <c r="AH62" i="79"/>
  <c r="AF62" i="79"/>
  <c r="AE62" i="79"/>
  <c r="AC62" i="79"/>
  <c r="AB62" i="79"/>
  <c r="Z62" i="79"/>
  <c r="Y62" i="79"/>
  <c r="W62" i="79"/>
  <c r="V62" i="79"/>
  <c r="T62" i="79"/>
  <c r="S62" i="79"/>
  <c r="Q62" i="79"/>
  <c r="P62" i="79"/>
  <c r="N62" i="79"/>
  <c r="M62" i="79"/>
  <c r="K62" i="79"/>
  <c r="J62" i="79"/>
  <c r="H62" i="79"/>
  <c r="G62" i="79"/>
  <c r="E62" i="79"/>
  <c r="D62" i="79"/>
  <c r="J8" i="79"/>
  <c r="P8" i="79" s="1"/>
  <c r="V8" i="79" s="1"/>
  <c r="AB8" i="79" s="1"/>
  <c r="AH8" i="79" s="1"/>
  <c r="AN8" i="79" s="1"/>
  <c r="AT8" i="79" s="1"/>
  <c r="AV8" i="79" s="1"/>
  <c r="AX8" i="79" s="1"/>
  <c r="AR7" i="79"/>
  <c r="AQ7" i="79"/>
  <c r="AO7" i="79"/>
  <c r="AN7" i="79"/>
  <c r="AL7" i="79"/>
  <c r="AK7" i="79"/>
  <c r="AI7" i="79"/>
  <c r="AH7" i="79"/>
  <c r="AF7" i="79"/>
  <c r="AE7" i="79"/>
  <c r="AC7" i="79"/>
  <c r="AB7" i="79"/>
  <c r="Z7" i="79"/>
  <c r="Y7" i="79"/>
  <c r="W7" i="79"/>
  <c r="V7" i="79"/>
  <c r="T7" i="79"/>
  <c r="S7" i="79"/>
  <c r="Q7" i="79"/>
  <c r="P7" i="79"/>
  <c r="N7" i="79"/>
  <c r="M7" i="79"/>
  <c r="K7" i="79"/>
  <c r="J7" i="79"/>
  <c r="H7" i="79"/>
  <c r="G7" i="79"/>
  <c r="E7" i="79"/>
  <c r="D7" i="79"/>
  <c r="AX177" i="79"/>
  <c r="AX176" i="79"/>
  <c r="AX174" i="79"/>
  <c r="AX168" i="79"/>
  <c r="AV177" i="79"/>
  <c r="AV176" i="79"/>
  <c r="AV174" i="79"/>
  <c r="AV168" i="79"/>
  <c r="AT177" i="79"/>
  <c r="AT176" i="79"/>
  <c r="AT174" i="79"/>
  <c r="AT168" i="79"/>
  <c r="AR177" i="79"/>
  <c r="AQ177" i="79"/>
  <c r="AP177" i="79"/>
  <c r="AO177" i="79"/>
  <c r="AN177" i="79"/>
  <c r="AR176" i="79"/>
  <c r="AQ176" i="79"/>
  <c r="AP176" i="79"/>
  <c r="AO176" i="79"/>
  <c r="AN176" i="79"/>
  <c r="AR174" i="79"/>
  <c r="AQ174" i="79"/>
  <c r="AP174" i="79"/>
  <c r="AO174" i="79"/>
  <c r="AN174" i="79"/>
  <c r="AL177" i="79"/>
  <c r="AK177" i="79"/>
  <c r="AJ177" i="79"/>
  <c r="AL176" i="79"/>
  <c r="AK176" i="79"/>
  <c r="AL174" i="79"/>
  <c r="AK174" i="79"/>
  <c r="AJ174" i="79"/>
  <c r="AX98" i="79"/>
  <c r="AX97" i="79"/>
  <c r="AV97" i="79"/>
  <c r="AT97" i="79"/>
  <c r="AR97" i="79"/>
  <c r="AQ97" i="79"/>
  <c r="AP97" i="79"/>
  <c r="AO97" i="79"/>
  <c r="AN97" i="79"/>
  <c r="AL97" i="79"/>
  <c r="AK97" i="79"/>
  <c r="AJ97" i="79"/>
  <c r="AX159" i="79"/>
  <c r="AX157" i="79"/>
  <c r="AX155" i="79"/>
  <c r="AX154" i="79"/>
  <c r="AX153" i="79"/>
  <c r="AX152" i="79"/>
  <c r="AX151" i="79"/>
  <c r="AX150" i="79"/>
  <c r="AX149" i="79"/>
  <c r="AX146" i="79"/>
  <c r="AX145" i="79"/>
  <c r="AX144" i="79"/>
  <c r="AX143" i="79"/>
  <c r="AX142" i="79"/>
  <c r="AX141" i="79"/>
  <c r="AX140" i="79"/>
  <c r="AX135" i="79"/>
  <c r="AX134" i="79"/>
  <c r="AX133" i="79"/>
  <c r="AX132" i="79"/>
  <c r="AX131" i="79"/>
  <c r="AX129" i="79"/>
  <c r="AX128" i="79"/>
  <c r="AX127" i="79"/>
  <c r="AX125" i="79"/>
  <c r="AV159" i="79"/>
  <c r="AV157" i="79"/>
  <c r="AV155" i="79"/>
  <c r="AV154" i="79"/>
  <c r="AV153" i="79"/>
  <c r="AV152" i="79"/>
  <c r="AV151" i="79"/>
  <c r="AV150" i="79"/>
  <c r="AV149" i="79"/>
  <c r="AV146" i="79"/>
  <c r="AV145" i="79"/>
  <c r="AV144" i="79"/>
  <c r="AV143" i="79"/>
  <c r="AV142" i="79"/>
  <c r="AV141" i="79"/>
  <c r="AV140" i="79"/>
  <c r="AV135" i="79"/>
  <c r="AV129" i="79"/>
  <c r="AV125" i="79"/>
  <c r="AT159" i="79"/>
  <c r="AT157" i="79"/>
  <c r="AT155" i="79"/>
  <c r="AT154" i="79"/>
  <c r="AT153" i="79"/>
  <c r="AT152" i="79"/>
  <c r="AT151" i="79"/>
  <c r="AT150" i="79"/>
  <c r="AT149" i="79"/>
  <c r="AT146" i="79"/>
  <c r="AT145" i="79"/>
  <c r="AT144" i="79"/>
  <c r="AT143" i="79"/>
  <c r="AT142" i="79"/>
  <c r="AT141" i="79"/>
  <c r="AT140" i="79"/>
  <c r="AT135" i="79"/>
  <c r="AT129" i="79"/>
  <c r="AT125" i="79"/>
  <c r="AR159" i="79"/>
  <c r="AR157" i="79"/>
  <c r="AR155" i="79"/>
  <c r="AR154" i="79"/>
  <c r="AR153" i="79"/>
  <c r="AR152" i="79"/>
  <c r="AR151" i="79"/>
  <c r="AR150" i="79"/>
  <c r="AR149" i="79"/>
  <c r="AR146" i="79"/>
  <c r="AR145" i="79"/>
  <c r="AR144" i="79"/>
  <c r="AR143" i="79"/>
  <c r="AR142" i="79"/>
  <c r="AR141" i="79"/>
  <c r="AR140" i="79"/>
  <c r="AR135" i="79"/>
  <c r="AR129" i="79"/>
  <c r="AR125" i="79"/>
  <c r="AX117" i="79"/>
  <c r="AX116" i="79"/>
  <c r="AX113" i="79"/>
  <c r="AX112" i="79"/>
  <c r="AX109" i="79"/>
  <c r="AX104" i="79"/>
  <c r="AX103" i="79"/>
  <c r="AX102" i="79"/>
  <c r="AX101" i="79"/>
  <c r="AV117" i="79"/>
  <c r="AV116" i="79"/>
  <c r="AV113" i="79"/>
  <c r="AV112" i="79"/>
  <c r="AV104" i="79"/>
  <c r="AT117" i="79"/>
  <c r="AT116" i="79"/>
  <c r="AT113" i="79"/>
  <c r="AT112" i="79"/>
  <c r="AT104" i="79"/>
  <c r="AR117" i="79"/>
  <c r="AQ117" i="79"/>
  <c r="AP117" i="79"/>
  <c r="AO117" i="79"/>
  <c r="AN117" i="79"/>
  <c r="AR116" i="79"/>
  <c r="AQ116" i="79"/>
  <c r="AP116" i="79"/>
  <c r="AO116" i="79"/>
  <c r="AN116" i="79"/>
  <c r="AR113" i="79"/>
  <c r="AQ113" i="79"/>
  <c r="AP113" i="79"/>
  <c r="AO113" i="79"/>
  <c r="AN113" i="79"/>
  <c r="AR112" i="79"/>
  <c r="AQ112" i="79"/>
  <c r="AP112" i="79"/>
  <c r="AO112" i="79"/>
  <c r="AN112" i="79"/>
  <c r="AR104" i="79"/>
  <c r="AQ104" i="79"/>
  <c r="AP104" i="79"/>
  <c r="AO104" i="79"/>
  <c r="AN104" i="79"/>
  <c r="AL117" i="79"/>
  <c r="AK117" i="79"/>
  <c r="AJ117" i="79"/>
  <c r="AL116" i="79"/>
  <c r="AK116" i="79"/>
  <c r="AJ116" i="79"/>
  <c r="AL113" i="79"/>
  <c r="AK113" i="79"/>
  <c r="AJ113" i="79"/>
  <c r="AL112" i="79"/>
  <c r="AK112" i="79"/>
  <c r="AJ112" i="79"/>
  <c r="AL104" i="79"/>
  <c r="AK104" i="79"/>
  <c r="AJ104" i="79"/>
  <c r="AX83" i="79"/>
  <c r="AX80" i="79"/>
  <c r="AV83" i="79"/>
  <c r="AV80" i="79"/>
  <c r="AT83" i="79"/>
  <c r="AT80" i="79"/>
  <c r="AR83" i="79"/>
  <c r="AQ83" i="79"/>
  <c r="AP83" i="79"/>
  <c r="AO83" i="79"/>
  <c r="AN83" i="79"/>
  <c r="AR80" i="79"/>
  <c r="AQ80" i="79"/>
  <c r="AP80" i="79"/>
  <c r="AO80" i="79"/>
  <c r="AN80" i="79"/>
  <c r="AL83" i="79"/>
  <c r="AK83" i="79"/>
  <c r="AJ83" i="79"/>
  <c r="AL80" i="79"/>
  <c r="AK80" i="79"/>
  <c r="AJ80" i="79"/>
  <c r="AR56" i="79"/>
  <c r="AR55" i="79"/>
  <c r="AR52" i="79"/>
  <c r="AR51" i="79"/>
  <c r="AR50" i="79"/>
  <c r="AR47" i="79"/>
  <c r="AR46" i="79"/>
  <c r="AR45" i="79"/>
  <c r="AR42" i="79"/>
  <c r="AR41" i="79"/>
  <c r="AR40" i="79"/>
  <c r="AR39" i="79"/>
  <c r="AR38" i="79"/>
  <c r="AR37" i="79"/>
  <c r="AR36" i="79"/>
  <c r="AR32" i="79"/>
  <c r="H13" i="79"/>
  <c r="H14" i="79"/>
  <c r="H15" i="79"/>
  <c r="H16" i="79"/>
  <c r="C221" i="66" l="1"/>
  <c r="C164" i="66"/>
  <c r="R15" i="6"/>
  <c r="R14" i="6"/>
  <c r="R13" i="6"/>
  <c r="R12" i="6"/>
  <c r="AR18" i="79"/>
  <c r="AP171" i="79"/>
  <c r="AP26" i="84"/>
  <c r="AP18" i="84"/>
  <c r="AP68" i="79"/>
  <c r="AQ18" i="84"/>
  <c r="AQ26" i="84"/>
  <c r="AQ68" i="79"/>
  <c r="AV68" i="79"/>
  <c r="AO18" i="84"/>
  <c r="AO26" i="84"/>
  <c r="AO68" i="79"/>
  <c r="AN18" i="84"/>
  <c r="AN26" i="84"/>
  <c r="AN68" i="79"/>
  <c r="AM33" i="86"/>
  <c r="B36" i="86"/>
  <c r="I35" i="86"/>
  <c r="Q35" i="86" s="1"/>
  <c r="AJ18" i="84"/>
  <c r="AJ26" i="84"/>
  <c r="AJ68" i="79"/>
  <c r="AK26" i="84"/>
  <c r="AK18" i="84"/>
  <c r="AK68" i="79"/>
  <c r="AK171" i="79"/>
  <c r="AC142" i="78"/>
  <c r="AO171" i="79"/>
  <c r="AF84" i="78"/>
  <c r="AL142" i="78"/>
  <c r="AX171" i="79"/>
  <c r="AF78" i="78"/>
  <c r="AJ142" i="78"/>
  <c r="AV171" i="79"/>
  <c r="AE142" i="78"/>
  <c r="AQ171" i="79"/>
  <c r="AF117" i="78"/>
  <c r="AR139" i="79" s="1"/>
  <c r="AB142" i="78"/>
  <c r="AN171" i="79"/>
  <c r="AB105" i="78"/>
  <c r="AB138" i="78" s="1"/>
  <c r="AT171" i="79"/>
  <c r="AX139" i="79"/>
  <c r="Z84" i="78"/>
  <c r="X142" i="78"/>
  <c r="AJ171" i="79"/>
  <c r="AB81" i="78"/>
  <c r="AD45" i="78"/>
  <c r="AB93" i="78"/>
  <c r="AH142" i="78"/>
  <c r="AD142" i="78"/>
  <c r="AF114" i="78"/>
  <c r="AB45" i="78"/>
  <c r="AE105" i="78"/>
  <c r="AE138" i="78" s="1"/>
  <c r="AE81" i="78"/>
  <c r="AD105" i="78"/>
  <c r="AD138" i="78" s="1"/>
  <c r="AE93" i="78"/>
  <c r="AE45" i="78"/>
  <c r="AE48" i="78" s="1"/>
  <c r="AD81" i="78"/>
  <c r="AF51" i="78"/>
  <c r="AF52" i="78" s="1"/>
  <c r="AH52" i="78" s="1"/>
  <c r="AC105" i="78"/>
  <c r="AC138" i="78" s="1"/>
  <c r="Y142" i="78"/>
  <c r="AD93" i="78"/>
  <c r="X105" i="78"/>
  <c r="Y105" i="78"/>
  <c r="Z78" i="78"/>
  <c r="AH40" i="78"/>
  <c r="AX26" i="78" s="1"/>
  <c r="X45" i="78"/>
  <c r="X87" i="78" s="1"/>
  <c r="X81" i="78"/>
  <c r="AJ98" i="79" s="1"/>
  <c r="X93" i="78"/>
  <c r="Y81" i="78"/>
  <c r="Y93" i="78"/>
  <c r="Y45" i="78"/>
  <c r="AC45" i="78"/>
  <c r="AC93" i="78"/>
  <c r="AC81" i="78"/>
  <c r="AF42" i="78"/>
  <c r="AF43" i="78" s="1"/>
  <c r="Z32" i="78"/>
  <c r="Z126" i="78"/>
  <c r="AC147" i="78"/>
  <c r="AL32" i="78"/>
  <c r="V147" i="78"/>
  <c r="AH126" i="78"/>
  <c r="W32" i="78"/>
  <c r="AB147" i="78"/>
  <c r="P126" i="78"/>
  <c r="J32" i="78"/>
  <c r="M126" i="78"/>
  <c r="AB126" i="78"/>
  <c r="M32" i="78"/>
  <c r="N32" i="78"/>
  <c r="AB32" i="78"/>
  <c r="G126" i="78"/>
  <c r="T126" i="78"/>
  <c r="AJ126" i="78"/>
  <c r="P32" i="78"/>
  <c r="H126" i="78"/>
  <c r="V126" i="78"/>
  <c r="AL126" i="78"/>
  <c r="AH147" i="78"/>
  <c r="AH32" i="78"/>
  <c r="J126" i="78"/>
  <c r="W126" i="78"/>
  <c r="AJ147" i="78"/>
  <c r="V32" i="78"/>
  <c r="AJ32" i="78"/>
  <c r="K126" i="78"/>
  <c r="AE147" i="78"/>
  <c r="W147" i="78"/>
  <c r="Y147" i="78"/>
  <c r="S126" i="78"/>
  <c r="AC126" i="78"/>
  <c r="AE126" i="78"/>
  <c r="Q32" i="78"/>
  <c r="S32" i="78"/>
  <c r="AC32" i="78"/>
  <c r="AE32" i="78"/>
  <c r="H32" i="78"/>
  <c r="G32" i="78"/>
  <c r="E32" i="78"/>
  <c r="AH155" i="78"/>
  <c r="AJ155" i="78"/>
  <c r="AL155" i="78"/>
  <c r="AD155" i="78"/>
  <c r="AC155" i="78"/>
  <c r="AB155" i="78"/>
  <c r="Y155" i="78"/>
  <c r="AL43" i="78" l="1"/>
  <c r="AH42" i="78"/>
  <c r="AH45" i="78" s="1"/>
  <c r="AJ52" i="78"/>
  <c r="AJ51" i="78" s="1"/>
  <c r="AH51" i="78"/>
  <c r="C222" i="66"/>
  <c r="C163" i="66"/>
  <c r="R18" i="6"/>
  <c r="H18" i="6" s="1"/>
  <c r="Q13" i="6"/>
  <c r="AF118" i="78"/>
  <c r="AT139" i="79"/>
  <c r="AR68" i="79"/>
  <c r="AF85" i="78"/>
  <c r="AV139" i="79"/>
  <c r="B37" i="86"/>
  <c r="I36" i="86"/>
  <c r="Q36" i="86" s="1"/>
  <c r="AM34" i="86"/>
  <c r="AF79" i="78"/>
  <c r="AV109" i="79"/>
  <c r="AT131" i="79"/>
  <c r="AT109" i="79"/>
  <c r="AF96" i="78"/>
  <c r="AF97" i="78" s="1"/>
  <c r="AX138" i="79"/>
  <c r="AF142" i="78"/>
  <c r="AT98" i="79"/>
  <c r="Y111" i="78"/>
  <c r="AC111" i="78"/>
  <c r="AO98" i="79"/>
  <c r="AO109" i="79"/>
  <c r="Z93" i="78"/>
  <c r="Z81" i="78"/>
  <c r="AL98" i="79" s="1"/>
  <c r="AK98" i="79"/>
  <c r="Z96" i="78"/>
  <c r="AP109" i="79"/>
  <c r="AD111" i="78"/>
  <c r="AP98" i="79"/>
  <c r="AF93" i="78"/>
  <c r="AF81" i="78"/>
  <c r="AF82" i="78" s="1"/>
  <c r="AE111" i="78"/>
  <c r="AQ98" i="79"/>
  <c r="AN109" i="79"/>
  <c r="AB111" i="78"/>
  <c r="AB140" i="78" s="1"/>
  <c r="AN98" i="79"/>
  <c r="AB48" i="78"/>
  <c r="AB49" i="78" s="1"/>
  <c r="AD48" i="78"/>
  <c r="AR21" i="79"/>
  <c r="AJ109" i="79"/>
  <c r="AQ71" i="79"/>
  <c r="AF115" i="78"/>
  <c r="AE49" i="78"/>
  <c r="AE54" i="78"/>
  <c r="Y138" i="78"/>
  <c r="X138" i="78"/>
  <c r="AF105" i="78"/>
  <c r="X48" i="78"/>
  <c r="AF45" i="78"/>
  <c r="Y48" i="78"/>
  <c r="AC48" i="78"/>
  <c r="AL79" i="78" l="1"/>
  <c r="AL78" i="78" s="1"/>
  <c r="AH79" i="78"/>
  <c r="AH78" i="78" s="1"/>
  <c r="AJ79" i="78"/>
  <c r="AJ78" i="78" s="1"/>
  <c r="AL42" i="78"/>
  <c r="AJ42" i="78"/>
  <c r="AH48" i="78"/>
  <c r="AH49" i="78" s="1"/>
  <c r="AJ82" i="78"/>
  <c r="AH82" i="78"/>
  <c r="AH81" i="78" s="1"/>
  <c r="AL82" i="78"/>
  <c r="AH85" i="78"/>
  <c r="AH84" i="78" s="1"/>
  <c r="AL85" i="78"/>
  <c r="AL84" i="78" s="1"/>
  <c r="AJ85" i="78"/>
  <c r="AJ84" i="78" s="1"/>
  <c r="C223" i="66"/>
  <c r="C162" i="66"/>
  <c r="C161" i="66" s="1"/>
  <c r="C160" i="66" s="1"/>
  <c r="C159" i="66" s="1"/>
  <c r="C158" i="66" s="1"/>
  <c r="C157" i="66" s="1"/>
  <c r="C156" i="66" s="1"/>
  <c r="C155" i="66" s="1"/>
  <c r="C154" i="66" s="1"/>
  <c r="J15" i="83"/>
  <c r="J17" i="83"/>
  <c r="Q12" i="6"/>
  <c r="Q14" i="6"/>
  <c r="Q15" i="6"/>
  <c r="J16" i="83"/>
  <c r="D97" i="79"/>
  <c r="P18" i="6"/>
  <c r="F18" i="6" s="1"/>
  <c r="O18" i="6"/>
  <c r="E18" i="6" s="1"/>
  <c r="AV131" i="79"/>
  <c r="AM35" i="86"/>
  <c r="B38" i="86"/>
  <c r="I37" i="86"/>
  <c r="Q37" i="86" s="1"/>
  <c r="AR109" i="79"/>
  <c r="AR131" i="79"/>
  <c r="AV134" i="79"/>
  <c r="AQ109" i="79"/>
  <c r="AK109" i="79"/>
  <c r="AF94" i="78"/>
  <c r="AV128" i="79"/>
  <c r="AR128" i="79"/>
  <c r="AV71" i="79"/>
  <c r="AT128" i="79"/>
  <c r="AR30" i="79"/>
  <c r="AX71" i="79"/>
  <c r="AV132" i="79"/>
  <c r="AR138" i="79"/>
  <c r="AR171" i="79"/>
  <c r="AT138" i="79"/>
  <c r="AV138" i="79"/>
  <c r="AT133" i="79"/>
  <c r="AL109" i="79"/>
  <c r="AR98" i="79"/>
  <c r="AP71" i="79"/>
  <c r="AD49" i="78"/>
  <c r="AD54" i="78"/>
  <c r="AO71" i="79"/>
  <c r="AR27" i="79"/>
  <c r="AK71" i="79"/>
  <c r="AJ71" i="79"/>
  <c r="AB54" i="78"/>
  <c r="AB112" i="78"/>
  <c r="AC112" i="78"/>
  <c r="AC140" i="78"/>
  <c r="AF106" i="78"/>
  <c r="AF138" i="78"/>
  <c r="Y112" i="78"/>
  <c r="Y140" i="78"/>
  <c r="AD112" i="78"/>
  <c r="AD140" i="78"/>
  <c r="AE112" i="78"/>
  <c r="AE140" i="78"/>
  <c r="X49" i="78"/>
  <c r="AC54" i="78"/>
  <c r="AC49" i="78"/>
  <c r="AF48" i="78"/>
  <c r="Y49" i="78"/>
  <c r="AF111" i="78"/>
  <c r="AF140" i="78" s="1"/>
  <c r="D98" i="79"/>
  <c r="AJ81" i="78" l="1"/>
  <c r="AV98" i="79" s="1"/>
  <c r="AJ45" i="78"/>
  <c r="AJ48" i="78" s="1"/>
  <c r="AJ49" i="78" s="1"/>
  <c r="AL45" i="78"/>
  <c r="AL48" i="78" s="1"/>
  <c r="AL81" i="78"/>
  <c r="AL106" i="78"/>
  <c r="AL105" i="78" s="1"/>
  <c r="AL138" i="78" s="1"/>
  <c r="AJ106" i="78"/>
  <c r="AJ105" i="78" s="1"/>
  <c r="AJ138" i="78" s="1"/>
  <c r="AH106" i="78"/>
  <c r="AH105" i="78" s="1"/>
  <c r="AH138" i="78" s="1"/>
  <c r="AF54" i="78"/>
  <c r="AF55" i="78" s="1"/>
  <c r="AL94" i="78"/>
  <c r="AL93" i="78" s="1"/>
  <c r="AJ94" i="78"/>
  <c r="AJ93" i="78" s="1"/>
  <c r="AH94" i="78"/>
  <c r="AH93" i="78" s="1"/>
  <c r="AH111" i="78" s="1"/>
  <c r="AH140" i="78" s="1"/>
  <c r="C224" i="66"/>
  <c r="Q18" i="6"/>
  <c r="G18" i="6" s="1"/>
  <c r="B39" i="86"/>
  <c r="I38" i="86"/>
  <c r="Q38" i="86" s="1"/>
  <c r="AM36" i="86"/>
  <c r="AR134" i="79"/>
  <c r="AT134" i="79"/>
  <c r="AV133" i="79"/>
  <c r="AR133" i="79"/>
  <c r="AT132" i="79"/>
  <c r="AR132" i="79"/>
  <c r="AF49" i="78"/>
  <c r="AR24" i="79"/>
  <c r="AR22" i="79"/>
  <c r="AN71" i="79"/>
  <c r="AT71" i="79"/>
  <c r="AL111" i="78" l="1"/>
  <c r="AL112" i="78" s="1"/>
  <c r="AL54" i="78"/>
  <c r="AL49" i="78"/>
  <c r="AJ111" i="78"/>
  <c r="AJ140" i="78" s="1"/>
  <c r="AJ55" i="78"/>
  <c r="AJ54" i="78" s="1"/>
  <c r="AH55" i="78"/>
  <c r="AH54" i="78" s="1"/>
  <c r="AJ112" i="78"/>
  <c r="AH112" i="78"/>
  <c r="AL140" i="78"/>
  <c r="C225" i="66"/>
  <c r="E68" i="79"/>
  <c r="G68" i="79"/>
  <c r="G18" i="84"/>
  <c r="G26" i="84"/>
  <c r="E18" i="84"/>
  <c r="E26" i="84"/>
  <c r="H68" i="79"/>
  <c r="H18" i="84"/>
  <c r="H26" i="84"/>
  <c r="H80" i="79"/>
  <c r="H87" i="79"/>
  <c r="AM37" i="86"/>
  <c r="B40" i="86"/>
  <c r="I39" i="86"/>
  <c r="Q39" i="86" s="1"/>
  <c r="AR29" i="79"/>
  <c r="AR23" i="79"/>
  <c r="AR71" i="79"/>
  <c r="R81" i="78"/>
  <c r="R78" i="78"/>
  <c r="H77" i="79"/>
  <c r="H71" i="79"/>
  <c r="H86" i="79"/>
  <c r="H83" i="79"/>
  <c r="H74" i="79"/>
  <c r="AD97" i="79"/>
  <c r="C226" i="66" l="1"/>
  <c r="B41" i="86"/>
  <c r="I40" i="86"/>
  <c r="Q40" i="86" s="1"/>
  <c r="AM38" i="86"/>
  <c r="H125" i="79"/>
  <c r="C227" i="66" l="1"/>
  <c r="AM39" i="86"/>
  <c r="B42" i="86"/>
  <c r="I41" i="86"/>
  <c r="Q41" i="86" s="1"/>
  <c r="N125" i="79"/>
  <c r="C228" i="66" l="1"/>
  <c r="B43" i="86"/>
  <c r="I42" i="86"/>
  <c r="Q42" i="86" s="1"/>
  <c r="AM40" i="86"/>
  <c r="S102" i="78"/>
  <c r="Q102" i="78"/>
  <c r="R102" i="78"/>
  <c r="P102" i="78"/>
  <c r="M102" i="78"/>
  <c r="K102" i="78"/>
  <c r="W102" i="78"/>
  <c r="V102" i="78"/>
  <c r="L102" i="78"/>
  <c r="J102" i="78"/>
  <c r="E102" i="78"/>
  <c r="E136" i="78" s="1"/>
  <c r="F102" i="78"/>
  <c r="F136" i="78" s="1"/>
  <c r="G102" i="78"/>
  <c r="G136" i="78" s="1"/>
  <c r="D102" i="78"/>
  <c r="D136" i="78" s="1"/>
  <c r="AL125" i="79"/>
  <c r="T125" i="79"/>
  <c r="N127" i="79"/>
  <c r="AF125" i="79"/>
  <c r="H127" i="79"/>
  <c r="Z125" i="79"/>
  <c r="H128" i="79"/>
  <c r="N128" i="79"/>
  <c r="C229" i="66" l="1"/>
  <c r="AM41" i="86"/>
  <c r="B44" i="86"/>
  <c r="I43" i="86"/>
  <c r="Q43" i="86" s="1"/>
  <c r="AL128" i="79"/>
  <c r="L105" i="78"/>
  <c r="L138" i="78" s="1"/>
  <c r="P105" i="78"/>
  <c r="P138" i="78" s="1"/>
  <c r="K105" i="78"/>
  <c r="K138" i="78" s="1"/>
  <c r="J105" i="78"/>
  <c r="J138" i="78" s="1"/>
  <c r="Q105" i="78"/>
  <c r="Q138" i="78" s="1"/>
  <c r="S105" i="78"/>
  <c r="S138" i="78" s="1"/>
  <c r="M105" i="78"/>
  <c r="M138" i="78" s="1"/>
  <c r="W105" i="78"/>
  <c r="W138" i="78" s="1"/>
  <c r="R105" i="78"/>
  <c r="R138" i="78" s="1"/>
  <c r="V105" i="78"/>
  <c r="J136" i="78"/>
  <c r="L136" i="78"/>
  <c r="K136" i="78"/>
  <c r="M136" i="78"/>
  <c r="P136" i="78"/>
  <c r="AF127" i="79"/>
  <c r="T102" i="78"/>
  <c r="G125" i="65" s="1"/>
  <c r="R136" i="78"/>
  <c r="V136" i="78"/>
  <c r="Q136" i="78"/>
  <c r="Z127" i="79"/>
  <c r="N102" i="78"/>
  <c r="F125" i="65" s="1"/>
  <c r="W136" i="78"/>
  <c r="S136" i="78"/>
  <c r="G105" i="78"/>
  <c r="G138" i="78" s="1"/>
  <c r="E105" i="78"/>
  <c r="E138" i="78" s="1"/>
  <c r="F105" i="78"/>
  <c r="F138" i="78" s="1"/>
  <c r="D105" i="78"/>
  <c r="D138" i="78" s="1"/>
  <c r="T127" i="79"/>
  <c r="H102" i="78"/>
  <c r="E125" i="65" s="1"/>
  <c r="H129" i="79"/>
  <c r="N129" i="79"/>
  <c r="C230" i="66" l="1"/>
  <c r="D22" i="6"/>
  <c r="B45" i="86"/>
  <c r="I44" i="86"/>
  <c r="Q44" i="86" s="1"/>
  <c r="AM42" i="86"/>
  <c r="AL173" i="78"/>
  <c r="Z173" i="78"/>
  <c r="AF173" i="78"/>
  <c r="N136" i="78"/>
  <c r="V138" i="78"/>
  <c r="Z105" i="78"/>
  <c r="Z138" i="78" s="1"/>
  <c r="Z128" i="79"/>
  <c r="N105" i="78"/>
  <c r="N138" i="78" s="1"/>
  <c r="AF128" i="79"/>
  <c r="T105" i="78"/>
  <c r="T138" i="78" s="1"/>
  <c r="T136" i="78"/>
  <c r="H136" i="78"/>
  <c r="T128" i="79"/>
  <c r="H105" i="78"/>
  <c r="AL129" i="79"/>
  <c r="AF129" i="79"/>
  <c r="Z129" i="79"/>
  <c r="T129" i="79"/>
  <c r="H131" i="79"/>
  <c r="N131" i="79"/>
  <c r="C231" i="66" l="1"/>
  <c r="AM43" i="86"/>
  <c r="B46" i="86"/>
  <c r="I45" i="86"/>
  <c r="Q45" i="86" s="1"/>
  <c r="H138" i="78"/>
  <c r="H132" i="79"/>
  <c r="N132" i="79"/>
  <c r="C232" i="66" l="1"/>
  <c r="AM44" i="86"/>
  <c r="B47" i="86"/>
  <c r="I46" i="86"/>
  <c r="Q46" i="86" s="1"/>
  <c r="AF131" i="79"/>
  <c r="Z131" i="79"/>
  <c r="T131" i="79"/>
  <c r="AF132" i="79"/>
  <c r="Z132" i="79"/>
  <c r="T132" i="79"/>
  <c r="H133" i="79"/>
  <c r="N133" i="79"/>
  <c r="C233" i="66" l="1"/>
  <c r="B48" i="86"/>
  <c r="I47" i="86"/>
  <c r="Q47" i="86" s="1"/>
  <c r="AM45" i="86"/>
  <c r="V111" i="78"/>
  <c r="Q111" i="78"/>
  <c r="Q140" i="78" s="1"/>
  <c r="P111" i="78"/>
  <c r="P140" i="78" s="1"/>
  <c r="J111" i="78"/>
  <c r="J140" i="78" s="1"/>
  <c r="M111" i="78"/>
  <c r="M140" i="78" s="1"/>
  <c r="L111" i="78"/>
  <c r="L140" i="78" s="1"/>
  <c r="S111" i="78"/>
  <c r="S140" i="78" s="1"/>
  <c r="K111" i="78"/>
  <c r="K140" i="78" s="1"/>
  <c r="R111" i="78"/>
  <c r="R140" i="78" s="1"/>
  <c r="W111" i="78"/>
  <c r="W140" i="78" s="1"/>
  <c r="J168" i="79"/>
  <c r="K168" i="79"/>
  <c r="G111" i="78"/>
  <c r="M168" i="79"/>
  <c r="F111" i="78"/>
  <c r="L168" i="79"/>
  <c r="E111" i="78"/>
  <c r="D111" i="78"/>
  <c r="F168" i="79"/>
  <c r="E168" i="79"/>
  <c r="D168" i="79"/>
  <c r="G168" i="79"/>
  <c r="AF134" i="79"/>
  <c r="T134" i="79"/>
  <c r="Z133" i="79"/>
  <c r="H134" i="79"/>
  <c r="Z134" i="79"/>
  <c r="N134" i="79"/>
  <c r="T133" i="79"/>
  <c r="C234" i="66" l="1"/>
  <c r="AM46" i="86"/>
  <c r="B49" i="86"/>
  <c r="I48" i="86"/>
  <c r="Q48" i="86" s="1"/>
  <c r="S117" i="78"/>
  <c r="Q117" i="78"/>
  <c r="P117" i="78"/>
  <c r="P114" i="78"/>
  <c r="Q114" i="78"/>
  <c r="J114" i="78"/>
  <c r="W117" i="78"/>
  <c r="V114" i="78"/>
  <c r="M114" i="78"/>
  <c r="V117" i="78"/>
  <c r="K114" i="78"/>
  <c r="K117" i="78"/>
  <c r="W114" i="78"/>
  <c r="M117" i="78"/>
  <c r="L114" i="78"/>
  <c r="L117" i="78"/>
  <c r="S114" i="78"/>
  <c r="R117" i="78"/>
  <c r="R114" i="78"/>
  <c r="J117" i="78"/>
  <c r="AF133" i="79"/>
  <c r="T111" i="78"/>
  <c r="N111" i="78"/>
  <c r="V140" i="78"/>
  <c r="D140" i="78"/>
  <c r="E140" i="78"/>
  <c r="F140" i="78"/>
  <c r="G140" i="78"/>
  <c r="H111" i="78"/>
  <c r="E128" i="65" s="1"/>
  <c r="D117" i="78"/>
  <c r="X168" i="79"/>
  <c r="G114" i="78"/>
  <c r="AE168" i="79"/>
  <c r="P168" i="79"/>
  <c r="AD168" i="79"/>
  <c r="E117" i="78"/>
  <c r="AH168" i="79"/>
  <c r="Y168" i="79"/>
  <c r="S168" i="79"/>
  <c r="G117" i="78"/>
  <c r="F114" i="78"/>
  <c r="V168" i="79"/>
  <c r="AB168" i="79"/>
  <c r="R168" i="79"/>
  <c r="E114" i="78"/>
  <c r="AI168" i="79"/>
  <c r="AC168" i="79"/>
  <c r="D114" i="78"/>
  <c r="W168" i="79"/>
  <c r="Q168" i="79"/>
  <c r="F117" i="78"/>
  <c r="N135" i="79"/>
  <c r="N168" i="79"/>
  <c r="AL142" i="79"/>
  <c r="AL140" i="79"/>
  <c r="AL143" i="79"/>
  <c r="AL141" i="79"/>
  <c r="AL144" i="79"/>
  <c r="AL135" i="79"/>
  <c r="H135" i="79"/>
  <c r="H168" i="79"/>
  <c r="AF144" i="79"/>
  <c r="Z140" i="79"/>
  <c r="AF142" i="79"/>
  <c r="H142" i="79"/>
  <c r="Z141" i="79"/>
  <c r="N138" i="79"/>
  <c r="T143" i="79"/>
  <c r="Z142" i="79"/>
  <c r="T144" i="79"/>
  <c r="N140" i="79"/>
  <c r="N143" i="79"/>
  <c r="T141" i="79"/>
  <c r="AF141" i="79"/>
  <c r="H138" i="79"/>
  <c r="T142" i="79"/>
  <c r="N141" i="79"/>
  <c r="N144" i="79"/>
  <c r="AF140" i="79"/>
  <c r="H140" i="79"/>
  <c r="AF143" i="79"/>
  <c r="H143" i="79"/>
  <c r="N139" i="79"/>
  <c r="N142" i="79"/>
  <c r="H141" i="79"/>
  <c r="H114" i="78"/>
  <c r="Z143" i="79"/>
  <c r="H139" i="79"/>
  <c r="H144" i="79"/>
  <c r="Z144" i="79"/>
  <c r="T140" i="79"/>
  <c r="G171" i="79"/>
  <c r="F171" i="79"/>
  <c r="E171" i="79"/>
  <c r="D171" i="79"/>
  <c r="C235" i="66" l="1"/>
  <c r="B50" i="86"/>
  <c r="I49" i="86"/>
  <c r="Q49" i="86" s="1"/>
  <c r="AM47" i="86"/>
  <c r="N140" i="78"/>
  <c r="F128" i="65"/>
  <c r="T140" i="78"/>
  <c r="G128" i="65"/>
  <c r="W142" i="78"/>
  <c r="K118" i="78"/>
  <c r="S142" i="78"/>
  <c r="R142" i="78"/>
  <c r="J118" i="78"/>
  <c r="L118" i="78"/>
  <c r="P142" i="78"/>
  <c r="M142" i="78"/>
  <c r="P118" i="78"/>
  <c r="Q118" i="78"/>
  <c r="R118" i="78"/>
  <c r="L142" i="78"/>
  <c r="Z139" i="79"/>
  <c r="N117" i="78"/>
  <c r="M118" i="78"/>
  <c r="AF139" i="79"/>
  <c r="T117" i="78"/>
  <c r="K142" i="78"/>
  <c r="V118" i="78"/>
  <c r="Z117" i="78"/>
  <c r="AL139" i="79" s="1"/>
  <c r="V142" i="78"/>
  <c r="Z114" i="78"/>
  <c r="Z138" i="79"/>
  <c r="N114" i="78"/>
  <c r="W118" i="78"/>
  <c r="J142" i="78"/>
  <c r="Q142" i="78"/>
  <c r="AF138" i="79"/>
  <c r="T114" i="78"/>
  <c r="S118" i="78"/>
  <c r="E118" i="78"/>
  <c r="F118" i="78"/>
  <c r="D118" i="78"/>
  <c r="H140" i="78"/>
  <c r="D142" i="78"/>
  <c r="G142" i="78"/>
  <c r="G118" i="78"/>
  <c r="F142" i="78"/>
  <c r="E142" i="78"/>
  <c r="T139" i="79"/>
  <c r="H117" i="78"/>
  <c r="E131" i="65" s="1"/>
  <c r="T138" i="79"/>
  <c r="T135" i="79"/>
  <c r="T168" i="79"/>
  <c r="AF135" i="79"/>
  <c r="AF168" i="79"/>
  <c r="Z135" i="79"/>
  <c r="Z168" i="79"/>
  <c r="H146" i="79"/>
  <c r="H145" i="79"/>
  <c r="M171" i="79"/>
  <c r="L171" i="79"/>
  <c r="K171" i="79"/>
  <c r="J171" i="79"/>
  <c r="C236" i="66" l="1"/>
  <c r="AM48" i="86"/>
  <c r="B51" i="86"/>
  <c r="I50" i="86"/>
  <c r="Q50" i="86" s="1"/>
  <c r="G131" i="65"/>
  <c r="F131" i="65"/>
  <c r="AL171" i="79"/>
  <c r="AL138" i="79"/>
  <c r="Z142" i="78"/>
  <c r="N142" i="78"/>
  <c r="T142" i="78"/>
  <c r="N118" i="78"/>
  <c r="T118" i="78"/>
  <c r="H142" i="78"/>
  <c r="H118" i="78"/>
  <c r="N146" i="79"/>
  <c r="H171" i="79"/>
  <c r="N145" i="79"/>
  <c r="S171" i="79"/>
  <c r="R171" i="79"/>
  <c r="Q171" i="79"/>
  <c r="P171" i="79"/>
  <c r="C237" i="66" l="1"/>
  <c r="B52" i="86"/>
  <c r="I51" i="86"/>
  <c r="Q51" i="86" s="1"/>
  <c r="AM49" i="86"/>
  <c r="N171" i="79"/>
  <c r="T146" i="79"/>
  <c r="Y171" i="79"/>
  <c r="X171" i="79"/>
  <c r="W171" i="79"/>
  <c r="V171" i="79"/>
  <c r="T145" i="79"/>
  <c r="C238" i="66" l="1"/>
  <c r="AM50" i="86"/>
  <c r="B53" i="86"/>
  <c r="I52" i="86"/>
  <c r="Q52" i="86" s="1"/>
  <c r="T171" i="79"/>
  <c r="Z146" i="79"/>
  <c r="Z145" i="79"/>
  <c r="AE171" i="79"/>
  <c r="AD171" i="79"/>
  <c r="AC171" i="79"/>
  <c r="AB171" i="79"/>
  <c r="C239" i="66" l="1"/>
  <c r="B54" i="86"/>
  <c r="I53" i="86"/>
  <c r="Q53" i="86" s="1"/>
  <c r="AM51" i="86"/>
  <c r="Z171" i="79"/>
  <c r="AF146" i="79"/>
  <c r="AL146" i="79"/>
  <c r="AF145" i="79"/>
  <c r="AI171" i="79"/>
  <c r="AL145" i="79"/>
  <c r="C240" i="66" l="1"/>
  <c r="AM52" i="86"/>
  <c r="B55" i="86"/>
  <c r="I54" i="86"/>
  <c r="Q54" i="86" s="1"/>
  <c r="AF171" i="79"/>
  <c r="AH171" i="79"/>
  <c r="AL152" i="79"/>
  <c r="AL149" i="79"/>
  <c r="AL153" i="79"/>
  <c r="AL150" i="79"/>
  <c r="AL151" i="79"/>
  <c r="N152" i="79"/>
  <c r="N149" i="79"/>
  <c r="T151" i="79"/>
  <c r="N153" i="79"/>
  <c r="N150" i="79"/>
  <c r="AF149" i="79"/>
  <c r="H149" i="79"/>
  <c r="AF152" i="79"/>
  <c r="AF153" i="79"/>
  <c r="H153" i="79"/>
  <c r="N151" i="79"/>
  <c r="Z152" i="79"/>
  <c r="Z150" i="79"/>
  <c r="H152" i="79"/>
  <c r="Z149" i="79"/>
  <c r="H151" i="79"/>
  <c r="Z153" i="79"/>
  <c r="T152" i="79"/>
  <c r="T150" i="79"/>
  <c r="H150" i="79"/>
  <c r="AF151" i="79"/>
  <c r="T149" i="79"/>
  <c r="AF150" i="79"/>
  <c r="Z151" i="79"/>
  <c r="T153" i="79"/>
  <c r="G174" i="79"/>
  <c r="F174" i="79"/>
  <c r="E174" i="79"/>
  <c r="D174" i="79"/>
  <c r="C241" i="66" l="1"/>
  <c r="B56" i="86"/>
  <c r="I55" i="86"/>
  <c r="Q55" i="86" s="1"/>
  <c r="AM53" i="86"/>
  <c r="H155" i="79"/>
  <c r="H154" i="79"/>
  <c r="M174" i="79"/>
  <c r="L174" i="79"/>
  <c r="K174" i="79"/>
  <c r="J174" i="79"/>
  <c r="C242" i="66" l="1"/>
  <c r="AM54" i="86"/>
  <c r="B57" i="86"/>
  <c r="I56" i="86"/>
  <c r="Q56" i="86" s="1"/>
  <c r="N155" i="79"/>
  <c r="H174" i="79"/>
  <c r="N154" i="79"/>
  <c r="S174" i="79"/>
  <c r="R174" i="79"/>
  <c r="Q174" i="79"/>
  <c r="P174" i="79"/>
  <c r="C243" i="66" l="1"/>
  <c r="AM55" i="86"/>
  <c r="B58" i="86"/>
  <c r="I57" i="86"/>
  <c r="Q57" i="86" s="1"/>
  <c r="N174" i="79"/>
  <c r="T155" i="79"/>
  <c r="T154" i="79"/>
  <c r="Y174" i="79"/>
  <c r="X174" i="79"/>
  <c r="W174" i="79"/>
  <c r="V174" i="79"/>
  <c r="C244" i="66" l="1"/>
  <c r="B59" i="86"/>
  <c r="I58" i="86"/>
  <c r="Q58" i="86" s="1"/>
  <c r="AM56" i="86"/>
  <c r="T174" i="79"/>
  <c r="Z155" i="79"/>
  <c r="Z154" i="79"/>
  <c r="AE174" i="79"/>
  <c r="AD174" i="79"/>
  <c r="AC174" i="79"/>
  <c r="AB174" i="79"/>
  <c r="C245" i="66" l="1"/>
  <c r="AM57" i="86"/>
  <c r="B60" i="86"/>
  <c r="I59" i="86"/>
  <c r="Q59" i="86" s="1"/>
  <c r="Z174" i="79"/>
  <c r="AF155" i="79"/>
  <c r="AL155" i="79"/>
  <c r="AF154" i="79"/>
  <c r="AI174" i="79"/>
  <c r="AL154" i="79"/>
  <c r="C246" i="66" l="1"/>
  <c r="B61" i="86"/>
  <c r="I60" i="86"/>
  <c r="Q60" i="86" s="1"/>
  <c r="AM58" i="86"/>
  <c r="H97" i="79"/>
  <c r="G177" i="79"/>
  <c r="D177" i="79"/>
  <c r="E177" i="79"/>
  <c r="F177" i="79"/>
  <c r="AF174" i="79"/>
  <c r="AH174" i="79"/>
  <c r="R176" i="79"/>
  <c r="R177" i="79"/>
  <c r="AH176" i="79"/>
  <c r="AH177" i="79"/>
  <c r="K176" i="79"/>
  <c r="K177" i="79"/>
  <c r="L176" i="79"/>
  <c r="L177" i="79"/>
  <c r="P176" i="79"/>
  <c r="P177" i="79"/>
  <c r="M176" i="79"/>
  <c r="M177" i="79"/>
  <c r="J176" i="79"/>
  <c r="J177" i="79"/>
  <c r="AD176" i="79"/>
  <c r="AD177" i="79"/>
  <c r="AC176" i="79"/>
  <c r="AC177" i="79"/>
  <c r="Y176" i="79"/>
  <c r="Y177" i="79"/>
  <c r="X176" i="79"/>
  <c r="X177" i="79"/>
  <c r="V176" i="79"/>
  <c r="V177" i="79"/>
  <c r="Q176" i="79"/>
  <c r="Q177" i="79"/>
  <c r="AE176" i="79"/>
  <c r="AE177" i="79"/>
  <c r="AB176" i="79"/>
  <c r="AB177" i="79"/>
  <c r="AI176" i="79"/>
  <c r="AI177" i="79"/>
  <c r="W176" i="79"/>
  <c r="W177" i="79"/>
  <c r="S176" i="79"/>
  <c r="S177" i="79"/>
  <c r="G97" i="79"/>
  <c r="F97" i="79"/>
  <c r="E97" i="79"/>
  <c r="AL159" i="79"/>
  <c r="AL157" i="79"/>
  <c r="F176" i="79"/>
  <c r="D176" i="79"/>
  <c r="G176" i="79"/>
  <c r="E176" i="79"/>
  <c r="N157" i="79"/>
  <c r="H157" i="79"/>
  <c r="AF157" i="79"/>
  <c r="H177" i="79"/>
  <c r="Z157" i="79"/>
  <c r="T157" i="79"/>
  <c r="C247" i="66" l="1"/>
  <c r="B62" i="86"/>
  <c r="I61" i="86"/>
  <c r="Q61" i="86" s="1"/>
  <c r="AM59" i="86"/>
  <c r="Z159" i="79"/>
  <c r="Z176" i="79"/>
  <c r="Z177" i="79"/>
  <c r="AF159" i="79"/>
  <c r="AF176" i="79"/>
  <c r="AF177" i="79"/>
  <c r="N159" i="79"/>
  <c r="N176" i="79"/>
  <c r="N177" i="79"/>
  <c r="T159" i="79"/>
  <c r="T176" i="79"/>
  <c r="T177" i="79"/>
  <c r="J97" i="79"/>
  <c r="K97" i="79"/>
  <c r="M97" i="79"/>
  <c r="L97" i="79"/>
  <c r="H159" i="79"/>
  <c r="H176" i="79"/>
  <c r="N97" i="79"/>
  <c r="C248" i="66" l="1"/>
  <c r="B63" i="86"/>
  <c r="I62" i="86"/>
  <c r="Q62" i="86" s="1"/>
  <c r="AM60" i="86"/>
  <c r="Q97" i="79"/>
  <c r="P97" i="79"/>
  <c r="R97" i="79"/>
  <c r="S97" i="79"/>
  <c r="T97" i="79"/>
  <c r="C249" i="66" l="1"/>
  <c r="AM61" i="86"/>
  <c r="B64" i="86"/>
  <c r="I63" i="86"/>
  <c r="Q63" i="86" s="1"/>
  <c r="X97" i="79"/>
  <c r="Y97" i="79"/>
  <c r="W97" i="79"/>
  <c r="V97" i="79"/>
  <c r="Z97" i="79"/>
  <c r="C250" i="66" l="1"/>
  <c r="AM62" i="86"/>
  <c r="B65" i="86"/>
  <c r="I64" i="86"/>
  <c r="Q64" i="86" s="1"/>
  <c r="AB97" i="79"/>
  <c r="AE97" i="79"/>
  <c r="AC97" i="79"/>
  <c r="AF97" i="79"/>
  <c r="C251" i="66" l="1"/>
  <c r="B66" i="86"/>
  <c r="I65" i="86"/>
  <c r="Q65" i="86" s="1"/>
  <c r="AM63" i="86"/>
  <c r="P81" i="78"/>
  <c r="V81" i="78"/>
  <c r="W81" i="78"/>
  <c r="AL132" i="79" s="1"/>
  <c r="J78" i="78"/>
  <c r="L78" i="78"/>
  <c r="Q78" i="78"/>
  <c r="K81" i="78"/>
  <c r="M81" i="78"/>
  <c r="W78" i="78"/>
  <c r="S78" i="78"/>
  <c r="J81" i="78"/>
  <c r="L81" i="78"/>
  <c r="S81" i="78"/>
  <c r="M78" i="78"/>
  <c r="P78" i="78"/>
  <c r="V78" i="78"/>
  <c r="Q81" i="78"/>
  <c r="K78" i="78"/>
  <c r="D78" i="78"/>
  <c r="D81" i="78"/>
  <c r="F78" i="78"/>
  <c r="E78" i="78"/>
  <c r="G81" i="78"/>
  <c r="G78" i="78"/>
  <c r="E81" i="78"/>
  <c r="F81" i="78"/>
  <c r="AH97" i="79"/>
  <c r="AI97" i="79"/>
  <c r="H78" i="78"/>
  <c r="E102" i="65" s="1"/>
  <c r="T78" i="78"/>
  <c r="G102" i="65" s="1"/>
  <c r="N78" i="78"/>
  <c r="F102" i="65" s="1"/>
  <c r="N81" i="78"/>
  <c r="F105" i="65" s="1"/>
  <c r="T81" i="78"/>
  <c r="G105" i="65" s="1"/>
  <c r="H81" i="78"/>
  <c r="E105" i="65" s="1"/>
  <c r="F98" i="79"/>
  <c r="E98" i="79"/>
  <c r="C252" i="66" l="1"/>
  <c r="AM64" i="86"/>
  <c r="B67" i="86"/>
  <c r="I66" i="86"/>
  <c r="Q66" i="86" s="1"/>
  <c r="AL131" i="79"/>
  <c r="H98" i="79"/>
  <c r="G98" i="79"/>
  <c r="L98" i="79"/>
  <c r="K98" i="79"/>
  <c r="J98" i="79"/>
  <c r="C253" i="66" l="1"/>
  <c r="AM65" i="86"/>
  <c r="B68" i="86"/>
  <c r="I67" i="86"/>
  <c r="Q67" i="86" s="1"/>
  <c r="N98" i="79"/>
  <c r="M98" i="79"/>
  <c r="C254" i="66" l="1"/>
  <c r="AM66" i="86"/>
  <c r="B69" i="86"/>
  <c r="I68" i="86"/>
  <c r="Q68" i="86" s="1"/>
  <c r="R98" i="79"/>
  <c r="F84" i="78"/>
  <c r="Q98" i="79"/>
  <c r="E84" i="78"/>
  <c r="H84" i="78"/>
  <c r="E108" i="65" s="1"/>
  <c r="G84" i="78"/>
  <c r="P98" i="79"/>
  <c r="D84" i="78"/>
  <c r="S98" i="79"/>
  <c r="C255" i="66" l="1"/>
  <c r="B70" i="86"/>
  <c r="I69" i="86"/>
  <c r="Q69" i="86" s="1"/>
  <c r="AM67" i="86"/>
  <c r="V98" i="79"/>
  <c r="J84" i="78"/>
  <c r="W98" i="79"/>
  <c r="K84" i="78"/>
  <c r="X98" i="79"/>
  <c r="L84" i="78"/>
  <c r="N84" i="78"/>
  <c r="F108" i="65" s="1"/>
  <c r="M84" i="78"/>
  <c r="T98" i="79"/>
  <c r="Y98" i="79"/>
  <c r="C256" i="66" l="1"/>
  <c r="Z98" i="79"/>
  <c r="AM68" i="86"/>
  <c r="B71" i="86"/>
  <c r="I70" i="86"/>
  <c r="Q70" i="86" s="1"/>
  <c r="T84" i="78"/>
  <c r="G108" i="65" s="1"/>
  <c r="S84" i="78"/>
  <c r="AB98" i="79"/>
  <c r="P84" i="78"/>
  <c r="AD98" i="79"/>
  <c r="R84" i="78"/>
  <c r="AC98" i="79"/>
  <c r="Q84" i="78"/>
  <c r="AE98" i="79"/>
  <c r="C257" i="66" l="1"/>
  <c r="B72" i="86"/>
  <c r="I71" i="86"/>
  <c r="Q71" i="86" s="1"/>
  <c r="AM69" i="86"/>
  <c r="AF98" i="79"/>
  <c r="V91" i="78"/>
  <c r="J91" i="78"/>
  <c r="Q91" i="78"/>
  <c r="R91" i="78"/>
  <c r="R87" i="78"/>
  <c r="R61" i="78" s="1"/>
  <c r="P91" i="78"/>
  <c r="K87" i="78"/>
  <c r="K61" i="78" s="1"/>
  <c r="S91" i="78"/>
  <c r="K91" i="78"/>
  <c r="L87" i="78"/>
  <c r="L61" i="78" s="1"/>
  <c r="W87" i="78"/>
  <c r="P87" i="78"/>
  <c r="P61" i="78" s="1"/>
  <c r="V87" i="78"/>
  <c r="V61" i="78" s="1"/>
  <c r="M91" i="78"/>
  <c r="M87" i="78"/>
  <c r="M61" i="78" s="1"/>
  <c r="Y61" i="78" s="1"/>
  <c r="J87" i="78"/>
  <c r="J61" i="78" s="1"/>
  <c r="S87" i="78"/>
  <c r="S61" i="78" s="1"/>
  <c r="L91" i="78"/>
  <c r="Q87" i="78"/>
  <c r="Q61" i="78" s="1"/>
  <c r="AH98" i="79"/>
  <c r="V84" i="78"/>
  <c r="AI98" i="79"/>
  <c r="W84" i="78"/>
  <c r="F87" i="78"/>
  <c r="F61" i="78" s="1"/>
  <c r="E87" i="78"/>
  <c r="E61" i="78" s="1"/>
  <c r="D87" i="78"/>
  <c r="D61" i="78" s="1"/>
  <c r="G87" i="78"/>
  <c r="G61" i="78" s="1"/>
  <c r="X101" i="79"/>
  <c r="W101" i="79"/>
  <c r="AI102" i="79"/>
  <c r="V101" i="79"/>
  <c r="G102" i="79"/>
  <c r="J102" i="79"/>
  <c r="S101" i="79"/>
  <c r="R101" i="79"/>
  <c r="AH102" i="79"/>
  <c r="F102" i="79"/>
  <c r="AB102" i="79"/>
  <c r="D102" i="79"/>
  <c r="Q101" i="79"/>
  <c r="P101" i="79"/>
  <c r="Y102" i="79"/>
  <c r="M101" i="79"/>
  <c r="L101" i="79"/>
  <c r="K101" i="79"/>
  <c r="AD102" i="79"/>
  <c r="X102" i="79"/>
  <c r="J101" i="79"/>
  <c r="E102" i="79"/>
  <c r="S102" i="79"/>
  <c r="AC102" i="79"/>
  <c r="AI101" i="79"/>
  <c r="R102" i="79"/>
  <c r="AE101" i="79"/>
  <c r="G101" i="79"/>
  <c r="Q102" i="79"/>
  <c r="AD101" i="79"/>
  <c r="F101" i="79"/>
  <c r="AH101" i="79"/>
  <c r="P102" i="79"/>
  <c r="AC101" i="79"/>
  <c r="E101" i="79"/>
  <c r="AB101" i="79"/>
  <c r="D101" i="79"/>
  <c r="W102" i="79"/>
  <c r="V102" i="79"/>
  <c r="M102" i="79"/>
  <c r="K102" i="79"/>
  <c r="AE102" i="79"/>
  <c r="L102" i="79"/>
  <c r="Y101" i="79"/>
  <c r="H87" i="78"/>
  <c r="E111" i="65" s="1"/>
  <c r="E81" i="65" s="1"/>
  <c r="N90" i="78"/>
  <c r="H90" i="78"/>
  <c r="T87" i="78"/>
  <c r="T90" i="78"/>
  <c r="N87" i="78"/>
  <c r="F103" i="79"/>
  <c r="E103" i="79"/>
  <c r="D103" i="79"/>
  <c r="C258" i="66" l="1"/>
  <c r="Z91" i="78"/>
  <c r="E64" i="78"/>
  <c r="E91" i="78"/>
  <c r="F114" i="65"/>
  <c r="F84" i="65" s="1"/>
  <c r="N91" i="78"/>
  <c r="F115" i="65" s="1"/>
  <c r="G64" i="78"/>
  <c r="G91" i="78"/>
  <c r="E114" i="65"/>
  <c r="E84" i="65" s="1"/>
  <c r="H91" i="78"/>
  <c r="E115" i="65" s="1"/>
  <c r="D64" i="78"/>
  <c r="F64" i="78"/>
  <c r="F91" i="78"/>
  <c r="G114" i="65"/>
  <c r="H83" i="65" s="1"/>
  <c r="T91" i="78"/>
  <c r="G115" i="65" s="1"/>
  <c r="AM70" i="86"/>
  <c r="B73" i="86"/>
  <c r="I72" i="86"/>
  <c r="Q72" i="86" s="1"/>
  <c r="N61" i="78"/>
  <c r="F81" i="65" s="1"/>
  <c r="F111" i="65"/>
  <c r="T61" i="78"/>
  <c r="G81" i="65" s="1"/>
  <c r="G111" i="65"/>
  <c r="H80" i="65" s="1"/>
  <c r="H61" i="78"/>
  <c r="L64" i="78"/>
  <c r="L103" i="78"/>
  <c r="T64" i="78"/>
  <c r="T103" i="78"/>
  <c r="G126" i="65" s="1"/>
  <c r="X60" i="78"/>
  <c r="W61" i="78"/>
  <c r="P64" i="78"/>
  <c r="P103" i="78"/>
  <c r="Q64" i="78"/>
  <c r="Q103" i="78"/>
  <c r="M64" i="78"/>
  <c r="M103" i="78"/>
  <c r="N64" i="78"/>
  <c r="N103" i="78"/>
  <c r="F126" i="65" s="1"/>
  <c r="K64" i="78"/>
  <c r="K103" i="78"/>
  <c r="S64" i="78"/>
  <c r="S103" i="78"/>
  <c r="R64" i="78"/>
  <c r="R103" i="78"/>
  <c r="X63" i="78"/>
  <c r="W64" i="78"/>
  <c r="W103" i="78"/>
  <c r="J64" i="78"/>
  <c r="J103" i="78"/>
  <c r="V64" i="78"/>
  <c r="V103" i="78"/>
  <c r="G103" i="78"/>
  <c r="F103" i="78"/>
  <c r="D103" i="78"/>
  <c r="N102" i="79"/>
  <c r="E103" i="78"/>
  <c r="H64" i="78"/>
  <c r="H103" i="78"/>
  <c r="E126" i="65" s="1"/>
  <c r="AF102" i="79"/>
  <c r="G103" i="79"/>
  <c r="H102" i="79"/>
  <c r="H101" i="79"/>
  <c r="H103" i="79"/>
  <c r="T102" i="79"/>
  <c r="N101" i="79"/>
  <c r="Z101" i="79"/>
  <c r="Z102" i="79"/>
  <c r="T101" i="79"/>
  <c r="AF101" i="79"/>
  <c r="L103" i="79"/>
  <c r="K103" i="79"/>
  <c r="J103" i="79"/>
  <c r="C259" i="66" l="1"/>
  <c r="G84" i="65"/>
  <c r="B74" i="86"/>
  <c r="I73" i="86"/>
  <c r="Q73" i="86" s="1"/>
  <c r="AM71" i="86"/>
  <c r="H77" i="65"/>
  <c r="X57" i="78"/>
  <c r="N103" i="79"/>
  <c r="M103" i="79"/>
  <c r="R103" i="79"/>
  <c r="Q103" i="79"/>
  <c r="P103" i="79"/>
  <c r="C260" i="66" l="1"/>
  <c r="AM72" i="86"/>
  <c r="B75" i="86"/>
  <c r="I74" i="86"/>
  <c r="Q74" i="86" s="1"/>
  <c r="X102" i="78"/>
  <c r="X136" i="78" s="1"/>
  <c r="T103" i="79"/>
  <c r="S103" i="79"/>
  <c r="X103" i="79"/>
  <c r="W103" i="79"/>
  <c r="V103" i="79"/>
  <c r="C261" i="66" l="1"/>
  <c r="B76" i="86"/>
  <c r="I75" i="86"/>
  <c r="Q75" i="86" s="1"/>
  <c r="AM73" i="86"/>
  <c r="AL102" i="79"/>
  <c r="AJ74" i="79"/>
  <c r="Z103" i="79"/>
  <c r="Y103" i="79"/>
  <c r="AD103" i="79"/>
  <c r="AC103" i="79"/>
  <c r="AB103" i="79"/>
  <c r="C262" i="66" l="1"/>
  <c r="AM74" i="86"/>
  <c r="B77" i="86"/>
  <c r="I76" i="86"/>
  <c r="Q76" i="86" s="1"/>
  <c r="AN102" i="79"/>
  <c r="AF103" i="79"/>
  <c r="AE103" i="79"/>
  <c r="AI103" i="79"/>
  <c r="AH103" i="79"/>
  <c r="C263" i="66" l="1"/>
  <c r="B78" i="86"/>
  <c r="I77" i="86"/>
  <c r="Q77" i="86" s="1"/>
  <c r="AM75" i="86"/>
  <c r="AO102" i="79"/>
  <c r="Q93" i="78"/>
  <c r="K93" i="78"/>
  <c r="L93" i="78"/>
  <c r="V93" i="78"/>
  <c r="J93" i="78"/>
  <c r="M93" i="78"/>
  <c r="W93" i="78"/>
  <c r="S93" i="78"/>
  <c r="R93" i="78"/>
  <c r="P93" i="78"/>
  <c r="F93" i="78"/>
  <c r="D93" i="78"/>
  <c r="G93" i="78"/>
  <c r="E93" i="78"/>
  <c r="L104" i="79"/>
  <c r="AI104" i="79"/>
  <c r="J104" i="79"/>
  <c r="AH104" i="79"/>
  <c r="G104" i="79"/>
  <c r="AD104" i="79"/>
  <c r="F104" i="79"/>
  <c r="AC104" i="79"/>
  <c r="E104" i="79"/>
  <c r="AE104" i="79"/>
  <c r="AB104" i="79"/>
  <c r="D104" i="79"/>
  <c r="Y104" i="79"/>
  <c r="X104" i="79"/>
  <c r="W104" i="79"/>
  <c r="V104" i="79"/>
  <c r="K104" i="79"/>
  <c r="S104" i="79"/>
  <c r="R104" i="79"/>
  <c r="Q104" i="79"/>
  <c r="P104" i="79"/>
  <c r="M104" i="79"/>
  <c r="H104" i="79"/>
  <c r="AF104" i="79"/>
  <c r="Z104" i="79"/>
  <c r="T93" i="78"/>
  <c r="G117" i="65" s="1"/>
  <c r="N93" i="78"/>
  <c r="F117" i="65" s="1"/>
  <c r="T104" i="79"/>
  <c r="H93" i="78"/>
  <c r="E117" i="65" s="1"/>
  <c r="N104" i="79"/>
  <c r="F109" i="79"/>
  <c r="E109" i="79"/>
  <c r="D109" i="79"/>
  <c r="C264" i="66" l="1"/>
  <c r="B79" i="86"/>
  <c r="I78" i="86"/>
  <c r="Q78" i="86" s="1"/>
  <c r="AM76" i="86"/>
  <c r="AL133" i="79"/>
  <c r="G109" i="79"/>
  <c r="H109" i="79"/>
  <c r="L109" i="79"/>
  <c r="K109" i="79"/>
  <c r="J109" i="79"/>
  <c r="C265" i="66" l="1"/>
  <c r="AM77" i="86"/>
  <c r="B80" i="86"/>
  <c r="I79" i="86"/>
  <c r="Q79" i="86" s="1"/>
  <c r="AP102" i="79"/>
  <c r="N109" i="79"/>
  <c r="M109" i="79"/>
  <c r="C266" i="66" l="1"/>
  <c r="B81" i="86"/>
  <c r="I80" i="86"/>
  <c r="Q80" i="86" s="1"/>
  <c r="AM78" i="86"/>
  <c r="Q109" i="79"/>
  <c r="E96" i="78"/>
  <c r="R109" i="79"/>
  <c r="F96" i="78"/>
  <c r="H96" i="78"/>
  <c r="E120" i="65" s="1"/>
  <c r="G96" i="78"/>
  <c r="P109" i="79"/>
  <c r="D96" i="78"/>
  <c r="S109" i="79"/>
  <c r="C267" i="66" l="1"/>
  <c r="AM79" i="86"/>
  <c r="B82" i="86"/>
  <c r="I81" i="86"/>
  <c r="Q81" i="86" s="1"/>
  <c r="AQ102" i="79"/>
  <c r="X109" i="79"/>
  <c r="L96" i="78"/>
  <c r="V109" i="79"/>
  <c r="J96" i="78"/>
  <c r="N96" i="78"/>
  <c r="F120" i="65" s="1"/>
  <c r="M96" i="78"/>
  <c r="W109" i="79"/>
  <c r="K96" i="78"/>
  <c r="T109" i="79"/>
  <c r="Y109" i="79"/>
  <c r="C268" i="66" l="1"/>
  <c r="B83" i="86"/>
  <c r="I82" i="86"/>
  <c r="Q82" i="86" s="1"/>
  <c r="AM80" i="86"/>
  <c r="AR102" i="79"/>
  <c r="Z109" i="79"/>
  <c r="AB109" i="79"/>
  <c r="P96" i="78"/>
  <c r="AC109" i="79"/>
  <c r="Q96" i="78"/>
  <c r="AD109" i="79"/>
  <c r="R96" i="78"/>
  <c r="T96" i="78"/>
  <c r="G120" i="65" s="1"/>
  <c r="S96" i="78"/>
  <c r="AE109" i="79"/>
  <c r="C269" i="66" l="1"/>
  <c r="AF109" i="79"/>
  <c r="AM81" i="86"/>
  <c r="B84" i="86"/>
  <c r="I83" i="86"/>
  <c r="Q83" i="86" s="1"/>
  <c r="AT102" i="79"/>
  <c r="AF172" i="78"/>
  <c r="Z172" i="78"/>
  <c r="AL172" i="78"/>
  <c r="AI109" i="79"/>
  <c r="W96" i="78"/>
  <c r="AH109" i="79"/>
  <c r="V96" i="78"/>
  <c r="F112" i="79"/>
  <c r="E112" i="79"/>
  <c r="D112" i="79"/>
  <c r="C28" i="6" l="1"/>
  <c r="C270" i="66"/>
  <c r="B85" i="86"/>
  <c r="I84" i="86"/>
  <c r="Q84" i="86" s="1"/>
  <c r="AM82" i="86"/>
  <c r="X111" i="78"/>
  <c r="AV102" i="79"/>
  <c r="H112" i="79"/>
  <c r="G112" i="79"/>
  <c r="L112" i="79"/>
  <c r="K112" i="79"/>
  <c r="J112" i="79"/>
  <c r="C271" i="66" l="1"/>
  <c r="AM83" i="86"/>
  <c r="B86" i="86"/>
  <c r="I85" i="86"/>
  <c r="Q85" i="86" s="1"/>
  <c r="N112" i="79"/>
  <c r="X140" i="78"/>
  <c r="Z111" i="78"/>
  <c r="Z140" i="78" s="1"/>
  <c r="AJ176" i="79"/>
  <c r="AL134" i="79"/>
  <c r="AJ168" i="79"/>
  <c r="M112" i="79"/>
  <c r="R112" i="79"/>
  <c r="Q112" i="79"/>
  <c r="P112" i="79"/>
  <c r="C272" i="66" l="1"/>
  <c r="B87" i="86"/>
  <c r="I86" i="86"/>
  <c r="Q86" i="86" s="1"/>
  <c r="AM84" i="86"/>
  <c r="T112" i="79"/>
  <c r="S112" i="79"/>
  <c r="X112" i="79"/>
  <c r="W112" i="79"/>
  <c r="V112" i="79"/>
  <c r="C273" i="66" l="1"/>
  <c r="AM85" i="86"/>
  <c r="B88" i="86"/>
  <c r="I87" i="86"/>
  <c r="Q87" i="86" s="1"/>
  <c r="Z112" i="79"/>
  <c r="Y112" i="79"/>
  <c r="AD112" i="79"/>
  <c r="AC112" i="79"/>
  <c r="AB112" i="79"/>
  <c r="C274" i="66" l="1"/>
  <c r="B89" i="86"/>
  <c r="I88" i="86"/>
  <c r="Q88" i="86" s="1"/>
  <c r="AM86" i="86"/>
  <c r="AF112" i="79"/>
  <c r="AE112" i="79"/>
  <c r="AI112" i="79"/>
  <c r="AH112" i="79"/>
  <c r="C275" i="66" l="1"/>
  <c r="AM87" i="86"/>
  <c r="B90" i="86"/>
  <c r="I89" i="86"/>
  <c r="Q89" i="86" s="1"/>
  <c r="AL174" i="78"/>
  <c r="AF174" i="78"/>
  <c r="Z174" i="78"/>
  <c r="K113" i="79"/>
  <c r="AH113" i="79"/>
  <c r="AE113" i="79"/>
  <c r="D113" i="79"/>
  <c r="Y113" i="79"/>
  <c r="F113" i="79"/>
  <c r="AB113" i="79"/>
  <c r="V113" i="79"/>
  <c r="AI113" i="79"/>
  <c r="X113" i="79"/>
  <c r="G113" i="79"/>
  <c r="S113" i="79"/>
  <c r="L113" i="79"/>
  <c r="R113" i="79"/>
  <c r="J113" i="79"/>
  <c r="W113" i="79"/>
  <c r="Q113" i="79"/>
  <c r="E113" i="79"/>
  <c r="P113" i="79"/>
  <c r="AC113" i="79"/>
  <c r="AD113" i="79"/>
  <c r="M113" i="79"/>
  <c r="AF113" i="79"/>
  <c r="Z113" i="79"/>
  <c r="H113" i="79"/>
  <c r="T113" i="79"/>
  <c r="N113" i="79"/>
  <c r="F116" i="79"/>
  <c r="E116" i="79"/>
  <c r="D116" i="79"/>
  <c r="C276" i="66" l="1"/>
  <c r="B91" i="86"/>
  <c r="I90" i="86"/>
  <c r="Q90" i="86" s="1"/>
  <c r="AM88" i="86"/>
  <c r="G116" i="79"/>
  <c r="H116" i="79"/>
  <c r="L116" i="79"/>
  <c r="K116" i="79"/>
  <c r="J116" i="79"/>
  <c r="C277" i="66" l="1"/>
  <c r="AM89" i="86"/>
  <c r="B92" i="86"/>
  <c r="I91" i="86"/>
  <c r="Q91" i="86" s="1"/>
  <c r="N116" i="79"/>
  <c r="M116" i="79"/>
  <c r="R116" i="79"/>
  <c r="Q116" i="79"/>
  <c r="P116" i="79"/>
  <c r="C278" i="66" l="1"/>
  <c r="AM90" i="86"/>
  <c r="B93" i="86"/>
  <c r="I92" i="86"/>
  <c r="Q92" i="86" s="1"/>
  <c r="T116" i="79"/>
  <c r="S116" i="79"/>
  <c r="X116" i="79"/>
  <c r="W116" i="79"/>
  <c r="V116" i="79"/>
  <c r="C279" i="66" l="1"/>
  <c r="B94" i="86"/>
  <c r="I93" i="86"/>
  <c r="Q93" i="86" s="1"/>
  <c r="AM91" i="86"/>
  <c r="Z116" i="79"/>
  <c r="Y116" i="79"/>
  <c r="AD116" i="79"/>
  <c r="AC116" i="79"/>
  <c r="AB116" i="79"/>
  <c r="C43" i="6"/>
  <c r="C44" i="6" s="1"/>
  <c r="C280" i="66" l="1"/>
  <c r="AM92" i="86"/>
  <c r="B95" i="86"/>
  <c r="I94" i="86"/>
  <c r="Q94" i="86" s="1"/>
  <c r="AF116" i="79"/>
  <c r="AE116" i="79"/>
  <c r="AI116" i="79"/>
  <c r="AH116" i="79"/>
  <c r="C281" i="66" l="1"/>
  <c r="AM93" i="86"/>
  <c r="B96" i="86"/>
  <c r="I95" i="86"/>
  <c r="Q95" i="86" s="1"/>
  <c r="F39" i="78"/>
  <c r="F40" i="78" s="1"/>
  <c r="L117" i="79"/>
  <c r="AI117" i="79"/>
  <c r="K117" i="79"/>
  <c r="AH117" i="79"/>
  <c r="J117" i="79"/>
  <c r="AE117" i="79"/>
  <c r="G117" i="79"/>
  <c r="AD117" i="79"/>
  <c r="F117" i="79"/>
  <c r="AC117" i="79"/>
  <c r="E117" i="79"/>
  <c r="AB117" i="79"/>
  <c r="D117" i="79"/>
  <c r="Y117" i="79"/>
  <c r="X117" i="79"/>
  <c r="W117" i="79"/>
  <c r="V117" i="79"/>
  <c r="S117" i="79"/>
  <c r="R117" i="79"/>
  <c r="Q117" i="79"/>
  <c r="P117" i="79"/>
  <c r="M117" i="79"/>
  <c r="AF117" i="79"/>
  <c r="H117" i="79"/>
  <c r="Z117" i="79"/>
  <c r="T117" i="79"/>
  <c r="N117" i="79"/>
  <c r="C282" i="66" l="1"/>
  <c r="P73" i="78"/>
  <c r="K72" i="78"/>
  <c r="N73" i="78"/>
  <c r="N45" i="78"/>
  <c r="F65" i="65" s="1"/>
  <c r="N72" i="78"/>
  <c r="V18" i="84"/>
  <c r="Q72" i="78"/>
  <c r="Y18" i="84"/>
  <c r="K73" i="78"/>
  <c r="Q73" i="78"/>
  <c r="W72" i="78"/>
  <c r="Q68" i="79"/>
  <c r="W73" i="78"/>
  <c r="X73" i="78" s="1"/>
  <c r="Y73" i="78" s="1"/>
  <c r="T72" i="78"/>
  <c r="N57" i="78"/>
  <c r="N58" i="78" s="1"/>
  <c r="P18" i="84"/>
  <c r="P26" i="84"/>
  <c r="AI26" i="84"/>
  <c r="M18" i="84"/>
  <c r="F97" i="65"/>
  <c r="AE18" i="84"/>
  <c r="G94" i="65"/>
  <c r="F91" i="65"/>
  <c r="S26" i="84"/>
  <c r="N42" i="78"/>
  <c r="F62" i="65" s="1"/>
  <c r="S73" i="78"/>
  <c r="N51" i="78"/>
  <c r="F71" i="65" s="1"/>
  <c r="Z26" i="84"/>
  <c r="W26" i="84"/>
  <c r="F89" i="65"/>
  <c r="AC68" i="79"/>
  <c r="P72" i="78"/>
  <c r="S72" i="78"/>
  <c r="N18" i="84"/>
  <c r="N48" i="78"/>
  <c r="F68" i="65" s="1"/>
  <c r="K68" i="79"/>
  <c r="M73" i="78"/>
  <c r="M72" i="78"/>
  <c r="N54" i="78"/>
  <c r="N69" i="78"/>
  <c r="AB26" i="84"/>
  <c r="S18" i="84"/>
  <c r="D39" i="78"/>
  <c r="D79" i="78" s="1"/>
  <c r="G39" i="78"/>
  <c r="G79" i="78" s="1"/>
  <c r="AB18" i="84"/>
  <c r="S68" i="79"/>
  <c r="AB68" i="79"/>
  <c r="T112" i="78"/>
  <c r="G129" i="65" s="1"/>
  <c r="K26" i="84"/>
  <c r="K18" i="84"/>
  <c r="P68" i="79"/>
  <c r="Z68" i="79"/>
  <c r="N87" i="79"/>
  <c r="Y68" i="79"/>
  <c r="N39" i="78"/>
  <c r="F59" i="65" s="1"/>
  <c r="Z18" i="84"/>
  <c r="Y26" i="84"/>
  <c r="Q26" i="84"/>
  <c r="E39" i="78"/>
  <c r="E79" i="78" s="1"/>
  <c r="Q18" i="84"/>
  <c r="W68" i="79"/>
  <c r="W18" i="84"/>
  <c r="H112" i="78"/>
  <c r="E129" i="65" s="1"/>
  <c r="Z86" i="79"/>
  <c r="Z87" i="79"/>
  <c r="Z77" i="79"/>
  <c r="Z74" i="79"/>
  <c r="N74" i="79"/>
  <c r="N77" i="79"/>
  <c r="V26" i="84"/>
  <c r="N83" i="79"/>
  <c r="N132" i="78"/>
  <c r="N86" i="79"/>
  <c r="Z71" i="79"/>
  <c r="F94" i="65"/>
  <c r="Z83" i="79"/>
  <c r="V68" i="79"/>
  <c r="Z18" i="79"/>
  <c r="AC18" i="84"/>
  <c r="AC26" i="84"/>
  <c r="N68" i="79"/>
  <c r="N71" i="79"/>
  <c r="N66" i="78"/>
  <c r="N26" i="84"/>
  <c r="Z80" i="79"/>
  <c r="M68" i="79"/>
  <c r="N80" i="79"/>
  <c r="AE68" i="79"/>
  <c r="M26" i="84"/>
  <c r="AE26" i="84"/>
  <c r="AI68" i="79"/>
  <c r="AI18" i="84"/>
  <c r="G97" i="65"/>
  <c r="E97" i="65"/>
  <c r="T73" i="78"/>
  <c r="H48" i="78"/>
  <c r="E68" i="65" s="1"/>
  <c r="G89" i="65"/>
  <c r="D18" i="84"/>
  <c r="T45" i="78"/>
  <c r="G65" i="65" s="1"/>
  <c r="E89" i="65"/>
  <c r="E94" i="65"/>
  <c r="T42" i="78"/>
  <c r="G62" i="65" s="1"/>
  <c r="D24" i="6"/>
  <c r="D25" i="6" s="1"/>
  <c r="E91" i="65"/>
  <c r="H57" i="78"/>
  <c r="H58" i="78" s="1"/>
  <c r="H45" i="78"/>
  <c r="E65" i="65" s="1"/>
  <c r="T26" i="84"/>
  <c r="H18" i="79"/>
  <c r="T18" i="84"/>
  <c r="D68" i="79"/>
  <c r="D26" i="84"/>
  <c r="H66" i="78"/>
  <c r="T66" i="78"/>
  <c r="T68" i="79"/>
  <c r="AF26" i="84"/>
  <c r="T18" i="79"/>
  <c r="AF18" i="79"/>
  <c r="AF68" i="79"/>
  <c r="H132" i="78"/>
  <c r="T80" i="79"/>
  <c r="AF18" i="84"/>
  <c r="AF80" i="79"/>
  <c r="T132" i="78"/>
  <c r="G91" i="65"/>
  <c r="B97" i="86"/>
  <c r="I96" i="86"/>
  <c r="Q96" i="86" s="1"/>
  <c r="AM94" i="86"/>
  <c r="J26" i="84"/>
  <c r="N18" i="79"/>
  <c r="J18" i="84"/>
  <c r="J68" i="79"/>
  <c r="AH18" i="84"/>
  <c r="AH26" i="84"/>
  <c r="AH68" i="79"/>
  <c r="J73" i="78"/>
  <c r="V73" i="78"/>
  <c r="J72" i="78"/>
  <c r="V72" i="78"/>
  <c r="T69" i="78"/>
  <c r="T48" i="78"/>
  <c r="G68" i="65" s="1"/>
  <c r="K39" i="78"/>
  <c r="J39" i="78"/>
  <c r="L39" i="78"/>
  <c r="T39" i="78"/>
  <c r="G59" i="65" s="1"/>
  <c r="T57" i="78"/>
  <c r="M39" i="78"/>
  <c r="T51" i="78"/>
  <c r="G71" i="65" s="1"/>
  <c r="T54" i="78"/>
  <c r="N112" i="78"/>
  <c r="F129" i="65" s="1"/>
  <c r="N94" i="78"/>
  <c r="F118" i="65" s="1"/>
  <c r="F79" i="78"/>
  <c r="F115" i="78"/>
  <c r="F85" i="78"/>
  <c r="AF77" i="79"/>
  <c r="H42" i="78"/>
  <c r="H72" i="78"/>
  <c r="AF87" i="79"/>
  <c r="AF86" i="79"/>
  <c r="H51" i="78"/>
  <c r="AF83" i="79"/>
  <c r="H54" i="78"/>
  <c r="H73" i="78"/>
  <c r="H39" i="78"/>
  <c r="E59" i="65" s="1"/>
  <c r="E60" i="65" s="1"/>
  <c r="T77" i="79"/>
  <c r="H69" i="78"/>
  <c r="T71" i="79"/>
  <c r="T74" i="79"/>
  <c r="AF71" i="79"/>
  <c r="T87" i="79"/>
  <c r="T86" i="79"/>
  <c r="T83" i="79"/>
  <c r="AF74" i="79"/>
  <c r="F66" i="65" l="1"/>
  <c r="T55" i="78"/>
  <c r="E74" i="65"/>
  <c r="E75" i="65" s="1"/>
  <c r="H55" i="78"/>
  <c r="G86" i="65"/>
  <c r="G87" i="65" s="1"/>
  <c r="AU16" i="78"/>
  <c r="F86" i="65"/>
  <c r="F87" i="65" s="1"/>
  <c r="AT16" i="78"/>
  <c r="E86" i="65"/>
  <c r="E87" i="65" s="1"/>
  <c r="AS16" i="78"/>
  <c r="F74" i="65"/>
  <c r="F75" i="65" s="1"/>
  <c r="N55" i="78"/>
  <c r="C283" i="66"/>
  <c r="F63" i="65"/>
  <c r="D112" i="78"/>
  <c r="D115" i="78"/>
  <c r="N46" i="78"/>
  <c r="G95" i="65"/>
  <c r="N130" i="78"/>
  <c r="N134" i="78" s="1"/>
  <c r="G112" i="78"/>
  <c r="F95" i="65"/>
  <c r="F77" i="65"/>
  <c r="F78" i="65" s="1"/>
  <c r="D40" i="78"/>
  <c r="D85" i="78"/>
  <c r="G85" i="78"/>
  <c r="N82" i="78"/>
  <c r="F106" i="65" s="1"/>
  <c r="AJ87" i="79"/>
  <c r="N106" i="78"/>
  <c r="F121" i="65"/>
  <c r="G115" i="78"/>
  <c r="G40" i="78"/>
  <c r="F112" i="78"/>
  <c r="E40" i="78"/>
  <c r="E115" i="78"/>
  <c r="E112" i="78"/>
  <c r="E85" i="78"/>
  <c r="N115" i="78"/>
  <c r="F132" i="65" s="1"/>
  <c r="N85" i="78"/>
  <c r="F109" i="65" s="1"/>
  <c r="F92" i="65"/>
  <c r="N79" i="78"/>
  <c r="F103" i="65" s="1"/>
  <c r="F72" i="65"/>
  <c r="N70" i="78"/>
  <c r="N52" i="78"/>
  <c r="N67" i="78"/>
  <c r="N49" i="78"/>
  <c r="F98" i="65"/>
  <c r="F69" i="65"/>
  <c r="N43" i="78"/>
  <c r="E24" i="6"/>
  <c r="F24" i="6" s="1"/>
  <c r="T94" i="78"/>
  <c r="G118" i="65" s="1"/>
  <c r="T82" i="78"/>
  <c r="G106" i="65" s="1"/>
  <c r="E77" i="65"/>
  <c r="E78" i="65" s="1"/>
  <c r="E95" i="65"/>
  <c r="G66" i="65"/>
  <c r="T46" i="78"/>
  <c r="AM95" i="86"/>
  <c r="B98" i="86"/>
  <c r="I97" i="86"/>
  <c r="Q97" i="86" s="1"/>
  <c r="G60" i="65"/>
  <c r="H60" i="65"/>
  <c r="H94" i="78"/>
  <c r="E118" i="65" s="1"/>
  <c r="E62" i="65"/>
  <c r="G98" i="65"/>
  <c r="G69" i="65"/>
  <c r="G63" i="65"/>
  <c r="G92" i="65"/>
  <c r="E98" i="65"/>
  <c r="E121" i="65"/>
  <c r="E71" i="65"/>
  <c r="E72" i="65" s="1"/>
  <c r="G74" i="65"/>
  <c r="G75" i="65" s="1"/>
  <c r="G72" i="65"/>
  <c r="E92" i="65"/>
  <c r="F60" i="65"/>
  <c r="T58" i="78"/>
  <c r="G77" i="65"/>
  <c r="G78" i="65" s="1"/>
  <c r="E69" i="65"/>
  <c r="Z73" i="78"/>
  <c r="AL87" i="79" s="1"/>
  <c r="AK87" i="79"/>
  <c r="T67" i="78"/>
  <c r="Q39" i="78"/>
  <c r="S39" i="78"/>
  <c r="Y40" i="78"/>
  <c r="P39" i="78"/>
  <c r="R39" i="78"/>
  <c r="X40" i="78"/>
  <c r="G121" i="65"/>
  <c r="T52" i="78"/>
  <c r="T106" i="78"/>
  <c r="M40" i="78"/>
  <c r="M79" i="78"/>
  <c r="M115" i="78"/>
  <c r="M112" i="78"/>
  <c r="M85" i="78"/>
  <c r="T115" i="78"/>
  <c r="G132" i="65" s="1"/>
  <c r="T79" i="78"/>
  <c r="G103" i="65" s="1"/>
  <c r="T40" i="78"/>
  <c r="AU26" i="78" s="1"/>
  <c r="T85" i="78"/>
  <c r="G109" i="65" s="1"/>
  <c r="J40" i="78"/>
  <c r="J112" i="78"/>
  <c r="J115" i="78"/>
  <c r="J79" i="78"/>
  <c r="J85" i="78"/>
  <c r="K40" i="78"/>
  <c r="K85" i="78"/>
  <c r="K115" i="78"/>
  <c r="K112" i="78"/>
  <c r="K79" i="78"/>
  <c r="L40" i="78"/>
  <c r="L79" i="78"/>
  <c r="L112" i="78"/>
  <c r="L85" i="78"/>
  <c r="L115" i="78"/>
  <c r="T43" i="78"/>
  <c r="T49" i="78"/>
  <c r="T130" i="78"/>
  <c r="T134" i="78" s="1"/>
  <c r="T70" i="78"/>
  <c r="H115" i="78"/>
  <c r="E132" i="65" s="1"/>
  <c r="N40" i="78"/>
  <c r="AT26" i="78" s="1"/>
  <c r="H82" i="78"/>
  <c r="E106" i="65" s="1"/>
  <c r="H46" i="78"/>
  <c r="H106" i="78"/>
  <c r="H79" i="78"/>
  <c r="E103" i="65" s="1"/>
  <c r="H85" i="78"/>
  <c r="E109" i="65" s="1"/>
  <c r="H52" i="78"/>
  <c r="H67" i="78"/>
  <c r="H130" i="78"/>
  <c r="H134" i="78" s="1"/>
  <c r="H70" i="78"/>
  <c r="H40" i="78"/>
  <c r="AS26" i="78" s="1"/>
  <c r="H49" i="78"/>
  <c r="H43" i="78"/>
  <c r="H144" i="78" l="1"/>
  <c r="AS20" i="78" s="1"/>
  <c r="H121" i="78"/>
  <c r="T144" i="78"/>
  <c r="AU20" i="78" s="1"/>
  <c r="T121" i="78"/>
  <c r="N144" i="78"/>
  <c r="AT20" i="78" s="1"/>
  <c r="N121" i="78"/>
  <c r="C284" i="66"/>
  <c r="E35" i="6"/>
  <c r="G24" i="6"/>
  <c r="F35" i="6"/>
  <c r="F14" i="6" s="1"/>
  <c r="AM96" i="86"/>
  <c r="B99" i="86"/>
  <c r="I98" i="86"/>
  <c r="Q98" i="86" s="1"/>
  <c r="E11" i="65"/>
  <c r="E63" i="65"/>
  <c r="E66" i="65"/>
  <c r="AC73" i="78"/>
  <c r="W39" i="78"/>
  <c r="AC40" i="78"/>
  <c r="V39" i="78"/>
  <c r="AB40" i="78"/>
  <c r="R40" i="78"/>
  <c r="R85" i="78"/>
  <c r="R115" i="78"/>
  <c r="R112" i="78"/>
  <c r="R79" i="78"/>
  <c r="S40" i="78"/>
  <c r="S115" i="78"/>
  <c r="S79" i="78"/>
  <c r="S85" i="78"/>
  <c r="S112" i="78"/>
  <c r="P40" i="78"/>
  <c r="P85" i="78"/>
  <c r="P79" i="78"/>
  <c r="P112" i="78"/>
  <c r="P115" i="78"/>
  <c r="Q40" i="78"/>
  <c r="Q112" i="78"/>
  <c r="Q79" i="78"/>
  <c r="Q115" i="78"/>
  <c r="Q85" i="78"/>
  <c r="C285" i="66" l="1"/>
  <c r="H24" i="6"/>
  <c r="H35" i="6" s="1"/>
  <c r="G35" i="6"/>
  <c r="B100" i="86"/>
  <c r="I99" i="86"/>
  <c r="Q99" i="86" s="1"/>
  <c r="AM97" i="86"/>
  <c r="X112" i="78"/>
  <c r="AD73" i="78"/>
  <c r="AO87" i="79"/>
  <c r="AN87" i="79"/>
  <c r="V40" i="78"/>
  <c r="V112" i="78"/>
  <c r="V115" i="78"/>
  <c r="V85" i="78"/>
  <c r="Z39" i="78"/>
  <c r="Z97" i="78" s="1"/>
  <c r="V79" i="78"/>
  <c r="W40" i="78"/>
  <c r="W112" i="78"/>
  <c r="W79" i="78"/>
  <c r="W115" i="78"/>
  <c r="W85" i="78"/>
  <c r="H21" i="79"/>
  <c r="C286" i="66" l="1"/>
  <c r="B101" i="86"/>
  <c r="I100" i="86"/>
  <c r="Q100" i="86" s="1"/>
  <c r="AM98" i="86"/>
  <c r="AE73" i="78"/>
  <c r="X109" i="78"/>
  <c r="X72" i="78" s="1"/>
  <c r="Z118" i="78"/>
  <c r="AF40" i="78"/>
  <c r="AW26" i="78" s="1"/>
  <c r="Z115" i="78"/>
  <c r="Z40" i="78"/>
  <c r="AV26" i="78" s="1"/>
  <c r="Z85" i="78"/>
  <c r="Z79" i="78"/>
  <c r="Z112" i="78"/>
  <c r="AF112" i="78"/>
  <c r="D42" i="78"/>
  <c r="D94" i="78" s="1"/>
  <c r="G42" i="78"/>
  <c r="G94" i="78" s="1"/>
  <c r="F42" i="78"/>
  <c r="F94" i="78" s="1"/>
  <c r="E42" i="78"/>
  <c r="E94" i="78" s="1"/>
  <c r="T21" i="79"/>
  <c r="N21" i="79"/>
  <c r="C287" i="66" l="1"/>
  <c r="AM99" i="86"/>
  <c r="B102" i="86"/>
  <c r="I101" i="86"/>
  <c r="Q101" i="86" s="1"/>
  <c r="AL68" i="79"/>
  <c r="AL18" i="79"/>
  <c r="F82" i="78"/>
  <c r="AP87" i="79"/>
  <c r="AF73" i="78"/>
  <c r="AQ87" i="79"/>
  <c r="E43" i="78"/>
  <c r="G43" i="78"/>
  <c r="G82" i="78"/>
  <c r="E82" i="78"/>
  <c r="F43" i="78"/>
  <c r="W42" i="78"/>
  <c r="Q42" i="78"/>
  <c r="W45" i="78"/>
  <c r="L42" i="78"/>
  <c r="K45" i="78"/>
  <c r="M42" i="78"/>
  <c r="J42" i="78"/>
  <c r="R45" i="78"/>
  <c r="J45" i="78"/>
  <c r="R42" i="78"/>
  <c r="K42" i="78"/>
  <c r="V45" i="78"/>
  <c r="P45" i="78"/>
  <c r="S42" i="78"/>
  <c r="L45" i="78"/>
  <c r="P42" i="78"/>
  <c r="M45" i="78"/>
  <c r="V42" i="78"/>
  <c r="S45" i="78"/>
  <c r="Q45" i="78"/>
  <c r="D82" i="78"/>
  <c r="D43" i="78"/>
  <c r="E45" i="78"/>
  <c r="E46" i="78" s="1"/>
  <c r="G48" i="78"/>
  <c r="G49" i="78" s="1"/>
  <c r="D45" i="78"/>
  <c r="D46" i="78" s="1"/>
  <c r="F48" i="78"/>
  <c r="F49" i="78" s="1"/>
  <c r="F45" i="78"/>
  <c r="F46" i="78" s="1"/>
  <c r="D48" i="78"/>
  <c r="D49" i="78" s="1"/>
  <c r="E48" i="78"/>
  <c r="E49" i="78" s="1"/>
  <c r="G45" i="78"/>
  <c r="G46" i="78" s="1"/>
  <c r="T24" i="79"/>
  <c r="T23" i="79"/>
  <c r="N24" i="79"/>
  <c r="N23" i="79"/>
  <c r="H24" i="79"/>
  <c r="H23" i="79"/>
  <c r="Z23" i="79"/>
  <c r="AF23" i="79"/>
  <c r="AF22" i="79"/>
  <c r="M71" i="79"/>
  <c r="N22" i="79"/>
  <c r="J71" i="79"/>
  <c r="T22" i="79"/>
  <c r="P71" i="79"/>
  <c r="Z21" i="79"/>
  <c r="R71" i="79"/>
  <c r="L71" i="79"/>
  <c r="F71" i="79"/>
  <c r="Z22" i="79"/>
  <c r="K71" i="79"/>
  <c r="AL22" i="79"/>
  <c r="S71" i="79"/>
  <c r="AF21" i="79"/>
  <c r="G71" i="79"/>
  <c r="E71" i="79"/>
  <c r="Q71" i="79"/>
  <c r="H22" i="79"/>
  <c r="D71" i="79"/>
  <c r="C288" i="66" l="1"/>
  <c r="N15" i="6"/>
  <c r="N14" i="6"/>
  <c r="B103" i="86"/>
  <c r="I102" i="86"/>
  <c r="Q102" i="86" s="1"/>
  <c r="AM100" i="86"/>
  <c r="AJ86" i="79"/>
  <c r="Y108" i="78"/>
  <c r="Y109" i="78" s="1"/>
  <c r="J46" i="78"/>
  <c r="L46" i="78"/>
  <c r="AH73" i="78"/>
  <c r="AR60" i="79"/>
  <c r="W46" i="78"/>
  <c r="M46" i="78"/>
  <c r="Q46" i="78"/>
  <c r="S46" i="78"/>
  <c r="V48" i="78"/>
  <c r="W48" i="78"/>
  <c r="W49" i="78" s="1"/>
  <c r="Q48" i="78"/>
  <c r="Q49" i="78" s="1"/>
  <c r="P48" i="78"/>
  <c r="P49" i="78" s="1"/>
  <c r="K48" i="78"/>
  <c r="K49" i="78" s="1"/>
  <c r="M48" i="78"/>
  <c r="M49" i="78" s="1"/>
  <c r="S48" i="78"/>
  <c r="S49" i="78" s="1"/>
  <c r="J48" i="78"/>
  <c r="J49" i="78" s="1"/>
  <c r="R48" i="78"/>
  <c r="R49" i="78" s="1"/>
  <c r="L48" i="78"/>
  <c r="L49" i="78" s="1"/>
  <c r="V94" i="78"/>
  <c r="V82" i="78"/>
  <c r="V43" i="78"/>
  <c r="Z42" i="78"/>
  <c r="Z43" i="78" s="1"/>
  <c r="P94" i="78"/>
  <c r="P43" i="78"/>
  <c r="P82" i="78"/>
  <c r="P46" i="78"/>
  <c r="V46" i="78"/>
  <c r="Z45" i="78"/>
  <c r="R43" i="78"/>
  <c r="R82" i="78"/>
  <c r="R94" i="78"/>
  <c r="R46" i="78"/>
  <c r="J94" i="78"/>
  <c r="J82" i="78"/>
  <c r="J43" i="78"/>
  <c r="M82" i="78"/>
  <c r="M94" i="78"/>
  <c r="M43" i="78"/>
  <c r="K46" i="78"/>
  <c r="L82" i="78"/>
  <c r="L94" i="78"/>
  <c r="L43" i="78"/>
  <c r="K94" i="78"/>
  <c r="K43" i="78"/>
  <c r="K82" i="78"/>
  <c r="Q94" i="78"/>
  <c r="Q43" i="78"/>
  <c r="Q82" i="78"/>
  <c r="S82" i="78"/>
  <c r="S94" i="78"/>
  <c r="S43" i="78"/>
  <c r="W43" i="78"/>
  <c r="W94" i="78"/>
  <c r="W82" i="78"/>
  <c r="D51" i="78"/>
  <c r="D52" i="78" s="1"/>
  <c r="E51" i="78"/>
  <c r="E52" i="78" s="1"/>
  <c r="F51" i="78"/>
  <c r="F52" i="78" s="1"/>
  <c r="G51" i="78"/>
  <c r="G52" i="78" s="1"/>
  <c r="H27" i="79"/>
  <c r="AI71" i="79"/>
  <c r="AH71" i="79"/>
  <c r="AE71" i="79"/>
  <c r="AD71" i="79"/>
  <c r="AC71" i="79"/>
  <c r="AF24" i="79"/>
  <c r="AB71" i="79"/>
  <c r="Y71" i="79"/>
  <c r="X71" i="79"/>
  <c r="W71" i="79"/>
  <c r="Z24" i="79"/>
  <c r="V71" i="79"/>
  <c r="N27" i="79"/>
  <c r="T27" i="79"/>
  <c r="C289" i="66" l="1"/>
  <c r="N18" i="6"/>
  <c r="D18" i="6" s="1"/>
  <c r="AM101" i="86"/>
  <c r="B104" i="86"/>
  <c r="I103" i="86"/>
  <c r="Q103" i="86" s="1"/>
  <c r="AJ73" i="78"/>
  <c r="AL21" i="79"/>
  <c r="AR87" i="79"/>
  <c r="E106" i="78"/>
  <c r="F106" i="78"/>
  <c r="D106" i="78"/>
  <c r="G106" i="78"/>
  <c r="Z108" i="78"/>
  <c r="J57" i="78"/>
  <c r="J58" i="78" s="1"/>
  <c r="Q51" i="78"/>
  <c r="K57" i="78"/>
  <c r="K58" i="78" s="1"/>
  <c r="K51" i="78"/>
  <c r="J51" i="78"/>
  <c r="M51" i="78"/>
  <c r="V57" i="78"/>
  <c r="W57" i="78"/>
  <c r="W58" i="78" s="1"/>
  <c r="Q57" i="78"/>
  <c r="Q58" i="78" s="1"/>
  <c r="S57" i="78"/>
  <c r="S58" i="78" s="1"/>
  <c r="M57" i="78"/>
  <c r="M58" i="78" s="1"/>
  <c r="P57" i="78"/>
  <c r="P58" i="78" s="1"/>
  <c r="L51" i="78"/>
  <c r="W51" i="78"/>
  <c r="R57" i="78"/>
  <c r="R58" i="78" s="1"/>
  <c r="V51" i="78"/>
  <c r="S51" i="78"/>
  <c r="R51" i="78"/>
  <c r="L57" i="78"/>
  <c r="L58" i="78" s="1"/>
  <c r="P51" i="78"/>
  <c r="Z94" i="78"/>
  <c r="Z82" i="78"/>
  <c r="V49" i="78"/>
  <c r="Z48" i="78"/>
  <c r="Z54" i="78" s="1"/>
  <c r="X54" i="78" s="1"/>
  <c r="E54" i="78"/>
  <c r="E55" i="78" s="1"/>
  <c r="G57" i="78"/>
  <c r="G58" i="78" s="1"/>
  <c r="F57" i="78"/>
  <c r="F58" i="78" s="1"/>
  <c r="D57" i="78"/>
  <c r="D58" i="78" s="1"/>
  <c r="G54" i="78"/>
  <c r="G55" i="78" s="1"/>
  <c r="E57" i="78"/>
  <c r="E58" i="78" s="1"/>
  <c r="F54" i="78"/>
  <c r="F55" i="78" s="1"/>
  <c r="D54" i="78"/>
  <c r="D55" i="78" s="1"/>
  <c r="T29" i="79"/>
  <c r="N29" i="79"/>
  <c r="H29" i="79"/>
  <c r="T28" i="79"/>
  <c r="N28" i="79"/>
  <c r="AF28" i="79"/>
  <c r="Z28" i="79"/>
  <c r="AF27" i="79"/>
  <c r="Z27" i="79"/>
  <c r="H28" i="79"/>
  <c r="C290" i="66" l="1"/>
  <c r="B105" i="86"/>
  <c r="I104" i="86"/>
  <c r="Q104" i="86" s="1"/>
  <c r="AM102" i="86"/>
  <c r="Z49" i="78"/>
  <c r="AL23" i="79"/>
  <c r="AT87" i="79"/>
  <c r="AL73" i="78"/>
  <c r="AX87" i="79" s="1"/>
  <c r="AV87" i="79"/>
  <c r="Z109" i="78"/>
  <c r="Y72" i="78"/>
  <c r="W54" i="78"/>
  <c r="W55" i="78" s="1"/>
  <c r="R54" i="78"/>
  <c r="R55" i="78" s="1"/>
  <c r="M54" i="78"/>
  <c r="M55" i="78" s="1"/>
  <c r="Q54" i="78"/>
  <c r="Q55" i="78" s="1"/>
  <c r="L54" i="78"/>
  <c r="L55" i="78" s="1"/>
  <c r="P54" i="78"/>
  <c r="P55" i="78" s="1"/>
  <c r="S54" i="78"/>
  <c r="S55" i="78" s="1"/>
  <c r="V54" i="78"/>
  <c r="V55" i="78" s="1"/>
  <c r="J54" i="78"/>
  <c r="J55" i="78" s="1"/>
  <c r="K54" i="78"/>
  <c r="K55" i="78" s="1"/>
  <c r="S106" i="78"/>
  <c r="S52" i="78"/>
  <c r="V52" i="78"/>
  <c r="V106" i="78"/>
  <c r="Z51" i="78"/>
  <c r="Z52" i="78" s="1"/>
  <c r="W52" i="78"/>
  <c r="W106" i="78"/>
  <c r="M52" i="78"/>
  <c r="M106" i="78"/>
  <c r="J52" i="78"/>
  <c r="J106" i="78"/>
  <c r="K106" i="78"/>
  <c r="K52" i="78"/>
  <c r="L52" i="78"/>
  <c r="L106" i="78"/>
  <c r="V58" i="78"/>
  <c r="Q52" i="78"/>
  <c r="Q106" i="78"/>
  <c r="P106" i="78"/>
  <c r="P52" i="78"/>
  <c r="R52" i="78"/>
  <c r="R106" i="78"/>
  <c r="H31" i="79"/>
  <c r="AF29" i="79"/>
  <c r="Z29" i="79"/>
  <c r="C291" i="66" l="1"/>
  <c r="B106" i="86"/>
  <c r="I105" i="86"/>
  <c r="Q105" i="86" s="1"/>
  <c r="AM103" i="86"/>
  <c r="AK86" i="79"/>
  <c r="AB108" i="78"/>
  <c r="Z106" i="78"/>
  <c r="AL27" i="79"/>
  <c r="AL24" i="79"/>
  <c r="AL71" i="79"/>
  <c r="Z72" i="78"/>
  <c r="AL86" i="79" s="1"/>
  <c r="H30" i="79"/>
  <c r="N31" i="79"/>
  <c r="N30" i="79"/>
  <c r="C292" i="66" l="1"/>
  <c r="AM104" i="86"/>
  <c r="B107" i="86"/>
  <c r="I106" i="86"/>
  <c r="Q106" i="86" s="1"/>
  <c r="AL29" i="79"/>
  <c r="AB109" i="78"/>
  <c r="T31" i="79"/>
  <c r="C293" i="66" l="1"/>
  <c r="B108" i="86"/>
  <c r="I107" i="86"/>
  <c r="Q107" i="86" s="1"/>
  <c r="AM105" i="86"/>
  <c r="AB72" i="78"/>
  <c r="T30" i="79"/>
  <c r="Z31" i="79"/>
  <c r="C294" i="66" l="1"/>
  <c r="B109" i="86"/>
  <c r="I108" i="86"/>
  <c r="Q108" i="86" s="1"/>
  <c r="AM106" i="86"/>
  <c r="AN86" i="79"/>
  <c r="AC108" i="78"/>
  <c r="Z30" i="79"/>
  <c r="AF31" i="79"/>
  <c r="C295" i="66" l="1"/>
  <c r="AM107" i="86"/>
  <c r="B110" i="86"/>
  <c r="I109" i="86"/>
  <c r="Q109" i="86" s="1"/>
  <c r="AC109" i="78"/>
  <c r="AF30" i="79"/>
  <c r="C296" i="66" l="1"/>
  <c r="B111" i="86"/>
  <c r="I110" i="86"/>
  <c r="Q110" i="86" s="1"/>
  <c r="AM108" i="86"/>
  <c r="AC72" i="78"/>
  <c r="M69" i="78"/>
  <c r="L69" i="78"/>
  <c r="Q69" i="78"/>
  <c r="P66" i="78"/>
  <c r="P67" i="78" s="1"/>
  <c r="Q66" i="78"/>
  <c r="Q67" i="78" s="1"/>
  <c r="V69" i="78"/>
  <c r="V130" i="78" s="1"/>
  <c r="R69" i="78"/>
  <c r="R66" i="78"/>
  <c r="R67" i="78" s="1"/>
  <c r="S66" i="78"/>
  <c r="S67" i="78" s="1"/>
  <c r="M66" i="78"/>
  <c r="M67" i="78" s="1"/>
  <c r="P69" i="78"/>
  <c r="J69" i="78"/>
  <c r="L66" i="78"/>
  <c r="L67" i="78" s="1"/>
  <c r="W69" i="78"/>
  <c r="W130" i="78" s="1"/>
  <c r="J66" i="78"/>
  <c r="J67" i="78" s="1"/>
  <c r="K69" i="78"/>
  <c r="S69" i="78"/>
  <c r="K66" i="78"/>
  <c r="K67" i="78" s="1"/>
  <c r="W66" i="78"/>
  <c r="W67" i="78" s="1"/>
  <c r="V66" i="78"/>
  <c r="D66" i="78"/>
  <c r="D67" i="78" s="1"/>
  <c r="F69" i="78"/>
  <c r="F130" i="78" s="1"/>
  <c r="G66" i="78"/>
  <c r="G67" i="78" s="1"/>
  <c r="E69" i="78"/>
  <c r="E130" i="78" s="1"/>
  <c r="F66" i="78"/>
  <c r="F67" i="78" s="1"/>
  <c r="E66" i="78"/>
  <c r="E67" i="78" s="1"/>
  <c r="D69" i="78"/>
  <c r="D130" i="78" s="1"/>
  <c r="G69" i="78"/>
  <c r="G70" i="78" s="1"/>
  <c r="AI74" i="79"/>
  <c r="AL39" i="79"/>
  <c r="Z36" i="79"/>
  <c r="AD74" i="79"/>
  <c r="Z33" i="79"/>
  <c r="AL38" i="79"/>
  <c r="T36" i="79"/>
  <c r="X74" i="79"/>
  <c r="W74" i="79"/>
  <c r="AF38" i="79"/>
  <c r="Z38" i="79"/>
  <c r="H39" i="79"/>
  <c r="AE74" i="79"/>
  <c r="H38" i="79"/>
  <c r="Y74" i="79"/>
  <c r="T33" i="79"/>
  <c r="AL37" i="79"/>
  <c r="S74" i="79"/>
  <c r="N33" i="79"/>
  <c r="AL36" i="79"/>
  <c r="M74" i="79"/>
  <c r="K74" i="79"/>
  <c r="AL32" i="79"/>
  <c r="AH74" i="79"/>
  <c r="T37" i="79"/>
  <c r="AC74" i="79"/>
  <c r="AF39" i="79"/>
  <c r="Z32" i="79"/>
  <c r="V74" i="79"/>
  <c r="H37" i="79"/>
  <c r="Q74" i="79"/>
  <c r="H36" i="79"/>
  <c r="T32" i="79"/>
  <c r="P74" i="79"/>
  <c r="AF37" i="79"/>
  <c r="L74" i="79"/>
  <c r="H33" i="79"/>
  <c r="N32" i="79"/>
  <c r="J74" i="79"/>
  <c r="AF33" i="79"/>
  <c r="N38" i="79"/>
  <c r="AF32" i="79"/>
  <c r="AB74" i="79"/>
  <c r="N37" i="79"/>
  <c r="Z39" i="79"/>
  <c r="N36" i="79"/>
  <c r="R74" i="79"/>
  <c r="T39" i="79"/>
  <c r="H41" i="79"/>
  <c r="N39" i="79"/>
  <c r="T38" i="79"/>
  <c r="Z37" i="79"/>
  <c r="AF36" i="79"/>
  <c r="F74" i="79"/>
  <c r="H32" i="79"/>
  <c r="D74" i="79"/>
  <c r="G74" i="79"/>
  <c r="E74" i="79"/>
  <c r="C297" i="66" l="1"/>
  <c r="B112" i="86"/>
  <c r="I111" i="86"/>
  <c r="Q111" i="86" s="1"/>
  <c r="AM109" i="86"/>
  <c r="F70" i="78"/>
  <c r="AO86" i="79"/>
  <c r="E70" i="78"/>
  <c r="AD108" i="78"/>
  <c r="W70" i="78"/>
  <c r="P130" i="78"/>
  <c r="P70" i="78"/>
  <c r="R130" i="78"/>
  <c r="R70" i="78"/>
  <c r="V70" i="78"/>
  <c r="K130" i="78"/>
  <c r="K70" i="78"/>
  <c r="J130" i="78"/>
  <c r="J70" i="78"/>
  <c r="Q130" i="78"/>
  <c r="Q70" i="78"/>
  <c r="L130" i="78"/>
  <c r="L70" i="78"/>
  <c r="S130" i="78"/>
  <c r="S70" i="78"/>
  <c r="V67" i="78"/>
  <c r="Z66" i="78"/>
  <c r="Z67" i="78" s="1"/>
  <c r="M130" i="78"/>
  <c r="M70" i="78"/>
  <c r="G130" i="78"/>
  <c r="D70" i="78"/>
  <c r="H40" i="79"/>
  <c r="N41" i="79"/>
  <c r="N40" i="79"/>
  <c r="C298" i="66" l="1"/>
  <c r="AM110" i="86"/>
  <c r="B113" i="86"/>
  <c r="I112" i="86"/>
  <c r="Q112" i="86" s="1"/>
  <c r="AL30" i="79"/>
  <c r="AD109" i="78"/>
  <c r="T41" i="79"/>
  <c r="T40" i="79"/>
  <c r="C299" i="66" l="1"/>
  <c r="AM111" i="86"/>
  <c r="B114" i="86"/>
  <c r="I113" i="86"/>
  <c r="Q113" i="86" s="1"/>
  <c r="AD72" i="78"/>
  <c r="AE108" i="78" s="1"/>
  <c r="Z41" i="79"/>
  <c r="C300" i="66" l="1"/>
  <c r="AM112" i="86"/>
  <c r="B115" i="86"/>
  <c r="I114" i="86"/>
  <c r="Q114" i="86" s="1"/>
  <c r="AP86" i="79"/>
  <c r="Z40" i="79"/>
  <c r="AF41" i="79"/>
  <c r="C301" i="66" l="1"/>
  <c r="B116" i="86"/>
  <c r="I115" i="86"/>
  <c r="Q115" i="86" s="1"/>
  <c r="AM113" i="86"/>
  <c r="AE109" i="78"/>
  <c r="AF108" i="78"/>
  <c r="AF40" i="79"/>
  <c r="AL41" i="79"/>
  <c r="AL40" i="79"/>
  <c r="C302" i="66" l="1"/>
  <c r="AM114" i="86"/>
  <c r="B117" i="86"/>
  <c r="I116" i="86"/>
  <c r="Q116" i="86" s="1"/>
  <c r="AE72" i="78"/>
  <c r="AH108" i="78" s="1"/>
  <c r="AF109" i="78"/>
  <c r="J132" i="78"/>
  <c r="J134" i="78" s="1"/>
  <c r="P132" i="78"/>
  <c r="P134" i="78" s="1"/>
  <c r="R132" i="78"/>
  <c r="R134" i="78" s="1"/>
  <c r="L132" i="78"/>
  <c r="L134" i="78" s="1"/>
  <c r="M132" i="78"/>
  <c r="M134" i="78" s="1"/>
  <c r="W132" i="78"/>
  <c r="W134" i="78" s="1"/>
  <c r="Q132" i="78"/>
  <c r="Q134" i="78" s="1"/>
  <c r="V132" i="78"/>
  <c r="S132" i="78"/>
  <c r="S134" i="78" s="1"/>
  <c r="K132" i="78"/>
  <c r="K134" i="78" s="1"/>
  <c r="E132" i="78"/>
  <c r="E134" i="78" s="1"/>
  <c r="F132" i="78"/>
  <c r="F134" i="78" s="1"/>
  <c r="G132" i="78"/>
  <c r="G134" i="78" s="1"/>
  <c r="D132" i="78"/>
  <c r="D134" i="78" s="1"/>
  <c r="X77" i="79"/>
  <c r="H47" i="79"/>
  <c r="S77" i="79"/>
  <c r="R77" i="79"/>
  <c r="N45" i="79"/>
  <c r="M77" i="79"/>
  <c r="L77" i="79"/>
  <c r="AL45" i="79"/>
  <c r="E77" i="79"/>
  <c r="AL42" i="79"/>
  <c r="AH77" i="79"/>
  <c r="AE77" i="79"/>
  <c r="AD77" i="79"/>
  <c r="Y77" i="79"/>
  <c r="T45" i="79"/>
  <c r="T42" i="79"/>
  <c r="P77" i="79"/>
  <c r="K77" i="79"/>
  <c r="N42" i="79"/>
  <c r="J77" i="79"/>
  <c r="F77" i="79"/>
  <c r="AF45" i="79"/>
  <c r="AC77" i="79"/>
  <c r="W77" i="79"/>
  <c r="Z42" i="79"/>
  <c r="V77" i="79"/>
  <c r="Q77" i="79"/>
  <c r="H45" i="79"/>
  <c r="G77" i="79"/>
  <c r="AI77" i="79"/>
  <c r="H42" i="79"/>
  <c r="D77" i="79"/>
  <c r="Z45" i="79"/>
  <c r="AF42" i="79"/>
  <c r="AB77" i="79"/>
  <c r="G80" i="79"/>
  <c r="F80" i="79"/>
  <c r="E80" i="79"/>
  <c r="G144" i="78" l="1"/>
  <c r="G121" i="78"/>
  <c r="E144" i="78"/>
  <c r="E121" i="78"/>
  <c r="R144" i="78"/>
  <c r="R121" i="78"/>
  <c r="D144" i="78"/>
  <c r="D121" i="78"/>
  <c r="K144" i="78"/>
  <c r="K121" i="78"/>
  <c r="L144" i="78"/>
  <c r="L121" i="78"/>
  <c r="S144" i="78"/>
  <c r="S121" i="78"/>
  <c r="Q144" i="78"/>
  <c r="Q121" i="78"/>
  <c r="M144" i="78"/>
  <c r="M121" i="78"/>
  <c r="J144" i="78"/>
  <c r="J121" i="78"/>
  <c r="F144" i="78"/>
  <c r="F121" i="78"/>
  <c r="W144" i="78"/>
  <c r="W121" i="78"/>
  <c r="P144" i="78"/>
  <c r="P121" i="78"/>
  <c r="C303" i="66"/>
  <c r="B118" i="86"/>
  <c r="I117" i="86"/>
  <c r="Q117" i="86" s="1"/>
  <c r="AM115" i="86"/>
  <c r="AQ86" i="79"/>
  <c r="V134" i="78"/>
  <c r="D32" i="6"/>
  <c r="D33" i="6" s="1"/>
  <c r="AF72" i="78"/>
  <c r="H46" i="79"/>
  <c r="N47" i="79"/>
  <c r="D80" i="79"/>
  <c r="M80" i="79"/>
  <c r="L80" i="79"/>
  <c r="K80" i="79"/>
  <c r="AH109" i="78" l="1"/>
  <c r="AH72" i="78" s="1"/>
  <c r="V144" i="78"/>
  <c r="V121" i="78"/>
  <c r="C304" i="66"/>
  <c r="AM116" i="86"/>
  <c r="B119" i="86"/>
  <c r="I118" i="86"/>
  <c r="Q118" i="86" s="1"/>
  <c r="AR86" i="79"/>
  <c r="AR59" i="79"/>
  <c r="T47" i="79"/>
  <c r="N46" i="79"/>
  <c r="J80" i="79"/>
  <c r="S80" i="79"/>
  <c r="R80" i="79"/>
  <c r="Q80" i="79"/>
  <c r="AJ108" i="78" l="1"/>
  <c r="C305" i="66"/>
  <c r="B120" i="86"/>
  <c r="I119" i="86"/>
  <c r="Q119" i="86" s="1"/>
  <c r="AM117" i="86"/>
  <c r="AT86" i="79"/>
  <c r="Z47" i="79"/>
  <c r="T46" i="79"/>
  <c r="P80" i="79"/>
  <c r="Y80" i="79"/>
  <c r="X80" i="79"/>
  <c r="W80" i="79"/>
  <c r="AJ109" i="78" l="1"/>
  <c r="AJ72" i="78" s="1"/>
  <c r="AL108" i="78" s="1"/>
  <c r="AL109" i="78" s="1"/>
  <c r="AL72" i="78" s="1"/>
  <c r="C306" i="66"/>
  <c r="AM118" i="86"/>
  <c r="B121" i="86"/>
  <c r="I120" i="86"/>
  <c r="Q120" i="86" s="1"/>
  <c r="AV86" i="79"/>
  <c r="AF47" i="79"/>
  <c r="Z46" i="79"/>
  <c r="V80" i="79"/>
  <c r="AE80" i="79"/>
  <c r="AD80" i="79"/>
  <c r="AC80" i="79"/>
  <c r="AX86" i="79" l="1"/>
  <c r="AL176" i="78"/>
  <c r="AF176" i="78"/>
  <c r="Z176" i="78"/>
  <c r="C307" i="66"/>
  <c r="B122" i="86"/>
  <c r="I121" i="86"/>
  <c r="Q121" i="86" s="1"/>
  <c r="AM119" i="86"/>
  <c r="AL47" i="79"/>
  <c r="AF46" i="79"/>
  <c r="AB80" i="79"/>
  <c r="AI80" i="79"/>
  <c r="C308" i="66" l="1"/>
  <c r="B123" i="86"/>
  <c r="I122" i="86"/>
  <c r="Q122" i="86" s="1"/>
  <c r="AM120" i="86"/>
  <c r="Z50" i="79"/>
  <c r="AL50" i="79"/>
  <c r="N50" i="79"/>
  <c r="H50" i="79"/>
  <c r="T50" i="79"/>
  <c r="AF50" i="79"/>
  <c r="AL46" i="79"/>
  <c r="AH80" i="79"/>
  <c r="C309" i="66" l="1"/>
  <c r="AM121" i="86"/>
  <c r="B124" i="86"/>
  <c r="I123" i="86"/>
  <c r="Q123" i="86" s="1"/>
  <c r="G73" i="78"/>
  <c r="E72" i="78"/>
  <c r="D72" i="78"/>
  <c r="F73" i="78"/>
  <c r="G72" i="78"/>
  <c r="D73" i="78"/>
  <c r="E73" i="78"/>
  <c r="F72" i="78"/>
  <c r="D86" i="79"/>
  <c r="AF60" i="79"/>
  <c r="AF59" i="79"/>
  <c r="Z59" i="79"/>
  <c r="N60" i="79"/>
  <c r="AL60" i="79"/>
  <c r="H60" i="79"/>
  <c r="N59" i="79"/>
  <c r="H59" i="79"/>
  <c r="AL59" i="79"/>
  <c r="T60" i="79"/>
  <c r="Z60" i="79"/>
  <c r="T59" i="79"/>
  <c r="T55" i="79"/>
  <c r="Y83" i="79"/>
  <c r="Z51" i="79"/>
  <c r="V83" i="79"/>
  <c r="L87" i="79"/>
  <c r="L86" i="79"/>
  <c r="H55" i="79"/>
  <c r="L83" i="79"/>
  <c r="E86" i="79"/>
  <c r="E87" i="79"/>
  <c r="K83" i="79"/>
  <c r="Z56" i="79"/>
  <c r="AF55" i="79"/>
  <c r="AH86" i="79"/>
  <c r="AL52" i="79"/>
  <c r="AH87" i="79"/>
  <c r="H52" i="79"/>
  <c r="D87" i="79"/>
  <c r="N51" i="79"/>
  <c r="J83" i="79"/>
  <c r="AE87" i="79"/>
  <c r="AE86" i="79"/>
  <c r="G83" i="79"/>
  <c r="AD87" i="79"/>
  <c r="AD86" i="79"/>
  <c r="F83" i="79"/>
  <c r="AC86" i="79"/>
  <c r="AC87" i="79"/>
  <c r="AI83" i="79"/>
  <c r="E83" i="79"/>
  <c r="T56" i="79"/>
  <c r="Z55" i="79"/>
  <c r="AB86" i="79"/>
  <c r="AF52" i="79"/>
  <c r="AB87" i="79"/>
  <c r="AL51" i="79"/>
  <c r="AH83" i="79"/>
  <c r="H51" i="79"/>
  <c r="D83" i="79"/>
  <c r="AF51" i="79"/>
  <c r="AB83" i="79"/>
  <c r="R87" i="79"/>
  <c r="R86" i="79"/>
  <c r="W83" i="79"/>
  <c r="H56" i="79"/>
  <c r="M87" i="79"/>
  <c r="M86" i="79"/>
  <c r="AF56" i="79"/>
  <c r="T51" i="79"/>
  <c r="P83" i="79"/>
  <c r="G86" i="79"/>
  <c r="G87" i="79"/>
  <c r="Y87" i="79"/>
  <c r="Y86" i="79"/>
  <c r="AE83" i="79"/>
  <c r="V86" i="79"/>
  <c r="Z52" i="79"/>
  <c r="V87" i="79"/>
  <c r="Q86" i="79"/>
  <c r="Q87" i="79"/>
  <c r="AL56" i="79"/>
  <c r="P86" i="79"/>
  <c r="T52" i="79"/>
  <c r="P87" i="79"/>
  <c r="R83" i="79"/>
  <c r="K86" i="79"/>
  <c r="K87" i="79"/>
  <c r="AL55" i="79"/>
  <c r="M83" i="79"/>
  <c r="AI87" i="79"/>
  <c r="AI86" i="79"/>
  <c r="X87" i="79"/>
  <c r="X86" i="79"/>
  <c r="AD83" i="79"/>
  <c r="N56" i="79"/>
  <c r="S87" i="79"/>
  <c r="S86" i="79"/>
  <c r="X83" i="79"/>
  <c r="N55" i="79"/>
  <c r="S83" i="79"/>
  <c r="Q83" i="79"/>
  <c r="J86" i="79"/>
  <c r="N52" i="79"/>
  <c r="J87" i="79"/>
  <c r="F86" i="79"/>
  <c r="F87" i="79"/>
  <c r="W86" i="79"/>
  <c r="W87" i="79"/>
  <c r="AC83" i="79"/>
  <c r="C310" i="66" l="1"/>
  <c r="AM122" i="86"/>
  <c r="B125" i="86"/>
  <c r="I124" i="86"/>
  <c r="Q124" i="86" s="1"/>
  <c r="D19" i="6"/>
  <c r="L173" i="65"/>
  <c r="E100" i="65"/>
  <c r="E123" i="65"/>
  <c r="F57" i="65"/>
  <c r="G57" i="65" s="1"/>
  <c r="F38" i="65"/>
  <c r="G38" i="65" s="1"/>
  <c r="H38" i="65" s="1"/>
  <c r="I38" i="65" s="1"/>
  <c r="J38" i="65" s="1"/>
  <c r="K38" i="65" s="1"/>
  <c r="L38" i="65" s="1"/>
  <c r="C311" i="66" l="1"/>
  <c r="B126" i="86"/>
  <c r="I125" i="86"/>
  <c r="Q125" i="86" s="1"/>
  <c r="AM123" i="86"/>
  <c r="G123" i="65"/>
  <c r="H57" i="65"/>
  <c r="G100" i="65"/>
  <c r="F123" i="65"/>
  <c r="F100" i="65"/>
  <c r="C312" i="66" l="1"/>
  <c r="AM124" i="86"/>
  <c r="B127" i="86"/>
  <c r="I126" i="86"/>
  <c r="Q126" i="86" s="1"/>
  <c r="H123" i="65"/>
  <c r="I57" i="65"/>
  <c r="H134" i="65"/>
  <c r="H142" i="65" s="1"/>
  <c r="H100" i="65"/>
  <c r="C313" i="66" l="1"/>
  <c r="AM125" i="86"/>
  <c r="B128" i="86"/>
  <c r="I127" i="86"/>
  <c r="Q127" i="86" s="1"/>
  <c r="I123" i="65"/>
  <c r="J57" i="65"/>
  <c r="I134" i="65"/>
  <c r="I142" i="65" s="1"/>
  <c r="I100" i="65"/>
  <c r="C314" i="66" l="1"/>
  <c r="AM126" i="86"/>
  <c r="B129" i="86"/>
  <c r="I128" i="86"/>
  <c r="Q128" i="86" s="1"/>
  <c r="J100" i="65"/>
  <c r="J123" i="65"/>
  <c r="K57" i="65"/>
  <c r="J134" i="65"/>
  <c r="J142" i="65" s="1"/>
  <c r="C315" i="66" l="1"/>
  <c r="B130" i="86"/>
  <c r="I129" i="86"/>
  <c r="Q129" i="86" s="1"/>
  <c r="AM127" i="86"/>
  <c r="K100" i="65"/>
  <c r="L57" i="65"/>
  <c r="K123" i="65"/>
  <c r="K134" i="65"/>
  <c r="K142" i="65" s="1"/>
  <c r="C316" i="66" l="1"/>
  <c r="B131" i="86"/>
  <c r="I130" i="86"/>
  <c r="Q130" i="86" s="1"/>
  <c r="AM128" i="86"/>
  <c r="L100" i="65"/>
  <c r="L123" i="65"/>
  <c r="L134" i="65"/>
  <c r="L142" i="65" s="1"/>
  <c r="C317" i="66" l="1"/>
  <c r="B132" i="86"/>
  <c r="I131" i="86"/>
  <c r="Q131" i="86" s="1"/>
  <c r="AM129" i="86"/>
  <c r="C318" i="66" l="1"/>
  <c r="B133" i="86"/>
  <c r="I132" i="86"/>
  <c r="Q132" i="86" s="1"/>
  <c r="AM130" i="86"/>
  <c r="C319" i="66" l="1"/>
  <c r="AM131" i="86"/>
  <c r="B134" i="86"/>
  <c r="I133" i="86"/>
  <c r="Q133" i="86" s="1"/>
  <c r="C320" i="66" l="1"/>
  <c r="AM132" i="86"/>
  <c r="B135" i="86"/>
  <c r="I134" i="86"/>
  <c r="Q134" i="86" s="1"/>
  <c r="C321" i="66" l="1"/>
  <c r="B136" i="86"/>
  <c r="I135" i="86"/>
  <c r="Q135" i="86" s="1"/>
  <c r="AM133" i="86"/>
  <c r="C322" i="66" l="1"/>
  <c r="AM134" i="86"/>
  <c r="B137" i="86"/>
  <c r="I136" i="86"/>
  <c r="Q136" i="86" s="1"/>
  <c r="C323" i="66" l="1"/>
  <c r="AM135" i="86"/>
  <c r="B138" i="86"/>
  <c r="I137" i="86"/>
  <c r="Q137" i="86" s="1"/>
  <c r="C324" i="66" l="1"/>
  <c r="AM136" i="86"/>
  <c r="B139" i="86"/>
  <c r="I138" i="86"/>
  <c r="Q138" i="86" s="1"/>
  <c r="C325" i="66" l="1"/>
  <c r="AM137" i="86"/>
  <c r="B140" i="86"/>
  <c r="I139" i="86"/>
  <c r="Q139" i="86" s="1"/>
  <c r="D59" i="65"/>
  <c r="C326" i="66" l="1"/>
  <c r="B141" i="86"/>
  <c r="I140" i="86"/>
  <c r="Q140" i="86" s="1"/>
  <c r="AM138" i="86"/>
  <c r="C327" i="66" l="1"/>
  <c r="AM139" i="86"/>
  <c r="B142" i="86"/>
  <c r="I141" i="86"/>
  <c r="Q141" i="86" s="1"/>
  <c r="J27" i="65"/>
  <c r="C328" i="66" l="1"/>
  <c r="B143" i="86"/>
  <c r="I142" i="86"/>
  <c r="Q142" i="86" s="1"/>
  <c r="AM140" i="86"/>
  <c r="E29" i="6"/>
  <c r="E14" i="6"/>
  <c r="E13" i="65"/>
  <c r="C329" i="66" l="1"/>
  <c r="AM141" i="86"/>
  <c r="B144" i="86"/>
  <c r="I143" i="86"/>
  <c r="Q143" i="86" s="1"/>
  <c r="H62" i="65"/>
  <c r="L11" i="65"/>
  <c r="E15" i="65"/>
  <c r="J28" i="65" s="1"/>
  <c r="L13" i="65"/>
  <c r="L12" i="65"/>
  <c r="E17" i="65"/>
  <c r="J30" i="65" s="1"/>
  <c r="K30" i="65" s="1"/>
  <c r="K27" i="65"/>
  <c r="C330" i="66" l="1"/>
  <c r="AM142" i="86"/>
  <c r="B145" i="86"/>
  <c r="I144" i="86"/>
  <c r="Q144" i="86" s="1"/>
  <c r="H65" i="65"/>
  <c r="H68" i="65" s="1"/>
  <c r="H117" i="65"/>
  <c r="H105" i="65"/>
  <c r="H139" i="65"/>
  <c r="C29" i="65"/>
  <c r="G160" i="65"/>
  <c r="H157" i="65" s="1"/>
  <c r="H158" i="65" s="1"/>
  <c r="K28" i="65"/>
  <c r="J34" i="65"/>
  <c r="C27" i="65"/>
  <c r="G148" i="65"/>
  <c r="C28" i="65"/>
  <c r="G154" i="65"/>
  <c r="H151" i="65" s="1"/>
  <c r="H152" i="65" s="1"/>
  <c r="H128" i="65" l="1"/>
  <c r="H138" i="65" s="1"/>
  <c r="C331" i="66"/>
  <c r="AM143" i="86"/>
  <c r="B146" i="86"/>
  <c r="I145" i="86"/>
  <c r="Q145" i="86" s="1"/>
  <c r="H74" i="65"/>
  <c r="H114" i="65" s="1"/>
  <c r="I83" i="65" s="1"/>
  <c r="H69" i="65"/>
  <c r="H111" i="65"/>
  <c r="H125" i="65"/>
  <c r="I62" i="65"/>
  <c r="I139" i="65"/>
  <c r="H145" i="65"/>
  <c r="G166" i="65"/>
  <c r="D27" i="65"/>
  <c r="C30" i="65"/>
  <c r="D29" i="65"/>
  <c r="L30" i="65"/>
  <c r="L34" i="65"/>
  <c r="K34" i="65"/>
  <c r="C34" i="65"/>
  <c r="E27" i="65" s="1"/>
  <c r="L27" i="65"/>
  <c r="D28" i="65"/>
  <c r="L28" i="65"/>
  <c r="H129" i="65" l="1"/>
  <c r="C332" i="66"/>
  <c r="H86" i="65"/>
  <c r="B147" i="86"/>
  <c r="I146" i="86"/>
  <c r="Q146" i="86" s="1"/>
  <c r="AM144" i="86"/>
  <c r="H126" i="65"/>
  <c r="I65" i="65"/>
  <c r="I68" i="65" s="1"/>
  <c r="I69" i="65" s="1"/>
  <c r="I80" i="65"/>
  <c r="I77" i="65" s="1"/>
  <c r="I125" i="65" s="1"/>
  <c r="H78" i="65"/>
  <c r="I117" i="65"/>
  <c r="I105" i="65"/>
  <c r="E28" i="65"/>
  <c r="H137" i="65"/>
  <c r="E29" i="65"/>
  <c r="J62" i="65"/>
  <c r="J139" i="65"/>
  <c r="H163" i="65"/>
  <c r="H146" i="65"/>
  <c r="H164" i="65" s="1"/>
  <c r="H89" i="65" s="1"/>
  <c r="D30" i="65"/>
  <c r="E30" i="65"/>
  <c r="C32" i="65"/>
  <c r="E34" i="65"/>
  <c r="D34" i="65"/>
  <c r="C333" i="66" l="1"/>
  <c r="I74" i="65"/>
  <c r="AM145" i="86"/>
  <c r="B148" i="86"/>
  <c r="I147" i="86"/>
  <c r="Q147" i="86" s="1"/>
  <c r="I111" i="65"/>
  <c r="J80" i="65" s="1"/>
  <c r="J65" i="65"/>
  <c r="J68" i="65" s="1"/>
  <c r="J74" i="65" s="1"/>
  <c r="I128" i="65"/>
  <c r="J117" i="65"/>
  <c r="J105" i="65"/>
  <c r="I86" i="65"/>
  <c r="I114" i="65"/>
  <c r="H91" i="65"/>
  <c r="L139" i="65"/>
  <c r="L62" i="65"/>
  <c r="K62" i="65"/>
  <c r="K139" i="65"/>
  <c r="L178" i="65"/>
  <c r="D32" i="65"/>
  <c r="E32" i="65"/>
  <c r="J128" i="65" l="1"/>
  <c r="J129" i="65" s="1"/>
  <c r="C334" i="66"/>
  <c r="J69" i="65"/>
  <c r="I126" i="65"/>
  <c r="J111" i="65"/>
  <c r="K80" i="65" s="1"/>
  <c r="B149" i="86"/>
  <c r="I148" i="86"/>
  <c r="Q148" i="86" s="1"/>
  <c r="AM146" i="86"/>
  <c r="K65" i="65"/>
  <c r="K68" i="65" s="1"/>
  <c r="K69" i="65" s="1"/>
  <c r="L65" i="65"/>
  <c r="L68" i="65"/>
  <c r="L69" i="65" s="1"/>
  <c r="I129" i="65"/>
  <c r="I138" i="65"/>
  <c r="L117" i="65"/>
  <c r="L105" i="65"/>
  <c r="K117" i="65"/>
  <c r="K105" i="65"/>
  <c r="J83" i="65"/>
  <c r="J77" i="65" s="1"/>
  <c r="J125" i="65" s="1"/>
  <c r="I78" i="65"/>
  <c r="H94" i="65"/>
  <c r="H97" i="65" s="1"/>
  <c r="H92" i="65"/>
  <c r="I137" i="65"/>
  <c r="J138" i="65"/>
  <c r="C335" i="66" l="1"/>
  <c r="L74" i="65"/>
  <c r="K74" i="65"/>
  <c r="K111" i="65"/>
  <c r="L80" i="65" s="1"/>
  <c r="L111" i="65" s="1"/>
  <c r="AM147" i="86"/>
  <c r="B150" i="86"/>
  <c r="I149" i="86"/>
  <c r="Q149" i="86" s="1"/>
  <c r="J114" i="65"/>
  <c r="K83" i="65" s="1"/>
  <c r="K77" i="65" s="1"/>
  <c r="K125" i="65" s="1"/>
  <c r="H98" i="65"/>
  <c r="H136" i="65"/>
  <c r="H140" i="65" s="1"/>
  <c r="L128" i="65"/>
  <c r="L129" i="65" s="1"/>
  <c r="K128" i="65"/>
  <c r="K129" i="65" s="1"/>
  <c r="J86" i="65"/>
  <c r="J137" i="65"/>
  <c r="K138" i="65" l="1"/>
  <c r="C336" i="66"/>
  <c r="L138" i="65"/>
  <c r="J126" i="65"/>
  <c r="B151" i="86"/>
  <c r="I150" i="86"/>
  <c r="Q150" i="86" s="1"/>
  <c r="AM148" i="86"/>
  <c r="J78" i="65"/>
  <c r="K114" i="65"/>
  <c r="K126" i="65" s="1"/>
  <c r="K86" i="65"/>
  <c r="K137" i="65"/>
  <c r="H147" i="65"/>
  <c r="C337" i="66" l="1"/>
  <c r="AM149" i="86"/>
  <c r="B152" i="86"/>
  <c r="I151" i="86"/>
  <c r="Q151" i="86" s="1"/>
  <c r="L83" i="65"/>
  <c r="L77" i="65" s="1"/>
  <c r="L125" i="65" s="1"/>
  <c r="K78" i="65"/>
  <c r="H153" i="65"/>
  <c r="H148" i="65"/>
  <c r="C338" i="66" l="1"/>
  <c r="L114" i="65"/>
  <c r="L78" i="65" s="1"/>
  <c r="L86" i="65"/>
  <c r="L172" i="65" s="1"/>
  <c r="L174" i="65" s="1"/>
  <c r="B153" i="86"/>
  <c r="I152" i="86"/>
  <c r="Q152" i="86" s="1"/>
  <c r="AM150" i="86"/>
  <c r="L137" i="65"/>
  <c r="I145" i="65"/>
  <c r="H154" i="65"/>
  <c r="I151" i="65" s="1"/>
  <c r="I152" i="65" s="1"/>
  <c r="H159" i="65"/>
  <c r="C339" i="66" l="1"/>
  <c r="L126" i="65"/>
  <c r="B154" i="86"/>
  <c r="I153" i="86"/>
  <c r="Q153" i="86" s="1"/>
  <c r="AM151" i="86"/>
  <c r="H160" i="65"/>
  <c r="I157" i="65" s="1"/>
  <c r="I158" i="65" s="1"/>
  <c r="H165" i="65"/>
  <c r="I146" i="65"/>
  <c r="C340" i="66" l="1"/>
  <c r="AM152" i="86"/>
  <c r="B155" i="86"/>
  <c r="I154" i="86"/>
  <c r="Q154" i="86" s="1"/>
  <c r="I164" i="65"/>
  <c r="I89" i="65" s="1"/>
  <c r="H166" i="65"/>
  <c r="I163" i="65"/>
  <c r="C341" i="66" l="1"/>
  <c r="AM153" i="86"/>
  <c r="B156" i="86"/>
  <c r="I155" i="86"/>
  <c r="Q155" i="86" s="1"/>
  <c r="I91" i="65"/>
  <c r="C342" i="66" l="1"/>
  <c r="AM154" i="86"/>
  <c r="B157" i="86"/>
  <c r="I156" i="86"/>
  <c r="Q156" i="86" s="1"/>
  <c r="I94" i="65"/>
  <c r="I97" i="65" s="1"/>
  <c r="I92" i="65"/>
  <c r="C343" i="66" l="1"/>
  <c r="B158" i="86"/>
  <c r="I157" i="86"/>
  <c r="Q157" i="86" s="1"/>
  <c r="AM155" i="86"/>
  <c r="I98" i="65"/>
  <c r="I136" i="65"/>
  <c r="I140" i="65" s="1"/>
  <c r="I147" i="65" s="1"/>
  <c r="I153" i="65" s="1"/>
  <c r="I154" i="65" s="1"/>
  <c r="J151" i="65" s="1"/>
  <c r="J152" i="65" s="1"/>
  <c r="C344" i="66" l="1"/>
  <c r="B159" i="86"/>
  <c r="H159" i="86" s="1"/>
  <c r="H158" i="86" s="1"/>
  <c r="H157" i="86" s="1"/>
  <c r="H156" i="86" s="1"/>
  <c r="H155" i="86" s="1"/>
  <c r="H154" i="86" s="1"/>
  <c r="H153" i="86" s="1"/>
  <c r="H152" i="86" s="1"/>
  <c r="H151" i="86" s="1"/>
  <c r="H150" i="86" s="1"/>
  <c r="H149" i="86" s="1"/>
  <c r="H148" i="86" s="1"/>
  <c r="H147" i="86" s="1"/>
  <c r="H146" i="86" s="1"/>
  <c r="H145" i="86" s="1"/>
  <c r="H144" i="86" s="1"/>
  <c r="H143" i="86" s="1"/>
  <c r="H142" i="86" s="1"/>
  <c r="H141" i="86" s="1"/>
  <c r="H140" i="86" s="1"/>
  <c r="H139" i="86" s="1"/>
  <c r="H138" i="86" s="1"/>
  <c r="H137" i="86" s="1"/>
  <c r="H136" i="86" s="1"/>
  <c r="H135" i="86" s="1"/>
  <c r="H134" i="86" s="1"/>
  <c r="H133" i="86" s="1"/>
  <c r="H132" i="86" s="1"/>
  <c r="H131" i="86" s="1"/>
  <c r="H130" i="86" s="1"/>
  <c r="H129" i="86" s="1"/>
  <c r="H128" i="86" s="1"/>
  <c r="H127" i="86" s="1"/>
  <c r="H126" i="86" s="1"/>
  <c r="H125" i="86" s="1"/>
  <c r="H124" i="86" s="1"/>
  <c r="H123" i="86" s="1"/>
  <c r="H122" i="86" s="1"/>
  <c r="H121" i="86" s="1"/>
  <c r="H120" i="86" s="1"/>
  <c r="H119" i="86" s="1"/>
  <c r="H118" i="86" s="1"/>
  <c r="H117" i="86" s="1"/>
  <c r="H116" i="86" s="1"/>
  <c r="H115" i="86" s="1"/>
  <c r="H114" i="86" s="1"/>
  <c r="H113" i="86" s="1"/>
  <c r="H112" i="86" s="1"/>
  <c r="H111" i="86" s="1"/>
  <c r="H110" i="86" s="1"/>
  <c r="H109" i="86" s="1"/>
  <c r="H108" i="86" s="1"/>
  <c r="H107" i="86" s="1"/>
  <c r="H106" i="86" s="1"/>
  <c r="H105" i="86" s="1"/>
  <c r="H104" i="86" s="1"/>
  <c r="H103" i="86" s="1"/>
  <c r="H102" i="86" s="1"/>
  <c r="H101" i="86" s="1"/>
  <c r="H100" i="86" s="1"/>
  <c r="H99" i="86" s="1"/>
  <c r="H98" i="86" s="1"/>
  <c r="H97" i="86" s="1"/>
  <c r="H96" i="86" s="1"/>
  <c r="H95" i="86" s="1"/>
  <c r="H94" i="86" s="1"/>
  <c r="H93" i="86" s="1"/>
  <c r="H92" i="86" s="1"/>
  <c r="H91" i="86" s="1"/>
  <c r="H90" i="86" s="1"/>
  <c r="H89" i="86" s="1"/>
  <c r="H88" i="86" s="1"/>
  <c r="H87" i="86" s="1"/>
  <c r="H86" i="86" s="1"/>
  <c r="H85" i="86" s="1"/>
  <c r="H84" i="86" s="1"/>
  <c r="H83" i="86" s="1"/>
  <c r="H82" i="86" s="1"/>
  <c r="H81" i="86" s="1"/>
  <c r="H80" i="86" s="1"/>
  <c r="H79" i="86" s="1"/>
  <c r="H78" i="86" s="1"/>
  <c r="H77" i="86" s="1"/>
  <c r="H76" i="86" s="1"/>
  <c r="H75" i="86" s="1"/>
  <c r="H74" i="86" s="1"/>
  <c r="H73" i="86" s="1"/>
  <c r="H72" i="86" s="1"/>
  <c r="H71" i="86" s="1"/>
  <c r="H70" i="86" s="1"/>
  <c r="H69" i="86" s="1"/>
  <c r="H68" i="86" s="1"/>
  <c r="H67" i="86" s="1"/>
  <c r="H66" i="86" s="1"/>
  <c r="H65" i="86" s="1"/>
  <c r="H64" i="86" s="1"/>
  <c r="H63" i="86" s="1"/>
  <c r="H62" i="86" s="1"/>
  <c r="H61" i="86" s="1"/>
  <c r="H60" i="86" s="1"/>
  <c r="H59" i="86" s="1"/>
  <c r="H58" i="86" s="1"/>
  <c r="H57" i="86" s="1"/>
  <c r="H56" i="86" s="1"/>
  <c r="H55" i="86" s="1"/>
  <c r="H54" i="86" s="1"/>
  <c r="H53" i="86" s="1"/>
  <c r="H52" i="86" s="1"/>
  <c r="H51" i="86" s="1"/>
  <c r="H50" i="86" s="1"/>
  <c r="H49" i="86" s="1"/>
  <c r="H48" i="86" s="1"/>
  <c r="H47" i="86" s="1"/>
  <c r="H46" i="86" s="1"/>
  <c r="H45" i="86" s="1"/>
  <c r="H44" i="86" s="1"/>
  <c r="H43" i="86" s="1"/>
  <c r="H42" i="86" s="1"/>
  <c r="H41" i="86" s="1"/>
  <c r="H40" i="86" s="1"/>
  <c r="H39" i="86" s="1"/>
  <c r="H38" i="86" s="1"/>
  <c r="H37" i="86" s="1"/>
  <c r="H36" i="86" s="1"/>
  <c r="H35" i="86" s="1"/>
  <c r="H34" i="86" s="1"/>
  <c r="H33" i="86" s="1"/>
  <c r="H32" i="86" s="1"/>
  <c r="H31" i="86" s="1"/>
  <c r="H30" i="86" s="1"/>
  <c r="H29" i="86" s="1"/>
  <c r="H28" i="86" s="1"/>
  <c r="H27" i="86" s="1"/>
  <c r="H26" i="86" s="1"/>
  <c r="H25" i="86" s="1"/>
  <c r="H24" i="86" s="1"/>
  <c r="H23" i="86" s="1"/>
  <c r="H22" i="86" s="1"/>
  <c r="H21" i="86" s="1"/>
  <c r="H20" i="86" s="1"/>
  <c r="H19" i="86" s="1"/>
  <c r="H18" i="86" s="1"/>
  <c r="H17" i="86" s="1"/>
  <c r="H16" i="86" s="1"/>
  <c r="H15" i="86" s="1"/>
  <c r="H14" i="86" s="1"/>
  <c r="H13" i="86" s="1"/>
  <c r="H12" i="86" s="1"/>
  <c r="H11" i="86" s="1"/>
  <c r="H10" i="86" s="1"/>
  <c r="H9" i="86" s="1"/>
  <c r="H8" i="86" s="1"/>
  <c r="H7" i="86" s="1"/>
  <c r="H6" i="86" s="1"/>
  <c r="H5" i="86" s="1"/>
  <c r="I158" i="86"/>
  <c r="Q158" i="86" s="1"/>
  <c r="AM156" i="86"/>
  <c r="I159" i="65"/>
  <c r="I160" i="65" s="1"/>
  <c r="J157" i="65" s="1"/>
  <c r="J158" i="65" s="1"/>
  <c r="I148" i="65"/>
  <c r="N159" i="86" l="1"/>
  <c r="N158" i="86" s="1"/>
  <c r="N157" i="86" s="1"/>
  <c r="N156" i="86" s="1"/>
  <c r="N155" i="86" s="1"/>
  <c r="N154" i="86" s="1"/>
  <c r="N153" i="86" s="1"/>
  <c r="N152" i="86" s="1"/>
  <c r="N151" i="86" s="1"/>
  <c r="N150" i="86" s="1"/>
  <c r="N149" i="86" s="1"/>
  <c r="N148" i="86" s="1"/>
  <c r="N147" i="86" s="1"/>
  <c r="N146" i="86" s="1"/>
  <c r="N145" i="86" s="1"/>
  <c r="N144" i="86" s="1"/>
  <c r="N143" i="86" s="1"/>
  <c r="N142" i="86" s="1"/>
  <c r="N141" i="86" s="1"/>
  <c r="N140" i="86" s="1"/>
  <c r="N139" i="86" s="1"/>
  <c r="N138" i="86" s="1"/>
  <c r="N137" i="86" s="1"/>
  <c r="N136" i="86" s="1"/>
  <c r="N135" i="86" s="1"/>
  <c r="N134" i="86" s="1"/>
  <c r="N133" i="86" s="1"/>
  <c r="N132" i="86" s="1"/>
  <c r="N131" i="86" s="1"/>
  <c r="N130" i="86" s="1"/>
  <c r="N129" i="86" s="1"/>
  <c r="N128" i="86" s="1"/>
  <c r="N127" i="86" s="1"/>
  <c r="N126" i="86" s="1"/>
  <c r="N125" i="86" s="1"/>
  <c r="N124" i="86" s="1"/>
  <c r="N123" i="86" s="1"/>
  <c r="N122" i="86" s="1"/>
  <c r="N121" i="86" s="1"/>
  <c r="N120" i="86" s="1"/>
  <c r="N119" i="86" s="1"/>
  <c r="N118" i="86" s="1"/>
  <c r="N117" i="86" s="1"/>
  <c r="N116" i="86" s="1"/>
  <c r="N115" i="86" s="1"/>
  <c r="N114" i="86" s="1"/>
  <c r="N113" i="86" s="1"/>
  <c r="N112" i="86" s="1"/>
  <c r="N111" i="86" s="1"/>
  <c r="N110" i="86" s="1"/>
  <c r="N109" i="86" s="1"/>
  <c r="N108" i="86" s="1"/>
  <c r="N107" i="86" s="1"/>
  <c r="N106" i="86" s="1"/>
  <c r="N105" i="86" s="1"/>
  <c r="N104" i="86" s="1"/>
  <c r="N103" i="86" s="1"/>
  <c r="N102" i="86" s="1"/>
  <c r="N101" i="86" s="1"/>
  <c r="N100" i="86" s="1"/>
  <c r="N99" i="86" s="1"/>
  <c r="N98" i="86" s="1"/>
  <c r="N97" i="86" s="1"/>
  <c r="N96" i="86" s="1"/>
  <c r="N95" i="86" s="1"/>
  <c r="N94" i="86" s="1"/>
  <c r="N93" i="86" s="1"/>
  <c r="N92" i="86" s="1"/>
  <c r="N91" i="86" s="1"/>
  <c r="N90" i="86" s="1"/>
  <c r="N89" i="86" s="1"/>
  <c r="N88" i="86" s="1"/>
  <c r="N87" i="86" s="1"/>
  <c r="N86" i="86" s="1"/>
  <c r="N85" i="86" s="1"/>
  <c r="N84" i="86" s="1"/>
  <c r="N83" i="86" s="1"/>
  <c r="N82" i="86" s="1"/>
  <c r="N81" i="86" s="1"/>
  <c r="N80" i="86" s="1"/>
  <c r="N79" i="86" s="1"/>
  <c r="N78" i="86" s="1"/>
  <c r="N77" i="86" s="1"/>
  <c r="N76" i="86" s="1"/>
  <c r="N75" i="86" s="1"/>
  <c r="N74" i="86" s="1"/>
  <c r="N73" i="86" s="1"/>
  <c r="N72" i="86" s="1"/>
  <c r="N71" i="86" s="1"/>
  <c r="N70" i="86" s="1"/>
  <c r="N69" i="86" s="1"/>
  <c r="N68" i="86" s="1"/>
  <c r="N67" i="86" s="1"/>
  <c r="N66" i="86" s="1"/>
  <c r="N65" i="86" s="1"/>
  <c r="N64" i="86" s="1"/>
  <c r="N63" i="86" s="1"/>
  <c r="N62" i="86" s="1"/>
  <c r="N61" i="86" s="1"/>
  <c r="N60" i="86" s="1"/>
  <c r="N59" i="86" s="1"/>
  <c r="N58" i="86" s="1"/>
  <c r="N57" i="86" s="1"/>
  <c r="N56" i="86" s="1"/>
  <c r="N55" i="86" s="1"/>
  <c r="N54" i="86" s="1"/>
  <c r="N53" i="86" s="1"/>
  <c r="N52" i="86" s="1"/>
  <c r="N51" i="86" s="1"/>
  <c r="N50" i="86" s="1"/>
  <c r="N49" i="86" s="1"/>
  <c r="N48" i="86" s="1"/>
  <c r="N47" i="86" s="1"/>
  <c r="N46" i="86" s="1"/>
  <c r="N45" i="86" s="1"/>
  <c r="N44" i="86" s="1"/>
  <c r="N43" i="86" s="1"/>
  <c r="N42" i="86" s="1"/>
  <c r="N41" i="86" s="1"/>
  <c r="N40" i="86" s="1"/>
  <c r="N39" i="86" s="1"/>
  <c r="N38" i="86" s="1"/>
  <c r="N37" i="86" s="1"/>
  <c r="N36" i="86" s="1"/>
  <c r="N35" i="86" s="1"/>
  <c r="N34" i="86" s="1"/>
  <c r="N33" i="86" s="1"/>
  <c r="N32" i="86" s="1"/>
  <c r="N31" i="86" s="1"/>
  <c r="N30" i="86" s="1"/>
  <c r="N29" i="86" s="1"/>
  <c r="N28" i="86" s="1"/>
  <c r="N27" i="86" s="1"/>
  <c r="N26" i="86" s="1"/>
  <c r="N25" i="86" s="1"/>
  <c r="N24" i="86" s="1"/>
  <c r="N23" i="86" s="1"/>
  <c r="N22" i="86" s="1"/>
  <c r="N21" i="86" s="1"/>
  <c r="N20" i="86" s="1"/>
  <c r="N19" i="86" s="1"/>
  <c r="N18" i="86" s="1"/>
  <c r="N17" i="86" s="1"/>
  <c r="N16" i="86" s="1"/>
  <c r="N15" i="86" s="1"/>
  <c r="N14" i="86" s="1"/>
  <c r="N13" i="86" s="1"/>
  <c r="N12" i="86" s="1"/>
  <c r="N11" i="86" s="1"/>
  <c r="N10" i="86" s="1"/>
  <c r="N9" i="86" s="1"/>
  <c r="N8" i="86" s="1"/>
  <c r="N7" i="86" s="1"/>
  <c r="N6" i="86" s="1"/>
  <c r="N5" i="86" s="1"/>
  <c r="O159" i="86"/>
  <c r="O158" i="86" s="1"/>
  <c r="O157" i="86" s="1"/>
  <c r="O156" i="86" s="1"/>
  <c r="O155" i="86" s="1"/>
  <c r="O154" i="86" s="1"/>
  <c r="O153" i="86" s="1"/>
  <c r="O152" i="86" s="1"/>
  <c r="O151" i="86" s="1"/>
  <c r="O150" i="86" s="1"/>
  <c r="O149" i="86" s="1"/>
  <c r="O148" i="86" s="1"/>
  <c r="O147" i="86" s="1"/>
  <c r="O146" i="86" s="1"/>
  <c r="O145" i="86" s="1"/>
  <c r="O144" i="86" s="1"/>
  <c r="O143" i="86" s="1"/>
  <c r="O142" i="86" s="1"/>
  <c r="O141" i="86" s="1"/>
  <c r="O140" i="86" s="1"/>
  <c r="O139" i="86" s="1"/>
  <c r="O138" i="86" s="1"/>
  <c r="O137" i="86" s="1"/>
  <c r="O136" i="86" s="1"/>
  <c r="O135" i="86" s="1"/>
  <c r="O134" i="86" s="1"/>
  <c r="O133" i="86" s="1"/>
  <c r="O132" i="86" s="1"/>
  <c r="O131" i="86" s="1"/>
  <c r="O130" i="86" s="1"/>
  <c r="O129" i="86" s="1"/>
  <c r="O128" i="86" s="1"/>
  <c r="O127" i="86" s="1"/>
  <c r="O126" i="86" s="1"/>
  <c r="O125" i="86" s="1"/>
  <c r="O124" i="86" s="1"/>
  <c r="O123" i="86" s="1"/>
  <c r="O122" i="86" s="1"/>
  <c r="O121" i="86" s="1"/>
  <c r="O120" i="86" s="1"/>
  <c r="O119" i="86" s="1"/>
  <c r="O118" i="86" s="1"/>
  <c r="O117" i="86" s="1"/>
  <c r="O116" i="86" s="1"/>
  <c r="O115" i="86" s="1"/>
  <c r="O114" i="86" s="1"/>
  <c r="O113" i="86" s="1"/>
  <c r="O112" i="86" s="1"/>
  <c r="O111" i="86" s="1"/>
  <c r="O110" i="86" s="1"/>
  <c r="O109" i="86" s="1"/>
  <c r="O108" i="86" s="1"/>
  <c r="O107" i="86" s="1"/>
  <c r="O106" i="86" s="1"/>
  <c r="O105" i="86" s="1"/>
  <c r="O104" i="86" s="1"/>
  <c r="O103" i="86" s="1"/>
  <c r="O102" i="86" s="1"/>
  <c r="O101" i="86" s="1"/>
  <c r="O100" i="86" s="1"/>
  <c r="O99" i="86" s="1"/>
  <c r="O98" i="86" s="1"/>
  <c r="O97" i="86" s="1"/>
  <c r="O96" i="86" s="1"/>
  <c r="O95" i="86" s="1"/>
  <c r="O94" i="86" s="1"/>
  <c r="O93" i="86" s="1"/>
  <c r="O92" i="86" s="1"/>
  <c r="O91" i="86" s="1"/>
  <c r="O90" i="86" s="1"/>
  <c r="O89" i="86" s="1"/>
  <c r="O88" i="86" s="1"/>
  <c r="O87" i="86" s="1"/>
  <c r="O86" i="86" s="1"/>
  <c r="O85" i="86" s="1"/>
  <c r="O84" i="86" s="1"/>
  <c r="O83" i="86" s="1"/>
  <c r="O82" i="86" s="1"/>
  <c r="O81" i="86" s="1"/>
  <c r="O80" i="86" s="1"/>
  <c r="O79" i="86" s="1"/>
  <c r="O78" i="86" s="1"/>
  <c r="O77" i="86" s="1"/>
  <c r="O76" i="86" s="1"/>
  <c r="O75" i="86" s="1"/>
  <c r="O74" i="86" s="1"/>
  <c r="O73" i="86" s="1"/>
  <c r="O72" i="86" s="1"/>
  <c r="O71" i="86" s="1"/>
  <c r="O70" i="86" s="1"/>
  <c r="O69" i="86" s="1"/>
  <c r="O68" i="86" s="1"/>
  <c r="O67" i="86" s="1"/>
  <c r="O66" i="86" s="1"/>
  <c r="O65" i="86" s="1"/>
  <c r="O64" i="86" s="1"/>
  <c r="O63" i="86" s="1"/>
  <c r="O62" i="86" s="1"/>
  <c r="O61" i="86" s="1"/>
  <c r="O60" i="86" s="1"/>
  <c r="O59" i="86" s="1"/>
  <c r="O58" i="86" s="1"/>
  <c r="O57" i="86" s="1"/>
  <c r="O56" i="86" s="1"/>
  <c r="O55" i="86" s="1"/>
  <c r="O54" i="86" s="1"/>
  <c r="O53" i="86" s="1"/>
  <c r="O52" i="86" s="1"/>
  <c r="O51" i="86" s="1"/>
  <c r="O50" i="86" s="1"/>
  <c r="O49" i="86" s="1"/>
  <c r="O48" i="86" s="1"/>
  <c r="O47" i="86" s="1"/>
  <c r="O46" i="86" s="1"/>
  <c r="O45" i="86" s="1"/>
  <c r="O44" i="86" s="1"/>
  <c r="O43" i="86" s="1"/>
  <c r="O42" i="86" s="1"/>
  <c r="O41" i="86" s="1"/>
  <c r="O40" i="86" s="1"/>
  <c r="O39" i="86" s="1"/>
  <c r="O38" i="86" s="1"/>
  <c r="O37" i="86" s="1"/>
  <c r="O36" i="86" s="1"/>
  <c r="O35" i="86" s="1"/>
  <c r="O34" i="86" s="1"/>
  <c r="O33" i="86" s="1"/>
  <c r="O32" i="86" s="1"/>
  <c r="O31" i="86" s="1"/>
  <c r="O30" i="86" s="1"/>
  <c r="O29" i="86" s="1"/>
  <c r="O28" i="86" s="1"/>
  <c r="O27" i="86" s="1"/>
  <c r="O26" i="86" s="1"/>
  <c r="O25" i="86" s="1"/>
  <c r="O24" i="86" s="1"/>
  <c r="O23" i="86" s="1"/>
  <c r="O22" i="86" s="1"/>
  <c r="O21" i="86" s="1"/>
  <c r="O20" i="86" s="1"/>
  <c r="O19" i="86" s="1"/>
  <c r="O18" i="86" s="1"/>
  <c r="O17" i="86" s="1"/>
  <c r="O16" i="86" s="1"/>
  <c r="O15" i="86" s="1"/>
  <c r="O14" i="86" s="1"/>
  <c r="O13" i="86" s="1"/>
  <c r="O12" i="86" s="1"/>
  <c r="O11" i="86" s="1"/>
  <c r="O10" i="86" s="1"/>
  <c r="O9" i="86" s="1"/>
  <c r="O8" i="86" s="1"/>
  <c r="O7" i="86" s="1"/>
  <c r="O6" i="86" s="1"/>
  <c r="O5" i="86" s="1"/>
  <c r="G159" i="86"/>
  <c r="G158" i="86" s="1"/>
  <c r="G157" i="86" s="1"/>
  <c r="G156" i="86" s="1"/>
  <c r="G155" i="86" s="1"/>
  <c r="G154" i="86" s="1"/>
  <c r="G153" i="86" s="1"/>
  <c r="G152" i="86" s="1"/>
  <c r="G151" i="86" s="1"/>
  <c r="G150" i="86" s="1"/>
  <c r="G149" i="86" s="1"/>
  <c r="G148" i="86" s="1"/>
  <c r="G147" i="86" s="1"/>
  <c r="G146" i="86" s="1"/>
  <c r="G145" i="86" s="1"/>
  <c r="G144" i="86" s="1"/>
  <c r="G143" i="86" s="1"/>
  <c r="G142" i="86" s="1"/>
  <c r="G141" i="86" s="1"/>
  <c r="G140" i="86" s="1"/>
  <c r="G139" i="86" s="1"/>
  <c r="G138" i="86" s="1"/>
  <c r="G137" i="86" s="1"/>
  <c r="G136" i="86" s="1"/>
  <c r="G135" i="86" s="1"/>
  <c r="G134" i="86" s="1"/>
  <c r="G133" i="86" s="1"/>
  <c r="G132" i="86" s="1"/>
  <c r="G131" i="86" s="1"/>
  <c r="G130" i="86" s="1"/>
  <c r="G129" i="86" s="1"/>
  <c r="G128" i="86" s="1"/>
  <c r="G127" i="86" s="1"/>
  <c r="G126" i="86" s="1"/>
  <c r="G125" i="86" s="1"/>
  <c r="G124" i="86" s="1"/>
  <c r="G123" i="86" s="1"/>
  <c r="G122" i="86" s="1"/>
  <c r="G121" i="86" s="1"/>
  <c r="G120" i="86" s="1"/>
  <c r="G119" i="86" s="1"/>
  <c r="G118" i="86" s="1"/>
  <c r="G117" i="86" s="1"/>
  <c r="G116" i="86" s="1"/>
  <c r="G115" i="86" s="1"/>
  <c r="G114" i="86" s="1"/>
  <c r="G113" i="86" s="1"/>
  <c r="G112" i="86" s="1"/>
  <c r="G111" i="86" s="1"/>
  <c r="G110" i="86" s="1"/>
  <c r="G109" i="86" s="1"/>
  <c r="G108" i="86" s="1"/>
  <c r="G107" i="86" s="1"/>
  <c r="G106" i="86" s="1"/>
  <c r="G105" i="86" s="1"/>
  <c r="G104" i="86" s="1"/>
  <c r="G103" i="86" s="1"/>
  <c r="G102" i="86" s="1"/>
  <c r="G101" i="86" s="1"/>
  <c r="G100" i="86" s="1"/>
  <c r="G99" i="86" s="1"/>
  <c r="G98" i="86" s="1"/>
  <c r="G97" i="86" s="1"/>
  <c r="G96" i="86" s="1"/>
  <c r="G95" i="86" s="1"/>
  <c r="G94" i="86" s="1"/>
  <c r="G93" i="86" s="1"/>
  <c r="G92" i="86" s="1"/>
  <c r="G91" i="86" s="1"/>
  <c r="G90" i="86" s="1"/>
  <c r="G89" i="86" s="1"/>
  <c r="G88" i="86" s="1"/>
  <c r="G87" i="86" s="1"/>
  <c r="G86" i="86" s="1"/>
  <c r="G85" i="86" s="1"/>
  <c r="G84" i="86" s="1"/>
  <c r="G83" i="86" s="1"/>
  <c r="G82" i="86" s="1"/>
  <c r="G81" i="86" s="1"/>
  <c r="G80" i="86" s="1"/>
  <c r="G79" i="86" s="1"/>
  <c r="G78" i="86" s="1"/>
  <c r="G77" i="86" s="1"/>
  <c r="G76" i="86" s="1"/>
  <c r="G75" i="86" s="1"/>
  <c r="G74" i="86" s="1"/>
  <c r="G73" i="86" s="1"/>
  <c r="G72" i="86" s="1"/>
  <c r="G71" i="86" s="1"/>
  <c r="G70" i="86" s="1"/>
  <c r="G69" i="86" s="1"/>
  <c r="G68" i="86" s="1"/>
  <c r="G67" i="86" s="1"/>
  <c r="G66" i="86" s="1"/>
  <c r="G65" i="86" s="1"/>
  <c r="G64" i="86" s="1"/>
  <c r="G63" i="86" s="1"/>
  <c r="G62" i="86" s="1"/>
  <c r="G61" i="86" s="1"/>
  <c r="G60" i="86" s="1"/>
  <c r="G59" i="86" s="1"/>
  <c r="G58" i="86" s="1"/>
  <c r="G57" i="86" s="1"/>
  <c r="G56" i="86" s="1"/>
  <c r="G55" i="86" s="1"/>
  <c r="G54" i="86" s="1"/>
  <c r="G53" i="86" s="1"/>
  <c r="G52" i="86" s="1"/>
  <c r="G51" i="86" s="1"/>
  <c r="G50" i="86" s="1"/>
  <c r="G49" i="86" s="1"/>
  <c r="G48" i="86" s="1"/>
  <c r="G47" i="86" s="1"/>
  <c r="G46" i="86" s="1"/>
  <c r="G45" i="86" s="1"/>
  <c r="G44" i="86" s="1"/>
  <c r="G43" i="86" s="1"/>
  <c r="G42" i="86" s="1"/>
  <c r="G41" i="86" s="1"/>
  <c r="G40" i="86" s="1"/>
  <c r="G39" i="86" s="1"/>
  <c r="G38" i="86" s="1"/>
  <c r="G37" i="86" s="1"/>
  <c r="G36" i="86" s="1"/>
  <c r="G35" i="86" s="1"/>
  <c r="G34" i="86" s="1"/>
  <c r="G33" i="86" s="1"/>
  <c r="G32" i="86" s="1"/>
  <c r="G31" i="86" s="1"/>
  <c r="G30" i="86" s="1"/>
  <c r="G29" i="86" s="1"/>
  <c r="G28" i="86" s="1"/>
  <c r="G27" i="86" s="1"/>
  <c r="G26" i="86" s="1"/>
  <c r="G25" i="86" s="1"/>
  <c r="G24" i="86" s="1"/>
  <c r="G23" i="86" s="1"/>
  <c r="G22" i="86" s="1"/>
  <c r="G21" i="86" s="1"/>
  <c r="G20" i="86" s="1"/>
  <c r="G19" i="86" s="1"/>
  <c r="G18" i="86" s="1"/>
  <c r="G17" i="86" s="1"/>
  <c r="G16" i="86" s="1"/>
  <c r="G15" i="86" s="1"/>
  <c r="G14" i="86" s="1"/>
  <c r="G13" i="86" s="1"/>
  <c r="G12" i="86" s="1"/>
  <c r="G11" i="86" s="1"/>
  <c r="G10" i="86" s="1"/>
  <c r="G9" i="86" s="1"/>
  <c r="G8" i="86" s="1"/>
  <c r="G7" i="86" s="1"/>
  <c r="G6" i="86" s="1"/>
  <c r="G5" i="86" s="1"/>
  <c r="K159" i="86"/>
  <c r="K158" i="86" s="1"/>
  <c r="K157" i="86" s="1"/>
  <c r="K156" i="86" s="1"/>
  <c r="K155" i="86" s="1"/>
  <c r="K154" i="86" s="1"/>
  <c r="K153" i="86" s="1"/>
  <c r="K152" i="86" s="1"/>
  <c r="K151" i="86" s="1"/>
  <c r="K150" i="86" s="1"/>
  <c r="K149" i="86" s="1"/>
  <c r="K148" i="86" s="1"/>
  <c r="K147" i="86" s="1"/>
  <c r="K146" i="86" s="1"/>
  <c r="K145" i="86" s="1"/>
  <c r="K144" i="86" s="1"/>
  <c r="K143" i="86" s="1"/>
  <c r="K142" i="86" s="1"/>
  <c r="K141" i="86" s="1"/>
  <c r="K140" i="86" s="1"/>
  <c r="K139" i="86" s="1"/>
  <c r="K138" i="86" s="1"/>
  <c r="K137" i="86" s="1"/>
  <c r="K136" i="86" s="1"/>
  <c r="K135" i="86" s="1"/>
  <c r="K134" i="86" s="1"/>
  <c r="K133" i="86" s="1"/>
  <c r="K132" i="86" s="1"/>
  <c r="K131" i="86" s="1"/>
  <c r="K130" i="86" s="1"/>
  <c r="K129" i="86" s="1"/>
  <c r="K128" i="86" s="1"/>
  <c r="K127" i="86" s="1"/>
  <c r="K126" i="86" s="1"/>
  <c r="K125" i="86" s="1"/>
  <c r="K124" i="86" s="1"/>
  <c r="K123" i="86" s="1"/>
  <c r="K122" i="86" s="1"/>
  <c r="K121" i="86" s="1"/>
  <c r="K120" i="86" s="1"/>
  <c r="K119" i="86" s="1"/>
  <c r="K118" i="86" s="1"/>
  <c r="K117" i="86" s="1"/>
  <c r="K116" i="86" s="1"/>
  <c r="K115" i="86" s="1"/>
  <c r="K114" i="86" s="1"/>
  <c r="K113" i="86" s="1"/>
  <c r="K112" i="86" s="1"/>
  <c r="K111" i="86" s="1"/>
  <c r="K110" i="86" s="1"/>
  <c r="K109" i="86" s="1"/>
  <c r="K108" i="86" s="1"/>
  <c r="K107" i="86" s="1"/>
  <c r="K106" i="86" s="1"/>
  <c r="K105" i="86" s="1"/>
  <c r="K104" i="86" s="1"/>
  <c r="K103" i="86" s="1"/>
  <c r="K102" i="86" s="1"/>
  <c r="K101" i="86" s="1"/>
  <c r="K100" i="86" s="1"/>
  <c r="K99" i="86" s="1"/>
  <c r="K98" i="86" s="1"/>
  <c r="K97" i="86" s="1"/>
  <c r="K96" i="86" s="1"/>
  <c r="K95" i="86" s="1"/>
  <c r="K94" i="86" s="1"/>
  <c r="K93" i="86" s="1"/>
  <c r="K92" i="86" s="1"/>
  <c r="K91" i="86" s="1"/>
  <c r="K90" i="86" s="1"/>
  <c r="K89" i="86" s="1"/>
  <c r="K88" i="86" s="1"/>
  <c r="K87" i="86" s="1"/>
  <c r="K86" i="86" s="1"/>
  <c r="K85" i="86" s="1"/>
  <c r="K84" i="86" s="1"/>
  <c r="K83" i="86" s="1"/>
  <c r="K82" i="86" s="1"/>
  <c r="K81" i="86" s="1"/>
  <c r="K80" i="86" s="1"/>
  <c r="K79" i="86" s="1"/>
  <c r="K78" i="86" s="1"/>
  <c r="K77" i="86" s="1"/>
  <c r="K76" i="86" s="1"/>
  <c r="K75" i="86" s="1"/>
  <c r="K74" i="86" s="1"/>
  <c r="K73" i="86" s="1"/>
  <c r="K72" i="86" s="1"/>
  <c r="K71" i="86" s="1"/>
  <c r="K70" i="86" s="1"/>
  <c r="K69" i="86" s="1"/>
  <c r="K68" i="86" s="1"/>
  <c r="K67" i="86" s="1"/>
  <c r="K66" i="86" s="1"/>
  <c r="K65" i="86" s="1"/>
  <c r="K64" i="86" s="1"/>
  <c r="K63" i="86" s="1"/>
  <c r="K62" i="86" s="1"/>
  <c r="K61" i="86" s="1"/>
  <c r="K60" i="86" s="1"/>
  <c r="K59" i="86" s="1"/>
  <c r="K58" i="86" s="1"/>
  <c r="K57" i="86" s="1"/>
  <c r="K56" i="86" s="1"/>
  <c r="K55" i="86" s="1"/>
  <c r="K54" i="86" s="1"/>
  <c r="K53" i="86" s="1"/>
  <c r="K52" i="86" s="1"/>
  <c r="K51" i="86" s="1"/>
  <c r="K50" i="86" s="1"/>
  <c r="K49" i="86" s="1"/>
  <c r="K48" i="86" s="1"/>
  <c r="K47" i="86" s="1"/>
  <c r="K46" i="86" s="1"/>
  <c r="K45" i="86" s="1"/>
  <c r="K44" i="86" s="1"/>
  <c r="K43" i="86" s="1"/>
  <c r="K42" i="86" s="1"/>
  <c r="K41" i="86" s="1"/>
  <c r="K40" i="86" s="1"/>
  <c r="K39" i="86" s="1"/>
  <c r="K38" i="86" s="1"/>
  <c r="K37" i="86" s="1"/>
  <c r="K36" i="86" s="1"/>
  <c r="K35" i="86" s="1"/>
  <c r="K34" i="86" s="1"/>
  <c r="K33" i="86" s="1"/>
  <c r="K32" i="86" s="1"/>
  <c r="K31" i="86" s="1"/>
  <c r="K30" i="86" s="1"/>
  <c r="K29" i="86" s="1"/>
  <c r="K28" i="86" s="1"/>
  <c r="K27" i="86" s="1"/>
  <c r="K26" i="86" s="1"/>
  <c r="K25" i="86" s="1"/>
  <c r="K24" i="86" s="1"/>
  <c r="K23" i="86" s="1"/>
  <c r="K22" i="86" s="1"/>
  <c r="K21" i="86" s="1"/>
  <c r="K20" i="86" s="1"/>
  <c r="K19" i="86" s="1"/>
  <c r="K18" i="86" s="1"/>
  <c r="K17" i="86" s="1"/>
  <c r="K16" i="86" s="1"/>
  <c r="K15" i="86" s="1"/>
  <c r="K14" i="86" s="1"/>
  <c r="K13" i="86" s="1"/>
  <c r="K12" i="86" s="1"/>
  <c r="K11" i="86" s="1"/>
  <c r="K10" i="86" s="1"/>
  <c r="K9" i="86" s="1"/>
  <c r="K8" i="86" s="1"/>
  <c r="K7" i="86" s="1"/>
  <c r="K6" i="86" s="1"/>
  <c r="K5" i="86" s="1"/>
  <c r="D159" i="86"/>
  <c r="D158" i="86" s="1"/>
  <c r="D157" i="86" s="1"/>
  <c r="D156" i="86" s="1"/>
  <c r="D155" i="86" s="1"/>
  <c r="D154" i="86" s="1"/>
  <c r="D153" i="86" s="1"/>
  <c r="D152" i="86" s="1"/>
  <c r="D151" i="86" s="1"/>
  <c r="D150" i="86" s="1"/>
  <c r="D149" i="86" s="1"/>
  <c r="D148" i="86" s="1"/>
  <c r="D147" i="86" s="1"/>
  <c r="D146" i="86" s="1"/>
  <c r="D145" i="86" s="1"/>
  <c r="D144" i="86" s="1"/>
  <c r="D143" i="86" s="1"/>
  <c r="D142" i="86" s="1"/>
  <c r="D141" i="86" s="1"/>
  <c r="D140" i="86" s="1"/>
  <c r="D139" i="86" s="1"/>
  <c r="D138" i="86" s="1"/>
  <c r="D137" i="86" s="1"/>
  <c r="D136" i="86" s="1"/>
  <c r="D135" i="86" s="1"/>
  <c r="D134" i="86" s="1"/>
  <c r="D133" i="86" s="1"/>
  <c r="D132" i="86" s="1"/>
  <c r="D131" i="86" s="1"/>
  <c r="D130" i="86" s="1"/>
  <c r="D129" i="86" s="1"/>
  <c r="D128" i="86" s="1"/>
  <c r="D127" i="86" s="1"/>
  <c r="D126" i="86" s="1"/>
  <c r="D125" i="86" s="1"/>
  <c r="D124" i="86" s="1"/>
  <c r="D123" i="86" s="1"/>
  <c r="D122" i="86" s="1"/>
  <c r="D121" i="86" s="1"/>
  <c r="D120" i="86" s="1"/>
  <c r="D119" i="86" s="1"/>
  <c r="D118" i="86" s="1"/>
  <c r="D117" i="86" s="1"/>
  <c r="D116" i="86" s="1"/>
  <c r="D115" i="86" s="1"/>
  <c r="D114" i="86" s="1"/>
  <c r="D113" i="86" s="1"/>
  <c r="D112" i="86" s="1"/>
  <c r="D111" i="86" s="1"/>
  <c r="D110" i="86" s="1"/>
  <c r="D109" i="86" s="1"/>
  <c r="D108" i="86" s="1"/>
  <c r="D107" i="86" s="1"/>
  <c r="D106" i="86" s="1"/>
  <c r="D105" i="86" s="1"/>
  <c r="D104" i="86" s="1"/>
  <c r="D103" i="86" s="1"/>
  <c r="D102" i="86" s="1"/>
  <c r="D101" i="86" s="1"/>
  <c r="D100" i="86" s="1"/>
  <c r="D99" i="86" s="1"/>
  <c r="D98" i="86" s="1"/>
  <c r="D97" i="86" s="1"/>
  <c r="D96" i="86" s="1"/>
  <c r="D95" i="86" s="1"/>
  <c r="D94" i="86" s="1"/>
  <c r="D93" i="86" s="1"/>
  <c r="D92" i="86" s="1"/>
  <c r="D91" i="86" s="1"/>
  <c r="D90" i="86" s="1"/>
  <c r="D89" i="86" s="1"/>
  <c r="D88" i="86" s="1"/>
  <c r="D87" i="86" s="1"/>
  <c r="D86" i="86" s="1"/>
  <c r="D85" i="86" s="1"/>
  <c r="D84" i="86" s="1"/>
  <c r="D83" i="86" s="1"/>
  <c r="D82" i="86" s="1"/>
  <c r="D81" i="86" s="1"/>
  <c r="D80" i="86" s="1"/>
  <c r="D79" i="86" s="1"/>
  <c r="D78" i="86" s="1"/>
  <c r="D77" i="86" s="1"/>
  <c r="D76" i="86" s="1"/>
  <c r="D75" i="86" s="1"/>
  <c r="D74" i="86" s="1"/>
  <c r="D73" i="86" s="1"/>
  <c r="D72" i="86" s="1"/>
  <c r="D71" i="86" s="1"/>
  <c r="D70" i="86" s="1"/>
  <c r="D69" i="86" s="1"/>
  <c r="D68" i="86" s="1"/>
  <c r="D67" i="86" s="1"/>
  <c r="D66" i="86" s="1"/>
  <c r="D65" i="86" s="1"/>
  <c r="D64" i="86" s="1"/>
  <c r="D63" i="86" s="1"/>
  <c r="D62" i="86" s="1"/>
  <c r="D61" i="86" s="1"/>
  <c r="D60" i="86" s="1"/>
  <c r="D59" i="86" s="1"/>
  <c r="D58" i="86" s="1"/>
  <c r="D57" i="86" s="1"/>
  <c r="D56" i="86" s="1"/>
  <c r="D55" i="86" s="1"/>
  <c r="D54" i="86" s="1"/>
  <c r="D53" i="86" s="1"/>
  <c r="D52" i="86" s="1"/>
  <c r="D51" i="86" s="1"/>
  <c r="D50" i="86" s="1"/>
  <c r="D49" i="86" s="1"/>
  <c r="D48" i="86" s="1"/>
  <c r="D47" i="86" s="1"/>
  <c r="D46" i="86" s="1"/>
  <c r="D45" i="86" s="1"/>
  <c r="D44" i="86" s="1"/>
  <c r="D43" i="86" s="1"/>
  <c r="D42" i="86" s="1"/>
  <c r="D41" i="86" s="1"/>
  <c r="D40" i="86" s="1"/>
  <c r="D39" i="86" s="1"/>
  <c r="D38" i="86" s="1"/>
  <c r="D37" i="86" s="1"/>
  <c r="D36" i="86" s="1"/>
  <c r="D35" i="86" s="1"/>
  <c r="D34" i="86" s="1"/>
  <c r="D33" i="86" s="1"/>
  <c r="D32" i="86" s="1"/>
  <c r="D31" i="86" s="1"/>
  <c r="D30" i="86" s="1"/>
  <c r="D29" i="86" s="1"/>
  <c r="D28" i="86" s="1"/>
  <c r="D27" i="86" s="1"/>
  <c r="D26" i="86" s="1"/>
  <c r="D25" i="86" s="1"/>
  <c r="D24" i="86" s="1"/>
  <c r="D23" i="86" s="1"/>
  <c r="D22" i="86" s="1"/>
  <c r="D21" i="86" s="1"/>
  <c r="D20" i="86" s="1"/>
  <c r="D19" i="86" s="1"/>
  <c r="D18" i="86" s="1"/>
  <c r="D17" i="86" s="1"/>
  <c r="D16" i="86" s="1"/>
  <c r="D15" i="86" s="1"/>
  <c r="D14" i="86" s="1"/>
  <c r="D13" i="86" s="1"/>
  <c r="D12" i="86" s="1"/>
  <c r="D11" i="86" s="1"/>
  <c r="D10" i="86" s="1"/>
  <c r="D9" i="86" s="1"/>
  <c r="D8" i="86" s="1"/>
  <c r="D7" i="86" s="1"/>
  <c r="D6" i="86" s="1"/>
  <c r="D5" i="86" s="1"/>
  <c r="C159" i="86"/>
  <c r="C158" i="86" s="1"/>
  <c r="C157" i="86" s="1"/>
  <c r="C156" i="86" s="1"/>
  <c r="C155" i="86" s="1"/>
  <c r="C154" i="86" s="1"/>
  <c r="C153" i="86" s="1"/>
  <c r="C152" i="86" s="1"/>
  <c r="C151" i="86" s="1"/>
  <c r="C150" i="86" s="1"/>
  <c r="C149" i="86" s="1"/>
  <c r="C148" i="86" s="1"/>
  <c r="C147" i="86" s="1"/>
  <c r="C146" i="86" s="1"/>
  <c r="C145" i="86" s="1"/>
  <c r="C144" i="86" s="1"/>
  <c r="C143" i="86" s="1"/>
  <c r="C142" i="86" s="1"/>
  <c r="C141" i="86" s="1"/>
  <c r="C140" i="86" s="1"/>
  <c r="C139" i="86" s="1"/>
  <c r="C138" i="86" s="1"/>
  <c r="C137" i="86" s="1"/>
  <c r="C136" i="86" s="1"/>
  <c r="C135" i="86" s="1"/>
  <c r="C134" i="86" s="1"/>
  <c r="C133" i="86" s="1"/>
  <c r="C132" i="86" s="1"/>
  <c r="C131" i="86" s="1"/>
  <c r="C130" i="86" s="1"/>
  <c r="C129" i="86" s="1"/>
  <c r="C128" i="86" s="1"/>
  <c r="C127" i="86" s="1"/>
  <c r="C126" i="86" s="1"/>
  <c r="C125" i="86" s="1"/>
  <c r="C124" i="86" s="1"/>
  <c r="C123" i="86" s="1"/>
  <c r="C122" i="86" s="1"/>
  <c r="C121" i="86" s="1"/>
  <c r="C120" i="86" s="1"/>
  <c r="C119" i="86" s="1"/>
  <c r="C118" i="86" s="1"/>
  <c r="C117" i="86" s="1"/>
  <c r="C116" i="86" s="1"/>
  <c r="C115" i="86" s="1"/>
  <c r="C114" i="86" s="1"/>
  <c r="C113" i="86" s="1"/>
  <c r="C112" i="86" s="1"/>
  <c r="C111" i="86" s="1"/>
  <c r="C110" i="86" s="1"/>
  <c r="C109" i="86" s="1"/>
  <c r="C108" i="86" s="1"/>
  <c r="C107" i="86" s="1"/>
  <c r="C106" i="86" s="1"/>
  <c r="C105" i="86" s="1"/>
  <c r="C104" i="86" s="1"/>
  <c r="C103" i="86" s="1"/>
  <c r="C102" i="86" s="1"/>
  <c r="C101" i="86" s="1"/>
  <c r="C100" i="86" s="1"/>
  <c r="C99" i="86" s="1"/>
  <c r="C98" i="86" s="1"/>
  <c r="C97" i="86" s="1"/>
  <c r="C96" i="86" s="1"/>
  <c r="C95" i="86" s="1"/>
  <c r="C94" i="86" s="1"/>
  <c r="C93" i="86" s="1"/>
  <c r="C92" i="86" s="1"/>
  <c r="C91" i="86" s="1"/>
  <c r="C90" i="86" s="1"/>
  <c r="C89" i="86" s="1"/>
  <c r="C88" i="86" s="1"/>
  <c r="C87" i="86" s="1"/>
  <c r="C86" i="86" s="1"/>
  <c r="C85" i="86" s="1"/>
  <c r="C84" i="86" s="1"/>
  <c r="C83" i="86" s="1"/>
  <c r="C82" i="86" s="1"/>
  <c r="C81" i="86" s="1"/>
  <c r="C80" i="86" s="1"/>
  <c r="C79" i="86" s="1"/>
  <c r="C78" i="86" s="1"/>
  <c r="C77" i="86" s="1"/>
  <c r="C76" i="86" s="1"/>
  <c r="C75" i="86" s="1"/>
  <c r="C74" i="86" s="1"/>
  <c r="C73" i="86" s="1"/>
  <c r="C72" i="86" s="1"/>
  <c r="C71" i="86" s="1"/>
  <c r="C70" i="86" s="1"/>
  <c r="C69" i="86" s="1"/>
  <c r="C68" i="86" s="1"/>
  <c r="C67" i="86" s="1"/>
  <c r="C66" i="86" s="1"/>
  <c r="C65" i="86" s="1"/>
  <c r="C64" i="86" s="1"/>
  <c r="C63" i="86" s="1"/>
  <c r="C62" i="86" s="1"/>
  <c r="C61" i="86" s="1"/>
  <c r="C60" i="86" s="1"/>
  <c r="C59" i="86" s="1"/>
  <c r="C58" i="86" s="1"/>
  <c r="C57" i="86" s="1"/>
  <c r="C56" i="86" s="1"/>
  <c r="C55" i="86" s="1"/>
  <c r="C54" i="86" s="1"/>
  <c r="C53" i="86" s="1"/>
  <c r="C52" i="86" s="1"/>
  <c r="C51" i="86" s="1"/>
  <c r="C50" i="86" s="1"/>
  <c r="C49" i="86" s="1"/>
  <c r="C48" i="86" s="1"/>
  <c r="C47" i="86" s="1"/>
  <c r="C46" i="86" s="1"/>
  <c r="C45" i="86" s="1"/>
  <c r="C44" i="86" s="1"/>
  <c r="C43" i="86" s="1"/>
  <c r="C42" i="86" s="1"/>
  <c r="C41" i="86" s="1"/>
  <c r="C40" i="86" s="1"/>
  <c r="C39" i="86" s="1"/>
  <c r="C38" i="86" s="1"/>
  <c r="C37" i="86" s="1"/>
  <c r="C36" i="86" s="1"/>
  <c r="C35" i="86" s="1"/>
  <c r="C34" i="86" s="1"/>
  <c r="C33" i="86" s="1"/>
  <c r="C32" i="86" s="1"/>
  <c r="C31" i="86" s="1"/>
  <c r="C30" i="86" s="1"/>
  <c r="C29" i="86" s="1"/>
  <c r="C28" i="86" s="1"/>
  <c r="C27" i="86" s="1"/>
  <c r="C26" i="86" s="1"/>
  <c r="C25" i="86" s="1"/>
  <c r="C24" i="86" s="1"/>
  <c r="C23" i="86" s="1"/>
  <c r="C22" i="86" s="1"/>
  <c r="C21" i="86" s="1"/>
  <c r="C20" i="86" s="1"/>
  <c r="C19" i="86" s="1"/>
  <c r="C18" i="86" s="1"/>
  <c r="C17" i="86" s="1"/>
  <c r="C16" i="86" s="1"/>
  <c r="C15" i="86" s="1"/>
  <c r="C14" i="86" s="1"/>
  <c r="C13" i="86" s="1"/>
  <c r="C12" i="86" s="1"/>
  <c r="C11" i="86" s="1"/>
  <c r="C10" i="86" s="1"/>
  <c r="C9" i="86" s="1"/>
  <c r="C8" i="86" s="1"/>
  <c r="C7" i="86" s="1"/>
  <c r="C6" i="86" s="1"/>
  <c r="C5" i="86" s="1"/>
  <c r="J159" i="86"/>
  <c r="J158" i="86" s="1"/>
  <c r="J157" i="86" s="1"/>
  <c r="J156" i="86" s="1"/>
  <c r="J155" i="86" s="1"/>
  <c r="J154" i="86" s="1"/>
  <c r="J153" i="86" s="1"/>
  <c r="J152" i="86" s="1"/>
  <c r="J151" i="86" s="1"/>
  <c r="J150" i="86" s="1"/>
  <c r="J149" i="86" s="1"/>
  <c r="J148" i="86" s="1"/>
  <c r="J147" i="86" s="1"/>
  <c r="J146" i="86" s="1"/>
  <c r="J145" i="86" s="1"/>
  <c r="J144" i="86" s="1"/>
  <c r="J143" i="86" s="1"/>
  <c r="J142" i="86" s="1"/>
  <c r="J141" i="86" s="1"/>
  <c r="J140" i="86" s="1"/>
  <c r="J139" i="86" s="1"/>
  <c r="J138" i="86" s="1"/>
  <c r="J137" i="86" s="1"/>
  <c r="J136" i="86" s="1"/>
  <c r="J135" i="86" s="1"/>
  <c r="J134" i="86" s="1"/>
  <c r="J133" i="86" s="1"/>
  <c r="J132" i="86" s="1"/>
  <c r="J131" i="86" s="1"/>
  <c r="J130" i="86" s="1"/>
  <c r="J129" i="86" s="1"/>
  <c r="J128" i="86" s="1"/>
  <c r="J127" i="86" s="1"/>
  <c r="J126" i="86" s="1"/>
  <c r="J125" i="86" s="1"/>
  <c r="J124" i="86" s="1"/>
  <c r="J123" i="86" s="1"/>
  <c r="J122" i="86" s="1"/>
  <c r="J121" i="86" s="1"/>
  <c r="J120" i="86" s="1"/>
  <c r="J119" i="86" s="1"/>
  <c r="J118" i="86" s="1"/>
  <c r="J117" i="86" s="1"/>
  <c r="J116" i="86" s="1"/>
  <c r="J115" i="86" s="1"/>
  <c r="J114" i="86" s="1"/>
  <c r="J113" i="86" s="1"/>
  <c r="J112" i="86" s="1"/>
  <c r="J111" i="86" s="1"/>
  <c r="J110" i="86" s="1"/>
  <c r="J109" i="86" s="1"/>
  <c r="J108" i="86" s="1"/>
  <c r="J107" i="86" s="1"/>
  <c r="J106" i="86" s="1"/>
  <c r="J105" i="86" s="1"/>
  <c r="J104" i="86" s="1"/>
  <c r="J103" i="86" s="1"/>
  <c r="J102" i="86" s="1"/>
  <c r="J101" i="86" s="1"/>
  <c r="J100" i="86" s="1"/>
  <c r="J99" i="86" s="1"/>
  <c r="J98" i="86" s="1"/>
  <c r="J97" i="86" s="1"/>
  <c r="J96" i="86" s="1"/>
  <c r="J95" i="86" s="1"/>
  <c r="J94" i="86" s="1"/>
  <c r="J93" i="86" s="1"/>
  <c r="J92" i="86" s="1"/>
  <c r="J91" i="86" s="1"/>
  <c r="J90" i="86" s="1"/>
  <c r="J89" i="86" s="1"/>
  <c r="J88" i="86" s="1"/>
  <c r="J87" i="86" s="1"/>
  <c r="J86" i="86" s="1"/>
  <c r="J85" i="86" s="1"/>
  <c r="J84" i="86" s="1"/>
  <c r="J83" i="86" s="1"/>
  <c r="J82" i="86" s="1"/>
  <c r="J81" i="86" s="1"/>
  <c r="J80" i="86" s="1"/>
  <c r="J79" i="86" s="1"/>
  <c r="J78" i="86" s="1"/>
  <c r="J77" i="86" s="1"/>
  <c r="J76" i="86" s="1"/>
  <c r="J75" i="86" s="1"/>
  <c r="J74" i="86" s="1"/>
  <c r="J73" i="86" s="1"/>
  <c r="J72" i="86" s="1"/>
  <c r="J71" i="86" s="1"/>
  <c r="J70" i="86" s="1"/>
  <c r="J69" i="86" s="1"/>
  <c r="J68" i="86" s="1"/>
  <c r="J67" i="86" s="1"/>
  <c r="J66" i="86" s="1"/>
  <c r="J65" i="86" s="1"/>
  <c r="J64" i="86" s="1"/>
  <c r="J63" i="86" s="1"/>
  <c r="J62" i="86" s="1"/>
  <c r="J61" i="86" s="1"/>
  <c r="J60" i="86" s="1"/>
  <c r="J59" i="86" s="1"/>
  <c r="J58" i="86" s="1"/>
  <c r="J57" i="86" s="1"/>
  <c r="J56" i="86" s="1"/>
  <c r="J55" i="86" s="1"/>
  <c r="J54" i="86" s="1"/>
  <c r="J53" i="86" s="1"/>
  <c r="J52" i="86" s="1"/>
  <c r="J51" i="86" s="1"/>
  <c r="J50" i="86" s="1"/>
  <c r="J49" i="86" s="1"/>
  <c r="J48" i="86" s="1"/>
  <c r="J47" i="86" s="1"/>
  <c r="J46" i="86" s="1"/>
  <c r="J45" i="86" s="1"/>
  <c r="J44" i="86" s="1"/>
  <c r="J43" i="86" s="1"/>
  <c r="J42" i="86" s="1"/>
  <c r="J41" i="86" s="1"/>
  <c r="J40" i="86" s="1"/>
  <c r="J39" i="86" s="1"/>
  <c r="J38" i="86" s="1"/>
  <c r="J37" i="86" s="1"/>
  <c r="J36" i="86" s="1"/>
  <c r="J35" i="86" s="1"/>
  <c r="J34" i="86" s="1"/>
  <c r="J33" i="86" s="1"/>
  <c r="J32" i="86" s="1"/>
  <c r="J31" i="86" s="1"/>
  <c r="J30" i="86" s="1"/>
  <c r="J29" i="86" s="1"/>
  <c r="J28" i="86" s="1"/>
  <c r="J27" i="86" s="1"/>
  <c r="J26" i="86" s="1"/>
  <c r="J25" i="86" s="1"/>
  <c r="J24" i="86" s="1"/>
  <c r="J23" i="86" s="1"/>
  <c r="J22" i="86" s="1"/>
  <c r="J21" i="86" s="1"/>
  <c r="J20" i="86" s="1"/>
  <c r="J19" i="86" s="1"/>
  <c r="J18" i="86" s="1"/>
  <c r="J17" i="86" s="1"/>
  <c r="J16" i="86" s="1"/>
  <c r="J15" i="86" s="1"/>
  <c r="J14" i="86" s="1"/>
  <c r="J13" i="86" s="1"/>
  <c r="J12" i="86" s="1"/>
  <c r="J11" i="86" s="1"/>
  <c r="J10" i="86" s="1"/>
  <c r="J9" i="86" s="1"/>
  <c r="J8" i="86" s="1"/>
  <c r="J7" i="86" s="1"/>
  <c r="J6" i="86" s="1"/>
  <c r="J5" i="86" s="1"/>
  <c r="L159" i="86"/>
  <c r="L158" i="86" s="1"/>
  <c r="L157" i="86" s="1"/>
  <c r="L156" i="86" s="1"/>
  <c r="L155" i="86" s="1"/>
  <c r="L154" i="86" s="1"/>
  <c r="L153" i="86" s="1"/>
  <c r="L152" i="86" s="1"/>
  <c r="L151" i="86" s="1"/>
  <c r="L150" i="86" s="1"/>
  <c r="L149" i="86" s="1"/>
  <c r="L148" i="86" s="1"/>
  <c r="L147" i="86" s="1"/>
  <c r="L146" i="86" s="1"/>
  <c r="L145" i="86" s="1"/>
  <c r="L144" i="86" s="1"/>
  <c r="L143" i="86" s="1"/>
  <c r="L142" i="86" s="1"/>
  <c r="L141" i="86" s="1"/>
  <c r="L140" i="86" s="1"/>
  <c r="L139" i="86" s="1"/>
  <c r="L138" i="86" s="1"/>
  <c r="L137" i="86" s="1"/>
  <c r="L136" i="86" s="1"/>
  <c r="L135" i="86" s="1"/>
  <c r="L134" i="86" s="1"/>
  <c r="L133" i="86" s="1"/>
  <c r="L132" i="86" s="1"/>
  <c r="L131" i="86" s="1"/>
  <c r="L130" i="86" s="1"/>
  <c r="L129" i="86" s="1"/>
  <c r="L128" i="86" s="1"/>
  <c r="L127" i="86" s="1"/>
  <c r="L126" i="86" s="1"/>
  <c r="L125" i="86" s="1"/>
  <c r="L124" i="86" s="1"/>
  <c r="L123" i="86" s="1"/>
  <c r="L122" i="86" s="1"/>
  <c r="L121" i="86" s="1"/>
  <c r="L120" i="86" s="1"/>
  <c r="L119" i="86" s="1"/>
  <c r="L118" i="86" s="1"/>
  <c r="L117" i="86" s="1"/>
  <c r="L116" i="86" s="1"/>
  <c r="L115" i="86" s="1"/>
  <c r="L114" i="86" s="1"/>
  <c r="L113" i="86" s="1"/>
  <c r="L112" i="86" s="1"/>
  <c r="L111" i="86" s="1"/>
  <c r="L110" i="86" s="1"/>
  <c r="L109" i="86" s="1"/>
  <c r="L108" i="86" s="1"/>
  <c r="L107" i="86" s="1"/>
  <c r="L106" i="86" s="1"/>
  <c r="L105" i="86" s="1"/>
  <c r="L104" i="86" s="1"/>
  <c r="L103" i="86" s="1"/>
  <c r="L102" i="86" s="1"/>
  <c r="L101" i="86" s="1"/>
  <c r="L100" i="86" s="1"/>
  <c r="L99" i="86" s="1"/>
  <c r="L98" i="86" s="1"/>
  <c r="L97" i="86" s="1"/>
  <c r="L96" i="86" s="1"/>
  <c r="L95" i="86" s="1"/>
  <c r="L94" i="86" s="1"/>
  <c r="L93" i="86" s="1"/>
  <c r="L92" i="86" s="1"/>
  <c r="L91" i="86" s="1"/>
  <c r="L90" i="86" s="1"/>
  <c r="L89" i="86" s="1"/>
  <c r="L88" i="86" s="1"/>
  <c r="L87" i="86" s="1"/>
  <c r="L86" i="86" s="1"/>
  <c r="L85" i="86" s="1"/>
  <c r="L84" i="86" s="1"/>
  <c r="L83" i="86" s="1"/>
  <c r="L82" i="86" s="1"/>
  <c r="L81" i="86" s="1"/>
  <c r="L80" i="86" s="1"/>
  <c r="L79" i="86" s="1"/>
  <c r="L78" i="86" s="1"/>
  <c r="L77" i="86" s="1"/>
  <c r="L76" i="86" s="1"/>
  <c r="L75" i="86" s="1"/>
  <c r="L74" i="86" s="1"/>
  <c r="L73" i="86" s="1"/>
  <c r="L72" i="86" s="1"/>
  <c r="L71" i="86" s="1"/>
  <c r="L70" i="86" s="1"/>
  <c r="L69" i="86" s="1"/>
  <c r="L68" i="86" s="1"/>
  <c r="L67" i="86" s="1"/>
  <c r="L66" i="86" s="1"/>
  <c r="L65" i="86" s="1"/>
  <c r="L64" i="86" s="1"/>
  <c r="L63" i="86" s="1"/>
  <c r="L62" i="86" s="1"/>
  <c r="L61" i="86" s="1"/>
  <c r="L60" i="86" s="1"/>
  <c r="L59" i="86" s="1"/>
  <c r="L58" i="86" s="1"/>
  <c r="L57" i="86" s="1"/>
  <c r="L56" i="86" s="1"/>
  <c r="L55" i="86" s="1"/>
  <c r="L54" i="86" s="1"/>
  <c r="L53" i="86" s="1"/>
  <c r="L52" i="86" s="1"/>
  <c r="L51" i="86" s="1"/>
  <c r="L50" i="86" s="1"/>
  <c r="L49" i="86" s="1"/>
  <c r="L48" i="86" s="1"/>
  <c r="L47" i="86" s="1"/>
  <c r="L46" i="86" s="1"/>
  <c r="L45" i="86" s="1"/>
  <c r="L44" i="86" s="1"/>
  <c r="L43" i="86" s="1"/>
  <c r="L42" i="86" s="1"/>
  <c r="L41" i="86" s="1"/>
  <c r="L40" i="86" s="1"/>
  <c r="L39" i="86" s="1"/>
  <c r="L38" i="86" s="1"/>
  <c r="L37" i="86" s="1"/>
  <c r="L36" i="86" s="1"/>
  <c r="L35" i="86" s="1"/>
  <c r="L34" i="86" s="1"/>
  <c r="L33" i="86" s="1"/>
  <c r="L32" i="86" s="1"/>
  <c r="L31" i="86" s="1"/>
  <c r="L30" i="86" s="1"/>
  <c r="L29" i="86" s="1"/>
  <c r="L28" i="86" s="1"/>
  <c r="L27" i="86" s="1"/>
  <c r="L26" i="86" s="1"/>
  <c r="L25" i="86" s="1"/>
  <c r="L24" i="86" s="1"/>
  <c r="L23" i="86" s="1"/>
  <c r="L22" i="86" s="1"/>
  <c r="L21" i="86" s="1"/>
  <c r="L20" i="86" s="1"/>
  <c r="L19" i="86" s="1"/>
  <c r="L18" i="86" s="1"/>
  <c r="L17" i="86" s="1"/>
  <c r="L16" i="86" s="1"/>
  <c r="L15" i="86" s="1"/>
  <c r="L14" i="86" s="1"/>
  <c r="L13" i="86" s="1"/>
  <c r="L12" i="86" s="1"/>
  <c r="L11" i="86" s="1"/>
  <c r="L10" i="86" s="1"/>
  <c r="L9" i="86" s="1"/>
  <c r="L8" i="86" s="1"/>
  <c r="L7" i="86" s="1"/>
  <c r="L6" i="86" s="1"/>
  <c r="L5" i="86" s="1"/>
  <c r="F159" i="86"/>
  <c r="F158" i="86" s="1"/>
  <c r="F157" i="86" s="1"/>
  <c r="F156" i="86" s="1"/>
  <c r="F155" i="86" s="1"/>
  <c r="F154" i="86" s="1"/>
  <c r="F153" i="86" s="1"/>
  <c r="F152" i="86" s="1"/>
  <c r="F151" i="86" s="1"/>
  <c r="F150" i="86" s="1"/>
  <c r="F149" i="86" s="1"/>
  <c r="F148" i="86" s="1"/>
  <c r="F147" i="86" s="1"/>
  <c r="F146" i="86" s="1"/>
  <c r="F145" i="86" s="1"/>
  <c r="F144" i="86" s="1"/>
  <c r="F143" i="86" s="1"/>
  <c r="F142" i="86" s="1"/>
  <c r="F141" i="86" s="1"/>
  <c r="F140" i="86" s="1"/>
  <c r="F139" i="86" s="1"/>
  <c r="F138" i="86" s="1"/>
  <c r="F137" i="86" s="1"/>
  <c r="F136" i="86" s="1"/>
  <c r="F135" i="86" s="1"/>
  <c r="F134" i="86" s="1"/>
  <c r="F133" i="86" s="1"/>
  <c r="F132" i="86" s="1"/>
  <c r="F131" i="86" s="1"/>
  <c r="F130" i="86" s="1"/>
  <c r="F129" i="86" s="1"/>
  <c r="F128" i="86" s="1"/>
  <c r="F127" i="86" s="1"/>
  <c r="F126" i="86" s="1"/>
  <c r="F125" i="86" s="1"/>
  <c r="F124" i="86" s="1"/>
  <c r="F123" i="86" s="1"/>
  <c r="F122" i="86" s="1"/>
  <c r="F121" i="86" s="1"/>
  <c r="F120" i="86" s="1"/>
  <c r="F119" i="86" s="1"/>
  <c r="F118" i="86" s="1"/>
  <c r="F117" i="86" s="1"/>
  <c r="F116" i="86" s="1"/>
  <c r="F115" i="86" s="1"/>
  <c r="F114" i="86" s="1"/>
  <c r="F113" i="86" s="1"/>
  <c r="F112" i="86" s="1"/>
  <c r="F111" i="86" s="1"/>
  <c r="F110" i="86" s="1"/>
  <c r="F109" i="86" s="1"/>
  <c r="F108" i="86" s="1"/>
  <c r="F107" i="86" s="1"/>
  <c r="F106" i="86" s="1"/>
  <c r="F105" i="86" s="1"/>
  <c r="F104" i="86" s="1"/>
  <c r="F103" i="86" s="1"/>
  <c r="F102" i="86" s="1"/>
  <c r="F101" i="86" s="1"/>
  <c r="F100" i="86" s="1"/>
  <c r="F99" i="86" s="1"/>
  <c r="F98" i="86" s="1"/>
  <c r="F97" i="86" s="1"/>
  <c r="F96" i="86" s="1"/>
  <c r="F95" i="86" s="1"/>
  <c r="F94" i="86" s="1"/>
  <c r="F93" i="86" s="1"/>
  <c r="F92" i="86" s="1"/>
  <c r="F91" i="86" s="1"/>
  <c r="F90" i="86" s="1"/>
  <c r="F89" i="86" s="1"/>
  <c r="F88" i="86" s="1"/>
  <c r="F87" i="86" s="1"/>
  <c r="F86" i="86" s="1"/>
  <c r="F85" i="86" s="1"/>
  <c r="F84" i="86" s="1"/>
  <c r="F83" i="86" s="1"/>
  <c r="F82" i="86" s="1"/>
  <c r="F81" i="86" s="1"/>
  <c r="F80" i="86" s="1"/>
  <c r="F79" i="86" s="1"/>
  <c r="F78" i="86" s="1"/>
  <c r="F77" i="86" s="1"/>
  <c r="F76" i="86" s="1"/>
  <c r="F75" i="86" s="1"/>
  <c r="F74" i="86" s="1"/>
  <c r="F73" i="86" s="1"/>
  <c r="F72" i="86" s="1"/>
  <c r="F71" i="86" s="1"/>
  <c r="F70" i="86" s="1"/>
  <c r="F69" i="86" s="1"/>
  <c r="F68" i="86" s="1"/>
  <c r="F67" i="86" s="1"/>
  <c r="F66" i="86" s="1"/>
  <c r="F65" i="86" s="1"/>
  <c r="F64" i="86" s="1"/>
  <c r="F63" i="86" s="1"/>
  <c r="F62" i="86" s="1"/>
  <c r="F61" i="86" s="1"/>
  <c r="F60" i="86" s="1"/>
  <c r="F59" i="86" s="1"/>
  <c r="F58" i="86" s="1"/>
  <c r="F57" i="86" s="1"/>
  <c r="F56" i="86" s="1"/>
  <c r="F55" i="86" s="1"/>
  <c r="F54" i="86" s="1"/>
  <c r="F53" i="86" s="1"/>
  <c r="F52" i="86" s="1"/>
  <c r="F51" i="86" s="1"/>
  <c r="F50" i="86" s="1"/>
  <c r="F49" i="86" s="1"/>
  <c r="F48" i="86" s="1"/>
  <c r="F47" i="86" s="1"/>
  <c r="F46" i="86" s="1"/>
  <c r="F45" i="86" s="1"/>
  <c r="F44" i="86" s="1"/>
  <c r="F43" i="86" s="1"/>
  <c r="F42" i="86" s="1"/>
  <c r="F41" i="86" s="1"/>
  <c r="F40" i="86" s="1"/>
  <c r="F39" i="86" s="1"/>
  <c r="F38" i="86" s="1"/>
  <c r="F37" i="86" s="1"/>
  <c r="F36" i="86" s="1"/>
  <c r="F35" i="86" s="1"/>
  <c r="F34" i="86" s="1"/>
  <c r="F33" i="86" s="1"/>
  <c r="F32" i="86" s="1"/>
  <c r="F31" i="86" s="1"/>
  <c r="F30" i="86" s="1"/>
  <c r="F29" i="86" s="1"/>
  <c r="F28" i="86" s="1"/>
  <c r="F27" i="86" s="1"/>
  <c r="F26" i="86" s="1"/>
  <c r="F25" i="86" s="1"/>
  <c r="F24" i="86" s="1"/>
  <c r="F23" i="86" s="1"/>
  <c r="F22" i="86" s="1"/>
  <c r="F21" i="86" s="1"/>
  <c r="F20" i="86" s="1"/>
  <c r="F19" i="86" s="1"/>
  <c r="F18" i="86" s="1"/>
  <c r="F17" i="86" s="1"/>
  <c r="F16" i="86" s="1"/>
  <c r="F15" i="86" s="1"/>
  <c r="F14" i="86" s="1"/>
  <c r="F13" i="86" s="1"/>
  <c r="F12" i="86" s="1"/>
  <c r="F11" i="86" s="1"/>
  <c r="F10" i="86" s="1"/>
  <c r="F9" i="86" s="1"/>
  <c r="F8" i="86" s="1"/>
  <c r="F7" i="86" s="1"/>
  <c r="F6" i="86" s="1"/>
  <c r="F5" i="86" s="1"/>
  <c r="M159" i="86"/>
  <c r="M158" i="86" s="1"/>
  <c r="M157" i="86" s="1"/>
  <c r="M156" i="86" s="1"/>
  <c r="M155" i="86" s="1"/>
  <c r="M154" i="86" s="1"/>
  <c r="M153" i="86" s="1"/>
  <c r="M152" i="86" s="1"/>
  <c r="M151" i="86" s="1"/>
  <c r="M150" i="86" s="1"/>
  <c r="M149" i="86" s="1"/>
  <c r="M148" i="86" s="1"/>
  <c r="M147" i="86" s="1"/>
  <c r="M146" i="86" s="1"/>
  <c r="M145" i="86" s="1"/>
  <c r="M144" i="86" s="1"/>
  <c r="M143" i="86" s="1"/>
  <c r="M142" i="86" s="1"/>
  <c r="M141" i="86" s="1"/>
  <c r="M140" i="86" s="1"/>
  <c r="M139" i="86" s="1"/>
  <c r="M138" i="86" s="1"/>
  <c r="M137" i="86" s="1"/>
  <c r="M136" i="86" s="1"/>
  <c r="M135" i="86" s="1"/>
  <c r="M134" i="86" s="1"/>
  <c r="M133" i="86" s="1"/>
  <c r="M132" i="86" s="1"/>
  <c r="M131" i="86" s="1"/>
  <c r="M130" i="86" s="1"/>
  <c r="M129" i="86" s="1"/>
  <c r="M128" i="86" s="1"/>
  <c r="M127" i="86" s="1"/>
  <c r="M126" i="86" s="1"/>
  <c r="M125" i="86" s="1"/>
  <c r="M124" i="86" s="1"/>
  <c r="M123" i="86" s="1"/>
  <c r="M122" i="86" s="1"/>
  <c r="M121" i="86" s="1"/>
  <c r="M120" i="86" s="1"/>
  <c r="M119" i="86" s="1"/>
  <c r="M118" i="86" s="1"/>
  <c r="M117" i="86" s="1"/>
  <c r="M116" i="86" s="1"/>
  <c r="M115" i="86" s="1"/>
  <c r="M114" i="86" s="1"/>
  <c r="M113" i="86" s="1"/>
  <c r="M112" i="86" s="1"/>
  <c r="M111" i="86" s="1"/>
  <c r="M110" i="86" s="1"/>
  <c r="M109" i="86" s="1"/>
  <c r="M108" i="86" s="1"/>
  <c r="M107" i="86" s="1"/>
  <c r="M106" i="86" s="1"/>
  <c r="M105" i="86" s="1"/>
  <c r="M104" i="86" s="1"/>
  <c r="M103" i="86" s="1"/>
  <c r="M102" i="86" s="1"/>
  <c r="M101" i="86" s="1"/>
  <c r="M100" i="86" s="1"/>
  <c r="M99" i="86" s="1"/>
  <c r="M98" i="86" s="1"/>
  <c r="M97" i="86" s="1"/>
  <c r="M96" i="86" s="1"/>
  <c r="M95" i="86" s="1"/>
  <c r="M94" i="86" s="1"/>
  <c r="M93" i="86" s="1"/>
  <c r="M92" i="86" s="1"/>
  <c r="M91" i="86" s="1"/>
  <c r="M90" i="86" s="1"/>
  <c r="M89" i="86" s="1"/>
  <c r="M88" i="86" s="1"/>
  <c r="M87" i="86" s="1"/>
  <c r="M86" i="86" s="1"/>
  <c r="M85" i="86" s="1"/>
  <c r="M84" i="86" s="1"/>
  <c r="M83" i="86" s="1"/>
  <c r="M82" i="86" s="1"/>
  <c r="M81" i="86" s="1"/>
  <c r="M80" i="86" s="1"/>
  <c r="M79" i="86" s="1"/>
  <c r="M78" i="86" s="1"/>
  <c r="M77" i="86" s="1"/>
  <c r="M76" i="86" s="1"/>
  <c r="M75" i="86" s="1"/>
  <c r="M74" i="86" s="1"/>
  <c r="M73" i="86" s="1"/>
  <c r="M72" i="86" s="1"/>
  <c r="M71" i="86" s="1"/>
  <c r="M70" i="86" s="1"/>
  <c r="M69" i="86" s="1"/>
  <c r="M68" i="86" s="1"/>
  <c r="M67" i="86" s="1"/>
  <c r="M66" i="86" s="1"/>
  <c r="M65" i="86" s="1"/>
  <c r="M64" i="86" s="1"/>
  <c r="M63" i="86" s="1"/>
  <c r="M62" i="86" s="1"/>
  <c r="M61" i="86" s="1"/>
  <c r="M60" i="86" s="1"/>
  <c r="M59" i="86" s="1"/>
  <c r="M58" i="86" s="1"/>
  <c r="M57" i="86" s="1"/>
  <c r="M56" i="86" s="1"/>
  <c r="M55" i="86" s="1"/>
  <c r="M54" i="86" s="1"/>
  <c r="M53" i="86" s="1"/>
  <c r="M52" i="86" s="1"/>
  <c r="M51" i="86" s="1"/>
  <c r="M50" i="86" s="1"/>
  <c r="M49" i="86" s="1"/>
  <c r="M48" i="86" s="1"/>
  <c r="M47" i="86" s="1"/>
  <c r="M46" i="86" s="1"/>
  <c r="M45" i="86" s="1"/>
  <c r="M44" i="86" s="1"/>
  <c r="M43" i="86" s="1"/>
  <c r="M42" i="86" s="1"/>
  <c r="M41" i="86" s="1"/>
  <c r="M40" i="86" s="1"/>
  <c r="M39" i="86" s="1"/>
  <c r="M38" i="86" s="1"/>
  <c r="M37" i="86" s="1"/>
  <c r="M36" i="86" s="1"/>
  <c r="M35" i="86" s="1"/>
  <c r="M34" i="86" s="1"/>
  <c r="M33" i="86" s="1"/>
  <c r="M32" i="86" s="1"/>
  <c r="M31" i="86" s="1"/>
  <c r="M30" i="86" s="1"/>
  <c r="M29" i="86" s="1"/>
  <c r="M28" i="86" s="1"/>
  <c r="M27" i="86" s="1"/>
  <c r="M26" i="86" s="1"/>
  <c r="M25" i="86" s="1"/>
  <c r="M24" i="86" s="1"/>
  <c r="M23" i="86" s="1"/>
  <c r="M22" i="86" s="1"/>
  <c r="M21" i="86" s="1"/>
  <c r="M20" i="86" s="1"/>
  <c r="M19" i="86" s="1"/>
  <c r="M18" i="86" s="1"/>
  <c r="M17" i="86" s="1"/>
  <c r="M16" i="86" s="1"/>
  <c r="M15" i="86" s="1"/>
  <c r="M14" i="86" s="1"/>
  <c r="M13" i="86" s="1"/>
  <c r="M12" i="86" s="1"/>
  <c r="M11" i="86" s="1"/>
  <c r="M10" i="86" s="1"/>
  <c r="M9" i="86" s="1"/>
  <c r="M8" i="86" s="1"/>
  <c r="M7" i="86" s="1"/>
  <c r="M6" i="86" s="1"/>
  <c r="M5" i="86" s="1"/>
  <c r="E159" i="86"/>
  <c r="E158" i="86" s="1"/>
  <c r="E157" i="86" s="1"/>
  <c r="E156" i="86" s="1"/>
  <c r="E155" i="86" s="1"/>
  <c r="E154" i="86" s="1"/>
  <c r="E153" i="86" s="1"/>
  <c r="E152" i="86" s="1"/>
  <c r="E151" i="86" s="1"/>
  <c r="E150" i="86" s="1"/>
  <c r="E149" i="86" s="1"/>
  <c r="E148" i="86" s="1"/>
  <c r="E147" i="86" s="1"/>
  <c r="E146" i="86" s="1"/>
  <c r="E145" i="86" s="1"/>
  <c r="E144" i="86" s="1"/>
  <c r="E143" i="86" s="1"/>
  <c r="E142" i="86" s="1"/>
  <c r="E141" i="86" s="1"/>
  <c r="E140" i="86" s="1"/>
  <c r="E139" i="86" s="1"/>
  <c r="E138" i="86" s="1"/>
  <c r="E137" i="86" s="1"/>
  <c r="E136" i="86" s="1"/>
  <c r="E135" i="86" s="1"/>
  <c r="E134" i="86" s="1"/>
  <c r="E133" i="86" s="1"/>
  <c r="E132" i="86" s="1"/>
  <c r="E131" i="86" s="1"/>
  <c r="E130" i="86" s="1"/>
  <c r="E129" i="86" s="1"/>
  <c r="E128" i="86" s="1"/>
  <c r="E127" i="86" s="1"/>
  <c r="E126" i="86" s="1"/>
  <c r="E125" i="86" s="1"/>
  <c r="E124" i="86" s="1"/>
  <c r="E123" i="86" s="1"/>
  <c r="E122" i="86" s="1"/>
  <c r="E121" i="86" s="1"/>
  <c r="E120" i="86" s="1"/>
  <c r="E119" i="86" s="1"/>
  <c r="E118" i="86" s="1"/>
  <c r="E117" i="86" s="1"/>
  <c r="E116" i="86" s="1"/>
  <c r="E115" i="86" s="1"/>
  <c r="E114" i="86" s="1"/>
  <c r="E113" i="86" s="1"/>
  <c r="E112" i="86" s="1"/>
  <c r="E111" i="86" s="1"/>
  <c r="E110" i="86" s="1"/>
  <c r="E109" i="86" s="1"/>
  <c r="E108" i="86" s="1"/>
  <c r="E107" i="86" s="1"/>
  <c r="E106" i="86" s="1"/>
  <c r="E105" i="86" s="1"/>
  <c r="E104" i="86" s="1"/>
  <c r="E103" i="86" s="1"/>
  <c r="E102" i="86" s="1"/>
  <c r="E101" i="86" s="1"/>
  <c r="E100" i="86" s="1"/>
  <c r="E99" i="86" s="1"/>
  <c r="E98" i="86" s="1"/>
  <c r="E97" i="86" s="1"/>
  <c r="E96" i="86" s="1"/>
  <c r="E95" i="86" s="1"/>
  <c r="E94" i="86" s="1"/>
  <c r="E93" i="86" s="1"/>
  <c r="E92" i="86" s="1"/>
  <c r="E91" i="86" s="1"/>
  <c r="E90" i="86" s="1"/>
  <c r="E89" i="86" s="1"/>
  <c r="E88" i="86" s="1"/>
  <c r="E87" i="86" s="1"/>
  <c r="E86" i="86" s="1"/>
  <c r="E85" i="86" s="1"/>
  <c r="E84" i="86" s="1"/>
  <c r="E83" i="86" s="1"/>
  <c r="E82" i="86" s="1"/>
  <c r="E81" i="86" s="1"/>
  <c r="E80" i="86" s="1"/>
  <c r="E79" i="86" s="1"/>
  <c r="E78" i="86" s="1"/>
  <c r="E77" i="86" s="1"/>
  <c r="E76" i="86" s="1"/>
  <c r="E75" i="86" s="1"/>
  <c r="E74" i="86" s="1"/>
  <c r="E73" i="86" s="1"/>
  <c r="E72" i="86" s="1"/>
  <c r="E71" i="86" s="1"/>
  <c r="E70" i="86" s="1"/>
  <c r="E69" i="86" s="1"/>
  <c r="E68" i="86" s="1"/>
  <c r="E67" i="86" s="1"/>
  <c r="E66" i="86" s="1"/>
  <c r="E65" i="86" s="1"/>
  <c r="E64" i="86" s="1"/>
  <c r="E63" i="86" s="1"/>
  <c r="E62" i="86" s="1"/>
  <c r="E61" i="86" s="1"/>
  <c r="E60" i="86" s="1"/>
  <c r="E59" i="86" s="1"/>
  <c r="E58" i="86" s="1"/>
  <c r="E57" i="86" s="1"/>
  <c r="E56" i="86" s="1"/>
  <c r="E55" i="86" s="1"/>
  <c r="E54" i="86" s="1"/>
  <c r="E53" i="86" s="1"/>
  <c r="E52" i="86" s="1"/>
  <c r="E51" i="86" s="1"/>
  <c r="E50" i="86" s="1"/>
  <c r="E49" i="86" s="1"/>
  <c r="E48" i="86" s="1"/>
  <c r="E47" i="86" s="1"/>
  <c r="E46" i="86" s="1"/>
  <c r="E45" i="86" s="1"/>
  <c r="E44" i="86" s="1"/>
  <c r="E43" i="86" s="1"/>
  <c r="E42" i="86" s="1"/>
  <c r="E41" i="86" s="1"/>
  <c r="E40" i="86" s="1"/>
  <c r="E39" i="86" s="1"/>
  <c r="E38" i="86" s="1"/>
  <c r="E37" i="86" s="1"/>
  <c r="E36" i="86" s="1"/>
  <c r="E35" i="86" s="1"/>
  <c r="E34" i="86" s="1"/>
  <c r="E33" i="86" s="1"/>
  <c r="E32" i="86" s="1"/>
  <c r="E31" i="86" s="1"/>
  <c r="E30" i="86" s="1"/>
  <c r="E29" i="86" s="1"/>
  <c r="E28" i="86" s="1"/>
  <c r="E27" i="86" s="1"/>
  <c r="E26" i="86" s="1"/>
  <c r="E25" i="86" s="1"/>
  <c r="E24" i="86" s="1"/>
  <c r="E23" i="86" s="1"/>
  <c r="E22" i="86" s="1"/>
  <c r="E21" i="86" s="1"/>
  <c r="E20" i="86" s="1"/>
  <c r="E19" i="86" s="1"/>
  <c r="E18" i="86" s="1"/>
  <c r="E17" i="86" s="1"/>
  <c r="E16" i="86" s="1"/>
  <c r="E15" i="86" s="1"/>
  <c r="E14" i="86" s="1"/>
  <c r="E13" i="86" s="1"/>
  <c r="E12" i="86" s="1"/>
  <c r="E11" i="86" s="1"/>
  <c r="E10" i="86" s="1"/>
  <c r="E9" i="86" s="1"/>
  <c r="E8" i="86" s="1"/>
  <c r="E7" i="86" s="1"/>
  <c r="E6" i="86" s="1"/>
  <c r="E5" i="86" s="1"/>
  <c r="B160" i="86"/>
  <c r="B161" i="86" s="1"/>
  <c r="C345" i="66"/>
  <c r="AM157" i="86"/>
  <c r="I159" i="86"/>
  <c r="Q159" i="86" s="1"/>
  <c r="I165" i="65"/>
  <c r="J145" i="65"/>
  <c r="I166" i="65"/>
  <c r="AA159" i="86"/>
  <c r="AA158" i="86" s="1"/>
  <c r="AA157" i="86" s="1"/>
  <c r="AA156" i="86" s="1"/>
  <c r="AA155" i="86" s="1"/>
  <c r="AA154" i="86" s="1"/>
  <c r="AA153" i="86" s="1"/>
  <c r="AA152" i="86" s="1"/>
  <c r="AA151" i="86" s="1"/>
  <c r="AA150" i="86" s="1"/>
  <c r="AA149" i="86" s="1"/>
  <c r="AA148" i="86" s="1"/>
  <c r="AA147" i="86" s="1"/>
  <c r="AA146" i="86" s="1"/>
  <c r="AA145" i="86" s="1"/>
  <c r="AA144" i="86" s="1"/>
  <c r="AA143" i="86" s="1"/>
  <c r="AA142" i="86" s="1"/>
  <c r="AA141" i="86" s="1"/>
  <c r="AA140" i="86" s="1"/>
  <c r="AA139" i="86" s="1"/>
  <c r="AA138" i="86" s="1"/>
  <c r="AA137" i="86" s="1"/>
  <c r="AA136" i="86" s="1"/>
  <c r="AA135" i="86" s="1"/>
  <c r="AA134" i="86" s="1"/>
  <c r="AA133" i="86" s="1"/>
  <c r="AA132" i="86" s="1"/>
  <c r="AA131" i="86" s="1"/>
  <c r="AA130" i="86" s="1"/>
  <c r="AA129" i="86" s="1"/>
  <c r="AA128" i="86" s="1"/>
  <c r="AA127" i="86" s="1"/>
  <c r="AA126" i="86" s="1"/>
  <c r="AA125" i="86" s="1"/>
  <c r="AA124" i="86" s="1"/>
  <c r="AA123" i="86" s="1"/>
  <c r="AA122" i="86" s="1"/>
  <c r="AA121" i="86" s="1"/>
  <c r="AA120" i="86" s="1"/>
  <c r="AA119" i="86" s="1"/>
  <c r="AA118" i="86" s="1"/>
  <c r="AA117" i="86" s="1"/>
  <c r="AA116" i="86" s="1"/>
  <c r="AA115" i="86" s="1"/>
  <c r="AA114" i="86" s="1"/>
  <c r="AA113" i="86" s="1"/>
  <c r="AA112" i="86" s="1"/>
  <c r="AA111" i="86" s="1"/>
  <c r="AA110" i="86" s="1"/>
  <c r="AA109" i="86" s="1"/>
  <c r="AA108" i="86" s="1"/>
  <c r="AA107" i="86" s="1"/>
  <c r="AA106" i="86" s="1"/>
  <c r="AA105" i="86" s="1"/>
  <c r="AA104" i="86" s="1"/>
  <c r="AA103" i="86" s="1"/>
  <c r="AA102" i="86" s="1"/>
  <c r="AA101" i="86" s="1"/>
  <c r="AA100" i="86" s="1"/>
  <c r="AA99" i="86" s="1"/>
  <c r="AA98" i="86" s="1"/>
  <c r="AA97" i="86" s="1"/>
  <c r="AA96" i="86" s="1"/>
  <c r="AA95" i="86" s="1"/>
  <c r="AA94" i="86" s="1"/>
  <c r="AA93" i="86" s="1"/>
  <c r="AA92" i="86" s="1"/>
  <c r="AA91" i="86" s="1"/>
  <c r="AA90" i="86" s="1"/>
  <c r="AA89" i="86" s="1"/>
  <c r="AA88" i="86" s="1"/>
  <c r="AA87" i="86" s="1"/>
  <c r="AA86" i="86" s="1"/>
  <c r="AA85" i="86" s="1"/>
  <c r="AA84" i="86" s="1"/>
  <c r="AA83" i="86" s="1"/>
  <c r="AA82" i="86" s="1"/>
  <c r="AA81" i="86" s="1"/>
  <c r="AA80" i="86" s="1"/>
  <c r="AA79" i="86" s="1"/>
  <c r="AA78" i="86" s="1"/>
  <c r="AA77" i="86" s="1"/>
  <c r="AA76" i="86" s="1"/>
  <c r="AA75" i="86" s="1"/>
  <c r="AA74" i="86" s="1"/>
  <c r="AA73" i="86" s="1"/>
  <c r="AA72" i="86" s="1"/>
  <c r="AA71" i="86" s="1"/>
  <c r="AA70" i="86" s="1"/>
  <c r="AA69" i="86" s="1"/>
  <c r="AA68" i="86" s="1"/>
  <c r="AA67" i="86" s="1"/>
  <c r="AA66" i="86" s="1"/>
  <c r="AA65" i="86" s="1"/>
  <c r="AA64" i="86" s="1"/>
  <c r="AA63" i="86" s="1"/>
  <c r="AA62" i="86" s="1"/>
  <c r="AA61" i="86" s="1"/>
  <c r="AA60" i="86" s="1"/>
  <c r="AA59" i="86" s="1"/>
  <c r="AA58" i="86" s="1"/>
  <c r="AA57" i="86" s="1"/>
  <c r="AA56" i="86" s="1"/>
  <c r="AA55" i="86" s="1"/>
  <c r="AA54" i="86" s="1"/>
  <c r="AA53" i="86" s="1"/>
  <c r="AA52" i="86" s="1"/>
  <c r="AA51" i="86" s="1"/>
  <c r="AA50" i="86" s="1"/>
  <c r="AA49" i="86" s="1"/>
  <c r="AA48" i="86" s="1"/>
  <c r="AA47" i="86" s="1"/>
  <c r="AA46" i="86" s="1"/>
  <c r="AA45" i="86" s="1"/>
  <c r="AA44" i="86" s="1"/>
  <c r="AA43" i="86" s="1"/>
  <c r="AA42" i="86" s="1"/>
  <c r="AA41" i="86" s="1"/>
  <c r="AA40" i="86" s="1"/>
  <c r="AA39" i="86" s="1"/>
  <c r="AA38" i="86" s="1"/>
  <c r="AA37" i="86" s="1"/>
  <c r="AA36" i="86" s="1"/>
  <c r="AA35" i="86" s="1"/>
  <c r="AA34" i="86" s="1"/>
  <c r="AA33" i="86" s="1"/>
  <c r="AA32" i="86" s="1"/>
  <c r="AA31" i="86" s="1"/>
  <c r="AA30" i="86" s="1"/>
  <c r="AA29" i="86" s="1"/>
  <c r="AA28" i="86" s="1"/>
  <c r="AA27" i="86" s="1"/>
  <c r="AA26" i="86" s="1"/>
  <c r="AA25" i="86" s="1"/>
  <c r="AA24" i="86" s="1"/>
  <c r="AA23" i="86" s="1"/>
  <c r="AA22" i="86" s="1"/>
  <c r="AA21" i="86" s="1"/>
  <c r="AA20" i="86" s="1"/>
  <c r="AA19" i="86" s="1"/>
  <c r="AA18" i="86" s="1"/>
  <c r="AA17" i="86" s="1"/>
  <c r="AA16" i="86" s="1"/>
  <c r="AA15" i="86" s="1"/>
  <c r="AA14" i="86" s="1"/>
  <c r="AA13" i="86" s="1"/>
  <c r="AA12" i="86" s="1"/>
  <c r="AA11" i="86" s="1"/>
  <c r="AA10" i="86" s="1"/>
  <c r="AA9" i="86" s="1"/>
  <c r="AA8" i="86" s="1"/>
  <c r="AA7" i="86" s="1"/>
  <c r="AA6" i="86" s="1"/>
  <c r="AA5" i="86" s="1"/>
  <c r="AD159" i="86"/>
  <c r="AD158" i="86" s="1"/>
  <c r="AD157" i="86" s="1"/>
  <c r="AD156" i="86" s="1"/>
  <c r="AD155" i="86" s="1"/>
  <c r="AD154" i="86" s="1"/>
  <c r="AD153" i="86" s="1"/>
  <c r="AD152" i="86" s="1"/>
  <c r="AD151" i="86" s="1"/>
  <c r="AD150" i="86" s="1"/>
  <c r="AD149" i="86" s="1"/>
  <c r="AD148" i="86" s="1"/>
  <c r="AD147" i="86" s="1"/>
  <c r="AD146" i="86" s="1"/>
  <c r="AD145" i="86" s="1"/>
  <c r="AD144" i="86" s="1"/>
  <c r="AD143" i="86" s="1"/>
  <c r="AD142" i="86" s="1"/>
  <c r="AD141" i="86" s="1"/>
  <c r="AD140" i="86" s="1"/>
  <c r="AD139" i="86" s="1"/>
  <c r="AD138" i="86" s="1"/>
  <c r="AD137" i="86" s="1"/>
  <c r="AD136" i="86" s="1"/>
  <c r="AD135" i="86" s="1"/>
  <c r="AD134" i="86" s="1"/>
  <c r="AD133" i="86" s="1"/>
  <c r="AD132" i="86" s="1"/>
  <c r="AD131" i="86" s="1"/>
  <c r="AD130" i="86" s="1"/>
  <c r="AD129" i="86" s="1"/>
  <c r="AD128" i="86" s="1"/>
  <c r="AD127" i="86" s="1"/>
  <c r="AD126" i="86" s="1"/>
  <c r="AD125" i="86" s="1"/>
  <c r="AD124" i="86" s="1"/>
  <c r="AD123" i="86" s="1"/>
  <c r="AD122" i="86" s="1"/>
  <c r="AD121" i="86" s="1"/>
  <c r="AD120" i="86" s="1"/>
  <c r="AD119" i="86" s="1"/>
  <c r="AD118" i="86" s="1"/>
  <c r="AD117" i="86" s="1"/>
  <c r="AD116" i="86" s="1"/>
  <c r="AD115" i="86" s="1"/>
  <c r="AD114" i="86" s="1"/>
  <c r="AD113" i="86" s="1"/>
  <c r="AD112" i="86" s="1"/>
  <c r="AD111" i="86" s="1"/>
  <c r="AD110" i="86" s="1"/>
  <c r="AD109" i="86" s="1"/>
  <c r="AD108" i="86" s="1"/>
  <c r="AD107" i="86" s="1"/>
  <c r="AD106" i="86" s="1"/>
  <c r="AD105" i="86" s="1"/>
  <c r="AD104" i="86" s="1"/>
  <c r="AD103" i="86" s="1"/>
  <c r="AD102" i="86" s="1"/>
  <c r="AD101" i="86" s="1"/>
  <c r="AD100" i="86" s="1"/>
  <c r="AD99" i="86" s="1"/>
  <c r="AD98" i="86" s="1"/>
  <c r="AD97" i="86" s="1"/>
  <c r="AD96" i="86" s="1"/>
  <c r="AD95" i="86" s="1"/>
  <c r="AD94" i="86" s="1"/>
  <c r="AD93" i="86" s="1"/>
  <c r="AD92" i="86" s="1"/>
  <c r="AD91" i="86" s="1"/>
  <c r="AD90" i="86" s="1"/>
  <c r="AD89" i="86" s="1"/>
  <c r="AD88" i="86" s="1"/>
  <c r="AD87" i="86" s="1"/>
  <c r="AD86" i="86" s="1"/>
  <c r="AD85" i="86" s="1"/>
  <c r="AD84" i="86" s="1"/>
  <c r="AD83" i="86" s="1"/>
  <c r="AD82" i="86" s="1"/>
  <c r="AD81" i="86" s="1"/>
  <c r="AD80" i="86" s="1"/>
  <c r="AD79" i="86" s="1"/>
  <c r="AD78" i="86" s="1"/>
  <c r="AD77" i="86" s="1"/>
  <c r="AD76" i="86" s="1"/>
  <c r="AD75" i="86" s="1"/>
  <c r="AD74" i="86" s="1"/>
  <c r="AD73" i="86" s="1"/>
  <c r="AD72" i="86" s="1"/>
  <c r="AD71" i="86" s="1"/>
  <c r="AD70" i="86" s="1"/>
  <c r="AD69" i="86" s="1"/>
  <c r="AD68" i="86" s="1"/>
  <c r="AD67" i="86" s="1"/>
  <c r="AD66" i="86" s="1"/>
  <c r="AD65" i="86" s="1"/>
  <c r="AD64" i="86" s="1"/>
  <c r="AD63" i="86" s="1"/>
  <c r="AD62" i="86" s="1"/>
  <c r="AD61" i="86" s="1"/>
  <c r="AD60" i="86" s="1"/>
  <c r="AD59" i="86" s="1"/>
  <c r="AD58" i="86" s="1"/>
  <c r="AD57" i="86" s="1"/>
  <c r="AD56" i="86" s="1"/>
  <c r="AD55" i="86" s="1"/>
  <c r="AD54" i="86" s="1"/>
  <c r="AD53" i="86" s="1"/>
  <c r="AD52" i="86" s="1"/>
  <c r="AD51" i="86" s="1"/>
  <c r="AD50" i="86" s="1"/>
  <c r="AD49" i="86" s="1"/>
  <c r="AD48" i="86" s="1"/>
  <c r="AD47" i="86" s="1"/>
  <c r="AD46" i="86" s="1"/>
  <c r="AD45" i="86" s="1"/>
  <c r="AD44" i="86" s="1"/>
  <c r="AD43" i="86" s="1"/>
  <c r="AD42" i="86" s="1"/>
  <c r="AD41" i="86" s="1"/>
  <c r="AD40" i="86" s="1"/>
  <c r="AD39" i="86" s="1"/>
  <c r="AD38" i="86" s="1"/>
  <c r="AD37" i="86" s="1"/>
  <c r="AD36" i="86" s="1"/>
  <c r="AD35" i="86" s="1"/>
  <c r="AD34" i="86" s="1"/>
  <c r="AD33" i="86" s="1"/>
  <c r="AD32" i="86" s="1"/>
  <c r="AD31" i="86" s="1"/>
  <c r="AD30" i="86" s="1"/>
  <c r="AD29" i="86" s="1"/>
  <c r="AD28" i="86" s="1"/>
  <c r="AD27" i="86" s="1"/>
  <c r="AD26" i="86" s="1"/>
  <c r="AD25" i="86" s="1"/>
  <c r="AD24" i="86" s="1"/>
  <c r="AD23" i="86" s="1"/>
  <c r="AD22" i="86" s="1"/>
  <c r="AD21" i="86" s="1"/>
  <c r="AD20" i="86" s="1"/>
  <c r="AD19" i="86" s="1"/>
  <c r="AD18" i="86" s="1"/>
  <c r="AD17" i="86" s="1"/>
  <c r="AD16" i="86" s="1"/>
  <c r="AD15" i="86" s="1"/>
  <c r="AD14" i="86" s="1"/>
  <c r="AD13" i="86" s="1"/>
  <c r="AD12" i="86" s="1"/>
  <c r="AD11" i="86" s="1"/>
  <c r="AD10" i="86" s="1"/>
  <c r="AD9" i="86" s="1"/>
  <c r="AD8" i="86" s="1"/>
  <c r="AD7" i="86" s="1"/>
  <c r="AD6" i="86" s="1"/>
  <c r="AD5" i="86" s="1"/>
  <c r="AC159" i="86"/>
  <c r="AC158" i="86" s="1"/>
  <c r="AC157" i="86" s="1"/>
  <c r="AC156" i="86" s="1"/>
  <c r="AC155" i="86" s="1"/>
  <c r="AC154" i="86" s="1"/>
  <c r="AC153" i="86" s="1"/>
  <c r="AC152" i="86" s="1"/>
  <c r="AC151" i="86" s="1"/>
  <c r="AC150" i="86" s="1"/>
  <c r="AC149" i="86" s="1"/>
  <c r="AC148" i="86" s="1"/>
  <c r="AC147" i="86" s="1"/>
  <c r="AC146" i="86" s="1"/>
  <c r="AC145" i="86" s="1"/>
  <c r="AC144" i="86" s="1"/>
  <c r="AC143" i="86" s="1"/>
  <c r="AC142" i="86" s="1"/>
  <c r="AC141" i="86" s="1"/>
  <c r="AC140" i="86" s="1"/>
  <c r="AC139" i="86" s="1"/>
  <c r="AC138" i="86" s="1"/>
  <c r="AC137" i="86" s="1"/>
  <c r="AC136" i="86" s="1"/>
  <c r="AC135" i="86" s="1"/>
  <c r="AC134" i="86" s="1"/>
  <c r="AC133" i="86" s="1"/>
  <c r="AC132" i="86" s="1"/>
  <c r="AC131" i="86" s="1"/>
  <c r="AC130" i="86" s="1"/>
  <c r="AC129" i="86" s="1"/>
  <c r="AC128" i="86" s="1"/>
  <c r="AC127" i="86" s="1"/>
  <c r="AC126" i="86" s="1"/>
  <c r="AC125" i="86" s="1"/>
  <c r="AC124" i="86" s="1"/>
  <c r="AC123" i="86" s="1"/>
  <c r="AC122" i="86" s="1"/>
  <c r="AC121" i="86" s="1"/>
  <c r="AC120" i="86" s="1"/>
  <c r="AC119" i="86" s="1"/>
  <c r="AC118" i="86" s="1"/>
  <c r="AC117" i="86" s="1"/>
  <c r="AC116" i="86" s="1"/>
  <c r="AC115" i="86" s="1"/>
  <c r="AC114" i="86" s="1"/>
  <c r="AC113" i="86" s="1"/>
  <c r="AC112" i="86" s="1"/>
  <c r="AC111" i="86" s="1"/>
  <c r="AC110" i="86" s="1"/>
  <c r="AC109" i="86" s="1"/>
  <c r="AC108" i="86" s="1"/>
  <c r="AC107" i="86" s="1"/>
  <c r="AC106" i="86" s="1"/>
  <c r="AC105" i="86" s="1"/>
  <c r="AC104" i="86" s="1"/>
  <c r="AC103" i="86" s="1"/>
  <c r="AC102" i="86" s="1"/>
  <c r="AC101" i="86" s="1"/>
  <c r="AC100" i="86" s="1"/>
  <c r="AC99" i="86" s="1"/>
  <c r="AC98" i="86" s="1"/>
  <c r="AC97" i="86" s="1"/>
  <c r="AC96" i="86" s="1"/>
  <c r="AC95" i="86" s="1"/>
  <c r="AC94" i="86" s="1"/>
  <c r="AC93" i="86" s="1"/>
  <c r="AC92" i="86" s="1"/>
  <c r="AC91" i="86" s="1"/>
  <c r="AC90" i="86" s="1"/>
  <c r="AC89" i="86" s="1"/>
  <c r="AC88" i="86" s="1"/>
  <c r="AC87" i="86" s="1"/>
  <c r="AC86" i="86" s="1"/>
  <c r="AC85" i="86" s="1"/>
  <c r="AC84" i="86" s="1"/>
  <c r="AC83" i="86" s="1"/>
  <c r="AC82" i="86" s="1"/>
  <c r="AC81" i="86" s="1"/>
  <c r="AC80" i="86" s="1"/>
  <c r="AC79" i="86" s="1"/>
  <c r="AC78" i="86" s="1"/>
  <c r="AC77" i="86" s="1"/>
  <c r="AC76" i="86" s="1"/>
  <c r="AC75" i="86" s="1"/>
  <c r="AC74" i="86" s="1"/>
  <c r="AC73" i="86" s="1"/>
  <c r="AC72" i="86" s="1"/>
  <c r="AC71" i="86" s="1"/>
  <c r="AC70" i="86" s="1"/>
  <c r="AC69" i="86" s="1"/>
  <c r="AC68" i="86" s="1"/>
  <c r="AC67" i="86" s="1"/>
  <c r="AC66" i="86" s="1"/>
  <c r="AC65" i="86" s="1"/>
  <c r="AC64" i="86" s="1"/>
  <c r="AC63" i="86" s="1"/>
  <c r="AC62" i="86" s="1"/>
  <c r="AC61" i="86" s="1"/>
  <c r="AC60" i="86" s="1"/>
  <c r="AC59" i="86" s="1"/>
  <c r="AC58" i="86" s="1"/>
  <c r="AC57" i="86" s="1"/>
  <c r="AC56" i="86" s="1"/>
  <c r="AC55" i="86" s="1"/>
  <c r="AC54" i="86" s="1"/>
  <c r="AC53" i="86" s="1"/>
  <c r="AC52" i="86" s="1"/>
  <c r="AC51" i="86" s="1"/>
  <c r="AC50" i="86" s="1"/>
  <c r="AC49" i="86" s="1"/>
  <c r="AC48" i="86" s="1"/>
  <c r="AC47" i="86" s="1"/>
  <c r="AC46" i="86" s="1"/>
  <c r="AC45" i="86" s="1"/>
  <c r="AC44" i="86" s="1"/>
  <c r="AC43" i="86" s="1"/>
  <c r="AC42" i="86" s="1"/>
  <c r="AC41" i="86" s="1"/>
  <c r="AC40" i="86" s="1"/>
  <c r="AC39" i="86" s="1"/>
  <c r="AC38" i="86" s="1"/>
  <c r="AC37" i="86" s="1"/>
  <c r="AC36" i="86" s="1"/>
  <c r="AC35" i="86" s="1"/>
  <c r="AC34" i="86" s="1"/>
  <c r="AC33" i="86" s="1"/>
  <c r="AC32" i="86" s="1"/>
  <c r="AC31" i="86" s="1"/>
  <c r="AC30" i="86" s="1"/>
  <c r="AC29" i="86" s="1"/>
  <c r="AC28" i="86" s="1"/>
  <c r="AC27" i="86" s="1"/>
  <c r="AC26" i="86" s="1"/>
  <c r="AC25" i="86" s="1"/>
  <c r="AC24" i="86" s="1"/>
  <c r="AC23" i="86" s="1"/>
  <c r="AC22" i="86" s="1"/>
  <c r="AC21" i="86" s="1"/>
  <c r="AC20" i="86" s="1"/>
  <c r="AC19" i="86" s="1"/>
  <c r="AC18" i="86" s="1"/>
  <c r="AC17" i="86" s="1"/>
  <c r="AC16" i="86" s="1"/>
  <c r="AC15" i="86" s="1"/>
  <c r="AC14" i="86" s="1"/>
  <c r="AC13" i="86" s="1"/>
  <c r="AC12" i="86" s="1"/>
  <c r="AC11" i="86" s="1"/>
  <c r="AC10" i="86" s="1"/>
  <c r="AC9" i="86" s="1"/>
  <c r="AC8" i="86" s="1"/>
  <c r="AC7" i="86" s="1"/>
  <c r="AC6" i="86" s="1"/>
  <c r="AC5" i="86" s="1"/>
  <c r="AB159" i="86"/>
  <c r="AB158" i="86" s="1"/>
  <c r="AB157" i="86" s="1"/>
  <c r="AB156" i="86" s="1"/>
  <c r="AB155" i="86" s="1"/>
  <c r="AB154" i="86" s="1"/>
  <c r="AB153" i="86" s="1"/>
  <c r="AB152" i="86" s="1"/>
  <c r="AB151" i="86" s="1"/>
  <c r="AB150" i="86" s="1"/>
  <c r="AB149" i="86" s="1"/>
  <c r="AB148" i="86" s="1"/>
  <c r="AB147" i="86" s="1"/>
  <c r="AB146" i="86" s="1"/>
  <c r="AB145" i="86" s="1"/>
  <c r="AB144" i="86" s="1"/>
  <c r="AB143" i="86" s="1"/>
  <c r="AB142" i="86" s="1"/>
  <c r="AB141" i="86" s="1"/>
  <c r="AB140" i="86" s="1"/>
  <c r="AB139" i="86" s="1"/>
  <c r="AB138" i="86" s="1"/>
  <c r="AB137" i="86" s="1"/>
  <c r="AB136" i="86" s="1"/>
  <c r="AB135" i="86" s="1"/>
  <c r="AB134" i="86" s="1"/>
  <c r="AB133" i="86" s="1"/>
  <c r="AB132" i="86" s="1"/>
  <c r="AB131" i="86" s="1"/>
  <c r="AB130" i="86" s="1"/>
  <c r="AB129" i="86" s="1"/>
  <c r="AB128" i="86" s="1"/>
  <c r="AB127" i="86" s="1"/>
  <c r="AB126" i="86" s="1"/>
  <c r="AB125" i="86" s="1"/>
  <c r="AB124" i="86" s="1"/>
  <c r="AB123" i="86" s="1"/>
  <c r="AB122" i="86" s="1"/>
  <c r="AB121" i="86" s="1"/>
  <c r="AB120" i="86" s="1"/>
  <c r="AB119" i="86" s="1"/>
  <c r="AB118" i="86" s="1"/>
  <c r="AB117" i="86" s="1"/>
  <c r="AB116" i="86" s="1"/>
  <c r="AB115" i="86" s="1"/>
  <c r="AB114" i="86" s="1"/>
  <c r="AB113" i="86" s="1"/>
  <c r="AB112" i="86" s="1"/>
  <c r="AB111" i="86" s="1"/>
  <c r="AB110" i="86" s="1"/>
  <c r="AB109" i="86" s="1"/>
  <c r="AB108" i="86" s="1"/>
  <c r="AB107" i="86" s="1"/>
  <c r="AB106" i="86" s="1"/>
  <c r="AB105" i="86" s="1"/>
  <c r="AB104" i="86" s="1"/>
  <c r="AB103" i="86" s="1"/>
  <c r="AB102" i="86" s="1"/>
  <c r="AB101" i="86" s="1"/>
  <c r="AB100" i="86" s="1"/>
  <c r="AB99" i="86" s="1"/>
  <c r="AB98" i="86" s="1"/>
  <c r="AB97" i="86" s="1"/>
  <c r="AB96" i="86" s="1"/>
  <c r="AB95" i="86" s="1"/>
  <c r="AB94" i="86" s="1"/>
  <c r="AB93" i="86" s="1"/>
  <c r="AB92" i="86" s="1"/>
  <c r="AB91" i="86" s="1"/>
  <c r="AB90" i="86" s="1"/>
  <c r="AB89" i="86" s="1"/>
  <c r="AB88" i="86" s="1"/>
  <c r="AB87" i="86" s="1"/>
  <c r="AB86" i="86" s="1"/>
  <c r="AB85" i="86" s="1"/>
  <c r="AB84" i="86" s="1"/>
  <c r="AB83" i="86" s="1"/>
  <c r="AB82" i="86" s="1"/>
  <c r="AB81" i="86" s="1"/>
  <c r="AB80" i="86" s="1"/>
  <c r="AB79" i="86" s="1"/>
  <c r="AB78" i="86" s="1"/>
  <c r="AB77" i="86" s="1"/>
  <c r="AB76" i="86" s="1"/>
  <c r="AB75" i="86" s="1"/>
  <c r="AB74" i="86" s="1"/>
  <c r="AB73" i="86" s="1"/>
  <c r="AB72" i="86" s="1"/>
  <c r="AB71" i="86" s="1"/>
  <c r="AB70" i="86" s="1"/>
  <c r="AB69" i="86" s="1"/>
  <c r="AB68" i="86" s="1"/>
  <c r="AB67" i="86" s="1"/>
  <c r="AB66" i="86" s="1"/>
  <c r="AB65" i="86" s="1"/>
  <c r="AB64" i="86" s="1"/>
  <c r="AB63" i="86" s="1"/>
  <c r="AB62" i="86" s="1"/>
  <c r="AB61" i="86" s="1"/>
  <c r="AB60" i="86" s="1"/>
  <c r="AB59" i="86" s="1"/>
  <c r="AB58" i="86" s="1"/>
  <c r="AB57" i="86" s="1"/>
  <c r="AB56" i="86" s="1"/>
  <c r="AB55" i="86" s="1"/>
  <c r="AB54" i="86" s="1"/>
  <c r="AB53" i="86" s="1"/>
  <c r="AB52" i="86" s="1"/>
  <c r="AB51" i="86" s="1"/>
  <c r="AB50" i="86" s="1"/>
  <c r="AB49" i="86" s="1"/>
  <c r="AB48" i="86" s="1"/>
  <c r="AB47" i="86" s="1"/>
  <c r="AB46" i="86" s="1"/>
  <c r="AB45" i="86" s="1"/>
  <c r="AB44" i="86" s="1"/>
  <c r="AB43" i="86" s="1"/>
  <c r="AB42" i="86" s="1"/>
  <c r="AB41" i="86" s="1"/>
  <c r="AB40" i="86" s="1"/>
  <c r="AB39" i="86" s="1"/>
  <c r="AB38" i="86" s="1"/>
  <c r="AB37" i="86" s="1"/>
  <c r="AB36" i="86" s="1"/>
  <c r="AB35" i="86" s="1"/>
  <c r="AB34" i="86" s="1"/>
  <c r="AB33" i="86" s="1"/>
  <c r="AB32" i="86" s="1"/>
  <c r="AB31" i="86" s="1"/>
  <c r="AB30" i="86" s="1"/>
  <c r="AB29" i="86" s="1"/>
  <c r="AB28" i="86" s="1"/>
  <c r="AB27" i="86" s="1"/>
  <c r="AB26" i="86" s="1"/>
  <c r="AB25" i="86" s="1"/>
  <c r="AB24" i="86" s="1"/>
  <c r="AB23" i="86" s="1"/>
  <c r="AB22" i="86" s="1"/>
  <c r="AB21" i="86" s="1"/>
  <c r="AB20" i="86" s="1"/>
  <c r="AB19" i="86" s="1"/>
  <c r="AB18" i="86" s="1"/>
  <c r="AB17" i="86" s="1"/>
  <c r="AB16" i="86" s="1"/>
  <c r="AB15" i="86" s="1"/>
  <c r="AB14" i="86" s="1"/>
  <c r="AB13" i="86" s="1"/>
  <c r="AB12" i="86" s="1"/>
  <c r="AB11" i="86" s="1"/>
  <c r="AB10" i="86" s="1"/>
  <c r="AB9" i="86" s="1"/>
  <c r="AB8" i="86" s="1"/>
  <c r="AB7" i="86" s="1"/>
  <c r="AB6" i="86" s="1"/>
  <c r="AB5" i="86" s="1"/>
  <c r="Z159" i="86"/>
  <c r="Z158" i="86" s="1"/>
  <c r="Z157" i="86" s="1"/>
  <c r="Z156" i="86" s="1"/>
  <c r="Z155" i="86" s="1"/>
  <c r="Z154" i="86" s="1"/>
  <c r="Z153" i="86" s="1"/>
  <c r="Z152" i="86" s="1"/>
  <c r="Z151" i="86" s="1"/>
  <c r="Z150" i="86" s="1"/>
  <c r="Z149" i="86" s="1"/>
  <c r="Z148" i="86" s="1"/>
  <c r="Z147" i="86" s="1"/>
  <c r="Z146" i="86" s="1"/>
  <c r="Z145" i="86" s="1"/>
  <c r="Z144" i="86" s="1"/>
  <c r="Z143" i="86" s="1"/>
  <c r="Z142" i="86" s="1"/>
  <c r="Z141" i="86" s="1"/>
  <c r="Z140" i="86" s="1"/>
  <c r="Z139" i="86" s="1"/>
  <c r="Z138" i="86" s="1"/>
  <c r="Z137" i="86" s="1"/>
  <c r="Z136" i="86" s="1"/>
  <c r="Z135" i="86" s="1"/>
  <c r="Z134" i="86" s="1"/>
  <c r="Z133" i="86" s="1"/>
  <c r="Z132" i="86" s="1"/>
  <c r="Z131" i="86" s="1"/>
  <c r="Z130" i="86" s="1"/>
  <c r="Z129" i="86" s="1"/>
  <c r="Z128" i="86" s="1"/>
  <c r="Z127" i="86" s="1"/>
  <c r="Z126" i="86" s="1"/>
  <c r="Z125" i="86" s="1"/>
  <c r="Z124" i="86" s="1"/>
  <c r="Z123" i="86" s="1"/>
  <c r="Z122" i="86" s="1"/>
  <c r="Z121" i="86" s="1"/>
  <c r="Z120" i="86" s="1"/>
  <c r="Z119" i="86" s="1"/>
  <c r="Z118" i="86" s="1"/>
  <c r="Z117" i="86" s="1"/>
  <c r="Z116" i="86" s="1"/>
  <c r="Z115" i="86" s="1"/>
  <c r="Z114" i="86" s="1"/>
  <c r="Z113" i="86" s="1"/>
  <c r="Z112" i="86" s="1"/>
  <c r="Z111" i="86" s="1"/>
  <c r="Z110" i="86" s="1"/>
  <c r="Z109" i="86" s="1"/>
  <c r="Z108" i="86" s="1"/>
  <c r="Z107" i="86" s="1"/>
  <c r="Z106" i="86" s="1"/>
  <c r="Z105" i="86" s="1"/>
  <c r="Z104" i="86" s="1"/>
  <c r="Z103" i="86" s="1"/>
  <c r="Z102" i="86" s="1"/>
  <c r="Z101" i="86" s="1"/>
  <c r="Z100" i="86" s="1"/>
  <c r="Z99" i="86" s="1"/>
  <c r="Z98" i="86" s="1"/>
  <c r="Z97" i="86" s="1"/>
  <c r="Z96" i="86" s="1"/>
  <c r="Z95" i="86" s="1"/>
  <c r="Z94" i="86" s="1"/>
  <c r="Z93" i="86" s="1"/>
  <c r="Z92" i="86" s="1"/>
  <c r="Z91" i="86" s="1"/>
  <c r="Z90" i="86" s="1"/>
  <c r="Z89" i="86" s="1"/>
  <c r="Z88" i="86" s="1"/>
  <c r="Z87" i="86" s="1"/>
  <c r="Z86" i="86" s="1"/>
  <c r="Z85" i="86" s="1"/>
  <c r="Z84" i="86" s="1"/>
  <c r="Z83" i="86" s="1"/>
  <c r="Z82" i="86" s="1"/>
  <c r="Z81" i="86" s="1"/>
  <c r="Z80" i="86" s="1"/>
  <c r="Z79" i="86" s="1"/>
  <c r="Z78" i="86" s="1"/>
  <c r="Z77" i="86" s="1"/>
  <c r="Z76" i="86" s="1"/>
  <c r="Z75" i="86" s="1"/>
  <c r="Z74" i="86" s="1"/>
  <c r="Z73" i="86" s="1"/>
  <c r="Z72" i="86" s="1"/>
  <c r="Z71" i="86" s="1"/>
  <c r="Z70" i="86" s="1"/>
  <c r="Z69" i="86" s="1"/>
  <c r="Z68" i="86" s="1"/>
  <c r="Z67" i="86" s="1"/>
  <c r="Z66" i="86" s="1"/>
  <c r="Z65" i="86" s="1"/>
  <c r="Z64" i="86" s="1"/>
  <c r="Z63" i="86" s="1"/>
  <c r="Z62" i="86" s="1"/>
  <c r="Z61" i="86" s="1"/>
  <c r="Z60" i="86" s="1"/>
  <c r="Z59" i="86" s="1"/>
  <c r="Z58" i="86" s="1"/>
  <c r="Z57" i="86" s="1"/>
  <c r="Z56" i="86" s="1"/>
  <c r="Z55" i="86" s="1"/>
  <c r="Z54" i="86" s="1"/>
  <c r="Z53" i="86" s="1"/>
  <c r="Z52" i="86" s="1"/>
  <c r="Z51" i="86" s="1"/>
  <c r="Z50" i="86" s="1"/>
  <c r="Z49" i="86" s="1"/>
  <c r="Z48" i="86" s="1"/>
  <c r="Z47" i="86" s="1"/>
  <c r="Z46" i="86" s="1"/>
  <c r="Z45" i="86" s="1"/>
  <c r="Z44" i="86" s="1"/>
  <c r="Z43" i="86" s="1"/>
  <c r="Z42" i="86" s="1"/>
  <c r="Z41" i="86" s="1"/>
  <c r="Z40" i="86" s="1"/>
  <c r="Z39" i="86" s="1"/>
  <c r="Z38" i="86" s="1"/>
  <c r="Z37" i="86" s="1"/>
  <c r="Z36" i="86" s="1"/>
  <c r="Z35" i="86" s="1"/>
  <c r="Z34" i="86" s="1"/>
  <c r="Z33" i="86" s="1"/>
  <c r="Z32" i="86" s="1"/>
  <c r="Z31" i="86" s="1"/>
  <c r="Z30" i="86" s="1"/>
  <c r="Z29" i="86" s="1"/>
  <c r="Z28" i="86" s="1"/>
  <c r="Z27" i="86" s="1"/>
  <c r="Z26" i="86" s="1"/>
  <c r="Z25" i="86" s="1"/>
  <c r="Z24" i="86" s="1"/>
  <c r="Z23" i="86" s="1"/>
  <c r="Z22" i="86" s="1"/>
  <c r="Z21" i="86" s="1"/>
  <c r="Z20" i="86" s="1"/>
  <c r="Z19" i="86" s="1"/>
  <c r="Z18" i="86" s="1"/>
  <c r="Z17" i="86" s="1"/>
  <c r="Z16" i="86" s="1"/>
  <c r="Z15" i="86" s="1"/>
  <c r="Z14" i="86" s="1"/>
  <c r="Z13" i="86" s="1"/>
  <c r="Z12" i="86" s="1"/>
  <c r="Z11" i="86" s="1"/>
  <c r="Z10" i="86" s="1"/>
  <c r="Z9" i="86" s="1"/>
  <c r="Z8" i="86" s="1"/>
  <c r="Z7" i="86" s="1"/>
  <c r="Z6" i="86" s="1"/>
  <c r="Z5" i="86" s="1"/>
  <c r="I160" i="86" l="1"/>
  <c r="Q160" i="86" s="1"/>
  <c r="B162" i="86"/>
  <c r="I162" i="86" s="1"/>
  <c r="Q162" i="86" s="1"/>
  <c r="I161" i="86"/>
  <c r="Q161" i="86" s="1"/>
  <c r="C346" i="66"/>
  <c r="AG159" i="86"/>
  <c r="AH159" i="86"/>
  <c r="AK159" i="86"/>
  <c r="AI159" i="86"/>
  <c r="AJ159" i="86"/>
  <c r="AM158" i="86"/>
  <c r="J163" i="65"/>
  <c r="J146" i="65"/>
  <c r="J164" i="65" s="1"/>
  <c r="J89" i="65" s="1"/>
  <c r="C347" i="66" l="1"/>
  <c r="AK158" i="86"/>
  <c r="AH158" i="86"/>
  <c r="AG158" i="86"/>
  <c r="AI158" i="86"/>
  <c r="AJ158" i="86"/>
  <c r="AM159" i="86"/>
  <c r="J91" i="65"/>
  <c r="C348" i="66" l="1"/>
  <c r="AG157" i="86"/>
  <c r="AJ157" i="86"/>
  <c r="AH157" i="86"/>
  <c r="AK157" i="86"/>
  <c r="AI157" i="86"/>
  <c r="AM160" i="86"/>
  <c r="J94" i="65"/>
  <c r="J97" i="65" s="1"/>
  <c r="J92" i="65"/>
  <c r="Y159" i="86" l="1"/>
  <c r="AF159" i="86" s="1"/>
  <c r="C349" i="66"/>
  <c r="AH156" i="86"/>
  <c r="AJ156" i="86"/>
  <c r="AK156" i="86"/>
  <c r="AG156" i="86"/>
  <c r="AI156" i="86"/>
  <c r="AM161" i="86"/>
  <c r="J98" i="65"/>
  <c r="J136" i="65"/>
  <c r="J140" i="65" s="1"/>
  <c r="Y158" i="86" l="1"/>
  <c r="AF158" i="86" s="1"/>
  <c r="C350" i="66"/>
  <c r="AI155" i="86"/>
  <c r="AG155" i="86"/>
  <c r="AK155" i="86"/>
  <c r="AJ155" i="86"/>
  <c r="AH155" i="86"/>
  <c r="AM162" i="86"/>
  <c r="J147" i="65"/>
  <c r="Y157" i="86" l="1"/>
  <c r="AF157" i="86" s="1"/>
  <c r="C351" i="66"/>
  <c r="AH154" i="86"/>
  <c r="AK154" i="86"/>
  <c r="AG154" i="86"/>
  <c r="AI154" i="86"/>
  <c r="AJ154" i="86"/>
  <c r="AM163" i="86"/>
  <c r="J153" i="65"/>
  <c r="J148" i="65"/>
  <c r="Y156" i="86" l="1"/>
  <c r="AF156" i="86" s="1"/>
  <c r="C352" i="66"/>
  <c r="AK153" i="86"/>
  <c r="AH153" i="86"/>
  <c r="AI153" i="86"/>
  <c r="AG153" i="86"/>
  <c r="AJ153" i="86"/>
  <c r="AM164" i="86"/>
  <c r="K145" i="65"/>
  <c r="J154" i="65"/>
  <c r="K151" i="65" s="1"/>
  <c r="K152" i="65" s="1"/>
  <c r="J159" i="65"/>
  <c r="Y155" i="86" l="1"/>
  <c r="AF155" i="86" s="1"/>
  <c r="C353" i="66"/>
  <c r="AI152" i="86"/>
  <c r="AH152" i="86"/>
  <c r="AG152" i="86"/>
  <c r="AK152" i="86"/>
  <c r="AJ152" i="86"/>
  <c r="AM165" i="86"/>
  <c r="J160" i="65"/>
  <c r="K157" i="65" s="1"/>
  <c r="K158" i="65" s="1"/>
  <c r="J165" i="65"/>
  <c r="K146" i="65"/>
  <c r="Y154" i="86" l="1"/>
  <c r="AF154" i="86" s="1"/>
  <c r="C354" i="66"/>
  <c r="AH151" i="86"/>
  <c r="AK151" i="86"/>
  <c r="AG151" i="86"/>
  <c r="AI151" i="86"/>
  <c r="AJ151" i="86"/>
  <c r="AM166" i="86"/>
  <c r="K164" i="65"/>
  <c r="K89" i="65" s="1"/>
  <c r="K163" i="65"/>
  <c r="J166" i="65"/>
  <c r="Y153" i="86" l="1"/>
  <c r="AF153" i="86" s="1"/>
  <c r="C355" i="66"/>
  <c r="AJ150" i="86"/>
  <c r="AI150" i="86"/>
  <c r="AG150" i="86"/>
  <c r="AK150" i="86"/>
  <c r="AH150" i="86"/>
  <c r="AM167" i="86"/>
  <c r="K91" i="65"/>
  <c r="Y152" i="86" l="1"/>
  <c r="AF152" i="86" s="1"/>
  <c r="C356" i="66"/>
  <c r="AK149" i="86"/>
  <c r="AG149" i="86"/>
  <c r="AI149" i="86"/>
  <c r="AJ149" i="86"/>
  <c r="AH149" i="86"/>
  <c r="AM168" i="86"/>
  <c r="K94" i="65"/>
  <c r="K97" i="65" s="1"/>
  <c r="K92" i="65"/>
  <c r="Y151" i="86" l="1"/>
  <c r="AF151" i="86" s="1"/>
  <c r="C357" i="66"/>
  <c r="AJ148" i="86"/>
  <c r="AI148" i="86"/>
  <c r="AG148" i="86"/>
  <c r="AK148" i="86"/>
  <c r="AH148" i="86"/>
  <c r="AM169" i="86"/>
  <c r="K98" i="65"/>
  <c r="K136" i="65"/>
  <c r="K140" i="65" s="1"/>
  <c r="Y150" i="86" l="1"/>
  <c r="AF150" i="86" s="1"/>
  <c r="C358" i="66"/>
  <c r="AM170" i="86"/>
  <c r="AI147" i="86"/>
  <c r="AK147" i="86"/>
  <c r="AG147" i="86"/>
  <c r="AJ147" i="86"/>
  <c r="AH147" i="86"/>
  <c r="K147" i="65"/>
  <c r="K153" i="65" s="1"/>
  <c r="K154" i="65" s="1"/>
  <c r="L151" i="65" s="1"/>
  <c r="L152" i="65" s="1"/>
  <c r="Y149" i="86" l="1"/>
  <c r="AF149" i="86" s="1"/>
  <c r="C359" i="66"/>
  <c r="AJ146" i="86"/>
  <c r="AG146" i="86"/>
  <c r="AI146" i="86"/>
  <c r="AK146" i="86"/>
  <c r="AH146" i="86"/>
  <c r="AM171" i="86"/>
  <c r="K148" i="65"/>
  <c r="L145" i="65" s="1"/>
  <c r="L146" i="65" s="1"/>
  <c r="K159" i="65"/>
  <c r="Y148" i="86" l="1"/>
  <c r="AF148" i="86" s="1"/>
  <c r="C360" i="66"/>
  <c r="AG145" i="86"/>
  <c r="AK145" i="86"/>
  <c r="AI145" i="86"/>
  <c r="AJ145" i="86"/>
  <c r="AH145" i="86"/>
  <c r="AM172" i="86"/>
  <c r="K165" i="65"/>
  <c r="K160" i="65"/>
  <c r="Y147" i="86" l="1"/>
  <c r="AF147" i="86" s="1"/>
  <c r="C361" i="66"/>
  <c r="AH144" i="86"/>
  <c r="AG144" i="86"/>
  <c r="AJ144" i="86"/>
  <c r="AI144" i="86"/>
  <c r="AK144" i="86"/>
  <c r="AM173" i="86"/>
  <c r="L157" i="65"/>
  <c r="K166" i="65"/>
  <c r="Y146" i="86" l="1"/>
  <c r="AF146" i="86" s="1"/>
  <c r="C362" i="66"/>
  <c r="AH143" i="86"/>
  <c r="AJ143" i="86"/>
  <c r="AI143" i="86"/>
  <c r="AG143" i="86"/>
  <c r="AK143" i="86"/>
  <c r="AM174" i="86"/>
  <c r="L163" i="65"/>
  <c r="L158" i="65"/>
  <c r="L164" i="65" s="1"/>
  <c r="Y145" i="86" l="1"/>
  <c r="AF145" i="86" s="1"/>
  <c r="C363" i="66"/>
  <c r="AJ142" i="86"/>
  <c r="AI142" i="86"/>
  <c r="AG142" i="86"/>
  <c r="AK142" i="86"/>
  <c r="AH142" i="86"/>
  <c r="AM175" i="86"/>
  <c r="L89" i="65"/>
  <c r="L91" i="65" s="1"/>
  <c r="Y144" i="86" l="1"/>
  <c r="AF144" i="86" s="1"/>
  <c r="C364" i="66"/>
  <c r="AI141" i="86"/>
  <c r="AJ141" i="86"/>
  <c r="AH141" i="86"/>
  <c r="AG141" i="86"/>
  <c r="AK141" i="86"/>
  <c r="AM176" i="86"/>
  <c r="L94" i="65"/>
  <c r="L97" i="65" s="1"/>
  <c r="L98" i="65" s="1"/>
  <c r="L92" i="65"/>
  <c r="Y143" i="86" l="1"/>
  <c r="AF143" i="86" s="1"/>
  <c r="C365" i="66"/>
  <c r="AH140" i="86"/>
  <c r="AG140" i="86"/>
  <c r="AI140" i="86"/>
  <c r="AJ140" i="86"/>
  <c r="AK140" i="86"/>
  <c r="AM177" i="86"/>
  <c r="L136" i="65"/>
  <c r="L140" i="65" s="1"/>
  <c r="L147" i="65" s="1"/>
  <c r="Y142" i="86" l="1"/>
  <c r="AF142" i="86" s="1"/>
  <c r="C366" i="66"/>
  <c r="AH139" i="86"/>
  <c r="AI139" i="86"/>
  <c r="AG139" i="86"/>
  <c r="AK139" i="86"/>
  <c r="AJ139" i="86"/>
  <c r="AM178" i="86"/>
  <c r="L153" i="65"/>
  <c r="L148" i="65"/>
  <c r="Y141" i="86" l="1"/>
  <c r="AF141" i="86" s="1"/>
  <c r="C367" i="66"/>
  <c r="AG138" i="86"/>
  <c r="AK138" i="86"/>
  <c r="AI138" i="86"/>
  <c r="AJ138" i="86"/>
  <c r="AH138" i="86"/>
  <c r="AM179" i="86"/>
  <c r="L154" i="65"/>
  <c r="L159" i="65"/>
  <c r="F29" i="6"/>
  <c r="G14" i="6"/>
  <c r="Y140" i="86" l="1"/>
  <c r="AF140" i="86" s="1"/>
  <c r="C368" i="66"/>
  <c r="AJ137" i="86"/>
  <c r="AI137" i="86"/>
  <c r="AK137" i="86"/>
  <c r="AG137" i="86"/>
  <c r="AH137" i="86"/>
  <c r="AM180" i="86"/>
  <c r="L160" i="65"/>
  <c r="L166" i="65" s="1"/>
  <c r="L175" i="65" s="1"/>
  <c r="L176" i="65" s="1"/>
  <c r="L180" i="65" s="1"/>
  <c r="L165" i="65"/>
  <c r="G29" i="6"/>
  <c r="H29" i="6"/>
  <c r="H14" i="6"/>
  <c r="Y139" i="86" l="1"/>
  <c r="AF139" i="86" s="1"/>
  <c r="C369" i="66"/>
  <c r="AG136" i="86"/>
  <c r="AK136" i="86"/>
  <c r="AI136" i="86"/>
  <c r="AJ136" i="86"/>
  <c r="AH136" i="86"/>
  <c r="AM181" i="86"/>
  <c r="L16" i="65"/>
  <c r="L181" i="65"/>
  <c r="L17" i="65" s="1"/>
  <c r="Y138" i="86" l="1"/>
  <c r="AF138" i="86" s="1"/>
  <c r="C370" i="66"/>
  <c r="AI135" i="86"/>
  <c r="AG135" i="86"/>
  <c r="AH135" i="86"/>
  <c r="AK135" i="86"/>
  <c r="AJ135" i="86"/>
  <c r="AM182" i="86"/>
  <c r="Y137" i="86" l="1"/>
  <c r="AF137" i="86" s="1"/>
  <c r="C371" i="66"/>
  <c r="AI134" i="86"/>
  <c r="AK134" i="86"/>
  <c r="AH134" i="86"/>
  <c r="AG134" i="86"/>
  <c r="AJ134" i="86"/>
  <c r="AM183" i="86"/>
  <c r="Y136" i="86" l="1"/>
  <c r="AF136" i="86" s="1"/>
  <c r="C372" i="66"/>
  <c r="AG133" i="86"/>
  <c r="AH133" i="86"/>
  <c r="AJ133" i="86"/>
  <c r="AK133" i="86"/>
  <c r="AI133" i="86"/>
  <c r="AM184" i="86"/>
  <c r="Y135" i="86" l="1"/>
  <c r="AF135" i="86" s="1"/>
  <c r="C373" i="66"/>
  <c r="AK132" i="86"/>
  <c r="AG132" i="86"/>
  <c r="AH132" i="86"/>
  <c r="AI132" i="86"/>
  <c r="AJ132" i="86"/>
  <c r="AM185" i="86"/>
  <c r="Y134" i="86" l="1"/>
  <c r="AF134" i="86" s="1"/>
  <c r="C374" i="66"/>
  <c r="AG131" i="86"/>
  <c r="AJ131" i="86"/>
  <c r="AI131" i="86"/>
  <c r="AH131" i="86"/>
  <c r="AK131" i="86"/>
  <c r="AM186" i="86"/>
  <c r="Y133" i="86" l="1"/>
  <c r="AF133" i="86" s="1"/>
  <c r="C375" i="66"/>
  <c r="AK130" i="86"/>
  <c r="AH130" i="86"/>
  <c r="AI130" i="86"/>
  <c r="AJ130" i="86"/>
  <c r="AG130" i="86"/>
  <c r="AM187" i="86"/>
  <c r="Y132" i="86" l="1"/>
  <c r="AF132" i="86" s="1"/>
  <c r="C376" i="66"/>
  <c r="AK129" i="86"/>
  <c r="AG129" i="86"/>
  <c r="AI129" i="86"/>
  <c r="AH129" i="86"/>
  <c r="AJ129" i="86"/>
  <c r="AM188" i="86"/>
  <c r="AJ101" i="79"/>
  <c r="AJ103" i="79"/>
  <c r="Y60" i="78"/>
  <c r="Y131" i="86" l="1"/>
  <c r="AF131" i="86" s="1"/>
  <c r="C377" i="66"/>
  <c r="AI128" i="86"/>
  <c r="AH128" i="86"/>
  <c r="AG128" i="86"/>
  <c r="AK128" i="86"/>
  <c r="AJ128" i="86"/>
  <c r="AM189" i="86"/>
  <c r="Y87" i="78"/>
  <c r="Z60" i="78"/>
  <c r="Y130" i="86" l="1"/>
  <c r="AF130" i="86" s="1"/>
  <c r="C378" i="66"/>
  <c r="AK127" i="86"/>
  <c r="AG127" i="86"/>
  <c r="AH127" i="86"/>
  <c r="AI127" i="86"/>
  <c r="AJ127" i="86"/>
  <c r="AM190" i="86"/>
  <c r="AK101" i="79"/>
  <c r="AK103" i="79"/>
  <c r="Z87" i="78"/>
  <c r="AB60" i="78"/>
  <c r="Y129" i="86" l="1"/>
  <c r="AF129" i="86" s="1"/>
  <c r="C379" i="66"/>
  <c r="AI126" i="86"/>
  <c r="AH126" i="86"/>
  <c r="AJ126" i="86"/>
  <c r="AK126" i="86"/>
  <c r="AG126" i="86"/>
  <c r="AM191" i="86"/>
  <c r="AK168" i="79"/>
  <c r="Z61" i="78"/>
  <c r="AK74" i="79"/>
  <c r="AB87" i="78"/>
  <c r="Y128" i="86" l="1"/>
  <c r="AF128" i="86" s="1"/>
  <c r="AL77" i="79"/>
  <c r="C380" i="66"/>
  <c r="AG125" i="86"/>
  <c r="AI125" i="86"/>
  <c r="AK125" i="86"/>
  <c r="AJ125" i="86"/>
  <c r="AH125" i="86"/>
  <c r="AM192" i="86"/>
  <c r="AL168" i="79"/>
  <c r="AL127" i="79"/>
  <c r="AN103" i="79"/>
  <c r="AN101" i="79"/>
  <c r="AL101" i="79"/>
  <c r="AL103" i="79"/>
  <c r="AK77" i="79"/>
  <c r="AL28" i="79"/>
  <c r="AC60" i="78"/>
  <c r="Y127" i="86" l="1"/>
  <c r="AF127" i="86" s="1"/>
  <c r="AL33" i="79"/>
  <c r="C381" i="66"/>
  <c r="AJ124" i="86"/>
  <c r="AK124" i="86"/>
  <c r="AI124" i="86"/>
  <c r="AG124" i="86"/>
  <c r="AH124" i="86"/>
  <c r="AM193" i="86"/>
  <c r="AN168" i="79"/>
  <c r="AN74" i="79"/>
  <c r="AL74" i="79"/>
  <c r="AL31" i="79"/>
  <c r="AC87" i="78"/>
  <c r="AD60" i="78" s="1"/>
  <c r="Y126" i="86" l="1"/>
  <c r="AF126" i="86" s="1"/>
  <c r="C382" i="66"/>
  <c r="AH123" i="86"/>
  <c r="AK123" i="86"/>
  <c r="AI123" i="86"/>
  <c r="AG123" i="86"/>
  <c r="AJ123" i="86"/>
  <c r="AM194" i="86"/>
  <c r="AO74" i="79"/>
  <c r="AN77" i="79"/>
  <c r="AD87" i="78"/>
  <c r="Y125" i="86" l="1"/>
  <c r="AF125" i="86" s="1"/>
  <c r="C383" i="66"/>
  <c r="AI122" i="86"/>
  <c r="AK122" i="86"/>
  <c r="AH122" i="86"/>
  <c r="AJ122" i="86"/>
  <c r="AG122" i="86"/>
  <c r="AM195" i="86"/>
  <c r="AO168" i="79"/>
  <c r="AE60" i="78"/>
  <c r="AE87" i="78" s="1"/>
  <c r="AF87" i="78" s="1"/>
  <c r="AP101" i="79"/>
  <c r="AP103" i="79"/>
  <c r="AO101" i="79"/>
  <c r="AO103" i="79"/>
  <c r="AP77" i="79"/>
  <c r="AP74" i="79"/>
  <c r="Y124" i="86" l="1"/>
  <c r="AF124" i="86" s="1"/>
  <c r="C384" i="66"/>
  <c r="AH121" i="86"/>
  <c r="AK121" i="86"/>
  <c r="AG121" i="86"/>
  <c r="AJ121" i="86"/>
  <c r="AI121" i="86"/>
  <c r="AM196" i="86"/>
  <c r="AF60" i="78"/>
  <c r="AF61" i="78" s="1"/>
  <c r="AQ101" i="79"/>
  <c r="AR101" i="79"/>
  <c r="AH60" i="78"/>
  <c r="AP168" i="79"/>
  <c r="Y122" i="86" l="1"/>
  <c r="AF122" i="86" s="1"/>
  <c r="Y123" i="86"/>
  <c r="AF123" i="86" s="1"/>
  <c r="C385" i="66"/>
  <c r="AG120" i="86"/>
  <c r="AK120" i="86"/>
  <c r="AJ120" i="86"/>
  <c r="AH120" i="86"/>
  <c r="AI120" i="86"/>
  <c r="AM197" i="86"/>
  <c r="AR103" i="79"/>
  <c r="AH87" i="78"/>
  <c r="AQ103" i="79"/>
  <c r="Y121" i="86" l="1"/>
  <c r="AF121" i="86" s="1"/>
  <c r="AT77" i="79"/>
  <c r="C386" i="66"/>
  <c r="AV127" i="79"/>
  <c r="AJ119" i="86"/>
  <c r="AK119" i="86"/>
  <c r="AI119" i="86"/>
  <c r="AH119" i="86"/>
  <c r="AG119" i="86"/>
  <c r="AM198" i="86"/>
  <c r="AR28" i="79"/>
  <c r="AQ74" i="79"/>
  <c r="AT103" i="79"/>
  <c r="AJ60" i="78"/>
  <c r="Y119" i="86" l="1"/>
  <c r="AF119" i="86" s="1"/>
  <c r="Y120" i="86"/>
  <c r="AF120" i="86" s="1"/>
  <c r="AT74" i="79"/>
  <c r="AR77" i="79"/>
  <c r="C387" i="66"/>
  <c r="AR127" i="79"/>
  <c r="AT127" i="79"/>
  <c r="AR168" i="79"/>
  <c r="AQ77" i="79"/>
  <c r="AI118" i="86"/>
  <c r="AH118" i="86"/>
  <c r="AK118" i="86"/>
  <c r="AG118" i="86"/>
  <c r="AJ118" i="86"/>
  <c r="AM199" i="86"/>
  <c r="AJ87" i="78"/>
  <c r="AT101" i="79"/>
  <c r="Y118" i="86" l="1"/>
  <c r="AF118" i="86" s="1"/>
  <c r="AR33" i="79"/>
  <c r="AR74" i="79"/>
  <c r="C388" i="66"/>
  <c r="AK117" i="86"/>
  <c r="AH117" i="86"/>
  <c r="AJ117" i="86"/>
  <c r="AG117" i="86"/>
  <c r="AI117" i="86"/>
  <c r="AR31" i="79"/>
  <c r="AM200" i="86"/>
  <c r="AV101" i="79"/>
  <c r="AL60" i="78"/>
  <c r="Y117" i="86" l="1"/>
  <c r="AF117" i="86" s="1"/>
  <c r="C389" i="66"/>
  <c r="AJ116" i="86"/>
  <c r="AH116" i="86"/>
  <c r="AI116" i="86"/>
  <c r="AG116" i="86"/>
  <c r="AK116" i="86"/>
  <c r="AM201" i="86"/>
  <c r="AV103" i="79"/>
  <c r="AL87" i="78"/>
  <c r="AV77" i="79"/>
  <c r="AV74" i="79"/>
  <c r="Y116" i="86" l="1"/>
  <c r="AF116" i="86" s="1"/>
  <c r="C390" i="66"/>
  <c r="AK115" i="86"/>
  <c r="AH115" i="86"/>
  <c r="AG115" i="86"/>
  <c r="AI115" i="86"/>
  <c r="AJ115" i="86"/>
  <c r="AM202" i="86"/>
  <c r="AX77" i="79"/>
  <c r="AX74" i="79"/>
  <c r="Y115" i="86" l="1"/>
  <c r="AF115" i="86" s="1"/>
  <c r="C391" i="66"/>
  <c r="AH114" i="86"/>
  <c r="AI114" i="86"/>
  <c r="AJ114" i="86"/>
  <c r="AK114" i="86"/>
  <c r="AG114" i="86"/>
  <c r="AM203" i="86"/>
  <c r="Y114" i="86" l="1"/>
  <c r="AF114" i="86" s="1"/>
  <c r="C392" i="66"/>
  <c r="AK113" i="86"/>
  <c r="AI113" i="86"/>
  <c r="AH113" i="86"/>
  <c r="AG113" i="86"/>
  <c r="AJ113" i="86"/>
  <c r="AM204" i="86"/>
  <c r="Y113" i="86" l="1"/>
  <c r="AF113" i="86" s="1"/>
  <c r="C393" i="66"/>
  <c r="AJ112" i="86"/>
  <c r="AG112" i="86"/>
  <c r="AI112" i="86"/>
  <c r="AH112" i="86"/>
  <c r="AK112" i="86"/>
  <c r="AM205" i="86"/>
  <c r="Y112" i="86" l="1"/>
  <c r="AF112" i="86" s="1"/>
  <c r="C394" i="66"/>
  <c r="AJ111" i="86"/>
  <c r="AH111" i="86"/>
  <c r="AI111" i="86"/>
  <c r="AK111" i="86"/>
  <c r="AG111" i="86"/>
  <c r="AM206" i="86"/>
  <c r="H87" i="65"/>
  <c r="I87" i="65"/>
  <c r="J87" i="65"/>
  <c r="K87" i="65"/>
  <c r="L87" i="65"/>
  <c r="Y111" i="86" l="1"/>
  <c r="AF111" i="86" s="1"/>
  <c r="C395" i="66"/>
  <c r="AG110" i="86"/>
  <c r="AK110" i="86"/>
  <c r="AI110" i="86"/>
  <c r="AH110" i="86"/>
  <c r="AJ110" i="86"/>
  <c r="AM207" i="86"/>
  <c r="Y110" i="86" l="1"/>
  <c r="AF110" i="86" s="1"/>
  <c r="C396" i="66"/>
  <c r="AH109" i="86"/>
  <c r="AI109" i="86"/>
  <c r="AK109" i="86"/>
  <c r="AJ109" i="86"/>
  <c r="AG109" i="86"/>
  <c r="AM208" i="86"/>
  <c r="Y109" i="86" l="1"/>
  <c r="AF109" i="86" s="1"/>
  <c r="C397" i="66"/>
  <c r="AH108" i="86"/>
  <c r="AK108" i="86"/>
  <c r="AJ108" i="86"/>
  <c r="AI108" i="86"/>
  <c r="AG108" i="86"/>
  <c r="AM209" i="86"/>
  <c r="Y108" i="86" l="1"/>
  <c r="AF108" i="86" s="1"/>
  <c r="C398" i="66"/>
  <c r="AJ107" i="86"/>
  <c r="AK107" i="86"/>
  <c r="AH107" i="86"/>
  <c r="AI107" i="86"/>
  <c r="AG107" i="86"/>
  <c r="AM210" i="86"/>
  <c r="Y107" i="86" l="1"/>
  <c r="AF107" i="86" s="1"/>
  <c r="C399" i="66"/>
  <c r="AI106" i="86"/>
  <c r="AK106" i="86"/>
  <c r="AJ106" i="86"/>
  <c r="AH106" i="86"/>
  <c r="AG106" i="86"/>
  <c r="AM211" i="86"/>
  <c r="Y106" i="86" l="1"/>
  <c r="AF106" i="86" s="1"/>
  <c r="C400" i="66"/>
  <c r="AJ105" i="86"/>
  <c r="AK105" i="86"/>
  <c r="AI105" i="86"/>
  <c r="AH105" i="86"/>
  <c r="AG105" i="86"/>
  <c r="AM212" i="86"/>
  <c r="Y105" i="86" l="1"/>
  <c r="AF105" i="86" s="1"/>
  <c r="C401" i="66"/>
  <c r="AI104" i="86"/>
  <c r="AJ104" i="86"/>
  <c r="AH104" i="86"/>
  <c r="AK104" i="86"/>
  <c r="AG104" i="86"/>
  <c r="AM213" i="86"/>
  <c r="Y104" i="86" l="1"/>
  <c r="AF104" i="86" s="1"/>
  <c r="C402" i="66"/>
  <c r="AH103" i="86"/>
  <c r="AJ103" i="86"/>
  <c r="AK103" i="86"/>
  <c r="AI103" i="86"/>
  <c r="AG103" i="86"/>
  <c r="AM214" i="86"/>
  <c r="Y103" i="86" l="1"/>
  <c r="AF103" i="86" s="1"/>
  <c r="C403" i="66"/>
  <c r="AI102" i="86"/>
  <c r="AK102" i="86"/>
  <c r="AH102" i="86"/>
  <c r="AJ102" i="86"/>
  <c r="AG102" i="86"/>
  <c r="AM215" i="86"/>
  <c r="Y102" i="86" l="1"/>
  <c r="AF102" i="86" s="1"/>
  <c r="C404" i="66"/>
  <c r="AJ101" i="86"/>
  <c r="AH101" i="86"/>
  <c r="AK101" i="86"/>
  <c r="AG101" i="86"/>
  <c r="AI101" i="86"/>
  <c r="AM216" i="86"/>
  <c r="Y101" i="86" l="1"/>
  <c r="AF101" i="86" s="1"/>
  <c r="C405" i="66"/>
  <c r="AK100" i="86"/>
  <c r="AH100" i="86"/>
  <c r="AJ100" i="86"/>
  <c r="AG100" i="86"/>
  <c r="AI100" i="86"/>
  <c r="AM217" i="86"/>
  <c r="Y100" i="86" l="1"/>
  <c r="AF100" i="86" s="1"/>
  <c r="C406" i="66"/>
  <c r="AI99" i="86"/>
  <c r="AG99" i="86"/>
  <c r="AK99" i="86"/>
  <c r="AH99" i="86"/>
  <c r="AJ99" i="86"/>
  <c r="AM218" i="86"/>
  <c r="Y99" i="86" l="1"/>
  <c r="AF99" i="86" s="1"/>
  <c r="C407" i="66"/>
  <c r="AJ98" i="86"/>
  <c r="AH98" i="86"/>
  <c r="AG98" i="86"/>
  <c r="AK98" i="86"/>
  <c r="AI98" i="86"/>
  <c r="AM219" i="86"/>
  <c r="Y98" i="86" l="1"/>
  <c r="AF98" i="86" s="1"/>
  <c r="C408" i="66"/>
  <c r="AI97" i="86"/>
  <c r="AG97" i="86"/>
  <c r="AK97" i="86"/>
  <c r="AH97" i="86"/>
  <c r="AJ97" i="86"/>
  <c r="AM220" i="86"/>
  <c r="Y97" i="86" l="1"/>
  <c r="AF97" i="86" s="1"/>
  <c r="C409" i="66"/>
  <c r="AG96" i="86"/>
  <c r="AH96" i="86"/>
  <c r="AK96" i="86"/>
  <c r="AJ96" i="86"/>
  <c r="AI96" i="86"/>
  <c r="AM221" i="86"/>
  <c r="Y96" i="86" l="1"/>
  <c r="AF96" i="86" s="1"/>
  <c r="C410" i="66"/>
  <c r="AK95" i="86"/>
  <c r="AH95" i="86"/>
  <c r="AJ95" i="86"/>
  <c r="AG95" i="86"/>
  <c r="AI95" i="86"/>
  <c r="AM222" i="86"/>
  <c r="Y95" i="86" l="1"/>
  <c r="AF95" i="86" s="1"/>
  <c r="C411" i="66"/>
  <c r="AG94" i="86"/>
  <c r="AJ94" i="86"/>
  <c r="AH94" i="86"/>
  <c r="AK94" i="86"/>
  <c r="AI94" i="86"/>
  <c r="AM223" i="86"/>
  <c r="Y94" i="86" l="1"/>
  <c r="AF94" i="86" s="1"/>
  <c r="C412" i="66"/>
  <c r="AI93" i="86"/>
  <c r="AH93" i="86"/>
  <c r="AJ93" i="86"/>
  <c r="AK93" i="86"/>
  <c r="AG93" i="86"/>
  <c r="AM224" i="86"/>
  <c r="Y93" i="86" l="1"/>
  <c r="AF93" i="86" s="1"/>
  <c r="C413" i="66"/>
  <c r="AG92" i="86"/>
  <c r="AJ92" i="86"/>
  <c r="AK92" i="86"/>
  <c r="AH92" i="86"/>
  <c r="AI92" i="86"/>
  <c r="AM225" i="86"/>
  <c r="Y92" i="86" l="1"/>
  <c r="AF92" i="86" s="1"/>
  <c r="C414" i="66"/>
  <c r="AH91" i="86"/>
  <c r="AJ91" i="86"/>
  <c r="AK91" i="86"/>
  <c r="AI91" i="86"/>
  <c r="AG91" i="86"/>
  <c r="AM226" i="86"/>
  <c r="Y91" i="86" l="1"/>
  <c r="AF91" i="86" s="1"/>
  <c r="C415" i="66"/>
  <c r="AG90" i="86"/>
  <c r="AK90" i="86"/>
  <c r="AJ90" i="86"/>
  <c r="AI90" i="86"/>
  <c r="AH90" i="86"/>
  <c r="AM227" i="86"/>
  <c r="Y90" i="86" l="1"/>
  <c r="AF90" i="86" s="1"/>
  <c r="C416" i="66"/>
  <c r="AI89" i="86"/>
  <c r="AG89" i="86"/>
  <c r="AJ89" i="86"/>
  <c r="AH89" i="86"/>
  <c r="AK89" i="86"/>
  <c r="AM228" i="86"/>
  <c r="Y89" i="86" l="1"/>
  <c r="AF89" i="86" s="1"/>
  <c r="C417" i="66"/>
  <c r="AH88" i="86"/>
  <c r="AJ88" i="86"/>
  <c r="AG88" i="86"/>
  <c r="AK88" i="86"/>
  <c r="AI88" i="86"/>
  <c r="AM229" i="86"/>
  <c r="Y88" i="86" l="1"/>
  <c r="AF88" i="86" s="1"/>
  <c r="C418" i="66"/>
  <c r="AK87" i="86"/>
  <c r="AG87" i="86"/>
  <c r="AH87" i="86"/>
  <c r="AJ87" i="86"/>
  <c r="AI87" i="86"/>
  <c r="AM230" i="86"/>
  <c r="Y87" i="86" l="1"/>
  <c r="AF87" i="86" s="1"/>
  <c r="C419" i="66"/>
  <c r="AI86" i="86"/>
  <c r="AH86" i="86"/>
  <c r="AG86" i="86"/>
  <c r="AK86" i="86"/>
  <c r="AJ86" i="86"/>
  <c r="AM231" i="86"/>
  <c r="Y86" i="86" l="1"/>
  <c r="AF86" i="86" s="1"/>
  <c r="C420" i="66"/>
  <c r="AH85" i="86"/>
  <c r="AJ85" i="86"/>
  <c r="AG85" i="86"/>
  <c r="AK85" i="86"/>
  <c r="AI85" i="86"/>
  <c r="AM232" i="86"/>
  <c r="Y85" i="86" l="1"/>
  <c r="AF85" i="86" s="1"/>
  <c r="C421" i="66"/>
  <c r="AJ84" i="86"/>
  <c r="AH84" i="86"/>
  <c r="AI84" i="86"/>
  <c r="AG84" i="86"/>
  <c r="AK84" i="86"/>
  <c r="AM233" i="86"/>
  <c r="Y84" i="86" l="1"/>
  <c r="AF84" i="86" s="1"/>
  <c r="C422" i="66"/>
  <c r="AK83" i="86"/>
  <c r="AG83" i="86"/>
  <c r="AI83" i="86"/>
  <c r="AH83" i="86"/>
  <c r="AJ83" i="86"/>
  <c r="AM234" i="86"/>
  <c r="Y83" i="86" l="1"/>
  <c r="AF83" i="86" s="1"/>
  <c r="C423" i="66"/>
  <c r="AH82" i="86"/>
  <c r="AG82" i="86"/>
  <c r="AJ82" i="86"/>
  <c r="AI82" i="86"/>
  <c r="AK82" i="86"/>
  <c r="AM235" i="86"/>
  <c r="Y82" i="86" l="1"/>
  <c r="AF82" i="86" s="1"/>
  <c r="C424" i="66"/>
  <c r="AI81" i="86"/>
  <c r="AJ81" i="86"/>
  <c r="AK81" i="86"/>
  <c r="AH81" i="86"/>
  <c r="AG81" i="86"/>
  <c r="AM236" i="86"/>
  <c r="Y81" i="86" l="1"/>
  <c r="AF81" i="86" s="1"/>
  <c r="C425" i="66"/>
  <c r="AH80" i="86"/>
  <c r="AI80" i="86"/>
  <c r="AJ80" i="86"/>
  <c r="AK80" i="86"/>
  <c r="AG80" i="86"/>
  <c r="AM237" i="86"/>
  <c r="Y80" i="86" l="1"/>
  <c r="AF80" i="86" s="1"/>
  <c r="C426" i="66"/>
  <c r="AK79" i="86"/>
  <c r="AG79" i="86"/>
  <c r="AI79" i="86"/>
  <c r="AH79" i="86"/>
  <c r="AJ79" i="86"/>
  <c r="AM238" i="86"/>
  <c r="Y79" i="86" l="1"/>
  <c r="AF79" i="86" s="1"/>
  <c r="C427" i="66"/>
  <c r="AH78" i="86"/>
  <c r="AI78" i="86"/>
  <c r="AG78" i="86"/>
  <c r="AK78" i="86"/>
  <c r="AJ78" i="86"/>
  <c r="AM239" i="86"/>
  <c r="Y78" i="86" l="1"/>
  <c r="AF78" i="86" s="1"/>
  <c r="C428" i="66"/>
  <c r="AK77" i="86"/>
  <c r="AG77" i="86"/>
  <c r="AI77" i="86"/>
  <c r="AJ77" i="86"/>
  <c r="AH77" i="86"/>
  <c r="AM240" i="86"/>
  <c r="Y77" i="86" l="1"/>
  <c r="AF77" i="86" s="1"/>
  <c r="C429" i="66"/>
  <c r="AI76" i="86"/>
  <c r="AG76" i="86"/>
  <c r="AH76" i="86"/>
  <c r="AJ76" i="86"/>
  <c r="AK76" i="86"/>
  <c r="AM241" i="86"/>
  <c r="Y76" i="86" l="1"/>
  <c r="AF76" i="86" s="1"/>
  <c r="C430" i="66"/>
  <c r="AI75" i="86"/>
  <c r="AK75" i="86"/>
  <c r="AH75" i="86"/>
  <c r="AG75" i="86"/>
  <c r="AJ75" i="86"/>
  <c r="AM242" i="86"/>
  <c r="Y75" i="86" l="1"/>
  <c r="AF75" i="86" s="1"/>
  <c r="C431" i="66"/>
  <c r="AG74" i="86"/>
  <c r="AK74" i="86"/>
  <c r="AH74" i="86"/>
  <c r="AI74" i="86"/>
  <c r="AJ74" i="86"/>
  <c r="AM243" i="86"/>
  <c r="Y74" i="86" l="1"/>
  <c r="AF74" i="86" s="1"/>
  <c r="C432" i="66"/>
  <c r="AJ73" i="86"/>
  <c r="AH73" i="86"/>
  <c r="AI73" i="86"/>
  <c r="AK73" i="86"/>
  <c r="AG73" i="86"/>
  <c r="AM244" i="86"/>
  <c r="Y73" i="86" l="1"/>
  <c r="AF73" i="86" s="1"/>
  <c r="C433" i="66"/>
  <c r="AI72" i="86"/>
  <c r="AH72" i="86"/>
  <c r="AG72" i="86"/>
  <c r="AK72" i="86"/>
  <c r="AJ72" i="86"/>
  <c r="AM245" i="86"/>
  <c r="Y72" i="86" l="1"/>
  <c r="AF72" i="86" s="1"/>
  <c r="C434" i="66"/>
  <c r="AK71" i="86"/>
  <c r="AG71" i="86"/>
  <c r="AJ71" i="86"/>
  <c r="AI71" i="86"/>
  <c r="AH71" i="86"/>
  <c r="AM246" i="86"/>
  <c r="Y71" i="86" l="1"/>
  <c r="AF71" i="86" s="1"/>
  <c r="C435" i="66"/>
  <c r="AI70" i="86"/>
  <c r="AH70" i="86"/>
  <c r="AK70" i="86"/>
  <c r="AJ70" i="86"/>
  <c r="AG70" i="86"/>
  <c r="AM247" i="86"/>
  <c r="Y70" i="86" l="1"/>
  <c r="AF70" i="86" s="1"/>
  <c r="C436" i="66"/>
  <c r="AI69" i="86"/>
  <c r="AG69" i="86"/>
  <c r="AJ69" i="86"/>
  <c r="AK69" i="86"/>
  <c r="AH69" i="86"/>
  <c r="AM248" i="86"/>
  <c r="Y69" i="86" l="1"/>
  <c r="AF69" i="86" s="1"/>
  <c r="C437" i="66"/>
  <c r="AH68" i="86"/>
  <c r="AK68" i="86"/>
  <c r="AG68" i="86"/>
  <c r="AJ68" i="86"/>
  <c r="AI68" i="86"/>
  <c r="AM249" i="86"/>
  <c r="Y68" i="86" l="1"/>
  <c r="AF68" i="86" s="1"/>
  <c r="C438" i="66"/>
  <c r="AJ67" i="86"/>
  <c r="AG67" i="86"/>
  <c r="AK67" i="86"/>
  <c r="AI67" i="86"/>
  <c r="AH67" i="86"/>
  <c r="AM250" i="86"/>
  <c r="Y67" i="86" l="1"/>
  <c r="AF67" i="86" s="1"/>
  <c r="C439" i="66"/>
  <c r="AG66" i="86"/>
  <c r="AH66" i="86"/>
  <c r="AI66" i="86"/>
  <c r="AK66" i="86"/>
  <c r="AJ66" i="86"/>
  <c r="AM251" i="86"/>
  <c r="Y66" i="86" l="1"/>
  <c r="AF66" i="86" s="1"/>
  <c r="C440" i="66"/>
  <c r="AG65" i="86"/>
  <c r="AH65" i="86"/>
  <c r="AJ65" i="86"/>
  <c r="AK65" i="86"/>
  <c r="AI65" i="86"/>
  <c r="AM252" i="86"/>
  <c r="Y65" i="86" l="1"/>
  <c r="AF65" i="86" s="1"/>
  <c r="C441" i="66"/>
  <c r="AH64" i="86"/>
  <c r="AG64" i="86"/>
  <c r="AJ64" i="86"/>
  <c r="AI64" i="86"/>
  <c r="AK64" i="86"/>
  <c r="AM253" i="86"/>
  <c r="Y64" i="86" l="1"/>
  <c r="AF64" i="86" s="1"/>
  <c r="C442" i="66"/>
  <c r="AJ63" i="86"/>
  <c r="AH63" i="86"/>
  <c r="AG63" i="86"/>
  <c r="AK63" i="86"/>
  <c r="AI63" i="86"/>
  <c r="AM254" i="86"/>
  <c r="Y63" i="86" l="1"/>
  <c r="AF63" i="86" s="1"/>
  <c r="C443" i="66"/>
  <c r="AK62" i="86"/>
  <c r="AJ62" i="86"/>
  <c r="AH62" i="86"/>
  <c r="AG62" i="86"/>
  <c r="AI62" i="86"/>
  <c r="AM255" i="86"/>
  <c r="Y62" i="86" l="1"/>
  <c r="AF62" i="86" s="1"/>
  <c r="C444" i="66"/>
  <c r="AJ61" i="86"/>
  <c r="AG61" i="86"/>
  <c r="AH61" i="86"/>
  <c r="AI61" i="86"/>
  <c r="AK61" i="86"/>
  <c r="AM256" i="86"/>
  <c r="Y61" i="86" l="1"/>
  <c r="AF61" i="86" s="1"/>
  <c r="C445" i="66"/>
  <c r="AH60" i="86"/>
  <c r="AG60" i="86"/>
  <c r="AJ60" i="86"/>
  <c r="AK60" i="86"/>
  <c r="AI60" i="86"/>
  <c r="AM257" i="86"/>
  <c r="Y60" i="86" l="1"/>
  <c r="AF60" i="86" s="1"/>
  <c r="C446" i="66"/>
  <c r="AJ59" i="86"/>
  <c r="AG59" i="86"/>
  <c r="AK59" i="86"/>
  <c r="AI59" i="86"/>
  <c r="AH59" i="86"/>
  <c r="AM258" i="86"/>
  <c r="Y59" i="86" l="1"/>
  <c r="AF59" i="86" s="1"/>
  <c r="C447" i="66"/>
  <c r="AG58" i="86"/>
  <c r="AK58" i="86"/>
  <c r="AH58" i="86"/>
  <c r="AJ58" i="86"/>
  <c r="AI58" i="86"/>
  <c r="AM259" i="86"/>
  <c r="Y58" i="86" l="1"/>
  <c r="AF58" i="86" s="1"/>
  <c r="C448" i="66"/>
  <c r="AJ57" i="86"/>
  <c r="AH57" i="86"/>
  <c r="AK57" i="86"/>
  <c r="AI57" i="86"/>
  <c r="AG57" i="86"/>
  <c r="AM260" i="86"/>
  <c r="Y57" i="86" l="1"/>
  <c r="AF57" i="86" s="1"/>
  <c r="C449" i="66"/>
  <c r="AK56" i="86"/>
  <c r="AH56" i="86"/>
  <c r="AG56" i="86"/>
  <c r="AI56" i="86"/>
  <c r="AJ56" i="86"/>
  <c r="AM261" i="86"/>
  <c r="Y56" i="86" l="1"/>
  <c r="AF56" i="86" s="1"/>
  <c r="C450" i="66"/>
  <c r="AJ55" i="86"/>
  <c r="AH55" i="86"/>
  <c r="AK55" i="86"/>
  <c r="AI55" i="86"/>
  <c r="AG55" i="86"/>
  <c r="AM262" i="86"/>
  <c r="Y55" i="86" l="1"/>
  <c r="AF55" i="86" s="1"/>
  <c r="C451" i="66"/>
  <c r="AG54" i="86"/>
  <c r="AI54" i="86"/>
  <c r="AK54" i="86"/>
  <c r="AJ54" i="86"/>
  <c r="AH54" i="86"/>
  <c r="AM263" i="86"/>
  <c r="Y54" i="86" l="1"/>
  <c r="AF54" i="86" s="1"/>
  <c r="C452" i="66"/>
  <c r="AI53" i="86"/>
  <c r="AK53" i="86"/>
  <c r="AJ53" i="86"/>
  <c r="AH53" i="86"/>
  <c r="AG53" i="86"/>
  <c r="AM264" i="86"/>
  <c r="Y53" i="86" l="1"/>
  <c r="AF53" i="86" s="1"/>
  <c r="C453" i="66"/>
  <c r="AI52" i="86"/>
  <c r="AJ52" i="86"/>
  <c r="AG52" i="86"/>
  <c r="AK52" i="86"/>
  <c r="AH52" i="86"/>
  <c r="AM265" i="86"/>
  <c r="Y52" i="86" l="1"/>
  <c r="AF52" i="86" s="1"/>
  <c r="C454" i="66"/>
  <c r="AK51" i="86"/>
  <c r="AG51" i="86"/>
  <c r="AI51" i="86"/>
  <c r="AJ51" i="86"/>
  <c r="AH51" i="86"/>
  <c r="AM266" i="86"/>
  <c r="Y51" i="86" l="1"/>
  <c r="AF51" i="86" s="1"/>
  <c r="C455" i="66"/>
  <c r="AJ50" i="86"/>
  <c r="AK50" i="86"/>
  <c r="AG50" i="86"/>
  <c r="AH50" i="86"/>
  <c r="AI50" i="86"/>
  <c r="AM267" i="86"/>
  <c r="Y50" i="86" l="1"/>
  <c r="AF50" i="86" s="1"/>
  <c r="C456" i="66"/>
  <c r="AI49" i="86"/>
  <c r="AH49" i="86"/>
  <c r="AG49" i="86"/>
  <c r="AK49" i="86"/>
  <c r="AJ49" i="86"/>
  <c r="AM268" i="86"/>
  <c r="Y49" i="86" l="1"/>
  <c r="AF49" i="86" s="1"/>
  <c r="C457" i="66"/>
  <c r="AG48" i="86"/>
  <c r="AK48" i="86"/>
  <c r="AJ48" i="86"/>
  <c r="AH48" i="86"/>
  <c r="AI48" i="86"/>
  <c r="AM269" i="86"/>
  <c r="Y48" i="86" l="1"/>
  <c r="AF48" i="86" s="1"/>
  <c r="C458" i="66"/>
  <c r="AK47" i="86"/>
  <c r="AH47" i="86"/>
  <c r="AJ47" i="86"/>
  <c r="AI47" i="86"/>
  <c r="AG47" i="86"/>
  <c r="AM270" i="86"/>
  <c r="Y47" i="86" l="1"/>
  <c r="AF47" i="86" s="1"/>
  <c r="C459" i="66"/>
  <c r="AH46" i="86"/>
  <c r="AG46" i="86"/>
  <c r="AI46" i="86"/>
  <c r="AJ46" i="86"/>
  <c r="AK46" i="86"/>
  <c r="AM271" i="86"/>
  <c r="Y46" i="86" l="1"/>
  <c r="AF46" i="86" s="1"/>
  <c r="C460" i="66"/>
  <c r="AK45" i="86"/>
  <c r="AJ45" i="86"/>
  <c r="AI45" i="86"/>
  <c r="AG45" i="86"/>
  <c r="AH45" i="86"/>
  <c r="AM272" i="86"/>
  <c r="Y45" i="86" l="1"/>
  <c r="AF45" i="86" s="1"/>
  <c r="C461" i="66"/>
  <c r="AI44" i="86"/>
  <c r="AK44" i="86"/>
  <c r="AG44" i="86"/>
  <c r="AH44" i="86"/>
  <c r="AJ44" i="86"/>
  <c r="AM273" i="86"/>
  <c r="Y44" i="86" l="1"/>
  <c r="AF44" i="86" s="1"/>
  <c r="C462" i="66"/>
  <c r="AH43" i="86"/>
  <c r="AG43" i="86"/>
  <c r="AK43" i="86"/>
  <c r="AJ43" i="86"/>
  <c r="AI43" i="86"/>
  <c r="AM274" i="86"/>
  <c r="Y43" i="86" l="1"/>
  <c r="AF43" i="86" s="1"/>
  <c r="C463" i="66"/>
  <c r="AK42" i="86"/>
  <c r="AG42" i="86"/>
  <c r="AI42" i="86"/>
  <c r="AH42" i="86"/>
  <c r="AJ42" i="86"/>
  <c r="AM275" i="86"/>
  <c r="Y42" i="86" l="1"/>
  <c r="AF42" i="86" s="1"/>
  <c r="C464" i="66"/>
  <c r="AJ41" i="86"/>
  <c r="AH41" i="86"/>
  <c r="AI41" i="86"/>
  <c r="AG41" i="86"/>
  <c r="AK41" i="86"/>
  <c r="AM276" i="86"/>
  <c r="Y41" i="86" l="1"/>
  <c r="AF41" i="86" s="1"/>
  <c r="C465" i="66"/>
  <c r="AG40" i="86"/>
  <c r="AI40" i="86"/>
  <c r="AH40" i="86"/>
  <c r="AJ40" i="86"/>
  <c r="AK40" i="86"/>
  <c r="AM277" i="86"/>
  <c r="Y40" i="86" l="1"/>
  <c r="AF40" i="86" s="1"/>
  <c r="C466" i="66"/>
  <c r="AJ39" i="86"/>
  <c r="AH39" i="86"/>
  <c r="AI39" i="86"/>
  <c r="AG39" i="86"/>
  <c r="AK39" i="86"/>
  <c r="AM278" i="86"/>
  <c r="Y39" i="86" l="1"/>
  <c r="AF39" i="86" s="1"/>
  <c r="C467" i="66"/>
  <c r="AG38" i="86"/>
  <c r="AI38" i="86"/>
  <c r="AH38" i="86"/>
  <c r="AK38" i="86"/>
  <c r="AJ38" i="86"/>
  <c r="AM279" i="86"/>
  <c r="Y38" i="86" l="1"/>
  <c r="AF38" i="86" s="1"/>
  <c r="C468" i="66"/>
  <c r="AK37" i="86"/>
  <c r="AH37" i="86"/>
  <c r="AI37" i="86"/>
  <c r="AG37" i="86"/>
  <c r="AJ37" i="86"/>
  <c r="AM280" i="86"/>
  <c r="Y37" i="86" l="1"/>
  <c r="AF37" i="86" s="1"/>
  <c r="C469" i="66"/>
  <c r="AG36" i="86"/>
  <c r="AI36" i="86"/>
  <c r="AH36" i="86"/>
  <c r="AJ36" i="86"/>
  <c r="AK36" i="86"/>
  <c r="AM281" i="86"/>
  <c r="Y36" i="86" l="1"/>
  <c r="AF36" i="86" s="1"/>
  <c r="C470" i="66"/>
  <c r="AJ35" i="86"/>
  <c r="AH35" i="86"/>
  <c r="AI35" i="86"/>
  <c r="AG35" i="86"/>
  <c r="AK35" i="86"/>
  <c r="AM282" i="86"/>
  <c r="Y35" i="86" l="1"/>
  <c r="AF35" i="86" s="1"/>
  <c r="C471" i="66"/>
  <c r="AK34" i="86"/>
  <c r="AG34" i="86"/>
  <c r="AI34" i="86"/>
  <c r="AH34" i="86"/>
  <c r="AJ34" i="86"/>
  <c r="AM283" i="86"/>
  <c r="Y34" i="86" l="1"/>
  <c r="AF34" i="86" s="1"/>
  <c r="C472" i="66"/>
  <c r="AG33" i="86"/>
  <c r="AH33" i="86"/>
  <c r="AI33" i="86"/>
  <c r="AJ33" i="86"/>
  <c r="AK33" i="86"/>
  <c r="AM284" i="86"/>
  <c r="Y33" i="86" l="1"/>
  <c r="AF33" i="86" s="1"/>
  <c r="C473" i="66"/>
  <c r="AI32" i="86"/>
  <c r="AH32" i="86"/>
  <c r="AG32" i="86"/>
  <c r="AK32" i="86"/>
  <c r="AJ32" i="86"/>
  <c r="AM285" i="86"/>
  <c r="Y32" i="86" l="1"/>
  <c r="AF32" i="86" s="1"/>
  <c r="C474" i="66"/>
  <c r="AG31" i="86"/>
  <c r="AH31" i="86"/>
  <c r="AK31" i="86"/>
  <c r="AJ31" i="86"/>
  <c r="AI31" i="86"/>
  <c r="AM286" i="86"/>
  <c r="Y31" i="86" l="1"/>
  <c r="AF31" i="86" s="1"/>
  <c r="C475" i="66"/>
  <c r="AK30" i="86"/>
  <c r="AJ30" i="86"/>
  <c r="AH30" i="86"/>
  <c r="AI30" i="86"/>
  <c r="AG30" i="86"/>
  <c r="AM287" i="86"/>
  <c r="Y30" i="86" l="1"/>
  <c r="AF30" i="86" s="1"/>
  <c r="C476" i="66"/>
  <c r="AH29" i="86"/>
  <c r="AK29" i="86"/>
  <c r="AJ29" i="86"/>
  <c r="AG29" i="86"/>
  <c r="AI29" i="86"/>
  <c r="AM288" i="86"/>
  <c r="Y29" i="86" l="1"/>
  <c r="AF29" i="86" s="1"/>
  <c r="C477" i="66"/>
  <c r="AG28" i="86"/>
  <c r="AJ28" i="86"/>
  <c r="AK28" i="86"/>
  <c r="AH28" i="86"/>
  <c r="AI28" i="86"/>
  <c r="AM289" i="86"/>
  <c r="Y28" i="86" l="1"/>
  <c r="AF28" i="86" s="1"/>
  <c r="C478" i="66"/>
  <c r="AH27" i="86"/>
  <c r="AK27" i="86"/>
  <c r="AJ27" i="86"/>
  <c r="AI27" i="86"/>
  <c r="AG27" i="86"/>
  <c r="AM290" i="86"/>
  <c r="Y27" i="86" l="1"/>
  <c r="AF27" i="86" s="1"/>
  <c r="C479" i="66"/>
  <c r="AH26" i="86"/>
  <c r="AG26" i="86"/>
  <c r="AI26" i="86"/>
  <c r="AJ26" i="86"/>
  <c r="AK26" i="86"/>
  <c r="AM291" i="86"/>
  <c r="Y26" i="86" l="1"/>
  <c r="AF26" i="86" s="1"/>
  <c r="C480" i="66"/>
  <c r="AJ25" i="86"/>
  <c r="AI25" i="86"/>
  <c r="AG25" i="86"/>
  <c r="AH25" i="86"/>
  <c r="AK25" i="86"/>
  <c r="AM292" i="86"/>
  <c r="Y25" i="86" l="1"/>
  <c r="AF25" i="86" s="1"/>
  <c r="C481" i="66"/>
  <c r="AJ24" i="86"/>
  <c r="AH24" i="86"/>
  <c r="AG24" i="86"/>
  <c r="AI24" i="86"/>
  <c r="AK24" i="86"/>
  <c r="AM293" i="86"/>
  <c r="Y24" i="86" l="1"/>
  <c r="AF24" i="86" s="1"/>
  <c r="C482" i="66"/>
  <c r="AK23" i="86"/>
  <c r="AI23" i="86"/>
  <c r="AG23" i="86"/>
  <c r="AH23" i="86"/>
  <c r="AJ23" i="86"/>
  <c r="AM294" i="86"/>
  <c r="Y23" i="86" l="1"/>
  <c r="AF23" i="86" s="1"/>
  <c r="C483" i="66"/>
  <c r="AJ22" i="86"/>
  <c r="AH22" i="86"/>
  <c r="AI22" i="86"/>
  <c r="AG22" i="86"/>
  <c r="AK22" i="86"/>
  <c r="AM295" i="86"/>
  <c r="Y22" i="86" l="1"/>
  <c r="AF22" i="86" s="1"/>
  <c r="C484" i="66"/>
  <c r="AJ21" i="86"/>
  <c r="AH21" i="86"/>
  <c r="AG21" i="86"/>
  <c r="AI21" i="86"/>
  <c r="AK21" i="86"/>
  <c r="AM296" i="86"/>
  <c r="Y21" i="86" l="1"/>
  <c r="AF21" i="86" s="1"/>
  <c r="C485" i="66"/>
  <c r="AK20" i="86"/>
  <c r="AI20" i="86"/>
  <c r="AG20" i="86"/>
  <c r="AJ20" i="86"/>
  <c r="AH20" i="86"/>
  <c r="AM297" i="86"/>
  <c r="Y20" i="86" l="1"/>
  <c r="AF20" i="86" s="1"/>
  <c r="C486" i="66"/>
  <c r="AJ19" i="86"/>
  <c r="AG19" i="86"/>
  <c r="AI19" i="86"/>
  <c r="AH19" i="86"/>
  <c r="AK19" i="86"/>
  <c r="AM298" i="86"/>
  <c r="Y19" i="86" l="1"/>
  <c r="AF19" i="86" s="1"/>
  <c r="C487" i="66"/>
  <c r="AI18" i="86"/>
  <c r="AH18" i="86"/>
  <c r="AG18" i="86"/>
  <c r="AJ18" i="86"/>
  <c r="AK18" i="86"/>
  <c r="AM299" i="86"/>
  <c r="Y18" i="86" l="1"/>
  <c r="AF18" i="86" s="1"/>
  <c r="C488" i="66"/>
  <c r="AJ17" i="86"/>
  <c r="AG17" i="86"/>
  <c r="AH17" i="86"/>
  <c r="AK17" i="86"/>
  <c r="AI17" i="86"/>
  <c r="AM300" i="86"/>
  <c r="Y17" i="86" l="1"/>
  <c r="AF17" i="86" s="1"/>
  <c r="C489" i="66"/>
  <c r="AH16" i="86"/>
  <c r="AJ16" i="86"/>
  <c r="AI16" i="86"/>
  <c r="AK16" i="86"/>
  <c r="AG16" i="86"/>
  <c r="AM301" i="86"/>
  <c r="Y16" i="86" l="1"/>
  <c r="AF16" i="86" s="1"/>
  <c r="C490" i="66"/>
  <c r="AH15" i="86"/>
  <c r="AK15" i="86"/>
  <c r="AI15" i="86"/>
  <c r="AJ15" i="86"/>
  <c r="AG15" i="86"/>
  <c r="AM302" i="86"/>
  <c r="Y15" i="86" l="1"/>
  <c r="AF15" i="86" s="1"/>
  <c r="C491" i="66"/>
  <c r="AI14" i="86"/>
  <c r="AG14" i="86"/>
  <c r="AJ14" i="86"/>
  <c r="AK14" i="86"/>
  <c r="AH14" i="86"/>
  <c r="AM303" i="86"/>
  <c r="Y14" i="86" l="1"/>
  <c r="AF14" i="86" s="1"/>
  <c r="C492" i="66"/>
  <c r="AK13" i="86"/>
  <c r="AJ13" i="86"/>
  <c r="AG13" i="86"/>
  <c r="AH13" i="86"/>
  <c r="AI13" i="86"/>
  <c r="AM304" i="86"/>
  <c r="Y13" i="86" l="1"/>
  <c r="AF13" i="86" s="1"/>
  <c r="C493" i="66"/>
  <c r="AH12" i="86"/>
  <c r="AG12" i="86"/>
  <c r="AJ12" i="86"/>
  <c r="AI12" i="86"/>
  <c r="AK12" i="86"/>
  <c r="AM305" i="86"/>
  <c r="Y12" i="86" l="1"/>
  <c r="AF12" i="86" s="1"/>
  <c r="C494" i="66"/>
  <c r="AG11" i="86"/>
  <c r="AJ11" i="86"/>
  <c r="AK11" i="86"/>
  <c r="AH11" i="86"/>
  <c r="AI11" i="86"/>
  <c r="AM306" i="86"/>
  <c r="Y11" i="86" l="1"/>
  <c r="AF11" i="86" s="1"/>
  <c r="C495" i="66"/>
  <c r="AJ10" i="86"/>
  <c r="AH10" i="86"/>
  <c r="AK10" i="86"/>
  <c r="AG10" i="86"/>
  <c r="AI10" i="86"/>
  <c r="AM307" i="86"/>
  <c r="Y10" i="86" l="1"/>
  <c r="AF10" i="86" s="1"/>
  <c r="C496" i="66"/>
  <c r="AG9" i="86"/>
  <c r="AH9" i="86"/>
  <c r="AK9" i="86"/>
  <c r="AI9" i="86"/>
  <c r="AJ9" i="86"/>
  <c r="AM308" i="86"/>
  <c r="Y9" i="86" l="1"/>
  <c r="AF9" i="86" s="1"/>
  <c r="C497" i="66"/>
  <c r="AK8" i="86"/>
  <c r="AH8" i="86"/>
  <c r="AG8" i="86"/>
  <c r="AJ8" i="86"/>
  <c r="AI8" i="86"/>
  <c r="AM309" i="86"/>
  <c r="Y8" i="86" l="1"/>
  <c r="AF8" i="86" s="1"/>
  <c r="C498" i="66"/>
  <c r="AG7" i="86"/>
  <c r="AJ7" i="86"/>
  <c r="AH7" i="86"/>
  <c r="AK7" i="86"/>
  <c r="AI7" i="86"/>
  <c r="AM310" i="86"/>
  <c r="Y7" i="86" l="1"/>
  <c r="AF7" i="86" s="1"/>
  <c r="C499" i="66"/>
  <c r="AK6" i="86"/>
  <c r="AJ6" i="86"/>
  <c r="AH6" i="86"/>
  <c r="AI6" i="86"/>
  <c r="AG6" i="86"/>
  <c r="AM311" i="86"/>
  <c r="Y6" i="86" l="1"/>
  <c r="AF6" i="86" s="1"/>
  <c r="C500" i="66"/>
  <c r="AJ5" i="86"/>
  <c r="AG5" i="86"/>
  <c r="AH5" i="86"/>
  <c r="AI5" i="86"/>
  <c r="AK5" i="86"/>
  <c r="AM312" i="86"/>
  <c r="Y5" i="86" l="1"/>
  <c r="AF5" i="86" s="1"/>
  <c r="C501" i="66"/>
  <c r="AM313" i="86"/>
  <c r="C502" i="66" l="1"/>
  <c r="AM314" i="86"/>
  <c r="C503" i="66" l="1"/>
  <c r="AM315" i="86"/>
  <c r="C504" i="66" l="1"/>
  <c r="AM316" i="86"/>
  <c r="C505" i="66" l="1"/>
  <c r="AM317" i="86"/>
  <c r="C506" i="66" l="1"/>
  <c r="AM318" i="86"/>
  <c r="C507" i="66" l="1"/>
  <c r="AM319" i="86"/>
  <c r="C508" i="66" l="1"/>
  <c r="AM320" i="86"/>
  <c r="C509" i="66" l="1"/>
  <c r="AM321" i="86"/>
  <c r="C510" i="66" l="1"/>
  <c r="AM322" i="86"/>
  <c r="C511" i="66" l="1"/>
  <c r="AM323" i="86"/>
  <c r="C512" i="66" l="1"/>
  <c r="AM324" i="86"/>
  <c r="C513" i="66" l="1"/>
  <c r="AM325" i="86"/>
  <c r="C514" i="66" l="1"/>
  <c r="AM326" i="86"/>
  <c r="C515" i="66" l="1"/>
  <c r="AM327" i="86"/>
  <c r="C516" i="66" l="1"/>
  <c r="AM328" i="86"/>
  <c r="C517" i="66" l="1"/>
  <c r="AM329" i="86"/>
  <c r="C518" i="66" l="1"/>
  <c r="AM330" i="86"/>
  <c r="C519" i="66" l="1"/>
  <c r="AM331" i="86"/>
  <c r="C520" i="66" l="1"/>
  <c r="AM332" i="86"/>
  <c r="C521" i="66" l="1"/>
  <c r="AM333" i="86"/>
  <c r="C522" i="66" l="1"/>
  <c r="AM334" i="86"/>
  <c r="C523" i="66" l="1"/>
  <c r="AM335" i="86"/>
  <c r="C524" i="66" l="1"/>
  <c r="AM336" i="86"/>
  <c r="C525" i="66" l="1"/>
  <c r="AM337" i="86"/>
  <c r="C526" i="66" l="1"/>
  <c r="AM338" i="86"/>
  <c r="C527" i="66" l="1"/>
  <c r="AM339" i="86"/>
  <c r="C528" i="66" l="1"/>
  <c r="AM340" i="86"/>
  <c r="C529" i="66" l="1"/>
  <c r="AM341" i="86"/>
  <c r="C530" i="66" l="1"/>
  <c r="AM342" i="86"/>
  <c r="C531" i="66" l="1"/>
  <c r="AM343" i="86"/>
  <c r="C532" i="66" l="1"/>
  <c r="AM344" i="86"/>
  <c r="C533" i="66" l="1"/>
  <c r="AM345" i="86"/>
  <c r="C534" i="66" l="1"/>
  <c r="AM346" i="86"/>
  <c r="C535" i="66" l="1"/>
  <c r="AM347" i="86"/>
  <c r="C536" i="66" l="1"/>
  <c r="AM348" i="86"/>
  <c r="C537" i="66" l="1"/>
  <c r="AM349" i="86"/>
  <c r="C538" i="66" l="1"/>
  <c r="AM350" i="86"/>
  <c r="C539" i="66" l="1"/>
  <c r="AM351" i="86"/>
  <c r="C540" i="66" l="1"/>
  <c r="AM352" i="86"/>
  <c r="C541" i="66" l="1"/>
  <c r="AM353" i="86"/>
  <c r="C542" i="66" l="1"/>
  <c r="AM354" i="86"/>
  <c r="C543" i="66" l="1"/>
  <c r="AM355" i="86"/>
  <c r="C544" i="66" l="1"/>
  <c r="AM356" i="86"/>
  <c r="C545" i="66" l="1"/>
  <c r="AM357" i="86"/>
  <c r="C546" i="66" l="1"/>
  <c r="AM358" i="86"/>
  <c r="C547" i="66" l="1"/>
  <c r="AM359" i="86"/>
  <c r="C548" i="66" l="1"/>
  <c r="AM360" i="86"/>
  <c r="C549" i="66" l="1"/>
  <c r="AM361" i="86"/>
  <c r="C550" i="66" l="1"/>
  <c r="AM362" i="86"/>
  <c r="C551" i="66" l="1"/>
  <c r="AM363" i="86"/>
  <c r="C552" i="66" l="1"/>
  <c r="AM364" i="86"/>
  <c r="C553" i="66" l="1"/>
  <c r="AM365" i="86"/>
  <c r="C554" i="66" l="1"/>
  <c r="AM366" i="86"/>
  <c r="C555" i="66" l="1"/>
  <c r="AM367" i="86"/>
  <c r="C556" i="66" l="1"/>
  <c r="AM368" i="86"/>
  <c r="C557" i="66" l="1"/>
  <c r="AM369" i="86"/>
  <c r="C558" i="66" l="1"/>
  <c r="AM370" i="86"/>
  <c r="AM371" i="86" l="1"/>
  <c r="AM372" i="86" l="1"/>
  <c r="AM373" i="86" l="1"/>
  <c r="AM374" i="86" l="1"/>
  <c r="AM375" i="86" l="1"/>
  <c r="AM376" i="86" l="1"/>
  <c r="AM377" i="86" l="1"/>
  <c r="AM378" i="86" l="1"/>
  <c r="AM379" i="86" l="1"/>
  <c r="AM380" i="86" l="1"/>
  <c r="AM381" i="86" l="1"/>
  <c r="AM382" i="86" l="1"/>
  <c r="AM383" i="86" l="1"/>
  <c r="AM384" i="86" l="1"/>
  <c r="AM385" i="86" l="1"/>
  <c r="AM386" i="86" l="1"/>
  <c r="AM387" i="86" l="1"/>
  <c r="AM388" i="86" l="1"/>
  <c r="AM389" i="86" l="1"/>
  <c r="AM390" i="86" l="1"/>
  <c r="AM391" i="86" l="1"/>
  <c r="AM392" i="86" l="1"/>
  <c r="AM393" i="86" l="1"/>
  <c r="AM394" i="86" l="1"/>
  <c r="AM395" i="86" l="1"/>
  <c r="AM396" i="86" l="1"/>
  <c r="AM397" i="86" l="1"/>
  <c r="AM398" i="86" l="1"/>
  <c r="AM399" i="86" l="1"/>
  <c r="AM400" i="86" l="1"/>
  <c r="AM401" i="86" l="1"/>
  <c r="AM402" i="86" l="1"/>
  <c r="AM403" i="86" l="1"/>
  <c r="AM404" i="86" l="1"/>
  <c r="AM405" i="86" l="1"/>
  <c r="AM406" i="86" l="1"/>
  <c r="AM407" i="86" l="1"/>
  <c r="AM408" i="86" l="1"/>
  <c r="AM409" i="86" l="1"/>
  <c r="AM410" i="86" l="1"/>
  <c r="AM411" i="86" l="1"/>
  <c r="AM412" i="86" l="1"/>
  <c r="AM413" i="86" l="1"/>
  <c r="AM414" i="86" l="1"/>
  <c r="AM415" i="86" l="1"/>
  <c r="AM416" i="86" l="1"/>
  <c r="AM417" i="86" l="1"/>
  <c r="AM418" i="86" l="1"/>
  <c r="AM419" i="86" l="1"/>
  <c r="AM420" i="86" l="1"/>
  <c r="AM421" i="86" l="1"/>
  <c r="AM422" i="86" l="1"/>
  <c r="AM423" i="86" l="1"/>
  <c r="AM424" i="86" l="1"/>
  <c r="AM425" i="86" l="1"/>
  <c r="AM426" i="86" l="1"/>
  <c r="AM427" i="86" l="1"/>
  <c r="AM428" i="86" l="1"/>
  <c r="AM429" i="86" l="1"/>
  <c r="AM430" i="86" l="1"/>
  <c r="AM431" i="86" l="1"/>
  <c r="AM432" i="86" l="1"/>
  <c r="AM433" i="86" l="1"/>
  <c r="AM434" i="86" l="1"/>
  <c r="AM435" i="86" l="1"/>
  <c r="AM436" i="86" l="1"/>
  <c r="AM437" i="86" l="1"/>
  <c r="AM438" i="86" l="1"/>
  <c r="AM439" i="86" l="1"/>
  <c r="AM440" i="86" l="1"/>
  <c r="AM441" i="86" l="1"/>
  <c r="AM442" i="86" l="1"/>
  <c r="AM443" i="86" l="1"/>
  <c r="AM444" i="86" l="1"/>
  <c r="AM445" i="86" l="1"/>
  <c r="AM446" i="86" l="1"/>
  <c r="AM447" i="86" l="1"/>
  <c r="AM448" i="86" l="1"/>
  <c r="AM449" i="86" l="1"/>
  <c r="AM450" i="86" l="1"/>
  <c r="AM451" i="86" l="1"/>
  <c r="AM452" i="86" l="1"/>
  <c r="AM453" i="86" l="1"/>
  <c r="AM454" i="86" l="1"/>
  <c r="AM455" i="86" l="1"/>
  <c r="AM456" i="86" l="1"/>
  <c r="AM457" i="86" l="1"/>
  <c r="AM458" i="86" l="1"/>
  <c r="AM459" i="86" l="1"/>
  <c r="AM460" i="86" l="1"/>
  <c r="AM461" i="86" l="1"/>
  <c r="AM462" i="86" l="1"/>
  <c r="AM463" i="86" l="1"/>
  <c r="AM464" i="86" l="1"/>
  <c r="AM465" i="86" l="1"/>
  <c r="AM466" i="86" l="1"/>
  <c r="AM467" i="86" l="1"/>
  <c r="AM468" i="86" l="1"/>
  <c r="AM469" i="86" l="1"/>
  <c r="AM470" i="86" l="1"/>
  <c r="AM471" i="86" l="1"/>
  <c r="AM472" i="86" l="1"/>
  <c r="AM473" i="86" l="1"/>
  <c r="AM474" i="86" l="1"/>
  <c r="AM475" i="86" l="1"/>
  <c r="AM476" i="86" l="1"/>
  <c r="AM477" i="86" l="1"/>
  <c r="AM478" i="86" l="1"/>
  <c r="AM479" i="86" l="1"/>
  <c r="AM480" i="86" l="1"/>
  <c r="AM481" i="86" l="1"/>
  <c r="AM482" i="86" l="1"/>
  <c r="AM483" i="86" l="1"/>
  <c r="AM484" i="86" l="1"/>
  <c r="AM485" i="86" l="1"/>
  <c r="AM486" i="86" l="1"/>
  <c r="AM487" i="86" l="1"/>
  <c r="AM488" i="86" l="1"/>
  <c r="AM489" i="86" l="1"/>
  <c r="AM490" i="86" l="1"/>
  <c r="AM491" i="86" l="1"/>
  <c r="AM492" i="86" l="1"/>
  <c r="AM493" i="86" l="1"/>
  <c r="AM494" i="86" l="1"/>
  <c r="AM495" i="86" l="1"/>
  <c r="AM496" i="86" l="1"/>
  <c r="AM497" i="86" l="1"/>
  <c r="AM498" i="86" l="1"/>
  <c r="AM499" i="86" l="1"/>
  <c r="AM500" i="86" l="1"/>
  <c r="AM501" i="86" l="1"/>
  <c r="AM502" i="86" l="1"/>
  <c r="AM503" i="86" l="1"/>
  <c r="AM504" i="86" l="1"/>
  <c r="AM505" i="86" l="1"/>
  <c r="AM506" i="86" l="1"/>
  <c r="AM507" i="86" l="1"/>
  <c r="AM508" i="86" l="1"/>
  <c r="AM509" i="86" l="1"/>
  <c r="AM510" i="86" l="1"/>
  <c r="AM511" i="86" l="1"/>
  <c r="AM512" i="86" l="1"/>
  <c r="AM513" i="86" l="1"/>
  <c r="AM514" i="86" l="1"/>
  <c r="AM515" i="86" l="1"/>
  <c r="AM516" i="86" l="1"/>
  <c r="AM517" i="86" l="1"/>
  <c r="AM518" i="86" l="1"/>
  <c r="AM519" i="86" l="1"/>
  <c r="AM520" i="86" l="1"/>
  <c r="AM521" i="86" l="1"/>
  <c r="AM522" i="86" l="1"/>
  <c r="AM523" i="86" l="1"/>
  <c r="AM524" i="86" l="1"/>
  <c r="AM525" i="86" l="1"/>
  <c r="AM526" i="86" l="1"/>
  <c r="AM527" i="86" l="1"/>
  <c r="AM528" i="86" l="1"/>
  <c r="AM529" i="86" l="1"/>
  <c r="AM530" i="86" l="1"/>
  <c r="AM531" i="86" l="1"/>
  <c r="AM532" i="86" l="1"/>
  <c r="AM533" i="86" l="1"/>
  <c r="AM534" i="86" l="1"/>
  <c r="AM535" i="86" l="1"/>
  <c r="AM536" i="86" l="1"/>
  <c r="AM537" i="86" l="1"/>
  <c r="AM538" i="86" l="1"/>
  <c r="AM539" i="86" l="1"/>
  <c r="AM540" i="86" l="1"/>
  <c r="AM541" i="86" l="1"/>
  <c r="AM542" i="86" l="1"/>
  <c r="AM543" i="86" l="1"/>
  <c r="AM544" i="86" l="1"/>
  <c r="AM545" i="86" l="1"/>
  <c r="AM546" i="86" l="1"/>
  <c r="AM547" i="86" l="1"/>
  <c r="AM548" i="86" l="1"/>
  <c r="AM549" i="86" l="1"/>
  <c r="AM550" i="86" l="1"/>
  <c r="AM551" i="86" l="1"/>
  <c r="AM552" i="86" l="1"/>
  <c r="AM553" i="86" l="1"/>
  <c r="AM554" i="86" l="1"/>
  <c r="AM555" i="86" l="1"/>
  <c r="AM556" i="86" l="1"/>
  <c r="AM557" i="86" l="1"/>
  <c r="AM558" i="86" l="1"/>
  <c r="AM559" i="86" l="1"/>
  <c r="AM560" i="86" l="1"/>
  <c r="AM561" i="86" l="1"/>
  <c r="AM562" i="86" l="1"/>
  <c r="AM563" i="86" l="1"/>
  <c r="AM564" i="86" l="1"/>
  <c r="AM565" i="86" l="1"/>
  <c r="AM566" i="86" l="1"/>
  <c r="AM567" i="86" l="1"/>
  <c r="AM568" i="86" l="1"/>
  <c r="AM569" i="86" l="1"/>
  <c r="AM570" i="86" l="1"/>
  <c r="AM571" i="86" l="1"/>
  <c r="AM572" i="86" l="1"/>
  <c r="AM573" i="86" l="1"/>
  <c r="AM574" i="86" l="1"/>
  <c r="AM575" i="86" l="1"/>
  <c r="AM576" i="86" l="1"/>
  <c r="AM577" i="86" l="1"/>
  <c r="AM578" i="86" l="1"/>
  <c r="AM579" i="86" l="1"/>
  <c r="AM580" i="86" l="1"/>
  <c r="AM581" i="86" l="1"/>
  <c r="AM582" i="86" l="1"/>
  <c r="AM583" i="86" l="1"/>
  <c r="AM584" i="86" l="1"/>
  <c r="AM585" i="86" l="1"/>
  <c r="AM586" i="86" l="1"/>
  <c r="AM587" i="86" l="1"/>
  <c r="AM588" i="86" l="1"/>
  <c r="AM589" i="86" l="1"/>
  <c r="AM590" i="86" l="1"/>
  <c r="AM591" i="86" l="1"/>
  <c r="AM592" i="86" l="1"/>
  <c r="AM593" i="86" l="1"/>
  <c r="AM594" i="86" l="1"/>
  <c r="AM595" i="86" l="1"/>
  <c r="AM596" i="86" l="1"/>
  <c r="AM597" i="86" l="1"/>
  <c r="AM598" i="86" l="1"/>
  <c r="AM599" i="86" l="1"/>
  <c r="AM600" i="86" l="1"/>
  <c r="AM601" i="86" l="1"/>
  <c r="AM602" i="86" l="1"/>
  <c r="AM603" i="86" l="1"/>
  <c r="AM604" i="86" l="1"/>
  <c r="AM605" i="86" l="1"/>
  <c r="AM606" i="86" l="1"/>
  <c r="AM607" i="86" l="1"/>
  <c r="AM608" i="86" l="1"/>
  <c r="AM609" i="86" l="1"/>
  <c r="AM610" i="86" l="1"/>
  <c r="AM611" i="86" l="1"/>
  <c r="AM612" i="86" l="1"/>
  <c r="AM613" i="86" l="1"/>
  <c r="AM614" i="86" l="1"/>
  <c r="AM615" i="86" l="1"/>
  <c r="AM616" i="86" l="1"/>
  <c r="AM617" i="86" l="1"/>
  <c r="AM618" i="86" l="1"/>
  <c r="AM619" i="86" l="1"/>
  <c r="AM620" i="86" l="1"/>
  <c r="AM621" i="86" l="1"/>
  <c r="AM622" i="86" l="1"/>
  <c r="AM623" i="86" l="1"/>
  <c r="AM624" i="86" l="1"/>
  <c r="AM625" i="86" l="1"/>
  <c r="AM626" i="86" l="1"/>
  <c r="AM627" i="86" l="1"/>
  <c r="AM628" i="86" l="1"/>
  <c r="AM629" i="86" l="1"/>
  <c r="AM630" i="86" l="1"/>
  <c r="AM631" i="86" l="1"/>
  <c r="AM632" i="86" l="1"/>
  <c r="AM633" i="86" l="1"/>
  <c r="AM634" i="86" l="1"/>
  <c r="AM635" i="86" l="1"/>
  <c r="AM636" i="86" l="1"/>
  <c r="AM637" i="86" l="1"/>
  <c r="AM638" i="86" l="1"/>
  <c r="AM639" i="86" l="1"/>
  <c r="AM640" i="86" l="1"/>
  <c r="AM641" i="86" l="1"/>
  <c r="AM642" i="86" l="1"/>
  <c r="AM643" i="86" l="1"/>
  <c r="AM644" i="86" l="1"/>
  <c r="AM645" i="86" l="1"/>
  <c r="AM646" i="86" l="1"/>
  <c r="AM647" i="86" l="1"/>
  <c r="AM648" i="86" l="1"/>
  <c r="AM649" i="86" l="1"/>
  <c r="AM650" i="86" l="1"/>
  <c r="AM651" i="86" l="1"/>
  <c r="AM652" i="86" l="1"/>
  <c r="AM653" i="86" l="1"/>
  <c r="AM654" i="86" l="1"/>
  <c r="AM655" i="86" l="1"/>
  <c r="AM656" i="86" l="1"/>
  <c r="AM657" i="86" l="1"/>
  <c r="AM658" i="86" l="1"/>
  <c r="AM659" i="86" l="1"/>
  <c r="AM660" i="86" l="1"/>
  <c r="AM661" i="86" l="1"/>
  <c r="AM662" i="86" l="1"/>
  <c r="AM663" i="86" l="1"/>
  <c r="AM664" i="86" l="1"/>
  <c r="AM665" i="86" l="1"/>
  <c r="AM666" i="86" l="1"/>
  <c r="AM667" i="86" l="1"/>
  <c r="AM668" i="86" l="1"/>
  <c r="AM669" i="86" l="1"/>
  <c r="AM670" i="86" l="1"/>
  <c r="AM671" i="86" l="1"/>
  <c r="AM672" i="86" l="1"/>
  <c r="AM673" i="86" l="1"/>
  <c r="AM674" i="86" l="1"/>
  <c r="AM675" i="86" l="1"/>
  <c r="AM676" i="86" l="1"/>
  <c r="AM677" i="86" l="1"/>
  <c r="AM678" i="86" l="1"/>
  <c r="AM679" i="86" l="1"/>
  <c r="AM680" i="86" l="1"/>
  <c r="AM681" i="86" l="1"/>
  <c r="AM682" i="86" l="1"/>
  <c r="AM683" i="86" l="1"/>
  <c r="AM684" i="86" l="1"/>
  <c r="AM685" i="86" l="1"/>
  <c r="AM686" i="86" l="1"/>
  <c r="AM687" i="86" l="1"/>
  <c r="AM688" i="86" l="1"/>
  <c r="AM689" i="86" l="1"/>
  <c r="AM690" i="86" l="1"/>
  <c r="AM691" i="86" l="1"/>
  <c r="AM692" i="86" l="1"/>
  <c r="AM693" i="86" l="1"/>
  <c r="AM694" i="86" l="1"/>
  <c r="AM695" i="86" l="1"/>
  <c r="AM696" i="86" l="1"/>
  <c r="AM697" i="86" l="1"/>
  <c r="AM698" i="86" l="1"/>
  <c r="AM699" i="86" l="1"/>
  <c r="AM700" i="86" l="1"/>
  <c r="AM701" i="86" l="1"/>
  <c r="AM702" i="86" l="1"/>
  <c r="AM703" i="86" l="1"/>
  <c r="AM704" i="86" l="1"/>
  <c r="AM705" i="86" l="1"/>
  <c r="AM706" i="86" l="1"/>
  <c r="AM707" i="86" l="1"/>
  <c r="AM708" i="86" l="1"/>
  <c r="AM709" i="86" l="1"/>
  <c r="AM710" i="86" l="1"/>
  <c r="AM711" i="86" l="1"/>
  <c r="AM712" i="86" l="1"/>
  <c r="AM713" i="86" l="1"/>
  <c r="AM714" i="86" l="1"/>
  <c r="AM715" i="86" l="1"/>
  <c r="AM716" i="86" l="1"/>
  <c r="AM717" i="86" l="1"/>
  <c r="AM718" i="86" l="1"/>
  <c r="AM719" i="86" l="1"/>
  <c r="AM720" i="86" l="1"/>
  <c r="AM721" i="86" l="1"/>
  <c r="AM722" i="86" l="1"/>
  <c r="AM723" i="86" l="1"/>
  <c r="AM724" i="86" l="1"/>
  <c r="AM725" i="86" l="1"/>
  <c r="AM726" i="86" l="1"/>
  <c r="AM727" i="86" l="1"/>
  <c r="AM728" i="86" l="1"/>
  <c r="AM729" i="86" l="1"/>
  <c r="AM730" i="86" l="1"/>
  <c r="AM731" i="86" l="1"/>
  <c r="AM732" i="86" l="1"/>
  <c r="AM733" i="86" l="1"/>
  <c r="AM734" i="86" l="1"/>
  <c r="AM735" i="86" l="1"/>
  <c r="AM736" i="86" l="1"/>
  <c r="AM737" i="86" l="1"/>
  <c r="AM738" i="86" l="1"/>
  <c r="AM739" i="86" l="1"/>
  <c r="AM740" i="86" l="1"/>
  <c r="AM741" i="86" l="1"/>
  <c r="AM742" i="86" l="1"/>
  <c r="AM743" i="86" l="1"/>
  <c r="AM744" i="86" l="1"/>
  <c r="AM745" i="86" l="1"/>
  <c r="AM746" i="86" l="1"/>
  <c r="AM747" i="86" l="1"/>
  <c r="AM748" i="86" l="1"/>
  <c r="AM749" i="86" l="1"/>
  <c r="AM750" i="86" l="1"/>
  <c r="AM751" i="86" l="1"/>
  <c r="AM752" i="86" l="1"/>
  <c r="AM753" i="86" l="1"/>
  <c r="AM754" i="86" l="1"/>
  <c r="AM755" i="86" l="1"/>
  <c r="AM756" i="86" l="1"/>
  <c r="AM757" i="86" l="1"/>
  <c r="AM758" i="86" l="1"/>
  <c r="AM759" i="86" l="1"/>
  <c r="AM760" i="86" l="1"/>
  <c r="AM761" i="86" l="1"/>
  <c r="AM762" i="86" l="1"/>
  <c r="AM763" i="86" l="1"/>
  <c r="AM764" i="86" l="1"/>
  <c r="AM765" i="86" l="1"/>
  <c r="AM766" i="86" l="1"/>
  <c r="AM767" i="86" l="1"/>
  <c r="AM768" i="86" l="1"/>
  <c r="AM769" i="86" l="1"/>
  <c r="AM770" i="86" l="1"/>
  <c r="AM771" i="86" l="1"/>
  <c r="AM772" i="86" l="1"/>
  <c r="AM773" i="86" l="1"/>
  <c r="AM774" i="86" l="1"/>
  <c r="AM775" i="86" l="1"/>
  <c r="AM776" i="86" l="1"/>
  <c r="AM777" i="86" l="1"/>
  <c r="AM778" i="86" l="1"/>
  <c r="AM779" i="86" l="1"/>
  <c r="AM780" i="86" l="1"/>
  <c r="AM781" i="86" l="1"/>
  <c r="AM782" i="86" l="1"/>
  <c r="AM783" i="86" l="1"/>
  <c r="AM784" i="86" l="1"/>
  <c r="AM785" i="86" l="1"/>
  <c r="AM786" i="86" l="1"/>
  <c r="AM787" i="86" l="1"/>
  <c r="AM788" i="86" l="1"/>
  <c r="AM789" i="86" l="1"/>
  <c r="AM790" i="86" l="1"/>
  <c r="AM791" i="86" l="1"/>
  <c r="AM792" i="86" l="1"/>
  <c r="AM793" i="86" l="1"/>
  <c r="AM794" i="86" l="1"/>
  <c r="AM795" i="86" l="1"/>
  <c r="AM796" i="86" l="1"/>
  <c r="AM797" i="86" l="1"/>
  <c r="AM798" i="86" l="1"/>
  <c r="AM799" i="86" l="1"/>
  <c r="AM800" i="86" l="1"/>
  <c r="AM801" i="86" l="1"/>
  <c r="AM802" i="86" l="1"/>
  <c r="AM803" i="86" l="1"/>
  <c r="AM804" i="86" l="1"/>
  <c r="AM805" i="86" l="1"/>
  <c r="AM806" i="86" l="1"/>
  <c r="AM807" i="86" l="1"/>
  <c r="AM808" i="86" l="1"/>
  <c r="AM809" i="86" l="1"/>
  <c r="AM810" i="86" l="1"/>
  <c r="AM811" i="86" l="1"/>
  <c r="AM812" i="86" l="1"/>
  <c r="AM813" i="86" l="1"/>
  <c r="AM814" i="86" l="1"/>
  <c r="AM815" i="86" l="1"/>
  <c r="AM816" i="86" l="1"/>
  <c r="AM817" i="86" l="1"/>
  <c r="AM818" i="86" l="1"/>
  <c r="AM819" i="86" l="1"/>
  <c r="AM820" i="86" l="1"/>
  <c r="AM821" i="86" l="1"/>
  <c r="AM822" i="86" l="1"/>
  <c r="AM823" i="86" l="1"/>
  <c r="AM824" i="86" l="1"/>
  <c r="AM825" i="86" l="1"/>
  <c r="AM826" i="86" l="1"/>
  <c r="AM827" i="86" l="1"/>
  <c r="AM828" i="86" l="1"/>
  <c r="AM829" i="86" l="1"/>
  <c r="AM830" i="86" l="1"/>
  <c r="AM831" i="86" l="1"/>
  <c r="AM832" i="86" l="1"/>
  <c r="AM833" i="86" l="1"/>
  <c r="AM834" i="86" l="1"/>
  <c r="AM835" i="86" l="1"/>
  <c r="AM836" i="86" l="1"/>
  <c r="AM837" i="86" l="1"/>
  <c r="AM838" i="86" l="1"/>
  <c r="AM839" i="86" l="1"/>
  <c r="AM840" i="86" l="1"/>
  <c r="AM841" i="86" l="1"/>
  <c r="AM842" i="86" l="1"/>
  <c r="AM843" i="86" l="1"/>
  <c r="AM844" i="86" l="1"/>
  <c r="AM845" i="86" l="1"/>
  <c r="AM846" i="86" l="1"/>
  <c r="AM847" i="86" l="1"/>
  <c r="AM848" i="86" l="1"/>
  <c r="AM849" i="86" l="1"/>
  <c r="AM850" i="86" l="1"/>
  <c r="AM851" i="86" l="1"/>
  <c r="AM852" i="86" l="1"/>
  <c r="AM853" i="86" l="1"/>
  <c r="AM854" i="86" l="1"/>
  <c r="AM855" i="86" l="1"/>
  <c r="AM856" i="86" l="1"/>
  <c r="AM857" i="86" l="1"/>
  <c r="AM858" i="86" l="1"/>
  <c r="AM859" i="86" l="1"/>
  <c r="AM860" i="86" l="1"/>
  <c r="AM861" i="86" l="1"/>
  <c r="AM862" i="86" l="1"/>
  <c r="AM863" i="86" l="1"/>
  <c r="AM864" i="86" l="1"/>
  <c r="AM865" i="86" l="1"/>
  <c r="AM866" i="86" l="1"/>
  <c r="AM867" i="86" l="1"/>
  <c r="AM868" i="86" l="1"/>
  <c r="AM869" i="86" l="1"/>
  <c r="AM870" i="86" l="1"/>
  <c r="AM871" i="86" l="1"/>
  <c r="AM872" i="86" l="1"/>
  <c r="AM873" i="86" l="1"/>
  <c r="AM874" i="86" l="1"/>
  <c r="AM875" i="86" l="1"/>
  <c r="AM876" i="86" l="1"/>
  <c r="AM877" i="86" l="1"/>
  <c r="AM878" i="86" l="1"/>
  <c r="AM879" i="86" l="1"/>
  <c r="AM880" i="86" l="1"/>
  <c r="AM881" i="86" l="1"/>
  <c r="AM882" i="86" l="1"/>
  <c r="AM883" i="86" l="1"/>
  <c r="AM884" i="86" l="1"/>
  <c r="AM885" i="86" l="1"/>
  <c r="AM886" i="86" l="1"/>
  <c r="AM887" i="86" l="1"/>
  <c r="AM888" i="86" l="1"/>
  <c r="AM889" i="86" l="1"/>
  <c r="AM890" i="86" l="1"/>
  <c r="AM891" i="86" l="1"/>
  <c r="AM892" i="86" l="1"/>
  <c r="AM893" i="86" l="1"/>
  <c r="AM894" i="86" l="1"/>
  <c r="AM895" i="86" l="1"/>
  <c r="AM896" i="86" l="1"/>
  <c r="AM897" i="86" l="1"/>
  <c r="AM898" i="86" l="1"/>
  <c r="AM899" i="86" l="1"/>
  <c r="AM900" i="86" l="1"/>
  <c r="AM901" i="86" l="1"/>
  <c r="AM902" i="86" l="1"/>
  <c r="AM903" i="86" l="1"/>
  <c r="AM904" i="86" l="1"/>
  <c r="AM905" i="86" l="1"/>
  <c r="AM906" i="86" l="1"/>
  <c r="AM907" i="86" l="1"/>
  <c r="AM908" i="86" l="1"/>
  <c r="AM909" i="86" l="1"/>
  <c r="AM910" i="86" l="1"/>
  <c r="AM911" i="86" l="1"/>
  <c r="AM912" i="86" l="1"/>
  <c r="AM913" i="86" l="1"/>
  <c r="AM914" i="86" l="1"/>
  <c r="AM915" i="86" l="1"/>
  <c r="AM916" i="86" l="1"/>
  <c r="AM917" i="86" l="1"/>
  <c r="AM918" i="86" l="1"/>
  <c r="AM919" i="86" l="1"/>
  <c r="AM920" i="86" l="1"/>
  <c r="AM921" i="86" l="1"/>
  <c r="AM922" i="86" l="1"/>
  <c r="AM923" i="86" l="1"/>
  <c r="AM924" i="86" l="1"/>
  <c r="AM925" i="86" l="1"/>
  <c r="AM926" i="86" l="1"/>
  <c r="AM927" i="86" l="1"/>
  <c r="AM928" i="86" l="1"/>
  <c r="AM929" i="86" l="1"/>
  <c r="AM930" i="86" l="1"/>
  <c r="AM931" i="86" l="1"/>
  <c r="AM932" i="86" l="1"/>
  <c r="AM933" i="86" l="1"/>
  <c r="AM934" i="86" l="1"/>
  <c r="AM935" i="86" l="1"/>
  <c r="AM936" i="86" l="1"/>
  <c r="AM937" i="86" l="1"/>
  <c r="AM938" i="86" l="1"/>
  <c r="AM939" i="86" l="1"/>
  <c r="AM940" i="86" l="1"/>
  <c r="AM941" i="86" l="1"/>
  <c r="AM942" i="86" l="1"/>
  <c r="AM943" i="86" l="1"/>
  <c r="AM944" i="86" l="1"/>
  <c r="AM945" i="86" l="1"/>
  <c r="AM946" i="86" l="1"/>
  <c r="AM947" i="86" l="1"/>
  <c r="AM948" i="86" l="1"/>
  <c r="AM949" i="86" l="1"/>
  <c r="AM950" i="86" l="1"/>
  <c r="AM951" i="86" l="1"/>
  <c r="AM952" i="86" l="1"/>
  <c r="AM953" i="86" l="1"/>
  <c r="AM954" i="86" l="1"/>
  <c r="AM955" i="86" l="1"/>
  <c r="AM956" i="86" l="1"/>
  <c r="AM957" i="86" l="1"/>
  <c r="AM958" i="86" l="1"/>
  <c r="AM959" i="86" l="1"/>
  <c r="AM960" i="86" l="1"/>
  <c r="AM961" i="86" l="1"/>
  <c r="AM962" i="86" l="1"/>
  <c r="AM963" i="86" l="1"/>
  <c r="AM964" i="86" l="1"/>
  <c r="AM965" i="86" l="1"/>
  <c r="AM966" i="86" l="1"/>
  <c r="AM967" i="86" l="1"/>
  <c r="AM968" i="86" l="1"/>
  <c r="AM969" i="86" l="1"/>
  <c r="AM970" i="86" l="1"/>
  <c r="AM971" i="86" l="1"/>
  <c r="AM972" i="86" l="1"/>
  <c r="AM973" i="86" l="1"/>
  <c r="AM974" i="86" l="1"/>
  <c r="AM975" i="86" l="1"/>
  <c r="AM976" i="86" l="1"/>
  <c r="AM977" i="86" l="1"/>
  <c r="AM978" i="86" l="1"/>
  <c r="AM979" i="86" l="1"/>
  <c r="AM980" i="86" l="1"/>
  <c r="AM981" i="86" l="1"/>
  <c r="AM982" i="86" l="1"/>
  <c r="AM983" i="86" l="1"/>
  <c r="AM984" i="86" l="1"/>
  <c r="AM985" i="86" l="1"/>
  <c r="AM986" i="86" l="1"/>
  <c r="AM987" i="86" l="1"/>
  <c r="AM988" i="86" l="1"/>
  <c r="AM989" i="86" l="1"/>
  <c r="AM990" i="86" l="1"/>
  <c r="AM991" i="86" l="1"/>
  <c r="AM992" i="86" l="1"/>
  <c r="AM993" i="86" l="1"/>
  <c r="AM994" i="86" l="1"/>
  <c r="AM995" i="86" l="1"/>
  <c r="AM996" i="86" l="1"/>
  <c r="AM997" i="86" l="1"/>
  <c r="AM998" i="86" l="1"/>
  <c r="AM999" i="86" l="1"/>
  <c r="AM1000" i="86" l="1"/>
  <c r="AM1001" i="86" l="1"/>
  <c r="AM1002" i="86" l="1"/>
  <c r="AM1003" i="86" l="1"/>
  <c r="AM1004" i="86" l="1"/>
  <c r="AM1005" i="86" l="1"/>
  <c r="AM1006" i="86" l="1"/>
  <c r="AM1007" i="86" l="1"/>
  <c r="AM1008" i="86" l="1"/>
  <c r="AM1009" i="86" l="1"/>
  <c r="AM1010" i="86" l="1"/>
  <c r="AM1011" i="86" l="1"/>
  <c r="AM1012" i="86" l="1"/>
  <c r="AM1013" i="86" l="1"/>
  <c r="AM1014" i="86" l="1"/>
  <c r="AM1015" i="86" l="1"/>
  <c r="AM1016" i="86" l="1"/>
  <c r="AM1017" i="86" l="1"/>
  <c r="AM1018" i="86" l="1"/>
  <c r="AM1019" i="86" l="1"/>
  <c r="AM1020" i="86" l="1"/>
  <c r="AM1021" i="86" l="1"/>
  <c r="AM1022" i="86" l="1"/>
  <c r="AM1023" i="86" l="1"/>
  <c r="AM1024" i="86" l="1"/>
  <c r="AM1025" i="86" l="1"/>
  <c r="AM1026" i="86" l="1"/>
  <c r="AM1027" i="86" l="1"/>
  <c r="AM1028" i="86" l="1"/>
  <c r="AM1029" i="86" l="1"/>
  <c r="AM1030" i="86" l="1"/>
  <c r="AM1031" i="86" l="1"/>
  <c r="AM1032" i="86" l="1"/>
  <c r="AM1033" i="86" l="1"/>
  <c r="AM1034" i="86" l="1"/>
  <c r="AM1035" i="86" l="1"/>
  <c r="AM1036" i="86" l="1"/>
  <c r="AM1037" i="86" l="1"/>
  <c r="AM1038" i="86" l="1"/>
  <c r="AM1039" i="86" l="1"/>
  <c r="AM1040" i="86" l="1"/>
  <c r="AM1041" i="86" l="1"/>
  <c r="AM1042" i="86" l="1"/>
  <c r="AM1043" i="86" l="1"/>
  <c r="AM1044" i="86" l="1"/>
  <c r="AM1045" i="86" l="1"/>
  <c r="AM1046" i="86" l="1"/>
  <c r="AM1047" i="86" l="1"/>
  <c r="AM1048" i="86" l="1"/>
  <c r="AM1049" i="86" l="1"/>
  <c r="AM1050" i="86" l="1"/>
  <c r="AM1051" i="86" l="1"/>
  <c r="D558" i="66" l="1"/>
  <c r="D557" i="66" l="1"/>
  <c r="D556" i="66" l="1"/>
  <c r="D554" i="66" l="1"/>
  <c r="D555" i="66"/>
  <c r="D553" i="66" l="1"/>
  <c r="D552" i="66" l="1"/>
  <c r="D551" i="66" l="1"/>
  <c r="D550" i="66" l="1"/>
  <c r="D549" i="66" l="1"/>
  <c r="D547" i="66" l="1"/>
  <c r="D548" i="66"/>
  <c r="D546" i="66" l="1"/>
  <c r="D545" i="66" l="1"/>
  <c r="D544" i="66" l="1"/>
  <c r="D543" i="66" l="1"/>
  <c r="D542" i="66" l="1"/>
  <c r="D540" i="66" l="1"/>
  <c r="D541" i="66"/>
  <c r="D539" i="66" l="1"/>
  <c r="D538" i="66" l="1"/>
  <c r="D537" i="66" l="1"/>
  <c r="D536" i="66" l="1"/>
  <c r="D535" i="66" l="1"/>
  <c r="D533" i="66" l="1"/>
  <c r="D534" i="66"/>
  <c r="D532" i="66" l="1"/>
  <c r="D531" i="66" l="1"/>
  <c r="D530" i="66" l="1"/>
  <c r="D529" i="66" l="1"/>
  <c r="D528" i="66" l="1"/>
  <c r="D526" i="66" l="1"/>
  <c r="D527" i="66"/>
  <c r="D525" i="66" l="1"/>
  <c r="D524" i="66" l="1"/>
  <c r="D523" i="66" l="1"/>
  <c r="D522" i="66" l="1"/>
  <c r="D521" i="66" l="1"/>
  <c r="D519" i="66" l="1"/>
  <c r="D520" i="66"/>
  <c r="D518" i="66" l="1"/>
  <c r="D517" i="66" l="1"/>
  <c r="D516" i="66" l="1"/>
  <c r="D515" i="66" l="1"/>
  <c r="D514" i="66" l="1"/>
  <c r="D512" i="66" l="1"/>
  <c r="D513" i="66"/>
  <c r="D511" i="66" l="1"/>
  <c r="D510" i="66" l="1"/>
  <c r="D509" i="66" l="1"/>
  <c r="D508" i="66" l="1"/>
  <c r="D507" i="66" l="1"/>
  <c r="D505" i="66" l="1"/>
  <c r="D506" i="66"/>
  <c r="D504" i="66" l="1"/>
  <c r="D503" i="66" l="1"/>
  <c r="D502" i="66" l="1"/>
  <c r="D501" i="66" l="1"/>
  <c r="D500" i="66" l="1"/>
  <c r="D498" i="66" l="1"/>
  <c r="D499" i="66"/>
  <c r="D497" i="66" l="1"/>
  <c r="D496" i="66" l="1"/>
  <c r="D495" i="66" l="1"/>
  <c r="D494" i="66" l="1"/>
  <c r="D493" i="66" l="1"/>
  <c r="D492" i="66" l="1"/>
  <c r="D491" i="66" l="1"/>
  <c r="D490" i="66" l="1"/>
  <c r="D489" i="66" l="1"/>
  <c r="D488" i="66" l="1"/>
  <c r="D487" i="66" l="1"/>
  <c r="D486" i="66" l="1"/>
  <c r="D485" i="66" l="1"/>
  <c r="D484" i="66" l="1"/>
  <c r="D483" i="66" l="1"/>
  <c r="D481" i="66" l="1"/>
  <c r="D482" i="66"/>
  <c r="D480" i="66" l="1"/>
  <c r="D479" i="66" l="1"/>
  <c r="D478" i="66" l="1"/>
  <c r="D477" i="66" l="1"/>
  <c r="D476" i="66" l="1"/>
  <c r="D475" i="66" l="1"/>
  <c r="D474" i="66" l="1"/>
  <c r="D473" i="66" l="1"/>
  <c r="D472" i="66" l="1"/>
  <c r="D471" i="66" l="1"/>
  <c r="D470" i="66" l="1"/>
  <c r="D469" i="66" l="1"/>
  <c r="D468" i="66" l="1"/>
  <c r="D467" i="66" l="1"/>
  <c r="D466" i="66" l="1"/>
  <c r="D465" i="66" l="1"/>
  <c r="D464" i="66" l="1"/>
  <c r="D463" i="66" l="1"/>
  <c r="D462" i="66" l="1"/>
  <c r="D461" i="66" l="1"/>
  <c r="D460" i="66" l="1"/>
  <c r="D459" i="66" l="1"/>
  <c r="D458" i="66" l="1"/>
  <c r="D457" i="66" l="1"/>
  <c r="D456" i="66" l="1"/>
  <c r="D455" i="66" l="1"/>
  <c r="D454" i="66" l="1"/>
  <c r="D453" i="66" l="1"/>
  <c r="D452" i="66" l="1"/>
  <c r="D451" i="66" l="1"/>
  <c r="D450" i="66" l="1"/>
  <c r="D449" i="66" l="1"/>
  <c r="D448" i="66" l="1"/>
  <c r="D447" i="66" l="1"/>
  <c r="D446" i="66" l="1"/>
  <c r="D445" i="66" l="1"/>
  <c r="D444" i="66" l="1"/>
  <c r="D443" i="66" l="1"/>
  <c r="D442" i="66" l="1"/>
  <c r="D441" i="66" l="1"/>
  <c r="D440" i="66" l="1"/>
  <c r="D439" i="66" l="1"/>
  <c r="D438" i="66" l="1"/>
  <c r="D437" i="66" l="1"/>
  <c r="D436" i="66" l="1"/>
  <c r="D435" i="66" l="1"/>
  <c r="D434" i="66" l="1"/>
  <c r="D433" i="66" l="1"/>
  <c r="D432" i="66" l="1"/>
  <c r="D431" i="66" l="1"/>
  <c r="D430" i="66" l="1"/>
  <c r="D429" i="66" l="1"/>
  <c r="D428" i="66" l="1"/>
  <c r="D427" i="66" l="1"/>
  <c r="D426" i="66" l="1"/>
  <c r="D425" i="66" l="1"/>
  <c r="D424" i="66" l="1"/>
  <c r="D423" i="66" l="1"/>
  <c r="D422" i="66" l="1"/>
  <c r="D421" i="66" l="1"/>
  <c r="D420" i="66" l="1"/>
  <c r="D419" i="66" l="1"/>
  <c r="D418" i="66" l="1"/>
  <c r="D417" i="66" l="1"/>
  <c r="D416" i="66" l="1"/>
  <c r="D415" i="66" l="1"/>
  <c r="D414" i="66" l="1"/>
  <c r="D413" i="66" l="1"/>
  <c r="D412" i="66" l="1"/>
  <c r="D411" i="66" l="1"/>
  <c r="D410" i="66" l="1"/>
  <c r="D409" i="66" l="1"/>
  <c r="D408" i="66" l="1"/>
  <c r="D407" i="66" l="1"/>
  <c r="D406" i="66" l="1"/>
  <c r="D405" i="66" l="1"/>
  <c r="D404" i="66" l="1"/>
  <c r="D403" i="66" l="1"/>
  <c r="D402" i="66"/>
  <c r="D401" i="66" l="1"/>
  <c r="D400" i="66" l="1"/>
  <c r="D399" i="66" l="1"/>
  <c r="D398" i="66" l="1"/>
  <c r="D397" i="66" l="1"/>
  <c r="D396" i="66" l="1"/>
  <c r="D395" i="66" l="1"/>
  <c r="D394" i="66" l="1"/>
  <c r="D393" i="66" l="1"/>
  <c r="D392" i="66" l="1"/>
  <c r="D391" i="66" l="1"/>
  <c r="D390" i="66" l="1"/>
  <c r="D389" i="66" l="1"/>
  <c r="D388" i="66" l="1"/>
  <c r="D387" i="66" l="1"/>
  <c r="D386" i="66" l="1"/>
  <c r="D385" i="66" l="1"/>
  <c r="D384" i="66" l="1"/>
  <c r="D383" i="66" l="1"/>
  <c r="D382" i="66" l="1"/>
  <c r="D381" i="66" l="1"/>
  <c r="D380" i="66" l="1"/>
  <c r="D379" i="66" l="1"/>
  <c r="D378" i="66" l="1"/>
  <c r="D377" i="66" l="1"/>
  <c r="D375" i="66" l="1"/>
  <c r="D376" i="66"/>
  <c r="D374" i="66" l="1"/>
  <c r="D373" i="66" l="1"/>
  <c r="D372" i="66" l="1"/>
  <c r="D371" i="66" l="1"/>
  <c r="D370" i="66" l="1"/>
  <c r="D369" i="66" l="1"/>
  <c r="D368" i="66" l="1"/>
  <c r="D367" i="66" l="1"/>
  <c r="D366" i="66" l="1"/>
  <c r="D365" i="66" l="1"/>
  <c r="D364" i="66" l="1"/>
  <c r="D363" i="66" l="1"/>
  <c r="D362" i="66" l="1"/>
  <c r="D361" i="66" l="1"/>
  <c r="D360" i="66" l="1"/>
  <c r="D359" i="66" l="1"/>
  <c r="D358" i="66" l="1"/>
  <c r="D357" i="66" l="1"/>
  <c r="D356" i="66" l="1"/>
  <c r="D355" i="66" l="1"/>
  <c r="D354" i="66" l="1"/>
  <c r="D353" i="66" l="1"/>
  <c r="D352" i="66" l="1"/>
  <c r="D351" i="66" l="1"/>
  <c r="D350" i="66" l="1"/>
  <c r="D349" i="66" l="1"/>
  <c r="D348" i="66" l="1"/>
  <c r="D347" i="66" l="1"/>
  <c r="D346" i="66" l="1"/>
  <c r="D345" i="66" l="1"/>
  <c r="D344" i="66" l="1"/>
  <c r="D343" i="66" l="1"/>
  <c r="D342" i="66" l="1"/>
  <c r="D341" i="66" l="1"/>
  <c r="D340" i="66" l="1"/>
  <c r="D339" i="66" l="1"/>
  <c r="D338" i="66" l="1"/>
  <c r="D337" i="66" l="1"/>
  <c r="D336" i="66" l="1"/>
  <c r="D335" i="66" l="1"/>
  <c r="D334" i="66" l="1"/>
  <c r="D333" i="66" l="1"/>
  <c r="D332" i="66" l="1"/>
  <c r="D331" i="66" l="1"/>
  <c r="D330" i="66" l="1"/>
  <c r="D329" i="66" l="1"/>
  <c r="D328" i="66" l="1"/>
  <c r="D327" i="66" l="1"/>
  <c r="D326" i="66" l="1"/>
  <c r="D325" i="66" l="1"/>
  <c r="D324" i="66" l="1"/>
  <c r="D323" i="66" l="1"/>
  <c r="D322" i="66" l="1"/>
  <c r="D321" i="66" l="1"/>
  <c r="D320" i="66" l="1"/>
  <c r="D319" i="66" l="1"/>
  <c r="D318" i="66" l="1"/>
  <c r="D317" i="66" l="1"/>
  <c r="D316" i="66" l="1"/>
  <c r="D315" i="66" l="1"/>
  <c r="D314" i="66" l="1"/>
  <c r="D313" i="66" l="1"/>
  <c r="D312" i="66" l="1"/>
  <c r="D311" i="66" l="1"/>
  <c r="D310" i="66" l="1"/>
  <c r="D309" i="66" l="1"/>
  <c r="D308" i="66" l="1"/>
  <c r="D307" i="66" l="1"/>
  <c r="D306" i="66" l="1"/>
  <c r="D305" i="66" l="1"/>
  <c r="D304" i="66" l="1"/>
  <c r="D303" i="66" l="1"/>
  <c r="D302" i="66" l="1"/>
  <c r="D301" i="66" l="1"/>
  <c r="D300" i="66" l="1"/>
  <c r="D299" i="66" l="1"/>
  <c r="D298" i="66" l="1"/>
  <c r="D297" i="66" l="1"/>
  <c r="D296" i="66" l="1"/>
  <c r="D295" i="66" l="1"/>
  <c r="D294" i="66" l="1"/>
  <c r="D293" i="66" l="1"/>
  <c r="D292" i="66" l="1"/>
  <c r="D291" i="66" l="1"/>
  <c r="D290" i="66" l="1"/>
  <c r="D289" i="66" l="1"/>
  <c r="D288" i="66" l="1"/>
  <c r="D287" i="66" l="1"/>
  <c r="D286" i="66" l="1"/>
  <c r="D285" i="66" l="1"/>
  <c r="D284" i="66" l="1"/>
  <c r="D283" i="66" l="1"/>
  <c r="D282" i="66" l="1"/>
  <c r="D281" i="66" l="1"/>
  <c r="D280" i="66" l="1"/>
  <c r="D279" i="66" l="1"/>
  <c r="D278" i="66" l="1"/>
  <c r="D277" i="66" l="1"/>
  <c r="D276" i="66"/>
  <c r="D275" i="66" l="1"/>
  <c r="D274" i="66" l="1"/>
  <c r="D273" i="66" l="1"/>
  <c r="D272" i="66" l="1"/>
  <c r="D271" i="66" l="1"/>
  <c r="D270" i="66" l="1"/>
  <c r="D269" i="66" l="1"/>
  <c r="D268" i="66" l="1"/>
  <c r="D267" i="66" l="1"/>
  <c r="D266" i="66" l="1"/>
  <c r="D265" i="66" l="1"/>
  <c r="D264" i="66" l="1"/>
  <c r="D263" i="66" l="1"/>
  <c r="D262" i="66" l="1"/>
  <c r="D261" i="66" l="1"/>
  <c r="D260" i="66" l="1"/>
  <c r="D259" i="66" l="1"/>
  <c r="D257" i="66" l="1"/>
  <c r="D258" i="66"/>
  <c r="D256" i="66" l="1"/>
  <c r="D255" i="66" l="1"/>
  <c r="D254" i="66" l="1"/>
  <c r="D253" i="66" l="1"/>
  <c r="D252" i="66" l="1"/>
  <c r="D251" i="66" l="1"/>
  <c r="D250" i="66" l="1"/>
  <c r="D249" i="66" l="1"/>
  <c r="D248" i="66" l="1"/>
  <c r="D247" i="66" l="1"/>
  <c r="D246" i="66" l="1"/>
  <c r="D245" i="66" l="1"/>
  <c r="D244" i="66" l="1"/>
  <c r="D243" i="66" l="1"/>
  <c r="D242" i="66" l="1"/>
  <c r="D241" i="66" l="1"/>
  <c r="D240" i="66" l="1"/>
  <c r="D239" i="66" l="1"/>
  <c r="D238" i="66" l="1"/>
  <c r="D237" i="66" l="1"/>
  <c r="D236" i="66" l="1"/>
  <c r="D235" i="66"/>
  <c r="D234" i="66" l="1"/>
  <c r="D233" i="66" l="1"/>
  <c r="D232" i="66" l="1"/>
  <c r="D231" i="66" l="1"/>
  <c r="D230" i="66" l="1"/>
  <c r="D229" i="66" l="1"/>
  <c r="D228" i="66" l="1"/>
  <c r="D227" i="66" l="1"/>
  <c r="D226" i="66" l="1"/>
  <c r="D225" i="66" l="1"/>
  <c r="D224" i="66" l="1"/>
  <c r="D223" i="66" l="1"/>
  <c r="D222" i="66" l="1"/>
  <c r="D221" i="66" l="1"/>
  <c r="D220" i="66" l="1"/>
  <c r="D219" i="66" l="1"/>
  <c r="D218" i="66" l="1"/>
  <c r="D217" i="66" l="1"/>
  <c r="D216" i="66" l="1"/>
  <c r="D215" i="66" l="1"/>
  <c r="D214" i="66" l="1"/>
  <c r="D213" i="66" l="1"/>
  <c r="D212" i="66" l="1"/>
  <c r="D211" i="66" l="1"/>
  <c r="D210" i="66" l="1"/>
  <c r="D209" i="66" l="1"/>
  <c r="D208" i="66" l="1"/>
  <c r="D207" i="66" l="1"/>
  <c r="D206" i="66" l="1"/>
  <c r="D205" i="66" l="1"/>
  <c r="D204" i="66" l="1"/>
  <c r="D203" i="66" l="1"/>
  <c r="D202" i="66" l="1"/>
  <c r="D201" i="66" l="1"/>
  <c r="D200" i="66" l="1"/>
  <c r="D199" i="66" l="1"/>
  <c r="D198" i="66" l="1"/>
  <c r="D197" i="66" l="1"/>
  <c r="D196" i="66" l="1"/>
  <c r="D195" i="66" l="1"/>
  <c r="D193" i="66" l="1"/>
  <c r="E193" i="66" s="1"/>
  <c r="D194" i="66"/>
  <c r="Z178" i="78" l="1"/>
  <c r="AF178" i="78"/>
  <c r="AL178" i="78"/>
  <c r="H20" i="85"/>
  <c r="J13" i="83" l="1"/>
  <c r="D13" i="6" l="1"/>
  <c r="D17" i="6" s="1"/>
  <c r="E16" i="6" s="1"/>
  <c r="M15" i="83"/>
  <c r="J18" i="83"/>
  <c r="M14" i="83" s="1"/>
  <c r="Z167" i="78" s="1"/>
  <c r="D35" i="6" l="1"/>
  <c r="D14" i="6" s="1"/>
  <c r="E22" i="6"/>
  <c r="F22" i="6" s="1"/>
  <c r="F23" i="6" s="1"/>
  <c r="M13" i="83"/>
  <c r="AF167" i="78" s="1"/>
  <c r="E17" i="6"/>
  <c r="F16" i="6" s="1"/>
  <c r="E19" i="6"/>
  <c r="D29" i="6" l="1"/>
  <c r="D23" i="6"/>
  <c r="D39" i="6" s="1"/>
  <c r="E39" i="6" s="1"/>
  <c r="F39" i="6" s="1"/>
  <c r="G39" i="6" s="1"/>
  <c r="H39" i="6" s="1"/>
  <c r="E25" i="6"/>
  <c r="E23" i="6"/>
  <c r="F17" i="6"/>
  <c r="G16" i="6" s="1"/>
  <c r="F19" i="6"/>
  <c r="G22" i="6"/>
  <c r="F25" i="6"/>
  <c r="Y157" i="78" l="1"/>
  <c r="H22" i="6"/>
  <c r="G23" i="6"/>
  <c r="G25" i="6"/>
  <c r="G17" i="6"/>
  <c r="H16" i="6" s="1"/>
  <c r="G19" i="6"/>
  <c r="X157" i="78" l="1"/>
  <c r="H17" i="6"/>
  <c r="H19" i="6"/>
  <c r="H23" i="6"/>
  <c r="H25" i="6"/>
  <c r="X158" i="78" l="1"/>
  <c r="X160" i="78" s="1"/>
  <c r="Y158" i="78"/>
  <c r="AB66" i="78" l="1"/>
  <c r="AF66" i="78" s="1"/>
  <c r="AF67" i="78" s="1"/>
  <c r="AQ168" i="79"/>
  <c r="AO77" i="79"/>
  <c r="AJ77" i="79"/>
  <c r="AK102" i="79"/>
  <c r="AJ102" i="79"/>
  <c r="AH67" i="78" l="1"/>
  <c r="AL67" i="78"/>
  <c r="AL66" i="78" s="1"/>
  <c r="AJ67" i="78"/>
  <c r="AJ66" i="78" s="1"/>
  <c r="AH66" i="78"/>
  <c r="X69" i="78"/>
  <c r="X55" i="78"/>
  <c r="X90" i="78"/>
  <c r="Y54" i="78"/>
  <c r="Y55" i="78" l="1"/>
  <c r="X103" i="78"/>
  <c r="X58" i="78"/>
  <c r="Y63" i="78"/>
  <c r="Y90" i="78" s="1"/>
  <c r="X130" i="78"/>
  <c r="X134" i="78" s="1"/>
  <c r="X70" i="78"/>
  <c r="X120" i="78" l="1"/>
  <c r="X144" i="78"/>
  <c r="Z90" i="78"/>
  <c r="AB63" i="78"/>
  <c r="Y57" i="78"/>
  <c r="Z63" i="78"/>
  <c r="Z64" i="78" s="1"/>
  <c r="Z57" i="78" l="1"/>
  <c r="Z58" i="78" s="1"/>
  <c r="Y102" i="78"/>
  <c r="Y58" i="78"/>
  <c r="Y69" i="78"/>
  <c r="AB57" i="78"/>
  <c r="AB90" i="78"/>
  <c r="AC63" i="78" l="1"/>
  <c r="AC90" i="78" s="1"/>
  <c r="Y103" i="78"/>
  <c r="Y136" i="78"/>
  <c r="Z102" i="78"/>
  <c r="AB58" i="78"/>
  <c r="AB102" i="78"/>
  <c r="AB69" i="78"/>
  <c r="Y70" i="78"/>
  <c r="Y130" i="78"/>
  <c r="Y134" i="78" s="1"/>
  <c r="Z69" i="78"/>
  <c r="Y120" i="78" l="1"/>
  <c r="Z120" i="78" s="1"/>
  <c r="Y144" i="78"/>
  <c r="Y160" i="78" s="1"/>
  <c r="Z134" i="78"/>
  <c r="AB130" i="78"/>
  <c r="AB134" i="78" s="1"/>
  <c r="AB70" i="78"/>
  <c r="Z130" i="78"/>
  <c r="Z70" i="78"/>
  <c r="AB136" i="78"/>
  <c r="AB103" i="78"/>
  <c r="Z136" i="78"/>
  <c r="AV16" i="78" s="1"/>
  <c r="Z103" i="78"/>
  <c r="AD63" i="78"/>
  <c r="AD57" i="78" s="1"/>
  <c r="AC57" i="78"/>
  <c r="AD90" i="78" l="1"/>
  <c r="AE63" i="78" s="1"/>
  <c r="AE90" i="78" s="1"/>
  <c r="AF90" i="78" s="1"/>
  <c r="AC69" i="78"/>
  <c r="AC58" i="78"/>
  <c r="AC102" i="78"/>
  <c r="AB144" i="78"/>
  <c r="AB120" i="78"/>
  <c r="Z144" i="78"/>
  <c r="AV20" i="78" s="1"/>
  <c r="D41" i="6"/>
  <c r="AD69" i="78"/>
  <c r="AD102" i="78"/>
  <c r="D42" i="6"/>
  <c r="Z121" i="78"/>
  <c r="AD58" i="78" l="1"/>
  <c r="AD103" i="78"/>
  <c r="AD136" i="78"/>
  <c r="D43" i="6"/>
  <c r="AC130" i="78"/>
  <c r="AC134" i="78" s="1"/>
  <c r="AC70" i="78"/>
  <c r="AD130" i="78"/>
  <c r="AD134" i="78" s="1"/>
  <c r="AD70" i="78"/>
  <c r="AC136" i="78"/>
  <c r="AC103" i="78"/>
  <c r="AH63" i="78"/>
  <c r="AH57" i="78" s="1"/>
  <c r="AE57" i="78"/>
  <c r="AF63" i="78"/>
  <c r="AF64" i="78" s="1"/>
  <c r="AH90" i="78" l="1"/>
  <c r="AJ63" i="78" s="1"/>
  <c r="AJ57" i="78" s="1"/>
  <c r="AC120" i="78"/>
  <c r="AC144" i="78"/>
  <c r="AE69" i="78"/>
  <c r="AE58" i="78"/>
  <c r="AE102" i="78"/>
  <c r="AF57" i="78"/>
  <c r="AF58" i="78" s="1"/>
  <c r="AH69" i="78"/>
  <c r="AH102" i="78"/>
  <c r="AD120" i="78"/>
  <c r="AD144" i="78"/>
  <c r="D44" i="6"/>
  <c r="D45" i="6" s="1"/>
  <c r="AH58" i="78" l="1"/>
  <c r="AJ90" i="78"/>
  <c r="AL63" i="78" s="1"/>
  <c r="AL57" i="78" s="1"/>
  <c r="AH70" i="78"/>
  <c r="AH130" i="78"/>
  <c r="AH134" i="78" s="1"/>
  <c r="AE103" i="78"/>
  <c r="AE136" i="78"/>
  <c r="AF102" i="78"/>
  <c r="AH136" i="78"/>
  <c r="AX16" i="78" s="1"/>
  <c r="AH103" i="78"/>
  <c r="AE130" i="78"/>
  <c r="AE134" i="78" s="1"/>
  <c r="AE70" i="78"/>
  <c r="AF69" i="78"/>
  <c r="AJ102" i="78"/>
  <c r="AJ69" i="78"/>
  <c r="AJ58" i="78" l="1"/>
  <c r="AL69" i="78"/>
  <c r="AL102" i="78"/>
  <c r="AJ130" i="78"/>
  <c r="AJ134" i="78" s="1"/>
  <c r="AJ70" i="78"/>
  <c r="AL90" i="78"/>
  <c r="AL58" i="78" s="1"/>
  <c r="AF130" i="78"/>
  <c r="AF70" i="78"/>
  <c r="AE144" i="78"/>
  <c r="AE120" i="78"/>
  <c r="AF120" i="78" s="1"/>
  <c r="AF134" i="78"/>
  <c r="AF103" i="78"/>
  <c r="AF136" i="78"/>
  <c r="AW16" i="78" s="1"/>
  <c r="AH144" i="78"/>
  <c r="AH120" i="78"/>
  <c r="F42" i="6" s="1"/>
  <c r="F41" i="6"/>
  <c r="AJ103" i="78"/>
  <c r="AJ136" i="78"/>
  <c r="AY16" i="78" s="1"/>
  <c r="E42" i="6" l="1"/>
  <c r="AF121" i="78"/>
  <c r="AX20" i="78"/>
  <c r="AF144" i="78"/>
  <c r="AW20" i="78" s="1"/>
  <c r="E41" i="6"/>
  <c r="AJ144" i="78"/>
  <c r="AJ120" i="78"/>
  <c r="G41" i="6"/>
  <c r="AL136" i="78"/>
  <c r="AZ16" i="78" s="1"/>
  <c r="AL103" i="78"/>
  <c r="AL130" i="78"/>
  <c r="AL70" i="78"/>
  <c r="AY20" i="78" l="1"/>
  <c r="AL134" i="78"/>
  <c r="Z169" i="78"/>
  <c r="E43" i="6"/>
  <c r="H41" i="6" l="1"/>
  <c r="AL120" i="78"/>
  <c r="AL144" i="78"/>
  <c r="E44" i="6"/>
  <c r="E45" i="6" s="1"/>
  <c r="F43" i="6"/>
  <c r="AL167" i="78" l="1"/>
  <c r="AZ20" i="78"/>
  <c r="G43" i="6"/>
  <c r="F44" i="6"/>
  <c r="F45" i="6" s="1"/>
  <c r="G44" i="6" l="1"/>
  <c r="G45" i="6" s="1"/>
  <c r="H43" i="6"/>
  <c r="H44" i="6" s="1"/>
  <c r="H45" i="6" l="1"/>
  <c r="H31" i="6"/>
  <c r="H33" i="6" s="1"/>
  <c r="AL157" i="78"/>
  <c r="AL169" i="78" s="1"/>
  <c r="E31" i="6"/>
  <c r="E33" i="6" s="1"/>
  <c r="G31" i="6"/>
  <c r="G33" i="6" s="1"/>
  <c r="AJ157" i="78" s="1"/>
  <c r="F31" i="6"/>
  <c r="F33" i="6" s="1"/>
  <c r="AH157" i="78" s="1"/>
  <c r="AC157" i="78" l="1"/>
  <c r="AE157" i="78"/>
  <c r="AD157" i="78"/>
  <c r="AB157" i="78"/>
  <c r="AB158" i="78" l="1"/>
  <c r="AB160" i="78" s="1"/>
  <c r="AE158" i="78"/>
  <c r="AE160" i="78" s="1"/>
  <c r="AC158" i="78"/>
  <c r="AC160" i="78" s="1"/>
  <c r="AD158" i="78"/>
  <c r="AD160" i="78" s="1"/>
  <c r="AJ158" i="78"/>
  <c r="AJ160" i="78" s="1"/>
  <c r="AL158" i="78"/>
  <c r="AH158" i="78"/>
  <c r="AH160" i="78" s="1"/>
  <c r="AL160" i="78" l="1"/>
  <c r="AF170" i="78"/>
  <c r="Z170" i="78"/>
  <c r="AL170" i="78"/>
  <c r="AL171" i="78" s="1"/>
  <c r="AL175" i="78" s="1"/>
  <c r="AL177" i="78" s="1"/>
  <c r="H13" i="85" l="1"/>
  <c r="Z171" i="78"/>
  <c r="Z175" i="78" s="1"/>
  <c r="Z177" i="78" s="1"/>
  <c r="T34" i="91" s="1"/>
  <c r="AF171" i="78"/>
  <c r="AF175" i="78" s="1"/>
  <c r="AF177" i="78" s="1"/>
  <c r="T35" i="91" s="1"/>
  <c r="L160" i="66" l="1"/>
  <c r="E162" i="66"/>
  <c r="E192" i="66" s="1"/>
  <c r="E191" i="66" s="1"/>
  <c r="E190" i="66" s="1"/>
  <c r="E189" i="66" s="1"/>
  <c r="E188" i="66" s="1"/>
  <c r="E187" i="66" s="1"/>
  <c r="E186" i="66" s="1"/>
  <c r="E185" i="66" s="1"/>
  <c r="E184" i="66" s="1"/>
  <c r="E183" i="66" s="1"/>
  <c r="E182" i="66" s="1"/>
  <c r="E181" i="66" s="1"/>
  <c r="E180" i="66" s="1"/>
  <c r="E179" i="66" s="1"/>
  <c r="E178" i="66" s="1"/>
  <c r="E177" i="66" s="1"/>
  <c r="E176" i="66" s="1"/>
  <c r="E175" i="66" s="1"/>
  <c r="E174" i="66" s="1"/>
  <c r="E173" i="66" s="1"/>
  <c r="E172" i="66" s="1"/>
  <c r="E171" i="66" s="1"/>
  <c r="E170" i="66" s="1"/>
  <c r="E169" i="66" s="1"/>
  <c r="E168" i="66" s="1"/>
  <c r="E167" i="66" s="1"/>
  <c r="E166" i="66" s="1"/>
  <c r="E165" i="66" s="1"/>
  <c r="E164" i="66" s="1"/>
  <c r="E163" i="66" s="1"/>
  <c r="AL179" i="78"/>
  <c r="H14" i="85" s="1"/>
  <c r="T33" i="91"/>
  <c r="Z179" i="78"/>
  <c r="AF179" i="78"/>
  <c r="R170" i="78" l="1"/>
  <c r="R171" i="78" s="1"/>
  <c r="R172" i="7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Ana Luiza de Almeida Garcia Costa</author>
    <author>Ana Luiza Costa</author>
  </authors>
  <commentList>
    <comment ref="M12" authorId="0" shapeId="0" xr:uid="{B01832E8-5CF2-4149-9EE5-AD633E5C143A}">
      <text>
        <r>
          <rPr>
            <b/>
            <sz val="9"/>
            <color rgb="FF000000"/>
            <rFont val="Tahoma"/>
            <family val="2"/>
          </rPr>
          <t>Ana Luiza de Almeida Garcia Costa:</t>
        </r>
        <r>
          <rPr>
            <sz val="9"/>
            <color rgb="FF000000"/>
            <rFont val="Tahoma"/>
            <family val="2"/>
          </rPr>
          <t xml:space="preserve">
</t>
        </r>
        <r>
          <rPr>
            <sz val="9"/>
            <color rgb="FF000000"/>
            <rFont val="Tahoma"/>
            <family val="2"/>
          </rPr>
          <t>USA ERP</t>
        </r>
      </text>
    </comment>
    <comment ref="M13" authorId="1" shapeId="0" xr:uid="{59C4467C-C8C6-F54D-ABFD-18EF1D62AFAE}">
      <text>
        <r>
          <rPr>
            <b/>
            <sz val="10"/>
            <color rgb="FF000000"/>
            <rFont val="Tahoma"/>
            <family val="2"/>
          </rPr>
          <t>Ana Luiza Costa:</t>
        </r>
        <r>
          <rPr>
            <sz val="10"/>
            <color rgb="FF000000"/>
            <rFont val="Tahoma"/>
            <family val="2"/>
          </rPr>
          <t xml:space="preserve">
</t>
        </r>
        <r>
          <rPr>
            <sz val="10"/>
            <color rgb="FF000000"/>
            <rFont val="Tahoma"/>
            <family val="2"/>
          </rPr>
          <t>China's ERP</t>
        </r>
      </text>
    </comment>
    <comment ref="M14" authorId="1" shapeId="0" xr:uid="{32A80491-A794-814B-8226-2134226883B4}">
      <text>
        <r>
          <rPr>
            <b/>
            <sz val="10"/>
            <color rgb="FF000000"/>
            <rFont val="Tahoma"/>
            <family val="2"/>
          </rPr>
          <t>Ana Luiza Costa:</t>
        </r>
        <r>
          <rPr>
            <sz val="10"/>
            <color rgb="FF000000"/>
            <rFont val="Tahoma"/>
            <family val="2"/>
          </rPr>
          <t xml:space="preserve">
</t>
        </r>
        <r>
          <rPr>
            <sz val="10"/>
            <color rgb="FF000000"/>
            <rFont val="Tahoma"/>
            <family val="2"/>
          </rPr>
          <t>UK's ERP</t>
        </r>
      </text>
    </comment>
    <comment ref="D15" authorId="0" shapeId="0" xr:uid="{560B35EE-926E-4FE9-9B2B-ACC2899277EA}">
      <text>
        <r>
          <rPr>
            <b/>
            <sz val="9"/>
            <color rgb="FF000000"/>
            <rFont val="Tahoma"/>
            <family val="2"/>
          </rPr>
          <t>Ana Luiza de Almeida Garcia Costa:</t>
        </r>
        <r>
          <rPr>
            <sz val="9"/>
            <color rgb="FF000000"/>
            <rFont val="Tahoma"/>
            <family val="2"/>
          </rPr>
          <t xml:space="preserve">
</t>
        </r>
        <r>
          <rPr>
            <sz val="9"/>
            <color rgb="FF000000"/>
            <rFont val="Tahoma"/>
            <family val="2"/>
          </rPr>
          <t>US10Y Treasury Rate</t>
        </r>
      </text>
    </comment>
    <comment ref="M15" authorId="1" shapeId="0" xr:uid="{AE5B9E40-C576-CA41-93E2-FCA5FF812F62}">
      <text>
        <r>
          <rPr>
            <b/>
            <sz val="10"/>
            <color rgb="FF000000"/>
            <rFont val="Tahoma"/>
            <family val="2"/>
          </rPr>
          <t>Ana Luiza Costa:</t>
        </r>
        <r>
          <rPr>
            <sz val="10"/>
            <color rgb="FF000000"/>
            <rFont val="Tahoma"/>
            <family val="2"/>
          </rPr>
          <t xml:space="preserve">
</t>
        </r>
        <r>
          <rPr>
            <sz val="10"/>
            <color rgb="FF000000"/>
            <rFont val="Tahoma"/>
            <family val="2"/>
          </rPr>
          <t>Brazil ERP (Aug. 09 2025)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Russel Stavale Warren</author>
  </authors>
  <commentList>
    <comment ref="Z55" authorId="0" shapeId="0" xr:uid="{AF944848-831A-4679-B16D-0A781A27DD84}">
      <text>
        <r>
          <rPr>
            <b/>
            <sz val="9"/>
            <color rgb="FF000000"/>
            <rFont val="Tahoma"/>
            <family val="2"/>
          </rPr>
          <t>John Russel Stavale Warren:</t>
        </r>
        <r>
          <rPr>
            <sz val="9"/>
            <color rgb="FF000000"/>
            <rFont val="Tahoma"/>
            <family val="2"/>
          </rPr>
          <t xml:space="preserve">
</t>
        </r>
        <r>
          <rPr>
            <sz val="9"/>
            <color rgb="FF000000"/>
            <rFont val="Tahoma"/>
            <family val="2"/>
          </rPr>
          <t>Only reported annually.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Russel Stavale Warren</author>
  </authors>
  <commentList>
    <comment ref="B23" authorId="0" shapeId="0" xr:uid="{5720410F-E6F4-4D4A-A64D-A5FF470998EE}">
      <text>
        <r>
          <rPr>
            <b/>
            <sz val="9"/>
            <color rgb="FF000000"/>
            <rFont val="Tahoma"/>
            <family val="2"/>
          </rPr>
          <t>Retirado R&amp;D e transferido para OpEx</t>
        </r>
      </text>
    </comment>
    <comment ref="B29" authorId="0" shapeId="0" xr:uid="{3EC22520-3902-4725-BF58-0DD8F3337344}">
      <text>
        <r>
          <rPr>
            <b/>
            <sz val="9"/>
            <color indexed="81"/>
            <rFont val="Tahoma"/>
            <family val="2"/>
          </rPr>
          <t>John Russel Stavale Warren:</t>
        </r>
        <r>
          <rPr>
            <sz val="9"/>
            <color indexed="81"/>
            <rFont val="Tahoma"/>
            <family val="2"/>
          </rPr>
          <t xml:space="preserve">
Only annual is disclosed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bloomberg-alunos</author>
  </authors>
  <commentList>
    <comment ref="D13" authorId="0" shapeId="0" xr:uid="{00000000-0006-0000-0E00-000001000000}">
      <text>
        <r>
          <rPr>
            <sz val="9"/>
            <color indexed="81"/>
            <rFont val="Tahoma"/>
            <family val="2"/>
          </rPr>
          <t>USD
EUR
KRW
BRL
JPY</t>
        </r>
      </text>
    </comment>
    <comment ref="D14" authorId="0" shapeId="0" xr:uid="{00000000-0006-0000-0E00-000002000000}">
      <text>
        <r>
          <rPr>
            <sz val="9"/>
            <color indexed="81"/>
            <rFont val="Tahoma"/>
            <family val="2"/>
          </rPr>
          <t>K
MLN 
BLN</t>
        </r>
      </text>
    </comment>
    <comment ref="D15" authorId="0" shapeId="0" xr:uid="{00000000-0006-0000-0E00-000003000000}">
      <text>
        <r>
          <rPr>
            <sz val="9"/>
            <color indexed="81"/>
            <rFont val="Tahoma"/>
            <family val="2"/>
          </rPr>
          <t xml:space="preserve">AAPL US Equity
DSY FP Equity
005930 KS Equity
</t>
        </r>
      </text>
    </comment>
    <comment ref="R17" authorId="0" shapeId="0" xr:uid="{00000000-0006-0000-0E00-000004000000}">
      <text>
        <r>
          <rPr>
            <sz val="9"/>
            <color indexed="81"/>
            <rFont val="Tahoma"/>
            <family val="2"/>
          </rPr>
          <t>USD
EUR
KRW
BRL
JPY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<sst xmlns="http://schemas.openxmlformats.org/spreadsheetml/2006/main" count="2258" uniqueCount="804">
  <si>
    <t>TODAY</t>
  </si>
  <si>
    <t>Analysts</t>
  </si>
  <si>
    <t>LIS – Equity Research</t>
  </si>
  <si>
    <t>Stock Performance</t>
  </si>
  <si>
    <t>Ana Luiza Costa, Team Leader</t>
  </si>
  <si>
    <t>Recommendation:</t>
  </si>
  <si>
    <t>Hold</t>
  </si>
  <si>
    <t>Bsc in Economics, ISEG – Ulisboa</t>
  </si>
  <si>
    <t>Target Price (FCFF):</t>
  </si>
  <si>
    <t>analuiza@aln.iseg.ulisboa.pt</t>
  </si>
  <si>
    <t>Upside(Downside):</t>
  </si>
  <si>
    <t>John Stavale, Analyst</t>
  </si>
  <si>
    <t>Ticker</t>
  </si>
  <si>
    <t>MIDD</t>
  </si>
  <si>
    <t>johnstavale@aln.iseg.ulisboa.pt</t>
  </si>
  <si>
    <t>Stock Exchange</t>
  </si>
  <si>
    <t>NASDAQ</t>
  </si>
  <si>
    <t>Manuel Jáco, Analyst</t>
  </si>
  <si>
    <t>Bsc in MAEG, ISEG – Ulisboa</t>
  </si>
  <si>
    <t>Current Price</t>
  </si>
  <si>
    <t>manueljaco@aln.iseg.ulisboa.pt</t>
  </si>
  <si>
    <t>Beta</t>
  </si>
  <si>
    <t>% of 52-Week High</t>
  </si>
  <si>
    <t>100-Day Moving Average</t>
  </si>
  <si>
    <t>Reviewed by:</t>
  </si>
  <si>
    <t>Avg Vol (1 month)</t>
  </si>
  <si>
    <t>NAME, Analyst</t>
  </si>
  <si>
    <t>Shares Outstanding (millions)</t>
  </si>
  <si>
    <t>Bsc in XXX, ISEG – Ulisboa</t>
  </si>
  <si>
    <t>% Float</t>
  </si>
  <si>
    <t>email@aln.iseg.ulisboa.pt</t>
  </si>
  <si>
    <t>Short % of Float</t>
  </si>
  <si>
    <t>LISBON INVESTMENT SOCIETY</t>
  </si>
  <si>
    <t>% Held by Insiders</t>
  </si>
  <si>
    <t>ISEG – Rua do Quelhas, 6</t>
  </si>
  <si>
    <t>% Held by Institutions</t>
  </si>
  <si>
    <t>lis@iseg.ulisboa.pt</t>
  </si>
  <si>
    <r>
      <rPr>
        <b/>
        <sz val="8"/>
        <color rgb="FF7B1314"/>
        <rFont val="Arial Nova"/>
        <family val="2"/>
      </rPr>
      <t>Disclaimer:</t>
    </r>
    <r>
      <rPr>
        <b/>
        <sz val="8"/>
        <color theme="0" tint="-0.499984740745262"/>
        <rFont val="Arial Nova"/>
        <family val="2"/>
      </rPr>
      <t xml:space="preserve"> </t>
    </r>
    <r>
      <rPr>
        <sz val="8"/>
        <color theme="0" tint="-0.499984740745262"/>
        <rFont val="Arial Nova"/>
        <family val="2"/>
      </rPr>
      <t>This report was prepared by members of the Lisbon Investment Society (LIS), an independent, student-led, non-profit organization based at ISEG – Lisbon School of Economics &amp; Management, and is intended solely for academic and educational purposes. All analyses, forecasts, and opinions expressed in this report reflect the independent judgment of the authors as of the date of publication and are subject to change without notice. The views presented herein do not represent those of ISEG, its faculty, or any affiliated entity. This document does not constitute, and should not be interpreted as, investment advice, an offer, or a solicitation to buy or sell any security or financial instrument. Nothing in this report should be construed as a recommendation to make or refrain from making any investment decision. The content is intended for informational purposes only, and readers are strongly encouraged to conduct their own research and seek advice from a qualified financial professional before making any financial decisions. The information contained in this report has been obtained from publicly available sources believed to be reliable; however, no representation or warranty is made regarding the accuracy, completeness, or timeliness of such information. LIS and its members accept no liability whatsoever for any direct or indirect loss arising from the use of this report or its contents. This report incorporates terminology, financial metrics, and methodologies commonly used in professional equity research, including but not limited to Discounted Cash Flow (DCF), trading multiples, Monte Carlo simulations, and strategic analysis tools such as Porter’s Five Forces. Definitions and assumptions used in these models are disclosed within the report and reflect a hypothetical investment thesis designed solely for academic discussion. All valuations, projections, and target prices presented herein are based on publicly available data and subject to the limitations of modeling assumptions. These are not guarantees of future performance and should not be relied upon as such, as past performance is not indicative of future results. Any company names, logos, trademarks, or brand references mentioned in this report are the property of their respective owners and are used strictly for identification and academic purposes. This document may not be reproduced, redistributed, or quoted in whole or in part without the prior written consent of the Lisbon Investment Society.</t>
    </r>
    <r>
      <rPr>
        <sz val="8"/>
        <color theme="1"/>
        <rFont val="Arial Nova"/>
        <family val="2"/>
      </rPr>
      <t xml:space="preserve">
</t>
    </r>
    <r>
      <rPr>
        <b/>
        <sz val="8"/>
        <color rgb="FF7B1314"/>
        <rFont val="Arial Nova"/>
        <family val="2"/>
      </rPr>
      <t>About LIS – Lisbon Investment Society:</t>
    </r>
    <r>
      <rPr>
        <b/>
        <sz val="8"/>
        <color theme="1"/>
        <rFont val="Arial Nova"/>
        <family val="2"/>
      </rPr>
      <t xml:space="preserve"> </t>
    </r>
    <r>
      <rPr>
        <sz val="8"/>
        <color theme="0" tint="-0.499984740745262"/>
        <rFont val="Arial Nova"/>
        <family val="2"/>
      </rPr>
      <t>The Lisbon Investment Society (LIS) is a non-profit academic association headquartered at ISEG – Lisbon School of Economics &amp; Management. Founded in 2016, LIS is committed to fostering student interest in finance and investment through applied research, skill development, and institutional engagement. The Society operates independently and autonomously from any political, religious, or commercial affiliation, and is composed of selected students and collaborators who are invited through a rigorous recruitment process and share a commitment to excellence, analytical rigor, and ethical standards. Its activities include equity research, portfolio management, macroeconomic analysis, and investment education. This report was prepared by the Equity Research team at the Lisbon Investment Society, whose analysts combine rigorous financial modeling, critical thinking, and collaborative research to deliver high-quality, student-led investment analysis. We welcome your feedback, discussion, and questions regarding this report or our research process, and invite you to reach out to our team as we are always open to engagement.</t>
    </r>
    <r>
      <rPr>
        <b/>
        <sz val="8"/>
        <color theme="0" tint="-0.499984740745262"/>
        <rFont val="Arial Nova"/>
        <family val="2"/>
      </rPr>
      <t xml:space="preserve">
</t>
    </r>
  </si>
  <si>
    <t>x</t>
  </si>
  <si>
    <t>Industry Growth Forecast</t>
  </si>
  <si>
    <t>Industry Index</t>
  </si>
  <si>
    <t>Market Size (Commercial Foodservice Machinery)</t>
  </si>
  <si>
    <t>Global</t>
  </si>
  <si>
    <t>North America</t>
  </si>
  <si>
    <t>Market Share</t>
  </si>
  <si>
    <t>Commercial Foodservice Machinery</t>
  </si>
  <si>
    <t>Market Size (Food Processing Machinery)</t>
  </si>
  <si>
    <t>Food Processing Machinery</t>
  </si>
  <si>
    <t>Household Kitchen Appliances</t>
  </si>
  <si>
    <t>Market Size (Household Kitchen Appliances)</t>
  </si>
  <si>
    <t>Market Size (NA Commercial Foodservice Machinery)</t>
  </si>
  <si>
    <t>Market Size (NA Food Processing Equipment)</t>
  </si>
  <si>
    <t>Market Size (NA Household Kitchen Appliances)</t>
  </si>
  <si>
    <t>Industry Driver</t>
  </si>
  <si>
    <t>Description</t>
  </si>
  <si>
    <t>Porter's Five Forces</t>
  </si>
  <si>
    <t>Commercial Foodservice Machinery - net openings and equipments cycle</t>
  </si>
  <si>
    <t>Highly dependant on commercial foodservices openings (full and quick service restaurants) and equipments renewal, the industry benefits from decreasing interest rates and increasing consumer confidence and discretionary spending.</t>
  </si>
  <si>
    <t>Food Processing Machinery - demand for processed food</t>
  </si>
  <si>
    <t>Increasing demand for processed and ultra-processed food all over the world increases confidence on the industry growth, as more machinery and equipments will be required. APAC demand increase might be the highest, so a strong position would be highly rewarded. Supply chain optimizations may also be a competitive advantage, due to risks of distruption and dependance on commodities.</t>
  </si>
  <si>
    <t>Residential Kitchen Machinery - house constructions and renewals</t>
  </si>
  <si>
    <t>As long as there's a demand for house constructions and renewals, householders will need kitchen equipments. Therefore, lower interest rates, as well as higher GDP growth and employment rates and wages increase the demand for refurbished and new houses.</t>
  </si>
  <si>
    <t>Rivalry Among Existing Competitors</t>
  </si>
  <si>
    <t>Threat of New Entrants</t>
  </si>
  <si>
    <t>Threat of Substitutes</t>
  </si>
  <si>
    <t>Bargaining Power of Customers</t>
  </si>
  <si>
    <t>Bargaining Power of Suppliers</t>
  </si>
  <si>
    <t>ESG Analysis</t>
  </si>
  <si>
    <t>ESG Scores</t>
  </si>
  <si>
    <t>GHG Scope 1 Emissions, Water Consumption, Energy Consumption and Waste Production per Sales</t>
  </si>
  <si>
    <t>LSEG ESG Score</t>
  </si>
  <si>
    <t xml:space="preserve">   E-Score</t>
  </si>
  <si>
    <t xml:space="preserve">   S-Score</t>
  </si>
  <si>
    <t xml:space="preserve">   G-Score</t>
  </si>
  <si>
    <t>S&amp;P Global ESG Score</t>
  </si>
  <si>
    <t>Sustainalytics</t>
  </si>
  <si>
    <t>ISS ESG Corporate Rating</t>
  </si>
  <si>
    <t>D+</t>
  </si>
  <si>
    <t xml:space="preserve">   SDG Impact Rating</t>
  </si>
  <si>
    <t xml:space="preserve">   Governance Quality Score</t>
  </si>
  <si>
    <t>MSCI ESG Ratings</t>
  </si>
  <si>
    <t>BBB</t>
  </si>
  <si>
    <t>Key Info</t>
  </si>
  <si>
    <t>Environmental</t>
  </si>
  <si>
    <t>Overview</t>
  </si>
  <si>
    <t>Targets</t>
  </si>
  <si>
    <t>Improvements</t>
  </si>
  <si>
    <t>Comments</t>
  </si>
  <si>
    <t>GICS Sector</t>
  </si>
  <si>
    <t>Industrials</t>
  </si>
  <si>
    <t>GHG Scope 1 Emissions</t>
  </si>
  <si>
    <t>Net-zero CO₂ emissions by 2050.</t>
  </si>
  <si>
    <t xml:space="preserve">Increase in Scope 1 and Scope 2 emissions from 2022 to 2023 due to business growth and the impact of additional Middleby locations reporting metrics. </t>
  </si>
  <si>
    <t>GICS Industry Group</t>
  </si>
  <si>
    <t>Capital Goods</t>
  </si>
  <si>
    <t>GICS Industry</t>
  </si>
  <si>
    <t>Machinery</t>
  </si>
  <si>
    <t>Water Consumption</t>
  </si>
  <si>
    <t>Slight decrease in Water Intensity (total water withdrawal per 1,000-square feet of facility)</t>
  </si>
  <si>
    <t>Reported water withdrawals in fiscal year 2023 increased slightly from the previous reporting year as a result of the acquisition of additional businesses and facilities.</t>
  </si>
  <si>
    <t>GICS Sub-Industry</t>
  </si>
  <si>
    <t>Special Industrial Machinery</t>
  </si>
  <si>
    <t>Energy Consumption</t>
  </si>
  <si>
    <t xml:space="preserve">Energy usage and GJ-intensity decreased in 2023 versus the previous year. </t>
  </si>
  <si>
    <t>Energy sources include Indirect Purchased Energy (Electrical Grid), Fuel Combustion, and Self-Generated Renewables (solar, wind, geothermal, bioenergy, hydro and tidal energy).
Energy 1,</t>
  </si>
  <si>
    <t>Headquarters</t>
  </si>
  <si>
    <t>Elgin, Illinois, USA</t>
  </si>
  <si>
    <t>Numer of Employees</t>
  </si>
  <si>
    <t>Waste Management</t>
  </si>
  <si>
    <t xml:space="preserve">Available waste metrics point to a 16.2% decrease in hazardous waste in 2023 compared to 2022. </t>
  </si>
  <si>
    <t>Non-hazardous waste increased in 2023 compared to 2022, primarily as a result of acquisitions made of additional businesses and facilities while Waste Intensity decreased.</t>
  </si>
  <si>
    <t>Annual Report</t>
  </si>
  <si>
    <t>Form 10K 2024</t>
  </si>
  <si>
    <t>Other</t>
  </si>
  <si>
    <t>Sustainability Report</t>
  </si>
  <si>
    <t>2024 Sustainability Report Update</t>
  </si>
  <si>
    <t>2023 Sustainability Report</t>
  </si>
  <si>
    <t>Recent Headlines</t>
  </si>
  <si>
    <t>Social</t>
  </si>
  <si>
    <t>Employee Turnover %</t>
  </si>
  <si>
    <t>After a period of growth, Middleby's total number of employees decreased by 4.85% from 2022 to 2023, and by a further 0.99% from 2023 to 2024, ending at 10,616 in December 2024. The company does not disclose Employee Turnover rates.</t>
  </si>
  <si>
    <t>Salaries &amp; Compensation</t>
  </si>
  <si>
    <t>Middleby employees attributed a compensation and benefits rating of 3.2/5 stars to their company on Glassdoor.</t>
  </si>
  <si>
    <t>Reputation</t>
  </si>
  <si>
    <t>Discrimination Events</t>
  </si>
  <si>
    <t>No reported discrimination events; standard EEO policies in place.</t>
  </si>
  <si>
    <t>Work Safety</t>
  </si>
  <si>
    <t>No recent confirmation of any major safety incidents involving worker injuries at Middleby in the last years from credible news or regulatory sources.</t>
  </si>
  <si>
    <t>Damage to consumer health</t>
  </si>
  <si>
    <t>2017 Viking recall handled proactively as it strengthened product safety program in place with no major incidents since.</t>
  </si>
  <si>
    <t>Pension Plan</t>
  </si>
  <si>
    <t>The company does not offer a traditional defined benefit pension plan but instead provides a defined contribution plan,the Middleby Corporation Profit Sharing Plan, which functions as a 401(k) and a savings plan for eligible employees.</t>
  </si>
  <si>
    <t>Supply chain</t>
  </si>
  <si>
    <t>Middleby recognizes supply-chain risks and has a Supplier Code of Conduct.</t>
  </si>
  <si>
    <t>Community involvement</t>
  </si>
  <si>
    <t>Middleby engages communities via ‘Middleby Cares,’ donations, volunteering, and nonprofit partnerships.</t>
  </si>
  <si>
    <t>Public Sector</t>
  </si>
  <si>
    <t>Limited reliance on government contracts; primary exposure is compliance with food safety and labor standards.</t>
  </si>
  <si>
    <t>Litigation</t>
  </si>
  <si>
    <t>Routine product-liability claims, mostly insured and not material to financials.</t>
  </si>
  <si>
    <t>Board of Directors</t>
  </si>
  <si>
    <t>Governance</t>
  </si>
  <si>
    <t>Name</t>
  </si>
  <si>
    <t>Position</t>
  </si>
  <si>
    <t>M/F  – Age</t>
  </si>
  <si>
    <t>Gordon O'Brien</t>
  </si>
  <si>
    <t>Chairman</t>
  </si>
  <si>
    <t>M - 59</t>
  </si>
  <si>
    <t>Diversity (Gender, Age, Industry, Region)</t>
  </si>
  <si>
    <t>Women account for 30% of the board.</t>
  </si>
  <si>
    <t>Julie Bowerman</t>
  </si>
  <si>
    <t>Independent Director</t>
  </si>
  <si>
    <t>F - 56</t>
  </si>
  <si>
    <t>Sarah Palisi Chapin</t>
  </si>
  <si>
    <t>F - 63</t>
  </si>
  <si>
    <t>% Independence</t>
  </si>
  <si>
    <t xml:space="preserve">90% of the Directors are Independent. </t>
  </si>
  <si>
    <t>Timothy FitzGerald</t>
  </si>
  <si>
    <t>CEO</t>
  </si>
  <si>
    <t>M - 54</t>
  </si>
  <si>
    <t>Ed Garden</t>
  </si>
  <si>
    <t>M - 63</t>
  </si>
  <si>
    <t>Average time as independent directors</t>
  </si>
  <si>
    <t>Avg. Tenure = 9 years</t>
  </si>
  <si>
    <t>Cathy L. McCarthy</t>
  </si>
  <si>
    <t>F - 77</t>
  </si>
  <si>
    <t>Robert A. Nerbonne</t>
  </si>
  <si>
    <t>M - 67</t>
  </si>
  <si>
    <t>Departures of C-level executives</t>
  </si>
  <si>
    <t xml:space="preserve">Feb. 2019: Selim Bassoul retired as Chairman, President, and CEO after ~25 years with the company. </t>
  </si>
  <si>
    <t>Stephen Scherger</t>
  </si>
  <si>
    <t>M - 60</t>
  </si>
  <si>
    <t>Tejas Shah</t>
  </si>
  <si>
    <t>M - 45</t>
  </si>
  <si>
    <t>CEO/Chairman duality</t>
  </si>
  <si>
    <t>After 2019, Timothy FitzGerald was appointed CEO, while the Board separated the Chairman role (currently held by a non-executive director).</t>
  </si>
  <si>
    <t>Nassem Ziyad</t>
  </si>
  <si>
    <t>Transparency when reporting</t>
  </si>
  <si>
    <t>Bloomberg ESG Disclosure Score (2023): 54.4; Environmental: 56.6; Social: 21.49; Governance: 84.98.</t>
  </si>
  <si>
    <t>Time taken to report</t>
  </si>
  <si>
    <t>10-K filed on February 26, 2025, within SEC deadlines, this reflects strong internal controls and transparency.</t>
  </si>
  <si>
    <t>CEO or Chairman in other boards?</t>
  </si>
  <si>
    <t>Chairman Gordon O-Brien is currently a Managing Partner at Cannon Capital.</t>
  </si>
  <si>
    <t>Audit / Consulting</t>
  </si>
  <si>
    <t>Audit related fees tiny relative to the audit fees (~0.2%), no "All other fees" in 2024 and 2023.</t>
  </si>
  <si>
    <t>ESG-compensation related</t>
  </si>
  <si>
    <t>Middleby does not prominently link ESG performance to executive pay.</t>
  </si>
  <si>
    <t>Management compensation schemes</t>
  </si>
  <si>
    <t>Primarily tied to financial metrics (revenue, profitability, TSR) with little to no ESG linkage.</t>
  </si>
  <si>
    <t>Segments</t>
  </si>
  <si>
    <t>Products</t>
  </si>
  <si>
    <t>Q1</t>
  </si>
  <si>
    <t>Q2</t>
  </si>
  <si>
    <t>Q3</t>
  </si>
  <si>
    <t>Q4</t>
  </si>
  <si>
    <t>FY</t>
  </si>
  <si>
    <t>Revenue by segment:</t>
  </si>
  <si>
    <t>Commercial Foodservice Equipment Group</t>
  </si>
  <si>
    <t xml:space="preserve">       Food Processing Equipment Group</t>
  </si>
  <si>
    <t xml:space="preserve">       Residential Kitchen Equipment Group.</t>
  </si>
  <si>
    <t>Total revenue</t>
  </si>
  <si>
    <t>Revenue by region:</t>
  </si>
  <si>
    <t xml:space="preserve">      United States and Canada</t>
  </si>
  <si>
    <t xml:space="preserve">      Asia</t>
  </si>
  <si>
    <t xml:space="preserve">      Europe and Middle East</t>
  </si>
  <si>
    <t xml:space="preserve">      Latin America</t>
  </si>
  <si>
    <t>Products:</t>
  </si>
  <si>
    <t>Product 1</t>
  </si>
  <si>
    <t>Product 2</t>
  </si>
  <si>
    <t>Product 3</t>
  </si>
  <si>
    <t>Product 4</t>
  </si>
  <si>
    <t>Product 5</t>
  </si>
  <si>
    <t>Notes &amp; Forecasts</t>
  </si>
  <si>
    <t>Dividends</t>
  </si>
  <si>
    <t>The company’s Board of Directors currently intends to retain any future earnings to support its operations and to
finance the growth and development of the company’s business and does not intend to declare or pay cash dividends on its
common stock for the foreseeable future.</t>
  </si>
  <si>
    <t>Announced Separation of Food Processing Business for 2026</t>
  </si>
  <si>
    <t xml:space="preserve">Middleby Board of Directors unanimously approved a plan to separate our Food Processing segment into a standalone public company
This action will create two independent and innovative leaders: The Middleby Corporation and Middleby Food Processing. The separation will be executed through a tax-free spin-off and is expected to be completed in early 2026.
</t>
  </si>
  <si>
    <t>Expectations for 2025 revenue</t>
  </si>
  <si>
    <t>For 2025, Middleby corp is expecting a: 
• Total revenue of $3.81-3.87 billion;
• Adjusted EBITDA of $770-800 million; and
• Adjusted Earnings Per Share of $8.65-9.05</t>
  </si>
  <si>
    <t>Peers</t>
  </si>
  <si>
    <t>Growth</t>
  </si>
  <si>
    <t>MIDDLEBY CORP</t>
  </si>
  <si>
    <t>NORDSON CORP</t>
  </si>
  <si>
    <t>STANLEY BLACK &amp;</t>
  </si>
  <si>
    <t>HILLENBRAND INC</t>
  </si>
  <si>
    <t>TENNANT CO</t>
  </si>
  <si>
    <t>KADANT INC</t>
  </si>
  <si>
    <t>JBT MAREL CORP</t>
  </si>
  <si>
    <t>MSA SAFETY INC</t>
  </si>
  <si>
    <t>ENERPAC TOOL GRO</t>
  </si>
  <si>
    <t>SNAP-ON INC</t>
  </si>
  <si>
    <t>THERMON GROUP HO</t>
  </si>
  <si>
    <t>FED SIGNAL CORP</t>
  </si>
  <si>
    <t>DOUGLAS DYNAMICS</t>
  </si>
  <si>
    <t>ESAB CORP</t>
  </si>
  <si>
    <t>FORTUNE BRANDS I</t>
  </si>
  <si>
    <t>GEA GROUP AG</t>
  </si>
  <si>
    <t>Revenue (LTM)</t>
  </si>
  <si>
    <t>Revenue (3-yr CAGR)</t>
  </si>
  <si>
    <t>Gross profit (LTM)</t>
  </si>
  <si>
    <t>EBIT (LTM)</t>
  </si>
  <si>
    <t>EBITDA (LTM)</t>
  </si>
  <si>
    <t>FCF (LTM)</t>
  </si>
  <si>
    <t>Margins</t>
  </si>
  <si>
    <t>Gross margin</t>
  </si>
  <si>
    <t>EBIT margin</t>
  </si>
  <si>
    <t>EBITDA margin</t>
  </si>
  <si>
    <t>Net margin</t>
  </si>
  <si>
    <t>SG&amp;A margin</t>
  </si>
  <si>
    <t>R&amp;D margin</t>
  </si>
  <si>
    <t>Returns</t>
  </si>
  <si>
    <t>ROIC</t>
  </si>
  <si>
    <t>CROIC</t>
  </si>
  <si>
    <t>ROCE</t>
  </si>
  <si>
    <t>RONA</t>
  </si>
  <si>
    <t>ROE</t>
  </si>
  <si>
    <t>ROA</t>
  </si>
  <si>
    <t>Efficiency</t>
  </si>
  <si>
    <t>Asset turnover</t>
  </si>
  <si>
    <t>Net operating asset turnover</t>
  </si>
  <si>
    <t>Fixed asset turnover</t>
  </si>
  <si>
    <r>
      <t xml:space="preserve">Revenue per employee </t>
    </r>
    <r>
      <rPr>
        <i/>
        <sz val="7"/>
        <color theme="1"/>
        <rFont val="Arial Nova"/>
        <family val="2"/>
      </rPr>
      <t>thsnd of USD</t>
    </r>
  </si>
  <si>
    <r>
      <t xml:space="preserve">EBIT per employee </t>
    </r>
    <r>
      <rPr>
        <i/>
        <sz val="7"/>
        <color theme="1"/>
        <rFont val="Arial Nova"/>
        <family val="2"/>
      </rPr>
      <t>thsnd of USD</t>
    </r>
  </si>
  <si>
    <t>Working Capital</t>
  </si>
  <si>
    <t>DSO</t>
  </si>
  <si>
    <t>DIO</t>
  </si>
  <si>
    <t>DPO</t>
  </si>
  <si>
    <t>CCC</t>
  </si>
  <si>
    <t>Working capital intensity</t>
  </si>
  <si>
    <t>Cash conversion ratio</t>
  </si>
  <si>
    <t>CFO margin</t>
  </si>
  <si>
    <t>Leverage &amp; Coverage</t>
  </si>
  <si>
    <t>Net debt / EBITDA</t>
  </si>
  <si>
    <t>Net debt / FCF</t>
  </si>
  <si>
    <t>Interest coverage</t>
  </si>
  <si>
    <t>Debt / capital</t>
  </si>
  <si>
    <t>Short term debt / total debt</t>
  </si>
  <si>
    <t>Liquidity</t>
  </si>
  <si>
    <t>Current ratio</t>
  </si>
  <si>
    <t>Quick ratio</t>
  </si>
  <si>
    <t>Cash ratio</t>
  </si>
  <si>
    <t>Cash Deployment</t>
  </si>
  <si>
    <t>Capex intensity</t>
  </si>
  <si>
    <t>Capex / depreciation</t>
  </si>
  <si>
    <t>R&amp;D capitalization rate</t>
  </si>
  <si>
    <t>R&amp;D capitalization test</t>
  </si>
  <si>
    <t>Dividend payout</t>
  </si>
  <si>
    <t>FCF payout</t>
  </si>
  <si>
    <t>Buybacks as % CFO</t>
  </si>
  <si>
    <t>Earnings Quality</t>
  </si>
  <si>
    <t>Cash/earnings conversion</t>
  </si>
  <si>
    <t>FCF / net income</t>
  </si>
  <si>
    <t>Per Share &amp; Dilution</t>
  </si>
  <si>
    <t>Diluted share count YoY</t>
  </si>
  <si>
    <t>SBC / revenue</t>
  </si>
  <si>
    <t>SBC / CFO</t>
  </si>
  <si>
    <r>
      <t xml:space="preserve">EPS </t>
    </r>
    <r>
      <rPr>
        <i/>
        <sz val="7"/>
        <color theme="1"/>
        <rFont val="Arial Nova"/>
        <family val="2"/>
      </rPr>
      <t>in USD</t>
    </r>
  </si>
  <si>
    <t>Current</t>
  </si>
  <si>
    <t>% of</t>
  </si>
  <si>
    <t>Enterprise Value /</t>
  </si>
  <si>
    <t>LTM</t>
  </si>
  <si>
    <t>Net</t>
  </si>
  <si>
    <t>Price /</t>
  </si>
  <si>
    <t>LT</t>
  </si>
  <si>
    <t>Share</t>
  </si>
  <si>
    <t>52-week</t>
  </si>
  <si>
    <t>Equity</t>
  </si>
  <si>
    <t>Enterprise</t>
  </si>
  <si>
    <t>2025E</t>
  </si>
  <si>
    <t>2026E</t>
  </si>
  <si>
    <t>EBITDA</t>
  </si>
  <si>
    <t>Debt /</t>
  </si>
  <si>
    <t>EPS</t>
  </si>
  <si>
    <t>Company</t>
  </si>
  <si>
    <t>Price</t>
  </si>
  <si>
    <t>High</t>
  </si>
  <si>
    <t>Value</t>
  </si>
  <si>
    <t>Sales</t>
  </si>
  <si>
    <t>EBIT</t>
  </si>
  <si>
    <t>Margin</t>
  </si>
  <si>
    <t>Tier I</t>
  </si>
  <si>
    <t>SWK US</t>
  </si>
  <si>
    <t>USD 76,67</t>
  </si>
  <si>
    <t>HI US</t>
  </si>
  <si>
    <t>USD 24,62</t>
  </si>
  <si>
    <t>TNC US</t>
  </si>
  <si>
    <t>USD 80,66</t>
  </si>
  <si>
    <t>KAI US</t>
  </si>
  <si>
    <t>USD 305,45</t>
  </si>
  <si>
    <t>Mean</t>
  </si>
  <si>
    <t>Median</t>
  </si>
  <si>
    <t>Tier II</t>
  </si>
  <si>
    <t>Tier III</t>
  </si>
  <si>
    <t>Overall</t>
  </si>
  <si>
    <t>Low</t>
  </si>
  <si>
    <t>Rolling WACC</t>
  </si>
  <si>
    <t>Equity Risk Premium</t>
  </si>
  <si>
    <t>Weights</t>
  </si>
  <si>
    <t>ERP</t>
  </si>
  <si>
    <t>Equity:</t>
  </si>
  <si>
    <t>Market Cap</t>
  </si>
  <si>
    <t>% of Equity</t>
  </si>
  <si>
    <t>Risk-Free Rate</t>
  </si>
  <si>
    <t>Unlevered Beta</t>
  </si>
  <si>
    <t>Ke (Cost of Equity)</t>
  </si>
  <si>
    <t>Preferred Equity:</t>
  </si>
  <si>
    <t>ROIC vs WACC</t>
  </si>
  <si>
    <t>Market Capitalization</t>
  </si>
  <si>
    <t>% of Preferred Equity</t>
  </si>
  <si>
    <t>Preferred Dividends</t>
  </si>
  <si>
    <t>Kp (Cost of Preferred Equity)</t>
  </si>
  <si>
    <t>Debt:</t>
  </si>
  <si>
    <t>Debt</t>
  </si>
  <si>
    <t>% of Debt</t>
  </si>
  <si>
    <t>Debt Spread</t>
  </si>
  <si>
    <t>Cost of Debt</t>
  </si>
  <si>
    <t>Tax Rate</t>
  </si>
  <si>
    <t>Kd (After-Tax Cost of Debt)</t>
  </si>
  <si>
    <t>Total</t>
  </si>
  <si>
    <t>Country/Conglomerate/... Risk Premium</t>
  </si>
  <si>
    <t>WACC</t>
  </si>
  <si>
    <t>NOPAT</t>
  </si>
  <si>
    <t>Total Payout</t>
  </si>
  <si>
    <t>Book Value of Equity</t>
  </si>
  <si>
    <t>Invested Capital</t>
  </si>
  <si>
    <t xml:space="preserve">, </t>
  </si>
  <si>
    <t>2022A</t>
  </si>
  <si>
    <t>2023A</t>
  </si>
  <si>
    <t>2024A</t>
  </si>
  <si>
    <t>2025A</t>
  </si>
  <si>
    <t>2027E</t>
  </si>
  <si>
    <t>2028E</t>
  </si>
  <si>
    <t>2029E</t>
  </si>
  <si>
    <t>X</t>
  </si>
  <si>
    <t>Analyst</t>
  </si>
  <si>
    <t>Commercial Foodservice</t>
  </si>
  <si>
    <t>US &amp; Canada</t>
  </si>
  <si>
    <t>Asia</t>
  </si>
  <si>
    <t>EME</t>
  </si>
  <si>
    <t>LATAM</t>
  </si>
  <si>
    <t>Food Processing</t>
  </si>
  <si>
    <t>Residential Kitchen</t>
  </si>
  <si>
    <t>Consolidated</t>
  </si>
  <si>
    <t>% growth yoy</t>
  </si>
  <si>
    <t xml:space="preserve"> </t>
  </si>
  <si>
    <t>CAGR 2024-29</t>
  </si>
  <si>
    <t>Market CAGR</t>
  </si>
  <si>
    <t>Values in USD (thousands)</t>
  </si>
  <si>
    <t>Operating assumptions</t>
  </si>
  <si>
    <t>%YoY Growth</t>
  </si>
  <si>
    <t>Total Revenue</t>
  </si>
  <si>
    <t>Company Projections</t>
  </si>
  <si>
    <t>Market Assumptions</t>
  </si>
  <si>
    <t>FCFF</t>
  </si>
  <si>
    <t>Revenue Growth</t>
  </si>
  <si>
    <t>Revenue</t>
  </si>
  <si>
    <t>Operating Assumptions</t>
  </si>
  <si>
    <t>Income Statement</t>
  </si>
  <si>
    <t>% of growth</t>
  </si>
  <si>
    <t>Cost of Goods &amp; Services</t>
  </si>
  <si>
    <t>% of sales</t>
  </si>
  <si>
    <t>COGS Depreciation &amp; Amortization</t>
  </si>
  <si>
    <t>% of cost of goods &amp; services</t>
  </si>
  <si>
    <t>Gross Profit</t>
  </si>
  <si>
    <t>SG&amp;A (Selling, General &amp; Administrative)</t>
  </si>
  <si>
    <t>R&amp;D (Research &amp; Development)</t>
  </si>
  <si>
    <t>% of gross profit</t>
  </si>
  <si>
    <t>D&amp;A (Depreciation &amp; Amortization)</t>
  </si>
  <si>
    <t>% of net pp&amp;e and intangibles excl. Goodwill</t>
  </si>
  <si>
    <t>Depreciation</t>
  </si>
  <si>
    <t>% of net pp&amp;e</t>
  </si>
  <si>
    <t>Amortization</t>
  </si>
  <si>
    <t>% of intangibles excl. goodwill</t>
  </si>
  <si>
    <t>Other Operating (Income) Expenses</t>
  </si>
  <si>
    <t>EBIT (Operating Income)</t>
  </si>
  <si>
    <t>Basic Weighted Average Shares</t>
  </si>
  <si>
    <t>Diluted Weighted Average Shares</t>
  </si>
  <si>
    <t>Balance Sheet</t>
  </si>
  <si>
    <t>Q1 22</t>
  </si>
  <si>
    <t>Q2 22</t>
  </si>
  <si>
    <t>Q3 22</t>
  </si>
  <si>
    <t>Q4 22</t>
  </si>
  <si>
    <t>FY 22</t>
  </si>
  <si>
    <t>Q1 23</t>
  </si>
  <si>
    <t xml:space="preserve">Q2 23 </t>
  </si>
  <si>
    <t>Q3 23</t>
  </si>
  <si>
    <t>Q4 23</t>
  </si>
  <si>
    <t>FY 23</t>
  </si>
  <si>
    <t>Q1 24</t>
  </si>
  <si>
    <t xml:space="preserve">Q2 24 </t>
  </si>
  <si>
    <t>Q3 24</t>
  </si>
  <si>
    <t>Q4 24</t>
  </si>
  <si>
    <t>FY 24</t>
  </si>
  <si>
    <t>Q1 25</t>
  </si>
  <si>
    <t>Q2 25</t>
  </si>
  <si>
    <t>Q3 25</t>
  </si>
  <si>
    <t>Q4 25</t>
  </si>
  <si>
    <t>FY 25</t>
  </si>
  <si>
    <t>Q1 26</t>
  </si>
  <si>
    <t>Q2 26</t>
  </si>
  <si>
    <t>Q3 26</t>
  </si>
  <si>
    <t>Q4 26</t>
  </si>
  <si>
    <t>FY 26</t>
  </si>
  <si>
    <t>FY 27</t>
  </si>
  <si>
    <t>FY 28</t>
  </si>
  <si>
    <t>FY 29</t>
  </si>
  <si>
    <t>Accounts Receivable</t>
  </si>
  <si>
    <t>days sales outstanding</t>
  </si>
  <si>
    <t>Inventory</t>
  </si>
  <si>
    <t>days inventory held</t>
  </si>
  <si>
    <t>Prepaid expenses and Other Current Assets</t>
  </si>
  <si>
    <t>Net PP&amp;E (Property, Plant and Equipment)</t>
  </si>
  <si>
    <t>capex allocation rate</t>
  </si>
  <si>
    <t>Intangibles</t>
  </si>
  <si>
    <t>r&amp;d capitalization rate</t>
  </si>
  <si>
    <t>Accounts Payable</t>
  </si>
  <si>
    <t>days payable outstanding</t>
  </si>
  <si>
    <t>Accrued Expenses and Other Current Liabilities</t>
  </si>
  <si>
    <t>Cash Flow Statement</t>
  </si>
  <si>
    <t>Stock-Based Compensation Expense</t>
  </si>
  <si>
    <t>% of sg&amp;a</t>
  </si>
  <si>
    <t>implied equity value (p/s multiple)</t>
  </si>
  <si>
    <t>implied share price (for dilution)</t>
  </si>
  <si>
    <t>sbc dilution (shares issued)</t>
  </si>
  <si>
    <t>Changes in Net Working Capital</t>
  </si>
  <si>
    <t>% of change in sales</t>
  </si>
  <si>
    <t>Capital Expenditures</t>
  </si>
  <si>
    <t>Proceeds from Asset Disposals</t>
  </si>
  <si>
    <t>% of capex</t>
  </si>
  <si>
    <t>% of NOPAT</t>
  </si>
  <si>
    <t>Repurchase of Stock</t>
  </si>
  <si>
    <t>Free Cash Flow to Firm</t>
  </si>
  <si>
    <t>NOPAT (Net Operating Profit After Taxes)</t>
  </si>
  <si>
    <t>Stock-Based Compensation</t>
  </si>
  <si>
    <t>Net CapEx</t>
  </si>
  <si>
    <t>FCFF (Free Cash Flow to Firm)</t>
  </si>
  <si>
    <t>Valuation Summary</t>
  </si>
  <si>
    <t>Discounted Cash Flows (DCF)</t>
  </si>
  <si>
    <t>Discount Period</t>
  </si>
  <si>
    <t>Mid-Quarter/Year Convention Discount Period</t>
  </si>
  <si>
    <t>Rolling WACC (Weighted Average Cost of Capital)</t>
  </si>
  <si>
    <t>Cumulative Discount Factor</t>
  </si>
  <si>
    <t>Present Value of FCFF</t>
  </si>
  <si>
    <t>Terminal Value</t>
  </si>
  <si>
    <t>Preferred Method:</t>
  </si>
  <si>
    <t>Gordon's Growth Model</t>
  </si>
  <si>
    <t>EBITDA Exit Multiple</t>
  </si>
  <si>
    <t>Revenue Exit Multiple</t>
  </si>
  <si>
    <t>Current EV/EBITDA</t>
  </si>
  <si>
    <t>Current EV/Sales</t>
  </si>
  <si>
    <t>Current Growth Rate</t>
  </si>
  <si>
    <t>Exit EV/EBITDA</t>
  </si>
  <si>
    <t>Exit EV/Sales</t>
  </si>
  <si>
    <t>Terminal Growth Rate</t>
  </si>
  <si>
    <t>PV of Terminal Value</t>
  </si>
  <si>
    <t>Implied Enterprise Value</t>
  </si>
  <si>
    <t>(-) Net Debt</t>
  </si>
  <si>
    <t>(-) Preferred Stock Market Cap</t>
  </si>
  <si>
    <t>(-) Non-controlling Interest</t>
  </si>
  <si>
    <t>Implied Equity Value</t>
  </si>
  <si>
    <t>Shares Outstanding</t>
  </si>
  <si>
    <t>Implied Stock Price</t>
  </si>
  <si>
    <t>Current Stock Price</t>
  </si>
  <si>
    <t>Upside (Downside)</t>
  </si>
  <si>
    <t>Key Assumptions</t>
  </si>
  <si>
    <t>Entry</t>
  </si>
  <si>
    <t>Capital Structure</t>
  </si>
  <si>
    <t>Interest</t>
  </si>
  <si>
    <t>Weight</t>
  </si>
  <si>
    <t>Amount</t>
  </si>
  <si>
    <t>LTM EBITDA</t>
  </si>
  <si>
    <t>Revolver</t>
  </si>
  <si>
    <t>Entry Multiple</t>
  </si>
  <si>
    <t>Bank Loan</t>
  </si>
  <si>
    <t>Enterprise Value</t>
  </si>
  <si>
    <t>Senior Notes</t>
  </si>
  <si>
    <t>Existing Net Debt</t>
  </si>
  <si>
    <t>Equity Value</t>
  </si>
  <si>
    <t>IRR (For reference)</t>
  </si>
  <si>
    <t>MOIC</t>
  </si>
  <si>
    <t>Fees &amp; Expenses</t>
  </si>
  <si>
    <t>IRR</t>
  </si>
  <si>
    <t>Exit</t>
  </si>
  <si>
    <t>Exit Multiple</t>
  </si>
  <si>
    <t>Sources &amp; Uses</t>
  </si>
  <si>
    <t>Sources</t>
  </si>
  <si>
    <t>Uses</t>
  </si>
  <si>
    <t>xEBITDA</t>
  </si>
  <si>
    <t>% Capital</t>
  </si>
  <si>
    <t>Debt Refinancing</t>
  </si>
  <si>
    <t>Equity Payments</t>
  </si>
  <si>
    <t>Sponsor Equity</t>
  </si>
  <si>
    <t>Total Sources</t>
  </si>
  <si>
    <t>Total Uses</t>
  </si>
  <si>
    <t>Net Interest (Income) Expense</t>
  </si>
  <si>
    <t>Pre-tax income</t>
  </si>
  <si>
    <t>Income tax expenses (benefits)</t>
  </si>
  <si>
    <t>% tax rate</t>
  </si>
  <si>
    <t>Net income</t>
  </si>
  <si>
    <t>Intangibles excl. Goodwill</t>
  </si>
  <si>
    <t>r&amp;d conversion rate</t>
  </si>
  <si>
    <t>Cash Flow</t>
  </si>
  <si>
    <t>Levered Free Cash Flow</t>
  </si>
  <si>
    <t>Net Income</t>
  </si>
  <si>
    <t>Changes in NWC</t>
  </si>
  <si>
    <t>Leveraged Free Cash Flow</t>
  </si>
  <si>
    <t>Debt Schedule</t>
  </si>
  <si>
    <t>Beginning Balance</t>
  </si>
  <si>
    <t>Paydown</t>
  </si>
  <si>
    <t>Ending Balance</t>
  </si>
  <si>
    <t>Senior Note</t>
  </si>
  <si>
    <t>Total Debt</t>
  </si>
  <si>
    <t>LTM EBITDA at Exit</t>
  </si>
  <si>
    <t>Net Debt</t>
  </si>
  <si>
    <t>Sponsor Equity Value</t>
  </si>
  <si>
    <t>Sponsor Equity at Entry</t>
  </si>
  <si>
    <t>Monte-Carlo Simulations</t>
  </si>
  <si>
    <t>Tornado Chart – Effect on Price Target</t>
  </si>
  <si>
    <t>Reference Price Target</t>
  </si>
  <si>
    <t>Base Price Target</t>
  </si>
  <si>
    <t>Reference</t>
  </si>
  <si>
    <t>Gordon PT</t>
  </si>
  <si>
    <t>Base Gordon PT</t>
  </si>
  <si>
    <t>min</t>
  </si>
  <si>
    <t>max</t>
  </si>
  <si>
    <t>EBITDA PT</t>
  </si>
  <si>
    <t>Base EBITDA PT</t>
  </si>
  <si>
    <t>95% confidence level</t>
  </si>
  <si>
    <t>Revenue PT</t>
  </si>
  <si>
    <t>Base Revenue PT</t>
  </si>
  <si>
    <t>99% confidence level</t>
  </si>
  <si>
    <t>Δ</t>
  </si>
  <si>
    <t>Δ Applied</t>
  </si>
  <si>
    <t>PT Low</t>
  </si>
  <si>
    <t>PT High</t>
  </si>
  <si>
    <t>Δ Low</t>
  </si>
  <si>
    <t>Δ High</t>
  </si>
  <si>
    <t>Max</t>
  </si>
  <si>
    <t>Capex Intensity</t>
  </si>
  <si>
    <t>COGS Margin</t>
  </si>
  <si>
    <t>SG&amp;A Margin</t>
  </si>
  <si>
    <t>Terminal g</t>
  </si>
  <si>
    <t>EBITDA Exit</t>
  </si>
  <si>
    <t>Revenue Exit</t>
  </si>
  <si>
    <t>Lowest p</t>
  </si>
  <si>
    <t>Highest p</t>
  </si>
  <si>
    <t>p is more sensitive to changes in WACC</t>
  </si>
  <si>
    <t>Revenue:</t>
  </si>
  <si>
    <t>Segment 1</t>
  </si>
  <si>
    <t>Segment 2</t>
  </si>
  <si>
    <t>Segment 3</t>
  </si>
  <si>
    <t>Segment 4</t>
  </si>
  <si>
    <t>Segment 5</t>
  </si>
  <si>
    <t>Cost of revenue:</t>
  </si>
  <si>
    <t>Cost of goods and services</t>
  </si>
  <si>
    <t>Depreciation &amp; amortization</t>
  </si>
  <si>
    <t>Total cost of revenue</t>
  </si>
  <si>
    <t>Operating expenses:</t>
  </si>
  <si>
    <t>Selling, general and administrative</t>
  </si>
  <si>
    <t>Depreciation and amortization</t>
  </si>
  <si>
    <t>Research and development</t>
  </si>
  <si>
    <t>Other operating expenses</t>
  </si>
  <si>
    <t>Total operating expenses</t>
  </si>
  <si>
    <t>Other operating income</t>
  </si>
  <si>
    <t>Operating income</t>
  </si>
  <si>
    <t>Non-operating (income) loss:</t>
  </si>
  <si>
    <t>Interest expense</t>
  </si>
  <si>
    <t>Interest income</t>
  </si>
  <si>
    <t>Net interest (income) expense</t>
  </si>
  <si>
    <t>Foreign exchange (gains) losses</t>
  </si>
  <si>
    <t>Other non-operating (income) expenses</t>
  </si>
  <si>
    <t>Total non-operating expenses</t>
  </si>
  <si>
    <t>Tax &amp; net income:</t>
  </si>
  <si>
    <t>Net extraordinary losses (gains)</t>
  </si>
  <si>
    <t>Net income including minority interest</t>
  </si>
  <si>
    <t>Attribution:</t>
  </si>
  <si>
    <t>Preferred dividends</t>
  </si>
  <si>
    <t>Income attributable to non-controlling interests</t>
  </si>
  <si>
    <t>Net income attributable to common shareholders</t>
  </si>
  <si>
    <t>Earnings per share:</t>
  </si>
  <si>
    <t>EPS basic</t>
  </si>
  <si>
    <t>EPS diluted</t>
  </si>
  <si>
    <t>Shares used in computing earnings per share:</t>
  </si>
  <si>
    <t>Basic weighted average shares</t>
  </si>
  <si>
    <t>Diluted weighted average shares</t>
  </si>
  <si>
    <t>Additional Items</t>
  </si>
  <si>
    <t>Depreciation (from opex)</t>
  </si>
  <si>
    <t>Amortization (form opex)</t>
  </si>
  <si>
    <t>Assets</t>
  </si>
  <si>
    <t>Current assets:</t>
  </si>
  <si>
    <t>Cash &amp; cash equivalents &amp; short-term investments</t>
  </si>
  <si>
    <t>Cash &amp; cash equivalents</t>
  </si>
  <si>
    <t>Short-term investments</t>
  </si>
  <si>
    <t>Accounts receivable</t>
  </si>
  <si>
    <t>Prepaid expenses and other current assets</t>
  </si>
  <si>
    <t>Total current assets</t>
  </si>
  <si>
    <t>Non-current assets:</t>
  </si>
  <si>
    <t>Gross PP&amp;E (Property, Plant and Equipment)</t>
  </si>
  <si>
    <t>Accumulated Depreciation</t>
  </si>
  <si>
    <t>Goodwill</t>
  </si>
  <si>
    <t>Other Non-Current Assets</t>
  </si>
  <si>
    <t>Total Non-Current Assets</t>
  </si>
  <si>
    <t>Total Assets</t>
  </si>
  <si>
    <t>Liabilities &amp; shareholders' equity</t>
  </si>
  <si>
    <t>Current Liabilities:</t>
  </si>
  <si>
    <t>Accounts payable</t>
  </si>
  <si>
    <t>Short-term borrowings</t>
  </si>
  <si>
    <t>Current portion of lease liabilities</t>
  </si>
  <si>
    <t>Accrued expenses and other current liabilities</t>
  </si>
  <si>
    <t>Total current liabilities</t>
  </si>
  <si>
    <t>Non-current liabilities:</t>
  </si>
  <si>
    <t>Long-term borrowings</t>
  </si>
  <si>
    <t>Long-term operating lease liabilities</t>
  </si>
  <si>
    <t>Other non-current liabilities</t>
  </si>
  <si>
    <t>Total non-current liabilities</t>
  </si>
  <si>
    <t>Total liabilities</t>
  </si>
  <si>
    <t>Shareholders' equity:</t>
  </si>
  <si>
    <t>Common equity</t>
  </si>
  <si>
    <t>Preferred equity</t>
  </si>
  <si>
    <t>Non-controlling interest</t>
  </si>
  <si>
    <t>Total equity</t>
  </si>
  <si>
    <t>Total liabilities and shareholders' equity</t>
  </si>
  <si>
    <t>Capitalized R&amp;D</t>
  </si>
  <si>
    <t>Cash and cash equivalents, beginning balances</t>
  </si>
  <si>
    <t>Operating activities:</t>
  </si>
  <si>
    <t>Adjustments to reconcile to cash from operations:</t>
  </si>
  <si>
    <t>Stock-based compensation expense</t>
  </si>
  <si>
    <t>Changes in working capital:</t>
  </si>
  <si>
    <t>Inventories</t>
  </si>
  <si>
    <t>Cash provided by operating activities</t>
  </si>
  <si>
    <t>Investing activities:</t>
  </si>
  <si>
    <t>Purchase of fixed assets and intangibles</t>
  </si>
  <si>
    <t>Disposal of fixed assets and intangibles</t>
  </si>
  <si>
    <t>Acquisitions</t>
  </si>
  <si>
    <t>Divestitures</t>
  </si>
  <si>
    <t>Joint Ventures</t>
  </si>
  <si>
    <t>Increase in long-term investments</t>
  </si>
  <si>
    <t>Decrease in long-term investments</t>
  </si>
  <si>
    <t>Other investing inflows/(outflows)</t>
  </si>
  <si>
    <t>Cash provided by/(used in) investing activities</t>
  </si>
  <si>
    <t>Financing activities:</t>
  </si>
  <si>
    <t>Payment of dividends</t>
  </si>
  <si>
    <t>Issuance (repurchase) of common shares</t>
  </si>
  <si>
    <t>Cash from (repayment) of short-term debt</t>
  </si>
  <si>
    <t>Proceeds from issuance of long-term debt</t>
  </si>
  <si>
    <t>Repayments of long-term debt</t>
  </si>
  <si>
    <t>Other financing inflows/(outflows)</t>
  </si>
  <si>
    <t>Cash provided by/(used in) financing activities</t>
  </si>
  <si>
    <t>Effects of foreign exchange</t>
  </si>
  <si>
    <t>Increase/(Decrease) in cash and cash equivalents</t>
  </si>
  <si>
    <t>Cash and cash equivalents, ending balances</t>
  </si>
  <si>
    <t>Income Statement – Sum of the Quarters = FY</t>
  </si>
  <si>
    <t>Income Statement - Metrics</t>
  </si>
  <si>
    <t>Balance Sheet - Metrics</t>
  </si>
  <si>
    <t>Cash Flow – Sum of the Quarters = FY</t>
  </si>
  <si>
    <t>Share-based compensation expense</t>
  </si>
  <si>
    <t>Cash Flow Statement – Metrics</t>
  </si>
  <si>
    <t>Stock Data</t>
  </si>
  <si>
    <t>Bridge</t>
  </si>
  <si>
    <t>Valuation</t>
  </si>
  <si>
    <t>Indexes</t>
  </si>
  <si>
    <t>CURRENCY</t>
  </si>
  <si>
    <t>USD</t>
  </si>
  <si>
    <t>(+) Ordinary Stock Market Capitalization</t>
  </si>
  <si>
    <t>EV / Sales</t>
  </si>
  <si>
    <t>SPX Index</t>
  </si>
  <si>
    <t>FORMAT</t>
  </si>
  <si>
    <t>K</t>
  </si>
  <si>
    <t>(+) Preferred Stock Market Capitalization</t>
  </si>
  <si>
    <t>EV / EBITDA</t>
  </si>
  <si>
    <t>DJUSFE Index</t>
  </si>
  <si>
    <t>TICKER</t>
  </si>
  <si>
    <t>MIDD US Equity</t>
  </si>
  <si>
    <t>(+) Non-controlling Interest</t>
  </si>
  <si>
    <t>P / E</t>
  </si>
  <si>
    <t>PREFERRED TICKER</t>
  </si>
  <si>
    <t>(+) Total Debt</t>
  </si>
  <si>
    <t>P / Sales</t>
  </si>
  <si>
    <t>Peers Formatting</t>
  </si>
  <si>
    <t>Year-end</t>
  </si>
  <si>
    <t>(-) Cash &amp; Cash Equivalents &amp; Short-term Investments</t>
  </si>
  <si>
    <t>Quarter-end</t>
  </si>
  <si>
    <t>Tier I Peers</t>
  </si>
  <si>
    <t>NDSN US Equity</t>
  </si>
  <si>
    <t>JBTM US Equity</t>
  </si>
  <si>
    <t>FSS US Equity</t>
  </si>
  <si>
    <t>SWK US EQUITY</t>
  </si>
  <si>
    <t>MSA US Equity</t>
  </si>
  <si>
    <t>PLOW US Equity</t>
  </si>
  <si>
    <t>HI US Equity</t>
  </si>
  <si>
    <t>EPAC US Equity</t>
  </si>
  <si>
    <t>ESAB US Equity</t>
  </si>
  <si>
    <t>TNC US Equity</t>
  </si>
  <si>
    <t>SNA US Equity</t>
  </si>
  <si>
    <t>FORTUNE BRANDS</t>
  </si>
  <si>
    <t>FBIN US Equity</t>
  </si>
  <si>
    <t>KAI US EQUITY</t>
  </si>
  <si>
    <t>THR US Equity</t>
  </si>
  <si>
    <t>G1A GY Equity</t>
  </si>
  <si>
    <t>Stock Returns vs Peers</t>
  </si>
  <si>
    <t>Out. Shares</t>
  </si>
  <si>
    <t>Price / Sales</t>
  </si>
  <si>
    <t>Operating Income</t>
  </si>
  <si>
    <t>Capex</t>
  </si>
  <si>
    <t>Debt to Equity</t>
  </si>
  <si>
    <t>Operating Margin</t>
  </si>
  <si>
    <t>ROIC-to-WACC</t>
  </si>
  <si>
    <t>Capex-to-Sales</t>
  </si>
  <si>
    <t>Environmental Data</t>
  </si>
  <si>
    <t>GHG_SCOPE_1</t>
  </si>
  <si>
    <t>#N/A</t>
  </si>
  <si>
    <t>ENERGY_CONSUMPTION</t>
  </si>
  <si>
    <t>WATER_CONSMPTN</t>
  </si>
  <si>
    <t>Total Waste</t>
  </si>
  <si>
    <t>TOTAL_WASTE</t>
  </si>
  <si>
    <t>SALES_REV_TURN</t>
  </si>
  <si>
    <t>vs Index</t>
  </si>
  <si>
    <t>Stock Price</t>
  </si>
  <si>
    <t>Stock Returns</t>
  </si>
  <si>
    <t>Volume</t>
  </si>
  <si>
    <t>EQY_BETA</t>
  </si>
  <si>
    <t>RSI_PX_52WEEK</t>
  </si>
  <si>
    <t>MOV_AVG_100D</t>
  </si>
  <si>
    <t>VOLUME_AVG_30D</t>
  </si>
  <si>
    <t>EQY_SH_OUT</t>
  </si>
  <si>
    <t>EQY_FREE_FLOAT_PCT</t>
  </si>
  <si>
    <t>SI_PERCENT_EQUITY_FLOAT</t>
  </si>
  <si>
    <t>%Held by Insiders</t>
  </si>
  <si>
    <t>PCT_INSIDER_SHARES_OUT</t>
  </si>
  <si>
    <t>PCT_FLT_SHARES_INSTITUTIONS</t>
  </si>
  <si>
    <t>SG&amp;A</t>
  </si>
  <si>
    <t>D&amp;A</t>
  </si>
  <si>
    <t>Actual</t>
  </si>
  <si>
    <t>Cash and eq</t>
  </si>
  <si>
    <t>ST Investm</t>
  </si>
  <si>
    <t>Intang</t>
  </si>
  <si>
    <t>Int excl goodwill</t>
  </si>
  <si>
    <t>Other financing inflows/(outflows) (thous. USD)</t>
  </si>
  <si>
    <t>(million USD)</t>
  </si>
  <si>
    <t>Increase in LT Debt</t>
  </si>
  <si>
    <t>Reimbursement of LT Debt</t>
  </si>
  <si>
    <t>Increase (decrease) in LT Debt</t>
  </si>
  <si>
    <t>(thous. USD)</t>
  </si>
  <si>
    <t>EBITDA Forw</t>
  </si>
  <si>
    <t>Segment EV/EBITDA</t>
  </si>
  <si>
    <t>EV</t>
  </si>
  <si>
    <t>Commercial Food Services</t>
  </si>
  <si>
    <t>Food Processsing</t>
  </si>
  <si>
    <t>Total SOTP</t>
  </si>
  <si>
    <t>MKT CAP</t>
  </si>
  <si>
    <t>Sh. Outstanding</t>
  </si>
  <si>
    <t>SOTP Price</t>
  </si>
  <si>
    <t>WEIGHTS</t>
  </si>
  <si>
    <t>MARKET CAGR(FOOD PROCESSING)</t>
  </si>
  <si>
    <t>MARKET CAGR(COMMERCIAL)</t>
  </si>
  <si>
    <t>MARKET CAGR(RESIDENTIAL)</t>
  </si>
  <si>
    <t>ANALYST</t>
  </si>
  <si>
    <t>COMPANY GOALS</t>
  </si>
  <si>
    <t>FOOD</t>
  </si>
  <si>
    <t>COMMERCIAL</t>
  </si>
  <si>
    <t>RESIDENTIAL</t>
  </si>
  <si>
    <t>ANALYST (FP)</t>
  </si>
  <si>
    <t>ANALYST (Res)</t>
  </si>
  <si>
    <t>COMPANY GOALS(FP)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</si>
</sst>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_-* #,##0.00\ &quot;€&quot;_-;\-* #,##0.00\ &quot;€&quot;_-;_-* &quot;-&quot;??\ &quot;€&quot;_-;_-@_-"/>
    <numFmt numFmtId="165" formatCode="0&quot;A&quot;"/>
    <numFmt numFmtId="166" formatCode="0&quot;E&quot;"/>
    <numFmt numFmtId="167" formatCode="_-* #,##0.00\ _€_-;\-* #,##0.00\ _€_-;_-* &quot;-&quot;??\ _€_-;_-@_-"/>
    <numFmt numFmtId="168" formatCode="0.0%"/>
    <numFmt numFmtId="169" formatCode="_(* #,##0_);_(* \(#,##0\);_(* &quot;-&quot;??_);_(@_)"/>
    <numFmt numFmtId="170" formatCode="0.0"/>
    <numFmt numFmtId="171" formatCode="_-[$₩-412]* #,##0_-;\-[$₩-412]* #,##0_-;_-[$₩-412]* &quot;-&quot;_-;_-@_-"/>
    <numFmt numFmtId="172" formatCode="0.0&quot;x&quot;"/>
    <numFmt numFmtId="173" formatCode="0.0\x"/>
    <numFmt numFmtId="174" formatCode="m/d/yy;@"/>
    <numFmt numFmtId="175" formatCode="#,##0.0_);\(#,##0.0\)"/>
    <numFmt numFmtId="176" formatCode="#,#00"/>
    <numFmt numFmtId="177" formatCode="#,#00.00"/>
    <numFmt numFmtId="178" formatCode="yyyy\-mm\-dd;@"/>
    <numFmt numFmtId="179" formatCode="#,##0_ ;\-#,##0\ "/>
    <numFmt numFmtId="180" formatCode="0.000"/>
    <numFmt numFmtId="181" formatCode="[$$-409]#,##0_ ;\-[$$-409]#,##0\ "/>
  </numFmts>
  <fonts count="104">
    <font>
      <sz val="11"/>
      <color theme="1"/>
      <name val="Arial"/>
      <family val="2"/>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sz val="11"/>
      <color rgb="FF000000"/>
      <name val="Arial"/>
      <family val="2"/>
    </font>
    <font>
      <u/>
      <sz val="11"/>
      <color theme="10"/>
      <name val="Arial"/>
      <family val="2"/>
    </font>
    <font>
      <sz val="11"/>
      <name val="Arial"/>
      <family val="2"/>
    </font>
    <font>
      <sz val="10"/>
      <name val="Arial"/>
      <family val="2"/>
    </font>
    <font>
      <i/>
      <sz val="11"/>
      <color theme="1"/>
      <name val="Arial"/>
      <family val="2"/>
    </font>
    <font>
      <sz val="9"/>
      <color indexed="81"/>
      <name val="Tahoma"/>
      <family val="2"/>
    </font>
    <font>
      <sz val="11"/>
      <color rgb="FF00B050"/>
      <name val="Arial"/>
      <family val="2"/>
    </font>
    <font>
      <b/>
      <sz val="10"/>
      <color indexed="9"/>
      <name val="Arial"/>
      <family val="2"/>
    </font>
    <font>
      <b/>
      <sz val="11"/>
      <color indexed="9"/>
      <name val="Calibri"/>
      <family val="2"/>
    </font>
    <font>
      <sz val="12"/>
      <color theme="1"/>
      <name val="Arial Nova"/>
      <family val="2"/>
    </font>
    <font>
      <b/>
      <sz val="12"/>
      <color theme="0"/>
      <name val="Arial Nova"/>
      <family val="2"/>
    </font>
    <font>
      <sz val="12"/>
      <color theme="0"/>
      <name val="Arial Nova"/>
      <family val="2"/>
    </font>
    <font>
      <sz val="12"/>
      <name val="Arial Nova"/>
      <family val="2"/>
    </font>
    <font>
      <sz val="12"/>
      <color rgb="FF0070C0"/>
      <name val="Arial Nova"/>
      <family val="2"/>
    </font>
    <font>
      <sz val="12"/>
      <color rgb="FF000000"/>
      <name val="Arial Nova"/>
      <family val="2"/>
    </font>
    <font>
      <sz val="12"/>
      <color rgb="FF00B050"/>
      <name val="Arial Nova"/>
      <family val="2"/>
    </font>
    <font>
      <i/>
      <sz val="11"/>
      <color theme="0" tint="-0.499984740745262"/>
      <name val="Arial Nova"/>
      <family val="2"/>
    </font>
    <font>
      <i/>
      <sz val="11"/>
      <color rgb="FF0070C0"/>
      <name val="Arial Nova"/>
      <family val="2"/>
    </font>
    <font>
      <i/>
      <sz val="11"/>
      <name val="Arial Nova"/>
      <family val="2"/>
    </font>
    <font>
      <i/>
      <sz val="11"/>
      <color theme="1"/>
      <name val="Arial Nova"/>
      <family val="2"/>
    </font>
    <font>
      <sz val="11"/>
      <color rgb="FF0070C0"/>
      <name val="Arial Nova"/>
      <family val="2"/>
    </font>
    <font>
      <sz val="11"/>
      <name val="Arial Nova"/>
      <family val="2"/>
    </font>
    <font>
      <sz val="11"/>
      <color theme="1"/>
      <name val="Arial Nova"/>
      <family val="2"/>
    </font>
    <font>
      <i/>
      <sz val="12"/>
      <name val="Arial Nova"/>
      <family val="2"/>
    </font>
    <font>
      <i/>
      <sz val="12"/>
      <color rgb="FF00B050"/>
      <name val="Arial Nova"/>
      <family val="2"/>
    </font>
    <font>
      <i/>
      <sz val="11"/>
      <color theme="1" tint="0.499984740745262"/>
      <name val="Arial Nova"/>
      <family val="2"/>
    </font>
    <font>
      <i/>
      <sz val="12"/>
      <color theme="1"/>
      <name val="Arial Nova"/>
      <family val="2"/>
    </font>
    <font>
      <b/>
      <sz val="12"/>
      <color theme="1"/>
      <name val="Arial Nova"/>
      <family val="2"/>
    </font>
    <font>
      <b/>
      <sz val="11"/>
      <color theme="1"/>
      <name val="Arial Nova"/>
      <family val="2"/>
    </font>
    <font>
      <sz val="11"/>
      <color theme="0"/>
      <name val="Arial Nova"/>
      <family val="2"/>
    </font>
    <font>
      <i/>
      <sz val="12"/>
      <color theme="0" tint="-0.249977111117893"/>
      <name val="Arial Nova"/>
      <family val="2"/>
    </font>
    <font>
      <b/>
      <sz val="11"/>
      <color theme="0"/>
      <name val="Arial Nova"/>
      <family val="2"/>
    </font>
    <font>
      <sz val="11"/>
      <color rgb="FF7030A0"/>
      <name val="Arial Nova"/>
      <family val="2"/>
    </font>
    <font>
      <sz val="11"/>
      <color rgb="FF00B050"/>
      <name val="Arial Nova"/>
      <family val="2"/>
    </font>
    <font>
      <b/>
      <u/>
      <sz val="12"/>
      <color theme="0"/>
      <name val="Arial Nova"/>
      <family val="2"/>
    </font>
    <font>
      <sz val="11"/>
      <color theme="0" tint="-0.14999847407452621"/>
      <name val="Arial Nova"/>
      <family val="2"/>
    </font>
    <font>
      <i/>
      <sz val="11"/>
      <color theme="0"/>
      <name val="Arial Nova"/>
      <family val="2"/>
    </font>
    <font>
      <b/>
      <sz val="11"/>
      <name val="Arial Nova"/>
      <family val="2"/>
    </font>
    <font>
      <i/>
      <sz val="10"/>
      <color theme="0" tint="-0.499984740745262"/>
      <name val="Arial Nova"/>
      <family val="2"/>
    </font>
    <font>
      <i/>
      <sz val="12"/>
      <color theme="0"/>
      <name val="Arial Nova"/>
      <family val="2"/>
    </font>
    <font>
      <b/>
      <sz val="12"/>
      <color rgb="FF7B1314"/>
      <name val="Arial Nova"/>
      <family val="2"/>
    </font>
    <font>
      <sz val="12"/>
      <color rgb="FF7B1314"/>
      <name val="Arial Nova"/>
      <family val="2"/>
    </font>
    <font>
      <b/>
      <u/>
      <sz val="12"/>
      <color rgb="FF7B1314"/>
      <name val="Arial Nova"/>
      <family val="2"/>
    </font>
    <font>
      <sz val="11"/>
      <color rgb="FF7030A0"/>
      <name val="Arial"/>
      <family val="2"/>
    </font>
    <font>
      <i/>
      <sz val="11"/>
      <color theme="0" tint="-0.249977111117893"/>
      <name val="Arial Nova"/>
      <family val="2"/>
    </font>
    <font>
      <sz val="11"/>
      <color rgb="FF7B1314"/>
      <name val="Arial Nova"/>
      <family val="2"/>
    </font>
    <font>
      <sz val="11"/>
      <color rgb="FFFF0000"/>
      <name val="Arial Nova"/>
      <family val="2"/>
    </font>
    <font>
      <sz val="11"/>
      <color theme="4"/>
      <name val="Arial Nova"/>
      <family val="2"/>
    </font>
    <font>
      <b/>
      <i/>
      <sz val="11"/>
      <color theme="1"/>
      <name val="Arial"/>
      <family val="2"/>
    </font>
    <font>
      <b/>
      <u/>
      <sz val="11"/>
      <color theme="0"/>
      <name val="Arial"/>
      <family val="2"/>
    </font>
    <font>
      <b/>
      <u/>
      <sz val="11"/>
      <name val="Arial Nova"/>
      <family val="2"/>
    </font>
    <font>
      <sz val="11"/>
      <color theme="0" tint="-0.499984740745262"/>
      <name val="Arial Nova"/>
      <family val="2"/>
    </font>
    <font>
      <sz val="11"/>
      <color rgb="FF000000"/>
      <name val="Arial Nova"/>
      <family val="2"/>
    </font>
    <font>
      <sz val="11"/>
      <color theme="1" tint="0.499984740745262"/>
      <name val="Arial Nova"/>
      <family val="2"/>
    </font>
    <font>
      <i/>
      <sz val="11"/>
      <color rgb="FF000000"/>
      <name val="Arial Nova"/>
      <family val="2"/>
    </font>
    <font>
      <b/>
      <i/>
      <sz val="11"/>
      <color theme="0" tint="-0.249977111117893"/>
      <name val="Arial Nova"/>
      <family val="2"/>
    </font>
    <font>
      <b/>
      <i/>
      <sz val="11"/>
      <color theme="1"/>
      <name val="Arial Nova"/>
      <family val="2"/>
    </font>
    <font>
      <u/>
      <sz val="11"/>
      <color theme="10"/>
      <name val="Arial Nova"/>
      <family val="2"/>
    </font>
    <font>
      <b/>
      <sz val="14"/>
      <color rgb="FF000000"/>
      <name val="Arial Nova"/>
      <family val="2"/>
    </font>
    <font>
      <b/>
      <sz val="8"/>
      <color theme="0" tint="-0.499984740745262"/>
      <name val="Arial Nova"/>
      <family val="2"/>
    </font>
    <font>
      <sz val="11"/>
      <color theme="2" tint="-0.499984740745262"/>
      <name val="Arial Nova"/>
      <family val="2"/>
    </font>
    <font>
      <b/>
      <sz val="8"/>
      <color theme="0"/>
      <name val="Arial Nova"/>
      <family val="2"/>
    </font>
    <font>
      <b/>
      <sz val="11"/>
      <name val="Arial"/>
      <family val="2"/>
    </font>
    <font>
      <b/>
      <u/>
      <sz val="11"/>
      <name val="Arial"/>
      <family val="2"/>
    </font>
    <font>
      <sz val="11"/>
      <color theme="1"/>
      <name val="Arial Nova"/>
      <family val="2"/>
    </font>
    <font>
      <b/>
      <sz val="11"/>
      <color theme="0"/>
      <name val="Arial Nova"/>
      <family val="2"/>
    </font>
    <font>
      <sz val="11"/>
      <color theme="0"/>
      <name val="Arial Nova"/>
      <family val="2"/>
    </font>
    <font>
      <b/>
      <sz val="8"/>
      <color theme="1"/>
      <name val="Arial Nova"/>
      <family val="2"/>
    </font>
    <font>
      <sz val="8"/>
      <color theme="1"/>
      <name val="Arial Nova"/>
      <family val="2"/>
    </font>
    <font>
      <b/>
      <sz val="8"/>
      <color rgb="FF7B1314"/>
      <name val="Arial Nova"/>
      <family val="2"/>
    </font>
    <font>
      <sz val="8"/>
      <color theme="0" tint="-0.499984740745262"/>
      <name val="Arial Nova"/>
      <family val="2"/>
    </font>
    <font>
      <i/>
      <sz val="7"/>
      <color theme="1"/>
      <name val="Arial Nova"/>
      <family val="2"/>
    </font>
    <font>
      <i/>
      <sz val="11"/>
      <color rgb="FF7B1314"/>
      <name val="Arial Nova"/>
      <family val="2"/>
    </font>
    <font>
      <i/>
      <sz val="11"/>
      <color theme="4"/>
      <name val="Arial Nova"/>
      <family val="2"/>
    </font>
    <font>
      <sz val="11"/>
      <color theme="0" tint="-0.249977111117893"/>
      <name val="Arial Nova"/>
      <family val="2"/>
    </font>
    <font>
      <b/>
      <sz val="9"/>
      <color indexed="81"/>
      <name val="Tahoma"/>
      <family val="2"/>
    </font>
    <font>
      <sz val="11"/>
      <color theme="2" tint="-0.499984740745262"/>
      <name val="Arial"/>
      <family val="2"/>
    </font>
    <font>
      <b/>
      <sz val="11"/>
      <color theme="1"/>
      <name val="Arial Nova"/>
    </font>
    <font>
      <sz val="11"/>
      <color rgb="FF7B1314"/>
      <name val="Arial Nova"/>
    </font>
    <font>
      <sz val="11"/>
      <color rgb="FF0070C0"/>
      <name val="Arial Nova"/>
    </font>
    <font>
      <i/>
      <sz val="11"/>
      <color theme="1"/>
      <name val="Arial Nova"/>
    </font>
    <font>
      <sz val="11"/>
      <color theme="1"/>
      <name val="Arial Nova"/>
    </font>
    <font>
      <sz val="12"/>
      <color theme="0"/>
      <name val="Arial Nova"/>
    </font>
    <font>
      <b/>
      <sz val="12"/>
      <color theme="0"/>
      <name val="Arial Nova"/>
    </font>
    <font>
      <sz val="11"/>
      <name val="Arial Nova"/>
    </font>
    <font>
      <i/>
      <sz val="11"/>
      <color rgb="FF0070C0"/>
      <name val="Arial Nova"/>
    </font>
    <font>
      <b/>
      <sz val="9"/>
      <color rgb="FF000000"/>
      <name val="Tahoma"/>
      <family val="2"/>
    </font>
    <font>
      <sz val="9"/>
      <color rgb="FF000000"/>
      <name val="Tahoma"/>
      <family val="2"/>
    </font>
    <font>
      <sz val="10"/>
      <color rgb="FF000000"/>
      <name val="Tahoma"/>
      <family val="2"/>
    </font>
    <font>
      <b/>
      <sz val="10"/>
      <color rgb="FF000000"/>
      <name val="Tahoma"/>
      <family val="2"/>
    </font>
    <font>
      <i/>
      <sz val="11"/>
      <name val="Arial Nova"/>
    </font>
    <font>
      <sz val="12"/>
      <color theme="1"/>
      <name val="Arial"/>
      <family val="2"/>
    </font>
    <font>
      <i/>
      <sz val="10"/>
      <color theme="1"/>
      <name val="Arial"/>
      <family val="2"/>
    </font>
    <font>
      <sz val="10"/>
      <color theme="1"/>
      <name val="Arial"/>
      <family val="2"/>
    </font>
    <font>
      <sz val="9"/>
      <color theme="1"/>
      <name val="Arial"/>
      <family val="2"/>
    </font>
    <font>
      <i/>
      <sz val="10"/>
      <color theme="2" tint="-0.499984740745262"/>
      <name val="Arial"/>
      <family val="2"/>
    </font>
    <font>
      <sz val="10"/>
      <color theme="2" tint="-0.499984740745262"/>
      <name val="Arial"/>
      <family val="2"/>
    </font>
    <font>
      <sz val="11"/>
      <color theme="2"/>
      <name val="Arial Nova"/>
      <family val="2"/>
    </font>
  </fonts>
  <fills count="22">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4F81BD"/>
        <bgColor indexed="64"/>
      </patternFill>
    </fill>
    <fill>
      <patternFill patternType="solid">
        <fgColor rgb="FF92D050"/>
        <bgColor indexed="64"/>
      </patternFill>
    </fill>
    <fill>
      <patternFill patternType="solid">
        <fgColor rgb="FFFF0000"/>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781414"/>
        <bgColor indexed="64"/>
      </patternFill>
    </fill>
    <fill>
      <patternFill patternType="solid">
        <fgColor rgb="FFFFC000"/>
        <bgColor indexed="64"/>
      </patternFill>
    </fill>
    <fill>
      <patternFill patternType="solid">
        <fgColor theme="4" tint="-0.249977111117893"/>
        <bgColor indexed="64"/>
      </patternFill>
    </fill>
    <fill>
      <patternFill patternType="solid">
        <fgColor theme="4"/>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7"/>
        <bgColor indexed="64"/>
      </patternFill>
    </fill>
    <fill>
      <patternFill patternType="solid">
        <fgColor theme="2"/>
        <bgColor indexed="64"/>
      </patternFill>
    </fill>
    <fill>
      <patternFill patternType="solid">
        <fgColor rgb="FF00B050"/>
        <bgColor indexed="64"/>
      </patternFill>
    </fill>
  </fills>
  <borders count="30">
    <border>
      <left/>
      <right/>
      <top/>
      <bottom/>
      <diagonal/>
    </border>
    <border>
      <left/>
      <right/>
      <top/>
      <bottom style="thin">
        <color indexed="64"/>
      </bottom>
      <diagonal/>
    </border>
    <border>
      <left/>
      <right/>
      <top style="medium">
        <color auto="1"/>
      </top>
      <bottom/>
      <diagonal/>
    </border>
    <border>
      <left/>
      <right style="thin">
        <color indexed="64"/>
      </right>
      <top/>
      <bottom/>
      <diagonal/>
    </border>
    <border>
      <left style="hair">
        <color indexed="64"/>
      </left>
      <right style="hair">
        <color indexed="64"/>
      </right>
      <top style="hair">
        <color indexed="64"/>
      </top>
      <bottom style="hair">
        <color indexed="64"/>
      </bottom>
      <diagonal/>
    </border>
    <border>
      <left/>
      <right style="thin">
        <color rgb="FF000000"/>
      </right>
      <top/>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theme="0"/>
      </bottom>
      <diagonal/>
    </border>
    <border>
      <left/>
      <right/>
      <top/>
      <bottom style="thin">
        <color theme="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indexed="64"/>
      </left>
      <right/>
      <top style="hair">
        <color indexed="64"/>
      </top>
      <bottom style="hair">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top style="thin">
        <color indexed="64"/>
      </top>
      <bottom style="double">
        <color indexed="64"/>
      </bottom>
      <diagonal/>
    </border>
    <border>
      <left/>
      <right style="hair">
        <color indexed="64"/>
      </right>
      <top/>
      <bottom style="hair">
        <color indexed="64"/>
      </bottom>
      <diagonal/>
    </border>
    <border>
      <left/>
      <right/>
      <top/>
      <bottom style="medium">
        <color indexed="64"/>
      </bottom>
      <diagonal/>
    </border>
    <border>
      <left/>
      <right style="dotted">
        <color indexed="64"/>
      </right>
      <top/>
      <bottom style="thin">
        <color indexed="64"/>
      </bottom>
      <diagonal/>
    </border>
    <border>
      <left/>
      <right style="dotted">
        <color indexed="64"/>
      </right>
      <top/>
      <bottom/>
      <diagonal/>
    </border>
    <border>
      <left/>
      <right style="dotted">
        <color indexed="64"/>
      </right>
      <top style="thin">
        <color indexed="64"/>
      </top>
      <bottom/>
      <diagonal/>
    </border>
    <border>
      <left style="thin">
        <color indexed="64"/>
      </left>
      <right style="thin">
        <color indexed="64"/>
      </right>
      <top style="thin">
        <color indexed="64"/>
      </top>
      <bottom style="thin">
        <color indexed="64"/>
      </bottom>
      <diagonal/>
    </border>
  </borders>
  <cellStyleXfs count="14">
    <xf numFmtId="0" fontId="0" fillId="0" borderId="0"/>
    <xf numFmtId="167"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9" fontId="9" fillId="0" borderId="0" applyFont="0" applyFill="0" applyBorder="0" applyAlignment="0" applyProtection="0"/>
    <xf numFmtId="0" fontId="9" fillId="0" borderId="0"/>
    <xf numFmtId="0" fontId="9" fillId="0" borderId="0"/>
    <xf numFmtId="9" fontId="1" fillId="0" borderId="0" applyFont="0" applyFill="0" applyBorder="0" applyAlignment="0" applyProtection="0"/>
    <xf numFmtId="0" fontId="1" fillId="0" borderId="0"/>
    <xf numFmtId="164" fontId="2" fillId="0" borderId="0" applyFont="0" applyFill="0" applyBorder="0" applyAlignment="0" applyProtection="0"/>
    <xf numFmtId="0" fontId="1" fillId="0" borderId="0"/>
    <xf numFmtId="0" fontId="13" fillId="6" borderId="8">
      <alignment horizontal="right"/>
    </xf>
    <xf numFmtId="0" fontId="14" fillId="6" borderId="0"/>
    <xf numFmtId="0" fontId="9" fillId="0" borderId="0"/>
  </cellStyleXfs>
  <cellXfs count="822">
    <xf numFmtId="0" fontId="0" fillId="0" borderId="0" xfId="0"/>
    <xf numFmtId="0" fontId="3" fillId="0" borderId="0" xfId="0" applyFont="1"/>
    <xf numFmtId="0" fontId="4" fillId="2" borderId="0" xfId="0" applyFont="1" applyFill="1"/>
    <xf numFmtId="0" fontId="5" fillId="2" borderId="0" xfId="0" applyFont="1" applyFill="1"/>
    <xf numFmtId="0" fontId="8" fillId="0" borderId="0" xfId="0" applyFont="1"/>
    <xf numFmtId="0" fontId="3" fillId="0" borderId="0" xfId="0" applyFont="1" applyAlignment="1">
      <alignment horizontal="left" indent="1"/>
    </xf>
    <xf numFmtId="0" fontId="0" fillId="0" borderId="0" xfId="0" applyAlignment="1">
      <alignment horizontal="left" indent="1"/>
    </xf>
    <xf numFmtId="0" fontId="0" fillId="0" borderId="1" xfId="0" applyBorder="1"/>
    <xf numFmtId="37" fontId="3" fillId="0" borderId="0" xfId="0" applyNumberFormat="1" applyFont="1"/>
    <xf numFmtId="0" fontId="10" fillId="0" borderId="0" xfId="0" applyFont="1" applyAlignment="1">
      <alignment horizontal="left" indent="1"/>
    </xf>
    <xf numFmtId="0" fontId="2" fillId="0" borderId="0" xfId="0" applyFont="1"/>
    <xf numFmtId="3" fontId="2" fillId="0" borderId="0" xfId="0" applyNumberFormat="1" applyFont="1"/>
    <xf numFmtId="0" fontId="4" fillId="0" borderId="0" xfId="0" applyFont="1"/>
    <xf numFmtId="0" fontId="5" fillId="0" borderId="0" xfId="0" applyFont="1"/>
    <xf numFmtId="168" fontId="2" fillId="0" borderId="0" xfId="2" applyNumberFormat="1" applyFont="1"/>
    <xf numFmtId="14" fontId="0" fillId="0" borderId="0" xfId="0" applyNumberFormat="1"/>
    <xf numFmtId="0" fontId="0" fillId="0" borderId="1" xfId="0" applyBorder="1" applyAlignment="1">
      <alignment horizontal="left" indent="1"/>
    </xf>
    <xf numFmtId="0" fontId="15" fillId="0" borderId="0" xfId="0" applyFont="1"/>
    <xf numFmtId="0" fontId="17" fillId="2" borderId="0" xfId="0" applyFont="1" applyFill="1"/>
    <xf numFmtId="0" fontId="17" fillId="0" borderId="0" xfId="0" applyFont="1"/>
    <xf numFmtId="37" fontId="15" fillId="0" borderId="0" xfId="0" applyNumberFormat="1" applyFont="1"/>
    <xf numFmtId="0" fontId="22" fillId="0" borderId="0" xfId="0" applyFont="1"/>
    <xf numFmtId="0" fontId="25" fillId="0" borderId="0" xfId="0" applyFont="1"/>
    <xf numFmtId="0" fontId="28" fillId="0" borderId="0" xfId="0" applyFont="1"/>
    <xf numFmtId="37" fontId="28" fillId="0" borderId="0" xfId="0" applyNumberFormat="1" applyFont="1"/>
    <xf numFmtId="0" fontId="27" fillId="0" borderId="0" xfId="0" applyFont="1"/>
    <xf numFmtId="0" fontId="31" fillId="0" borderId="0" xfId="0" applyFont="1"/>
    <xf numFmtId="0" fontId="32" fillId="0" borderId="0" xfId="0" applyFont="1"/>
    <xf numFmtId="0" fontId="15" fillId="0" borderId="0" xfId="0" applyFont="1" applyAlignment="1">
      <alignment horizontal="left" indent="1"/>
    </xf>
    <xf numFmtId="0" fontId="32" fillId="0" borderId="0" xfId="0" applyFont="1" applyAlignment="1">
      <alignment horizontal="left" indent="1"/>
    </xf>
    <xf numFmtId="0" fontId="36" fillId="0" borderId="0" xfId="0" applyFont="1"/>
    <xf numFmtId="0" fontId="24" fillId="0" borderId="0" xfId="0" applyFont="1" applyAlignment="1">
      <alignment horizontal="left" indent="2"/>
    </xf>
    <xf numFmtId="0" fontId="35" fillId="2" borderId="0" xfId="0" applyFont="1" applyFill="1"/>
    <xf numFmtId="0" fontId="34" fillId="0" borderId="0" xfId="0" applyFont="1"/>
    <xf numFmtId="166" fontId="16" fillId="0" borderId="0" xfId="0" applyNumberFormat="1" applyFont="1"/>
    <xf numFmtId="0" fontId="17" fillId="10" borderId="0" xfId="0" applyFont="1" applyFill="1"/>
    <xf numFmtId="0" fontId="28" fillId="10" borderId="0" xfId="0" applyFont="1" applyFill="1"/>
    <xf numFmtId="0" fontId="37" fillId="2" borderId="0" xfId="0" applyFont="1" applyFill="1" applyAlignment="1">
      <alignment horizontal="right"/>
    </xf>
    <xf numFmtId="0" fontId="0" fillId="10" borderId="0" xfId="0" applyFill="1"/>
    <xf numFmtId="0" fontId="20" fillId="0" borderId="0" xfId="0" applyFont="1" applyAlignment="1">
      <alignment horizontal="left" indent="1"/>
    </xf>
    <xf numFmtId="2" fontId="0" fillId="0" borderId="0" xfId="0" applyNumberFormat="1"/>
    <xf numFmtId="0" fontId="15" fillId="0" borderId="0" xfId="0" applyFont="1" applyProtection="1">
      <protection locked="0"/>
    </xf>
    <xf numFmtId="0" fontId="33" fillId="0" borderId="0" xfId="0" applyFont="1" applyProtection="1">
      <protection locked="0"/>
    </xf>
    <xf numFmtId="0" fontId="17" fillId="0" borderId="0" xfId="0" applyFont="1" applyProtection="1">
      <protection locked="0"/>
    </xf>
    <xf numFmtId="0" fontId="41" fillId="0" borderId="0" xfId="0" applyFont="1" applyProtection="1">
      <protection locked="0"/>
    </xf>
    <xf numFmtId="0" fontId="28" fillId="0" borderId="0" xfId="0" applyFont="1" applyAlignment="1" applyProtection="1">
      <alignment horizontal="left" indent="1"/>
      <protection locked="0"/>
    </xf>
    <xf numFmtId="37" fontId="27" fillId="3" borderId="0" xfId="0" applyNumberFormat="1" applyFont="1" applyFill="1" applyProtection="1">
      <protection locked="0"/>
    </xf>
    <xf numFmtId="37" fontId="27" fillId="0" borderId="0" xfId="1" applyNumberFormat="1" applyFont="1" applyFill="1" applyProtection="1">
      <protection locked="0"/>
    </xf>
    <xf numFmtId="37" fontId="27" fillId="0" borderId="0" xfId="0" applyNumberFormat="1" applyFont="1"/>
    <xf numFmtId="37" fontId="27" fillId="0" borderId="3" xfId="1" applyNumberFormat="1" applyFont="1" applyFill="1" applyBorder="1" applyProtection="1"/>
    <xf numFmtId="37" fontId="39" fillId="3" borderId="0" xfId="0" applyNumberFormat="1" applyFont="1" applyFill="1" applyProtection="1">
      <protection locked="0"/>
    </xf>
    <xf numFmtId="37" fontId="27" fillId="0" borderId="0" xfId="1" applyNumberFormat="1" applyFont="1" applyFill="1" applyProtection="1"/>
    <xf numFmtId="37" fontId="39" fillId="0" borderId="0" xfId="1" applyNumberFormat="1" applyFont="1" applyFill="1" applyProtection="1">
      <protection locked="0"/>
    </xf>
    <xf numFmtId="37" fontId="39" fillId="0" borderId="0" xfId="1" applyNumberFormat="1" applyFont="1" applyFill="1" applyProtection="1"/>
    <xf numFmtId="3" fontId="27" fillId="0" borderId="0" xfId="0" applyNumberFormat="1" applyFont="1" applyProtection="1">
      <protection locked="0"/>
    </xf>
    <xf numFmtId="0" fontId="35" fillId="0" borderId="0" xfId="0" applyFont="1" applyProtection="1">
      <protection locked="0"/>
    </xf>
    <xf numFmtId="0" fontId="28" fillId="0" borderId="0" xfId="0" applyFont="1" applyAlignment="1" applyProtection="1">
      <alignment horizontal="left" indent="3"/>
      <protection locked="0"/>
    </xf>
    <xf numFmtId="37" fontId="27" fillId="0" borderId="0" xfId="1" applyNumberFormat="1" applyFont="1" applyFill="1" applyBorder="1" applyProtection="1">
      <protection locked="0"/>
    </xf>
    <xf numFmtId="37" fontId="39" fillId="0" borderId="0" xfId="1" applyNumberFormat="1" applyFont="1" applyFill="1" applyBorder="1" applyProtection="1">
      <protection locked="0"/>
    </xf>
    <xf numFmtId="0" fontId="28" fillId="0" borderId="0" xfId="0" applyFont="1" applyAlignment="1" applyProtection="1">
      <alignment horizontal="left" indent="5"/>
      <protection locked="0"/>
    </xf>
    <xf numFmtId="37" fontId="27" fillId="3" borderId="0" xfId="2" applyNumberFormat="1" applyFont="1" applyFill="1" applyBorder="1" applyProtection="1">
      <protection locked="0"/>
    </xf>
    <xf numFmtId="37" fontId="27" fillId="0" borderId="9" xfId="2" applyNumberFormat="1" applyFont="1" applyFill="1" applyBorder="1" applyProtection="1">
      <protection locked="0"/>
    </xf>
    <xf numFmtId="37" fontId="39" fillId="3" borderId="0" xfId="2" applyNumberFormat="1" applyFont="1" applyFill="1" applyBorder="1" applyProtection="1">
      <protection locked="0"/>
    </xf>
    <xf numFmtId="37" fontId="39" fillId="0" borderId="9" xfId="2" applyNumberFormat="1" applyFont="1" applyFill="1" applyBorder="1" applyProtection="1">
      <protection locked="0"/>
    </xf>
    <xf numFmtId="0" fontId="34" fillId="0" borderId="0" xfId="0" applyFont="1" applyAlignment="1" applyProtection="1">
      <alignment horizontal="left" indent="1"/>
      <protection locked="0"/>
    </xf>
    <xf numFmtId="0" fontId="28" fillId="0" borderId="0" xfId="0" applyFont="1" applyAlignment="1" applyProtection="1">
      <alignment horizontal="left" indent="2"/>
      <protection locked="0"/>
    </xf>
    <xf numFmtId="37" fontId="27" fillId="0" borderId="0" xfId="0" applyNumberFormat="1" applyFont="1" applyProtection="1">
      <protection locked="0"/>
    </xf>
    <xf numFmtId="37" fontId="27" fillId="4" borderId="0" xfId="1" applyNumberFormat="1" applyFont="1" applyFill="1" applyProtection="1"/>
    <xf numFmtId="37" fontId="39" fillId="0" borderId="0" xfId="0" applyNumberFormat="1" applyFont="1" applyProtection="1">
      <protection locked="0"/>
    </xf>
    <xf numFmtId="37" fontId="39" fillId="4" borderId="0" xfId="1" applyNumberFormat="1" applyFont="1" applyFill="1" applyProtection="1"/>
    <xf numFmtId="0" fontId="28" fillId="0" borderId="0" xfId="0" applyFont="1" applyAlignment="1" applyProtection="1">
      <alignment horizontal="left" indent="4"/>
      <protection locked="0"/>
    </xf>
    <xf numFmtId="37" fontId="27" fillId="0" borderId="0" xfId="1" applyNumberFormat="1" applyFont="1" applyFill="1" applyBorder="1" applyProtection="1"/>
    <xf numFmtId="37" fontId="39" fillId="0" borderId="0" xfId="1" applyNumberFormat="1" applyFont="1" applyFill="1" applyBorder="1" applyProtection="1"/>
    <xf numFmtId="0" fontId="22" fillId="0" borderId="0" xfId="0" applyFont="1" applyProtection="1">
      <protection locked="0"/>
    </xf>
    <xf numFmtId="37" fontId="27" fillId="0" borderId="1" xfId="0" applyNumberFormat="1" applyFont="1" applyBorder="1" applyProtection="1">
      <protection locked="0"/>
    </xf>
    <xf numFmtId="37" fontId="39" fillId="0" borderId="1" xfId="0" applyNumberFormat="1" applyFont="1" applyBorder="1" applyProtection="1">
      <protection locked="0"/>
    </xf>
    <xf numFmtId="0" fontId="28" fillId="0" borderId="0" xfId="0" applyFont="1" applyAlignment="1" applyProtection="1">
      <alignment horizontal="left" indent="6"/>
      <protection locked="0"/>
    </xf>
    <xf numFmtId="37" fontId="27" fillId="0" borderId="7" xfId="0" applyNumberFormat="1" applyFont="1" applyBorder="1" applyProtection="1">
      <protection locked="0"/>
    </xf>
    <xf numFmtId="37" fontId="39" fillId="0" borderId="7" xfId="0" applyNumberFormat="1" applyFont="1" applyBorder="1" applyProtection="1">
      <protection locked="0"/>
    </xf>
    <xf numFmtId="0" fontId="28" fillId="0" borderId="0" xfId="0" applyFont="1" applyAlignment="1" applyProtection="1">
      <alignment horizontal="left" indent="8"/>
      <protection locked="0"/>
    </xf>
    <xf numFmtId="0" fontId="22" fillId="0" borderId="0" xfId="0" applyFont="1" applyAlignment="1" applyProtection="1">
      <alignment horizontal="left" indent="3"/>
      <protection locked="0"/>
    </xf>
    <xf numFmtId="37" fontId="27" fillId="0" borderId="0" xfId="2" applyNumberFormat="1" applyFont="1" applyFill="1" applyProtection="1"/>
    <xf numFmtId="37" fontId="27" fillId="0" borderId="3" xfId="2" applyNumberFormat="1" applyFont="1" applyFill="1" applyBorder="1" applyProtection="1"/>
    <xf numFmtId="37" fontId="39" fillId="0" borderId="0" xfId="2" applyNumberFormat="1" applyFont="1" applyFill="1" applyProtection="1"/>
    <xf numFmtId="0" fontId="42" fillId="0" borderId="0" xfId="0" applyFont="1" applyProtection="1">
      <protection locked="0"/>
    </xf>
    <xf numFmtId="37" fontId="27" fillId="0" borderId="9" xfId="0" applyNumberFormat="1" applyFont="1" applyBorder="1" applyProtection="1">
      <protection locked="0"/>
    </xf>
    <xf numFmtId="37" fontId="27" fillId="0" borderId="0" xfId="2" applyNumberFormat="1" applyFont="1" applyFill="1" applyBorder="1" applyProtection="1"/>
    <xf numFmtId="37" fontId="39" fillId="0" borderId="0" xfId="2" applyNumberFormat="1" applyFont="1" applyFill="1" applyBorder="1" applyProtection="1"/>
    <xf numFmtId="37" fontId="27" fillId="4" borderId="0" xfId="2" applyNumberFormat="1" applyFont="1" applyFill="1" applyProtection="1"/>
    <xf numFmtId="37" fontId="39" fillId="4" borderId="0" xfId="2" applyNumberFormat="1" applyFont="1" applyFill="1" applyProtection="1"/>
    <xf numFmtId="0" fontId="28" fillId="0" borderId="0" xfId="0" applyFont="1" applyAlignment="1" applyProtection="1">
      <alignment horizontal="left" indent="10"/>
      <protection locked="0"/>
    </xf>
    <xf numFmtId="37" fontId="27" fillId="0" borderId="0" xfId="1" applyNumberFormat="1" applyFont="1" applyBorder="1" applyProtection="1"/>
    <xf numFmtId="37" fontId="27" fillId="0" borderId="0" xfId="1" applyNumberFormat="1" applyFont="1" applyProtection="1"/>
    <xf numFmtId="37" fontId="27" fillId="0" borderId="23" xfId="0" applyNumberFormat="1" applyFont="1" applyBorder="1" applyProtection="1">
      <protection locked="0"/>
    </xf>
    <xf numFmtId="37" fontId="39" fillId="0" borderId="23" xfId="0" applyNumberFormat="1" applyFont="1" applyBorder="1" applyProtection="1">
      <protection locked="0"/>
    </xf>
    <xf numFmtId="37" fontId="27" fillId="0" borderId="3" xfId="0" applyNumberFormat="1" applyFont="1" applyBorder="1"/>
    <xf numFmtId="37" fontId="39" fillId="0" borderId="0" xfId="0" applyNumberFormat="1" applyFont="1"/>
    <xf numFmtId="0" fontId="28" fillId="0" borderId="0" xfId="0" applyFont="1" applyProtection="1">
      <protection locked="0"/>
    </xf>
    <xf numFmtId="39" fontId="27" fillId="3" borderId="0" xfId="0" applyNumberFormat="1" applyFont="1" applyFill="1" applyProtection="1">
      <protection locked="0"/>
    </xf>
    <xf numFmtId="39" fontId="27" fillId="0" borderId="0" xfId="1" applyNumberFormat="1" applyFont="1" applyFill="1" applyProtection="1">
      <protection locked="0"/>
    </xf>
    <xf numFmtId="39" fontId="27" fillId="0" borderId="0" xfId="0" applyNumberFormat="1" applyFont="1"/>
    <xf numFmtId="39" fontId="27" fillId="0" borderId="3" xfId="0" applyNumberFormat="1" applyFont="1" applyBorder="1"/>
    <xf numFmtId="39" fontId="39" fillId="3" borderId="0" xfId="0" applyNumberFormat="1" applyFont="1" applyFill="1" applyProtection="1">
      <protection locked="0"/>
    </xf>
    <xf numFmtId="39" fontId="39" fillId="0" borderId="0" xfId="1" applyNumberFormat="1" applyFont="1" applyFill="1" applyProtection="1">
      <protection locked="0"/>
    </xf>
    <xf numFmtId="39" fontId="39" fillId="0" borderId="0" xfId="0" applyNumberFormat="1" applyFont="1"/>
    <xf numFmtId="0" fontId="34" fillId="0" borderId="0" xfId="0" applyFont="1" applyProtection="1">
      <protection locked="0"/>
    </xf>
    <xf numFmtId="0" fontId="43" fillId="0" borderId="0" xfId="0" applyFont="1" applyAlignment="1" applyProtection="1">
      <alignment horizontal="left" indent="1"/>
      <protection locked="0"/>
    </xf>
    <xf numFmtId="37" fontId="44" fillId="3" borderId="0" xfId="0" applyNumberFormat="1" applyFont="1" applyFill="1" applyProtection="1">
      <protection locked="0"/>
    </xf>
    <xf numFmtId="37" fontId="18" fillId="0" borderId="0" xfId="1" applyNumberFormat="1" applyFont="1" applyFill="1" applyProtection="1">
      <protection locked="0"/>
    </xf>
    <xf numFmtId="37" fontId="44" fillId="3" borderId="0" xfId="1" applyNumberFormat="1" applyFont="1" applyFill="1" applyProtection="1">
      <protection locked="0"/>
    </xf>
    <xf numFmtId="37" fontId="18" fillId="0" borderId="3" xfId="1" applyNumberFormat="1" applyFont="1" applyFill="1" applyBorder="1" applyProtection="1"/>
    <xf numFmtId="37" fontId="18" fillId="3" borderId="0" xfId="1" applyNumberFormat="1" applyFont="1" applyFill="1" applyBorder="1" applyProtection="1">
      <protection locked="0"/>
    </xf>
    <xf numFmtId="37" fontId="18" fillId="0" borderId="0" xfId="1" applyNumberFormat="1" applyFont="1" applyFill="1" applyProtection="1"/>
    <xf numFmtId="0" fontId="44" fillId="0" borderId="0" xfId="0" applyFont="1" applyProtection="1">
      <protection locked="0"/>
    </xf>
    <xf numFmtId="0" fontId="27" fillId="0" borderId="0" xfId="0" applyFont="1" applyAlignment="1" applyProtection="1">
      <alignment horizontal="left" indent="1"/>
      <protection locked="0"/>
    </xf>
    <xf numFmtId="0" fontId="44" fillId="0" borderId="0" xfId="0" applyFont="1"/>
    <xf numFmtId="37" fontId="44" fillId="0" borderId="0" xfId="0" applyNumberFormat="1" applyFont="1"/>
    <xf numFmtId="37" fontId="44" fillId="0" borderId="0" xfId="1" applyNumberFormat="1" applyFont="1" applyFill="1" applyProtection="1"/>
    <xf numFmtId="37" fontId="44" fillId="0" borderId="3" xfId="1" applyNumberFormat="1" applyFont="1" applyFill="1" applyBorder="1" applyProtection="1"/>
    <xf numFmtId="37" fontId="44" fillId="3" borderId="0" xfId="1" applyNumberFormat="1" applyFont="1" applyFill="1" applyBorder="1" applyProtection="1">
      <protection locked="0"/>
    </xf>
    <xf numFmtId="37" fontId="44" fillId="4" borderId="0" xfId="1" applyNumberFormat="1" applyFont="1" applyFill="1" applyProtection="1"/>
    <xf numFmtId="37" fontId="15" fillId="3" borderId="0" xfId="0" applyNumberFormat="1" applyFont="1" applyFill="1" applyProtection="1">
      <protection locked="0"/>
    </xf>
    <xf numFmtId="37" fontId="21" fillId="0" borderId="0" xfId="1" applyNumberFormat="1" applyFont="1" applyFill="1" applyProtection="1"/>
    <xf numFmtId="37" fontId="21" fillId="3" borderId="0" xfId="1" applyNumberFormat="1" applyFont="1" applyFill="1" applyProtection="1">
      <protection locked="0"/>
    </xf>
    <xf numFmtId="37" fontId="21" fillId="0" borderId="3" xfId="1" applyNumberFormat="1" applyFont="1" applyFill="1" applyBorder="1" applyProtection="1"/>
    <xf numFmtId="37" fontId="21" fillId="3" borderId="0" xfId="1" applyNumberFormat="1" applyFont="1" applyFill="1" applyBorder="1" applyProtection="1">
      <protection locked="0"/>
    </xf>
    <xf numFmtId="37" fontId="18" fillId="0" borderId="0" xfId="1" applyNumberFormat="1" applyFont="1" applyFill="1" applyBorder="1" applyProtection="1"/>
    <xf numFmtId="0" fontId="27" fillId="0" borderId="0" xfId="0" applyFont="1" applyAlignment="1" applyProtection="1">
      <alignment horizontal="left" indent="3"/>
      <protection locked="0"/>
    </xf>
    <xf numFmtId="37" fontId="44" fillId="0" borderId="0" xfId="1" applyNumberFormat="1" applyFont="1" applyFill="1" applyBorder="1" applyProtection="1"/>
    <xf numFmtId="37" fontId="44" fillId="0" borderId="0" xfId="2" applyNumberFormat="1" applyFont="1" applyFill="1" applyProtection="1"/>
    <xf numFmtId="37" fontId="44" fillId="0" borderId="3" xfId="2" applyNumberFormat="1" applyFont="1" applyFill="1" applyBorder="1" applyProtection="1"/>
    <xf numFmtId="37" fontId="31" fillId="0" borderId="0" xfId="0" applyNumberFormat="1" applyFont="1"/>
    <xf numFmtId="37" fontId="31" fillId="0" borderId="0" xfId="2" applyNumberFormat="1" applyFont="1" applyFill="1" applyProtection="1"/>
    <xf numFmtId="37" fontId="31" fillId="0" borderId="3" xfId="2" applyNumberFormat="1" applyFont="1" applyFill="1" applyBorder="1" applyProtection="1"/>
    <xf numFmtId="37" fontId="23" fillId="0" borderId="0" xfId="2" applyNumberFormat="1" applyFont="1" applyFill="1" applyProtection="1"/>
    <xf numFmtId="0" fontId="31" fillId="0" borderId="0" xfId="0" applyFont="1" applyProtection="1">
      <protection locked="0"/>
    </xf>
    <xf numFmtId="0" fontId="22" fillId="0" borderId="0" xfId="0" applyFont="1" applyAlignment="1" applyProtection="1">
      <alignment horizontal="left" indent="1"/>
      <protection locked="0"/>
    </xf>
    <xf numFmtId="37" fontId="19" fillId="0" borderId="0" xfId="2" applyNumberFormat="1" applyFont="1" applyFill="1" applyProtection="1"/>
    <xf numFmtId="0" fontId="27" fillId="0" borderId="0" xfId="0" applyFont="1" applyAlignment="1" applyProtection="1">
      <alignment horizontal="left" indent="5"/>
      <protection locked="0"/>
    </xf>
    <xf numFmtId="37" fontId="20" fillId="0" borderId="0" xfId="1" applyNumberFormat="1" applyFont="1" applyFill="1" applyProtection="1"/>
    <xf numFmtId="0" fontId="27" fillId="0" borderId="0" xfId="0" applyFont="1" applyAlignment="1" applyProtection="1">
      <alignment horizontal="left" indent="7"/>
      <protection locked="0"/>
    </xf>
    <xf numFmtId="37" fontId="44" fillId="0" borderId="0" xfId="2" applyNumberFormat="1" applyFont="1" applyFill="1" applyBorder="1" applyProtection="1"/>
    <xf numFmtId="0" fontId="45" fillId="0" borderId="0" xfId="0" applyFont="1" applyProtection="1">
      <protection locked="0"/>
    </xf>
    <xf numFmtId="0" fontId="15" fillId="0" borderId="0" xfId="0" applyFont="1" applyAlignment="1" applyProtection="1">
      <alignment horizontal="left" indent="1"/>
      <protection locked="0"/>
    </xf>
    <xf numFmtId="37" fontId="32" fillId="0" borderId="0" xfId="0" applyNumberFormat="1" applyFont="1"/>
    <xf numFmtId="37" fontId="30" fillId="0" borderId="0" xfId="1" applyNumberFormat="1" applyFont="1" applyFill="1" applyProtection="1"/>
    <xf numFmtId="37" fontId="30" fillId="0" borderId="3" xfId="1" applyNumberFormat="1" applyFont="1" applyFill="1" applyBorder="1" applyProtection="1"/>
    <xf numFmtId="0" fontId="32" fillId="0" borderId="0" xfId="0" applyFont="1" applyProtection="1">
      <protection locked="0"/>
    </xf>
    <xf numFmtId="37" fontId="20" fillId="0" borderId="0" xfId="1" applyNumberFormat="1" applyFont="1" applyProtection="1"/>
    <xf numFmtId="37" fontId="44" fillId="0" borderId="0" xfId="1" applyNumberFormat="1" applyFont="1" applyProtection="1"/>
    <xf numFmtId="37" fontId="15" fillId="0" borderId="3" xfId="0" applyNumberFormat="1" applyFont="1" applyBorder="1"/>
    <xf numFmtId="37" fontId="18" fillId="0" borderId="0" xfId="1" applyNumberFormat="1" applyFont="1" applyFill="1" applyAlignment="1" applyProtection="1">
      <alignment wrapText="1"/>
    </xf>
    <xf numFmtId="0" fontId="44" fillId="0" borderId="0" xfId="0" applyFont="1" applyAlignment="1" applyProtection="1">
      <alignment horizontal="left" indent="1"/>
      <protection locked="0"/>
    </xf>
    <xf numFmtId="37" fontId="44" fillId="0" borderId="3" xfId="0" applyNumberFormat="1" applyFont="1" applyBorder="1"/>
    <xf numFmtId="3" fontId="27" fillId="0" borderId="0" xfId="0" applyNumberFormat="1" applyFont="1" applyAlignment="1" applyProtection="1">
      <alignment horizontal="left" indent="1"/>
      <protection locked="0"/>
    </xf>
    <xf numFmtId="3" fontId="27" fillId="0" borderId="0" xfId="0" applyNumberFormat="1" applyFont="1" applyAlignment="1" applyProtection="1">
      <alignment horizontal="left" indent="3"/>
      <protection locked="0"/>
    </xf>
    <xf numFmtId="3" fontId="27" fillId="0" borderId="0" xfId="0" applyNumberFormat="1" applyFont="1" applyAlignment="1" applyProtection="1">
      <alignment horizontal="left" indent="5"/>
      <protection locked="0"/>
    </xf>
    <xf numFmtId="3" fontId="27" fillId="0" borderId="0" xfId="0" applyNumberFormat="1" applyFont="1" applyAlignment="1" applyProtection="1">
      <alignment horizontal="left" indent="7"/>
      <protection locked="0"/>
    </xf>
    <xf numFmtId="3" fontId="27" fillId="0" borderId="0" xfId="0" applyNumberFormat="1" applyFont="1" applyAlignment="1" applyProtection="1">
      <alignment horizontal="left" indent="2"/>
      <protection locked="0"/>
    </xf>
    <xf numFmtId="3" fontId="27" fillId="0" borderId="0" xfId="0" applyNumberFormat="1" applyFont="1" applyAlignment="1" applyProtection="1">
      <alignment horizontal="left" indent="4"/>
      <protection locked="0"/>
    </xf>
    <xf numFmtId="3" fontId="27" fillId="0" borderId="0" xfId="0" applyNumberFormat="1" applyFont="1" applyAlignment="1" applyProtection="1">
      <alignment horizontal="left" indent="6"/>
      <protection locked="0"/>
    </xf>
    <xf numFmtId="0" fontId="16" fillId="2" borderId="0" xfId="0" applyFont="1" applyFill="1" applyAlignment="1" applyProtection="1">
      <alignment horizontal="left"/>
      <protection locked="0"/>
    </xf>
    <xf numFmtId="0" fontId="17" fillId="2" borderId="0" xfId="0" applyFont="1" applyFill="1" applyProtection="1">
      <protection locked="0"/>
    </xf>
    <xf numFmtId="0" fontId="16" fillId="2" borderId="0" xfId="0" applyFont="1" applyFill="1" applyProtection="1">
      <protection locked="0"/>
    </xf>
    <xf numFmtId="0" fontId="16" fillId="2" borderId="0" xfId="0" applyFont="1" applyFill="1" applyAlignment="1" applyProtection="1">
      <alignment horizontal="left" indent="1"/>
      <protection locked="0"/>
    </xf>
    <xf numFmtId="165" fontId="16" fillId="2" borderId="0" xfId="0" applyNumberFormat="1" applyFont="1" applyFill="1" applyAlignment="1">
      <alignment horizontal="center"/>
    </xf>
    <xf numFmtId="166" fontId="16" fillId="2" borderId="10" xfId="0" applyNumberFormat="1" applyFont="1" applyFill="1" applyBorder="1" applyAlignment="1" applyProtection="1">
      <alignment horizontal="center"/>
      <protection locked="0"/>
    </xf>
    <xf numFmtId="165" fontId="40" fillId="2" borderId="0" xfId="0" applyNumberFormat="1" applyFont="1" applyFill="1" applyAlignment="1">
      <alignment horizontal="center"/>
    </xf>
    <xf numFmtId="165" fontId="16" fillId="2" borderId="0" xfId="0" applyNumberFormat="1" applyFont="1" applyFill="1" applyAlignment="1" applyProtection="1">
      <alignment horizontal="center"/>
      <protection locked="0"/>
    </xf>
    <xf numFmtId="0" fontId="47" fillId="2" borderId="0" xfId="0" applyFont="1" applyFill="1"/>
    <xf numFmtId="165" fontId="46" fillId="2" borderId="0" xfId="0" applyNumberFormat="1" applyFont="1" applyFill="1" applyAlignment="1">
      <alignment horizontal="center"/>
    </xf>
    <xf numFmtId="165" fontId="48" fillId="2" borderId="0" xfId="0" applyNumberFormat="1" applyFont="1" applyFill="1" applyAlignment="1">
      <alignment horizontal="center"/>
    </xf>
    <xf numFmtId="0" fontId="16" fillId="0" borderId="0" xfId="0" applyFont="1" applyProtection="1">
      <protection locked="0"/>
    </xf>
    <xf numFmtId="165" fontId="16" fillId="0" borderId="0" xfId="0" applyNumberFormat="1" applyFont="1" applyProtection="1">
      <protection locked="0"/>
    </xf>
    <xf numFmtId="165" fontId="16" fillId="0" borderId="0" xfId="0" applyNumberFormat="1" applyFont="1"/>
    <xf numFmtId="166" fontId="16" fillId="0" borderId="0" xfId="0" applyNumberFormat="1" applyFont="1" applyProtection="1">
      <protection locked="0"/>
    </xf>
    <xf numFmtId="0" fontId="16" fillId="10" borderId="0" xfId="0" applyFont="1" applyFill="1" applyProtection="1">
      <protection locked="0"/>
    </xf>
    <xf numFmtId="165" fontId="16" fillId="10" borderId="0" xfId="0" applyNumberFormat="1" applyFont="1" applyFill="1" applyProtection="1">
      <protection locked="0"/>
    </xf>
    <xf numFmtId="165" fontId="16" fillId="10" borderId="0" xfId="0" applyNumberFormat="1" applyFont="1" applyFill="1"/>
    <xf numFmtId="166" fontId="16" fillId="10" borderId="0" xfId="0" applyNumberFormat="1" applyFont="1" applyFill="1" applyProtection="1">
      <protection locked="0"/>
    </xf>
    <xf numFmtId="166" fontId="16" fillId="10" borderId="0" xfId="0" applyNumberFormat="1" applyFont="1" applyFill="1"/>
    <xf numFmtId="37" fontId="27" fillId="0" borderId="0" xfId="2" applyNumberFormat="1" applyFont="1" applyFill="1" applyBorder="1" applyProtection="1">
      <protection locked="0"/>
    </xf>
    <xf numFmtId="37" fontId="39" fillId="0" borderId="0" xfId="2" applyNumberFormat="1" applyFont="1" applyFill="1" applyBorder="1" applyProtection="1">
      <protection locked="0"/>
    </xf>
    <xf numFmtId="37" fontId="27" fillId="4" borderId="0" xfId="1" applyNumberFormat="1" applyFont="1" applyFill="1" applyBorder="1" applyProtection="1"/>
    <xf numFmtId="37" fontId="39" fillId="4" borderId="0" xfId="1" applyNumberFormat="1" applyFont="1" applyFill="1" applyBorder="1" applyProtection="1"/>
    <xf numFmtId="37" fontId="27" fillId="4" borderId="0" xfId="2" applyNumberFormat="1" applyFont="1" applyFill="1" applyBorder="1" applyProtection="1"/>
    <xf numFmtId="0" fontId="28" fillId="2" borderId="0" xfId="0" applyFont="1" applyFill="1"/>
    <xf numFmtId="37" fontId="27" fillId="2" borderId="0" xfId="0" applyNumberFormat="1" applyFont="1" applyFill="1" applyProtection="1">
      <protection locked="0"/>
    </xf>
    <xf numFmtId="37" fontId="27" fillId="2" borderId="0" xfId="1" applyNumberFormat="1" applyFont="1" applyFill="1" applyBorder="1" applyProtection="1">
      <protection locked="0"/>
    </xf>
    <xf numFmtId="37" fontId="27" fillId="2" borderId="0" xfId="1" applyNumberFormat="1" applyFont="1" applyFill="1" applyBorder="1" applyProtection="1"/>
    <xf numFmtId="37" fontId="39" fillId="2" borderId="0" xfId="0" applyNumberFormat="1" applyFont="1" applyFill="1" applyProtection="1">
      <protection locked="0"/>
    </xf>
    <xf numFmtId="37" fontId="39" fillId="2" borderId="0" xfId="1" applyNumberFormat="1" applyFont="1" applyFill="1" applyBorder="1" applyProtection="1">
      <protection locked="0"/>
    </xf>
    <xf numFmtId="37" fontId="39" fillId="2" borderId="0" xfId="1" applyNumberFormat="1" applyFont="1" applyFill="1" applyBorder="1" applyProtection="1"/>
    <xf numFmtId="3" fontId="27" fillId="2" borderId="0" xfId="0" applyNumberFormat="1" applyFont="1" applyFill="1" applyProtection="1">
      <protection locked="0"/>
    </xf>
    <xf numFmtId="0" fontId="28" fillId="10" borderId="0" xfId="0" applyFont="1" applyFill="1" applyAlignment="1" applyProtection="1">
      <alignment horizontal="left" indent="1"/>
      <protection locked="0"/>
    </xf>
    <xf numFmtId="37" fontId="27" fillId="10" borderId="0" xfId="0" applyNumberFormat="1" applyFont="1" applyFill="1" applyProtection="1">
      <protection locked="0"/>
    </xf>
    <xf numFmtId="37" fontId="27" fillId="10" borderId="0" xfId="1" applyNumberFormat="1" applyFont="1" applyFill="1" applyBorder="1" applyProtection="1">
      <protection locked="0"/>
    </xf>
    <xf numFmtId="37" fontId="27" fillId="10" borderId="0" xfId="1" applyNumberFormat="1" applyFont="1" applyFill="1" applyBorder="1" applyProtection="1"/>
    <xf numFmtId="37" fontId="39" fillId="10" borderId="0" xfId="0" applyNumberFormat="1" applyFont="1" applyFill="1" applyProtection="1">
      <protection locked="0"/>
    </xf>
    <xf numFmtId="37" fontId="39" fillId="10" borderId="0" xfId="1" applyNumberFormat="1" applyFont="1" applyFill="1" applyBorder="1" applyProtection="1">
      <protection locked="0"/>
    </xf>
    <xf numFmtId="37" fontId="39" fillId="10" borderId="0" xfId="1" applyNumberFormat="1" applyFont="1" applyFill="1" applyBorder="1" applyProtection="1"/>
    <xf numFmtId="3" fontId="27" fillId="10" borderId="0" xfId="0" applyNumberFormat="1" applyFont="1" applyFill="1" applyProtection="1">
      <protection locked="0"/>
    </xf>
    <xf numFmtId="165" fontId="46" fillId="2" borderId="0" xfId="0" applyNumberFormat="1" applyFont="1" applyFill="1" applyAlignment="1" applyProtection="1">
      <alignment horizontal="center"/>
      <protection locked="0"/>
    </xf>
    <xf numFmtId="166" fontId="46" fillId="2" borderId="0" xfId="0" applyNumberFormat="1" applyFont="1" applyFill="1" applyAlignment="1" applyProtection="1">
      <alignment horizontal="center"/>
      <protection locked="0"/>
    </xf>
    <xf numFmtId="165" fontId="16" fillId="0" borderId="3" xfId="0" applyNumberFormat="1" applyFont="1" applyBorder="1"/>
    <xf numFmtId="0" fontId="28" fillId="0" borderId="3" xfId="0" applyFont="1" applyBorder="1"/>
    <xf numFmtId="0" fontId="22" fillId="0" borderId="0" xfId="0" applyFont="1" applyAlignment="1" applyProtection="1">
      <alignment horizontal="left"/>
      <protection locked="0"/>
    </xf>
    <xf numFmtId="0" fontId="28" fillId="0" borderId="0" xfId="0" applyFont="1" applyAlignment="1" applyProtection="1">
      <alignment horizontal="left"/>
      <protection locked="0"/>
    </xf>
    <xf numFmtId="37" fontId="27" fillId="3" borderId="0" xfId="0" applyNumberFormat="1" applyFont="1" applyFill="1" applyAlignment="1" applyProtection="1">
      <alignment horizontal="right"/>
      <protection locked="0"/>
    </xf>
    <xf numFmtId="37" fontId="27" fillId="0" borderId="0" xfId="1" applyNumberFormat="1" applyFont="1" applyFill="1" applyAlignment="1" applyProtection="1">
      <alignment horizontal="right"/>
      <protection locked="0"/>
    </xf>
    <xf numFmtId="37" fontId="27" fillId="0" borderId="0" xfId="0" applyNumberFormat="1" applyFont="1" applyAlignment="1">
      <alignment horizontal="right"/>
    </xf>
    <xf numFmtId="37" fontId="27" fillId="0" borderId="3" xfId="1" applyNumberFormat="1" applyFont="1" applyFill="1" applyBorder="1" applyAlignment="1" applyProtection="1">
      <alignment horizontal="right"/>
    </xf>
    <xf numFmtId="37" fontId="39" fillId="3" borderId="0" xfId="0" applyNumberFormat="1" applyFont="1" applyFill="1" applyAlignment="1" applyProtection="1">
      <alignment horizontal="right"/>
      <protection locked="0"/>
    </xf>
    <xf numFmtId="37" fontId="27" fillId="0" borderId="0" xfId="1" applyNumberFormat="1" applyFont="1" applyFill="1" applyAlignment="1" applyProtection="1">
      <alignment horizontal="right"/>
    </xf>
    <xf numFmtId="37" fontId="39" fillId="0" borderId="0" xfId="1" applyNumberFormat="1" applyFont="1" applyFill="1" applyAlignment="1" applyProtection="1">
      <alignment horizontal="right"/>
      <protection locked="0"/>
    </xf>
    <xf numFmtId="37" fontId="39" fillId="0" borderId="0" xfId="1" applyNumberFormat="1" applyFont="1" applyFill="1" applyAlignment="1" applyProtection="1">
      <alignment horizontal="right"/>
    </xf>
    <xf numFmtId="37" fontId="27" fillId="0" borderId="0" xfId="1" applyNumberFormat="1" applyFont="1" applyFill="1" applyBorder="1" applyAlignment="1" applyProtection="1">
      <alignment horizontal="right"/>
      <protection locked="0"/>
    </xf>
    <xf numFmtId="37" fontId="27" fillId="3" borderId="0" xfId="2" applyNumberFormat="1" applyFont="1" applyFill="1" applyBorder="1" applyAlignment="1" applyProtection="1">
      <alignment horizontal="right"/>
      <protection locked="0"/>
    </xf>
    <xf numFmtId="37" fontId="27" fillId="0" borderId="9" xfId="2" applyNumberFormat="1" applyFont="1" applyFill="1" applyBorder="1" applyAlignment="1" applyProtection="1">
      <alignment horizontal="right"/>
      <protection locked="0"/>
    </xf>
    <xf numFmtId="37" fontId="39" fillId="3" borderId="0" xfId="2" applyNumberFormat="1" applyFont="1" applyFill="1" applyBorder="1" applyAlignment="1" applyProtection="1">
      <alignment horizontal="right"/>
      <protection locked="0"/>
    </xf>
    <xf numFmtId="37" fontId="27" fillId="0" borderId="0" xfId="0" applyNumberFormat="1" applyFont="1" applyAlignment="1" applyProtection="1">
      <alignment horizontal="right"/>
      <protection locked="0"/>
    </xf>
    <xf numFmtId="37" fontId="27" fillId="4" borderId="0" xfId="1" applyNumberFormat="1" applyFont="1" applyFill="1" applyAlignment="1" applyProtection="1">
      <alignment horizontal="right"/>
    </xf>
    <xf numFmtId="37" fontId="39" fillId="0" borderId="0" xfId="0" applyNumberFormat="1" applyFont="1" applyAlignment="1" applyProtection="1">
      <alignment horizontal="right"/>
      <protection locked="0"/>
    </xf>
    <xf numFmtId="37" fontId="39" fillId="4" borderId="0" xfId="1" applyNumberFormat="1" applyFont="1" applyFill="1" applyAlignment="1" applyProtection="1">
      <alignment horizontal="right"/>
    </xf>
    <xf numFmtId="37" fontId="27" fillId="0" borderId="0" xfId="1" applyNumberFormat="1" applyFont="1" applyFill="1" applyBorder="1" applyAlignment="1" applyProtection="1">
      <alignment horizontal="right"/>
    </xf>
    <xf numFmtId="37" fontId="39" fillId="0" borderId="0" xfId="1" applyNumberFormat="1" applyFont="1" applyFill="1" applyBorder="1" applyAlignment="1" applyProtection="1">
      <alignment horizontal="right"/>
    </xf>
    <xf numFmtId="37" fontId="27" fillId="0" borderId="1" xfId="0" applyNumberFormat="1" applyFont="1" applyBorder="1" applyAlignment="1" applyProtection="1">
      <alignment horizontal="right"/>
      <protection locked="0"/>
    </xf>
    <xf numFmtId="37" fontId="27" fillId="0" borderId="7" xfId="0" applyNumberFormat="1" applyFont="1" applyBorder="1" applyAlignment="1" applyProtection="1">
      <alignment horizontal="right"/>
      <protection locked="0"/>
    </xf>
    <xf numFmtId="37" fontId="27" fillId="0" borderId="0" xfId="2" applyNumberFormat="1" applyFont="1" applyFill="1" applyAlignment="1" applyProtection="1">
      <alignment horizontal="right"/>
    </xf>
    <xf numFmtId="37" fontId="27" fillId="0" borderId="3" xfId="2" applyNumberFormat="1" applyFont="1" applyFill="1" applyBorder="1" applyAlignment="1" applyProtection="1">
      <alignment horizontal="right"/>
    </xf>
    <xf numFmtId="37" fontId="39" fillId="0" borderId="0" xfId="2" applyNumberFormat="1" applyFont="1" applyFill="1" applyAlignment="1" applyProtection="1">
      <alignment horizontal="right"/>
    </xf>
    <xf numFmtId="37" fontId="27" fillId="0" borderId="9" xfId="0" applyNumberFormat="1" applyFont="1" applyBorder="1" applyAlignment="1" applyProtection="1">
      <alignment horizontal="right"/>
      <protection locked="0"/>
    </xf>
    <xf numFmtId="37" fontId="27" fillId="0" borderId="0" xfId="2" applyNumberFormat="1" applyFont="1" applyFill="1" applyBorder="1" applyAlignment="1" applyProtection="1">
      <alignment horizontal="right"/>
    </xf>
    <xf numFmtId="37" fontId="27" fillId="4" borderId="0" xfId="2" applyNumberFormat="1" applyFont="1" applyFill="1" applyAlignment="1" applyProtection="1">
      <alignment horizontal="right"/>
    </xf>
    <xf numFmtId="37" fontId="39" fillId="4" borderId="0" xfId="2" applyNumberFormat="1" applyFont="1" applyFill="1" applyAlignment="1" applyProtection="1">
      <alignment horizontal="right"/>
    </xf>
    <xf numFmtId="37" fontId="27" fillId="0" borderId="0" xfId="1" applyNumberFormat="1" applyFont="1" applyBorder="1" applyAlignment="1" applyProtection="1">
      <alignment horizontal="right"/>
    </xf>
    <xf numFmtId="37" fontId="27" fillId="0" borderId="0" xfId="1" applyNumberFormat="1" applyFont="1" applyAlignment="1" applyProtection="1">
      <alignment horizontal="right"/>
    </xf>
    <xf numFmtId="37" fontId="27" fillId="0" borderId="23" xfId="0" applyNumberFormat="1" applyFont="1" applyBorder="1" applyAlignment="1" applyProtection="1">
      <alignment horizontal="right"/>
      <protection locked="0"/>
    </xf>
    <xf numFmtId="37" fontId="27" fillId="0" borderId="3" xfId="0" applyNumberFormat="1" applyFont="1" applyBorder="1" applyAlignment="1">
      <alignment horizontal="right"/>
    </xf>
    <xf numFmtId="37" fontId="39" fillId="0" borderId="0" xfId="0" applyNumberFormat="1" applyFont="1" applyAlignment="1">
      <alignment horizontal="right"/>
    </xf>
    <xf numFmtId="39" fontId="27" fillId="3" borderId="0" xfId="0" applyNumberFormat="1" applyFont="1" applyFill="1" applyAlignment="1" applyProtection="1">
      <alignment horizontal="right"/>
      <protection locked="0"/>
    </xf>
    <xf numFmtId="39" fontId="27" fillId="0" borderId="0" xfId="1" applyNumberFormat="1" applyFont="1" applyFill="1" applyAlignment="1" applyProtection="1">
      <alignment horizontal="right"/>
      <protection locked="0"/>
    </xf>
    <xf numFmtId="39" fontId="27" fillId="0" borderId="0" xfId="0" applyNumberFormat="1" applyFont="1" applyAlignment="1">
      <alignment horizontal="right"/>
    </xf>
    <xf numFmtId="39" fontId="27" fillId="0" borderId="3" xfId="0" applyNumberFormat="1" applyFont="1" applyBorder="1" applyAlignment="1">
      <alignment horizontal="right"/>
    </xf>
    <xf numFmtId="39" fontId="39" fillId="3" borderId="0" xfId="0" applyNumberFormat="1" applyFont="1" applyFill="1" applyAlignment="1" applyProtection="1">
      <alignment horizontal="right"/>
      <protection locked="0"/>
    </xf>
    <xf numFmtId="39" fontId="39" fillId="0" borderId="0" xfId="0" applyNumberFormat="1" applyFont="1" applyAlignment="1">
      <alignment horizontal="right"/>
    </xf>
    <xf numFmtId="3" fontId="27" fillId="0" borderId="0" xfId="0" applyNumberFormat="1" applyFont="1" applyAlignment="1" applyProtection="1">
      <alignment horizontal="right"/>
      <protection locked="0"/>
    </xf>
    <xf numFmtId="37" fontId="39" fillId="0" borderId="0" xfId="1" applyNumberFormat="1" applyFont="1" applyAlignment="1" applyProtection="1">
      <alignment horizontal="right"/>
    </xf>
    <xf numFmtId="37" fontId="15" fillId="0" borderId="0" xfId="0" applyNumberFormat="1" applyFont="1" applyAlignment="1">
      <alignment horizontal="right"/>
    </xf>
    <xf numFmtId="37" fontId="44" fillId="3" borderId="0" xfId="0" applyNumberFormat="1" applyFont="1" applyFill="1" applyAlignment="1" applyProtection="1">
      <alignment horizontal="right"/>
      <protection locked="0"/>
    </xf>
    <xf numFmtId="37" fontId="18" fillId="0" borderId="0" xfId="1" applyNumberFormat="1" applyFont="1" applyFill="1" applyAlignment="1" applyProtection="1">
      <alignment horizontal="right"/>
      <protection locked="0"/>
    </xf>
    <xf numFmtId="37" fontId="44" fillId="3" borderId="0" xfId="1" applyNumberFormat="1" applyFont="1" applyFill="1" applyAlignment="1" applyProtection="1">
      <alignment horizontal="right"/>
      <protection locked="0"/>
    </xf>
    <xf numFmtId="37" fontId="18" fillId="0" borderId="3" xfId="1" applyNumberFormat="1" applyFont="1" applyFill="1" applyBorder="1" applyAlignment="1" applyProtection="1">
      <alignment horizontal="right"/>
    </xf>
    <xf numFmtId="37" fontId="18" fillId="3" borderId="0" xfId="1" applyNumberFormat="1" applyFont="1" applyFill="1" applyBorder="1" applyAlignment="1" applyProtection="1">
      <alignment horizontal="right"/>
      <protection locked="0"/>
    </xf>
    <xf numFmtId="37" fontId="18" fillId="0" borderId="0" xfId="1" applyNumberFormat="1" applyFont="1" applyFill="1" applyAlignment="1" applyProtection="1">
      <alignment horizontal="right"/>
    </xf>
    <xf numFmtId="0" fontId="15" fillId="0" borderId="0" xfId="0" applyFont="1" applyAlignment="1" applyProtection="1">
      <alignment horizontal="right"/>
      <protection locked="0"/>
    </xf>
    <xf numFmtId="37" fontId="44" fillId="0" borderId="0" xfId="0" applyNumberFormat="1" applyFont="1" applyAlignment="1">
      <alignment horizontal="right"/>
    </xf>
    <xf numFmtId="37" fontId="44" fillId="0" borderId="0" xfId="1" applyNumberFormat="1" applyFont="1" applyFill="1" applyAlignment="1" applyProtection="1">
      <alignment horizontal="right"/>
    </xf>
    <xf numFmtId="37" fontId="44" fillId="0" borderId="3" xfId="1" applyNumberFormat="1" applyFont="1" applyFill="1" applyBorder="1" applyAlignment="1" applyProtection="1">
      <alignment horizontal="right"/>
    </xf>
    <xf numFmtId="37" fontId="44" fillId="3" borderId="0" xfId="1" applyNumberFormat="1" applyFont="1" applyFill="1" applyBorder="1" applyAlignment="1" applyProtection="1">
      <alignment horizontal="right"/>
      <protection locked="0"/>
    </xf>
    <xf numFmtId="37" fontId="44" fillId="4" borderId="0" xfId="1" applyNumberFormat="1" applyFont="1" applyFill="1" applyAlignment="1" applyProtection="1">
      <alignment horizontal="right"/>
    </xf>
    <xf numFmtId="0" fontId="44" fillId="0" borderId="0" xfId="0" applyFont="1" applyAlignment="1" applyProtection="1">
      <alignment horizontal="right"/>
      <protection locked="0"/>
    </xf>
    <xf numFmtId="37" fontId="15" fillId="3" borderId="0" xfId="0" applyNumberFormat="1" applyFont="1" applyFill="1" applyAlignment="1" applyProtection="1">
      <alignment horizontal="right"/>
      <protection locked="0"/>
    </xf>
    <xf numFmtId="37" fontId="21" fillId="0" borderId="0" xfId="1" applyNumberFormat="1" applyFont="1" applyFill="1" applyAlignment="1" applyProtection="1">
      <alignment horizontal="right"/>
    </xf>
    <xf numFmtId="37" fontId="21" fillId="3" borderId="0" xfId="1" applyNumberFormat="1" applyFont="1" applyFill="1" applyAlignment="1" applyProtection="1">
      <alignment horizontal="right"/>
      <protection locked="0"/>
    </xf>
    <xf numFmtId="37" fontId="21" fillId="0" borderId="3" xfId="1" applyNumberFormat="1" applyFont="1" applyFill="1" applyBorder="1" applyAlignment="1" applyProtection="1">
      <alignment horizontal="right"/>
    </xf>
    <xf numFmtId="37" fontId="21" fillId="3" borderId="0" xfId="1" applyNumberFormat="1" applyFont="1" applyFill="1" applyBorder="1" applyAlignment="1" applyProtection="1">
      <alignment horizontal="right"/>
      <protection locked="0"/>
    </xf>
    <xf numFmtId="37" fontId="18" fillId="0" borderId="0" xfId="1" applyNumberFormat="1" applyFont="1" applyFill="1" applyBorder="1" applyAlignment="1" applyProtection="1">
      <alignment horizontal="right"/>
    </xf>
    <xf numFmtId="37" fontId="31" fillId="0" borderId="0" xfId="0" applyNumberFormat="1" applyFont="1" applyAlignment="1">
      <alignment horizontal="right"/>
    </xf>
    <xf numFmtId="37" fontId="31" fillId="0" borderId="0" xfId="2" applyNumberFormat="1" applyFont="1" applyFill="1" applyAlignment="1" applyProtection="1">
      <alignment horizontal="right"/>
    </xf>
    <xf numFmtId="37" fontId="31" fillId="0" borderId="3" xfId="2" applyNumberFormat="1" applyFont="1" applyFill="1" applyBorder="1" applyAlignment="1" applyProtection="1">
      <alignment horizontal="right"/>
    </xf>
    <xf numFmtId="37" fontId="23" fillId="0" borderId="0" xfId="2" applyNumberFormat="1" applyFont="1" applyFill="1" applyAlignment="1" applyProtection="1">
      <alignment horizontal="right"/>
    </xf>
    <xf numFmtId="0" fontId="31" fillId="0" borderId="0" xfId="0" applyFont="1" applyAlignment="1" applyProtection="1">
      <alignment horizontal="right"/>
      <protection locked="0"/>
    </xf>
    <xf numFmtId="37" fontId="44" fillId="0" borderId="0" xfId="2" applyNumberFormat="1" applyFont="1" applyFill="1" applyAlignment="1" applyProtection="1">
      <alignment horizontal="right"/>
    </xf>
    <xf numFmtId="37" fontId="44" fillId="0" borderId="3" xfId="2" applyNumberFormat="1" applyFont="1" applyFill="1" applyBorder="1" applyAlignment="1" applyProtection="1">
      <alignment horizontal="right"/>
    </xf>
    <xf numFmtId="37" fontId="20" fillId="0" borderId="0" xfId="1" applyNumberFormat="1" applyFont="1" applyFill="1" applyAlignment="1" applyProtection="1">
      <alignment horizontal="right"/>
    </xf>
    <xf numFmtId="37" fontId="44" fillId="0" borderId="0" xfId="2" applyNumberFormat="1" applyFont="1" applyFill="1" applyBorder="1" applyAlignment="1" applyProtection="1">
      <alignment horizontal="right"/>
    </xf>
    <xf numFmtId="37" fontId="32" fillId="0" borderId="0" xfId="0" applyNumberFormat="1" applyFont="1" applyAlignment="1">
      <alignment horizontal="right"/>
    </xf>
    <xf numFmtId="37" fontId="30" fillId="0" borderId="0" xfId="1" applyNumberFormat="1" applyFont="1" applyFill="1" applyAlignment="1" applyProtection="1">
      <alignment horizontal="right"/>
    </xf>
    <xf numFmtId="37" fontId="30" fillId="0" borderId="3" xfId="1" applyNumberFormat="1" applyFont="1" applyFill="1" applyBorder="1" applyAlignment="1" applyProtection="1">
      <alignment horizontal="right"/>
    </xf>
    <xf numFmtId="37" fontId="29" fillId="0" borderId="0" xfId="1" applyNumberFormat="1" applyFont="1" applyFill="1" applyAlignment="1" applyProtection="1">
      <alignment horizontal="right"/>
    </xf>
    <xf numFmtId="0" fontId="32" fillId="0" borderId="0" xfId="0" applyFont="1" applyAlignment="1" applyProtection="1">
      <alignment horizontal="right"/>
      <protection locked="0"/>
    </xf>
    <xf numFmtId="37" fontId="20" fillId="0" borderId="0" xfId="1" applyNumberFormat="1" applyFont="1" applyAlignment="1" applyProtection="1">
      <alignment horizontal="right"/>
    </xf>
    <xf numFmtId="37" fontId="44" fillId="0" borderId="0" xfId="1" applyNumberFormat="1" applyFont="1" applyAlignment="1" applyProtection="1">
      <alignment horizontal="right"/>
    </xf>
    <xf numFmtId="37" fontId="15" fillId="0" borderId="3" xfId="0" applyNumberFormat="1" applyFont="1" applyBorder="1" applyAlignment="1">
      <alignment horizontal="right"/>
    </xf>
    <xf numFmtId="37" fontId="44" fillId="0" borderId="3" xfId="0" applyNumberFormat="1" applyFont="1" applyBorder="1" applyAlignment="1">
      <alignment horizontal="right"/>
    </xf>
    <xf numFmtId="0" fontId="28" fillId="2" borderId="0" xfId="0" applyFont="1" applyFill="1" applyProtection="1">
      <protection locked="0"/>
    </xf>
    <xf numFmtId="0" fontId="34" fillId="2" borderId="0" xfId="0" applyFont="1" applyFill="1" applyProtection="1">
      <protection locked="0"/>
    </xf>
    <xf numFmtId="0" fontId="28" fillId="10" borderId="0" xfId="0" applyFont="1" applyFill="1" applyProtection="1">
      <protection locked="0"/>
    </xf>
    <xf numFmtId="0" fontId="34" fillId="10" borderId="0" xfId="0" applyFont="1" applyFill="1" applyProtection="1">
      <protection locked="0"/>
    </xf>
    <xf numFmtId="0" fontId="28" fillId="3" borderId="0" xfId="0" applyFont="1" applyFill="1" applyProtection="1">
      <protection locked="0"/>
    </xf>
    <xf numFmtId="0" fontId="34" fillId="11" borderId="7" xfId="0" applyFont="1" applyFill="1" applyBorder="1" applyProtection="1">
      <protection locked="0"/>
    </xf>
    <xf numFmtId="0" fontId="34" fillId="11" borderId="19" xfId="0" applyFont="1" applyFill="1" applyBorder="1" applyAlignment="1" applyProtection="1">
      <alignment horizontal="left" indent="1"/>
      <protection locked="0"/>
    </xf>
    <xf numFmtId="0" fontId="34" fillId="11" borderId="7" xfId="0" applyFont="1" applyFill="1" applyBorder="1"/>
    <xf numFmtId="10" fontId="28" fillId="0" borderId="0" xfId="0" applyNumberFormat="1" applyFont="1" applyProtection="1">
      <protection locked="0"/>
    </xf>
    <xf numFmtId="0" fontId="27" fillId="0" borderId="0" xfId="0" applyFont="1" applyProtection="1">
      <protection locked="0"/>
    </xf>
    <xf numFmtId="10" fontId="27" fillId="0" borderId="0" xfId="0" applyNumberFormat="1" applyFont="1" applyProtection="1">
      <protection locked="0"/>
    </xf>
    <xf numFmtId="2" fontId="28" fillId="0" borderId="0" xfId="0" applyNumberFormat="1" applyFont="1" applyProtection="1">
      <protection locked="0"/>
    </xf>
    <xf numFmtId="2" fontId="27" fillId="0" borderId="0" xfId="0" applyNumberFormat="1" applyFont="1" applyProtection="1">
      <protection locked="0"/>
    </xf>
    <xf numFmtId="0" fontId="34" fillId="11" borderId="19" xfId="0" applyFont="1" applyFill="1" applyBorder="1" applyProtection="1">
      <protection locked="0"/>
    </xf>
    <xf numFmtId="37" fontId="38" fillId="3" borderId="0" xfId="0" applyNumberFormat="1" applyFont="1" applyFill="1" applyProtection="1">
      <protection locked="0"/>
    </xf>
    <xf numFmtId="0" fontId="15" fillId="0" borderId="0" xfId="0" applyFont="1" applyAlignment="1">
      <alignment horizontal="left" indent="3"/>
    </xf>
    <xf numFmtId="0" fontId="24" fillId="0" borderId="0" xfId="0" applyFont="1" applyAlignment="1">
      <alignment horizontal="left" indent="4"/>
    </xf>
    <xf numFmtId="174" fontId="0" fillId="0" borderId="0" xfId="0" applyNumberFormat="1"/>
    <xf numFmtId="39" fontId="0" fillId="0" borderId="0" xfId="0" applyNumberFormat="1"/>
    <xf numFmtId="168" fontId="24" fillId="3" borderId="0" xfId="2" applyNumberFormat="1" applyFont="1" applyFill="1" applyProtection="1">
      <protection locked="0"/>
    </xf>
    <xf numFmtId="168" fontId="24" fillId="0" borderId="0" xfId="2" applyNumberFormat="1" applyFont="1" applyFill="1" applyBorder="1" applyProtection="1">
      <protection locked="0"/>
    </xf>
    <xf numFmtId="168" fontId="24" fillId="3" borderId="0" xfId="2" applyNumberFormat="1" applyFont="1" applyFill="1" applyBorder="1" applyProtection="1">
      <protection locked="0"/>
    </xf>
    <xf numFmtId="168" fontId="24" fillId="0" borderId="0" xfId="2" applyNumberFormat="1" applyFont="1" applyProtection="1">
      <protection locked="0"/>
    </xf>
    <xf numFmtId="168" fontId="39" fillId="3" borderId="0" xfId="2" applyNumberFormat="1" applyFont="1" applyFill="1" applyProtection="1">
      <protection locked="0"/>
    </xf>
    <xf numFmtId="168" fontId="39" fillId="0" borderId="0" xfId="2" applyNumberFormat="1" applyFont="1" applyProtection="1">
      <protection locked="0"/>
    </xf>
    <xf numFmtId="37" fontId="38" fillId="0" borderId="0" xfId="0" applyNumberFormat="1" applyFont="1" applyProtection="1">
      <protection locked="0"/>
    </xf>
    <xf numFmtId="37" fontId="28" fillId="0" borderId="0" xfId="0" applyNumberFormat="1" applyFont="1" applyProtection="1">
      <protection locked="0"/>
    </xf>
    <xf numFmtId="37" fontId="28" fillId="0" borderId="7" xfId="0" applyNumberFormat="1" applyFont="1" applyBorder="1" applyProtection="1">
      <protection locked="0"/>
    </xf>
    <xf numFmtId="37" fontId="28" fillId="3" borderId="0" xfId="0" applyNumberFormat="1" applyFont="1" applyFill="1" applyProtection="1">
      <protection locked="0"/>
    </xf>
    <xf numFmtId="37" fontId="34" fillId="11" borderId="7" xfId="0" applyNumberFormat="1" applyFont="1" applyFill="1" applyBorder="1" applyProtection="1">
      <protection locked="0"/>
    </xf>
    <xf numFmtId="168" fontId="23" fillId="9" borderId="4" xfId="2" applyNumberFormat="1" applyFont="1" applyFill="1" applyBorder="1" applyProtection="1">
      <protection locked="0"/>
    </xf>
    <xf numFmtId="37" fontId="38" fillId="0" borderId="0" xfId="1" applyNumberFormat="1" applyFont="1" applyFill="1" applyBorder="1" applyProtection="1">
      <protection locked="0"/>
    </xf>
    <xf numFmtId="168" fontId="28" fillId="0" borderId="0" xfId="0" applyNumberFormat="1" applyFont="1" applyProtection="1">
      <protection locked="0"/>
    </xf>
    <xf numFmtId="168" fontId="25" fillId="0" borderId="0" xfId="0" applyNumberFormat="1" applyFont="1" applyProtection="1">
      <protection locked="0"/>
    </xf>
    <xf numFmtId="175" fontId="27" fillId="3" borderId="0" xfId="0" applyNumberFormat="1" applyFont="1" applyFill="1" applyProtection="1">
      <protection locked="0"/>
    </xf>
    <xf numFmtId="39" fontId="34" fillId="0" borderId="0" xfId="0" applyNumberFormat="1" applyFont="1" applyProtection="1">
      <protection locked="0"/>
    </xf>
    <xf numFmtId="37" fontId="34" fillId="0" borderId="0" xfId="0" applyNumberFormat="1" applyFont="1" applyProtection="1">
      <protection locked="0"/>
    </xf>
    <xf numFmtId="37" fontId="24" fillId="3" borderId="0" xfId="0" applyNumberFormat="1" applyFont="1" applyFill="1" applyProtection="1">
      <protection locked="0"/>
    </xf>
    <xf numFmtId="37" fontId="25" fillId="0" borderId="0" xfId="0" applyNumberFormat="1" applyFont="1" applyProtection="1">
      <protection locked="0"/>
    </xf>
    <xf numFmtId="37" fontId="25" fillId="0" borderId="0" xfId="0" applyNumberFormat="1" applyFont="1"/>
    <xf numFmtId="37" fontId="25" fillId="0" borderId="3" xfId="0" applyNumberFormat="1" applyFont="1" applyBorder="1"/>
    <xf numFmtId="37" fontId="23" fillId="9" borderId="4" xfId="0" applyNumberFormat="1" applyFont="1" applyFill="1" applyBorder="1" applyProtection="1">
      <protection locked="0"/>
    </xf>
    <xf numFmtId="168" fontId="28" fillId="0" borderId="0" xfId="2" applyNumberFormat="1" applyFont="1" applyProtection="1">
      <protection locked="0"/>
    </xf>
    <xf numFmtId="175" fontId="23" fillId="9" borderId="4" xfId="0" applyNumberFormat="1" applyFont="1" applyFill="1" applyBorder="1" applyProtection="1">
      <protection locked="0"/>
    </xf>
    <xf numFmtId="175" fontId="27" fillId="0" borderId="0" xfId="0" applyNumberFormat="1" applyFont="1" applyProtection="1">
      <protection locked="0"/>
    </xf>
    <xf numFmtId="175" fontId="27" fillId="0" borderId="0" xfId="0" applyNumberFormat="1" applyFont="1"/>
    <xf numFmtId="175" fontId="27" fillId="0" borderId="3" xfId="0" applyNumberFormat="1" applyFont="1" applyBorder="1"/>
    <xf numFmtId="175" fontId="39" fillId="3" borderId="0" xfId="0" applyNumberFormat="1" applyFont="1" applyFill="1" applyProtection="1">
      <protection locked="0"/>
    </xf>
    <xf numFmtId="175" fontId="27" fillId="0" borderId="0" xfId="1" applyNumberFormat="1" applyFont="1" applyFill="1" applyBorder="1" applyProtection="1"/>
    <xf numFmtId="175" fontId="27" fillId="0" borderId="3" xfId="1" applyNumberFormat="1" applyFont="1" applyFill="1" applyBorder="1" applyProtection="1"/>
    <xf numFmtId="175" fontId="25" fillId="0" borderId="0" xfId="0" applyNumberFormat="1" applyFont="1" applyProtection="1">
      <protection locked="0"/>
    </xf>
    <xf numFmtId="39" fontId="25" fillId="0" borderId="0" xfId="0" applyNumberFormat="1" applyFont="1" applyProtection="1">
      <protection locked="0"/>
    </xf>
    <xf numFmtId="168" fontId="25" fillId="0" borderId="0" xfId="2" applyNumberFormat="1" applyFont="1" applyProtection="1">
      <protection locked="0"/>
    </xf>
    <xf numFmtId="0" fontId="28" fillId="0" borderId="13" xfId="0" applyFont="1" applyBorder="1"/>
    <xf numFmtId="0" fontId="35" fillId="2" borderId="0" xfId="0" applyFont="1" applyFill="1" applyProtection="1">
      <protection locked="0"/>
    </xf>
    <xf numFmtId="0" fontId="37" fillId="0" borderId="0" xfId="0" applyFont="1" applyProtection="1">
      <protection locked="0"/>
    </xf>
    <xf numFmtId="0" fontId="37" fillId="0" borderId="0" xfId="0" applyFont="1"/>
    <xf numFmtId="0" fontId="37" fillId="2" borderId="0" xfId="0" applyFont="1" applyFill="1" applyProtection="1">
      <protection locked="0"/>
    </xf>
    <xf numFmtId="0" fontId="43" fillId="0" borderId="0" xfId="0" applyFont="1" applyProtection="1">
      <protection locked="0"/>
    </xf>
    <xf numFmtId="0" fontId="43" fillId="0" borderId="0" xfId="0" applyFont="1"/>
    <xf numFmtId="37" fontId="43" fillId="0" borderId="0" xfId="0" applyNumberFormat="1" applyFont="1" applyProtection="1">
      <protection locked="0"/>
    </xf>
    <xf numFmtId="172" fontId="26" fillId="9" borderId="4" xfId="2" applyNumberFormat="1" applyFont="1" applyFill="1" applyBorder="1" applyProtection="1">
      <protection locked="0"/>
    </xf>
    <xf numFmtId="0" fontId="28" fillId="0" borderId="1" xfId="0" applyFont="1" applyBorder="1" applyProtection="1">
      <protection locked="0"/>
    </xf>
    <xf numFmtId="37" fontId="28" fillId="0" borderId="1" xfId="0" applyNumberFormat="1" applyFont="1" applyBorder="1" applyProtection="1">
      <protection locked="0"/>
    </xf>
    <xf numFmtId="175" fontId="38" fillId="0" borderId="1" xfId="0" applyNumberFormat="1" applyFont="1" applyBorder="1" applyProtection="1">
      <protection locked="0"/>
    </xf>
    <xf numFmtId="37" fontId="49" fillId="0" borderId="0" xfId="0" applyNumberFormat="1" applyFont="1"/>
    <xf numFmtId="37" fontId="12" fillId="0" borderId="0" xfId="0" applyNumberFormat="1" applyFont="1"/>
    <xf numFmtId="37" fontId="12" fillId="0" borderId="1" xfId="0" applyNumberFormat="1" applyFont="1" applyBorder="1"/>
    <xf numFmtId="172" fontId="0" fillId="0" borderId="0" xfId="0" applyNumberFormat="1"/>
    <xf numFmtId="39" fontId="39" fillId="0" borderId="0" xfId="0" applyNumberFormat="1" applyFont="1" applyProtection="1">
      <protection locked="0"/>
    </xf>
    <xf numFmtId="0" fontId="28" fillId="0" borderId="1" xfId="0" applyFont="1" applyBorder="1"/>
    <xf numFmtId="0" fontId="34" fillId="0" borderId="1" xfId="0" applyFont="1" applyBorder="1" applyProtection="1">
      <protection locked="0"/>
    </xf>
    <xf numFmtId="173" fontId="39" fillId="0" borderId="0" xfId="0" applyNumberFormat="1" applyFont="1" applyProtection="1">
      <protection locked="0"/>
    </xf>
    <xf numFmtId="0" fontId="37" fillId="2" borderId="0" xfId="0" applyFont="1" applyFill="1" applyAlignment="1" applyProtection="1">
      <alignment horizontal="right"/>
      <protection locked="0"/>
    </xf>
    <xf numFmtId="175" fontId="39" fillId="0" borderId="0" xfId="0" applyNumberFormat="1" applyFont="1" applyProtection="1">
      <protection locked="0"/>
    </xf>
    <xf numFmtId="37" fontId="28" fillId="0" borderId="9" xfId="0" applyNumberFormat="1" applyFont="1" applyBorder="1" applyProtection="1">
      <protection locked="0"/>
    </xf>
    <xf numFmtId="0" fontId="44" fillId="0" borderId="3" xfId="0" applyFont="1" applyBorder="1"/>
    <xf numFmtId="3" fontId="39" fillId="0" borderId="0" xfId="0" applyNumberFormat="1" applyFont="1" applyProtection="1">
      <protection locked="0"/>
    </xf>
    <xf numFmtId="0" fontId="6" fillId="9" borderId="4" xfId="13" applyFont="1" applyFill="1" applyBorder="1"/>
    <xf numFmtId="0" fontId="6" fillId="9" borderId="4" xfId="13" applyFont="1" applyFill="1" applyBorder="1" applyAlignment="1">
      <alignment wrapText="1"/>
    </xf>
    <xf numFmtId="0" fontId="5" fillId="12" borderId="0" xfId="0" applyFont="1" applyFill="1"/>
    <xf numFmtId="170" fontId="2" fillId="0" borderId="0" xfId="0" applyNumberFormat="1" applyFont="1"/>
    <xf numFmtId="0" fontId="4" fillId="12" borderId="0" xfId="0" applyFont="1" applyFill="1"/>
    <xf numFmtId="0" fontId="2" fillId="12" borderId="0" xfId="0" applyFont="1" applyFill="1"/>
    <xf numFmtId="0" fontId="3" fillId="0" borderId="0" xfId="0" applyFont="1" applyAlignment="1">
      <alignment horizontal="left"/>
    </xf>
    <xf numFmtId="0" fontId="6" fillId="9" borderId="22" xfId="13" applyFont="1" applyFill="1" applyBorder="1"/>
    <xf numFmtId="0" fontId="0" fillId="9" borderId="24" xfId="0" applyFill="1" applyBorder="1"/>
    <xf numFmtId="0" fontId="6" fillId="9" borderId="16" xfId="13" applyFont="1" applyFill="1" applyBorder="1"/>
    <xf numFmtId="0" fontId="0" fillId="9" borderId="6" xfId="0" applyFill="1" applyBorder="1"/>
    <xf numFmtId="0" fontId="37" fillId="2" borderId="0" xfId="0" applyFont="1" applyFill="1"/>
    <xf numFmtId="0" fontId="34" fillId="0" borderId="0" xfId="0" applyFont="1" applyAlignment="1">
      <alignment horizontal="left" indent="1"/>
    </xf>
    <xf numFmtId="0" fontId="34" fillId="0" borderId="0" xfId="0" applyFont="1" applyAlignment="1">
      <alignment horizontal="center" vertical="center" wrapText="1"/>
    </xf>
    <xf numFmtId="0" fontId="28" fillId="0" borderId="0" xfId="0" applyFont="1" applyAlignment="1">
      <alignment horizontal="left" indent="1"/>
    </xf>
    <xf numFmtId="0" fontId="28" fillId="0" borderId="0" xfId="0" applyFont="1" applyAlignment="1">
      <alignment horizontal="center" vertical="center" wrapText="1"/>
    </xf>
    <xf numFmtId="0" fontId="34" fillId="0" borderId="0" xfId="0" applyFont="1" applyAlignment="1">
      <alignment horizontal="left" vertical="top" indent="1"/>
    </xf>
    <xf numFmtId="0" fontId="27" fillId="0" borderId="0" xfId="5" applyFont="1" applyAlignment="1">
      <alignment vertical="center"/>
    </xf>
    <xf numFmtId="0" fontId="43" fillId="0" borderId="0" xfId="5" applyFont="1" applyAlignment="1">
      <alignment vertical="center"/>
    </xf>
    <xf numFmtId="0" fontId="28" fillId="10" borderId="0" xfId="0" applyFont="1" applyFill="1" applyAlignment="1">
      <alignment horizontal="center"/>
    </xf>
    <xf numFmtId="0" fontId="50" fillId="0" borderId="0" xfId="0" applyFont="1"/>
    <xf numFmtId="0" fontId="37" fillId="2" borderId="0" xfId="0" applyFont="1" applyFill="1" applyAlignment="1" applyProtection="1">
      <alignment horizontal="left"/>
      <protection locked="0"/>
    </xf>
    <xf numFmtId="0" fontId="37" fillId="2" borderId="0" xfId="0" applyFont="1" applyFill="1" applyAlignment="1" applyProtection="1">
      <alignment horizontal="left" indent="1"/>
      <protection locked="0"/>
    </xf>
    <xf numFmtId="165" fontId="37" fillId="2" borderId="0" xfId="0" applyNumberFormat="1" applyFont="1" applyFill="1" applyAlignment="1">
      <alignment horizontal="center"/>
    </xf>
    <xf numFmtId="0" fontId="51" fillId="2" borderId="0" xfId="0" applyFont="1" applyFill="1"/>
    <xf numFmtId="165" fontId="37" fillId="2" borderId="0" xfId="0" applyNumberFormat="1" applyFont="1" applyFill="1" applyAlignment="1" applyProtection="1">
      <alignment horizontal="center"/>
      <protection locked="0"/>
    </xf>
    <xf numFmtId="0" fontId="37" fillId="10" borderId="0" xfId="0" applyFont="1" applyFill="1" applyProtection="1">
      <protection locked="0"/>
    </xf>
    <xf numFmtId="0" fontId="35" fillId="10" borderId="0" xfId="0" applyFont="1" applyFill="1"/>
    <xf numFmtId="165" fontId="37" fillId="10" borderId="0" xfId="0" applyNumberFormat="1" applyFont="1" applyFill="1" applyProtection="1">
      <protection locked="0"/>
    </xf>
    <xf numFmtId="165" fontId="37" fillId="10" borderId="0" xfId="0" applyNumberFormat="1" applyFont="1" applyFill="1"/>
    <xf numFmtId="0" fontId="37" fillId="2" borderId="0" xfId="5" applyFont="1" applyFill="1" applyAlignment="1">
      <alignment vertical="center"/>
    </xf>
    <xf numFmtId="0" fontId="37" fillId="0" borderId="0" xfId="0" applyFont="1" applyAlignment="1" applyProtection="1">
      <alignment horizontal="left" indent="1"/>
      <protection locked="0"/>
    </xf>
    <xf numFmtId="0" fontId="27" fillId="10" borderId="0" xfId="5" applyFont="1" applyFill="1" applyAlignment="1">
      <alignment vertical="center"/>
    </xf>
    <xf numFmtId="0" fontId="43" fillId="10" borderId="0" xfId="5" applyFont="1" applyFill="1" applyAlignment="1">
      <alignment vertical="center"/>
    </xf>
    <xf numFmtId="0" fontId="27" fillId="0" borderId="25" xfId="5" applyFont="1" applyBorder="1" applyAlignment="1">
      <alignment vertical="center"/>
    </xf>
    <xf numFmtId="0" fontId="43" fillId="0" borderId="25" xfId="5" applyFont="1" applyBorder="1" applyAlignment="1">
      <alignment vertical="center"/>
    </xf>
    <xf numFmtId="0" fontId="27" fillId="0" borderId="0" xfId="5" applyFont="1" applyAlignment="1">
      <alignment horizontal="center" vertical="center"/>
    </xf>
    <xf numFmtId="0" fontId="27" fillId="0" borderId="0" xfId="5" applyFont="1" applyAlignment="1">
      <alignment horizontal="left" vertical="center" wrapText="1"/>
    </xf>
    <xf numFmtId="0" fontId="27" fillId="0" borderId="0" xfId="5" applyFont="1" applyAlignment="1">
      <alignment horizontal="left" vertical="top" wrapText="1"/>
    </xf>
    <xf numFmtId="0" fontId="25" fillId="0" borderId="0" xfId="0" applyFont="1" applyAlignment="1">
      <alignment horizontal="left" indent="1"/>
    </xf>
    <xf numFmtId="0" fontId="43" fillId="0" borderId="25" xfId="5" applyFont="1" applyBorder="1" applyAlignment="1">
      <alignment horizontal="right" vertical="center"/>
    </xf>
    <xf numFmtId="0" fontId="43" fillId="0" borderId="0" xfId="5" applyFont="1" applyAlignment="1">
      <alignment horizontal="left" vertical="center" indent="1"/>
    </xf>
    <xf numFmtId="14" fontId="53" fillId="0" borderId="0" xfId="5" applyNumberFormat="1" applyFont="1" applyAlignment="1">
      <alignment horizontal="right" vertical="center"/>
    </xf>
    <xf numFmtId="0" fontId="6" fillId="9" borderId="21" xfId="13" applyFont="1" applyFill="1" applyBorder="1"/>
    <xf numFmtId="0" fontId="54" fillId="0" borderId="25" xfId="0" applyFont="1" applyBorder="1"/>
    <xf numFmtId="0" fontId="0" fillId="0" borderId="25" xfId="0" applyBorder="1"/>
    <xf numFmtId="0" fontId="3" fillId="0" borderId="25" xfId="0" applyFont="1" applyBorder="1"/>
    <xf numFmtId="39" fontId="0" fillId="0" borderId="0" xfId="0" applyNumberFormat="1" applyAlignment="1">
      <alignment horizontal="right"/>
    </xf>
    <xf numFmtId="0" fontId="55" fillId="2" borderId="0" xfId="0" applyFont="1" applyFill="1" applyAlignment="1">
      <alignment horizontal="right"/>
    </xf>
    <xf numFmtId="37" fontId="39" fillId="0" borderId="3" xfId="1" applyNumberFormat="1" applyFont="1" applyFill="1" applyBorder="1" applyProtection="1">
      <protection locked="0"/>
    </xf>
    <xf numFmtId="168" fontId="24" fillId="0" borderId="3" xfId="2" applyNumberFormat="1" applyFont="1" applyFill="1" applyBorder="1" applyProtection="1">
      <protection locked="0"/>
    </xf>
    <xf numFmtId="37" fontId="27" fillId="0" borderId="3" xfId="1" applyNumberFormat="1" applyFont="1" applyFill="1" applyBorder="1" applyProtection="1">
      <protection locked="0"/>
    </xf>
    <xf numFmtId="37" fontId="27" fillId="0" borderId="3" xfId="2" applyNumberFormat="1" applyFont="1" applyFill="1" applyBorder="1" applyProtection="1">
      <protection locked="0"/>
    </xf>
    <xf numFmtId="168" fontId="24" fillId="0" borderId="3" xfId="2" applyNumberFormat="1" applyFont="1" applyBorder="1" applyProtection="1">
      <protection locked="0"/>
    </xf>
    <xf numFmtId="37" fontId="27" fillId="0" borderId="3" xfId="0" applyNumberFormat="1" applyFont="1" applyBorder="1" applyProtection="1">
      <protection locked="0"/>
    </xf>
    <xf numFmtId="37" fontId="39" fillId="0" borderId="3" xfId="0" applyNumberFormat="1" applyFont="1" applyBorder="1" applyProtection="1">
      <protection locked="0"/>
    </xf>
    <xf numFmtId="37" fontId="25" fillId="0" borderId="3" xfId="0" applyNumberFormat="1" applyFont="1" applyBorder="1" applyProtection="1">
      <protection locked="0"/>
    </xf>
    <xf numFmtId="0" fontId="28" fillId="0" borderId="3" xfId="0" applyFont="1" applyBorder="1" applyProtection="1">
      <protection locked="0"/>
    </xf>
    <xf numFmtId="0" fontId="27" fillId="10" borderId="0" xfId="0" applyFont="1" applyFill="1"/>
    <xf numFmtId="0" fontId="35" fillId="0" borderId="0" xfId="0" applyFont="1"/>
    <xf numFmtId="0" fontId="37" fillId="10" borderId="0" xfId="0" applyFont="1" applyFill="1"/>
    <xf numFmtId="0" fontId="56" fillId="0" borderId="0" xfId="0" applyFont="1"/>
    <xf numFmtId="37" fontId="38" fillId="0" borderId="0" xfId="0" applyNumberFormat="1" applyFont="1"/>
    <xf numFmtId="37" fontId="34" fillId="0" borderId="0" xfId="0" applyNumberFormat="1" applyFont="1"/>
    <xf numFmtId="37" fontId="39" fillId="0" borderId="1" xfId="0" applyNumberFormat="1" applyFont="1" applyBorder="1"/>
    <xf numFmtId="168" fontId="26" fillId="0" borderId="0" xfId="2" applyNumberFormat="1" applyFont="1" applyAlignment="1">
      <alignment horizontal="right"/>
    </xf>
    <xf numFmtId="172" fontId="38" fillId="0" borderId="0" xfId="0" applyNumberFormat="1" applyFont="1"/>
    <xf numFmtId="172" fontId="26" fillId="0" borderId="0" xfId="0" applyNumberFormat="1" applyFont="1"/>
    <xf numFmtId="168" fontId="26" fillId="0" borderId="0" xfId="2" applyNumberFormat="1" applyFont="1" applyFill="1" applyBorder="1"/>
    <xf numFmtId="168" fontId="26" fillId="0" borderId="0" xfId="2" applyNumberFormat="1" applyFont="1"/>
    <xf numFmtId="173" fontId="27" fillId="0" borderId="0" xfId="0" applyNumberFormat="1" applyFont="1"/>
    <xf numFmtId="168" fontId="27" fillId="0" borderId="0" xfId="2" applyNumberFormat="1" applyFont="1"/>
    <xf numFmtId="0" fontId="27" fillId="0" borderId="1" xfId="0" applyFont="1" applyBorder="1"/>
    <xf numFmtId="37" fontId="38" fillId="0" borderId="1" xfId="0" applyNumberFormat="1" applyFont="1" applyBorder="1"/>
    <xf numFmtId="173" fontId="27" fillId="0" borderId="1" xfId="0" applyNumberFormat="1" applyFont="1" applyBorder="1"/>
    <xf numFmtId="168" fontId="27" fillId="0" borderId="1" xfId="2" applyNumberFormat="1" applyFont="1" applyBorder="1"/>
    <xf numFmtId="0" fontId="38" fillId="0" borderId="0" xfId="0" applyFont="1"/>
    <xf numFmtId="37" fontId="43" fillId="0" borderId="0" xfId="0" applyNumberFormat="1" applyFont="1"/>
    <xf numFmtId="173" fontId="43" fillId="0" borderId="0" xfId="0" applyNumberFormat="1" applyFont="1"/>
    <xf numFmtId="168" fontId="43" fillId="0" borderId="0" xfId="2" applyNumberFormat="1" applyFont="1"/>
    <xf numFmtId="0" fontId="27" fillId="0" borderId="19" xfId="0" applyFont="1" applyBorder="1"/>
    <xf numFmtId="37" fontId="38" fillId="0" borderId="7" xfId="0" applyNumberFormat="1" applyFont="1" applyBorder="1"/>
    <xf numFmtId="173" fontId="27" fillId="0" borderId="7" xfId="0" applyNumberFormat="1" applyFont="1" applyBorder="1"/>
    <xf numFmtId="168" fontId="27" fillId="0" borderId="17" xfId="2" applyNumberFormat="1" applyFont="1" applyBorder="1"/>
    <xf numFmtId="0" fontId="27" fillId="3" borderId="19" xfId="0" applyFont="1" applyFill="1" applyBorder="1"/>
    <xf numFmtId="0" fontId="27" fillId="3" borderId="7" xfId="0" applyFont="1" applyFill="1" applyBorder="1"/>
    <xf numFmtId="37" fontId="28" fillId="3" borderId="7" xfId="0" applyNumberFormat="1" applyFont="1" applyFill="1" applyBorder="1"/>
    <xf numFmtId="173" fontId="27" fillId="3" borderId="7" xfId="0" applyNumberFormat="1" applyFont="1" applyFill="1" applyBorder="1"/>
    <xf numFmtId="168" fontId="27" fillId="3" borderId="17" xfId="2" applyNumberFormat="1" applyFont="1" applyFill="1" applyBorder="1"/>
    <xf numFmtId="165" fontId="37" fillId="2" borderId="0" xfId="0" applyNumberFormat="1" applyFont="1" applyFill="1"/>
    <xf numFmtId="166" fontId="37" fillId="2" borderId="0" xfId="0" applyNumberFormat="1" applyFont="1" applyFill="1"/>
    <xf numFmtId="0" fontId="27" fillId="0" borderId="0" xfId="0" applyFont="1" applyAlignment="1">
      <alignment horizontal="left" indent="1"/>
    </xf>
    <xf numFmtId="10" fontId="27" fillId="0" borderId="0" xfId="2" applyNumberFormat="1" applyFont="1" applyFill="1" applyBorder="1" applyAlignment="1">
      <alignment horizontal="center"/>
    </xf>
    <xf numFmtId="168" fontId="24" fillId="0" borderId="0" xfId="2" applyNumberFormat="1" applyFont="1" applyFill="1" applyBorder="1"/>
    <xf numFmtId="0" fontId="24" fillId="0" borderId="0" xfId="0" applyFont="1"/>
    <xf numFmtId="10" fontId="57" fillId="11" borderId="7" xfId="2" applyNumberFormat="1" applyFont="1" applyFill="1" applyBorder="1" applyAlignment="1">
      <alignment horizontal="center"/>
    </xf>
    <xf numFmtId="0" fontId="57" fillId="11" borderId="7" xfId="0" applyFont="1" applyFill="1" applyBorder="1"/>
    <xf numFmtId="10" fontId="24" fillId="11" borderId="7" xfId="2" applyNumberFormat="1" applyFont="1" applyFill="1" applyBorder="1"/>
    <xf numFmtId="10" fontId="24" fillId="11" borderId="17" xfId="2" applyNumberFormat="1" applyFont="1" applyFill="1" applyBorder="1"/>
    <xf numFmtId="10" fontId="27" fillId="0" borderId="0" xfId="2" applyNumberFormat="1" applyFont="1" applyAlignment="1">
      <alignment horizontal="center"/>
    </xf>
    <xf numFmtId="4" fontId="39" fillId="0" borderId="0" xfId="0" applyNumberFormat="1" applyFont="1"/>
    <xf numFmtId="4" fontId="39" fillId="0" borderId="5" xfId="0" applyNumberFormat="1" applyFont="1" applyBorder="1"/>
    <xf numFmtId="2" fontId="27" fillId="4" borderId="0" xfId="0" applyNumberFormat="1" applyFont="1" applyFill="1"/>
    <xf numFmtId="2" fontId="27" fillId="0" borderId="0" xfId="0" applyNumberFormat="1" applyFont="1"/>
    <xf numFmtId="0" fontId="27" fillId="10" borderId="0" xfId="0" applyFont="1" applyFill="1" applyAlignment="1">
      <alignment horizontal="left" indent="1"/>
    </xf>
    <xf numFmtId="10" fontId="27" fillId="10" borderId="0" xfId="2" applyNumberFormat="1" applyFont="1" applyFill="1" applyAlignment="1">
      <alignment horizontal="center"/>
    </xf>
    <xf numFmtId="4" fontId="39" fillId="10" borderId="0" xfId="0" applyNumberFormat="1" applyFont="1" applyFill="1"/>
    <xf numFmtId="2" fontId="27" fillId="10" borderId="0" xfId="0" applyNumberFormat="1" applyFont="1" applyFill="1"/>
    <xf numFmtId="169" fontId="35" fillId="0" borderId="0" xfId="1" applyNumberFormat="1" applyFont="1"/>
    <xf numFmtId="169" fontId="27" fillId="0" borderId="0" xfId="1" applyNumberFormat="1" applyFont="1"/>
    <xf numFmtId="168" fontId="23" fillId="9" borderId="6" xfId="2" applyNumberFormat="1" applyFont="1" applyFill="1" applyBorder="1"/>
    <xf numFmtId="168" fontId="23" fillId="9" borderId="4" xfId="2" applyNumberFormat="1" applyFont="1" applyFill="1" applyBorder="1"/>
    <xf numFmtId="168" fontId="24" fillId="0" borderId="0" xfId="2" applyNumberFormat="1" applyFont="1"/>
    <xf numFmtId="0" fontId="28" fillId="4" borderId="0" xfId="0" applyFont="1" applyFill="1"/>
    <xf numFmtId="168" fontId="26" fillId="4" borderId="0" xfId="2" applyNumberFormat="1" applyFont="1" applyFill="1"/>
    <xf numFmtId="0" fontId="27" fillId="4" borderId="0" xfId="0" applyFont="1" applyFill="1"/>
    <xf numFmtId="168" fontId="28" fillId="0" borderId="0" xfId="2" applyNumberFormat="1" applyFont="1"/>
    <xf numFmtId="0" fontId="28" fillId="0" borderId="0" xfId="0" applyFont="1" applyAlignment="1">
      <alignment horizontal="left" indent="3"/>
    </xf>
    <xf numFmtId="169" fontId="58" fillId="0" borderId="0" xfId="1" applyNumberFormat="1" applyFont="1"/>
    <xf numFmtId="0" fontId="59" fillId="0" borderId="0" xfId="0" applyFont="1"/>
    <xf numFmtId="0" fontId="58" fillId="0" borderId="0" xfId="0" applyFont="1" applyAlignment="1">
      <alignment horizontal="left" indent="1"/>
    </xf>
    <xf numFmtId="168" fontId="24" fillId="0" borderId="5" xfId="2" applyNumberFormat="1" applyFont="1" applyBorder="1"/>
    <xf numFmtId="168" fontId="24" fillId="0" borderId="3" xfId="2" applyNumberFormat="1" applyFont="1" applyBorder="1"/>
    <xf numFmtId="168" fontId="24" fillId="0" borderId="3" xfId="2" applyNumberFormat="1" applyFont="1" applyFill="1" applyBorder="1"/>
    <xf numFmtId="9" fontId="28" fillId="0" borderId="0" xfId="2" applyFont="1"/>
    <xf numFmtId="9" fontId="28" fillId="0" borderId="3" xfId="2" applyFont="1" applyBorder="1"/>
    <xf numFmtId="0" fontId="25" fillId="10" borderId="0" xfId="0" applyFont="1" applyFill="1"/>
    <xf numFmtId="169" fontId="28" fillId="0" borderId="0" xfId="0" applyNumberFormat="1" applyFont="1"/>
    <xf numFmtId="3" fontId="23" fillId="9" borderId="6" xfId="0" applyNumberFormat="1" applyFont="1" applyFill="1" applyBorder="1"/>
    <xf numFmtId="3" fontId="23" fillId="0" borderId="0" xfId="0" applyNumberFormat="1" applyFont="1"/>
    <xf numFmtId="168" fontId="23" fillId="0" borderId="0" xfId="2" applyNumberFormat="1" applyFont="1"/>
    <xf numFmtId="0" fontId="39" fillId="10" borderId="0" xfId="0" applyFont="1" applyFill="1"/>
    <xf numFmtId="169" fontId="38" fillId="0" borderId="0" xfId="1" applyNumberFormat="1" applyFont="1"/>
    <xf numFmtId="168" fontId="60" fillId="0" borderId="0" xfId="2" applyNumberFormat="1" applyFont="1"/>
    <xf numFmtId="0" fontId="61" fillId="0" borderId="0" xfId="0" applyFont="1"/>
    <xf numFmtId="169" fontId="27" fillId="0" borderId="0" xfId="0" applyNumberFormat="1" applyFont="1"/>
    <xf numFmtId="168" fontId="26" fillId="0" borderId="0" xfId="0" applyNumberFormat="1" applyFont="1"/>
    <xf numFmtId="0" fontId="28" fillId="0" borderId="5" xfId="0" applyFont="1" applyBorder="1"/>
    <xf numFmtId="165" fontId="37" fillId="2" borderId="3" xfId="0" applyNumberFormat="1" applyFont="1" applyFill="1" applyBorder="1"/>
    <xf numFmtId="0" fontId="28" fillId="10" borderId="3" xfId="0" applyFont="1" applyFill="1" applyBorder="1"/>
    <xf numFmtId="169" fontId="38" fillId="0" borderId="5" xfId="1" applyNumberFormat="1" applyFont="1" applyBorder="1"/>
    <xf numFmtId="169" fontId="38" fillId="0" borderId="3" xfId="1" applyNumberFormat="1" applyFont="1" applyBorder="1"/>
    <xf numFmtId="169" fontId="27" fillId="0" borderId="3" xfId="1" applyNumberFormat="1" applyFont="1" applyBorder="1"/>
    <xf numFmtId="0" fontId="28" fillId="3" borderId="19" xfId="0" applyFont="1" applyFill="1" applyBorder="1" applyAlignment="1">
      <alignment horizontal="left" indent="1"/>
    </xf>
    <xf numFmtId="0" fontId="28" fillId="3" borderId="7" xfId="0" applyFont="1" applyFill="1" applyBorder="1"/>
    <xf numFmtId="169" fontId="28" fillId="3" borderId="7" xfId="0" applyNumberFormat="1" applyFont="1" applyFill="1" applyBorder="1"/>
    <xf numFmtId="169" fontId="28" fillId="3" borderId="20" xfId="0" applyNumberFormat="1" applyFont="1" applyFill="1" applyBorder="1"/>
    <xf numFmtId="169" fontId="28" fillId="3" borderId="17" xfId="0" applyNumberFormat="1" applyFont="1" applyFill="1" applyBorder="1"/>
    <xf numFmtId="0" fontId="35" fillId="0" borderId="5" xfId="0" applyFont="1" applyBorder="1"/>
    <xf numFmtId="0" fontId="28" fillId="0" borderId="0" xfId="0" applyFont="1" applyAlignment="1">
      <alignment horizontal="left" indent="2"/>
    </xf>
    <xf numFmtId="0" fontId="34" fillId="3" borderId="19" xfId="0" applyFont="1" applyFill="1" applyBorder="1" applyAlignment="1">
      <alignment horizontal="left" indent="2"/>
    </xf>
    <xf numFmtId="0" fontId="34" fillId="0" borderId="0" xfId="0" applyFont="1" applyAlignment="1">
      <alignment horizontal="left" indent="2"/>
    </xf>
    <xf numFmtId="169" fontId="28" fillId="0" borderId="5" xfId="0" applyNumberFormat="1" applyFont="1" applyBorder="1"/>
    <xf numFmtId="0" fontId="28" fillId="0" borderId="1" xfId="0" applyFont="1" applyBorder="1" applyAlignment="1">
      <alignment horizontal="left" indent="1"/>
    </xf>
    <xf numFmtId="172" fontId="38" fillId="0" borderId="1" xfId="0" applyNumberFormat="1" applyFont="1" applyBorder="1"/>
    <xf numFmtId="0" fontId="34" fillId="3" borderId="14" xfId="0" applyFont="1" applyFill="1" applyBorder="1" applyAlignment="1">
      <alignment horizontal="left" indent="1"/>
    </xf>
    <xf numFmtId="0" fontId="34" fillId="3" borderId="9" xfId="0" applyFont="1" applyFill="1" applyBorder="1"/>
    <xf numFmtId="172" fontId="43" fillId="3" borderId="12" xfId="0" applyNumberFormat="1" applyFont="1" applyFill="1" applyBorder="1"/>
    <xf numFmtId="0" fontId="34" fillId="3" borderId="15" xfId="0" applyFont="1" applyFill="1" applyBorder="1" applyAlignment="1">
      <alignment horizontal="left" indent="1"/>
    </xf>
    <xf numFmtId="0" fontId="34" fillId="3" borderId="1" xfId="0" applyFont="1" applyFill="1" applyBorder="1"/>
    <xf numFmtId="168" fontId="62" fillId="3" borderId="13" xfId="2" applyNumberFormat="1" applyFont="1" applyFill="1" applyBorder="1"/>
    <xf numFmtId="37" fontId="34" fillId="11" borderId="17" xfId="0" applyNumberFormat="1" applyFont="1" applyFill="1" applyBorder="1" applyProtection="1">
      <protection locked="0"/>
    </xf>
    <xf numFmtId="0" fontId="33" fillId="11" borderId="19" xfId="0" applyFont="1" applyFill="1" applyBorder="1" applyAlignment="1">
      <alignment horizontal="left" indent="1"/>
    </xf>
    <xf numFmtId="0" fontId="33" fillId="11" borderId="7" xfId="0" applyFont="1" applyFill="1" applyBorder="1"/>
    <xf numFmtId="0" fontId="33" fillId="11" borderId="7" xfId="0" applyFont="1" applyFill="1" applyBorder="1" applyProtection="1">
      <protection locked="0"/>
    </xf>
    <xf numFmtId="0" fontId="33" fillId="11" borderId="17" xfId="0" applyFont="1" applyFill="1" applyBorder="1"/>
    <xf numFmtId="37" fontId="33" fillId="11" borderId="7" xfId="0" applyNumberFormat="1" applyFont="1" applyFill="1" applyBorder="1" applyProtection="1">
      <protection locked="0"/>
    </xf>
    <xf numFmtId="37" fontId="33" fillId="11" borderId="7" xfId="0" applyNumberFormat="1" applyFont="1" applyFill="1" applyBorder="1"/>
    <xf numFmtId="0" fontId="33" fillId="11" borderId="17" xfId="0" applyFont="1" applyFill="1" applyBorder="1" applyProtection="1">
      <protection locked="0"/>
    </xf>
    <xf numFmtId="175" fontId="24" fillId="3" borderId="0" xfId="0" applyNumberFormat="1" applyFont="1" applyFill="1" applyProtection="1">
      <protection locked="0"/>
    </xf>
    <xf numFmtId="166" fontId="37" fillId="2" borderId="0" xfId="0" applyNumberFormat="1" applyFont="1" applyFill="1" applyAlignment="1">
      <alignment horizontal="center"/>
    </xf>
    <xf numFmtId="0" fontId="28" fillId="0" borderId="0" xfId="0" applyFont="1" applyAlignment="1">
      <alignment horizontal="left" vertical="top" wrapText="1"/>
    </xf>
    <xf numFmtId="0" fontId="28" fillId="0" borderId="0" xfId="0" applyFont="1" applyAlignment="1">
      <alignment horizontal="center"/>
    </xf>
    <xf numFmtId="0" fontId="53" fillId="0" borderId="0" xfId="5" applyFont="1" applyAlignment="1">
      <alignment horizontal="right" vertical="center"/>
    </xf>
    <xf numFmtId="0" fontId="24" fillId="0" borderId="0" xfId="5" applyFont="1" applyAlignment="1">
      <alignment vertical="center"/>
    </xf>
    <xf numFmtId="0" fontId="35" fillId="2" borderId="0" xfId="0" applyFont="1" applyFill="1" applyAlignment="1" applyProtection="1">
      <alignment horizontal="left" indent="1"/>
      <protection locked="0"/>
    </xf>
    <xf numFmtId="37" fontId="39" fillId="0" borderId="3" xfId="1" applyNumberFormat="1" applyFont="1" applyFill="1" applyBorder="1" applyProtection="1"/>
    <xf numFmtId="0" fontId="63" fillId="0" borderId="0" xfId="3" applyFont="1"/>
    <xf numFmtId="168" fontId="34" fillId="0" borderId="0" xfId="2" applyNumberFormat="1" applyFont="1"/>
    <xf numFmtId="1" fontId="37" fillId="2" borderId="0" xfId="0" applyNumberFormat="1" applyFont="1" applyFill="1"/>
    <xf numFmtId="1" fontId="37" fillId="2" borderId="0" xfId="0" applyNumberFormat="1" applyFont="1" applyFill="1" applyAlignment="1">
      <alignment horizontal="right"/>
    </xf>
    <xf numFmtId="1" fontId="37" fillId="0" borderId="0" xfId="0" applyNumberFormat="1" applyFont="1"/>
    <xf numFmtId="168" fontId="34" fillId="0" borderId="0" xfId="2" applyNumberFormat="1" applyFont="1" applyAlignment="1">
      <alignment horizontal="right"/>
    </xf>
    <xf numFmtId="0" fontId="28" fillId="0" borderId="3" xfId="0" applyFont="1" applyBorder="1" applyAlignment="1">
      <alignment horizontal="left" vertical="center"/>
    </xf>
    <xf numFmtId="0" fontId="28" fillId="9" borderId="4" xfId="0" applyFont="1" applyFill="1" applyBorder="1"/>
    <xf numFmtId="0" fontId="34" fillId="0" borderId="0" xfId="0" applyFont="1" applyAlignment="1">
      <alignment horizontal="left" vertical="center" indent="1"/>
    </xf>
    <xf numFmtId="0" fontId="25" fillId="0" borderId="0" xfId="0" applyFont="1" applyAlignment="1">
      <alignment horizontal="left" indent="2"/>
    </xf>
    <xf numFmtId="9" fontId="25" fillId="3" borderId="0" xfId="2" applyFont="1" applyFill="1"/>
    <xf numFmtId="37" fontId="34" fillId="3" borderId="0" xfId="2" applyNumberFormat="1" applyFont="1" applyFill="1"/>
    <xf numFmtId="168" fontId="25" fillId="0" borderId="0" xfId="2" applyNumberFormat="1" applyFont="1"/>
    <xf numFmtId="10" fontId="28" fillId="0" borderId="0" xfId="0" applyNumberFormat="1" applyFont="1"/>
    <xf numFmtId="165" fontId="40" fillId="0" borderId="0" xfId="0" applyNumberFormat="1" applyFont="1" applyAlignment="1">
      <alignment horizontal="center"/>
    </xf>
    <xf numFmtId="165" fontId="16" fillId="0" borderId="0" xfId="0" applyNumberFormat="1" applyFont="1" applyAlignment="1">
      <alignment horizontal="center"/>
    </xf>
    <xf numFmtId="0" fontId="28" fillId="0" borderId="0" xfId="0" applyFont="1" applyAlignment="1">
      <alignment vertical="top" wrapText="1"/>
    </xf>
    <xf numFmtId="0" fontId="51" fillId="0" borderId="0" xfId="3" applyFont="1" applyAlignment="1">
      <alignment horizontal="left" indent="1"/>
    </xf>
    <xf numFmtId="0" fontId="66" fillId="0" borderId="0" xfId="3" applyFont="1" applyAlignment="1">
      <alignment horizontal="left" indent="1"/>
    </xf>
    <xf numFmtId="0" fontId="64" fillId="0" borderId="0" xfId="3" applyFont="1" applyBorder="1" applyAlignment="1">
      <alignment horizontal="right"/>
    </xf>
    <xf numFmtId="170" fontId="8" fillId="0" borderId="0" xfId="0" applyNumberFormat="1" applyFont="1"/>
    <xf numFmtId="0" fontId="69" fillId="0" borderId="11" xfId="0" applyFont="1" applyBorder="1" applyAlignment="1">
      <alignment horizontal="right"/>
    </xf>
    <xf numFmtId="174" fontId="8" fillId="0" borderId="0" xfId="0" applyNumberFormat="1" applyFont="1"/>
    <xf numFmtId="39" fontId="8" fillId="0" borderId="0" xfId="0" applyNumberFormat="1" applyFont="1"/>
    <xf numFmtId="14" fontId="8" fillId="0" borderId="0" xfId="0" applyNumberFormat="1" applyFont="1"/>
    <xf numFmtId="0" fontId="68" fillId="0" borderId="0" xfId="0" applyFont="1"/>
    <xf numFmtId="0" fontId="55" fillId="2" borderId="0" xfId="0" applyFont="1" applyFill="1" applyAlignment="1">
      <alignment horizontal="left"/>
    </xf>
    <xf numFmtId="0" fontId="70" fillId="10" borderId="0" xfId="0" applyFont="1" applyFill="1"/>
    <xf numFmtId="0" fontId="71" fillId="0" borderId="0" xfId="0" applyFont="1"/>
    <xf numFmtId="0" fontId="70" fillId="0" borderId="0" xfId="0" applyFont="1"/>
    <xf numFmtId="0" fontId="72" fillId="0" borderId="0" xfId="0" applyFont="1"/>
    <xf numFmtId="9" fontId="27" fillId="3" borderId="0" xfId="2" applyFont="1" applyFill="1" applyProtection="1">
      <protection locked="0"/>
    </xf>
    <xf numFmtId="0" fontId="51" fillId="0" borderId="0" xfId="3" applyFont="1" applyAlignment="1">
      <alignment horizontal="left" vertical="top" indent="1"/>
    </xf>
    <xf numFmtId="0" fontId="66" fillId="0" borderId="0" xfId="3" applyFont="1" applyAlignment="1">
      <alignment horizontal="left" vertical="top" indent="1"/>
    </xf>
    <xf numFmtId="0" fontId="34" fillId="0" borderId="0" xfId="0" applyFont="1" applyAlignment="1">
      <alignment horizontal="left" vertical="center" wrapText="1" indent="1"/>
    </xf>
    <xf numFmtId="0" fontId="8" fillId="14" borderId="0" xfId="0" applyFont="1" applyFill="1"/>
    <xf numFmtId="0" fontId="50" fillId="10" borderId="0" xfId="0" applyFont="1" applyFill="1"/>
    <xf numFmtId="0" fontId="15" fillId="10" borderId="0" xfId="0" applyFont="1" applyFill="1" applyProtection="1">
      <protection locked="0"/>
    </xf>
    <xf numFmtId="0" fontId="15" fillId="10" borderId="0" xfId="0" applyFont="1" applyFill="1"/>
    <xf numFmtId="0" fontId="33" fillId="10" borderId="0" xfId="0" applyFont="1" applyFill="1" applyProtection="1">
      <protection locked="0"/>
    </xf>
    <xf numFmtId="0" fontId="8" fillId="10" borderId="0" xfId="0" applyFont="1" applyFill="1"/>
    <xf numFmtId="0" fontId="28" fillId="15" borderId="0" xfId="0" applyFont="1" applyFill="1"/>
    <xf numFmtId="9" fontId="28" fillId="0" borderId="0" xfId="2" applyFont="1" applyAlignment="1">
      <alignment horizontal="center"/>
    </xf>
    <xf numFmtId="173" fontId="28" fillId="0" borderId="0" xfId="2" applyNumberFormat="1" applyFont="1" applyAlignment="1">
      <alignment horizontal="center"/>
    </xf>
    <xf numFmtId="176" fontId="28" fillId="0" borderId="0" xfId="2" applyNumberFormat="1" applyFont="1" applyAlignment="1">
      <alignment horizontal="center"/>
    </xf>
    <xf numFmtId="9" fontId="8" fillId="0" borderId="0" xfId="2" applyFont="1"/>
    <xf numFmtId="2" fontId="78" fillId="0" borderId="0" xfId="0" applyNumberFormat="1" applyFont="1"/>
    <xf numFmtId="168" fontId="78" fillId="0" borderId="0" xfId="2" applyNumberFormat="1" applyFont="1"/>
    <xf numFmtId="0" fontId="78" fillId="0" borderId="0" xfId="0" applyFont="1"/>
    <xf numFmtId="3" fontId="78" fillId="0" borderId="0" xfId="0" applyNumberFormat="1" applyFont="1"/>
    <xf numFmtId="0" fontId="79" fillId="0" borderId="0" xfId="0" applyFont="1" applyAlignment="1">
      <alignment horizontal="right"/>
    </xf>
    <xf numFmtId="0" fontId="37" fillId="15" borderId="0" xfId="0" applyFont="1" applyFill="1"/>
    <xf numFmtId="177" fontId="28" fillId="0" borderId="0" xfId="2" applyNumberFormat="1" applyFont="1" applyAlignment="1">
      <alignment horizontal="center"/>
    </xf>
    <xf numFmtId="0" fontId="43" fillId="15" borderId="0" xfId="5" applyFont="1" applyFill="1" applyAlignment="1">
      <alignment vertical="center"/>
    </xf>
    <xf numFmtId="0" fontId="27" fillId="15" borderId="0" xfId="5" applyFont="1" applyFill="1" applyAlignment="1">
      <alignment vertical="center"/>
    </xf>
    <xf numFmtId="0" fontId="37" fillId="15" borderId="0" xfId="0" applyFont="1" applyFill="1" applyAlignment="1">
      <alignment horizontal="left"/>
    </xf>
    <xf numFmtId="0" fontId="67" fillId="15" borderId="0" xfId="0" applyFont="1" applyFill="1" applyAlignment="1">
      <alignment horizontal="center"/>
    </xf>
    <xf numFmtId="9" fontId="28" fillId="0" borderId="0" xfId="0" applyNumberFormat="1" applyFont="1" applyProtection="1">
      <protection locked="0"/>
    </xf>
    <xf numFmtId="39" fontId="28" fillId="0" borderId="0" xfId="0" applyNumberFormat="1" applyFont="1"/>
    <xf numFmtId="0" fontId="35" fillId="2" borderId="0" xfId="0" applyFont="1" applyFill="1" applyAlignment="1">
      <alignment horizontal="right"/>
    </xf>
    <xf numFmtId="9" fontId="35" fillId="2" borderId="0" xfId="0" applyNumberFormat="1" applyFont="1" applyFill="1" applyAlignment="1">
      <alignment horizontal="right"/>
    </xf>
    <xf numFmtId="168" fontId="26" fillId="9" borderId="4" xfId="0" applyNumberFormat="1" applyFont="1" applyFill="1" applyBorder="1" applyProtection="1">
      <protection locked="0"/>
    </xf>
    <xf numFmtId="173" fontId="26" fillId="9" borderId="4" xfId="0" applyNumberFormat="1" applyFont="1" applyFill="1" applyBorder="1" applyProtection="1">
      <protection locked="0"/>
    </xf>
    <xf numFmtId="168" fontId="27" fillId="0" borderId="0" xfId="0" applyNumberFormat="1" applyFont="1" applyProtection="1">
      <protection locked="0"/>
    </xf>
    <xf numFmtId="173" fontId="27" fillId="0" borderId="0" xfId="0" applyNumberFormat="1" applyFont="1" applyProtection="1">
      <protection locked="0"/>
    </xf>
    <xf numFmtId="178" fontId="8" fillId="10" borderId="0" xfId="0" applyNumberFormat="1" applyFont="1" applyFill="1"/>
    <xf numFmtId="178" fontId="5" fillId="10" borderId="0" xfId="0" applyNumberFormat="1" applyFont="1" applyFill="1"/>
    <xf numFmtId="0" fontId="43" fillId="0" borderId="0" xfId="0" applyFont="1" applyAlignment="1" applyProtection="1">
      <alignment horizontal="right"/>
      <protection locked="0"/>
    </xf>
    <xf numFmtId="0" fontId="26" fillId="0" borderId="0" xfId="0" applyFont="1" applyProtection="1">
      <protection locked="0"/>
    </xf>
    <xf numFmtId="168" fontId="27" fillId="0" borderId="0" xfId="2" applyNumberFormat="1" applyFont="1" applyProtection="1">
      <protection locked="0"/>
    </xf>
    <xf numFmtId="165" fontId="28" fillId="0" borderId="0" xfId="0" applyNumberFormat="1" applyFont="1" applyProtection="1">
      <protection locked="0"/>
    </xf>
    <xf numFmtId="166" fontId="28" fillId="0" borderId="0" xfId="0" applyNumberFormat="1" applyFont="1" applyProtection="1">
      <protection locked="0"/>
    </xf>
    <xf numFmtId="10" fontId="39" fillId="0" borderId="0" xfId="0" applyNumberFormat="1" applyFont="1"/>
    <xf numFmtId="0" fontId="34" fillId="16" borderId="19" xfId="0" applyFont="1" applyFill="1" applyBorder="1" applyAlignment="1">
      <alignment horizontal="left" indent="1"/>
    </xf>
    <xf numFmtId="168" fontId="23" fillId="0" borderId="0" xfId="2" applyNumberFormat="1" applyFont="1" applyFill="1" applyBorder="1" applyProtection="1">
      <protection locked="0"/>
    </xf>
    <xf numFmtId="3" fontId="35" fillId="0" borderId="0" xfId="0" applyNumberFormat="1" applyFont="1"/>
    <xf numFmtId="37" fontId="35" fillId="0" borderId="0" xfId="0" applyNumberFormat="1" applyFont="1"/>
    <xf numFmtId="179" fontId="23" fillId="9" borderId="4" xfId="2" applyNumberFormat="1" applyFont="1" applyFill="1" applyBorder="1" applyProtection="1">
      <protection locked="0"/>
    </xf>
    <xf numFmtId="0" fontId="80" fillId="0" borderId="0" xfId="0" applyFont="1"/>
    <xf numFmtId="2" fontId="26" fillId="9" borderId="4" xfId="0" applyNumberFormat="1" applyFont="1" applyFill="1" applyBorder="1" applyProtection="1">
      <protection locked="0"/>
    </xf>
    <xf numFmtId="2" fontId="26" fillId="9" borderId="4" xfId="0" applyNumberFormat="1" applyFont="1" applyFill="1" applyBorder="1"/>
    <xf numFmtId="0" fontId="42" fillId="2" borderId="0" xfId="0" applyFont="1" applyFill="1"/>
    <xf numFmtId="0" fontId="37" fillId="2" borderId="0" xfId="0" applyFont="1" applyFill="1" applyAlignment="1">
      <alignment horizontal="center"/>
    </xf>
    <xf numFmtId="0" fontId="28" fillId="0" borderId="0" xfId="0" applyFont="1" applyAlignment="1">
      <alignment horizontal="right"/>
    </xf>
    <xf numFmtId="37" fontId="28" fillId="0" borderId="0" xfId="1" applyNumberFormat="1" applyFont="1" applyAlignment="1">
      <alignment horizontal="right" wrapText="1"/>
    </xf>
    <xf numFmtId="172" fontId="28" fillId="0" borderId="0" xfId="1" applyNumberFormat="1" applyFont="1" applyAlignment="1">
      <alignment horizontal="right"/>
    </xf>
    <xf numFmtId="172" fontId="28" fillId="0" borderId="27" xfId="1" applyNumberFormat="1" applyFont="1" applyBorder="1" applyAlignment="1">
      <alignment horizontal="right"/>
    </xf>
    <xf numFmtId="0" fontId="28" fillId="0" borderId="27" xfId="0" applyFont="1" applyBorder="1"/>
    <xf numFmtId="0" fontId="34" fillId="11" borderId="14" xfId="0" applyFont="1" applyFill="1" applyBorder="1"/>
    <xf numFmtId="0" fontId="28" fillId="11" borderId="9" xfId="0" applyFont="1" applyFill="1" applyBorder="1"/>
    <xf numFmtId="172" fontId="34" fillId="11" borderId="9" xfId="0" applyNumberFormat="1" applyFont="1" applyFill="1" applyBorder="1"/>
    <xf numFmtId="172" fontId="34" fillId="11" borderId="28" xfId="0" applyNumberFormat="1" applyFont="1" applyFill="1" applyBorder="1"/>
    <xf numFmtId="168" fontId="34" fillId="11" borderId="9" xfId="2" applyNumberFormat="1" applyFont="1" applyFill="1" applyBorder="1"/>
    <xf numFmtId="0" fontId="28" fillId="11" borderId="28" xfId="0" applyFont="1" applyFill="1" applyBorder="1"/>
    <xf numFmtId="0" fontId="34" fillId="11" borderId="15" xfId="0" applyFont="1" applyFill="1" applyBorder="1"/>
    <xf numFmtId="0" fontId="28" fillId="11" borderId="1" xfId="0" applyFont="1" applyFill="1" applyBorder="1"/>
    <xf numFmtId="172" fontId="34" fillId="11" borderId="1" xfId="0" applyNumberFormat="1" applyFont="1" applyFill="1" applyBorder="1"/>
    <xf numFmtId="172" fontId="34" fillId="11" borderId="26" xfId="0" applyNumberFormat="1" applyFont="1" applyFill="1" applyBorder="1"/>
    <xf numFmtId="168" fontId="34" fillId="11" borderId="1" xfId="2" applyNumberFormat="1" applyFont="1" applyFill="1" applyBorder="1"/>
    <xf numFmtId="0" fontId="28" fillId="11" borderId="26" xfId="0" applyFont="1" applyFill="1" applyBorder="1"/>
    <xf numFmtId="0" fontId="28" fillId="0" borderId="26" xfId="0" applyFont="1" applyBorder="1"/>
    <xf numFmtId="9" fontId="28" fillId="11" borderId="12" xfId="0" applyNumberFormat="1" applyFont="1" applyFill="1" applyBorder="1"/>
    <xf numFmtId="9" fontId="28" fillId="11" borderId="13" xfId="0" applyNumberFormat="1" applyFont="1" applyFill="1" applyBorder="1"/>
    <xf numFmtId="14" fontId="28" fillId="0" borderId="0" xfId="0" applyNumberFormat="1" applyFont="1"/>
    <xf numFmtId="14" fontId="35" fillId="2" borderId="0" xfId="0" applyNumberFormat="1" applyFont="1" applyFill="1"/>
    <xf numFmtId="14" fontId="28" fillId="10" borderId="0" xfId="0" applyNumberFormat="1" applyFont="1" applyFill="1"/>
    <xf numFmtId="171" fontId="28" fillId="0" borderId="0" xfId="9" applyNumberFormat="1" applyFont="1" applyFill="1" applyAlignment="1">
      <alignment horizontal="right"/>
    </xf>
    <xf numFmtId="0" fontId="35" fillId="2" borderId="10" xfId="0" applyFont="1" applyFill="1" applyBorder="1"/>
    <xf numFmtId="0" fontId="37" fillId="2" borderId="10" xfId="0" applyFont="1" applyFill="1" applyBorder="1" applyAlignment="1">
      <alignment horizontal="right"/>
    </xf>
    <xf numFmtId="171" fontId="28" fillId="0" borderId="0" xfId="9" applyNumberFormat="1" applyFont="1" applyFill="1" applyAlignment="1">
      <alignment horizontal="left" indent="1"/>
    </xf>
    <xf numFmtId="10" fontId="26" fillId="9" borderId="4" xfId="2" applyNumberFormat="1" applyFont="1" applyFill="1" applyBorder="1"/>
    <xf numFmtId="168" fontId="28" fillId="0" borderId="0" xfId="2" applyNumberFormat="1" applyFont="1" applyFill="1" applyAlignment="1">
      <alignment horizontal="right"/>
    </xf>
    <xf numFmtId="0" fontId="58" fillId="0" borderId="0" xfId="0" applyFont="1" applyAlignment="1">
      <alignment horizontal="left" indent="3"/>
    </xf>
    <xf numFmtId="37" fontId="39" fillId="0" borderId="0" xfId="9" applyNumberFormat="1" applyFont="1" applyFill="1" applyAlignment="1">
      <alignment horizontal="right"/>
    </xf>
    <xf numFmtId="0" fontId="25" fillId="0" borderId="0" xfId="0" applyFont="1" applyAlignment="1">
      <alignment horizontal="left" indent="4"/>
    </xf>
    <xf numFmtId="4" fontId="39" fillId="0" borderId="0" xfId="2" applyNumberFormat="1" applyFont="1" applyFill="1" applyBorder="1"/>
    <xf numFmtId="4" fontId="28" fillId="0" borderId="0" xfId="2" applyNumberFormat="1" applyFont="1" applyFill="1" applyBorder="1"/>
    <xf numFmtId="10" fontId="28" fillId="0" borderId="0" xfId="2" applyNumberFormat="1" applyFont="1" applyFill="1" applyBorder="1"/>
    <xf numFmtId="10" fontId="38" fillId="0" borderId="1" xfId="2" applyNumberFormat="1" applyFont="1" applyFill="1" applyBorder="1"/>
    <xf numFmtId="2" fontId="28" fillId="0" borderId="0" xfId="0" applyNumberFormat="1" applyFont="1"/>
    <xf numFmtId="10" fontId="34" fillId="11" borderId="19" xfId="0" applyNumberFormat="1" applyFont="1" applyFill="1" applyBorder="1" applyAlignment="1">
      <alignment horizontal="left" indent="1"/>
    </xf>
    <xf numFmtId="10" fontId="34" fillId="11" borderId="7" xfId="0" applyNumberFormat="1" applyFont="1" applyFill="1" applyBorder="1"/>
    <xf numFmtId="0" fontId="34" fillId="0" borderId="0" xfId="0" applyFont="1" applyAlignment="1">
      <alignment horizontal="left" indent="5"/>
    </xf>
    <xf numFmtId="10" fontId="34" fillId="0" borderId="0" xfId="2" applyNumberFormat="1" applyFont="1" applyFill="1" applyBorder="1"/>
    <xf numFmtId="10" fontId="58" fillId="0" borderId="0" xfId="2" applyNumberFormat="1" applyFont="1" applyFill="1" applyBorder="1"/>
    <xf numFmtId="37" fontId="28" fillId="0" borderId="1" xfId="0" applyNumberFormat="1" applyFont="1" applyBorder="1"/>
    <xf numFmtId="3" fontId="28" fillId="0" borderId="0" xfId="0" applyNumberFormat="1" applyFont="1"/>
    <xf numFmtId="3" fontId="39" fillId="0" borderId="0" xfId="0" applyNumberFormat="1" applyFont="1"/>
    <xf numFmtId="3" fontId="26" fillId="9" borderId="4" xfId="0" applyNumberFormat="1" applyFont="1" applyFill="1" applyBorder="1"/>
    <xf numFmtId="168" fontId="39" fillId="0" borderId="1" xfId="2" applyNumberFormat="1" applyFont="1" applyFill="1" applyBorder="1"/>
    <xf numFmtId="10" fontId="28" fillId="9" borderId="4" xfId="2" applyNumberFormat="1" applyFont="1" applyFill="1" applyBorder="1"/>
    <xf numFmtId="0" fontId="34" fillId="11" borderId="19" xfId="0" applyFont="1" applyFill="1" applyBorder="1" applyAlignment="1">
      <alignment horizontal="left" indent="1"/>
    </xf>
    <xf numFmtId="0" fontId="28" fillId="11" borderId="7" xfId="0" applyFont="1" applyFill="1" applyBorder="1"/>
    <xf numFmtId="10" fontId="34" fillId="11" borderId="7" xfId="2" applyNumberFormat="1" applyFont="1" applyFill="1" applyBorder="1"/>
    <xf numFmtId="9" fontId="28" fillId="0" borderId="0" xfId="0" applyNumberFormat="1" applyFont="1"/>
    <xf numFmtId="0" fontId="28" fillId="16" borderId="7" xfId="0" applyFont="1" applyFill="1" applyBorder="1"/>
    <xf numFmtId="10" fontId="34" fillId="16" borderId="7" xfId="2" applyNumberFormat="1" applyFont="1" applyFill="1" applyBorder="1"/>
    <xf numFmtId="10" fontId="34" fillId="16" borderId="17" xfId="2" applyNumberFormat="1" applyFont="1" applyFill="1" applyBorder="1"/>
    <xf numFmtId="0" fontId="28" fillId="0" borderId="12" xfId="0" applyFont="1" applyBorder="1"/>
    <xf numFmtId="172" fontId="26" fillId="9" borderId="18" xfId="0" applyNumberFormat="1" applyFont="1" applyFill="1" applyBorder="1"/>
    <xf numFmtId="172" fontId="26" fillId="9" borderId="4" xfId="0" applyNumberFormat="1" applyFont="1" applyFill="1" applyBorder="1"/>
    <xf numFmtId="168" fontId="26" fillId="9" borderId="4" xfId="2" applyNumberFormat="1" applyFont="1" applyFill="1" applyBorder="1"/>
    <xf numFmtId="9" fontId="26" fillId="9" borderId="4" xfId="2" applyFont="1" applyFill="1" applyBorder="1"/>
    <xf numFmtId="37" fontId="0" fillId="0" borderId="0" xfId="0" applyNumberFormat="1"/>
    <xf numFmtId="37" fontId="15" fillId="0" borderId="0" xfId="0" applyNumberFormat="1" applyFont="1" applyProtection="1">
      <protection locked="0"/>
    </xf>
    <xf numFmtId="37" fontId="39" fillId="0" borderId="9" xfId="2" applyNumberFormat="1" applyFont="1" applyBorder="1" applyProtection="1">
      <protection locked="0"/>
    </xf>
    <xf numFmtId="37" fontId="39" fillId="3" borderId="0" xfId="2" applyNumberFormat="1" applyFont="1" applyFill="1" applyProtection="1">
      <protection locked="0"/>
    </xf>
    <xf numFmtId="37" fontId="27" fillId="0" borderId="0" xfId="1" applyNumberFormat="1" applyFont="1" applyProtection="1">
      <protection locked="0"/>
    </xf>
    <xf numFmtId="0" fontId="58" fillId="0" borderId="0" xfId="0" applyFont="1"/>
    <xf numFmtId="0" fontId="28" fillId="0" borderId="0" xfId="0" applyFont="1" applyAlignment="1">
      <alignment horizontal="left" vertical="center" wrapText="1"/>
    </xf>
    <xf numFmtId="37" fontId="27" fillId="17" borderId="0" xfId="0" applyNumberFormat="1" applyFont="1" applyFill="1" applyProtection="1">
      <protection locked="0"/>
    </xf>
    <xf numFmtId="9" fontId="27" fillId="0" borderId="0" xfId="2" applyFont="1" applyProtection="1">
      <protection locked="0"/>
    </xf>
    <xf numFmtId="0" fontId="82" fillId="0" borderId="0" xfId="3" applyFont="1" applyAlignment="1">
      <alignment horizontal="left" vertical="top" indent="1"/>
    </xf>
    <xf numFmtId="0" fontId="83" fillId="0" borderId="0" xfId="0" applyFont="1" applyAlignment="1" applyProtection="1">
      <alignment horizontal="left" indent="1"/>
      <protection locked="0"/>
    </xf>
    <xf numFmtId="0" fontId="84" fillId="0" borderId="0" xfId="3" applyFont="1" applyAlignment="1">
      <alignment horizontal="left" vertical="top" indent="1"/>
    </xf>
    <xf numFmtId="0" fontId="28" fillId="0" borderId="0" xfId="2" applyNumberFormat="1" applyFont="1"/>
    <xf numFmtId="0" fontId="25" fillId="0" borderId="0" xfId="0" applyFont="1" applyProtection="1">
      <protection locked="0"/>
    </xf>
    <xf numFmtId="0" fontId="0" fillId="0" borderId="29" xfId="0" applyBorder="1"/>
    <xf numFmtId="9" fontId="0" fillId="0" borderId="29" xfId="0" applyNumberFormat="1" applyBorder="1"/>
    <xf numFmtId="10" fontId="26" fillId="0" borderId="0" xfId="2" applyNumberFormat="1" applyFont="1" applyFill="1" applyBorder="1"/>
    <xf numFmtId="10" fontId="85" fillId="9" borderId="4" xfId="2" applyNumberFormat="1" applyFont="1" applyFill="1" applyBorder="1"/>
    <xf numFmtId="0" fontId="83" fillId="0" borderId="0" xfId="0" applyFont="1" applyProtection="1">
      <protection locked="0"/>
    </xf>
    <xf numFmtId="0" fontId="86" fillId="0" borderId="0" xfId="0" applyFont="1" applyProtection="1">
      <protection locked="0"/>
    </xf>
    <xf numFmtId="0" fontId="87" fillId="0" borderId="0" xfId="0" applyFont="1" applyProtection="1">
      <protection locked="0"/>
    </xf>
    <xf numFmtId="0" fontId="88" fillId="2" borderId="0" xfId="0" applyFont="1" applyFill="1"/>
    <xf numFmtId="165" fontId="89" fillId="2" borderId="0" xfId="0" applyNumberFormat="1" applyFont="1" applyFill="1" applyAlignment="1" applyProtection="1">
      <alignment horizontal="center"/>
      <protection locked="0"/>
    </xf>
    <xf numFmtId="165" fontId="89" fillId="2" borderId="0" xfId="0" applyNumberFormat="1" applyFont="1" applyFill="1" applyAlignment="1">
      <alignment horizontal="center"/>
    </xf>
    <xf numFmtId="165" fontId="89" fillId="2" borderId="3" xfId="0" applyNumberFormat="1" applyFont="1" applyFill="1" applyBorder="1" applyAlignment="1" applyProtection="1">
      <alignment horizontal="center"/>
      <protection locked="0"/>
    </xf>
    <xf numFmtId="0" fontId="0" fillId="0" borderId="3" xfId="0" applyBorder="1"/>
    <xf numFmtId="180" fontId="0" fillId="0" borderId="0" xfId="0" applyNumberFormat="1"/>
    <xf numFmtId="37" fontId="90" fillId="3" borderId="0" xfId="2" applyNumberFormat="1" applyFont="1" applyFill="1" applyProtection="1">
      <protection locked="0"/>
    </xf>
    <xf numFmtId="10" fontId="90" fillId="3" borderId="0" xfId="2" applyNumberFormat="1" applyFont="1" applyFill="1" applyProtection="1">
      <protection locked="0"/>
    </xf>
    <xf numFmtId="37" fontId="90" fillId="3" borderId="3" xfId="2" applyNumberFormat="1" applyFont="1" applyFill="1" applyBorder="1" applyProtection="1">
      <protection locked="0"/>
    </xf>
    <xf numFmtId="10" fontId="90" fillId="3" borderId="3" xfId="2" applyNumberFormat="1" applyFont="1" applyFill="1" applyBorder="1" applyProtection="1">
      <protection locked="0"/>
    </xf>
    <xf numFmtId="10" fontId="0" fillId="0" borderId="0" xfId="0" applyNumberFormat="1"/>
    <xf numFmtId="168" fontId="91" fillId="9" borderId="4" xfId="2" applyNumberFormat="1" applyFont="1" applyFill="1" applyBorder="1" applyProtection="1">
      <protection locked="0"/>
    </xf>
    <xf numFmtId="10" fontId="87" fillId="0" borderId="0" xfId="2" applyNumberFormat="1" applyFont="1" applyProtection="1">
      <protection locked="0"/>
    </xf>
    <xf numFmtId="10" fontId="0" fillId="0" borderId="0" xfId="2" applyNumberFormat="1" applyFont="1"/>
    <xf numFmtId="37" fontId="90" fillId="18" borderId="0" xfId="2" applyNumberFormat="1" applyFont="1" applyFill="1" applyProtection="1">
      <protection locked="0"/>
    </xf>
    <xf numFmtId="37" fontId="0" fillId="18" borderId="0" xfId="0" applyNumberFormat="1" applyFill="1"/>
    <xf numFmtId="10" fontId="0" fillId="18" borderId="0" xfId="0" applyNumberFormat="1" applyFill="1"/>
    <xf numFmtId="0" fontId="0" fillId="18" borderId="0" xfId="0" applyFill="1"/>
    <xf numFmtId="10" fontId="87" fillId="18" borderId="0" xfId="2" applyNumberFormat="1" applyFont="1" applyFill="1" applyProtection="1">
      <protection locked="0"/>
    </xf>
    <xf numFmtId="10" fontId="28" fillId="18" borderId="0" xfId="2" applyNumberFormat="1" applyFont="1" applyFill="1" applyProtection="1">
      <protection locked="0"/>
    </xf>
    <xf numFmtId="0" fontId="86" fillId="0" borderId="3" xfId="0" applyFont="1" applyBorder="1" applyProtection="1">
      <protection locked="0"/>
    </xf>
    <xf numFmtId="10" fontId="87" fillId="0" borderId="3" xfId="2" applyNumberFormat="1" applyFont="1" applyBorder="1" applyProtection="1">
      <protection locked="0"/>
    </xf>
    <xf numFmtId="0" fontId="54" fillId="0" borderId="0" xfId="0" applyFont="1"/>
    <xf numFmtId="10" fontId="3" fillId="0" borderId="0" xfId="2" applyNumberFormat="1" applyFont="1"/>
    <xf numFmtId="0" fontId="7" fillId="0" borderId="0" xfId="3" applyAlignment="1">
      <alignment horizontal="left" indent="1"/>
    </xf>
    <xf numFmtId="0" fontId="7" fillId="0" borderId="0" xfId="0" applyFont="1" applyAlignment="1">
      <alignment horizontal="left" wrapText="1" indent="1"/>
    </xf>
    <xf numFmtId="37" fontId="83" fillId="3" borderId="0" xfId="2" applyNumberFormat="1" applyFont="1" applyFill="1"/>
    <xf numFmtId="168" fontId="83" fillId="0" borderId="0" xfId="2" applyNumberFormat="1" applyFont="1" applyAlignment="1">
      <alignment horizontal="right"/>
    </xf>
    <xf numFmtId="37" fontId="87" fillId="0" borderId="0" xfId="0" applyNumberFormat="1" applyFont="1" applyProtection="1">
      <protection locked="0"/>
    </xf>
    <xf numFmtId="168" fontId="96" fillId="0" borderId="0" xfId="2" applyNumberFormat="1" applyFont="1" applyProtection="1">
      <protection locked="0"/>
    </xf>
    <xf numFmtId="0" fontId="28" fillId="20" borderId="0" xfId="0" applyFont="1" applyFill="1" applyProtection="1">
      <protection locked="0"/>
    </xf>
    <xf numFmtId="37" fontId="28" fillId="20" borderId="0" xfId="0" applyNumberFormat="1" applyFont="1" applyFill="1" applyProtection="1">
      <protection locked="0"/>
    </xf>
    <xf numFmtId="37" fontId="87" fillId="20" borderId="0" xfId="0" applyNumberFormat="1" applyFont="1" applyFill="1" applyProtection="1">
      <protection locked="0"/>
    </xf>
    <xf numFmtId="0" fontId="83" fillId="20" borderId="0" xfId="0" applyFont="1" applyFill="1" applyProtection="1">
      <protection locked="0"/>
    </xf>
    <xf numFmtId="0" fontId="97" fillId="0" borderId="0" xfId="0" applyFont="1"/>
    <xf numFmtId="0" fontId="34" fillId="20" borderId="0" xfId="0" applyFont="1" applyFill="1" applyProtection="1">
      <protection locked="0"/>
    </xf>
    <xf numFmtId="0" fontId="0" fillId="4" borderId="0" xfId="0" applyFill="1"/>
    <xf numFmtId="181" fontId="78" fillId="0" borderId="0" xfId="0" applyNumberFormat="1" applyFont="1"/>
    <xf numFmtId="168" fontId="28" fillId="0" borderId="0" xfId="0" applyNumberFormat="1" applyFont="1"/>
    <xf numFmtId="10" fontId="28" fillId="0" borderId="0" xfId="2" applyNumberFormat="1" applyFont="1"/>
    <xf numFmtId="168" fontId="28" fillId="0" borderId="0" xfId="2" applyNumberFormat="1" applyFont="1" applyFill="1"/>
    <xf numFmtId="177" fontId="87" fillId="0" borderId="0" xfId="2" applyNumberFormat="1" applyFont="1" applyAlignment="1">
      <alignment horizontal="center"/>
    </xf>
    <xf numFmtId="176" fontId="87" fillId="0" borderId="0" xfId="2" applyNumberFormat="1" applyFont="1" applyAlignment="1">
      <alignment horizontal="center"/>
    </xf>
    <xf numFmtId="173" fontId="87" fillId="0" borderId="0" xfId="2" applyNumberFormat="1" applyFont="1" applyAlignment="1">
      <alignment horizontal="center"/>
    </xf>
    <xf numFmtId="0" fontId="87" fillId="0" borderId="0" xfId="0" applyFont="1"/>
    <xf numFmtId="9" fontId="87" fillId="0" borderId="0" xfId="2" applyFont="1" applyAlignment="1">
      <alignment horizontal="center"/>
    </xf>
    <xf numFmtId="0" fontId="87" fillId="0" borderId="0" xfId="0" applyFont="1" applyAlignment="1">
      <alignment horizontal="left" indent="1"/>
    </xf>
    <xf numFmtId="0" fontId="87" fillId="10" borderId="0" xfId="0" applyFont="1" applyFill="1"/>
    <xf numFmtId="0" fontId="87" fillId="10" borderId="0" xfId="0" applyFont="1" applyFill="1" applyAlignment="1">
      <alignment horizontal="left" indent="1"/>
    </xf>
    <xf numFmtId="0" fontId="7" fillId="0" borderId="0" xfId="3" applyAlignment="1">
      <alignment horizontal="left" vertical="top" indent="1"/>
    </xf>
    <xf numFmtId="0" fontId="0" fillId="2" borderId="0" xfId="0" applyFill="1"/>
    <xf numFmtId="0" fontId="4" fillId="2" borderId="0" xfId="0" applyFont="1" applyFill="1" applyAlignment="1">
      <alignment horizontal="center"/>
    </xf>
    <xf numFmtId="37" fontId="0" fillId="4" borderId="0" xfId="0" applyNumberFormat="1" applyFill="1"/>
    <xf numFmtId="0" fontId="3" fillId="4" borderId="0" xfId="0" applyFont="1" applyFill="1"/>
    <xf numFmtId="0" fontId="98" fillId="4" borderId="0" xfId="0" applyFont="1" applyFill="1"/>
    <xf numFmtId="0" fontId="99" fillId="4" borderId="0" xfId="0" applyFont="1" applyFill="1"/>
    <xf numFmtId="0" fontId="101" fillId="4" borderId="0" xfId="0" applyFont="1" applyFill="1"/>
    <xf numFmtId="0" fontId="102" fillId="4" borderId="0" xfId="0" applyFont="1" applyFill="1"/>
    <xf numFmtId="10" fontId="101" fillId="4" borderId="0" xfId="2" applyNumberFormat="1" applyFont="1" applyFill="1"/>
    <xf numFmtId="0" fontId="100" fillId="4" borderId="0" xfId="0" applyFont="1" applyFill="1"/>
    <xf numFmtId="10" fontId="101" fillId="0" borderId="0" xfId="2" applyNumberFormat="1" applyFont="1"/>
    <xf numFmtId="0" fontId="98" fillId="4" borderId="1" xfId="0" applyFont="1" applyFill="1" applyBorder="1"/>
    <xf numFmtId="0" fontId="99" fillId="4" borderId="1" xfId="0" applyFont="1" applyFill="1" applyBorder="1"/>
    <xf numFmtId="10" fontId="101" fillId="4" borderId="1" xfId="2" applyNumberFormat="1" applyFont="1" applyFill="1" applyBorder="1"/>
    <xf numFmtId="0" fontId="101" fillId="4" borderId="1" xfId="0" applyFont="1" applyFill="1" applyBorder="1"/>
    <xf numFmtId="0" fontId="0" fillId="4" borderId="1" xfId="0" applyFill="1" applyBorder="1"/>
    <xf numFmtId="171" fontId="28" fillId="0" borderId="0" xfId="0" applyNumberFormat="1" applyFont="1"/>
    <xf numFmtId="37" fontId="39" fillId="5" borderId="0" xfId="9" applyNumberFormat="1" applyFont="1" applyFill="1" applyAlignment="1">
      <alignment horizontal="right"/>
    </xf>
    <xf numFmtId="0" fontId="28" fillId="5" borderId="0" xfId="0" applyFont="1" applyFill="1"/>
    <xf numFmtId="0" fontId="74" fillId="0" borderId="0" xfId="0" applyFont="1" applyAlignment="1">
      <alignment horizontal="left" vertical="top" wrapText="1"/>
    </xf>
    <xf numFmtId="0" fontId="28" fillId="0" borderId="0" xfId="0" applyFont="1" applyAlignment="1">
      <alignment horizontal="center" vertical="center" wrapText="1"/>
    </xf>
    <xf numFmtId="0" fontId="28" fillId="0" borderId="0" xfId="0" applyFont="1" applyAlignment="1">
      <alignment horizontal="left" vertical="top" wrapText="1" indent="1"/>
    </xf>
    <xf numFmtId="0" fontId="7" fillId="0" borderId="0" xfId="3" applyAlignment="1">
      <alignment horizontal="right" vertical="center"/>
    </xf>
    <xf numFmtId="0" fontId="27" fillId="0" borderId="0" xfId="5" applyFont="1" applyAlignment="1">
      <alignment horizontal="center" vertical="center"/>
    </xf>
    <xf numFmtId="0" fontId="28" fillId="0" borderId="0" xfId="0" applyFont="1" applyAlignment="1">
      <alignment horizontal="center"/>
    </xf>
    <xf numFmtId="0" fontId="27" fillId="0" borderId="2" xfId="5" applyFont="1" applyBorder="1" applyAlignment="1">
      <alignment horizontal="center" vertical="center"/>
    </xf>
    <xf numFmtId="0" fontId="28" fillId="0" borderId="2" xfId="0" applyFont="1" applyBorder="1" applyAlignment="1">
      <alignment horizontal="center"/>
    </xf>
    <xf numFmtId="9" fontId="34" fillId="5" borderId="0" xfId="0" applyNumberFormat="1" applyFont="1" applyFill="1" applyAlignment="1">
      <alignment horizontal="right"/>
    </xf>
    <xf numFmtId="0" fontId="34" fillId="19" borderId="0" xfId="0" applyFont="1" applyFill="1" applyAlignment="1">
      <alignment horizontal="right"/>
    </xf>
    <xf numFmtId="1" fontId="34" fillId="5" borderId="0" xfId="0" applyNumberFormat="1" applyFont="1" applyFill="1" applyAlignment="1">
      <alignment horizontal="right"/>
    </xf>
    <xf numFmtId="1" fontId="24" fillId="0" borderId="0" xfId="5" applyNumberFormat="1" applyFont="1" applyAlignment="1">
      <alignment horizontal="right" vertical="center"/>
    </xf>
    <xf numFmtId="0" fontId="34" fillId="13" borderId="0" xfId="0" applyFont="1" applyFill="1" applyAlignment="1">
      <alignment horizontal="right"/>
    </xf>
    <xf numFmtId="9" fontId="34" fillId="19" borderId="0" xfId="0" applyNumberFormat="1" applyFont="1" applyFill="1" applyAlignment="1">
      <alignment horizontal="right"/>
    </xf>
    <xf numFmtId="0" fontId="53" fillId="0" borderId="0" xfId="5" applyFont="1" applyAlignment="1">
      <alignment horizontal="right" vertical="center"/>
    </xf>
    <xf numFmtId="0" fontId="53" fillId="0" borderId="0" xfId="5" applyFont="1" applyAlignment="1">
      <alignment horizontal="center" vertical="center"/>
    </xf>
    <xf numFmtId="0" fontId="27" fillId="20" borderId="0" xfId="5" applyFont="1" applyFill="1" applyAlignment="1">
      <alignment horizontal="left" vertical="top" wrapText="1"/>
    </xf>
    <xf numFmtId="0" fontId="27" fillId="0" borderId="0" xfId="5" applyFont="1" applyAlignment="1">
      <alignment horizontal="left" vertical="top" wrapText="1"/>
    </xf>
    <xf numFmtId="0" fontId="27" fillId="20" borderId="0" xfId="5" applyFont="1" applyFill="1" applyAlignment="1">
      <alignment horizontal="left" vertical="center" wrapText="1"/>
    </xf>
    <xf numFmtId="0" fontId="27" fillId="0" borderId="0" xfId="5" applyFont="1" applyAlignment="1">
      <alignment horizontal="left" vertical="center" wrapText="1"/>
    </xf>
    <xf numFmtId="0" fontId="27" fillId="5" borderId="0" xfId="5" applyFont="1" applyFill="1" applyAlignment="1">
      <alignment horizontal="center" vertical="center"/>
    </xf>
    <xf numFmtId="3" fontId="53" fillId="0" borderId="0" xfId="5" applyNumberFormat="1" applyFont="1" applyAlignment="1">
      <alignment horizontal="right" vertical="center"/>
    </xf>
    <xf numFmtId="0" fontId="7" fillId="0" borderId="0" xfId="3" applyAlignment="1">
      <alignment horizontal="center" vertical="center"/>
    </xf>
    <xf numFmtId="0" fontId="34" fillId="0" borderId="0" xfId="0" applyFont="1" applyAlignment="1">
      <alignment horizontal="left" vertical="top" wrapText="1" indent="1"/>
    </xf>
    <xf numFmtId="0" fontId="34" fillId="5" borderId="0" xfId="0" applyFont="1" applyFill="1" applyAlignment="1">
      <alignment horizontal="left" vertical="top" wrapText="1" indent="1"/>
    </xf>
    <xf numFmtId="0" fontId="103" fillId="20" borderId="0" xfId="5" applyFont="1" applyFill="1" applyAlignment="1">
      <alignment horizontal="left" vertical="top" wrapText="1"/>
    </xf>
    <xf numFmtId="0" fontId="27" fillId="7" borderId="0" xfId="5" applyFont="1" applyFill="1" applyAlignment="1">
      <alignment horizontal="center" vertical="center"/>
    </xf>
    <xf numFmtId="0" fontId="27" fillId="13" borderId="0" xfId="5" applyFont="1" applyFill="1" applyAlignment="1">
      <alignment horizontal="center" vertical="center"/>
    </xf>
    <xf numFmtId="0" fontId="0" fillId="0" borderId="0" xfId="3" applyFont="1" applyAlignment="1">
      <alignment horizontal="left" vertical="top" wrapText="1"/>
    </xf>
    <xf numFmtId="0" fontId="7" fillId="0" borderId="0" xfId="3" applyAlignment="1">
      <alignment horizontal="left" vertical="top" wrapText="1"/>
    </xf>
    <xf numFmtId="0" fontId="28" fillId="0" borderId="0" xfId="0" applyFont="1" applyAlignment="1">
      <alignment horizontal="left" vertical="top" wrapText="1"/>
    </xf>
    <xf numFmtId="0" fontId="27" fillId="20" borderId="0" xfId="5" applyFont="1" applyFill="1" applyAlignment="1">
      <alignment horizontal="center" vertical="center"/>
    </xf>
    <xf numFmtId="0" fontId="27" fillId="21" borderId="0" xfId="5" applyFont="1" applyFill="1" applyAlignment="1">
      <alignment horizontal="center" vertical="center"/>
    </xf>
    <xf numFmtId="0" fontId="27" fillId="5" borderId="0" xfId="5" applyFont="1" applyFill="1" applyAlignment="1">
      <alignment horizontal="left" vertical="center"/>
    </xf>
    <xf numFmtId="0" fontId="27" fillId="7" borderId="0" xfId="5" applyFont="1" applyFill="1" applyAlignment="1">
      <alignment horizontal="left" vertical="center"/>
    </xf>
    <xf numFmtId="0" fontId="27" fillId="21" borderId="0" xfId="5" applyFont="1" applyFill="1" applyAlignment="1">
      <alignment horizontal="left" vertical="center"/>
    </xf>
    <xf numFmtId="0" fontId="103" fillId="20" borderId="0" xfId="5" applyFont="1" applyFill="1" applyAlignment="1">
      <alignment horizontal="left" vertical="center" wrapText="1"/>
    </xf>
    <xf numFmtId="0" fontId="52" fillId="21" borderId="0" xfId="5" applyFont="1" applyFill="1" applyAlignment="1">
      <alignment horizontal="left" vertical="center"/>
    </xf>
    <xf numFmtId="0" fontId="27" fillId="8" borderId="0" xfId="5" applyFont="1" applyFill="1" applyAlignment="1">
      <alignment horizontal="left" vertical="center"/>
    </xf>
    <xf numFmtId="166" fontId="16" fillId="2" borderId="10" xfId="0" applyNumberFormat="1" applyFont="1" applyFill="1" applyBorder="1" applyAlignment="1">
      <alignment horizontal="center"/>
    </xf>
    <xf numFmtId="0" fontId="28" fillId="0" borderId="0" xfId="0" applyFont="1" applyAlignment="1">
      <alignment horizontal="left" vertical="center" wrapText="1"/>
    </xf>
    <xf numFmtId="165" fontId="16" fillId="2" borderId="10" xfId="0" applyNumberFormat="1" applyFont="1" applyFill="1" applyBorder="1" applyAlignment="1">
      <alignment horizontal="center"/>
    </xf>
    <xf numFmtId="0" fontId="28" fillId="0" borderId="0" xfId="0" applyFont="1" applyAlignment="1">
      <alignment horizontal="center" vertical="top" wrapText="1"/>
    </xf>
    <xf numFmtId="0" fontId="37" fillId="2" borderId="10" xfId="0" applyFont="1" applyFill="1" applyBorder="1" applyAlignment="1">
      <alignment horizontal="center"/>
    </xf>
    <xf numFmtId="165" fontId="89" fillId="2" borderId="0" xfId="0" applyNumberFormat="1" applyFont="1" applyFill="1" applyAlignment="1" applyProtection="1">
      <alignment horizontal="center"/>
      <protection locked="0"/>
    </xf>
    <xf numFmtId="0" fontId="68" fillId="0" borderId="11" xfId="0" applyFont="1" applyBorder="1" applyAlignment="1">
      <alignment horizontal="center"/>
    </xf>
    <xf numFmtId="0" fontId="8" fillId="0" borderId="11" xfId="0" applyFont="1" applyBorder="1" applyAlignment="1">
      <alignment horizontal="center"/>
    </xf>
    <xf numFmtId="0" fontId="0" fillId="0" borderId="0" xfId="0" applyAlignment="1">
      <alignment horizontal="center"/>
    </xf>
  </cellXfs>
  <cellStyles count="14">
    <cellStyle name="blp_column_header" xfId="12" xr:uid="{00000000-0005-0000-0000-000000000000}"/>
    <cellStyle name="Currency 2" xfId="9" xr:uid="{00000000-0005-0000-0000-000002000000}"/>
    <cellStyle name="fa_column_header_bottom" xfId="11" xr:uid="{00000000-0005-0000-0000-000003000000}"/>
    <cellStyle name="Hyperlink" xfId="3" xr:uid="{00000000-0005-0000-0000-000004000000}"/>
    <cellStyle name="Normal" xfId="0" builtinId="0"/>
    <cellStyle name="Normal 2" xfId="8" xr:uid="{00000000-0005-0000-0000-000006000000}"/>
    <cellStyle name="Normal 2 2" xfId="5" xr:uid="{00000000-0005-0000-0000-000007000000}"/>
    <cellStyle name="Normal 2 2 2" xfId="13" xr:uid="{00000000-0005-0000-0000-000008000000}"/>
    <cellStyle name="Normal 3 2" xfId="6" xr:uid="{00000000-0005-0000-0000-000009000000}"/>
    <cellStyle name="Normal 6" xfId="10" xr:uid="{00000000-0005-0000-0000-00000A000000}"/>
    <cellStyle name="Percent 2" xfId="4" xr:uid="{00000000-0005-0000-0000-00000C000000}"/>
    <cellStyle name="Percentagem" xfId="2" builtinId="5"/>
    <cellStyle name="Porcentaje 3" xfId="7" xr:uid="{00000000-0005-0000-0000-00000D000000}"/>
    <cellStyle name="Vírgula" xfId="1" builtinId="3"/>
  </cellStyles>
  <dxfs count="6">
    <dxf>
      <font>
        <b/>
        <i/>
        <strike val="0"/>
        <color theme="1" tint="4.9989318521683403E-2"/>
      </font>
      <numFmt numFmtId="2" formatCode="0.00"/>
      <fill>
        <patternFill patternType="none">
          <bgColor auto="1"/>
        </patternFill>
      </fill>
    </dxf>
    <dxf>
      <font>
        <color rgb="FFC00000"/>
      </font>
    </dxf>
    <dxf>
      <font>
        <color rgb="FFFF0000"/>
      </font>
    </dxf>
    <dxf>
      <font>
        <color rgb="FF00B050"/>
      </font>
    </dxf>
    <dxf>
      <font>
        <color rgb="FF92D050"/>
      </font>
      <fill>
        <patternFill patternType="none">
          <bgColor auto="1"/>
        </patternFill>
      </fill>
    </dxf>
    <dxf>
      <font>
        <color rgb="FFFFC000"/>
      </font>
      <fill>
        <patternFill patternType="none">
          <bgColor auto="1"/>
        </patternFill>
      </fill>
    </dxf>
  </dxfs>
  <tableStyles count="0" defaultTableStyle="TableStyleMedium2" defaultPivotStyle="PivotStyleLight16"/>
  <colors>
    <mruColors>
      <color rgb="FF7B1314"/>
      <color rgb="FFBE606D"/>
      <color rgb="FF8DEB91"/>
      <color rgb="FF1C3E64"/>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6"/>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11-4AFF-A87D-E0CDF49E26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11-4AFF-A87D-E0CDF49E2656}"/>
              </c:ext>
            </c:extLst>
          </c:dPt>
          <c:val>
            <c:numRef>
              <c:f>FCFF!$R$170:$R$171</c:f>
              <c:numCache>
                <c:formatCode>0.0%</c:formatCode>
                <c:ptCount val="2"/>
                <c:pt idx="0">
                  <c:v>0</c:v>
                </c:pt>
                <c:pt idx="1">
                  <c:v>0</c:v>
                </c:pt>
              </c:numCache>
            </c:numRef>
          </c:val>
          <c:extLst>
            <c:ext xmlns:c16="http://schemas.microsoft.com/office/drawing/2014/chart" uri="{C3380CC4-5D6E-409C-BE32-E72D297353CC}">
              <c16:uniqueId val="{00000004-9308-49AE-A481-1F06B1D5BB5E}"/>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14486436699692E-2"/>
          <c:y val="4.35897347890703E-2"/>
          <c:w val="0.83471072979021788"/>
          <c:h val="0.82395872603386833"/>
        </c:manualLayout>
      </c:layout>
      <c:barChart>
        <c:barDir val="col"/>
        <c:grouping val="clustered"/>
        <c:varyColors val="0"/>
        <c:ser>
          <c:idx val="0"/>
          <c:order val="0"/>
          <c:tx>
            <c:strRef>
              <c:f>FCFF!$AR$16</c:f>
              <c:strCache>
                <c:ptCount val="1"/>
                <c:pt idx="0">
                  <c:v>EBITDA</c:v>
                </c:pt>
              </c:strCache>
            </c:strRef>
          </c:tx>
          <c:spPr>
            <a:solidFill>
              <a:schemeClr val="accent1">
                <a:lumMod val="60000"/>
                <a:lumOff val="40000"/>
              </a:schemeClr>
            </a:solidFill>
            <a:ln>
              <a:noFill/>
            </a:ln>
            <a:effectLst>
              <a:glow rad="101600">
                <a:schemeClr val="accent1">
                  <a:satMod val="175000"/>
                  <a:alpha val="20000"/>
                </a:schemeClr>
              </a:glow>
              <a:softEdge rad="0"/>
            </a:effectLst>
          </c:spPr>
          <c:invertIfNegative val="0"/>
          <c:cat>
            <c:numRef>
              <c:f>FCFF!$AS$15:$AZ$15</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FCFF!$AS$16:$AZ$16</c:f>
              <c:numCache>
                <c:formatCode>#,##0_);\(#,##0\)</c:formatCode>
                <c:ptCount val="8"/>
                <c:pt idx="0">
                  <c:v>801402</c:v>
                </c:pt>
                <c:pt idx="1">
                  <c:v>856484</c:v>
                </c:pt>
                <c:pt idx="2">
                  <c:v>837271</c:v>
                </c:pt>
                <c:pt idx="3">
                  <c:v>752861.07328182738</c:v>
                </c:pt>
                <c:pt idx="4">
                  <c:v>837794.44250802707</c:v>
                </c:pt>
                <c:pt idx="5">
                  <c:v>956610.38091400394</c:v>
                </c:pt>
                <c:pt idx="6">
                  <c:v>1081244.6070804277</c:v>
                </c:pt>
                <c:pt idx="7">
                  <c:v>1155438.8875791735</c:v>
                </c:pt>
              </c:numCache>
            </c:numRef>
          </c:val>
          <c:extLst>
            <c:ext xmlns:c16="http://schemas.microsoft.com/office/drawing/2014/chart" uri="{C3380CC4-5D6E-409C-BE32-E72D297353CC}">
              <c16:uniqueId val="{00000000-EDEC-4D47-9C20-D8D9D241E889}"/>
            </c:ext>
          </c:extLst>
        </c:ser>
        <c:ser>
          <c:idx val="1"/>
          <c:order val="1"/>
          <c:tx>
            <c:strRef>
              <c:f>FCFF!$AR$20</c:f>
              <c:strCache>
                <c:ptCount val="1"/>
                <c:pt idx="0">
                  <c:v>FCFF</c:v>
                </c:pt>
              </c:strCache>
            </c:strRef>
          </c:tx>
          <c:spPr>
            <a:solidFill>
              <a:schemeClr val="accent1"/>
            </a:solidFill>
            <a:ln>
              <a:noFill/>
            </a:ln>
            <a:effectLst>
              <a:glow rad="101600">
                <a:schemeClr val="accent1">
                  <a:satMod val="175000"/>
                  <a:alpha val="20000"/>
                </a:schemeClr>
              </a:glow>
            </a:effectLst>
          </c:spPr>
          <c:invertIfNegative val="0"/>
          <c:cat>
            <c:numRef>
              <c:f>FCFF!$AS$15:$AZ$15</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FCFF!$AS$20:$AZ$20</c:f>
              <c:numCache>
                <c:formatCode>#,##0_);\(#,##0\)</c:formatCode>
                <c:ptCount val="8"/>
                <c:pt idx="0">
                  <c:v>400810.93967159488</c:v>
                </c:pt>
                <c:pt idx="1">
                  <c:v>628304.98341825465</c:v>
                </c:pt>
                <c:pt idx="2">
                  <c:v>679159.63556042232</c:v>
                </c:pt>
                <c:pt idx="3">
                  <c:v>634502.51660998492</c:v>
                </c:pt>
                <c:pt idx="4">
                  <c:v>668909.18108586129</c:v>
                </c:pt>
                <c:pt idx="5">
                  <c:v>663689.02823293454</c:v>
                </c:pt>
                <c:pt idx="6">
                  <c:v>750720.23356764857</c:v>
                </c:pt>
                <c:pt idx="7">
                  <c:v>795208.34511697874</c:v>
                </c:pt>
              </c:numCache>
            </c:numRef>
          </c:val>
          <c:extLst>
            <c:ext xmlns:c16="http://schemas.microsoft.com/office/drawing/2014/chart" uri="{C3380CC4-5D6E-409C-BE32-E72D297353CC}">
              <c16:uniqueId val="{00000001-EDEC-4D47-9C20-D8D9D241E889}"/>
            </c:ext>
          </c:extLst>
        </c:ser>
        <c:dLbls>
          <c:showLegendKey val="0"/>
          <c:showVal val="0"/>
          <c:showCatName val="0"/>
          <c:showSerName val="0"/>
          <c:showPercent val="0"/>
          <c:showBubbleSize val="0"/>
        </c:dLbls>
        <c:gapWidth val="100"/>
        <c:overlap val="-27"/>
        <c:axId val="461881935"/>
        <c:axId val="461884815"/>
      </c:barChart>
      <c:lineChart>
        <c:grouping val="standard"/>
        <c:varyColors val="0"/>
        <c:ser>
          <c:idx val="2"/>
          <c:order val="2"/>
          <c:tx>
            <c:strRef>
              <c:f>FCFF!$AR$26</c:f>
              <c:strCache>
                <c:ptCount val="1"/>
                <c:pt idx="0">
                  <c:v>Revenue Growth</c:v>
                </c:pt>
              </c:strCache>
            </c:strRef>
          </c:tx>
          <c:spPr>
            <a:ln w="19050" cap="rnd">
              <a:solidFill>
                <a:schemeClr val="bg1">
                  <a:lumMod val="75000"/>
                </a:schemeClr>
              </a:solidFill>
              <a:round/>
            </a:ln>
            <a:effectLst>
              <a:glow rad="101600">
                <a:schemeClr val="accent3">
                  <a:satMod val="175000"/>
                  <a:alpha val="15000"/>
                </a:schemeClr>
              </a:glow>
            </a:effectLst>
          </c:spPr>
          <c:marker>
            <c:symbol val="none"/>
          </c:marker>
          <c:cat>
            <c:numRef>
              <c:f>FCFF!$AS$15:$AZ$15</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FCFF!$AS$26:$AZ$26</c:f>
              <c:numCache>
                <c:formatCode>0.0%</c:formatCode>
                <c:ptCount val="8"/>
                <c:pt idx="0">
                  <c:v>0.24057552744069755</c:v>
                </c:pt>
                <c:pt idx="1">
                  <c:v>9.3035873115132617E-4</c:v>
                </c:pt>
                <c:pt idx="2">
                  <c:v>-3.9994748061799479E-2</c:v>
                </c:pt>
                <c:pt idx="3">
                  <c:v>9.8039871883370822E-4</c:v>
                </c:pt>
                <c:pt idx="4">
                  <c:v>3.8203364290655406E-2</c:v>
                </c:pt>
                <c:pt idx="5">
                  <c:v>4.3199307303073864E-2</c:v>
                </c:pt>
                <c:pt idx="6">
                  <c:v>4.0706641503339913E-2</c:v>
                </c:pt>
                <c:pt idx="7">
                  <c:v>3.9819584896290339E-2</c:v>
                </c:pt>
              </c:numCache>
            </c:numRef>
          </c:val>
          <c:smooth val="0"/>
          <c:extLst>
            <c:ext xmlns:c16="http://schemas.microsoft.com/office/drawing/2014/chart" uri="{C3380CC4-5D6E-409C-BE32-E72D297353CC}">
              <c16:uniqueId val="{00000002-EDEC-4D47-9C20-D8D9D241E889}"/>
            </c:ext>
          </c:extLst>
        </c:ser>
        <c:dLbls>
          <c:showLegendKey val="0"/>
          <c:showVal val="0"/>
          <c:showCatName val="0"/>
          <c:showSerName val="0"/>
          <c:showPercent val="0"/>
          <c:showBubbleSize val="0"/>
        </c:dLbls>
        <c:marker val="1"/>
        <c:smooth val="0"/>
        <c:axId val="683919615"/>
        <c:axId val="465601487"/>
      </c:lineChart>
      <c:catAx>
        <c:axId val="461881935"/>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en-PT"/>
          </a:p>
        </c:txPr>
        <c:crossAx val="461884815"/>
        <c:crosses val="autoZero"/>
        <c:auto val="1"/>
        <c:lblAlgn val="ctr"/>
        <c:lblOffset val="100"/>
        <c:noMultiLvlLbl val="0"/>
      </c:catAx>
      <c:valAx>
        <c:axId val="461884815"/>
        <c:scaling>
          <c:orientation val="minMax"/>
        </c:scaling>
        <c:delete val="0"/>
        <c:axPos val="l"/>
        <c:majorGridlines>
          <c:spPr>
            <a:ln w="9525" cap="flat" cmpd="sng" algn="ctr">
              <a:solidFill>
                <a:schemeClr val="accent1">
                  <a:lumMod val="20000"/>
                  <a:lumOff val="80000"/>
                  <a:alpha val="2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en-PT"/>
          </a:p>
        </c:txPr>
        <c:crossAx val="461881935"/>
        <c:crosses val="autoZero"/>
        <c:crossBetween val="between"/>
      </c:valAx>
      <c:valAx>
        <c:axId val="465601487"/>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en-PT"/>
          </a:p>
        </c:txPr>
        <c:crossAx val="683919615"/>
        <c:crosses val="max"/>
        <c:crossBetween val="between"/>
      </c:valAx>
      <c:catAx>
        <c:axId val="683919615"/>
        <c:scaling>
          <c:orientation val="minMax"/>
        </c:scaling>
        <c:delete val="1"/>
        <c:axPos val="b"/>
        <c:numFmt formatCode="0&quot;A&quot;" sourceLinked="1"/>
        <c:majorTickMark val="out"/>
        <c:minorTickMark val="none"/>
        <c:tickLblPos val="nextTo"/>
        <c:crossAx val="465601487"/>
        <c:crosses val="autoZero"/>
        <c:auto val="1"/>
        <c:lblAlgn val="ctr"/>
        <c:lblOffset val="100"/>
        <c:noMultiLvlLbl val="0"/>
      </c:catAx>
      <c:spPr>
        <a:noFill/>
        <a:ln>
          <a:noFill/>
        </a:ln>
        <a:effectLst/>
      </c:spPr>
    </c:plotArea>
    <c:legend>
      <c:legendPos val="b"/>
      <c:layout>
        <c:manualLayout>
          <c:xMode val="edge"/>
          <c:yMode val="edge"/>
          <c:x val="0.16973859526076801"/>
          <c:y val="0.92322219770401337"/>
          <c:w val="0.6991448702669929"/>
          <c:h val="7.677785464858513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en-PT"/>
        </a:p>
      </c:txPr>
    </c:legend>
    <c:plotVisOnly val="1"/>
    <c:dispBlanksAs val="gap"/>
    <c:showDLblsOverMax val="0"/>
  </c:chart>
  <c:spPr>
    <a:noFill/>
    <a:ln w="9525" cap="flat" cmpd="sng" algn="ctr">
      <a:noFill/>
      <a:round/>
    </a:ln>
    <a:effectLst/>
  </c:spPr>
  <c:txPr>
    <a:bodyPr/>
    <a:lstStyle/>
    <a:p>
      <a:pPr>
        <a:defRPr sz="1100" b="0">
          <a:solidFill>
            <a:schemeClr val="accent1">
              <a:lumMod val="50000"/>
            </a:schemeClr>
          </a:solidFill>
          <a:latin typeface="Arial Nova" panose="020B0504020202020204" pitchFamily="34" charset="0"/>
        </a:defRPr>
      </a:pPr>
      <a:endParaRPr lang="en-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4.3137268222099186E-2"/>
          <c:w val="0.91831818771167184"/>
          <c:h val="0.75471599651566978"/>
        </c:manualLayout>
      </c:layout>
      <c:lineChart>
        <c:grouping val="standard"/>
        <c:varyColors val="0"/>
        <c:ser>
          <c:idx val="1"/>
          <c:order val="1"/>
          <c:spPr>
            <a:ln w="28575" cap="rnd">
              <a:solidFill>
                <a:schemeClr val="accent1">
                  <a:lumMod val="60000"/>
                  <a:lumOff val="40000"/>
                </a:schemeClr>
              </a:solidFill>
              <a:round/>
              <a:headEnd type="none" w="med" len="med"/>
              <a:tailEnd type="triangle" w="med" len="med"/>
            </a:ln>
            <a:effectLst>
              <a:glow rad="101600">
                <a:schemeClr val="accent1">
                  <a:satMod val="175000"/>
                  <a:alpha val="10000"/>
                </a:schemeClr>
              </a:glow>
            </a:effectLst>
          </c:spPr>
          <c:marker>
            <c:symbol val="none"/>
          </c:marker>
          <c:dLbls>
            <c:dLbl>
              <c:idx val="9"/>
              <c:layout>
                <c:manualLayout>
                  <c:x val="1.1440251733625133E-2"/>
                  <c:y val="3.9215698383726532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50000"/>
                        </a:schemeClr>
                      </a:solidFill>
                      <a:latin typeface="Arial Nova" panose="020B0504020202020204" pitchFamily="34" charset="0"/>
                      <a:ea typeface="+mn-ea"/>
                      <a:cs typeface="+mn-cs"/>
                    </a:defRPr>
                  </a:pPr>
                  <a:endParaRPr lang="en-PT"/>
                </a:p>
              </c:txP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en-PT"/>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Dashboard!$C$154:$C$558</c:f>
              <c:numCache>
                <c:formatCode>yyyy\-mm\-dd;@</c:formatCode>
                <c:ptCount val="405"/>
                <c:pt idx="0">
                  <c:v>45984</c:v>
                </c:pt>
                <c:pt idx="1">
                  <c:v>45983</c:v>
                </c:pt>
                <c:pt idx="2">
                  <c:v>45982</c:v>
                </c:pt>
                <c:pt idx="3">
                  <c:v>45981</c:v>
                </c:pt>
                <c:pt idx="4">
                  <c:v>45980</c:v>
                </c:pt>
                <c:pt idx="5">
                  <c:v>45979</c:v>
                </c:pt>
                <c:pt idx="6">
                  <c:v>45978</c:v>
                </c:pt>
                <c:pt idx="7">
                  <c:v>45977</c:v>
                </c:pt>
                <c:pt idx="8">
                  <c:v>45976</c:v>
                </c:pt>
                <c:pt idx="9">
                  <c:v>45975</c:v>
                </c:pt>
                <c:pt idx="10">
                  <c:v>45974</c:v>
                </c:pt>
                <c:pt idx="11">
                  <c:v>45973</c:v>
                </c:pt>
                <c:pt idx="12">
                  <c:v>45972</c:v>
                </c:pt>
                <c:pt idx="13">
                  <c:v>45971</c:v>
                </c:pt>
                <c:pt idx="14">
                  <c:v>45970</c:v>
                </c:pt>
                <c:pt idx="15">
                  <c:v>45969</c:v>
                </c:pt>
                <c:pt idx="16">
                  <c:v>45968</c:v>
                </c:pt>
                <c:pt idx="17">
                  <c:v>45967</c:v>
                </c:pt>
                <c:pt idx="18">
                  <c:v>45966</c:v>
                </c:pt>
                <c:pt idx="19">
                  <c:v>45965</c:v>
                </c:pt>
                <c:pt idx="20">
                  <c:v>45964</c:v>
                </c:pt>
                <c:pt idx="21">
                  <c:v>45963</c:v>
                </c:pt>
                <c:pt idx="22">
                  <c:v>45962</c:v>
                </c:pt>
                <c:pt idx="23">
                  <c:v>45961</c:v>
                </c:pt>
                <c:pt idx="24">
                  <c:v>45960</c:v>
                </c:pt>
                <c:pt idx="25">
                  <c:v>45959</c:v>
                </c:pt>
                <c:pt idx="26">
                  <c:v>45958</c:v>
                </c:pt>
                <c:pt idx="27">
                  <c:v>45957</c:v>
                </c:pt>
                <c:pt idx="28">
                  <c:v>45956</c:v>
                </c:pt>
                <c:pt idx="29">
                  <c:v>45955</c:v>
                </c:pt>
                <c:pt idx="30">
                  <c:v>45954</c:v>
                </c:pt>
                <c:pt idx="31">
                  <c:v>45953</c:v>
                </c:pt>
                <c:pt idx="32">
                  <c:v>45952</c:v>
                </c:pt>
                <c:pt idx="33">
                  <c:v>45951</c:v>
                </c:pt>
                <c:pt idx="34">
                  <c:v>45950</c:v>
                </c:pt>
                <c:pt idx="35">
                  <c:v>45949</c:v>
                </c:pt>
                <c:pt idx="36">
                  <c:v>45948</c:v>
                </c:pt>
                <c:pt idx="37">
                  <c:v>45947</c:v>
                </c:pt>
                <c:pt idx="38">
                  <c:v>45946</c:v>
                </c:pt>
                <c:pt idx="39">
                  <c:v>45945</c:v>
                </c:pt>
                <c:pt idx="40">
                  <c:v>45944</c:v>
                </c:pt>
                <c:pt idx="41">
                  <c:v>45943</c:v>
                </c:pt>
                <c:pt idx="42">
                  <c:v>45942</c:v>
                </c:pt>
                <c:pt idx="43">
                  <c:v>45941</c:v>
                </c:pt>
                <c:pt idx="44">
                  <c:v>45940</c:v>
                </c:pt>
                <c:pt idx="45">
                  <c:v>45939</c:v>
                </c:pt>
                <c:pt idx="46">
                  <c:v>45938</c:v>
                </c:pt>
                <c:pt idx="47">
                  <c:v>45937</c:v>
                </c:pt>
                <c:pt idx="48">
                  <c:v>45936</c:v>
                </c:pt>
                <c:pt idx="49">
                  <c:v>45935</c:v>
                </c:pt>
                <c:pt idx="50">
                  <c:v>45934</c:v>
                </c:pt>
                <c:pt idx="51">
                  <c:v>45933</c:v>
                </c:pt>
                <c:pt idx="52">
                  <c:v>45932</c:v>
                </c:pt>
                <c:pt idx="53">
                  <c:v>45931</c:v>
                </c:pt>
                <c:pt idx="54">
                  <c:v>45930</c:v>
                </c:pt>
                <c:pt idx="55">
                  <c:v>45929</c:v>
                </c:pt>
                <c:pt idx="56">
                  <c:v>45928</c:v>
                </c:pt>
                <c:pt idx="57">
                  <c:v>45927</c:v>
                </c:pt>
                <c:pt idx="58">
                  <c:v>45926</c:v>
                </c:pt>
                <c:pt idx="59">
                  <c:v>45925</c:v>
                </c:pt>
                <c:pt idx="60">
                  <c:v>45924</c:v>
                </c:pt>
                <c:pt idx="61">
                  <c:v>45923</c:v>
                </c:pt>
                <c:pt idx="62">
                  <c:v>45922</c:v>
                </c:pt>
                <c:pt idx="63">
                  <c:v>45921</c:v>
                </c:pt>
                <c:pt idx="64">
                  <c:v>45920</c:v>
                </c:pt>
                <c:pt idx="65">
                  <c:v>45919</c:v>
                </c:pt>
                <c:pt idx="66">
                  <c:v>45918</c:v>
                </c:pt>
                <c:pt idx="67">
                  <c:v>45917</c:v>
                </c:pt>
                <c:pt idx="68">
                  <c:v>45916</c:v>
                </c:pt>
                <c:pt idx="69">
                  <c:v>45915</c:v>
                </c:pt>
                <c:pt idx="70">
                  <c:v>45914</c:v>
                </c:pt>
                <c:pt idx="71">
                  <c:v>45913</c:v>
                </c:pt>
                <c:pt idx="72">
                  <c:v>45912</c:v>
                </c:pt>
                <c:pt idx="73">
                  <c:v>45911</c:v>
                </c:pt>
                <c:pt idx="74">
                  <c:v>45910</c:v>
                </c:pt>
                <c:pt idx="75">
                  <c:v>45909</c:v>
                </c:pt>
                <c:pt idx="76">
                  <c:v>45908</c:v>
                </c:pt>
                <c:pt idx="77">
                  <c:v>45907</c:v>
                </c:pt>
                <c:pt idx="78">
                  <c:v>45906</c:v>
                </c:pt>
                <c:pt idx="79">
                  <c:v>45905</c:v>
                </c:pt>
                <c:pt idx="80">
                  <c:v>45904</c:v>
                </c:pt>
                <c:pt idx="81">
                  <c:v>45903</c:v>
                </c:pt>
                <c:pt idx="82">
                  <c:v>45902</c:v>
                </c:pt>
                <c:pt idx="83">
                  <c:v>45901</c:v>
                </c:pt>
                <c:pt idx="84">
                  <c:v>45900</c:v>
                </c:pt>
                <c:pt idx="85">
                  <c:v>45899</c:v>
                </c:pt>
                <c:pt idx="86">
                  <c:v>45898</c:v>
                </c:pt>
                <c:pt idx="87">
                  <c:v>45897</c:v>
                </c:pt>
                <c:pt idx="88">
                  <c:v>45896</c:v>
                </c:pt>
                <c:pt idx="89">
                  <c:v>45895</c:v>
                </c:pt>
                <c:pt idx="90">
                  <c:v>45894</c:v>
                </c:pt>
                <c:pt idx="91">
                  <c:v>45893</c:v>
                </c:pt>
                <c:pt idx="92">
                  <c:v>45892</c:v>
                </c:pt>
                <c:pt idx="93">
                  <c:v>45891</c:v>
                </c:pt>
                <c:pt idx="94">
                  <c:v>45890</c:v>
                </c:pt>
                <c:pt idx="95">
                  <c:v>45889</c:v>
                </c:pt>
                <c:pt idx="96">
                  <c:v>45888</c:v>
                </c:pt>
                <c:pt idx="97">
                  <c:v>45887</c:v>
                </c:pt>
                <c:pt idx="98">
                  <c:v>45886</c:v>
                </c:pt>
                <c:pt idx="99">
                  <c:v>45885</c:v>
                </c:pt>
                <c:pt idx="100">
                  <c:v>45884</c:v>
                </c:pt>
                <c:pt idx="101">
                  <c:v>45883</c:v>
                </c:pt>
                <c:pt idx="102">
                  <c:v>45882</c:v>
                </c:pt>
                <c:pt idx="103">
                  <c:v>45881</c:v>
                </c:pt>
                <c:pt idx="104">
                  <c:v>45880</c:v>
                </c:pt>
                <c:pt idx="105">
                  <c:v>45879</c:v>
                </c:pt>
                <c:pt idx="106">
                  <c:v>45878</c:v>
                </c:pt>
                <c:pt idx="107">
                  <c:v>45877</c:v>
                </c:pt>
                <c:pt idx="108">
                  <c:v>45876</c:v>
                </c:pt>
                <c:pt idx="109">
                  <c:v>45875</c:v>
                </c:pt>
                <c:pt idx="110">
                  <c:v>45874</c:v>
                </c:pt>
                <c:pt idx="111">
                  <c:v>45873</c:v>
                </c:pt>
                <c:pt idx="112">
                  <c:v>45872</c:v>
                </c:pt>
                <c:pt idx="113">
                  <c:v>45871</c:v>
                </c:pt>
                <c:pt idx="114">
                  <c:v>45870</c:v>
                </c:pt>
                <c:pt idx="115">
                  <c:v>45869</c:v>
                </c:pt>
                <c:pt idx="116">
                  <c:v>45868</c:v>
                </c:pt>
                <c:pt idx="117">
                  <c:v>45867</c:v>
                </c:pt>
                <c:pt idx="118">
                  <c:v>45866</c:v>
                </c:pt>
                <c:pt idx="119">
                  <c:v>45865</c:v>
                </c:pt>
                <c:pt idx="120">
                  <c:v>45864</c:v>
                </c:pt>
                <c:pt idx="121">
                  <c:v>45863</c:v>
                </c:pt>
                <c:pt idx="122">
                  <c:v>45862</c:v>
                </c:pt>
                <c:pt idx="123">
                  <c:v>45861</c:v>
                </c:pt>
                <c:pt idx="124">
                  <c:v>45860</c:v>
                </c:pt>
                <c:pt idx="125">
                  <c:v>45859</c:v>
                </c:pt>
                <c:pt idx="126">
                  <c:v>45858</c:v>
                </c:pt>
                <c:pt idx="127">
                  <c:v>45857</c:v>
                </c:pt>
                <c:pt idx="128">
                  <c:v>45856</c:v>
                </c:pt>
                <c:pt idx="129">
                  <c:v>45855</c:v>
                </c:pt>
                <c:pt idx="130">
                  <c:v>45854</c:v>
                </c:pt>
                <c:pt idx="131">
                  <c:v>45853</c:v>
                </c:pt>
                <c:pt idx="132">
                  <c:v>45852</c:v>
                </c:pt>
                <c:pt idx="133">
                  <c:v>45851</c:v>
                </c:pt>
                <c:pt idx="134">
                  <c:v>45850</c:v>
                </c:pt>
                <c:pt idx="135">
                  <c:v>45849</c:v>
                </c:pt>
                <c:pt idx="136">
                  <c:v>45848</c:v>
                </c:pt>
                <c:pt idx="137">
                  <c:v>45847</c:v>
                </c:pt>
                <c:pt idx="138">
                  <c:v>45846</c:v>
                </c:pt>
                <c:pt idx="139">
                  <c:v>45845</c:v>
                </c:pt>
                <c:pt idx="140">
                  <c:v>45844</c:v>
                </c:pt>
                <c:pt idx="141">
                  <c:v>45843</c:v>
                </c:pt>
                <c:pt idx="142">
                  <c:v>45842</c:v>
                </c:pt>
                <c:pt idx="143">
                  <c:v>45841</c:v>
                </c:pt>
                <c:pt idx="144">
                  <c:v>45840</c:v>
                </c:pt>
                <c:pt idx="145">
                  <c:v>45839</c:v>
                </c:pt>
                <c:pt idx="146">
                  <c:v>45838</c:v>
                </c:pt>
                <c:pt idx="147">
                  <c:v>45837</c:v>
                </c:pt>
                <c:pt idx="148">
                  <c:v>45836</c:v>
                </c:pt>
                <c:pt idx="149">
                  <c:v>45835</c:v>
                </c:pt>
                <c:pt idx="150">
                  <c:v>45834</c:v>
                </c:pt>
                <c:pt idx="151">
                  <c:v>45833</c:v>
                </c:pt>
                <c:pt idx="152">
                  <c:v>45832</c:v>
                </c:pt>
                <c:pt idx="153">
                  <c:v>45831</c:v>
                </c:pt>
                <c:pt idx="154">
                  <c:v>45830</c:v>
                </c:pt>
                <c:pt idx="155">
                  <c:v>45829</c:v>
                </c:pt>
                <c:pt idx="156">
                  <c:v>45828</c:v>
                </c:pt>
                <c:pt idx="157">
                  <c:v>45827</c:v>
                </c:pt>
                <c:pt idx="158">
                  <c:v>45826</c:v>
                </c:pt>
                <c:pt idx="159">
                  <c:v>45825</c:v>
                </c:pt>
                <c:pt idx="160">
                  <c:v>45824</c:v>
                </c:pt>
                <c:pt idx="161">
                  <c:v>45823</c:v>
                </c:pt>
                <c:pt idx="162">
                  <c:v>45822</c:v>
                </c:pt>
                <c:pt idx="163">
                  <c:v>45821</c:v>
                </c:pt>
                <c:pt idx="164">
                  <c:v>45820</c:v>
                </c:pt>
                <c:pt idx="165">
                  <c:v>45819</c:v>
                </c:pt>
                <c:pt idx="166">
                  <c:v>45818</c:v>
                </c:pt>
                <c:pt idx="167">
                  <c:v>45817</c:v>
                </c:pt>
                <c:pt idx="168">
                  <c:v>45816</c:v>
                </c:pt>
                <c:pt idx="169">
                  <c:v>45815</c:v>
                </c:pt>
                <c:pt idx="170">
                  <c:v>45814</c:v>
                </c:pt>
                <c:pt idx="171">
                  <c:v>45813</c:v>
                </c:pt>
                <c:pt idx="172">
                  <c:v>45812</c:v>
                </c:pt>
                <c:pt idx="173">
                  <c:v>45811</c:v>
                </c:pt>
                <c:pt idx="174">
                  <c:v>45810</c:v>
                </c:pt>
                <c:pt idx="175">
                  <c:v>45809</c:v>
                </c:pt>
                <c:pt idx="176">
                  <c:v>45808</c:v>
                </c:pt>
                <c:pt idx="177">
                  <c:v>45807</c:v>
                </c:pt>
                <c:pt idx="178">
                  <c:v>45806</c:v>
                </c:pt>
                <c:pt idx="179">
                  <c:v>45805</c:v>
                </c:pt>
                <c:pt idx="180">
                  <c:v>45804</c:v>
                </c:pt>
                <c:pt idx="181">
                  <c:v>45803</c:v>
                </c:pt>
                <c:pt idx="182">
                  <c:v>45802</c:v>
                </c:pt>
                <c:pt idx="183">
                  <c:v>45801</c:v>
                </c:pt>
                <c:pt idx="184">
                  <c:v>45800</c:v>
                </c:pt>
                <c:pt idx="185">
                  <c:v>45799</c:v>
                </c:pt>
                <c:pt idx="186">
                  <c:v>45798</c:v>
                </c:pt>
                <c:pt idx="187">
                  <c:v>45797</c:v>
                </c:pt>
                <c:pt idx="188">
                  <c:v>45796</c:v>
                </c:pt>
                <c:pt idx="189">
                  <c:v>45795</c:v>
                </c:pt>
                <c:pt idx="190">
                  <c:v>45794</c:v>
                </c:pt>
                <c:pt idx="191">
                  <c:v>45793</c:v>
                </c:pt>
                <c:pt idx="192">
                  <c:v>45792</c:v>
                </c:pt>
                <c:pt idx="193">
                  <c:v>45791</c:v>
                </c:pt>
                <c:pt idx="194">
                  <c:v>45790</c:v>
                </c:pt>
                <c:pt idx="195">
                  <c:v>45789</c:v>
                </c:pt>
                <c:pt idx="196">
                  <c:v>45788</c:v>
                </c:pt>
                <c:pt idx="197">
                  <c:v>45787</c:v>
                </c:pt>
                <c:pt idx="198">
                  <c:v>45786</c:v>
                </c:pt>
                <c:pt idx="199">
                  <c:v>45785</c:v>
                </c:pt>
                <c:pt idx="200">
                  <c:v>45784</c:v>
                </c:pt>
                <c:pt idx="201">
                  <c:v>45783</c:v>
                </c:pt>
                <c:pt idx="202">
                  <c:v>45782</c:v>
                </c:pt>
                <c:pt idx="203">
                  <c:v>45781</c:v>
                </c:pt>
                <c:pt idx="204">
                  <c:v>45780</c:v>
                </c:pt>
                <c:pt idx="205">
                  <c:v>45779</c:v>
                </c:pt>
                <c:pt idx="206">
                  <c:v>45778</c:v>
                </c:pt>
                <c:pt idx="207">
                  <c:v>45777</c:v>
                </c:pt>
                <c:pt idx="208">
                  <c:v>45776</c:v>
                </c:pt>
                <c:pt idx="209">
                  <c:v>45775</c:v>
                </c:pt>
                <c:pt idx="210">
                  <c:v>45774</c:v>
                </c:pt>
                <c:pt idx="211">
                  <c:v>45773</c:v>
                </c:pt>
                <c:pt idx="212">
                  <c:v>45772</c:v>
                </c:pt>
                <c:pt idx="213">
                  <c:v>45771</c:v>
                </c:pt>
                <c:pt idx="214">
                  <c:v>45770</c:v>
                </c:pt>
                <c:pt idx="215">
                  <c:v>45769</c:v>
                </c:pt>
                <c:pt idx="216">
                  <c:v>45768</c:v>
                </c:pt>
                <c:pt idx="217">
                  <c:v>45767</c:v>
                </c:pt>
                <c:pt idx="218">
                  <c:v>45766</c:v>
                </c:pt>
                <c:pt idx="219">
                  <c:v>45765</c:v>
                </c:pt>
                <c:pt idx="220">
                  <c:v>45764</c:v>
                </c:pt>
                <c:pt idx="221">
                  <c:v>45763</c:v>
                </c:pt>
                <c:pt idx="222">
                  <c:v>45762</c:v>
                </c:pt>
                <c:pt idx="223">
                  <c:v>45761</c:v>
                </c:pt>
                <c:pt idx="224">
                  <c:v>45760</c:v>
                </c:pt>
                <c:pt idx="225">
                  <c:v>45759</c:v>
                </c:pt>
                <c:pt idx="226">
                  <c:v>45758</c:v>
                </c:pt>
                <c:pt idx="227">
                  <c:v>45757</c:v>
                </c:pt>
                <c:pt idx="228">
                  <c:v>45756</c:v>
                </c:pt>
                <c:pt idx="229">
                  <c:v>45755</c:v>
                </c:pt>
                <c:pt idx="230">
                  <c:v>45754</c:v>
                </c:pt>
                <c:pt idx="231">
                  <c:v>45753</c:v>
                </c:pt>
                <c:pt idx="232">
                  <c:v>45752</c:v>
                </c:pt>
                <c:pt idx="233">
                  <c:v>45751</c:v>
                </c:pt>
                <c:pt idx="234">
                  <c:v>45750</c:v>
                </c:pt>
                <c:pt idx="235">
                  <c:v>45749</c:v>
                </c:pt>
                <c:pt idx="236">
                  <c:v>45748</c:v>
                </c:pt>
                <c:pt idx="237">
                  <c:v>45747</c:v>
                </c:pt>
                <c:pt idx="238">
                  <c:v>45746</c:v>
                </c:pt>
                <c:pt idx="239">
                  <c:v>45745</c:v>
                </c:pt>
                <c:pt idx="240">
                  <c:v>45744</c:v>
                </c:pt>
                <c:pt idx="241">
                  <c:v>45743</c:v>
                </c:pt>
                <c:pt idx="242">
                  <c:v>45742</c:v>
                </c:pt>
                <c:pt idx="243">
                  <c:v>45741</c:v>
                </c:pt>
                <c:pt idx="244">
                  <c:v>45740</c:v>
                </c:pt>
                <c:pt idx="245">
                  <c:v>45739</c:v>
                </c:pt>
                <c:pt idx="246">
                  <c:v>45738</c:v>
                </c:pt>
                <c:pt idx="247">
                  <c:v>45737</c:v>
                </c:pt>
                <c:pt idx="248">
                  <c:v>45736</c:v>
                </c:pt>
                <c:pt idx="249">
                  <c:v>45735</c:v>
                </c:pt>
                <c:pt idx="250">
                  <c:v>45734</c:v>
                </c:pt>
                <c:pt idx="251">
                  <c:v>45733</c:v>
                </c:pt>
                <c:pt idx="252">
                  <c:v>45732</c:v>
                </c:pt>
                <c:pt idx="253">
                  <c:v>45731</c:v>
                </c:pt>
                <c:pt idx="254">
                  <c:v>45730</c:v>
                </c:pt>
                <c:pt idx="255">
                  <c:v>45729</c:v>
                </c:pt>
                <c:pt idx="256">
                  <c:v>45728</c:v>
                </c:pt>
                <c:pt idx="257">
                  <c:v>45727</c:v>
                </c:pt>
                <c:pt idx="258">
                  <c:v>45726</c:v>
                </c:pt>
                <c:pt idx="259">
                  <c:v>45725</c:v>
                </c:pt>
                <c:pt idx="260">
                  <c:v>45724</c:v>
                </c:pt>
                <c:pt idx="261">
                  <c:v>45723</c:v>
                </c:pt>
                <c:pt idx="262">
                  <c:v>45722</c:v>
                </c:pt>
                <c:pt idx="263">
                  <c:v>45721</c:v>
                </c:pt>
                <c:pt idx="264">
                  <c:v>45720</c:v>
                </c:pt>
                <c:pt idx="265">
                  <c:v>45719</c:v>
                </c:pt>
                <c:pt idx="266">
                  <c:v>45718</c:v>
                </c:pt>
                <c:pt idx="267">
                  <c:v>45717</c:v>
                </c:pt>
                <c:pt idx="268">
                  <c:v>45716</c:v>
                </c:pt>
                <c:pt idx="269">
                  <c:v>45715</c:v>
                </c:pt>
                <c:pt idx="270">
                  <c:v>45714</c:v>
                </c:pt>
                <c:pt idx="271">
                  <c:v>45713</c:v>
                </c:pt>
                <c:pt idx="272">
                  <c:v>45712</c:v>
                </c:pt>
                <c:pt idx="273">
                  <c:v>45711</c:v>
                </c:pt>
                <c:pt idx="274">
                  <c:v>45710</c:v>
                </c:pt>
                <c:pt idx="275">
                  <c:v>45709</c:v>
                </c:pt>
                <c:pt idx="276">
                  <c:v>45708</c:v>
                </c:pt>
                <c:pt idx="277">
                  <c:v>45707</c:v>
                </c:pt>
                <c:pt idx="278">
                  <c:v>45706</c:v>
                </c:pt>
                <c:pt idx="279">
                  <c:v>45705</c:v>
                </c:pt>
                <c:pt idx="280">
                  <c:v>45704</c:v>
                </c:pt>
                <c:pt idx="281">
                  <c:v>45703</c:v>
                </c:pt>
                <c:pt idx="282">
                  <c:v>45702</c:v>
                </c:pt>
                <c:pt idx="283">
                  <c:v>45701</c:v>
                </c:pt>
                <c:pt idx="284">
                  <c:v>45700</c:v>
                </c:pt>
                <c:pt idx="285">
                  <c:v>45699</c:v>
                </c:pt>
                <c:pt idx="286">
                  <c:v>45698</c:v>
                </c:pt>
                <c:pt idx="287">
                  <c:v>45697</c:v>
                </c:pt>
                <c:pt idx="288">
                  <c:v>45696</c:v>
                </c:pt>
                <c:pt idx="289">
                  <c:v>45695</c:v>
                </c:pt>
                <c:pt idx="290">
                  <c:v>45694</c:v>
                </c:pt>
                <c:pt idx="291">
                  <c:v>45693</c:v>
                </c:pt>
                <c:pt idx="292">
                  <c:v>45692</c:v>
                </c:pt>
                <c:pt idx="293">
                  <c:v>45691</c:v>
                </c:pt>
                <c:pt idx="294">
                  <c:v>45690</c:v>
                </c:pt>
                <c:pt idx="295">
                  <c:v>45689</c:v>
                </c:pt>
                <c:pt idx="296">
                  <c:v>45688</c:v>
                </c:pt>
                <c:pt idx="297">
                  <c:v>45687</c:v>
                </c:pt>
                <c:pt idx="298">
                  <c:v>45686</c:v>
                </c:pt>
                <c:pt idx="299">
                  <c:v>45685</c:v>
                </c:pt>
                <c:pt idx="300">
                  <c:v>45684</c:v>
                </c:pt>
                <c:pt idx="301">
                  <c:v>45683</c:v>
                </c:pt>
                <c:pt idx="302">
                  <c:v>45682</c:v>
                </c:pt>
                <c:pt idx="303">
                  <c:v>45681</c:v>
                </c:pt>
                <c:pt idx="304">
                  <c:v>45680</c:v>
                </c:pt>
                <c:pt idx="305">
                  <c:v>45679</c:v>
                </c:pt>
                <c:pt idx="306">
                  <c:v>45678</c:v>
                </c:pt>
                <c:pt idx="307">
                  <c:v>45677</c:v>
                </c:pt>
                <c:pt idx="308">
                  <c:v>45676</c:v>
                </c:pt>
                <c:pt idx="309">
                  <c:v>45675</c:v>
                </c:pt>
                <c:pt idx="310">
                  <c:v>45674</c:v>
                </c:pt>
                <c:pt idx="311">
                  <c:v>45673</c:v>
                </c:pt>
                <c:pt idx="312">
                  <c:v>45672</c:v>
                </c:pt>
                <c:pt idx="313">
                  <c:v>45671</c:v>
                </c:pt>
                <c:pt idx="314">
                  <c:v>45670</c:v>
                </c:pt>
                <c:pt idx="315">
                  <c:v>45669</c:v>
                </c:pt>
                <c:pt idx="316">
                  <c:v>45668</c:v>
                </c:pt>
                <c:pt idx="317">
                  <c:v>45667</c:v>
                </c:pt>
                <c:pt idx="318">
                  <c:v>45666</c:v>
                </c:pt>
                <c:pt idx="319">
                  <c:v>45665</c:v>
                </c:pt>
                <c:pt idx="320">
                  <c:v>45664</c:v>
                </c:pt>
                <c:pt idx="321">
                  <c:v>45663</c:v>
                </c:pt>
                <c:pt idx="322">
                  <c:v>45662</c:v>
                </c:pt>
                <c:pt idx="323">
                  <c:v>45661</c:v>
                </c:pt>
                <c:pt idx="324">
                  <c:v>45660</c:v>
                </c:pt>
                <c:pt idx="325">
                  <c:v>45659</c:v>
                </c:pt>
                <c:pt idx="326">
                  <c:v>45658</c:v>
                </c:pt>
                <c:pt idx="327">
                  <c:v>45657</c:v>
                </c:pt>
                <c:pt idx="328">
                  <c:v>45656</c:v>
                </c:pt>
                <c:pt idx="329">
                  <c:v>45655</c:v>
                </c:pt>
                <c:pt idx="330">
                  <c:v>45654</c:v>
                </c:pt>
                <c:pt idx="331">
                  <c:v>45653</c:v>
                </c:pt>
                <c:pt idx="332">
                  <c:v>45652</c:v>
                </c:pt>
                <c:pt idx="333">
                  <c:v>45651</c:v>
                </c:pt>
                <c:pt idx="334">
                  <c:v>45650</c:v>
                </c:pt>
                <c:pt idx="335">
                  <c:v>45649</c:v>
                </c:pt>
                <c:pt idx="336">
                  <c:v>45648</c:v>
                </c:pt>
                <c:pt idx="337">
                  <c:v>45647</c:v>
                </c:pt>
                <c:pt idx="338">
                  <c:v>45646</c:v>
                </c:pt>
                <c:pt idx="339">
                  <c:v>45645</c:v>
                </c:pt>
                <c:pt idx="340">
                  <c:v>45644</c:v>
                </c:pt>
                <c:pt idx="341">
                  <c:v>45643</c:v>
                </c:pt>
                <c:pt idx="342">
                  <c:v>45642</c:v>
                </c:pt>
                <c:pt idx="343">
                  <c:v>45641</c:v>
                </c:pt>
                <c:pt idx="344">
                  <c:v>45640</c:v>
                </c:pt>
                <c:pt idx="345">
                  <c:v>45639</c:v>
                </c:pt>
                <c:pt idx="346">
                  <c:v>45638</c:v>
                </c:pt>
                <c:pt idx="347">
                  <c:v>45637</c:v>
                </c:pt>
                <c:pt idx="348">
                  <c:v>45636</c:v>
                </c:pt>
                <c:pt idx="349">
                  <c:v>45635</c:v>
                </c:pt>
                <c:pt idx="350">
                  <c:v>45634</c:v>
                </c:pt>
                <c:pt idx="351">
                  <c:v>45633</c:v>
                </c:pt>
                <c:pt idx="352">
                  <c:v>45632</c:v>
                </c:pt>
                <c:pt idx="353">
                  <c:v>45631</c:v>
                </c:pt>
                <c:pt idx="354">
                  <c:v>45630</c:v>
                </c:pt>
                <c:pt idx="355">
                  <c:v>45629</c:v>
                </c:pt>
                <c:pt idx="356">
                  <c:v>45628</c:v>
                </c:pt>
                <c:pt idx="357">
                  <c:v>45627</c:v>
                </c:pt>
                <c:pt idx="358">
                  <c:v>45626</c:v>
                </c:pt>
                <c:pt idx="359">
                  <c:v>45625</c:v>
                </c:pt>
                <c:pt idx="360">
                  <c:v>45624</c:v>
                </c:pt>
                <c:pt idx="361">
                  <c:v>45623</c:v>
                </c:pt>
                <c:pt idx="362">
                  <c:v>45622</c:v>
                </c:pt>
                <c:pt idx="363">
                  <c:v>45621</c:v>
                </c:pt>
                <c:pt idx="364">
                  <c:v>45620</c:v>
                </c:pt>
                <c:pt idx="365">
                  <c:v>45619</c:v>
                </c:pt>
                <c:pt idx="366">
                  <c:v>45618</c:v>
                </c:pt>
                <c:pt idx="367">
                  <c:v>45617</c:v>
                </c:pt>
                <c:pt idx="368">
                  <c:v>45616</c:v>
                </c:pt>
                <c:pt idx="369">
                  <c:v>45615</c:v>
                </c:pt>
                <c:pt idx="370">
                  <c:v>45614</c:v>
                </c:pt>
                <c:pt idx="371">
                  <c:v>45613</c:v>
                </c:pt>
                <c:pt idx="372">
                  <c:v>45612</c:v>
                </c:pt>
                <c:pt idx="373">
                  <c:v>45611</c:v>
                </c:pt>
                <c:pt idx="374">
                  <c:v>45610</c:v>
                </c:pt>
                <c:pt idx="375">
                  <c:v>45609</c:v>
                </c:pt>
                <c:pt idx="376">
                  <c:v>45608</c:v>
                </c:pt>
                <c:pt idx="377">
                  <c:v>45607</c:v>
                </c:pt>
                <c:pt idx="378">
                  <c:v>45606</c:v>
                </c:pt>
                <c:pt idx="379">
                  <c:v>45605</c:v>
                </c:pt>
                <c:pt idx="380">
                  <c:v>45604</c:v>
                </c:pt>
                <c:pt idx="381">
                  <c:v>45603</c:v>
                </c:pt>
                <c:pt idx="382">
                  <c:v>45602</c:v>
                </c:pt>
                <c:pt idx="383">
                  <c:v>45601</c:v>
                </c:pt>
                <c:pt idx="384">
                  <c:v>45600</c:v>
                </c:pt>
                <c:pt idx="385">
                  <c:v>45599</c:v>
                </c:pt>
                <c:pt idx="386">
                  <c:v>45598</c:v>
                </c:pt>
                <c:pt idx="387">
                  <c:v>45597</c:v>
                </c:pt>
                <c:pt idx="388">
                  <c:v>45596</c:v>
                </c:pt>
                <c:pt idx="389">
                  <c:v>45595</c:v>
                </c:pt>
                <c:pt idx="390">
                  <c:v>45594</c:v>
                </c:pt>
                <c:pt idx="391">
                  <c:v>45593</c:v>
                </c:pt>
                <c:pt idx="392">
                  <c:v>45592</c:v>
                </c:pt>
                <c:pt idx="393">
                  <c:v>45591</c:v>
                </c:pt>
                <c:pt idx="394">
                  <c:v>45590</c:v>
                </c:pt>
                <c:pt idx="395">
                  <c:v>45589</c:v>
                </c:pt>
                <c:pt idx="396">
                  <c:v>45588</c:v>
                </c:pt>
                <c:pt idx="397">
                  <c:v>45587</c:v>
                </c:pt>
                <c:pt idx="398">
                  <c:v>45586</c:v>
                </c:pt>
                <c:pt idx="399">
                  <c:v>45585</c:v>
                </c:pt>
                <c:pt idx="400">
                  <c:v>45584</c:v>
                </c:pt>
                <c:pt idx="401">
                  <c:v>45583</c:v>
                </c:pt>
                <c:pt idx="402">
                  <c:v>45582</c:v>
                </c:pt>
                <c:pt idx="403">
                  <c:v>45581</c:v>
                </c:pt>
                <c:pt idx="404">
                  <c:v>45580</c:v>
                </c:pt>
              </c:numCache>
            </c:numRef>
          </c:cat>
          <c:val>
            <c:numRef>
              <c:f>Dashboard!$E$154:$E$558</c:f>
              <c:numCache>
                <c:formatCode>General</c:formatCode>
                <c:ptCount val="405"/>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141.83000000000001</c:v>
                </c:pt>
              </c:numCache>
            </c:numRef>
          </c:val>
          <c:smooth val="0"/>
          <c:extLst>
            <c:ext xmlns:c16="http://schemas.microsoft.com/office/drawing/2014/chart" uri="{C3380CC4-5D6E-409C-BE32-E72D297353CC}">
              <c16:uniqueId val="{00000001-7945-4CFF-8C44-39088B05CB15}"/>
            </c:ext>
          </c:extLst>
        </c:ser>
        <c:dLbls>
          <c:showLegendKey val="0"/>
          <c:showVal val="0"/>
          <c:showCatName val="0"/>
          <c:showSerName val="0"/>
          <c:showPercent val="0"/>
          <c:showBubbleSize val="0"/>
        </c:dLbls>
        <c:marker val="1"/>
        <c:smooth val="0"/>
        <c:axId val="777888655"/>
        <c:axId val="777885295"/>
      </c:lineChart>
      <c:lineChart>
        <c:grouping val="standard"/>
        <c:varyColors val="0"/>
        <c:ser>
          <c:idx val="0"/>
          <c:order val="0"/>
          <c:spPr>
            <a:ln w="19050" cap="rnd">
              <a:solidFill>
                <a:srgbClr val="7B1314"/>
              </a:solidFill>
              <a:round/>
            </a:ln>
            <a:effectLst>
              <a:glow rad="101600">
                <a:schemeClr val="accent1">
                  <a:satMod val="175000"/>
                  <a:alpha val="10000"/>
                </a:schemeClr>
              </a:glow>
            </a:effectLst>
          </c:spPr>
          <c:marker>
            <c:symbol val="none"/>
          </c:marker>
          <c:cat>
            <c:numRef>
              <c:f>Dashboard!$C$154:$C$558</c:f>
              <c:numCache>
                <c:formatCode>yyyy\-mm\-dd;@</c:formatCode>
                <c:ptCount val="405"/>
                <c:pt idx="0">
                  <c:v>45984</c:v>
                </c:pt>
                <c:pt idx="1">
                  <c:v>45983</c:v>
                </c:pt>
                <c:pt idx="2">
                  <c:v>45982</c:v>
                </c:pt>
                <c:pt idx="3">
                  <c:v>45981</c:v>
                </c:pt>
                <c:pt idx="4">
                  <c:v>45980</c:v>
                </c:pt>
                <c:pt idx="5">
                  <c:v>45979</c:v>
                </c:pt>
                <c:pt idx="6">
                  <c:v>45978</c:v>
                </c:pt>
                <c:pt idx="7">
                  <c:v>45977</c:v>
                </c:pt>
                <c:pt idx="8">
                  <c:v>45976</c:v>
                </c:pt>
                <c:pt idx="9">
                  <c:v>45975</c:v>
                </c:pt>
                <c:pt idx="10">
                  <c:v>45974</c:v>
                </c:pt>
                <c:pt idx="11">
                  <c:v>45973</c:v>
                </c:pt>
                <c:pt idx="12">
                  <c:v>45972</c:v>
                </c:pt>
                <c:pt idx="13">
                  <c:v>45971</c:v>
                </c:pt>
                <c:pt idx="14">
                  <c:v>45970</c:v>
                </c:pt>
                <c:pt idx="15">
                  <c:v>45969</c:v>
                </c:pt>
                <c:pt idx="16">
                  <c:v>45968</c:v>
                </c:pt>
                <c:pt idx="17">
                  <c:v>45967</c:v>
                </c:pt>
                <c:pt idx="18">
                  <c:v>45966</c:v>
                </c:pt>
                <c:pt idx="19">
                  <c:v>45965</c:v>
                </c:pt>
                <c:pt idx="20">
                  <c:v>45964</c:v>
                </c:pt>
                <c:pt idx="21">
                  <c:v>45963</c:v>
                </c:pt>
                <c:pt idx="22">
                  <c:v>45962</c:v>
                </c:pt>
                <c:pt idx="23">
                  <c:v>45961</c:v>
                </c:pt>
                <c:pt idx="24">
                  <c:v>45960</c:v>
                </c:pt>
                <c:pt idx="25">
                  <c:v>45959</c:v>
                </c:pt>
                <c:pt idx="26">
                  <c:v>45958</c:v>
                </c:pt>
                <c:pt idx="27">
                  <c:v>45957</c:v>
                </c:pt>
                <c:pt idx="28">
                  <c:v>45956</c:v>
                </c:pt>
                <c:pt idx="29">
                  <c:v>45955</c:v>
                </c:pt>
                <c:pt idx="30">
                  <c:v>45954</c:v>
                </c:pt>
                <c:pt idx="31">
                  <c:v>45953</c:v>
                </c:pt>
                <c:pt idx="32">
                  <c:v>45952</c:v>
                </c:pt>
                <c:pt idx="33">
                  <c:v>45951</c:v>
                </c:pt>
                <c:pt idx="34">
                  <c:v>45950</c:v>
                </c:pt>
                <c:pt idx="35">
                  <c:v>45949</c:v>
                </c:pt>
                <c:pt idx="36">
                  <c:v>45948</c:v>
                </c:pt>
                <c:pt idx="37">
                  <c:v>45947</c:v>
                </c:pt>
                <c:pt idx="38">
                  <c:v>45946</c:v>
                </c:pt>
                <c:pt idx="39">
                  <c:v>45945</c:v>
                </c:pt>
                <c:pt idx="40">
                  <c:v>45944</c:v>
                </c:pt>
                <c:pt idx="41">
                  <c:v>45943</c:v>
                </c:pt>
                <c:pt idx="42">
                  <c:v>45942</c:v>
                </c:pt>
                <c:pt idx="43">
                  <c:v>45941</c:v>
                </c:pt>
                <c:pt idx="44">
                  <c:v>45940</c:v>
                </c:pt>
                <c:pt idx="45">
                  <c:v>45939</c:v>
                </c:pt>
                <c:pt idx="46">
                  <c:v>45938</c:v>
                </c:pt>
                <c:pt idx="47">
                  <c:v>45937</c:v>
                </c:pt>
                <c:pt idx="48">
                  <c:v>45936</c:v>
                </c:pt>
                <c:pt idx="49">
                  <c:v>45935</c:v>
                </c:pt>
                <c:pt idx="50">
                  <c:v>45934</c:v>
                </c:pt>
                <c:pt idx="51">
                  <c:v>45933</c:v>
                </c:pt>
                <c:pt idx="52">
                  <c:v>45932</c:v>
                </c:pt>
                <c:pt idx="53">
                  <c:v>45931</c:v>
                </c:pt>
                <c:pt idx="54">
                  <c:v>45930</c:v>
                </c:pt>
                <c:pt idx="55">
                  <c:v>45929</c:v>
                </c:pt>
                <c:pt idx="56">
                  <c:v>45928</c:v>
                </c:pt>
                <c:pt idx="57">
                  <c:v>45927</c:v>
                </c:pt>
                <c:pt idx="58">
                  <c:v>45926</c:v>
                </c:pt>
                <c:pt idx="59">
                  <c:v>45925</c:v>
                </c:pt>
                <c:pt idx="60">
                  <c:v>45924</c:v>
                </c:pt>
                <c:pt idx="61">
                  <c:v>45923</c:v>
                </c:pt>
                <c:pt idx="62">
                  <c:v>45922</c:v>
                </c:pt>
                <c:pt idx="63">
                  <c:v>45921</c:v>
                </c:pt>
                <c:pt idx="64">
                  <c:v>45920</c:v>
                </c:pt>
                <c:pt idx="65">
                  <c:v>45919</c:v>
                </c:pt>
                <c:pt idx="66">
                  <c:v>45918</c:v>
                </c:pt>
                <c:pt idx="67">
                  <c:v>45917</c:v>
                </c:pt>
                <c:pt idx="68">
                  <c:v>45916</c:v>
                </c:pt>
                <c:pt idx="69">
                  <c:v>45915</c:v>
                </c:pt>
                <c:pt idx="70">
                  <c:v>45914</c:v>
                </c:pt>
                <c:pt idx="71">
                  <c:v>45913</c:v>
                </c:pt>
                <c:pt idx="72">
                  <c:v>45912</c:v>
                </c:pt>
                <c:pt idx="73">
                  <c:v>45911</c:v>
                </c:pt>
                <c:pt idx="74">
                  <c:v>45910</c:v>
                </c:pt>
                <c:pt idx="75">
                  <c:v>45909</c:v>
                </c:pt>
                <c:pt idx="76">
                  <c:v>45908</c:v>
                </c:pt>
                <c:pt idx="77">
                  <c:v>45907</c:v>
                </c:pt>
                <c:pt idx="78">
                  <c:v>45906</c:v>
                </c:pt>
                <c:pt idx="79">
                  <c:v>45905</c:v>
                </c:pt>
                <c:pt idx="80">
                  <c:v>45904</c:v>
                </c:pt>
                <c:pt idx="81">
                  <c:v>45903</c:v>
                </c:pt>
                <c:pt idx="82">
                  <c:v>45902</c:v>
                </c:pt>
                <c:pt idx="83">
                  <c:v>45901</c:v>
                </c:pt>
                <c:pt idx="84">
                  <c:v>45900</c:v>
                </c:pt>
                <c:pt idx="85">
                  <c:v>45899</c:v>
                </c:pt>
                <c:pt idx="86">
                  <c:v>45898</c:v>
                </c:pt>
                <c:pt idx="87">
                  <c:v>45897</c:v>
                </c:pt>
                <c:pt idx="88">
                  <c:v>45896</c:v>
                </c:pt>
                <c:pt idx="89">
                  <c:v>45895</c:v>
                </c:pt>
                <c:pt idx="90">
                  <c:v>45894</c:v>
                </c:pt>
                <c:pt idx="91">
                  <c:v>45893</c:v>
                </c:pt>
                <c:pt idx="92">
                  <c:v>45892</c:v>
                </c:pt>
                <c:pt idx="93">
                  <c:v>45891</c:v>
                </c:pt>
                <c:pt idx="94">
                  <c:v>45890</c:v>
                </c:pt>
                <c:pt idx="95">
                  <c:v>45889</c:v>
                </c:pt>
                <c:pt idx="96">
                  <c:v>45888</c:v>
                </c:pt>
                <c:pt idx="97">
                  <c:v>45887</c:v>
                </c:pt>
                <c:pt idx="98">
                  <c:v>45886</c:v>
                </c:pt>
                <c:pt idx="99">
                  <c:v>45885</c:v>
                </c:pt>
                <c:pt idx="100">
                  <c:v>45884</c:v>
                </c:pt>
                <c:pt idx="101">
                  <c:v>45883</c:v>
                </c:pt>
                <c:pt idx="102">
                  <c:v>45882</c:v>
                </c:pt>
                <c:pt idx="103">
                  <c:v>45881</c:v>
                </c:pt>
                <c:pt idx="104">
                  <c:v>45880</c:v>
                </c:pt>
                <c:pt idx="105">
                  <c:v>45879</c:v>
                </c:pt>
                <c:pt idx="106">
                  <c:v>45878</c:v>
                </c:pt>
                <c:pt idx="107">
                  <c:v>45877</c:v>
                </c:pt>
                <c:pt idx="108">
                  <c:v>45876</c:v>
                </c:pt>
                <c:pt idx="109">
                  <c:v>45875</c:v>
                </c:pt>
                <c:pt idx="110">
                  <c:v>45874</c:v>
                </c:pt>
                <c:pt idx="111">
                  <c:v>45873</c:v>
                </c:pt>
                <c:pt idx="112">
                  <c:v>45872</c:v>
                </c:pt>
                <c:pt idx="113">
                  <c:v>45871</c:v>
                </c:pt>
                <c:pt idx="114">
                  <c:v>45870</c:v>
                </c:pt>
                <c:pt idx="115">
                  <c:v>45869</c:v>
                </c:pt>
                <c:pt idx="116">
                  <c:v>45868</c:v>
                </c:pt>
                <c:pt idx="117">
                  <c:v>45867</c:v>
                </c:pt>
                <c:pt idx="118">
                  <c:v>45866</c:v>
                </c:pt>
                <c:pt idx="119">
                  <c:v>45865</c:v>
                </c:pt>
                <c:pt idx="120">
                  <c:v>45864</c:v>
                </c:pt>
                <c:pt idx="121">
                  <c:v>45863</c:v>
                </c:pt>
                <c:pt idx="122">
                  <c:v>45862</c:v>
                </c:pt>
                <c:pt idx="123">
                  <c:v>45861</c:v>
                </c:pt>
                <c:pt idx="124">
                  <c:v>45860</c:v>
                </c:pt>
                <c:pt idx="125">
                  <c:v>45859</c:v>
                </c:pt>
                <c:pt idx="126">
                  <c:v>45858</c:v>
                </c:pt>
                <c:pt idx="127">
                  <c:v>45857</c:v>
                </c:pt>
                <c:pt idx="128">
                  <c:v>45856</c:v>
                </c:pt>
                <c:pt idx="129">
                  <c:v>45855</c:v>
                </c:pt>
                <c:pt idx="130">
                  <c:v>45854</c:v>
                </c:pt>
                <c:pt idx="131">
                  <c:v>45853</c:v>
                </c:pt>
                <c:pt idx="132">
                  <c:v>45852</c:v>
                </c:pt>
                <c:pt idx="133">
                  <c:v>45851</c:v>
                </c:pt>
                <c:pt idx="134">
                  <c:v>45850</c:v>
                </c:pt>
                <c:pt idx="135">
                  <c:v>45849</c:v>
                </c:pt>
                <c:pt idx="136">
                  <c:v>45848</c:v>
                </c:pt>
                <c:pt idx="137">
                  <c:v>45847</c:v>
                </c:pt>
                <c:pt idx="138">
                  <c:v>45846</c:v>
                </c:pt>
                <c:pt idx="139">
                  <c:v>45845</c:v>
                </c:pt>
                <c:pt idx="140">
                  <c:v>45844</c:v>
                </c:pt>
                <c:pt idx="141">
                  <c:v>45843</c:v>
                </c:pt>
                <c:pt idx="142">
                  <c:v>45842</c:v>
                </c:pt>
                <c:pt idx="143">
                  <c:v>45841</c:v>
                </c:pt>
                <c:pt idx="144">
                  <c:v>45840</c:v>
                </c:pt>
                <c:pt idx="145">
                  <c:v>45839</c:v>
                </c:pt>
                <c:pt idx="146">
                  <c:v>45838</c:v>
                </c:pt>
                <c:pt idx="147">
                  <c:v>45837</c:v>
                </c:pt>
                <c:pt idx="148">
                  <c:v>45836</c:v>
                </c:pt>
                <c:pt idx="149">
                  <c:v>45835</c:v>
                </c:pt>
                <c:pt idx="150">
                  <c:v>45834</c:v>
                </c:pt>
                <c:pt idx="151">
                  <c:v>45833</c:v>
                </c:pt>
                <c:pt idx="152">
                  <c:v>45832</c:v>
                </c:pt>
                <c:pt idx="153">
                  <c:v>45831</c:v>
                </c:pt>
                <c:pt idx="154">
                  <c:v>45830</c:v>
                </c:pt>
                <c:pt idx="155">
                  <c:v>45829</c:v>
                </c:pt>
                <c:pt idx="156">
                  <c:v>45828</c:v>
                </c:pt>
                <c:pt idx="157">
                  <c:v>45827</c:v>
                </c:pt>
                <c:pt idx="158">
                  <c:v>45826</c:v>
                </c:pt>
                <c:pt idx="159">
                  <c:v>45825</c:v>
                </c:pt>
                <c:pt idx="160">
                  <c:v>45824</c:v>
                </c:pt>
                <c:pt idx="161">
                  <c:v>45823</c:v>
                </c:pt>
                <c:pt idx="162">
                  <c:v>45822</c:v>
                </c:pt>
                <c:pt idx="163">
                  <c:v>45821</c:v>
                </c:pt>
                <c:pt idx="164">
                  <c:v>45820</c:v>
                </c:pt>
                <c:pt idx="165">
                  <c:v>45819</c:v>
                </c:pt>
                <c:pt idx="166">
                  <c:v>45818</c:v>
                </c:pt>
                <c:pt idx="167">
                  <c:v>45817</c:v>
                </c:pt>
                <c:pt idx="168">
                  <c:v>45816</c:v>
                </c:pt>
                <c:pt idx="169">
                  <c:v>45815</c:v>
                </c:pt>
                <c:pt idx="170">
                  <c:v>45814</c:v>
                </c:pt>
                <c:pt idx="171">
                  <c:v>45813</c:v>
                </c:pt>
                <c:pt idx="172">
                  <c:v>45812</c:v>
                </c:pt>
                <c:pt idx="173">
                  <c:v>45811</c:v>
                </c:pt>
                <c:pt idx="174">
                  <c:v>45810</c:v>
                </c:pt>
                <c:pt idx="175">
                  <c:v>45809</c:v>
                </c:pt>
                <c:pt idx="176">
                  <c:v>45808</c:v>
                </c:pt>
                <c:pt idx="177">
                  <c:v>45807</c:v>
                </c:pt>
                <c:pt idx="178">
                  <c:v>45806</c:v>
                </c:pt>
                <c:pt idx="179">
                  <c:v>45805</c:v>
                </c:pt>
                <c:pt idx="180">
                  <c:v>45804</c:v>
                </c:pt>
                <c:pt idx="181">
                  <c:v>45803</c:v>
                </c:pt>
                <c:pt idx="182">
                  <c:v>45802</c:v>
                </c:pt>
                <c:pt idx="183">
                  <c:v>45801</c:v>
                </c:pt>
                <c:pt idx="184">
                  <c:v>45800</c:v>
                </c:pt>
                <c:pt idx="185">
                  <c:v>45799</c:v>
                </c:pt>
                <c:pt idx="186">
                  <c:v>45798</c:v>
                </c:pt>
                <c:pt idx="187">
                  <c:v>45797</c:v>
                </c:pt>
                <c:pt idx="188">
                  <c:v>45796</c:v>
                </c:pt>
                <c:pt idx="189">
                  <c:v>45795</c:v>
                </c:pt>
                <c:pt idx="190">
                  <c:v>45794</c:v>
                </c:pt>
                <c:pt idx="191">
                  <c:v>45793</c:v>
                </c:pt>
                <c:pt idx="192">
                  <c:v>45792</c:v>
                </c:pt>
                <c:pt idx="193">
                  <c:v>45791</c:v>
                </c:pt>
                <c:pt idx="194">
                  <c:v>45790</c:v>
                </c:pt>
                <c:pt idx="195">
                  <c:v>45789</c:v>
                </c:pt>
                <c:pt idx="196">
                  <c:v>45788</c:v>
                </c:pt>
                <c:pt idx="197">
                  <c:v>45787</c:v>
                </c:pt>
                <c:pt idx="198">
                  <c:v>45786</c:v>
                </c:pt>
                <c:pt idx="199">
                  <c:v>45785</c:v>
                </c:pt>
                <c:pt idx="200">
                  <c:v>45784</c:v>
                </c:pt>
                <c:pt idx="201">
                  <c:v>45783</c:v>
                </c:pt>
                <c:pt idx="202">
                  <c:v>45782</c:v>
                </c:pt>
                <c:pt idx="203">
                  <c:v>45781</c:v>
                </c:pt>
                <c:pt idx="204">
                  <c:v>45780</c:v>
                </c:pt>
                <c:pt idx="205">
                  <c:v>45779</c:v>
                </c:pt>
                <c:pt idx="206">
                  <c:v>45778</c:v>
                </c:pt>
                <c:pt idx="207">
                  <c:v>45777</c:v>
                </c:pt>
                <c:pt idx="208">
                  <c:v>45776</c:v>
                </c:pt>
                <c:pt idx="209">
                  <c:v>45775</c:v>
                </c:pt>
                <c:pt idx="210">
                  <c:v>45774</c:v>
                </c:pt>
                <c:pt idx="211">
                  <c:v>45773</c:v>
                </c:pt>
                <c:pt idx="212">
                  <c:v>45772</c:v>
                </c:pt>
                <c:pt idx="213">
                  <c:v>45771</c:v>
                </c:pt>
                <c:pt idx="214">
                  <c:v>45770</c:v>
                </c:pt>
                <c:pt idx="215">
                  <c:v>45769</c:v>
                </c:pt>
                <c:pt idx="216">
                  <c:v>45768</c:v>
                </c:pt>
                <c:pt idx="217">
                  <c:v>45767</c:v>
                </c:pt>
                <c:pt idx="218">
                  <c:v>45766</c:v>
                </c:pt>
                <c:pt idx="219">
                  <c:v>45765</c:v>
                </c:pt>
                <c:pt idx="220">
                  <c:v>45764</c:v>
                </c:pt>
                <c:pt idx="221">
                  <c:v>45763</c:v>
                </c:pt>
                <c:pt idx="222">
                  <c:v>45762</c:v>
                </c:pt>
                <c:pt idx="223">
                  <c:v>45761</c:v>
                </c:pt>
                <c:pt idx="224">
                  <c:v>45760</c:v>
                </c:pt>
                <c:pt idx="225">
                  <c:v>45759</c:v>
                </c:pt>
                <c:pt idx="226">
                  <c:v>45758</c:v>
                </c:pt>
                <c:pt idx="227">
                  <c:v>45757</c:v>
                </c:pt>
                <c:pt idx="228">
                  <c:v>45756</c:v>
                </c:pt>
                <c:pt idx="229">
                  <c:v>45755</c:v>
                </c:pt>
                <c:pt idx="230">
                  <c:v>45754</c:v>
                </c:pt>
                <c:pt idx="231">
                  <c:v>45753</c:v>
                </c:pt>
                <c:pt idx="232">
                  <c:v>45752</c:v>
                </c:pt>
                <c:pt idx="233">
                  <c:v>45751</c:v>
                </c:pt>
                <c:pt idx="234">
                  <c:v>45750</c:v>
                </c:pt>
                <c:pt idx="235">
                  <c:v>45749</c:v>
                </c:pt>
                <c:pt idx="236">
                  <c:v>45748</c:v>
                </c:pt>
                <c:pt idx="237">
                  <c:v>45747</c:v>
                </c:pt>
                <c:pt idx="238">
                  <c:v>45746</c:v>
                </c:pt>
                <c:pt idx="239">
                  <c:v>45745</c:v>
                </c:pt>
                <c:pt idx="240">
                  <c:v>45744</c:v>
                </c:pt>
                <c:pt idx="241">
                  <c:v>45743</c:v>
                </c:pt>
                <c:pt idx="242">
                  <c:v>45742</c:v>
                </c:pt>
                <c:pt idx="243">
                  <c:v>45741</c:v>
                </c:pt>
                <c:pt idx="244">
                  <c:v>45740</c:v>
                </c:pt>
                <c:pt idx="245">
                  <c:v>45739</c:v>
                </c:pt>
                <c:pt idx="246">
                  <c:v>45738</c:v>
                </c:pt>
                <c:pt idx="247">
                  <c:v>45737</c:v>
                </c:pt>
                <c:pt idx="248">
                  <c:v>45736</c:v>
                </c:pt>
                <c:pt idx="249">
                  <c:v>45735</c:v>
                </c:pt>
                <c:pt idx="250">
                  <c:v>45734</c:v>
                </c:pt>
                <c:pt idx="251">
                  <c:v>45733</c:v>
                </c:pt>
                <c:pt idx="252">
                  <c:v>45732</c:v>
                </c:pt>
                <c:pt idx="253">
                  <c:v>45731</c:v>
                </c:pt>
                <c:pt idx="254">
                  <c:v>45730</c:v>
                </c:pt>
                <c:pt idx="255">
                  <c:v>45729</c:v>
                </c:pt>
                <c:pt idx="256">
                  <c:v>45728</c:v>
                </c:pt>
                <c:pt idx="257">
                  <c:v>45727</c:v>
                </c:pt>
                <c:pt idx="258">
                  <c:v>45726</c:v>
                </c:pt>
                <c:pt idx="259">
                  <c:v>45725</c:v>
                </c:pt>
                <c:pt idx="260">
                  <c:v>45724</c:v>
                </c:pt>
                <c:pt idx="261">
                  <c:v>45723</c:v>
                </c:pt>
                <c:pt idx="262">
                  <c:v>45722</c:v>
                </c:pt>
                <c:pt idx="263">
                  <c:v>45721</c:v>
                </c:pt>
                <c:pt idx="264">
                  <c:v>45720</c:v>
                </c:pt>
                <c:pt idx="265">
                  <c:v>45719</c:v>
                </c:pt>
                <c:pt idx="266">
                  <c:v>45718</c:v>
                </c:pt>
                <c:pt idx="267">
                  <c:v>45717</c:v>
                </c:pt>
                <c:pt idx="268">
                  <c:v>45716</c:v>
                </c:pt>
                <c:pt idx="269">
                  <c:v>45715</c:v>
                </c:pt>
                <c:pt idx="270">
                  <c:v>45714</c:v>
                </c:pt>
                <c:pt idx="271">
                  <c:v>45713</c:v>
                </c:pt>
                <c:pt idx="272">
                  <c:v>45712</c:v>
                </c:pt>
                <c:pt idx="273">
                  <c:v>45711</c:v>
                </c:pt>
                <c:pt idx="274">
                  <c:v>45710</c:v>
                </c:pt>
                <c:pt idx="275">
                  <c:v>45709</c:v>
                </c:pt>
                <c:pt idx="276">
                  <c:v>45708</c:v>
                </c:pt>
                <c:pt idx="277">
                  <c:v>45707</c:v>
                </c:pt>
                <c:pt idx="278">
                  <c:v>45706</c:v>
                </c:pt>
                <c:pt idx="279">
                  <c:v>45705</c:v>
                </c:pt>
                <c:pt idx="280">
                  <c:v>45704</c:v>
                </c:pt>
                <c:pt idx="281">
                  <c:v>45703</c:v>
                </c:pt>
                <c:pt idx="282">
                  <c:v>45702</c:v>
                </c:pt>
                <c:pt idx="283">
                  <c:v>45701</c:v>
                </c:pt>
                <c:pt idx="284">
                  <c:v>45700</c:v>
                </c:pt>
                <c:pt idx="285">
                  <c:v>45699</c:v>
                </c:pt>
                <c:pt idx="286">
                  <c:v>45698</c:v>
                </c:pt>
                <c:pt idx="287">
                  <c:v>45697</c:v>
                </c:pt>
                <c:pt idx="288">
                  <c:v>45696</c:v>
                </c:pt>
                <c:pt idx="289">
                  <c:v>45695</c:v>
                </c:pt>
                <c:pt idx="290">
                  <c:v>45694</c:v>
                </c:pt>
                <c:pt idx="291">
                  <c:v>45693</c:v>
                </c:pt>
                <c:pt idx="292">
                  <c:v>45692</c:v>
                </c:pt>
                <c:pt idx="293">
                  <c:v>45691</c:v>
                </c:pt>
                <c:pt idx="294">
                  <c:v>45690</c:v>
                </c:pt>
                <c:pt idx="295">
                  <c:v>45689</c:v>
                </c:pt>
                <c:pt idx="296">
                  <c:v>45688</c:v>
                </c:pt>
                <c:pt idx="297">
                  <c:v>45687</c:v>
                </c:pt>
                <c:pt idx="298">
                  <c:v>45686</c:v>
                </c:pt>
                <c:pt idx="299">
                  <c:v>45685</c:v>
                </c:pt>
                <c:pt idx="300">
                  <c:v>45684</c:v>
                </c:pt>
                <c:pt idx="301">
                  <c:v>45683</c:v>
                </c:pt>
                <c:pt idx="302">
                  <c:v>45682</c:v>
                </c:pt>
                <c:pt idx="303">
                  <c:v>45681</c:v>
                </c:pt>
                <c:pt idx="304">
                  <c:v>45680</c:v>
                </c:pt>
                <c:pt idx="305">
                  <c:v>45679</c:v>
                </c:pt>
                <c:pt idx="306">
                  <c:v>45678</c:v>
                </c:pt>
                <c:pt idx="307">
                  <c:v>45677</c:v>
                </c:pt>
                <c:pt idx="308">
                  <c:v>45676</c:v>
                </c:pt>
                <c:pt idx="309">
                  <c:v>45675</c:v>
                </c:pt>
                <c:pt idx="310">
                  <c:v>45674</c:v>
                </c:pt>
                <c:pt idx="311">
                  <c:v>45673</c:v>
                </c:pt>
                <c:pt idx="312">
                  <c:v>45672</c:v>
                </c:pt>
                <c:pt idx="313">
                  <c:v>45671</c:v>
                </c:pt>
                <c:pt idx="314">
                  <c:v>45670</c:v>
                </c:pt>
                <c:pt idx="315">
                  <c:v>45669</c:v>
                </c:pt>
                <c:pt idx="316">
                  <c:v>45668</c:v>
                </c:pt>
                <c:pt idx="317">
                  <c:v>45667</c:v>
                </c:pt>
                <c:pt idx="318">
                  <c:v>45666</c:v>
                </c:pt>
                <c:pt idx="319">
                  <c:v>45665</c:v>
                </c:pt>
                <c:pt idx="320">
                  <c:v>45664</c:v>
                </c:pt>
                <c:pt idx="321">
                  <c:v>45663</c:v>
                </c:pt>
                <c:pt idx="322">
                  <c:v>45662</c:v>
                </c:pt>
                <c:pt idx="323">
                  <c:v>45661</c:v>
                </c:pt>
                <c:pt idx="324">
                  <c:v>45660</c:v>
                </c:pt>
                <c:pt idx="325">
                  <c:v>45659</c:v>
                </c:pt>
                <c:pt idx="326">
                  <c:v>45658</c:v>
                </c:pt>
                <c:pt idx="327">
                  <c:v>45657</c:v>
                </c:pt>
                <c:pt idx="328">
                  <c:v>45656</c:v>
                </c:pt>
                <c:pt idx="329">
                  <c:v>45655</c:v>
                </c:pt>
                <c:pt idx="330">
                  <c:v>45654</c:v>
                </c:pt>
                <c:pt idx="331">
                  <c:v>45653</c:v>
                </c:pt>
                <c:pt idx="332">
                  <c:v>45652</c:v>
                </c:pt>
                <c:pt idx="333">
                  <c:v>45651</c:v>
                </c:pt>
                <c:pt idx="334">
                  <c:v>45650</c:v>
                </c:pt>
                <c:pt idx="335">
                  <c:v>45649</c:v>
                </c:pt>
                <c:pt idx="336">
                  <c:v>45648</c:v>
                </c:pt>
                <c:pt idx="337">
                  <c:v>45647</c:v>
                </c:pt>
                <c:pt idx="338">
                  <c:v>45646</c:v>
                </c:pt>
                <c:pt idx="339">
                  <c:v>45645</c:v>
                </c:pt>
                <c:pt idx="340">
                  <c:v>45644</c:v>
                </c:pt>
                <c:pt idx="341">
                  <c:v>45643</c:v>
                </c:pt>
                <c:pt idx="342">
                  <c:v>45642</c:v>
                </c:pt>
                <c:pt idx="343">
                  <c:v>45641</c:v>
                </c:pt>
                <c:pt idx="344">
                  <c:v>45640</c:v>
                </c:pt>
                <c:pt idx="345">
                  <c:v>45639</c:v>
                </c:pt>
                <c:pt idx="346">
                  <c:v>45638</c:v>
                </c:pt>
                <c:pt idx="347">
                  <c:v>45637</c:v>
                </c:pt>
                <c:pt idx="348">
                  <c:v>45636</c:v>
                </c:pt>
                <c:pt idx="349">
                  <c:v>45635</c:v>
                </c:pt>
                <c:pt idx="350">
                  <c:v>45634</c:v>
                </c:pt>
                <c:pt idx="351">
                  <c:v>45633</c:v>
                </c:pt>
                <c:pt idx="352">
                  <c:v>45632</c:v>
                </c:pt>
                <c:pt idx="353">
                  <c:v>45631</c:v>
                </c:pt>
                <c:pt idx="354">
                  <c:v>45630</c:v>
                </c:pt>
                <c:pt idx="355">
                  <c:v>45629</c:v>
                </c:pt>
                <c:pt idx="356">
                  <c:v>45628</c:v>
                </c:pt>
                <c:pt idx="357">
                  <c:v>45627</c:v>
                </c:pt>
                <c:pt idx="358">
                  <c:v>45626</c:v>
                </c:pt>
                <c:pt idx="359">
                  <c:v>45625</c:v>
                </c:pt>
                <c:pt idx="360">
                  <c:v>45624</c:v>
                </c:pt>
                <c:pt idx="361">
                  <c:v>45623</c:v>
                </c:pt>
                <c:pt idx="362">
                  <c:v>45622</c:v>
                </c:pt>
                <c:pt idx="363">
                  <c:v>45621</c:v>
                </c:pt>
                <c:pt idx="364">
                  <c:v>45620</c:v>
                </c:pt>
                <c:pt idx="365">
                  <c:v>45619</c:v>
                </c:pt>
                <c:pt idx="366">
                  <c:v>45618</c:v>
                </c:pt>
                <c:pt idx="367">
                  <c:v>45617</c:v>
                </c:pt>
                <c:pt idx="368">
                  <c:v>45616</c:v>
                </c:pt>
                <c:pt idx="369">
                  <c:v>45615</c:v>
                </c:pt>
                <c:pt idx="370">
                  <c:v>45614</c:v>
                </c:pt>
                <c:pt idx="371">
                  <c:v>45613</c:v>
                </c:pt>
                <c:pt idx="372">
                  <c:v>45612</c:v>
                </c:pt>
                <c:pt idx="373">
                  <c:v>45611</c:v>
                </c:pt>
                <c:pt idx="374">
                  <c:v>45610</c:v>
                </c:pt>
                <c:pt idx="375">
                  <c:v>45609</c:v>
                </c:pt>
                <c:pt idx="376">
                  <c:v>45608</c:v>
                </c:pt>
                <c:pt idx="377">
                  <c:v>45607</c:v>
                </c:pt>
                <c:pt idx="378">
                  <c:v>45606</c:v>
                </c:pt>
                <c:pt idx="379">
                  <c:v>45605</c:v>
                </c:pt>
                <c:pt idx="380">
                  <c:v>45604</c:v>
                </c:pt>
                <c:pt idx="381">
                  <c:v>45603</c:v>
                </c:pt>
                <c:pt idx="382">
                  <c:v>45602</c:v>
                </c:pt>
                <c:pt idx="383">
                  <c:v>45601</c:v>
                </c:pt>
                <c:pt idx="384">
                  <c:v>45600</c:v>
                </c:pt>
                <c:pt idx="385">
                  <c:v>45599</c:v>
                </c:pt>
                <c:pt idx="386">
                  <c:v>45598</c:v>
                </c:pt>
                <c:pt idx="387">
                  <c:v>45597</c:v>
                </c:pt>
                <c:pt idx="388">
                  <c:v>45596</c:v>
                </c:pt>
                <c:pt idx="389">
                  <c:v>45595</c:v>
                </c:pt>
                <c:pt idx="390">
                  <c:v>45594</c:v>
                </c:pt>
                <c:pt idx="391">
                  <c:v>45593</c:v>
                </c:pt>
                <c:pt idx="392">
                  <c:v>45592</c:v>
                </c:pt>
                <c:pt idx="393">
                  <c:v>45591</c:v>
                </c:pt>
                <c:pt idx="394">
                  <c:v>45590</c:v>
                </c:pt>
                <c:pt idx="395">
                  <c:v>45589</c:v>
                </c:pt>
                <c:pt idx="396">
                  <c:v>45588</c:v>
                </c:pt>
                <c:pt idx="397">
                  <c:v>45587</c:v>
                </c:pt>
                <c:pt idx="398">
                  <c:v>45586</c:v>
                </c:pt>
                <c:pt idx="399">
                  <c:v>45585</c:v>
                </c:pt>
                <c:pt idx="400">
                  <c:v>45584</c:v>
                </c:pt>
                <c:pt idx="401">
                  <c:v>45583</c:v>
                </c:pt>
                <c:pt idx="402">
                  <c:v>45582</c:v>
                </c:pt>
                <c:pt idx="403">
                  <c:v>45581</c:v>
                </c:pt>
                <c:pt idx="404">
                  <c:v>45580</c:v>
                </c:pt>
              </c:numCache>
            </c:numRef>
          </c:cat>
          <c:val>
            <c:numRef>
              <c:f>Dashboard!$D$154:$D$558</c:f>
              <c:numCache>
                <c:formatCode>General</c:formatCode>
                <c:ptCount val="405"/>
                <c:pt idx="39">
                  <c:v>141.83000000000001</c:v>
                </c:pt>
                <c:pt idx="40">
                  <c:v>141.83000000000001</c:v>
                </c:pt>
                <c:pt idx="41">
                  <c:v>144.43</c:v>
                </c:pt>
                <c:pt idx="42">
                  <c:v>144.43</c:v>
                </c:pt>
                <c:pt idx="43">
                  <c:v>144.43</c:v>
                </c:pt>
                <c:pt idx="44">
                  <c:v>141.81</c:v>
                </c:pt>
                <c:pt idx="45">
                  <c:v>135.63999999999999</c:v>
                </c:pt>
                <c:pt idx="46">
                  <c:v>137.37</c:v>
                </c:pt>
                <c:pt idx="47">
                  <c:v>136.85</c:v>
                </c:pt>
                <c:pt idx="48">
                  <c:v>136.85</c:v>
                </c:pt>
                <c:pt idx="49">
                  <c:v>136.85</c:v>
                </c:pt>
                <c:pt idx="50">
                  <c:v>136.85</c:v>
                </c:pt>
                <c:pt idx="51">
                  <c:v>136.84</c:v>
                </c:pt>
                <c:pt idx="52">
                  <c:v>137.78</c:v>
                </c:pt>
                <c:pt idx="53">
                  <c:v>136.26</c:v>
                </c:pt>
                <c:pt idx="54">
                  <c:v>136.12</c:v>
                </c:pt>
                <c:pt idx="55">
                  <c:v>137.31</c:v>
                </c:pt>
                <c:pt idx="56">
                  <c:v>137.31</c:v>
                </c:pt>
                <c:pt idx="57">
                  <c:v>137.31</c:v>
                </c:pt>
                <c:pt idx="58">
                  <c:v>130.13</c:v>
                </c:pt>
                <c:pt idx="59">
                  <c:v>130.4</c:v>
                </c:pt>
                <c:pt idx="60">
                  <c:v>132.61000000000001</c:v>
                </c:pt>
                <c:pt idx="61">
                  <c:v>130.72</c:v>
                </c:pt>
                <c:pt idx="62">
                  <c:v>132.61000000000001</c:v>
                </c:pt>
                <c:pt idx="63">
                  <c:v>132.61000000000001</c:v>
                </c:pt>
                <c:pt idx="64">
                  <c:v>132.61000000000001</c:v>
                </c:pt>
                <c:pt idx="65">
                  <c:v>134.22999999999999</c:v>
                </c:pt>
                <c:pt idx="66">
                  <c:v>137.97999999999999</c:v>
                </c:pt>
                <c:pt idx="67">
                  <c:v>130.31</c:v>
                </c:pt>
                <c:pt idx="68">
                  <c:v>119.99</c:v>
                </c:pt>
                <c:pt idx="69">
                  <c:v>119.71</c:v>
                </c:pt>
                <c:pt idx="70">
                  <c:v>119.71</c:v>
                </c:pt>
                <c:pt idx="71">
                  <c:v>119.71</c:v>
                </c:pt>
                <c:pt idx="72">
                  <c:v>120.17</c:v>
                </c:pt>
                <c:pt idx="73">
                  <c:v>118.3</c:v>
                </c:pt>
                <c:pt idx="74">
                  <c:v>144.71</c:v>
                </c:pt>
                <c:pt idx="75">
                  <c:v>141.81</c:v>
                </c:pt>
                <c:pt idx="76">
                  <c:v>141.72999999999999</c:v>
                </c:pt>
                <c:pt idx="77">
                  <c:v>141.72999999999999</c:v>
                </c:pt>
                <c:pt idx="78">
                  <c:v>141.72999999999999</c:v>
                </c:pt>
                <c:pt idx="79">
                  <c:v>145.19999999999999</c:v>
                </c:pt>
                <c:pt idx="80">
                  <c:v>144.68</c:v>
                </c:pt>
                <c:pt idx="81">
                  <c:v>146.94</c:v>
                </c:pt>
                <c:pt idx="82">
                  <c:v>149.22999999999999</c:v>
                </c:pt>
                <c:pt idx="83">
                  <c:v>149.69999999999999</c:v>
                </c:pt>
                <c:pt idx="84">
                  <c:v>149.69999999999999</c:v>
                </c:pt>
                <c:pt idx="85">
                  <c:v>149.69999999999999</c:v>
                </c:pt>
                <c:pt idx="86">
                  <c:v>148.46</c:v>
                </c:pt>
                <c:pt idx="87">
                  <c:v>149.57</c:v>
                </c:pt>
                <c:pt idx="88">
                  <c:v>149.47999999999999</c:v>
                </c:pt>
                <c:pt idx="89">
                  <c:v>144.46</c:v>
                </c:pt>
                <c:pt idx="90">
                  <c:v>146.47999999999999</c:v>
                </c:pt>
                <c:pt idx="91">
                  <c:v>146.47999999999999</c:v>
                </c:pt>
                <c:pt idx="92">
                  <c:v>146.47999999999999</c:v>
                </c:pt>
                <c:pt idx="93">
                  <c:v>147.37</c:v>
                </c:pt>
                <c:pt idx="94">
                  <c:v>143.12</c:v>
                </c:pt>
                <c:pt idx="95">
                  <c:v>143.80000000000001</c:v>
                </c:pt>
                <c:pt idx="96">
                  <c:v>146.04</c:v>
                </c:pt>
                <c:pt idx="97">
                  <c:v>149.5</c:v>
                </c:pt>
                <c:pt idx="98">
                  <c:v>149.5</c:v>
                </c:pt>
                <c:pt idx="99">
                  <c:v>149.5</c:v>
                </c:pt>
                <c:pt idx="100">
                  <c:v>150.16</c:v>
                </c:pt>
                <c:pt idx="101">
                  <c:v>148.72999999999999</c:v>
                </c:pt>
                <c:pt idx="102">
                  <c:v>148.06</c:v>
                </c:pt>
                <c:pt idx="103">
                  <c:v>145.38999999999999</c:v>
                </c:pt>
                <c:pt idx="104">
                  <c:v>148.63</c:v>
                </c:pt>
                <c:pt idx="105">
                  <c:v>148.63</c:v>
                </c:pt>
                <c:pt idx="106">
                  <c:v>148.63</c:v>
                </c:pt>
                <c:pt idx="107">
                  <c:v>148.63</c:v>
                </c:pt>
                <c:pt idx="108">
                  <c:v>149.16</c:v>
                </c:pt>
                <c:pt idx="109">
                  <c:v>147.34</c:v>
                </c:pt>
                <c:pt idx="110">
                  <c:v>144</c:v>
                </c:pt>
                <c:pt idx="111">
                  <c:v>144.94</c:v>
                </c:pt>
                <c:pt idx="112">
                  <c:v>144.94</c:v>
                </c:pt>
                <c:pt idx="113">
                  <c:v>144.94</c:v>
                </c:pt>
                <c:pt idx="114">
                  <c:v>144.75</c:v>
                </c:pt>
                <c:pt idx="115">
                  <c:v>143.94</c:v>
                </c:pt>
                <c:pt idx="116">
                  <c:v>143.18</c:v>
                </c:pt>
                <c:pt idx="117">
                  <c:v>143.62</c:v>
                </c:pt>
                <c:pt idx="118">
                  <c:v>141.49</c:v>
                </c:pt>
                <c:pt idx="119">
                  <c:v>141.49</c:v>
                </c:pt>
                <c:pt idx="120">
                  <c:v>141.49</c:v>
                </c:pt>
                <c:pt idx="121">
                  <c:v>141.78</c:v>
                </c:pt>
                <c:pt idx="122">
                  <c:v>141.78</c:v>
                </c:pt>
                <c:pt idx="123">
                  <c:v>140.93</c:v>
                </c:pt>
                <c:pt idx="124">
                  <c:v>144.01</c:v>
                </c:pt>
                <c:pt idx="125">
                  <c:v>141.19</c:v>
                </c:pt>
                <c:pt idx="126">
                  <c:v>141.19</c:v>
                </c:pt>
                <c:pt idx="127">
                  <c:v>141.19</c:v>
                </c:pt>
                <c:pt idx="128">
                  <c:v>143.88</c:v>
                </c:pt>
                <c:pt idx="129">
                  <c:v>146.71</c:v>
                </c:pt>
                <c:pt idx="130">
                  <c:v>148.83000000000001</c:v>
                </c:pt>
                <c:pt idx="131">
                  <c:v>149.97</c:v>
                </c:pt>
                <c:pt idx="132">
                  <c:v>147.22</c:v>
                </c:pt>
                <c:pt idx="133">
                  <c:v>147.22</c:v>
                </c:pt>
                <c:pt idx="134">
                  <c:v>147.22</c:v>
                </c:pt>
                <c:pt idx="135">
                  <c:v>147.13999999999999</c:v>
                </c:pt>
                <c:pt idx="136">
                  <c:v>147.79</c:v>
                </c:pt>
                <c:pt idx="137">
                  <c:v>147.88</c:v>
                </c:pt>
                <c:pt idx="138">
                  <c:v>144.55000000000001</c:v>
                </c:pt>
                <c:pt idx="139">
                  <c:v>146.13</c:v>
                </c:pt>
                <c:pt idx="140">
                  <c:v>146.13</c:v>
                </c:pt>
                <c:pt idx="141">
                  <c:v>146.13</c:v>
                </c:pt>
                <c:pt idx="142">
                  <c:v>147.46</c:v>
                </c:pt>
                <c:pt idx="143">
                  <c:v>147.88999999999999</c:v>
                </c:pt>
                <c:pt idx="144">
                  <c:v>150.57</c:v>
                </c:pt>
                <c:pt idx="145">
                  <c:v>145.79</c:v>
                </c:pt>
                <c:pt idx="146">
                  <c:v>145.79</c:v>
                </c:pt>
                <c:pt idx="147">
                  <c:v>145.79</c:v>
                </c:pt>
                <c:pt idx="148">
                  <c:v>145.79</c:v>
                </c:pt>
                <c:pt idx="149">
                  <c:v>147.13999999999999</c:v>
                </c:pt>
                <c:pt idx="150">
                  <c:v>145.01</c:v>
                </c:pt>
                <c:pt idx="151">
                  <c:v>152.11000000000001</c:v>
                </c:pt>
                <c:pt idx="152">
                  <c:v>150.99</c:v>
                </c:pt>
                <c:pt idx="153">
                  <c:v>151.49</c:v>
                </c:pt>
                <c:pt idx="154">
                  <c:v>151.49</c:v>
                </c:pt>
                <c:pt idx="155">
                  <c:v>151.49</c:v>
                </c:pt>
                <c:pt idx="156">
                  <c:v>149.78</c:v>
                </c:pt>
                <c:pt idx="157">
                  <c:v>148.72</c:v>
                </c:pt>
                <c:pt idx="158">
                  <c:v>149.91</c:v>
                </c:pt>
                <c:pt idx="159">
                  <c:v>146.9</c:v>
                </c:pt>
                <c:pt idx="160">
                  <c:v>139.52000000000001</c:v>
                </c:pt>
                <c:pt idx="161">
                  <c:v>139.52000000000001</c:v>
                </c:pt>
                <c:pt idx="162">
                  <c:v>139.52000000000001</c:v>
                </c:pt>
                <c:pt idx="163">
                  <c:v>139.59</c:v>
                </c:pt>
                <c:pt idx="164">
                  <c:v>131.63</c:v>
                </c:pt>
                <c:pt idx="165">
                  <c:v>135.38</c:v>
                </c:pt>
                <c:pt idx="166">
                  <c:v>136.22999999999999</c:v>
                </c:pt>
                <c:pt idx="167">
                  <c:v>138.57</c:v>
                </c:pt>
                <c:pt idx="168">
                  <c:v>138.57</c:v>
                </c:pt>
                <c:pt idx="169">
                  <c:v>138.57</c:v>
                </c:pt>
                <c:pt idx="170">
                  <c:v>134.36000000000001</c:v>
                </c:pt>
                <c:pt idx="171">
                  <c:v>133.35</c:v>
                </c:pt>
                <c:pt idx="172">
                  <c:v>132.78</c:v>
                </c:pt>
                <c:pt idx="173">
                  <c:v>130.58000000000001</c:v>
                </c:pt>
                <c:pt idx="174">
                  <c:v>130.82</c:v>
                </c:pt>
                <c:pt idx="175">
                  <c:v>130.82</c:v>
                </c:pt>
                <c:pt idx="176">
                  <c:v>130.82</c:v>
                </c:pt>
                <c:pt idx="177">
                  <c:v>132.41999999999999</c:v>
                </c:pt>
                <c:pt idx="178">
                  <c:v>128.16</c:v>
                </c:pt>
                <c:pt idx="179">
                  <c:v>127.44</c:v>
                </c:pt>
                <c:pt idx="180">
                  <c:v>124.01</c:v>
                </c:pt>
                <c:pt idx="181">
                  <c:v>126.91</c:v>
                </c:pt>
                <c:pt idx="182">
                  <c:v>126.91</c:v>
                </c:pt>
                <c:pt idx="183">
                  <c:v>126.91</c:v>
                </c:pt>
                <c:pt idx="184">
                  <c:v>126.91</c:v>
                </c:pt>
                <c:pt idx="185">
                  <c:v>127.48</c:v>
                </c:pt>
                <c:pt idx="186">
                  <c:v>129.49</c:v>
                </c:pt>
                <c:pt idx="187">
                  <c:v>131.91</c:v>
                </c:pt>
                <c:pt idx="188">
                  <c:v>132.19</c:v>
                </c:pt>
                <c:pt idx="189">
                  <c:v>132.19</c:v>
                </c:pt>
                <c:pt idx="190">
                  <c:v>132.19</c:v>
                </c:pt>
                <c:pt idx="191">
                  <c:v>131.59</c:v>
                </c:pt>
                <c:pt idx="192">
                  <c:v>143.55000000000001</c:v>
                </c:pt>
                <c:pt idx="193">
                  <c:v>125.14</c:v>
                </c:pt>
                <c:pt idx="194">
                  <c:v>129.27000000000001</c:v>
                </c:pt>
                <c:pt idx="195">
                  <c:v>135.46</c:v>
                </c:pt>
                <c:pt idx="196">
                  <c:v>135.46</c:v>
                </c:pt>
                <c:pt idx="197">
                  <c:v>135.46</c:v>
                </c:pt>
                <c:pt idx="198">
                  <c:v>142.16999999999999</c:v>
                </c:pt>
                <c:pt idx="199">
                  <c:v>154.76</c:v>
                </c:pt>
                <c:pt idx="200">
                  <c:v>152.72999999999999</c:v>
                </c:pt>
                <c:pt idx="201">
                  <c:v>151.97999999999999</c:v>
                </c:pt>
                <c:pt idx="202">
                  <c:v>152.76</c:v>
                </c:pt>
                <c:pt idx="203">
                  <c:v>152.76</c:v>
                </c:pt>
                <c:pt idx="204">
                  <c:v>152.76</c:v>
                </c:pt>
                <c:pt idx="205">
                  <c:v>157.13</c:v>
                </c:pt>
                <c:pt idx="206">
                  <c:v>156.52000000000001</c:v>
                </c:pt>
                <c:pt idx="207">
                  <c:v>156.65</c:v>
                </c:pt>
                <c:pt idx="208">
                  <c:v>158.54</c:v>
                </c:pt>
                <c:pt idx="209">
                  <c:v>154.41</c:v>
                </c:pt>
                <c:pt idx="210">
                  <c:v>154.41</c:v>
                </c:pt>
                <c:pt idx="211">
                  <c:v>154.41</c:v>
                </c:pt>
                <c:pt idx="212">
                  <c:v>153.93</c:v>
                </c:pt>
                <c:pt idx="213">
                  <c:v>154.9</c:v>
                </c:pt>
                <c:pt idx="214">
                  <c:v>153.44</c:v>
                </c:pt>
                <c:pt idx="215">
                  <c:v>153.52000000000001</c:v>
                </c:pt>
                <c:pt idx="216">
                  <c:v>151.66999999999999</c:v>
                </c:pt>
                <c:pt idx="217">
                  <c:v>151.66999999999999</c:v>
                </c:pt>
                <c:pt idx="218">
                  <c:v>151.66999999999999</c:v>
                </c:pt>
                <c:pt idx="219">
                  <c:v>147.69</c:v>
                </c:pt>
                <c:pt idx="220">
                  <c:v>152.13</c:v>
                </c:pt>
                <c:pt idx="221">
                  <c:v>155.16999999999999</c:v>
                </c:pt>
                <c:pt idx="222">
                  <c:v>157.32</c:v>
                </c:pt>
                <c:pt idx="223">
                  <c:v>160.87</c:v>
                </c:pt>
                <c:pt idx="224">
                  <c:v>160.87</c:v>
                </c:pt>
                <c:pt idx="225">
                  <c:v>160.87</c:v>
                </c:pt>
                <c:pt idx="226">
                  <c:v>158.07</c:v>
                </c:pt>
                <c:pt idx="227">
                  <c:v>160.1</c:v>
                </c:pt>
                <c:pt idx="228">
                  <c:v>159.04</c:v>
                </c:pt>
                <c:pt idx="229">
                  <c:v>161.58000000000001</c:v>
                </c:pt>
                <c:pt idx="230">
                  <c:v>165.41</c:v>
                </c:pt>
                <c:pt idx="231">
                  <c:v>165.41</c:v>
                </c:pt>
                <c:pt idx="232">
                  <c:v>165.41</c:v>
                </c:pt>
                <c:pt idx="233">
                  <c:v>163.25</c:v>
                </c:pt>
                <c:pt idx="234">
                  <c:v>165.36</c:v>
                </c:pt>
                <c:pt idx="235">
                  <c:v>169.25</c:v>
                </c:pt>
                <c:pt idx="236">
                  <c:v>168.15</c:v>
                </c:pt>
                <c:pt idx="237">
                  <c:v>167.07</c:v>
                </c:pt>
                <c:pt idx="238">
                  <c:v>167.07</c:v>
                </c:pt>
                <c:pt idx="239">
                  <c:v>167.07</c:v>
                </c:pt>
                <c:pt idx="240">
                  <c:v>169.92</c:v>
                </c:pt>
                <c:pt idx="241">
                  <c:v>169.99</c:v>
                </c:pt>
                <c:pt idx="242">
                  <c:v>171.6</c:v>
                </c:pt>
                <c:pt idx="243">
                  <c:v>168.33</c:v>
                </c:pt>
                <c:pt idx="244">
                  <c:v>168.33</c:v>
                </c:pt>
                <c:pt idx="245">
                  <c:v>168.33</c:v>
                </c:pt>
                <c:pt idx="246">
                  <c:v>168.33</c:v>
                </c:pt>
                <c:pt idx="247">
                  <c:v>167</c:v>
                </c:pt>
                <c:pt idx="248">
                  <c:v>165.1</c:v>
                </c:pt>
                <c:pt idx="249">
                  <c:v>164.52</c:v>
                </c:pt>
                <c:pt idx="250">
                  <c:v>165.26</c:v>
                </c:pt>
                <c:pt idx="251">
                  <c:v>164.87</c:v>
                </c:pt>
                <c:pt idx="252">
                  <c:v>164.87</c:v>
                </c:pt>
                <c:pt idx="253">
                  <c:v>164.87</c:v>
                </c:pt>
                <c:pt idx="254">
                  <c:v>167.11</c:v>
                </c:pt>
                <c:pt idx="255">
                  <c:v>166.54</c:v>
                </c:pt>
                <c:pt idx="256">
                  <c:v>169.54</c:v>
                </c:pt>
                <c:pt idx="257">
                  <c:v>169.84</c:v>
                </c:pt>
                <c:pt idx="258">
                  <c:v>171.14</c:v>
                </c:pt>
                <c:pt idx="259">
                  <c:v>171.14</c:v>
                </c:pt>
                <c:pt idx="260">
                  <c:v>171.14</c:v>
                </c:pt>
                <c:pt idx="261">
                  <c:v>171.66</c:v>
                </c:pt>
                <c:pt idx="262">
                  <c:v>170.08</c:v>
                </c:pt>
                <c:pt idx="263">
                  <c:v>172.89</c:v>
                </c:pt>
                <c:pt idx="264">
                  <c:v>171.75</c:v>
                </c:pt>
                <c:pt idx="265">
                  <c:v>169.72</c:v>
                </c:pt>
                <c:pt idx="266">
                  <c:v>169.72</c:v>
                </c:pt>
                <c:pt idx="267">
                  <c:v>169.72</c:v>
                </c:pt>
                <c:pt idx="268">
                  <c:v>145.65</c:v>
                </c:pt>
                <c:pt idx="269">
                  <c:v>143.72</c:v>
                </c:pt>
                <c:pt idx="270">
                  <c:v>143.79</c:v>
                </c:pt>
                <c:pt idx="271">
                  <c:v>142.03</c:v>
                </c:pt>
                <c:pt idx="272">
                  <c:v>142.03</c:v>
                </c:pt>
                <c:pt idx="273">
                  <c:v>142.03</c:v>
                </c:pt>
                <c:pt idx="274">
                  <c:v>142.03</c:v>
                </c:pt>
                <c:pt idx="275">
                  <c:v>141.63999999999999</c:v>
                </c:pt>
                <c:pt idx="276">
                  <c:v>140.91</c:v>
                </c:pt>
                <c:pt idx="277">
                  <c:v>139.30000000000001</c:v>
                </c:pt>
                <c:pt idx="278">
                  <c:v>136.71</c:v>
                </c:pt>
                <c:pt idx="279">
                  <c:v>134.5</c:v>
                </c:pt>
                <c:pt idx="280">
                  <c:v>134.5</c:v>
                </c:pt>
                <c:pt idx="281">
                  <c:v>134.5</c:v>
                </c:pt>
                <c:pt idx="282">
                  <c:v>134.56</c:v>
                </c:pt>
                <c:pt idx="283">
                  <c:v>134.56</c:v>
                </c:pt>
                <c:pt idx="284">
                  <c:v>134.22999999999999</c:v>
                </c:pt>
                <c:pt idx="285">
                  <c:v>134.56</c:v>
                </c:pt>
                <c:pt idx="286">
                  <c:v>134.36500000000001</c:v>
                </c:pt>
                <c:pt idx="287">
                  <c:v>134.36500000000001</c:v>
                </c:pt>
                <c:pt idx="288">
                  <c:v>134.36500000000001</c:v>
                </c:pt>
                <c:pt idx="289">
                  <c:v>133.93</c:v>
                </c:pt>
                <c:pt idx="290">
                  <c:v>135.44999999999999</c:v>
                </c:pt>
                <c:pt idx="291">
                  <c:v>135.44999999999999</c:v>
                </c:pt>
                <c:pt idx="292">
                  <c:v>135.59</c:v>
                </c:pt>
                <c:pt idx="293">
                  <c:v>136.58000000000001</c:v>
                </c:pt>
                <c:pt idx="294">
                  <c:v>136.58000000000001</c:v>
                </c:pt>
                <c:pt idx="295">
                  <c:v>136.58000000000001</c:v>
                </c:pt>
                <c:pt idx="296">
                  <c:v>137.38999999999999</c:v>
                </c:pt>
                <c:pt idx="297">
                  <c:v>136.84</c:v>
                </c:pt>
                <c:pt idx="298">
                  <c:v>136.84</c:v>
                </c:pt>
                <c:pt idx="299">
                  <c:v>134.94999999999999</c:v>
                </c:pt>
                <c:pt idx="300">
                  <c:v>134.72</c:v>
                </c:pt>
                <c:pt idx="301">
                  <c:v>134.72</c:v>
                </c:pt>
                <c:pt idx="302">
                  <c:v>134.72</c:v>
                </c:pt>
                <c:pt idx="303">
                  <c:v>132.72</c:v>
                </c:pt>
                <c:pt idx="304">
                  <c:v>133.54</c:v>
                </c:pt>
                <c:pt idx="305">
                  <c:v>135.96</c:v>
                </c:pt>
                <c:pt idx="306">
                  <c:v>136.97999999999999</c:v>
                </c:pt>
                <c:pt idx="307">
                  <c:v>138.75</c:v>
                </c:pt>
                <c:pt idx="308">
                  <c:v>138.75</c:v>
                </c:pt>
                <c:pt idx="309">
                  <c:v>138.75</c:v>
                </c:pt>
                <c:pt idx="310">
                  <c:v>141.08000000000001</c:v>
                </c:pt>
                <c:pt idx="311">
                  <c:v>144.74</c:v>
                </c:pt>
                <c:pt idx="312">
                  <c:v>144.25</c:v>
                </c:pt>
                <c:pt idx="313">
                  <c:v>142.76</c:v>
                </c:pt>
                <c:pt idx="314">
                  <c:v>142</c:v>
                </c:pt>
                <c:pt idx="315">
                  <c:v>142</c:v>
                </c:pt>
                <c:pt idx="316">
                  <c:v>142</c:v>
                </c:pt>
                <c:pt idx="317">
                  <c:v>141.72</c:v>
                </c:pt>
                <c:pt idx="318">
                  <c:v>143.03</c:v>
                </c:pt>
                <c:pt idx="319">
                  <c:v>142.25</c:v>
                </c:pt>
                <c:pt idx="320">
                  <c:v>142.06</c:v>
                </c:pt>
                <c:pt idx="321">
                  <c:v>143.38999999999999</c:v>
                </c:pt>
                <c:pt idx="322">
                  <c:v>143.38999999999999</c:v>
                </c:pt>
                <c:pt idx="323">
                  <c:v>143.38999999999999</c:v>
                </c:pt>
                <c:pt idx="324">
                  <c:v>141.75</c:v>
                </c:pt>
                <c:pt idx="325">
                  <c:v>141.75</c:v>
                </c:pt>
                <c:pt idx="326">
                  <c:v>142.18</c:v>
                </c:pt>
                <c:pt idx="327">
                  <c:v>146.97</c:v>
                </c:pt>
                <c:pt idx="328">
                  <c:v>142.16</c:v>
                </c:pt>
                <c:pt idx="329">
                  <c:v>142.16</c:v>
                </c:pt>
                <c:pt idx="330">
                  <c:v>142.16</c:v>
                </c:pt>
                <c:pt idx="331">
                  <c:v>138.66</c:v>
                </c:pt>
                <c:pt idx="332">
                  <c:v>135.72999999999999</c:v>
                </c:pt>
                <c:pt idx="333">
                  <c:v>136.33000000000001</c:v>
                </c:pt>
                <c:pt idx="334">
                  <c:v>137.22</c:v>
                </c:pt>
                <c:pt idx="335">
                  <c:v>136</c:v>
                </c:pt>
                <c:pt idx="336">
                  <c:v>136</c:v>
                </c:pt>
                <c:pt idx="337">
                  <c:v>136</c:v>
                </c:pt>
                <c:pt idx="338">
                  <c:v>135.68</c:v>
                </c:pt>
                <c:pt idx="339">
                  <c:v>138.05000000000001</c:v>
                </c:pt>
                <c:pt idx="340">
                  <c:v>137.34</c:v>
                </c:pt>
                <c:pt idx="341">
                  <c:v>139.63999999999999</c:v>
                </c:pt>
                <c:pt idx="342">
                  <c:v>140.31</c:v>
                </c:pt>
                <c:pt idx="343">
                  <c:v>140.31</c:v>
                </c:pt>
                <c:pt idx="344">
                  <c:v>140.31</c:v>
                </c:pt>
                <c:pt idx="345">
                  <c:v>141.24</c:v>
                </c:pt>
                <c:pt idx="346">
                  <c:v>143.63</c:v>
                </c:pt>
                <c:pt idx="347">
                  <c:v>137.09</c:v>
                </c:pt>
                <c:pt idx="348">
                  <c:v>134.13999999999999</c:v>
                </c:pt>
                <c:pt idx="349">
                  <c:v>130.16</c:v>
                </c:pt>
                <c:pt idx="350">
                  <c:v>130.16</c:v>
                </c:pt>
                <c:pt idx="351">
                  <c:v>130.16</c:v>
                </c:pt>
                <c:pt idx="352">
                  <c:v>129.69999999999999</c:v>
                </c:pt>
                <c:pt idx="353">
                  <c:v>140.38</c:v>
                </c:pt>
                <c:pt idx="354">
                  <c:v>138</c:v>
                </c:pt>
                <c:pt idx="355">
                  <c:v>140.27000000000001</c:v>
                </c:pt>
                <c:pt idx="356">
                  <c:v>137.65</c:v>
                </c:pt>
                <c:pt idx="357">
                  <c:v>137.65</c:v>
                </c:pt>
                <c:pt idx="358">
                  <c:v>137.65</c:v>
                </c:pt>
                <c:pt idx="359">
                  <c:v>138.08000000000001</c:v>
                </c:pt>
                <c:pt idx="360">
                  <c:v>136.12</c:v>
                </c:pt>
                <c:pt idx="361">
                  <c:v>136.86000000000001</c:v>
                </c:pt>
                <c:pt idx="362">
                  <c:v>137.63999999999999</c:v>
                </c:pt>
                <c:pt idx="363">
                  <c:v>139.69999999999999</c:v>
                </c:pt>
                <c:pt idx="364">
                  <c:v>139.69999999999999</c:v>
                </c:pt>
                <c:pt idx="365">
                  <c:v>139.69999999999999</c:v>
                </c:pt>
                <c:pt idx="366">
                  <c:v>139.59</c:v>
                </c:pt>
                <c:pt idx="367">
                  <c:v>138.41999999999999</c:v>
                </c:pt>
                <c:pt idx="368">
                  <c:v>137.83000000000001</c:v>
                </c:pt>
                <c:pt idx="369">
                  <c:v>137.80000000000001</c:v>
                </c:pt>
                <c:pt idx="370">
                  <c:v>133.27000000000001</c:v>
                </c:pt>
                <c:pt idx="371">
                  <c:v>133.27000000000001</c:v>
                </c:pt>
                <c:pt idx="372">
                  <c:v>133.27000000000001</c:v>
                </c:pt>
                <c:pt idx="373">
                  <c:v>133.43</c:v>
                </c:pt>
                <c:pt idx="374">
                  <c:v>132.9</c:v>
                </c:pt>
                <c:pt idx="375">
                  <c:v>132</c:v>
                </c:pt>
                <c:pt idx="376">
                  <c:v>132.47</c:v>
                </c:pt>
                <c:pt idx="377">
                  <c:v>134.47999999999999</c:v>
                </c:pt>
                <c:pt idx="378">
                  <c:v>134.47999999999999</c:v>
                </c:pt>
                <c:pt idx="379">
                  <c:v>134.47999999999999</c:v>
                </c:pt>
                <c:pt idx="380">
                  <c:v>133.82</c:v>
                </c:pt>
                <c:pt idx="381">
                  <c:v>134.41999999999999</c:v>
                </c:pt>
                <c:pt idx="382">
                  <c:v>138.22999999999999</c:v>
                </c:pt>
                <c:pt idx="383">
                  <c:v>139.13</c:v>
                </c:pt>
                <c:pt idx="384">
                  <c:v>141.71</c:v>
                </c:pt>
                <c:pt idx="385">
                  <c:v>141.71</c:v>
                </c:pt>
                <c:pt idx="386">
                  <c:v>141.71</c:v>
                </c:pt>
                <c:pt idx="387">
                  <c:v>141.26</c:v>
                </c:pt>
                <c:pt idx="388">
                  <c:v>140.33000000000001</c:v>
                </c:pt>
                <c:pt idx="389">
                  <c:v>144.82</c:v>
                </c:pt>
                <c:pt idx="390">
                  <c:v>142.25</c:v>
                </c:pt>
                <c:pt idx="391">
                  <c:v>141.31</c:v>
                </c:pt>
                <c:pt idx="392">
                  <c:v>141.31</c:v>
                </c:pt>
                <c:pt idx="393">
                  <c:v>141.31</c:v>
                </c:pt>
                <c:pt idx="394">
                  <c:v>144.15</c:v>
                </c:pt>
                <c:pt idx="395">
                  <c:v>139.66999999999999</c:v>
                </c:pt>
                <c:pt idx="396">
                  <c:v>139.19</c:v>
                </c:pt>
                <c:pt idx="397">
                  <c:v>135.76</c:v>
                </c:pt>
                <c:pt idx="398">
                  <c:v>132.80000000000001</c:v>
                </c:pt>
                <c:pt idx="399">
                  <c:v>132.80000000000001</c:v>
                </c:pt>
                <c:pt idx="400">
                  <c:v>132.80000000000001</c:v>
                </c:pt>
                <c:pt idx="401">
                  <c:v>128.04</c:v>
                </c:pt>
                <c:pt idx="402">
                  <c:v>129.41</c:v>
                </c:pt>
                <c:pt idx="403">
                  <c:v>129.66999999999999</c:v>
                </c:pt>
                <c:pt idx="404">
                  <c:v>131.81</c:v>
                </c:pt>
              </c:numCache>
            </c:numRef>
          </c:val>
          <c:smooth val="0"/>
          <c:extLst>
            <c:ext xmlns:c16="http://schemas.microsoft.com/office/drawing/2014/chart" uri="{C3380CC4-5D6E-409C-BE32-E72D297353CC}">
              <c16:uniqueId val="{00000000-7945-4CFF-8C44-39088B05CB15}"/>
            </c:ext>
          </c:extLst>
        </c:ser>
        <c:dLbls>
          <c:showLegendKey val="0"/>
          <c:showVal val="0"/>
          <c:showCatName val="0"/>
          <c:showSerName val="0"/>
          <c:showPercent val="0"/>
          <c:showBubbleSize val="0"/>
        </c:dLbls>
        <c:marker val="1"/>
        <c:smooth val="0"/>
        <c:axId val="464131055"/>
        <c:axId val="464129135"/>
      </c:lineChart>
      <c:dateAx>
        <c:axId val="777888655"/>
        <c:scaling>
          <c:orientation val="minMax"/>
        </c:scaling>
        <c:delete val="0"/>
        <c:axPos val="b"/>
        <c:numFmt formatCode="[$-816]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accent1">
                    <a:lumMod val="50000"/>
                  </a:schemeClr>
                </a:solidFill>
                <a:latin typeface="Arial Nova" panose="020B0504020202020204" pitchFamily="34" charset="0"/>
                <a:ea typeface="+mn-ea"/>
                <a:cs typeface="+mn-cs"/>
              </a:defRPr>
            </a:pPr>
            <a:endParaRPr lang="en-PT"/>
          </a:p>
        </c:txPr>
        <c:crossAx val="777885295"/>
        <c:crosses val="autoZero"/>
        <c:auto val="1"/>
        <c:lblOffset val="100"/>
        <c:baseTimeUnit val="days"/>
      </c:dateAx>
      <c:valAx>
        <c:axId val="777885295"/>
        <c:scaling>
          <c:orientation val="minMax"/>
        </c:scaling>
        <c:delete val="1"/>
        <c:axPos val="l"/>
        <c:majorGridlines>
          <c:spPr>
            <a:ln w="9525" cap="flat" cmpd="sng" algn="ctr">
              <a:solidFill>
                <a:schemeClr val="accent1">
                  <a:lumMod val="20000"/>
                  <a:lumOff val="80000"/>
                  <a:alpha val="20000"/>
                </a:schemeClr>
              </a:solidFill>
              <a:round/>
            </a:ln>
            <a:effectLst/>
          </c:spPr>
        </c:majorGridlines>
        <c:numFmt formatCode="General" sourceLinked="1"/>
        <c:majorTickMark val="none"/>
        <c:minorTickMark val="none"/>
        <c:tickLblPos val="nextTo"/>
        <c:crossAx val="777888655"/>
        <c:crosses val="autoZero"/>
        <c:crossBetween val="between"/>
      </c:valAx>
      <c:valAx>
        <c:axId val="4641291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en-PT"/>
          </a:p>
        </c:txPr>
        <c:crossAx val="464131055"/>
        <c:crosses val="max"/>
        <c:crossBetween val="between"/>
      </c:valAx>
      <c:dateAx>
        <c:axId val="464131055"/>
        <c:scaling>
          <c:orientation val="minMax"/>
        </c:scaling>
        <c:delete val="1"/>
        <c:axPos val="b"/>
        <c:numFmt formatCode="yyyy\-mm\-dd;@" sourceLinked="1"/>
        <c:majorTickMark val="out"/>
        <c:minorTickMark val="none"/>
        <c:tickLblPos val="nextTo"/>
        <c:crossAx val="464129135"/>
        <c:crosses val="autoZero"/>
        <c:auto val="1"/>
        <c:lblOffset val="100"/>
        <c:baseTimeUnit val="days"/>
      </c:dateAx>
      <c:spPr>
        <a:noFill/>
        <a:ln>
          <a:noFill/>
        </a:ln>
        <a:effectLst>
          <a:glow rad="63500">
            <a:schemeClr val="accent1">
              <a:satMod val="175000"/>
              <a:alpha val="40000"/>
            </a:schemeClr>
          </a:glow>
        </a:effectLst>
      </c:spPr>
    </c:plotArea>
    <c:plotVisOnly val="1"/>
    <c:dispBlanksAs val="gap"/>
    <c:showDLblsOverMax val="0"/>
  </c:chart>
  <c:spPr>
    <a:noFill/>
    <a:ln w="9525" cap="flat" cmpd="sng" algn="ctr">
      <a:noFill/>
      <a:round/>
    </a:ln>
    <a:effectLst/>
  </c:spPr>
  <c:txPr>
    <a:bodyPr/>
    <a:lstStyle/>
    <a:p>
      <a:pPr>
        <a:defRPr sz="1100">
          <a:solidFill>
            <a:schemeClr val="accent1">
              <a:lumMod val="50000"/>
            </a:schemeClr>
          </a:solidFill>
          <a:latin typeface="Arial Nova" panose="020B0504020202020204" pitchFamily="34" charset="0"/>
        </a:defRPr>
      </a:pPr>
      <a:endParaRPr lang="en-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Capex Intensity</c:v>
                </c:pt>
                <c:pt idx="1">
                  <c:v>COGS Margin</c:v>
                </c:pt>
                <c:pt idx="2">
                  <c:v>SG&amp;A Margin</c:v>
                </c:pt>
                <c:pt idx="3">
                  <c:v>WACC</c:v>
                </c:pt>
                <c:pt idx="4">
                  <c:v>Terminal g</c:v>
                </c:pt>
                <c:pt idx="5">
                  <c:v>EBITDA Exit</c:v>
                </c:pt>
                <c:pt idx="6">
                  <c:v>Revenue Exit</c:v>
                </c:pt>
              </c:strCache>
            </c:strRef>
          </c:cat>
          <c:val>
            <c:numRef>
              <c:f>Sensitivity!$AJ$28:$AJ$34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A159-48F8-BF02-8287E1A6D51E}"/>
            </c:ext>
          </c:extLst>
        </c:ser>
        <c:ser>
          <c:idx val="1"/>
          <c:order val="1"/>
          <c:spPr>
            <a:solidFill>
              <a:srgbClr val="7B1314"/>
            </a:solidFill>
            <a:ln>
              <a:noFill/>
            </a:ln>
            <a:effectLst/>
          </c:spPr>
          <c:invertIfNegative val="0"/>
          <c:cat>
            <c:strRef>
              <c:f>Sensitivity!$AD$28:$AD$34</c:f>
              <c:strCache>
                <c:ptCount val="7"/>
                <c:pt idx="0">
                  <c:v>Capex Intensity</c:v>
                </c:pt>
                <c:pt idx="1">
                  <c:v>COGS Margin</c:v>
                </c:pt>
                <c:pt idx="2">
                  <c:v>SG&amp;A Margin</c:v>
                </c:pt>
                <c:pt idx="3">
                  <c:v>WACC</c:v>
                </c:pt>
                <c:pt idx="4">
                  <c:v>Terminal g</c:v>
                </c:pt>
                <c:pt idx="5">
                  <c:v>EBITDA Exit</c:v>
                </c:pt>
                <c:pt idx="6">
                  <c:v>Revenue Exit</c:v>
                </c:pt>
              </c:strCache>
            </c:strRef>
          </c:cat>
          <c:val>
            <c:numRef>
              <c:f>Sensitivity!$AK$28:$AK$34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A159-48F8-BF02-8287E1A6D51E}"/>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en-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en-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en-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193387591256972E-2"/>
          <c:y val="7.8866461489268153E-2"/>
          <c:w val="0.89126506245542836"/>
          <c:h val="0.642440278721505"/>
        </c:manualLayout>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6.7762296670080824E-2</c:v>
                </c:pt>
                <c:pt idx="1">
                  <c:v>6.7762296670080824E-2</c:v>
                </c:pt>
                <c:pt idx="2">
                  <c:v>6.7762296670080824E-2</c:v>
                </c:pt>
                <c:pt idx="3">
                  <c:v>6.7762296670080824E-2</c:v>
                </c:pt>
                <c:pt idx="4">
                  <c:v>6.7762296670080824E-2</c:v>
                </c:pt>
              </c:numCache>
            </c:numRef>
          </c:val>
          <c:smooth val="0"/>
          <c:extLst>
            <c:ext xmlns:c16="http://schemas.microsoft.com/office/drawing/2014/chart" uri="{C3380CC4-5D6E-409C-BE32-E72D297353CC}">
              <c16:uniqueId val="{00000000-A5B1-4B7A-ABE2-D56A1EFBD778}"/>
            </c:ext>
          </c:extLst>
        </c:ser>
        <c:ser>
          <c:idx val="1"/>
          <c:order val="1"/>
          <c:tx>
            <c:v>ROIC</c:v>
          </c:tx>
          <c:spPr>
            <a:ln w="28575" cap="rnd">
              <a:solidFill>
                <a:schemeClr val="accent1">
                  <a:lumMod val="60000"/>
                  <a:lumOff val="40000"/>
                </a:schemeClr>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7.9186697912909776E-2</c:v>
                </c:pt>
                <c:pt idx="1">
                  <c:v>8.9869515195990707E-2</c:v>
                </c:pt>
                <c:pt idx="2">
                  <c:v>0.10170043923017219</c:v>
                </c:pt>
                <c:pt idx="3">
                  <c:v>0.10684963788262135</c:v>
                </c:pt>
                <c:pt idx="4">
                  <c:v>0.10342790341120323</c:v>
                </c:pt>
              </c:numCache>
            </c:numRef>
          </c:val>
          <c:smooth val="0"/>
          <c:extLst>
            <c:ext xmlns:c16="http://schemas.microsoft.com/office/drawing/2014/chart" uri="{C3380CC4-5D6E-409C-BE32-E72D297353CC}">
              <c16:uniqueId val="{00000001-A5B1-4B7A-ABE2-D56A1EFBD778}"/>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en-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en-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en-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en-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v>Volume</c:v>
          </c:tx>
          <c:spPr>
            <a:solidFill>
              <a:schemeClr val="accent1">
                <a:lumMod val="20000"/>
                <a:lumOff val="80000"/>
              </a:schemeClr>
            </a:solidFill>
            <a:ln>
              <a:noFill/>
            </a:ln>
            <a:effectLst/>
          </c:spPr>
          <c:invertIfNegative val="0"/>
          <c:cat>
            <c:numRef>
              <c:f>'Stock Data'!$AM$4:$AM$1048</c:f>
              <c:numCache>
                <c:formatCode>m/d/yy;@</c:formatCode>
                <c:ptCount val="1045"/>
                <c:pt idx="0">
                  <c:v>45945</c:v>
                </c:pt>
                <c:pt idx="1">
                  <c:v>45944</c:v>
                </c:pt>
                <c:pt idx="2">
                  <c:v>45943</c:v>
                </c:pt>
                <c:pt idx="3">
                  <c:v>45942</c:v>
                </c:pt>
                <c:pt idx="4">
                  <c:v>45941</c:v>
                </c:pt>
                <c:pt idx="5">
                  <c:v>45940</c:v>
                </c:pt>
                <c:pt idx="6">
                  <c:v>45939</c:v>
                </c:pt>
                <c:pt idx="7">
                  <c:v>45938</c:v>
                </c:pt>
                <c:pt idx="8">
                  <c:v>45937</c:v>
                </c:pt>
                <c:pt idx="9">
                  <c:v>45936</c:v>
                </c:pt>
                <c:pt idx="10">
                  <c:v>45935</c:v>
                </c:pt>
                <c:pt idx="11">
                  <c:v>45934</c:v>
                </c:pt>
                <c:pt idx="12">
                  <c:v>45933</c:v>
                </c:pt>
                <c:pt idx="13">
                  <c:v>45932</c:v>
                </c:pt>
                <c:pt idx="14">
                  <c:v>45931</c:v>
                </c:pt>
                <c:pt idx="15">
                  <c:v>45930</c:v>
                </c:pt>
                <c:pt idx="16">
                  <c:v>45929</c:v>
                </c:pt>
                <c:pt idx="17">
                  <c:v>45928</c:v>
                </c:pt>
                <c:pt idx="18">
                  <c:v>45927</c:v>
                </c:pt>
                <c:pt idx="19">
                  <c:v>45926</c:v>
                </c:pt>
                <c:pt idx="20">
                  <c:v>45925</c:v>
                </c:pt>
                <c:pt idx="21">
                  <c:v>45924</c:v>
                </c:pt>
                <c:pt idx="22">
                  <c:v>45923</c:v>
                </c:pt>
                <c:pt idx="23">
                  <c:v>45922</c:v>
                </c:pt>
                <c:pt idx="24">
                  <c:v>45921</c:v>
                </c:pt>
                <c:pt idx="25">
                  <c:v>45920</c:v>
                </c:pt>
                <c:pt idx="26">
                  <c:v>45919</c:v>
                </c:pt>
                <c:pt idx="27">
                  <c:v>45918</c:v>
                </c:pt>
                <c:pt idx="28">
                  <c:v>45917</c:v>
                </c:pt>
                <c:pt idx="29">
                  <c:v>45916</c:v>
                </c:pt>
                <c:pt idx="30">
                  <c:v>45915</c:v>
                </c:pt>
                <c:pt idx="31">
                  <c:v>45914</c:v>
                </c:pt>
                <c:pt idx="32">
                  <c:v>45913</c:v>
                </c:pt>
                <c:pt idx="33">
                  <c:v>45912</c:v>
                </c:pt>
                <c:pt idx="34">
                  <c:v>45911</c:v>
                </c:pt>
                <c:pt idx="35">
                  <c:v>45910</c:v>
                </c:pt>
                <c:pt idx="36">
                  <c:v>45909</c:v>
                </c:pt>
                <c:pt idx="37">
                  <c:v>45908</c:v>
                </c:pt>
                <c:pt idx="38">
                  <c:v>45907</c:v>
                </c:pt>
                <c:pt idx="39">
                  <c:v>45906</c:v>
                </c:pt>
                <c:pt idx="40">
                  <c:v>45905</c:v>
                </c:pt>
                <c:pt idx="41">
                  <c:v>45904</c:v>
                </c:pt>
                <c:pt idx="42">
                  <c:v>45903</c:v>
                </c:pt>
                <c:pt idx="43">
                  <c:v>45902</c:v>
                </c:pt>
                <c:pt idx="44">
                  <c:v>45901</c:v>
                </c:pt>
                <c:pt idx="45">
                  <c:v>45900</c:v>
                </c:pt>
                <c:pt idx="46">
                  <c:v>45899</c:v>
                </c:pt>
                <c:pt idx="47">
                  <c:v>45898</c:v>
                </c:pt>
                <c:pt idx="48">
                  <c:v>45897</c:v>
                </c:pt>
                <c:pt idx="49">
                  <c:v>45896</c:v>
                </c:pt>
                <c:pt idx="50">
                  <c:v>45895</c:v>
                </c:pt>
                <c:pt idx="51">
                  <c:v>45894</c:v>
                </c:pt>
                <c:pt idx="52">
                  <c:v>45893</c:v>
                </c:pt>
                <c:pt idx="53">
                  <c:v>45892</c:v>
                </c:pt>
                <c:pt idx="54">
                  <c:v>45891</c:v>
                </c:pt>
                <c:pt idx="55">
                  <c:v>45890</c:v>
                </c:pt>
                <c:pt idx="56">
                  <c:v>45889</c:v>
                </c:pt>
                <c:pt idx="57">
                  <c:v>45888</c:v>
                </c:pt>
                <c:pt idx="58">
                  <c:v>45887</c:v>
                </c:pt>
                <c:pt idx="59">
                  <c:v>45886</c:v>
                </c:pt>
                <c:pt idx="60">
                  <c:v>45885</c:v>
                </c:pt>
                <c:pt idx="61">
                  <c:v>45884</c:v>
                </c:pt>
                <c:pt idx="62">
                  <c:v>45883</c:v>
                </c:pt>
                <c:pt idx="63">
                  <c:v>45882</c:v>
                </c:pt>
                <c:pt idx="64">
                  <c:v>45881</c:v>
                </c:pt>
                <c:pt idx="65">
                  <c:v>45880</c:v>
                </c:pt>
                <c:pt idx="66">
                  <c:v>45879</c:v>
                </c:pt>
                <c:pt idx="67">
                  <c:v>45878</c:v>
                </c:pt>
                <c:pt idx="68">
                  <c:v>45877</c:v>
                </c:pt>
                <c:pt idx="69">
                  <c:v>45876</c:v>
                </c:pt>
                <c:pt idx="70">
                  <c:v>45875</c:v>
                </c:pt>
                <c:pt idx="71">
                  <c:v>45874</c:v>
                </c:pt>
                <c:pt idx="72">
                  <c:v>45873</c:v>
                </c:pt>
                <c:pt idx="73">
                  <c:v>45872</c:v>
                </c:pt>
                <c:pt idx="74">
                  <c:v>45871</c:v>
                </c:pt>
                <c:pt idx="75">
                  <c:v>45870</c:v>
                </c:pt>
                <c:pt idx="76">
                  <c:v>45869</c:v>
                </c:pt>
                <c:pt idx="77">
                  <c:v>45868</c:v>
                </c:pt>
                <c:pt idx="78">
                  <c:v>45867</c:v>
                </c:pt>
                <c:pt idx="79">
                  <c:v>45866</c:v>
                </c:pt>
                <c:pt idx="80">
                  <c:v>45865</c:v>
                </c:pt>
                <c:pt idx="81">
                  <c:v>45864</c:v>
                </c:pt>
                <c:pt idx="82">
                  <c:v>45863</c:v>
                </c:pt>
                <c:pt idx="83">
                  <c:v>45862</c:v>
                </c:pt>
                <c:pt idx="84">
                  <c:v>45861</c:v>
                </c:pt>
                <c:pt idx="85">
                  <c:v>45860</c:v>
                </c:pt>
                <c:pt idx="86">
                  <c:v>45859</c:v>
                </c:pt>
                <c:pt idx="87">
                  <c:v>45858</c:v>
                </c:pt>
                <c:pt idx="88">
                  <c:v>45857</c:v>
                </c:pt>
                <c:pt idx="89">
                  <c:v>45856</c:v>
                </c:pt>
                <c:pt idx="90">
                  <c:v>45855</c:v>
                </c:pt>
                <c:pt idx="91">
                  <c:v>45854</c:v>
                </c:pt>
                <c:pt idx="92">
                  <c:v>45853</c:v>
                </c:pt>
                <c:pt idx="93">
                  <c:v>45852</c:v>
                </c:pt>
                <c:pt idx="94">
                  <c:v>45851</c:v>
                </c:pt>
                <c:pt idx="95">
                  <c:v>45850</c:v>
                </c:pt>
                <c:pt idx="96">
                  <c:v>45849</c:v>
                </c:pt>
                <c:pt idx="97">
                  <c:v>45848</c:v>
                </c:pt>
                <c:pt idx="98">
                  <c:v>45847</c:v>
                </c:pt>
                <c:pt idx="99">
                  <c:v>45846</c:v>
                </c:pt>
                <c:pt idx="100">
                  <c:v>45845</c:v>
                </c:pt>
                <c:pt idx="101">
                  <c:v>45844</c:v>
                </c:pt>
                <c:pt idx="102">
                  <c:v>45843</c:v>
                </c:pt>
                <c:pt idx="103">
                  <c:v>45842</c:v>
                </c:pt>
                <c:pt idx="104">
                  <c:v>45841</c:v>
                </c:pt>
                <c:pt idx="105">
                  <c:v>45840</c:v>
                </c:pt>
                <c:pt idx="106">
                  <c:v>45839</c:v>
                </c:pt>
                <c:pt idx="107">
                  <c:v>45838</c:v>
                </c:pt>
                <c:pt idx="108">
                  <c:v>45837</c:v>
                </c:pt>
                <c:pt idx="109">
                  <c:v>45836</c:v>
                </c:pt>
                <c:pt idx="110">
                  <c:v>45835</c:v>
                </c:pt>
                <c:pt idx="111">
                  <c:v>45834</c:v>
                </c:pt>
                <c:pt idx="112">
                  <c:v>45833</c:v>
                </c:pt>
                <c:pt idx="113">
                  <c:v>45832</c:v>
                </c:pt>
                <c:pt idx="114">
                  <c:v>45831</c:v>
                </c:pt>
                <c:pt idx="115">
                  <c:v>45830</c:v>
                </c:pt>
                <c:pt idx="116">
                  <c:v>45829</c:v>
                </c:pt>
                <c:pt idx="117">
                  <c:v>45828</c:v>
                </c:pt>
                <c:pt idx="118">
                  <c:v>45827</c:v>
                </c:pt>
                <c:pt idx="119">
                  <c:v>45826</c:v>
                </c:pt>
                <c:pt idx="120">
                  <c:v>45825</c:v>
                </c:pt>
                <c:pt idx="121">
                  <c:v>45824</c:v>
                </c:pt>
                <c:pt idx="122">
                  <c:v>45823</c:v>
                </c:pt>
                <c:pt idx="123">
                  <c:v>45822</c:v>
                </c:pt>
                <c:pt idx="124">
                  <c:v>45821</c:v>
                </c:pt>
                <c:pt idx="125">
                  <c:v>45820</c:v>
                </c:pt>
                <c:pt idx="126">
                  <c:v>45819</c:v>
                </c:pt>
                <c:pt idx="127">
                  <c:v>45818</c:v>
                </c:pt>
                <c:pt idx="128">
                  <c:v>45817</c:v>
                </c:pt>
                <c:pt idx="129">
                  <c:v>45816</c:v>
                </c:pt>
                <c:pt idx="130">
                  <c:v>45815</c:v>
                </c:pt>
                <c:pt idx="131">
                  <c:v>45814</c:v>
                </c:pt>
                <c:pt idx="132">
                  <c:v>45813</c:v>
                </c:pt>
                <c:pt idx="133">
                  <c:v>45812</c:v>
                </c:pt>
                <c:pt idx="134">
                  <c:v>45811</c:v>
                </c:pt>
                <c:pt idx="135">
                  <c:v>45810</c:v>
                </c:pt>
                <c:pt idx="136">
                  <c:v>45809</c:v>
                </c:pt>
                <c:pt idx="137">
                  <c:v>45808</c:v>
                </c:pt>
                <c:pt idx="138">
                  <c:v>45807</c:v>
                </c:pt>
                <c:pt idx="139">
                  <c:v>45806</c:v>
                </c:pt>
                <c:pt idx="140">
                  <c:v>45805</c:v>
                </c:pt>
                <c:pt idx="141">
                  <c:v>45804</c:v>
                </c:pt>
                <c:pt idx="142">
                  <c:v>45803</c:v>
                </c:pt>
                <c:pt idx="143">
                  <c:v>45802</c:v>
                </c:pt>
                <c:pt idx="144">
                  <c:v>45801</c:v>
                </c:pt>
                <c:pt idx="145">
                  <c:v>45800</c:v>
                </c:pt>
                <c:pt idx="146">
                  <c:v>45799</c:v>
                </c:pt>
                <c:pt idx="147">
                  <c:v>45798</c:v>
                </c:pt>
                <c:pt idx="148">
                  <c:v>45797</c:v>
                </c:pt>
                <c:pt idx="149">
                  <c:v>45796</c:v>
                </c:pt>
                <c:pt idx="150">
                  <c:v>45795</c:v>
                </c:pt>
                <c:pt idx="151">
                  <c:v>45794</c:v>
                </c:pt>
                <c:pt idx="152">
                  <c:v>45793</c:v>
                </c:pt>
                <c:pt idx="153">
                  <c:v>45792</c:v>
                </c:pt>
                <c:pt idx="154">
                  <c:v>45791</c:v>
                </c:pt>
                <c:pt idx="155">
                  <c:v>45790</c:v>
                </c:pt>
                <c:pt idx="156">
                  <c:v>45789</c:v>
                </c:pt>
                <c:pt idx="157">
                  <c:v>45788</c:v>
                </c:pt>
                <c:pt idx="158">
                  <c:v>45787</c:v>
                </c:pt>
                <c:pt idx="159">
                  <c:v>45786</c:v>
                </c:pt>
                <c:pt idx="160">
                  <c:v>45785</c:v>
                </c:pt>
                <c:pt idx="161">
                  <c:v>45784</c:v>
                </c:pt>
                <c:pt idx="162">
                  <c:v>45783</c:v>
                </c:pt>
                <c:pt idx="163">
                  <c:v>45782</c:v>
                </c:pt>
                <c:pt idx="164">
                  <c:v>45781</c:v>
                </c:pt>
                <c:pt idx="165">
                  <c:v>45780</c:v>
                </c:pt>
                <c:pt idx="166">
                  <c:v>45779</c:v>
                </c:pt>
                <c:pt idx="167">
                  <c:v>45778</c:v>
                </c:pt>
                <c:pt idx="168">
                  <c:v>45777</c:v>
                </c:pt>
                <c:pt idx="169">
                  <c:v>45776</c:v>
                </c:pt>
                <c:pt idx="170">
                  <c:v>45775</c:v>
                </c:pt>
                <c:pt idx="171">
                  <c:v>45774</c:v>
                </c:pt>
                <c:pt idx="172">
                  <c:v>45773</c:v>
                </c:pt>
                <c:pt idx="173">
                  <c:v>45772</c:v>
                </c:pt>
                <c:pt idx="174">
                  <c:v>45771</c:v>
                </c:pt>
                <c:pt idx="175">
                  <c:v>45770</c:v>
                </c:pt>
                <c:pt idx="176">
                  <c:v>45769</c:v>
                </c:pt>
                <c:pt idx="177">
                  <c:v>45768</c:v>
                </c:pt>
                <c:pt idx="178">
                  <c:v>45767</c:v>
                </c:pt>
                <c:pt idx="179">
                  <c:v>45766</c:v>
                </c:pt>
                <c:pt idx="180">
                  <c:v>45765</c:v>
                </c:pt>
                <c:pt idx="181">
                  <c:v>45764</c:v>
                </c:pt>
                <c:pt idx="182">
                  <c:v>45763</c:v>
                </c:pt>
                <c:pt idx="183">
                  <c:v>45762</c:v>
                </c:pt>
                <c:pt idx="184">
                  <c:v>45761</c:v>
                </c:pt>
                <c:pt idx="185">
                  <c:v>45760</c:v>
                </c:pt>
                <c:pt idx="186">
                  <c:v>45759</c:v>
                </c:pt>
                <c:pt idx="187">
                  <c:v>45758</c:v>
                </c:pt>
                <c:pt idx="188">
                  <c:v>45757</c:v>
                </c:pt>
                <c:pt idx="189">
                  <c:v>45756</c:v>
                </c:pt>
                <c:pt idx="190">
                  <c:v>45755</c:v>
                </c:pt>
                <c:pt idx="191">
                  <c:v>45754</c:v>
                </c:pt>
                <c:pt idx="192">
                  <c:v>45753</c:v>
                </c:pt>
                <c:pt idx="193">
                  <c:v>45752</c:v>
                </c:pt>
                <c:pt idx="194">
                  <c:v>45751</c:v>
                </c:pt>
                <c:pt idx="195">
                  <c:v>45750</c:v>
                </c:pt>
                <c:pt idx="196">
                  <c:v>45749</c:v>
                </c:pt>
                <c:pt idx="197">
                  <c:v>45748</c:v>
                </c:pt>
                <c:pt idx="198">
                  <c:v>45747</c:v>
                </c:pt>
                <c:pt idx="199">
                  <c:v>45746</c:v>
                </c:pt>
                <c:pt idx="200">
                  <c:v>45745</c:v>
                </c:pt>
                <c:pt idx="201">
                  <c:v>45744</c:v>
                </c:pt>
                <c:pt idx="202">
                  <c:v>45743</c:v>
                </c:pt>
                <c:pt idx="203">
                  <c:v>45742</c:v>
                </c:pt>
                <c:pt idx="204">
                  <c:v>45741</c:v>
                </c:pt>
                <c:pt idx="205">
                  <c:v>45740</c:v>
                </c:pt>
                <c:pt idx="206">
                  <c:v>45739</c:v>
                </c:pt>
                <c:pt idx="207">
                  <c:v>45738</c:v>
                </c:pt>
                <c:pt idx="208">
                  <c:v>45737</c:v>
                </c:pt>
                <c:pt idx="209">
                  <c:v>45736</c:v>
                </c:pt>
                <c:pt idx="210">
                  <c:v>45735</c:v>
                </c:pt>
                <c:pt idx="211">
                  <c:v>45734</c:v>
                </c:pt>
                <c:pt idx="212">
                  <c:v>45733</c:v>
                </c:pt>
                <c:pt idx="213">
                  <c:v>45732</c:v>
                </c:pt>
                <c:pt idx="214">
                  <c:v>45731</c:v>
                </c:pt>
                <c:pt idx="215">
                  <c:v>45730</c:v>
                </c:pt>
                <c:pt idx="216">
                  <c:v>45729</c:v>
                </c:pt>
                <c:pt idx="217">
                  <c:v>45728</c:v>
                </c:pt>
                <c:pt idx="218">
                  <c:v>45727</c:v>
                </c:pt>
                <c:pt idx="219">
                  <c:v>45726</c:v>
                </c:pt>
                <c:pt idx="220">
                  <c:v>45725</c:v>
                </c:pt>
                <c:pt idx="221">
                  <c:v>45724</c:v>
                </c:pt>
                <c:pt idx="222">
                  <c:v>45723</c:v>
                </c:pt>
                <c:pt idx="223">
                  <c:v>45722</c:v>
                </c:pt>
                <c:pt idx="224">
                  <c:v>45721</c:v>
                </c:pt>
                <c:pt idx="225">
                  <c:v>45720</c:v>
                </c:pt>
                <c:pt idx="226">
                  <c:v>45719</c:v>
                </c:pt>
                <c:pt idx="227">
                  <c:v>45718</c:v>
                </c:pt>
                <c:pt idx="228">
                  <c:v>45717</c:v>
                </c:pt>
                <c:pt idx="229">
                  <c:v>45716</c:v>
                </c:pt>
                <c:pt idx="230">
                  <c:v>45715</c:v>
                </c:pt>
                <c:pt idx="231">
                  <c:v>45714</c:v>
                </c:pt>
                <c:pt idx="232">
                  <c:v>45713</c:v>
                </c:pt>
                <c:pt idx="233">
                  <c:v>45712</c:v>
                </c:pt>
                <c:pt idx="234">
                  <c:v>45711</c:v>
                </c:pt>
                <c:pt idx="235">
                  <c:v>45710</c:v>
                </c:pt>
                <c:pt idx="236">
                  <c:v>45709</c:v>
                </c:pt>
                <c:pt idx="237">
                  <c:v>45708</c:v>
                </c:pt>
                <c:pt idx="238">
                  <c:v>45707</c:v>
                </c:pt>
                <c:pt idx="239">
                  <c:v>45706</c:v>
                </c:pt>
                <c:pt idx="240">
                  <c:v>45705</c:v>
                </c:pt>
                <c:pt idx="241">
                  <c:v>45704</c:v>
                </c:pt>
                <c:pt idx="242">
                  <c:v>45703</c:v>
                </c:pt>
                <c:pt idx="243">
                  <c:v>45702</c:v>
                </c:pt>
                <c:pt idx="244">
                  <c:v>45701</c:v>
                </c:pt>
                <c:pt idx="245">
                  <c:v>45700</c:v>
                </c:pt>
                <c:pt idx="246">
                  <c:v>45699</c:v>
                </c:pt>
                <c:pt idx="247">
                  <c:v>45698</c:v>
                </c:pt>
                <c:pt idx="248">
                  <c:v>45697</c:v>
                </c:pt>
                <c:pt idx="249">
                  <c:v>45696</c:v>
                </c:pt>
                <c:pt idx="250">
                  <c:v>45695</c:v>
                </c:pt>
                <c:pt idx="251">
                  <c:v>45694</c:v>
                </c:pt>
                <c:pt idx="252">
                  <c:v>45693</c:v>
                </c:pt>
                <c:pt idx="253">
                  <c:v>45692</c:v>
                </c:pt>
                <c:pt idx="254">
                  <c:v>45691</c:v>
                </c:pt>
                <c:pt idx="255">
                  <c:v>45690</c:v>
                </c:pt>
                <c:pt idx="256">
                  <c:v>45689</c:v>
                </c:pt>
                <c:pt idx="257">
                  <c:v>45688</c:v>
                </c:pt>
                <c:pt idx="258">
                  <c:v>45687</c:v>
                </c:pt>
                <c:pt idx="259">
                  <c:v>45686</c:v>
                </c:pt>
                <c:pt idx="260">
                  <c:v>45685</c:v>
                </c:pt>
                <c:pt idx="261">
                  <c:v>45684</c:v>
                </c:pt>
                <c:pt idx="262">
                  <c:v>45683</c:v>
                </c:pt>
                <c:pt idx="263">
                  <c:v>45682</c:v>
                </c:pt>
                <c:pt idx="264">
                  <c:v>45681</c:v>
                </c:pt>
                <c:pt idx="265">
                  <c:v>45680</c:v>
                </c:pt>
                <c:pt idx="266">
                  <c:v>45679</c:v>
                </c:pt>
                <c:pt idx="267">
                  <c:v>45678</c:v>
                </c:pt>
                <c:pt idx="268">
                  <c:v>45677</c:v>
                </c:pt>
                <c:pt idx="269">
                  <c:v>45676</c:v>
                </c:pt>
                <c:pt idx="270">
                  <c:v>45675</c:v>
                </c:pt>
                <c:pt idx="271">
                  <c:v>45674</c:v>
                </c:pt>
                <c:pt idx="272">
                  <c:v>45673</c:v>
                </c:pt>
                <c:pt idx="273">
                  <c:v>45672</c:v>
                </c:pt>
                <c:pt idx="274">
                  <c:v>45671</c:v>
                </c:pt>
                <c:pt idx="275">
                  <c:v>45670</c:v>
                </c:pt>
                <c:pt idx="276">
                  <c:v>45669</c:v>
                </c:pt>
                <c:pt idx="277">
                  <c:v>45668</c:v>
                </c:pt>
                <c:pt idx="278">
                  <c:v>45667</c:v>
                </c:pt>
                <c:pt idx="279">
                  <c:v>45666</c:v>
                </c:pt>
                <c:pt idx="280">
                  <c:v>45665</c:v>
                </c:pt>
                <c:pt idx="281">
                  <c:v>45664</c:v>
                </c:pt>
                <c:pt idx="282">
                  <c:v>45663</c:v>
                </c:pt>
                <c:pt idx="283">
                  <c:v>45662</c:v>
                </c:pt>
                <c:pt idx="284">
                  <c:v>45661</c:v>
                </c:pt>
                <c:pt idx="285">
                  <c:v>45660</c:v>
                </c:pt>
                <c:pt idx="286">
                  <c:v>45659</c:v>
                </c:pt>
                <c:pt idx="287">
                  <c:v>45658</c:v>
                </c:pt>
                <c:pt idx="288">
                  <c:v>45657</c:v>
                </c:pt>
                <c:pt idx="289">
                  <c:v>45656</c:v>
                </c:pt>
                <c:pt idx="290">
                  <c:v>45655</c:v>
                </c:pt>
                <c:pt idx="291">
                  <c:v>45654</c:v>
                </c:pt>
                <c:pt idx="292">
                  <c:v>45653</c:v>
                </c:pt>
                <c:pt idx="293">
                  <c:v>45652</c:v>
                </c:pt>
                <c:pt idx="294">
                  <c:v>45651</c:v>
                </c:pt>
                <c:pt idx="295">
                  <c:v>45650</c:v>
                </c:pt>
                <c:pt idx="296">
                  <c:v>45649</c:v>
                </c:pt>
                <c:pt idx="297">
                  <c:v>45648</c:v>
                </c:pt>
                <c:pt idx="298">
                  <c:v>45647</c:v>
                </c:pt>
                <c:pt idx="299">
                  <c:v>45646</c:v>
                </c:pt>
                <c:pt idx="300">
                  <c:v>45645</c:v>
                </c:pt>
                <c:pt idx="301">
                  <c:v>45644</c:v>
                </c:pt>
                <c:pt idx="302">
                  <c:v>45643</c:v>
                </c:pt>
                <c:pt idx="303">
                  <c:v>45642</c:v>
                </c:pt>
                <c:pt idx="304">
                  <c:v>45641</c:v>
                </c:pt>
                <c:pt idx="305">
                  <c:v>45640</c:v>
                </c:pt>
                <c:pt idx="306">
                  <c:v>45639</c:v>
                </c:pt>
                <c:pt idx="307">
                  <c:v>45638</c:v>
                </c:pt>
                <c:pt idx="308">
                  <c:v>45637</c:v>
                </c:pt>
                <c:pt idx="309">
                  <c:v>45636</c:v>
                </c:pt>
                <c:pt idx="310">
                  <c:v>45635</c:v>
                </c:pt>
                <c:pt idx="311">
                  <c:v>45634</c:v>
                </c:pt>
                <c:pt idx="312">
                  <c:v>45633</c:v>
                </c:pt>
                <c:pt idx="313">
                  <c:v>45632</c:v>
                </c:pt>
                <c:pt idx="314">
                  <c:v>45631</c:v>
                </c:pt>
                <c:pt idx="315">
                  <c:v>45630</c:v>
                </c:pt>
                <c:pt idx="316">
                  <c:v>45629</c:v>
                </c:pt>
                <c:pt idx="317">
                  <c:v>45628</c:v>
                </c:pt>
                <c:pt idx="318">
                  <c:v>45627</c:v>
                </c:pt>
                <c:pt idx="319">
                  <c:v>45626</c:v>
                </c:pt>
                <c:pt idx="320">
                  <c:v>45625</c:v>
                </c:pt>
                <c:pt idx="321">
                  <c:v>45624</c:v>
                </c:pt>
                <c:pt idx="322">
                  <c:v>45623</c:v>
                </c:pt>
                <c:pt idx="323">
                  <c:v>45622</c:v>
                </c:pt>
                <c:pt idx="324">
                  <c:v>45621</c:v>
                </c:pt>
                <c:pt idx="325">
                  <c:v>45620</c:v>
                </c:pt>
                <c:pt idx="326">
                  <c:v>45619</c:v>
                </c:pt>
                <c:pt idx="327">
                  <c:v>45618</c:v>
                </c:pt>
                <c:pt idx="328">
                  <c:v>45617</c:v>
                </c:pt>
                <c:pt idx="329">
                  <c:v>45616</c:v>
                </c:pt>
                <c:pt idx="330">
                  <c:v>45615</c:v>
                </c:pt>
                <c:pt idx="331">
                  <c:v>45614</c:v>
                </c:pt>
                <c:pt idx="332">
                  <c:v>45613</c:v>
                </c:pt>
                <c:pt idx="333">
                  <c:v>45612</c:v>
                </c:pt>
                <c:pt idx="334">
                  <c:v>45611</c:v>
                </c:pt>
                <c:pt idx="335">
                  <c:v>45610</c:v>
                </c:pt>
                <c:pt idx="336">
                  <c:v>45609</c:v>
                </c:pt>
                <c:pt idx="337">
                  <c:v>45608</c:v>
                </c:pt>
                <c:pt idx="338">
                  <c:v>45607</c:v>
                </c:pt>
                <c:pt idx="339">
                  <c:v>45606</c:v>
                </c:pt>
                <c:pt idx="340">
                  <c:v>45605</c:v>
                </c:pt>
                <c:pt idx="341">
                  <c:v>45604</c:v>
                </c:pt>
                <c:pt idx="342">
                  <c:v>45603</c:v>
                </c:pt>
                <c:pt idx="343">
                  <c:v>45602</c:v>
                </c:pt>
                <c:pt idx="344">
                  <c:v>45601</c:v>
                </c:pt>
                <c:pt idx="345">
                  <c:v>45600</c:v>
                </c:pt>
                <c:pt idx="346">
                  <c:v>45599</c:v>
                </c:pt>
                <c:pt idx="347">
                  <c:v>45598</c:v>
                </c:pt>
                <c:pt idx="348">
                  <c:v>45597</c:v>
                </c:pt>
                <c:pt idx="349">
                  <c:v>45596</c:v>
                </c:pt>
                <c:pt idx="350">
                  <c:v>45595</c:v>
                </c:pt>
                <c:pt idx="351">
                  <c:v>45594</c:v>
                </c:pt>
                <c:pt idx="352">
                  <c:v>45593</c:v>
                </c:pt>
                <c:pt idx="353">
                  <c:v>45592</c:v>
                </c:pt>
                <c:pt idx="354">
                  <c:v>45591</c:v>
                </c:pt>
                <c:pt idx="355">
                  <c:v>45590</c:v>
                </c:pt>
                <c:pt idx="356">
                  <c:v>45589</c:v>
                </c:pt>
                <c:pt idx="357">
                  <c:v>45588</c:v>
                </c:pt>
                <c:pt idx="358">
                  <c:v>45587</c:v>
                </c:pt>
                <c:pt idx="359">
                  <c:v>45586</c:v>
                </c:pt>
                <c:pt idx="360">
                  <c:v>45585</c:v>
                </c:pt>
                <c:pt idx="361">
                  <c:v>45584</c:v>
                </c:pt>
                <c:pt idx="362">
                  <c:v>45583</c:v>
                </c:pt>
                <c:pt idx="363">
                  <c:v>45582</c:v>
                </c:pt>
                <c:pt idx="364">
                  <c:v>45581</c:v>
                </c:pt>
                <c:pt idx="365">
                  <c:v>45580</c:v>
                </c:pt>
                <c:pt idx="366">
                  <c:v>45579</c:v>
                </c:pt>
                <c:pt idx="367">
                  <c:v>45578</c:v>
                </c:pt>
                <c:pt idx="368">
                  <c:v>45577</c:v>
                </c:pt>
                <c:pt idx="369">
                  <c:v>45576</c:v>
                </c:pt>
                <c:pt idx="370">
                  <c:v>45575</c:v>
                </c:pt>
                <c:pt idx="371">
                  <c:v>45574</c:v>
                </c:pt>
                <c:pt idx="372">
                  <c:v>45573</c:v>
                </c:pt>
                <c:pt idx="373">
                  <c:v>45572</c:v>
                </c:pt>
                <c:pt idx="374">
                  <c:v>45571</c:v>
                </c:pt>
                <c:pt idx="375">
                  <c:v>45570</c:v>
                </c:pt>
                <c:pt idx="376">
                  <c:v>45569</c:v>
                </c:pt>
                <c:pt idx="377">
                  <c:v>45568</c:v>
                </c:pt>
                <c:pt idx="378">
                  <c:v>45567</c:v>
                </c:pt>
                <c:pt idx="379">
                  <c:v>45566</c:v>
                </c:pt>
                <c:pt idx="380">
                  <c:v>45565</c:v>
                </c:pt>
                <c:pt idx="381">
                  <c:v>45564</c:v>
                </c:pt>
                <c:pt idx="382">
                  <c:v>45563</c:v>
                </c:pt>
                <c:pt idx="383">
                  <c:v>45562</c:v>
                </c:pt>
                <c:pt idx="384">
                  <c:v>45561</c:v>
                </c:pt>
                <c:pt idx="385">
                  <c:v>45560</c:v>
                </c:pt>
                <c:pt idx="386">
                  <c:v>45559</c:v>
                </c:pt>
                <c:pt idx="387">
                  <c:v>45558</c:v>
                </c:pt>
                <c:pt idx="388">
                  <c:v>45557</c:v>
                </c:pt>
                <c:pt idx="389">
                  <c:v>45556</c:v>
                </c:pt>
                <c:pt idx="390">
                  <c:v>45555</c:v>
                </c:pt>
                <c:pt idx="391">
                  <c:v>45554</c:v>
                </c:pt>
                <c:pt idx="392">
                  <c:v>45553</c:v>
                </c:pt>
                <c:pt idx="393">
                  <c:v>45552</c:v>
                </c:pt>
                <c:pt idx="394">
                  <c:v>45551</c:v>
                </c:pt>
                <c:pt idx="395">
                  <c:v>45550</c:v>
                </c:pt>
                <c:pt idx="396">
                  <c:v>45549</c:v>
                </c:pt>
                <c:pt idx="397">
                  <c:v>45548</c:v>
                </c:pt>
                <c:pt idx="398">
                  <c:v>45547</c:v>
                </c:pt>
                <c:pt idx="399">
                  <c:v>45546</c:v>
                </c:pt>
                <c:pt idx="400">
                  <c:v>45545</c:v>
                </c:pt>
                <c:pt idx="401">
                  <c:v>45544</c:v>
                </c:pt>
                <c:pt idx="402">
                  <c:v>45543</c:v>
                </c:pt>
                <c:pt idx="403">
                  <c:v>45542</c:v>
                </c:pt>
                <c:pt idx="404">
                  <c:v>45541</c:v>
                </c:pt>
                <c:pt idx="405">
                  <c:v>45540</c:v>
                </c:pt>
                <c:pt idx="406">
                  <c:v>45539</c:v>
                </c:pt>
                <c:pt idx="407">
                  <c:v>45538</c:v>
                </c:pt>
                <c:pt idx="408">
                  <c:v>45537</c:v>
                </c:pt>
                <c:pt idx="409">
                  <c:v>45536</c:v>
                </c:pt>
                <c:pt idx="410">
                  <c:v>45535</c:v>
                </c:pt>
                <c:pt idx="411">
                  <c:v>45534</c:v>
                </c:pt>
                <c:pt idx="412">
                  <c:v>45533</c:v>
                </c:pt>
                <c:pt idx="413">
                  <c:v>45532</c:v>
                </c:pt>
                <c:pt idx="414">
                  <c:v>45531</c:v>
                </c:pt>
                <c:pt idx="415">
                  <c:v>45530</c:v>
                </c:pt>
                <c:pt idx="416">
                  <c:v>45529</c:v>
                </c:pt>
                <c:pt idx="417">
                  <c:v>45528</c:v>
                </c:pt>
                <c:pt idx="418">
                  <c:v>45527</c:v>
                </c:pt>
                <c:pt idx="419">
                  <c:v>45526</c:v>
                </c:pt>
                <c:pt idx="420">
                  <c:v>45525</c:v>
                </c:pt>
                <c:pt idx="421">
                  <c:v>45524</c:v>
                </c:pt>
                <c:pt idx="422">
                  <c:v>45523</c:v>
                </c:pt>
                <c:pt idx="423">
                  <c:v>45522</c:v>
                </c:pt>
                <c:pt idx="424">
                  <c:v>45521</c:v>
                </c:pt>
                <c:pt idx="425">
                  <c:v>45520</c:v>
                </c:pt>
                <c:pt idx="426">
                  <c:v>45519</c:v>
                </c:pt>
                <c:pt idx="427">
                  <c:v>45518</c:v>
                </c:pt>
                <c:pt idx="428">
                  <c:v>45517</c:v>
                </c:pt>
                <c:pt idx="429">
                  <c:v>45516</c:v>
                </c:pt>
                <c:pt idx="430">
                  <c:v>45515</c:v>
                </c:pt>
                <c:pt idx="431">
                  <c:v>45514</c:v>
                </c:pt>
                <c:pt idx="432">
                  <c:v>45513</c:v>
                </c:pt>
                <c:pt idx="433">
                  <c:v>45512</c:v>
                </c:pt>
                <c:pt idx="434">
                  <c:v>45511</c:v>
                </c:pt>
                <c:pt idx="435">
                  <c:v>45510</c:v>
                </c:pt>
                <c:pt idx="436">
                  <c:v>45509</c:v>
                </c:pt>
                <c:pt idx="437">
                  <c:v>45508</c:v>
                </c:pt>
                <c:pt idx="438">
                  <c:v>45507</c:v>
                </c:pt>
                <c:pt idx="439">
                  <c:v>45506</c:v>
                </c:pt>
                <c:pt idx="440">
                  <c:v>45505</c:v>
                </c:pt>
                <c:pt idx="441">
                  <c:v>45504</c:v>
                </c:pt>
                <c:pt idx="442">
                  <c:v>45503</c:v>
                </c:pt>
                <c:pt idx="443">
                  <c:v>45502</c:v>
                </c:pt>
                <c:pt idx="444">
                  <c:v>45501</c:v>
                </c:pt>
                <c:pt idx="445">
                  <c:v>45500</c:v>
                </c:pt>
                <c:pt idx="446">
                  <c:v>45499</c:v>
                </c:pt>
                <c:pt idx="447">
                  <c:v>45498</c:v>
                </c:pt>
                <c:pt idx="448">
                  <c:v>45497</c:v>
                </c:pt>
                <c:pt idx="449">
                  <c:v>45496</c:v>
                </c:pt>
                <c:pt idx="450">
                  <c:v>45495</c:v>
                </c:pt>
                <c:pt idx="451">
                  <c:v>45494</c:v>
                </c:pt>
                <c:pt idx="452">
                  <c:v>45493</c:v>
                </c:pt>
                <c:pt idx="453">
                  <c:v>45492</c:v>
                </c:pt>
                <c:pt idx="454">
                  <c:v>45491</c:v>
                </c:pt>
                <c:pt idx="455">
                  <c:v>45490</c:v>
                </c:pt>
                <c:pt idx="456">
                  <c:v>45489</c:v>
                </c:pt>
                <c:pt idx="457">
                  <c:v>45488</c:v>
                </c:pt>
                <c:pt idx="458">
                  <c:v>45487</c:v>
                </c:pt>
                <c:pt idx="459">
                  <c:v>45486</c:v>
                </c:pt>
                <c:pt idx="460">
                  <c:v>45485</c:v>
                </c:pt>
                <c:pt idx="461">
                  <c:v>45484</c:v>
                </c:pt>
                <c:pt idx="462">
                  <c:v>45483</c:v>
                </c:pt>
                <c:pt idx="463">
                  <c:v>45482</c:v>
                </c:pt>
                <c:pt idx="464">
                  <c:v>45481</c:v>
                </c:pt>
                <c:pt idx="465">
                  <c:v>45480</c:v>
                </c:pt>
                <c:pt idx="466">
                  <c:v>45479</c:v>
                </c:pt>
                <c:pt idx="467">
                  <c:v>45478</c:v>
                </c:pt>
                <c:pt idx="468">
                  <c:v>45477</c:v>
                </c:pt>
                <c:pt idx="469">
                  <c:v>45476</c:v>
                </c:pt>
                <c:pt idx="470">
                  <c:v>45475</c:v>
                </c:pt>
                <c:pt idx="471">
                  <c:v>45474</c:v>
                </c:pt>
                <c:pt idx="472">
                  <c:v>45473</c:v>
                </c:pt>
                <c:pt idx="473">
                  <c:v>45472</c:v>
                </c:pt>
                <c:pt idx="474">
                  <c:v>45471</c:v>
                </c:pt>
                <c:pt idx="475">
                  <c:v>45470</c:v>
                </c:pt>
                <c:pt idx="476">
                  <c:v>45469</c:v>
                </c:pt>
                <c:pt idx="477">
                  <c:v>45468</c:v>
                </c:pt>
                <c:pt idx="478">
                  <c:v>45467</c:v>
                </c:pt>
                <c:pt idx="479">
                  <c:v>45466</c:v>
                </c:pt>
                <c:pt idx="480">
                  <c:v>45465</c:v>
                </c:pt>
                <c:pt idx="481">
                  <c:v>45464</c:v>
                </c:pt>
                <c:pt idx="482">
                  <c:v>45463</c:v>
                </c:pt>
                <c:pt idx="483">
                  <c:v>45462</c:v>
                </c:pt>
                <c:pt idx="484">
                  <c:v>45461</c:v>
                </c:pt>
                <c:pt idx="485">
                  <c:v>45460</c:v>
                </c:pt>
                <c:pt idx="486">
                  <c:v>45459</c:v>
                </c:pt>
                <c:pt idx="487">
                  <c:v>45458</c:v>
                </c:pt>
                <c:pt idx="488">
                  <c:v>45457</c:v>
                </c:pt>
                <c:pt idx="489">
                  <c:v>45456</c:v>
                </c:pt>
                <c:pt idx="490">
                  <c:v>45455</c:v>
                </c:pt>
                <c:pt idx="491">
                  <c:v>45454</c:v>
                </c:pt>
                <c:pt idx="492">
                  <c:v>45453</c:v>
                </c:pt>
                <c:pt idx="493">
                  <c:v>45452</c:v>
                </c:pt>
                <c:pt idx="494">
                  <c:v>45451</c:v>
                </c:pt>
                <c:pt idx="495">
                  <c:v>45450</c:v>
                </c:pt>
                <c:pt idx="496">
                  <c:v>45449</c:v>
                </c:pt>
                <c:pt idx="497">
                  <c:v>45448</c:v>
                </c:pt>
                <c:pt idx="498">
                  <c:v>45447</c:v>
                </c:pt>
                <c:pt idx="499">
                  <c:v>45446</c:v>
                </c:pt>
                <c:pt idx="500">
                  <c:v>45445</c:v>
                </c:pt>
                <c:pt idx="501">
                  <c:v>45444</c:v>
                </c:pt>
                <c:pt idx="502">
                  <c:v>45443</c:v>
                </c:pt>
                <c:pt idx="503">
                  <c:v>45442</c:v>
                </c:pt>
                <c:pt idx="504">
                  <c:v>45441</c:v>
                </c:pt>
                <c:pt idx="505">
                  <c:v>45440</c:v>
                </c:pt>
                <c:pt idx="506">
                  <c:v>45439</c:v>
                </c:pt>
                <c:pt idx="507">
                  <c:v>45438</c:v>
                </c:pt>
                <c:pt idx="508">
                  <c:v>45437</c:v>
                </c:pt>
                <c:pt idx="509">
                  <c:v>45436</c:v>
                </c:pt>
                <c:pt idx="510">
                  <c:v>45435</c:v>
                </c:pt>
                <c:pt idx="511">
                  <c:v>45434</c:v>
                </c:pt>
                <c:pt idx="512">
                  <c:v>45433</c:v>
                </c:pt>
                <c:pt idx="513">
                  <c:v>45432</c:v>
                </c:pt>
                <c:pt idx="514">
                  <c:v>45431</c:v>
                </c:pt>
                <c:pt idx="515">
                  <c:v>45430</c:v>
                </c:pt>
                <c:pt idx="516">
                  <c:v>45429</c:v>
                </c:pt>
                <c:pt idx="517">
                  <c:v>45428</c:v>
                </c:pt>
                <c:pt idx="518">
                  <c:v>45427</c:v>
                </c:pt>
                <c:pt idx="519">
                  <c:v>45426</c:v>
                </c:pt>
                <c:pt idx="520">
                  <c:v>45425</c:v>
                </c:pt>
                <c:pt idx="521">
                  <c:v>45424</c:v>
                </c:pt>
                <c:pt idx="522">
                  <c:v>45423</c:v>
                </c:pt>
                <c:pt idx="523">
                  <c:v>45422</c:v>
                </c:pt>
                <c:pt idx="524">
                  <c:v>45421</c:v>
                </c:pt>
                <c:pt idx="525">
                  <c:v>45420</c:v>
                </c:pt>
                <c:pt idx="526">
                  <c:v>45419</c:v>
                </c:pt>
                <c:pt idx="527">
                  <c:v>45418</c:v>
                </c:pt>
                <c:pt idx="528">
                  <c:v>45417</c:v>
                </c:pt>
                <c:pt idx="529">
                  <c:v>45416</c:v>
                </c:pt>
                <c:pt idx="530">
                  <c:v>45415</c:v>
                </c:pt>
                <c:pt idx="531">
                  <c:v>45414</c:v>
                </c:pt>
                <c:pt idx="532">
                  <c:v>45413</c:v>
                </c:pt>
                <c:pt idx="533">
                  <c:v>45412</c:v>
                </c:pt>
                <c:pt idx="534">
                  <c:v>45411</c:v>
                </c:pt>
                <c:pt idx="535">
                  <c:v>45410</c:v>
                </c:pt>
                <c:pt idx="536">
                  <c:v>45409</c:v>
                </c:pt>
                <c:pt idx="537">
                  <c:v>45408</c:v>
                </c:pt>
                <c:pt idx="538">
                  <c:v>45407</c:v>
                </c:pt>
                <c:pt idx="539">
                  <c:v>45406</c:v>
                </c:pt>
                <c:pt idx="540">
                  <c:v>45405</c:v>
                </c:pt>
                <c:pt idx="541">
                  <c:v>45404</c:v>
                </c:pt>
                <c:pt idx="542">
                  <c:v>45403</c:v>
                </c:pt>
                <c:pt idx="543">
                  <c:v>45402</c:v>
                </c:pt>
                <c:pt idx="544">
                  <c:v>45401</c:v>
                </c:pt>
                <c:pt idx="545">
                  <c:v>45400</c:v>
                </c:pt>
                <c:pt idx="546">
                  <c:v>45399</c:v>
                </c:pt>
                <c:pt idx="547">
                  <c:v>45398</c:v>
                </c:pt>
                <c:pt idx="548">
                  <c:v>45397</c:v>
                </c:pt>
                <c:pt idx="549">
                  <c:v>45396</c:v>
                </c:pt>
                <c:pt idx="550">
                  <c:v>45395</c:v>
                </c:pt>
                <c:pt idx="551">
                  <c:v>45394</c:v>
                </c:pt>
                <c:pt idx="552">
                  <c:v>45393</c:v>
                </c:pt>
                <c:pt idx="553">
                  <c:v>45392</c:v>
                </c:pt>
                <c:pt idx="554">
                  <c:v>45391</c:v>
                </c:pt>
                <c:pt idx="555">
                  <c:v>45390</c:v>
                </c:pt>
                <c:pt idx="556">
                  <c:v>45389</c:v>
                </c:pt>
                <c:pt idx="557">
                  <c:v>45388</c:v>
                </c:pt>
                <c:pt idx="558">
                  <c:v>45387</c:v>
                </c:pt>
                <c:pt idx="559">
                  <c:v>45386</c:v>
                </c:pt>
                <c:pt idx="560">
                  <c:v>45385</c:v>
                </c:pt>
                <c:pt idx="561">
                  <c:v>45384</c:v>
                </c:pt>
                <c:pt idx="562">
                  <c:v>45383</c:v>
                </c:pt>
                <c:pt idx="563">
                  <c:v>45382</c:v>
                </c:pt>
                <c:pt idx="564">
                  <c:v>45381</c:v>
                </c:pt>
                <c:pt idx="565">
                  <c:v>45380</c:v>
                </c:pt>
                <c:pt idx="566">
                  <c:v>45379</c:v>
                </c:pt>
                <c:pt idx="567">
                  <c:v>45378</c:v>
                </c:pt>
                <c:pt idx="568">
                  <c:v>45377</c:v>
                </c:pt>
                <c:pt idx="569">
                  <c:v>45376</c:v>
                </c:pt>
                <c:pt idx="570">
                  <c:v>45375</c:v>
                </c:pt>
                <c:pt idx="571">
                  <c:v>45374</c:v>
                </c:pt>
                <c:pt idx="572">
                  <c:v>45373</c:v>
                </c:pt>
                <c:pt idx="573">
                  <c:v>45372</c:v>
                </c:pt>
                <c:pt idx="574">
                  <c:v>45371</c:v>
                </c:pt>
                <c:pt idx="575">
                  <c:v>45370</c:v>
                </c:pt>
                <c:pt idx="576">
                  <c:v>45369</c:v>
                </c:pt>
                <c:pt idx="577">
                  <c:v>45368</c:v>
                </c:pt>
                <c:pt idx="578">
                  <c:v>45367</c:v>
                </c:pt>
                <c:pt idx="579">
                  <c:v>45366</c:v>
                </c:pt>
                <c:pt idx="580">
                  <c:v>45365</c:v>
                </c:pt>
                <c:pt idx="581">
                  <c:v>45364</c:v>
                </c:pt>
                <c:pt idx="582">
                  <c:v>45363</c:v>
                </c:pt>
                <c:pt idx="583">
                  <c:v>45362</c:v>
                </c:pt>
                <c:pt idx="584">
                  <c:v>45361</c:v>
                </c:pt>
                <c:pt idx="585">
                  <c:v>45360</c:v>
                </c:pt>
                <c:pt idx="586">
                  <c:v>45359</c:v>
                </c:pt>
                <c:pt idx="587">
                  <c:v>45358</c:v>
                </c:pt>
                <c:pt idx="588">
                  <c:v>45357</c:v>
                </c:pt>
                <c:pt idx="589">
                  <c:v>45356</c:v>
                </c:pt>
                <c:pt idx="590">
                  <c:v>45355</c:v>
                </c:pt>
                <c:pt idx="591">
                  <c:v>45354</c:v>
                </c:pt>
                <c:pt idx="592">
                  <c:v>45353</c:v>
                </c:pt>
                <c:pt idx="593">
                  <c:v>45352</c:v>
                </c:pt>
                <c:pt idx="594">
                  <c:v>45351</c:v>
                </c:pt>
                <c:pt idx="595">
                  <c:v>45350</c:v>
                </c:pt>
                <c:pt idx="596">
                  <c:v>45349</c:v>
                </c:pt>
                <c:pt idx="597">
                  <c:v>45348</c:v>
                </c:pt>
                <c:pt idx="598">
                  <c:v>45347</c:v>
                </c:pt>
                <c:pt idx="599">
                  <c:v>45346</c:v>
                </c:pt>
                <c:pt idx="600">
                  <c:v>45345</c:v>
                </c:pt>
                <c:pt idx="601">
                  <c:v>45344</c:v>
                </c:pt>
                <c:pt idx="602">
                  <c:v>45343</c:v>
                </c:pt>
                <c:pt idx="603">
                  <c:v>45342</c:v>
                </c:pt>
                <c:pt idx="604">
                  <c:v>45341</c:v>
                </c:pt>
                <c:pt idx="605">
                  <c:v>45340</c:v>
                </c:pt>
                <c:pt idx="606">
                  <c:v>45339</c:v>
                </c:pt>
                <c:pt idx="607">
                  <c:v>45338</c:v>
                </c:pt>
                <c:pt idx="608">
                  <c:v>45337</c:v>
                </c:pt>
                <c:pt idx="609">
                  <c:v>45336</c:v>
                </c:pt>
                <c:pt idx="610">
                  <c:v>45335</c:v>
                </c:pt>
                <c:pt idx="611">
                  <c:v>45334</c:v>
                </c:pt>
                <c:pt idx="612">
                  <c:v>45333</c:v>
                </c:pt>
                <c:pt idx="613">
                  <c:v>45332</c:v>
                </c:pt>
                <c:pt idx="614">
                  <c:v>45331</c:v>
                </c:pt>
                <c:pt idx="615">
                  <c:v>45330</c:v>
                </c:pt>
                <c:pt idx="616">
                  <c:v>45329</c:v>
                </c:pt>
                <c:pt idx="617">
                  <c:v>45328</c:v>
                </c:pt>
                <c:pt idx="618">
                  <c:v>45327</c:v>
                </c:pt>
                <c:pt idx="619">
                  <c:v>45326</c:v>
                </c:pt>
                <c:pt idx="620">
                  <c:v>45325</c:v>
                </c:pt>
                <c:pt idx="621">
                  <c:v>45324</c:v>
                </c:pt>
                <c:pt idx="622">
                  <c:v>45323</c:v>
                </c:pt>
                <c:pt idx="623">
                  <c:v>45322</c:v>
                </c:pt>
                <c:pt idx="624">
                  <c:v>45321</c:v>
                </c:pt>
                <c:pt idx="625">
                  <c:v>45320</c:v>
                </c:pt>
                <c:pt idx="626">
                  <c:v>45319</c:v>
                </c:pt>
                <c:pt idx="627">
                  <c:v>45318</c:v>
                </c:pt>
                <c:pt idx="628">
                  <c:v>45317</c:v>
                </c:pt>
                <c:pt idx="629">
                  <c:v>45316</c:v>
                </c:pt>
                <c:pt idx="630">
                  <c:v>45315</c:v>
                </c:pt>
                <c:pt idx="631">
                  <c:v>45314</c:v>
                </c:pt>
                <c:pt idx="632">
                  <c:v>45313</c:v>
                </c:pt>
                <c:pt idx="633">
                  <c:v>45312</c:v>
                </c:pt>
                <c:pt idx="634">
                  <c:v>45311</c:v>
                </c:pt>
                <c:pt idx="635">
                  <c:v>45310</c:v>
                </c:pt>
                <c:pt idx="636">
                  <c:v>45309</c:v>
                </c:pt>
                <c:pt idx="637">
                  <c:v>45308</c:v>
                </c:pt>
                <c:pt idx="638">
                  <c:v>45307</c:v>
                </c:pt>
                <c:pt idx="639">
                  <c:v>45306</c:v>
                </c:pt>
                <c:pt idx="640">
                  <c:v>45305</c:v>
                </c:pt>
                <c:pt idx="641">
                  <c:v>45304</c:v>
                </c:pt>
                <c:pt idx="642">
                  <c:v>45303</c:v>
                </c:pt>
                <c:pt idx="643">
                  <c:v>45302</c:v>
                </c:pt>
                <c:pt idx="644">
                  <c:v>45301</c:v>
                </c:pt>
                <c:pt idx="645">
                  <c:v>45300</c:v>
                </c:pt>
                <c:pt idx="646">
                  <c:v>45299</c:v>
                </c:pt>
                <c:pt idx="647">
                  <c:v>45298</c:v>
                </c:pt>
                <c:pt idx="648">
                  <c:v>45297</c:v>
                </c:pt>
                <c:pt idx="649">
                  <c:v>45296</c:v>
                </c:pt>
                <c:pt idx="650">
                  <c:v>45295</c:v>
                </c:pt>
                <c:pt idx="651">
                  <c:v>45294</c:v>
                </c:pt>
                <c:pt idx="652">
                  <c:v>45293</c:v>
                </c:pt>
                <c:pt idx="653">
                  <c:v>45292</c:v>
                </c:pt>
                <c:pt idx="654">
                  <c:v>45291</c:v>
                </c:pt>
                <c:pt idx="655">
                  <c:v>45290</c:v>
                </c:pt>
                <c:pt idx="656">
                  <c:v>45289</c:v>
                </c:pt>
                <c:pt idx="657">
                  <c:v>45288</c:v>
                </c:pt>
                <c:pt idx="658">
                  <c:v>45287</c:v>
                </c:pt>
                <c:pt idx="659">
                  <c:v>45286</c:v>
                </c:pt>
                <c:pt idx="660">
                  <c:v>45285</c:v>
                </c:pt>
                <c:pt idx="661">
                  <c:v>45284</c:v>
                </c:pt>
                <c:pt idx="662">
                  <c:v>45283</c:v>
                </c:pt>
                <c:pt idx="663">
                  <c:v>45282</c:v>
                </c:pt>
                <c:pt idx="664">
                  <c:v>45281</c:v>
                </c:pt>
                <c:pt idx="665">
                  <c:v>45280</c:v>
                </c:pt>
                <c:pt idx="666">
                  <c:v>45279</c:v>
                </c:pt>
                <c:pt idx="667">
                  <c:v>45278</c:v>
                </c:pt>
                <c:pt idx="668">
                  <c:v>45277</c:v>
                </c:pt>
                <c:pt idx="669">
                  <c:v>45276</c:v>
                </c:pt>
                <c:pt idx="670">
                  <c:v>45275</c:v>
                </c:pt>
                <c:pt idx="671">
                  <c:v>45274</c:v>
                </c:pt>
                <c:pt idx="672">
                  <c:v>45273</c:v>
                </c:pt>
                <c:pt idx="673">
                  <c:v>45272</c:v>
                </c:pt>
                <c:pt idx="674">
                  <c:v>45271</c:v>
                </c:pt>
                <c:pt idx="675">
                  <c:v>45270</c:v>
                </c:pt>
                <c:pt idx="676">
                  <c:v>45269</c:v>
                </c:pt>
                <c:pt idx="677">
                  <c:v>45268</c:v>
                </c:pt>
                <c:pt idx="678">
                  <c:v>45267</c:v>
                </c:pt>
                <c:pt idx="679">
                  <c:v>45266</c:v>
                </c:pt>
                <c:pt idx="680">
                  <c:v>45265</c:v>
                </c:pt>
                <c:pt idx="681">
                  <c:v>45264</c:v>
                </c:pt>
                <c:pt idx="682">
                  <c:v>45263</c:v>
                </c:pt>
                <c:pt idx="683">
                  <c:v>45262</c:v>
                </c:pt>
                <c:pt idx="684">
                  <c:v>45261</c:v>
                </c:pt>
                <c:pt idx="685">
                  <c:v>45260</c:v>
                </c:pt>
                <c:pt idx="686">
                  <c:v>45259</c:v>
                </c:pt>
                <c:pt idx="687">
                  <c:v>45258</c:v>
                </c:pt>
                <c:pt idx="688">
                  <c:v>45257</c:v>
                </c:pt>
                <c:pt idx="689">
                  <c:v>45256</c:v>
                </c:pt>
                <c:pt idx="690">
                  <c:v>45255</c:v>
                </c:pt>
                <c:pt idx="691">
                  <c:v>45254</c:v>
                </c:pt>
                <c:pt idx="692">
                  <c:v>45253</c:v>
                </c:pt>
                <c:pt idx="693">
                  <c:v>45252</c:v>
                </c:pt>
                <c:pt idx="694">
                  <c:v>45251</c:v>
                </c:pt>
                <c:pt idx="695">
                  <c:v>45250</c:v>
                </c:pt>
                <c:pt idx="696">
                  <c:v>45249</c:v>
                </c:pt>
                <c:pt idx="697">
                  <c:v>45248</c:v>
                </c:pt>
                <c:pt idx="698">
                  <c:v>45247</c:v>
                </c:pt>
                <c:pt idx="699">
                  <c:v>45246</c:v>
                </c:pt>
                <c:pt idx="700">
                  <c:v>45245</c:v>
                </c:pt>
                <c:pt idx="701">
                  <c:v>45244</c:v>
                </c:pt>
                <c:pt idx="702">
                  <c:v>45243</c:v>
                </c:pt>
                <c:pt idx="703">
                  <c:v>45242</c:v>
                </c:pt>
                <c:pt idx="704">
                  <c:v>45241</c:v>
                </c:pt>
                <c:pt idx="705">
                  <c:v>45240</c:v>
                </c:pt>
                <c:pt idx="706">
                  <c:v>45239</c:v>
                </c:pt>
                <c:pt idx="707">
                  <c:v>45238</c:v>
                </c:pt>
                <c:pt idx="708">
                  <c:v>45237</c:v>
                </c:pt>
                <c:pt idx="709">
                  <c:v>45236</c:v>
                </c:pt>
                <c:pt idx="710">
                  <c:v>45235</c:v>
                </c:pt>
                <c:pt idx="711">
                  <c:v>45234</c:v>
                </c:pt>
                <c:pt idx="712">
                  <c:v>45233</c:v>
                </c:pt>
                <c:pt idx="713">
                  <c:v>45232</c:v>
                </c:pt>
                <c:pt idx="714">
                  <c:v>45231</c:v>
                </c:pt>
                <c:pt idx="715">
                  <c:v>45230</c:v>
                </c:pt>
                <c:pt idx="716">
                  <c:v>45229</c:v>
                </c:pt>
                <c:pt idx="717">
                  <c:v>45228</c:v>
                </c:pt>
                <c:pt idx="718">
                  <c:v>45227</c:v>
                </c:pt>
                <c:pt idx="719">
                  <c:v>45226</c:v>
                </c:pt>
                <c:pt idx="720">
                  <c:v>45225</c:v>
                </c:pt>
                <c:pt idx="721">
                  <c:v>45224</c:v>
                </c:pt>
                <c:pt idx="722">
                  <c:v>45223</c:v>
                </c:pt>
                <c:pt idx="723">
                  <c:v>45222</c:v>
                </c:pt>
                <c:pt idx="724">
                  <c:v>45221</c:v>
                </c:pt>
                <c:pt idx="725">
                  <c:v>45220</c:v>
                </c:pt>
                <c:pt idx="726">
                  <c:v>45219</c:v>
                </c:pt>
                <c:pt idx="727">
                  <c:v>45218</c:v>
                </c:pt>
                <c:pt idx="728">
                  <c:v>45217</c:v>
                </c:pt>
                <c:pt idx="729">
                  <c:v>45216</c:v>
                </c:pt>
                <c:pt idx="730">
                  <c:v>45215</c:v>
                </c:pt>
                <c:pt idx="731">
                  <c:v>45214</c:v>
                </c:pt>
                <c:pt idx="732">
                  <c:v>45213</c:v>
                </c:pt>
                <c:pt idx="733">
                  <c:v>45212</c:v>
                </c:pt>
                <c:pt idx="734">
                  <c:v>45211</c:v>
                </c:pt>
                <c:pt idx="735">
                  <c:v>45210</c:v>
                </c:pt>
                <c:pt idx="736">
                  <c:v>45209</c:v>
                </c:pt>
                <c:pt idx="737">
                  <c:v>45208</c:v>
                </c:pt>
                <c:pt idx="738">
                  <c:v>45207</c:v>
                </c:pt>
                <c:pt idx="739">
                  <c:v>45206</c:v>
                </c:pt>
                <c:pt idx="740">
                  <c:v>45205</c:v>
                </c:pt>
                <c:pt idx="741">
                  <c:v>45204</c:v>
                </c:pt>
                <c:pt idx="742">
                  <c:v>45203</c:v>
                </c:pt>
                <c:pt idx="743">
                  <c:v>45202</c:v>
                </c:pt>
                <c:pt idx="744">
                  <c:v>45201</c:v>
                </c:pt>
                <c:pt idx="745">
                  <c:v>45200</c:v>
                </c:pt>
                <c:pt idx="746">
                  <c:v>45199</c:v>
                </c:pt>
                <c:pt idx="747">
                  <c:v>45198</c:v>
                </c:pt>
                <c:pt idx="748">
                  <c:v>45197</c:v>
                </c:pt>
                <c:pt idx="749">
                  <c:v>45196</c:v>
                </c:pt>
                <c:pt idx="750">
                  <c:v>45195</c:v>
                </c:pt>
                <c:pt idx="751">
                  <c:v>45194</c:v>
                </c:pt>
                <c:pt idx="752">
                  <c:v>45193</c:v>
                </c:pt>
                <c:pt idx="753">
                  <c:v>45192</c:v>
                </c:pt>
                <c:pt idx="754">
                  <c:v>45191</c:v>
                </c:pt>
                <c:pt idx="755">
                  <c:v>45190</c:v>
                </c:pt>
                <c:pt idx="756">
                  <c:v>45189</c:v>
                </c:pt>
                <c:pt idx="757">
                  <c:v>45188</c:v>
                </c:pt>
                <c:pt idx="758">
                  <c:v>45187</c:v>
                </c:pt>
                <c:pt idx="759">
                  <c:v>45186</c:v>
                </c:pt>
                <c:pt idx="760">
                  <c:v>45185</c:v>
                </c:pt>
                <c:pt idx="761">
                  <c:v>45184</c:v>
                </c:pt>
                <c:pt idx="762">
                  <c:v>45183</c:v>
                </c:pt>
                <c:pt idx="763">
                  <c:v>45182</c:v>
                </c:pt>
                <c:pt idx="764">
                  <c:v>45181</c:v>
                </c:pt>
                <c:pt idx="765">
                  <c:v>45180</c:v>
                </c:pt>
                <c:pt idx="766">
                  <c:v>45179</c:v>
                </c:pt>
                <c:pt idx="767">
                  <c:v>45178</c:v>
                </c:pt>
                <c:pt idx="768">
                  <c:v>45177</c:v>
                </c:pt>
                <c:pt idx="769">
                  <c:v>45176</c:v>
                </c:pt>
                <c:pt idx="770">
                  <c:v>45175</c:v>
                </c:pt>
                <c:pt idx="771">
                  <c:v>45174</c:v>
                </c:pt>
                <c:pt idx="772">
                  <c:v>45173</c:v>
                </c:pt>
                <c:pt idx="773">
                  <c:v>45172</c:v>
                </c:pt>
                <c:pt idx="774">
                  <c:v>45171</c:v>
                </c:pt>
                <c:pt idx="775">
                  <c:v>45170</c:v>
                </c:pt>
                <c:pt idx="776">
                  <c:v>45169</c:v>
                </c:pt>
                <c:pt idx="777">
                  <c:v>45168</c:v>
                </c:pt>
                <c:pt idx="778">
                  <c:v>45167</c:v>
                </c:pt>
                <c:pt idx="779">
                  <c:v>45166</c:v>
                </c:pt>
                <c:pt idx="780">
                  <c:v>45165</c:v>
                </c:pt>
                <c:pt idx="781">
                  <c:v>45164</c:v>
                </c:pt>
                <c:pt idx="782">
                  <c:v>45163</c:v>
                </c:pt>
                <c:pt idx="783">
                  <c:v>45162</c:v>
                </c:pt>
                <c:pt idx="784">
                  <c:v>45161</c:v>
                </c:pt>
                <c:pt idx="785">
                  <c:v>45160</c:v>
                </c:pt>
                <c:pt idx="786">
                  <c:v>45159</c:v>
                </c:pt>
                <c:pt idx="787">
                  <c:v>45158</c:v>
                </c:pt>
                <c:pt idx="788">
                  <c:v>45157</c:v>
                </c:pt>
                <c:pt idx="789">
                  <c:v>45156</c:v>
                </c:pt>
                <c:pt idx="790">
                  <c:v>45155</c:v>
                </c:pt>
                <c:pt idx="791">
                  <c:v>45154</c:v>
                </c:pt>
                <c:pt idx="792">
                  <c:v>45153</c:v>
                </c:pt>
                <c:pt idx="793">
                  <c:v>45152</c:v>
                </c:pt>
                <c:pt idx="794">
                  <c:v>45151</c:v>
                </c:pt>
                <c:pt idx="795">
                  <c:v>45150</c:v>
                </c:pt>
                <c:pt idx="796">
                  <c:v>45149</c:v>
                </c:pt>
                <c:pt idx="797">
                  <c:v>45148</c:v>
                </c:pt>
                <c:pt idx="798">
                  <c:v>45147</c:v>
                </c:pt>
                <c:pt idx="799">
                  <c:v>45146</c:v>
                </c:pt>
                <c:pt idx="800">
                  <c:v>45145</c:v>
                </c:pt>
                <c:pt idx="801">
                  <c:v>45144</c:v>
                </c:pt>
                <c:pt idx="802">
                  <c:v>45143</c:v>
                </c:pt>
                <c:pt idx="803">
                  <c:v>45142</c:v>
                </c:pt>
                <c:pt idx="804">
                  <c:v>45141</c:v>
                </c:pt>
                <c:pt idx="805">
                  <c:v>45140</c:v>
                </c:pt>
                <c:pt idx="806">
                  <c:v>45139</c:v>
                </c:pt>
                <c:pt idx="807">
                  <c:v>45138</c:v>
                </c:pt>
                <c:pt idx="808">
                  <c:v>45137</c:v>
                </c:pt>
                <c:pt idx="809">
                  <c:v>45136</c:v>
                </c:pt>
                <c:pt idx="810">
                  <c:v>45135</c:v>
                </c:pt>
                <c:pt idx="811">
                  <c:v>45134</c:v>
                </c:pt>
                <c:pt idx="812">
                  <c:v>45133</c:v>
                </c:pt>
                <c:pt idx="813">
                  <c:v>45132</c:v>
                </c:pt>
                <c:pt idx="814">
                  <c:v>45131</c:v>
                </c:pt>
                <c:pt idx="815">
                  <c:v>45130</c:v>
                </c:pt>
                <c:pt idx="816">
                  <c:v>45129</c:v>
                </c:pt>
                <c:pt idx="817">
                  <c:v>45128</c:v>
                </c:pt>
                <c:pt idx="818">
                  <c:v>45127</c:v>
                </c:pt>
                <c:pt idx="819">
                  <c:v>45126</c:v>
                </c:pt>
                <c:pt idx="820">
                  <c:v>45125</c:v>
                </c:pt>
                <c:pt idx="821">
                  <c:v>45124</c:v>
                </c:pt>
                <c:pt idx="822">
                  <c:v>45123</c:v>
                </c:pt>
                <c:pt idx="823">
                  <c:v>45122</c:v>
                </c:pt>
                <c:pt idx="824">
                  <c:v>45121</c:v>
                </c:pt>
                <c:pt idx="825">
                  <c:v>45120</c:v>
                </c:pt>
                <c:pt idx="826">
                  <c:v>45119</c:v>
                </c:pt>
                <c:pt idx="827">
                  <c:v>45118</c:v>
                </c:pt>
                <c:pt idx="828">
                  <c:v>45117</c:v>
                </c:pt>
                <c:pt idx="829">
                  <c:v>45116</c:v>
                </c:pt>
                <c:pt idx="830">
                  <c:v>45115</c:v>
                </c:pt>
                <c:pt idx="831">
                  <c:v>45114</c:v>
                </c:pt>
                <c:pt idx="832">
                  <c:v>45113</c:v>
                </c:pt>
                <c:pt idx="833">
                  <c:v>45112</c:v>
                </c:pt>
                <c:pt idx="834">
                  <c:v>45111</c:v>
                </c:pt>
                <c:pt idx="835">
                  <c:v>45110</c:v>
                </c:pt>
                <c:pt idx="836">
                  <c:v>45109</c:v>
                </c:pt>
                <c:pt idx="837">
                  <c:v>45108</c:v>
                </c:pt>
                <c:pt idx="838">
                  <c:v>45107</c:v>
                </c:pt>
                <c:pt idx="839">
                  <c:v>45106</c:v>
                </c:pt>
                <c:pt idx="840">
                  <c:v>45105</c:v>
                </c:pt>
                <c:pt idx="841">
                  <c:v>45104</c:v>
                </c:pt>
                <c:pt idx="842">
                  <c:v>45103</c:v>
                </c:pt>
                <c:pt idx="843">
                  <c:v>45102</c:v>
                </c:pt>
                <c:pt idx="844">
                  <c:v>45101</c:v>
                </c:pt>
                <c:pt idx="845">
                  <c:v>45100</c:v>
                </c:pt>
                <c:pt idx="846">
                  <c:v>45099</c:v>
                </c:pt>
                <c:pt idx="847">
                  <c:v>45098</c:v>
                </c:pt>
                <c:pt idx="848">
                  <c:v>45097</c:v>
                </c:pt>
                <c:pt idx="849">
                  <c:v>45096</c:v>
                </c:pt>
                <c:pt idx="850">
                  <c:v>45095</c:v>
                </c:pt>
                <c:pt idx="851">
                  <c:v>45094</c:v>
                </c:pt>
                <c:pt idx="852">
                  <c:v>45093</c:v>
                </c:pt>
                <c:pt idx="853">
                  <c:v>45092</c:v>
                </c:pt>
                <c:pt idx="854">
                  <c:v>45091</c:v>
                </c:pt>
                <c:pt idx="855">
                  <c:v>45090</c:v>
                </c:pt>
                <c:pt idx="856">
                  <c:v>45089</c:v>
                </c:pt>
                <c:pt idx="857">
                  <c:v>45088</c:v>
                </c:pt>
                <c:pt idx="858">
                  <c:v>45087</c:v>
                </c:pt>
                <c:pt idx="859">
                  <c:v>45086</c:v>
                </c:pt>
                <c:pt idx="860">
                  <c:v>45085</c:v>
                </c:pt>
                <c:pt idx="861">
                  <c:v>45084</c:v>
                </c:pt>
                <c:pt idx="862">
                  <c:v>45083</c:v>
                </c:pt>
                <c:pt idx="863">
                  <c:v>45082</c:v>
                </c:pt>
                <c:pt idx="864">
                  <c:v>45081</c:v>
                </c:pt>
                <c:pt idx="865">
                  <c:v>45080</c:v>
                </c:pt>
                <c:pt idx="866">
                  <c:v>45079</c:v>
                </c:pt>
                <c:pt idx="867">
                  <c:v>45078</c:v>
                </c:pt>
                <c:pt idx="868">
                  <c:v>45077</c:v>
                </c:pt>
                <c:pt idx="869">
                  <c:v>45076</c:v>
                </c:pt>
                <c:pt idx="870">
                  <c:v>45075</c:v>
                </c:pt>
                <c:pt idx="871">
                  <c:v>45074</c:v>
                </c:pt>
                <c:pt idx="872">
                  <c:v>45073</c:v>
                </c:pt>
                <c:pt idx="873">
                  <c:v>45072</c:v>
                </c:pt>
                <c:pt idx="874">
                  <c:v>45071</c:v>
                </c:pt>
                <c:pt idx="875">
                  <c:v>45070</c:v>
                </c:pt>
                <c:pt idx="876">
                  <c:v>45069</c:v>
                </c:pt>
                <c:pt idx="877">
                  <c:v>45068</c:v>
                </c:pt>
                <c:pt idx="878">
                  <c:v>45067</c:v>
                </c:pt>
                <c:pt idx="879">
                  <c:v>45066</c:v>
                </c:pt>
                <c:pt idx="880">
                  <c:v>45065</c:v>
                </c:pt>
                <c:pt idx="881">
                  <c:v>45064</c:v>
                </c:pt>
                <c:pt idx="882">
                  <c:v>45063</c:v>
                </c:pt>
                <c:pt idx="883">
                  <c:v>45062</c:v>
                </c:pt>
                <c:pt idx="884">
                  <c:v>45061</c:v>
                </c:pt>
                <c:pt idx="885">
                  <c:v>45060</c:v>
                </c:pt>
                <c:pt idx="886">
                  <c:v>45059</c:v>
                </c:pt>
                <c:pt idx="887">
                  <c:v>45058</c:v>
                </c:pt>
                <c:pt idx="888">
                  <c:v>45057</c:v>
                </c:pt>
                <c:pt idx="889">
                  <c:v>45056</c:v>
                </c:pt>
                <c:pt idx="890">
                  <c:v>45055</c:v>
                </c:pt>
                <c:pt idx="891">
                  <c:v>45054</c:v>
                </c:pt>
                <c:pt idx="892">
                  <c:v>45053</c:v>
                </c:pt>
                <c:pt idx="893">
                  <c:v>45052</c:v>
                </c:pt>
                <c:pt idx="894">
                  <c:v>45051</c:v>
                </c:pt>
                <c:pt idx="895">
                  <c:v>45050</c:v>
                </c:pt>
                <c:pt idx="896">
                  <c:v>45049</c:v>
                </c:pt>
                <c:pt idx="897">
                  <c:v>45048</c:v>
                </c:pt>
                <c:pt idx="898">
                  <c:v>45047</c:v>
                </c:pt>
                <c:pt idx="899">
                  <c:v>45046</c:v>
                </c:pt>
                <c:pt idx="900">
                  <c:v>45045</c:v>
                </c:pt>
                <c:pt idx="901">
                  <c:v>45044</c:v>
                </c:pt>
                <c:pt idx="902">
                  <c:v>45043</c:v>
                </c:pt>
                <c:pt idx="903">
                  <c:v>45042</c:v>
                </c:pt>
                <c:pt idx="904">
                  <c:v>45041</c:v>
                </c:pt>
                <c:pt idx="905">
                  <c:v>45040</c:v>
                </c:pt>
                <c:pt idx="906">
                  <c:v>45039</c:v>
                </c:pt>
                <c:pt idx="907">
                  <c:v>45038</c:v>
                </c:pt>
                <c:pt idx="908">
                  <c:v>45037</c:v>
                </c:pt>
                <c:pt idx="909">
                  <c:v>45036</c:v>
                </c:pt>
                <c:pt idx="910">
                  <c:v>45035</c:v>
                </c:pt>
                <c:pt idx="911">
                  <c:v>45034</c:v>
                </c:pt>
                <c:pt idx="912">
                  <c:v>45033</c:v>
                </c:pt>
                <c:pt idx="913">
                  <c:v>45032</c:v>
                </c:pt>
                <c:pt idx="914">
                  <c:v>45031</c:v>
                </c:pt>
                <c:pt idx="915">
                  <c:v>45030</c:v>
                </c:pt>
                <c:pt idx="916">
                  <c:v>45029</c:v>
                </c:pt>
                <c:pt idx="917">
                  <c:v>45028</c:v>
                </c:pt>
                <c:pt idx="918">
                  <c:v>45027</c:v>
                </c:pt>
                <c:pt idx="919">
                  <c:v>45026</c:v>
                </c:pt>
                <c:pt idx="920">
                  <c:v>45025</c:v>
                </c:pt>
                <c:pt idx="921">
                  <c:v>45024</c:v>
                </c:pt>
                <c:pt idx="922">
                  <c:v>45023</c:v>
                </c:pt>
                <c:pt idx="923">
                  <c:v>45022</c:v>
                </c:pt>
                <c:pt idx="924">
                  <c:v>45021</c:v>
                </c:pt>
                <c:pt idx="925">
                  <c:v>45020</c:v>
                </c:pt>
                <c:pt idx="926">
                  <c:v>45019</c:v>
                </c:pt>
                <c:pt idx="927">
                  <c:v>45018</c:v>
                </c:pt>
                <c:pt idx="928">
                  <c:v>45017</c:v>
                </c:pt>
                <c:pt idx="929">
                  <c:v>45016</c:v>
                </c:pt>
                <c:pt idx="930">
                  <c:v>45015</c:v>
                </c:pt>
                <c:pt idx="931">
                  <c:v>45014</c:v>
                </c:pt>
                <c:pt idx="932">
                  <c:v>45013</c:v>
                </c:pt>
                <c:pt idx="933">
                  <c:v>45012</c:v>
                </c:pt>
                <c:pt idx="934">
                  <c:v>45011</c:v>
                </c:pt>
                <c:pt idx="935">
                  <c:v>45010</c:v>
                </c:pt>
                <c:pt idx="936">
                  <c:v>45009</c:v>
                </c:pt>
                <c:pt idx="937">
                  <c:v>45008</c:v>
                </c:pt>
                <c:pt idx="938">
                  <c:v>45007</c:v>
                </c:pt>
                <c:pt idx="939">
                  <c:v>45006</c:v>
                </c:pt>
                <c:pt idx="940">
                  <c:v>45005</c:v>
                </c:pt>
                <c:pt idx="941">
                  <c:v>45004</c:v>
                </c:pt>
                <c:pt idx="942">
                  <c:v>45003</c:v>
                </c:pt>
                <c:pt idx="943">
                  <c:v>45002</c:v>
                </c:pt>
                <c:pt idx="944">
                  <c:v>45001</c:v>
                </c:pt>
                <c:pt idx="945">
                  <c:v>45000</c:v>
                </c:pt>
                <c:pt idx="946">
                  <c:v>44999</c:v>
                </c:pt>
                <c:pt idx="947">
                  <c:v>44998</c:v>
                </c:pt>
                <c:pt idx="948">
                  <c:v>44997</c:v>
                </c:pt>
                <c:pt idx="949">
                  <c:v>44996</c:v>
                </c:pt>
                <c:pt idx="950">
                  <c:v>44995</c:v>
                </c:pt>
                <c:pt idx="951">
                  <c:v>44994</c:v>
                </c:pt>
                <c:pt idx="952">
                  <c:v>44993</c:v>
                </c:pt>
                <c:pt idx="953">
                  <c:v>44992</c:v>
                </c:pt>
                <c:pt idx="954">
                  <c:v>44991</c:v>
                </c:pt>
                <c:pt idx="955">
                  <c:v>44990</c:v>
                </c:pt>
                <c:pt idx="956">
                  <c:v>44989</c:v>
                </c:pt>
                <c:pt idx="957">
                  <c:v>44988</c:v>
                </c:pt>
                <c:pt idx="958">
                  <c:v>44987</c:v>
                </c:pt>
                <c:pt idx="959">
                  <c:v>44986</c:v>
                </c:pt>
                <c:pt idx="960">
                  <c:v>44985</c:v>
                </c:pt>
                <c:pt idx="961">
                  <c:v>44984</c:v>
                </c:pt>
                <c:pt idx="962">
                  <c:v>44983</c:v>
                </c:pt>
                <c:pt idx="963">
                  <c:v>44982</c:v>
                </c:pt>
                <c:pt idx="964">
                  <c:v>44981</c:v>
                </c:pt>
                <c:pt idx="965">
                  <c:v>44980</c:v>
                </c:pt>
                <c:pt idx="966">
                  <c:v>44979</c:v>
                </c:pt>
                <c:pt idx="967">
                  <c:v>44978</c:v>
                </c:pt>
                <c:pt idx="968">
                  <c:v>44977</c:v>
                </c:pt>
                <c:pt idx="969">
                  <c:v>44976</c:v>
                </c:pt>
                <c:pt idx="970">
                  <c:v>44975</c:v>
                </c:pt>
                <c:pt idx="971">
                  <c:v>44974</c:v>
                </c:pt>
                <c:pt idx="972">
                  <c:v>44973</c:v>
                </c:pt>
                <c:pt idx="973">
                  <c:v>44972</c:v>
                </c:pt>
                <c:pt idx="974">
                  <c:v>44971</c:v>
                </c:pt>
                <c:pt idx="975">
                  <c:v>44970</c:v>
                </c:pt>
                <c:pt idx="976">
                  <c:v>44969</c:v>
                </c:pt>
                <c:pt idx="977">
                  <c:v>44968</c:v>
                </c:pt>
                <c:pt idx="978">
                  <c:v>44967</c:v>
                </c:pt>
                <c:pt idx="979">
                  <c:v>44966</c:v>
                </c:pt>
                <c:pt idx="980">
                  <c:v>44965</c:v>
                </c:pt>
                <c:pt idx="981">
                  <c:v>44964</c:v>
                </c:pt>
                <c:pt idx="982">
                  <c:v>44963</c:v>
                </c:pt>
                <c:pt idx="983">
                  <c:v>44962</c:v>
                </c:pt>
                <c:pt idx="984">
                  <c:v>44961</c:v>
                </c:pt>
                <c:pt idx="985">
                  <c:v>44960</c:v>
                </c:pt>
                <c:pt idx="986">
                  <c:v>44959</c:v>
                </c:pt>
                <c:pt idx="987">
                  <c:v>44958</c:v>
                </c:pt>
                <c:pt idx="988">
                  <c:v>44957</c:v>
                </c:pt>
                <c:pt idx="989">
                  <c:v>44956</c:v>
                </c:pt>
                <c:pt idx="990">
                  <c:v>44955</c:v>
                </c:pt>
                <c:pt idx="991">
                  <c:v>44954</c:v>
                </c:pt>
                <c:pt idx="992">
                  <c:v>44953</c:v>
                </c:pt>
                <c:pt idx="993">
                  <c:v>44952</c:v>
                </c:pt>
                <c:pt idx="994">
                  <c:v>44951</c:v>
                </c:pt>
                <c:pt idx="995">
                  <c:v>44950</c:v>
                </c:pt>
                <c:pt idx="996">
                  <c:v>44949</c:v>
                </c:pt>
                <c:pt idx="997">
                  <c:v>44948</c:v>
                </c:pt>
                <c:pt idx="998">
                  <c:v>44947</c:v>
                </c:pt>
                <c:pt idx="999">
                  <c:v>44946</c:v>
                </c:pt>
                <c:pt idx="1000">
                  <c:v>44945</c:v>
                </c:pt>
                <c:pt idx="1001">
                  <c:v>44944</c:v>
                </c:pt>
                <c:pt idx="1002">
                  <c:v>44943</c:v>
                </c:pt>
                <c:pt idx="1003">
                  <c:v>44942</c:v>
                </c:pt>
                <c:pt idx="1004">
                  <c:v>44941</c:v>
                </c:pt>
                <c:pt idx="1005">
                  <c:v>44940</c:v>
                </c:pt>
                <c:pt idx="1006">
                  <c:v>44939</c:v>
                </c:pt>
                <c:pt idx="1007">
                  <c:v>44938</c:v>
                </c:pt>
                <c:pt idx="1008">
                  <c:v>44937</c:v>
                </c:pt>
                <c:pt idx="1009">
                  <c:v>44936</c:v>
                </c:pt>
                <c:pt idx="1010">
                  <c:v>44935</c:v>
                </c:pt>
                <c:pt idx="1011">
                  <c:v>44934</c:v>
                </c:pt>
                <c:pt idx="1012">
                  <c:v>44933</c:v>
                </c:pt>
                <c:pt idx="1013">
                  <c:v>44932</c:v>
                </c:pt>
                <c:pt idx="1014">
                  <c:v>44931</c:v>
                </c:pt>
                <c:pt idx="1015">
                  <c:v>44930</c:v>
                </c:pt>
                <c:pt idx="1016">
                  <c:v>44929</c:v>
                </c:pt>
                <c:pt idx="1017">
                  <c:v>44928</c:v>
                </c:pt>
                <c:pt idx="1018">
                  <c:v>44927</c:v>
                </c:pt>
                <c:pt idx="1019">
                  <c:v>44926</c:v>
                </c:pt>
                <c:pt idx="1020">
                  <c:v>44925</c:v>
                </c:pt>
                <c:pt idx="1021">
                  <c:v>44924</c:v>
                </c:pt>
                <c:pt idx="1022">
                  <c:v>44923</c:v>
                </c:pt>
                <c:pt idx="1023">
                  <c:v>44922</c:v>
                </c:pt>
                <c:pt idx="1024">
                  <c:v>44921</c:v>
                </c:pt>
                <c:pt idx="1025">
                  <c:v>44920</c:v>
                </c:pt>
                <c:pt idx="1026">
                  <c:v>44919</c:v>
                </c:pt>
                <c:pt idx="1027">
                  <c:v>44918</c:v>
                </c:pt>
                <c:pt idx="1028">
                  <c:v>44917</c:v>
                </c:pt>
                <c:pt idx="1029">
                  <c:v>44916</c:v>
                </c:pt>
                <c:pt idx="1030">
                  <c:v>44915</c:v>
                </c:pt>
                <c:pt idx="1031">
                  <c:v>44914</c:v>
                </c:pt>
                <c:pt idx="1032">
                  <c:v>44913</c:v>
                </c:pt>
                <c:pt idx="1033">
                  <c:v>44912</c:v>
                </c:pt>
                <c:pt idx="1034">
                  <c:v>44911</c:v>
                </c:pt>
                <c:pt idx="1035">
                  <c:v>44910</c:v>
                </c:pt>
                <c:pt idx="1036">
                  <c:v>44909</c:v>
                </c:pt>
                <c:pt idx="1037">
                  <c:v>44908</c:v>
                </c:pt>
                <c:pt idx="1038">
                  <c:v>44907</c:v>
                </c:pt>
                <c:pt idx="1039">
                  <c:v>44906</c:v>
                </c:pt>
                <c:pt idx="1040">
                  <c:v>44905</c:v>
                </c:pt>
                <c:pt idx="1041">
                  <c:v>44904</c:v>
                </c:pt>
                <c:pt idx="1042">
                  <c:v>44903</c:v>
                </c:pt>
                <c:pt idx="1043">
                  <c:v>44902</c:v>
                </c:pt>
                <c:pt idx="1044">
                  <c:v>44901</c:v>
                </c:pt>
              </c:numCache>
            </c:numRef>
          </c:cat>
          <c:val>
            <c:numRef>
              <c:f>'Stock Data'!$AO$4:$AO$1048</c:f>
              <c:numCache>
                <c:formatCode>#,##0.00_);\(#,##0.00\)</c:formatCode>
                <c:ptCount val="1045"/>
                <c:pt idx="0">
                  <c:v>733</c:v>
                </c:pt>
                <c:pt idx="1">
                  <c:v>800356</c:v>
                </c:pt>
                <c:pt idx="2">
                  <c:v>951812</c:v>
                </c:pt>
                <c:pt idx="3">
                  <c:v>951812</c:v>
                </c:pt>
                <c:pt idx="4">
                  <c:v>951812</c:v>
                </c:pt>
                <c:pt idx="5">
                  <c:v>822040</c:v>
                </c:pt>
                <c:pt idx="6">
                  <c:v>889063</c:v>
                </c:pt>
                <c:pt idx="7">
                  <c:v>756124</c:v>
                </c:pt>
                <c:pt idx="8">
                  <c:v>799994</c:v>
                </c:pt>
                <c:pt idx="9">
                  <c:v>799994</c:v>
                </c:pt>
                <c:pt idx="10">
                  <c:v>799994</c:v>
                </c:pt>
                <c:pt idx="11">
                  <c:v>799994</c:v>
                </c:pt>
                <c:pt idx="12">
                  <c:v>896293</c:v>
                </c:pt>
                <c:pt idx="13">
                  <c:v>764621</c:v>
                </c:pt>
                <c:pt idx="14">
                  <c:v>788201</c:v>
                </c:pt>
                <c:pt idx="15">
                  <c:v>993137</c:v>
                </c:pt>
                <c:pt idx="16">
                  <c:v>792081</c:v>
                </c:pt>
                <c:pt idx="17">
                  <c:v>792081</c:v>
                </c:pt>
                <c:pt idx="18">
                  <c:v>792081</c:v>
                </c:pt>
                <c:pt idx="19">
                  <c:v>759255</c:v>
                </c:pt>
                <c:pt idx="20">
                  <c:v>664797</c:v>
                </c:pt>
                <c:pt idx="21">
                  <c:v>701399</c:v>
                </c:pt>
                <c:pt idx="22">
                  <c:v>901271</c:v>
                </c:pt>
                <c:pt idx="23">
                  <c:v>740245</c:v>
                </c:pt>
                <c:pt idx="24">
                  <c:v>740245</c:v>
                </c:pt>
                <c:pt idx="25">
                  <c:v>740245</c:v>
                </c:pt>
                <c:pt idx="26">
                  <c:v>1118518</c:v>
                </c:pt>
                <c:pt idx="27">
                  <c:v>1465062</c:v>
                </c:pt>
                <c:pt idx="28">
                  <c:v>2245991</c:v>
                </c:pt>
                <c:pt idx="29">
                  <c:v>1230898</c:v>
                </c:pt>
                <c:pt idx="30">
                  <c:v>1252786</c:v>
                </c:pt>
                <c:pt idx="31">
                  <c:v>1252786</c:v>
                </c:pt>
                <c:pt idx="32">
                  <c:v>1252786</c:v>
                </c:pt>
                <c:pt idx="33">
                  <c:v>1985581</c:v>
                </c:pt>
                <c:pt idx="34">
                  <c:v>4885597</c:v>
                </c:pt>
                <c:pt idx="35">
                  <c:v>1164526</c:v>
                </c:pt>
                <c:pt idx="36">
                  <c:v>779228</c:v>
                </c:pt>
                <c:pt idx="37">
                  <c:v>835777</c:v>
                </c:pt>
                <c:pt idx="38">
                  <c:v>835777</c:v>
                </c:pt>
                <c:pt idx="39">
                  <c:v>835777</c:v>
                </c:pt>
                <c:pt idx="40">
                  <c:v>801020</c:v>
                </c:pt>
                <c:pt idx="41">
                  <c:v>735895</c:v>
                </c:pt>
                <c:pt idx="42">
                  <c:v>684079</c:v>
                </c:pt>
                <c:pt idx="43">
                  <c:v>549462</c:v>
                </c:pt>
                <c:pt idx="44">
                  <c:v>536705</c:v>
                </c:pt>
                <c:pt idx="45">
                  <c:v>536705</c:v>
                </c:pt>
                <c:pt idx="46">
                  <c:v>536705</c:v>
                </c:pt>
                <c:pt idx="47">
                  <c:v>549947</c:v>
                </c:pt>
                <c:pt idx="48">
                  <c:v>1031909</c:v>
                </c:pt>
                <c:pt idx="49">
                  <c:v>792502</c:v>
                </c:pt>
                <c:pt idx="50">
                  <c:v>1294863</c:v>
                </c:pt>
                <c:pt idx="51">
                  <c:v>504527</c:v>
                </c:pt>
                <c:pt idx="52">
                  <c:v>504527</c:v>
                </c:pt>
                <c:pt idx="53">
                  <c:v>504527</c:v>
                </c:pt>
                <c:pt idx="54">
                  <c:v>636437</c:v>
                </c:pt>
                <c:pt idx="55">
                  <c:v>731406</c:v>
                </c:pt>
                <c:pt idx="56">
                  <c:v>723015</c:v>
                </c:pt>
                <c:pt idx="57">
                  <c:v>834385</c:v>
                </c:pt>
                <c:pt idx="58">
                  <c:v>1154189</c:v>
                </c:pt>
                <c:pt idx="59">
                  <c:v>1154189</c:v>
                </c:pt>
                <c:pt idx="60">
                  <c:v>1154189</c:v>
                </c:pt>
                <c:pt idx="61">
                  <c:v>789691</c:v>
                </c:pt>
                <c:pt idx="62">
                  <c:v>777629</c:v>
                </c:pt>
                <c:pt idx="63">
                  <c:v>1162795</c:v>
                </c:pt>
                <c:pt idx="64">
                  <c:v>767419</c:v>
                </c:pt>
                <c:pt idx="65">
                  <c:v>841440</c:v>
                </c:pt>
                <c:pt idx="66">
                  <c:v>841440</c:v>
                </c:pt>
                <c:pt idx="67">
                  <c:v>841440</c:v>
                </c:pt>
                <c:pt idx="68">
                  <c:v>841440</c:v>
                </c:pt>
                <c:pt idx="69">
                  <c:v>738536</c:v>
                </c:pt>
                <c:pt idx="70">
                  <c:v>1275713</c:v>
                </c:pt>
                <c:pt idx="71">
                  <c:v>1450718</c:v>
                </c:pt>
                <c:pt idx="72">
                  <c:v>1103801</c:v>
                </c:pt>
                <c:pt idx="73">
                  <c:v>1103801</c:v>
                </c:pt>
                <c:pt idx="74">
                  <c:v>1103801</c:v>
                </c:pt>
                <c:pt idx="75">
                  <c:v>1088476</c:v>
                </c:pt>
                <c:pt idx="76">
                  <c:v>521303</c:v>
                </c:pt>
                <c:pt idx="77">
                  <c:v>778863</c:v>
                </c:pt>
                <c:pt idx="78">
                  <c:v>724602</c:v>
                </c:pt>
                <c:pt idx="79">
                  <c:v>874490</c:v>
                </c:pt>
                <c:pt idx="80">
                  <c:v>874490</c:v>
                </c:pt>
                <c:pt idx="81">
                  <c:v>874490</c:v>
                </c:pt>
                <c:pt idx="82">
                  <c:v>636139</c:v>
                </c:pt>
                <c:pt idx="83">
                  <c:v>636139</c:v>
                </c:pt>
                <c:pt idx="84">
                  <c:v>705669</c:v>
                </c:pt>
                <c:pt idx="85">
                  <c:v>836531</c:v>
                </c:pt>
                <c:pt idx="86">
                  <c:v>791098</c:v>
                </c:pt>
                <c:pt idx="87">
                  <c:v>791098</c:v>
                </c:pt>
                <c:pt idx="88">
                  <c:v>791098</c:v>
                </c:pt>
                <c:pt idx="89">
                  <c:v>712849</c:v>
                </c:pt>
                <c:pt idx="90">
                  <c:v>504399</c:v>
                </c:pt>
                <c:pt idx="91">
                  <c:v>442484</c:v>
                </c:pt>
                <c:pt idx="92">
                  <c:v>928257</c:v>
                </c:pt>
                <c:pt idx="93">
                  <c:v>589356</c:v>
                </c:pt>
                <c:pt idx="94">
                  <c:v>589356</c:v>
                </c:pt>
                <c:pt idx="95">
                  <c:v>589356</c:v>
                </c:pt>
                <c:pt idx="96">
                  <c:v>716131</c:v>
                </c:pt>
                <c:pt idx="97">
                  <c:v>475336</c:v>
                </c:pt>
                <c:pt idx="98">
                  <c:v>603738</c:v>
                </c:pt>
                <c:pt idx="99">
                  <c:v>926297</c:v>
                </c:pt>
                <c:pt idx="100">
                  <c:v>527110</c:v>
                </c:pt>
                <c:pt idx="101">
                  <c:v>527110</c:v>
                </c:pt>
                <c:pt idx="102">
                  <c:v>527110</c:v>
                </c:pt>
                <c:pt idx="103">
                  <c:v>532281</c:v>
                </c:pt>
                <c:pt idx="104">
                  <c:v>783344</c:v>
                </c:pt>
                <c:pt idx="105">
                  <c:v>582816</c:v>
                </c:pt>
                <c:pt idx="106">
                  <c:v>543432</c:v>
                </c:pt>
                <c:pt idx="107">
                  <c:v>543432</c:v>
                </c:pt>
                <c:pt idx="108">
                  <c:v>543432</c:v>
                </c:pt>
                <c:pt idx="109">
                  <c:v>543432</c:v>
                </c:pt>
                <c:pt idx="110">
                  <c:v>885321</c:v>
                </c:pt>
                <c:pt idx="111">
                  <c:v>1031097</c:v>
                </c:pt>
                <c:pt idx="112">
                  <c:v>565423</c:v>
                </c:pt>
                <c:pt idx="113">
                  <c:v>488800</c:v>
                </c:pt>
                <c:pt idx="114">
                  <c:v>624978</c:v>
                </c:pt>
                <c:pt idx="115">
                  <c:v>624978</c:v>
                </c:pt>
                <c:pt idx="116">
                  <c:v>624978</c:v>
                </c:pt>
                <c:pt idx="117">
                  <c:v>928398</c:v>
                </c:pt>
                <c:pt idx="118">
                  <c:v>943017</c:v>
                </c:pt>
                <c:pt idx="119">
                  <c:v>1610790</c:v>
                </c:pt>
                <c:pt idx="120">
                  <c:v>1900139</c:v>
                </c:pt>
                <c:pt idx="121">
                  <c:v>909004</c:v>
                </c:pt>
                <c:pt idx="122">
                  <c:v>909004</c:v>
                </c:pt>
                <c:pt idx="123">
                  <c:v>909004</c:v>
                </c:pt>
                <c:pt idx="124">
                  <c:v>1696235</c:v>
                </c:pt>
                <c:pt idx="125">
                  <c:v>1882826</c:v>
                </c:pt>
                <c:pt idx="126">
                  <c:v>828605</c:v>
                </c:pt>
                <c:pt idx="127">
                  <c:v>526812</c:v>
                </c:pt>
                <c:pt idx="128">
                  <c:v>1057007</c:v>
                </c:pt>
                <c:pt idx="129">
                  <c:v>1057007</c:v>
                </c:pt>
                <c:pt idx="130">
                  <c:v>1057007</c:v>
                </c:pt>
                <c:pt idx="131">
                  <c:v>1010816</c:v>
                </c:pt>
                <c:pt idx="132">
                  <c:v>599529</c:v>
                </c:pt>
                <c:pt idx="133">
                  <c:v>770100</c:v>
                </c:pt>
                <c:pt idx="134">
                  <c:v>412996</c:v>
                </c:pt>
                <c:pt idx="135">
                  <c:v>481345</c:v>
                </c:pt>
                <c:pt idx="136">
                  <c:v>481345</c:v>
                </c:pt>
                <c:pt idx="137">
                  <c:v>481345</c:v>
                </c:pt>
                <c:pt idx="138">
                  <c:v>789492</c:v>
                </c:pt>
                <c:pt idx="139">
                  <c:v>1113313</c:v>
                </c:pt>
                <c:pt idx="140">
                  <c:v>1038593</c:v>
                </c:pt>
                <c:pt idx="141">
                  <c:v>955334</c:v>
                </c:pt>
                <c:pt idx="142">
                  <c:v>643027</c:v>
                </c:pt>
                <c:pt idx="143">
                  <c:v>643027</c:v>
                </c:pt>
                <c:pt idx="144">
                  <c:v>643027</c:v>
                </c:pt>
                <c:pt idx="145">
                  <c:v>643027</c:v>
                </c:pt>
                <c:pt idx="146">
                  <c:v>1135878</c:v>
                </c:pt>
                <c:pt idx="147">
                  <c:v>820294</c:v>
                </c:pt>
                <c:pt idx="148">
                  <c:v>1169150</c:v>
                </c:pt>
                <c:pt idx="149">
                  <c:v>1316512</c:v>
                </c:pt>
                <c:pt idx="150">
                  <c:v>1316512</c:v>
                </c:pt>
                <c:pt idx="151">
                  <c:v>1316512</c:v>
                </c:pt>
                <c:pt idx="152">
                  <c:v>2026530</c:v>
                </c:pt>
                <c:pt idx="153">
                  <c:v>2582924</c:v>
                </c:pt>
                <c:pt idx="154">
                  <c:v>1856133</c:v>
                </c:pt>
                <c:pt idx="155">
                  <c:v>1971427</c:v>
                </c:pt>
                <c:pt idx="156">
                  <c:v>1346599</c:v>
                </c:pt>
                <c:pt idx="157">
                  <c:v>1346599</c:v>
                </c:pt>
                <c:pt idx="158">
                  <c:v>1346599</c:v>
                </c:pt>
                <c:pt idx="159">
                  <c:v>1480331</c:v>
                </c:pt>
                <c:pt idx="160">
                  <c:v>383336</c:v>
                </c:pt>
                <c:pt idx="161">
                  <c:v>589866</c:v>
                </c:pt>
                <c:pt idx="162">
                  <c:v>461352</c:v>
                </c:pt>
                <c:pt idx="163">
                  <c:v>442688</c:v>
                </c:pt>
                <c:pt idx="164">
                  <c:v>442688</c:v>
                </c:pt>
                <c:pt idx="165">
                  <c:v>442688</c:v>
                </c:pt>
                <c:pt idx="166">
                  <c:v>434843</c:v>
                </c:pt>
                <c:pt idx="167">
                  <c:v>323492</c:v>
                </c:pt>
                <c:pt idx="168">
                  <c:v>341393</c:v>
                </c:pt>
                <c:pt idx="169">
                  <c:v>621700</c:v>
                </c:pt>
                <c:pt idx="170">
                  <c:v>1956125</c:v>
                </c:pt>
                <c:pt idx="171">
                  <c:v>1956125</c:v>
                </c:pt>
                <c:pt idx="172">
                  <c:v>1956125</c:v>
                </c:pt>
                <c:pt idx="173">
                  <c:v>921261</c:v>
                </c:pt>
                <c:pt idx="174">
                  <c:v>456644</c:v>
                </c:pt>
                <c:pt idx="175">
                  <c:v>436916</c:v>
                </c:pt>
                <c:pt idx="176">
                  <c:v>460349</c:v>
                </c:pt>
                <c:pt idx="177">
                  <c:v>530529</c:v>
                </c:pt>
                <c:pt idx="178">
                  <c:v>530529</c:v>
                </c:pt>
                <c:pt idx="179">
                  <c:v>530529</c:v>
                </c:pt>
                <c:pt idx="180">
                  <c:v>746684</c:v>
                </c:pt>
                <c:pt idx="181">
                  <c:v>861178</c:v>
                </c:pt>
                <c:pt idx="182">
                  <c:v>1054589</c:v>
                </c:pt>
                <c:pt idx="183">
                  <c:v>677872</c:v>
                </c:pt>
                <c:pt idx="184">
                  <c:v>608242</c:v>
                </c:pt>
                <c:pt idx="185">
                  <c:v>608242</c:v>
                </c:pt>
                <c:pt idx="186">
                  <c:v>608242</c:v>
                </c:pt>
                <c:pt idx="187">
                  <c:v>776505</c:v>
                </c:pt>
                <c:pt idx="188">
                  <c:v>1423494</c:v>
                </c:pt>
                <c:pt idx="189">
                  <c:v>783788</c:v>
                </c:pt>
                <c:pt idx="190">
                  <c:v>533354</c:v>
                </c:pt>
                <c:pt idx="191">
                  <c:v>629371</c:v>
                </c:pt>
                <c:pt idx="192">
                  <c:v>629371</c:v>
                </c:pt>
                <c:pt idx="193">
                  <c:v>629371</c:v>
                </c:pt>
                <c:pt idx="194">
                  <c:v>569495</c:v>
                </c:pt>
                <c:pt idx="195">
                  <c:v>906538</c:v>
                </c:pt>
                <c:pt idx="196">
                  <c:v>1956737</c:v>
                </c:pt>
                <c:pt idx="197">
                  <c:v>1064602</c:v>
                </c:pt>
                <c:pt idx="198">
                  <c:v>570782</c:v>
                </c:pt>
                <c:pt idx="199">
                  <c:v>570782</c:v>
                </c:pt>
                <c:pt idx="200">
                  <c:v>570782</c:v>
                </c:pt>
                <c:pt idx="201">
                  <c:v>411053</c:v>
                </c:pt>
                <c:pt idx="202">
                  <c:v>722348</c:v>
                </c:pt>
                <c:pt idx="203">
                  <c:v>996540</c:v>
                </c:pt>
                <c:pt idx="204">
                  <c:v>636889</c:v>
                </c:pt>
                <c:pt idx="205">
                  <c:v>636889</c:v>
                </c:pt>
                <c:pt idx="206">
                  <c:v>636889</c:v>
                </c:pt>
                <c:pt idx="207">
                  <c:v>636889</c:v>
                </c:pt>
                <c:pt idx="208">
                  <c:v>851950</c:v>
                </c:pt>
                <c:pt idx="209">
                  <c:v>821819</c:v>
                </c:pt>
                <c:pt idx="210">
                  <c:v>578070</c:v>
                </c:pt>
                <c:pt idx="211">
                  <c:v>573572</c:v>
                </c:pt>
                <c:pt idx="212">
                  <c:v>577675</c:v>
                </c:pt>
                <c:pt idx="213">
                  <c:v>577675</c:v>
                </c:pt>
                <c:pt idx="214">
                  <c:v>577675</c:v>
                </c:pt>
                <c:pt idx="215">
                  <c:v>653584</c:v>
                </c:pt>
                <c:pt idx="216">
                  <c:v>868908</c:v>
                </c:pt>
                <c:pt idx="217">
                  <c:v>532652</c:v>
                </c:pt>
                <c:pt idx="218">
                  <c:v>1062561</c:v>
                </c:pt>
                <c:pt idx="219">
                  <c:v>779680</c:v>
                </c:pt>
                <c:pt idx="220">
                  <c:v>779680</c:v>
                </c:pt>
                <c:pt idx="221">
                  <c:v>779680</c:v>
                </c:pt>
                <c:pt idx="222">
                  <c:v>1317250</c:v>
                </c:pt>
                <c:pt idx="223">
                  <c:v>955568</c:v>
                </c:pt>
                <c:pt idx="224">
                  <c:v>923732</c:v>
                </c:pt>
                <c:pt idx="225">
                  <c:v>2595947</c:v>
                </c:pt>
                <c:pt idx="226">
                  <c:v>3700405</c:v>
                </c:pt>
                <c:pt idx="227">
                  <c:v>3700405</c:v>
                </c:pt>
                <c:pt idx="228">
                  <c:v>3700405</c:v>
                </c:pt>
                <c:pt idx="229">
                  <c:v>591393</c:v>
                </c:pt>
                <c:pt idx="230">
                  <c:v>647528</c:v>
                </c:pt>
                <c:pt idx="231">
                  <c:v>692070</c:v>
                </c:pt>
                <c:pt idx="232">
                  <c:v>507912</c:v>
                </c:pt>
                <c:pt idx="233">
                  <c:v>507912</c:v>
                </c:pt>
                <c:pt idx="234">
                  <c:v>507912</c:v>
                </c:pt>
                <c:pt idx="235">
                  <c:v>507912</c:v>
                </c:pt>
                <c:pt idx="236">
                  <c:v>410678</c:v>
                </c:pt>
                <c:pt idx="237">
                  <c:v>545776</c:v>
                </c:pt>
                <c:pt idx="238">
                  <c:v>454238</c:v>
                </c:pt>
                <c:pt idx="239">
                  <c:v>635621</c:v>
                </c:pt>
                <c:pt idx="240">
                  <c:v>674570</c:v>
                </c:pt>
                <c:pt idx="241">
                  <c:v>674570</c:v>
                </c:pt>
                <c:pt idx="242">
                  <c:v>674570</c:v>
                </c:pt>
                <c:pt idx="243">
                  <c:v>494215</c:v>
                </c:pt>
                <c:pt idx="244">
                  <c:v>494215</c:v>
                </c:pt>
                <c:pt idx="245">
                  <c:v>497378</c:v>
                </c:pt>
                <c:pt idx="246">
                  <c:v>457442</c:v>
                </c:pt>
                <c:pt idx="247">
                  <c:v>353513</c:v>
                </c:pt>
                <c:pt idx="248">
                  <c:v>353513</c:v>
                </c:pt>
                <c:pt idx="249">
                  <c:v>353513</c:v>
                </c:pt>
                <c:pt idx="250">
                  <c:v>1030189</c:v>
                </c:pt>
                <c:pt idx="251">
                  <c:v>276959</c:v>
                </c:pt>
                <c:pt idx="252">
                  <c:v>276959</c:v>
                </c:pt>
                <c:pt idx="253">
                  <c:v>294443</c:v>
                </c:pt>
                <c:pt idx="254">
                  <c:v>331258</c:v>
                </c:pt>
                <c:pt idx="255">
                  <c:v>331258</c:v>
                </c:pt>
                <c:pt idx="256">
                  <c:v>331258</c:v>
                </c:pt>
                <c:pt idx="257">
                  <c:v>268827</c:v>
                </c:pt>
                <c:pt idx="258">
                  <c:v>135721</c:v>
                </c:pt>
                <c:pt idx="259">
                  <c:v>135721</c:v>
                </c:pt>
                <c:pt idx="260">
                  <c:v>460289</c:v>
                </c:pt>
                <c:pt idx="261">
                  <c:v>1794650</c:v>
                </c:pt>
                <c:pt idx="262">
                  <c:v>1794650</c:v>
                </c:pt>
                <c:pt idx="263">
                  <c:v>1794650</c:v>
                </c:pt>
                <c:pt idx="264">
                  <c:v>875405</c:v>
                </c:pt>
                <c:pt idx="265">
                  <c:v>847264</c:v>
                </c:pt>
                <c:pt idx="266">
                  <c:v>453229</c:v>
                </c:pt>
                <c:pt idx="267">
                  <c:v>586150</c:v>
                </c:pt>
                <c:pt idx="268">
                  <c:v>462111</c:v>
                </c:pt>
                <c:pt idx="269">
                  <c:v>462111</c:v>
                </c:pt>
                <c:pt idx="270">
                  <c:v>462111</c:v>
                </c:pt>
                <c:pt idx="271">
                  <c:v>587880</c:v>
                </c:pt>
                <c:pt idx="272">
                  <c:v>593427</c:v>
                </c:pt>
                <c:pt idx="273">
                  <c:v>1044760</c:v>
                </c:pt>
                <c:pt idx="274">
                  <c:v>364581</c:v>
                </c:pt>
                <c:pt idx="275">
                  <c:v>221056</c:v>
                </c:pt>
                <c:pt idx="276">
                  <c:v>221056</c:v>
                </c:pt>
                <c:pt idx="277">
                  <c:v>221056</c:v>
                </c:pt>
                <c:pt idx="278">
                  <c:v>298841</c:v>
                </c:pt>
                <c:pt idx="279">
                  <c:v>395677</c:v>
                </c:pt>
                <c:pt idx="280">
                  <c:v>643676</c:v>
                </c:pt>
                <c:pt idx="281">
                  <c:v>364353</c:v>
                </c:pt>
                <c:pt idx="282">
                  <c:v>188266</c:v>
                </c:pt>
                <c:pt idx="283">
                  <c:v>188266</c:v>
                </c:pt>
                <c:pt idx="284">
                  <c:v>188266</c:v>
                </c:pt>
                <c:pt idx="285">
                  <c:v>421226</c:v>
                </c:pt>
                <c:pt idx="286">
                  <c:v>421226</c:v>
                </c:pt>
                <c:pt idx="287">
                  <c:v>541356</c:v>
                </c:pt>
                <c:pt idx="288">
                  <c:v>995015</c:v>
                </c:pt>
                <c:pt idx="289">
                  <c:v>479574</c:v>
                </c:pt>
                <c:pt idx="290">
                  <c:v>479574</c:v>
                </c:pt>
                <c:pt idx="291">
                  <c:v>479574</c:v>
                </c:pt>
                <c:pt idx="292">
                  <c:v>638511</c:v>
                </c:pt>
                <c:pt idx="293">
                  <c:v>629426</c:v>
                </c:pt>
                <c:pt idx="294">
                  <c:v>343122</c:v>
                </c:pt>
                <c:pt idx="295">
                  <c:v>403089</c:v>
                </c:pt>
                <c:pt idx="296">
                  <c:v>555034</c:v>
                </c:pt>
                <c:pt idx="297">
                  <c:v>555034</c:v>
                </c:pt>
                <c:pt idx="298">
                  <c:v>555034</c:v>
                </c:pt>
                <c:pt idx="299">
                  <c:v>936252</c:v>
                </c:pt>
                <c:pt idx="300">
                  <c:v>658721</c:v>
                </c:pt>
                <c:pt idx="301">
                  <c:v>451305</c:v>
                </c:pt>
                <c:pt idx="302">
                  <c:v>387583</c:v>
                </c:pt>
                <c:pt idx="303">
                  <c:v>402055</c:v>
                </c:pt>
                <c:pt idx="304">
                  <c:v>402055</c:v>
                </c:pt>
                <c:pt idx="305">
                  <c:v>402055</c:v>
                </c:pt>
                <c:pt idx="306">
                  <c:v>534994</c:v>
                </c:pt>
                <c:pt idx="307">
                  <c:v>994747</c:v>
                </c:pt>
                <c:pt idx="308">
                  <c:v>783638</c:v>
                </c:pt>
                <c:pt idx="309">
                  <c:v>818273</c:v>
                </c:pt>
                <c:pt idx="310">
                  <c:v>1366312</c:v>
                </c:pt>
                <c:pt idx="311">
                  <c:v>1366312</c:v>
                </c:pt>
                <c:pt idx="312">
                  <c:v>1366312</c:v>
                </c:pt>
                <c:pt idx="313">
                  <c:v>2537442</c:v>
                </c:pt>
                <c:pt idx="314">
                  <c:v>634354</c:v>
                </c:pt>
                <c:pt idx="315">
                  <c:v>483657</c:v>
                </c:pt>
                <c:pt idx="316">
                  <c:v>456524</c:v>
                </c:pt>
                <c:pt idx="317">
                  <c:v>386338</c:v>
                </c:pt>
                <c:pt idx="318">
                  <c:v>386338</c:v>
                </c:pt>
                <c:pt idx="319">
                  <c:v>386338</c:v>
                </c:pt>
                <c:pt idx="320">
                  <c:v>397280</c:v>
                </c:pt>
                <c:pt idx="321">
                  <c:v>573990</c:v>
                </c:pt>
                <c:pt idx="322">
                  <c:v>353202</c:v>
                </c:pt>
                <c:pt idx="323">
                  <c:v>561511</c:v>
                </c:pt>
                <c:pt idx="324">
                  <c:v>293211</c:v>
                </c:pt>
                <c:pt idx="325">
                  <c:v>293211</c:v>
                </c:pt>
                <c:pt idx="326">
                  <c:v>293211</c:v>
                </c:pt>
                <c:pt idx="327">
                  <c:v>328150</c:v>
                </c:pt>
                <c:pt idx="328">
                  <c:v>409819</c:v>
                </c:pt>
                <c:pt idx="329">
                  <c:v>420915</c:v>
                </c:pt>
                <c:pt idx="330">
                  <c:v>493919</c:v>
                </c:pt>
                <c:pt idx="331">
                  <c:v>647574</c:v>
                </c:pt>
                <c:pt idx="332">
                  <c:v>647574</c:v>
                </c:pt>
                <c:pt idx="333">
                  <c:v>647574</c:v>
                </c:pt>
                <c:pt idx="334">
                  <c:v>424940</c:v>
                </c:pt>
                <c:pt idx="335">
                  <c:v>651454</c:v>
                </c:pt>
                <c:pt idx="336">
                  <c:v>338556</c:v>
                </c:pt>
                <c:pt idx="337">
                  <c:v>429627</c:v>
                </c:pt>
                <c:pt idx="338">
                  <c:v>413709</c:v>
                </c:pt>
                <c:pt idx="339">
                  <c:v>413709</c:v>
                </c:pt>
                <c:pt idx="340">
                  <c:v>413709</c:v>
                </c:pt>
                <c:pt idx="341">
                  <c:v>489692</c:v>
                </c:pt>
                <c:pt idx="342">
                  <c:v>561202</c:v>
                </c:pt>
                <c:pt idx="343">
                  <c:v>554949</c:v>
                </c:pt>
                <c:pt idx="344">
                  <c:v>481050</c:v>
                </c:pt>
                <c:pt idx="345">
                  <c:v>406380</c:v>
                </c:pt>
                <c:pt idx="346">
                  <c:v>406380</c:v>
                </c:pt>
                <c:pt idx="347">
                  <c:v>406380</c:v>
                </c:pt>
                <c:pt idx="348">
                  <c:v>631386</c:v>
                </c:pt>
                <c:pt idx="349">
                  <c:v>570190</c:v>
                </c:pt>
                <c:pt idx="350">
                  <c:v>445586</c:v>
                </c:pt>
                <c:pt idx="351">
                  <c:v>285185</c:v>
                </c:pt>
                <c:pt idx="352">
                  <c:v>697225</c:v>
                </c:pt>
                <c:pt idx="353">
                  <c:v>697225</c:v>
                </c:pt>
                <c:pt idx="354">
                  <c:v>697225</c:v>
                </c:pt>
                <c:pt idx="355">
                  <c:v>922717</c:v>
                </c:pt>
                <c:pt idx="356">
                  <c:v>377767</c:v>
                </c:pt>
                <c:pt idx="357">
                  <c:v>861282</c:v>
                </c:pt>
                <c:pt idx="358">
                  <c:v>614483</c:v>
                </c:pt>
                <c:pt idx="359">
                  <c:v>737486</c:v>
                </c:pt>
                <c:pt idx="360">
                  <c:v>737486</c:v>
                </c:pt>
                <c:pt idx="361">
                  <c:v>737486</c:v>
                </c:pt>
                <c:pt idx="362">
                  <c:v>636616</c:v>
                </c:pt>
                <c:pt idx="363">
                  <c:v>1332736</c:v>
                </c:pt>
                <c:pt idx="364">
                  <c:v>417570</c:v>
                </c:pt>
                <c:pt idx="365">
                  <c:v>583192</c:v>
                </c:pt>
                <c:pt idx="366">
                  <c:v>476958</c:v>
                </c:pt>
                <c:pt idx="367">
                  <c:v>476958</c:v>
                </c:pt>
                <c:pt idx="368">
                  <c:v>476958</c:v>
                </c:pt>
                <c:pt idx="369">
                  <c:v>503010</c:v>
                </c:pt>
                <c:pt idx="370">
                  <c:v>440579</c:v>
                </c:pt>
                <c:pt idx="371">
                  <c:v>1454727</c:v>
                </c:pt>
                <c:pt idx="372">
                  <c:v>352676</c:v>
                </c:pt>
                <c:pt idx="373">
                  <c:v>352676</c:v>
                </c:pt>
                <c:pt idx="374">
                  <c:v>352676</c:v>
                </c:pt>
                <c:pt idx="375">
                  <c:v>352676</c:v>
                </c:pt>
                <c:pt idx="376">
                  <c:v>316199</c:v>
                </c:pt>
                <c:pt idx="377">
                  <c:v>406327</c:v>
                </c:pt>
                <c:pt idx="378">
                  <c:v>322364</c:v>
                </c:pt>
                <c:pt idx="379">
                  <c:v>240951</c:v>
                </c:pt>
                <c:pt idx="380">
                  <c:v>426169</c:v>
                </c:pt>
                <c:pt idx="381">
                  <c:v>426169</c:v>
                </c:pt>
                <c:pt idx="382">
                  <c:v>426169</c:v>
                </c:pt>
                <c:pt idx="383">
                  <c:v>360449</c:v>
                </c:pt>
                <c:pt idx="384">
                  <c:v>345904</c:v>
                </c:pt>
                <c:pt idx="385">
                  <c:v>454583</c:v>
                </c:pt>
                <c:pt idx="386">
                  <c:v>342736</c:v>
                </c:pt>
                <c:pt idx="387">
                  <c:v>448743</c:v>
                </c:pt>
                <c:pt idx="388">
                  <c:v>448743</c:v>
                </c:pt>
                <c:pt idx="389">
                  <c:v>448743</c:v>
                </c:pt>
                <c:pt idx="390">
                  <c:v>447096</c:v>
                </c:pt>
                <c:pt idx="391">
                  <c:v>590712</c:v>
                </c:pt>
                <c:pt idx="392">
                  <c:v>821427</c:v>
                </c:pt>
                <c:pt idx="393">
                  <c:v>495218</c:v>
                </c:pt>
                <c:pt idx="394">
                  <c:v>444658</c:v>
                </c:pt>
                <c:pt idx="395">
                  <c:v>444658</c:v>
                </c:pt>
                <c:pt idx="396">
                  <c:v>444658</c:v>
                </c:pt>
                <c:pt idx="397">
                  <c:v>550220</c:v>
                </c:pt>
                <c:pt idx="398">
                  <c:v>581495</c:v>
                </c:pt>
                <c:pt idx="399">
                  <c:v>670131</c:v>
                </c:pt>
                <c:pt idx="400">
                  <c:v>1221185</c:v>
                </c:pt>
                <c:pt idx="401">
                  <c:v>869912</c:v>
                </c:pt>
                <c:pt idx="402">
                  <c:v>869912</c:v>
                </c:pt>
                <c:pt idx="403">
                  <c:v>869912</c:v>
                </c:pt>
                <c:pt idx="404">
                  <c:v>2019802</c:v>
                </c:pt>
                <c:pt idx="405">
                  <c:v>839697</c:v>
                </c:pt>
                <c:pt idx="406">
                  <c:v>660059</c:v>
                </c:pt>
                <c:pt idx="407">
                  <c:v>863696</c:v>
                </c:pt>
                <c:pt idx="408">
                  <c:v>974624</c:v>
                </c:pt>
                <c:pt idx="409">
                  <c:v>974624</c:v>
                </c:pt>
                <c:pt idx="410">
                  <c:v>974624</c:v>
                </c:pt>
                <c:pt idx="411">
                  <c:v>1178175</c:v>
                </c:pt>
                <c:pt idx="412">
                  <c:v>782622</c:v>
                </c:pt>
                <c:pt idx="413">
                  <c:v>438358</c:v>
                </c:pt>
                <c:pt idx="414">
                  <c:v>712324</c:v>
                </c:pt>
                <c:pt idx="415">
                  <c:v>441256</c:v>
                </c:pt>
                <c:pt idx="416">
                  <c:v>441256</c:v>
                </c:pt>
                <c:pt idx="417">
                  <c:v>441256</c:v>
                </c:pt>
                <c:pt idx="418">
                  <c:v>704046</c:v>
                </c:pt>
                <c:pt idx="419">
                  <c:v>760998</c:v>
                </c:pt>
                <c:pt idx="420">
                  <c:v>736199</c:v>
                </c:pt>
                <c:pt idx="421">
                  <c:v>511660</c:v>
                </c:pt>
                <c:pt idx="422">
                  <c:v>288289</c:v>
                </c:pt>
                <c:pt idx="423">
                  <c:v>288289</c:v>
                </c:pt>
                <c:pt idx="424">
                  <c:v>288289</c:v>
                </c:pt>
                <c:pt idx="425">
                  <c:v>432281</c:v>
                </c:pt>
                <c:pt idx="426">
                  <c:v>378623</c:v>
                </c:pt>
                <c:pt idx="427">
                  <c:v>270382</c:v>
                </c:pt>
                <c:pt idx="428">
                  <c:v>379408</c:v>
                </c:pt>
                <c:pt idx="429">
                  <c:v>749665</c:v>
                </c:pt>
                <c:pt idx="430">
                  <c:v>749665</c:v>
                </c:pt>
                <c:pt idx="431">
                  <c:v>749665</c:v>
                </c:pt>
                <c:pt idx="432">
                  <c:v>497453</c:v>
                </c:pt>
                <c:pt idx="433">
                  <c:v>497453</c:v>
                </c:pt>
                <c:pt idx="434">
                  <c:v>409071</c:v>
                </c:pt>
                <c:pt idx="435">
                  <c:v>502264</c:v>
                </c:pt>
                <c:pt idx="436">
                  <c:v>805713</c:v>
                </c:pt>
                <c:pt idx="437">
                  <c:v>805713</c:v>
                </c:pt>
                <c:pt idx="438">
                  <c:v>805713</c:v>
                </c:pt>
                <c:pt idx="439">
                  <c:v>430977</c:v>
                </c:pt>
                <c:pt idx="440">
                  <c:v>418270</c:v>
                </c:pt>
                <c:pt idx="441">
                  <c:v>599579</c:v>
                </c:pt>
                <c:pt idx="442">
                  <c:v>551042</c:v>
                </c:pt>
                <c:pt idx="443">
                  <c:v>2371317</c:v>
                </c:pt>
                <c:pt idx="444">
                  <c:v>2371317</c:v>
                </c:pt>
                <c:pt idx="445">
                  <c:v>2371317</c:v>
                </c:pt>
                <c:pt idx="446">
                  <c:v>311273</c:v>
                </c:pt>
                <c:pt idx="447">
                  <c:v>448553</c:v>
                </c:pt>
                <c:pt idx="448">
                  <c:v>448553</c:v>
                </c:pt>
                <c:pt idx="449">
                  <c:v>264834</c:v>
                </c:pt>
                <c:pt idx="450">
                  <c:v>648643</c:v>
                </c:pt>
                <c:pt idx="451">
                  <c:v>648643</c:v>
                </c:pt>
                <c:pt idx="452">
                  <c:v>648643</c:v>
                </c:pt>
                <c:pt idx="453">
                  <c:v>900727</c:v>
                </c:pt>
                <c:pt idx="454">
                  <c:v>575186</c:v>
                </c:pt>
                <c:pt idx="455">
                  <c:v>325262</c:v>
                </c:pt>
                <c:pt idx="456">
                  <c:v>233162</c:v>
                </c:pt>
                <c:pt idx="457">
                  <c:v>336679</c:v>
                </c:pt>
                <c:pt idx="458">
                  <c:v>336679</c:v>
                </c:pt>
                <c:pt idx="459">
                  <c:v>336679</c:v>
                </c:pt>
                <c:pt idx="460">
                  <c:v>451633</c:v>
                </c:pt>
                <c:pt idx="461">
                  <c:v>334555</c:v>
                </c:pt>
                <c:pt idx="462">
                  <c:v>529994</c:v>
                </c:pt>
                <c:pt idx="463">
                  <c:v>674913</c:v>
                </c:pt>
                <c:pt idx="464">
                  <c:v>616942</c:v>
                </c:pt>
                <c:pt idx="465">
                  <c:v>616942</c:v>
                </c:pt>
                <c:pt idx="466">
                  <c:v>616942</c:v>
                </c:pt>
                <c:pt idx="467">
                  <c:v>813606</c:v>
                </c:pt>
                <c:pt idx="468">
                  <c:v>528893</c:v>
                </c:pt>
                <c:pt idx="469">
                  <c:v>450861</c:v>
                </c:pt>
                <c:pt idx="470">
                  <c:v>374524</c:v>
                </c:pt>
                <c:pt idx="471">
                  <c:v>374524</c:v>
                </c:pt>
                <c:pt idx="472">
                  <c:v>374524</c:v>
                </c:pt>
                <c:pt idx="473">
                  <c:v>374524</c:v>
                </c:pt>
                <c:pt idx="474">
                  <c:v>793961</c:v>
                </c:pt>
                <c:pt idx="475">
                  <c:v>615613</c:v>
                </c:pt>
                <c:pt idx="476">
                  <c:v>433063</c:v>
                </c:pt>
                <c:pt idx="477">
                  <c:v>400332</c:v>
                </c:pt>
                <c:pt idx="478">
                  <c:v>390218</c:v>
                </c:pt>
                <c:pt idx="479">
                  <c:v>390218</c:v>
                </c:pt>
                <c:pt idx="480">
                  <c:v>390218</c:v>
                </c:pt>
                <c:pt idx="481">
                  <c:v>815324</c:v>
                </c:pt>
                <c:pt idx="482">
                  <c:v>1571714</c:v>
                </c:pt>
                <c:pt idx="483">
                  <c:v>817497</c:v>
                </c:pt>
                <c:pt idx="484">
                  <c:v>467207</c:v>
                </c:pt>
                <c:pt idx="485">
                  <c:v>581657</c:v>
                </c:pt>
                <c:pt idx="486">
                  <c:v>581657</c:v>
                </c:pt>
                <c:pt idx="487">
                  <c:v>581657</c:v>
                </c:pt>
                <c:pt idx="488">
                  <c:v>552489</c:v>
                </c:pt>
                <c:pt idx="489">
                  <c:v>775376</c:v>
                </c:pt>
                <c:pt idx="490">
                  <c:v>660906</c:v>
                </c:pt>
                <c:pt idx="491">
                  <c:v>295612</c:v>
                </c:pt>
                <c:pt idx="492">
                  <c:v>544964</c:v>
                </c:pt>
                <c:pt idx="493">
                  <c:v>544964</c:v>
                </c:pt>
                <c:pt idx="494">
                  <c:v>544964</c:v>
                </c:pt>
                <c:pt idx="495">
                  <c:v>303895</c:v>
                </c:pt>
                <c:pt idx="496">
                  <c:v>436398</c:v>
                </c:pt>
                <c:pt idx="497">
                  <c:v>423611</c:v>
                </c:pt>
                <c:pt idx="498">
                  <c:v>354484</c:v>
                </c:pt>
                <c:pt idx="499">
                  <c:v>167549</c:v>
                </c:pt>
                <c:pt idx="500">
                  <c:v>167549</c:v>
                </c:pt>
                <c:pt idx="501">
                  <c:v>167549</c:v>
                </c:pt>
                <c:pt idx="502">
                  <c:v>357438</c:v>
                </c:pt>
                <c:pt idx="503">
                  <c:v>220723</c:v>
                </c:pt>
                <c:pt idx="504">
                  <c:v>258726</c:v>
                </c:pt>
                <c:pt idx="505">
                  <c:v>276429</c:v>
                </c:pt>
                <c:pt idx="506">
                  <c:v>290269</c:v>
                </c:pt>
                <c:pt idx="507">
                  <c:v>290269</c:v>
                </c:pt>
                <c:pt idx="508">
                  <c:v>290269</c:v>
                </c:pt>
                <c:pt idx="509">
                  <c:v>205745</c:v>
                </c:pt>
                <c:pt idx="510">
                  <c:v>211688</c:v>
                </c:pt>
                <c:pt idx="511">
                  <c:v>231465</c:v>
                </c:pt>
                <c:pt idx="512">
                  <c:v>278616</c:v>
                </c:pt>
                <c:pt idx="513">
                  <c:v>275477</c:v>
                </c:pt>
                <c:pt idx="514">
                  <c:v>275477</c:v>
                </c:pt>
                <c:pt idx="515">
                  <c:v>275477</c:v>
                </c:pt>
                <c:pt idx="516">
                  <c:v>301021</c:v>
                </c:pt>
                <c:pt idx="517">
                  <c:v>275247</c:v>
                </c:pt>
                <c:pt idx="518">
                  <c:v>221880</c:v>
                </c:pt>
                <c:pt idx="519">
                  <c:v>170055</c:v>
                </c:pt>
                <c:pt idx="520">
                  <c:v>253322</c:v>
                </c:pt>
                <c:pt idx="521">
                  <c:v>253322</c:v>
                </c:pt>
                <c:pt idx="522">
                  <c:v>253322</c:v>
                </c:pt>
                <c:pt idx="523">
                  <c:v>456546</c:v>
                </c:pt>
                <c:pt idx="524">
                  <c:v>344427</c:v>
                </c:pt>
                <c:pt idx="525">
                  <c:v>432799</c:v>
                </c:pt>
                <c:pt idx="526">
                  <c:v>309767</c:v>
                </c:pt>
                <c:pt idx="527">
                  <c:v>315576</c:v>
                </c:pt>
                <c:pt idx="528">
                  <c:v>315576</c:v>
                </c:pt>
                <c:pt idx="529">
                  <c:v>315576</c:v>
                </c:pt>
                <c:pt idx="530">
                  <c:v>315576</c:v>
                </c:pt>
                <c:pt idx="531">
                  <c:v>275381</c:v>
                </c:pt>
                <c:pt idx="532">
                  <c:v>175647</c:v>
                </c:pt>
                <c:pt idx="533">
                  <c:v>262884</c:v>
                </c:pt>
                <c:pt idx="534">
                  <c:v>342032</c:v>
                </c:pt>
                <c:pt idx="535">
                  <c:v>342032</c:v>
                </c:pt>
                <c:pt idx="536">
                  <c:v>342032</c:v>
                </c:pt>
                <c:pt idx="537">
                  <c:v>566125</c:v>
                </c:pt>
                <c:pt idx="538">
                  <c:v>235216</c:v>
                </c:pt>
                <c:pt idx="539">
                  <c:v>368593</c:v>
                </c:pt>
                <c:pt idx="540">
                  <c:v>328229</c:v>
                </c:pt>
                <c:pt idx="541">
                  <c:v>662040</c:v>
                </c:pt>
                <c:pt idx="542">
                  <c:v>662040</c:v>
                </c:pt>
                <c:pt idx="543">
                  <c:v>662040</c:v>
                </c:pt>
                <c:pt idx="544">
                  <c:v>336739</c:v>
                </c:pt>
                <c:pt idx="545">
                  <c:v>239488</c:v>
                </c:pt>
                <c:pt idx="546">
                  <c:v>190498</c:v>
                </c:pt>
                <c:pt idx="547">
                  <c:v>200564</c:v>
                </c:pt>
                <c:pt idx="548">
                  <c:v>543098</c:v>
                </c:pt>
                <c:pt idx="549">
                  <c:v>543098</c:v>
                </c:pt>
                <c:pt idx="550">
                  <c:v>543098</c:v>
                </c:pt>
                <c:pt idx="551">
                  <c:v>352149</c:v>
                </c:pt>
                <c:pt idx="552">
                  <c:v>495783</c:v>
                </c:pt>
                <c:pt idx="553">
                  <c:v>342137</c:v>
                </c:pt>
                <c:pt idx="554">
                  <c:v>360967</c:v>
                </c:pt>
                <c:pt idx="555">
                  <c:v>544092</c:v>
                </c:pt>
                <c:pt idx="556">
                  <c:v>544092</c:v>
                </c:pt>
                <c:pt idx="557">
                  <c:v>544092</c:v>
                </c:pt>
                <c:pt idx="558">
                  <c:v>373026</c:v>
                </c:pt>
                <c:pt idx="559">
                  <c:v>459604</c:v>
                </c:pt>
                <c:pt idx="560">
                  <c:v>580674</c:v>
                </c:pt>
                <c:pt idx="561">
                  <c:v>523111</c:v>
                </c:pt>
                <c:pt idx="562">
                  <c:v>503320</c:v>
                </c:pt>
                <c:pt idx="563">
                  <c:v>503320</c:v>
                </c:pt>
                <c:pt idx="564">
                  <c:v>503320</c:v>
                </c:pt>
                <c:pt idx="565">
                  <c:v>399698</c:v>
                </c:pt>
                <c:pt idx="566">
                  <c:v>936410</c:v>
                </c:pt>
                <c:pt idx="567">
                  <c:v>689923</c:v>
                </c:pt>
                <c:pt idx="568">
                  <c:v>433091</c:v>
                </c:pt>
                <c:pt idx="569">
                  <c:v>433091</c:v>
                </c:pt>
                <c:pt idx="570">
                  <c:v>433091</c:v>
                </c:pt>
                <c:pt idx="571">
                  <c:v>433091</c:v>
                </c:pt>
                <c:pt idx="572">
                  <c:v>324012</c:v>
                </c:pt>
                <c:pt idx="573">
                  <c:v>366991</c:v>
                </c:pt>
                <c:pt idx="574">
                  <c:v>330028</c:v>
                </c:pt>
                <c:pt idx="575">
                  <c:v>481101</c:v>
                </c:pt>
                <c:pt idx="576">
                  <c:v>298469</c:v>
                </c:pt>
                <c:pt idx="577">
                  <c:v>298469</c:v>
                </c:pt>
                <c:pt idx="578">
                  <c:v>298469</c:v>
                </c:pt>
                <c:pt idx="579">
                  <c:v>220603</c:v>
                </c:pt>
                <c:pt idx="580">
                  <c:v>359173</c:v>
                </c:pt>
                <c:pt idx="581">
                  <c:v>183923</c:v>
                </c:pt>
                <c:pt idx="582">
                  <c:v>233562</c:v>
                </c:pt>
                <c:pt idx="583">
                  <c:v>492106</c:v>
                </c:pt>
                <c:pt idx="584">
                  <c:v>492106</c:v>
                </c:pt>
                <c:pt idx="585">
                  <c:v>492106</c:v>
                </c:pt>
                <c:pt idx="586">
                  <c:v>662555</c:v>
                </c:pt>
                <c:pt idx="587">
                  <c:v>295177</c:v>
                </c:pt>
                <c:pt idx="588">
                  <c:v>216572</c:v>
                </c:pt>
                <c:pt idx="589">
                  <c:v>274580</c:v>
                </c:pt>
                <c:pt idx="590">
                  <c:v>172544</c:v>
                </c:pt>
                <c:pt idx="591">
                  <c:v>172544</c:v>
                </c:pt>
                <c:pt idx="592">
                  <c:v>172544</c:v>
                </c:pt>
                <c:pt idx="593">
                  <c:v>254617</c:v>
                </c:pt>
                <c:pt idx="594">
                  <c:v>164668</c:v>
                </c:pt>
                <c:pt idx="595">
                  <c:v>223265</c:v>
                </c:pt>
                <c:pt idx="596">
                  <c:v>258224</c:v>
                </c:pt>
                <c:pt idx="597">
                  <c:v>372521</c:v>
                </c:pt>
                <c:pt idx="598">
                  <c:v>372521</c:v>
                </c:pt>
                <c:pt idx="599">
                  <c:v>372521</c:v>
                </c:pt>
                <c:pt idx="600">
                  <c:v>190561</c:v>
                </c:pt>
                <c:pt idx="601">
                  <c:v>327468</c:v>
                </c:pt>
                <c:pt idx="602">
                  <c:v>318458</c:v>
                </c:pt>
                <c:pt idx="603">
                  <c:v>185668</c:v>
                </c:pt>
                <c:pt idx="604">
                  <c:v>185668</c:v>
                </c:pt>
                <c:pt idx="605">
                  <c:v>185668</c:v>
                </c:pt>
                <c:pt idx="606">
                  <c:v>185668</c:v>
                </c:pt>
                <c:pt idx="607">
                  <c:v>349366</c:v>
                </c:pt>
                <c:pt idx="608">
                  <c:v>249451</c:v>
                </c:pt>
                <c:pt idx="609">
                  <c:v>225127</c:v>
                </c:pt>
                <c:pt idx="610">
                  <c:v>288097</c:v>
                </c:pt>
                <c:pt idx="611">
                  <c:v>408200</c:v>
                </c:pt>
                <c:pt idx="612">
                  <c:v>408200</c:v>
                </c:pt>
                <c:pt idx="613">
                  <c:v>408200</c:v>
                </c:pt>
                <c:pt idx="614">
                  <c:v>413093</c:v>
                </c:pt>
                <c:pt idx="615">
                  <c:v>369831</c:v>
                </c:pt>
                <c:pt idx="616">
                  <c:v>307587</c:v>
                </c:pt>
                <c:pt idx="617">
                  <c:v>162173</c:v>
                </c:pt>
                <c:pt idx="618">
                  <c:v>162173</c:v>
                </c:pt>
                <c:pt idx="619">
                  <c:v>162173</c:v>
                </c:pt>
                <c:pt idx="620">
                  <c:v>162173</c:v>
                </c:pt>
                <c:pt idx="621">
                  <c:v>215756</c:v>
                </c:pt>
                <c:pt idx="622">
                  <c:v>218329</c:v>
                </c:pt>
                <c:pt idx="623">
                  <c:v>141007</c:v>
                </c:pt>
                <c:pt idx="624">
                  <c:v>180657</c:v>
                </c:pt>
                <c:pt idx="625">
                  <c:v>180657</c:v>
                </c:pt>
                <c:pt idx="626">
                  <c:v>180657</c:v>
                </c:pt>
                <c:pt idx="627">
                  <c:v>180657</c:v>
                </c:pt>
                <c:pt idx="628">
                  <c:v>402611</c:v>
                </c:pt>
                <c:pt idx="629">
                  <c:v>317838</c:v>
                </c:pt>
                <c:pt idx="630">
                  <c:v>277317</c:v>
                </c:pt>
                <c:pt idx="631">
                  <c:v>337283</c:v>
                </c:pt>
                <c:pt idx="632">
                  <c:v>850683</c:v>
                </c:pt>
                <c:pt idx="633">
                  <c:v>850683</c:v>
                </c:pt>
                <c:pt idx="634">
                  <c:v>850683</c:v>
                </c:pt>
                <c:pt idx="635">
                  <c:v>818419</c:v>
                </c:pt>
                <c:pt idx="636">
                  <c:v>389570</c:v>
                </c:pt>
                <c:pt idx="637">
                  <c:v>261676</c:v>
                </c:pt>
                <c:pt idx="638">
                  <c:v>384362</c:v>
                </c:pt>
                <c:pt idx="639">
                  <c:v>533125</c:v>
                </c:pt>
                <c:pt idx="640">
                  <c:v>533125</c:v>
                </c:pt>
                <c:pt idx="641">
                  <c:v>533125</c:v>
                </c:pt>
                <c:pt idx="642">
                  <c:v>613367</c:v>
                </c:pt>
                <c:pt idx="643">
                  <c:v>363061</c:v>
                </c:pt>
                <c:pt idx="644">
                  <c:v>327389</c:v>
                </c:pt>
                <c:pt idx="645">
                  <c:v>656789</c:v>
                </c:pt>
                <c:pt idx="646">
                  <c:v>369407</c:v>
                </c:pt>
                <c:pt idx="647">
                  <c:v>369407</c:v>
                </c:pt>
                <c:pt idx="648">
                  <c:v>369407</c:v>
                </c:pt>
                <c:pt idx="649">
                  <c:v>294766</c:v>
                </c:pt>
                <c:pt idx="650">
                  <c:v>384176</c:v>
                </c:pt>
                <c:pt idx="651">
                  <c:v>272212</c:v>
                </c:pt>
                <c:pt idx="652">
                  <c:v>262959</c:v>
                </c:pt>
                <c:pt idx="653">
                  <c:v>129488</c:v>
                </c:pt>
                <c:pt idx="654">
                  <c:v>129488</c:v>
                </c:pt>
                <c:pt idx="655">
                  <c:v>129488</c:v>
                </c:pt>
                <c:pt idx="656">
                  <c:v>177588</c:v>
                </c:pt>
                <c:pt idx="657">
                  <c:v>177588</c:v>
                </c:pt>
                <c:pt idx="658">
                  <c:v>225874</c:v>
                </c:pt>
                <c:pt idx="659">
                  <c:v>893620</c:v>
                </c:pt>
                <c:pt idx="660">
                  <c:v>505296</c:v>
                </c:pt>
                <c:pt idx="661">
                  <c:v>505296</c:v>
                </c:pt>
                <c:pt idx="662">
                  <c:v>505296</c:v>
                </c:pt>
                <c:pt idx="663">
                  <c:v>503510</c:v>
                </c:pt>
                <c:pt idx="664">
                  <c:v>839046</c:v>
                </c:pt>
                <c:pt idx="665">
                  <c:v>575815</c:v>
                </c:pt>
                <c:pt idx="666">
                  <c:v>444120</c:v>
                </c:pt>
                <c:pt idx="667">
                  <c:v>491885</c:v>
                </c:pt>
                <c:pt idx="668">
                  <c:v>491885</c:v>
                </c:pt>
                <c:pt idx="669">
                  <c:v>491885</c:v>
                </c:pt>
                <c:pt idx="670">
                  <c:v>669187</c:v>
                </c:pt>
                <c:pt idx="671">
                  <c:v>1115939</c:v>
                </c:pt>
                <c:pt idx="672">
                  <c:v>606176</c:v>
                </c:pt>
                <c:pt idx="673">
                  <c:v>483457</c:v>
                </c:pt>
                <c:pt idx="674">
                  <c:v>621021</c:v>
                </c:pt>
                <c:pt idx="675">
                  <c:v>621021</c:v>
                </c:pt>
                <c:pt idx="676">
                  <c:v>621021</c:v>
                </c:pt>
                <c:pt idx="677">
                  <c:v>684223</c:v>
                </c:pt>
                <c:pt idx="678">
                  <c:v>727031</c:v>
                </c:pt>
                <c:pt idx="679">
                  <c:v>347155</c:v>
                </c:pt>
                <c:pt idx="680">
                  <c:v>356517</c:v>
                </c:pt>
                <c:pt idx="681">
                  <c:v>459921</c:v>
                </c:pt>
                <c:pt idx="682">
                  <c:v>459921</c:v>
                </c:pt>
                <c:pt idx="683">
                  <c:v>459921</c:v>
                </c:pt>
                <c:pt idx="684">
                  <c:v>471452</c:v>
                </c:pt>
                <c:pt idx="685">
                  <c:v>478322</c:v>
                </c:pt>
                <c:pt idx="686">
                  <c:v>626039</c:v>
                </c:pt>
                <c:pt idx="687">
                  <c:v>344484</c:v>
                </c:pt>
                <c:pt idx="688">
                  <c:v>564050</c:v>
                </c:pt>
                <c:pt idx="689">
                  <c:v>564050</c:v>
                </c:pt>
                <c:pt idx="690">
                  <c:v>564050</c:v>
                </c:pt>
                <c:pt idx="691">
                  <c:v>662446</c:v>
                </c:pt>
                <c:pt idx="692">
                  <c:v>486710</c:v>
                </c:pt>
                <c:pt idx="693">
                  <c:v>462784</c:v>
                </c:pt>
                <c:pt idx="694">
                  <c:v>396828</c:v>
                </c:pt>
                <c:pt idx="695">
                  <c:v>426659</c:v>
                </c:pt>
                <c:pt idx="696">
                  <c:v>426659</c:v>
                </c:pt>
                <c:pt idx="697">
                  <c:v>426659</c:v>
                </c:pt>
                <c:pt idx="698">
                  <c:v>456278</c:v>
                </c:pt>
                <c:pt idx="699">
                  <c:v>347745</c:v>
                </c:pt>
                <c:pt idx="700">
                  <c:v>399094</c:v>
                </c:pt>
                <c:pt idx="701">
                  <c:v>213506</c:v>
                </c:pt>
                <c:pt idx="702">
                  <c:v>337341</c:v>
                </c:pt>
                <c:pt idx="703">
                  <c:v>337341</c:v>
                </c:pt>
                <c:pt idx="704">
                  <c:v>337341</c:v>
                </c:pt>
                <c:pt idx="705">
                  <c:v>315532</c:v>
                </c:pt>
                <c:pt idx="706">
                  <c:v>302529</c:v>
                </c:pt>
                <c:pt idx="707">
                  <c:v>414425</c:v>
                </c:pt>
                <c:pt idx="708">
                  <c:v>393096</c:v>
                </c:pt>
                <c:pt idx="709">
                  <c:v>460816</c:v>
                </c:pt>
                <c:pt idx="710">
                  <c:v>460816</c:v>
                </c:pt>
                <c:pt idx="711">
                  <c:v>460816</c:v>
                </c:pt>
                <c:pt idx="712">
                  <c:v>480806</c:v>
                </c:pt>
                <c:pt idx="713">
                  <c:v>329268</c:v>
                </c:pt>
                <c:pt idx="714">
                  <c:v>261660</c:v>
                </c:pt>
                <c:pt idx="715">
                  <c:v>228465</c:v>
                </c:pt>
                <c:pt idx="716">
                  <c:v>348910</c:v>
                </c:pt>
                <c:pt idx="717">
                  <c:v>348910</c:v>
                </c:pt>
                <c:pt idx="718">
                  <c:v>348910</c:v>
                </c:pt>
                <c:pt idx="719">
                  <c:v>499296</c:v>
                </c:pt>
                <c:pt idx="720">
                  <c:v>217891</c:v>
                </c:pt>
                <c:pt idx="721">
                  <c:v>283760</c:v>
                </c:pt>
                <c:pt idx="722">
                  <c:v>368413</c:v>
                </c:pt>
                <c:pt idx="723">
                  <c:v>654608</c:v>
                </c:pt>
                <c:pt idx="724">
                  <c:v>654608</c:v>
                </c:pt>
                <c:pt idx="725">
                  <c:v>654608</c:v>
                </c:pt>
                <c:pt idx="726">
                  <c:v>552878</c:v>
                </c:pt>
                <c:pt idx="727">
                  <c:v>580703</c:v>
                </c:pt>
                <c:pt idx="728">
                  <c:v>378829</c:v>
                </c:pt>
                <c:pt idx="729">
                  <c:v>251485</c:v>
                </c:pt>
                <c:pt idx="730">
                  <c:v>421244</c:v>
                </c:pt>
                <c:pt idx="731">
                  <c:v>421244</c:v>
                </c:pt>
                <c:pt idx="732">
                  <c:v>421244</c:v>
                </c:pt>
                <c:pt idx="733">
                  <c:v>731702</c:v>
                </c:pt>
                <c:pt idx="734">
                  <c:v>376885</c:v>
                </c:pt>
                <c:pt idx="735">
                  <c:v>448969</c:v>
                </c:pt>
                <c:pt idx="736">
                  <c:v>231205</c:v>
                </c:pt>
                <c:pt idx="737">
                  <c:v>231205</c:v>
                </c:pt>
                <c:pt idx="738">
                  <c:v>231205</c:v>
                </c:pt>
                <c:pt idx="739">
                  <c:v>231205</c:v>
                </c:pt>
                <c:pt idx="740">
                  <c:v>303571</c:v>
                </c:pt>
                <c:pt idx="741">
                  <c:v>257049</c:v>
                </c:pt>
                <c:pt idx="742">
                  <c:v>283988</c:v>
                </c:pt>
                <c:pt idx="743">
                  <c:v>236685</c:v>
                </c:pt>
                <c:pt idx="744">
                  <c:v>244966</c:v>
                </c:pt>
                <c:pt idx="745">
                  <c:v>244966</c:v>
                </c:pt>
                <c:pt idx="746">
                  <c:v>244966</c:v>
                </c:pt>
                <c:pt idx="747">
                  <c:v>258521</c:v>
                </c:pt>
                <c:pt idx="748">
                  <c:v>450653</c:v>
                </c:pt>
                <c:pt idx="749">
                  <c:v>349357</c:v>
                </c:pt>
                <c:pt idx="750">
                  <c:v>335022</c:v>
                </c:pt>
                <c:pt idx="751">
                  <c:v>490478</c:v>
                </c:pt>
                <c:pt idx="752">
                  <c:v>490478</c:v>
                </c:pt>
                <c:pt idx="753">
                  <c:v>490478</c:v>
                </c:pt>
                <c:pt idx="754">
                  <c:v>431918</c:v>
                </c:pt>
                <c:pt idx="755">
                  <c:v>389006</c:v>
                </c:pt>
                <c:pt idx="756">
                  <c:v>422193</c:v>
                </c:pt>
                <c:pt idx="757">
                  <c:v>594931</c:v>
                </c:pt>
                <c:pt idx="758">
                  <c:v>395736</c:v>
                </c:pt>
                <c:pt idx="759">
                  <c:v>395736</c:v>
                </c:pt>
                <c:pt idx="760">
                  <c:v>395736</c:v>
                </c:pt>
                <c:pt idx="761">
                  <c:v>549486</c:v>
                </c:pt>
                <c:pt idx="762">
                  <c:v>385084</c:v>
                </c:pt>
                <c:pt idx="763">
                  <c:v>686295</c:v>
                </c:pt>
                <c:pt idx="764">
                  <c:v>692863</c:v>
                </c:pt>
                <c:pt idx="765">
                  <c:v>701516</c:v>
                </c:pt>
                <c:pt idx="766">
                  <c:v>701516</c:v>
                </c:pt>
                <c:pt idx="767">
                  <c:v>701516</c:v>
                </c:pt>
                <c:pt idx="768">
                  <c:v>1062981</c:v>
                </c:pt>
                <c:pt idx="769">
                  <c:v>611579</c:v>
                </c:pt>
                <c:pt idx="770">
                  <c:v>580009</c:v>
                </c:pt>
                <c:pt idx="771">
                  <c:v>453221</c:v>
                </c:pt>
                <c:pt idx="772">
                  <c:v>530960</c:v>
                </c:pt>
                <c:pt idx="773">
                  <c:v>530960</c:v>
                </c:pt>
                <c:pt idx="774">
                  <c:v>530960</c:v>
                </c:pt>
                <c:pt idx="775">
                  <c:v>750763</c:v>
                </c:pt>
                <c:pt idx="776">
                  <c:v>435068</c:v>
                </c:pt>
                <c:pt idx="777">
                  <c:v>420560</c:v>
                </c:pt>
                <c:pt idx="778">
                  <c:v>530601</c:v>
                </c:pt>
                <c:pt idx="779">
                  <c:v>571505</c:v>
                </c:pt>
                <c:pt idx="780">
                  <c:v>571505</c:v>
                </c:pt>
                <c:pt idx="781">
                  <c:v>571505</c:v>
                </c:pt>
                <c:pt idx="782">
                  <c:v>435719</c:v>
                </c:pt>
                <c:pt idx="783">
                  <c:v>500348</c:v>
                </c:pt>
                <c:pt idx="784">
                  <c:v>521020</c:v>
                </c:pt>
                <c:pt idx="785">
                  <c:v>605876</c:v>
                </c:pt>
                <c:pt idx="786">
                  <c:v>418410</c:v>
                </c:pt>
                <c:pt idx="787">
                  <c:v>418410</c:v>
                </c:pt>
                <c:pt idx="788">
                  <c:v>418410</c:v>
                </c:pt>
                <c:pt idx="789">
                  <c:v>316894</c:v>
                </c:pt>
                <c:pt idx="790">
                  <c:v>559329</c:v>
                </c:pt>
                <c:pt idx="791">
                  <c:v>467174</c:v>
                </c:pt>
                <c:pt idx="792">
                  <c:v>325223</c:v>
                </c:pt>
                <c:pt idx="793">
                  <c:v>289022</c:v>
                </c:pt>
                <c:pt idx="794">
                  <c:v>289022</c:v>
                </c:pt>
                <c:pt idx="795">
                  <c:v>289022</c:v>
                </c:pt>
                <c:pt idx="796">
                  <c:v>319371</c:v>
                </c:pt>
                <c:pt idx="797">
                  <c:v>430671</c:v>
                </c:pt>
                <c:pt idx="798">
                  <c:v>172496</c:v>
                </c:pt>
                <c:pt idx="799">
                  <c:v>172496</c:v>
                </c:pt>
                <c:pt idx="800">
                  <c:v>222291</c:v>
                </c:pt>
                <c:pt idx="801">
                  <c:v>222291</c:v>
                </c:pt>
                <c:pt idx="802">
                  <c:v>222291</c:v>
                </c:pt>
                <c:pt idx="803">
                  <c:v>375781</c:v>
                </c:pt>
                <c:pt idx="804">
                  <c:v>368080</c:v>
                </c:pt>
                <c:pt idx="805">
                  <c:v>499159</c:v>
                </c:pt>
                <c:pt idx="806">
                  <c:v>350884</c:v>
                </c:pt>
                <c:pt idx="807">
                  <c:v>354523</c:v>
                </c:pt>
                <c:pt idx="808">
                  <c:v>354523</c:v>
                </c:pt>
                <c:pt idx="809">
                  <c:v>354523</c:v>
                </c:pt>
                <c:pt idx="810">
                  <c:v>331487</c:v>
                </c:pt>
                <c:pt idx="811">
                  <c:v>335651</c:v>
                </c:pt>
                <c:pt idx="812">
                  <c:v>371593</c:v>
                </c:pt>
                <c:pt idx="813">
                  <c:v>596955</c:v>
                </c:pt>
                <c:pt idx="814">
                  <c:v>596955</c:v>
                </c:pt>
                <c:pt idx="815">
                  <c:v>596955</c:v>
                </c:pt>
                <c:pt idx="816">
                  <c:v>596955</c:v>
                </c:pt>
                <c:pt idx="817">
                  <c:v>381991</c:v>
                </c:pt>
                <c:pt idx="818">
                  <c:v>552779</c:v>
                </c:pt>
                <c:pt idx="819">
                  <c:v>299815</c:v>
                </c:pt>
                <c:pt idx="820">
                  <c:v>210172</c:v>
                </c:pt>
                <c:pt idx="821">
                  <c:v>202817</c:v>
                </c:pt>
                <c:pt idx="822">
                  <c:v>202817</c:v>
                </c:pt>
                <c:pt idx="823">
                  <c:v>202817</c:v>
                </c:pt>
                <c:pt idx="824">
                  <c:v>233742</c:v>
                </c:pt>
                <c:pt idx="825">
                  <c:v>367880</c:v>
                </c:pt>
                <c:pt idx="826">
                  <c:v>510577</c:v>
                </c:pt>
                <c:pt idx="827">
                  <c:v>702097</c:v>
                </c:pt>
                <c:pt idx="828">
                  <c:v>510330</c:v>
                </c:pt>
                <c:pt idx="829">
                  <c:v>510330</c:v>
                </c:pt>
                <c:pt idx="830">
                  <c:v>510330</c:v>
                </c:pt>
                <c:pt idx="831">
                  <c:v>518695</c:v>
                </c:pt>
                <c:pt idx="832">
                  <c:v>493776</c:v>
                </c:pt>
                <c:pt idx="833">
                  <c:v>433701</c:v>
                </c:pt>
                <c:pt idx="834">
                  <c:v>236805</c:v>
                </c:pt>
                <c:pt idx="835">
                  <c:v>236805</c:v>
                </c:pt>
                <c:pt idx="836">
                  <c:v>236805</c:v>
                </c:pt>
                <c:pt idx="837">
                  <c:v>236805</c:v>
                </c:pt>
                <c:pt idx="838">
                  <c:v>341987</c:v>
                </c:pt>
                <c:pt idx="839">
                  <c:v>388606</c:v>
                </c:pt>
                <c:pt idx="840">
                  <c:v>324841</c:v>
                </c:pt>
                <c:pt idx="841">
                  <c:v>255847</c:v>
                </c:pt>
                <c:pt idx="842">
                  <c:v>379053</c:v>
                </c:pt>
                <c:pt idx="843">
                  <c:v>379053</c:v>
                </c:pt>
                <c:pt idx="844">
                  <c:v>379053</c:v>
                </c:pt>
                <c:pt idx="845">
                  <c:v>294241</c:v>
                </c:pt>
                <c:pt idx="846">
                  <c:v>740520</c:v>
                </c:pt>
                <c:pt idx="847">
                  <c:v>618915</c:v>
                </c:pt>
                <c:pt idx="848">
                  <c:v>344766</c:v>
                </c:pt>
                <c:pt idx="849">
                  <c:v>706883</c:v>
                </c:pt>
                <c:pt idx="850">
                  <c:v>706883</c:v>
                </c:pt>
                <c:pt idx="851">
                  <c:v>706883</c:v>
                </c:pt>
                <c:pt idx="852">
                  <c:v>679024</c:v>
                </c:pt>
                <c:pt idx="853">
                  <c:v>1595611</c:v>
                </c:pt>
                <c:pt idx="854">
                  <c:v>521544</c:v>
                </c:pt>
                <c:pt idx="855">
                  <c:v>291188</c:v>
                </c:pt>
                <c:pt idx="856">
                  <c:v>371108</c:v>
                </c:pt>
                <c:pt idx="857">
                  <c:v>371108</c:v>
                </c:pt>
                <c:pt idx="858">
                  <c:v>371108</c:v>
                </c:pt>
                <c:pt idx="859">
                  <c:v>407179</c:v>
                </c:pt>
                <c:pt idx="860">
                  <c:v>562461</c:v>
                </c:pt>
                <c:pt idx="861">
                  <c:v>651109</c:v>
                </c:pt>
                <c:pt idx="862">
                  <c:v>506472</c:v>
                </c:pt>
                <c:pt idx="863">
                  <c:v>249529</c:v>
                </c:pt>
                <c:pt idx="864">
                  <c:v>249529</c:v>
                </c:pt>
                <c:pt idx="865">
                  <c:v>249529</c:v>
                </c:pt>
                <c:pt idx="866">
                  <c:v>1013386</c:v>
                </c:pt>
                <c:pt idx="867">
                  <c:v>456481</c:v>
                </c:pt>
                <c:pt idx="868">
                  <c:v>759285</c:v>
                </c:pt>
                <c:pt idx="869">
                  <c:v>390017</c:v>
                </c:pt>
                <c:pt idx="870">
                  <c:v>318922</c:v>
                </c:pt>
                <c:pt idx="871">
                  <c:v>318922</c:v>
                </c:pt>
                <c:pt idx="872">
                  <c:v>318922</c:v>
                </c:pt>
                <c:pt idx="873">
                  <c:v>421564</c:v>
                </c:pt>
                <c:pt idx="874">
                  <c:v>498082</c:v>
                </c:pt>
                <c:pt idx="875">
                  <c:v>429715</c:v>
                </c:pt>
                <c:pt idx="876">
                  <c:v>258487</c:v>
                </c:pt>
                <c:pt idx="877">
                  <c:v>468310</c:v>
                </c:pt>
                <c:pt idx="878">
                  <c:v>468310</c:v>
                </c:pt>
                <c:pt idx="879">
                  <c:v>468310</c:v>
                </c:pt>
                <c:pt idx="880">
                  <c:v>365459</c:v>
                </c:pt>
                <c:pt idx="881">
                  <c:v>222129</c:v>
                </c:pt>
                <c:pt idx="882">
                  <c:v>399991</c:v>
                </c:pt>
                <c:pt idx="883">
                  <c:v>448270</c:v>
                </c:pt>
                <c:pt idx="884">
                  <c:v>324376</c:v>
                </c:pt>
                <c:pt idx="885">
                  <c:v>324376</c:v>
                </c:pt>
                <c:pt idx="886">
                  <c:v>324376</c:v>
                </c:pt>
                <c:pt idx="887">
                  <c:v>324376</c:v>
                </c:pt>
                <c:pt idx="888">
                  <c:v>497903</c:v>
                </c:pt>
                <c:pt idx="889">
                  <c:v>458826</c:v>
                </c:pt>
                <c:pt idx="890">
                  <c:v>395045</c:v>
                </c:pt>
                <c:pt idx="891">
                  <c:v>408661</c:v>
                </c:pt>
                <c:pt idx="892">
                  <c:v>408661</c:v>
                </c:pt>
                <c:pt idx="893">
                  <c:v>408661</c:v>
                </c:pt>
                <c:pt idx="894">
                  <c:v>425017</c:v>
                </c:pt>
                <c:pt idx="895">
                  <c:v>380279</c:v>
                </c:pt>
                <c:pt idx="896">
                  <c:v>350062</c:v>
                </c:pt>
                <c:pt idx="897">
                  <c:v>411200</c:v>
                </c:pt>
                <c:pt idx="898">
                  <c:v>470286</c:v>
                </c:pt>
                <c:pt idx="899">
                  <c:v>470286</c:v>
                </c:pt>
                <c:pt idx="900">
                  <c:v>470286</c:v>
                </c:pt>
                <c:pt idx="901">
                  <c:v>323394</c:v>
                </c:pt>
                <c:pt idx="902">
                  <c:v>436370</c:v>
                </c:pt>
                <c:pt idx="903">
                  <c:v>657127</c:v>
                </c:pt>
                <c:pt idx="904">
                  <c:v>796679</c:v>
                </c:pt>
                <c:pt idx="905">
                  <c:v>1225990</c:v>
                </c:pt>
                <c:pt idx="906">
                  <c:v>1225990</c:v>
                </c:pt>
                <c:pt idx="907">
                  <c:v>1225990</c:v>
                </c:pt>
                <c:pt idx="908">
                  <c:v>820157</c:v>
                </c:pt>
                <c:pt idx="909">
                  <c:v>855305</c:v>
                </c:pt>
                <c:pt idx="910">
                  <c:v>719896</c:v>
                </c:pt>
                <c:pt idx="911">
                  <c:v>923857</c:v>
                </c:pt>
                <c:pt idx="912">
                  <c:v>790931</c:v>
                </c:pt>
                <c:pt idx="913">
                  <c:v>790931</c:v>
                </c:pt>
                <c:pt idx="914">
                  <c:v>790931</c:v>
                </c:pt>
                <c:pt idx="915">
                  <c:v>287113</c:v>
                </c:pt>
                <c:pt idx="916">
                  <c:v>363640</c:v>
                </c:pt>
                <c:pt idx="917">
                  <c:v>400435</c:v>
                </c:pt>
                <c:pt idx="918">
                  <c:v>309539</c:v>
                </c:pt>
                <c:pt idx="919">
                  <c:v>253907</c:v>
                </c:pt>
                <c:pt idx="920">
                  <c:v>253907</c:v>
                </c:pt>
                <c:pt idx="921">
                  <c:v>253907</c:v>
                </c:pt>
                <c:pt idx="922">
                  <c:v>249472</c:v>
                </c:pt>
                <c:pt idx="923">
                  <c:v>301265</c:v>
                </c:pt>
                <c:pt idx="924">
                  <c:v>402805</c:v>
                </c:pt>
                <c:pt idx="925">
                  <c:v>448036</c:v>
                </c:pt>
                <c:pt idx="926">
                  <c:v>249693</c:v>
                </c:pt>
                <c:pt idx="927">
                  <c:v>249693</c:v>
                </c:pt>
                <c:pt idx="928">
                  <c:v>249693</c:v>
                </c:pt>
                <c:pt idx="929">
                  <c:v>328874</c:v>
                </c:pt>
                <c:pt idx="930">
                  <c:v>519594</c:v>
                </c:pt>
                <c:pt idx="931">
                  <c:v>896005</c:v>
                </c:pt>
                <c:pt idx="932">
                  <c:v>434759</c:v>
                </c:pt>
                <c:pt idx="933">
                  <c:v>434759</c:v>
                </c:pt>
                <c:pt idx="934">
                  <c:v>434759</c:v>
                </c:pt>
                <c:pt idx="935">
                  <c:v>434759</c:v>
                </c:pt>
                <c:pt idx="936">
                  <c:v>428123</c:v>
                </c:pt>
                <c:pt idx="937">
                  <c:v>562906</c:v>
                </c:pt>
                <c:pt idx="938">
                  <c:v>509078</c:v>
                </c:pt>
                <c:pt idx="939">
                  <c:v>309103</c:v>
                </c:pt>
                <c:pt idx="940">
                  <c:v>535529</c:v>
                </c:pt>
                <c:pt idx="941">
                  <c:v>535529</c:v>
                </c:pt>
                <c:pt idx="942">
                  <c:v>535529</c:v>
                </c:pt>
                <c:pt idx="943">
                  <c:v>335234</c:v>
                </c:pt>
                <c:pt idx="944">
                  <c:v>245822</c:v>
                </c:pt>
                <c:pt idx="945">
                  <c:v>352832</c:v>
                </c:pt>
                <c:pt idx="946">
                  <c:v>387560</c:v>
                </c:pt>
                <c:pt idx="947">
                  <c:v>586278</c:v>
                </c:pt>
                <c:pt idx="948">
                  <c:v>586278</c:v>
                </c:pt>
                <c:pt idx="949">
                  <c:v>586278</c:v>
                </c:pt>
                <c:pt idx="950">
                  <c:v>633376</c:v>
                </c:pt>
                <c:pt idx="951">
                  <c:v>574994</c:v>
                </c:pt>
                <c:pt idx="952">
                  <c:v>443275</c:v>
                </c:pt>
                <c:pt idx="953">
                  <c:v>326444</c:v>
                </c:pt>
                <c:pt idx="954">
                  <c:v>514396</c:v>
                </c:pt>
                <c:pt idx="955">
                  <c:v>514396</c:v>
                </c:pt>
                <c:pt idx="956">
                  <c:v>514396</c:v>
                </c:pt>
                <c:pt idx="957">
                  <c:v>373757</c:v>
                </c:pt>
                <c:pt idx="958">
                  <c:v>344668</c:v>
                </c:pt>
                <c:pt idx="959">
                  <c:v>421356</c:v>
                </c:pt>
                <c:pt idx="960">
                  <c:v>462232</c:v>
                </c:pt>
                <c:pt idx="961">
                  <c:v>814657</c:v>
                </c:pt>
                <c:pt idx="962">
                  <c:v>814657</c:v>
                </c:pt>
                <c:pt idx="963">
                  <c:v>814657</c:v>
                </c:pt>
                <c:pt idx="964">
                  <c:v>396642</c:v>
                </c:pt>
                <c:pt idx="965">
                  <c:v>568719</c:v>
                </c:pt>
                <c:pt idx="966">
                  <c:v>601830</c:v>
                </c:pt>
                <c:pt idx="967">
                  <c:v>810876</c:v>
                </c:pt>
                <c:pt idx="968">
                  <c:v>810876</c:v>
                </c:pt>
                <c:pt idx="969">
                  <c:v>810876</c:v>
                </c:pt>
                <c:pt idx="970">
                  <c:v>810876</c:v>
                </c:pt>
                <c:pt idx="971">
                  <c:v>709301</c:v>
                </c:pt>
                <c:pt idx="972">
                  <c:v>634467</c:v>
                </c:pt>
                <c:pt idx="973">
                  <c:v>753371</c:v>
                </c:pt>
                <c:pt idx="974">
                  <c:v>792193</c:v>
                </c:pt>
                <c:pt idx="975">
                  <c:v>566042</c:v>
                </c:pt>
                <c:pt idx="976">
                  <c:v>566042</c:v>
                </c:pt>
                <c:pt idx="977">
                  <c:v>566042</c:v>
                </c:pt>
                <c:pt idx="978">
                  <c:v>416329</c:v>
                </c:pt>
                <c:pt idx="979">
                  <c:v>559541</c:v>
                </c:pt>
                <c:pt idx="980">
                  <c:v>831051</c:v>
                </c:pt>
                <c:pt idx="981">
                  <c:v>295660</c:v>
                </c:pt>
                <c:pt idx="982">
                  <c:v>295660</c:v>
                </c:pt>
                <c:pt idx="983">
                  <c:v>295660</c:v>
                </c:pt>
                <c:pt idx="984">
                  <c:v>295660</c:v>
                </c:pt>
                <c:pt idx="985">
                  <c:v>382080</c:v>
                </c:pt>
                <c:pt idx="986">
                  <c:v>293632</c:v>
                </c:pt>
                <c:pt idx="987">
                  <c:v>818636</c:v>
                </c:pt>
                <c:pt idx="988">
                  <c:v>586786</c:v>
                </c:pt>
                <c:pt idx="989">
                  <c:v>586786</c:v>
                </c:pt>
                <c:pt idx="990">
                  <c:v>586786</c:v>
                </c:pt>
                <c:pt idx="991">
                  <c:v>586786</c:v>
                </c:pt>
                <c:pt idx="992">
                  <c:v>463628</c:v>
                </c:pt>
                <c:pt idx="993">
                  <c:v>658842</c:v>
                </c:pt>
                <c:pt idx="994">
                  <c:v>544006</c:v>
                </c:pt>
                <c:pt idx="995">
                  <c:v>855257</c:v>
                </c:pt>
                <c:pt idx="996">
                  <c:v>693859</c:v>
                </c:pt>
                <c:pt idx="997">
                  <c:v>693859</c:v>
                </c:pt>
                <c:pt idx="998">
                  <c:v>693859</c:v>
                </c:pt>
                <c:pt idx="999">
                  <c:v>2539596</c:v>
                </c:pt>
                <c:pt idx="1000">
                  <c:v>440022</c:v>
                </c:pt>
                <c:pt idx="1001">
                  <c:v>543175</c:v>
                </c:pt>
                <c:pt idx="1002">
                  <c:v>404611</c:v>
                </c:pt>
                <c:pt idx="1003">
                  <c:v>624953</c:v>
                </c:pt>
                <c:pt idx="1004">
                  <c:v>624953</c:v>
                </c:pt>
                <c:pt idx="1005">
                  <c:v>624953</c:v>
                </c:pt>
                <c:pt idx="1006">
                  <c:v>344714</c:v>
                </c:pt>
                <c:pt idx="1007">
                  <c:v>498248</c:v>
                </c:pt>
                <c:pt idx="1008">
                  <c:v>387035</c:v>
                </c:pt>
                <c:pt idx="1009">
                  <c:v>637744</c:v>
                </c:pt>
                <c:pt idx="1010">
                  <c:v>404024</c:v>
                </c:pt>
                <c:pt idx="1011">
                  <c:v>404024</c:v>
                </c:pt>
                <c:pt idx="1012">
                  <c:v>404024</c:v>
                </c:pt>
                <c:pt idx="1013">
                  <c:v>642958</c:v>
                </c:pt>
                <c:pt idx="1014">
                  <c:v>724431</c:v>
                </c:pt>
                <c:pt idx="1015">
                  <c:v>569597</c:v>
                </c:pt>
                <c:pt idx="1016">
                  <c:v>493301</c:v>
                </c:pt>
                <c:pt idx="1017">
                  <c:v>128187</c:v>
                </c:pt>
                <c:pt idx="1018">
                  <c:v>128187</c:v>
                </c:pt>
                <c:pt idx="1019">
                  <c:v>128187</c:v>
                </c:pt>
                <c:pt idx="1020">
                  <c:v>231661</c:v>
                </c:pt>
                <c:pt idx="1021">
                  <c:v>231661</c:v>
                </c:pt>
                <c:pt idx="1022">
                  <c:v>654608</c:v>
                </c:pt>
                <c:pt idx="1023">
                  <c:v>281586</c:v>
                </c:pt>
                <c:pt idx="1024">
                  <c:v>328756</c:v>
                </c:pt>
                <c:pt idx="1025">
                  <c:v>328756</c:v>
                </c:pt>
                <c:pt idx="1026">
                  <c:v>328756</c:v>
                </c:pt>
                <c:pt idx="1027">
                  <c:v>702029</c:v>
                </c:pt>
                <c:pt idx="1028">
                  <c:v>338150</c:v>
                </c:pt>
                <c:pt idx="1029">
                  <c:v>702956</c:v>
                </c:pt>
                <c:pt idx="1030">
                  <c:v>2398890</c:v>
                </c:pt>
                <c:pt idx="1031">
                  <c:v>1562496</c:v>
                </c:pt>
                <c:pt idx="1032">
                  <c:v>1562496</c:v>
                </c:pt>
                <c:pt idx="1033">
                  <c:v>1562496</c:v>
                </c:pt>
                <c:pt idx="1034">
                  <c:v>1265173</c:v>
                </c:pt>
                <c:pt idx="1035">
                  <c:v>1231304</c:v>
                </c:pt>
                <c:pt idx="1036">
                  <c:v>666281</c:v>
                </c:pt>
                <c:pt idx="1037">
                  <c:v>517197</c:v>
                </c:pt>
                <c:pt idx="1038">
                  <c:v>462790</c:v>
                </c:pt>
                <c:pt idx="1039">
                  <c:v>462790</c:v>
                </c:pt>
                <c:pt idx="1040">
                  <c:v>462790</c:v>
                </c:pt>
                <c:pt idx="1041">
                  <c:v>711807</c:v>
                </c:pt>
                <c:pt idx="1042">
                  <c:v>389552</c:v>
                </c:pt>
                <c:pt idx="1043">
                  <c:v>284106</c:v>
                </c:pt>
                <c:pt idx="1044">
                  <c:v>367102</c:v>
                </c:pt>
              </c:numCache>
            </c:numRef>
          </c:val>
          <c:extLst>
            <c:ext xmlns:c16="http://schemas.microsoft.com/office/drawing/2014/chart" uri="{C3380CC4-5D6E-409C-BE32-E72D297353CC}">
              <c16:uniqueId val="{00000000-D1DC-4E4A-A246-46D1BC992423}"/>
            </c:ext>
          </c:extLst>
        </c:ser>
        <c:dLbls>
          <c:showLegendKey val="0"/>
          <c:showVal val="0"/>
          <c:showCatName val="0"/>
          <c:showSerName val="0"/>
          <c:showPercent val="0"/>
          <c:showBubbleSize val="0"/>
        </c:dLbls>
        <c:gapWidth val="219"/>
        <c:axId val="33469023"/>
        <c:axId val="33476223"/>
      </c:barChart>
      <c:lineChart>
        <c:grouping val="standard"/>
        <c:varyColors val="0"/>
        <c:ser>
          <c:idx val="0"/>
          <c:order val="0"/>
          <c:tx>
            <c:v>Price</c:v>
          </c:tx>
          <c:spPr>
            <a:ln w="28575" cap="rnd">
              <a:solidFill>
                <a:schemeClr val="accent1"/>
              </a:solidFill>
              <a:round/>
            </a:ln>
            <a:effectLst/>
          </c:spPr>
          <c:marker>
            <c:symbol val="none"/>
          </c:marker>
          <c:cat>
            <c:numRef>
              <c:f>'Stock Data'!$AM$4:$AM$1048</c:f>
              <c:numCache>
                <c:formatCode>m/d/yy;@</c:formatCode>
                <c:ptCount val="1045"/>
                <c:pt idx="0">
                  <c:v>45945</c:v>
                </c:pt>
                <c:pt idx="1">
                  <c:v>45944</c:v>
                </c:pt>
                <c:pt idx="2">
                  <c:v>45943</c:v>
                </c:pt>
                <c:pt idx="3">
                  <c:v>45942</c:v>
                </c:pt>
                <c:pt idx="4">
                  <c:v>45941</c:v>
                </c:pt>
                <c:pt idx="5">
                  <c:v>45940</c:v>
                </c:pt>
                <c:pt idx="6">
                  <c:v>45939</c:v>
                </c:pt>
                <c:pt idx="7">
                  <c:v>45938</c:v>
                </c:pt>
                <c:pt idx="8">
                  <c:v>45937</c:v>
                </c:pt>
                <c:pt idx="9">
                  <c:v>45936</c:v>
                </c:pt>
                <c:pt idx="10">
                  <c:v>45935</c:v>
                </c:pt>
                <c:pt idx="11">
                  <c:v>45934</c:v>
                </c:pt>
                <c:pt idx="12">
                  <c:v>45933</c:v>
                </c:pt>
                <c:pt idx="13">
                  <c:v>45932</c:v>
                </c:pt>
                <c:pt idx="14">
                  <c:v>45931</c:v>
                </c:pt>
                <c:pt idx="15">
                  <c:v>45930</c:v>
                </c:pt>
                <c:pt idx="16">
                  <c:v>45929</c:v>
                </c:pt>
                <c:pt idx="17">
                  <c:v>45928</c:v>
                </c:pt>
                <c:pt idx="18">
                  <c:v>45927</c:v>
                </c:pt>
                <c:pt idx="19">
                  <c:v>45926</c:v>
                </c:pt>
                <c:pt idx="20">
                  <c:v>45925</c:v>
                </c:pt>
                <c:pt idx="21">
                  <c:v>45924</c:v>
                </c:pt>
                <c:pt idx="22">
                  <c:v>45923</c:v>
                </c:pt>
                <c:pt idx="23">
                  <c:v>45922</c:v>
                </c:pt>
                <c:pt idx="24">
                  <c:v>45921</c:v>
                </c:pt>
                <c:pt idx="25">
                  <c:v>45920</c:v>
                </c:pt>
                <c:pt idx="26">
                  <c:v>45919</c:v>
                </c:pt>
                <c:pt idx="27">
                  <c:v>45918</c:v>
                </c:pt>
                <c:pt idx="28">
                  <c:v>45917</c:v>
                </c:pt>
                <c:pt idx="29">
                  <c:v>45916</c:v>
                </c:pt>
                <c:pt idx="30">
                  <c:v>45915</c:v>
                </c:pt>
                <c:pt idx="31">
                  <c:v>45914</c:v>
                </c:pt>
                <c:pt idx="32">
                  <c:v>45913</c:v>
                </c:pt>
                <c:pt idx="33">
                  <c:v>45912</c:v>
                </c:pt>
                <c:pt idx="34">
                  <c:v>45911</c:v>
                </c:pt>
                <c:pt idx="35">
                  <c:v>45910</c:v>
                </c:pt>
                <c:pt idx="36">
                  <c:v>45909</c:v>
                </c:pt>
                <c:pt idx="37">
                  <c:v>45908</c:v>
                </c:pt>
                <c:pt idx="38">
                  <c:v>45907</c:v>
                </c:pt>
                <c:pt idx="39">
                  <c:v>45906</c:v>
                </c:pt>
                <c:pt idx="40">
                  <c:v>45905</c:v>
                </c:pt>
                <c:pt idx="41">
                  <c:v>45904</c:v>
                </c:pt>
                <c:pt idx="42">
                  <c:v>45903</c:v>
                </c:pt>
                <c:pt idx="43">
                  <c:v>45902</c:v>
                </c:pt>
                <c:pt idx="44">
                  <c:v>45901</c:v>
                </c:pt>
                <c:pt idx="45">
                  <c:v>45900</c:v>
                </c:pt>
                <c:pt idx="46">
                  <c:v>45899</c:v>
                </c:pt>
                <c:pt idx="47">
                  <c:v>45898</c:v>
                </c:pt>
                <c:pt idx="48">
                  <c:v>45897</c:v>
                </c:pt>
                <c:pt idx="49">
                  <c:v>45896</c:v>
                </c:pt>
                <c:pt idx="50">
                  <c:v>45895</c:v>
                </c:pt>
                <c:pt idx="51">
                  <c:v>45894</c:v>
                </c:pt>
                <c:pt idx="52">
                  <c:v>45893</c:v>
                </c:pt>
                <c:pt idx="53">
                  <c:v>45892</c:v>
                </c:pt>
                <c:pt idx="54">
                  <c:v>45891</c:v>
                </c:pt>
                <c:pt idx="55">
                  <c:v>45890</c:v>
                </c:pt>
                <c:pt idx="56">
                  <c:v>45889</c:v>
                </c:pt>
                <c:pt idx="57">
                  <c:v>45888</c:v>
                </c:pt>
                <c:pt idx="58">
                  <c:v>45887</c:v>
                </c:pt>
                <c:pt idx="59">
                  <c:v>45886</c:v>
                </c:pt>
                <c:pt idx="60">
                  <c:v>45885</c:v>
                </c:pt>
                <c:pt idx="61">
                  <c:v>45884</c:v>
                </c:pt>
                <c:pt idx="62">
                  <c:v>45883</c:v>
                </c:pt>
                <c:pt idx="63">
                  <c:v>45882</c:v>
                </c:pt>
                <c:pt idx="64">
                  <c:v>45881</c:v>
                </c:pt>
                <c:pt idx="65">
                  <c:v>45880</c:v>
                </c:pt>
                <c:pt idx="66">
                  <c:v>45879</c:v>
                </c:pt>
                <c:pt idx="67">
                  <c:v>45878</c:v>
                </c:pt>
                <c:pt idx="68">
                  <c:v>45877</c:v>
                </c:pt>
                <c:pt idx="69">
                  <c:v>45876</c:v>
                </c:pt>
                <c:pt idx="70">
                  <c:v>45875</c:v>
                </c:pt>
                <c:pt idx="71">
                  <c:v>45874</c:v>
                </c:pt>
                <c:pt idx="72">
                  <c:v>45873</c:v>
                </c:pt>
                <c:pt idx="73">
                  <c:v>45872</c:v>
                </c:pt>
                <c:pt idx="74">
                  <c:v>45871</c:v>
                </c:pt>
                <c:pt idx="75">
                  <c:v>45870</c:v>
                </c:pt>
                <c:pt idx="76">
                  <c:v>45869</c:v>
                </c:pt>
                <c:pt idx="77">
                  <c:v>45868</c:v>
                </c:pt>
                <c:pt idx="78">
                  <c:v>45867</c:v>
                </c:pt>
                <c:pt idx="79">
                  <c:v>45866</c:v>
                </c:pt>
                <c:pt idx="80">
                  <c:v>45865</c:v>
                </c:pt>
                <c:pt idx="81">
                  <c:v>45864</c:v>
                </c:pt>
                <c:pt idx="82">
                  <c:v>45863</c:v>
                </c:pt>
                <c:pt idx="83">
                  <c:v>45862</c:v>
                </c:pt>
                <c:pt idx="84">
                  <c:v>45861</c:v>
                </c:pt>
                <c:pt idx="85">
                  <c:v>45860</c:v>
                </c:pt>
                <c:pt idx="86">
                  <c:v>45859</c:v>
                </c:pt>
                <c:pt idx="87">
                  <c:v>45858</c:v>
                </c:pt>
                <c:pt idx="88">
                  <c:v>45857</c:v>
                </c:pt>
                <c:pt idx="89">
                  <c:v>45856</c:v>
                </c:pt>
                <c:pt idx="90">
                  <c:v>45855</c:v>
                </c:pt>
                <c:pt idx="91">
                  <c:v>45854</c:v>
                </c:pt>
                <c:pt idx="92">
                  <c:v>45853</c:v>
                </c:pt>
                <c:pt idx="93">
                  <c:v>45852</c:v>
                </c:pt>
                <c:pt idx="94">
                  <c:v>45851</c:v>
                </c:pt>
                <c:pt idx="95">
                  <c:v>45850</c:v>
                </c:pt>
                <c:pt idx="96">
                  <c:v>45849</c:v>
                </c:pt>
                <c:pt idx="97">
                  <c:v>45848</c:v>
                </c:pt>
                <c:pt idx="98">
                  <c:v>45847</c:v>
                </c:pt>
                <c:pt idx="99">
                  <c:v>45846</c:v>
                </c:pt>
                <c:pt idx="100">
                  <c:v>45845</c:v>
                </c:pt>
                <c:pt idx="101">
                  <c:v>45844</c:v>
                </c:pt>
                <c:pt idx="102">
                  <c:v>45843</c:v>
                </c:pt>
                <c:pt idx="103">
                  <c:v>45842</c:v>
                </c:pt>
                <c:pt idx="104">
                  <c:v>45841</c:v>
                </c:pt>
                <c:pt idx="105">
                  <c:v>45840</c:v>
                </c:pt>
                <c:pt idx="106">
                  <c:v>45839</c:v>
                </c:pt>
                <c:pt idx="107">
                  <c:v>45838</c:v>
                </c:pt>
                <c:pt idx="108">
                  <c:v>45837</c:v>
                </c:pt>
                <c:pt idx="109">
                  <c:v>45836</c:v>
                </c:pt>
                <c:pt idx="110">
                  <c:v>45835</c:v>
                </c:pt>
                <c:pt idx="111">
                  <c:v>45834</c:v>
                </c:pt>
                <c:pt idx="112">
                  <c:v>45833</c:v>
                </c:pt>
                <c:pt idx="113">
                  <c:v>45832</c:v>
                </c:pt>
                <c:pt idx="114">
                  <c:v>45831</c:v>
                </c:pt>
                <c:pt idx="115">
                  <c:v>45830</c:v>
                </c:pt>
                <c:pt idx="116">
                  <c:v>45829</c:v>
                </c:pt>
                <c:pt idx="117">
                  <c:v>45828</c:v>
                </c:pt>
                <c:pt idx="118">
                  <c:v>45827</c:v>
                </c:pt>
                <c:pt idx="119">
                  <c:v>45826</c:v>
                </c:pt>
                <c:pt idx="120">
                  <c:v>45825</c:v>
                </c:pt>
                <c:pt idx="121">
                  <c:v>45824</c:v>
                </c:pt>
                <c:pt idx="122">
                  <c:v>45823</c:v>
                </c:pt>
                <c:pt idx="123">
                  <c:v>45822</c:v>
                </c:pt>
                <c:pt idx="124">
                  <c:v>45821</c:v>
                </c:pt>
                <c:pt idx="125">
                  <c:v>45820</c:v>
                </c:pt>
                <c:pt idx="126">
                  <c:v>45819</c:v>
                </c:pt>
                <c:pt idx="127">
                  <c:v>45818</c:v>
                </c:pt>
                <c:pt idx="128">
                  <c:v>45817</c:v>
                </c:pt>
                <c:pt idx="129">
                  <c:v>45816</c:v>
                </c:pt>
                <c:pt idx="130">
                  <c:v>45815</c:v>
                </c:pt>
                <c:pt idx="131">
                  <c:v>45814</c:v>
                </c:pt>
                <c:pt idx="132">
                  <c:v>45813</c:v>
                </c:pt>
                <c:pt idx="133">
                  <c:v>45812</c:v>
                </c:pt>
                <c:pt idx="134">
                  <c:v>45811</c:v>
                </c:pt>
                <c:pt idx="135">
                  <c:v>45810</c:v>
                </c:pt>
                <c:pt idx="136">
                  <c:v>45809</c:v>
                </c:pt>
                <c:pt idx="137">
                  <c:v>45808</c:v>
                </c:pt>
                <c:pt idx="138">
                  <c:v>45807</c:v>
                </c:pt>
                <c:pt idx="139">
                  <c:v>45806</c:v>
                </c:pt>
                <c:pt idx="140">
                  <c:v>45805</c:v>
                </c:pt>
                <c:pt idx="141">
                  <c:v>45804</c:v>
                </c:pt>
                <c:pt idx="142">
                  <c:v>45803</c:v>
                </c:pt>
                <c:pt idx="143">
                  <c:v>45802</c:v>
                </c:pt>
                <c:pt idx="144">
                  <c:v>45801</c:v>
                </c:pt>
                <c:pt idx="145">
                  <c:v>45800</c:v>
                </c:pt>
                <c:pt idx="146">
                  <c:v>45799</c:v>
                </c:pt>
                <c:pt idx="147">
                  <c:v>45798</c:v>
                </c:pt>
                <c:pt idx="148">
                  <c:v>45797</c:v>
                </c:pt>
                <c:pt idx="149">
                  <c:v>45796</c:v>
                </c:pt>
                <c:pt idx="150">
                  <c:v>45795</c:v>
                </c:pt>
                <c:pt idx="151">
                  <c:v>45794</c:v>
                </c:pt>
                <c:pt idx="152">
                  <c:v>45793</c:v>
                </c:pt>
                <c:pt idx="153">
                  <c:v>45792</c:v>
                </c:pt>
                <c:pt idx="154">
                  <c:v>45791</c:v>
                </c:pt>
                <c:pt idx="155">
                  <c:v>45790</c:v>
                </c:pt>
                <c:pt idx="156">
                  <c:v>45789</c:v>
                </c:pt>
                <c:pt idx="157">
                  <c:v>45788</c:v>
                </c:pt>
                <c:pt idx="158">
                  <c:v>45787</c:v>
                </c:pt>
                <c:pt idx="159">
                  <c:v>45786</c:v>
                </c:pt>
                <c:pt idx="160">
                  <c:v>45785</c:v>
                </c:pt>
                <c:pt idx="161">
                  <c:v>45784</c:v>
                </c:pt>
                <c:pt idx="162">
                  <c:v>45783</c:v>
                </c:pt>
                <c:pt idx="163">
                  <c:v>45782</c:v>
                </c:pt>
                <c:pt idx="164">
                  <c:v>45781</c:v>
                </c:pt>
                <c:pt idx="165">
                  <c:v>45780</c:v>
                </c:pt>
                <c:pt idx="166">
                  <c:v>45779</c:v>
                </c:pt>
                <c:pt idx="167">
                  <c:v>45778</c:v>
                </c:pt>
                <c:pt idx="168">
                  <c:v>45777</c:v>
                </c:pt>
                <c:pt idx="169">
                  <c:v>45776</c:v>
                </c:pt>
                <c:pt idx="170">
                  <c:v>45775</c:v>
                </c:pt>
                <c:pt idx="171">
                  <c:v>45774</c:v>
                </c:pt>
                <c:pt idx="172">
                  <c:v>45773</c:v>
                </c:pt>
                <c:pt idx="173">
                  <c:v>45772</c:v>
                </c:pt>
                <c:pt idx="174">
                  <c:v>45771</c:v>
                </c:pt>
                <c:pt idx="175">
                  <c:v>45770</c:v>
                </c:pt>
                <c:pt idx="176">
                  <c:v>45769</c:v>
                </c:pt>
                <c:pt idx="177">
                  <c:v>45768</c:v>
                </c:pt>
                <c:pt idx="178">
                  <c:v>45767</c:v>
                </c:pt>
                <c:pt idx="179">
                  <c:v>45766</c:v>
                </c:pt>
                <c:pt idx="180">
                  <c:v>45765</c:v>
                </c:pt>
                <c:pt idx="181">
                  <c:v>45764</c:v>
                </c:pt>
                <c:pt idx="182">
                  <c:v>45763</c:v>
                </c:pt>
                <c:pt idx="183">
                  <c:v>45762</c:v>
                </c:pt>
                <c:pt idx="184">
                  <c:v>45761</c:v>
                </c:pt>
                <c:pt idx="185">
                  <c:v>45760</c:v>
                </c:pt>
                <c:pt idx="186">
                  <c:v>45759</c:v>
                </c:pt>
                <c:pt idx="187">
                  <c:v>45758</c:v>
                </c:pt>
                <c:pt idx="188">
                  <c:v>45757</c:v>
                </c:pt>
                <c:pt idx="189">
                  <c:v>45756</c:v>
                </c:pt>
                <c:pt idx="190">
                  <c:v>45755</c:v>
                </c:pt>
                <c:pt idx="191">
                  <c:v>45754</c:v>
                </c:pt>
                <c:pt idx="192">
                  <c:v>45753</c:v>
                </c:pt>
                <c:pt idx="193">
                  <c:v>45752</c:v>
                </c:pt>
                <c:pt idx="194">
                  <c:v>45751</c:v>
                </c:pt>
                <c:pt idx="195">
                  <c:v>45750</c:v>
                </c:pt>
                <c:pt idx="196">
                  <c:v>45749</c:v>
                </c:pt>
                <c:pt idx="197">
                  <c:v>45748</c:v>
                </c:pt>
                <c:pt idx="198">
                  <c:v>45747</c:v>
                </c:pt>
                <c:pt idx="199">
                  <c:v>45746</c:v>
                </c:pt>
                <c:pt idx="200">
                  <c:v>45745</c:v>
                </c:pt>
                <c:pt idx="201">
                  <c:v>45744</c:v>
                </c:pt>
                <c:pt idx="202">
                  <c:v>45743</c:v>
                </c:pt>
                <c:pt idx="203">
                  <c:v>45742</c:v>
                </c:pt>
                <c:pt idx="204">
                  <c:v>45741</c:v>
                </c:pt>
                <c:pt idx="205">
                  <c:v>45740</c:v>
                </c:pt>
                <c:pt idx="206">
                  <c:v>45739</c:v>
                </c:pt>
                <c:pt idx="207">
                  <c:v>45738</c:v>
                </c:pt>
                <c:pt idx="208">
                  <c:v>45737</c:v>
                </c:pt>
                <c:pt idx="209">
                  <c:v>45736</c:v>
                </c:pt>
                <c:pt idx="210">
                  <c:v>45735</c:v>
                </c:pt>
                <c:pt idx="211">
                  <c:v>45734</c:v>
                </c:pt>
                <c:pt idx="212">
                  <c:v>45733</c:v>
                </c:pt>
                <c:pt idx="213">
                  <c:v>45732</c:v>
                </c:pt>
                <c:pt idx="214">
                  <c:v>45731</c:v>
                </c:pt>
                <c:pt idx="215">
                  <c:v>45730</c:v>
                </c:pt>
                <c:pt idx="216">
                  <c:v>45729</c:v>
                </c:pt>
                <c:pt idx="217">
                  <c:v>45728</c:v>
                </c:pt>
                <c:pt idx="218">
                  <c:v>45727</c:v>
                </c:pt>
                <c:pt idx="219">
                  <c:v>45726</c:v>
                </c:pt>
                <c:pt idx="220">
                  <c:v>45725</c:v>
                </c:pt>
                <c:pt idx="221">
                  <c:v>45724</c:v>
                </c:pt>
                <c:pt idx="222">
                  <c:v>45723</c:v>
                </c:pt>
                <c:pt idx="223">
                  <c:v>45722</c:v>
                </c:pt>
                <c:pt idx="224">
                  <c:v>45721</c:v>
                </c:pt>
                <c:pt idx="225">
                  <c:v>45720</c:v>
                </c:pt>
                <c:pt idx="226">
                  <c:v>45719</c:v>
                </c:pt>
                <c:pt idx="227">
                  <c:v>45718</c:v>
                </c:pt>
                <c:pt idx="228">
                  <c:v>45717</c:v>
                </c:pt>
                <c:pt idx="229">
                  <c:v>45716</c:v>
                </c:pt>
                <c:pt idx="230">
                  <c:v>45715</c:v>
                </c:pt>
                <c:pt idx="231">
                  <c:v>45714</c:v>
                </c:pt>
                <c:pt idx="232">
                  <c:v>45713</c:v>
                </c:pt>
                <c:pt idx="233">
                  <c:v>45712</c:v>
                </c:pt>
                <c:pt idx="234">
                  <c:v>45711</c:v>
                </c:pt>
                <c:pt idx="235">
                  <c:v>45710</c:v>
                </c:pt>
                <c:pt idx="236">
                  <c:v>45709</c:v>
                </c:pt>
                <c:pt idx="237">
                  <c:v>45708</c:v>
                </c:pt>
                <c:pt idx="238">
                  <c:v>45707</c:v>
                </c:pt>
                <c:pt idx="239">
                  <c:v>45706</c:v>
                </c:pt>
                <c:pt idx="240">
                  <c:v>45705</c:v>
                </c:pt>
                <c:pt idx="241">
                  <c:v>45704</c:v>
                </c:pt>
                <c:pt idx="242">
                  <c:v>45703</c:v>
                </c:pt>
                <c:pt idx="243">
                  <c:v>45702</c:v>
                </c:pt>
                <c:pt idx="244">
                  <c:v>45701</c:v>
                </c:pt>
                <c:pt idx="245">
                  <c:v>45700</c:v>
                </c:pt>
                <c:pt idx="246">
                  <c:v>45699</c:v>
                </c:pt>
                <c:pt idx="247">
                  <c:v>45698</c:v>
                </c:pt>
                <c:pt idx="248">
                  <c:v>45697</c:v>
                </c:pt>
                <c:pt idx="249">
                  <c:v>45696</c:v>
                </c:pt>
                <c:pt idx="250">
                  <c:v>45695</c:v>
                </c:pt>
                <c:pt idx="251">
                  <c:v>45694</c:v>
                </c:pt>
                <c:pt idx="252">
                  <c:v>45693</c:v>
                </c:pt>
                <c:pt idx="253">
                  <c:v>45692</c:v>
                </c:pt>
                <c:pt idx="254">
                  <c:v>45691</c:v>
                </c:pt>
                <c:pt idx="255">
                  <c:v>45690</c:v>
                </c:pt>
                <c:pt idx="256">
                  <c:v>45689</c:v>
                </c:pt>
                <c:pt idx="257">
                  <c:v>45688</c:v>
                </c:pt>
                <c:pt idx="258">
                  <c:v>45687</c:v>
                </c:pt>
                <c:pt idx="259">
                  <c:v>45686</c:v>
                </c:pt>
                <c:pt idx="260">
                  <c:v>45685</c:v>
                </c:pt>
                <c:pt idx="261">
                  <c:v>45684</c:v>
                </c:pt>
                <c:pt idx="262">
                  <c:v>45683</c:v>
                </c:pt>
                <c:pt idx="263">
                  <c:v>45682</c:v>
                </c:pt>
                <c:pt idx="264">
                  <c:v>45681</c:v>
                </c:pt>
                <c:pt idx="265">
                  <c:v>45680</c:v>
                </c:pt>
                <c:pt idx="266">
                  <c:v>45679</c:v>
                </c:pt>
                <c:pt idx="267">
                  <c:v>45678</c:v>
                </c:pt>
                <c:pt idx="268">
                  <c:v>45677</c:v>
                </c:pt>
                <c:pt idx="269">
                  <c:v>45676</c:v>
                </c:pt>
                <c:pt idx="270">
                  <c:v>45675</c:v>
                </c:pt>
                <c:pt idx="271">
                  <c:v>45674</c:v>
                </c:pt>
                <c:pt idx="272">
                  <c:v>45673</c:v>
                </c:pt>
                <c:pt idx="273">
                  <c:v>45672</c:v>
                </c:pt>
                <c:pt idx="274">
                  <c:v>45671</c:v>
                </c:pt>
                <c:pt idx="275">
                  <c:v>45670</c:v>
                </c:pt>
                <c:pt idx="276">
                  <c:v>45669</c:v>
                </c:pt>
                <c:pt idx="277">
                  <c:v>45668</c:v>
                </c:pt>
                <c:pt idx="278">
                  <c:v>45667</c:v>
                </c:pt>
                <c:pt idx="279">
                  <c:v>45666</c:v>
                </c:pt>
                <c:pt idx="280">
                  <c:v>45665</c:v>
                </c:pt>
                <c:pt idx="281">
                  <c:v>45664</c:v>
                </c:pt>
                <c:pt idx="282">
                  <c:v>45663</c:v>
                </c:pt>
                <c:pt idx="283">
                  <c:v>45662</c:v>
                </c:pt>
                <c:pt idx="284">
                  <c:v>45661</c:v>
                </c:pt>
                <c:pt idx="285">
                  <c:v>45660</c:v>
                </c:pt>
                <c:pt idx="286">
                  <c:v>45659</c:v>
                </c:pt>
                <c:pt idx="287">
                  <c:v>45658</c:v>
                </c:pt>
                <c:pt idx="288">
                  <c:v>45657</c:v>
                </c:pt>
                <c:pt idx="289">
                  <c:v>45656</c:v>
                </c:pt>
                <c:pt idx="290">
                  <c:v>45655</c:v>
                </c:pt>
                <c:pt idx="291">
                  <c:v>45654</c:v>
                </c:pt>
                <c:pt idx="292">
                  <c:v>45653</c:v>
                </c:pt>
                <c:pt idx="293">
                  <c:v>45652</c:v>
                </c:pt>
                <c:pt idx="294">
                  <c:v>45651</c:v>
                </c:pt>
                <c:pt idx="295">
                  <c:v>45650</c:v>
                </c:pt>
                <c:pt idx="296">
                  <c:v>45649</c:v>
                </c:pt>
                <c:pt idx="297">
                  <c:v>45648</c:v>
                </c:pt>
                <c:pt idx="298">
                  <c:v>45647</c:v>
                </c:pt>
                <c:pt idx="299">
                  <c:v>45646</c:v>
                </c:pt>
                <c:pt idx="300">
                  <c:v>45645</c:v>
                </c:pt>
                <c:pt idx="301">
                  <c:v>45644</c:v>
                </c:pt>
                <c:pt idx="302">
                  <c:v>45643</c:v>
                </c:pt>
                <c:pt idx="303">
                  <c:v>45642</c:v>
                </c:pt>
                <c:pt idx="304">
                  <c:v>45641</c:v>
                </c:pt>
                <c:pt idx="305">
                  <c:v>45640</c:v>
                </c:pt>
                <c:pt idx="306">
                  <c:v>45639</c:v>
                </c:pt>
                <c:pt idx="307">
                  <c:v>45638</c:v>
                </c:pt>
                <c:pt idx="308">
                  <c:v>45637</c:v>
                </c:pt>
                <c:pt idx="309">
                  <c:v>45636</c:v>
                </c:pt>
                <c:pt idx="310">
                  <c:v>45635</c:v>
                </c:pt>
                <c:pt idx="311">
                  <c:v>45634</c:v>
                </c:pt>
                <c:pt idx="312">
                  <c:v>45633</c:v>
                </c:pt>
                <c:pt idx="313">
                  <c:v>45632</c:v>
                </c:pt>
                <c:pt idx="314">
                  <c:v>45631</c:v>
                </c:pt>
                <c:pt idx="315">
                  <c:v>45630</c:v>
                </c:pt>
                <c:pt idx="316">
                  <c:v>45629</c:v>
                </c:pt>
                <c:pt idx="317">
                  <c:v>45628</c:v>
                </c:pt>
                <c:pt idx="318">
                  <c:v>45627</c:v>
                </c:pt>
                <c:pt idx="319">
                  <c:v>45626</c:v>
                </c:pt>
                <c:pt idx="320">
                  <c:v>45625</c:v>
                </c:pt>
                <c:pt idx="321">
                  <c:v>45624</c:v>
                </c:pt>
                <c:pt idx="322">
                  <c:v>45623</c:v>
                </c:pt>
                <c:pt idx="323">
                  <c:v>45622</c:v>
                </c:pt>
                <c:pt idx="324">
                  <c:v>45621</c:v>
                </c:pt>
                <c:pt idx="325">
                  <c:v>45620</c:v>
                </c:pt>
                <c:pt idx="326">
                  <c:v>45619</c:v>
                </c:pt>
                <c:pt idx="327">
                  <c:v>45618</c:v>
                </c:pt>
                <c:pt idx="328">
                  <c:v>45617</c:v>
                </c:pt>
                <c:pt idx="329">
                  <c:v>45616</c:v>
                </c:pt>
                <c:pt idx="330">
                  <c:v>45615</c:v>
                </c:pt>
                <c:pt idx="331">
                  <c:v>45614</c:v>
                </c:pt>
                <c:pt idx="332">
                  <c:v>45613</c:v>
                </c:pt>
                <c:pt idx="333">
                  <c:v>45612</c:v>
                </c:pt>
                <c:pt idx="334">
                  <c:v>45611</c:v>
                </c:pt>
                <c:pt idx="335">
                  <c:v>45610</c:v>
                </c:pt>
                <c:pt idx="336">
                  <c:v>45609</c:v>
                </c:pt>
                <c:pt idx="337">
                  <c:v>45608</c:v>
                </c:pt>
                <c:pt idx="338">
                  <c:v>45607</c:v>
                </c:pt>
                <c:pt idx="339">
                  <c:v>45606</c:v>
                </c:pt>
                <c:pt idx="340">
                  <c:v>45605</c:v>
                </c:pt>
                <c:pt idx="341">
                  <c:v>45604</c:v>
                </c:pt>
                <c:pt idx="342">
                  <c:v>45603</c:v>
                </c:pt>
                <c:pt idx="343">
                  <c:v>45602</c:v>
                </c:pt>
                <c:pt idx="344">
                  <c:v>45601</c:v>
                </c:pt>
                <c:pt idx="345">
                  <c:v>45600</c:v>
                </c:pt>
                <c:pt idx="346">
                  <c:v>45599</c:v>
                </c:pt>
                <c:pt idx="347">
                  <c:v>45598</c:v>
                </c:pt>
                <c:pt idx="348">
                  <c:v>45597</c:v>
                </c:pt>
                <c:pt idx="349">
                  <c:v>45596</c:v>
                </c:pt>
                <c:pt idx="350">
                  <c:v>45595</c:v>
                </c:pt>
                <c:pt idx="351">
                  <c:v>45594</c:v>
                </c:pt>
                <c:pt idx="352">
                  <c:v>45593</c:v>
                </c:pt>
                <c:pt idx="353">
                  <c:v>45592</c:v>
                </c:pt>
                <c:pt idx="354">
                  <c:v>45591</c:v>
                </c:pt>
                <c:pt idx="355">
                  <c:v>45590</c:v>
                </c:pt>
                <c:pt idx="356">
                  <c:v>45589</c:v>
                </c:pt>
                <c:pt idx="357">
                  <c:v>45588</c:v>
                </c:pt>
                <c:pt idx="358">
                  <c:v>45587</c:v>
                </c:pt>
                <c:pt idx="359">
                  <c:v>45586</c:v>
                </c:pt>
                <c:pt idx="360">
                  <c:v>45585</c:v>
                </c:pt>
                <c:pt idx="361">
                  <c:v>45584</c:v>
                </c:pt>
                <c:pt idx="362">
                  <c:v>45583</c:v>
                </c:pt>
                <c:pt idx="363">
                  <c:v>45582</c:v>
                </c:pt>
                <c:pt idx="364">
                  <c:v>45581</c:v>
                </c:pt>
                <c:pt idx="365">
                  <c:v>45580</c:v>
                </c:pt>
                <c:pt idx="366">
                  <c:v>45579</c:v>
                </c:pt>
                <c:pt idx="367">
                  <c:v>45578</c:v>
                </c:pt>
                <c:pt idx="368">
                  <c:v>45577</c:v>
                </c:pt>
                <c:pt idx="369">
                  <c:v>45576</c:v>
                </c:pt>
                <c:pt idx="370">
                  <c:v>45575</c:v>
                </c:pt>
                <c:pt idx="371">
                  <c:v>45574</c:v>
                </c:pt>
                <c:pt idx="372">
                  <c:v>45573</c:v>
                </c:pt>
                <c:pt idx="373">
                  <c:v>45572</c:v>
                </c:pt>
                <c:pt idx="374">
                  <c:v>45571</c:v>
                </c:pt>
                <c:pt idx="375">
                  <c:v>45570</c:v>
                </c:pt>
                <c:pt idx="376">
                  <c:v>45569</c:v>
                </c:pt>
                <c:pt idx="377">
                  <c:v>45568</c:v>
                </c:pt>
                <c:pt idx="378">
                  <c:v>45567</c:v>
                </c:pt>
                <c:pt idx="379">
                  <c:v>45566</c:v>
                </c:pt>
                <c:pt idx="380">
                  <c:v>45565</c:v>
                </c:pt>
                <c:pt idx="381">
                  <c:v>45564</c:v>
                </c:pt>
                <c:pt idx="382">
                  <c:v>45563</c:v>
                </c:pt>
                <c:pt idx="383">
                  <c:v>45562</c:v>
                </c:pt>
                <c:pt idx="384">
                  <c:v>45561</c:v>
                </c:pt>
                <c:pt idx="385">
                  <c:v>45560</c:v>
                </c:pt>
                <c:pt idx="386">
                  <c:v>45559</c:v>
                </c:pt>
                <c:pt idx="387">
                  <c:v>45558</c:v>
                </c:pt>
                <c:pt idx="388">
                  <c:v>45557</c:v>
                </c:pt>
                <c:pt idx="389">
                  <c:v>45556</c:v>
                </c:pt>
                <c:pt idx="390">
                  <c:v>45555</c:v>
                </c:pt>
                <c:pt idx="391">
                  <c:v>45554</c:v>
                </c:pt>
                <c:pt idx="392">
                  <c:v>45553</c:v>
                </c:pt>
                <c:pt idx="393">
                  <c:v>45552</c:v>
                </c:pt>
                <c:pt idx="394">
                  <c:v>45551</c:v>
                </c:pt>
                <c:pt idx="395">
                  <c:v>45550</c:v>
                </c:pt>
                <c:pt idx="396">
                  <c:v>45549</c:v>
                </c:pt>
                <c:pt idx="397">
                  <c:v>45548</c:v>
                </c:pt>
                <c:pt idx="398">
                  <c:v>45547</c:v>
                </c:pt>
                <c:pt idx="399">
                  <c:v>45546</c:v>
                </c:pt>
                <c:pt idx="400">
                  <c:v>45545</c:v>
                </c:pt>
                <c:pt idx="401">
                  <c:v>45544</c:v>
                </c:pt>
                <c:pt idx="402">
                  <c:v>45543</c:v>
                </c:pt>
                <c:pt idx="403">
                  <c:v>45542</c:v>
                </c:pt>
                <c:pt idx="404">
                  <c:v>45541</c:v>
                </c:pt>
                <c:pt idx="405">
                  <c:v>45540</c:v>
                </c:pt>
                <c:pt idx="406">
                  <c:v>45539</c:v>
                </c:pt>
                <c:pt idx="407">
                  <c:v>45538</c:v>
                </c:pt>
                <c:pt idx="408">
                  <c:v>45537</c:v>
                </c:pt>
                <c:pt idx="409">
                  <c:v>45536</c:v>
                </c:pt>
                <c:pt idx="410">
                  <c:v>45535</c:v>
                </c:pt>
                <c:pt idx="411">
                  <c:v>45534</c:v>
                </c:pt>
                <c:pt idx="412">
                  <c:v>45533</c:v>
                </c:pt>
                <c:pt idx="413">
                  <c:v>45532</c:v>
                </c:pt>
                <c:pt idx="414">
                  <c:v>45531</c:v>
                </c:pt>
                <c:pt idx="415">
                  <c:v>45530</c:v>
                </c:pt>
                <c:pt idx="416">
                  <c:v>45529</c:v>
                </c:pt>
                <c:pt idx="417">
                  <c:v>45528</c:v>
                </c:pt>
                <c:pt idx="418">
                  <c:v>45527</c:v>
                </c:pt>
                <c:pt idx="419">
                  <c:v>45526</c:v>
                </c:pt>
                <c:pt idx="420">
                  <c:v>45525</c:v>
                </c:pt>
                <c:pt idx="421">
                  <c:v>45524</c:v>
                </c:pt>
                <c:pt idx="422">
                  <c:v>45523</c:v>
                </c:pt>
                <c:pt idx="423">
                  <c:v>45522</c:v>
                </c:pt>
                <c:pt idx="424">
                  <c:v>45521</c:v>
                </c:pt>
                <c:pt idx="425">
                  <c:v>45520</c:v>
                </c:pt>
                <c:pt idx="426">
                  <c:v>45519</c:v>
                </c:pt>
                <c:pt idx="427">
                  <c:v>45518</c:v>
                </c:pt>
                <c:pt idx="428">
                  <c:v>45517</c:v>
                </c:pt>
                <c:pt idx="429">
                  <c:v>45516</c:v>
                </c:pt>
                <c:pt idx="430">
                  <c:v>45515</c:v>
                </c:pt>
                <c:pt idx="431">
                  <c:v>45514</c:v>
                </c:pt>
                <c:pt idx="432">
                  <c:v>45513</c:v>
                </c:pt>
                <c:pt idx="433">
                  <c:v>45512</c:v>
                </c:pt>
                <c:pt idx="434">
                  <c:v>45511</c:v>
                </c:pt>
                <c:pt idx="435">
                  <c:v>45510</c:v>
                </c:pt>
                <c:pt idx="436">
                  <c:v>45509</c:v>
                </c:pt>
                <c:pt idx="437">
                  <c:v>45508</c:v>
                </c:pt>
                <c:pt idx="438">
                  <c:v>45507</c:v>
                </c:pt>
                <c:pt idx="439">
                  <c:v>45506</c:v>
                </c:pt>
                <c:pt idx="440">
                  <c:v>45505</c:v>
                </c:pt>
                <c:pt idx="441">
                  <c:v>45504</c:v>
                </c:pt>
                <c:pt idx="442">
                  <c:v>45503</c:v>
                </c:pt>
                <c:pt idx="443">
                  <c:v>45502</c:v>
                </c:pt>
                <c:pt idx="444">
                  <c:v>45501</c:v>
                </c:pt>
                <c:pt idx="445">
                  <c:v>45500</c:v>
                </c:pt>
                <c:pt idx="446">
                  <c:v>45499</c:v>
                </c:pt>
                <c:pt idx="447">
                  <c:v>45498</c:v>
                </c:pt>
                <c:pt idx="448">
                  <c:v>45497</c:v>
                </c:pt>
                <c:pt idx="449">
                  <c:v>45496</c:v>
                </c:pt>
                <c:pt idx="450">
                  <c:v>45495</c:v>
                </c:pt>
                <c:pt idx="451">
                  <c:v>45494</c:v>
                </c:pt>
                <c:pt idx="452">
                  <c:v>45493</c:v>
                </c:pt>
                <c:pt idx="453">
                  <c:v>45492</c:v>
                </c:pt>
                <c:pt idx="454">
                  <c:v>45491</c:v>
                </c:pt>
                <c:pt idx="455">
                  <c:v>45490</c:v>
                </c:pt>
                <c:pt idx="456">
                  <c:v>45489</c:v>
                </c:pt>
                <c:pt idx="457">
                  <c:v>45488</c:v>
                </c:pt>
                <c:pt idx="458">
                  <c:v>45487</c:v>
                </c:pt>
                <c:pt idx="459">
                  <c:v>45486</c:v>
                </c:pt>
                <c:pt idx="460">
                  <c:v>45485</c:v>
                </c:pt>
                <c:pt idx="461">
                  <c:v>45484</c:v>
                </c:pt>
                <c:pt idx="462">
                  <c:v>45483</c:v>
                </c:pt>
                <c:pt idx="463">
                  <c:v>45482</c:v>
                </c:pt>
                <c:pt idx="464">
                  <c:v>45481</c:v>
                </c:pt>
                <c:pt idx="465">
                  <c:v>45480</c:v>
                </c:pt>
                <c:pt idx="466">
                  <c:v>45479</c:v>
                </c:pt>
                <c:pt idx="467">
                  <c:v>45478</c:v>
                </c:pt>
                <c:pt idx="468">
                  <c:v>45477</c:v>
                </c:pt>
                <c:pt idx="469">
                  <c:v>45476</c:v>
                </c:pt>
                <c:pt idx="470">
                  <c:v>45475</c:v>
                </c:pt>
                <c:pt idx="471">
                  <c:v>45474</c:v>
                </c:pt>
                <c:pt idx="472">
                  <c:v>45473</c:v>
                </c:pt>
                <c:pt idx="473">
                  <c:v>45472</c:v>
                </c:pt>
                <c:pt idx="474">
                  <c:v>45471</c:v>
                </c:pt>
                <c:pt idx="475">
                  <c:v>45470</c:v>
                </c:pt>
                <c:pt idx="476">
                  <c:v>45469</c:v>
                </c:pt>
                <c:pt idx="477">
                  <c:v>45468</c:v>
                </c:pt>
                <c:pt idx="478">
                  <c:v>45467</c:v>
                </c:pt>
                <c:pt idx="479">
                  <c:v>45466</c:v>
                </c:pt>
                <c:pt idx="480">
                  <c:v>45465</c:v>
                </c:pt>
                <c:pt idx="481">
                  <c:v>45464</c:v>
                </c:pt>
                <c:pt idx="482">
                  <c:v>45463</c:v>
                </c:pt>
                <c:pt idx="483">
                  <c:v>45462</c:v>
                </c:pt>
                <c:pt idx="484">
                  <c:v>45461</c:v>
                </c:pt>
                <c:pt idx="485">
                  <c:v>45460</c:v>
                </c:pt>
                <c:pt idx="486">
                  <c:v>45459</c:v>
                </c:pt>
                <c:pt idx="487">
                  <c:v>45458</c:v>
                </c:pt>
                <c:pt idx="488">
                  <c:v>45457</c:v>
                </c:pt>
                <c:pt idx="489">
                  <c:v>45456</c:v>
                </c:pt>
                <c:pt idx="490">
                  <c:v>45455</c:v>
                </c:pt>
                <c:pt idx="491">
                  <c:v>45454</c:v>
                </c:pt>
                <c:pt idx="492">
                  <c:v>45453</c:v>
                </c:pt>
                <c:pt idx="493">
                  <c:v>45452</c:v>
                </c:pt>
                <c:pt idx="494">
                  <c:v>45451</c:v>
                </c:pt>
                <c:pt idx="495">
                  <c:v>45450</c:v>
                </c:pt>
                <c:pt idx="496">
                  <c:v>45449</c:v>
                </c:pt>
                <c:pt idx="497">
                  <c:v>45448</c:v>
                </c:pt>
                <c:pt idx="498">
                  <c:v>45447</c:v>
                </c:pt>
                <c:pt idx="499">
                  <c:v>45446</c:v>
                </c:pt>
                <c:pt idx="500">
                  <c:v>45445</c:v>
                </c:pt>
                <c:pt idx="501">
                  <c:v>45444</c:v>
                </c:pt>
                <c:pt idx="502">
                  <c:v>45443</c:v>
                </c:pt>
                <c:pt idx="503">
                  <c:v>45442</c:v>
                </c:pt>
                <c:pt idx="504">
                  <c:v>45441</c:v>
                </c:pt>
                <c:pt idx="505">
                  <c:v>45440</c:v>
                </c:pt>
                <c:pt idx="506">
                  <c:v>45439</c:v>
                </c:pt>
                <c:pt idx="507">
                  <c:v>45438</c:v>
                </c:pt>
                <c:pt idx="508">
                  <c:v>45437</c:v>
                </c:pt>
                <c:pt idx="509">
                  <c:v>45436</c:v>
                </c:pt>
                <c:pt idx="510">
                  <c:v>45435</c:v>
                </c:pt>
                <c:pt idx="511">
                  <c:v>45434</c:v>
                </c:pt>
                <c:pt idx="512">
                  <c:v>45433</c:v>
                </c:pt>
                <c:pt idx="513">
                  <c:v>45432</c:v>
                </c:pt>
                <c:pt idx="514">
                  <c:v>45431</c:v>
                </c:pt>
                <c:pt idx="515">
                  <c:v>45430</c:v>
                </c:pt>
                <c:pt idx="516">
                  <c:v>45429</c:v>
                </c:pt>
                <c:pt idx="517">
                  <c:v>45428</c:v>
                </c:pt>
                <c:pt idx="518">
                  <c:v>45427</c:v>
                </c:pt>
                <c:pt idx="519">
                  <c:v>45426</c:v>
                </c:pt>
                <c:pt idx="520">
                  <c:v>45425</c:v>
                </c:pt>
                <c:pt idx="521">
                  <c:v>45424</c:v>
                </c:pt>
                <c:pt idx="522">
                  <c:v>45423</c:v>
                </c:pt>
                <c:pt idx="523">
                  <c:v>45422</c:v>
                </c:pt>
                <c:pt idx="524">
                  <c:v>45421</c:v>
                </c:pt>
                <c:pt idx="525">
                  <c:v>45420</c:v>
                </c:pt>
                <c:pt idx="526">
                  <c:v>45419</c:v>
                </c:pt>
                <c:pt idx="527">
                  <c:v>45418</c:v>
                </c:pt>
                <c:pt idx="528">
                  <c:v>45417</c:v>
                </c:pt>
                <c:pt idx="529">
                  <c:v>45416</c:v>
                </c:pt>
                <c:pt idx="530">
                  <c:v>45415</c:v>
                </c:pt>
                <c:pt idx="531">
                  <c:v>45414</c:v>
                </c:pt>
                <c:pt idx="532">
                  <c:v>45413</c:v>
                </c:pt>
                <c:pt idx="533">
                  <c:v>45412</c:v>
                </c:pt>
                <c:pt idx="534">
                  <c:v>45411</c:v>
                </c:pt>
                <c:pt idx="535">
                  <c:v>45410</c:v>
                </c:pt>
                <c:pt idx="536">
                  <c:v>45409</c:v>
                </c:pt>
                <c:pt idx="537">
                  <c:v>45408</c:v>
                </c:pt>
                <c:pt idx="538">
                  <c:v>45407</c:v>
                </c:pt>
                <c:pt idx="539">
                  <c:v>45406</c:v>
                </c:pt>
                <c:pt idx="540">
                  <c:v>45405</c:v>
                </c:pt>
                <c:pt idx="541">
                  <c:v>45404</c:v>
                </c:pt>
                <c:pt idx="542">
                  <c:v>45403</c:v>
                </c:pt>
                <c:pt idx="543">
                  <c:v>45402</c:v>
                </c:pt>
                <c:pt idx="544">
                  <c:v>45401</c:v>
                </c:pt>
                <c:pt idx="545">
                  <c:v>45400</c:v>
                </c:pt>
                <c:pt idx="546">
                  <c:v>45399</c:v>
                </c:pt>
                <c:pt idx="547">
                  <c:v>45398</c:v>
                </c:pt>
                <c:pt idx="548">
                  <c:v>45397</c:v>
                </c:pt>
                <c:pt idx="549">
                  <c:v>45396</c:v>
                </c:pt>
                <c:pt idx="550">
                  <c:v>45395</c:v>
                </c:pt>
                <c:pt idx="551">
                  <c:v>45394</c:v>
                </c:pt>
                <c:pt idx="552">
                  <c:v>45393</c:v>
                </c:pt>
                <c:pt idx="553">
                  <c:v>45392</c:v>
                </c:pt>
                <c:pt idx="554">
                  <c:v>45391</c:v>
                </c:pt>
                <c:pt idx="555">
                  <c:v>45390</c:v>
                </c:pt>
                <c:pt idx="556">
                  <c:v>45389</c:v>
                </c:pt>
                <c:pt idx="557">
                  <c:v>45388</c:v>
                </c:pt>
                <c:pt idx="558">
                  <c:v>45387</c:v>
                </c:pt>
                <c:pt idx="559">
                  <c:v>45386</c:v>
                </c:pt>
                <c:pt idx="560">
                  <c:v>45385</c:v>
                </c:pt>
                <c:pt idx="561">
                  <c:v>45384</c:v>
                </c:pt>
                <c:pt idx="562">
                  <c:v>45383</c:v>
                </c:pt>
                <c:pt idx="563">
                  <c:v>45382</c:v>
                </c:pt>
                <c:pt idx="564">
                  <c:v>45381</c:v>
                </c:pt>
                <c:pt idx="565">
                  <c:v>45380</c:v>
                </c:pt>
                <c:pt idx="566">
                  <c:v>45379</c:v>
                </c:pt>
                <c:pt idx="567">
                  <c:v>45378</c:v>
                </c:pt>
                <c:pt idx="568">
                  <c:v>45377</c:v>
                </c:pt>
                <c:pt idx="569">
                  <c:v>45376</c:v>
                </c:pt>
                <c:pt idx="570">
                  <c:v>45375</c:v>
                </c:pt>
                <c:pt idx="571">
                  <c:v>45374</c:v>
                </c:pt>
                <c:pt idx="572">
                  <c:v>45373</c:v>
                </c:pt>
                <c:pt idx="573">
                  <c:v>45372</c:v>
                </c:pt>
                <c:pt idx="574">
                  <c:v>45371</c:v>
                </c:pt>
                <c:pt idx="575">
                  <c:v>45370</c:v>
                </c:pt>
                <c:pt idx="576">
                  <c:v>45369</c:v>
                </c:pt>
                <c:pt idx="577">
                  <c:v>45368</c:v>
                </c:pt>
                <c:pt idx="578">
                  <c:v>45367</c:v>
                </c:pt>
                <c:pt idx="579">
                  <c:v>45366</c:v>
                </c:pt>
                <c:pt idx="580">
                  <c:v>45365</c:v>
                </c:pt>
                <c:pt idx="581">
                  <c:v>45364</c:v>
                </c:pt>
                <c:pt idx="582">
                  <c:v>45363</c:v>
                </c:pt>
                <c:pt idx="583">
                  <c:v>45362</c:v>
                </c:pt>
                <c:pt idx="584">
                  <c:v>45361</c:v>
                </c:pt>
                <c:pt idx="585">
                  <c:v>45360</c:v>
                </c:pt>
                <c:pt idx="586">
                  <c:v>45359</c:v>
                </c:pt>
                <c:pt idx="587">
                  <c:v>45358</c:v>
                </c:pt>
                <c:pt idx="588">
                  <c:v>45357</c:v>
                </c:pt>
                <c:pt idx="589">
                  <c:v>45356</c:v>
                </c:pt>
                <c:pt idx="590">
                  <c:v>45355</c:v>
                </c:pt>
                <c:pt idx="591">
                  <c:v>45354</c:v>
                </c:pt>
                <c:pt idx="592">
                  <c:v>45353</c:v>
                </c:pt>
                <c:pt idx="593">
                  <c:v>45352</c:v>
                </c:pt>
                <c:pt idx="594">
                  <c:v>45351</c:v>
                </c:pt>
                <c:pt idx="595">
                  <c:v>45350</c:v>
                </c:pt>
                <c:pt idx="596">
                  <c:v>45349</c:v>
                </c:pt>
                <c:pt idx="597">
                  <c:v>45348</c:v>
                </c:pt>
                <c:pt idx="598">
                  <c:v>45347</c:v>
                </c:pt>
                <c:pt idx="599">
                  <c:v>45346</c:v>
                </c:pt>
                <c:pt idx="600">
                  <c:v>45345</c:v>
                </c:pt>
                <c:pt idx="601">
                  <c:v>45344</c:v>
                </c:pt>
                <c:pt idx="602">
                  <c:v>45343</c:v>
                </c:pt>
                <c:pt idx="603">
                  <c:v>45342</c:v>
                </c:pt>
                <c:pt idx="604">
                  <c:v>45341</c:v>
                </c:pt>
                <c:pt idx="605">
                  <c:v>45340</c:v>
                </c:pt>
                <c:pt idx="606">
                  <c:v>45339</c:v>
                </c:pt>
                <c:pt idx="607">
                  <c:v>45338</c:v>
                </c:pt>
                <c:pt idx="608">
                  <c:v>45337</c:v>
                </c:pt>
                <c:pt idx="609">
                  <c:v>45336</c:v>
                </c:pt>
                <c:pt idx="610">
                  <c:v>45335</c:v>
                </c:pt>
                <c:pt idx="611">
                  <c:v>45334</c:v>
                </c:pt>
                <c:pt idx="612">
                  <c:v>45333</c:v>
                </c:pt>
                <c:pt idx="613">
                  <c:v>45332</c:v>
                </c:pt>
                <c:pt idx="614">
                  <c:v>45331</c:v>
                </c:pt>
                <c:pt idx="615">
                  <c:v>45330</c:v>
                </c:pt>
                <c:pt idx="616">
                  <c:v>45329</c:v>
                </c:pt>
                <c:pt idx="617">
                  <c:v>45328</c:v>
                </c:pt>
                <c:pt idx="618">
                  <c:v>45327</c:v>
                </c:pt>
                <c:pt idx="619">
                  <c:v>45326</c:v>
                </c:pt>
                <c:pt idx="620">
                  <c:v>45325</c:v>
                </c:pt>
                <c:pt idx="621">
                  <c:v>45324</c:v>
                </c:pt>
                <c:pt idx="622">
                  <c:v>45323</c:v>
                </c:pt>
                <c:pt idx="623">
                  <c:v>45322</c:v>
                </c:pt>
                <c:pt idx="624">
                  <c:v>45321</c:v>
                </c:pt>
                <c:pt idx="625">
                  <c:v>45320</c:v>
                </c:pt>
                <c:pt idx="626">
                  <c:v>45319</c:v>
                </c:pt>
                <c:pt idx="627">
                  <c:v>45318</c:v>
                </c:pt>
                <c:pt idx="628">
                  <c:v>45317</c:v>
                </c:pt>
                <c:pt idx="629">
                  <c:v>45316</c:v>
                </c:pt>
                <c:pt idx="630">
                  <c:v>45315</c:v>
                </c:pt>
                <c:pt idx="631">
                  <c:v>45314</c:v>
                </c:pt>
                <c:pt idx="632">
                  <c:v>45313</c:v>
                </c:pt>
                <c:pt idx="633">
                  <c:v>45312</c:v>
                </c:pt>
                <c:pt idx="634">
                  <c:v>45311</c:v>
                </c:pt>
                <c:pt idx="635">
                  <c:v>45310</c:v>
                </c:pt>
                <c:pt idx="636">
                  <c:v>45309</c:v>
                </c:pt>
                <c:pt idx="637">
                  <c:v>45308</c:v>
                </c:pt>
                <c:pt idx="638">
                  <c:v>45307</c:v>
                </c:pt>
                <c:pt idx="639">
                  <c:v>45306</c:v>
                </c:pt>
                <c:pt idx="640">
                  <c:v>45305</c:v>
                </c:pt>
                <c:pt idx="641">
                  <c:v>45304</c:v>
                </c:pt>
                <c:pt idx="642">
                  <c:v>45303</c:v>
                </c:pt>
                <c:pt idx="643">
                  <c:v>45302</c:v>
                </c:pt>
                <c:pt idx="644">
                  <c:v>45301</c:v>
                </c:pt>
                <c:pt idx="645">
                  <c:v>45300</c:v>
                </c:pt>
                <c:pt idx="646">
                  <c:v>45299</c:v>
                </c:pt>
                <c:pt idx="647">
                  <c:v>45298</c:v>
                </c:pt>
                <c:pt idx="648">
                  <c:v>45297</c:v>
                </c:pt>
                <c:pt idx="649">
                  <c:v>45296</c:v>
                </c:pt>
                <c:pt idx="650">
                  <c:v>45295</c:v>
                </c:pt>
                <c:pt idx="651">
                  <c:v>45294</c:v>
                </c:pt>
                <c:pt idx="652">
                  <c:v>45293</c:v>
                </c:pt>
                <c:pt idx="653">
                  <c:v>45292</c:v>
                </c:pt>
                <c:pt idx="654">
                  <c:v>45291</c:v>
                </c:pt>
                <c:pt idx="655">
                  <c:v>45290</c:v>
                </c:pt>
                <c:pt idx="656">
                  <c:v>45289</c:v>
                </c:pt>
                <c:pt idx="657">
                  <c:v>45288</c:v>
                </c:pt>
                <c:pt idx="658">
                  <c:v>45287</c:v>
                </c:pt>
                <c:pt idx="659">
                  <c:v>45286</c:v>
                </c:pt>
                <c:pt idx="660">
                  <c:v>45285</c:v>
                </c:pt>
                <c:pt idx="661">
                  <c:v>45284</c:v>
                </c:pt>
                <c:pt idx="662">
                  <c:v>45283</c:v>
                </c:pt>
                <c:pt idx="663">
                  <c:v>45282</c:v>
                </c:pt>
                <c:pt idx="664">
                  <c:v>45281</c:v>
                </c:pt>
                <c:pt idx="665">
                  <c:v>45280</c:v>
                </c:pt>
                <c:pt idx="666">
                  <c:v>45279</c:v>
                </c:pt>
                <c:pt idx="667">
                  <c:v>45278</c:v>
                </c:pt>
                <c:pt idx="668">
                  <c:v>45277</c:v>
                </c:pt>
                <c:pt idx="669">
                  <c:v>45276</c:v>
                </c:pt>
                <c:pt idx="670">
                  <c:v>45275</c:v>
                </c:pt>
                <c:pt idx="671">
                  <c:v>45274</c:v>
                </c:pt>
                <c:pt idx="672">
                  <c:v>45273</c:v>
                </c:pt>
                <c:pt idx="673">
                  <c:v>45272</c:v>
                </c:pt>
                <c:pt idx="674">
                  <c:v>45271</c:v>
                </c:pt>
                <c:pt idx="675">
                  <c:v>45270</c:v>
                </c:pt>
                <c:pt idx="676">
                  <c:v>45269</c:v>
                </c:pt>
                <c:pt idx="677">
                  <c:v>45268</c:v>
                </c:pt>
                <c:pt idx="678">
                  <c:v>45267</c:v>
                </c:pt>
                <c:pt idx="679">
                  <c:v>45266</c:v>
                </c:pt>
                <c:pt idx="680">
                  <c:v>45265</c:v>
                </c:pt>
                <c:pt idx="681">
                  <c:v>45264</c:v>
                </c:pt>
                <c:pt idx="682">
                  <c:v>45263</c:v>
                </c:pt>
                <c:pt idx="683">
                  <c:v>45262</c:v>
                </c:pt>
                <c:pt idx="684">
                  <c:v>45261</c:v>
                </c:pt>
                <c:pt idx="685">
                  <c:v>45260</c:v>
                </c:pt>
                <c:pt idx="686">
                  <c:v>45259</c:v>
                </c:pt>
                <c:pt idx="687">
                  <c:v>45258</c:v>
                </c:pt>
                <c:pt idx="688">
                  <c:v>45257</c:v>
                </c:pt>
                <c:pt idx="689">
                  <c:v>45256</c:v>
                </c:pt>
                <c:pt idx="690">
                  <c:v>45255</c:v>
                </c:pt>
                <c:pt idx="691">
                  <c:v>45254</c:v>
                </c:pt>
                <c:pt idx="692">
                  <c:v>45253</c:v>
                </c:pt>
                <c:pt idx="693">
                  <c:v>45252</c:v>
                </c:pt>
                <c:pt idx="694">
                  <c:v>45251</c:v>
                </c:pt>
                <c:pt idx="695">
                  <c:v>45250</c:v>
                </c:pt>
                <c:pt idx="696">
                  <c:v>45249</c:v>
                </c:pt>
                <c:pt idx="697">
                  <c:v>45248</c:v>
                </c:pt>
                <c:pt idx="698">
                  <c:v>45247</c:v>
                </c:pt>
                <c:pt idx="699">
                  <c:v>45246</c:v>
                </c:pt>
                <c:pt idx="700">
                  <c:v>45245</c:v>
                </c:pt>
                <c:pt idx="701">
                  <c:v>45244</c:v>
                </c:pt>
                <c:pt idx="702">
                  <c:v>45243</c:v>
                </c:pt>
                <c:pt idx="703">
                  <c:v>45242</c:v>
                </c:pt>
                <c:pt idx="704">
                  <c:v>45241</c:v>
                </c:pt>
                <c:pt idx="705">
                  <c:v>45240</c:v>
                </c:pt>
                <c:pt idx="706">
                  <c:v>45239</c:v>
                </c:pt>
                <c:pt idx="707">
                  <c:v>45238</c:v>
                </c:pt>
                <c:pt idx="708">
                  <c:v>45237</c:v>
                </c:pt>
                <c:pt idx="709">
                  <c:v>45236</c:v>
                </c:pt>
                <c:pt idx="710">
                  <c:v>45235</c:v>
                </c:pt>
                <c:pt idx="711">
                  <c:v>45234</c:v>
                </c:pt>
                <c:pt idx="712">
                  <c:v>45233</c:v>
                </c:pt>
                <c:pt idx="713">
                  <c:v>45232</c:v>
                </c:pt>
                <c:pt idx="714">
                  <c:v>45231</c:v>
                </c:pt>
                <c:pt idx="715">
                  <c:v>45230</c:v>
                </c:pt>
                <c:pt idx="716">
                  <c:v>45229</c:v>
                </c:pt>
                <c:pt idx="717">
                  <c:v>45228</c:v>
                </c:pt>
                <c:pt idx="718">
                  <c:v>45227</c:v>
                </c:pt>
                <c:pt idx="719">
                  <c:v>45226</c:v>
                </c:pt>
                <c:pt idx="720">
                  <c:v>45225</c:v>
                </c:pt>
                <c:pt idx="721">
                  <c:v>45224</c:v>
                </c:pt>
                <c:pt idx="722">
                  <c:v>45223</c:v>
                </c:pt>
                <c:pt idx="723">
                  <c:v>45222</c:v>
                </c:pt>
                <c:pt idx="724">
                  <c:v>45221</c:v>
                </c:pt>
                <c:pt idx="725">
                  <c:v>45220</c:v>
                </c:pt>
                <c:pt idx="726">
                  <c:v>45219</c:v>
                </c:pt>
                <c:pt idx="727">
                  <c:v>45218</c:v>
                </c:pt>
                <c:pt idx="728">
                  <c:v>45217</c:v>
                </c:pt>
                <c:pt idx="729">
                  <c:v>45216</c:v>
                </c:pt>
                <c:pt idx="730">
                  <c:v>45215</c:v>
                </c:pt>
                <c:pt idx="731">
                  <c:v>45214</c:v>
                </c:pt>
                <c:pt idx="732">
                  <c:v>45213</c:v>
                </c:pt>
                <c:pt idx="733">
                  <c:v>45212</c:v>
                </c:pt>
                <c:pt idx="734">
                  <c:v>45211</c:v>
                </c:pt>
                <c:pt idx="735">
                  <c:v>45210</c:v>
                </c:pt>
                <c:pt idx="736">
                  <c:v>45209</c:v>
                </c:pt>
                <c:pt idx="737">
                  <c:v>45208</c:v>
                </c:pt>
                <c:pt idx="738">
                  <c:v>45207</c:v>
                </c:pt>
                <c:pt idx="739">
                  <c:v>45206</c:v>
                </c:pt>
                <c:pt idx="740">
                  <c:v>45205</c:v>
                </c:pt>
                <c:pt idx="741">
                  <c:v>45204</c:v>
                </c:pt>
                <c:pt idx="742">
                  <c:v>45203</c:v>
                </c:pt>
                <c:pt idx="743">
                  <c:v>45202</c:v>
                </c:pt>
                <c:pt idx="744">
                  <c:v>45201</c:v>
                </c:pt>
                <c:pt idx="745">
                  <c:v>45200</c:v>
                </c:pt>
                <c:pt idx="746">
                  <c:v>45199</c:v>
                </c:pt>
                <c:pt idx="747">
                  <c:v>45198</c:v>
                </c:pt>
                <c:pt idx="748">
                  <c:v>45197</c:v>
                </c:pt>
                <c:pt idx="749">
                  <c:v>45196</c:v>
                </c:pt>
                <c:pt idx="750">
                  <c:v>45195</c:v>
                </c:pt>
                <c:pt idx="751">
                  <c:v>45194</c:v>
                </c:pt>
                <c:pt idx="752">
                  <c:v>45193</c:v>
                </c:pt>
                <c:pt idx="753">
                  <c:v>45192</c:v>
                </c:pt>
                <c:pt idx="754">
                  <c:v>45191</c:v>
                </c:pt>
                <c:pt idx="755">
                  <c:v>45190</c:v>
                </c:pt>
                <c:pt idx="756">
                  <c:v>45189</c:v>
                </c:pt>
                <c:pt idx="757">
                  <c:v>45188</c:v>
                </c:pt>
                <c:pt idx="758">
                  <c:v>45187</c:v>
                </c:pt>
                <c:pt idx="759">
                  <c:v>45186</c:v>
                </c:pt>
                <c:pt idx="760">
                  <c:v>45185</c:v>
                </c:pt>
                <c:pt idx="761">
                  <c:v>45184</c:v>
                </c:pt>
                <c:pt idx="762">
                  <c:v>45183</c:v>
                </c:pt>
                <c:pt idx="763">
                  <c:v>45182</c:v>
                </c:pt>
                <c:pt idx="764">
                  <c:v>45181</c:v>
                </c:pt>
                <c:pt idx="765">
                  <c:v>45180</c:v>
                </c:pt>
                <c:pt idx="766">
                  <c:v>45179</c:v>
                </c:pt>
                <c:pt idx="767">
                  <c:v>45178</c:v>
                </c:pt>
                <c:pt idx="768">
                  <c:v>45177</c:v>
                </c:pt>
                <c:pt idx="769">
                  <c:v>45176</c:v>
                </c:pt>
                <c:pt idx="770">
                  <c:v>45175</c:v>
                </c:pt>
                <c:pt idx="771">
                  <c:v>45174</c:v>
                </c:pt>
                <c:pt idx="772">
                  <c:v>45173</c:v>
                </c:pt>
                <c:pt idx="773">
                  <c:v>45172</c:v>
                </c:pt>
                <c:pt idx="774">
                  <c:v>45171</c:v>
                </c:pt>
                <c:pt idx="775">
                  <c:v>45170</c:v>
                </c:pt>
                <c:pt idx="776">
                  <c:v>45169</c:v>
                </c:pt>
                <c:pt idx="777">
                  <c:v>45168</c:v>
                </c:pt>
                <c:pt idx="778">
                  <c:v>45167</c:v>
                </c:pt>
                <c:pt idx="779">
                  <c:v>45166</c:v>
                </c:pt>
                <c:pt idx="780">
                  <c:v>45165</c:v>
                </c:pt>
                <c:pt idx="781">
                  <c:v>45164</c:v>
                </c:pt>
                <c:pt idx="782">
                  <c:v>45163</c:v>
                </c:pt>
                <c:pt idx="783">
                  <c:v>45162</c:v>
                </c:pt>
                <c:pt idx="784">
                  <c:v>45161</c:v>
                </c:pt>
                <c:pt idx="785">
                  <c:v>45160</c:v>
                </c:pt>
                <c:pt idx="786">
                  <c:v>45159</c:v>
                </c:pt>
                <c:pt idx="787">
                  <c:v>45158</c:v>
                </c:pt>
                <c:pt idx="788">
                  <c:v>45157</c:v>
                </c:pt>
                <c:pt idx="789">
                  <c:v>45156</c:v>
                </c:pt>
                <c:pt idx="790">
                  <c:v>45155</c:v>
                </c:pt>
                <c:pt idx="791">
                  <c:v>45154</c:v>
                </c:pt>
                <c:pt idx="792">
                  <c:v>45153</c:v>
                </c:pt>
                <c:pt idx="793">
                  <c:v>45152</c:v>
                </c:pt>
                <c:pt idx="794">
                  <c:v>45151</c:v>
                </c:pt>
                <c:pt idx="795">
                  <c:v>45150</c:v>
                </c:pt>
                <c:pt idx="796">
                  <c:v>45149</c:v>
                </c:pt>
                <c:pt idx="797">
                  <c:v>45148</c:v>
                </c:pt>
                <c:pt idx="798">
                  <c:v>45147</c:v>
                </c:pt>
                <c:pt idx="799">
                  <c:v>45146</c:v>
                </c:pt>
                <c:pt idx="800">
                  <c:v>45145</c:v>
                </c:pt>
                <c:pt idx="801">
                  <c:v>45144</c:v>
                </c:pt>
                <c:pt idx="802">
                  <c:v>45143</c:v>
                </c:pt>
                <c:pt idx="803">
                  <c:v>45142</c:v>
                </c:pt>
                <c:pt idx="804">
                  <c:v>45141</c:v>
                </c:pt>
                <c:pt idx="805">
                  <c:v>45140</c:v>
                </c:pt>
                <c:pt idx="806">
                  <c:v>45139</c:v>
                </c:pt>
                <c:pt idx="807">
                  <c:v>45138</c:v>
                </c:pt>
                <c:pt idx="808">
                  <c:v>45137</c:v>
                </c:pt>
                <c:pt idx="809">
                  <c:v>45136</c:v>
                </c:pt>
                <c:pt idx="810">
                  <c:v>45135</c:v>
                </c:pt>
                <c:pt idx="811">
                  <c:v>45134</c:v>
                </c:pt>
                <c:pt idx="812">
                  <c:v>45133</c:v>
                </c:pt>
                <c:pt idx="813">
                  <c:v>45132</c:v>
                </c:pt>
                <c:pt idx="814">
                  <c:v>45131</c:v>
                </c:pt>
                <c:pt idx="815">
                  <c:v>45130</c:v>
                </c:pt>
                <c:pt idx="816">
                  <c:v>45129</c:v>
                </c:pt>
                <c:pt idx="817">
                  <c:v>45128</c:v>
                </c:pt>
                <c:pt idx="818">
                  <c:v>45127</c:v>
                </c:pt>
                <c:pt idx="819">
                  <c:v>45126</c:v>
                </c:pt>
                <c:pt idx="820">
                  <c:v>45125</c:v>
                </c:pt>
                <c:pt idx="821">
                  <c:v>45124</c:v>
                </c:pt>
                <c:pt idx="822">
                  <c:v>45123</c:v>
                </c:pt>
                <c:pt idx="823">
                  <c:v>45122</c:v>
                </c:pt>
                <c:pt idx="824">
                  <c:v>45121</c:v>
                </c:pt>
                <c:pt idx="825">
                  <c:v>45120</c:v>
                </c:pt>
                <c:pt idx="826">
                  <c:v>45119</c:v>
                </c:pt>
                <c:pt idx="827">
                  <c:v>45118</c:v>
                </c:pt>
                <c:pt idx="828">
                  <c:v>45117</c:v>
                </c:pt>
                <c:pt idx="829">
                  <c:v>45116</c:v>
                </c:pt>
                <c:pt idx="830">
                  <c:v>45115</c:v>
                </c:pt>
                <c:pt idx="831">
                  <c:v>45114</c:v>
                </c:pt>
                <c:pt idx="832">
                  <c:v>45113</c:v>
                </c:pt>
                <c:pt idx="833">
                  <c:v>45112</c:v>
                </c:pt>
                <c:pt idx="834">
                  <c:v>45111</c:v>
                </c:pt>
                <c:pt idx="835">
                  <c:v>45110</c:v>
                </c:pt>
                <c:pt idx="836">
                  <c:v>45109</c:v>
                </c:pt>
                <c:pt idx="837">
                  <c:v>45108</c:v>
                </c:pt>
                <c:pt idx="838">
                  <c:v>45107</c:v>
                </c:pt>
                <c:pt idx="839">
                  <c:v>45106</c:v>
                </c:pt>
                <c:pt idx="840">
                  <c:v>45105</c:v>
                </c:pt>
                <c:pt idx="841">
                  <c:v>45104</c:v>
                </c:pt>
                <c:pt idx="842">
                  <c:v>45103</c:v>
                </c:pt>
                <c:pt idx="843">
                  <c:v>45102</c:v>
                </c:pt>
                <c:pt idx="844">
                  <c:v>45101</c:v>
                </c:pt>
                <c:pt idx="845">
                  <c:v>45100</c:v>
                </c:pt>
                <c:pt idx="846">
                  <c:v>45099</c:v>
                </c:pt>
                <c:pt idx="847">
                  <c:v>45098</c:v>
                </c:pt>
                <c:pt idx="848">
                  <c:v>45097</c:v>
                </c:pt>
                <c:pt idx="849">
                  <c:v>45096</c:v>
                </c:pt>
                <c:pt idx="850">
                  <c:v>45095</c:v>
                </c:pt>
                <c:pt idx="851">
                  <c:v>45094</c:v>
                </c:pt>
                <c:pt idx="852">
                  <c:v>45093</c:v>
                </c:pt>
                <c:pt idx="853">
                  <c:v>45092</c:v>
                </c:pt>
                <c:pt idx="854">
                  <c:v>45091</c:v>
                </c:pt>
                <c:pt idx="855">
                  <c:v>45090</c:v>
                </c:pt>
                <c:pt idx="856">
                  <c:v>45089</c:v>
                </c:pt>
                <c:pt idx="857">
                  <c:v>45088</c:v>
                </c:pt>
                <c:pt idx="858">
                  <c:v>45087</c:v>
                </c:pt>
                <c:pt idx="859">
                  <c:v>45086</c:v>
                </c:pt>
                <c:pt idx="860">
                  <c:v>45085</c:v>
                </c:pt>
                <c:pt idx="861">
                  <c:v>45084</c:v>
                </c:pt>
                <c:pt idx="862">
                  <c:v>45083</c:v>
                </c:pt>
                <c:pt idx="863">
                  <c:v>45082</c:v>
                </c:pt>
                <c:pt idx="864">
                  <c:v>45081</c:v>
                </c:pt>
                <c:pt idx="865">
                  <c:v>45080</c:v>
                </c:pt>
                <c:pt idx="866">
                  <c:v>45079</c:v>
                </c:pt>
                <c:pt idx="867">
                  <c:v>45078</c:v>
                </c:pt>
                <c:pt idx="868">
                  <c:v>45077</c:v>
                </c:pt>
                <c:pt idx="869">
                  <c:v>45076</c:v>
                </c:pt>
                <c:pt idx="870">
                  <c:v>45075</c:v>
                </c:pt>
                <c:pt idx="871">
                  <c:v>45074</c:v>
                </c:pt>
                <c:pt idx="872">
                  <c:v>45073</c:v>
                </c:pt>
                <c:pt idx="873">
                  <c:v>45072</c:v>
                </c:pt>
                <c:pt idx="874">
                  <c:v>45071</c:v>
                </c:pt>
                <c:pt idx="875">
                  <c:v>45070</c:v>
                </c:pt>
                <c:pt idx="876">
                  <c:v>45069</c:v>
                </c:pt>
                <c:pt idx="877">
                  <c:v>45068</c:v>
                </c:pt>
                <c:pt idx="878">
                  <c:v>45067</c:v>
                </c:pt>
                <c:pt idx="879">
                  <c:v>45066</c:v>
                </c:pt>
                <c:pt idx="880">
                  <c:v>45065</c:v>
                </c:pt>
                <c:pt idx="881">
                  <c:v>45064</c:v>
                </c:pt>
                <c:pt idx="882">
                  <c:v>45063</c:v>
                </c:pt>
                <c:pt idx="883">
                  <c:v>45062</c:v>
                </c:pt>
                <c:pt idx="884">
                  <c:v>45061</c:v>
                </c:pt>
                <c:pt idx="885">
                  <c:v>45060</c:v>
                </c:pt>
                <c:pt idx="886">
                  <c:v>45059</c:v>
                </c:pt>
                <c:pt idx="887">
                  <c:v>45058</c:v>
                </c:pt>
                <c:pt idx="888">
                  <c:v>45057</c:v>
                </c:pt>
                <c:pt idx="889">
                  <c:v>45056</c:v>
                </c:pt>
                <c:pt idx="890">
                  <c:v>45055</c:v>
                </c:pt>
                <c:pt idx="891">
                  <c:v>45054</c:v>
                </c:pt>
                <c:pt idx="892">
                  <c:v>45053</c:v>
                </c:pt>
                <c:pt idx="893">
                  <c:v>45052</c:v>
                </c:pt>
                <c:pt idx="894">
                  <c:v>45051</c:v>
                </c:pt>
                <c:pt idx="895">
                  <c:v>45050</c:v>
                </c:pt>
                <c:pt idx="896">
                  <c:v>45049</c:v>
                </c:pt>
                <c:pt idx="897">
                  <c:v>45048</c:v>
                </c:pt>
                <c:pt idx="898">
                  <c:v>45047</c:v>
                </c:pt>
                <c:pt idx="899">
                  <c:v>45046</c:v>
                </c:pt>
                <c:pt idx="900">
                  <c:v>45045</c:v>
                </c:pt>
                <c:pt idx="901">
                  <c:v>45044</c:v>
                </c:pt>
                <c:pt idx="902">
                  <c:v>45043</c:v>
                </c:pt>
                <c:pt idx="903">
                  <c:v>45042</c:v>
                </c:pt>
                <c:pt idx="904">
                  <c:v>45041</c:v>
                </c:pt>
                <c:pt idx="905">
                  <c:v>45040</c:v>
                </c:pt>
                <c:pt idx="906">
                  <c:v>45039</c:v>
                </c:pt>
                <c:pt idx="907">
                  <c:v>45038</c:v>
                </c:pt>
                <c:pt idx="908">
                  <c:v>45037</c:v>
                </c:pt>
                <c:pt idx="909">
                  <c:v>45036</c:v>
                </c:pt>
                <c:pt idx="910">
                  <c:v>45035</c:v>
                </c:pt>
                <c:pt idx="911">
                  <c:v>45034</c:v>
                </c:pt>
                <c:pt idx="912">
                  <c:v>45033</c:v>
                </c:pt>
                <c:pt idx="913">
                  <c:v>45032</c:v>
                </c:pt>
                <c:pt idx="914">
                  <c:v>45031</c:v>
                </c:pt>
                <c:pt idx="915">
                  <c:v>45030</c:v>
                </c:pt>
                <c:pt idx="916">
                  <c:v>45029</c:v>
                </c:pt>
                <c:pt idx="917">
                  <c:v>45028</c:v>
                </c:pt>
                <c:pt idx="918">
                  <c:v>45027</c:v>
                </c:pt>
                <c:pt idx="919">
                  <c:v>45026</c:v>
                </c:pt>
                <c:pt idx="920">
                  <c:v>45025</c:v>
                </c:pt>
                <c:pt idx="921">
                  <c:v>45024</c:v>
                </c:pt>
                <c:pt idx="922">
                  <c:v>45023</c:v>
                </c:pt>
                <c:pt idx="923">
                  <c:v>45022</c:v>
                </c:pt>
                <c:pt idx="924">
                  <c:v>45021</c:v>
                </c:pt>
                <c:pt idx="925">
                  <c:v>45020</c:v>
                </c:pt>
                <c:pt idx="926">
                  <c:v>45019</c:v>
                </c:pt>
                <c:pt idx="927">
                  <c:v>45018</c:v>
                </c:pt>
                <c:pt idx="928">
                  <c:v>45017</c:v>
                </c:pt>
                <c:pt idx="929">
                  <c:v>45016</c:v>
                </c:pt>
                <c:pt idx="930">
                  <c:v>45015</c:v>
                </c:pt>
                <c:pt idx="931">
                  <c:v>45014</c:v>
                </c:pt>
                <c:pt idx="932">
                  <c:v>45013</c:v>
                </c:pt>
                <c:pt idx="933">
                  <c:v>45012</c:v>
                </c:pt>
                <c:pt idx="934">
                  <c:v>45011</c:v>
                </c:pt>
                <c:pt idx="935">
                  <c:v>45010</c:v>
                </c:pt>
                <c:pt idx="936">
                  <c:v>45009</c:v>
                </c:pt>
                <c:pt idx="937">
                  <c:v>45008</c:v>
                </c:pt>
                <c:pt idx="938">
                  <c:v>45007</c:v>
                </c:pt>
                <c:pt idx="939">
                  <c:v>45006</c:v>
                </c:pt>
                <c:pt idx="940">
                  <c:v>45005</c:v>
                </c:pt>
                <c:pt idx="941">
                  <c:v>45004</c:v>
                </c:pt>
                <c:pt idx="942">
                  <c:v>45003</c:v>
                </c:pt>
                <c:pt idx="943">
                  <c:v>45002</c:v>
                </c:pt>
                <c:pt idx="944">
                  <c:v>45001</c:v>
                </c:pt>
                <c:pt idx="945">
                  <c:v>45000</c:v>
                </c:pt>
                <c:pt idx="946">
                  <c:v>44999</c:v>
                </c:pt>
                <c:pt idx="947">
                  <c:v>44998</c:v>
                </c:pt>
                <c:pt idx="948">
                  <c:v>44997</c:v>
                </c:pt>
                <c:pt idx="949">
                  <c:v>44996</c:v>
                </c:pt>
                <c:pt idx="950">
                  <c:v>44995</c:v>
                </c:pt>
                <c:pt idx="951">
                  <c:v>44994</c:v>
                </c:pt>
                <c:pt idx="952">
                  <c:v>44993</c:v>
                </c:pt>
                <c:pt idx="953">
                  <c:v>44992</c:v>
                </c:pt>
                <c:pt idx="954">
                  <c:v>44991</c:v>
                </c:pt>
                <c:pt idx="955">
                  <c:v>44990</c:v>
                </c:pt>
                <c:pt idx="956">
                  <c:v>44989</c:v>
                </c:pt>
                <c:pt idx="957">
                  <c:v>44988</c:v>
                </c:pt>
                <c:pt idx="958">
                  <c:v>44987</c:v>
                </c:pt>
                <c:pt idx="959">
                  <c:v>44986</c:v>
                </c:pt>
                <c:pt idx="960">
                  <c:v>44985</c:v>
                </c:pt>
                <c:pt idx="961">
                  <c:v>44984</c:v>
                </c:pt>
                <c:pt idx="962">
                  <c:v>44983</c:v>
                </c:pt>
                <c:pt idx="963">
                  <c:v>44982</c:v>
                </c:pt>
                <c:pt idx="964">
                  <c:v>44981</c:v>
                </c:pt>
                <c:pt idx="965">
                  <c:v>44980</c:v>
                </c:pt>
                <c:pt idx="966">
                  <c:v>44979</c:v>
                </c:pt>
                <c:pt idx="967">
                  <c:v>44978</c:v>
                </c:pt>
                <c:pt idx="968">
                  <c:v>44977</c:v>
                </c:pt>
                <c:pt idx="969">
                  <c:v>44976</c:v>
                </c:pt>
                <c:pt idx="970">
                  <c:v>44975</c:v>
                </c:pt>
                <c:pt idx="971">
                  <c:v>44974</c:v>
                </c:pt>
                <c:pt idx="972">
                  <c:v>44973</c:v>
                </c:pt>
                <c:pt idx="973">
                  <c:v>44972</c:v>
                </c:pt>
                <c:pt idx="974">
                  <c:v>44971</c:v>
                </c:pt>
                <c:pt idx="975">
                  <c:v>44970</c:v>
                </c:pt>
                <c:pt idx="976">
                  <c:v>44969</c:v>
                </c:pt>
                <c:pt idx="977">
                  <c:v>44968</c:v>
                </c:pt>
                <c:pt idx="978">
                  <c:v>44967</c:v>
                </c:pt>
                <c:pt idx="979">
                  <c:v>44966</c:v>
                </c:pt>
                <c:pt idx="980">
                  <c:v>44965</c:v>
                </c:pt>
                <c:pt idx="981">
                  <c:v>44964</c:v>
                </c:pt>
                <c:pt idx="982">
                  <c:v>44963</c:v>
                </c:pt>
                <c:pt idx="983">
                  <c:v>44962</c:v>
                </c:pt>
                <c:pt idx="984">
                  <c:v>44961</c:v>
                </c:pt>
                <c:pt idx="985">
                  <c:v>44960</c:v>
                </c:pt>
                <c:pt idx="986">
                  <c:v>44959</c:v>
                </c:pt>
                <c:pt idx="987">
                  <c:v>44958</c:v>
                </c:pt>
                <c:pt idx="988">
                  <c:v>44957</c:v>
                </c:pt>
                <c:pt idx="989">
                  <c:v>44956</c:v>
                </c:pt>
                <c:pt idx="990">
                  <c:v>44955</c:v>
                </c:pt>
                <c:pt idx="991">
                  <c:v>44954</c:v>
                </c:pt>
                <c:pt idx="992">
                  <c:v>44953</c:v>
                </c:pt>
                <c:pt idx="993">
                  <c:v>44952</c:v>
                </c:pt>
                <c:pt idx="994">
                  <c:v>44951</c:v>
                </c:pt>
                <c:pt idx="995">
                  <c:v>44950</c:v>
                </c:pt>
                <c:pt idx="996">
                  <c:v>44949</c:v>
                </c:pt>
                <c:pt idx="997">
                  <c:v>44948</c:v>
                </c:pt>
                <c:pt idx="998">
                  <c:v>44947</c:v>
                </c:pt>
                <c:pt idx="999">
                  <c:v>44946</c:v>
                </c:pt>
                <c:pt idx="1000">
                  <c:v>44945</c:v>
                </c:pt>
                <c:pt idx="1001">
                  <c:v>44944</c:v>
                </c:pt>
                <c:pt idx="1002">
                  <c:v>44943</c:v>
                </c:pt>
                <c:pt idx="1003">
                  <c:v>44942</c:v>
                </c:pt>
                <c:pt idx="1004">
                  <c:v>44941</c:v>
                </c:pt>
                <c:pt idx="1005">
                  <c:v>44940</c:v>
                </c:pt>
                <c:pt idx="1006">
                  <c:v>44939</c:v>
                </c:pt>
                <c:pt idx="1007">
                  <c:v>44938</c:v>
                </c:pt>
                <c:pt idx="1008">
                  <c:v>44937</c:v>
                </c:pt>
                <c:pt idx="1009">
                  <c:v>44936</c:v>
                </c:pt>
                <c:pt idx="1010">
                  <c:v>44935</c:v>
                </c:pt>
                <c:pt idx="1011">
                  <c:v>44934</c:v>
                </c:pt>
                <c:pt idx="1012">
                  <c:v>44933</c:v>
                </c:pt>
                <c:pt idx="1013">
                  <c:v>44932</c:v>
                </c:pt>
                <c:pt idx="1014">
                  <c:v>44931</c:v>
                </c:pt>
                <c:pt idx="1015">
                  <c:v>44930</c:v>
                </c:pt>
                <c:pt idx="1016">
                  <c:v>44929</c:v>
                </c:pt>
                <c:pt idx="1017">
                  <c:v>44928</c:v>
                </c:pt>
                <c:pt idx="1018">
                  <c:v>44927</c:v>
                </c:pt>
                <c:pt idx="1019">
                  <c:v>44926</c:v>
                </c:pt>
                <c:pt idx="1020">
                  <c:v>44925</c:v>
                </c:pt>
                <c:pt idx="1021">
                  <c:v>44924</c:v>
                </c:pt>
                <c:pt idx="1022">
                  <c:v>44923</c:v>
                </c:pt>
                <c:pt idx="1023">
                  <c:v>44922</c:v>
                </c:pt>
                <c:pt idx="1024">
                  <c:v>44921</c:v>
                </c:pt>
                <c:pt idx="1025">
                  <c:v>44920</c:v>
                </c:pt>
                <c:pt idx="1026">
                  <c:v>44919</c:v>
                </c:pt>
                <c:pt idx="1027">
                  <c:v>44918</c:v>
                </c:pt>
                <c:pt idx="1028">
                  <c:v>44917</c:v>
                </c:pt>
                <c:pt idx="1029">
                  <c:v>44916</c:v>
                </c:pt>
                <c:pt idx="1030">
                  <c:v>44915</c:v>
                </c:pt>
                <c:pt idx="1031">
                  <c:v>44914</c:v>
                </c:pt>
                <c:pt idx="1032">
                  <c:v>44913</c:v>
                </c:pt>
                <c:pt idx="1033">
                  <c:v>44912</c:v>
                </c:pt>
                <c:pt idx="1034">
                  <c:v>44911</c:v>
                </c:pt>
                <c:pt idx="1035">
                  <c:v>44910</c:v>
                </c:pt>
                <c:pt idx="1036">
                  <c:v>44909</c:v>
                </c:pt>
                <c:pt idx="1037">
                  <c:v>44908</c:v>
                </c:pt>
                <c:pt idx="1038">
                  <c:v>44907</c:v>
                </c:pt>
                <c:pt idx="1039">
                  <c:v>44906</c:v>
                </c:pt>
                <c:pt idx="1040">
                  <c:v>44905</c:v>
                </c:pt>
                <c:pt idx="1041">
                  <c:v>44904</c:v>
                </c:pt>
                <c:pt idx="1042">
                  <c:v>44903</c:v>
                </c:pt>
                <c:pt idx="1043">
                  <c:v>44902</c:v>
                </c:pt>
                <c:pt idx="1044">
                  <c:v>44901</c:v>
                </c:pt>
              </c:numCache>
            </c:numRef>
          </c:cat>
          <c:val>
            <c:numRef>
              <c:f>'Stock Data'!$AN$4:$AN$1048</c:f>
              <c:numCache>
                <c:formatCode>#,##0.00_);\(#,##0.00\)</c:formatCode>
                <c:ptCount val="1045"/>
                <c:pt idx="0">
                  <c:v>141.83000000000001</c:v>
                </c:pt>
                <c:pt idx="1">
                  <c:v>141.83000000000001</c:v>
                </c:pt>
                <c:pt idx="2">
                  <c:v>144.43</c:v>
                </c:pt>
                <c:pt idx="3">
                  <c:v>144.43</c:v>
                </c:pt>
                <c:pt idx="4">
                  <c:v>144.43</c:v>
                </c:pt>
                <c:pt idx="5">
                  <c:v>141.81</c:v>
                </c:pt>
                <c:pt idx="6">
                  <c:v>135.63999999999999</c:v>
                </c:pt>
                <c:pt idx="7">
                  <c:v>137.37</c:v>
                </c:pt>
                <c:pt idx="8">
                  <c:v>136.85</c:v>
                </c:pt>
                <c:pt idx="9">
                  <c:v>136.85</c:v>
                </c:pt>
                <c:pt idx="10">
                  <c:v>136.85</c:v>
                </c:pt>
                <c:pt idx="11">
                  <c:v>136.85</c:v>
                </c:pt>
                <c:pt idx="12">
                  <c:v>136.84</c:v>
                </c:pt>
                <c:pt idx="13">
                  <c:v>137.78</c:v>
                </c:pt>
                <c:pt idx="14">
                  <c:v>136.26</c:v>
                </c:pt>
                <c:pt idx="15">
                  <c:v>136.12</c:v>
                </c:pt>
                <c:pt idx="16">
                  <c:v>137.31</c:v>
                </c:pt>
                <c:pt idx="17">
                  <c:v>137.31</c:v>
                </c:pt>
                <c:pt idx="18">
                  <c:v>137.31</c:v>
                </c:pt>
                <c:pt idx="19">
                  <c:v>130.13</c:v>
                </c:pt>
                <c:pt idx="20">
                  <c:v>130.4</c:v>
                </c:pt>
                <c:pt idx="21">
                  <c:v>132.61000000000001</c:v>
                </c:pt>
                <c:pt idx="22">
                  <c:v>130.72</c:v>
                </c:pt>
                <c:pt idx="23">
                  <c:v>132.61000000000001</c:v>
                </c:pt>
                <c:pt idx="24">
                  <c:v>132.61000000000001</c:v>
                </c:pt>
                <c:pt idx="25">
                  <c:v>132.61000000000001</c:v>
                </c:pt>
                <c:pt idx="26">
                  <c:v>134.22999999999999</c:v>
                </c:pt>
                <c:pt idx="27">
                  <c:v>137.97999999999999</c:v>
                </c:pt>
                <c:pt idx="28">
                  <c:v>130.31</c:v>
                </c:pt>
                <c:pt idx="29">
                  <c:v>119.99</c:v>
                </c:pt>
                <c:pt idx="30">
                  <c:v>119.71</c:v>
                </c:pt>
                <c:pt idx="31">
                  <c:v>119.71</c:v>
                </c:pt>
                <c:pt idx="32">
                  <c:v>119.71</c:v>
                </c:pt>
                <c:pt idx="33">
                  <c:v>120.17</c:v>
                </c:pt>
                <c:pt idx="34">
                  <c:v>118.3</c:v>
                </c:pt>
                <c:pt idx="35">
                  <c:v>144.71</c:v>
                </c:pt>
                <c:pt idx="36">
                  <c:v>141.81</c:v>
                </c:pt>
                <c:pt idx="37">
                  <c:v>141.72999999999999</c:v>
                </c:pt>
                <c:pt idx="38">
                  <c:v>141.72999999999999</c:v>
                </c:pt>
                <c:pt idx="39">
                  <c:v>141.72999999999999</c:v>
                </c:pt>
                <c:pt idx="40">
                  <c:v>145.19999999999999</c:v>
                </c:pt>
                <c:pt idx="41">
                  <c:v>144.68</c:v>
                </c:pt>
                <c:pt idx="42">
                  <c:v>146.94</c:v>
                </c:pt>
                <c:pt idx="43">
                  <c:v>149.22999999999999</c:v>
                </c:pt>
                <c:pt idx="44">
                  <c:v>149.69999999999999</c:v>
                </c:pt>
                <c:pt idx="45">
                  <c:v>149.69999999999999</c:v>
                </c:pt>
                <c:pt idx="46">
                  <c:v>149.69999999999999</c:v>
                </c:pt>
                <c:pt idx="47">
                  <c:v>148.46</c:v>
                </c:pt>
                <c:pt idx="48">
                  <c:v>149.57</c:v>
                </c:pt>
                <c:pt idx="49">
                  <c:v>149.47999999999999</c:v>
                </c:pt>
                <c:pt idx="50">
                  <c:v>144.46</c:v>
                </c:pt>
                <c:pt idx="51">
                  <c:v>146.47999999999999</c:v>
                </c:pt>
                <c:pt idx="52">
                  <c:v>146.47999999999999</c:v>
                </c:pt>
                <c:pt idx="53">
                  <c:v>146.47999999999999</c:v>
                </c:pt>
                <c:pt idx="54">
                  <c:v>147.37</c:v>
                </c:pt>
                <c:pt idx="55">
                  <c:v>143.12</c:v>
                </c:pt>
                <c:pt idx="56">
                  <c:v>143.80000000000001</c:v>
                </c:pt>
                <c:pt idx="57">
                  <c:v>146.04</c:v>
                </c:pt>
                <c:pt idx="58">
                  <c:v>149.5</c:v>
                </c:pt>
                <c:pt idx="59">
                  <c:v>149.5</c:v>
                </c:pt>
                <c:pt idx="60">
                  <c:v>149.5</c:v>
                </c:pt>
                <c:pt idx="61">
                  <c:v>150.16</c:v>
                </c:pt>
                <c:pt idx="62">
                  <c:v>148.72999999999999</c:v>
                </c:pt>
                <c:pt idx="63">
                  <c:v>148.06</c:v>
                </c:pt>
                <c:pt idx="64">
                  <c:v>145.38999999999999</c:v>
                </c:pt>
                <c:pt idx="65">
                  <c:v>148.63</c:v>
                </c:pt>
                <c:pt idx="66">
                  <c:v>148.63</c:v>
                </c:pt>
                <c:pt idx="67">
                  <c:v>148.63</c:v>
                </c:pt>
                <c:pt idx="68">
                  <c:v>148.63</c:v>
                </c:pt>
                <c:pt idx="69">
                  <c:v>149.16</c:v>
                </c:pt>
                <c:pt idx="70">
                  <c:v>147.34</c:v>
                </c:pt>
                <c:pt idx="71">
                  <c:v>144</c:v>
                </c:pt>
                <c:pt idx="72">
                  <c:v>144.94</c:v>
                </c:pt>
                <c:pt idx="73">
                  <c:v>144.94</c:v>
                </c:pt>
                <c:pt idx="74">
                  <c:v>144.94</c:v>
                </c:pt>
                <c:pt idx="75">
                  <c:v>144.75</c:v>
                </c:pt>
                <c:pt idx="76">
                  <c:v>143.94</c:v>
                </c:pt>
                <c:pt idx="77">
                  <c:v>143.18</c:v>
                </c:pt>
                <c:pt idx="78">
                  <c:v>143.62</c:v>
                </c:pt>
                <c:pt idx="79">
                  <c:v>141.49</c:v>
                </c:pt>
                <c:pt idx="80">
                  <c:v>141.49</c:v>
                </c:pt>
                <c:pt idx="81">
                  <c:v>141.49</c:v>
                </c:pt>
                <c:pt idx="82">
                  <c:v>141.78</c:v>
                </c:pt>
                <c:pt idx="83">
                  <c:v>141.78</c:v>
                </c:pt>
                <c:pt idx="84">
                  <c:v>140.93</c:v>
                </c:pt>
                <c:pt idx="85">
                  <c:v>144.01</c:v>
                </c:pt>
                <c:pt idx="86">
                  <c:v>141.19</c:v>
                </c:pt>
                <c:pt idx="87">
                  <c:v>141.19</c:v>
                </c:pt>
                <c:pt idx="88">
                  <c:v>141.19</c:v>
                </c:pt>
                <c:pt idx="89">
                  <c:v>143.88</c:v>
                </c:pt>
                <c:pt idx="90">
                  <c:v>146.71</c:v>
                </c:pt>
                <c:pt idx="91">
                  <c:v>148.83000000000001</c:v>
                </c:pt>
                <c:pt idx="92">
                  <c:v>149.97</c:v>
                </c:pt>
                <c:pt idx="93">
                  <c:v>147.22</c:v>
                </c:pt>
                <c:pt idx="94">
                  <c:v>147.22</c:v>
                </c:pt>
                <c:pt idx="95">
                  <c:v>147.22</c:v>
                </c:pt>
                <c:pt idx="96">
                  <c:v>147.13999999999999</c:v>
                </c:pt>
                <c:pt idx="97">
                  <c:v>147.79</c:v>
                </c:pt>
                <c:pt idx="98">
                  <c:v>147.88</c:v>
                </c:pt>
                <c:pt idx="99">
                  <c:v>144.55000000000001</c:v>
                </c:pt>
                <c:pt idx="100">
                  <c:v>146.13</c:v>
                </c:pt>
                <c:pt idx="101">
                  <c:v>146.13</c:v>
                </c:pt>
                <c:pt idx="102">
                  <c:v>146.13</c:v>
                </c:pt>
                <c:pt idx="103">
                  <c:v>147.46</c:v>
                </c:pt>
                <c:pt idx="104">
                  <c:v>147.88999999999999</c:v>
                </c:pt>
                <c:pt idx="105">
                  <c:v>150.57</c:v>
                </c:pt>
                <c:pt idx="106">
                  <c:v>145.79</c:v>
                </c:pt>
                <c:pt idx="107">
                  <c:v>145.79</c:v>
                </c:pt>
                <c:pt idx="108">
                  <c:v>145.79</c:v>
                </c:pt>
                <c:pt idx="109">
                  <c:v>145.79</c:v>
                </c:pt>
                <c:pt idx="110">
                  <c:v>147.13999999999999</c:v>
                </c:pt>
                <c:pt idx="111">
                  <c:v>145.01</c:v>
                </c:pt>
                <c:pt idx="112">
                  <c:v>152.11000000000001</c:v>
                </c:pt>
                <c:pt idx="113">
                  <c:v>150.99</c:v>
                </c:pt>
                <c:pt idx="114">
                  <c:v>151.49</c:v>
                </c:pt>
                <c:pt idx="115">
                  <c:v>151.49</c:v>
                </c:pt>
                <c:pt idx="116">
                  <c:v>151.49</c:v>
                </c:pt>
                <c:pt idx="117">
                  <c:v>149.78</c:v>
                </c:pt>
                <c:pt idx="118">
                  <c:v>148.72</c:v>
                </c:pt>
                <c:pt idx="119">
                  <c:v>149.91</c:v>
                </c:pt>
                <c:pt idx="120">
                  <c:v>146.9</c:v>
                </c:pt>
                <c:pt idx="121">
                  <c:v>139.52000000000001</c:v>
                </c:pt>
                <c:pt idx="122">
                  <c:v>139.52000000000001</c:v>
                </c:pt>
                <c:pt idx="123">
                  <c:v>139.52000000000001</c:v>
                </c:pt>
                <c:pt idx="124">
                  <c:v>139.59</c:v>
                </c:pt>
                <c:pt idx="125">
                  <c:v>131.63</c:v>
                </c:pt>
                <c:pt idx="126">
                  <c:v>135.38</c:v>
                </c:pt>
                <c:pt idx="127">
                  <c:v>136.22999999999999</c:v>
                </c:pt>
                <c:pt idx="128">
                  <c:v>138.57</c:v>
                </c:pt>
                <c:pt idx="129">
                  <c:v>138.57</c:v>
                </c:pt>
                <c:pt idx="130">
                  <c:v>138.57</c:v>
                </c:pt>
                <c:pt idx="131">
                  <c:v>134.36000000000001</c:v>
                </c:pt>
                <c:pt idx="132">
                  <c:v>133.35</c:v>
                </c:pt>
                <c:pt idx="133">
                  <c:v>132.78</c:v>
                </c:pt>
                <c:pt idx="134">
                  <c:v>130.58000000000001</c:v>
                </c:pt>
                <c:pt idx="135">
                  <c:v>130.82</c:v>
                </c:pt>
                <c:pt idx="136">
                  <c:v>130.82</c:v>
                </c:pt>
                <c:pt idx="137">
                  <c:v>130.82</c:v>
                </c:pt>
                <c:pt idx="138">
                  <c:v>132.41999999999999</c:v>
                </c:pt>
                <c:pt idx="139">
                  <c:v>128.16</c:v>
                </c:pt>
                <c:pt idx="140">
                  <c:v>127.44</c:v>
                </c:pt>
                <c:pt idx="141">
                  <c:v>124.01</c:v>
                </c:pt>
                <c:pt idx="142">
                  <c:v>126.91</c:v>
                </c:pt>
                <c:pt idx="143">
                  <c:v>126.91</c:v>
                </c:pt>
                <c:pt idx="144">
                  <c:v>126.91</c:v>
                </c:pt>
                <c:pt idx="145">
                  <c:v>126.91</c:v>
                </c:pt>
                <c:pt idx="146">
                  <c:v>127.48</c:v>
                </c:pt>
                <c:pt idx="147">
                  <c:v>129.49</c:v>
                </c:pt>
                <c:pt idx="148">
                  <c:v>131.91</c:v>
                </c:pt>
                <c:pt idx="149">
                  <c:v>132.19</c:v>
                </c:pt>
                <c:pt idx="150">
                  <c:v>132.19</c:v>
                </c:pt>
                <c:pt idx="151">
                  <c:v>132.19</c:v>
                </c:pt>
                <c:pt idx="152">
                  <c:v>131.59</c:v>
                </c:pt>
                <c:pt idx="153">
                  <c:v>143.55000000000001</c:v>
                </c:pt>
                <c:pt idx="154">
                  <c:v>125.14</c:v>
                </c:pt>
                <c:pt idx="155">
                  <c:v>129.27000000000001</c:v>
                </c:pt>
                <c:pt idx="156">
                  <c:v>135.46</c:v>
                </c:pt>
                <c:pt idx="157">
                  <c:v>135.46</c:v>
                </c:pt>
                <c:pt idx="158">
                  <c:v>135.46</c:v>
                </c:pt>
                <c:pt idx="159">
                  <c:v>142.16999999999999</c:v>
                </c:pt>
                <c:pt idx="160">
                  <c:v>154.76</c:v>
                </c:pt>
                <c:pt idx="161">
                  <c:v>152.72999999999999</c:v>
                </c:pt>
                <c:pt idx="162">
                  <c:v>151.97999999999999</c:v>
                </c:pt>
                <c:pt idx="163">
                  <c:v>152.76</c:v>
                </c:pt>
                <c:pt idx="164">
                  <c:v>152.76</c:v>
                </c:pt>
                <c:pt idx="165">
                  <c:v>152.76</c:v>
                </c:pt>
                <c:pt idx="166">
                  <c:v>157.13</c:v>
                </c:pt>
                <c:pt idx="167">
                  <c:v>156.52000000000001</c:v>
                </c:pt>
                <c:pt idx="168">
                  <c:v>156.65</c:v>
                </c:pt>
                <c:pt idx="169">
                  <c:v>158.54</c:v>
                </c:pt>
                <c:pt idx="170">
                  <c:v>154.41</c:v>
                </c:pt>
                <c:pt idx="171">
                  <c:v>154.41</c:v>
                </c:pt>
                <c:pt idx="172">
                  <c:v>154.41</c:v>
                </c:pt>
                <c:pt idx="173">
                  <c:v>153.93</c:v>
                </c:pt>
                <c:pt idx="174">
                  <c:v>154.9</c:v>
                </c:pt>
                <c:pt idx="175">
                  <c:v>153.44</c:v>
                </c:pt>
                <c:pt idx="176">
                  <c:v>153.52000000000001</c:v>
                </c:pt>
                <c:pt idx="177">
                  <c:v>151.66999999999999</c:v>
                </c:pt>
                <c:pt idx="178">
                  <c:v>151.66999999999999</c:v>
                </c:pt>
                <c:pt idx="179">
                  <c:v>151.66999999999999</c:v>
                </c:pt>
                <c:pt idx="180">
                  <c:v>147.69</c:v>
                </c:pt>
                <c:pt idx="181">
                  <c:v>152.13</c:v>
                </c:pt>
                <c:pt idx="182">
                  <c:v>155.16999999999999</c:v>
                </c:pt>
                <c:pt idx="183">
                  <c:v>157.32</c:v>
                </c:pt>
                <c:pt idx="184">
                  <c:v>160.87</c:v>
                </c:pt>
                <c:pt idx="185">
                  <c:v>160.87</c:v>
                </c:pt>
                <c:pt idx="186">
                  <c:v>160.87</c:v>
                </c:pt>
                <c:pt idx="187">
                  <c:v>158.07</c:v>
                </c:pt>
                <c:pt idx="188">
                  <c:v>160.1</c:v>
                </c:pt>
                <c:pt idx="189">
                  <c:v>159.04</c:v>
                </c:pt>
                <c:pt idx="190">
                  <c:v>161.58000000000001</c:v>
                </c:pt>
                <c:pt idx="191">
                  <c:v>165.41</c:v>
                </c:pt>
                <c:pt idx="192">
                  <c:v>165.41</c:v>
                </c:pt>
                <c:pt idx="193">
                  <c:v>165.41</c:v>
                </c:pt>
                <c:pt idx="194">
                  <c:v>163.25</c:v>
                </c:pt>
                <c:pt idx="195">
                  <c:v>165.36</c:v>
                </c:pt>
                <c:pt idx="196">
                  <c:v>169.25</c:v>
                </c:pt>
                <c:pt idx="197">
                  <c:v>168.15</c:v>
                </c:pt>
                <c:pt idx="198">
                  <c:v>167.07</c:v>
                </c:pt>
                <c:pt idx="199">
                  <c:v>167.07</c:v>
                </c:pt>
                <c:pt idx="200">
                  <c:v>167.07</c:v>
                </c:pt>
                <c:pt idx="201">
                  <c:v>169.92</c:v>
                </c:pt>
                <c:pt idx="202">
                  <c:v>169.99</c:v>
                </c:pt>
                <c:pt idx="203">
                  <c:v>171.6</c:v>
                </c:pt>
                <c:pt idx="204">
                  <c:v>168.33</c:v>
                </c:pt>
                <c:pt idx="205">
                  <c:v>168.33</c:v>
                </c:pt>
                <c:pt idx="206">
                  <c:v>168.33</c:v>
                </c:pt>
                <c:pt idx="207">
                  <c:v>168.33</c:v>
                </c:pt>
                <c:pt idx="208">
                  <c:v>167</c:v>
                </c:pt>
                <c:pt idx="209">
                  <c:v>165.1</c:v>
                </c:pt>
                <c:pt idx="210">
                  <c:v>164.52</c:v>
                </c:pt>
                <c:pt idx="211">
                  <c:v>165.26</c:v>
                </c:pt>
                <c:pt idx="212">
                  <c:v>164.87</c:v>
                </c:pt>
                <c:pt idx="213">
                  <c:v>164.87</c:v>
                </c:pt>
                <c:pt idx="214">
                  <c:v>164.87</c:v>
                </c:pt>
                <c:pt idx="215">
                  <c:v>167.11</c:v>
                </c:pt>
                <c:pt idx="216">
                  <c:v>166.54</c:v>
                </c:pt>
                <c:pt idx="217">
                  <c:v>169.54</c:v>
                </c:pt>
                <c:pt idx="218">
                  <c:v>169.84</c:v>
                </c:pt>
                <c:pt idx="219">
                  <c:v>171.14</c:v>
                </c:pt>
                <c:pt idx="220">
                  <c:v>171.14</c:v>
                </c:pt>
                <c:pt idx="221">
                  <c:v>171.14</c:v>
                </c:pt>
                <c:pt idx="222">
                  <c:v>171.66</c:v>
                </c:pt>
                <c:pt idx="223">
                  <c:v>170.08</c:v>
                </c:pt>
                <c:pt idx="224">
                  <c:v>172.89</c:v>
                </c:pt>
                <c:pt idx="225">
                  <c:v>171.75</c:v>
                </c:pt>
                <c:pt idx="226">
                  <c:v>169.72</c:v>
                </c:pt>
                <c:pt idx="227">
                  <c:v>169.72</c:v>
                </c:pt>
                <c:pt idx="228">
                  <c:v>169.72</c:v>
                </c:pt>
                <c:pt idx="229">
                  <c:v>145.65</c:v>
                </c:pt>
                <c:pt idx="230">
                  <c:v>143.72</c:v>
                </c:pt>
                <c:pt idx="231">
                  <c:v>143.79</c:v>
                </c:pt>
                <c:pt idx="232">
                  <c:v>142.03</c:v>
                </c:pt>
                <c:pt idx="233">
                  <c:v>142.03</c:v>
                </c:pt>
                <c:pt idx="234">
                  <c:v>142.03</c:v>
                </c:pt>
                <c:pt idx="235">
                  <c:v>142.03</c:v>
                </c:pt>
                <c:pt idx="236">
                  <c:v>141.63999999999999</c:v>
                </c:pt>
                <c:pt idx="237">
                  <c:v>140.91</c:v>
                </c:pt>
                <c:pt idx="238">
                  <c:v>139.30000000000001</c:v>
                </c:pt>
                <c:pt idx="239">
                  <c:v>136.71</c:v>
                </c:pt>
                <c:pt idx="240">
                  <c:v>134.5</c:v>
                </c:pt>
                <c:pt idx="241">
                  <c:v>134.5</c:v>
                </c:pt>
                <c:pt idx="242">
                  <c:v>134.5</c:v>
                </c:pt>
                <c:pt idx="243">
                  <c:v>134.56</c:v>
                </c:pt>
                <c:pt idx="244">
                  <c:v>134.56</c:v>
                </c:pt>
                <c:pt idx="245">
                  <c:v>134.22999999999999</c:v>
                </c:pt>
                <c:pt idx="246">
                  <c:v>134.56</c:v>
                </c:pt>
                <c:pt idx="247">
                  <c:v>134.36500000000001</c:v>
                </c:pt>
                <c:pt idx="248">
                  <c:v>134.36500000000001</c:v>
                </c:pt>
                <c:pt idx="249">
                  <c:v>134.36500000000001</c:v>
                </c:pt>
                <c:pt idx="250">
                  <c:v>133.93</c:v>
                </c:pt>
                <c:pt idx="251">
                  <c:v>135.44999999999999</c:v>
                </c:pt>
                <c:pt idx="252">
                  <c:v>135.44999999999999</c:v>
                </c:pt>
                <c:pt idx="253">
                  <c:v>135.59</c:v>
                </c:pt>
                <c:pt idx="254">
                  <c:v>136.58000000000001</c:v>
                </c:pt>
                <c:pt idx="255">
                  <c:v>136.58000000000001</c:v>
                </c:pt>
                <c:pt idx="256">
                  <c:v>136.58000000000001</c:v>
                </c:pt>
                <c:pt idx="257">
                  <c:v>137.38999999999999</c:v>
                </c:pt>
                <c:pt idx="258">
                  <c:v>136.84</c:v>
                </c:pt>
                <c:pt idx="259">
                  <c:v>136.84</c:v>
                </c:pt>
                <c:pt idx="260">
                  <c:v>134.94999999999999</c:v>
                </c:pt>
                <c:pt idx="261">
                  <c:v>134.72</c:v>
                </c:pt>
                <c:pt idx="262">
                  <c:v>134.72</c:v>
                </c:pt>
                <c:pt idx="263">
                  <c:v>134.72</c:v>
                </c:pt>
                <c:pt idx="264">
                  <c:v>132.72</c:v>
                </c:pt>
                <c:pt idx="265">
                  <c:v>133.54</c:v>
                </c:pt>
                <c:pt idx="266">
                  <c:v>135.96</c:v>
                </c:pt>
                <c:pt idx="267">
                  <c:v>136.97999999999999</c:v>
                </c:pt>
                <c:pt idx="268">
                  <c:v>138.75</c:v>
                </c:pt>
                <c:pt idx="269">
                  <c:v>138.75</c:v>
                </c:pt>
                <c:pt idx="270">
                  <c:v>138.75</c:v>
                </c:pt>
                <c:pt idx="271">
                  <c:v>141.08000000000001</c:v>
                </c:pt>
                <c:pt idx="272">
                  <c:v>144.74</c:v>
                </c:pt>
                <c:pt idx="273">
                  <c:v>144.25</c:v>
                </c:pt>
                <c:pt idx="274">
                  <c:v>142.76</c:v>
                </c:pt>
                <c:pt idx="275">
                  <c:v>142</c:v>
                </c:pt>
                <c:pt idx="276">
                  <c:v>142</c:v>
                </c:pt>
                <c:pt idx="277">
                  <c:v>142</c:v>
                </c:pt>
                <c:pt idx="278">
                  <c:v>141.72</c:v>
                </c:pt>
                <c:pt idx="279">
                  <c:v>143.03</c:v>
                </c:pt>
                <c:pt idx="280">
                  <c:v>142.25</c:v>
                </c:pt>
                <c:pt idx="281">
                  <c:v>142.06</c:v>
                </c:pt>
                <c:pt idx="282">
                  <c:v>143.38999999999999</c:v>
                </c:pt>
                <c:pt idx="283">
                  <c:v>143.38999999999999</c:v>
                </c:pt>
                <c:pt idx="284">
                  <c:v>143.38999999999999</c:v>
                </c:pt>
                <c:pt idx="285">
                  <c:v>141.75</c:v>
                </c:pt>
                <c:pt idx="286">
                  <c:v>141.75</c:v>
                </c:pt>
                <c:pt idx="287">
                  <c:v>142.18</c:v>
                </c:pt>
                <c:pt idx="288">
                  <c:v>146.97</c:v>
                </c:pt>
                <c:pt idx="289">
                  <c:v>142.16</c:v>
                </c:pt>
                <c:pt idx="290">
                  <c:v>142.16</c:v>
                </c:pt>
                <c:pt idx="291">
                  <c:v>142.16</c:v>
                </c:pt>
                <c:pt idx="292">
                  <c:v>138.66</c:v>
                </c:pt>
                <c:pt idx="293">
                  <c:v>135.72999999999999</c:v>
                </c:pt>
                <c:pt idx="294">
                  <c:v>136.33000000000001</c:v>
                </c:pt>
                <c:pt idx="295">
                  <c:v>137.22</c:v>
                </c:pt>
                <c:pt idx="296">
                  <c:v>136</c:v>
                </c:pt>
                <c:pt idx="297">
                  <c:v>136</c:v>
                </c:pt>
                <c:pt idx="298">
                  <c:v>136</c:v>
                </c:pt>
                <c:pt idx="299">
                  <c:v>135.68</c:v>
                </c:pt>
                <c:pt idx="300">
                  <c:v>138.05000000000001</c:v>
                </c:pt>
                <c:pt idx="301">
                  <c:v>137.34</c:v>
                </c:pt>
                <c:pt idx="302">
                  <c:v>139.63999999999999</c:v>
                </c:pt>
                <c:pt idx="303">
                  <c:v>140.31</c:v>
                </c:pt>
                <c:pt idx="304">
                  <c:v>140.31</c:v>
                </c:pt>
                <c:pt idx="305">
                  <c:v>140.31</c:v>
                </c:pt>
                <c:pt idx="306">
                  <c:v>141.24</c:v>
                </c:pt>
                <c:pt idx="307">
                  <c:v>143.63</c:v>
                </c:pt>
                <c:pt idx="308">
                  <c:v>137.09</c:v>
                </c:pt>
                <c:pt idx="309">
                  <c:v>134.13999999999999</c:v>
                </c:pt>
                <c:pt idx="310">
                  <c:v>130.16</c:v>
                </c:pt>
                <c:pt idx="311">
                  <c:v>130.16</c:v>
                </c:pt>
                <c:pt idx="312">
                  <c:v>130.16</c:v>
                </c:pt>
                <c:pt idx="313">
                  <c:v>129.69999999999999</c:v>
                </c:pt>
                <c:pt idx="314">
                  <c:v>140.38</c:v>
                </c:pt>
                <c:pt idx="315">
                  <c:v>138</c:v>
                </c:pt>
                <c:pt idx="316">
                  <c:v>140.27000000000001</c:v>
                </c:pt>
                <c:pt idx="317">
                  <c:v>137.65</c:v>
                </c:pt>
                <c:pt idx="318">
                  <c:v>137.65</c:v>
                </c:pt>
                <c:pt idx="319">
                  <c:v>137.65</c:v>
                </c:pt>
                <c:pt idx="320">
                  <c:v>138.08000000000001</c:v>
                </c:pt>
                <c:pt idx="321">
                  <c:v>136.12</c:v>
                </c:pt>
                <c:pt idx="322">
                  <c:v>136.86000000000001</c:v>
                </c:pt>
                <c:pt idx="323">
                  <c:v>137.63999999999999</c:v>
                </c:pt>
                <c:pt idx="324">
                  <c:v>139.69999999999999</c:v>
                </c:pt>
                <c:pt idx="325">
                  <c:v>139.69999999999999</c:v>
                </c:pt>
                <c:pt idx="326">
                  <c:v>139.69999999999999</c:v>
                </c:pt>
                <c:pt idx="327">
                  <c:v>139.59</c:v>
                </c:pt>
                <c:pt idx="328">
                  <c:v>138.41999999999999</c:v>
                </c:pt>
                <c:pt idx="329">
                  <c:v>137.83000000000001</c:v>
                </c:pt>
                <c:pt idx="330">
                  <c:v>137.80000000000001</c:v>
                </c:pt>
                <c:pt idx="331">
                  <c:v>133.27000000000001</c:v>
                </c:pt>
                <c:pt idx="332">
                  <c:v>133.27000000000001</c:v>
                </c:pt>
                <c:pt idx="333">
                  <c:v>133.27000000000001</c:v>
                </c:pt>
                <c:pt idx="334">
                  <c:v>133.43</c:v>
                </c:pt>
                <c:pt idx="335">
                  <c:v>132.9</c:v>
                </c:pt>
                <c:pt idx="336">
                  <c:v>132</c:v>
                </c:pt>
                <c:pt idx="337">
                  <c:v>132.47</c:v>
                </c:pt>
                <c:pt idx="338">
                  <c:v>134.47999999999999</c:v>
                </c:pt>
                <c:pt idx="339">
                  <c:v>134.47999999999999</c:v>
                </c:pt>
                <c:pt idx="340">
                  <c:v>134.47999999999999</c:v>
                </c:pt>
                <c:pt idx="341">
                  <c:v>133.82</c:v>
                </c:pt>
                <c:pt idx="342">
                  <c:v>134.41999999999999</c:v>
                </c:pt>
                <c:pt idx="343">
                  <c:v>138.22999999999999</c:v>
                </c:pt>
                <c:pt idx="344">
                  <c:v>139.13</c:v>
                </c:pt>
                <c:pt idx="345">
                  <c:v>141.71</c:v>
                </c:pt>
                <c:pt idx="346">
                  <c:v>141.71</c:v>
                </c:pt>
                <c:pt idx="347">
                  <c:v>141.71</c:v>
                </c:pt>
                <c:pt idx="348">
                  <c:v>141.26</c:v>
                </c:pt>
                <c:pt idx="349">
                  <c:v>140.33000000000001</c:v>
                </c:pt>
                <c:pt idx="350">
                  <c:v>144.82</c:v>
                </c:pt>
                <c:pt idx="351">
                  <c:v>142.25</c:v>
                </c:pt>
                <c:pt idx="352">
                  <c:v>141.31</c:v>
                </c:pt>
                <c:pt idx="353">
                  <c:v>141.31</c:v>
                </c:pt>
                <c:pt idx="354">
                  <c:v>141.31</c:v>
                </c:pt>
                <c:pt idx="355">
                  <c:v>144.15</c:v>
                </c:pt>
                <c:pt idx="356">
                  <c:v>139.66999999999999</c:v>
                </c:pt>
                <c:pt idx="357">
                  <c:v>139.19</c:v>
                </c:pt>
                <c:pt idx="358">
                  <c:v>135.76</c:v>
                </c:pt>
                <c:pt idx="359">
                  <c:v>132.80000000000001</c:v>
                </c:pt>
                <c:pt idx="360">
                  <c:v>132.80000000000001</c:v>
                </c:pt>
                <c:pt idx="361">
                  <c:v>132.80000000000001</c:v>
                </c:pt>
                <c:pt idx="362">
                  <c:v>128.04</c:v>
                </c:pt>
                <c:pt idx="363">
                  <c:v>129.41</c:v>
                </c:pt>
                <c:pt idx="364">
                  <c:v>129.66999999999999</c:v>
                </c:pt>
                <c:pt idx="365">
                  <c:v>131.81</c:v>
                </c:pt>
                <c:pt idx="366">
                  <c:v>132.69999999999999</c:v>
                </c:pt>
                <c:pt idx="367">
                  <c:v>132.69999999999999</c:v>
                </c:pt>
                <c:pt idx="368">
                  <c:v>132.69999999999999</c:v>
                </c:pt>
                <c:pt idx="369">
                  <c:v>133.36000000000001</c:v>
                </c:pt>
                <c:pt idx="370">
                  <c:v>137</c:v>
                </c:pt>
                <c:pt idx="371">
                  <c:v>137.82</c:v>
                </c:pt>
                <c:pt idx="372">
                  <c:v>140.62</c:v>
                </c:pt>
                <c:pt idx="373">
                  <c:v>140.62</c:v>
                </c:pt>
                <c:pt idx="374">
                  <c:v>140.62</c:v>
                </c:pt>
                <c:pt idx="375">
                  <c:v>140.62</c:v>
                </c:pt>
                <c:pt idx="376">
                  <c:v>140.32</c:v>
                </c:pt>
                <c:pt idx="377">
                  <c:v>139.28</c:v>
                </c:pt>
                <c:pt idx="378">
                  <c:v>140.65</c:v>
                </c:pt>
                <c:pt idx="379">
                  <c:v>141.06</c:v>
                </c:pt>
                <c:pt idx="380">
                  <c:v>142.05000000000001</c:v>
                </c:pt>
                <c:pt idx="381">
                  <c:v>142.05000000000001</c:v>
                </c:pt>
                <c:pt idx="382">
                  <c:v>142.05000000000001</c:v>
                </c:pt>
                <c:pt idx="383">
                  <c:v>139.55000000000001</c:v>
                </c:pt>
                <c:pt idx="384">
                  <c:v>139.76</c:v>
                </c:pt>
                <c:pt idx="385">
                  <c:v>138.51</c:v>
                </c:pt>
                <c:pt idx="386">
                  <c:v>139.84</c:v>
                </c:pt>
                <c:pt idx="387">
                  <c:v>139.44</c:v>
                </c:pt>
                <c:pt idx="388">
                  <c:v>139.44</c:v>
                </c:pt>
                <c:pt idx="389">
                  <c:v>139.44</c:v>
                </c:pt>
                <c:pt idx="390">
                  <c:v>139.1</c:v>
                </c:pt>
                <c:pt idx="391">
                  <c:v>137.16999999999999</c:v>
                </c:pt>
                <c:pt idx="392">
                  <c:v>136.56</c:v>
                </c:pt>
                <c:pt idx="393">
                  <c:v>134.41</c:v>
                </c:pt>
                <c:pt idx="394">
                  <c:v>135.82</c:v>
                </c:pt>
                <c:pt idx="395">
                  <c:v>135.82</c:v>
                </c:pt>
                <c:pt idx="396">
                  <c:v>135.82</c:v>
                </c:pt>
                <c:pt idx="397">
                  <c:v>137.74</c:v>
                </c:pt>
                <c:pt idx="398">
                  <c:v>136.79</c:v>
                </c:pt>
                <c:pt idx="399">
                  <c:v>138.1</c:v>
                </c:pt>
                <c:pt idx="400">
                  <c:v>138.38</c:v>
                </c:pt>
                <c:pt idx="401">
                  <c:v>140.72</c:v>
                </c:pt>
                <c:pt idx="402">
                  <c:v>140.72</c:v>
                </c:pt>
                <c:pt idx="403">
                  <c:v>140.72</c:v>
                </c:pt>
                <c:pt idx="404">
                  <c:v>144.36000000000001</c:v>
                </c:pt>
                <c:pt idx="405">
                  <c:v>135.58000000000001</c:v>
                </c:pt>
                <c:pt idx="406">
                  <c:v>135.26</c:v>
                </c:pt>
                <c:pt idx="407">
                  <c:v>132.44</c:v>
                </c:pt>
                <c:pt idx="408">
                  <c:v>131.71</c:v>
                </c:pt>
                <c:pt idx="409">
                  <c:v>131.71</c:v>
                </c:pt>
                <c:pt idx="410">
                  <c:v>131.71</c:v>
                </c:pt>
                <c:pt idx="411">
                  <c:v>131.61000000000001</c:v>
                </c:pt>
                <c:pt idx="412">
                  <c:v>124.8</c:v>
                </c:pt>
                <c:pt idx="413">
                  <c:v>128.63999999999999</c:v>
                </c:pt>
                <c:pt idx="414">
                  <c:v>130.04</c:v>
                </c:pt>
                <c:pt idx="415">
                  <c:v>126.93</c:v>
                </c:pt>
                <c:pt idx="416">
                  <c:v>126.93</c:v>
                </c:pt>
                <c:pt idx="417">
                  <c:v>126.93</c:v>
                </c:pt>
                <c:pt idx="418">
                  <c:v>128.22999999999999</c:v>
                </c:pt>
                <c:pt idx="419">
                  <c:v>132.71</c:v>
                </c:pt>
                <c:pt idx="420">
                  <c:v>135.43</c:v>
                </c:pt>
                <c:pt idx="421">
                  <c:v>127.04</c:v>
                </c:pt>
                <c:pt idx="422">
                  <c:v>125.5</c:v>
                </c:pt>
                <c:pt idx="423">
                  <c:v>125.5</c:v>
                </c:pt>
                <c:pt idx="424">
                  <c:v>125.5</c:v>
                </c:pt>
                <c:pt idx="425">
                  <c:v>125.13</c:v>
                </c:pt>
                <c:pt idx="426">
                  <c:v>122.44</c:v>
                </c:pt>
                <c:pt idx="427">
                  <c:v>120.02</c:v>
                </c:pt>
                <c:pt idx="428">
                  <c:v>119.85</c:v>
                </c:pt>
                <c:pt idx="429">
                  <c:v>119.13</c:v>
                </c:pt>
                <c:pt idx="430">
                  <c:v>119.13</c:v>
                </c:pt>
                <c:pt idx="431">
                  <c:v>119.13</c:v>
                </c:pt>
                <c:pt idx="432">
                  <c:v>121.25</c:v>
                </c:pt>
                <c:pt idx="433">
                  <c:v>121.25</c:v>
                </c:pt>
                <c:pt idx="434">
                  <c:v>120.9</c:v>
                </c:pt>
                <c:pt idx="435">
                  <c:v>119.4</c:v>
                </c:pt>
                <c:pt idx="436">
                  <c:v>122.61</c:v>
                </c:pt>
                <c:pt idx="437">
                  <c:v>122.61</c:v>
                </c:pt>
                <c:pt idx="438">
                  <c:v>122.61</c:v>
                </c:pt>
                <c:pt idx="439">
                  <c:v>124.65</c:v>
                </c:pt>
                <c:pt idx="440">
                  <c:v>122.87</c:v>
                </c:pt>
                <c:pt idx="441">
                  <c:v>123.47</c:v>
                </c:pt>
                <c:pt idx="442">
                  <c:v>128</c:v>
                </c:pt>
                <c:pt idx="443">
                  <c:v>125.9</c:v>
                </c:pt>
                <c:pt idx="444">
                  <c:v>125.9</c:v>
                </c:pt>
                <c:pt idx="445">
                  <c:v>125.9</c:v>
                </c:pt>
                <c:pt idx="446">
                  <c:v>125.91</c:v>
                </c:pt>
                <c:pt idx="447">
                  <c:v>126.34</c:v>
                </c:pt>
                <c:pt idx="448">
                  <c:v>126.34</c:v>
                </c:pt>
                <c:pt idx="449">
                  <c:v>125.09</c:v>
                </c:pt>
                <c:pt idx="450">
                  <c:v>123.78</c:v>
                </c:pt>
                <c:pt idx="451">
                  <c:v>123.78</c:v>
                </c:pt>
                <c:pt idx="452">
                  <c:v>123.78</c:v>
                </c:pt>
                <c:pt idx="453">
                  <c:v>126.48</c:v>
                </c:pt>
                <c:pt idx="454">
                  <c:v>128.41</c:v>
                </c:pt>
                <c:pt idx="455">
                  <c:v>124.22</c:v>
                </c:pt>
                <c:pt idx="456">
                  <c:v>126.46</c:v>
                </c:pt>
                <c:pt idx="457">
                  <c:v>125.89</c:v>
                </c:pt>
                <c:pt idx="458">
                  <c:v>125.89</c:v>
                </c:pt>
                <c:pt idx="459">
                  <c:v>125.89</c:v>
                </c:pt>
                <c:pt idx="460">
                  <c:v>125.9</c:v>
                </c:pt>
                <c:pt idx="461">
                  <c:v>128.88</c:v>
                </c:pt>
                <c:pt idx="462">
                  <c:v>127.01</c:v>
                </c:pt>
                <c:pt idx="463">
                  <c:v>127.25</c:v>
                </c:pt>
                <c:pt idx="464">
                  <c:v>128.91</c:v>
                </c:pt>
                <c:pt idx="465">
                  <c:v>128.91</c:v>
                </c:pt>
                <c:pt idx="466">
                  <c:v>128.91</c:v>
                </c:pt>
                <c:pt idx="467">
                  <c:v>124.09</c:v>
                </c:pt>
                <c:pt idx="468">
                  <c:v>122.89</c:v>
                </c:pt>
                <c:pt idx="469">
                  <c:v>123.09</c:v>
                </c:pt>
                <c:pt idx="470">
                  <c:v>124.73</c:v>
                </c:pt>
                <c:pt idx="471">
                  <c:v>124.73</c:v>
                </c:pt>
                <c:pt idx="472">
                  <c:v>124.73</c:v>
                </c:pt>
                <c:pt idx="473">
                  <c:v>124.73</c:v>
                </c:pt>
                <c:pt idx="474">
                  <c:v>126.76</c:v>
                </c:pt>
                <c:pt idx="475">
                  <c:v>129.05000000000001</c:v>
                </c:pt>
                <c:pt idx="476">
                  <c:v>132.96</c:v>
                </c:pt>
                <c:pt idx="477">
                  <c:v>133.47999999999999</c:v>
                </c:pt>
                <c:pt idx="478">
                  <c:v>133.08000000000001</c:v>
                </c:pt>
                <c:pt idx="479">
                  <c:v>133.08000000000001</c:v>
                </c:pt>
                <c:pt idx="480">
                  <c:v>133.08000000000001</c:v>
                </c:pt>
                <c:pt idx="481">
                  <c:v>132.63999999999999</c:v>
                </c:pt>
                <c:pt idx="482">
                  <c:v>135.79</c:v>
                </c:pt>
                <c:pt idx="483">
                  <c:v>137.01</c:v>
                </c:pt>
                <c:pt idx="484">
                  <c:v>137.22</c:v>
                </c:pt>
                <c:pt idx="485">
                  <c:v>138.09</c:v>
                </c:pt>
                <c:pt idx="486">
                  <c:v>138.09</c:v>
                </c:pt>
                <c:pt idx="487">
                  <c:v>138.09</c:v>
                </c:pt>
                <c:pt idx="488">
                  <c:v>136.28</c:v>
                </c:pt>
                <c:pt idx="489">
                  <c:v>138.58000000000001</c:v>
                </c:pt>
                <c:pt idx="490">
                  <c:v>141.83000000000001</c:v>
                </c:pt>
                <c:pt idx="491">
                  <c:v>139.99</c:v>
                </c:pt>
                <c:pt idx="492">
                  <c:v>140.08000000000001</c:v>
                </c:pt>
                <c:pt idx="493">
                  <c:v>140.08000000000001</c:v>
                </c:pt>
                <c:pt idx="494">
                  <c:v>140.08000000000001</c:v>
                </c:pt>
                <c:pt idx="495">
                  <c:v>138.87</c:v>
                </c:pt>
                <c:pt idx="496">
                  <c:v>137.51</c:v>
                </c:pt>
                <c:pt idx="497">
                  <c:v>138.97</c:v>
                </c:pt>
                <c:pt idx="498">
                  <c:v>142.15</c:v>
                </c:pt>
                <c:pt idx="499">
                  <c:v>141.25</c:v>
                </c:pt>
                <c:pt idx="500">
                  <c:v>141.25</c:v>
                </c:pt>
                <c:pt idx="501">
                  <c:v>141.25</c:v>
                </c:pt>
                <c:pt idx="502">
                  <c:v>141.53</c:v>
                </c:pt>
                <c:pt idx="503">
                  <c:v>144.69</c:v>
                </c:pt>
                <c:pt idx="504">
                  <c:v>145.36000000000001</c:v>
                </c:pt>
                <c:pt idx="505">
                  <c:v>141.93</c:v>
                </c:pt>
                <c:pt idx="506">
                  <c:v>142.6</c:v>
                </c:pt>
                <c:pt idx="507">
                  <c:v>142.6</c:v>
                </c:pt>
                <c:pt idx="508">
                  <c:v>142.6</c:v>
                </c:pt>
                <c:pt idx="509">
                  <c:v>141.01</c:v>
                </c:pt>
                <c:pt idx="510">
                  <c:v>141.27000000000001</c:v>
                </c:pt>
                <c:pt idx="511">
                  <c:v>142.91999999999999</c:v>
                </c:pt>
                <c:pt idx="512">
                  <c:v>143.32</c:v>
                </c:pt>
                <c:pt idx="513">
                  <c:v>145.41999999999999</c:v>
                </c:pt>
                <c:pt idx="514">
                  <c:v>145.41999999999999</c:v>
                </c:pt>
                <c:pt idx="515">
                  <c:v>145.41999999999999</c:v>
                </c:pt>
                <c:pt idx="516">
                  <c:v>147.66</c:v>
                </c:pt>
                <c:pt idx="517">
                  <c:v>147.38999999999999</c:v>
                </c:pt>
                <c:pt idx="518">
                  <c:v>153.13999999999999</c:v>
                </c:pt>
                <c:pt idx="519">
                  <c:v>151.63999999999999</c:v>
                </c:pt>
                <c:pt idx="520">
                  <c:v>150.72999999999999</c:v>
                </c:pt>
                <c:pt idx="521">
                  <c:v>150.72999999999999</c:v>
                </c:pt>
                <c:pt idx="522">
                  <c:v>150.72999999999999</c:v>
                </c:pt>
                <c:pt idx="523">
                  <c:v>150.77000000000001</c:v>
                </c:pt>
                <c:pt idx="524">
                  <c:v>154.97</c:v>
                </c:pt>
                <c:pt idx="525">
                  <c:v>155.09</c:v>
                </c:pt>
                <c:pt idx="526">
                  <c:v>158.53</c:v>
                </c:pt>
                <c:pt idx="527">
                  <c:v>160.79</c:v>
                </c:pt>
                <c:pt idx="528">
                  <c:v>160.79</c:v>
                </c:pt>
                <c:pt idx="529">
                  <c:v>160.79</c:v>
                </c:pt>
                <c:pt idx="530">
                  <c:v>160.79</c:v>
                </c:pt>
                <c:pt idx="531">
                  <c:v>159.53</c:v>
                </c:pt>
                <c:pt idx="532">
                  <c:v>155.75</c:v>
                </c:pt>
                <c:pt idx="533">
                  <c:v>154.69</c:v>
                </c:pt>
                <c:pt idx="534">
                  <c:v>154.38999999999999</c:v>
                </c:pt>
                <c:pt idx="535">
                  <c:v>154.38999999999999</c:v>
                </c:pt>
                <c:pt idx="536">
                  <c:v>154.38999999999999</c:v>
                </c:pt>
                <c:pt idx="537">
                  <c:v>156.69999999999999</c:v>
                </c:pt>
                <c:pt idx="538">
                  <c:v>151.81</c:v>
                </c:pt>
                <c:pt idx="539">
                  <c:v>151.38</c:v>
                </c:pt>
                <c:pt idx="540">
                  <c:v>151</c:v>
                </c:pt>
                <c:pt idx="541">
                  <c:v>153.38999999999999</c:v>
                </c:pt>
                <c:pt idx="542">
                  <c:v>153.38999999999999</c:v>
                </c:pt>
                <c:pt idx="543">
                  <c:v>153.38999999999999</c:v>
                </c:pt>
                <c:pt idx="544">
                  <c:v>153.5</c:v>
                </c:pt>
                <c:pt idx="545">
                  <c:v>156.16</c:v>
                </c:pt>
                <c:pt idx="546">
                  <c:v>155.62</c:v>
                </c:pt>
                <c:pt idx="547">
                  <c:v>154.33000000000001</c:v>
                </c:pt>
                <c:pt idx="548">
                  <c:v>153.87</c:v>
                </c:pt>
                <c:pt idx="549">
                  <c:v>153.87</c:v>
                </c:pt>
                <c:pt idx="550">
                  <c:v>153.87</c:v>
                </c:pt>
                <c:pt idx="551">
                  <c:v>154.63</c:v>
                </c:pt>
                <c:pt idx="552">
                  <c:v>153.51</c:v>
                </c:pt>
                <c:pt idx="553">
                  <c:v>150.87</c:v>
                </c:pt>
                <c:pt idx="554">
                  <c:v>154</c:v>
                </c:pt>
                <c:pt idx="555">
                  <c:v>154.15</c:v>
                </c:pt>
                <c:pt idx="556">
                  <c:v>154.15</c:v>
                </c:pt>
                <c:pt idx="557">
                  <c:v>154.15</c:v>
                </c:pt>
                <c:pt idx="558">
                  <c:v>152.16</c:v>
                </c:pt>
                <c:pt idx="559">
                  <c:v>151.43</c:v>
                </c:pt>
                <c:pt idx="560">
                  <c:v>153.47999999999999</c:v>
                </c:pt>
                <c:pt idx="561">
                  <c:v>154.87</c:v>
                </c:pt>
                <c:pt idx="562">
                  <c:v>153.34</c:v>
                </c:pt>
                <c:pt idx="563">
                  <c:v>153.34</c:v>
                </c:pt>
                <c:pt idx="564">
                  <c:v>153.34</c:v>
                </c:pt>
                <c:pt idx="565">
                  <c:v>150.83000000000001</c:v>
                </c:pt>
                <c:pt idx="566">
                  <c:v>150.63999999999999</c:v>
                </c:pt>
                <c:pt idx="567">
                  <c:v>148.31</c:v>
                </c:pt>
                <c:pt idx="568">
                  <c:v>144.54</c:v>
                </c:pt>
                <c:pt idx="569">
                  <c:v>144.54</c:v>
                </c:pt>
                <c:pt idx="570">
                  <c:v>144.54</c:v>
                </c:pt>
                <c:pt idx="571">
                  <c:v>144.54</c:v>
                </c:pt>
                <c:pt idx="572">
                  <c:v>144.66999999999999</c:v>
                </c:pt>
                <c:pt idx="573">
                  <c:v>144.13</c:v>
                </c:pt>
                <c:pt idx="574">
                  <c:v>142.46</c:v>
                </c:pt>
                <c:pt idx="575">
                  <c:v>148.44</c:v>
                </c:pt>
                <c:pt idx="576">
                  <c:v>145.72999999999999</c:v>
                </c:pt>
                <c:pt idx="577">
                  <c:v>145.72999999999999</c:v>
                </c:pt>
                <c:pt idx="578">
                  <c:v>145.72999999999999</c:v>
                </c:pt>
                <c:pt idx="579">
                  <c:v>145.35</c:v>
                </c:pt>
                <c:pt idx="580">
                  <c:v>142.94</c:v>
                </c:pt>
                <c:pt idx="581">
                  <c:v>141.30000000000001</c:v>
                </c:pt>
                <c:pt idx="582">
                  <c:v>139.83000000000001</c:v>
                </c:pt>
                <c:pt idx="583">
                  <c:v>143.12</c:v>
                </c:pt>
                <c:pt idx="584">
                  <c:v>143.12</c:v>
                </c:pt>
                <c:pt idx="585">
                  <c:v>143.12</c:v>
                </c:pt>
                <c:pt idx="586">
                  <c:v>145.52000000000001</c:v>
                </c:pt>
                <c:pt idx="587">
                  <c:v>141.07</c:v>
                </c:pt>
                <c:pt idx="588">
                  <c:v>145.08000000000001</c:v>
                </c:pt>
                <c:pt idx="589">
                  <c:v>144.83000000000001</c:v>
                </c:pt>
                <c:pt idx="590">
                  <c:v>141.33000000000001</c:v>
                </c:pt>
                <c:pt idx="591">
                  <c:v>141.33000000000001</c:v>
                </c:pt>
                <c:pt idx="592">
                  <c:v>141.33000000000001</c:v>
                </c:pt>
                <c:pt idx="593">
                  <c:v>141.1</c:v>
                </c:pt>
                <c:pt idx="594">
                  <c:v>139.47999999999999</c:v>
                </c:pt>
                <c:pt idx="595">
                  <c:v>142.16999999999999</c:v>
                </c:pt>
                <c:pt idx="596">
                  <c:v>143.71</c:v>
                </c:pt>
                <c:pt idx="597">
                  <c:v>141.63999999999999</c:v>
                </c:pt>
                <c:pt idx="598">
                  <c:v>141.63999999999999</c:v>
                </c:pt>
                <c:pt idx="599">
                  <c:v>141.63999999999999</c:v>
                </c:pt>
                <c:pt idx="600">
                  <c:v>138.03</c:v>
                </c:pt>
                <c:pt idx="601">
                  <c:v>135.38999999999999</c:v>
                </c:pt>
                <c:pt idx="602">
                  <c:v>138.9</c:v>
                </c:pt>
                <c:pt idx="603">
                  <c:v>139.72999999999999</c:v>
                </c:pt>
                <c:pt idx="604">
                  <c:v>139.72999999999999</c:v>
                </c:pt>
                <c:pt idx="605">
                  <c:v>139.72999999999999</c:v>
                </c:pt>
                <c:pt idx="606">
                  <c:v>139.72999999999999</c:v>
                </c:pt>
                <c:pt idx="607">
                  <c:v>141.38999999999999</c:v>
                </c:pt>
                <c:pt idx="608">
                  <c:v>139.29</c:v>
                </c:pt>
                <c:pt idx="609">
                  <c:v>137.94</c:v>
                </c:pt>
                <c:pt idx="610">
                  <c:v>139.44</c:v>
                </c:pt>
                <c:pt idx="611">
                  <c:v>137.97</c:v>
                </c:pt>
                <c:pt idx="612">
                  <c:v>137.97</c:v>
                </c:pt>
                <c:pt idx="613">
                  <c:v>137.97</c:v>
                </c:pt>
                <c:pt idx="614">
                  <c:v>138.74</c:v>
                </c:pt>
                <c:pt idx="615">
                  <c:v>139.97999999999999</c:v>
                </c:pt>
                <c:pt idx="616">
                  <c:v>145.35</c:v>
                </c:pt>
                <c:pt idx="617">
                  <c:v>147.16999999999999</c:v>
                </c:pt>
                <c:pt idx="618">
                  <c:v>147.16999999999999</c:v>
                </c:pt>
                <c:pt idx="619">
                  <c:v>147.16999999999999</c:v>
                </c:pt>
                <c:pt idx="620">
                  <c:v>147.16999999999999</c:v>
                </c:pt>
                <c:pt idx="621">
                  <c:v>148.84</c:v>
                </c:pt>
                <c:pt idx="622">
                  <c:v>148.75</c:v>
                </c:pt>
                <c:pt idx="623">
                  <c:v>148.63</c:v>
                </c:pt>
                <c:pt idx="624">
                  <c:v>146.69</c:v>
                </c:pt>
                <c:pt idx="625">
                  <c:v>146.69</c:v>
                </c:pt>
                <c:pt idx="626">
                  <c:v>146.69</c:v>
                </c:pt>
                <c:pt idx="627">
                  <c:v>146.69</c:v>
                </c:pt>
                <c:pt idx="628">
                  <c:v>146.71</c:v>
                </c:pt>
                <c:pt idx="629">
                  <c:v>143.69</c:v>
                </c:pt>
                <c:pt idx="630">
                  <c:v>144.96</c:v>
                </c:pt>
                <c:pt idx="631">
                  <c:v>143.66999999999999</c:v>
                </c:pt>
                <c:pt idx="632">
                  <c:v>143.62</c:v>
                </c:pt>
                <c:pt idx="633">
                  <c:v>143.62</c:v>
                </c:pt>
                <c:pt idx="634">
                  <c:v>143.62</c:v>
                </c:pt>
                <c:pt idx="635">
                  <c:v>146.01</c:v>
                </c:pt>
                <c:pt idx="636">
                  <c:v>139.83000000000001</c:v>
                </c:pt>
                <c:pt idx="637">
                  <c:v>136.68</c:v>
                </c:pt>
                <c:pt idx="638">
                  <c:v>137.30000000000001</c:v>
                </c:pt>
                <c:pt idx="639">
                  <c:v>135.21</c:v>
                </c:pt>
                <c:pt idx="640">
                  <c:v>135.21</c:v>
                </c:pt>
                <c:pt idx="641">
                  <c:v>135.21</c:v>
                </c:pt>
                <c:pt idx="642">
                  <c:v>134.44</c:v>
                </c:pt>
                <c:pt idx="643">
                  <c:v>132.21</c:v>
                </c:pt>
                <c:pt idx="644">
                  <c:v>129.97999999999999</c:v>
                </c:pt>
                <c:pt idx="645">
                  <c:v>133.41</c:v>
                </c:pt>
                <c:pt idx="646">
                  <c:v>130.41999999999999</c:v>
                </c:pt>
                <c:pt idx="647">
                  <c:v>130.41999999999999</c:v>
                </c:pt>
                <c:pt idx="648">
                  <c:v>130.41999999999999</c:v>
                </c:pt>
                <c:pt idx="649">
                  <c:v>126.23</c:v>
                </c:pt>
                <c:pt idx="650">
                  <c:v>126.43</c:v>
                </c:pt>
                <c:pt idx="651">
                  <c:v>124.43</c:v>
                </c:pt>
                <c:pt idx="652">
                  <c:v>124.96</c:v>
                </c:pt>
                <c:pt idx="653">
                  <c:v>125.24</c:v>
                </c:pt>
                <c:pt idx="654">
                  <c:v>125.24</c:v>
                </c:pt>
                <c:pt idx="655">
                  <c:v>125.24</c:v>
                </c:pt>
                <c:pt idx="656">
                  <c:v>123.82</c:v>
                </c:pt>
                <c:pt idx="657">
                  <c:v>123.82</c:v>
                </c:pt>
                <c:pt idx="658">
                  <c:v>123.47</c:v>
                </c:pt>
                <c:pt idx="659">
                  <c:v>125.43</c:v>
                </c:pt>
                <c:pt idx="660">
                  <c:v>124.78</c:v>
                </c:pt>
                <c:pt idx="661">
                  <c:v>124.78</c:v>
                </c:pt>
                <c:pt idx="662">
                  <c:v>124.78</c:v>
                </c:pt>
                <c:pt idx="663">
                  <c:v>122.98</c:v>
                </c:pt>
                <c:pt idx="664">
                  <c:v>124.53</c:v>
                </c:pt>
                <c:pt idx="665">
                  <c:v>124.14</c:v>
                </c:pt>
                <c:pt idx="666">
                  <c:v>118.8</c:v>
                </c:pt>
                <c:pt idx="667">
                  <c:v>120.21</c:v>
                </c:pt>
                <c:pt idx="668">
                  <c:v>120.21</c:v>
                </c:pt>
                <c:pt idx="669">
                  <c:v>120.21</c:v>
                </c:pt>
                <c:pt idx="670">
                  <c:v>118.66</c:v>
                </c:pt>
                <c:pt idx="671">
                  <c:v>115.48</c:v>
                </c:pt>
                <c:pt idx="672">
                  <c:v>114.46</c:v>
                </c:pt>
                <c:pt idx="673">
                  <c:v>116.28</c:v>
                </c:pt>
                <c:pt idx="674">
                  <c:v>117.41</c:v>
                </c:pt>
                <c:pt idx="675">
                  <c:v>117.41</c:v>
                </c:pt>
                <c:pt idx="676">
                  <c:v>117.41</c:v>
                </c:pt>
                <c:pt idx="677">
                  <c:v>113.89</c:v>
                </c:pt>
                <c:pt idx="678">
                  <c:v>111.05</c:v>
                </c:pt>
                <c:pt idx="679">
                  <c:v>112.87</c:v>
                </c:pt>
                <c:pt idx="680">
                  <c:v>112.85</c:v>
                </c:pt>
                <c:pt idx="681">
                  <c:v>112.1</c:v>
                </c:pt>
                <c:pt idx="682">
                  <c:v>112.1</c:v>
                </c:pt>
                <c:pt idx="683">
                  <c:v>112.1</c:v>
                </c:pt>
                <c:pt idx="684">
                  <c:v>115.61</c:v>
                </c:pt>
                <c:pt idx="685">
                  <c:v>113.35</c:v>
                </c:pt>
                <c:pt idx="686">
                  <c:v>115.75</c:v>
                </c:pt>
                <c:pt idx="687">
                  <c:v>114.46</c:v>
                </c:pt>
                <c:pt idx="688">
                  <c:v>115.69</c:v>
                </c:pt>
                <c:pt idx="689">
                  <c:v>115.69</c:v>
                </c:pt>
                <c:pt idx="690">
                  <c:v>115.69</c:v>
                </c:pt>
                <c:pt idx="691">
                  <c:v>118.45</c:v>
                </c:pt>
                <c:pt idx="692">
                  <c:v>121.37</c:v>
                </c:pt>
                <c:pt idx="693">
                  <c:v>125.54</c:v>
                </c:pt>
                <c:pt idx="694">
                  <c:v>122.72</c:v>
                </c:pt>
                <c:pt idx="695">
                  <c:v>119.77</c:v>
                </c:pt>
                <c:pt idx="696">
                  <c:v>119.77</c:v>
                </c:pt>
                <c:pt idx="697">
                  <c:v>119.77</c:v>
                </c:pt>
                <c:pt idx="698">
                  <c:v>120.47</c:v>
                </c:pt>
                <c:pt idx="699">
                  <c:v>125.6</c:v>
                </c:pt>
                <c:pt idx="700">
                  <c:v>127.79</c:v>
                </c:pt>
                <c:pt idx="701">
                  <c:v>123.91</c:v>
                </c:pt>
                <c:pt idx="702">
                  <c:v>124.47</c:v>
                </c:pt>
                <c:pt idx="703">
                  <c:v>124.47</c:v>
                </c:pt>
                <c:pt idx="704">
                  <c:v>124.47</c:v>
                </c:pt>
                <c:pt idx="705">
                  <c:v>123.89</c:v>
                </c:pt>
                <c:pt idx="706">
                  <c:v>125.14</c:v>
                </c:pt>
                <c:pt idx="707">
                  <c:v>123.65</c:v>
                </c:pt>
                <c:pt idx="708">
                  <c:v>126.42</c:v>
                </c:pt>
                <c:pt idx="709">
                  <c:v>128</c:v>
                </c:pt>
                <c:pt idx="710">
                  <c:v>128</c:v>
                </c:pt>
                <c:pt idx="711">
                  <c:v>128</c:v>
                </c:pt>
                <c:pt idx="712">
                  <c:v>128.22</c:v>
                </c:pt>
                <c:pt idx="713">
                  <c:v>127.67</c:v>
                </c:pt>
                <c:pt idx="714">
                  <c:v>127.68</c:v>
                </c:pt>
                <c:pt idx="715">
                  <c:v>130.74</c:v>
                </c:pt>
                <c:pt idx="716">
                  <c:v>129.97999999999999</c:v>
                </c:pt>
                <c:pt idx="717">
                  <c:v>129.97999999999999</c:v>
                </c:pt>
                <c:pt idx="718">
                  <c:v>129.97999999999999</c:v>
                </c:pt>
                <c:pt idx="719">
                  <c:v>131.91999999999999</c:v>
                </c:pt>
                <c:pt idx="720">
                  <c:v>134.72</c:v>
                </c:pt>
                <c:pt idx="721">
                  <c:v>135.93</c:v>
                </c:pt>
                <c:pt idx="722">
                  <c:v>137.27000000000001</c:v>
                </c:pt>
                <c:pt idx="723">
                  <c:v>138.12</c:v>
                </c:pt>
                <c:pt idx="724">
                  <c:v>138.12</c:v>
                </c:pt>
                <c:pt idx="725">
                  <c:v>138.12</c:v>
                </c:pt>
                <c:pt idx="726">
                  <c:v>138.83000000000001</c:v>
                </c:pt>
                <c:pt idx="727">
                  <c:v>136.27000000000001</c:v>
                </c:pt>
                <c:pt idx="728">
                  <c:v>137</c:v>
                </c:pt>
                <c:pt idx="729">
                  <c:v>138</c:v>
                </c:pt>
                <c:pt idx="730">
                  <c:v>138.35</c:v>
                </c:pt>
                <c:pt idx="731">
                  <c:v>138.35</c:v>
                </c:pt>
                <c:pt idx="732">
                  <c:v>138.35</c:v>
                </c:pt>
                <c:pt idx="733">
                  <c:v>139.47</c:v>
                </c:pt>
                <c:pt idx="734">
                  <c:v>141.25</c:v>
                </c:pt>
                <c:pt idx="735">
                  <c:v>140.62</c:v>
                </c:pt>
                <c:pt idx="736">
                  <c:v>146.52000000000001</c:v>
                </c:pt>
                <c:pt idx="737">
                  <c:v>146.52000000000001</c:v>
                </c:pt>
                <c:pt idx="738">
                  <c:v>146.52000000000001</c:v>
                </c:pt>
                <c:pt idx="739">
                  <c:v>146.52000000000001</c:v>
                </c:pt>
                <c:pt idx="740">
                  <c:v>145.59</c:v>
                </c:pt>
                <c:pt idx="741">
                  <c:v>145.94</c:v>
                </c:pt>
                <c:pt idx="742">
                  <c:v>145.79</c:v>
                </c:pt>
                <c:pt idx="743">
                  <c:v>143.46</c:v>
                </c:pt>
                <c:pt idx="744">
                  <c:v>141.88999999999999</c:v>
                </c:pt>
                <c:pt idx="745">
                  <c:v>141.88999999999999</c:v>
                </c:pt>
                <c:pt idx="746">
                  <c:v>141.88999999999999</c:v>
                </c:pt>
                <c:pt idx="747">
                  <c:v>141.47999999999999</c:v>
                </c:pt>
                <c:pt idx="748">
                  <c:v>143.46</c:v>
                </c:pt>
                <c:pt idx="749">
                  <c:v>139.6</c:v>
                </c:pt>
                <c:pt idx="750">
                  <c:v>141.47999999999999</c:v>
                </c:pt>
                <c:pt idx="751">
                  <c:v>141.94999999999999</c:v>
                </c:pt>
                <c:pt idx="752">
                  <c:v>141.94999999999999</c:v>
                </c:pt>
                <c:pt idx="753">
                  <c:v>141.94999999999999</c:v>
                </c:pt>
                <c:pt idx="754">
                  <c:v>142.66</c:v>
                </c:pt>
                <c:pt idx="755">
                  <c:v>145.16</c:v>
                </c:pt>
                <c:pt idx="756">
                  <c:v>146.88</c:v>
                </c:pt>
                <c:pt idx="757">
                  <c:v>150.25</c:v>
                </c:pt>
                <c:pt idx="758">
                  <c:v>148.61000000000001</c:v>
                </c:pt>
                <c:pt idx="759">
                  <c:v>148.61000000000001</c:v>
                </c:pt>
                <c:pt idx="760">
                  <c:v>148.61000000000001</c:v>
                </c:pt>
                <c:pt idx="761">
                  <c:v>148.72</c:v>
                </c:pt>
                <c:pt idx="762">
                  <c:v>147.28</c:v>
                </c:pt>
                <c:pt idx="763">
                  <c:v>146.91999999999999</c:v>
                </c:pt>
                <c:pt idx="764">
                  <c:v>146.4</c:v>
                </c:pt>
                <c:pt idx="765">
                  <c:v>142.55000000000001</c:v>
                </c:pt>
                <c:pt idx="766">
                  <c:v>142.55000000000001</c:v>
                </c:pt>
                <c:pt idx="767">
                  <c:v>142.55000000000001</c:v>
                </c:pt>
                <c:pt idx="768">
                  <c:v>141.97999999999999</c:v>
                </c:pt>
                <c:pt idx="769">
                  <c:v>143.94</c:v>
                </c:pt>
                <c:pt idx="770">
                  <c:v>148.79</c:v>
                </c:pt>
                <c:pt idx="771">
                  <c:v>151.85</c:v>
                </c:pt>
                <c:pt idx="772">
                  <c:v>151.62</c:v>
                </c:pt>
                <c:pt idx="773">
                  <c:v>151.62</c:v>
                </c:pt>
                <c:pt idx="774">
                  <c:v>151.62</c:v>
                </c:pt>
                <c:pt idx="775">
                  <c:v>150</c:v>
                </c:pt>
                <c:pt idx="776">
                  <c:v>146.81</c:v>
                </c:pt>
                <c:pt idx="777">
                  <c:v>145.93</c:v>
                </c:pt>
                <c:pt idx="778">
                  <c:v>145.01</c:v>
                </c:pt>
                <c:pt idx="779">
                  <c:v>144.08000000000001</c:v>
                </c:pt>
                <c:pt idx="780">
                  <c:v>144.08000000000001</c:v>
                </c:pt>
                <c:pt idx="781">
                  <c:v>144.08000000000001</c:v>
                </c:pt>
                <c:pt idx="782">
                  <c:v>141.93</c:v>
                </c:pt>
                <c:pt idx="783">
                  <c:v>142.18</c:v>
                </c:pt>
                <c:pt idx="784">
                  <c:v>141.56</c:v>
                </c:pt>
                <c:pt idx="785">
                  <c:v>141.72</c:v>
                </c:pt>
                <c:pt idx="786">
                  <c:v>143.94999999999999</c:v>
                </c:pt>
                <c:pt idx="787">
                  <c:v>143.94999999999999</c:v>
                </c:pt>
                <c:pt idx="788">
                  <c:v>143.94999999999999</c:v>
                </c:pt>
                <c:pt idx="789">
                  <c:v>147.88999999999999</c:v>
                </c:pt>
                <c:pt idx="790">
                  <c:v>147.62</c:v>
                </c:pt>
                <c:pt idx="791">
                  <c:v>145.33000000000001</c:v>
                </c:pt>
                <c:pt idx="792">
                  <c:v>145.9</c:v>
                </c:pt>
                <c:pt idx="793">
                  <c:v>144.51</c:v>
                </c:pt>
                <c:pt idx="794">
                  <c:v>144.51</c:v>
                </c:pt>
                <c:pt idx="795">
                  <c:v>144.51</c:v>
                </c:pt>
                <c:pt idx="796">
                  <c:v>143.55000000000001</c:v>
                </c:pt>
                <c:pt idx="797">
                  <c:v>145.24</c:v>
                </c:pt>
                <c:pt idx="798">
                  <c:v>147.54</c:v>
                </c:pt>
                <c:pt idx="799">
                  <c:v>147.54</c:v>
                </c:pt>
                <c:pt idx="800">
                  <c:v>147.83000000000001</c:v>
                </c:pt>
                <c:pt idx="801">
                  <c:v>147.83000000000001</c:v>
                </c:pt>
                <c:pt idx="802">
                  <c:v>147.83000000000001</c:v>
                </c:pt>
                <c:pt idx="803">
                  <c:v>147.49</c:v>
                </c:pt>
                <c:pt idx="804">
                  <c:v>144.75</c:v>
                </c:pt>
                <c:pt idx="805">
                  <c:v>145.13999999999999</c:v>
                </c:pt>
                <c:pt idx="806">
                  <c:v>141.75</c:v>
                </c:pt>
                <c:pt idx="807">
                  <c:v>140.29</c:v>
                </c:pt>
                <c:pt idx="808">
                  <c:v>140.29</c:v>
                </c:pt>
                <c:pt idx="809">
                  <c:v>140.29</c:v>
                </c:pt>
                <c:pt idx="810">
                  <c:v>141.62</c:v>
                </c:pt>
                <c:pt idx="811">
                  <c:v>143.66</c:v>
                </c:pt>
                <c:pt idx="812">
                  <c:v>143.41999999999999</c:v>
                </c:pt>
                <c:pt idx="813">
                  <c:v>144.56</c:v>
                </c:pt>
                <c:pt idx="814">
                  <c:v>144.56</c:v>
                </c:pt>
                <c:pt idx="815">
                  <c:v>144.56</c:v>
                </c:pt>
                <c:pt idx="816">
                  <c:v>144.56</c:v>
                </c:pt>
                <c:pt idx="817">
                  <c:v>144.61000000000001</c:v>
                </c:pt>
                <c:pt idx="818">
                  <c:v>142.1</c:v>
                </c:pt>
                <c:pt idx="819">
                  <c:v>143.93</c:v>
                </c:pt>
                <c:pt idx="820">
                  <c:v>142.22</c:v>
                </c:pt>
                <c:pt idx="821">
                  <c:v>141.01</c:v>
                </c:pt>
                <c:pt idx="822">
                  <c:v>141.01</c:v>
                </c:pt>
                <c:pt idx="823">
                  <c:v>141.01</c:v>
                </c:pt>
                <c:pt idx="824">
                  <c:v>142.57</c:v>
                </c:pt>
                <c:pt idx="825">
                  <c:v>144.18</c:v>
                </c:pt>
                <c:pt idx="826">
                  <c:v>140.96</c:v>
                </c:pt>
                <c:pt idx="827">
                  <c:v>136.9</c:v>
                </c:pt>
                <c:pt idx="828">
                  <c:v>139.5</c:v>
                </c:pt>
                <c:pt idx="829">
                  <c:v>139.5</c:v>
                </c:pt>
                <c:pt idx="830">
                  <c:v>139.5</c:v>
                </c:pt>
                <c:pt idx="831">
                  <c:v>133.18</c:v>
                </c:pt>
                <c:pt idx="832">
                  <c:v>132</c:v>
                </c:pt>
                <c:pt idx="833">
                  <c:v>135.22</c:v>
                </c:pt>
                <c:pt idx="834">
                  <c:v>135.36000000000001</c:v>
                </c:pt>
                <c:pt idx="835">
                  <c:v>135.36000000000001</c:v>
                </c:pt>
                <c:pt idx="836">
                  <c:v>135.36000000000001</c:v>
                </c:pt>
                <c:pt idx="837">
                  <c:v>135.36000000000001</c:v>
                </c:pt>
                <c:pt idx="838">
                  <c:v>134.47</c:v>
                </c:pt>
                <c:pt idx="839">
                  <c:v>135.08000000000001</c:v>
                </c:pt>
                <c:pt idx="840">
                  <c:v>138.04</c:v>
                </c:pt>
                <c:pt idx="841">
                  <c:v>141.66999999999999</c:v>
                </c:pt>
                <c:pt idx="842">
                  <c:v>140.69999999999999</c:v>
                </c:pt>
                <c:pt idx="843">
                  <c:v>140.69999999999999</c:v>
                </c:pt>
                <c:pt idx="844">
                  <c:v>140.69999999999999</c:v>
                </c:pt>
                <c:pt idx="845">
                  <c:v>142.22999999999999</c:v>
                </c:pt>
                <c:pt idx="846">
                  <c:v>140.96</c:v>
                </c:pt>
                <c:pt idx="847">
                  <c:v>137.27000000000001</c:v>
                </c:pt>
                <c:pt idx="848">
                  <c:v>141.28</c:v>
                </c:pt>
                <c:pt idx="849">
                  <c:v>140.03</c:v>
                </c:pt>
                <c:pt idx="850">
                  <c:v>140.03</c:v>
                </c:pt>
                <c:pt idx="851">
                  <c:v>140.03</c:v>
                </c:pt>
                <c:pt idx="852">
                  <c:v>141.47</c:v>
                </c:pt>
                <c:pt idx="853">
                  <c:v>143.65</c:v>
                </c:pt>
                <c:pt idx="854">
                  <c:v>145.72999999999999</c:v>
                </c:pt>
                <c:pt idx="855">
                  <c:v>145.76</c:v>
                </c:pt>
                <c:pt idx="856">
                  <c:v>146.09</c:v>
                </c:pt>
                <c:pt idx="857">
                  <c:v>146.09</c:v>
                </c:pt>
                <c:pt idx="858">
                  <c:v>146.09</c:v>
                </c:pt>
                <c:pt idx="859">
                  <c:v>142.94999999999999</c:v>
                </c:pt>
                <c:pt idx="860">
                  <c:v>145.30000000000001</c:v>
                </c:pt>
                <c:pt idx="861">
                  <c:v>145.13999999999999</c:v>
                </c:pt>
                <c:pt idx="862">
                  <c:v>142.94</c:v>
                </c:pt>
                <c:pt idx="863">
                  <c:v>140.88</c:v>
                </c:pt>
                <c:pt idx="864">
                  <c:v>140.88</c:v>
                </c:pt>
                <c:pt idx="865">
                  <c:v>140.88</c:v>
                </c:pt>
                <c:pt idx="866">
                  <c:v>140</c:v>
                </c:pt>
                <c:pt idx="867">
                  <c:v>135.30000000000001</c:v>
                </c:pt>
                <c:pt idx="868">
                  <c:v>136.99</c:v>
                </c:pt>
                <c:pt idx="869">
                  <c:v>140.99</c:v>
                </c:pt>
                <c:pt idx="870">
                  <c:v>141.83000000000001</c:v>
                </c:pt>
                <c:pt idx="871">
                  <c:v>141.83000000000001</c:v>
                </c:pt>
                <c:pt idx="872">
                  <c:v>141.83000000000001</c:v>
                </c:pt>
                <c:pt idx="873">
                  <c:v>142.21</c:v>
                </c:pt>
                <c:pt idx="874">
                  <c:v>143.30000000000001</c:v>
                </c:pt>
                <c:pt idx="875">
                  <c:v>141.65</c:v>
                </c:pt>
                <c:pt idx="876">
                  <c:v>140.5</c:v>
                </c:pt>
                <c:pt idx="877">
                  <c:v>139.01</c:v>
                </c:pt>
                <c:pt idx="878">
                  <c:v>139.01</c:v>
                </c:pt>
                <c:pt idx="879">
                  <c:v>139.01</c:v>
                </c:pt>
                <c:pt idx="880">
                  <c:v>138.62</c:v>
                </c:pt>
                <c:pt idx="881">
                  <c:v>138.41</c:v>
                </c:pt>
                <c:pt idx="882">
                  <c:v>138.83000000000001</c:v>
                </c:pt>
                <c:pt idx="883">
                  <c:v>138.16</c:v>
                </c:pt>
                <c:pt idx="884">
                  <c:v>136.13</c:v>
                </c:pt>
                <c:pt idx="885">
                  <c:v>136.13</c:v>
                </c:pt>
                <c:pt idx="886">
                  <c:v>136.13</c:v>
                </c:pt>
                <c:pt idx="887">
                  <c:v>136.13</c:v>
                </c:pt>
                <c:pt idx="888">
                  <c:v>137.93</c:v>
                </c:pt>
                <c:pt idx="889">
                  <c:v>140.63999999999999</c:v>
                </c:pt>
                <c:pt idx="890">
                  <c:v>146.13</c:v>
                </c:pt>
                <c:pt idx="891">
                  <c:v>146.61000000000001</c:v>
                </c:pt>
                <c:pt idx="892">
                  <c:v>146.61000000000001</c:v>
                </c:pt>
                <c:pt idx="893">
                  <c:v>146.61000000000001</c:v>
                </c:pt>
                <c:pt idx="894">
                  <c:v>143.55000000000001</c:v>
                </c:pt>
                <c:pt idx="895">
                  <c:v>141.99</c:v>
                </c:pt>
                <c:pt idx="896">
                  <c:v>139.41999999999999</c:v>
                </c:pt>
                <c:pt idx="897">
                  <c:v>137.85</c:v>
                </c:pt>
                <c:pt idx="898">
                  <c:v>136.22</c:v>
                </c:pt>
                <c:pt idx="899">
                  <c:v>136.22</c:v>
                </c:pt>
                <c:pt idx="900">
                  <c:v>136.22</c:v>
                </c:pt>
                <c:pt idx="901">
                  <c:v>135.72</c:v>
                </c:pt>
                <c:pt idx="902">
                  <c:v>137</c:v>
                </c:pt>
                <c:pt idx="903">
                  <c:v>140.53</c:v>
                </c:pt>
                <c:pt idx="904">
                  <c:v>136.52000000000001</c:v>
                </c:pt>
                <c:pt idx="905">
                  <c:v>133.82</c:v>
                </c:pt>
                <c:pt idx="906">
                  <c:v>133.82</c:v>
                </c:pt>
                <c:pt idx="907">
                  <c:v>133.82</c:v>
                </c:pt>
                <c:pt idx="908">
                  <c:v>137.96</c:v>
                </c:pt>
                <c:pt idx="909">
                  <c:v>138.97</c:v>
                </c:pt>
                <c:pt idx="910">
                  <c:v>143.21</c:v>
                </c:pt>
                <c:pt idx="911">
                  <c:v>142.09</c:v>
                </c:pt>
                <c:pt idx="912">
                  <c:v>144.49</c:v>
                </c:pt>
                <c:pt idx="913">
                  <c:v>144.49</c:v>
                </c:pt>
                <c:pt idx="914">
                  <c:v>144.49</c:v>
                </c:pt>
                <c:pt idx="915">
                  <c:v>150.03</c:v>
                </c:pt>
                <c:pt idx="916">
                  <c:v>153.41999999999999</c:v>
                </c:pt>
                <c:pt idx="917">
                  <c:v>154.18</c:v>
                </c:pt>
                <c:pt idx="918">
                  <c:v>156.12</c:v>
                </c:pt>
                <c:pt idx="919">
                  <c:v>157.69</c:v>
                </c:pt>
                <c:pt idx="920">
                  <c:v>157.69</c:v>
                </c:pt>
                <c:pt idx="921">
                  <c:v>157.69</c:v>
                </c:pt>
                <c:pt idx="922">
                  <c:v>155.91999999999999</c:v>
                </c:pt>
                <c:pt idx="923">
                  <c:v>154.94999999999999</c:v>
                </c:pt>
                <c:pt idx="924">
                  <c:v>155.49</c:v>
                </c:pt>
                <c:pt idx="925">
                  <c:v>154.5</c:v>
                </c:pt>
                <c:pt idx="926">
                  <c:v>152.47999999999999</c:v>
                </c:pt>
                <c:pt idx="927">
                  <c:v>152.47999999999999</c:v>
                </c:pt>
                <c:pt idx="928">
                  <c:v>152.47999999999999</c:v>
                </c:pt>
                <c:pt idx="929">
                  <c:v>154.09</c:v>
                </c:pt>
                <c:pt idx="930">
                  <c:v>153.87</c:v>
                </c:pt>
                <c:pt idx="931">
                  <c:v>153.93</c:v>
                </c:pt>
                <c:pt idx="932">
                  <c:v>155.09</c:v>
                </c:pt>
                <c:pt idx="933">
                  <c:v>155.09</c:v>
                </c:pt>
                <c:pt idx="934">
                  <c:v>155.09</c:v>
                </c:pt>
                <c:pt idx="935">
                  <c:v>155.09</c:v>
                </c:pt>
                <c:pt idx="936">
                  <c:v>155.38</c:v>
                </c:pt>
                <c:pt idx="937">
                  <c:v>157.11000000000001</c:v>
                </c:pt>
                <c:pt idx="938">
                  <c:v>155.80000000000001</c:v>
                </c:pt>
                <c:pt idx="939">
                  <c:v>154.11000000000001</c:v>
                </c:pt>
                <c:pt idx="940">
                  <c:v>152.31</c:v>
                </c:pt>
                <c:pt idx="941">
                  <c:v>152.31</c:v>
                </c:pt>
                <c:pt idx="942">
                  <c:v>152.31</c:v>
                </c:pt>
                <c:pt idx="943">
                  <c:v>152.85</c:v>
                </c:pt>
                <c:pt idx="944">
                  <c:v>156.31</c:v>
                </c:pt>
                <c:pt idx="945">
                  <c:v>158.13999999999999</c:v>
                </c:pt>
                <c:pt idx="946">
                  <c:v>157.84</c:v>
                </c:pt>
                <c:pt idx="947">
                  <c:v>160.12</c:v>
                </c:pt>
                <c:pt idx="948">
                  <c:v>160.12</c:v>
                </c:pt>
                <c:pt idx="949">
                  <c:v>160.12</c:v>
                </c:pt>
                <c:pt idx="950">
                  <c:v>160.87</c:v>
                </c:pt>
                <c:pt idx="951">
                  <c:v>157.87</c:v>
                </c:pt>
                <c:pt idx="952">
                  <c:v>155.44999999999999</c:v>
                </c:pt>
                <c:pt idx="953">
                  <c:v>150.86000000000001</c:v>
                </c:pt>
                <c:pt idx="954">
                  <c:v>154.36000000000001</c:v>
                </c:pt>
                <c:pt idx="955">
                  <c:v>154.36000000000001</c:v>
                </c:pt>
                <c:pt idx="956">
                  <c:v>154.36000000000001</c:v>
                </c:pt>
                <c:pt idx="957">
                  <c:v>150.44</c:v>
                </c:pt>
                <c:pt idx="958">
                  <c:v>149.85</c:v>
                </c:pt>
                <c:pt idx="959">
                  <c:v>151.26</c:v>
                </c:pt>
                <c:pt idx="960">
                  <c:v>149.91</c:v>
                </c:pt>
                <c:pt idx="961">
                  <c:v>146.58000000000001</c:v>
                </c:pt>
                <c:pt idx="962">
                  <c:v>146.58000000000001</c:v>
                </c:pt>
                <c:pt idx="963">
                  <c:v>146.58000000000001</c:v>
                </c:pt>
                <c:pt idx="964">
                  <c:v>145.28</c:v>
                </c:pt>
                <c:pt idx="965">
                  <c:v>148.01</c:v>
                </c:pt>
                <c:pt idx="966">
                  <c:v>148.97999999999999</c:v>
                </c:pt>
                <c:pt idx="967">
                  <c:v>151</c:v>
                </c:pt>
                <c:pt idx="968">
                  <c:v>151</c:v>
                </c:pt>
                <c:pt idx="969">
                  <c:v>151</c:v>
                </c:pt>
                <c:pt idx="970">
                  <c:v>151</c:v>
                </c:pt>
                <c:pt idx="971">
                  <c:v>147.91999999999999</c:v>
                </c:pt>
                <c:pt idx="972">
                  <c:v>145.36000000000001</c:v>
                </c:pt>
                <c:pt idx="973">
                  <c:v>144.11000000000001</c:v>
                </c:pt>
                <c:pt idx="974">
                  <c:v>143.69999999999999</c:v>
                </c:pt>
                <c:pt idx="975">
                  <c:v>142.11000000000001</c:v>
                </c:pt>
                <c:pt idx="976">
                  <c:v>142.11000000000001</c:v>
                </c:pt>
                <c:pt idx="977">
                  <c:v>142.11000000000001</c:v>
                </c:pt>
                <c:pt idx="978">
                  <c:v>138.18</c:v>
                </c:pt>
                <c:pt idx="979">
                  <c:v>137.94</c:v>
                </c:pt>
                <c:pt idx="980">
                  <c:v>133.65</c:v>
                </c:pt>
                <c:pt idx="981">
                  <c:v>133.9</c:v>
                </c:pt>
                <c:pt idx="982">
                  <c:v>133.9</c:v>
                </c:pt>
                <c:pt idx="983">
                  <c:v>133.9</c:v>
                </c:pt>
                <c:pt idx="984">
                  <c:v>133.9</c:v>
                </c:pt>
                <c:pt idx="985">
                  <c:v>134.88</c:v>
                </c:pt>
                <c:pt idx="986">
                  <c:v>130.13</c:v>
                </c:pt>
                <c:pt idx="987">
                  <c:v>133.32</c:v>
                </c:pt>
                <c:pt idx="988">
                  <c:v>132.22</c:v>
                </c:pt>
                <c:pt idx="989">
                  <c:v>132.22</c:v>
                </c:pt>
                <c:pt idx="990">
                  <c:v>132.22</c:v>
                </c:pt>
                <c:pt idx="991">
                  <c:v>132.22</c:v>
                </c:pt>
                <c:pt idx="992">
                  <c:v>132.41</c:v>
                </c:pt>
                <c:pt idx="993">
                  <c:v>133.79</c:v>
                </c:pt>
                <c:pt idx="994">
                  <c:v>129.93</c:v>
                </c:pt>
                <c:pt idx="995">
                  <c:v>129.24</c:v>
                </c:pt>
                <c:pt idx="996">
                  <c:v>130.83000000000001</c:v>
                </c:pt>
                <c:pt idx="997">
                  <c:v>130.83000000000001</c:v>
                </c:pt>
                <c:pt idx="998">
                  <c:v>130.83000000000001</c:v>
                </c:pt>
                <c:pt idx="999">
                  <c:v>134.59</c:v>
                </c:pt>
                <c:pt idx="1000">
                  <c:v>140.27000000000001</c:v>
                </c:pt>
                <c:pt idx="1001">
                  <c:v>141.93</c:v>
                </c:pt>
                <c:pt idx="1002">
                  <c:v>141.28</c:v>
                </c:pt>
                <c:pt idx="1003">
                  <c:v>137.97999999999999</c:v>
                </c:pt>
                <c:pt idx="1004">
                  <c:v>137.97999999999999</c:v>
                </c:pt>
                <c:pt idx="1005">
                  <c:v>137.97999999999999</c:v>
                </c:pt>
                <c:pt idx="1006">
                  <c:v>139.16</c:v>
                </c:pt>
                <c:pt idx="1007">
                  <c:v>138.19999999999999</c:v>
                </c:pt>
                <c:pt idx="1008">
                  <c:v>137.41999999999999</c:v>
                </c:pt>
                <c:pt idx="1009">
                  <c:v>140.38</c:v>
                </c:pt>
                <c:pt idx="1010">
                  <c:v>143.94</c:v>
                </c:pt>
                <c:pt idx="1011">
                  <c:v>143.94</c:v>
                </c:pt>
                <c:pt idx="1012">
                  <c:v>143.94</c:v>
                </c:pt>
                <c:pt idx="1013">
                  <c:v>145.25</c:v>
                </c:pt>
                <c:pt idx="1014">
                  <c:v>144.19</c:v>
                </c:pt>
                <c:pt idx="1015">
                  <c:v>140.62</c:v>
                </c:pt>
                <c:pt idx="1016">
                  <c:v>140.28</c:v>
                </c:pt>
                <c:pt idx="1017">
                  <c:v>143.07</c:v>
                </c:pt>
                <c:pt idx="1018">
                  <c:v>143.07</c:v>
                </c:pt>
                <c:pt idx="1019">
                  <c:v>143.07</c:v>
                </c:pt>
                <c:pt idx="1020">
                  <c:v>142.06</c:v>
                </c:pt>
                <c:pt idx="1021">
                  <c:v>142.06</c:v>
                </c:pt>
                <c:pt idx="1022">
                  <c:v>140.05000000000001</c:v>
                </c:pt>
                <c:pt idx="1023">
                  <c:v>139.13</c:v>
                </c:pt>
                <c:pt idx="1024">
                  <c:v>138.91999999999999</c:v>
                </c:pt>
                <c:pt idx="1025">
                  <c:v>138.91999999999999</c:v>
                </c:pt>
                <c:pt idx="1026">
                  <c:v>138.91999999999999</c:v>
                </c:pt>
                <c:pt idx="1027">
                  <c:v>138.47999999999999</c:v>
                </c:pt>
                <c:pt idx="1028">
                  <c:v>139.84</c:v>
                </c:pt>
                <c:pt idx="1029">
                  <c:v>140.04</c:v>
                </c:pt>
                <c:pt idx="1030">
                  <c:v>137.15</c:v>
                </c:pt>
                <c:pt idx="1031">
                  <c:v>141.38999999999999</c:v>
                </c:pt>
                <c:pt idx="1032">
                  <c:v>141.38999999999999</c:v>
                </c:pt>
                <c:pt idx="1033">
                  <c:v>141.38999999999999</c:v>
                </c:pt>
                <c:pt idx="1034">
                  <c:v>137.22</c:v>
                </c:pt>
                <c:pt idx="1035">
                  <c:v>125.53</c:v>
                </c:pt>
                <c:pt idx="1036">
                  <c:v>138.22</c:v>
                </c:pt>
                <c:pt idx="1037">
                  <c:v>136.34</c:v>
                </c:pt>
                <c:pt idx="1038">
                  <c:v>131.34</c:v>
                </c:pt>
                <c:pt idx="1039">
                  <c:v>131.34</c:v>
                </c:pt>
                <c:pt idx="1040">
                  <c:v>131.34</c:v>
                </c:pt>
                <c:pt idx="1041">
                  <c:v>130</c:v>
                </c:pt>
                <c:pt idx="1042">
                  <c:v>135.79</c:v>
                </c:pt>
                <c:pt idx="1043">
                  <c:v>141.38999999999999</c:v>
                </c:pt>
                <c:pt idx="1044">
                  <c:v>139.86000000000001</c:v>
                </c:pt>
              </c:numCache>
            </c:numRef>
          </c:val>
          <c:smooth val="0"/>
          <c:extLst>
            <c:ext xmlns:c16="http://schemas.microsoft.com/office/drawing/2014/chart" uri="{C3380CC4-5D6E-409C-BE32-E72D297353CC}">
              <c16:uniqueId val="{00000001-D1DC-4E4A-A246-46D1BC992423}"/>
            </c:ext>
          </c:extLst>
        </c:ser>
        <c:dLbls>
          <c:showLegendKey val="0"/>
          <c:showVal val="0"/>
          <c:showCatName val="0"/>
          <c:showSerName val="0"/>
          <c:showPercent val="0"/>
          <c:showBubbleSize val="0"/>
        </c:dLbls>
        <c:marker val="1"/>
        <c:smooth val="0"/>
        <c:axId val="33539583"/>
        <c:axId val="33533343"/>
      </c:lineChart>
      <c:dateAx>
        <c:axId val="33469023"/>
        <c:scaling>
          <c:orientation val="minMax"/>
        </c:scaling>
        <c:delete val="0"/>
        <c:axPos val="b"/>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PT"/>
          </a:p>
        </c:txPr>
        <c:crossAx val="33476223"/>
        <c:crosses val="autoZero"/>
        <c:auto val="1"/>
        <c:lblOffset val="100"/>
        <c:baseTimeUnit val="days"/>
      </c:dateAx>
      <c:valAx>
        <c:axId val="33476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PT"/>
          </a:p>
        </c:txPr>
        <c:crossAx val="33469023"/>
        <c:crosses val="autoZero"/>
        <c:crossBetween val="between"/>
      </c:valAx>
      <c:valAx>
        <c:axId val="33533343"/>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PT"/>
          </a:p>
        </c:txPr>
        <c:crossAx val="33539583"/>
        <c:crosses val="max"/>
        <c:crossBetween val="between"/>
      </c:valAx>
      <c:dateAx>
        <c:axId val="33539583"/>
        <c:scaling>
          <c:orientation val="minMax"/>
        </c:scaling>
        <c:delete val="1"/>
        <c:axPos val="b"/>
        <c:numFmt formatCode="m/d/yy;@" sourceLinked="1"/>
        <c:majorTickMark val="out"/>
        <c:minorTickMark val="none"/>
        <c:tickLblPos val="nextTo"/>
        <c:crossAx val="33533343"/>
        <c:crosses val="autoZero"/>
        <c:auto val="1"/>
        <c:lblOffset val="100"/>
        <c:baseTimeUnit val="day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49352580927384"/>
          <c:y val="0.14155876348789734"/>
          <c:w val="0.46233792650918637"/>
          <c:h val="0.7863269174686498"/>
        </c:manualLayout>
      </c:layout>
      <c:radarChart>
        <c:radarStyle val="filled"/>
        <c:varyColors val="0"/>
        <c:ser>
          <c:idx val="0"/>
          <c:order val="0"/>
          <c:spPr>
            <a:solidFill>
              <a:schemeClr val="accent1"/>
            </a:solidFill>
            <a:ln>
              <a:noFill/>
            </a:ln>
            <a:effectLst/>
          </c:spPr>
          <c:cat>
            <c:strRef>
              <c:f>Industry!$O$34:$O$38</c:f>
              <c:strCache>
                <c:ptCount val="5"/>
                <c:pt idx="0">
                  <c:v>Rivalry Among Existing Competitors</c:v>
                </c:pt>
                <c:pt idx="1">
                  <c:v>Threat of New Entrants</c:v>
                </c:pt>
                <c:pt idx="2">
                  <c:v>Threat of Substitutes</c:v>
                </c:pt>
                <c:pt idx="3">
                  <c:v>Bargaining Power of Customers</c:v>
                </c:pt>
                <c:pt idx="4">
                  <c:v>Bargaining Power of Suppliers</c:v>
                </c:pt>
              </c:strCache>
            </c:strRef>
          </c:cat>
          <c:val>
            <c:numRef>
              <c:f>Industry!$R$34:$R$38</c:f>
              <c:numCache>
                <c:formatCode>General</c:formatCode>
                <c:ptCount val="5"/>
                <c:pt idx="0">
                  <c:v>5</c:v>
                </c:pt>
                <c:pt idx="1">
                  <c:v>2</c:v>
                </c:pt>
                <c:pt idx="2">
                  <c:v>3</c:v>
                </c:pt>
                <c:pt idx="3">
                  <c:v>3</c:v>
                </c:pt>
                <c:pt idx="4">
                  <c:v>4</c:v>
                </c:pt>
              </c:numCache>
            </c:numRef>
          </c:val>
          <c:extLst>
            <c:ext xmlns:c16="http://schemas.microsoft.com/office/drawing/2014/chart" uri="{C3380CC4-5D6E-409C-BE32-E72D297353CC}">
              <c16:uniqueId val="{00000000-9C6F-43F2-8467-1824FEFC1A17}"/>
            </c:ext>
          </c:extLst>
        </c:ser>
        <c:dLbls>
          <c:showLegendKey val="0"/>
          <c:showVal val="0"/>
          <c:showCatName val="0"/>
          <c:showSerName val="0"/>
          <c:showPercent val="0"/>
          <c:showBubbleSize val="0"/>
        </c:dLbls>
        <c:axId val="936468056"/>
        <c:axId val="936462480"/>
      </c:radarChart>
      <c:catAx>
        <c:axId val="936468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PT"/>
          </a:p>
        </c:txPr>
        <c:crossAx val="936462480"/>
        <c:crosses val="autoZero"/>
        <c:auto val="1"/>
        <c:lblAlgn val="ctr"/>
        <c:lblOffset val="100"/>
        <c:noMultiLvlLbl val="0"/>
      </c:catAx>
      <c:valAx>
        <c:axId val="9364624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364680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P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11471037341324E-2"/>
          <c:y val="9.4264761848210116E-2"/>
          <c:w val="0.90807390123367093"/>
          <c:h val="0.65465561310556841"/>
        </c:manualLayout>
      </c:layout>
      <c:lineChart>
        <c:grouping val="standard"/>
        <c:varyColors val="0"/>
        <c:ser>
          <c:idx val="0"/>
          <c:order val="0"/>
          <c:tx>
            <c:strRef>
              <c:f>'Stock Data'!$U$4</c:f>
              <c:strCache>
                <c:ptCount val="1"/>
                <c:pt idx="0">
                  <c:v>MIDD US Equity</c:v>
                </c:pt>
              </c:strCache>
            </c:strRef>
          </c:tx>
          <c:spPr>
            <a:ln w="28575" cap="rnd">
              <a:solidFill>
                <a:schemeClr val="accent1"/>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Data'!$U$5:$U$159</c:f>
              <c:numCache>
                <c:formatCode>General</c:formatCode>
                <c:ptCount val="155"/>
                <c:pt idx="0">
                  <c:v>1.1079119283813212</c:v>
                </c:pt>
                <c:pt idx="1">
                  <c:v>1.1079119283813212</c:v>
                </c:pt>
                <c:pt idx="2">
                  <c:v>1.098959593515606</c:v>
                </c:pt>
                <c:pt idx="3">
                  <c:v>1.0695217356238409</c:v>
                </c:pt>
                <c:pt idx="4">
                  <c:v>1.0509718525687557</c:v>
                </c:pt>
                <c:pt idx="5">
                  <c:v>1.1671102508266797</c:v>
                </c:pt>
                <c:pt idx="6">
                  <c:v>1.1850955722235665</c:v>
                </c:pt>
                <c:pt idx="7">
                  <c:v>1.2055810952496169</c:v>
                </c:pt>
                <c:pt idx="8">
                  <c:v>1.1597709492701025</c:v>
                </c:pt>
                <c:pt idx="9">
                  <c:v>1.1941285587547383</c:v>
                </c:pt>
                <c:pt idx="10">
                  <c:v>1.1883216388418421</c:v>
                </c:pt>
                <c:pt idx="11">
                  <c:v>1.1547705460117752</c:v>
                </c:pt>
                <c:pt idx="12">
                  <c:v>1.1366239212839746</c:v>
                </c:pt>
                <c:pt idx="13">
                  <c:v>1.200338736994919</c:v>
                </c:pt>
                <c:pt idx="14">
                  <c:v>1.1926768287765142</c:v>
                </c:pt>
                <c:pt idx="15">
                  <c:v>1.2143721267844181</c:v>
                </c:pt>
                <c:pt idx="16">
                  <c:v>1.2267924832647796</c:v>
                </c:pt>
                <c:pt idx="17">
                  <c:v>1.2090491168642632</c:v>
                </c:pt>
                <c:pt idx="18">
                  <c:v>1.0918622469553996</c:v>
                </c:pt>
                <c:pt idx="19">
                  <c:v>1.0708928139366078</c:v>
                </c:pt>
                <c:pt idx="20">
                  <c:v>1.0278248245826276</c:v>
                </c:pt>
                <c:pt idx="21">
                  <c:v>1.0443584160012906</c:v>
                </c:pt>
                <c:pt idx="22">
                  <c:v>1.0092749415275426</c:v>
                </c:pt>
                <c:pt idx="23">
                  <c:v>1.2317928865231067</c:v>
                </c:pt>
                <c:pt idx="24">
                  <c:v>1.2634083393822084</c:v>
                </c:pt>
                <c:pt idx="25">
                  <c:v>1.237519154770546</c:v>
                </c:pt>
                <c:pt idx="26">
                  <c:v>1.2514718928945883</c:v>
                </c:pt>
                <c:pt idx="27">
                  <c:v>1.2826840874264054</c:v>
                </c:pt>
                <c:pt idx="28">
                  <c:v>1.3650294378578918</c:v>
                </c:pt>
                <c:pt idx="29">
                  <c:v>1.3839825792402614</c:v>
                </c:pt>
                <c:pt idx="30">
                  <c:v>1.3268812000967822</c:v>
                </c:pt>
                <c:pt idx="31">
                  <c:v>1.3673683361561415</c:v>
                </c:pt>
                <c:pt idx="32">
                  <c:v>1.3943866440842003</c:v>
                </c:pt>
                <c:pt idx="33">
                  <c:v>1.1596902976046455</c:v>
                </c:pt>
                <c:pt idx="34">
                  <c:v>1.1234776998145013</c:v>
                </c:pt>
                <c:pt idx="35">
                  <c:v>1.082587305427857</c:v>
                </c:pt>
                <c:pt idx="36">
                  <c:v>1.0924268086135978</c:v>
                </c:pt>
                <c:pt idx="37">
                  <c:v>1.1036373901121059</c:v>
                </c:pt>
                <c:pt idx="38">
                  <c:v>1.0965400435518995</c:v>
                </c:pt>
                <c:pt idx="39">
                  <c:v>1.1634002742156626</c:v>
                </c:pt>
                <c:pt idx="40">
                  <c:v>1.1472699411242842</c:v>
                </c:pt>
                <c:pt idx="41">
                  <c:v>1.146705379466086</c:v>
                </c:pt>
                <c:pt idx="42">
                  <c:v>1.0995241551738044</c:v>
                </c:pt>
                <c:pt idx="43">
                  <c:v>1.1076699733849504</c:v>
                </c:pt>
                <c:pt idx="44">
                  <c:v>1.1056536817485281</c:v>
                </c:pt>
                <c:pt idx="45">
                  <c:v>1.1129929833051053</c:v>
                </c:pt>
                <c:pt idx="46">
                  <c:v>1.1037986934430197</c:v>
                </c:pt>
                <c:pt idx="47">
                  <c:v>1.1116219049923382</c:v>
                </c:pt>
                <c:pt idx="48">
                  <c:v>1.0646019840309704</c:v>
                </c:pt>
                <c:pt idx="49">
                  <c:v>1.1148479716106137</c:v>
                </c:pt>
                <c:pt idx="50">
                  <c:v>1.1679974191467053</c:v>
                </c:pt>
                <c:pt idx="51">
                  <c:v>1.1225905314944753</c:v>
                </c:pt>
                <c:pt idx="52">
                  <c:v>1.0458101459795144</c:v>
                </c:pt>
                <c:pt idx="53">
                  <c:v>1.1115412533268811</c:v>
                </c:pt>
                <c:pt idx="54">
                  <c:v>1.1343656746511817</c:v>
                </c:pt>
                <c:pt idx="55">
                  <c:v>1.1171062182434066</c:v>
                </c:pt>
                <c:pt idx="56">
                  <c:v>1.101379143479313</c:v>
                </c:pt>
                <c:pt idx="57">
                  <c:v>1.1137994999596741</c:v>
                </c:pt>
                <c:pt idx="58">
                  <c:v>1.090894426969917</c:v>
                </c:pt>
                <c:pt idx="59">
                  <c:v>1.0375030244374546</c:v>
                </c:pt>
                <c:pt idx="60">
                  <c:v>1.0922655052826842</c:v>
                </c:pt>
                <c:pt idx="61">
                  <c:v>0.967981288813614</c:v>
                </c:pt>
                <c:pt idx="62">
                  <c:v>0.97507863537382056</c:v>
                </c:pt>
                <c:pt idx="63">
                  <c:v>0.9958061133962417</c:v>
                </c:pt>
                <c:pt idx="64">
                  <c:v>1.0189531413823696</c:v>
                </c:pt>
                <c:pt idx="65">
                  <c:v>1.0018549883055086</c:v>
                </c:pt>
                <c:pt idx="66">
                  <c:v>1.0243568029679813</c:v>
                </c:pt>
                <c:pt idx="67">
                  <c:v>0.99274135010887987</c:v>
                </c:pt>
                <c:pt idx="68">
                  <c:v>1.072344543914832</c:v>
                </c:pt>
                <c:pt idx="69">
                  <c:v>1.1050084684248729</c:v>
                </c:pt>
                <c:pt idx="70">
                  <c:v>1.1438825711750948</c:v>
                </c:pt>
                <c:pt idx="71">
                  <c:v>1.1208161948544237</c:v>
                </c:pt>
                <c:pt idx="72">
                  <c:v>1.1723526090813776</c:v>
                </c:pt>
                <c:pt idx="73">
                  <c:v>1.1526736027098958</c:v>
                </c:pt>
                <c:pt idx="74">
                  <c:v>1.2350996048068392</c:v>
                </c:pt>
                <c:pt idx="75">
                  <c:v>1.2508266795709333</c:v>
                </c:pt>
                <c:pt idx="76">
                  <c:v>1.256149689491088</c:v>
                </c:pt>
                <c:pt idx="77">
                  <c:v>1.2209049116864263</c:v>
                </c:pt>
                <c:pt idx="78">
                  <c:v>1.2551012178401484</c:v>
                </c:pt>
                <c:pt idx="79">
                  <c:v>1.2167916767481248</c:v>
                </c:pt>
                <c:pt idx="80">
                  <c:v>1.2378417614323736</c:v>
                </c:pt>
                <c:pt idx="81">
                  <c:v>1.1961448503911607</c:v>
                </c:pt>
                <c:pt idx="82">
                  <c:v>1.1489636260988791</c:v>
                </c:pt>
                <c:pt idx="83">
                  <c:v>1.1396080329058798</c:v>
                </c:pt>
                <c:pt idx="84">
                  <c:v>1.1700943624485847</c:v>
                </c:pt>
                <c:pt idx="85">
                  <c:v>1.146624727800629</c:v>
                </c:pt>
                <c:pt idx="86">
                  <c:v>1.1202516331962256</c:v>
                </c:pt>
                <c:pt idx="87">
                  <c:v>1.1125090733123639</c:v>
                </c:pt>
                <c:pt idx="88">
                  <c:v>1.1722719574159206</c:v>
                </c:pt>
                <c:pt idx="89">
                  <c:v>1.198725703685781</c:v>
                </c:pt>
                <c:pt idx="90">
                  <c:v>1.1691265424631019</c:v>
                </c:pt>
                <c:pt idx="91">
                  <c:v>1.1023469634647955</c:v>
                </c:pt>
                <c:pt idx="92">
                  <c:v>1.0483103476086781</c:v>
                </c:pt>
                <c:pt idx="93">
                  <c:v>1.0035486732801033</c:v>
                </c:pt>
                <c:pt idx="94">
                  <c:v>0.9958061133962417</c:v>
                </c:pt>
                <c:pt idx="95">
                  <c:v>1.0012097749818534</c:v>
                </c:pt>
                <c:pt idx="96">
                  <c:v>0.92313896281958219</c:v>
                </c:pt>
                <c:pt idx="97">
                  <c:v>0.91031534801193648</c:v>
                </c:pt>
                <c:pt idx="98">
                  <c:v>0.93354302766352126</c:v>
                </c:pt>
                <c:pt idx="99">
                  <c:v>1.0125010081458183</c:v>
                </c:pt>
                <c:pt idx="100">
                  <c:v>1.0306476328736189</c:v>
                </c:pt>
                <c:pt idx="101">
                  <c:v>0.99725784337446577</c:v>
                </c:pt>
                <c:pt idx="102">
                  <c:v>1.0297604645535932</c:v>
                </c:pt>
                <c:pt idx="103">
                  <c:v>1.0962980885555287</c:v>
                </c:pt>
                <c:pt idx="104">
                  <c:v>1.1049278167594161</c:v>
                </c:pt>
                <c:pt idx="105">
                  <c:v>1.1341237196548108</c:v>
                </c:pt>
                <c:pt idx="106">
                  <c:v>1.1758206306960239</c:v>
                </c:pt>
                <c:pt idx="107">
                  <c:v>1.1258972497782078</c:v>
                </c:pt>
                <c:pt idx="108">
                  <c:v>1.1846116622308251</c:v>
                </c:pt>
                <c:pt idx="109">
                  <c:v>1.1849342688926525</c:v>
                </c:pt>
                <c:pt idx="110">
                  <c:v>1.2000161303330914</c:v>
                </c:pt>
                <c:pt idx="111">
                  <c:v>1.1769497540124205</c:v>
                </c:pt>
                <c:pt idx="112">
                  <c:v>1.1417049762077587</c:v>
                </c:pt>
                <c:pt idx="113">
                  <c:v>1.172110654085007</c:v>
                </c:pt>
                <c:pt idx="114">
                  <c:v>1.1705782724413258</c:v>
                </c:pt>
                <c:pt idx="115">
                  <c:v>1.1705782724413258</c:v>
                </c:pt>
                <c:pt idx="116">
                  <c:v>1.1567061859827406</c:v>
                </c:pt>
                <c:pt idx="117">
                  <c:v>1.1608194209210421</c:v>
                </c:pt>
                <c:pt idx="118">
                  <c:v>1.1368658762803454</c:v>
                </c:pt>
                <c:pt idx="119">
                  <c:v>1.0905718203080894</c:v>
                </c:pt>
                <c:pt idx="120">
                  <c:v>1.1133155899669327</c:v>
                </c:pt>
                <c:pt idx="121">
                  <c:v>1.1071054117267523</c:v>
                </c:pt>
                <c:pt idx="122">
                  <c:v>1.1753367207032825</c:v>
                </c:pt>
                <c:pt idx="123">
                  <c:v>1.1705782724413258</c:v>
                </c:pt>
                <c:pt idx="124">
                  <c:v>1.1048471650939593</c:v>
                </c:pt>
                <c:pt idx="125">
                  <c:v>1.1424308411968709</c:v>
                </c:pt>
                <c:pt idx="126">
                  <c:v>1.1196870715380274</c:v>
                </c:pt>
                <c:pt idx="127">
                  <c:v>1.1342850229857246</c:v>
                </c:pt>
                <c:pt idx="128">
                  <c:v>1.1244455197999839</c:v>
                </c:pt>
                <c:pt idx="129">
                  <c:v>1.1333978546656989</c:v>
                </c:pt>
                <c:pt idx="130">
                  <c:v>1.155012501008146</c:v>
                </c:pt>
                <c:pt idx="131">
                  <c:v>1.243487378014356</c:v>
                </c:pt>
                <c:pt idx="132">
                  <c:v>1.254052746189209</c:v>
                </c:pt>
                <c:pt idx="133">
                  <c:v>1.2414710863779339</c:v>
                </c:pt>
                <c:pt idx="134">
                  <c:v>1.2565529478183726</c:v>
                </c:pt>
                <c:pt idx="135">
                  <c:v>1.2754254375352851</c:v>
                </c:pt>
                <c:pt idx="136">
                  <c:v>1.2537301395273812</c:v>
                </c:pt>
                <c:pt idx="137">
                  <c:v>1.2199370917009436</c:v>
                </c:pt>
                <c:pt idx="138">
                  <c:v>1.2015485119767724</c:v>
                </c:pt>
                <c:pt idx="139">
                  <c:v>1.1622711508992662</c:v>
                </c:pt>
                <c:pt idx="140">
                  <c:v>1.0779095088313575</c:v>
                </c:pt>
                <c:pt idx="141">
                  <c:v>1.0752480038712799</c:v>
                </c:pt>
                <c:pt idx="142">
                  <c:v>1.0479070892813938</c:v>
                </c:pt>
                <c:pt idx="143">
                  <c:v>1.1446890878296638</c:v>
                </c:pt>
                <c:pt idx="144">
                  <c:v>1.1083151867086054</c:v>
                </c:pt>
                <c:pt idx="145">
                  <c:v>1.1341237196548108</c:v>
                </c:pt>
                <c:pt idx="146">
                  <c:v>1.1295265747237682</c:v>
                </c:pt>
                <c:pt idx="147">
                  <c:v>1.1294459230583112</c:v>
                </c:pt>
                <c:pt idx="148">
                  <c:v>1.1147673199451569</c:v>
                </c:pt>
                <c:pt idx="149">
                  <c:v>1.1403338978949915</c:v>
                </c:pt>
                <c:pt idx="150">
                  <c:v>1.1038793451084765</c:v>
                </c:pt>
                <c:pt idx="151">
                  <c:v>1.0871037986934431</c:v>
                </c:pt>
                <c:pt idx="152">
                  <c:v>1.0867811920316155</c:v>
                </c:pt>
                <c:pt idx="153">
                  <c:v>1.1122671183159933</c:v>
                </c:pt>
                <c:pt idx="154">
                  <c:v>1</c:v>
                </c:pt>
              </c:numCache>
            </c:numRef>
          </c:val>
          <c:smooth val="0"/>
          <c:extLst>
            <c:ext xmlns:c16="http://schemas.microsoft.com/office/drawing/2014/chart" uri="{C3380CC4-5D6E-409C-BE32-E72D297353CC}">
              <c16:uniqueId val="{00000000-FDC8-481D-BAD7-1015841AA028}"/>
            </c:ext>
          </c:extLst>
        </c:ser>
        <c:ser>
          <c:idx val="1"/>
          <c:order val="1"/>
          <c:tx>
            <c:strRef>
              <c:f>'Stock Data'!$V$4</c:f>
              <c:strCache>
                <c:ptCount val="1"/>
                <c:pt idx="0">
                  <c:v>SPX Index</c:v>
                </c:pt>
              </c:strCache>
            </c:strRef>
          </c:tx>
          <c:spPr>
            <a:ln w="19050" cap="rnd">
              <a:solidFill>
                <a:schemeClr val="accent3"/>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Data'!$V$5:$V$159</c:f>
              <c:numCache>
                <c:formatCode>General</c:formatCode>
                <c:ptCount val="155"/>
                <c:pt idx="0">
                  <c:v>2.0610029498525075</c:v>
                </c:pt>
                <c:pt idx="1">
                  <c:v>2.0610029498525075</c:v>
                </c:pt>
                <c:pt idx="2">
                  <c:v>2.0871018253598601</c:v>
                </c:pt>
                <c:pt idx="3">
                  <c:v>2.0746352607181673</c:v>
                </c:pt>
                <c:pt idx="4">
                  <c:v>2.1149510945505359</c:v>
                </c:pt>
                <c:pt idx="5">
                  <c:v>2.0421460731474705</c:v>
                </c:pt>
                <c:pt idx="6">
                  <c:v>2.0678510435380484</c:v>
                </c:pt>
                <c:pt idx="7">
                  <c:v>2.0461401290837715</c:v>
                </c:pt>
                <c:pt idx="8">
                  <c:v>2.0302606072703884</c:v>
                </c:pt>
                <c:pt idx="9">
                  <c:v>2.0140838822720517</c:v>
                </c:pt>
                <c:pt idx="10">
                  <c:v>1.9942014327855035</c:v>
                </c:pt>
                <c:pt idx="11">
                  <c:v>1.9686845432164481</c:v>
                </c:pt>
                <c:pt idx="12">
                  <c:v>1.926859626943465</c:v>
                </c:pt>
                <c:pt idx="13">
                  <c:v>1.9466294053718365</c:v>
                </c:pt>
                <c:pt idx="14">
                  <c:v>1.9218470956151441</c:v>
                </c:pt>
                <c:pt idx="15">
                  <c:v>1.899881562312862</c:v>
                </c:pt>
                <c:pt idx="16">
                  <c:v>1.8956568412180894</c:v>
                </c:pt>
                <c:pt idx="17">
                  <c:v>1.8806041652804579</c:v>
                </c:pt>
                <c:pt idx="18">
                  <c:v>1.7558364938895912</c:v>
                </c:pt>
                <c:pt idx="19">
                  <c:v>1.7339765342559941</c:v>
                </c:pt>
                <c:pt idx="20">
                  <c:v>1.621435003437798</c:v>
                </c:pt>
                <c:pt idx="21">
                  <c:v>1.6705684565395791</c:v>
                </c:pt>
                <c:pt idx="22">
                  <c:v>1.5162153170536963</c:v>
                </c:pt>
                <c:pt idx="23">
                  <c:v>1.7243480382371856</c:v>
                </c:pt>
                <c:pt idx="24">
                  <c:v>1.7998828930733917</c:v>
                </c:pt>
                <c:pt idx="25">
                  <c:v>1.7285124315212812</c:v>
                </c:pt>
                <c:pt idx="26">
                  <c:v>1.7190729034976822</c:v>
                </c:pt>
                <c:pt idx="27">
                  <c:v>1.8056229068245835</c:v>
                </c:pt>
                <c:pt idx="28">
                  <c:v>1.8708053319138553</c:v>
                </c:pt>
                <c:pt idx="29">
                  <c:v>1.966385876194912</c:v>
                </c:pt>
                <c:pt idx="30">
                  <c:v>1.9245920110009538</c:v>
                </c:pt>
                <c:pt idx="31">
                  <c:v>1.9133603921307691</c:v>
                </c:pt>
                <c:pt idx="32">
                  <c:v>1.9041444318761507</c:v>
                </c:pt>
                <c:pt idx="33">
                  <c:v>1.9133240180096256</c:v>
                </c:pt>
                <c:pt idx="34">
                  <c:v>1.8415427950406991</c:v>
                </c:pt>
                <c:pt idx="35">
                  <c:v>1.8784163949697252</c:v>
                </c:pt>
                <c:pt idx="36">
                  <c:v>1.8641444318761504</c:v>
                </c:pt>
                <c:pt idx="37">
                  <c:v>1.9338301505977333</c:v>
                </c:pt>
                <c:pt idx="38">
                  <c:v>1.9518779249007476</c:v>
                </c:pt>
                <c:pt idx="39">
                  <c:v>1.8957287022866902</c:v>
                </c:pt>
                <c:pt idx="40">
                  <c:v>1.8834094084769446</c:v>
                </c:pt>
                <c:pt idx="41">
                  <c:v>1.8562246323774039</c:v>
                </c:pt>
                <c:pt idx="42">
                  <c:v>1.8350823962561271</c:v>
                </c:pt>
                <c:pt idx="43">
                  <c:v>1.8693450440259942</c:v>
                </c:pt>
                <c:pt idx="44">
                  <c:v>1.7945270255284227</c:v>
                </c:pt>
                <c:pt idx="45">
                  <c:v>1.8231995919001043</c:v>
                </c:pt>
                <c:pt idx="46">
                  <c:v>1.8083837913367491</c:v>
                </c:pt>
                <c:pt idx="47">
                  <c:v>1.7885270698871074</c:v>
                </c:pt>
                <c:pt idx="48">
                  <c:v>1.7839093308492469</c:v>
                </c:pt>
                <c:pt idx="49">
                  <c:v>1.7542351453855878</c:v>
                </c:pt>
                <c:pt idx="50">
                  <c:v>1.7694537228025817</c:v>
                </c:pt>
                <c:pt idx="51">
                  <c:v>1.7239913944152419</c:v>
                </c:pt>
                <c:pt idx="52">
                  <c:v>1.6704717546077583</c:v>
                </c:pt>
                <c:pt idx="53">
                  <c:v>1.6819686384101846</c:v>
                </c:pt>
                <c:pt idx="54">
                  <c:v>1.7372209284272628</c:v>
                </c:pt>
                <c:pt idx="55">
                  <c:v>1.7494905405105685</c:v>
                </c:pt>
                <c:pt idx="56">
                  <c:v>1.6862004568944486</c:v>
                </c:pt>
                <c:pt idx="57">
                  <c:v>1.6038254929358793</c:v>
                </c:pt>
                <c:pt idx="58">
                  <c:v>1.667555614700468</c:v>
                </c:pt>
                <c:pt idx="59">
                  <c:v>1.7525530640761195</c:v>
                </c:pt>
                <c:pt idx="60">
                  <c:v>1.8097127775190189</c:v>
                </c:pt>
                <c:pt idx="61">
                  <c:v>1.8145381151995033</c:v>
                </c:pt>
                <c:pt idx="62">
                  <c:v>1.7754022223700845</c:v>
                </c:pt>
                <c:pt idx="63">
                  <c:v>1.7478324128906337</c:v>
                </c:pt>
                <c:pt idx="64">
                  <c:v>1.7662616718788122</c:v>
                </c:pt>
                <c:pt idx="65">
                  <c:v>1.7042766207554285</c:v>
                </c:pt>
                <c:pt idx="66">
                  <c:v>1.6550083172533103</c:v>
                </c:pt>
                <c:pt idx="67">
                  <c:v>1.6740470645640648</c:v>
                </c:pt>
                <c:pt idx="68">
                  <c:v>1.6602390933084925</c:v>
                </c:pt>
                <c:pt idx="69">
                  <c:v>1.6255479406480804</c:v>
                </c:pt>
                <c:pt idx="70">
                  <c:v>1.6050258389336174</c:v>
                </c:pt>
                <c:pt idx="71">
                  <c:v>1.5472921241155986</c:v>
                </c:pt>
                <c:pt idx="72">
                  <c:v>1.5500228447224256</c:v>
                </c:pt>
                <c:pt idx="73">
                  <c:v>1.5715093042340365</c:v>
                </c:pt>
                <c:pt idx="74">
                  <c:v>1.6119857165036486</c:v>
                </c:pt>
                <c:pt idx="75">
                  <c:v>1.6077166367245546</c:v>
                </c:pt>
                <c:pt idx="76">
                  <c:v>1.6155911903652938</c:v>
                </c:pt>
                <c:pt idx="77">
                  <c:v>1.599770222015215</c:v>
                </c:pt>
                <c:pt idx="78">
                  <c:v>1.6163523853882493</c:v>
                </c:pt>
                <c:pt idx="79">
                  <c:v>1.5878519307117349</c:v>
                </c:pt>
                <c:pt idx="80">
                  <c:v>1.5943442677490185</c:v>
                </c:pt>
                <c:pt idx="81">
                  <c:v>1.5566438219442411</c:v>
                </c:pt>
                <c:pt idx="82">
                  <c:v>1.5614629494089203</c:v>
                </c:pt>
                <c:pt idx="83">
                  <c:v>1.5590063654712001</c:v>
                </c:pt>
                <c:pt idx="84">
                  <c:v>1.5504877237341139</c:v>
                </c:pt>
                <c:pt idx="85">
                  <c:v>1.5440557145075076</c:v>
                </c:pt>
                <c:pt idx="86">
                  <c:v>1.4931763035908354</c:v>
                </c:pt>
                <c:pt idx="87">
                  <c:v>1.4796912635571229</c:v>
                </c:pt>
                <c:pt idx="88">
                  <c:v>1.4677348237851264</c:v>
                </c:pt>
                <c:pt idx="89">
                  <c:v>1.4974125579435313</c:v>
                </c:pt>
                <c:pt idx="90">
                  <c:v>1.4915030940182312</c:v>
                </c:pt>
                <c:pt idx="91">
                  <c:v>1.450906026127265</c:v>
                </c:pt>
                <c:pt idx="92">
                  <c:v>1.4086286512742032</c:v>
                </c:pt>
                <c:pt idx="93">
                  <c:v>1.4204032204404817</c:v>
                </c:pt>
                <c:pt idx="94">
                  <c:v>1.4135888393550249</c:v>
                </c:pt>
                <c:pt idx="95">
                  <c:v>1.4028407301439438</c:v>
                </c:pt>
                <c:pt idx="96">
                  <c:v>1.357022645108346</c:v>
                </c:pt>
                <c:pt idx="97">
                  <c:v>1.2783977643223103</c:v>
                </c:pt>
                <c:pt idx="98">
                  <c:v>1.3082130104021115</c:v>
                </c:pt>
                <c:pt idx="99">
                  <c:v>1.3415849357908045</c:v>
                </c:pt>
                <c:pt idx="100">
                  <c:v>1.3424286379665979</c:v>
                </c:pt>
                <c:pt idx="101">
                  <c:v>1.2922234790516114</c:v>
                </c:pt>
                <c:pt idx="102">
                  <c:v>1.2904677623261693</c:v>
                </c:pt>
                <c:pt idx="103">
                  <c:v>1.3477259520482623</c:v>
                </c:pt>
                <c:pt idx="104">
                  <c:v>1.356465500033269</c:v>
                </c:pt>
                <c:pt idx="105">
                  <c:v>1.3758502450817309</c:v>
                </c:pt>
                <c:pt idx="106">
                  <c:v>1.3641670548051543</c:v>
                </c:pt>
                <c:pt idx="107">
                  <c:v>1.322683700401446</c:v>
                </c:pt>
                <c:pt idx="108">
                  <c:v>1.334100738572094</c:v>
                </c:pt>
                <c:pt idx="109">
                  <c:v>1.3549848071506199</c:v>
                </c:pt>
                <c:pt idx="110">
                  <c:v>1.3944604875019406</c:v>
                </c:pt>
                <c:pt idx="111">
                  <c:v>1.3805682347461574</c:v>
                </c:pt>
                <c:pt idx="112">
                  <c:v>1.4054028877503493</c:v>
                </c:pt>
                <c:pt idx="113">
                  <c:v>1.341323219553308</c:v>
                </c:pt>
                <c:pt idx="114">
                  <c:v>1.3259618071727992</c:v>
                </c:pt>
                <c:pt idx="115">
                  <c:v>1.3259618071727992</c:v>
                </c:pt>
                <c:pt idx="116">
                  <c:v>1.3369840530529864</c:v>
                </c:pt>
                <c:pt idx="117">
                  <c:v>1.3219642025417526</c:v>
                </c:pt>
                <c:pt idx="118">
                  <c:v>1.2915554372657307</c:v>
                </c:pt>
                <c:pt idx="119">
                  <c:v>1.2735369396943685</c:v>
                </c:pt>
                <c:pt idx="120">
                  <c:v>1.2129917714640583</c:v>
                </c:pt>
                <c:pt idx="121">
                  <c:v>1.1911202785725377</c:v>
                </c:pt>
                <c:pt idx="122">
                  <c:v>1.1711677423647615</c:v>
                </c:pt>
                <c:pt idx="123">
                  <c:v>1.1634094084769446</c:v>
                </c:pt>
                <c:pt idx="124">
                  <c:v>1.1289382748907668</c:v>
                </c:pt>
                <c:pt idx="125">
                  <c:v>1.1614691596247255</c:v>
                </c:pt>
                <c:pt idx="126">
                  <c:v>1.150146161864839</c:v>
                </c:pt>
                <c:pt idx="127">
                  <c:v>1.1622037394370883</c:v>
                </c:pt>
                <c:pt idx="128">
                  <c:v>1.1187765874864151</c:v>
                </c:pt>
                <c:pt idx="129">
                  <c:v>1.1303870295207044</c:v>
                </c:pt>
                <c:pt idx="130">
                  <c:v>1.0823332667953069</c:v>
                </c:pt>
                <c:pt idx="131">
                  <c:v>1.0781085457005346</c:v>
                </c:pt>
                <c:pt idx="132">
                  <c:v>1.0683451992813895</c:v>
                </c:pt>
                <c:pt idx="133">
                  <c:v>1.0699580810433162</c:v>
                </c:pt>
                <c:pt idx="134">
                  <c:v>1.117030629671524</c:v>
                </c:pt>
                <c:pt idx="135">
                  <c:v>1.1292186217756781</c:v>
                </c:pt>
                <c:pt idx="136">
                  <c:v>1.0736513850999179</c:v>
                </c:pt>
                <c:pt idx="137">
                  <c:v>1.0510027280590857</c:v>
                </c:pt>
                <c:pt idx="138">
                  <c:v>1.0253234857054141</c:v>
                </c:pt>
                <c:pt idx="139">
                  <c:v>0.99414731519063149</c:v>
                </c:pt>
                <c:pt idx="140">
                  <c:v>0.96370483731452516</c:v>
                </c:pt>
                <c:pt idx="141">
                  <c:v>0.96014460931088785</c:v>
                </c:pt>
                <c:pt idx="142">
                  <c:v>0.98231596690842149</c:v>
                </c:pt>
                <c:pt idx="143">
                  <c:v>1.0498999711668551</c:v>
                </c:pt>
                <c:pt idx="144">
                  <c:v>1.0246581054405928</c:v>
                </c:pt>
                <c:pt idx="145">
                  <c:v>1.0205558143145474</c:v>
                </c:pt>
                <c:pt idx="146">
                  <c:v>1.0401969525583872</c:v>
                </c:pt>
                <c:pt idx="147">
                  <c:v>1.053177190764522</c:v>
                </c:pt>
                <c:pt idx="148">
                  <c:v>0.98116973850555589</c:v>
                </c:pt>
                <c:pt idx="149">
                  <c:v>1.001525938740657</c:v>
                </c:pt>
                <c:pt idx="150">
                  <c:v>1.035330804888327</c:v>
                </c:pt>
                <c:pt idx="151">
                  <c:v>0.98899815911460065</c:v>
                </c:pt>
                <c:pt idx="152">
                  <c:v>0.95738017610397674</c:v>
                </c:pt>
                <c:pt idx="153">
                  <c:v>1.0275724710005103</c:v>
                </c:pt>
                <c:pt idx="154">
                  <c:v>1</c:v>
                </c:pt>
              </c:numCache>
            </c:numRef>
          </c:val>
          <c:smooth val="0"/>
          <c:extLst>
            <c:ext xmlns:c16="http://schemas.microsoft.com/office/drawing/2014/chart" uri="{C3380CC4-5D6E-409C-BE32-E72D297353CC}">
              <c16:uniqueId val="{00000001-FDC8-481D-BAD7-1015841AA028}"/>
            </c:ext>
          </c:extLst>
        </c:ser>
        <c:ser>
          <c:idx val="2"/>
          <c:order val="2"/>
          <c:tx>
            <c:strRef>
              <c:f>'Stock Data'!$W$4</c:f>
              <c:strCache>
                <c:ptCount val="1"/>
                <c:pt idx="0">
                  <c:v>DJUSFE Index</c:v>
                </c:pt>
              </c:strCache>
            </c:strRef>
          </c:tx>
          <c:spPr>
            <a:ln w="19050" cap="rnd">
              <a:solidFill>
                <a:schemeClr val="accent1">
                  <a:lumMod val="60000"/>
                  <a:lumOff val="40000"/>
                </a:schemeClr>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Data'!$W$5:$W$159</c:f>
              <c:numCache>
                <c:formatCode>General</c:formatCode>
                <c:ptCount val="155"/>
                <c:pt idx="0">
                  <c:v>1.668993209011534</c:v>
                </c:pt>
                <c:pt idx="1">
                  <c:v>1.668993209011534</c:v>
                </c:pt>
                <c:pt idx="2">
                  <c:v>1.7030424706262801</c:v>
                </c:pt>
                <c:pt idx="3">
                  <c:v>1.6796512881319392</c:v>
                </c:pt>
                <c:pt idx="4">
                  <c:v>1.6750565915705511</c:v>
                </c:pt>
                <c:pt idx="5">
                  <c:v>1.6481621213754447</c:v>
                </c:pt>
                <c:pt idx="6">
                  <c:v>1.673075886601272</c:v>
                </c:pt>
                <c:pt idx="7">
                  <c:v>1.6824000215586934</c:v>
                </c:pt>
                <c:pt idx="8">
                  <c:v>1.6549396356580792</c:v>
                </c:pt>
                <c:pt idx="9">
                  <c:v>1.6698016600194028</c:v>
                </c:pt>
                <c:pt idx="10">
                  <c:v>1.6568933922604292</c:v>
                </c:pt>
                <c:pt idx="11">
                  <c:v>1.6063786784520859</c:v>
                </c:pt>
                <c:pt idx="12">
                  <c:v>1.5649994610326614</c:v>
                </c:pt>
                <c:pt idx="13">
                  <c:v>1.615635442492185</c:v>
                </c:pt>
                <c:pt idx="14">
                  <c:v>1.5936725234450793</c:v>
                </c:pt>
                <c:pt idx="15">
                  <c:v>1.6017705077072331</c:v>
                </c:pt>
                <c:pt idx="16">
                  <c:v>1.6209712191441199</c:v>
                </c:pt>
                <c:pt idx="17">
                  <c:v>1.6245553519456724</c:v>
                </c:pt>
                <c:pt idx="18">
                  <c:v>1.5101325859652905</c:v>
                </c:pt>
                <c:pt idx="19">
                  <c:v>1.4935728144874421</c:v>
                </c:pt>
                <c:pt idx="20">
                  <c:v>1.4378031691279509</c:v>
                </c:pt>
                <c:pt idx="21">
                  <c:v>1.4413603535625743</c:v>
                </c:pt>
                <c:pt idx="22">
                  <c:v>1.340977686752183</c:v>
                </c:pt>
                <c:pt idx="23">
                  <c:v>1.5580737307319177</c:v>
                </c:pt>
                <c:pt idx="24">
                  <c:v>1.6072140778268837</c:v>
                </c:pt>
                <c:pt idx="25">
                  <c:v>1.5749703567963784</c:v>
                </c:pt>
                <c:pt idx="26">
                  <c:v>1.5802522367144551</c:v>
                </c:pt>
                <c:pt idx="27">
                  <c:v>1.593106607739571</c:v>
                </c:pt>
                <c:pt idx="28">
                  <c:v>1.6581869138730194</c:v>
                </c:pt>
                <c:pt idx="29">
                  <c:v>1.7000377277137007</c:v>
                </c:pt>
                <c:pt idx="30">
                  <c:v>1.6857820416082785</c:v>
                </c:pt>
                <c:pt idx="31">
                  <c:v>1.6884768783011748</c:v>
                </c:pt>
                <c:pt idx="32">
                  <c:v>1.6731163091516654</c:v>
                </c:pt>
                <c:pt idx="33">
                  <c:v>1.6887598361539291</c:v>
                </c:pt>
                <c:pt idx="34">
                  <c:v>1.6145036110811686</c:v>
                </c:pt>
                <c:pt idx="35">
                  <c:v>1.595370270561604</c:v>
                </c:pt>
                <c:pt idx="36">
                  <c:v>1.6027137005497467</c:v>
                </c:pt>
                <c:pt idx="37">
                  <c:v>1.63020103481729</c:v>
                </c:pt>
                <c:pt idx="38">
                  <c:v>1.6770372965398299</c:v>
                </c:pt>
                <c:pt idx="39">
                  <c:v>1.7302333728576047</c:v>
                </c:pt>
                <c:pt idx="40">
                  <c:v>1.7571413172361754</c:v>
                </c:pt>
                <c:pt idx="41">
                  <c:v>1.7673682224857175</c:v>
                </c:pt>
                <c:pt idx="42">
                  <c:v>1.7122992346663792</c:v>
                </c:pt>
                <c:pt idx="43">
                  <c:v>1.7350436563544251</c:v>
                </c:pt>
                <c:pt idx="44">
                  <c:v>1.6686428802414575</c:v>
                </c:pt>
                <c:pt idx="45">
                  <c:v>1.6406031044518701</c:v>
                </c:pt>
                <c:pt idx="46">
                  <c:v>1.6522986956990406</c:v>
                </c:pt>
                <c:pt idx="47">
                  <c:v>1.6700980920556214</c:v>
                </c:pt>
                <c:pt idx="48">
                  <c:v>1.6379756386762965</c:v>
                </c:pt>
                <c:pt idx="49">
                  <c:v>1.6575940498005821</c:v>
                </c:pt>
                <c:pt idx="50">
                  <c:v>1.6468416513959254</c:v>
                </c:pt>
                <c:pt idx="51">
                  <c:v>1.6025924328985666</c:v>
                </c:pt>
                <c:pt idx="52">
                  <c:v>1.5380510941036973</c:v>
                </c:pt>
                <c:pt idx="53">
                  <c:v>1.5562008192303547</c:v>
                </c:pt>
                <c:pt idx="54">
                  <c:v>1.578904818368007</c:v>
                </c:pt>
                <c:pt idx="55">
                  <c:v>1.5479276705831626</c:v>
                </c:pt>
                <c:pt idx="56">
                  <c:v>1.5285517947612377</c:v>
                </c:pt>
                <c:pt idx="57">
                  <c:v>1.4921310768567426</c:v>
                </c:pt>
                <c:pt idx="58">
                  <c:v>1.5864099385577233</c:v>
                </c:pt>
                <c:pt idx="59">
                  <c:v>1.5845639754230894</c:v>
                </c:pt>
                <c:pt idx="60">
                  <c:v>1.6201492939527866</c:v>
                </c:pt>
                <c:pt idx="61">
                  <c:v>1.4837097121914413</c:v>
                </c:pt>
                <c:pt idx="62">
                  <c:v>1.485825158995365</c:v>
                </c:pt>
                <c:pt idx="63">
                  <c:v>1.4970222054543494</c:v>
                </c:pt>
                <c:pt idx="64">
                  <c:v>1.520628974884122</c:v>
                </c:pt>
                <c:pt idx="65">
                  <c:v>1.5108197693219791</c:v>
                </c:pt>
                <c:pt idx="66">
                  <c:v>1.511682117063706</c:v>
                </c:pt>
                <c:pt idx="67">
                  <c:v>1.5348038158887571</c:v>
                </c:pt>
                <c:pt idx="68">
                  <c:v>1.5938476878301178</c:v>
                </c:pt>
                <c:pt idx="69">
                  <c:v>1.5922442599978444</c:v>
                </c:pt>
                <c:pt idx="70">
                  <c:v>1.5748356149617333</c:v>
                </c:pt>
                <c:pt idx="71">
                  <c:v>1.5429961194351625</c:v>
                </c:pt>
                <c:pt idx="72">
                  <c:v>1.5750377277137007</c:v>
                </c:pt>
                <c:pt idx="73">
                  <c:v>1.5668993209011537</c:v>
                </c:pt>
                <c:pt idx="74">
                  <c:v>1.6267246954834538</c:v>
                </c:pt>
                <c:pt idx="75">
                  <c:v>1.6108655815457584</c:v>
                </c:pt>
                <c:pt idx="76">
                  <c:v>1.6210251158779778</c:v>
                </c:pt>
                <c:pt idx="77">
                  <c:v>1.6029562358521074</c:v>
                </c:pt>
                <c:pt idx="78">
                  <c:v>1.599062196830872</c:v>
                </c:pt>
                <c:pt idx="79">
                  <c:v>1.5623450468901585</c:v>
                </c:pt>
                <c:pt idx="80">
                  <c:v>1.5626549531098417</c:v>
                </c:pt>
                <c:pt idx="81">
                  <c:v>1.5253449390966907</c:v>
                </c:pt>
                <c:pt idx="82">
                  <c:v>1.4993128166433114</c:v>
                </c:pt>
                <c:pt idx="83">
                  <c:v>1.505147138083432</c:v>
                </c:pt>
                <c:pt idx="84">
                  <c:v>1.479424921849736</c:v>
                </c:pt>
                <c:pt idx="85">
                  <c:v>1.4585668858467178</c:v>
                </c:pt>
                <c:pt idx="86">
                  <c:v>1.4274010994933706</c:v>
                </c:pt>
                <c:pt idx="87">
                  <c:v>1.4278457475476987</c:v>
                </c:pt>
                <c:pt idx="88">
                  <c:v>1.4514120944270779</c:v>
                </c:pt>
                <c:pt idx="89">
                  <c:v>1.469144119866336</c:v>
                </c:pt>
                <c:pt idx="90">
                  <c:v>1.4497682440444111</c:v>
                </c:pt>
                <c:pt idx="91">
                  <c:v>1.3991592109518165</c:v>
                </c:pt>
                <c:pt idx="92">
                  <c:v>1.3683302791850813</c:v>
                </c:pt>
                <c:pt idx="93">
                  <c:v>1.3379055729222811</c:v>
                </c:pt>
                <c:pt idx="94">
                  <c:v>1.3433626172253963</c:v>
                </c:pt>
                <c:pt idx="95">
                  <c:v>1.3315727066939744</c:v>
                </c:pt>
                <c:pt idx="96">
                  <c:v>1.2741726851352808</c:v>
                </c:pt>
                <c:pt idx="97">
                  <c:v>1.2275789587151018</c:v>
                </c:pt>
                <c:pt idx="98">
                  <c:v>1.23009863102296</c:v>
                </c:pt>
                <c:pt idx="99">
                  <c:v>1.308329740217743</c:v>
                </c:pt>
                <c:pt idx="100">
                  <c:v>1.3019160288886493</c:v>
                </c:pt>
                <c:pt idx="101">
                  <c:v>1.2692411339872804</c:v>
                </c:pt>
                <c:pt idx="102">
                  <c:v>1.2717473321116741</c:v>
                </c:pt>
                <c:pt idx="103">
                  <c:v>1.3180715748625633</c:v>
                </c:pt>
                <c:pt idx="104">
                  <c:v>1.3351298911285976</c:v>
                </c:pt>
                <c:pt idx="105">
                  <c:v>1.3628867090654306</c:v>
                </c:pt>
                <c:pt idx="106">
                  <c:v>1.3878139484747225</c:v>
                </c:pt>
                <c:pt idx="107">
                  <c:v>1.3319904063813732</c:v>
                </c:pt>
                <c:pt idx="108">
                  <c:v>1.3544922927670584</c:v>
                </c:pt>
                <c:pt idx="109">
                  <c:v>1.3943893500053897</c:v>
                </c:pt>
                <c:pt idx="110">
                  <c:v>1.4063813732887787</c:v>
                </c:pt>
                <c:pt idx="111">
                  <c:v>1.3987415112644173</c:v>
                </c:pt>
                <c:pt idx="112">
                  <c:v>1.4143850382666812</c:v>
                </c:pt>
                <c:pt idx="113">
                  <c:v>1.3996981782903957</c:v>
                </c:pt>
                <c:pt idx="114">
                  <c:v>1.3658240810606876</c:v>
                </c:pt>
                <c:pt idx="115">
                  <c:v>1.3658240810606876</c:v>
                </c:pt>
                <c:pt idx="116">
                  <c:v>1.3424733211167403</c:v>
                </c:pt>
                <c:pt idx="117">
                  <c:v>1.3392934138191226</c:v>
                </c:pt>
                <c:pt idx="118">
                  <c:v>1.2736606661636305</c:v>
                </c:pt>
                <c:pt idx="119">
                  <c:v>1.2317020588552334</c:v>
                </c:pt>
                <c:pt idx="120">
                  <c:v>1.2313382559016925</c:v>
                </c:pt>
                <c:pt idx="121">
                  <c:v>1.2248841220222055</c:v>
                </c:pt>
                <c:pt idx="122">
                  <c:v>1.2533685458661206</c:v>
                </c:pt>
                <c:pt idx="123">
                  <c:v>1.2511048830440876</c:v>
                </c:pt>
                <c:pt idx="124">
                  <c:v>1.2271882073946319</c:v>
                </c:pt>
                <c:pt idx="125">
                  <c:v>1.2414304193165895</c:v>
                </c:pt>
                <c:pt idx="126">
                  <c:v>1.2203028996442815</c:v>
                </c:pt>
                <c:pt idx="127">
                  <c:v>1.2256252021127521</c:v>
                </c:pt>
                <c:pt idx="128">
                  <c:v>1.2298695699040638</c:v>
                </c:pt>
                <c:pt idx="129">
                  <c:v>1.2308666594804356</c:v>
                </c:pt>
                <c:pt idx="130">
                  <c:v>1.247062628004743</c:v>
                </c:pt>
                <c:pt idx="131">
                  <c:v>1.287956774819446</c:v>
                </c:pt>
                <c:pt idx="132">
                  <c:v>1.2728117926053681</c:v>
                </c:pt>
                <c:pt idx="133">
                  <c:v>1.2580575617117602</c:v>
                </c:pt>
                <c:pt idx="134">
                  <c:v>1.2931982321871296</c:v>
                </c:pt>
                <c:pt idx="135">
                  <c:v>1.291702597822572</c:v>
                </c:pt>
                <c:pt idx="136">
                  <c:v>1.2621402393014984</c:v>
                </c:pt>
                <c:pt idx="137">
                  <c:v>1.2311361431497252</c:v>
                </c:pt>
                <c:pt idx="138">
                  <c:v>1.2472243182063167</c:v>
                </c:pt>
                <c:pt idx="139">
                  <c:v>1.2230112105206425</c:v>
                </c:pt>
                <c:pt idx="140">
                  <c:v>1.1766600194028243</c:v>
                </c:pt>
                <c:pt idx="141">
                  <c:v>1.1764309582839281</c:v>
                </c:pt>
                <c:pt idx="142">
                  <c:v>1.1547375229061119</c:v>
                </c:pt>
                <c:pt idx="143">
                  <c:v>1.2125282957852754</c:v>
                </c:pt>
                <c:pt idx="144">
                  <c:v>1.182103589522475</c:v>
                </c:pt>
                <c:pt idx="145">
                  <c:v>1.1853239193704863</c:v>
                </c:pt>
                <c:pt idx="146">
                  <c:v>1.2125282957852754</c:v>
                </c:pt>
                <c:pt idx="147">
                  <c:v>1.2136062304624342</c:v>
                </c:pt>
                <c:pt idx="148">
                  <c:v>1.1683733965721679</c:v>
                </c:pt>
                <c:pt idx="149">
                  <c:v>1.1538078042470625</c:v>
                </c:pt>
                <c:pt idx="150">
                  <c:v>1.1093025762638784</c:v>
                </c:pt>
                <c:pt idx="151">
                  <c:v>1.0680042039452409</c:v>
                </c:pt>
                <c:pt idx="152">
                  <c:v>1.0305863964643742</c:v>
                </c:pt>
                <c:pt idx="153">
                  <c:v>1.0682063166972082</c:v>
                </c:pt>
                <c:pt idx="154">
                  <c:v>1</c:v>
                </c:pt>
              </c:numCache>
            </c:numRef>
          </c:val>
          <c:smooth val="0"/>
          <c:extLst>
            <c:ext xmlns:c16="http://schemas.microsoft.com/office/drawing/2014/chart" uri="{C3380CC4-5D6E-409C-BE32-E72D297353CC}">
              <c16:uniqueId val="{00000002-FDC8-481D-BAD7-1015841AA028}"/>
            </c:ext>
          </c:extLst>
        </c:ser>
        <c:dLbls>
          <c:showLegendKey val="0"/>
          <c:showVal val="0"/>
          <c:showCatName val="0"/>
          <c:showSerName val="0"/>
          <c:showPercent val="0"/>
          <c:showBubbleSize val="0"/>
        </c:dLbls>
        <c:smooth val="0"/>
        <c:axId val="1007329848"/>
        <c:axId val="1007330176"/>
      </c:lineChart>
      <c:dateAx>
        <c:axId val="1007329848"/>
        <c:scaling>
          <c:orientation val="minMax"/>
        </c:scaling>
        <c:delete val="0"/>
        <c:axPos val="b"/>
        <c:numFmt formatCode="[$-409]mm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PT"/>
          </a:p>
        </c:txPr>
        <c:crossAx val="1007330176"/>
        <c:crosses val="autoZero"/>
        <c:auto val="1"/>
        <c:lblOffset val="100"/>
        <c:baseTimeUnit val="days"/>
      </c:dateAx>
      <c:valAx>
        <c:axId val="1007330176"/>
        <c:scaling>
          <c:orientation val="minMax"/>
          <c:min val="0.8"/>
        </c:scaling>
        <c:delete val="0"/>
        <c:axPos val="l"/>
        <c:majorGridlines>
          <c:spPr>
            <a:ln w="381" cap="flat" cmpd="sng" algn="ctr">
              <a:solidFill>
                <a:schemeClr val="bg1">
                  <a:lumMod val="95000"/>
                </a:schemeClr>
              </a:solidFill>
              <a:round/>
            </a:ln>
            <a:effectLst/>
          </c:spPr>
        </c:majorGridlines>
        <c:numFmt formatCode="0.0\x" sourceLinked="0"/>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PT"/>
          </a:p>
        </c:txPr>
        <c:crossAx val="1007329848"/>
        <c:crosses val="autoZero"/>
        <c:crossBetween val="between"/>
      </c:valAx>
      <c:spPr>
        <a:noFill/>
        <a:ln>
          <a:noFill/>
        </a:ln>
        <a:effectLst/>
      </c:spPr>
    </c:plotArea>
    <c:legend>
      <c:legendPos val="b"/>
      <c:layout>
        <c:manualLayout>
          <c:xMode val="edge"/>
          <c:yMode val="edge"/>
          <c:x val="0.1907301633466815"/>
          <c:y val="0.87846323471858223"/>
          <c:w val="0.61853944889233592"/>
          <c:h val="0.11296724147703503"/>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PT"/>
        </a:p>
      </c:txPr>
    </c:legend>
    <c:plotVisOnly val="1"/>
    <c:dispBlanksAs val="gap"/>
    <c:showDLblsOverMax val="0"/>
  </c:chart>
  <c:spPr>
    <a:noFill/>
    <a:ln w="9525" cap="flat" cmpd="sng" algn="ctr">
      <a:noFill/>
      <a:round/>
    </a:ln>
    <a:effectLst/>
  </c:spPr>
  <c:txPr>
    <a:bodyPr/>
    <a:lstStyle/>
    <a:p>
      <a:pPr>
        <a:defRPr sz="600">
          <a:solidFill>
            <a:sysClr val="windowText" lastClr="000000"/>
          </a:solidFill>
          <a:latin typeface="Arial Nova" panose="020B0504020202020204" pitchFamily="34" charset="0"/>
        </a:defRPr>
      </a:pPr>
      <a:endParaRPr lang="en-P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Nova Light" panose="020B0504020202020204" pitchFamily="34" charset="0"/>
                <a:ea typeface="+mn-ea"/>
                <a:cs typeface="+mn-cs"/>
              </a:defRPr>
            </a:pPr>
            <a:r>
              <a:rPr lang="en-GB" b="1" i="0">
                <a:latin typeface="Arial Nova Light" panose="020B0504020202020204" pitchFamily="34" charset="0"/>
              </a:rPr>
              <a:t>CAGR</a:t>
            </a:r>
            <a:r>
              <a:rPr lang="en-GB" b="1" i="0" baseline="0">
                <a:latin typeface="Arial Nova Light" panose="020B0504020202020204" pitchFamily="34" charset="0"/>
              </a:rPr>
              <a:t> 2025-2029</a:t>
            </a:r>
            <a:endParaRPr lang="en-GB" b="1" i="0">
              <a:latin typeface="Arial Nova Light" panose="020B05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Nova Light" panose="020B0504020202020204" pitchFamily="34" charset="0"/>
              <a:ea typeface="+mn-ea"/>
              <a:cs typeface="+mn-cs"/>
            </a:defRPr>
          </a:pPr>
          <a:endParaRPr lang="en-GB"/>
        </a:p>
      </c:txPr>
    </c:title>
    <c:autoTitleDeleted val="0"/>
    <c:plotArea>
      <c:layout/>
      <c:barChart>
        <c:barDir val="col"/>
        <c:grouping val="clustered"/>
        <c:varyColors val="0"/>
        <c:ser>
          <c:idx val="0"/>
          <c:order val="0"/>
          <c:tx>
            <c:strRef>
              <c:f>Industry!$X$12</c:f>
              <c:strCache>
                <c:ptCount val="1"/>
                <c:pt idx="0">
                  <c:v>Global</c:v>
                </c:pt>
              </c:strCache>
            </c:strRef>
          </c:tx>
          <c:spPr>
            <a:solidFill>
              <a:schemeClr val="accent1"/>
            </a:solidFill>
            <a:ln>
              <a:noFill/>
            </a:ln>
            <a:effectLst/>
          </c:spPr>
          <c:invertIfNegative val="0"/>
          <c:cat>
            <c:strRef>
              <c:f>Industry!$W$13:$W$15</c:f>
              <c:strCache>
                <c:ptCount val="3"/>
                <c:pt idx="0">
                  <c:v>Commercial Foodservice Machinery</c:v>
                </c:pt>
                <c:pt idx="1">
                  <c:v>Food Processing Machinery</c:v>
                </c:pt>
                <c:pt idx="2">
                  <c:v>Household Kitchen Appliances</c:v>
                </c:pt>
              </c:strCache>
            </c:strRef>
          </c:cat>
          <c:val>
            <c:numRef>
              <c:f>Industry!$X$13:$X$15</c:f>
              <c:numCache>
                <c:formatCode>0%</c:formatCode>
                <c:ptCount val="3"/>
                <c:pt idx="0" formatCode="0.0%">
                  <c:v>5.5618571473524892E-2</c:v>
                </c:pt>
                <c:pt idx="1">
                  <c:v>3.1874004066068329E-2</c:v>
                </c:pt>
                <c:pt idx="2" formatCode="0.0%">
                  <c:v>3.346119748028431E-2</c:v>
                </c:pt>
              </c:numCache>
            </c:numRef>
          </c:val>
          <c:extLst>
            <c:ext xmlns:c16="http://schemas.microsoft.com/office/drawing/2014/chart" uri="{C3380CC4-5D6E-409C-BE32-E72D297353CC}">
              <c16:uniqueId val="{00000000-AE1B-4847-B42A-520B3A6DABBB}"/>
            </c:ext>
          </c:extLst>
        </c:ser>
        <c:ser>
          <c:idx val="1"/>
          <c:order val="1"/>
          <c:tx>
            <c:strRef>
              <c:f>Industry!$Y$12</c:f>
              <c:strCache>
                <c:ptCount val="1"/>
                <c:pt idx="0">
                  <c:v>North America</c:v>
                </c:pt>
              </c:strCache>
            </c:strRef>
          </c:tx>
          <c:spPr>
            <a:solidFill>
              <a:schemeClr val="accent2"/>
            </a:solidFill>
            <a:ln>
              <a:noFill/>
            </a:ln>
            <a:effectLst/>
          </c:spPr>
          <c:invertIfNegative val="0"/>
          <c:cat>
            <c:strRef>
              <c:f>Industry!$W$13:$W$15</c:f>
              <c:strCache>
                <c:ptCount val="3"/>
                <c:pt idx="0">
                  <c:v>Commercial Foodservice Machinery</c:v>
                </c:pt>
                <c:pt idx="1">
                  <c:v>Food Processing Machinery</c:v>
                </c:pt>
                <c:pt idx="2">
                  <c:v>Household Kitchen Appliances</c:v>
                </c:pt>
              </c:strCache>
            </c:strRef>
          </c:cat>
          <c:val>
            <c:numRef>
              <c:f>Industry!$Y$13:$Y$15</c:f>
              <c:numCache>
                <c:formatCode>0.0%</c:formatCode>
                <c:ptCount val="3"/>
                <c:pt idx="0">
                  <c:v>2.551911049074973E-2</c:v>
                </c:pt>
                <c:pt idx="1">
                  <c:v>2.6314009542671934E-2</c:v>
                </c:pt>
                <c:pt idx="2">
                  <c:v>2.1542300661269609E-2</c:v>
                </c:pt>
              </c:numCache>
            </c:numRef>
          </c:val>
          <c:extLst>
            <c:ext xmlns:c16="http://schemas.microsoft.com/office/drawing/2014/chart" uri="{C3380CC4-5D6E-409C-BE32-E72D297353CC}">
              <c16:uniqueId val="{00000001-AE1B-4847-B42A-520B3A6DABBB}"/>
            </c:ext>
          </c:extLst>
        </c:ser>
        <c:dLbls>
          <c:showLegendKey val="0"/>
          <c:showVal val="0"/>
          <c:showCatName val="0"/>
          <c:showSerName val="0"/>
          <c:showPercent val="0"/>
          <c:showBubbleSize val="0"/>
        </c:dLbls>
        <c:gapWidth val="182"/>
        <c:axId val="791375536"/>
        <c:axId val="1431532208"/>
      </c:barChart>
      <c:catAx>
        <c:axId val="79137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Nova Light" panose="020B0504020202020204" pitchFamily="34" charset="0"/>
                <a:ea typeface="+mn-ea"/>
                <a:cs typeface="+mn-cs"/>
              </a:defRPr>
            </a:pPr>
            <a:endParaRPr lang="en-PT"/>
          </a:p>
        </c:txPr>
        <c:crossAx val="1431532208"/>
        <c:crosses val="autoZero"/>
        <c:auto val="1"/>
        <c:lblAlgn val="ctr"/>
        <c:lblOffset val="100"/>
        <c:noMultiLvlLbl val="0"/>
      </c:catAx>
      <c:valAx>
        <c:axId val="14315322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791375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Nova Light" panose="020B0504020202020204" pitchFamily="34" charset="0"/>
              <a:ea typeface="+mn-ea"/>
              <a:cs typeface="+mn-cs"/>
            </a:defRPr>
          </a:pPr>
          <a:endParaRPr lang="en-PT"/>
        </a:p>
      </c:txPr>
    </c:legend>
    <c:plotVisOnly val="1"/>
    <c:dispBlanksAs val="gap"/>
    <c:showDLblsOverMax val="0"/>
  </c:chart>
  <c:spPr>
    <a:solidFill>
      <a:schemeClr val="bg1"/>
    </a:solidFill>
    <a:ln w="9525" cap="flat" cmpd="sng" algn="ctr">
      <a:noFill/>
      <a:round/>
    </a:ln>
    <a:effectLst/>
  </c:spPr>
  <c:txPr>
    <a:bodyPr/>
    <a:lstStyle/>
    <a:p>
      <a:pPr>
        <a:defRPr/>
      </a:pPr>
      <a:endParaRPr lang="en-P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Inputs!$B$135</c:f>
              <c:strCache>
                <c:ptCount val="1"/>
                <c:pt idx="0">
                  <c:v>MIDDLEBY CORP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Inputs!$P$135:$W$135</c:f>
              <c:numCache>
                <c:formatCode>General</c:formatCode>
                <c:ptCount val="8"/>
                <c:pt idx="0">
                  <c:v>0</c:v>
                </c:pt>
                <c:pt idx="1">
                  <c:v>3.5498512448534319E-3</c:v>
                </c:pt>
                <c:pt idx="2">
                  <c:v>1.6675418304642152E-3</c:v>
                </c:pt>
                <c:pt idx="3">
                  <c:v>6.5910489854400095E-3</c:v>
                </c:pt>
                <c:pt idx="4">
                  <c:v>5.4595926161993755E-3</c:v>
                </c:pt>
                <c:pt idx="5">
                  <c:v>1.8654287671779755E-2</c:v>
                </c:pt>
                <c:pt idx="6">
                  <c:v>2.2292495797830107E-2</c:v>
                </c:pt>
                <c:pt idx="7">
                  <c:v>0</c:v>
                </c:pt>
              </c:numCache>
            </c:numRef>
          </c:val>
          <c:smooth val="0"/>
          <c:extLst>
            <c:ext xmlns:c16="http://schemas.microsoft.com/office/drawing/2014/chart" uri="{C3380CC4-5D6E-409C-BE32-E72D297353CC}">
              <c16:uniqueId val="{00000000-1963-4974-94B4-575120D8A498}"/>
            </c:ext>
          </c:extLst>
        </c:ser>
        <c:ser>
          <c:idx val="2"/>
          <c:order val="1"/>
          <c:tx>
            <c:strRef>
              <c:f>Inputs!$B$137</c:f>
              <c:strCache>
                <c:ptCount val="1"/>
                <c:pt idx="0">
                  <c:v>STANLEY BLACK &amp;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Inputs!$P$137:$W$137</c:f>
              <c:numCache>
                <c:formatCode>General</c:formatCode>
                <c:ptCount val="8"/>
                <c:pt idx="0">
                  <c:v>8.4709947094843679E-3</c:v>
                </c:pt>
                <c:pt idx="1">
                  <c:v>7.8068857992905369E-3</c:v>
                </c:pt>
                <c:pt idx="2">
                  <c:v>9.2155906109394493E-3</c:v>
                </c:pt>
                <c:pt idx="3">
                  <c:v>7.8084705882352943E-3</c:v>
                </c:pt>
                <c:pt idx="4">
                  <c:v>7.2171870194289757E-3</c:v>
                </c:pt>
                <c:pt idx="5">
                  <c:v>6.8946269044219168E-3</c:v>
                </c:pt>
                <c:pt idx="6">
                  <c:v>6.5978290486721457E-3</c:v>
                </c:pt>
                <c:pt idx="7">
                  <c:v>6.5759451245306095E-3</c:v>
                </c:pt>
              </c:numCache>
            </c:numRef>
          </c:val>
          <c:smooth val="0"/>
          <c:extLst>
            <c:ext xmlns:c16="http://schemas.microsoft.com/office/drawing/2014/chart" uri="{C3380CC4-5D6E-409C-BE32-E72D297353CC}">
              <c16:uniqueId val="{00000002-1963-4974-94B4-575120D8A498}"/>
            </c:ext>
          </c:extLst>
        </c:ser>
        <c:ser>
          <c:idx val="3"/>
          <c:order val="2"/>
          <c:tx>
            <c:strRef>
              <c:f>Inputs!$B$138</c:f>
              <c:strCache>
                <c:ptCount val="1"/>
                <c:pt idx="0">
                  <c:v>HILLENBRAND INC</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Inputs!$P$138:$W$138</c:f>
              <c:numCache>
                <c:formatCode>General</c:formatCode>
                <c:ptCount val="8"/>
                <c:pt idx="0">
                  <c:v>0</c:v>
                </c:pt>
                <c:pt idx="1">
                  <c:v>0</c:v>
                </c:pt>
                <c:pt idx="2">
                  <c:v>0</c:v>
                </c:pt>
                <c:pt idx="3">
                  <c:v>5.9932459276916964E-3</c:v>
                </c:pt>
                <c:pt idx="4">
                  <c:v>6.5592932988310874E-3</c:v>
                </c:pt>
                <c:pt idx="5">
                  <c:v>3.6194013734721204E-3</c:v>
                </c:pt>
                <c:pt idx="6">
                  <c:v>2.9872611464968153E-3</c:v>
                </c:pt>
                <c:pt idx="7">
                  <c:v>2.4940304134724138E-3</c:v>
                </c:pt>
              </c:numCache>
            </c:numRef>
          </c:val>
          <c:smooth val="0"/>
          <c:extLst>
            <c:ext xmlns:c16="http://schemas.microsoft.com/office/drawing/2014/chart" uri="{C3380CC4-5D6E-409C-BE32-E72D297353CC}">
              <c16:uniqueId val="{00000003-1963-4974-94B4-575120D8A498}"/>
            </c:ext>
          </c:extLst>
        </c:ser>
        <c:ser>
          <c:idx val="4"/>
          <c:order val="3"/>
          <c:tx>
            <c:strRef>
              <c:f>Inputs!$B$139</c:f>
              <c:strCache>
                <c:ptCount val="1"/>
                <c:pt idx="0">
                  <c:v>TENNANT 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Inputs!$P$139:$W$139</c:f>
              <c:numCache>
                <c:formatCode>General</c:formatCode>
                <c:ptCount val="8"/>
                <c:pt idx="0">
                  <c:v>2.2352467335150429E-2</c:v>
                </c:pt>
                <c:pt idx="1">
                  <c:v>2.4390504409836665E-2</c:v>
                </c:pt>
                <c:pt idx="2">
                  <c:v>2.3458157524613221E-2</c:v>
                </c:pt>
                <c:pt idx="3">
                  <c:v>2.255944055944056E-2</c:v>
                </c:pt>
                <c:pt idx="4">
                  <c:v>2.2099376604327103E-2</c:v>
                </c:pt>
                <c:pt idx="5">
                  <c:v>2.1275407434535796E-2</c:v>
                </c:pt>
                <c:pt idx="6">
                  <c:v>1.7531360566098424E-2</c:v>
                </c:pt>
                <c:pt idx="7">
                  <c:v>1.8603404056889719E-2</c:v>
                </c:pt>
              </c:numCache>
            </c:numRef>
          </c:val>
          <c:smooth val="0"/>
          <c:extLst>
            <c:ext xmlns:c16="http://schemas.microsoft.com/office/drawing/2014/chart" uri="{C3380CC4-5D6E-409C-BE32-E72D297353CC}">
              <c16:uniqueId val="{00000004-1963-4974-94B4-575120D8A498}"/>
            </c:ext>
          </c:extLst>
        </c:ser>
        <c:ser>
          <c:idx val="5"/>
          <c:order val="4"/>
          <c:tx>
            <c:strRef>
              <c:f>Inputs!$B$140</c:f>
              <c:strCache>
                <c:ptCount val="1"/>
                <c:pt idx="0">
                  <c:v>KADANT INC</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Inputs!$P$140:$W$140</c:f>
              <c:numCache>
                <c:formatCode>General</c:formatCode>
                <c:ptCount val="8"/>
                <c:pt idx="0">
                  <c:v>0</c:v>
                </c:pt>
                <c:pt idx="1">
                  <c:v>0</c:v>
                </c:pt>
                <c:pt idx="2">
                  <c:v>3.9292181583892007E-2</c:v>
                </c:pt>
                <c:pt idx="3">
                  <c:v>4.5629484054246425E-2</c:v>
                </c:pt>
                <c:pt idx="4">
                  <c:v>3.7763530427331521E-2</c:v>
                </c:pt>
                <c:pt idx="5">
                  <c:v>3.0574563492896844E-2</c:v>
                </c:pt>
                <c:pt idx="6">
                  <c:v>2.4815385643518865E-2</c:v>
                </c:pt>
                <c:pt idx="7">
                  <c:v>2.8844182178578752E-2</c:v>
                </c:pt>
              </c:numCache>
            </c:numRef>
          </c:val>
          <c:smooth val="0"/>
          <c:extLst>
            <c:ext xmlns:c16="http://schemas.microsoft.com/office/drawing/2014/chart" uri="{C3380CC4-5D6E-409C-BE32-E72D297353CC}">
              <c16:uniqueId val="{00000005-1963-4974-94B4-575120D8A498}"/>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PT"/>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PT"/>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P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Inputs!$B$144</c:f>
              <c:strCache>
                <c:ptCount val="1"/>
                <c:pt idx="0">
                  <c:v>MIDDLEBY CORP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Inputs!$P$144:$W$144</c:f>
              <c:numCache>
                <c:formatCode>General</c:formatCode>
                <c:ptCount val="8"/>
                <c:pt idx="0">
                  <c:v>0</c:v>
                </c:pt>
                <c:pt idx="1">
                  <c:v>4.1723789548835426E-2</c:v>
                </c:pt>
                <c:pt idx="2">
                  <c:v>1.7176525606481755E-2</c:v>
                </c:pt>
                <c:pt idx="3">
                  <c:v>5.74402060752243E-2</c:v>
                </c:pt>
                <c:pt idx="4">
                  <c:v>5.2130065534798903E-2</c:v>
                </c:pt>
                <c:pt idx="5">
                  <c:v>3.5884521454166568E-2</c:v>
                </c:pt>
                <c:pt idx="6">
                  <c:v>3.2424277332064939E-2</c:v>
                </c:pt>
                <c:pt idx="7">
                  <c:v>0</c:v>
                </c:pt>
              </c:numCache>
            </c:numRef>
          </c:val>
          <c:smooth val="0"/>
          <c:extLst>
            <c:ext xmlns:c16="http://schemas.microsoft.com/office/drawing/2014/chart" uri="{C3380CC4-5D6E-409C-BE32-E72D297353CC}">
              <c16:uniqueId val="{00000000-6538-4B8D-A781-ADEA5CE732E8}"/>
            </c:ext>
          </c:extLst>
        </c:ser>
        <c:ser>
          <c:idx val="2"/>
          <c:order val="1"/>
          <c:tx>
            <c:strRef>
              <c:f>Inputs!$B$146</c:f>
              <c:strCache>
                <c:ptCount val="1"/>
                <c:pt idx="0">
                  <c:v>STANLEY BLACK &amp;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Inputs!$P$146:$W$146</c:f>
              <c:numCache>
                <c:formatCode>General</c:formatCode>
                <c:ptCount val="8"/>
                <c:pt idx="0">
                  <c:v>8.6277821479801953E-2</c:v>
                </c:pt>
                <c:pt idx="1">
                  <c:v>8.9480346721592871E-2</c:v>
                </c:pt>
                <c:pt idx="2">
                  <c:v>0</c:v>
                </c:pt>
                <c:pt idx="3">
                  <c:v>8.9963137254901959E-2</c:v>
                </c:pt>
                <c:pt idx="4">
                  <c:v>8.115605347712565E-2</c:v>
                </c:pt>
                <c:pt idx="5">
                  <c:v>8.1941182718293065E-2</c:v>
                </c:pt>
                <c:pt idx="6">
                  <c:v>8.1504457864153959E-2</c:v>
                </c:pt>
                <c:pt idx="7">
                  <c:v>8.1963073598989952E-2</c:v>
                </c:pt>
              </c:numCache>
            </c:numRef>
          </c:val>
          <c:smooth val="0"/>
          <c:extLst>
            <c:ext xmlns:c16="http://schemas.microsoft.com/office/drawing/2014/chart" uri="{C3380CC4-5D6E-409C-BE32-E72D297353CC}">
              <c16:uniqueId val="{00000002-6538-4B8D-A781-ADEA5CE732E8}"/>
            </c:ext>
          </c:extLst>
        </c:ser>
        <c:ser>
          <c:idx val="3"/>
          <c:order val="2"/>
          <c:tx>
            <c:strRef>
              <c:f>Inputs!$B$147</c:f>
              <c:strCache>
                <c:ptCount val="1"/>
                <c:pt idx="0">
                  <c:v>HILLENBRAND INC</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Inputs!$P$147:$W$147</c:f>
              <c:numCache>
                <c:formatCode>General</c:formatCode>
                <c:ptCount val="8"/>
                <c:pt idx="0">
                  <c:v>0</c:v>
                </c:pt>
                <c:pt idx="1">
                  <c:v>0</c:v>
                </c:pt>
                <c:pt idx="2">
                  <c:v>0</c:v>
                </c:pt>
                <c:pt idx="3">
                  <c:v>8.8165673420738985E-2</c:v>
                </c:pt>
                <c:pt idx="4">
                  <c:v>0.10064334790755777</c:v>
                </c:pt>
                <c:pt idx="5">
                  <c:v>5.0371874055198031E-2</c:v>
                </c:pt>
                <c:pt idx="6">
                  <c:v>4.1938075017692852E-2</c:v>
                </c:pt>
                <c:pt idx="7">
                  <c:v>3.5662309915797406E-2</c:v>
                </c:pt>
              </c:numCache>
            </c:numRef>
          </c:val>
          <c:smooth val="0"/>
          <c:extLst>
            <c:ext xmlns:c16="http://schemas.microsoft.com/office/drawing/2014/chart" uri="{C3380CC4-5D6E-409C-BE32-E72D297353CC}">
              <c16:uniqueId val="{00000003-6538-4B8D-A781-ADEA5CE732E8}"/>
            </c:ext>
          </c:extLst>
        </c:ser>
        <c:ser>
          <c:idx val="4"/>
          <c:order val="3"/>
          <c:tx>
            <c:strRef>
              <c:f>Inputs!$B$148</c:f>
              <c:strCache>
                <c:ptCount val="1"/>
                <c:pt idx="0">
                  <c:v>TENNANT 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Inputs!$P$148:$W$148</c:f>
              <c:numCache>
                <c:formatCode>General</c:formatCode>
                <c:ptCount val="8"/>
                <c:pt idx="0">
                  <c:v>0.11778686547046754</c:v>
                </c:pt>
                <c:pt idx="1">
                  <c:v>0.10655347388677103</c:v>
                </c:pt>
                <c:pt idx="2">
                  <c:v>0.1159142053445851</c:v>
                </c:pt>
                <c:pt idx="3">
                  <c:v>0.11767832167832168</c:v>
                </c:pt>
                <c:pt idx="4">
                  <c:v>0.12057664099743309</c:v>
                </c:pt>
                <c:pt idx="5">
                  <c:v>0.12476011719465299</c:v>
                </c:pt>
                <c:pt idx="6">
                  <c:v>0.14951913798649086</c:v>
                </c:pt>
                <c:pt idx="7">
                  <c:v>0</c:v>
                </c:pt>
              </c:numCache>
            </c:numRef>
          </c:val>
          <c:smooth val="0"/>
          <c:extLst>
            <c:ext xmlns:c16="http://schemas.microsoft.com/office/drawing/2014/chart" uri="{C3380CC4-5D6E-409C-BE32-E72D297353CC}">
              <c16:uniqueId val="{00000004-6538-4B8D-A781-ADEA5CE732E8}"/>
            </c:ext>
          </c:extLst>
        </c:ser>
        <c:ser>
          <c:idx val="5"/>
          <c:order val="4"/>
          <c:tx>
            <c:strRef>
              <c:f>Inputs!$B$149</c:f>
              <c:strCache>
                <c:ptCount val="1"/>
                <c:pt idx="0">
                  <c:v>KADANT INC</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Inputs!$P$149:$W$149</c:f>
              <c:numCache>
                <c:formatCode>General</c:formatCode>
                <c:ptCount val="8"/>
                <c:pt idx="0">
                  <c:v>0</c:v>
                </c:pt>
                <c:pt idx="1">
                  <c:v>0</c:v>
                </c:pt>
                <c:pt idx="2">
                  <c:v>0.26023069805462051</c:v>
                </c:pt>
                <c:pt idx="3">
                  <c:v>0.30094893453517008</c:v>
                </c:pt>
                <c:pt idx="4">
                  <c:v>0.252924372504224</c:v>
                </c:pt>
                <c:pt idx="5">
                  <c:v>0.2068364467542573</c:v>
                </c:pt>
                <c:pt idx="6">
                  <c:v>0.17076201455195514</c:v>
                </c:pt>
                <c:pt idx="7">
                  <c:v>0.17639436330910666</c:v>
                </c:pt>
              </c:numCache>
            </c:numRef>
          </c:val>
          <c:smooth val="0"/>
          <c:extLst>
            <c:ext xmlns:c16="http://schemas.microsoft.com/office/drawing/2014/chart" uri="{C3380CC4-5D6E-409C-BE32-E72D297353CC}">
              <c16:uniqueId val="{00000005-6538-4B8D-A781-ADEA5CE732E8}"/>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PT"/>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PT"/>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P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Inputs!$B$153</c:f>
              <c:strCache>
                <c:ptCount val="1"/>
                <c:pt idx="0">
                  <c:v>MIDDLEBY CORP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Inputs!$P$153:$W$153</c:f>
              <c:numCache>
                <c:formatCode>General</c:formatCode>
                <c:ptCount val="8"/>
                <c:pt idx="0">
                  <c:v>0</c:v>
                </c:pt>
                <c:pt idx="1">
                  <c:v>0</c:v>
                </c:pt>
                <c:pt idx="2">
                  <c:v>1.5543449686191268E-2</c:v>
                </c:pt>
                <c:pt idx="3">
                  <c:v>7.9578013708904416E-4</c:v>
                </c:pt>
                <c:pt idx="4">
                  <c:v>2.4609387496954587E-3</c:v>
                </c:pt>
                <c:pt idx="5">
                  <c:v>7.3645134102334003E-2</c:v>
                </c:pt>
                <c:pt idx="6">
                  <c:v>6.7383358044693503E-2</c:v>
                </c:pt>
                <c:pt idx="7">
                  <c:v>0</c:v>
                </c:pt>
              </c:numCache>
            </c:numRef>
          </c:val>
          <c:smooth val="0"/>
          <c:extLst>
            <c:ext xmlns:c16="http://schemas.microsoft.com/office/drawing/2014/chart" uri="{C3380CC4-5D6E-409C-BE32-E72D297353CC}">
              <c16:uniqueId val="{00000000-CA57-4752-9501-BC58D601A18E}"/>
            </c:ext>
          </c:extLst>
        </c:ser>
        <c:ser>
          <c:idx val="1"/>
          <c:order val="1"/>
          <c:tx>
            <c:strRef>
              <c:f>Inputs!$B$154</c:f>
              <c:strCache>
                <c:ptCount val="1"/>
                <c:pt idx="0">
                  <c:v>NORDSON CORP</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Inputs!$P$154:$W$154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CA57-4752-9501-BC58D601A18E}"/>
            </c:ext>
          </c:extLst>
        </c:ser>
        <c:ser>
          <c:idx val="2"/>
          <c:order val="2"/>
          <c:tx>
            <c:strRef>
              <c:f>Inputs!$B$155</c:f>
              <c:strCache>
                <c:ptCount val="1"/>
                <c:pt idx="0">
                  <c:v>STANLEY BLACK &amp;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Inputs!$P$155:$W$155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CA57-4752-9501-BC58D601A18E}"/>
            </c:ext>
          </c:extLst>
        </c:ser>
        <c:ser>
          <c:idx val="3"/>
          <c:order val="3"/>
          <c:tx>
            <c:strRef>
              <c:f>Inputs!$B$156</c:f>
              <c:strCache>
                <c:ptCount val="1"/>
                <c:pt idx="0">
                  <c:v>HILLENBRAND INC</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Inputs!$P$156:$W$156</c:f>
              <c:numCache>
                <c:formatCode>General</c:formatCode>
                <c:ptCount val="8"/>
                <c:pt idx="0">
                  <c:v>0</c:v>
                </c:pt>
                <c:pt idx="1">
                  <c:v>0</c:v>
                </c:pt>
                <c:pt idx="2">
                  <c:v>0</c:v>
                </c:pt>
                <c:pt idx="3">
                  <c:v>0</c:v>
                </c:pt>
                <c:pt idx="4">
                  <c:v>0</c:v>
                </c:pt>
                <c:pt idx="5">
                  <c:v>0</c:v>
                </c:pt>
                <c:pt idx="6">
                  <c:v>2.9366595895258312E-3</c:v>
                </c:pt>
                <c:pt idx="7">
                  <c:v>2.3482468266934776E-3</c:v>
                </c:pt>
              </c:numCache>
            </c:numRef>
          </c:val>
          <c:smooth val="0"/>
          <c:extLst>
            <c:ext xmlns:c16="http://schemas.microsoft.com/office/drawing/2014/chart" uri="{C3380CC4-5D6E-409C-BE32-E72D297353CC}">
              <c16:uniqueId val="{00000003-CA57-4752-9501-BC58D601A18E}"/>
            </c:ext>
          </c:extLst>
        </c:ser>
        <c:ser>
          <c:idx val="4"/>
          <c:order val="4"/>
          <c:tx>
            <c:strRef>
              <c:f>Inputs!$B$157</c:f>
              <c:strCache>
                <c:ptCount val="1"/>
                <c:pt idx="0">
                  <c:v>TENNANT 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Inputs!$P$157:$W$157</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4-CA57-4752-9501-BC58D601A18E}"/>
            </c:ext>
          </c:extLst>
        </c:ser>
        <c:ser>
          <c:idx val="5"/>
          <c:order val="5"/>
          <c:tx>
            <c:strRef>
              <c:f>Inputs!$B$158</c:f>
              <c:strCache>
                <c:ptCount val="1"/>
                <c:pt idx="0">
                  <c:v>KADANT INC</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Inputs!$P$158:$W$158</c:f>
              <c:numCache>
                <c:formatCode>General</c:formatCode>
                <c:ptCount val="8"/>
                <c:pt idx="0">
                  <c:v>0</c:v>
                </c:pt>
                <c:pt idx="1">
                  <c:v>0</c:v>
                </c:pt>
                <c:pt idx="2">
                  <c:v>0</c:v>
                </c:pt>
                <c:pt idx="3">
                  <c:v>0</c:v>
                </c:pt>
                <c:pt idx="4">
                  <c:v>0</c:v>
                </c:pt>
                <c:pt idx="5">
                  <c:v>0</c:v>
                </c:pt>
                <c:pt idx="6">
                  <c:v>0.723629802270506</c:v>
                </c:pt>
                <c:pt idx="7">
                  <c:v>9.4932142504537756E-3</c:v>
                </c:pt>
              </c:numCache>
            </c:numRef>
          </c:val>
          <c:smooth val="0"/>
          <c:extLst>
            <c:ext xmlns:c16="http://schemas.microsoft.com/office/drawing/2014/chart" uri="{C3380CC4-5D6E-409C-BE32-E72D297353CC}">
              <c16:uniqueId val="{00000005-CA57-4752-9501-BC58D601A18E}"/>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PT"/>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PT"/>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P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Inputs!$B$162</c:f>
              <c:strCache>
                <c:ptCount val="1"/>
                <c:pt idx="0">
                  <c:v>MIDDLEBY CORP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Inputs!$P$162:$W$162</c:f>
              <c:numCache>
                <c:formatCode>General</c:formatCode>
                <c:ptCount val="8"/>
                <c:pt idx="0">
                  <c:v>0</c:v>
                </c:pt>
                <c:pt idx="1">
                  <c:v>0</c:v>
                </c:pt>
                <c:pt idx="2">
                  <c:v>4.2937090252702708E-3</c:v>
                </c:pt>
                <c:pt idx="3">
                  <c:v>1.5589332885574375E-2</c:v>
                </c:pt>
                <c:pt idx="4">
                  <c:v>1.1816197406662746E-2</c:v>
                </c:pt>
                <c:pt idx="5">
                  <c:v>9.4193862260786593E-3</c:v>
                </c:pt>
                <c:pt idx="6">
                  <c:v>9.8674504936698045E-3</c:v>
                </c:pt>
                <c:pt idx="7">
                  <c:v>0</c:v>
                </c:pt>
              </c:numCache>
            </c:numRef>
          </c:val>
          <c:smooth val="0"/>
          <c:extLst>
            <c:ext xmlns:c16="http://schemas.microsoft.com/office/drawing/2014/chart" uri="{C3380CC4-5D6E-409C-BE32-E72D297353CC}">
              <c16:uniqueId val="{00000000-9609-4658-84FF-6EC47A5047A6}"/>
            </c:ext>
          </c:extLst>
        </c:ser>
        <c:ser>
          <c:idx val="1"/>
          <c:order val="1"/>
          <c:tx>
            <c:strRef>
              <c:f>Inputs!$B$163</c:f>
              <c:strCache>
                <c:ptCount val="1"/>
                <c:pt idx="0">
                  <c:v>NORDSON CORP</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Inputs!$P$163:$W$163</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9609-4658-84FF-6EC47A5047A6}"/>
            </c:ext>
          </c:extLst>
        </c:ser>
        <c:ser>
          <c:idx val="2"/>
          <c:order val="2"/>
          <c:tx>
            <c:strRef>
              <c:f>Inputs!$B$164</c:f>
              <c:strCache>
                <c:ptCount val="1"/>
                <c:pt idx="0">
                  <c:v>STANLEY BLACK &amp;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Inputs!$P$164:$W$164</c:f>
              <c:numCache>
                <c:formatCode>General</c:formatCode>
                <c:ptCount val="8"/>
                <c:pt idx="0">
                  <c:v>0</c:v>
                </c:pt>
                <c:pt idx="1">
                  <c:v>0</c:v>
                </c:pt>
                <c:pt idx="2">
                  <c:v>1.3048966537338631E-3</c:v>
                </c:pt>
                <c:pt idx="3">
                  <c:v>1.1796078431372549E-3</c:v>
                </c:pt>
                <c:pt idx="4">
                  <c:v>7.3985851989032351E-3</c:v>
                </c:pt>
                <c:pt idx="5">
                  <c:v>8.7281234879686559E-3</c:v>
                </c:pt>
                <c:pt idx="6">
                  <c:v>9.3393362946816126E-3</c:v>
                </c:pt>
                <c:pt idx="7">
                  <c:v>8.5001008740246131E-3</c:v>
                </c:pt>
              </c:numCache>
            </c:numRef>
          </c:val>
          <c:smooth val="0"/>
          <c:extLst>
            <c:ext xmlns:c16="http://schemas.microsoft.com/office/drawing/2014/chart" uri="{C3380CC4-5D6E-409C-BE32-E72D297353CC}">
              <c16:uniqueId val="{00000002-9609-4658-84FF-6EC47A5047A6}"/>
            </c:ext>
          </c:extLst>
        </c:ser>
        <c:ser>
          <c:idx val="3"/>
          <c:order val="3"/>
          <c:tx>
            <c:strRef>
              <c:f>Inputs!$B$165</c:f>
              <c:strCache>
                <c:ptCount val="1"/>
                <c:pt idx="0">
                  <c:v>HILLENBRAND INC</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Inputs!$P$165:$W$165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9609-4658-84FF-6EC47A5047A6}"/>
            </c:ext>
          </c:extLst>
        </c:ser>
        <c:ser>
          <c:idx val="4"/>
          <c:order val="4"/>
          <c:tx>
            <c:strRef>
              <c:f>Inputs!$B$166</c:f>
              <c:strCache>
                <c:ptCount val="1"/>
                <c:pt idx="0">
                  <c:v>TENNANT 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Inputs!$P$166:$W$166</c:f>
              <c:numCache>
                <c:formatCode>General</c:formatCode>
                <c:ptCount val="8"/>
                <c:pt idx="0">
                  <c:v>0</c:v>
                </c:pt>
                <c:pt idx="1">
                  <c:v>0</c:v>
                </c:pt>
                <c:pt idx="2">
                  <c:v>0</c:v>
                </c:pt>
                <c:pt idx="3">
                  <c:v>0</c:v>
                </c:pt>
                <c:pt idx="4">
                  <c:v>0</c:v>
                </c:pt>
                <c:pt idx="5">
                  <c:v>1.7331990477934443E-3</c:v>
                </c:pt>
                <c:pt idx="6">
                  <c:v>1.6170794467674496E-3</c:v>
                </c:pt>
                <c:pt idx="7">
                  <c:v>0</c:v>
                </c:pt>
              </c:numCache>
            </c:numRef>
          </c:val>
          <c:smooth val="0"/>
          <c:extLst>
            <c:ext xmlns:c16="http://schemas.microsoft.com/office/drawing/2014/chart" uri="{C3380CC4-5D6E-409C-BE32-E72D297353CC}">
              <c16:uniqueId val="{00000004-9609-4658-84FF-6EC47A5047A6}"/>
            </c:ext>
          </c:extLst>
        </c:ser>
        <c:ser>
          <c:idx val="5"/>
          <c:order val="5"/>
          <c:tx>
            <c:strRef>
              <c:f>Inputs!$B$167</c:f>
              <c:strCache>
                <c:ptCount val="1"/>
                <c:pt idx="0">
                  <c:v>KADANT INC</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Inputs!$P$167:$W$167</c:f>
              <c:numCache>
                <c:formatCode>General</c:formatCode>
                <c:ptCount val="8"/>
                <c:pt idx="0">
                  <c:v>0</c:v>
                </c:pt>
                <c:pt idx="1">
                  <c:v>0</c:v>
                </c:pt>
                <c:pt idx="2">
                  <c:v>0</c:v>
                </c:pt>
                <c:pt idx="3">
                  <c:v>0</c:v>
                </c:pt>
                <c:pt idx="4">
                  <c:v>0</c:v>
                </c:pt>
                <c:pt idx="5">
                  <c:v>4.3857952403952962E-3</c:v>
                </c:pt>
                <c:pt idx="6">
                  <c:v>4.0201655681694776E-3</c:v>
                </c:pt>
                <c:pt idx="7">
                  <c:v>0</c:v>
                </c:pt>
              </c:numCache>
            </c:numRef>
          </c:val>
          <c:smooth val="0"/>
          <c:extLst>
            <c:ext xmlns:c16="http://schemas.microsoft.com/office/drawing/2014/chart" uri="{C3380CC4-5D6E-409C-BE32-E72D297353CC}">
              <c16:uniqueId val="{00000005-9609-4658-84FF-6EC47A5047A6}"/>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PT"/>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PT"/>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P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38004640808441E-2"/>
          <c:y val="3.0345668095936522E-2"/>
          <c:w val="0.93523711516124797"/>
          <c:h val="0.62974320566006659"/>
        </c:manualLayout>
      </c:layout>
      <c:lineChart>
        <c:grouping val="standard"/>
        <c:varyColors val="0"/>
        <c:ser>
          <c:idx val="0"/>
          <c:order val="0"/>
          <c:tx>
            <c:strRef>
              <c:f>Inputs!$S$7</c:f>
              <c:strCache>
                <c:ptCount val="1"/>
                <c:pt idx="0">
                  <c:v>MIDDLEBY CORP</c:v>
                </c:pt>
              </c:strCache>
            </c:strRef>
          </c:tx>
          <c:spPr>
            <a:ln w="28575" cap="rnd">
              <a:solidFill>
                <a:schemeClr val="accent1"/>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Data'!$C$5:$C$159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0-C6A3-42EA-AD84-0EA2783F3814}"/>
            </c:ext>
          </c:extLst>
        </c:ser>
        <c:ser>
          <c:idx val="1"/>
          <c:order val="1"/>
          <c:tx>
            <c:strRef>
              <c:f>Inputs!$B$21</c:f>
              <c:strCache>
                <c:ptCount val="1"/>
                <c:pt idx="0">
                  <c:v>NORDSON CORP</c:v>
                </c:pt>
              </c:strCache>
            </c:strRef>
          </c:tx>
          <c:spPr>
            <a:ln w="28575" cap="rnd">
              <a:solidFill>
                <a:schemeClr val="accent3"/>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Data'!$D$5:$D$159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C6A3-42EA-AD84-0EA2783F3814}"/>
            </c:ext>
          </c:extLst>
        </c:ser>
        <c:ser>
          <c:idx val="2"/>
          <c:order val="2"/>
          <c:tx>
            <c:strRef>
              <c:f>Inputs!$B$22</c:f>
              <c:strCache>
                <c:ptCount val="1"/>
                <c:pt idx="0">
                  <c:v>STANLEY BLACK &amp;</c:v>
                </c:pt>
              </c:strCache>
            </c:strRef>
          </c:tx>
          <c:spPr>
            <a:ln w="28575" cap="rnd">
              <a:solidFill>
                <a:schemeClr val="accent5"/>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Data'!$E$5:$E$159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C6A3-42EA-AD84-0EA2783F3814}"/>
            </c:ext>
          </c:extLst>
        </c:ser>
        <c:ser>
          <c:idx val="3"/>
          <c:order val="3"/>
          <c:tx>
            <c:strRef>
              <c:f>Inputs!$B$23</c:f>
              <c:strCache>
                <c:ptCount val="1"/>
                <c:pt idx="0">
                  <c:v>HILLENBRAND INC</c:v>
                </c:pt>
              </c:strCache>
            </c:strRef>
          </c:tx>
          <c:spPr>
            <a:ln w="28575" cap="rnd">
              <a:solidFill>
                <a:schemeClr val="accent1">
                  <a:lumMod val="60000"/>
                </a:schemeClr>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Data'!$F$5:$F$159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C6A3-42EA-AD84-0EA2783F3814}"/>
            </c:ext>
          </c:extLst>
        </c:ser>
        <c:ser>
          <c:idx val="4"/>
          <c:order val="4"/>
          <c:tx>
            <c:strRef>
              <c:f>Inputs!$B$24</c:f>
              <c:strCache>
                <c:ptCount val="1"/>
                <c:pt idx="0">
                  <c:v>TENNANT CO</c:v>
                </c:pt>
              </c:strCache>
            </c:strRef>
          </c:tx>
          <c:spPr>
            <a:ln w="28575" cap="rnd">
              <a:solidFill>
                <a:schemeClr val="accent3">
                  <a:lumMod val="60000"/>
                </a:schemeClr>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Data'!$G$5:$G$159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4-C6A3-42EA-AD84-0EA2783F3814}"/>
            </c:ext>
          </c:extLst>
        </c:ser>
        <c:ser>
          <c:idx val="5"/>
          <c:order val="5"/>
          <c:tx>
            <c:strRef>
              <c:f>Inputs!$B$25</c:f>
              <c:strCache>
                <c:ptCount val="1"/>
                <c:pt idx="0">
                  <c:v>KADANT INC</c:v>
                </c:pt>
              </c:strCache>
            </c:strRef>
          </c:tx>
          <c:spPr>
            <a:ln w="28575" cap="rnd">
              <a:solidFill>
                <a:schemeClr val="accent5">
                  <a:lumMod val="60000"/>
                </a:schemeClr>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Data'!$H$5:$H$159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C6A3-42EA-AD84-0EA2783F3814}"/>
            </c:ext>
          </c:extLst>
        </c:ser>
        <c:dLbls>
          <c:showLegendKey val="0"/>
          <c:showVal val="0"/>
          <c:showCatName val="0"/>
          <c:showSerName val="0"/>
          <c:showPercent val="0"/>
          <c:showBubbleSize val="0"/>
        </c:dLbls>
        <c:smooth val="0"/>
        <c:axId val="1005203632"/>
        <c:axId val="1005201992"/>
      </c:lineChart>
      <c:dateAx>
        <c:axId val="100520363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PT"/>
          </a:p>
        </c:txPr>
        <c:crossAx val="1005201992"/>
        <c:crosses val="autoZero"/>
        <c:auto val="1"/>
        <c:lblOffset val="100"/>
        <c:baseTimeUnit val="days"/>
      </c:dateAx>
      <c:valAx>
        <c:axId val="1005201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PT"/>
          </a:p>
        </c:txPr>
        <c:crossAx val="1005203632"/>
        <c:crosses val="autoZero"/>
        <c:crossBetween val="between"/>
      </c:valAx>
      <c:spPr>
        <a:noFill/>
        <a:ln>
          <a:noFill/>
        </a:ln>
        <a:effectLst/>
      </c:spPr>
    </c:plotArea>
    <c:legend>
      <c:legendPos val="b"/>
      <c:layout>
        <c:manualLayout>
          <c:xMode val="edge"/>
          <c:yMode val="edge"/>
          <c:x val="0"/>
          <c:y val="0.86544143226760495"/>
          <c:w val="1"/>
          <c:h val="0.1221800355186462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PT"/>
        </a:p>
      </c:txPr>
    </c:legend>
    <c:plotVisOnly val="1"/>
    <c:dispBlanksAs val="gap"/>
    <c:showDLblsOverMax val="0"/>
  </c:chart>
  <c:spPr>
    <a:solidFill>
      <a:schemeClr val="bg1"/>
    </a:solid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P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631273488503296E-2"/>
          <c:y val="2.7170920220962923E-2"/>
          <c:w val="0.93718334849858898"/>
          <c:h val="0.72263983284481992"/>
        </c:manualLayout>
      </c:layout>
      <c:lineChart>
        <c:grouping val="standard"/>
        <c:varyColors val="0"/>
        <c:ser>
          <c:idx val="0"/>
          <c:order val="0"/>
          <c:tx>
            <c:strRef>
              <c:f>Inputs!$S$7</c:f>
              <c:strCache>
                <c:ptCount val="1"/>
                <c:pt idx="0">
                  <c:v>MIDDLEBY CORP</c:v>
                </c:pt>
              </c:strCache>
            </c:strRef>
          </c:tx>
          <c:spPr>
            <a:ln w="28575" cap="rnd">
              <a:solidFill>
                <a:schemeClr val="accent1"/>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Data'!$J$5:$J$159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0-D72A-4DDA-A333-B3FDE0305032}"/>
            </c:ext>
          </c:extLst>
        </c:ser>
        <c:ser>
          <c:idx val="1"/>
          <c:order val="1"/>
          <c:tx>
            <c:strRef>
              <c:f>Inputs!$B$21</c:f>
              <c:strCache>
                <c:ptCount val="1"/>
                <c:pt idx="0">
                  <c:v>NORDSON CORP</c:v>
                </c:pt>
              </c:strCache>
            </c:strRef>
          </c:tx>
          <c:spPr>
            <a:ln w="28575" cap="rnd">
              <a:solidFill>
                <a:schemeClr val="accent2"/>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Data'!$K$5:$K$159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D72A-4DDA-A333-B3FDE0305032}"/>
            </c:ext>
          </c:extLst>
        </c:ser>
        <c:ser>
          <c:idx val="2"/>
          <c:order val="2"/>
          <c:tx>
            <c:strRef>
              <c:f>Inputs!$B$22</c:f>
              <c:strCache>
                <c:ptCount val="1"/>
                <c:pt idx="0">
                  <c:v>STANLEY BLACK &amp;</c:v>
                </c:pt>
              </c:strCache>
            </c:strRef>
          </c:tx>
          <c:spPr>
            <a:ln w="28575" cap="rnd">
              <a:solidFill>
                <a:schemeClr val="accent3"/>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Data'!$L$5:$L$159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D72A-4DDA-A333-B3FDE0305032}"/>
            </c:ext>
          </c:extLst>
        </c:ser>
        <c:ser>
          <c:idx val="3"/>
          <c:order val="3"/>
          <c:tx>
            <c:strRef>
              <c:f>Inputs!$B$23</c:f>
              <c:strCache>
                <c:ptCount val="1"/>
                <c:pt idx="0">
                  <c:v>HILLENBRAND INC</c:v>
                </c:pt>
              </c:strCache>
            </c:strRef>
          </c:tx>
          <c:spPr>
            <a:ln w="28575" cap="rnd">
              <a:solidFill>
                <a:schemeClr val="accent4"/>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Data'!$M$5:$M$159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D72A-4DDA-A333-B3FDE0305032}"/>
            </c:ext>
          </c:extLst>
        </c:ser>
        <c:ser>
          <c:idx val="4"/>
          <c:order val="4"/>
          <c:tx>
            <c:strRef>
              <c:f>Inputs!$B$24</c:f>
              <c:strCache>
                <c:ptCount val="1"/>
                <c:pt idx="0">
                  <c:v>TENNANT CO</c:v>
                </c:pt>
              </c:strCache>
            </c:strRef>
          </c:tx>
          <c:spPr>
            <a:ln w="28575" cap="rnd">
              <a:solidFill>
                <a:schemeClr val="accent5"/>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Data'!$N$5:$N$159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4-D72A-4DDA-A333-B3FDE0305032}"/>
            </c:ext>
          </c:extLst>
        </c:ser>
        <c:ser>
          <c:idx val="5"/>
          <c:order val="5"/>
          <c:tx>
            <c:strRef>
              <c:f>Inputs!$B$25</c:f>
              <c:strCache>
                <c:ptCount val="1"/>
                <c:pt idx="0">
                  <c:v>KADANT INC</c:v>
                </c:pt>
              </c:strCache>
            </c:strRef>
          </c:tx>
          <c:spPr>
            <a:ln w="28575" cap="rnd">
              <a:solidFill>
                <a:schemeClr val="accent6"/>
              </a:solidFill>
              <a:round/>
            </a:ln>
            <a:effectLst/>
          </c:spPr>
          <c:marker>
            <c:symbol val="none"/>
          </c:marker>
          <c:cat>
            <c:numRef>
              <c:f>'Stock Data'!$B$5:$B$159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Data'!$O$5:$O$159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D72A-4DDA-A333-B3FDE0305032}"/>
            </c:ext>
          </c:extLst>
        </c:ser>
        <c:dLbls>
          <c:showLegendKey val="0"/>
          <c:showVal val="0"/>
          <c:showCatName val="0"/>
          <c:showSerName val="0"/>
          <c:showPercent val="0"/>
          <c:showBubbleSize val="0"/>
        </c:dLbls>
        <c:smooth val="0"/>
        <c:axId val="1000053640"/>
        <c:axId val="1000054296"/>
      </c:lineChart>
      <c:dateAx>
        <c:axId val="100005364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PT"/>
          </a:p>
        </c:txPr>
        <c:crossAx val="1000054296"/>
        <c:crosses val="autoZero"/>
        <c:auto val="1"/>
        <c:lblOffset val="100"/>
        <c:baseTimeUnit val="days"/>
      </c:dateAx>
      <c:valAx>
        <c:axId val="1000054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PT"/>
          </a:p>
        </c:txPr>
        <c:crossAx val="1000053640"/>
        <c:crosses val="autoZero"/>
        <c:crossBetween val="between"/>
      </c:valAx>
      <c:spPr>
        <a:noFill/>
        <a:ln>
          <a:noFill/>
        </a:ln>
        <a:effectLst/>
      </c:spPr>
    </c:plotArea>
    <c:legend>
      <c:legendPos val="b"/>
      <c:layout>
        <c:manualLayout>
          <c:xMode val="edge"/>
          <c:yMode val="edge"/>
          <c:x val="0"/>
          <c:y val="0.8997184117325594"/>
          <c:w val="0.99565370984190071"/>
          <c:h val="8.698150398121092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PT"/>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P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6.7762296670080824E-2</c:v>
                </c:pt>
                <c:pt idx="1">
                  <c:v>6.7762296670080824E-2</c:v>
                </c:pt>
                <c:pt idx="2">
                  <c:v>6.7762296670080824E-2</c:v>
                </c:pt>
                <c:pt idx="3">
                  <c:v>6.7762296670080824E-2</c:v>
                </c:pt>
                <c:pt idx="4">
                  <c:v>6.7762296670080824E-2</c:v>
                </c:pt>
              </c:numCache>
            </c:numRef>
          </c:val>
          <c:smooth val="0"/>
          <c:extLst>
            <c:ext xmlns:c16="http://schemas.microsoft.com/office/drawing/2014/chart" uri="{C3380CC4-5D6E-409C-BE32-E72D297353CC}">
              <c16:uniqueId val="{00000000-F72C-4B80-A6C6-9C2F6C2F1E75}"/>
            </c:ext>
          </c:extLst>
        </c:ser>
        <c:ser>
          <c:idx val="1"/>
          <c:order val="1"/>
          <c:tx>
            <c:v>ROIC</c:v>
          </c:tx>
          <c:spPr>
            <a:ln w="28575" cap="rnd">
              <a:solidFill>
                <a:schemeClr val="accent2"/>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7.9186697912909776E-2</c:v>
                </c:pt>
                <c:pt idx="1">
                  <c:v>8.9869515195990707E-2</c:v>
                </c:pt>
                <c:pt idx="2">
                  <c:v>0.10170043923017219</c:v>
                </c:pt>
                <c:pt idx="3">
                  <c:v>0.10684963788262135</c:v>
                </c:pt>
                <c:pt idx="4">
                  <c:v>0.10342790341120323</c:v>
                </c:pt>
              </c:numCache>
            </c:numRef>
          </c:val>
          <c:smooth val="0"/>
          <c:extLst>
            <c:ext xmlns:c16="http://schemas.microsoft.com/office/drawing/2014/chart" uri="{C3380CC4-5D6E-409C-BE32-E72D297353CC}">
              <c16:uniqueId val="{00000001-F72C-4B80-A6C6-9C2F6C2F1E75}"/>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en-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en-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en-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en-P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Capex Intensity</c:v>
                </c:pt>
                <c:pt idx="1">
                  <c:v>COGS Margin</c:v>
                </c:pt>
                <c:pt idx="2">
                  <c:v>SG&amp;A Margin</c:v>
                </c:pt>
                <c:pt idx="3">
                  <c:v>WACC</c:v>
                </c:pt>
                <c:pt idx="4">
                  <c:v>Terminal g</c:v>
                </c:pt>
                <c:pt idx="5">
                  <c:v>EBITDA Exit</c:v>
                </c:pt>
                <c:pt idx="6">
                  <c:v>Revenue Exit</c:v>
                </c:pt>
              </c:strCache>
            </c:strRef>
          </c:cat>
          <c:val>
            <c:numRef>
              <c:f>Sensitivity!$AJ$28:$AJ$34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F77E-4420-9A9D-82C0544507CB}"/>
            </c:ext>
          </c:extLst>
        </c:ser>
        <c:ser>
          <c:idx val="1"/>
          <c:order val="1"/>
          <c:spPr>
            <a:solidFill>
              <a:srgbClr val="7B1314"/>
            </a:solidFill>
            <a:ln>
              <a:noFill/>
            </a:ln>
            <a:effectLst/>
          </c:spPr>
          <c:invertIfNegative val="0"/>
          <c:cat>
            <c:strRef>
              <c:f>Sensitivity!$AD$28:$AD$34</c:f>
              <c:strCache>
                <c:ptCount val="7"/>
                <c:pt idx="0">
                  <c:v>Capex Intensity</c:v>
                </c:pt>
                <c:pt idx="1">
                  <c:v>COGS Margin</c:v>
                </c:pt>
                <c:pt idx="2">
                  <c:v>SG&amp;A Margin</c:v>
                </c:pt>
                <c:pt idx="3">
                  <c:v>WACC</c:v>
                </c:pt>
                <c:pt idx="4">
                  <c:v>Terminal g</c:v>
                </c:pt>
                <c:pt idx="5">
                  <c:v>EBITDA Exit</c:v>
                </c:pt>
                <c:pt idx="6">
                  <c:v>Revenue Exit</c:v>
                </c:pt>
              </c:strCache>
            </c:strRef>
          </c:cat>
          <c:val>
            <c:numRef>
              <c:f>Sensitivity!$AK$28:$AK$34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F77E-4420-9A9D-82C0544507CB}"/>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en-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en-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en-PT"/>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'Stock Data'!$U$4</c:f>
              <c:strCache>
                <c:ptCount val="1"/>
                <c:pt idx="0">
                  <c:v>MIDD US Equity</c:v>
                </c:pt>
              </c:strCache>
            </c:strRef>
          </c:tx>
          <c:spPr>
            <a:ln w="28575" cap="rnd">
              <a:solidFill>
                <a:schemeClr val="accent1"/>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Data'!$U$5:$U$159</c:f>
              <c:numCache>
                <c:formatCode>General</c:formatCode>
                <c:ptCount val="155"/>
                <c:pt idx="0">
                  <c:v>1.1079119283813212</c:v>
                </c:pt>
                <c:pt idx="1">
                  <c:v>1.1079119283813212</c:v>
                </c:pt>
                <c:pt idx="2">
                  <c:v>1.098959593515606</c:v>
                </c:pt>
                <c:pt idx="3">
                  <c:v>1.0695217356238409</c:v>
                </c:pt>
                <c:pt idx="4">
                  <c:v>1.0509718525687557</c:v>
                </c:pt>
                <c:pt idx="5">
                  <c:v>1.1671102508266797</c:v>
                </c:pt>
                <c:pt idx="6">
                  <c:v>1.1850955722235665</c:v>
                </c:pt>
                <c:pt idx="7">
                  <c:v>1.2055810952496169</c:v>
                </c:pt>
                <c:pt idx="8">
                  <c:v>1.1597709492701025</c:v>
                </c:pt>
                <c:pt idx="9">
                  <c:v>1.1941285587547383</c:v>
                </c:pt>
                <c:pt idx="10">
                  <c:v>1.1883216388418421</c:v>
                </c:pt>
                <c:pt idx="11">
                  <c:v>1.1547705460117752</c:v>
                </c:pt>
                <c:pt idx="12">
                  <c:v>1.1366239212839746</c:v>
                </c:pt>
                <c:pt idx="13">
                  <c:v>1.200338736994919</c:v>
                </c:pt>
                <c:pt idx="14">
                  <c:v>1.1926768287765142</c:v>
                </c:pt>
                <c:pt idx="15">
                  <c:v>1.2143721267844181</c:v>
                </c:pt>
                <c:pt idx="16">
                  <c:v>1.2267924832647796</c:v>
                </c:pt>
                <c:pt idx="17">
                  <c:v>1.2090491168642632</c:v>
                </c:pt>
                <c:pt idx="18">
                  <c:v>1.0918622469553996</c:v>
                </c:pt>
                <c:pt idx="19">
                  <c:v>1.0708928139366078</c:v>
                </c:pt>
                <c:pt idx="20">
                  <c:v>1.0278248245826276</c:v>
                </c:pt>
                <c:pt idx="21">
                  <c:v>1.0443584160012906</c:v>
                </c:pt>
                <c:pt idx="22">
                  <c:v>1.0092749415275426</c:v>
                </c:pt>
                <c:pt idx="23">
                  <c:v>1.2317928865231067</c:v>
                </c:pt>
                <c:pt idx="24">
                  <c:v>1.2634083393822084</c:v>
                </c:pt>
                <c:pt idx="25">
                  <c:v>1.237519154770546</c:v>
                </c:pt>
                <c:pt idx="26">
                  <c:v>1.2514718928945883</c:v>
                </c:pt>
                <c:pt idx="27">
                  <c:v>1.2826840874264054</c:v>
                </c:pt>
                <c:pt idx="28">
                  <c:v>1.3650294378578918</c:v>
                </c:pt>
                <c:pt idx="29">
                  <c:v>1.3839825792402614</c:v>
                </c:pt>
                <c:pt idx="30">
                  <c:v>1.3268812000967822</c:v>
                </c:pt>
                <c:pt idx="31">
                  <c:v>1.3673683361561415</c:v>
                </c:pt>
                <c:pt idx="32">
                  <c:v>1.3943866440842003</c:v>
                </c:pt>
                <c:pt idx="33">
                  <c:v>1.1596902976046455</c:v>
                </c:pt>
                <c:pt idx="34">
                  <c:v>1.1234776998145013</c:v>
                </c:pt>
                <c:pt idx="35">
                  <c:v>1.082587305427857</c:v>
                </c:pt>
                <c:pt idx="36">
                  <c:v>1.0924268086135978</c:v>
                </c:pt>
                <c:pt idx="37">
                  <c:v>1.1036373901121059</c:v>
                </c:pt>
                <c:pt idx="38">
                  <c:v>1.0965400435518995</c:v>
                </c:pt>
                <c:pt idx="39">
                  <c:v>1.1634002742156626</c:v>
                </c:pt>
                <c:pt idx="40">
                  <c:v>1.1472699411242842</c:v>
                </c:pt>
                <c:pt idx="41">
                  <c:v>1.146705379466086</c:v>
                </c:pt>
                <c:pt idx="42">
                  <c:v>1.0995241551738044</c:v>
                </c:pt>
                <c:pt idx="43">
                  <c:v>1.1076699733849504</c:v>
                </c:pt>
                <c:pt idx="44">
                  <c:v>1.1056536817485281</c:v>
                </c:pt>
                <c:pt idx="45">
                  <c:v>1.1129929833051053</c:v>
                </c:pt>
                <c:pt idx="46">
                  <c:v>1.1037986934430197</c:v>
                </c:pt>
                <c:pt idx="47">
                  <c:v>1.1116219049923382</c:v>
                </c:pt>
                <c:pt idx="48">
                  <c:v>1.0646019840309704</c:v>
                </c:pt>
                <c:pt idx="49">
                  <c:v>1.1148479716106137</c:v>
                </c:pt>
                <c:pt idx="50">
                  <c:v>1.1679974191467053</c:v>
                </c:pt>
                <c:pt idx="51">
                  <c:v>1.1225905314944753</c:v>
                </c:pt>
                <c:pt idx="52">
                  <c:v>1.0458101459795144</c:v>
                </c:pt>
                <c:pt idx="53">
                  <c:v>1.1115412533268811</c:v>
                </c:pt>
                <c:pt idx="54">
                  <c:v>1.1343656746511817</c:v>
                </c:pt>
                <c:pt idx="55">
                  <c:v>1.1171062182434066</c:v>
                </c:pt>
                <c:pt idx="56">
                  <c:v>1.101379143479313</c:v>
                </c:pt>
                <c:pt idx="57">
                  <c:v>1.1137994999596741</c:v>
                </c:pt>
                <c:pt idx="58">
                  <c:v>1.090894426969917</c:v>
                </c:pt>
                <c:pt idx="59">
                  <c:v>1.0375030244374546</c:v>
                </c:pt>
                <c:pt idx="60">
                  <c:v>1.0922655052826842</c:v>
                </c:pt>
                <c:pt idx="61">
                  <c:v>0.967981288813614</c:v>
                </c:pt>
                <c:pt idx="62">
                  <c:v>0.97507863537382056</c:v>
                </c:pt>
                <c:pt idx="63">
                  <c:v>0.9958061133962417</c:v>
                </c:pt>
                <c:pt idx="64">
                  <c:v>1.0189531413823696</c:v>
                </c:pt>
                <c:pt idx="65">
                  <c:v>1.0018549883055086</c:v>
                </c:pt>
                <c:pt idx="66">
                  <c:v>1.0243568029679813</c:v>
                </c:pt>
                <c:pt idx="67">
                  <c:v>0.99274135010887987</c:v>
                </c:pt>
                <c:pt idx="68">
                  <c:v>1.072344543914832</c:v>
                </c:pt>
                <c:pt idx="69">
                  <c:v>1.1050084684248729</c:v>
                </c:pt>
                <c:pt idx="70">
                  <c:v>1.1438825711750948</c:v>
                </c:pt>
                <c:pt idx="71">
                  <c:v>1.1208161948544237</c:v>
                </c:pt>
                <c:pt idx="72">
                  <c:v>1.1723526090813776</c:v>
                </c:pt>
                <c:pt idx="73">
                  <c:v>1.1526736027098958</c:v>
                </c:pt>
                <c:pt idx="74">
                  <c:v>1.2350996048068392</c:v>
                </c:pt>
                <c:pt idx="75">
                  <c:v>1.2508266795709333</c:v>
                </c:pt>
                <c:pt idx="76">
                  <c:v>1.256149689491088</c:v>
                </c:pt>
                <c:pt idx="77">
                  <c:v>1.2209049116864263</c:v>
                </c:pt>
                <c:pt idx="78">
                  <c:v>1.2551012178401484</c:v>
                </c:pt>
                <c:pt idx="79">
                  <c:v>1.2167916767481248</c:v>
                </c:pt>
                <c:pt idx="80">
                  <c:v>1.2378417614323736</c:v>
                </c:pt>
                <c:pt idx="81">
                  <c:v>1.1961448503911607</c:v>
                </c:pt>
                <c:pt idx="82">
                  <c:v>1.1489636260988791</c:v>
                </c:pt>
                <c:pt idx="83">
                  <c:v>1.1396080329058798</c:v>
                </c:pt>
                <c:pt idx="84">
                  <c:v>1.1700943624485847</c:v>
                </c:pt>
                <c:pt idx="85">
                  <c:v>1.146624727800629</c:v>
                </c:pt>
                <c:pt idx="86">
                  <c:v>1.1202516331962256</c:v>
                </c:pt>
                <c:pt idx="87">
                  <c:v>1.1125090733123639</c:v>
                </c:pt>
                <c:pt idx="88">
                  <c:v>1.1722719574159206</c:v>
                </c:pt>
                <c:pt idx="89">
                  <c:v>1.198725703685781</c:v>
                </c:pt>
                <c:pt idx="90">
                  <c:v>1.1691265424631019</c:v>
                </c:pt>
                <c:pt idx="91">
                  <c:v>1.1023469634647955</c:v>
                </c:pt>
                <c:pt idx="92">
                  <c:v>1.0483103476086781</c:v>
                </c:pt>
                <c:pt idx="93">
                  <c:v>1.0035486732801033</c:v>
                </c:pt>
                <c:pt idx="94">
                  <c:v>0.9958061133962417</c:v>
                </c:pt>
                <c:pt idx="95">
                  <c:v>1.0012097749818534</c:v>
                </c:pt>
                <c:pt idx="96">
                  <c:v>0.92313896281958219</c:v>
                </c:pt>
                <c:pt idx="97">
                  <c:v>0.91031534801193648</c:v>
                </c:pt>
                <c:pt idx="98">
                  <c:v>0.93354302766352126</c:v>
                </c:pt>
                <c:pt idx="99">
                  <c:v>1.0125010081458183</c:v>
                </c:pt>
                <c:pt idx="100">
                  <c:v>1.0306476328736189</c:v>
                </c:pt>
                <c:pt idx="101">
                  <c:v>0.99725784337446577</c:v>
                </c:pt>
                <c:pt idx="102">
                  <c:v>1.0297604645535932</c:v>
                </c:pt>
                <c:pt idx="103">
                  <c:v>1.0962980885555287</c:v>
                </c:pt>
                <c:pt idx="104">
                  <c:v>1.1049278167594161</c:v>
                </c:pt>
                <c:pt idx="105">
                  <c:v>1.1341237196548108</c:v>
                </c:pt>
                <c:pt idx="106">
                  <c:v>1.1758206306960239</c:v>
                </c:pt>
                <c:pt idx="107">
                  <c:v>1.1258972497782078</c:v>
                </c:pt>
                <c:pt idx="108">
                  <c:v>1.1846116622308251</c:v>
                </c:pt>
                <c:pt idx="109">
                  <c:v>1.1849342688926525</c:v>
                </c:pt>
                <c:pt idx="110">
                  <c:v>1.2000161303330914</c:v>
                </c:pt>
                <c:pt idx="111">
                  <c:v>1.1769497540124205</c:v>
                </c:pt>
                <c:pt idx="112">
                  <c:v>1.1417049762077587</c:v>
                </c:pt>
                <c:pt idx="113">
                  <c:v>1.172110654085007</c:v>
                </c:pt>
                <c:pt idx="114">
                  <c:v>1.1705782724413258</c:v>
                </c:pt>
                <c:pt idx="115">
                  <c:v>1.1705782724413258</c:v>
                </c:pt>
                <c:pt idx="116">
                  <c:v>1.1567061859827406</c:v>
                </c:pt>
                <c:pt idx="117">
                  <c:v>1.1608194209210421</c:v>
                </c:pt>
                <c:pt idx="118">
                  <c:v>1.1368658762803454</c:v>
                </c:pt>
                <c:pt idx="119">
                  <c:v>1.0905718203080894</c:v>
                </c:pt>
                <c:pt idx="120">
                  <c:v>1.1133155899669327</c:v>
                </c:pt>
                <c:pt idx="121">
                  <c:v>1.1071054117267523</c:v>
                </c:pt>
                <c:pt idx="122">
                  <c:v>1.1753367207032825</c:v>
                </c:pt>
                <c:pt idx="123">
                  <c:v>1.1705782724413258</c:v>
                </c:pt>
                <c:pt idx="124">
                  <c:v>1.1048471650939593</c:v>
                </c:pt>
                <c:pt idx="125">
                  <c:v>1.1424308411968709</c:v>
                </c:pt>
                <c:pt idx="126">
                  <c:v>1.1196870715380274</c:v>
                </c:pt>
                <c:pt idx="127">
                  <c:v>1.1342850229857246</c:v>
                </c:pt>
                <c:pt idx="128">
                  <c:v>1.1244455197999839</c:v>
                </c:pt>
                <c:pt idx="129">
                  <c:v>1.1333978546656989</c:v>
                </c:pt>
                <c:pt idx="130">
                  <c:v>1.155012501008146</c:v>
                </c:pt>
                <c:pt idx="131">
                  <c:v>1.243487378014356</c:v>
                </c:pt>
                <c:pt idx="132">
                  <c:v>1.254052746189209</c:v>
                </c:pt>
                <c:pt idx="133">
                  <c:v>1.2414710863779339</c:v>
                </c:pt>
                <c:pt idx="134">
                  <c:v>1.2565529478183726</c:v>
                </c:pt>
                <c:pt idx="135">
                  <c:v>1.2754254375352851</c:v>
                </c:pt>
                <c:pt idx="136">
                  <c:v>1.2537301395273812</c:v>
                </c:pt>
                <c:pt idx="137">
                  <c:v>1.2199370917009436</c:v>
                </c:pt>
                <c:pt idx="138">
                  <c:v>1.2015485119767724</c:v>
                </c:pt>
                <c:pt idx="139">
                  <c:v>1.1622711508992662</c:v>
                </c:pt>
                <c:pt idx="140">
                  <c:v>1.0779095088313575</c:v>
                </c:pt>
                <c:pt idx="141">
                  <c:v>1.0752480038712799</c:v>
                </c:pt>
                <c:pt idx="142">
                  <c:v>1.0479070892813938</c:v>
                </c:pt>
                <c:pt idx="143">
                  <c:v>1.1446890878296638</c:v>
                </c:pt>
                <c:pt idx="144">
                  <c:v>1.1083151867086054</c:v>
                </c:pt>
                <c:pt idx="145">
                  <c:v>1.1341237196548108</c:v>
                </c:pt>
                <c:pt idx="146">
                  <c:v>1.1295265747237682</c:v>
                </c:pt>
                <c:pt idx="147">
                  <c:v>1.1294459230583112</c:v>
                </c:pt>
                <c:pt idx="148">
                  <c:v>1.1147673199451569</c:v>
                </c:pt>
                <c:pt idx="149">
                  <c:v>1.1403338978949915</c:v>
                </c:pt>
                <c:pt idx="150">
                  <c:v>1.1038793451084765</c:v>
                </c:pt>
                <c:pt idx="151">
                  <c:v>1.0871037986934431</c:v>
                </c:pt>
                <c:pt idx="152">
                  <c:v>1.0867811920316155</c:v>
                </c:pt>
                <c:pt idx="153">
                  <c:v>1.1122671183159933</c:v>
                </c:pt>
                <c:pt idx="154">
                  <c:v>1</c:v>
                </c:pt>
              </c:numCache>
            </c:numRef>
          </c:val>
          <c:smooth val="0"/>
          <c:extLst>
            <c:ext xmlns:c16="http://schemas.microsoft.com/office/drawing/2014/chart" uri="{C3380CC4-5D6E-409C-BE32-E72D297353CC}">
              <c16:uniqueId val="{00000000-0BFC-4092-BBEE-7B7B9EC025B0}"/>
            </c:ext>
          </c:extLst>
        </c:ser>
        <c:ser>
          <c:idx val="1"/>
          <c:order val="1"/>
          <c:tx>
            <c:strRef>
              <c:f>'Stock Data'!$V$4</c:f>
              <c:strCache>
                <c:ptCount val="1"/>
                <c:pt idx="0">
                  <c:v>SPX Index</c:v>
                </c:pt>
              </c:strCache>
            </c:strRef>
          </c:tx>
          <c:spPr>
            <a:ln w="28575" cap="rnd">
              <a:solidFill>
                <a:schemeClr val="accent3"/>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Data'!$V$5:$V$159</c:f>
              <c:numCache>
                <c:formatCode>General</c:formatCode>
                <c:ptCount val="155"/>
                <c:pt idx="0">
                  <c:v>2.0610029498525075</c:v>
                </c:pt>
                <c:pt idx="1">
                  <c:v>2.0610029498525075</c:v>
                </c:pt>
                <c:pt idx="2">
                  <c:v>2.0871018253598601</c:v>
                </c:pt>
                <c:pt idx="3">
                  <c:v>2.0746352607181673</c:v>
                </c:pt>
                <c:pt idx="4">
                  <c:v>2.1149510945505359</c:v>
                </c:pt>
                <c:pt idx="5">
                  <c:v>2.0421460731474705</c:v>
                </c:pt>
                <c:pt idx="6">
                  <c:v>2.0678510435380484</c:v>
                </c:pt>
                <c:pt idx="7">
                  <c:v>2.0461401290837715</c:v>
                </c:pt>
                <c:pt idx="8">
                  <c:v>2.0302606072703884</c:v>
                </c:pt>
                <c:pt idx="9">
                  <c:v>2.0140838822720517</c:v>
                </c:pt>
                <c:pt idx="10">
                  <c:v>1.9942014327855035</c:v>
                </c:pt>
                <c:pt idx="11">
                  <c:v>1.9686845432164481</c:v>
                </c:pt>
                <c:pt idx="12">
                  <c:v>1.926859626943465</c:v>
                </c:pt>
                <c:pt idx="13">
                  <c:v>1.9466294053718365</c:v>
                </c:pt>
                <c:pt idx="14">
                  <c:v>1.9218470956151441</c:v>
                </c:pt>
                <c:pt idx="15">
                  <c:v>1.899881562312862</c:v>
                </c:pt>
                <c:pt idx="16">
                  <c:v>1.8956568412180894</c:v>
                </c:pt>
                <c:pt idx="17">
                  <c:v>1.8806041652804579</c:v>
                </c:pt>
                <c:pt idx="18">
                  <c:v>1.7558364938895912</c:v>
                </c:pt>
                <c:pt idx="19">
                  <c:v>1.7339765342559941</c:v>
                </c:pt>
                <c:pt idx="20">
                  <c:v>1.621435003437798</c:v>
                </c:pt>
                <c:pt idx="21">
                  <c:v>1.6705684565395791</c:v>
                </c:pt>
                <c:pt idx="22">
                  <c:v>1.5162153170536963</c:v>
                </c:pt>
                <c:pt idx="23">
                  <c:v>1.7243480382371856</c:v>
                </c:pt>
                <c:pt idx="24">
                  <c:v>1.7998828930733917</c:v>
                </c:pt>
                <c:pt idx="25">
                  <c:v>1.7285124315212812</c:v>
                </c:pt>
                <c:pt idx="26">
                  <c:v>1.7190729034976822</c:v>
                </c:pt>
                <c:pt idx="27">
                  <c:v>1.8056229068245835</c:v>
                </c:pt>
                <c:pt idx="28">
                  <c:v>1.8708053319138553</c:v>
                </c:pt>
                <c:pt idx="29">
                  <c:v>1.966385876194912</c:v>
                </c:pt>
                <c:pt idx="30">
                  <c:v>1.9245920110009538</c:v>
                </c:pt>
                <c:pt idx="31">
                  <c:v>1.9133603921307691</c:v>
                </c:pt>
                <c:pt idx="32">
                  <c:v>1.9041444318761507</c:v>
                </c:pt>
                <c:pt idx="33">
                  <c:v>1.9133240180096256</c:v>
                </c:pt>
                <c:pt idx="34">
                  <c:v>1.8415427950406991</c:v>
                </c:pt>
                <c:pt idx="35">
                  <c:v>1.8784163949697252</c:v>
                </c:pt>
                <c:pt idx="36">
                  <c:v>1.8641444318761504</c:v>
                </c:pt>
                <c:pt idx="37">
                  <c:v>1.9338301505977333</c:v>
                </c:pt>
                <c:pt idx="38">
                  <c:v>1.9518779249007476</c:v>
                </c:pt>
                <c:pt idx="39">
                  <c:v>1.8957287022866902</c:v>
                </c:pt>
                <c:pt idx="40">
                  <c:v>1.8834094084769446</c:v>
                </c:pt>
                <c:pt idx="41">
                  <c:v>1.8562246323774039</c:v>
                </c:pt>
                <c:pt idx="42">
                  <c:v>1.8350823962561271</c:v>
                </c:pt>
                <c:pt idx="43">
                  <c:v>1.8693450440259942</c:v>
                </c:pt>
                <c:pt idx="44">
                  <c:v>1.7945270255284227</c:v>
                </c:pt>
                <c:pt idx="45">
                  <c:v>1.8231995919001043</c:v>
                </c:pt>
                <c:pt idx="46">
                  <c:v>1.8083837913367491</c:v>
                </c:pt>
                <c:pt idx="47">
                  <c:v>1.7885270698871074</c:v>
                </c:pt>
                <c:pt idx="48">
                  <c:v>1.7839093308492469</c:v>
                </c:pt>
                <c:pt idx="49">
                  <c:v>1.7542351453855878</c:v>
                </c:pt>
                <c:pt idx="50">
                  <c:v>1.7694537228025817</c:v>
                </c:pt>
                <c:pt idx="51">
                  <c:v>1.7239913944152419</c:v>
                </c:pt>
                <c:pt idx="52">
                  <c:v>1.6704717546077583</c:v>
                </c:pt>
                <c:pt idx="53">
                  <c:v>1.6819686384101846</c:v>
                </c:pt>
                <c:pt idx="54">
                  <c:v>1.7372209284272628</c:v>
                </c:pt>
                <c:pt idx="55">
                  <c:v>1.7494905405105685</c:v>
                </c:pt>
                <c:pt idx="56">
                  <c:v>1.6862004568944486</c:v>
                </c:pt>
                <c:pt idx="57">
                  <c:v>1.6038254929358793</c:v>
                </c:pt>
                <c:pt idx="58">
                  <c:v>1.667555614700468</c:v>
                </c:pt>
                <c:pt idx="59">
                  <c:v>1.7525530640761195</c:v>
                </c:pt>
                <c:pt idx="60">
                  <c:v>1.8097127775190189</c:v>
                </c:pt>
                <c:pt idx="61">
                  <c:v>1.8145381151995033</c:v>
                </c:pt>
                <c:pt idx="62">
                  <c:v>1.7754022223700845</c:v>
                </c:pt>
                <c:pt idx="63">
                  <c:v>1.7478324128906337</c:v>
                </c:pt>
                <c:pt idx="64">
                  <c:v>1.7662616718788122</c:v>
                </c:pt>
                <c:pt idx="65">
                  <c:v>1.7042766207554285</c:v>
                </c:pt>
                <c:pt idx="66">
                  <c:v>1.6550083172533103</c:v>
                </c:pt>
                <c:pt idx="67">
                  <c:v>1.6740470645640648</c:v>
                </c:pt>
                <c:pt idx="68">
                  <c:v>1.6602390933084925</c:v>
                </c:pt>
                <c:pt idx="69">
                  <c:v>1.6255479406480804</c:v>
                </c:pt>
                <c:pt idx="70">
                  <c:v>1.6050258389336174</c:v>
                </c:pt>
                <c:pt idx="71">
                  <c:v>1.5472921241155986</c:v>
                </c:pt>
                <c:pt idx="72">
                  <c:v>1.5500228447224256</c:v>
                </c:pt>
                <c:pt idx="73">
                  <c:v>1.5715093042340365</c:v>
                </c:pt>
                <c:pt idx="74">
                  <c:v>1.6119857165036486</c:v>
                </c:pt>
                <c:pt idx="75">
                  <c:v>1.6077166367245546</c:v>
                </c:pt>
                <c:pt idx="76">
                  <c:v>1.6155911903652938</c:v>
                </c:pt>
                <c:pt idx="77">
                  <c:v>1.599770222015215</c:v>
                </c:pt>
                <c:pt idx="78">
                  <c:v>1.6163523853882493</c:v>
                </c:pt>
                <c:pt idx="79">
                  <c:v>1.5878519307117349</c:v>
                </c:pt>
                <c:pt idx="80">
                  <c:v>1.5943442677490185</c:v>
                </c:pt>
                <c:pt idx="81">
                  <c:v>1.5566438219442411</c:v>
                </c:pt>
                <c:pt idx="82">
                  <c:v>1.5614629494089203</c:v>
                </c:pt>
                <c:pt idx="83">
                  <c:v>1.5590063654712001</c:v>
                </c:pt>
                <c:pt idx="84">
                  <c:v>1.5504877237341139</c:v>
                </c:pt>
                <c:pt idx="85">
                  <c:v>1.5440557145075076</c:v>
                </c:pt>
                <c:pt idx="86">
                  <c:v>1.4931763035908354</c:v>
                </c:pt>
                <c:pt idx="87">
                  <c:v>1.4796912635571229</c:v>
                </c:pt>
                <c:pt idx="88">
                  <c:v>1.4677348237851264</c:v>
                </c:pt>
                <c:pt idx="89">
                  <c:v>1.4974125579435313</c:v>
                </c:pt>
                <c:pt idx="90">
                  <c:v>1.4915030940182312</c:v>
                </c:pt>
                <c:pt idx="91">
                  <c:v>1.450906026127265</c:v>
                </c:pt>
                <c:pt idx="92">
                  <c:v>1.4086286512742032</c:v>
                </c:pt>
                <c:pt idx="93">
                  <c:v>1.4204032204404817</c:v>
                </c:pt>
                <c:pt idx="94">
                  <c:v>1.4135888393550249</c:v>
                </c:pt>
                <c:pt idx="95">
                  <c:v>1.4028407301439438</c:v>
                </c:pt>
                <c:pt idx="96">
                  <c:v>1.357022645108346</c:v>
                </c:pt>
                <c:pt idx="97">
                  <c:v>1.2783977643223103</c:v>
                </c:pt>
                <c:pt idx="98">
                  <c:v>1.3082130104021115</c:v>
                </c:pt>
                <c:pt idx="99">
                  <c:v>1.3415849357908045</c:v>
                </c:pt>
                <c:pt idx="100">
                  <c:v>1.3424286379665979</c:v>
                </c:pt>
                <c:pt idx="101">
                  <c:v>1.2922234790516114</c:v>
                </c:pt>
                <c:pt idx="102">
                  <c:v>1.2904677623261693</c:v>
                </c:pt>
                <c:pt idx="103">
                  <c:v>1.3477259520482623</c:v>
                </c:pt>
                <c:pt idx="104">
                  <c:v>1.356465500033269</c:v>
                </c:pt>
                <c:pt idx="105">
                  <c:v>1.3758502450817309</c:v>
                </c:pt>
                <c:pt idx="106">
                  <c:v>1.3641670548051543</c:v>
                </c:pt>
                <c:pt idx="107">
                  <c:v>1.322683700401446</c:v>
                </c:pt>
                <c:pt idx="108">
                  <c:v>1.334100738572094</c:v>
                </c:pt>
                <c:pt idx="109">
                  <c:v>1.3549848071506199</c:v>
                </c:pt>
                <c:pt idx="110">
                  <c:v>1.3944604875019406</c:v>
                </c:pt>
                <c:pt idx="111">
                  <c:v>1.3805682347461574</c:v>
                </c:pt>
                <c:pt idx="112">
                  <c:v>1.4054028877503493</c:v>
                </c:pt>
                <c:pt idx="113">
                  <c:v>1.341323219553308</c:v>
                </c:pt>
                <c:pt idx="114">
                  <c:v>1.3259618071727992</c:v>
                </c:pt>
                <c:pt idx="115">
                  <c:v>1.3259618071727992</c:v>
                </c:pt>
                <c:pt idx="116">
                  <c:v>1.3369840530529864</c:v>
                </c:pt>
                <c:pt idx="117">
                  <c:v>1.3219642025417526</c:v>
                </c:pt>
                <c:pt idx="118">
                  <c:v>1.2915554372657307</c:v>
                </c:pt>
                <c:pt idx="119">
                  <c:v>1.2735369396943685</c:v>
                </c:pt>
                <c:pt idx="120">
                  <c:v>1.2129917714640583</c:v>
                </c:pt>
                <c:pt idx="121">
                  <c:v>1.1911202785725377</c:v>
                </c:pt>
                <c:pt idx="122">
                  <c:v>1.1711677423647615</c:v>
                </c:pt>
                <c:pt idx="123">
                  <c:v>1.1634094084769446</c:v>
                </c:pt>
                <c:pt idx="124">
                  <c:v>1.1289382748907668</c:v>
                </c:pt>
                <c:pt idx="125">
                  <c:v>1.1614691596247255</c:v>
                </c:pt>
                <c:pt idx="126">
                  <c:v>1.150146161864839</c:v>
                </c:pt>
                <c:pt idx="127">
                  <c:v>1.1622037394370883</c:v>
                </c:pt>
                <c:pt idx="128">
                  <c:v>1.1187765874864151</c:v>
                </c:pt>
                <c:pt idx="129">
                  <c:v>1.1303870295207044</c:v>
                </c:pt>
                <c:pt idx="130">
                  <c:v>1.0823332667953069</c:v>
                </c:pt>
                <c:pt idx="131">
                  <c:v>1.0781085457005346</c:v>
                </c:pt>
                <c:pt idx="132">
                  <c:v>1.0683451992813895</c:v>
                </c:pt>
                <c:pt idx="133">
                  <c:v>1.0699580810433162</c:v>
                </c:pt>
                <c:pt idx="134">
                  <c:v>1.117030629671524</c:v>
                </c:pt>
                <c:pt idx="135">
                  <c:v>1.1292186217756781</c:v>
                </c:pt>
                <c:pt idx="136">
                  <c:v>1.0736513850999179</c:v>
                </c:pt>
                <c:pt idx="137">
                  <c:v>1.0510027280590857</c:v>
                </c:pt>
                <c:pt idx="138">
                  <c:v>1.0253234857054141</c:v>
                </c:pt>
                <c:pt idx="139">
                  <c:v>0.99414731519063149</c:v>
                </c:pt>
                <c:pt idx="140">
                  <c:v>0.96370483731452516</c:v>
                </c:pt>
                <c:pt idx="141">
                  <c:v>0.96014460931088785</c:v>
                </c:pt>
                <c:pt idx="142">
                  <c:v>0.98231596690842149</c:v>
                </c:pt>
                <c:pt idx="143">
                  <c:v>1.0498999711668551</c:v>
                </c:pt>
                <c:pt idx="144">
                  <c:v>1.0246581054405928</c:v>
                </c:pt>
                <c:pt idx="145">
                  <c:v>1.0205558143145474</c:v>
                </c:pt>
                <c:pt idx="146">
                  <c:v>1.0401969525583872</c:v>
                </c:pt>
                <c:pt idx="147">
                  <c:v>1.053177190764522</c:v>
                </c:pt>
                <c:pt idx="148">
                  <c:v>0.98116973850555589</c:v>
                </c:pt>
                <c:pt idx="149">
                  <c:v>1.001525938740657</c:v>
                </c:pt>
                <c:pt idx="150">
                  <c:v>1.035330804888327</c:v>
                </c:pt>
                <c:pt idx="151">
                  <c:v>0.98899815911460065</c:v>
                </c:pt>
                <c:pt idx="152">
                  <c:v>0.95738017610397674</c:v>
                </c:pt>
                <c:pt idx="153">
                  <c:v>1.0275724710005103</c:v>
                </c:pt>
                <c:pt idx="154">
                  <c:v>1</c:v>
                </c:pt>
              </c:numCache>
            </c:numRef>
          </c:val>
          <c:smooth val="0"/>
          <c:extLst>
            <c:ext xmlns:c16="http://schemas.microsoft.com/office/drawing/2014/chart" uri="{C3380CC4-5D6E-409C-BE32-E72D297353CC}">
              <c16:uniqueId val="{00000001-0BFC-4092-BBEE-7B7B9EC025B0}"/>
            </c:ext>
          </c:extLst>
        </c:ser>
        <c:ser>
          <c:idx val="2"/>
          <c:order val="2"/>
          <c:tx>
            <c:strRef>
              <c:f>'Stock Data'!$W$4</c:f>
              <c:strCache>
                <c:ptCount val="1"/>
                <c:pt idx="0">
                  <c:v>DJUSFE Index</c:v>
                </c:pt>
              </c:strCache>
            </c:strRef>
          </c:tx>
          <c:spPr>
            <a:ln w="28575" cap="rnd">
              <a:solidFill>
                <a:schemeClr val="accent5"/>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Data'!$W$5:$W$159</c:f>
              <c:numCache>
                <c:formatCode>General</c:formatCode>
                <c:ptCount val="155"/>
                <c:pt idx="0">
                  <c:v>1.668993209011534</c:v>
                </c:pt>
                <c:pt idx="1">
                  <c:v>1.668993209011534</c:v>
                </c:pt>
                <c:pt idx="2">
                  <c:v>1.7030424706262801</c:v>
                </c:pt>
                <c:pt idx="3">
                  <c:v>1.6796512881319392</c:v>
                </c:pt>
                <c:pt idx="4">
                  <c:v>1.6750565915705511</c:v>
                </c:pt>
                <c:pt idx="5">
                  <c:v>1.6481621213754447</c:v>
                </c:pt>
                <c:pt idx="6">
                  <c:v>1.673075886601272</c:v>
                </c:pt>
                <c:pt idx="7">
                  <c:v>1.6824000215586934</c:v>
                </c:pt>
                <c:pt idx="8">
                  <c:v>1.6549396356580792</c:v>
                </c:pt>
                <c:pt idx="9">
                  <c:v>1.6698016600194028</c:v>
                </c:pt>
                <c:pt idx="10">
                  <c:v>1.6568933922604292</c:v>
                </c:pt>
                <c:pt idx="11">
                  <c:v>1.6063786784520859</c:v>
                </c:pt>
                <c:pt idx="12">
                  <c:v>1.5649994610326614</c:v>
                </c:pt>
                <c:pt idx="13">
                  <c:v>1.615635442492185</c:v>
                </c:pt>
                <c:pt idx="14">
                  <c:v>1.5936725234450793</c:v>
                </c:pt>
                <c:pt idx="15">
                  <c:v>1.6017705077072331</c:v>
                </c:pt>
                <c:pt idx="16">
                  <c:v>1.6209712191441199</c:v>
                </c:pt>
                <c:pt idx="17">
                  <c:v>1.6245553519456724</c:v>
                </c:pt>
                <c:pt idx="18">
                  <c:v>1.5101325859652905</c:v>
                </c:pt>
                <c:pt idx="19">
                  <c:v>1.4935728144874421</c:v>
                </c:pt>
                <c:pt idx="20">
                  <c:v>1.4378031691279509</c:v>
                </c:pt>
                <c:pt idx="21">
                  <c:v>1.4413603535625743</c:v>
                </c:pt>
                <c:pt idx="22">
                  <c:v>1.340977686752183</c:v>
                </c:pt>
                <c:pt idx="23">
                  <c:v>1.5580737307319177</c:v>
                </c:pt>
                <c:pt idx="24">
                  <c:v>1.6072140778268837</c:v>
                </c:pt>
                <c:pt idx="25">
                  <c:v>1.5749703567963784</c:v>
                </c:pt>
                <c:pt idx="26">
                  <c:v>1.5802522367144551</c:v>
                </c:pt>
                <c:pt idx="27">
                  <c:v>1.593106607739571</c:v>
                </c:pt>
                <c:pt idx="28">
                  <c:v>1.6581869138730194</c:v>
                </c:pt>
                <c:pt idx="29">
                  <c:v>1.7000377277137007</c:v>
                </c:pt>
                <c:pt idx="30">
                  <c:v>1.6857820416082785</c:v>
                </c:pt>
                <c:pt idx="31">
                  <c:v>1.6884768783011748</c:v>
                </c:pt>
                <c:pt idx="32">
                  <c:v>1.6731163091516654</c:v>
                </c:pt>
                <c:pt idx="33">
                  <c:v>1.6887598361539291</c:v>
                </c:pt>
                <c:pt idx="34">
                  <c:v>1.6145036110811686</c:v>
                </c:pt>
                <c:pt idx="35">
                  <c:v>1.595370270561604</c:v>
                </c:pt>
                <c:pt idx="36">
                  <c:v>1.6027137005497467</c:v>
                </c:pt>
                <c:pt idx="37">
                  <c:v>1.63020103481729</c:v>
                </c:pt>
                <c:pt idx="38">
                  <c:v>1.6770372965398299</c:v>
                </c:pt>
                <c:pt idx="39">
                  <c:v>1.7302333728576047</c:v>
                </c:pt>
                <c:pt idx="40">
                  <c:v>1.7571413172361754</c:v>
                </c:pt>
                <c:pt idx="41">
                  <c:v>1.7673682224857175</c:v>
                </c:pt>
                <c:pt idx="42">
                  <c:v>1.7122992346663792</c:v>
                </c:pt>
                <c:pt idx="43">
                  <c:v>1.7350436563544251</c:v>
                </c:pt>
                <c:pt idx="44">
                  <c:v>1.6686428802414575</c:v>
                </c:pt>
                <c:pt idx="45">
                  <c:v>1.6406031044518701</c:v>
                </c:pt>
                <c:pt idx="46">
                  <c:v>1.6522986956990406</c:v>
                </c:pt>
                <c:pt idx="47">
                  <c:v>1.6700980920556214</c:v>
                </c:pt>
                <c:pt idx="48">
                  <c:v>1.6379756386762965</c:v>
                </c:pt>
                <c:pt idx="49">
                  <c:v>1.6575940498005821</c:v>
                </c:pt>
                <c:pt idx="50">
                  <c:v>1.6468416513959254</c:v>
                </c:pt>
                <c:pt idx="51">
                  <c:v>1.6025924328985666</c:v>
                </c:pt>
                <c:pt idx="52">
                  <c:v>1.5380510941036973</c:v>
                </c:pt>
                <c:pt idx="53">
                  <c:v>1.5562008192303547</c:v>
                </c:pt>
                <c:pt idx="54">
                  <c:v>1.578904818368007</c:v>
                </c:pt>
                <c:pt idx="55">
                  <c:v>1.5479276705831626</c:v>
                </c:pt>
                <c:pt idx="56">
                  <c:v>1.5285517947612377</c:v>
                </c:pt>
                <c:pt idx="57">
                  <c:v>1.4921310768567426</c:v>
                </c:pt>
                <c:pt idx="58">
                  <c:v>1.5864099385577233</c:v>
                </c:pt>
                <c:pt idx="59">
                  <c:v>1.5845639754230894</c:v>
                </c:pt>
                <c:pt idx="60">
                  <c:v>1.6201492939527866</c:v>
                </c:pt>
                <c:pt idx="61">
                  <c:v>1.4837097121914413</c:v>
                </c:pt>
                <c:pt idx="62">
                  <c:v>1.485825158995365</c:v>
                </c:pt>
                <c:pt idx="63">
                  <c:v>1.4970222054543494</c:v>
                </c:pt>
                <c:pt idx="64">
                  <c:v>1.520628974884122</c:v>
                </c:pt>
                <c:pt idx="65">
                  <c:v>1.5108197693219791</c:v>
                </c:pt>
                <c:pt idx="66">
                  <c:v>1.511682117063706</c:v>
                </c:pt>
                <c:pt idx="67">
                  <c:v>1.5348038158887571</c:v>
                </c:pt>
                <c:pt idx="68">
                  <c:v>1.5938476878301178</c:v>
                </c:pt>
                <c:pt idx="69">
                  <c:v>1.5922442599978444</c:v>
                </c:pt>
                <c:pt idx="70">
                  <c:v>1.5748356149617333</c:v>
                </c:pt>
                <c:pt idx="71">
                  <c:v>1.5429961194351625</c:v>
                </c:pt>
                <c:pt idx="72">
                  <c:v>1.5750377277137007</c:v>
                </c:pt>
                <c:pt idx="73">
                  <c:v>1.5668993209011537</c:v>
                </c:pt>
                <c:pt idx="74">
                  <c:v>1.6267246954834538</c:v>
                </c:pt>
                <c:pt idx="75">
                  <c:v>1.6108655815457584</c:v>
                </c:pt>
                <c:pt idx="76">
                  <c:v>1.6210251158779778</c:v>
                </c:pt>
                <c:pt idx="77">
                  <c:v>1.6029562358521074</c:v>
                </c:pt>
                <c:pt idx="78">
                  <c:v>1.599062196830872</c:v>
                </c:pt>
                <c:pt idx="79">
                  <c:v>1.5623450468901585</c:v>
                </c:pt>
                <c:pt idx="80">
                  <c:v>1.5626549531098417</c:v>
                </c:pt>
                <c:pt idx="81">
                  <c:v>1.5253449390966907</c:v>
                </c:pt>
                <c:pt idx="82">
                  <c:v>1.4993128166433114</c:v>
                </c:pt>
                <c:pt idx="83">
                  <c:v>1.505147138083432</c:v>
                </c:pt>
                <c:pt idx="84">
                  <c:v>1.479424921849736</c:v>
                </c:pt>
                <c:pt idx="85">
                  <c:v>1.4585668858467178</c:v>
                </c:pt>
                <c:pt idx="86">
                  <c:v>1.4274010994933706</c:v>
                </c:pt>
                <c:pt idx="87">
                  <c:v>1.4278457475476987</c:v>
                </c:pt>
                <c:pt idx="88">
                  <c:v>1.4514120944270779</c:v>
                </c:pt>
                <c:pt idx="89">
                  <c:v>1.469144119866336</c:v>
                </c:pt>
                <c:pt idx="90">
                  <c:v>1.4497682440444111</c:v>
                </c:pt>
                <c:pt idx="91">
                  <c:v>1.3991592109518165</c:v>
                </c:pt>
                <c:pt idx="92">
                  <c:v>1.3683302791850813</c:v>
                </c:pt>
                <c:pt idx="93">
                  <c:v>1.3379055729222811</c:v>
                </c:pt>
                <c:pt idx="94">
                  <c:v>1.3433626172253963</c:v>
                </c:pt>
                <c:pt idx="95">
                  <c:v>1.3315727066939744</c:v>
                </c:pt>
                <c:pt idx="96">
                  <c:v>1.2741726851352808</c:v>
                </c:pt>
                <c:pt idx="97">
                  <c:v>1.2275789587151018</c:v>
                </c:pt>
                <c:pt idx="98">
                  <c:v>1.23009863102296</c:v>
                </c:pt>
                <c:pt idx="99">
                  <c:v>1.308329740217743</c:v>
                </c:pt>
                <c:pt idx="100">
                  <c:v>1.3019160288886493</c:v>
                </c:pt>
                <c:pt idx="101">
                  <c:v>1.2692411339872804</c:v>
                </c:pt>
                <c:pt idx="102">
                  <c:v>1.2717473321116741</c:v>
                </c:pt>
                <c:pt idx="103">
                  <c:v>1.3180715748625633</c:v>
                </c:pt>
                <c:pt idx="104">
                  <c:v>1.3351298911285976</c:v>
                </c:pt>
                <c:pt idx="105">
                  <c:v>1.3628867090654306</c:v>
                </c:pt>
                <c:pt idx="106">
                  <c:v>1.3878139484747225</c:v>
                </c:pt>
                <c:pt idx="107">
                  <c:v>1.3319904063813732</c:v>
                </c:pt>
                <c:pt idx="108">
                  <c:v>1.3544922927670584</c:v>
                </c:pt>
                <c:pt idx="109">
                  <c:v>1.3943893500053897</c:v>
                </c:pt>
                <c:pt idx="110">
                  <c:v>1.4063813732887787</c:v>
                </c:pt>
                <c:pt idx="111">
                  <c:v>1.3987415112644173</c:v>
                </c:pt>
                <c:pt idx="112">
                  <c:v>1.4143850382666812</c:v>
                </c:pt>
                <c:pt idx="113">
                  <c:v>1.3996981782903957</c:v>
                </c:pt>
                <c:pt idx="114">
                  <c:v>1.3658240810606876</c:v>
                </c:pt>
                <c:pt idx="115">
                  <c:v>1.3658240810606876</c:v>
                </c:pt>
                <c:pt idx="116">
                  <c:v>1.3424733211167403</c:v>
                </c:pt>
                <c:pt idx="117">
                  <c:v>1.3392934138191226</c:v>
                </c:pt>
                <c:pt idx="118">
                  <c:v>1.2736606661636305</c:v>
                </c:pt>
                <c:pt idx="119">
                  <c:v>1.2317020588552334</c:v>
                </c:pt>
                <c:pt idx="120">
                  <c:v>1.2313382559016925</c:v>
                </c:pt>
                <c:pt idx="121">
                  <c:v>1.2248841220222055</c:v>
                </c:pt>
                <c:pt idx="122">
                  <c:v>1.2533685458661206</c:v>
                </c:pt>
                <c:pt idx="123">
                  <c:v>1.2511048830440876</c:v>
                </c:pt>
                <c:pt idx="124">
                  <c:v>1.2271882073946319</c:v>
                </c:pt>
                <c:pt idx="125">
                  <c:v>1.2414304193165895</c:v>
                </c:pt>
                <c:pt idx="126">
                  <c:v>1.2203028996442815</c:v>
                </c:pt>
                <c:pt idx="127">
                  <c:v>1.2256252021127521</c:v>
                </c:pt>
                <c:pt idx="128">
                  <c:v>1.2298695699040638</c:v>
                </c:pt>
                <c:pt idx="129">
                  <c:v>1.2308666594804356</c:v>
                </c:pt>
                <c:pt idx="130">
                  <c:v>1.247062628004743</c:v>
                </c:pt>
                <c:pt idx="131">
                  <c:v>1.287956774819446</c:v>
                </c:pt>
                <c:pt idx="132">
                  <c:v>1.2728117926053681</c:v>
                </c:pt>
                <c:pt idx="133">
                  <c:v>1.2580575617117602</c:v>
                </c:pt>
                <c:pt idx="134">
                  <c:v>1.2931982321871296</c:v>
                </c:pt>
                <c:pt idx="135">
                  <c:v>1.291702597822572</c:v>
                </c:pt>
                <c:pt idx="136">
                  <c:v>1.2621402393014984</c:v>
                </c:pt>
                <c:pt idx="137">
                  <c:v>1.2311361431497252</c:v>
                </c:pt>
                <c:pt idx="138">
                  <c:v>1.2472243182063167</c:v>
                </c:pt>
                <c:pt idx="139">
                  <c:v>1.2230112105206425</c:v>
                </c:pt>
                <c:pt idx="140">
                  <c:v>1.1766600194028243</c:v>
                </c:pt>
                <c:pt idx="141">
                  <c:v>1.1764309582839281</c:v>
                </c:pt>
                <c:pt idx="142">
                  <c:v>1.1547375229061119</c:v>
                </c:pt>
                <c:pt idx="143">
                  <c:v>1.2125282957852754</c:v>
                </c:pt>
                <c:pt idx="144">
                  <c:v>1.182103589522475</c:v>
                </c:pt>
                <c:pt idx="145">
                  <c:v>1.1853239193704863</c:v>
                </c:pt>
                <c:pt idx="146">
                  <c:v>1.2125282957852754</c:v>
                </c:pt>
                <c:pt idx="147">
                  <c:v>1.2136062304624342</c:v>
                </c:pt>
                <c:pt idx="148">
                  <c:v>1.1683733965721679</c:v>
                </c:pt>
                <c:pt idx="149">
                  <c:v>1.1538078042470625</c:v>
                </c:pt>
                <c:pt idx="150">
                  <c:v>1.1093025762638784</c:v>
                </c:pt>
                <c:pt idx="151">
                  <c:v>1.0680042039452409</c:v>
                </c:pt>
                <c:pt idx="152">
                  <c:v>1.0305863964643742</c:v>
                </c:pt>
                <c:pt idx="153">
                  <c:v>1.0682063166972082</c:v>
                </c:pt>
                <c:pt idx="154">
                  <c:v>1</c:v>
                </c:pt>
              </c:numCache>
            </c:numRef>
          </c:val>
          <c:smooth val="0"/>
          <c:extLst>
            <c:ext xmlns:c16="http://schemas.microsoft.com/office/drawing/2014/chart" uri="{C3380CC4-5D6E-409C-BE32-E72D297353CC}">
              <c16:uniqueId val="{00000002-0BFC-4092-BBEE-7B7B9EC025B0}"/>
            </c:ext>
          </c:extLst>
        </c:ser>
        <c:dLbls>
          <c:showLegendKey val="0"/>
          <c:showVal val="0"/>
          <c:showCatName val="0"/>
          <c:showSerName val="0"/>
          <c:showPercent val="0"/>
          <c:showBubbleSize val="0"/>
        </c:dLbls>
        <c:smooth val="0"/>
        <c:axId val="1007329848"/>
        <c:axId val="1007330176"/>
      </c:lineChart>
      <c:dateAx>
        <c:axId val="100732984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PT"/>
          </a:p>
        </c:txPr>
        <c:crossAx val="1007330176"/>
        <c:crosses val="autoZero"/>
        <c:auto val="1"/>
        <c:lblOffset val="100"/>
        <c:baseTimeUnit val="days"/>
      </c:dateAx>
      <c:valAx>
        <c:axId val="100733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PT"/>
          </a:p>
        </c:txPr>
        <c:crossAx val="1007329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PT"/>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PT"/>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06198353200924E-2"/>
          <c:y val="3.4470114165230686E-2"/>
          <c:w val="0.93213475215892583"/>
          <c:h val="0.63969330964910764"/>
        </c:manualLayout>
      </c:layout>
      <c:lineChart>
        <c:grouping val="standard"/>
        <c:varyColors val="0"/>
        <c:ser>
          <c:idx val="0"/>
          <c:order val="0"/>
          <c:tx>
            <c:strRef>
              <c:f>Inputs!$S$7</c:f>
              <c:strCache>
                <c:ptCount val="1"/>
                <c:pt idx="0">
                  <c:v>MIDDLEBY CORP</c:v>
                </c:pt>
              </c:strCache>
            </c:strRef>
          </c:tx>
          <c:spPr>
            <a:ln w="28575" cap="rnd">
              <a:solidFill>
                <a:schemeClr val="accent1"/>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Data'!$AF$5:$AF$159</c:f>
              <c:numCache>
                <c:formatCode>General</c:formatCode>
                <c:ptCount val="155"/>
                <c:pt idx="0">
                  <c:v>1.1079119283813212</c:v>
                </c:pt>
                <c:pt idx="1">
                  <c:v>1.1079119283813212</c:v>
                </c:pt>
                <c:pt idx="2">
                  <c:v>1.098959593515606</c:v>
                </c:pt>
                <c:pt idx="3">
                  <c:v>1.0695217356238409</c:v>
                </c:pt>
                <c:pt idx="4">
                  <c:v>1.0509718525687557</c:v>
                </c:pt>
                <c:pt idx="5">
                  <c:v>1.1671102508266797</c:v>
                </c:pt>
                <c:pt idx="6">
                  <c:v>1.1850955722235665</c:v>
                </c:pt>
                <c:pt idx="7">
                  <c:v>1.2055810952496169</c:v>
                </c:pt>
                <c:pt idx="8">
                  <c:v>1.1597709492701025</c:v>
                </c:pt>
                <c:pt idx="9">
                  <c:v>1.1941285587547383</c:v>
                </c:pt>
                <c:pt idx="10">
                  <c:v>1.1883216388418421</c:v>
                </c:pt>
                <c:pt idx="11">
                  <c:v>1.1547705460117752</c:v>
                </c:pt>
                <c:pt idx="12">
                  <c:v>1.1366239212839746</c:v>
                </c:pt>
                <c:pt idx="13">
                  <c:v>1.200338736994919</c:v>
                </c:pt>
                <c:pt idx="14">
                  <c:v>1.1926768287765142</c:v>
                </c:pt>
                <c:pt idx="15">
                  <c:v>1.2143721267844181</c:v>
                </c:pt>
                <c:pt idx="16">
                  <c:v>1.2267924832647796</c:v>
                </c:pt>
                <c:pt idx="17">
                  <c:v>1.2090491168642632</c:v>
                </c:pt>
                <c:pt idx="18">
                  <c:v>1.0918622469553996</c:v>
                </c:pt>
                <c:pt idx="19">
                  <c:v>1.0708928139366078</c:v>
                </c:pt>
                <c:pt idx="20">
                  <c:v>1.0278248245826276</c:v>
                </c:pt>
                <c:pt idx="21">
                  <c:v>1.0443584160012906</c:v>
                </c:pt>
                <c:pt idx="22">
                  <c:v>1.0092749415275426</c:v>
                </c:pt>
                <c:pt idx="23">
                  <c:v>1.2317928865231067</c:v>
                </c:pt>
                <c:pt idx="24">
                  <c:v>1.2634083393822084</c:v>
                </c:pt>
                <c:pt idx="25">
                  <c:v>1.237519154770546</c:v>
                </c:pt>
                <c:pt idx="26">
                  <c:v>1.2514718928945883</c:v>
                </c:pt>
                <c:pt idx="27">
                  <c:v>1.2826840874264054</c:v>
                </c:pt>
                <c:pt idx="28">
                  <c:v>1.3650294378578918</c:v>
                </c:pt>
                <c:pt idx="29">
                  <c:v>1.3839825792402614</c:v>
                </c:pt>
                <c:pt idx="30">
                  <c:v>1.3268812000967822</c:v>
                </c:pt>
                <c:pt idx="31">
                  <c:v>1.3673683361561415</c:v>
                </c:pt>
                <c:pt idx="32">
                  <c:v>1.3943866440842003</c:v>
                </c:pt>
                <c:pt idx="33">
                  <c:v>1.1596902976046455</c:v>
                </c:pt>
                <c:pt idx="34">
                  <c:v>1.1234776998145013</c:v>
                </c:pt>
                <c:pt idx="35">
                  <c:v>1.082587305427857</c:v>
                </c:pt>
                <c:pt idx="36">
                  <c:v>1.0924268086135978</c:v>
                </c:pt>
                <c:pt idx="37">
                  <c:v>1.1036373901121059</c:v>
                </c:pt>
                <c:pt idx="38">
                  <c:v>1.0965400435518995</c:v>
                </c:pt>
                <c:pt idx="39">
                  <c:v>1.1634002742156626</c:v>
                </c:pt>
                <c:pt idx="40">
                  <c:v>1.1472699411242842</c:v>
                </c:pt>
                <c:pt idx="41">
                  <c:v>1.146705379466086</c:v>
                </c:pt>
                <c:pt idx="42">
                  <c:v>1.0995241551738044</c:v>
                </c:pt>
                <c:pt idx="43">
                  <c:v>1.1076699733849504</c:v>
                </c:pt>
                <c:pt idx="44">
                  <c:v>1.1056536817485281</c:v>
                </c:pt>
                <c:pt idx="45">
                  <c:v>1.1129929833051053</c:v>
                </c:pt>
                <c:pt idx="46">
                  <c:v>1.1037986934430197</c:v>
                </c:pt>
                <c:pt idx="47">
                  <c:v>1.1116219049923382</c:v>
                </c:pt>
                <c:pt idx="48">
                  <c:v>1.0646019840309704</c:v>
                </c:pt>
                <c:pt idx="49">
                  <c:v>1.1148479716106137</c:v>
                </c:pt>
                <c:pt idx="50">
                  <c:v>1.1679974191467053</c:v>
                </c:pt>
                <c:pt idx="51">
                  <c:v>1.1225905314944753</c:v>
                </c:pt>
                <c:pt idx="52">
                  <c:v>1.0458101459795144</c:v>
                </c:pt>
                <c:pt idx="53">
                  <c:v>1.1115412533268811</c:v>
                </c:pt>
                <c:pt idx="54">
                  <c:v>1.1343656746511817</c:v>
                </c:pt>
                <c:pt idx="55">
                  <c:v>1.1171062182434066</c:v>
                </c:pt>
                <c:pt idx="56">
                  <c:v>1.101379143479313</c:v>
                </c:pt>
                <c:pt idx="57">
                  <c:v>1.1137994999596741</c:v>
                </c:pt>
                <c:pt idx="58">
                  <c:v>1.090894426969917</c:v>
                </c:pt>
                <c:pt idx="59">
                  <c:v>1.0375030244374546</c:v>
                </c:pt>
                <c:pt idx="60">
                  <c:v>1.0922655052826842</c:v>
                </c:pt>
                <c:pt idx="61">
                  <c:v>0.967981288813614</c:v>
                </c:pt>
                <c:pt idx="62">
                  <c:v>0.97507863537382056</c:v>
                </c:pt>
                <c:pt idx="63">
                  <c:v>0.9958061133962417</c:v>
                </c:pt>
                <c:pt idx="64">
                  <c:v>1.0189531413823696</c:v>
                </c:pt>
                <c:pt idx="65">
                  <c:v>1.0018549883055086</c:v>
                </c:pt>
                <c:pt idx="66">
                  <c:v>1.0243568029679813</c:v>
                </c:pt>
                <c:pt idx="67">
                  <c:v>0.99274135010887987</c:v>
                </c:pt>
                <c:pt idx="68">
                  <c:v>1.072344543914832</c:v>
                </c:pt>
                <c:pt idx="69">
                  <c:v>1.1050084684248729</c:v>
                </c:pt>
                <c:pt idx="70">
                  <c:v>1.1438825711750948</c:v>
                </c:pt>
                <c:pt idx="71">
                  <c:v>1.1208161948544237</c:v>
                </c:pt>
                <c:pt idx="72">
                  <c:v>1.1723526090813776</c:v>
                </c:pt>
                <c:pt idx="73">
                  <c:v>1.1526736027098958</c:v>
                </c:pt>
                <c:pt idx="74">
                  <c:v>1.2350996048068392</c:v>
                </c:pt>
                <c:pt idx="75">
                  <c:v>1.2508266795709333</c:v>
                </c:pt>
                <c:pt idx="76">
                  <c:v>1.256149689491088</c:v>
                </c:pt>
                <c:pt idx="77">
                  <c:v>1.2209049116864263</c:v>
                </c:pt>
                <c:pt idx="78">
                  <c:v>1.2551012178401484</c:v>
                </c:pt>
                <c:pt idx="79">
                  <c:v>1.2167916767481248</c:v>
                </c:pt>
                <c:pt idx="80">
                  <c:v>1.2378417614323736</c:v>
                </c:pt>
                <c:pt idx="81">
                  <c:v>1.1961448503911607</c:v>
                </c:pt>
                <c:pt idx="82">
                  <c:v>1.1489636260988791</c:v>
                </c:pt>
                <c:pt idx="83">
                  <c:v>1.1396080329058798</c:v>
                </c:pt>
                <c:pt idx="84">
                  <c:v>1.1700943624485847</c:v>
                </c:pt>
                <c:pt idx="85">
                  <c:v>1.146624727800629</c:v>
                </c:pt>
                <c:pt idx="86">
                  <c:v>1.1202516331962256</c:v>
                </c:pt>
                <c:pt idx="87">
                  <c:v>1.1125090733123639</c:v>
                </c:pt>
                <c:pt idx="88">
                  <c:v>1.1722719574159206</c:v>
                </c:pt>
                <c:pt idx="89">
                  <c:v>1.198725703685781</c:v>
                </c:pt>
                <c:pt idx="90">
                  <c:v>1.1691265424631019</c:v>
                </c:pt>
                <c:pt idx="91">
                  <c:v>1.1023469634647955</c:v>
                </c:pt>
                <c:pt idx="92">
                  <c:v>1.0483103476086781</c:v>
                </c:pt>
                <c:pt idx="93">
                  <c:v>1.0035486732801033</c:v>
                </c:pt>
                <c:pt idx="94">
                  <c:v>0.9958061133962417</c:v>
                </c:pt>
                <c:pt idx="95">
                  <c:v>1.0012097749818534</c:v>
                </c:pt>
                <c:pt idx="96">
                  <c:v>0.92313896281958219</c:v>
                </c:pt>
                <c:pt idx="97">
                  <c:v>0.91031534801193648</c:v>
                </c:pt>
                <c:pt idx="98">
                  <c:v>0.93354302766352126</c:v>
                </c:pt>
                <c:pt idx="99">
                  <c:v>1.0125010081458183</c:v>
                </c:pt>
                <c:pt idx="100">
                  <c:v>1.0306476328736189</c:v>
                </c:pt>
                <c:pt idx="101">
                  <c:v>0.99725784337446577</c:v>
                </c:pt>
                <c:pt idx="102">
                  <c:v>1.0297604645535932</c:v>
                </c:pt>
                <c:pt idx="103">
                  <c:v>1.0962980885555287</c:v>
                </c:pt>
                <c:pt idx="104">
                  <c:v>1.1049278167594161</c:v>
                </c:pt>
                <c:pt idx="105">
                  <c:v>1.1341237196548108</c:v>
                </c:pt>
                <c:pt idx="106">
                  <c:v>1.1758206306960239</c:v>
                </c:pt>
                <c:pt idx="107">
                  <c:v>1.1258972497782078</c:v>
                </c:pt>
                <c:pt idx="108">
                  <c:v>1.1846116622308251</c:v>
                </c:pt>
                <c:pt idx="109">
                  <c:v>1.1849342688926525</c:v>
                </c:pt>
                <c:pt idx="110">
                  <c:v>1.2000161303330914</c:v>
                </c:pt>
                <c:pt idx="111">
                  <c:v>1.1769497540124205</c:v>
                </c:pt>
                <c:pt idx="112">
                  <c:v>1.1417049762077587</c:v>
                </c:pt>
                <c:pt idx="113">
                  <c:v>1.172110654085007</c:v>
                </c:pt>
                <c:pt idx="114">
                  <c:v>1.1705782724413258</c:v>
                </c:pt>
                <c:pt idx="115">
                  <c:v>1.1705782724413258</c:v>
                </c:pt>
                <c:pt idx="116">
                  <c:v>1.1567061859827406</c:v>
                </c:pt>
                <c:pt idx="117">
                  <c:v>1.1608194209210421</c:v>
                </c:pt>
                <c:pt idx="118">
                  <c:v>1.1368658762803454</c:v>
                </c:pt>
                <c:pt idx="119">
                  <c:v>1.0905718203080894</c:v>
                </c:pt>
                <c:pt idx="120">
                  <c:v>1.1133155899669327</c:v>
                </c:pt>
                <c:pt idx="121">
                  <c:v>1.1071054117267523</c:v>
                </c:pt>
                <c:pt idx="122">
                  <c:v>1.1753367207032825</c:v>
                </c:pt>
                <c:pt idx="123">
                  <c:v>1.1705782724413258</c:v>
                </c:pt>
                <c:pt idx="124">
                  <c:v>1.1048471650939593</c:v>
                </c:pt>
                <c:pt idx="125">
                  <c:v>1.1424308411968709</c:v>
                </c:pt>
                <c:pt idx="126">
                  <c:v>1.1196870715380274</c:v>
                </c:pt>
                <c:pt idx="127">
                  <c:v>1.1342850229857246</c:v>
                </c:pt>
                <c:pt idx="128">
                  <c:v>1.1244455197999839</c:v>
                </c:pt>
                <c:pt idx="129">
                  <c:v>1.1333978546656989</c:v>
                </c:pt>
                <c:pt idx="130">
                  <c:v>1.155012501008146</c:v>
                </c:pt>
                <c:pt idx="131">
                  <c:v>1.243487378014356</c:v>
                </c:pt>
                <c:pt idx="132">
                  <c:v>1.254052746189209</c:v>
                </c:pt>
                <c:pt idx="133">
                  <c:v>1.2414710863779339</c:v>
                </c:pt>
                <c:pt idx="134">
                  <c:v>1.2565529478183726</c:v>
                </c:pt>
                <c:pt idx="135">
                  <c:v>1.2754254375352851</c:v>
                </c:pt>
                <c:pt idx="136">
                  <c:v>1.2537301395273812</c:v>
                </c:pt>
                <c:pt idx="137">
                  <c:v>1.2199370917009436</c:v>
                </c:pt>
                <c:pt idx="138">
                  <c:v>1.2015485119767724</c:v>
                </c:pt>
                <c:pt idx="139">
                  <c:v>1.1622711508992662</c:v>
                </c:pt>
                <c:pt idx="140">
                  <c:v>1.0779095088313575</c:v>
                </c:pt>
                <c:pt idx="141">
                  <c:v>1.0752480038712799</c:v>
                </c:pt>
                <c:pt idx="142">
                  <c:v>1.0479070892813938</c:v>
                </c:pt>
                <c:pt idx="143">
                  <c:v>1.1446890878296638</c:v>
                </c:pt>
                <c:pt idx="144">
                  <c:v>1.1083151867086054</c:v>
                </c:pt>
                <c:pt idx="145">
                  <c:v>1.1341237196548108</c:v>
                </c:pt>
                <c:pt idx="146">
                  <c:v>1.1295265747237682</c:v>
                </c:pt>
                <c:pt idx="147">
                  <c:v>1.1294459230583112</c:v>
                </c:pt>
                <c:pt idx="148">
                  <c:v>1.1147673199451569</c:v>
                </c:pt>
                <c:pt idx="149">
                  <c:v>1.1403338978949915</c:v>
                </c:pt>
                <c:pt idx="150">
                  <c:v>1.1038793451084765</c:v>
                </c:pt>
                <c:pt idx="151">
                  <c:v>1.0871037986934431</c:v>
                </c:pt>
                <c:pt idx="152">
                  <c:v>1.0867811920316155</c:v>
                </c:pt>
                <c:pt idx="153">
                  <c:v>1.1122671183159933</c:v>
                </c:pt>
                <c:pt idx="154">
                  <c:v>1</c:v>
                </c:pt>
              </c:numCache>
            </c:numRef>
          </c:val>
          <c:smooth val="0"/>
          <c:extLst>
            <c:ext xmlns:c16="http://schemas.microsoft.com/office/drawing/2014/chart" uri="{C3380CC4-5D6E-409C-BE32-E72D297353CC}">
              <c16:uniqueId val="{00000000-7FCB-4865-8E32-ABAA033EDCFC}"/>
            </c:ext>
          </c:extLst>
        </c:ser>
        <c:ser>
          <c:idx val="1"/>
          <c:order val="1"/>
          <c:tx>
            <c:strRef>
              <c:f>Inputs!$B$21</c:f>
              <c:strCache>
                <c:ptCount val="1"/>
                <c:pt idx="0">
                  <c:v>NORDSON CORP</c:v>
                </c:pt>
              </c:strCache>
            </c:strRef>
          </c:tx>
          <c:spPr>
            <a:ln w="28575" cap="rnd">
              <a:solidFill>
                <a:schemeClr val="accent3"/>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Data'!$AG$5:$AG$159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7FCB-4865-8E32-ABAA033EDCFC}"/>
            </c:ext>
          </c:extLst>
        </c:ser>
        <c:ser>
          <c:idx val="2"/>
          <c:order val="2"/>
          <c:tx>
            <c:strRef>
              <c:f>Inputs!$B$22</c:f>
              <c:strCache>
                <c:ptCount val="1"/>
                <c:pt idx="0">
                  <c:v>STANLEY BLACK &amp;</c:v>
                </c:pt>
              </c:strCache>
            </c:strRef>
          </c:tx>
          <c:spPr>
            <a:ln w="28575" cap="rnd">
              <a:solidFill>
                <a:schemeClr val="accent5"/>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Data'!$AH$5:$AH$159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7FCB-4865-8E32-ABAA033EDCFC}"/>
            </c:ext>
          </c:extLst>
        </c:ser>
        <c:ser>
          <c:idx val="3"/>
          <c:order val="3"/>
          <c:tx>
            <c:strRef>
              <c:f>Inputs!$B$23</c:f>
              <c:strCache>
                <c:ptCount val="1"/>
                <c:pt idx="0">
                  <c:v>HILLENBRAND INC</c:v>
                </c:pt>
              </c:strCache>
            </c:strRef>
          </c:tx>
          <c:spPr>
            <a:ln w="28575" cap="rnd">
              <a:solidFill>
                <a:schemeClr val="accent1">
                  <a:lumMod val="60000"/>
                </a:schemeClr>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Data'!$AI$5:$AI$159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7FCB-4865-8E32-ABAA033EDCFC}"/>
            </c:ext>
          </c:extLst>
        </c:ser>
        <c:ser>
          <c:idx val="4"/>
          <c:order val="4"/>
          <c:tx>
            <c:strRef>
              <c:f>Inputs!$B$24</c:f>
              <c:strCache>
                <c:ptCount val="1"/>
                <c:pt idx="0">
                  <c:v>TENNANT CO</c:v>
                </c:pt>
              </c:strCache>
            </c:strRef>
          </c:tx>
          <c:spPr>
            <a:ln w="28575" cap="rnd">
              <a:solidFill>
                <a:schemeClr val="accent3">
                  <a:lumMod val="60000"/>
                </a:schemeClr>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Data'!$AJ$5:$AJ$159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4-7FCB-4865-8E32-ABAA033EDCFC}"/>
            </c:ext>
          </c:extLst>
        </c:ser>
        <c:ser>
          <c:idx val="5"/>
          <c:order val="5"/>
          <c:tx>
            <c:strRef>
              <c:f>Inputs!$B$25</c:f>
              <c:strCache>
                <c:ptCount val="1"/>
                <c:pt idx="0">
                  <c:v>KADANT INC</c:v>
                </c:pt>
              </c:strCache>
            </c:strRef>
          </c:tx>
          <c:spPr>
            <a:ln w="28575" cap="rnd">
              <a:solidFill>
                <a:schemeClr val="accent5">
                  <a:lumMod val="60000"/>
                </a:schemeClr>
              </a:solidFill>
              <a:round/>
            </a:ln>
            <a:effectLst/>
          </c:spPr>
          <c:marker>
            <c:symbol val="none"/>
          </c:marker>
          <c:cat>
            <c:numRef>
              <c:f>'Stock Data'!$Q$5:$Q$159</c:f>
              <c:numCache>
                <c:formatCode>m/d/yyyy</c:formatCode>
                <c:ptCount val="155"/>
                <c:pt idx="0">
                  <c:v>45945</c:v>
                </c:pt>
                <c:pt idx="1">
                  <c:v>45938</c:v>
                </c:pt>
                <c:pt idx="2">
                  <c:v>45931</c:v>
                </c:pt>
                <c:pt idx="3">
                  <c:v>45924</c:v>
                </c:pt>
                <c:pt idx="4">
                  <c:v>45917</c:v>
                </c:pt>
                <c:pt idx="5">
                  <c:v>45910</c:v>
                </c:pt>
                <c:pt idx="6">
                  <c:v>45903</c:v>
                </c:pt>
                <c:pt idx="7">
                  <c:v>45896</c:v>
                </c:pt>
                <c:pt idx="8">
                  <c:v>45889</c:v>
                </c:pt>
                <c:pt idx="9">
                  <c:v>45882</c:v>
                </c:pt>
                <c:pt idx="10">
                  <c:v>45875</c:v>
                </c:pt>
                <c:pt idx="11">
                  <c:v>45868</c:v>
                </c:pt>
                <c:pt idx="12">
                  <c:v>45861</c:v>
                </c:pt>
                <c:pt idx="13">
                  <c:v>45854</c:v>
                </c:pt>
                <c:pt idx="14">
                  <c:v>45847</c:v>
                </c:pt>
                <c:pt idx="15">
                  <c:v>45840</c:v>
                </c:pt>
                <c:pt idx="16">
                  <c:v>45833</c:v>
                </c:pt>
                <c:pt idx="17">
                  <c:v>45826</c:v>
                </c:pt>
                <c:pt idx="18">
                  <c:v>45819</c:v>
                </c:pt>
                <c:pt idx="19">
                  <c:v>45812</c:v>
                </c:pt>
                <c:pt idx="20">
                  <c:v>45805</c:v>
                </c:pt>
                <c:pt idx="21">
                  <c:v>45798</c:v>
                </c:pt>
                <c:pt idx="22">
                  <c:v>45791</c:v>
                </c:pt>
                <c:pt idx="23">
                  <c:v>45784</c:v>
                </c:pt>
                <c:pt idx="24">
                  <c:v>45777</c:v>
                </c:pt>
                <c:pt idx="25">
                  <c:v>45770</c:v>
                </c:pt>
                <c:pt idx="26">
                  <c:v>45763</c:v>
                </c:pt>
                <c:pt idx="27">
                  <c:v>45756</c:v>
                </c:pt>
                <c:pt idx="28">
                  <c:v>45749</c:v>
                </c:pt>
                <c:pt idx="29">
                  <c:v>45742</c:v>
                </c:pt>
                <c:pt idx="30">
                  <c:v>45735</c:v>
                </c:pt>
                <c:pt idx="31">
                  <c:v>45728</c:v>
                </c:pt>
                <c:pt idx="32">
                  <c:v>45721</c:v>
                </c:pt>
                <c:pt idx="33">
                  <c:v>45714</c:v>
                </c:pt>
                <c:pt idx="34">
                  <c:v>45707</c:v>
                </c:pt>
                <c:pt idx="35">
                  <c:v>45700</c:v>
                </c:pt>
                <c:pt idx="36">
                  <c:v>45693</c:v>
                </c:pt>
                <c:pt idx="37">
                  <c:v>45686</c:v>
                </c:pt>
                <c:pt idx="38">
                  <c:v>45679</c:v>
                </c:pt>
                <c:pt idx="39">
                  <c:v>45672</c:v>
                </c:pt>
                <c:pt idx="40">
                  <c:v>45665</c:v>
                </c:pt>
                <c:pt idx="41">
                  <c:v>45658</c:v>
                </c:pt>
                <c:pt idx="42">
                  <c:v>45651</c:v>
                </c:pt>
                <c:pt idx="43">
                  <c:v>45644</c:v>
                </c:pt>
                <c:pt idx="44">
                  <c:v>45637</c:v>
                </c:pt>
                <c:pt idx="45">
                  <c:v>45630</c:v>
                </c:pt>
                <c:pt idx="46">
                  <c:v>45623</c:v>
                </c:pt>
                <c:pt idx="47">
                  <c:v>45616</c:v>
                </c:pt>
                <c:pt idx="48">
                  <c:v>45609</c:v>
                </c:pt>
                <c:pt idx="49">
                  <c:v>45602</c:v>
                </c:pt>
                <c:pt idx="50">
                  <c:v>45595</c:v>
                </c:pt>
                <c:pt idx="51">
                  <c:v>45588</c:v>
                </c:pt>
                <c:pt idx="52">
                  <c:v>45581</c:v>
                </c:pt>
                <c:pt idx="53">
                  <c:v>45574</c:v>
                </c:pt>
                <c:pt idx="54">
                  <c:v>45567</c:v>
                </c:pt>
                <c:pt idx="55">
                  <c:v>45560</c:v>
                </c:pt>
                <c:pt idx="56">
                  <c:v>45553</c:v>
                </c:pt>
                <c:pt idx="57">
                  <c:v>45546</c:v>
                </c:pt>
                <c:pt idx="58">
                  <c:v>45539</c:v>
                </c:pt>
                <c:pt idx="59">
                  <c:v>45532</c:v>
                </c:pt>
                <c:pt idx="60">
                  <c:v>45525</c:v>
                </c:pt>
                <c:pt idx="61">
                  <c:v>45518</c:v>
                </c:pt>
                <c:pt idx="62">
                  <c:v>45511</c:v>
                </c:pt>
                <c:pt idx="63">
                  <c:v>45504</c:v>
                </c:pt>
                <c:pt idx="64">
                  <c:v>45497</c:v>
                </c:pt>
                <c:pt idx="65">
                  <c:v>45490</c:v>
                </c:pt>
                <c:pt idx="66">
                  <c:v>45483</c:v>
                </c:pt>
                <c:pt idx="67">
                  <c:v>45476</c:v>
                </c:pt>
                <c:pt idx="68">
                  <c:v>45469</c:v>
                </c:pt>
                <c:pt idx="69">
                  <c:v>45462</c:v>
                </c:pt>
                <c:pt idx="70">
                  <c:v>45455</c:v>
                </c:pt>
                <c:pt idx="71">
                  <c:v>45448</c:v>
                </c:pt>
                <c:pt idx="72">
                  <c:v>45441</c:v>
                </c:pt>
                <c:pt idx="73">
                  <c:v>45434</c:v>
                </c:pt>
                <c:pt idx="74">
                  <c:v>45427</c:v>
                </c:pt>
                <c:pt idx="75">
                  <c:v>45420</c:v>
                </c:pt>
                <c:pt idx="76">
                  <c:v>45413</c:v>
                </c:pt>
                <c:pt idx="77">
                  <c:v>45406</c:v>
                </c:pt>
                <c:pt idx="78">
                  <c:v>45399</c:v>
                </c:pt>
                <c:pt idx="79">
                  <c:v>45392</c:v>
                </c:pt>
                <c:pt idx="80">
                  <c:v>45385</c:v>
                </c:pt>
                <c:pt idx="81">
                  <c:v>45378</c:v>
                </c:pt>
                <c:pt idx="82">
                  <c:v>45371</c:v>
                </c:pt>
                <c:pt idx="83">
                  <c:v>45364</c:v>
                </c:pt>
                <c:pt idx="84">
                  <c:v>45357</c:v>
                </c:pt>
                <c:pt idx="85">
                  <c:v>45350</c:v>
                </c:pt>
                <c:pt idx="86">
                  <c:v>45343</c:v>
                </c:pt>
                <c:pt idx="87">
                  <c:v>45336</c:v>
                </c:pt>
                <c:pt idx="88">
                  <c:v>45329</c:v>
                </c:pt>
                <c:pt idx="89">
                  <c:v>45322</c:v>
                </c:pt>
                <c:pt idx="90">
                  <c:v>45315</c:v>
                </c:pt>
                <c:pt idx="91">
                  <c:v>45308</c:v>
                </c:pt>
                <c:pt idx="92">
                  <c:v>45301</c:v>
                </c:pt>
                <c:pt idx="93">
                  <c:v>45294</c:v>
                </c:pt>
                <c:pt idx="94">
                  <c:v>45287</c:v>
                </c:pt>
                <c:pt idx="95">
                  <c:v>45280</c:v>
                </c:pt>
                <c:pt idx="96">
                  <c:v>45273</c:v>
                </c:pt>
                <c:pt idx="97">
                  <c:v>45266</c:v>
                </c:pt>
                <c:pt idx="98">
                  <c:v>45259</c:v>
                </c:pt>
                <c:pt idx="99">
                  <c:v>45252</c:v>
                </c:pt>
                <c:pt idx="100">
                  <c:v>45245</c:v>
                </c:pt>
                <c:pt idx="101">
                  <c:v>45238</c:v>
                </c:pt>
                <c:pt idx="102">
                  <c:v>45231</c:v>
                </c:pt>
                <c:pt idx="103">
                  <c:v>45224</c:v>
                </c:pt>
                <c:pt idx="104">
                  <c:v>45217</c:v>
                </c:pt>
                <c:pt idx="105">
                  <c:v>45210</c:v>
                </c:pt>
                <c:pt idx="106">
                  <c:v>45203</c:v>
                </c:pt>
                <c:pt idx="107">
                  <c:v>45196</c:v>
                </c:pt>
                <c:pt idx="108">
                  <c:v>45189</c:v>
                </c:pt>
                <c:pt idx="109">
                  <c:v>45182</c:v>
                </c:pt>
                <c:pt idx="110">
                  <c:v>45175</c:v>
                </c:pt>
                <c:pt idx="111">
                  <c:v>45168</c:v>
                </c:pt>
                <c:pt idx="112">
                  <c:v>45161</c:v>
                </c:pt>
                <c:pt idx="113">
                  <c:v>45154</c:v>
                </c:pt>
                <c:pt idx="114">
                  <c:v>45147</c:v>
                </c:pt>
                <c:pt idx="115">
                  <c:v>45140</c:v>
                </c:pt>
                <c:pt idx="116">
                  <c:v>45133</c:v>
                </c:pt>
                <c:pt idx="117">
                  <c:v>45126</c:v>
                </c:pt>
                <c:pt idx="118">
                  <c:v>45119</c:v>
                </c:pt>
                <c:pt idx="119">
                  <c:v>45112</c:v>
                </c:pt>
                <c:pt idx="120">
                  <c:v>45105</c:v>
                </c:pt>
                <c:pt idx="121">
                  <c:v>45098</c:v>
                </c:pt>
                <c:pt idx="122">
                  <c:v>45091</c:v>
                </c:pt>
                <c:pt idx="123">
                  <c:v>45084</c:v>
                </c:pt>
                <c:pt idx="124">
                  <c:v>45077</c:v>
                </c:pt>
                <c:pt idx="125">
                  <c:v>45070</c:v>
                </c:pt>
                <c:pt idx="126">
                  <c:v>45063</c:v>
                </c:pt>
                <c:pt idx="127">
                  <c:v>45056</c:v>
                </c:pt>
                <c:pt idx="128">
                  <c:v>45049</c:v>
                </c:pt>
                <c:pt idx="129">
                  <c:v>45042</c:v>
                </c:pt>
                <c:pt idx="130">
                  <c:v>45035</c:v>
                </c:pt>
                <c:pt idx="131">
                  <c:v>45028</c:v>
                </c:pt>
                <c:pt idx="132">
                  <c:v>45021</c:v>
                </c:pt>
                <c:pt idx="133">
                  <c:v>45014</c:v>
                </c:pt>
                <c:pt idx="134">
                  <c:v>45007</c:v>
                </c:pt>
                <c:pt idx="135">
                  <c:v>45000</c:v>
                </c:pt>
                <c:pt idx="136">
                  <c:v>44993</c:v>
                </c:pt>
                <c:pt idx="137">
                  <c:v>44986</c:v>
                </c:pt>
                <c:pt idx="138">
                  <c:v>44979</c:v>
                </c:pt>
                <c:pt idx="139">
                  <c:v>44972</c:v>
                </c:pt>
                <c:pt idx="140">
                  <c:v>44965</c:v>
                </c:pt>
                <c:pt idx="141">
                  <c:v>44958</c:v>
                </c:pt>
                <c:pt idx="142">
                  <c:v>44951</c:v>
                </c:pt>
                <c:pt idx="143">
                  <c:v>44944</c:v>
                </c:pt>
                <c:pt idx="144">
                  <c:v>44937</c:v>
                </c:pt>
                <c:pt idx="145">
                  <c:v>44930</c:v>
                </c:pt>
                <c:pt idx="146">
                  <c:v>44923</c:v>
                </c:pt>
                <c:pt idx="147">
                  <c:v>44916</c:v>
                </c:pt>
                <c:pt idx="148">
                  <c:v>44909</c:v>
                </c:pt>
                <c:pt idx="149">
                  <c:v>44902</c:v>
                </c:pt>
                <c:pt idx="150">
                  <c:v>44895</c:v>
                </c:pt>
                <c:pt idx="151">
                  <c:v>44888</c:v>
                </c:pt>
                <c:pt idx="152">
                  <c:v>44881</c:v>
                </c:pt>
                <c:pt idx="153">
                  <c:v>44874</c:v>
                </c:pt>
                <c:pt idx="154">
                  <c:v>44867</c:v>
                </c:pt>
              </c:numCache>
            </c:numRef>
          </c:cat>
          <c:val>
            <c:numRef>
              <c:f>'Stock Data'!$AK$5:$AK$159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7FCB-4865-8E32-ABAA033EDCFC}"/>
            </c:ext>
          </c:extLst>
        </c:ser>
        <c:dLbls>
          <c:showLegendKey val="0"/>
          <c:showVal val="0"/>
          <c:showCatName val="0"/>
          <c:showSerName val="0"/>
          <c:showPercent val="0"/>
          <c:showBubbleSize val="0"/>
        </c:dLbls>
        <c:smooth val="0"/>
        <c:axId val="1046459376"/>
        <c:axId val="1046460032"/>
      </c:lineChart>
      <c:dateAx>
        <c:axId val="104645937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PT"/>
          </a:p>
        </c:txPr>
        <c:crossAx val="1046460032"/>
        <c:crosses val="autoZero"/>
        <c:auto val="1"/>
        <c:lblOffset val="100"/>
        <c:baseTimeUnit val="days"/>
      </c:dateAx>
      <c:valAx>
        <c:axId val="104646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PT"/>
          </a:p>
        </c:txPr>
        <c:crossAx val="1046459376"/>
        <c:crosses val="autoZero"/>
        <c:crossBetween val="between"/>
      </c:valAx>
      <c:spPr>
        <a:noFill/>
        <a:ln>
          <a:noFill/>
        </a:ln>
        <a:effectLst/>
      </c:spPr>
    </c:plotArea>
    <c:legend>
      <c:legendPos val="b"/>
      <c:layout>
        <c:manualLayout>
          <c:xMode val="edge"/>
          <c:yMode val="edge"/>
          <c:x val="0"/>
          <c:y val="0.86841770168981003"/>
          <c:w val="1"/>
          <c:h val="0.11413088286756529"/>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PT"/>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Trading Comps'!A1"/><Relationship Id="rId13" Type="http://schemas.openxmlformats.org/officeDocument/2006/relationships/hyperlink" Target="#BS!A1"/><Relationship Id="rId18" Type="http://schemas.openxmlformats.org/officeDocument/2006/relationships/chart" Target="../charts/chart2.xml"/><Relationship Id="rId3" Type="http://schemas.openxmlformats.org/officeDocument/2006/relationships/hyperlink" Target="#'Key Info'!A1"/><Relationship Id="rId21" Type="http://schemas.openxmlformats.org/officeDocument/2006/relationships/chart" Target="../charts/chart5.xml"/><Relationship Id="rId7" Type="http://schemas.openxmlformats.org/officeDocument/2006/relationships/hyperlink" Target="#Peers!A1"/><Relationship Id="rId12" Type="http://schemas.openxmlformats.org/officeDocument/2006/relationships/hyperlink" Target="#IS!A1"/><Relationship Id="rId17" Type="http://schemas.openxmlformats.org/officeDocument/2006/relationships/chart" Target="../charts/chart1.xml"/><Relationship Id="rId2" Type="http://schemas.openxmlformats.org/officeDocument/2006/relationships/image" Target="../media/image1.png"/><Relationship Id="rId16" Type="http://schemas.openxmlformats.org/officeDocument/2006/relationships/hyperlink" Target="#Inputs!A1"/><Relationship Id="rId20" Type="http://schemas.openxmlformats.org/officeDocument/2006/relationships/chart" Target="../charts/chart4.xml"/><Relationship Id="rId1" Type="http://schemas.openxmlformats.org/officeDocument/2006/relationships/hyperlink" Target="#Sensitivity!A1"/><Relationship Id="rId6" Type="http://schemas.openxmlformats.org/officeDocument/2006/relationships/hyperlink" Target="#Segments!A1"/><Relationship Id="rId11" Type="http://schemas.openxmlformats.org/officeDocument/2006/relationships/hyperlink" Target="#LBO!A1"/><Relationship Id="rId5" Type="http://schemas.openxmlformats.org/officeDocument/2006/relationships/hyperlink" Target="#ESG!A1"/><Relationship Id="rId15" Type="http://schemas.openxmlformats.org/officeDocument/2006/relationships/hyperlink" Target="#'Error Check'!A1"/><Relationship Id="rId10" Type="http://schemas.openxmlformats.org/officeDocument/2006/relationships/hyperlink" Target="#FCFF!A1"/><Relationship Id="rId19" Type="http://schemas.openxmlformats.org/officeDocument/2006/relationships/chart" Target="../charts/chart3.xml"/><Relationship Id="rId4" Type="http://schemas.openxmlformats.org/officeDocument/2006/relationships/hyperlink" Target="#Industry!A1"/><Relationship Id="rId9" Type="http://schemas.openxmlformats.org/officeDocument/2006/relationships/hyperlink" Target="#WACC!A1"/><Relationship Id="rId14" Type="http://schemas.openxmlformats.org/officeDocument/2006/relationships/hyperlink" Target="#CF!A1"/><Relationship Id="rId22"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1.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hyperlink" Target="#Sensitivity!A1"/><Relationship Id="rId16" Type="http://schemas.openxmlformats.org/officeDocument/2006/relationships/hyperlink" Target="#CF!A1"/><Relationship Id="rId1" Type="http://schemas.openxmlformats.org/officeDocument/2006/relationships/chart" Target="../charts/chart6.xml"/><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3.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8.xml"/><Relationship Id="rId16" Type="http://schemas.openxmlformats.org/officeDocument/2006/relationships/hyperlink" Target="#BS!A1"/><Relationship Id="rId20" Type="http://schemas.openxmlformats.org/officeDocument/2006/relationships/chart" Target="../charts/chart9.xml"/><Relationship Id="rId1" Type="http://schemas.openxmlformats.org/officeDocument/2006/relationships/chart" Target="../charts/chart7.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_rels/drawing4.xml.rels><?xml version="1.0" encoding="UTF-8" standalone="yes"?>
<Relationships xmlns="http://schemas.openxmlformats.org/package/2006/relationships"><Relationship Id="rId8" Type="http://schemas.openxmlformats.org/officeDocument/2006/relationships/hyperlink" Target="#'Key Info'!A1"/><Relationship Id="rId13" Type="http://schemas.openxmlformats.org/officeDocument/2006/relationships/hyperlink" Target="#'Trading Comps'!A1"/><Relationship Id="rId18" Type="http://schemas.openxmlformats.org/officeDocument/2006/relationships/hyperlink" Target="#BS!A1"/><Relationship Id="rId3" Type="http://schemas.openxmlformats.org/officeDocument/2006/relationships/chart" Target="../charts/chart12.xml"/><Relationship Id="rId21" Type="http://schemas.openxmlformats.org/officeDocument/2006/relationships/hyperlink" Target="#Inputs!A1"/><Relationship Id="rId7" Type="http://schemas.openxmlformats.org/officeDocument/2006/relationships/hyperlink" Target="#Dashboard!A1"/><Relationship Id="rId12" Type="http://schemas.openxmlformats.org/officeDocument/2006/relationships/hyperlink" Target="#Peers!A1"/><Relationship Id="rId17" Type="http://schemas.openxmlformats.org/officeDocument/2006/relationships/hyperlink" Target="#IS!A1"/><Relationship Id="rId2" Type="http://schemas.openxmlformats.org/officeDocument/2006/relationships/chart" Target="../charts/chart11.xml"/><Relationship Id="rId16" Type="http://schemas.openxmlformats.org/officeDocument/2006/relationships/hyperlink" Target="#LBO!A1"/><Relationship Id="rId20" Type="http://schemas.openxmlformats.org/officeDocument/2006/relationships/hyperlink" Target="#'Error Check'!A1"/><Relationship Id="rId1" Type="http://schemas.openxmlformats.org/officeDocument/2006/relationships/chart" Target="../charts/chart10.xml"/><Relationship Id="rId6" Type="http://schemas.openxmlformats.org/officeDocument/2006/relationships/image" Target="../media/image1.png"/><Relationship Id="rId11" Type="http://schemas.openxmlformats.org/officeDocument/2006/relationships/hyperlink" Target="#Segments!A1"/><Relationship Id="rId5" Type="http://schemas.openxmlformats.org/officeDocument/2006/relationships/hyperlink" Target="#Sensitivity!A1"/><Relationship Id="rId15" Type="http://schemas.openxmlformats.org/officeDocument/2006/relationships/hyperlink" Target="#FCFF!A1"/><Relationship Id="rId10" Type="http://schemas.openxmlformats.org/officeDocument/2006/relationships/hyperlink" Target="#ESG!A1"/><Relationship Id="rId19" Type="http://schemas.openxmlformats.org/officeDocument/2006/relationships/hyperlink" Target="#CF!A1"/><Relationship Id="rId4" Type="http://schemas.openxmlformats.org/officeDocument/2006/relationships/chart" Target="../charts/chart13.xml"/><Relationship Id="rId9" Type="http://schemas.openxmlformats.org/officeDocument/2006/relationships/hyperlink" Target="#Industry!A1"/><Relationship Id="rId14" Type="http://schemas.openxmlformats.org/officeDocument/2006/relationships/hyperlink" Target="#WACC!A1"/></Relationships>
</file>

<file path=xl/drawings/_rels/drawing5.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6.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7.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15.xml"/><Relationship Id="rId16" Type="http://schemas.openxmlformats.org/officeDocument/2006/relationships/hyperlink" Target="#BS!A1"/><Relationship Id="rId1" Type="http://schemas.openxmlformats.org/officeDocument/2006/relationships/chart" Target="../charts/chart14.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_rels/drawing8.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chart" Target="../charts/chart16.xml"/><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9.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0.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1.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1.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hyperlink" Target="#Sensitivity!A1"/><Relationship Id="rId16" Type="http://schemas.openxmlformats.org/officeDocument/2006/relationships/hyperlink" Target="#CF!A1"/><Relationship Id="rId20" Type="http://schemas.openxmlformats.org/officeDocument/2006/relationships/image" Target="../media/image3.png"/><Relationship Id="rId1" Type="http://schemas.openxmlformats.org/officeDocument/2006/relationships/chart" Target="../charts/chart17.xml"/><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19" Type="http://schemas.openxmlformats.org/officeDocument/2006/relationships/image" Target="../media/image2.png"/><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12.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3.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4.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5.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6.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19.xml"/><Relationship Id="rId16" Type="http://schemas.openxmlformats.org/officeDocument/2006/relationships/hyperlink" Target="#BS!A1"/><Relationship Id="rId1" Type="http://schemas.openxmlformats.org/officeDocument/2006/relationships/chart" Target="../charts/chart18.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drawing1.xml><?xml version="1.0" encoding="utf-8"?>
<xdr:wsDr xmlns:xdr="http://schemas.openxmlformats.org/drawingml/2006/spreadsheetDrawing" xmlns:a="http://schemas.openxmlformats.org/drawingml/2006/main">
  <xdr:twoCellAnchor>
    <xdr:from>
      <xdr:col>0</xdr:col>
      <xdr:colOff>234398</xdr:colOff>
      <xdr:row>5</xdr:row>
      <xdr:rowOff>61949</xdr:rowOff>
    </xdr:from>
    <xdr:to>
      <xdr:col>5</xdr:col>
      <xdr:colOff>596566</xdr:colOff>
      <xdr:row>17</xdr:row>
      <xdr:rowOff>116402</xdr:rowOff>
    </xdr:to>
    <xdr:sp macro="" textlink="">
      <xdr:nvSpPr>
        <xdr:cNvPr id="3" name="Rounded Rectangle 2">
          <a:extLst>
            <a:ext uri="{FF2B5EF4-FFF2-40B4-BE49-F238E27FC236}">
              <a16:creationId xmlns:a16="http://schemas.microsoft.com/office/drawing/2014/main" id="{00000000-0008-0000-0000-000003000000}"/>
            </a:ext>
          </a:extLst>
        </xdr:cNvPr>
        <xdr:cNvSpPr/>
      </xdr:nvSpPr>
      <xdr:spPr>
        <a:xfrm>
          <a:off x="234398" y="871574"/>
          <a:ext cx="4048343" cy="2340453"/>
        </a:xfrm>
        <a:prstGeom prst="round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85726</xdr:colOff>
      <xdr:row>7</xdr:row>
      <xdr:rowOff>112059</xdr:rowOff>
    </xdr:from>
    <xdr:to>
      <xdr:col>5</xdr:col>
      <xdr:colOff>307666</xdr:colOff>
      <xdr:row>21</xdr:row>
      <xdr:rowOff>73960</xdr:rowOff>
    </xdr:to>
    <xdr:sp macro="" textlink="">
      <xdr:nvSpPr>
        <xdr:cNvPr id="4" name="Rounded Rectangle 3">
          <a:extLst>
            <a:ext uri="{FF2B5EF4-FFF2-40B4-BE49-F238E27FC236}">
              <a16:creationId xmlns:a16="http://schemas.microsoft.com/office/drawing/2014/main" id="{00000000-0008-0000-0000-000004000000}"/>
            </a:ext>
          </a:extLst>
        </xdr:cNvPr>
        <xdr:cNvSpPr/>
      </xdr:nvSpPr>
      <xdr:spPr>
        <a:xfrm>
          <a:off x="769285" y="1445559"/>
          <a:ext cx="2956175" cy="26289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296310</xdr:colOff>
      <xdr:row>5</xdr:row>
      <xdr:rowOff>127796</xdr:rowOff>
    </xdr:from>
    <xdr:to>
      <xdr:col>5</xdr:col>
      <xdr:colOff>505497</xdr:colOff>
      <xdr:row>17</xdr:row>
      <xdr:rowOff>4637</xdr:rowOff>
    </xdr:to>
    <xdr:sp macro="" textlink="">
      <xdr:nvSpPr>
        <xdr:cNvPr id="9" name="Rounded Rectangle 8">
          <a:extLst>
            <a:ext uri="{FF2B5EF4-FFF2-40B4-BE49-F238E27FC236}">
              <a16:creationId xmlns:a16="http://schemas.microsoft.com/office/drawing/2014/main" id="{00000000-0008-0000-0000-000009000000}"/>
            </a:ext>
          </a:extLst>
        </xdr:cNvPr>
        <xdr:cNvSpPr/>
      </xdr:nvSpPr>
      <xdr:spPr>
        <a:xfrm>
          <a:off x="296310" y="937421"/>
          <a:ext cx="3895362" cy="21628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366163</xdr:colOff>
      <xdr:row>5</xdr:row>
      <xdr:rowOff>175421</xdr:rowOff>
    </xdr:from>
    <xdr:to>
      <xdr:col>5</xdr:col>
      <xdr:colOff>457200</xdr:colOff>
      <xdr:row>16</xdr:row>
      <xdr:rowOff>114300</xdr:rowOff>
    </xdr:to>
    <xdr:sp macro="" textlink="">
      <xdr:nvSpPr>
        <xdr:cNvPr id="2" name="Rounded Rectangle 1">
          <a:extLst>
            <a:ext uri="{FF2B5EF4-FFF2-40B4-BE49-F238E27FC236}">
              <a16:creationId xmlns:a16="http://schemas.microsoft.com/office/drawing/2014/main" id="{00000000-0008-0000-0000-000002000000}"/>
            </a:ext>
          </a:extLst>
        </xdr:cNvPr>
        <xdr:cNvSpPr/>
      </xdr:nvSpPr>
      <xdr:spPr>
        <a:xfrm>
          <a:off x="366163" y="985046"/>
          <a:ext cx="3777212" cy="2034379"/>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566944</xdr:colOff>
      <xdr:row>11</xdr:row>
      <xdr:rowOff>133265</xdr:rowOff>
    </xdr:from>
    <xdr:to>
      <xdr:col>4</xdr:col>
      <xdr:colOff>395494</xdr:colOff>
      <xdr:row>16</xdr:row>
      <xdr:rowOff>76116</xdr:rowOff>
    </xdr:to>
    <xdr:sp macro="" textlink="FCFF!R172">
      <xdr:nvSpPr>
        <xdr:cNvPr id="6" name="TextBox 5">
          <a:extLst>
            <a:ext uri="{FF2B5EF4-FFF2-40B4-BE49-F238E27FC236}">
              <a16:creationId xmlns:a16="http://schemas.microsoft.com/office/drawing/2014/main" id="{00000000-0008-0000-0000-000006000000}"/>
            </a:ext>
          </a:extLst>
        </xdr:cNvPr>
        <xdr:cNvSpPr txBox="1"/>
      </xdr:nvSpPr>
      <xdr:spPr>
        <a:xfrm>
          <a:off x="566944" y="2085890"/>
          <a:ext cx="2743200" cy="89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65EA20-3753-4CCE-BFB8-4A3D51EE86A5}" type="TxLink">
            <a:rPr lang="en-US" sz="2400" b="0" i="0" u="none" strike="noStrike" cap="none" spc="0">
              <a:ln w="0"/>
              <a:solidFill>
                <a:schemeClr val="accent1"/>
              </a:solidFill>
              <a:effectLst>
                <a:outerShdw blurRad="50800" dist="38100" dir="2700000" algn="tl" rotWithShape="0">
                  <a:prstClr val="black">
                    <a:alpha val="40000"/>
                  </a:prstClr>
                </a:outerShdw>
              </a:effectLst>
              <a:latin typeface="Arial Nova"/>
              <a:cs typeface="Arial"/>
            </a:rPr>
            <a:pPr/>
            <a:t>#NOME?</a:t>
          </a:fld>
          <a:endParaRPr lang="en-US" sz="6600" b="0" cap="none" spc="0">
            <a:ln w="0"/>
            <a:solidFill>
              <a:schemeClr val="accent1"/>
            </a:solidFill>
            <a:effectLst>
              <a:outerShdw blurRad="50800" dist="38100" dir="2700000" algn="tl" rotWithShape="0">
                <a:prstClr val="black">
                  <a:alpha val="40000"/>
                </a:prstClr>
              </a:outerShdw>
            </a:effectLst>
            <a:latin typeface="Arial Black" panose="020B0A04020102020204" pitchFamily="34" charset="0"/>
          </a:endParaRPr>
        </a:p>
      </xdr:txBody>
    </xdr:sp>
    <xdr:clientData/>
  </xdr:twoCellAnchor>
  <xdr:twoCellAnchor>
    <xdr:from>
      <xdr:col>1</xdr:col>
      <xdr:colOff>95251</xdr:colOff>
      <xdr:row>7</xdr:row>
      <xdr:rowOff>112059</xdr:rowOff>
    </xdr:from>
    <xdr:to>
      <xdr:col>5</xdr:col>
      <xdr:colOff>317191</xdr:colOff>
      <xdr:row>21</xdr:row>
      <xdr:rowOff>112060</xdr:rowOff>
    </xdr:to>
    <xdr:sp macro="" textlink="">
      <xdr:nvSpPr>
        <xdr:cNvPr id="8" name="Rounded Rectangle 7">
          <a:extLst>
            <a:ext uri="{FF2B5EF4-FFF2-40B4-BE49-F238E27FC236}">
              <a16:creationId xmlns:a16="http://schemas.microsoft.com/office/drawing/2014/main" id="{00000000-0008-0000-0000-000008000000}"/>
            </a:ext>
          </a:extLst>
        </xdr:cNvPr>
        <xdr:cNvSpPr/>
      </xdr:nvSpPr>
      <xdr:spPr>
        <a:xfrm>
          <a:off x="778810" y="1445559"/>
          <a:ext cx="2956175" cy="26670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18</xdr:row>
      <xdr:rowOff>26335</xdr:rowOff>
    </xdr:from>
    <xdr:to>
      <xdr:col>8</xdr:col>
      <xdr:colOff>522194</xdr:colOff>
      <xdr:row>35</xdr:row>
      <xdr:rowOff>122647</xdr:rowOff>
    </xdr:to>
    <xdr:sp macro="" textlink="">
      <xdr:nvSpPr>
        <xdr:cNvPr id="11" name="Rounded Rectangle 10">
          <a:extLst>
            <a:ext uri="{FF2B5EF4-FFF2-40B4-BE49-F238E27FC236}">
              <a16:creationId xmlns:a16="http://schemas.microsoft.com/office/drawing/2014/main" id="{00000000-0008-0000-0000-00000B000000}"/>
            </a:ext>
          </a:extLst>
        </xdr:cNvPr>
        <xdr:cNvSpPr/>
      </xdr:nvSpPr>
      <xdr:spPr>
        <a:xfrm>
          <a:off x="171450" y="3312460"/>
          <a:ext cx="6094319"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218419</xdr:colOff>
      <xdr:row>18</xdr:row>
      <xdr:rowOff>73959</xdr:rowOff>
    </xdr:from>
    <xdr:to>
      <xdr:col>8</xdr:col>
      <xdr:colOff>435252</xdr:colOff>
      <xdr:row>35</xdr:row>
      <xdr:rowOff>76200</xdr:rowOff>
    </xdr:to>
    <xdr:sp macro="" textlink="">
      <xdr:nvSpPr>
        <xdr:cNvPr id="12" name="Rounded Rectangle 11">
          <a:extLst>
            <a:ext uri="{FF2B5EF4-FFF2-40B4-BE49-F238E27FC236}">
              <a16:creationId xmlns:a16="http://schemas.microsoft.com/office/drawing/2014/main" id="{00000000-0008-0000-0000-00000C000000}"/>
            </a:ext>
          </a:extLst>
        </xdr:cNvPr>
        <xdr:cNvSpPr/>
      </xdr:nvSpPr>
      <xdr:spPr>
        <a:xfrm>
          <a:off x="218419" y="3358442"/>
          <a:ext cx="5938402"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ova" panose="020B0504020202020204" pitchFamily="34" charset="0"/>
          </a:endParaRPr>
        </a:p>
      </xdr:txBody>
    </xdr:sp>
    <xdr:clientData/>
  </xdr:twoCellAnchor>
  <xdr:twoCellAnchor>
    <xdr:from>
      <xdr:col>0</xdr:col>
      <xdr:colOff>304799</xdr:colOff>
      <xdr:row>18</xdr:row>
      <xdr:rowOff>140635</xdr:rowOff>
    </xdr:from>
    <xdr:to>
      <xdr:col>8</xdr:col>
      <xdr:colOff>398929</xdr:colOff>
      <xdr:row>35</xdr:row>
      <xdr:rowOff>24415</xdr:rowOff>
    </xdr:to>
    <xdr:sp macro="" textlink="">
      <xdr:nvSpPr>
        <xdr:cNvPr id="15" name="Rounded Rectangle 14">
          <a:extLst>
            <a:ext uri="{FF2B5EF4-FFF2-40B4-BE49-F238E27FC236}">
              <a16:creationId xmlns:a16="http://schemas.microsoft.com/office/drawing/2014/main" id="{00000000-0008-0000-0000-00000F000000}"/>
            </a:ext>
          </a:extLst>
        </xdr:cNvPr>
        <xdr:cNvSpPr/>
      </xdr:nvSpPr>
      <xdr:spPr>
        <a:xfrm>
          <a:off x="304799" y="3426760"/>
          <a:ext cx="5837705"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ova" panose="020B0504020202020204" pitchFamily="34" charset="0"/>
          </a:endParaRPr>
        </a:p>
      </xdr:txBody>
    </xdr:sp>
    <xdr:clientData/>
  </xdr:twoCellAnchor>
  <xdr:twoCellAnchor>
    <xdr:from>
      <xdr:col>5</xdr:col>
      <xdr:colOff>676275</xdr:colOff>
      <xdr:row>5</xdr:row>
      <xdr:rowOff>92221</xdr:rowOff>
    </xdr:from>
    <xdr:to>
      <xdr:col>16</xdr:col>
      <xdr:colOff>438150</xdr:colOff>
      <xdr:row>17</xdr:row>
      <xdr:rowOff>123825</xdr:rowOff>
    </xdr:to>
    <xdr:sp macro="" textlink="">
      <xdr:nvSpPr>
        <xdr:cNvPr id="17" name="Rounded Rectangle 16">
          <a:extLst>
            <a:ext uri="{FF2B5EF4-FFF2-40B4-BE49-F238E27FC236}">
              <a16:creationId xmlns:a16="http://schemas.microsoft.com/office/drawing/2014/main" id="{00000000-0008-0000-0000-000011000000}"/>
            </a:ext>
          </a:extLst>
        </xdr:cNvPr>
        <xdr:cNvSpPr/>
      </xdr:nvSpPr>
      <xdr:spPr>
        <a:xfrm>
          <a:off x="4362450" y="901846"/>
          <a:ext cx="7305675" cy="23176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45190</xdr:colOff>
      <xdr:row>5</xdr:row>
      <xdr:rowOff>171451</xdr:rowOff>
    </xdr:from>
    <xdr:to>
      <xdr:col>16</xdr:col>
      <xdr:colOff>381000</xdr:colOff>
      <xdr:row>17</xdr:row>
      <xdr:rowOff>24233</xdr:rowOff>
    </xdr:to>
    <xdr:sp macro="" textlink="">
      <xdr:nvSpPr>
        <xdr:cNvPr id="18" name="Rounded Rectangle 17">
          <a:extLst>
            <a:ext uri="{FF2B5EF4-FFF2-40B4-BE49-F238E27FC236}">
              <a16:creationId xmlns:a16="http://schemas.microsoft.com/office/drawing/2014/main" id="{00000000-0008-0000-0000-000012000000}"/>
            </a:ext>
          </a:extLst>
        </xdr:cNvPr>
        <xdr:cNvSpPr/>
      </xdr:nvSpPr>
      <xdr:spPr>
        <a:xfrm>
          <a:off x="4417165" y="981076"/>
          <a:ext cx="7193810" cy="213878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98986</xdr:colOff>
      <xdr:row>6</xdr:row>
      <xdr:rowOff>48394</xdr:rowOff>
    </xdr:from>
    <xdr:to>
      <xdr:col>16</xdr:col>
      <xdr:colOff>314326</xdr:colOff>
      <xdr:row>16</xdr:row>
      <xdr:rowOff>135568</xdr:rowOff>
    </xdr:to>
    <xdr:sp macro="" textlink="">
      <xdr:nvSpPr>
        <xdr:cNvPr id="19" name="Rounded Rectangle 18">
          <a:extLst>
            <a:ext uri="{FF2B5EF4-FFF2-40B4-BE49-F238E27FC236}">
              <a16:creationId xmlns:a16="http://schemas.microsoft.com/office/drawing/2014/main" id="{00000000-0008-0000-0000-000013000000}"/>
            </a:ext>
          </a:extLst>
        </xdr:cNvPr>
        <xdr:cNvSpPr/>
      </xdr:nvSpPr>
      <xdr:spPr>
        <a:xfrm>
          <a:off x="4470961" y="1048519"/>
          <a:ext cx="7073340" cy="1992174"/>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u="none">
            <a:solidFill>
              <a:schemeClr val="accent1">
                <a:lumMod val="50000"/>
              </a:schemeClr>
            </a:solidFill>
          </a:endParaRPr>
        </a:p>
      </xdr:txBody>
    </xdr:sp>
    <xdr:clientData/>
  </xdr:twoCellAnchor>
  <xdr:twoCellAnchor>
    <xdr:from>
      <xdr:col>0</xdr:col>
      <xdr:colOff>0</xdr:colOff>
      <xdr:row>0</xdr:row>
      <xdr:rowOff>0</xdr:rowOff>
    </xdr:from>
    <xdr:to>
      <xdr:col>62</xdr:col>
      <xdr:colOff>589561</xdr:colOff>
      <xdr:row>4</xdr:row>
      <xdr:rowOff>0</xdr:rowOff>
    </xdr:to>
    <xdr:sp macro="" textlink="">
      <xdr:nvSpPr>
        <xdr:cNvPr id="58" name="Rectangle 57">
          <a:extLst>
            <a:ext uri="{FF2B5EF4-FFF2-40B4-BE49-F238E27FC236}">
              <a16:creationId xmlns:a16="http://schemas.microsoft.com/office/drawing/2014/main" id="{AF733DE3-35E1-4EEC-B834-C1DBBEAA33BF}"/>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208947</xdr:colOff>
      <xdr:row>1</xdr:row>
      <xdr:rowOff>19879</xdr:rowOff>
    </xdr:from>
    <xdr:to>
      <xdr:col>19</xdr:col>
      <xdr:colOff>474115</xdr:colOff>
      <xdr:row>3</xdr:row>
      <xdr:rowOff>10354</xdr:rowOff>
    </xdr:to>
    <xdr:sp macro="" textlink="">
      <xdr:nvSpPr>
        <xdr:cNvPr id="59" name="TextBox 58">
          <a:hlinkClick xmlns:r="http://schemas.openxmlformats.org/officeDocument/2006/relationships" r:id="rId1"/>
          <a:extLst>
            <a:ext uri="{FF2B5EF4-FFF2-40B4-BE49-F238E27FC236}">
              <a16:creationId xmlns:a16="http://schemas.microsoft.com/office/drawing/2014/main" id="{1FCA6EB7-95F6-4D97-9B19-5BAE7D22A7E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0" name="Picture 59">
          <a:extLst>
            <a:ext uri="{FF2B5EF4-FFF2-40B4-BE49-F238E27FC236}">
              <a16:creationId xmlns:a16="http://schemas.microsoft.com/office/drawing/2014/main" id="{1F2B1FCB-97BE-434F-9A93-E40D6B8F057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88127</xdr:colOff>
      <xdr:row>1</xdr:row>
      <xdr:rowOff>28201</xdr:rowOff>
    </xdr:from>
    <xdr:to>
      <xdr:col>2</xdr:col>
      <xdr:colOff>88127</xdr:colOff>
      <xdr:row>2</xdr:row>
      <xdr:rowOff>138545</xdr:rowOff>
    </xdr:to>
    <xdr:cxnSp macro="">
      <xdr:nvCxnSpPr>
        <xdr:cNvPr id="62" name="Straight Connector 61">
          <a:extLst>
            <a:ext uri="{FF2B5EF4-FFF2-40B4-BE49-F238E27FC236}">
              <a16:creationId xmlns:a16="http://schemas.microsoft.com/office/drawing/2014/main" id="{7F983B49-BEA6-4327-A2CC-6E44AC24A0E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20378</xdr:colOff>
      <xdr:row>1</xdr:row>
      <xdr:rowOff>19879</xdr:rowOff>
    </xdr:from>
    <xdr:to>
      <xdr:col>8</xdr:col>
      <xdr:colOff>293001</xdr:colOff>
      <xdr:row>3</xdr:row>
      <xdr:rowOff>10354</xdr:rowOff>
    </xdr:to>
    <xdr:sp macro="" textlink="">
      <xdr:nvSpPr>
        <xdr:cNvPr id="64" name="TextBox 63">
          <a:hlinkClick xmlns:r="http://schemas.openxmlformats.org/officeDocument/2006/relationships" r:id="rId3"/>
          <a:extLst>
            <a:ext uri="{FF2B5EF4-FFF2-40B4-BE49-F238E27FC236}">
              <a16:creationId xmlns:a16="http://schemas.microsoft.com/office/drawing/2014/main" id="{6BB4CA84-4E6D-4A61-8FD7-E93FE7FC9BD7}"/>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8</xdr:col>
      <xdr:colOff>195727</xdr:colOff>
      <xdr:row>1</xdr:row>
      <xdr:rowOff>19879</xdr:rowOff>
    </xdr:from>
    <xdr:to>
      <xdr:col>9</xdr:col>
      <xdr:colOff>462291</xdr:colOff>
      <xdr:row>3</xdr:row>
      <xdr:rowOff>10354</xdr:rowOff>
    </xdr:to>
    <xdr:sp macro="" textlink="">
      <xdr:nvSpPr>
        <xdr:cNvPr id="65" name="TextBox 64">
          <a:hlinkClick xmlns:r="http://schemas.openxmlformats.org/officeDocument/2006/relationships" r:id="rId4"/>
          <a:extLst>
            <a:ext uri="{FF2B5EF4-FFF2-40B4-BE49-F238E27FC236}">
              <a16:creationId xmlns:a16="http://schemas.microsoft.com/office/drawing/2014/main" id="{5E788863-28A2-4C8D-A16F-D4A62DF4ED6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9</xdr:col>
      <xdr:colOff>365017</xdr:colOff>
      <xdr:row>1</xdr:row>
      <xdr:rowOff>19879</xdr:rowOff>
    </xdr:from>
    <xdr:to>
      <xdr:col>10</xdr:col>
      <xdr:colOff>637612</xdr:colOff>
      <xdr:row>3</xdr:row>
      <xdr:rowOff>10354</xdr:rowOff>
    </xdr:to>
    <xdr:sp macro="" textlink="">
      <xdr:nvSpPr>
        <xdr:cNvPr id="66" name="TextBox 65">
          <a:hlinkClick xmlns:r="http://schemas.openxmlformats.org/officeDocument/2006/relationships" r:id="rId5"/>
          <a:extLst>
            <a:ext uri="{FF2B5EF4-FFF2-40B4-BE49-F238E27FC236}">
              <a16:creationId xmlns:a16="http://schemas.microsoft.com/office/drawing/2014/main" id="{8E63717A-9DA7-4A62-9F4B-5EC2C4B8275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10</xdr:col>
      <xdr:colOff>540338</xdr:colOff>
      <xdr:row>1</xdr:row>
      <xdr:rowOff>19879</xdr:rowOff>
    </xdr:from>
    <xdr:to>
      <xdr:col>12</xdr:col>
      <xdr:colOff>131214</xdr:colOff>
      <xdr:row>3</xdr:row>
      <xdr:rowOff>10354</xdr:rowOff>
    </xdr:to>
    <xdr:sp macro="" textlink="">
      <xdr:nvSpPr>
        <xdr:cNvPr id="67" name="TextBox 66">
          <a:hlinkClick xmlns:r="http://schemas.openxmlformats.org/officeDocument/2006/relationships" r:id="rId6"/>
          <a:extLst>
            <a:ext uri="{FF2B5EF4-FFF2-40B4-BE49-F238E27FC236}">
              <a16:creationId xmlns:a16="http://schemas.microsoft.com/office/drawing/2014/main" id="{DAA5A255-A636-4B09-AAFE-9A04E9CCB95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33940</xdr:colOff>
      <xdr:row>1</xdr:row>
      <xdr:rowOff>19879</xdr:rowOff>
    </xdr:from>
    <xdr:to>
      <xdr:col>13</xdr:col>
      <xdr:colOff>303545</xdr:colOff>
      <xdr:row>3</xdr:row>
      <xdr:rowOff>10354</xdr:rowOff>
    </xdr:to>
    <xdr:sp macro="" textlink="">
      <xdr:nvSpPr>
        <xdr:cNvPr id="68" name="TextBox 67">
          <a:hlinkClick xmlns:r="http://schemas.openxmlformats.org/officeDocument/2006/relationships" r:id="rId7"/>
          <a:extLst>
            <a:ext uri="{FF2B5EF4-FFF2-40B4-BE49-F238E27FC236}">
              <a16:creationId xmlns:a16="http://schemas.microsoft.com/office/drawing/2014/main" id="{03EC94A1-4B9F-45EB-AEFA-6A8A5D8CDCD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13</xdr:col>
      <xdr:colOff>207952</xdr:colOff>
      <xdr:row>1</xdr:row>
      <xdr:rowOff>19879</xdr:rowOff>
    </xdr:from>
    <xdr:to>
      <xdr:col>14</xdr:col>
      <xdr:colOff>475877</xdr:colOff>
      <xdr:row>3</xdr:row>
      <xdr:rowOff>10354</xdr:rowOff>
    </xdr:to>
    <xdr:sp macro="" textlink="">
      <xdr:nvSpPr>
        <xdr:cNvPr id="69" name="TextBox 68">
          <a:hlinkClick xmlns:r="http://schemas.openxmlformats.org/officeDocument/2006/relationships" r:id="rId8"/>
          <a:extLst>
            <a:ext uri="{FF2B5EF4-FFF2-40B4-BE49-F238E27FC236}">
              <a16:creationId xmlns:a16="http://schemas.microsoft.com/office/drawing/2014/main" id="{B182EBCB-B912-4705-89AA-5FC7543697B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14</xdr:col>
      <xdr:colOff>380284</xdr:colOff>
      <xdr:row>1</xdr:row>
      <xdr:rowOff>19879</xdr:rowOff>
    </xdr:from>
    <xdr:to>
      <xdr:col>15</xdr:col>
      <xdr:colOff>650667</xdr:colOff>
      <xdr:row>3</xdr:row>
      <xdr:rowOff>10354</xdr:rowOff>
    </xdr:to>
    <xdr:sp macro="" textlink="">
      <xdr:nvSpPr>
        <xdr:cNvPr id="70" name="TextBox 69">
          <a:hlinkClick xmlns:r="http://schemas.openxmlformats.org/officeDocument/2006/relationships" r:id="rId9"/>
          <a:extLst>
            <a:ext uri="{FF2B5EF4-FFF2-40B4-BE49-F238E27FC236}">
              <a16:creationId xmlns:a16="http://schemas.microsoft.com/office/drawing/2014/main" id="{8E24EAE8-D0D9-4385-9FCB-AE319BD9AF4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15</xdr:col>
      <xdr:colOff>553393</xdr:colOff>
      <xdr:row>1</xdr:row>
      <xdr:rowOff>19879</xdr:rowOff>
    </xdr:from>
    <xdr:to>
      <xdr:col>17</xdr:col>
      <xdr:colOff>138329</xdr:colOff>
      <xdr:row>3</xdr:row>
      <xdr:rowOff>10354</xdr:rowOff>
    </xdr:to>
    <xdr:sp macro="" textlink="">
      <xdr:nvSpPr>
        <xdr:cNvPr id="71" name="TextBox 70">
          <a:hlinkClick xmlns:r="http://schemas.openxmlformats.org/officeDocument/2006/relationships" r:id="rId10"/>
          <a:extLst>
            <a:ext uri="{FF2B5EF4-FFF2-40B4-BE49-F238E27FC236}">
              <a16:creationId xmlns:a16="http://schemas.microsoft.com/office/drawing/2014/main" id="{FBA45ED2-1CB1-4705-8D68-282891BF6B4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41055</xdr:colOff>
      <xdr:row>1</xdr:row>
      <xdr:rowOff>19879</xdr:rowOff>
    </xdr:from>
    <xdr:to>
      <xdr:col>18</xdr:col>
      <xdr:colOff>306221</xdr:colOff>
      <xdr:row>3</xdr:row>
      <xdr:rowOff>10354</xdr:rowOff>
    </xdr:to>
    <xdr:sp macro="" textlink="">
      <xdr:nvSpPr>
        <xdr:cNvPr id="72" name="TextBox 71">
          <a:hlinkClick xmlns:r="http://schemas.openxmlformats.org/officeDocument/2006/relationships" r:id="rId11"/>
          <a:extLst>
            <a:ext uri="{FF2B5EF4-FFF2-40B4-BE49-F238E27FC236}">
              <a16:creationId xmlns:a16="http://schemas.microsoft.com/office/drawing/2014/main" id="{CBD6013A-3815-459D-99CC-C5FB0FCD93D7}"/>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19</xdr:col>
      <xdr:colOff>376841</xdr:colOff>
      <xdr:row>1</xdr:row>
      <xdr:rowOff>19879</xdr:rowOff>
    </xdr:from>
    <xdr:to>
      <xdr:col>20</xdr:col>
      <xdr:colOff>645182</xdr:colOff>
      <xdr:row>3</xdr:row>
      <xdr:rowOff>10354</xdr:rowOff>
    </xdr:to>
    <xdr:sp macro="" textlink="">
      <xdr:nvSpPr>
        <xdr:cNvPr id="73" name="TextBox 72">
          <a:hlinkClick xmlns:r="http://schemas.openxmlformats.org/officeDocument/2006/relationships" r:id="rId12"/>
          <a:extLst>
            <a:ext uri="{FF2B5EF4-FFF2-40B4-BE49-F238E27FC236}">
              <a16:creationId xmlns:a16="http://schemas.microsoft.com/office/drawing/2014/main" id="{AD8B6910-B64A-4111-B4E8-DE5B9C578551}"/>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20</xdr:col>
      <xdr:colOff>547908</xdr:colOff>
      <xdr:row>1</xdr:row>
      <xdr:rowOff>19879</xdr:rowOff>
    </xdr:from>
    <xdr:to>
      <xdr:col>22</xdr:col>
      <xdr:colOff>133461</xdr:colOff>
      <xdr:row>3</xdr:row>
      <xdr:rowOff>10354</xdr:rowOff>
    </xdr:to>
    <xdr:sp macro="" textlink="">
      <xdr:nvSpPr>
        <xdr:cNvPr id="74" name="TextBox 73">
          <a:hlinkClick xmlns:r="http://schemas.openxmlformats.org/officeDocument/2006/relationships" r:id="rId13"/>
          <a:extLst>
            <a:ext uri="{FF2B5EF4-FFF2-40B4-BE49-F238E27FC236}">
              <a16:creationId xmlns:a16="http://schemas.microsoft.com/office/drawing/2014/main" id="{ECD5056D-985C-4AF7-9F8A-C26477B1CD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36187</xdr:colOff>
      <xdr:row>1</xdr:row>
      <xdr:rowOff>19879</xdr:rowOff>
    </xdr:from>
    <xdr:to>
      <xdr:col>23</xdr:col>
      <xdr:colOff>305882</xdr:colOff>
      <xdr:row>3</xdr:row>
      <xdr:rowOff>10354</xdr:rowOff>
    </xdr:to>
    <xdr:sp macro="" textlink="">
      <xdr:nvSpPr>
        <xdr:cNvPr id="75" name="TextBox 74">
          <a:hlinkClick xmlns:r="http://schemas.openxmlformats.org/officeDocument/2006/relationships" r:id="rId14"/>
          <a:extLst>
            <a:ext uri="{FF2B5EF4-FFF2-40B4-BE49-F238E27FC236}">
              <a16:creationId xmlns:a16="http://schemas.microsoft.com/office/drawing/2014/main" id="{C1402E3A-702D-48FC-800A-114E0117A9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23</xdr:col>
      <xdr:colOff>208608</xdr:colOff>
      <xdr:row>1</xdr:row>
      <xdr:rowOff>19879</xdr:rowOff>
    </xdr:from>
    <xdr:to>
      <xdr:col>24</xdr:col>
      <xdr:colOff>482000</xdr:colOff>
      <xdr:row>3</xdr:row>
      <xdr:rowOff>10354</xdr:rowOff>
    </xdr:to>
    <xdr:sp macro="" textlink="">
      <xdr:nvSpPr>
        <xdr:cNvPr id="76" name="TextBox 75">
          <a:hlinkClick xmlns:r="http://schemas.openxmlformats.org/officeDocument/2006/relationships" r:id="rId15"/>
          <a:extLst>
            <a:ext uri="{FF2B5EF4-FFF2-40B4-BE49-F238E27FC236}">
              <a16:creationId xmlns:a16="http://schemas.microsoft.com/office/drawing/2014/main" id="{DE123833-0431-4A06-BDDC-57CDB371FE2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24</xdr:col>
      <xdr:colOff>384737</xdr:colOff>
      <xdr:row>1</xdr:row>
      <xdr:rowOff>19879</xdr:rowOff>
    </xdr:from>
    <xdr:to>
      <xdr:col>25</xdr:col>
      <xdr:colOff>655702</xdr:colOff>
      <xdr:row>3</xdr:row>
      <xdr:rowOff>10354</xdr:rowOff>
    </xdr:to>
    <xdr:sp macro="" textlink="">
      <xdr:nvSpPr>
        <xdr:cNvPr id="77" name="TextBox 76">
          <a:hlinkClick xmlns:r="http://schemas.openxmlformats.org/officeDocument/2006/relationships" r:id="rId16"/>
          <a:extLst>
            <a:ext uri="{FF2B5EF4-FFF2-40B4-BE49-F238E27FC236}">
              <a16:creationId xmlns:a16="http://schemas.microsoft.com/office/drawing/2014/main" id="{B83CB797-6225-4825-B7D8-45F4AD76229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9</xdr:col>
      <xdr:colOff>413654</xdr:colOff>
      <xdr:row>1</xdr:row>
      <xdr:rowOff>103586</xdr:rowOff>
    </xdr:from>
    <xdr:to>
      <xdr:col>9</xdr:col>
      <xdr:colOff>413654</xdr:colOff>
      <xdr:row>2</xdr:row>
      <xdr:rowOff>117146</xdr:rowOff>
    </xdr:to>
    <xdr:cxnSp macro="">
      <xdr:nvCxnSpPr>
        <xdr:cNvPr id="78" name="Straight Connector 77">
          <a:extLst>
            <a:ext uri="{FF2B5EF4-FFF2-40B4-BE49-F238E27FC236}">
              <a16:creationId xmlns:a16="http://schemas.microsoft.com/office/drawing/2014/main" id="{E67AEF58-80F3-420C-B0AE-F034D5E73C5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244364</xdr:colOff>
      <xdr:row>1</xdr:row>
      <xdr:rowOff>103586</xdr:rowOff>
    </xdr:from>
    <xdr:to>
      <xdr:col>8</xdr:col>
      <xdr:colOff>244364</xdr:colOff>
      <xdr:row>2</xdr:row>
      <xdr:rowOff>117146</xdr:rowOff>
    </xdr:to>
    <xdr:cxnSp macro="">
      <xdr:nvCxnSpPr>
        <xdr:cNvPr id="79" name="Straight Connector 78">
          <a:extLst>
            <a:ext uri="{FF2B5EF4-FFF2-40B4-BE49-F238E27FC236}">
              <a16:creationId xmlns:a16="http://schemas.microsoft.com/office/drawing/2014/main" id="{0F22A2E0-A526-47DB-B928-1D0F3C6D6A5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69015</xdr:colOff>
      <xdr:row>1</xdr:row>
      <xdr:rowOff>103586</xdr:rowOff>
    </xdr:from>
    <xdr:to>
      <xdr:col>7</xdr:col>
      <xdr:colOff>69015</xdr:colOff>
      <xdr:row>2</xdr:row>
      <xdr:rowOff>117146</xdr:rowOff>
    </xdr:to>
    <xdr:cxnSp macro="">
      <xdr:nvCxnSpPr>
        <xdr:cNvPr id="80" name="Straight Connector 79">
          <a:extLst>
            <a:ext uri="{FF2B5EF4-FFF2-40B4-BE49-F238E27FC236}">
              <a16:creationId xmlns:a16="http://schemas.microsoft.com/office/drawing/2014/main" id="{DFD3ED74-129F-409A-BA13-111C6924F81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588975</xdr:colOff>
      <xdr:row>1</xdr:row>
      <xdr:rowOff>103586</xdr:rowOff>
    </xdr:from>
    <xdr:to>
      <xdr:col>10</xdr:col>
      <xdr:colOff>588975</xdr:colOff>
      <xdr:row>2</xdr:row>
      <xdr:rowOff>117146</xdr:rowOff>
    </xdr:to>
    <xdr:cxnSp macro="">
      <xdr:nvCxnSpPr>
        <xdr:cNvPr id="81" name="Straight Connector 80">
          <a:extLst>
            <a:ext uri="{FF2B5EF4-FFF2-40B4-BE49-F238E27FC236}">
              <a16:creationId xmlns:a16="http://schemas.microsoft.com/office/drawing/2014/main" id="{C2FB533F-14DF-4A4A-A9A5-B03B6FFEEEB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82577</xdr:colOff>
      <xdr:row>1</xdr:row>
      <xdr:rowOff>103586</xdr:rowOff>
    </xdr:from>
    <xdr:to>
      <xdr:col>12</xdr:col>
      <xdr:colOff>82577</xdr:colOff>
      <xdr:row>2</xdr:row>
      <xdr:rowOff>117146</xdr:rowOff>
    </xdr:to>
    <xdr:cxnSp macro="">
      <xdr:nvCxnSpPr>
        <xdr:cNvPr id="82" name="Straight Connector 81">
          <a:extLst>
            <a:ext uri="{FF2B5EF4-FFF2-40B4-BE49-F238E27FC236}">
              <a16:creationId xmlns:a16="http://schemas.microsoft.com/office/drawing/2014/main" id="{37B60877-9501-43BB-A948-11B4D2AE22A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254908</xdr:colOff>
      <xdr:row>1</xdr:row>
      <xdr:rowOff>103586</xdr:rowOff>
    </xdr:from>
    <xdr:to>
      <xdr:col>13</xdr:col>
      <xdr:colOff>254908</xdr:colOff>
      <xdr:row>2</xdr:row>
      <xdr:rowOff>117146</xdr:rowOff>
    </xdr:to>
    <xdr:cxnSp macro="">
      <xdr:nvCxnSpPr>
        <xdr:cNvPr id="84" name="Straight Connector 83">
          <a:extLst>
            <a:ext uri="{FF2B5EF4-FFF2-40B4-BE49-F238E27FC236}">
              <a16:creationId xmlns:a16="http://schemas.microsoft.com/office/drawing/2014/main" id="{876F524B-14A9-48AD-923A-496857E5563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428921</xdr:colOff>
      <xdr:row>1</xdr:row>
      <xdr:rowOff>103586</xdr:rowOff>
    </xdr:from>
    <xdr:to>
      <xdr:col>14</xdr:col>
      <xdr:colOff>428921</xdr:colOff>
      <xdr:row>2</xdr:row>
      <xdr:rowOff>117146</xdr:rowOff>
    </xdr:to>
    <xdr:cxnSp macro="">
      <xdr:nvCxnSpPr>
        <xdr:cNvPr id="85" name="Straight Connector 84">
          <a:extLst>
            <a:ext uri="{FF2B5EF4-FFF2-40B4-BE49-F238E27FC236}">
              <a16:creationId xmlns:a16="http://schemas.microsoft.com/office/drawing/2014/main" id="{20BC7918-103B-4AFF-B156-967F87A7034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602030</xdr:colOff>
      <xdr:row>1</xdr:row>
      <xdr:rowOff>103586</xdr:rowOff>
    </xdr:from>
    <xdr:to>
      <xdr:col>15</xdr:col>
      <xdr:colOff>602030</xdr:colOff>
      <xdr:row>2</xdr:row>
      <xdr:rowOff>117146</xdr:rowOff>
    </xdr:to>
    <xdr:cxnSp macro="">
      <xdr:nvCxnSpPr>
        <xdr:cNvPr id="115" name="Straight Connector 114">
          <a:extLst>
            <a:ext uri="{FF2B5EF4-FFF2-40B4-BE49-F238E27FC236}">
              <a16:creationId xmlns:a16="http://schemas.microsoft.com/office/drawing/2014/main" id="{1E18C591-8FE2-4FE4-B845-7E94E82E8E6E}"/>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89692</xdr:colOff>
      <xdr:row>1</xdr:row>
      <xdr:rowOff>103586</xdr:rowOff>
    </xdr:from>
    <xdr:to>
      <xdr:col>17</xdr:col>
      <xdr:colOff>89692</xdr:colOff>
      <xdr:row>2</xdr:row>
      <xdr:rowOff>117146</xdr:rowOff>
    </xdr:to>
    <xdr:cxnSp macro="">
      <xdr:nvCxnSpPr>
        <xdr:cNvPr id="116" name="Straight Connector 115">
          <a:extLst>
            <a:ext uri="{FF2B5EF4-FFF2-40B4-BE49-F238E27FC236}">
              <a16:creationId xmlns:a16="http://schemas.microsoft.com/office/drawing/2014/main" id="{316B61E2-D170-477F-A2C7-E319C4D145FB}"/>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425478</xdr:colOff>
      <xdr:row>1</xdr:row>
      <xdr:rowOff>103586</xdr:rowOff>
    </xdr:from>
    <xdr:to>
      <xdr:col>19</xdr:col>
      <xdr:colOff>425478</xdr:colOff>
      <xdr:row>2</xdr:row>
      <xdr:rowOff>117146</xdr:rowOff>
    </xdr:to>
    <xdr:cxnSp macro="">
      <xdr:nvCxnSpPr>
        <xdr:cNvPr id="117" name="Straight Connector 116">
          <a:extLst>
            <a:ext uri="{FF2B5EF4-FFF2-40B4-BE49-F238E27FC236}">
              <a16:creationId xmlns:a16="http://schemas.microsoft.com/office/drawing/2014/main" id="{A82630A1-8FF0-4992-870A-786C9D8460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596545</xdr:colOff>
      <xdr:row>1</xdr:row>
      <xdr:rowOff>103586</xdr:rowOff>
    </xdr:from>
    <xdr:to>
      <xdr:col>20</xdr:col>
      <xdr:colOff>596545</xdr:colOff>
      <xdr:row>2</xdr:row>
      <xdr:rowOff>117146</xdr:rowOff>
    </xdr:to>
    <xdr:cxnSp macro="">
      <xdr:nvCxnSpPr>
        <xdr:cNvPr id="118" name="Straight Connector 117">
          <a:extLst>
            <a:ext uri="{FF2B5EF4-FFF2-40B4-BE49-F238E27FC236}">
              <a16:creationId xmlns:a16="http://schemas.microsoft.com/office/drawing/2014/main" id="{279DE7FB-3DA7-4C33-9224-4380880BCD7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84824</xdr:colOff>
      <xdr:row>1</xdr:row>
      <xdr:rowOff>103586</xdr:rowOff>
    </xdr:from>
    <xdr:to>
      <xdr:col>22</xdr:col>
      <xdr:colOff>84824</xdr:colOff>
      <xdr:row>2</xdr:row>
      <xdr:rowOff>117146</xdr:rowOff>
    </xdr:to>
    <xdr:cxnSp macro="">
      <xdr:nvCxnSpPr>
        <xdr:cNvPr id="119" name="Straight Connector 118">
          <a:extLst>
            <a:ext uri="{FF2B5EF4-FFF2-40B4-BE49-F238E27FC236}">
              <a16:creationId xmlns:a16="http://schemas.microsoft.com/office/drawing/2014/main" id="{DF23A989-B048-49BE-AB98-C72B7DF6234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257245</xdr:colOff>
      <xdr:row>1</xdr:row>
      <xdr:rowOff>103586</xdr:rowOff>
    </xdr:from>
    <xdr:to>
      <xdr:col>23</xdr:col>
      <xdr:colOff>257245</xdr:colOff>
      <xdr:row>2</xdr:row>
      <xdr:rowOff>117146</xdr:rowOff>
    </xdr:to>
    <xdr:cxnSp macro="">
      <xdr:nvCxnSpPr>
        <xdr:cNvPr id="120" name="Straight Connector 119">
          <a:extLst>
            <a:ext uri="{FF2B5EF4-FFF2-40B4-BE49-F238E27FC236}">
              <a16:creationId xmlns:a16="http://schemas.microsoft.com/office/drawing/2014/main" id="{271AD687-A2BA-4C32-90BF-1361E0F6E18A}"/>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433363</xdr:colOff>
      <xdr:row>1</xdr:row>
      <xdr:rowOff>103586</xdr:rowOff>
    </xdr:from>
    <xdr:to>
      <xdr:col>24</xdr:col>
      <xdr:colOff>433363</xdr:colOff>
      <xdr:row>2</xdr:row>
      <xdr:rowOff>117146</xdr:rowOff>
    </xdr:to>
    <xdr:cxnSp macro="">
      <xdr:nvCxnSpPr>
        <xdr:cNvPr id="121" name="Straight Connector 120">
          <a:extLst>
            <a:ext uri="{FF2B5EF4-FFF2-40B4-BE49-F238E27FC236}">
              <a16:creationId xmlns:a16="http://schemas.microsoft.com/office/drawing/2014/main" id="{4C77FFF6-F4DC-4181-BAB8-F713C9DFF6D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257584</xdr:colOff>
      <xdr:row>1</xdr:row>
      <xdr:rowOff>103586</xdr:rowOff>
    </xdr:from>
    <xdr:to>
      <xdr:col>18</xdr:col>
      <xdr:colOff>257584</xdr:colOff>
      <xdr:row>2</xdr:row>
      <xdr:rowOff>117146</xdr:rowOff>
    </xdr:to>
    <xdr:cxnSp macro="">
      <xdr:nvCxnSpPr>
        <xdr:cNvPr id="122" name="Straight Connector 121">
          <a:extLst>
            <a:ext uri="{FF2B5EF4-FFF2-40B4-BE49-F238E27FC236}">
              <a16:creationId xmlns:a16="http://schemas.microsoft.com/office/drawing/2014/main" id="{2965A0F9-619F-4DF3-894C-8E792C0195F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xdr:row>
      <xdr:rowOff>47625</xdr:rowOff>
    </xdr:from>
    <xdr:to>
      <xdr:col>5</xdr:col>
      <xdr:colOff>371474</xdr:colOff>
      <xdr:row>16</xdr:row>
      <xdr:rowOff>123825</xdr:rowOff>
    </xdr:to>
    <xdr:graphicFrame macro="">
      <xdr:nvGraphicFramePr>
        <xdr:cNvPr id="26" name="Chart 25">
          <a:extLst>
            <a:ext uri="{FF2B5EF4-FFF2-40B4-BE49-F238E27FC236}">
              <a16:creationId xmlns:a16="http://schemas.microsoft.com/office/drawing/2014/main" id="{68539338-8E37-474B-81FD-5C005BA70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624111</xdr:colOff>
      <xdr:row>5</xdr:row>
      <xdr:rowOff>85725</xdr:rowOff>
    </xdr:from>
    <xdr:to>
      <xdr:col>25</xdr:col>
      <xdr:colOff>283509</xdr:colOff>
      <xdr:row>35</xdr:row>
      <xdr:rowOff>68829</xdr:rowOff>
    </xdr:to>
    <xdr:sp macro="" textlink="">
      <xdr:nvSpPr>
        <xdr:cNvPr id="32" name="Rounded Rectangle 16">
          <a:extLst>
            <a:ext uri="{FF2B5EF4-FFF2-40B4-BE49-F238E27FC236}">
              <a16:creationId xmlns:a16="http://schemas.microsoft.com/office/drawing/2014/main" id="{46D9BA80-56FC-4E28-8153-8EACCC6D2817}"/>
            </a:ext>
          </a:extLst>
        </xdr:cNvPr>
        <xdr:cNvSpPr/>
      </xdr:nvSpPr>
      <xdr:spPr>
        <a:xfrm>
          <a:off x="11854086" y="895350"/>
          <a:ext cx="5831598" cy="56981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656282</xdr:colOff>
      <xdr:row>5</xdr:row>
      <xdr:rowOff>133350</xdr:rowOff>
    </xdr:from>
    <xdr:to>
      <xdr:col>25</xdr:col>
      <xdr:colOff>226359</xdr:colOff>
      <xdr:row>34</xdr:row>
      <xdr:rowOff>178733</xdr:rowOff>
    </xdr:to>
    <xdr:sp macro="" textlink="">
      <xdr:nvSpPr>
        <xdr:cNvPr id="33" name="Rounded Rectangle 17">
          <a:extLst>
            <a:ext uri="{FF2B5EF4-FFF2-40B4-BE49-F238E27FC236}">
              <a16:creationId xmlns:a16="http://schemas.microsoft.com/office/drawing/2014/main" id="{67724C0E-2EEA-421E-9EBA-6368226C5899}"/>
            </a:ext>
          </a:extLst>
        </xdr:cNvPr>
        <xdr:cNvSpPr/>
      </xdr:nvSpPr>
      <xdr:spPr>
        <a:xfrm>
          <a:off x="11886257" y="942975"/>
          <a:ext cx="5742277" cy="5569883"/>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28575</xdr:colOff>
      <xdr:row>6</xdr:row>
      <xdr:rowOff>9525</xdr:rowOff>
    </xdr:from>
    <xdr:to>
      <xdr:col>25</xdr:col>
      <xdr:colOff>188260</xdr:colOff>
      <xdr:row>34</xdr:row>
      <xdr:rowOff>122705</xdr:rowOff>
    </xdr:to>
    <xdr:sp macro="" textlink="">
      <xdr:nvSpPr>
        <xdr:cNvPr id="34" name="Rounded Rectangle 18">
          <a:extLst>
            <a:ext uri="{FF2B5EF4-FFF2-40B4-BE49-F238E27FC236}">
              <a16:creationId xmlns:a16="http://schemas.microsoft.com/office/drawing/2014/main" id="{CDDB93CD-33C0-40F6-8B5D-2ED2511119D8}"/>
            </a:ext>
          </a:extLst>
        </xdr:cNvPr>
        <xdr:cNvSpPr/>
      </xdr:nvSpPr>
      <xdr:spPr>
        <a:xfrm>
          <a:off x="11944350" y="1009650"/>
          <a:ext cx="5646085" cy="54471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u="none"/>
        </a:p>
      </xdr:txBody>
    </xdr:sp>
    <xdr:clientData/>
  </xdr:twoCellAnchor>
  <xdr:twoCellAnchor>
    <xdr:from>
      <xdr:col>17</xdr:col>
      <xdr:colOff>164139</xdr:colOff>
      <xdr:row>7</xdr:row>
      <xdr:rowOff>171451</xdr:rowOff>
    </xdr:from>
    <xdr:to>
      <xdr:col>24</xdr:col>
      <xdr:colOff>624729</xdr:colOff>
      <xdr:row>34</xdr:row>
      <xdr:rowOff>55471</xdr:rowOff>
    </xdr:to>
    <xdr:graphicFrame macro="">
      <xdr:nvGraphicFramePr>
        <xdr:cNvPr id="31" name="Chart 30">
          <a:extLst>
            <a:ext uri="{FF2B5EF4-FFF2-40B4-BE49-F238E27FC236}">
              <a16:creationId xmlns:a16="http://schemas.microsoft.com/office/drawing/2014/main" id="{F3A1A598-F56B-435F-B2BA-82065D656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381000</xdr:colOff>
      <xdr:row>19</xdr:row>
      <xdr:rowOff>77560</xdr:rowOff>
    </xdr:from>
    <xdr:to>
      <xdr:col>8</xdr:col>
      <xdr:colOff>283780</xdr:colOff>
      <xdr:row>34</xdr:row>
      <xdr:rowOff>96957</xdr:rowOff>
    </xdr:to>
    <xdr:graphicFrame macro="">
      <xdr:nvGraphicFramePr>
        <xdr:cNvPr id="36" name="Chart 35">
          <a:extLst>
            <a:ext uri="{FF2B5EF4-FFF2-40B4-BE49-F238E27FC236}">
              <a16:creationId xmlns:a16="http://schemas.microsoft.com/office/drawing/2014/main" id="{A62C2B4E-E52A-4877-B4D0-ADF4C95EC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389282</xdr:colOff>
      <xdr:row>7</xdr:row>
      <xdr:rowOff>75908</xdr:rowOff>
    </xdr:from>
    <xdr:to>
      <xdr:col>4</xdr:col>
      <xdr:colOff>361950</xdr:colOff>
      <xdr:row>13</xdr:row>
      <xdr:rowOff>66383</xdr:rowOff>
    </xdr:to>
    <xdr:sp macro="" textlink="FCFF!R170">
      <xdr:nvSpPr>
        <xdr:cNvPr id="5" name="TextBox 4">
          <a:extLst>
            <a:ext uri="{FF2B5EF4-FFF2-40B4-BE49-F238E27FC236}">
              <a16:creationId xmlns:a16="http://schemas.microsoft.com/office/drawing/2014/main" id="{00000000-0008-0000-0000-000005000000}"/>
            </a:ext>
          </a:extLst>
        </xdr:cNvPr>
        <xdr:cNvSpPr txBox="1"/>
      </xdr:nvSpPr>
      <xdr:spPr>
        <a:xfrm>
          <a:off x="389282" y="1266533"/>
          <a:ext cx="2887318" cy="1133475"/>
        </a:xfrm>
        <a:prstGeom prst="rect">
          <a:avLst/>
        </a:prstGeom>
        <a:noFill/>
        <a:ln w="9525" cmpd="sng">
          <a:no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B416593-3911-4086-9678-272915FA7569}" type="TxLink">
            <a:rPr lang="en-US" sz="6000" b="0" i="0" u="none" strike="noStrike" cap="none" spc="0">
              <a:ln w="0"/>
              <a:solidFill>
                <a:schemeClr val="accent1"/>
              </a:solidFill>
              <a:effectLst>
                <a:outerShdw blurRad="38100" dist="25400" dir="5400000" algn="ctr" rotWithShape="0">
                  <a:srgbClr val="6E747A">
                    <a:alpha val="43000"/>
                  </a:srgbClr>
                </a:outerShdw>
              </a:effectLst>
              <a:latin typeface="Arial Nova"/>
              <a:cs typeface="Arial"/>
            </a:rPr>
            <a:pPr/>
            <a:t>#NOME?</a:t>
          </a:fld>
          <a:endParaRPr lang="en-US" sz="41300" b="0" cap="none" spc="0">
            <a:ln w="0"/>
            <a:solidFill>
              <a:schemeClr val="accent1"/>
            </a:solidFill>
            <a:effectLst>
              <a:outerShdw blurRad="38100" dist="25400" dir="5400000" algn="ctr" rotWithShape="0">
                <a:srgbClr val="6E747A">
                  <a:alpha val="43000"/>
                </a:srgbClr>
              </a:outerShdw>
            </a:effectLst>
            <a:latin typeface="Arial Black" panose="020B0A04020102020204" pitchFamily="34" charset="0"/>
          </a:endParaRPr>
        </a:p>
      </xdr:txBody>
    </xdr:sp>
    <xdr:clientData/>
  </xdr:twoCellAnchor>
  <xdr:twoCellAnchor>
    <xdr:from>
      <xdr:col>8</xdr:col>
      <xdr:colOff>680939</xdr:colOff>
      <xdr:row>18</xdr:row>
      <xdr:rowOff>26335</xdr:rowOff>
    </xdr:from>
    <xdr:to>
      <xdr:col>16</xdr:col>
      <xdr:colOff>480522</xdr:colOff>
      <xdr:row>35</xdr:row>
      <xdr:rowOff>122647</xdr:rowOff>
    </xdr:to>
    <xdr:sp macro="" textlink="">
      <xdr:nvSpPr>
        <xdr:cNvPr id="7" name="Rounded Rectangle 10">
          <a:extLst>
            <a:ext uri="{FF2B5EF4-FFF2-40B4-BE49-F238E27FC236}">
              <a16:creationId xmlns:a16="http://schemas.microsoft.com/office/drawing/2014/main" id="{8490BD13-3504-E948-E037-FA939D752C03}"/>
            </a:ext>
          </a:extLst>
        </xdr:cNvPr>
        <xdr:cNvSpPr/>
      </xdr:nvSpPr>
      <xdr:spPr>
        <a:xfrm>
          <a:off x="6425705" y="3312460"/>
          <a:ext cx="5276458"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45244</xdr:colOff>
      <xdr:row>18</xdr:row>
      <xdr:rowOff>73959</xdr:rowOff>
    </xdr:from>
    <xdr:to>
      <xdr:col>16</xdr:col>
      <xdr:colOff>413287</xdr:colOff>
      <xdr:row>35</xdr:row>
      <xdr:rowOff>76200</xdr:rowOff>
    </xdr:to>
    <xdr:sp macro="" textlink="">
      <xdr:nvSpPr>
        <xdr:cNvPr id="10" name="Rounded Rectangle 11">
          <a:extLst>
            <a:ext uri="{FF2B5EF4-FFF2-40B4-BE49-F238E27FC236}">
              <a16:creationId xmlns:a16="http://schemas.microsoft.com/office/drawing/2014/main" id="{B80D1CD0-7E40-B6FE-DBD7-6C70CAAA467B}"/>
            </a:ext>
          </a:extLst>
        </xdr:cNvPr>
        <xdr:cNvSpPr/>
      </xdr:nvSpPr>
      <xdr:spPr>
        <a:xfrm>
          <a:off x="6474619" y="3360084"/>
          <a:ext cx="5160309"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94451</xdr:colOff>
      <xdr:row>18</xdr:row>
      <xdr:rowOff>140635</xdr:rowOff>
    </xdr:from>
    <xdr:to>
      <xdr:col>16</xdr:col>
      <xdr:colOff>357257</xdr:colOff>
      <xdr:row>35</xdr:row>
      <xdr:rowOff>24415</xdr:rowOff>
    </xdr:to>
    <xdr:sp macro="" textlink="">
      <xdr:nvSpPr>
        <xdr:cNvPr id="13" name="Rounded Rectangle 14">
          <a:extLst>
            <a:ext uri="{FF2B5EF4-FFF2-40B4-BE49-F238E27FC236}">
              <a16:creationId xmlns:a16="http://schemas.microsoft.com/office/drawing/2014/main" id="{01C2A47D-4BD3-4EB9-C6AA-A4BE89298E14}"/>
            </a:ext>
          </a:extLst>
        </xdr:cNvPr>
        <xdr:cNvSpPr/>
      </xdr:nvSpPr>
      <xdr:spPr>
        <a:xfrm>
          <a:off x="6523826" y="3426760"/>
          <a:ext cx="5055072"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247649</xdr:colOff>
      <xdr:row>19</xdr:row>
      <xdr:rowOff>66675</xdr:rowOff>
    </xdr:from>
    <xdr:to>
      <xdr:col>16</xdr:col>
      <xdr:colOff>161924</xdr:colOff>
      <xdr:row>34</xdr:row>
      <xdr:rowOff>47624</xdr:rowOff>
    </xdr:to>
    <xdr:graphicFrame macro="">
      <xdr:nvGraphicFramePr>
        <xdr:cNvPr id="14" name="Chart 13">
          <a:extLst>
            <a:ext uri="{FF2B5EF4-FFF2-40B4-BE49-F238E27FC236}">
              <a16:creationId xmlns:a16="http://schemas.microsoft.com/office/drawing/2014/main" id="{BC41E0A5-4240-4AC5-A691-2AA770B95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219076</xdr:colOff>
      <xdr:row>6</xdr:row>
      <xdr:rowOff>171450</xdr:rowOff>
    </xdr:from>
    <xdr:to>
      <xdr:col>16</xdr:col>
      <xdr:colOff>161926</xdr:colOff>
      <xdr:row>16</xdr:row>
      <xdr:rowOff>142875</xdr:rowOff>
    </xdr:to>
    <xdr:graphicFrame macro="">
      <xdr:nvGraphicFramePr>
        <xdr:cNvPr id="16" name="Chart 15">
          <a:extLst>
            <a:ext uri="{FF2B5EF4-FFF2-40B4-BE49-F238E27FC236}">
              <a16:creationId xmlns:a16="http://schemas.microsoft.com/office/drawing/2014/main" id="{559FB92E-12C7-4529-B6C2-6C782CCCF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476250</xdr:colOff>
      <xdr:row>1</xdr:row>
      <xdr:rowOff>57151</xdr:rowOff>
    </xdr:from>
    <xdr:to>
      <xdr:col>7</xdr:col>
      <xdr:colOff>59177</xdr:colOff>
      <xdr:row>3</xdr:row>
      <xdr:rowOff>1</xdr:rowOff>
    </xdr:to>
    <xdr:sp macro="" textlink="">
      <xdr:nvSpPr>
        <xdr:cNvPr id="20" name="TextBox 19">
          <a:hlinkClick xmlns:r="http://schemas.openxmlformats.org/officeDocument/2006/relationships" r:id="rId22"/>
          <a:extLst>
            <a:ext uri="{FF2B5EF4-FFF2-40B4-BE49-F238E27FC236}">
              <a16:creationId xmlns:a16="http://schemas.microsoft.com/office/drawing/2014/main" id="{D480B2ED-49A9-429D-9590-86E5540912AD}"/>
            </a:ext>
          </a:extLst>
        </xdr:cNvPr>
        <xdr:cNvSpPr txBox="1"/>
      </xdr:nvSpPr>
      <xdr:spPr>
        <a:xfrm>
          <a:off x="4162425" y="247651"/>
          <a:ext cx="954527"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9524</xdr:colOff>
      <xdr:row>10</xdr:row>
      <xdr:rowOff>19050</xdr:rowOff>
    </xdr:from>
    <xdr:to>
      <xdr:col>15</xdr:col>
      <xdr:colOff>857249</xdr:colOff>
      <xdr:row>32</xdr:row>
      <xdr:rowOff>38100</xdr:rowOff>
    </xdr:to>
    <xdr:graphicFrame macro="">
      <xdr:nvGraphicFramePr>
        <xdr:cNvPr id="2" name="Chart 1">
          <a:extLst>
            <a:ext uri="{FF2B5EF4-FFF2-40B4-BE49-F238E27FC236}">
              <a16:creationId xmlns:a16="http://schemas.microsoft.com/office/drawing/2014/main" id="{AF9BE819-4B5E-4E98-88F6-232A84C06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53</xdr:col>
      <xdr:colOff>179986</xdr:colOff>
      <xdr:row>4</xdr:row>
      <xdr:rowOff>0</xdr:rowOff>
    </xdr:to>
    <xdr:sp macro="" textlink="">
      <xdr:nvSpPr>
        <xdr:cNvPr id="104" name="Rectangle 103">
          <a:extLst>
            <a:ext uri="{FF2B5EF4-FFF2-40B4-BE49-F238E27FC236}">
              <a16:creationId xmlns:a16="http://schemas.microsoft.com/office/drawing/2014/main" id="{57657D92-280B-42FC-9A6A-1CE5D5EDB1D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399447</xdr:colOff>
      <xdr:row>1</xdr:row>
      <xdr:rowOff>19879</xdr:rowOff>
    </xdr:from>
    <xdr:to>
      <xdr:col>12</xdr:col>
      <xdr:colOff>464590</xdr:colOff>
      <xdr:row>3</xdr:row>
      <xdr:rowOff>10354</xdr:rowOff>
    </xdr:to>
    <xdr:sp macro="" textlink="">
      <xdr:nvSpPr>
        <xdr:cNvPr id="105" name="TextBox 104">
          <a:hlinkClick xmlns:r="http://schemas.openxmlformats.org/officeDocument/2006/relationships" r:id="rId2"/>
          <a:extLst>
            <a:ext uri="{FF2B5EF4-FFF2-40B4-BE49-F238E27FC236}">
              <a16:creationId xmlns:a16="http://schemas.microsoft.com/office/drawing/2014/main" id="{4A8BC603-917C-4312-AD03-F70B39DB27C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6" name="Picture 105">
          <a:extLst>
            <a:ext uri="{FF2B5EF4-FFF2-40B4-BE49-F238E27FC236}">
              <a16:creationId xmlns:a16="http://schemas.microsoft.com/office/drawing/2014/main" id="{9A92841C-F868-437E-A2FA-549C3053704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108" name="Straight Connector 107">
          <a:extLst>
            <a:ext uri="{FF2B5EF4-FFF2-40B4-BE49-F238E27FC236}">
              <a16:creationId xmlns:a16="http://schemas.microsoft.com/office/drawing/2014/main" id="{7DDFA2BF-2E64-43FC-8B97-700F774772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68000</xdr:colOff>
      <xdr:row>1</xdr:row>
      <xdr:rowOff>19879</xdr:rowOff>
    </xdr:from>
    <xdr:to>
      <xdr:col>5</xdr:col>
      <xdr:colOff>231952</xdr:colOff>
      <xdr:row>3</xdr:row>
      <xdr:rowOff>10354</xdr:rowOff>
    </xdr:to>
    <xdr:sp macro="" textlink="">
      <xdr:nvSpPr>
        <xdr:cNvPr id="109" name="TextBox 108">
          <a:hlinkClick xmlns:r="http://schemas.openxmlformats.org/officeDocument/2006/relationships" r:id="rId4"/>
          <a:extLst>
            <a:ext uri="{FF2B5EF4-FFF2-40B4-BE49-F238E27FC236}">
              <a16:creationId xmlns:a16="http://schemas.microsoft.com/office/drawing/2014/main" id="{EF79F394-B769-4EE4-A0F8-95BECC69126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134678</xdr:colOff>
      <xdr:row>1</xdr:row>
      <xdr:rowOff>19879</xdr:rowOff>
    </xdr:from>
    <xdr:to>
      <xdr:col>5</xdr:col>
      <xdr:colOff>1093101</xdr:colOff>
      <xdr:row>3</xdr:row>
      <xdr:rowOff>10354</xdr:rowOff>
    </xdr:to>
    <xdr:sp macro="" textlink="">
      <xdr:nvSpPr>
        <xdr:cNvPr id="110" name="TextBox 109">
          <a:hlinkClick xmlns:r="http://schemas.openxmlformats.org/officeDocument/2006/relationships" r:id="rId5"/>
          <a:extLst>
            <a:ext uri="{FF2B5EF4-FFF2-40B4-BE49-F238E27FC236}">
              <a16:creationId xmlns:a16="http://schemas.microsoft.com/office/drawing/2014/main" id="{EEA6EEE8-9D6F-48FC-9CC8-AED04F63E5C7}"/>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Key Info</a:t>
          </a:r>
        </a:p>
      </xdr:txBody>
    </xdr:sp>
    <xdr:clientData/>
  </xdr:twoCellAnchor>
  <xdr:twoCellAnchor>
    <xdr:from>
      <xdr:col>5</xdr:col>
      <xdr:colOff>995827</xdr:colOff>
      <xdr:row>1</xdr:row>
      <xdr:rowOff>19879</xdr:rowOff>
    </xdr:from>
    <xdr:to>
      <xdr:col>5</xdr:col>
      <xdr:colOff>1948191</xdr:colOff>
      <xdr:row>3</xdr:row>
      <xdr:rowOff>10354</xdr:rowOff>
    </xdr:to>
    <xdr:sp macro="" textlink="">
      <xdr:nvSpPr>
        <xdr:cNvPr id="111" name="TextBox 110">
          <a:hlinkClick xmlns:r="http://schemas.openxmlformats.org/officeDocument/2006/relationships" r:id="rId6"/>
          <a:extLst>
            <a:ext uri="{FF2B5EF4-FFF2-40B4-BE49-F238E27FC236}">
              <a16:creationId xmlns:a16="http://schemas.microsoft.com/office/drawing/2014/main" id="{0E53F67B-95C7-43B6-BA1C-6D84DC643ADB}"/>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1850917</xdr:colOff>
      <xdr:row>1</xdr:row>
      <xdr:rowOff>19879</xdr:rowOff>
    </xdr:from>
    <xdr:to>
      <xdr:col>6</xdr:col>
      <xdr:colOff>856687</xdr:colOff>
      <xdr:row>3</xdr:row>
      <xdr:rowOff>10354</xdr:rowOff>
    </xdr:to>
    <xdr:sp macro="" textlink="">
      <xdr:nvSpPr>
        <xdr:cNvPr id="112" name="TextBox 111">
          <a:hlinkClick xmlns:r="http://schemas.openxmlformats.org/officeDocument/2006/relationships" r:id="rId7"/>
          <a:extLst>
            <a:ext uri="{FF2B5EF4-FFF2-40B4-BE49-F238E27FC236}">
              <a16:creationId xmlns:a16="http://schemas.microsoft.com/office/drawing/2014/main" id="{D1AF7B02-6F90-4486-965E-29B00DA4D736}"/>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759413</xdr:colOff>
      <xdr:row>1</xdr:row>
      <xdr:rowOff>19879</xdr:rowOff>
    </xdr:from>
    <xdr:to>
      <xdr:col>7</xdr:col>
      <xdr:colOff>836064</xdr:colOff>
      <xdr:row>3</xdr:row>
      <xdr:rowOff>10354</xdr:rowOff>
    </xdr:to>
    <xdr:sp macro="" textlink="">
      <xdr:nvSpPr>
        <xdr:cNvPr id="113" name="TextBox 112">
          <a:hlinkClick xmlns:r="http://schemas.openxmlformats.org/officeDocument/2006/relationships" r:id="rId8"/>
          <a:extLst>
            <a:ext uri="{FF2B5EF4-FFF2-40B4-BE49-F238E27FC236}">
              <a16:creationId xmlns:a16="http://schemas.microsoft.com/office/drawing/2014/main" id="{A4AA8AE6-812C-49AD-9128-2B293C3C3949}"/>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738790</xdr:colOff>
      <xdr:row>1</xdr:row>
      <xdr:rowOff>19879</xdr:rowOff>
    </xdr:from>
    <xdr:to>
      <xdr:col>9</xdr:col>
      <xdr:colOff>17795</xdr:colOff>
      <xdr:row>3</xdr:row>
      <xdr:rowOff>10354</xdr:rowOff>
    </xdr:to>
    <xdr:sp macro="" textlink="">
      <xdr:nvSpPr>
        <xdr:cNvPr id="114" name="TextBox 113">
          <a:hlinkClick xmlns:r="http://schemas.openxmlformats.org/officeDocument/2006/relationships" r:id="rId9"/>
          <a:extLst>
            <a:ext uri="{FF2B5EF4-FFF2-40B4-BE49-F238E27FC236}">
              <a16:creationId xmlns:a16="http://schemas.microsoft.com/office/drawing/2014/main" id="{8E379378-BC3A-4D0E-AEC3-3BC8AFE1964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712777</xdr:colOff>
      <xdr:row>1</xdr:row>
      <xdr:rowOff>19879</xdr:rowOff>
    </xdr:from>
    <xdr:to>
      <xdr:col>9</xdr:col>
      <xdr:colOff>875927</xdr:colOff>
      <xdr:row>3</xdr:row>
      <xdr:rowOff>10354</xdr:rowOff>
    </xdr:to>
    <xdr:sp macro="" textlink="">
      <xdr:nvSpPr>
        <xdr:cNvPr id="115" name="TextBox 114">
          <a:hlinkClick xmlns:r="http://schemas.openxmlformats.org/officeDocument/2006/relationships" r:id="rId10"/>
          <a:extLst>
            <a:ext uri="{FF2B5EF4-FFF2-40B4-BE49-F238E27FC236}">
              <a16:creationId xmlns:a16="http://schemas.microsoft.com/office/drawing/2014/main" id="{FF61372D-A941-4732-8A1D-94E9F8CCFF7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780334</xdr:colOff>
      <xdr:row>1</xdr:row>
      <xdr:rowOff>19879</xdr:rowOff>
    </xdr:from>
    <xdr:to>
      <xdr:col>9</xdr:col>
      <xdr:colOff>1736517</xdr:colOff>
      <xdr:row>3</xdr:row>
      <xdr:rowOff>10354</xdr:rowOff>
    </xdr:to>
    <xdr:sp macro="" textlink="">
      <xdr:nvSpPr>
        <xdr:cNvPr id="116" name="TextBox 115">
          <a:hlinkClick xmlns:r="http://schemas.openxmlformats.org/officeDocument/2006/relationships" r:id="rId11"/>
          <a:extLst>
            <a:ext uri="{FF2B5EF4-FFF2-40B4-BE49-F238E27FC236}">
              <a16:creationId xmlns:a16="http://schemas.microsoft.com/office/drawing/2014/main" id="{F9E6172B-11F8-470F-BC5E-F77BB82A5135}"/>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1639243</xdr:colOff>
      <xdr:row>1</xdr:row>
      <xdr:rowOff>19879</xdr:rowOff>
    </xdr:from>
    <xdr:to>
      <xdr:col>10</xdr:col>
      <xdr:colOff>528854</xdr:colOff>
      <xdr:row>3</xdr:row>
      <xdr:rowOff>10354</xdr:rowOff>
    </xdr:to>
    <xdr:sp macro="" textlink="">
      <xdr:nvSpPr>
        <xdr:cNvPr id="117" name="TextBox 116">
          <a:hlinkClick xmlns:r="http://schemas.openxmlformats.org/officeDocument/2006/relationships" r:id="rId12"/>
          <a:extLst>
            <a:ext uri="{FF2B5EF4-FFF2-40B4-BE49-F238E27FC236}">
              <a16:creationId xmlns:a16="http://schemas.microsoft.com/office/drawing/2014/main" id="{B3E4E755-B2F5-4A70-A262-C456903CE5B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431580</xdr:colOff>
      <xdr:row>1</xdr:row>
      <xdr:rowOff>19879</xdr:rowOff>
    </xdr:from>
    <xdr:to>
      <xdr:col>11</xdr:col>
      <xdr:colOff>496721</xdr:colOff>
      <xdr:row>3</xdr:row>
      <xdr:rowOff>10354</xdr:rowOff>
    </xdr:to>
    <xdr:sp macro="" textlink="">
      <xdr:nvSpPr>
        <xdr:cNvPr id="118" name="TextBox 117">
          <a:hlinkClick xmlns:r="http://schemas.openxmlformats.org/officeDocument/2006/relationships" r:id="rId13"/>
          <a:extLst>
            <a:ext uri="{FF2B5EF4-FFF2-40B4-BE49-F238E27FC236}">
              <a16:creationId xmlns:a16="http://schemas.microsoft.com/office/drawing/2014/main" id="{2410C130-803E-447E-972A-FCA149336E75}"/>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367316</xdr:colOff>
      <xdr:row>1</xdr:row>
      <xdr:rowOff>19879</xdr:rowOff>
    </xdr:from>
    <xdr:to>
      <xdr:col>13</xdr:col>
      <xdr:colOff>530882</xdr:colOff>
      <xdr:row>3</xdr:row>
      <xdr:rowOff>10354</xdr:rowOff>
    </xdr:to>
    <xdr:sp macro="" textlink="">
      <xdr:nvSpPr>
        <xdr:cNvPr id="119" name="TextBox 118">
          <a:hlinkClick xmlns:r="http://schemas.openxmlformats.org/officeDocument/2006/relationships" r:id="rId14"/>
          <a:extLst>
            <a:ext uri="{FF2B5EF4-FFF2-40B4-BE49-F238E27FC236}">
              <a16:creationId xmlns:a16="http://schemas.microsoft.com/office/drawing/2014/main" id="{1DD2C0F1-50AB-45BB-BF1E-F7B516207F1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433608</xdr:colOff>
      <xdr:row>1</xdr:row>
      <xdr:rowOff>19879</xdr:rowOff>
    </xdr:from>
    <xdr:to>
      <xdr:col>13</xdr:col>
      <xdr:colOff>1390761</xdr:colOff>
      <xdr:row>3</xdr:row>
      <xdr:rowOff>10354</xdr:rowOff>
    </xdr:to>
    <xdr:sp macro="" textlink="">
      <xdr:nvSpPr>
        <xdr:cNvPr id="120" name="TextBox 119">
          <a:hlinkClick xmlns:r="http://schemas.openxmlformats.org/officeDocument/2006/relationships" r:id="rId15"/>
          <a:extLst>
            <a:ext uri="{FF2B5EF4-FFF2-40B4-BE49-F238E27FC236}">
              <a16:creationId xmlns:a16="http://schemas.microsoft.com/office/drawing/2014/main" id="{6DD29426-1DAB-41E6-B5F4-551151E5CC4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13</xdr:col>
      <xdr:colOff>1293487</xdr:colOff>
      <xdr:row>1</xdr:row>
      <xdr:rowOff>19879</xdr:rowOff>
    </xdr:from>
    <xdr:to>
      <xdr:col>14</xdr:col>
      <xdr:colOff>296357</xdr:colOff>
      <xdr:row>3</xdr:row>
      <xdr:rowOff>10354</xdr:rowOff>
    </xdr:to>
    <xdr:sp macro="" textlink="">
      <xdr:nvSpPr>
        <xdr:cNvPr id="121" name="TextBox 120">
          <a:hlinkClick xmlns:r="http://schemas.openxmlformats.org/officeDocument/2006/relationships" r:id="rId16"/>
          <a:extLst>
            <a:ext uri="{FF2B5EF4-FFF2-40B4-BE49-F238E27FC236}">
              <a16:creationId xmlns:a16="http://schemas.microsoft.com/office/drawing/2014/main" id="{1405F4E3-8C88-4340-97DF-CC3D9DE990B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14</xdr:col>
      <xdr:colOff>199083</xdr:colOff>
      <xdr:row>1</xdr:row>
      <xdr:rowOff>19879</xdr:rowOff>
    </xdr:from>
    <xdr:to>
      <xdr:col>15</xdr:col>
      <xdr:colOff>272450</xdr:colOff>
      <xdr:row>3</xdr:row>
      <xdr:rowOff>10354</xdr:rowOff>
    </xdr:to>
    <xdr:sp macro="" textlink="">
      <xdr:nvSpPr>
        <xdr:cNvPr id="122" name="TextBox 121">
          <a:hlinkClick xmlns:r="http://schemas.openxmlformats.org/officeDocument/2006/relationships" r:id="rId17"/>
          <a:extLst>
            <a:ext uri="{FF2B5EF4-FFF2-40B4-BE49-F238E27FC236}">
              <a16:creationId xmlns:a16="http://schemas.microsoft.com/office/drawing/2014/main" id="{6B491D50-0166-49DA-856F-2684C304AA9B}"/>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15</xdr:col>
      <xdr:colOff>175187</xdr:colOff>
      <xdr:row>1</xdr:row>
      <xdr:rowOff>19879</xdr:rowOff>
    </xdr:from>
    <xdr:to>
      <xdr:col>16</xdr:col>
      <xdr:colOff>246127</xdr:colOff>
      <xdr:row>3</xdr:row>
      <xdr:rowOff>10354</xdr:rowOff>
    </xdr:to>
    <xdr:sp macro="" textlink="">
      <xdr:nvSpPr>
        <xdr:cNvPr id="123" name="TextBox 122">
          <a:hlinkClick xmlns:r="http://schemas.openxmlformats.org/officeDocument/2006/relationships" r:id="rId18"/>
          <a:extLst>
            <a:ext uri="{FF2B5EF4-FFF2-40B4-BE49-F238E27FC236}">
              <a16:creationId xmlns:a16="http://schemas.microsoft.com/office/drawing/2014/main" id="{A080EC05-88CA-4C54-921B-0ABFA2109920}"/>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1899554</xdr:colOff>
      <xdr:row>1</xdr:row>
      <xdr:rowOff>103586</xdr:rowOff>
    </xdr:from>
    <xdr:to>
      <xdr:col>5</xdr:col>
      <xdr:colOff>1899554</xdr:colOff>
      <xdr:row>2</xdr:row>
      <xdr:rowOff>117146</xdr:rowOff>
    </xdr:to>
    <xdr:cxnSp macro="">
      <xdr:nvCxnSpPr>
        <xdr:cNvPr id="124" name="Straight Connector 123">
          <a:extLst>
            <a:ext uri="{FF2B5EF4-FFF2-40B4-BE49-F238E27FC236}">
              <a16:creationId xmlns:a16="http://schemas.microsoft.com/office/drawing/2014/main" id="{178D3161-2D13-4BE6-9CC2-929C9102E8E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1044464</xdr:colOff>
      <xdr:row>1</xdr:row>
      <xdr:rowOff>103586</xdr:rowOff>
    </xdr:from>
    <xdr:to>
      <xdr:col>5</xdr:col>
      <xdr:colOff>1044464</xdr:colOff>
      <xdr:row>2</xdr:row>
      <xdr:rowOff>117146</xdr:rowOff>
    </xdr:to>
    <xdr:cxnSp macro="">
      <xdr:nvCxnSpPr>
        <xdr:cNvPr id="125" name="Straight Connector 124">
          <a:extLst>
            <a:ext uri="{FF2B5EF4-FFF2-40B4-BE49-F238E27FC236}">
              <a16:creationId xmlns:a16="http://schemas.microsoft.com/office/drawing/2014/main" id="{B37800A8-30A6-4461-81D0-37EF3A8F2B5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183315</xdr:colOff>
      <xdr:row>1</xdr:row>
      <xdr:rowOff>103586</xdr:rowOff>
    </xdr:from>
    <xdr:to>
      <xdr:col>5</xdr:col>
      <xdr:colOff>183315</xdr:colOff>
      <xdr:row>2</xdr:row>
      <xdr:rowOff>117146</xdr:rowOff>
    </xdr:to>
    <xdr:cxnSp macro="">
      <xdr:nvCxnSpPr>
        <xdr:cNvPr id="126" name="Straight Connector 125">
          <a:extLst>
            <a:ext uri="{FF2B5EF4-FFF2-40B4-BE49-F238E27FC236}">
              <a16:creationId xmlns:a16="http://schemas.microsoft.com/office/drawing/2014/main" id="{F0F22154-9F04-4EFF-8F4F-556147166BE8}"/>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808050</xdr:colOff>
      <xdr:row>1</xdr:row>
      <xdr:rowOff>103586</xdr:rowOff>
    </xdr:from>
    <xdr:to>
      <xdr:col>6</xdr:col>
      <xdr:colOff>808050</xdr:colOff>
      <xdr:row>2</xdr:row>
      <xdr:rowOff>117146</xdr:rowOff>
    </xdr:to>
    <xdr:cxnSp macro="">
      <xdr:nvCxnSpPr>
        <xdr:cNvPr id="127" name="Straight Connector 126">
          <a:extLst>
            <a:ext uri="{FF2B5EF4-FFF2-40B4-BE49-F238E27FC236}">
              <a16:creationId xmlns:a16="http://schemas.microsoft.com/office/drawing/2014/main" id="{0E70E96E-3228-4355-BA9E-35C26000DF3A}"/>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787427</xdr:colOff>
      <xdr:row>1</xdr:row>
      <xdr:rowOff>103586</xdr:rowOff>
    </xdr:from>
    <xdr:to>
      <xdr:col>7</xdr:col>
      <xdr:colOff>787427</xdr:colOff>
      <xdr:row>2</xdr:row>
      <xdr:rowOff>117146</xdr:rowOff>
    </xdr:to>
    <xdr:cxnSp macro="">
      <xdr:nvCxnSpPr>
        <xdr:cNvPr id="128" name="Straight Connector 127">
          <a:extLst>
            <a:ext uri="{FF2B5EF4-FFF2-40B4-BE49-F238E27FC236}">
              <a16:creationId xmlns:a16="http://schemas.microsoft.com/office/drawing/2014/main" id="{AB148233-6296-4C69-8496-38A2C158D56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759733</xdr:colOff>
      <xdr:row>1</xdr:row>
      <xdr:rowOff>103586</xdr:rowOff>
    </xdr:from>
    <xdr:to>
      <xdr:col>8</xdr:col>
      <xdr:colOff>759733</xdr:colOff>
      <xdr:row>2</xdr:row>
      <xdr:rowOff>117146</xdr:rowOff>
    </xdr:to>
    <xdr:cxnSp macro="">
      <xdr:nvCxnSpPr>
        <xdr:cNvPr id="129" name="Straight Connector 128">
          <a:extLst>
            <a:ext uri="{FF2B5EF4-FFF2-40B4-BE49-F238E27FC236}">
              <a16:creationId xmlns:a16="http://schemas.microsoft.com/office/drawing/2014/main" id="{1199F015-6466-486D-B41F-18DC548827C7}"/>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828971</xdr:colOff>
      <xdr:row>1</xdr:row>
      <xdr:rowOff>103586</xdr:rowOff>
    </xdr:from>
    <xdr:to>
      <xdr:col>9</xdr:col>
      <xdr:colOff>828971</xdr:colOff>
      <xdr:row>2</xdr:row>
      <xdr:rowOff>117146</xdr:rowOff>
    </xdr:to>
    <xdr:cxnSp macro="">
      <xdr:nvCxnSpPr>
        <xdr:cNvPr id="130" name="Straight Connector 129">
          <a:extLst>
            <a:ext uri="{FF2B5EF4-FFF2-40B4-BE49-F238E27FC236}">
              <a16:creationId xmlns:a16="http://schemas.microsoft.com/office/drawing/2014/main" id="{8AB06CE8-9682-4789-9E58-135F9346D7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1687880</xdr:colOff>
      <xdr:row>1</xdr:row>
      <xdr:rowOff>103586</xdr:rowOff>
    </xdr:from>
    <xdr:to>
      <xdr:col>9</xdr:col>
      <xdr:colOff>1687880</xdr:colOff>
      <xdr:row>2</xdr:row>
      <xdr:rowOff>117146</xdr:rowOff>
    </xdr:to>
    <xdr:cxnSp macro="">
      <xdr:nvCxnSpPr>
        <xdr:cNvPr id="131" name="Straight Connector 130">
          <a:extLst>
            <a:ext uri="{FF2B5EF4-FFF2-40B4-BE49-F238E27FC236}">
              <a16:creationId xmlns:a16="http://schemas.microsoft.com/office/drawing/2014/main" id="{C535A05C-6995-4110-8F14-DD7FB6C055ED}"/>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480217</xdr:colOff>
      <xdr:row>1</xdr:row>
      <xdr:rowOff>103586</xdr:rowOff>
    </xdr:from>
    <xdr:to>
      <xdr:col>10</xdr:col>
      <xdr:colOff>480217</xdr:colOff>
      <xdr:row>2</xdr:row>
      <xdr:rowOff>117146</xdr:rowOff>
    </xdr:to>
    <xdr:cxnSp macro="">
      <xdr:nvCxnSpPr>
        <xdr:cNvPr id="132" name="Straight Connector 131">
          <a:extLst>
            <a:ext uri="{FF2B5EF4-FFF2-40B4-BE49-F238E27FC236}">
              <a16:creationId xmlns:a16="http://schemas.microsoft.com/office/drawing/2014/main" id="{02BAB117-69AE-417B-BB28-AB3D3675DB7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415953</xdr:colOff>
      <xdr:row>1</xdr:row>
      <xdr:rowOff>103586</xdr:rowOff>
    </xdr:from>
    <xdr:to>
      <xdr:col>12</xdr:col>
      <xdr:colOff>415953</xdr:colOff>
      <xdr:row>2</xdr:row>
      <xdr:rowOff>117146</xdr:rowOff>
    </xdr:to>
    <xdr:cxnSp macro="">
      <xdr:nvCxnSpPr>
        <xdr:cNvPr id="133" name="Straight Connector 132">
          <a:extLst>
            <a:ext uri="{FF2B5EF4-FFF2-40B4-BE49-F238E27FC236}">
              <a16:creationId xmlns:a16="http://schemas.microsoft.com/office/drawing/2014/main" id="{22ABD81A-6A8B-469C-8BDB-E310C6EEAA1B}"/>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482245</xdr:colOff>
      <xdr:row>1</xdr:row>
      <xdr:rowOff>103586</xdr:rowOff>
    </xdr:from>
    <xdr:to>
      <xdr:col>13</xdr:col>
      <xdr:colOff>482245</xdr:colOff>
      <xdr:row>2</xdr:row>
      <xdr:rowOff>117146</xdr:rowOff>
    </xdr:to>
    <xdr:cxnSp macro="">
      <xdr:nvCxnSpPr>
        <xdr:cNvPr id="134" name="Straight Connector 133">
          <a:extLst>
            <a:ext uri="{FF2B5EF4-FFF2-40B4-BE49-F238E27FC236}">
              <a16:creationId xmlns:a16="http://schemas.microsoft.com/office/drawing/2014/main" id="{6756448A-2C8C-432A-92A6-83363C333188}"/>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1342124</xdr:colOff>
      <xdr:row>1</xdr:row>
      <xdr:rowOff>103586</xdr:rowOff>
    </xdr:from>
    <xdr:to>
      <xdr:col>13</xdr:col>
      <xdr:colOff>1342124</xdr:colOff>
      <xdr:row>2</xdr:row>
      <xdr:rowOff>117146</xdr:rowOff>
    </xdr:to>
    <xdr:cxnSp macro="">
      <xdr:nvCxnSpPr>
        <xdr:cNvPr id="135" name="Straight Connector 134">
          <a:extLst>
            <a:ext uri="{FF2B5EF4-FFF2-40B4-BE49-F238E27FC236}">
              <a16:creationId xmlns:a16="http://schemas.microsoft.com/office/drawing/2014/main" id="{BEF46C0D-94AD-4D21-8973-7B01D9B7D8CA}"/>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247720</xdr:colOff>
      <xdr:row>1</xdr:row>
      <xdr:rowOff>103586</xdr:rowOff>
    </xdr:from>
    <xdr:to>
      <xdr:col>14</xdr:col>
      <xdr:colOff>247720</xdr:colOff>
      <xdr:row>2</xdr:row>
      <xdr:rowOff>117146</xdr:rowOff>
    </xdr:to>
    <xdr:cxnSp macro="">
      <xdr:nvCxnSpPr>
        <xdr:cNvPr id="136" name="Straight Connector 135">
          <a:extLst>
            <a:ext uri="{FF2B5EF4-FFF2-40B4-BE49-F238E27FC236}">
              <a16:creationId xmlns:a16="http://schemas.microsoft.com/office/drawing/2014/main" id="{99234C09-F0DD-4BC9-9719-39BDC27953B5}"/>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223813</xdr:colOff>
      <xdr:row>1</xdr:row>
      <xdr:rowOff>103586</xdr:rowOff>
    </xdr:from>
    <xdr:to>
      <xdr:col>15</xdr:col>
      <xdr:colOff>223813</xdr:colOff>
      <xdr:row>2</xdr:row>
      <xdr:rowOff>117146</xdr:rowOff>
    </xdr:to>
    <xdr:cxnSp macro="">
      <xdr:nvCxnSpPr>
        <xdr:cNvPr id="137" name="Straight Connector 136">
          <a:extLst>
            <a:ext uri="{FF2B5EF4-FFF2-40B4-BE49-F238E27FC236}">
              <a16:creationId xmlns:a16="http://schemas.microsoft.com/office/drawing/2014/main" id="{F07FA4A6-2BEB-4CF1-B875-68D7A65B32C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448084</xdr:colOff>
      <xdr:row>1</xdr:row>
      <xdr:rowOff>103586</xdr:rowOff>
    </xdr:from>
    <xdr:to>
      <xdr:col>11</xdr:col>
      <xdr:colOff>448084</xdr:colOff>
      <xdr:row>2</xdr:row>
      <xdr:rowOff>117146</xdr:rowOff>
    </xdr:to>
    <xdr:cxnSp macro="">
      <xdr:nvCxnSpPr>
        <xdr:cNvPr id="138" name="Straight Connector 137">
          <a:extLst>
            <a:ext uri="{FF2B5EF4-FFF2-40B4-BE49-F238E27FC236}">
              <a16:creationId xmlns:a16="http://schemas.microsoft.com/office/drawing/2014/main" id="{80CAE925-3ADF-41E9-88C2-FB6774223B50}"/>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742950</xdr:colOff>
      <xdr:row>28</xdr:row>
      <xdr:rowOff>9525</xdr:rowOff>
    </xdr:from>
    <xdr:to>
      <xdr:col>19</xdr:col>
      <xdr:colOff>200025</xdr:colOff>
      <xdr:row>31</xdr:row>
      <xdr:rowOff>704850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91106</xdr:colOff>
      <xdr:row>8</xdr:row>
      <xdr:rowOff>149678</xdr:rowOff>
    </xdr:from>
    <xdr:to>
      <xdr:col>19</xdr:col>
      <xdr:colOff>24847</xdr:colOff>
      <xdr:row>24</xdr:row>
      <xdr:rowOff>8283</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47</xdr:col>
      <xdr:colOff>656236</xdr:colOff>
      <xdr:row>4</xdr:row>
      <xdr:rowOff>0</xdr:rowOff>
    </xdr:to>
    <xdr:sp macro="" textlink="">
      <xdr:nvSpPr>
        <xdr:cNvPr id="71" name="Rectangle 70">
          <a:extLst>
            <a:ext uri="{FF2B5EF4-FFF2-40B4-BE49-F238E27FC236}">
              <a16:creationId xmlns:a16="http://schemas.microsoft.com/office/drawing/2014/main" id="{E1241B6F-0751-418E-B9A7-5E207E3086E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342297</xdr:colOff>
      <xdr:row>1</xdr:row>
      <xdr:rowOff>19879</xdr:rowOff>
    </xdr:from>
    <xdr:to>
      <xdr:col>14</xdr:col>
      <xdr:colOff>283615</xdr:colOff>
      <xdr:row>3</xdr:row>
      <xdr:rowOff>10354</xdr:rowOff>
    </xdr:to>
    <xdr:sp macro="" textlink="">
      <xdr:nvSpPr>
        <xdr:cNvPr id="72" name="TextBox 71">
          <a:hlinkClick xmlns:r="http://schemas.openxmlformats.org/officeDocument/2006/relationships" r:id="rId3"/>
          <a:extLst>
            <a:ext uri="{FF2B5EF4-FFF2-40B4-BE49-F238E27FC236}">
              <a16:creationId xmlns:a16="http://schemas.microsoft.com/office/drawing/2014/main" id="{55262863-9450-4F06-9D8D-4B0DB13D2C04}"/>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73" name="Picture 72">
          <a:extLst>
            <a:ext uri="{FF2B5EF4-FFF2-40B4-BE49-F238E27FC236}">
              <a16:creationId xmlns:a16="http://schemas.microsoft.com/office/drawing/2014/main" id="{ACDA3FA9-90A8-4F4D-B2B7-9F642B9D77E5}"/>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75" name="Straight Connector 74">
          <a:extLst>
            <a:ext uri="{FF2B5EF4-FFF2-40B4-BE49-F238E27FC236}">
              <a16:creationId xmlns:a16="http://schemas.microsoft.com/office/drawing/2014/main" id="{F3BC02EC-DB37-4C51-82C7-6785274B6873}"/>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220400</xdr:colOff>
      <xdr:row>1</xdr:row>
      <xdr:rowOff>19879</xdr:rowOff>
    </xdr:from>
    <xdr:to>
      <xdr:col>4</xdr:col>
      <xdr:colOff>12877</xdr:colOff>
      <xdr:row>3</xdr:row>
      <xdr:rowOff>10354</xdr:rowOff>
    </xdr:to>
    <xdr:sp macro="" textlink="">
      <xdr:nvSpPr>
        <xdr:cNvPr id="76" name="TextBox 75">
          <a:hlinkClick xmlns:r="http://schemas.openxmlformats.org/officeDocument/2006/relationships" r:id="rId5"/>
          <a:extLst>
            <a:ext uri="{FF2B5EF4-FFF2-40B4-BE49-F238E27FC236}">
              <a16:creationId xmlns:a16="http://schemas.microsoft.com/office/drawing/2014/main" id="{FA40318F-8EA5-4266-B37B-1326E6082E23}"/>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801428</xdr:colOff>
      <xdr:row>1</xdr:row>
      <xdr:rowOff>19879</xdr:rowOff>
    </xdr:from>
    <xdr:to>
      <xdr:col>4</xdr:col>
      <xdr:colOff>874026</xdr:colOff>
      <xdr:row>3</xdr:row>
      <xdr:rowOff>10354</xdr:rowOff>
    </xdr:to>
    <xdr:sp macro="" textlink="">
      <xdr:nvSpPr>
        <xdr:cNvPr id="77" name="TextBox 76">
          <a:hlinkClick xmlns:r="http://schemas.openxmlformats.org/officeDocument/2006/relationships" r:id="rId6"/>
          <a:extLst>
            <a:ext uri="{FF2B5EF4-FFF2-40B4-BE49-F238E27FC236}">
              <a16:creationId xmlns:a16="http://schemas.microsoft.com/office/drawing/2014/main" id="{27AEB8EA-3296-45A7-914E-71C82E31784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776752</xdr:colOff>
      <xdr:row>1</xdr:row>
      <xdr:rowOff>19879</xdr:rowOff>
    </xdr:from>
    <xdr:to>
      <xdr:col>5</xdr:col>
      <xdr:colOff>843291</xdr:colOff>
      <xdr:row>3</xdr:row>
      <xdr:rowOff>10354</xdr:rowOff>
    </xdr:to>
    <xdr:sp macro="" textlink="">
      <xdr:nvSpPr>
        <xdr:cNvPr id="78" name="TextBox 77">
          <a:hlinkClick xmlns:r="http://schemas.openxmlformats.org/officeDocument/2006/relationships" r:id="rId7"/>
          <a:extLst>
            <a:ext uri="{FF2B5EF4-FFF2-40B4-BE49-F238E27FC236}">
              <a16:creationId xmlns:a16="http://schemas.microsoft.com/office/drawing/2014/main" id="{6FBD5DF9-A775-4A19-A0FC-DAFEC5AD461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Industry</a:t>
          </a:r>
        </a:p>
      </xdr:txBody>
    </xdr:sp>
    <xdr:clientData/>
  </xdr:twoCellAnchor>
  <xdr:twoCellAnchor>
    <xdr:from>
      <xdr:col>5</xdr:col>
      <xdr:colOff>746017</xdr:colOff>
      <xdr:row>1</xdr:row>
      <xdr:rowOff>19879</xdr:rowOff>
    </xdr:from>
    <xdr:to>
      <xdr:col>6</xdr:col>
      <xdr:colOff>818587</xdr:colOff>
      <xdr:row>3</xdr:row>
      <xdr:rowOff>10354</xdr:rowOff>
    </xdr:to>
    <xdr:sp macro="" textlink="">
      <xdr:nvSpPr>
        <xdr:cNvPr id="79" name="TextBox 78">
          <a:hlinkClick xmlns:r="http://schemas.openxmlformats.org/officeDocument/2006/relationships" r:id="rId8"/>
          <a:extLst>
            <a:ext uri="{FF2B5EF4-FFF2-40B4-BE49-F238E27FC236}">
              <a16:creationId xmlns:a16="http://schemas.microsoft.com/office/drawing/2014/main" id="{2B667BDB-86AE-430E-9A58-F982FE6EFB57}"/>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721313</xdr:colOff>
      <xdr:row>1</xdr:row>
      <xdr:rowOff>19879</xdr:rowOff>
    </xdr:from>
    <xdr:to>
      <xdr:col>7</xdr:col>
      <xdr:colOff>797964</xdr:colOff>
      <xdr:row>3</xdr:row>
      <xdr:rowOff>10354</xdr:rowOff>
    </xdr:to>
    <xdr:sp macro="" textlink="">
      <xdr:nvSpPr>
        <xdr:cNvPr id="80" name="TextBox 79">
          <a:hlinkClick xmlns:r="http://schemas.openxmlformats.org/officeDocument/2006/relationships" r:id="rId9"/>
          <a:extLst>
            <a:ext uri="{FF2B5EF4-FFF2-40B4-BE49-F238E27FC236}">
              <a16:creationId xmlns:a16="http://schemas.microsoft.com/office/drawing/2014/main" id="{39078D2E-A3E2-4FEC-AE0B-7DC8830EBA7D}"/>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700690</xdr:colOff>
      <xdr:row>1</xdr:row>
      <xdr:rowOff>19879</xdr:rowOff>
    </xdr:from>
    <xdr:to>
      <xdr:col>8</xdr:col>
      <xdr:colOff>770270</xdr:colOff>
      <xdr:row>3</xdr:row>
      <xdr:rowOff>10354</xdr:rowOff>
    </xdr:to>
    <xdr:sp macro="" textlink="">
      <xdr:nvSpPr>
        <xdr:cNvPr id="81" name="TextBox 80">
          <a:hlinkClick xmlns:r="http://schemas.openxmlformats.org/officeDocument/2006/relationships" r:id="rId10"/>
          <a:extLst>
            <a:ext uri="{FF2B5EF4-FFF2-40B4-BE49-F238E27FC236}">
              <a16:creationId xmlns:a16="http://schemas.microsoft.com/office/drawing/2014/main" id="{AAB4944E-4E73-411F-B4A5-756BC5D2C033}"/>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674677</xdr:colOff>
      <xdr:row>1</xdr:row>
      <xdr:rowOff>19879</xdr:rowOff>
    </xdr:from>
    <xdr:to>
      <xdr:col>9</xdr:col>
      <xdr:colOff>742577</xdr:colOff>
      <xdr:row>3</xdr:row>
      <xdr:rowOff>10354</xdr:rowOff>
    </xdr:to>
    <xdr:sp macro="" textlink="">
      <xdr:nvSpPr>
        <xdr:cNvPr id="82" name="TextBox 81">
          <a:hlinkClick xmlns:r="http://schemas.openxmlformats.org/officeDocument/2006/relationships" r:id="rId11"/>
          <a:extLst>
            <a:ext uri="{FF2B5EF4-FFF2-40B4-BE49-F238E27FC236}">
              <a16:creationId xmlns:a16="http://schemas.microsoft.com/office/drawing/2014/main" id="{00378AD7-200D-4823-9A3D-4E9F6BF21DF7}"/>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646984</xdr:colOff>
      <xdr:row>1</xdr:row>
      <xdr:rowOff>19879</xdr:rowOff>
    </xdr:from>
    <xdr:to>
      <xdr:col>10</xdr:col>
      <xdr:colOff>717342</xdr:colOff>
      <xdr:row>3</xdr:row>
      <xdr:rowOff>10354</xdr:rowOff>
    </xdr:to>
    <xdr:sp macro="" textlink="">
      <xdr:nvSpPr>
        <xdr:cNvPr id="83" name="TextBox 82">
          <a:hlinkClick xmlns:r="http://schemas.openxmlformats.org/officeDocument/2006/relationships" r:id="rId12"/>
          <a:extLst>
            <a:ext uri="{FF2B5EF4-FFF2-40B4-BE49-F238E27FC236}">
              <a16:creationId xmlns:a16="http://schemas.microsoft.com/office/drawing/2014/main" id="{13CD9F07-E5CF-48F6-9184-836859EBEB3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620068</xdr:colOff>
      <xdr:row>1</xdr:row>
      <xdr:rowOff>19879</xdr:rowOff>
    </xdr:from>
    <xdr:to>
      <xdr:col>11</xdr:col>
      <xdr:colOff>690779</xdr:colOff>
      <xdr:row>3</xdr:row>
      <xdr:rowOff>10354</xdr:rowOff>
    </xdr:to>
    <xdr:sp macro="" textlink="">
      <xdr:nvSpPr>
        <xdr:cNvPr id="84" name="TextBox 83">
          <a:hlinkClick xmlns:r="http://schemas.openxmlformats.org/officeDocument/2006/relationships" r:id="rId13"/>
          <a:extLst>
            <a:ext uri="{FF2B5EF4-FFF2-40B4-BE49-F238E27FC236}">
              <a16:creationId xmlns:a16="http://schemas.microsoft.com/office/drawing/2014/main" id="{16D3EF2D-005E-4FA5-A0B1-2E3B767C86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593505</xdr:colOff>
      <xdr:row>1</xdr:row>
      <xdr:rowOff>19879</xdr:rowOff>
    </xdr:from>
    <xdr:to>
      <xdr:col>12</xdr:col>
      <xdr:colOff>439571</xdr:colOff>
      <xdr:row>3</xdr:row>
      <xdr:rowOff>10354</xdr:rowOff>
    </xdr:to>
    <xdr:sp macro="" textlink="">
      <xdr:nvSpPr>
        <xdr:cNvPr id="85" name="TextBox 84">
          <a:hlinkClick xmlns:r="http://schemas.openxmlformats.org/officeDocument/2006/relationships" r:id="rId14"/>
          <a:extLst>
            <a:ext uri="{FF2B5EF4-FFF2-40B4-BE49-F238E27FC236}">
              <a16:creationId xmlns:a16="http://schemas.microsoft.com/office/drawing/2014/main" id="{DCD746F1-AEED-4DDC-9DB6-0F72F937108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14</xdr:col>
      <xdr:colOff>186341</xdr:colOff>
      <xdr:row>1</xdr:row>
      <xdr:rowOff>19879</xdr:rowOff>
    </xdr:from>
    <xdr:to>
      <xdr:col>15</xdr:col>
      <xdr:colOff>254657</xdr:colOff>
      <xdr:row>3</xdr:row>
      <xdr:rowOff>10354</xdr:rowOff>
    </xdr:to>
    <xdr:sp macro="" textlink="">
      <xdr:nvSpPr>
        <xdr:cNvPr id="86" name="TextBox 85">
          <a:hlinkClick xmlns:r="http://schemas.openxmlformats.org/officeDocument/2006/relationships" r:id="rId15"/>
          <a:extLst>
            <a:ext uri="{FF2B5EF4-FFF2-40B4-BE49-F238E27FC236}">
              <a16:creationId xmlns:a16="http://schemas.microsoft.com/office/drawing/2014/main" id="{76A0016A-2D25-4BD4-ACF6-54E67BCCE60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15</xdr:col>
      <xdr:colOff>157383</xdr:colOff>
      <xdr:row>1</xdr:row>
      <xdr:rowOff>19879</xdr:rowOff>
    </xdr:from>
    <xdr:to>
      <xdr:col>16</xdr:col>
      <xdr:colOff>228711</xdr:colOff>
      <xdr:row>3</xdr:row>
      <xdr:rowOff>10354</xdr:rowOff>
    </xdr:to>
    <xdr:sp macro="" textlink="">
      <xdr:nvSpPr>
        <xdr:cNvPr id="87" name="TextBox 86">
          <a:hlinkClick xmlns:r="http://schemas.openxmlformats.org/officeDocument/2006/relationships" r:id="rId16"/>
          <a:extLst>
            <a:ext uri="{FF2B5EF4-FFF2-40B4-BE49-F238E27FC236}">
              <a16:creationId xmlns:a16="http://schemas.microsoft.com/office/drawing/2014/main" id="{562F5849-25BB-460A-9044-01A4A2CCD46D}"/>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16</xdr:col>
      <xdr:colOff>131437</xdr:colOff>
      <xdr:row>1</xdr:row>
      <xdr:rowOff>19879</xdr:rowOff>
    </xdr:from>
    <xdr:to>
      <xdr:col>17</xdr:col>
      <xdr:colOff>201107</xdr:colOff>
      <xdr:row>3</xdr:row>
      <xdr:rowOff>10354</xdr:rowOff>
    </xdr:to>
    <xdr:sp macro="" textlink="">
      <xdr:nvSpPr>
        <xdr:cNvPr id="88" name="TextBox 87">
          <a:hlinkClick xmlns:r="http://schemas.openxmlformats.org/officeDocument/2006/relationships" r:id="rId17"/>
          <a:extLst>
            <a:ext uri="{FF2B5EF4-FFF2-40B4-BE49-F238E27FC236}">
              <a16:creationId xmlns:a16="http://schemas.microsoft.com/office/drawing/2014/main" id="{C8CECC5E-129C-4B2F-B332-34F7BE435F0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17</xdr:col>
      <xdr:colOff>103833</xdr:colOff>
      <xdr:row>1</xdr:row>
      <xdr:rowOff>19879</xdr:rowOff>
    </xdr:from>
    <xdr:to>
      <xdr:col>18</xdr:col>
      <xdr:colOff>177200</xdr:colOff>
      <xdr:row>3</xdr:row>
      <xdr:rowOff>10354</xdr:rowOff>
    </xdr:to>
    <xdr:sp macro="" textlink="">
      <xdr:nvSpPr>
        <xdr:cNvPr id="89" name="TextBox 88">
          <a:hlinkClick xmlns:r="http://schemas.openxmlformats.org/officeDocument/2006/relationships" r:id="rId18"/>
          <a:extLst>
            <a:ext uri="{FF2B5EF4-FFF2-40B4-BE49-F238E27FC236}">
              <a16:creationId xmlns:a16="http://schemas.microsoft.com/office/drawing/2014/main" id="{B78E2BDF-970D-45E9-8152-7D4EEF801F1A}"/>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18</xdr:col>
      <xdr:colOff>79937</xdr:colOff>
      <xdr:row>1</xdr:row>
      <xdr:rowOff>19879</xdr:rowOff>
    </xdr:from>
    <xdr:to>
      <xdr:col>19</xdr:col>
      <xdr:colOff>150877</xdr:colOff>
      <xdr:row>3</xdr:row>
      <xdr:rowOff>10354</xdr:rowOff>
    </xdr:to>
    <xdr:sp macro="" textlink="">
      <xdr:nvSpPr>
        <xdr:cNvPr id="90" name="TextBox 89">
          <a:hlinkClick xmlns:r="http://schemas.openxmlformats.org/officeDocument/2006/relationships" r:id="rId19"/>
          <a:extLst>
            <a:ext uri="{FF2B5EF4-FFF2-40B4-BE49-F238E27FC236}">
              <a16:creationId xmlns:a16="http://schemas.microsoft.com/office/drawing/2014/main" id="{AD3BC0ED-DDDC-4A36-B3FC-1E977FE4AE7A}"/>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794654</xdr:colOff>
      <xdr:row>1</xdr:row>
      <xdr:rowOff>103586</xdr:rowOff>
    </xdr:from>
    <xdr:to>
      <xdr:col>5</xdr:col>
      <xdr:colOff>794654</xdr:colOff>
      <xdr:row>2</xdr:row>
      <xdr:rowOff>117146</xdr:rowOff>
    </xdr:to>
    <xdr:cxnSp macro="">
      <xdr:nvCxnSpPr>
        <xdr:cNvPr id="91" name="Straight Connector 90">
          <a:extLst>
            <a:ext uri="{FF2B5EF4-FFF2-40B4-BE49-F238E27FC236}">
              <a16:creationId xmlns:a16="http://schemas.microsoft.com/office/drawing/2014/main" id="{7D5929C8-00CD-47FB-AB74-6A387FB8D50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825389</xdr:colOff>
      <xdr:row>1</xdr:row>
      <xdr:rowOff>103586</xdr:rowOff>
    </xdr:from>
    <xdr:to>
      <xdr:col>4</xdr:col>
      <xdr:colOff>825389</xdr:colOff>
      <xdr:row>2</xdr:row>
      <xdr:rowOff>117146</xdr:rowOff>
    </xdr:to>
    <xdr:cxnSp macro="">
      <xdr:nvCxnSpPr>
        <xdr:cNvPr id="92" name="Straight Connector 91">
          <a:extLst>
            <a:ext uri="{FF2B5EF4-FFF2-40B4-BE49-F238E27FC236}">
              <a16:creationId xmlns:a16="http://schemas.microsoft.com/office/drawing/2014/main" id="{A9F9B8C9-B4AE-492A-B7D4-5771D83026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850065</xdr:colOff>
      <xdr:row>1</xdr:row>
      <xdr:rowOff>103586</xdr:rowOff>
    </xdr:from>
    <xdr:to>
      <xdr:col>3</xdr:col>
      <xdr:colOff>850065</xdr:colOff>
      <xdr:row>2</xdr:row>
      <xdr:rowOff>117146</xdr:rowOff>
    </xdr:to>
    <xdr:cxnSp macro="">
      <xdr:nvCxnSpPr>
        <xdr:cNvPr id="93" name="Straight Connector 92">
          <a:extLst>
            <a:ext uri="{FF2B5EF4-FFF2-40B4-BE49-F238E27FC236}">
              <a16:creationId xmlns:a16="http://schemas.microsoft.com/office/drawing/2014/main" id="{2AAD7027-BC14-447B-A7EB-46AB537CD46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769950</xdr:colOff>
      <xdr:row>1</xdr:row>
      <xdr:rowOff>103586</xdr:rowOff>
    </xdr:from>
    <xdr:to>
      <xdr:col>6</xdr:col>
      <xdr:colOff>769950</xdr:colOff>
      <xdr:row>2</xdr:row>
      <xdr:rowOff>117146</xdr:rowOff>
    </xdr:to>
    <xdr:cxnSp macro="">
      <xdr:nvCxnSpPr>
        <xdr:cNvPr id="94" name="Straight Connector 93">
          <a:extLst>
            <a:ext uri="{FF2B5EF4-FFF2-40B4-BE49-F238E27FC236}">
              <a16:creationId xmlns:a16="http://schemas.microsoft.com/office/drawing/2014/main" id="{5A2D9BCF-AECC-4C05-94F7-624274DC69BF}"/>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749327</xdr:colOff>
      <xdr:row>1</xdr:row>
      <xdr:rowOff>103586</xdr:rowOff>
    </xdr:from>
    <xdr:to>
      <xdr:col>7</xdr:col>
      <xdr:colOff>749327</xdr:colOff>
      <xdr:row>2</xdr:row>
      <xdr:rowOff>117146</xdr:rowOff>
    </xdr:to>
    <xdr:cxnSp macro="">
      <xdr:nvCxnSpPr>
        <xdr:cNvPr id="95" name="Straight Connector 94">
          <a:extLst>
            <a:ext uri="{FF2B5EF4-FFF2-40B4-BE49-F238E27FC236}">
              <a16:creationId xmlns:a16="http://schemas.microsoft.com/office/drawing/2014/main" id="{E95976A5-8AF1-403F-9D5D-80DA8204F8B1}"/>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721633</xdr:colOff>
      <xdr:row>1</xdr:row>
      <xdr:rowOff>103586</xdr:rowOff>
    </xdr:from>
    <xdr:to>
      <xdr:col>8</xdr:col>
      <xdr:colOff>721633</xdr:colOff>
      <xdr:row>2</xdr:row>
      <xdr:rowOff>117146</xdr:rowOff>
    </xdr:to>
    <xdr:cxnSp macro="">
      <xdr:nvCxnSpPr>
        <xdr:cNvPr id="96" name="Straight Connector 95">
          <a:extLst>
            <a:ext uri="{FF2B5EF4-FFF2-40B4-BE49-F238E27FC236}">
              <a16:creationId xmlns:a16="http://schemas.microsoft.com/office/drawing/2014/main" id="{22BBE922-EC59-4928-95BE-9A49D7E3334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695621</xdr:colOff>
      <xdr:row>1</xdr:row>
      <xdr:rowOff>103586</xdr:rowOff>
    </xdr:from>
    <xdr:to>
      <xdr:col>9</xdr:col>
      <xdr:colOff>695621</xdr:colOff>
      <xdr:row>2</xdr:row>
      <xdr:rowOff>117146</xdr:rowOff>
    </xdr:to>
    <xdr:cxnSp macro="">
      <xdr:nvCxnSpPr>
        <xdr:cNvPr id="97" name="Straight Connector 96">
          <a:extLst>
            <a:ext uri="{FF2B5EF4-FFF2-40B4-BE49-F238E27FC236}">
              <a16:creationId xmlns:a16="http://schemas.microsoft.com/office/drawing/2014/main" id="{34F2E49D-E718-4364-A1A3-53A843C6D1E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668705</xdr:colOff>
      <xdr:row>1</xdr:row>
      <xdr:rowOff>103586</xdr:rowOff>
    </xdr:from>
    <xdr:to>
      <xdr:col>10</xdr:col>
      <xdr:colOff>668705</xdr:colOff>
      <xdr:row>2</xdr:row>
      <xdr:rowOff>117146</xdr:rowOff>
    </xdr:to>
    <xdr:cxnSp macro="">
      <xdr:nvCxnSpPr>
        <xdr:cNvPr id="98" name="Straight Connector 97">
          <a:extLst>
            <a:ext uri="{FF2B5EF4-FFF2-40B4-BE49-F238E27FC236}">
              <a16:creationId xmlns:a16="http://schemas.microsoft.com/office/drawing/2014/main" id="{82F6FC6E-F9EE-4C82-B26B-6D250F2E7A2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642142</xdr:colOff>
      <xdr:row>1</xdr:row>
      <xdr:rowOff>103586</xdr:rowOff>
    </xdr:from>
    <xdr:to>
      <xdr:col>11</xdr:col>
      <xdr:colOff>642142</xdr:colOff>
      <xdr:row>2</xdr:row>
      <xdr:rowOff>117146</xdr:rowOff>
    </xdr:to>
    <xdr:cxnSp macro="">
      <xdr:nvCxnSpPr>
        <xdr:cNvPr id="99" name="Straight Connector 98">
          <a:extLst>
            <a:ext uri="{FF2B5EF4-FFF2-40B4-BE49-F238E27FC236}">
              <a16:creationId xmlns:a16="http://schemas.microsoft.com/office/drawing/2014/main" id="{2AE0B49E-8C88-442E-B832-D18FCC1359E5}"/>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234978</xdr:colOff>
      <xdr:row>1</xdr:row>
      <xdr:rowOff>103586</xdr:rowOff>
    </xdr:from>
    <xdr:to>
      <xdr:col>14</xdr:col>
      <xdr:colOff>234978</xdr:colOff>
      <xdr:row>2</xdr:row>
      <xdr:rowOff>117146</xdr:rowOff>
    </xdr:to>
    <xdr:cxnSp macro="">
      <xdr:nvCxnSpPr>
        <xdr:cNvPr id="100" name="Straight Connector 99">
          <a:extLst>
            <a:ext uri="{FF2B5EF4-FFF2-40B4-BE49-F238E27FC236}">
              <a16:creationId xmlns:a16="http://schemas.microsoft.com/office/drawing/2014/main" id="{1EA37724-E820-455C-809B-86BEE73E9D8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206020</xdr:colOff>
      <xdr:row>1</xdr:row>
      <xdr:rowOff>103586</xdr:rowOff>
    </xdr:from>
    <xdr:to>
      <xdr:col>15</xdr:col>
      <xdr:colOff>206020</xdr:colOff>
      <xdr:row>2</xdr:row>
      <xdr:rowOff>117146</xdr:rowOff>
    </xdr:to>
    <xdr:cxnSp macro="">
      <xdr:nvCxnSpPr>
        <xdr:cNvPr id="101" name="Straight Connector 100">
          <a:extLst>
            <a:ext uri="{FF2B5EF4-FFF2-40B4-BE49-F238E27FC236}">
              <a16:creationId xmlns:a16="http://schemas.microsoft.com/office/drawing/2014/main" id="{9F274298-0942-46F4-85F7-3EF3A72673EC}"/>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180074</xdr:colOff>
      <xdr:row>1</xdr:row>
      <xdr:rowOff>103586</xdr:rowOff>
    </xdr:from>
    <xdr:to>
      <xdr:col>16</xdr:col>
      <xdr:colOff>180074</xdr:colOff>
      <xdr:row>2</xdr:row>
      <xdr:rowOff>117146</xdr:rowOff>
    </xdr:to>
    <xdr:cxnSp macro="">
      <xdr:nvCxnSpPr>
        <xdr:cNvPr id="102" name="Straight Connector 101">
          <a:extLst>
            <a:ext uri="{FF2B5EF4-FFF2-40B4-BE49-F238E27FC236}">
              <a16:creationId xmlns:a16="http://schemas.microsoft.com/office/drawing/2014/main" id="{847E6BBA-5ADB-41FD-9151-F41645D30F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152470</xdr:colOff>
      <xdr:row>1</xdr:row>
      <xdr:rowOff>103586</xdr:rowOff>
    </xdr:from>
    <xdr:to>
      <xdr:col>17</xdr:col>
      <xdr:colOff>152470</xdr:colOff>
      <xdr:row>2</xdr:row>
      <xdr:rowOff>117146</xdr:rowOff>
    </xdr:to>
    <xdr:cxnSp macro="">
      <xdr:nvCxnSpPr>
        <xdr:cNvPr id="103" name="Straight Connector 102">
          <a:extLst>
            <a:ext uri="{FF2B5EF4-FFF2-40B4-BE49-F238E27FC236}">
              <a16:creationId xmlns:a16="http://schemas.microsoft.com/office/drawing/2014/main" id="{B0E7490D-3F92-4350-AD9E-FAAF082FE02C}"/>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128563</xdr:colOff>
      <xdr:row>1</xdr:row>
      <xdr:rowOff>103586</xdr:rowOff>
    </xdr:from>
    <xdr:to>
      <xdr:col>18</xdr:col>
      <xdr:colOff>128563</xdr:colOff>
      <xdr:row>2</xdr:row>
      <xdr:rowOff>117146</xdr:rowOff>
    </xdr:to>
    <xdr:cxnSp macro="">
      <xdr:nvCxnSpPr>
        <xdr:cNvPr id="104" name="Straight Connector 103">
          <a:extLst>
            <a:ext uri="{FF2B5EF4-FFF2-40B4-BE49-F238E27FC236}">
              <a16:creationId xmlns:a16="http://schemas.microsoft.com/office/drawing/2014/main" id="{B2514338-A737-460E-8958-448A77EDDA1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390934</xdr:colOff>
      <xdr:row>1</xdr:row>
      <xdr:rowOff>103586</xdr:rowOff>
    </xdr:from>
    <xdr:to>
      <xdr:col>12</xdr:col>
      <xdr:colOff>390934</xdr:colOff>
      <xdr:row>2</xdr:row>
      <xdr:rowOff>117146</xdr:rowOff>
    </xdr:to>
    <xdr:cxnSp macro="">
      <xdr:nvCxnSpPr>
        <xdr:cNvPr id="105" name="Straight Connector 104">
          <a:extLst>
            <a:ext uri="{FF2B5EF4-FFF2-40B4-BE49-F238E27FC236}">
              <a16:creationId xmlns:a16="http://schemas.microsoft.com/office/drawing/2014/main" id="{02DBF2A8-D2F7-4B3E-91AE-97412FD8F3D5}"/>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733627</xdr:colOff>
      <xdr:row>7</xdr:row>
      <xdr:rowOff>94305</xdr:rowOff>
    </xdr:from>
    <xdr:to>
      <xdr:col>25</xdr:col>
      <xdr:colOff>162128</xdr:colOff>
      <xdr:row>23</xdr:row>
      <xdr:rowOff>81335</xdr:rowOff>
    </xdr:to>
    <xdr:graphicFrame macro="">
      <xdr:nvGraphicFramePr>
        <xdr:cNvPr id="2" name="Chart 1">
          <a:extLst>
            <a:ext uri="{FF2B5EF4-FFF2-40B4-BE49-F238E27FC236}">
              <a16:creationId xmlns:a16="http://schemas.microsoft.com/office/drawing/2014/main" id="{8251C587-F1FD-E482-09D8-8B5C5AAE2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44823</xdr:colOff>
      <xdr:row>14</xdr:row>
      <xdr:rowOff>0</xdr:rowOff>
    </xdr:from>
    <xdr:to>
      <xdr:col>8</xdr:col>
      <xdr:colOff>476249</xdr:colOff>
      <xdr:row>28</xdr:row>
      <xdr:rowOff>127747</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609849</xdr:colOff>
      <xdr:row>14</xdr:row>
      <xdr:rowOff>0</xdr:rowOff>
    </xdr:from>
    <xdr:to>
      <xdr:col>9</xdr:col>
      <xdr:colOff>1812800</xdr:colOff>
      <xdr:row>28</xdr:row>
      <xdr:rowOff>127747</xdr:rowOff>
    </xdr:to>
    <xdr:graphicFrame macro="">
      <xdr:nvGraphicFramePr>
        <xdr:cNvPr id="3" name="Chart 2">
          <a:extLst>
            <a:ext uri="{FF2B5EF4-FFF2-40B4-BE49-F238E27FC236}">
              <a16:creationId xmlns:a16="http://schemas.microsoft.com/office/drawing/2014/main" id="{45AAF55B-ABA2-43D3-A462-02A43BBC5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1946400</xdr:colOff>
      <xdr:row>14</xdr:row>
      <xdr:rowOff>0</xdr:rowOff>
    </xdr:from>
    <xdr:to>
      <xdr:col>10</xdr:col>
      <xdr:colOff>2415926</xdr:colOff>
      <xdr:row>28</xdr:row>
      <xdr:rowOff>127747</xdr:rowOff>
    </xdr:to>
    <xdr:graphicFrame macro="">
      <xdr:nvGraphicFramePr>
        <xdr:cNvPr id="4" name="Chart 3">
          <a:extLst>
            <a:ext uri="{FF2B5EF4-FFF2-40B4-BE49-F238E27FC236}">
              <a16:creationId xmlns:a16="http://schemas.microsoft.com/office/drawing/2014/main" id="{59F1BEDE-4F75-4221-A558-067C1F360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2549525</xdr:colOff>
      <xdr:row>14</xdr:row>
      <xdr:rowOff>0</xdr:rowOff>
    </xdr:from>
    <xdr:to>
      <xdr:col>10</xdr:col>
      <xdr:colOff>5657476</xdr:colOff>
      <xdr:row>28</xdr:row>
      <xdr:rowOff>127747</xdr:rowOff>
    </xdr:to>
    <xdr:graphicFrame macro="">
      <xdr:nvGraphicFramePr>
        <xdr:cNvPr id="9" name="Chart 8">
          <a:extLst>
            <a:ext uri="{FF2B5EF4-FFF2-40B4-BE49-F238E27FC236}">
              <a16:creationId xmlns:a16="http://schemas.microsoft.com/office/drawing/2014/main" id="{D3406B2A-6743-4D4D-90BD-D1A04B625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54</xdr:col>
      <xdr:colOff>503836</xdr:colOff>
      <xdr:row>4</xdr:row>
      <xdr:rowOff>0</xdr:rowOff>
    </xdr:to>
    <xdr:sp macro="" textlink="">
      <xdr:nvSpPr>
        <xdr:cNvPr id="43" name="Rectangle 42">
          <a:extLst>
            <a:ext uri="{FF2B5EF4-FFF2-40B4-BE49-F238E27FC236}">
              <a16:creationId xmlns:a16="http://schemas.microsoft.com/office/drawing/2014/main" id="{2D5DAF4E-9732-4941-8B7A-2D340E0A3B0A}"/>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685197</xdr:colOff>
      <xdr:row>1</xdr:row>
      <xdr:rowOff>19879</xdr:rowOff>
    </xdr:from>
    <xdr:to>
      <xdr:col>10</xdr:col>
      <xdr:colOff>1636165</xdr:colOff>
      <xdr:row>3</xdr:row>
      <xdr:rowOff>10354</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936ED9B2-D157-47DE-8E19-56A8E6CAEF03}"/>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5" name="Picture 44">
          <a:extLst>
            <a:ext uri="{FF2B5EF4-FFF2-40B4-BE49-F238E27FC236}">
              <a16:creationId xmlns:a16="http://schemas.microsoft.com/office/drawing/2014/main" id="{F420DE02-7D81-4670-8EBB-08948162F73D}"/>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1307327</xdr:colOff>
      <xdr:row>1</xdr:row>
      <xdr:rowOff>28201</xdr:rowOff>
    </xdr:from>
    <xdr:to>
      <xdr:col>1</xdr:col>
      <xdr:colOff>1307327</xdr:colOff>
      <xdr:row>2</xdr:row>
      <xdr:rowOff>138545</xdr:rowOff>
    </xdr:to>
    <xdr:cxnSp macro="">
      <xdr:nvCxnSpPr>
        <xdr:cNvPr id="51" name="Straight Connector 50">
          <a:extLst>
            <a:ext uri="{FF2B5EF4-FFF2-40B4-BE49-F238E27FC236}">
              <a16:creationId xmlns:a16="http://schemas.microsoft.com/office/drawing/2014/main" id="{58F14CEE-DFD4-4E2A-9A6A-517A0A8CC50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144200</xdr:colOff>
      <xdr:row>1</xdr:row>
      <xdr:rowOff>19879</xdr:rowOff>
    </xdr:from>
    <xdr:to>
      <xdr:col>6</xdr:col>
      <xdr:colOff>270052</xdr:colOff>
      <xdr:row>3</xdr:row>
      <xdr:rowOff>10354</xdr:rowOff>
    </xdr:to>
    <xdr:sp macro="" textlink="">
      <xdr:nvSpPr>
        <xdr:cNvPr id="52" name="TextBox 51">
          <a:hlinkClick xmlns:r="http://schemas.openxmlformats.org/officeDocument/2006/relationships" r:id="rId7"/>
          <a:extLst>
            <a:ext uri="{FF2B5EF4-FFF2-40B4-BE49-F238E27FC236}">
              <a16:creationId xmlns:a16="http://schemas.microsoft.com/office/drawing/2014/main" id="{B3AEE23F-2292-44FE-BD10-46B89F2C476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6</xdr:col>
      <xdr:colOff>172778</xdr:colOff>
      <xdr:row>1</xdr:row>
      <xdr:rowOff>19879</xdr:rowOff>
    </xdr:from>
    <xdr:to>
      <xdr:col>6</xdr:col>
      <xdr:colOff>1131201</xdr:colOff>
      <xdr:row>3</xdr:row>
      <xdr:rowOff>10354</xdr:rowOff>
    </xdr:to>
    <xdr:sp macro="" textlink="">
      <xdr:nvSpPr>
        <xdr:cNvPr id="53" name="TextBox 52">
          <a:hlinkClick xmlns:r="http://schemas.openxmlformats.org/officeDocument/2006/relationships" r:id="rId8"/>
          <a:extLst>
            <a:ext uri="{FF2B5EF4-FFF2-40B4-BE49-F238E27FC236}">
              <a16:creationId xmlns:a16="http://schemas.microsoft.com/office/drawing/2014/main" id="{A82773A0-E5AD-4523-BF90-33E3C369F9C2}"/>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1033927</xdr:colOff>
      <xdr:row>1</xdr:row>
      <xdr:rowOff>19879</xdr:rowOff>
    </xdr:from>
    <xdr:to>
      <xdr:col>7</xdr:col>
      <xdr:colOff>147966</xdr:colOff>
      <xdr:row>3</xdr:row>
      <xdr:rowOff>10354</xdr:rowOff>
    </xdr:to>
    <xdr:sp macro="" textlink="">
      <xdr:nvSpPr>
        <xdr:cNvPr id="54" name="TextBox 53">
          <a:hlinkClick xmlns:r="http://schemas.openxmlformats.org/officeDocument/2006/relationships" r:id="rId9"/>
          <a:extLst>
            <a:ext uri="{FF2B5EF4-FFF2-40B4-BE49-F238E27FC236}">
              <a16:creationId xmlns:a16="http://schemas.microsoft.com/office/drawing/2014/main" id="{81A68F13-42EF-41D9-B529-20CBF1058AD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7</xdr:col>
      <xdr:colOff>50692</xdr:colOff>
      <xdr:row>1</xdr:row>
      <xdr:rowOff>19879</xdr:rowOff>
    </xdr:from>
    <xdr:to>
      <xdr:col>8</xdr:col>
      <xdr:colOff>170887</xdr:colOff>
      <xdr:row>3</xdr:row>
      <xdr:rowOff>10354</xdr:rowOff>
    </xdr:to>
    <xdr:sp macro="" textlink="">
      <xdr:nvSpPr>
        <xdr:cNvPr id="55" name="TextBox 54">
          <a:hlinkClick xmlns:r="http://schemas.openxmlformats.org/officeDocument/2006/relationships" r:id="rId10"/>
          <a:extLst>
            <a:ext uri="{FF2B5EF4-FFF2-40B4-BE49-F238E27FC236}">
              <a16:creationId xmlns:a16="http://schemas.microsoft.com/office/drawing/2014/main" id="{0E9D3C7B-02DD-49BA-8D86-0D7FF286C16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ESG</a:t>
          </a:r>
        </a:p>
      </xdr:txBody>
    </xdr:sp>
    <xdr:clientData/>
  </xdr:twoCellAnchor>
  <xdr:twoCellAnchor>
    <xdr:from>
      <xdr:col>8</xdr:col>
      <xdr:colOff>73613</xdr:colOff>
      <xdr:row>1</xdr:row>
      <xdr:rowOff>19879</xdr:rowOff>
    </xdr:from>
    <xdr:to>
      <xdr:col>8</xdr:col>
      <xdr:colOff>1036089</xdr:colOff>
      <xdr:row>3</xdr:row>
      <xdr:rowOff>10354</xdr:rowOff>
    </xdr:to>
    <xdr:sp macro="" textlink="">
      <xdr:nvSpPr>
        <xdr:cNvPr id="56" name="TextBox 55">
          <a:hlinkClick xmlns:r="http://schemas.openxmlformats.org/officeDocument/2006/relationships" r:id="rId11"/>
          <a:extLst>
            <a:ext uri="{FF2B5EF4-FFF2-40B4-BE49-F238E27FC236}">
              <a16:creationId xmlns:a16="http://schemas.microsoft.com/office/drawing/2014/main" id="{932774EF-06A8-4B60-BD1C-7FCB6D2B409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938815</xdr:colOff>
      <xdr:row>1</xdr:row>
      <xdr:rowOff>19879</xdr:rowOff>
    </xdr:from>
    <xdr:to>
      <xdr:col>8</xdr:col>
      <xdr:colOff>1894220</xdr:colOff>
      <xdr:row>3</xdr:row>
      <xdr:rowOff>10354</xdr:rowOff>
    </xdr:to>
    <xdr:sp macro="" textlink="">
      <xdr:nvSpPr>
        <xdr:cNvPr id="57" name="TextBox 56">
          <a:hlinkClick xmlns:r="http://schemas.openxmlformats.org/officeDocument/2006/relationships" r:id="rId12"/>
          <a:extLst>
            <a:ext uri="{FF2B5EF4-FFF2-40B4-BE49-F238E27FC236}">
              <a16:creationId xmlns:a16="http://schemas.microsoft.com/office/drawing/2014/main" id="{E6194C28-81E4-448A-9874-07F92F0A667A}"/>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1798627</xdr:colOff>
      <xdr:row>1</xdr:row>
      <xdr:rowOff>19879</xdr:rowOff>
    </xdr:from>
    <xdr:to>
      <xdr:col>9</xdr:col>
      <xdr:colOff>847352</xdr:colOff>
      <xdr:row>3</xdr:row>
      <xdr:rowOff>10354</xdr:rowOff>
    </xdr:to>
    <xdr:sp macro="" textlink="">
      <xdr:nvSpPr>
        <xdr:cNvPr id="58" name="TextBox 57">
          <a:hlinkClick xmlns:r="http://schemas.openxmlformats.org/officeDocument/2006/relationships" r:id="rId13"/>
          <a:extLst>
            <a:ext uri="{FF2B5EF4-FFF2-40B4-BE49-F238E27FC236}">
              <a16:creationId xmlns:a16="http://schemas.microsoft.com/office/drawing/2014/main" id="{2536E05E-497B-4B02-9B27-D69AD8327498}"/>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751759</xdr:colOff>
      <xdr:row>1</xdr:row>
      <xdr:rowOff>19879</xdr:rowOff>
    </xdr:from>
    <xdr:to>
      <xdr:col>9</xdr:col>
      <xdr:colOff>1707942</xdr:colOff>
      <xdr:row>3</xdr:row>
      <xdr:rowOff>10354</xdr:rowOff>
    </xdr:to>
    <xdr:sp macro="" textlink="">
      <xdr:nvSpPr>
        <xdr:cNvPr id="59" name="TextBox 58">
          <a:hlinkClick xmlns:r="http://schemas.openxmlformats.org/officeDocument/2006/relationships" r:id="rId14"/>
          <a:extLst>
            <a:ext uri="{FF2B5EF4-FFF2-40B4-BE49-F238E27FC236}">
              <a16:creationId xmlns:a16="http://schemas.microsoft.com/office/drawing/2014/main" id="{1626F59C-8810-4D52-AE76-2043817DE4A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1610668</xdr:colOff>
      <xdr:row>1</xdr:row>
      <xdr:rowOff>19879</xdr:rowOff>
    </xdr:from>
    <xdr:to>
      <xdr:col>9</xdr:col>
      <xdr:colOff>2567204</xdr:colOff>
      <xdr:row>3</xdr:row>
      <xdr:rowOff>10354</xdr:rowOff>
    </xdr:to>
    <xdr:sp macro="" textlink="">
      <xdr:nvSpPr>
        <xdr:cNvPr id="60" name="TextBox 59">
          <a:hlinkClick xmlns:r="http://schemas.openxmlformats.org/officeDocument/2006/relationships" r:id="rId15"/>
          <a:extLst>
            <a:ext uri="{FF2B5EF4-FFF2-40B4-BE49-F238E27FC236}">
              <a16:creationId xmlns:a16="http://schemas.microsoft.com/office/drawing/2014/main" id="{DF5727B1-0566-48CE-8B92-8D3099C94714}"/>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9</xdr:col>
      <xdr:colOff>2469930</xdr:colOff>
      <xdr:row>1</xdr:row>
      <xdr:rowOff>19879</xdr:rowOff>
    </xdr:from>
    <xdr:to>
      <xdr:col>10</xdr:col>
      <xdr:colOff>782471</xdr:colOff>
      <xdr:row>3</xdr:row>
      <xdr:rowOff>10354</xdr:rowOff>
    </xdr:to>
    <xdr:sp macro="" textlink="">
      <xdr:nvSpPr>
        <xdr:cNvPr id="61" name="TextBox 60">
          <a:hlinkClick xmlns:r="http://schemas.openxmlformats.org/officeDocument/2006/relationships" r:id="rId16"/>
          <a:extLst>
            <a:ext uri="{FF2B5EF4-FFF2-40B4-BE49-F238E27FC236}">
              <a16:creationId xmlns:a16="http://schemas.microsoft.com/office/drawing/2014/main" id="{49C8826F-B00F-452D-92A5-39AE4415F103}"/>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10</xdr:col>
      <xdr:colOff>1538891</xdr:colOff>
      <xdr:row>1</xdr:row>
      <xdr:rowOff>19879</xdr:rowOff>
    </xdr:from>
    <xdr:to>
      <xdr:col>10</xdr:col>
      <xdr:colOff>2493032</xdr:colOff>
      <xdr:row>3</xdr:row>
      <xdr:rowOff>10354</xdr:rowOff>
    </xdr:to>
    <xdr:sp macro="" textlink="">
      <xdr:nvSpPr>
        <xdr:cNvPr id="62" name="TextBox 61">
          <a:hlinkClick xmlns:r="http://schemas.openxmlformats.org/officeDocument/2006/relationships" r:id="rId17"/>
          <a:extLst>
            <a:ext uri="{FF2B5EF4-FFF2-40B4-BE49-F238E27FC236}">
              <a16:creationId xmlns:a16="http://schemas.microsoft.com/office/drawing/2014/main" id="{5C22341C-D040-4116-BD1F-3F77CE9188B7}"/>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10</xdr:col>
      <xdr:colOff>2395758</xdr:colOff>
      <xdr:row>1</xdr:row>
      <xdr:rowOff>19879</xdr:rowOff>
    </xdr:from>
    <xdr:to>
      <xdr:col>10</xdr:col>
      <xdr:colOff>3352911</xdr:colOff>
      <xdr:row>3</xdr:row>
      <xdr:rowOff>10354</xdr:rowOff>
    </xdr:to>
    <xdr:sp macro="" textlink="">
      <xdr:nvSpPr>
        <xdr:cNvPr id="63" name="TextBox 62">
          <a:hlinkClick xmlns:r="http://schemas.openxmlformats.org/officeDocument/2006/relationships" r:id="rId18"/>
          <a:extLst>
            <a:ext uri="{FF2B5EF4-FFF2-40B4-BE49-F238E27FC236}">
              <a16:creationId xmlns:a16="http://schemas.microsoft.com/office/drawing/2014/main" id="{F4B59316-069C-4887-BC5A-1C2F1FC0C5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10</xdr:col>
      <xdr:colOff>3255637</xdr:colOff>
      <xdr:row>1</xdr:row>
      <xdr:rowOff>19879</xdr:rowOff>
    </xdr:from>
    <xdr:to>
      <xdr:col>10</xdr:col>
      <xdr:colOff>4211132</xdr:colOff>
      <xdr:row>3</xdr:row>
      <xdr:rowOff>10354</xdr:rowOff>
    </xdr:to>
    <xdr:sp macro="" textlink="">
      <xdr:nvSpPr>
        <xdr:cNvPr id="64" name="TextBox 63">
          <a:hlinkClick xmlns:r="http://schemas.openxmlformats.org/officeDocument/2006/relationships" r:id="rId19"/>
          <a:extLst>
            <a:ext uri="{FF2B5EF4-FFF2-40B4-BE49-F238E27FC236}">
              <a16:creationId xmlns:a16="http://schemas.microsoft.com/office/drawing/2014/main" id="{1770C40B-EF14-43FC-8F73-C0925A407D4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10</xdr:col>
      <xdr:colOff>4113858</xdr:colOff>
      <xdr:row>1</xdr:row>
      <xdr:rowOff>19879</xdr:rowOff>
    </xdr:from>
    <xdr:to>
      <xdr:col>10</xdr:col>
      <xdr:colOff>5073050</xdr:colOff>
      <xdr:row>3</xdr:row>
      <xdr:rowOff>10354</xdr:rowOff>
    </xdr:to>
    <xdr:sp macro="" textlink="">
      <xdr:nvSpPr>
        <xdr:cNvPr id="65" name="TextBox 64">
          <a:hlinkClick xmlns:r="http://schemas.openxmlformats.org/officeDocument/2006/relationships" r:id="rId20"/>
          <a:extLst>
            <a:ext uri="{FF2B5EF4-FFF2-40B4-BE49-F238E27FC236}">
              <a16:creationId xmlns:a16="http://schemas.microsoft.com/office/drawing/2014/main" id="{98E2A19C-4626-4464-B80F-1A9A1DAEEC40}"/>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10</xdr:col>
      <xdr:colOff>4975787</xdr:colOff>
      <xdr:row>1</xdr:row>
      <xdr:rowOff>19879</xdr:rowOff>
    </xdr:from>
    <xdr:to>
      <xdr:col>11</xdr:col>
      <xdr:colOff>179452</xdr:colOff>
      <xdr:row>3</xdr:row>
      <xdr:rowOff>10354</xdr:rowOff>
    </xdr:to>
    <xdr:sp macro="" textlink="">
      <xdr:nvSpPr>
        <xdr:cNvPr id="66" name="TextBox 65">
          <a:hlinkClick xmlns:r="http://schemas.openxmlformats.org/officeDocument/2006/relationships" r:id="rId21"/>
          <a:extLst>
            <a:ext uri="{FF2B5EF4-FFF2-40B4-BE49-F238E27FC236}">
              <a16:creationId xmlns:a16="http://schemas.microsoft.com/office/drawing/2014/main" id="{3D592029-0980-4338-9F8A-86962E2B725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7</xdr:col>
      <xdr:colOff>99329</xdr:colOff>
      <xdr:row>1</xdr:row>
      <xdr:rowOff>103586</xdr:rowOff>
    </xdr:from>
    <xdr:to>
      <xdr:col>7</xdr:col>
      <xdr:colOff>99329</xdr:colOff>
      <xdr:row>2</xdr:row>
      <xdr:rowOff>117146</xdr:rowOff>
    </xdr:to>
    <xdr:cxnSp macro="">
      <xdr:nvCxnSpPr>
        <xdr:cNvPr id="67" name="Straight Connector 66">
          <a:extLst>
            <a:ext uri="{FF2B5EF4-FFF2-40B4-BE49-F238E27FC236}">
              <a16:creationId xmlns:a16="http://schemas.microsoft.com/office/drawing/2014/main" id="{B3DB3067-E04C-484F-878E-DF672E8A3837}"/>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1082564</xdr:colOff>
      <xdr:row>1</xdr:row>
      <xdr:rowOff>103586</xdr:rowOff>
    </xdr:from>
    <xdr:to>
      <xdr:col>6</xdr:col>
      <xdr:colOff>1082564</xdr:colOff>
      <xdr:row>2</xdr:row>
      <xdr:rowOff>117146</xdr:rowOff>
    </xdr:to>
    <xdr:cxnSp macro="">
      <xdr:nvCxnSpPr>
        <xdr:cNvPr id="68" name="Straight Connector 67">
          <a:extLst>
            <a:ext uri="{FF2B5EF4-FFF2-40B4-BE49-F238E27FC236}">
              <a16:creationId xmlns:a16="http://schemas.microsoft.com/office/drawing/2014/main" id="{6C783374-799C-4323-AA2F-8AF14084FF53}"/>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221415</xdr:colOff>
      <xdr:row>1</xdr:row>
      <xdr:rowOff>103586</xdr:rowOff>
    </xdr:from>
    <xdr:to>
      <xdr:col>6</xdr:col>
      <xdr:colOff>221415</xdr:colOff>
      <xdr:row>2</xdr:row>
      <xdr:rowOff>117146</xdr:rowOff>
    </xdr:to>
    <xdr:cxnSp macro="">
      <xdr:nvCxnSpPr>
        <xdr:cNvPr id="69" name="Straight Connector 68">
          <a:extLst>
            <a:ext uri="{FF2B5EF4-FFF2-40B4-BE49-F238E27FC236}">
              <a16:creationId xmlns:a16="http://schemas.microsoft.com/office/drawing/2014/main" id="{4D1A2F6C-CA2B-49B5-BB3E-0CB2B9910CF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122250</xdr:colOff>
      <xdr:row>1</xdr:row>
      <xdr:rowOff>103586</xdr:rowOff>
    </xdr:from>
    <xdr:to>
      <xdr:col>8</xdr:col>
      <xdr:colOff>122250</xdr:colOff>
      <xdr:row>2</xdr:row>
      <xdr:rowOff>117146</xdr:rowOff>
    </xdr:to>
    <xdr:cxnSp macro="">
      <xdr:nvCxnSpPr>
        <xdr:cNvPr id="70" name="Straight Connector 69">
          <a:extLst>
            <a:ext uri="{FF2B5EF4-FFF2-40B4-BE49-F238E27FC236}">
              <a16:creationId xmlns:a16="http://schemas.microsoft.com/office/drawing/2014/main" id="{70BB0FEB-E536-4982-B7AD-BEAD311C6358}"/>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987452</xdr:colOff>
      <xdr:row>1</xdr:row>
      <xdr:rowOff>103586</xdr:rowOff>
    </xdr:from>
    <xdr:to>
      <xdr:col>8</xdr:col>
      <xdr:colOff>987452</xdr:colOff>
      <xdr:row>2</xdr:row>
      <xdr:rowOff>117146</xdr:rowOff>
    </xdr:to>
    <xdr:cxnSp macro="">
      <xdr:nvCxnSpPr>
        <xdr:cNvPr id="71" name="Straight Connector 70">
          <a:extLst>
            <a:ext uri="{FF2B5EF4-FFF2-40B4-BE49-F238E27FC236}">
              <a16:creationId xmlns:a16="http://schemas.microsoft.com/office/drawing/2014/main" id="{233E56A2-967F-4E79-A677-780A4748719E}"/>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1845583</xdr:colOff>
      <xdr:row>1</xdr:row>
      <xdr:rowOff>103586</xdr:rowOff>
    </xdr:from>
    <xdr:to>
      <xdr:col>8</xdr:col>
      <xdr:colOff>1845583</xdr:colOff>
      <xdr:row>2</xdr:row>
      <xdr:rowOff>117146</xdr:rowOff>
    </xdr:to>
    <xdr:cxnSp macro="">
      <xdr:nvCxnSpPr>
        <xdr:cNvPr id="72" name="Straight Connector 71">
          <a:extLst>
            <a:ext uri="{FF2B5EF4-FFF2-40B4-BE49-F238E27FC236}">
              <a16:creationId xmlns:a16="http://schemas.microsoft.com/office/drawing/2014/main" id="{D57F8E60-EF2C-4989-BBBB-F588837B25C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800396</xdr:colOff>
      <xdr:row>1</xdr:row>
      <xdr:rowOff>103586</xdr:rowOff>
    </xdr:from>
    <xdr:to>
      <xdr:col>9</xdr:col>
      <xdr:colOff>800396</xdr:colOff>
      <xdr:row>2</xdr:row>
      <xdr:rowOff>117146</xdr:rowOff>
    </xdr:to>
    <xdr:cxnSp macro="">
      <xdr:nvCxnSpPr>
        <xdr:cNvPr id="73" name="Straight Connector 72">
          <a:extLst>
            <a:ext uri="{FF2B5EF4-FFF2-40B4-BE49-F238E27FC236}">
              <a16:creationId xmlns:a16="http://schemas.microsoft.com/office/drawing/2014/main" id="{58B2291A-611D-4E7F-90E2-A8279B0C62A7}"/>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1659305</xdr:colOff>
      <xdr:row>1</xdr:row>
      <xdr:rowOff>103586</xdr:rowOff>
    </xdr:from>
    <xdr:to>
      <xdr:col>9</xdr:col>
      <xdr:colOff>1659305</xdr:colOff>
      <xdr:row>2</xdr:row>
      <xdr:rowOff>117146</xdr:rowOff>
    </xdr:to>
    <xdr:cxnSp macro="">
      <xdr:nvCxnSpPr>
        <xdr:cNvPr id="74" name="Straight Connector 73">
          <a:extLst>
            <a:ext uri="{FF2B5EF4-FFF2-40B4-BE49-F238E27FC236}">
              <a16:creationId xmlns:a16="http://schemas.microsoft.com/office/drawing/2014/main" id="{AA1D5D3B-5E79-4F96-9F1F-023986BF46C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2518567</xdr:colOff>
      <xdr:row>1</xdr:row>
      <xdr:rowOff>103586</xdr:rowOff>
    </xdr:from>
    <xdr:to>
      <xdr:col>9</xdr:col>
      <xdr:colOff>2518567</xdr:colOff>
      <xdr:row>2</xdr:row>
      <xdr:rowOff>117146</xdr:rowOff>
    </xdr:to>
    <xdr:cxnSp macro="">
      <xdr:nvCxnSpPr>
        <xdr:cNvPr id="75" name="Straight Connector 74">
          <a:extLst>
            <a:ext uri="{FF2B5EF4-FFF2-40B4-BE49-F238E27FC236}">
              <a16:creationId xmlns:a16="http://schemas.microsoft.com/office/drawing/2014/main" id="{71571DC3-6957-484E-95E6-6597F95D39F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1587528</xdr:colOff>
      <xdr:row>1</xdr:row>
      <xdr:rowOff>103586</xdr:rowOff>
    </xdr:from>
    <xdr:to>
      <xdr:col>10</xdr:col>
      <xdr:colOff>1587528</xdr:colOff>
      <xdr:row>2</xdr:row>
      <xdr:rowOff>117146</xdr:rowOff>
    </xdr:to>
    <xdr:cxnSp macro="">
      <xdr:nvCxnSpPr>
        <xdr:cNvPr id="76" name="Straight Connector 75">
          <a:extLst>
            <a:ext uri="{FF2B5EF4-FFF2-40B4-BE49-F238E27FC236}">
              <a16:creationId xmlns:a16="http://schemas.microsoft.com/office/drawing/2014/main" id="{6DF897BB-1CFF-4049-96C0-4443041E8DB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2444395</xdr:colOff>
      <xdr:row>1</xdr:row>
      <xdr:rowOff>103586</xdr:rowOff>
    </xdr:from>
    <xdr:to>
      <xdr:col>10</xdr:col>
      <xdr:colOff>2444395</xdr:colOff>
      <xdr:row>2</xdr:row>
      <xdr:rowOff>117146</xdr:rowOff>
    </xdr:to>
    <xdr:cxnSp macro="">
      <xdr:nvCxnSpPr>
        <xdr:cNvPr id="77" name="Straight Connector 76">
          <a:extLst>
            <a:ext uri="{FF2B5EF4-FFF2-40B4-BE49-F238E27FC236}">
              <a16:creationId xmlns:a16="http://schemas.microsoft.com/office/drawing/2014/main" id="{F80B2848-EDCE-406E-8A77-1DDA340ADCA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3304274</xdr:colOff>
      <xdr:row>1</xdr:row>
      <xdr:rowOff>103586</xdr:rowOff>
    </xdr:from>
    <xdr:to>
      <xdr:col>10</xdr:col>
      <xdr:colOff>3304274</xdr:colOff>
      <xdr:row>2</xdr:row>
      <xdr:rowOff>117146</xdr:rowOff>
    </xdr:to>
    <xdr:cxnSp macro="">
      <xdr:nvCxnSpPr>
        <xdr:cNvPr id="78" name="Straight Connector 77">
          <a:extLst>
            <a:ext uri="{FF2B5EF4-FFF2-40B4-BE49-F238E27FC236}">
              <a16:creationId xmlns:a16="http://schemas.microsoft.com/office/drawing/2014/main" id="{A8C7F363-0742-4444-A3DD-A262D2D166E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4162495</xdr:colOff>
      <xdr:row>1</xdr:row>
      <xdr:rowOff>103586</xdr:rowOff>
    </xdr:from>
    <xdr:to>
      <xdr:col>10</xdr:col>
      <xdr:colOff>4162495</xdr:colOff>
      <xdr:row>2</xdr:row>
      <xdr:rowOff>117146</xdr:rowOff>
    </xdr:to>
    <xdr:cxnSp macro="">
      <xdr:nvCxnSpPr>
        <xdr:cNvPr id="79" name="Straight Connector 78">
          <a:extLst>
            <a:ext uri="{FF2B5EF4-FFF2-40B4-BE49-F238E27FC236}">
              <a16:creationId xmlns:a16="http://schemas.microsoft.com/office/drawing/2014/main" id="{489550C9-199B-4BDD-92D3-3A1AB1B95766}"/>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5024413</xdr:colOff>
      <xdr:row>1</xdr:row>
      <xdr:rowOff>103586</xdr:rowOff>
    </xdr:from>
    <xdr:to>
      <xdr:col>10</xdr:col>
      <xdr:colOff>5024413</xdr:colOff>
      <xdr:row>2</xdr:row>
      <xdr:rowOff>117146</xdr:rowOff>
    </xdr:to>
    <xdr:cxnSp macro="">
      <xdr:nvCxnSpPr>
        <xdr:cNvPr id="80" name="Straight Connector 79">
          <a:extLst>
            <a:ext uri="{FF2B5EF4-FFF2-40B4-BE49-F238E27FC236}">
              <a16:creationId xmlns:a16="http://schemas.microsoft.com/office/drawing/2014/main" id="{21CBBF81-2886-40AD-9D8A-2FD69AB5EFD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733834</xdr:colOff>
      <xdr:row>1</xdr:row>
      <xdr:rowOff>103586</xdr:rowOff>
    </xdr:from>
    <xdr:to>
      <xdr:col>10</xdr:col>
      <xdr:colOff>733834</xdr:colOff>
      <xdr:row>2</xdr:row>
      <xdr:rowOff>117146</xdr:rowOff>
    </xdr:to>
    <xdr:cxnSp macro="">
      <xdr:nvCxnSpPr>
        <xdr:cNvPr id="81" name="Straight Connector 80">
          <a:extLst>
            <a:ext uri="{FF2B5EF4-FFF2-40B4-BE49-F238E27FC236}">
              <a16:creationId xmlns:a16="http://schemas.microsoft.com/office/drawing/2014/main" id="{46F2A12C-3138-4B40-B951-42400345491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96</xdr:col>
      <xdr:colOff>94261</xdr:colOff>
      <xdr:row>4</xdr:row>
      <xdr:rowOff>0</xdr:rowOff>
    </xdr:to>
    <xdr:sp macro="" textlink="">
      <xdr:nvSpPr>
        <xdr:cNvPr id="3" name="Rectangle 2">
          <a:extLst>
            <a:ext uri="{FF2B5EF4-FFF2-40B4-BE49-F238E27FC236}">
              <a16:creationId xmlns:a16="http://schemas.microsoft.com/office/drawing/2014/main" id="{E0F6F19E-8CE6-4B78-82B3-BAF6916C1F3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51</xdr:col>
      <xdr:colOff>399447</xdr:colOff>
      <xdr:row>1</xdr:row>
      <xdr:rowOff>19879</xdr:rowOff>
    </xdr:from>
    <xdr:to>
      <xdr:col>52</xdr:col>
      <xdr:colOff>664615</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7E62D0B2-DCF8-4113-8E59-86B1A9E9AE3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FF5A37FA-46B3-44C4-94E1-2DCE330374C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41" name="Straight Connector 40">
          <a:extLst>
            <a:ext uri="{FF2B5EF4-FFF2-40B4-BE49-F238E27FC236}">
              <a16:creationId xmlns:a16="http://schemas.microsoft.com/office/drawing/2014/main" id="{3148ECBC-B2E3-49C9-9069-EF20F463CFD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10850</xdr:colOff>
      <xdr:row>1</xdr:row>
      <xdr:rowOff>19879</xdr:rowOff>
    </xdr:from>
    <xdr:to>
      <xdr:col>19</xdr:col>
      <xdr:colOff>841552</xdr:colOff>
      <xdr:row>3</xdr:row>
      <xdr:rowOff>10354</xdr:rowOff>
    </xdr:to>
    <xdr:sp macro="" textlink="">
      <xdr:nvSpPr>
        <xdr:cNvPr id="42" name="TextBox 41">
          <a:hlinkClick xmlns:r="http://schemas.openxmlformats.org/officeDocument/2006/relationships" r:id="rId3"/>
          <a:extLst>
            <a:ext uri="{FF2B5EF4-FFF2-40B4-BE49-F238E27FC236}">
              <a16:creationId xmlns:a16="http://schemas.microsoft.com/office/drawing/2014/main" id="{81270823-53A7-4901-B03B-587905477F8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19</xdr:col>
      <xdr:colOff>744278</xdr:colOff>
      <xdr:row>1</xdr:row>
      <xdr:rowOff>19879</xdr:rowOff>
    </xdr:from>
    <xdr:to>
      <xdr:col>25</xdr:col>
      <xdr:colOff>693051</xdr:colOff>
      <xdr:row>3</xdr:row>
      <xdr:rowOff>10354</xdr:rowOff>
    </xdr:to>
    <xdr:sp macro="" textlink="">
      <xdr:nvSpPr>
        <xdr:cNvPr id="43" name="TextBox 42">
          <a:hlinkClick xmlns:r="http://schemas.openxmlformats.org/officeDocument/2006/relationships" r:id="rId4"/>
          <a:extLst>
            <a:ext uri="{FF2B5EF4-FFF2-40B4-BE49-F238E27FC236}">
              <a16:creationId xmlns:a16="http://schemas.microsoft.com/office/drawing/2014/main" id="{F8F703D4-19D4-40B6-9858-B39AF3135DE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25</xdr:col>
      <xdr:colOff>595777</xdr:colOff>
      <xdr:row>1</xdr:row>
      <xdr:rowOff>19879</xdr:rowOff>
    </xdr:from>
    <xdr:to>
      <xdr:col>31</xdr:col>
      <xdr:colOff>538491</xdr:colOff>
      <xdr:row>3</xdr:row>
      <xdr:rowOff>10354</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CF4FDC66-3E0A-4302-9F9C-90E5851D24D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31</xdr:col>
      <xdr:colOff>441217</xdr:colOff>
      <xdr:row>1</xdr:row>
      <xdr:rowOff>19879</xdr:rowOff>
    </xdr:from>
    <xdr:to>
      <xdr:col>37</xdr:col>
      <xdr:colOff>389962</xdr:colOff>
      <xdr:row>3</xdr:row>
      <xdr:rowOff>10354</xdr:rowOff>
    </xdr:to>
    <xdr:sp macro="" textlink="">
      <xdr:nvSpPr>
        <xdr:cNvPr id="45" name="TextBox 44">
          <a:hlinkClick xmlns:r="http://schemas.openxmlformats.org/officeDocument/2006/relationships" r:id="rId6"/>
          <a:extLst>
            <a:ext uri="{FF2B5EF4-FFF2-40B4-BE49-F238E27FC236}">
              <a16:creationId xmlns:a16="http://schemas.microsoft.com/office/drawing/2014/main" id="{4C252BBB-0B6E-456F-978D-2101EBEF6CDC}"/>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37</xdr:col>
      <xdr:colOff>292688</xdr:colOff>
      <xdr:row>1</xdr:row>
      <xdr:rowOff>19879</xdr:rowOff>
    </xdr:from>
    <xdr:to>
      <xdr:col>43</xdr:col>
      <xdr:colOff>245514</xdr:colOff>
      <xdr:row>3</xdr:row>
      <xdr:rowOff>10354</xdr:rowOff>
    </xdr:to>
    <xdr:sp macro="" textlink="">
      <xdr:nvSpPr>
        <xdr:cNvPr id="46" name="TextBox 45">
          <a:hlinkClick xmlns:r="http://schemas.openxmlformats.org/officeDocument/2006/relationships" r:id="rId7"/>
          <a:extLst>
            <a:ext uri="{FF2B5EF4-FFF2-40B4-BE49-F238E27FC236}">
              <a16:creationId xmlns:a16="http://schemas.microsoft.com/office/drawing/2014/main" id="{76153269-34C8-4E0D-981C-7F463F8C6FD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Segments</a:t>
          </a:r>
        </a:p>
      </xdr:txBody>
    </xdr:sp>
    <xdr:clientData/>
  </xdr:twoCellAnchor>
  <xdr:twoCellAnchor>
    <xdr:from>
      <xdr:col>43</xdr:col>
      <xdr:colOff>148240</xdr:colOff>
      <xdr:row>1</xdr:row>
      <xdr:rowOff>19879</xdr:rowOff>
    </xdr:from>
    <xdr:to>
      <xdr:col>45</xdr:col>
      <xdr:colOff>93995</xdr:colOff>
      <xdr:row>3</xdr:row>
      <xdr:rowOff>10354</xdr:rowOff>
    </xdr:to>
    <xdr:sp macro="" textlink="">
      <xdr:nvSpPr>
        <xdr:cNvPr id="47" name="TextBox 46">
          <a:hlinkClick xmlns:r="http://schemas.openxmlformats.org/officeDocument/2006/relationships" r:id="rId8"/>
          <a:extLst>
            <a:ext uri="{FF2B5EF4-FFF2-40B4-BE49-F238E27FC236}">
              <a16:creationId xmlns:a16="http://schemas.microsoft.com/office/drawing/2014/main" id="{9C9C2AD0-CFC5-41B2-A7E9-1474D332654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44</xdr:col>
      <xdr:colOff>122227</xdr:colOff>
      <xdr:row>1</xdr:row>
      <xdr:rowOff>19879</xdr:rowOff>
    </xdr:from>
    <xdr:to>
      <xdr:col>46</xdr:col>
      <xdr:colOff>66302</xdr:colOff>
      <xdr:row>3</xdr:row>
      <xdr:rowOff>10354</xdr:rowOff>
    </xdr:to>
    <xdr:sp macro="" textlink="">
      <xdr:nvSpPr>
        <xdr:cNvPr id="48" name="TextBox 47">
          <a:hlinkClick xmlns:r="http://schemas.openxmlformats.org/officeDocument/2006/relationships" r:id="rId9"/>
          <a:extLst>
            <a:ext uri="{FF2B5EF4-FFF2-40B4-BE49-F238E27FC236}">
              <a16:creationId xmlns:a16="http://schemas.microsoft.com/office/drawing/2014/main" id="{924D78E9-0E7A-4154-8055-D55DFE4C532F}"/>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45</xdr:col>
      <xdr:colOff>856534</xdr:colOff>
      <xdr:row>1</xdr:row>
      <xdr:rowOff>19879</xdr:rowOff>
    </xdr:from>
    <xdr:to>
      <xdr:col>47</xdr:col>
      <xdr:colOff>803067</xdr:colOff>
      <xdr:row>3</xdr:row>
      <xdr:rowOff>10354</xdr:rowOff>
    </xdr:to>
    <xdr:sp macro="" textlink="">
      <xdr:nvSpPr>
        <xdr:cNvPr id="49" name="TextBox 48">
          <a:hlinkClick xmlns:r="http://schemas.openxmlformats.org/officeDocument/2006/relationships" r:id="rId10"/>
          <a:extLst>
            <a:ext uri="{FF2B5EF4-FFF2-40B4-BE49-F238E27FC236}">
              <a16:creationId xmlns:a16="http://schemas.microsoft.com/office/drawing/2014/main" id="{48FB42B9-F425-4DE6-9CE7-AA4EB04FE3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47</xdr:col>
      <xdr:colOff>705793</xdr:colOff>
      <xdr:row>1</xdr:row>
      <xdr:rowOff>19879</xdr:rowOff>
    </xdr:from>
    <xdr:to>
      <xdr:col>49</xdr:col>
      <xdr:colOff>652679</xdr:colOff>
      <xdr:row>3</xdr:row>
      <xdr:rowOff>10354</xdr:rowOff>
    </xdr:to>
    <xdr:sp macro="" textlink="">
      <xdr:nvSpPr>
        <xdr:cNvPr id="50" name="TextBox 49">
          <a:hlinkClick xmlns:r="http://schemas.openxmlformats.org/officeDocument/2006/relationships" r:id="rId11"/>
          <a:extLst>
            <a:ext uri="{FF2B5EF4-FFF2-40B4-BE49-F238E27FC236}">
              <a16:creationId xmlns:a16="http://schemas.microsoft.com/office/drawing/2014/main" id="{2ADA61C7-CB7F-4DA1-94DB-07E4368C3DD3}"/>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49</xdr:col>
      <xdr:colOff>555405</xdr:colOff>
      <xdr:row>1</xdr:row>
      <xdr:rowOff>19879</xdr:rowOff>
    </xdr:from>
    <xdr:to>
      <xdr:col>51</xdr:col>
      <xdr:colOff>496721</xdr:colOff>
      <xdr:row>3</xdr:row>
      <xdr:rowOff>10354</xdr:rowOff>
    </xdr:to>
    <xdr:sp macro="" textlink="">
      <xdr:nvSpPr>
        <xdr:cNvPr id="51" name="TextBox 50">
          <a:hlinkClick xmlns:r="http://schemas.openxmlformats.org/officeDocument/2006/relationships" r:id="rId12"/>
          <a:extLst>
            <a:ext uri="{FF2B5EF4-FFF2-40B4-BE49-F238E27FC236}">
              <a16:creationId xmlns:a16="http://schemas.microsoft.com/office/drawing/2014/main" id="{61B8BF55-A4CE-481B-83F5-C204AB43856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52</xdr:col>
      <xdr:colOff>567341</xdr:colOff>
      <xdr:row>1</xdr:row>
      <xdr:rowOff>19879</xdr:rowOff>
    </xdr:from>
    <xdr:to>
      <xdr:col>54</xdr:col>
      <xdr:colOff>149882</xdr:colOff>
      <xdr:row>3</xdr:row>
      <xdr:rowOff>10354</xdr:rowOff>
    </xdr:to>
    <xdr:sp macro="" textlink="">
      <xdr:nvSpPr>
        <xdr:cNvPr id="52" name="TextBox 51">
          <a:hlinkClick xmlns:r="http://schemas.openxmlformats.org/officeDocument/2006/relationships" r:id="rId13"/>
          <a:extLst>
            <a:ext uri="{FF2B5EF4-FFF2-40B4-BE49-F238E27FC236}">
              <a16:creationId xmlns:a16="http://schemas.microsoft.com/office/drawing/2014/main" id="{6966545D-8C18-4C85-B6BD-0A3DFC2F38F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54</xdr:col>
      <xdr:colOff>52608</xdr:colOff>
      <xdr:row>1</xdr:row>
      <xdr:rowOff>19879</xdr:rowOff>
    </xdr:from>
    <xdr:to>
      <xdr:col>55</xdr:col>
      <xdr:colOff>323961</xdr:colOff>
      <xdr:row>3</xdr:row>
      <xdr:rowOff>10354</xdr:rowOff>
    </xdr:to>
    <xdr:sp macro="" textlink="">
      <xdr:nvSpPr>
        <xdr:cNvPr id="53" name="TextBox 52">
          <a:hlinkClick xmlns:r="http://schemas.openxmlformats.org/officeDocument/2006/relationships" r:id="rId14"/>
          <a:extLst>
            <a:ext uri="{FF2B5EF4-FFF2-40B4-BE49-F238E27FC236}">
              <a16:creationId xmlns:a16="http://schemas.microsoft.com/office/drawing/2014/main" id="{ABA38AA5-4F02-41B3-8C2C-B1777F6C10E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55</xdr:col>
      <xdr:colOff>226687</xdr:colOff>
      <xdr:row>1</xdr:row>
      <xdr:rowOff>19879</xdr:rowOff>
    </xdr:from>
    <xdr:to>
      <xdr:col>56</xdr:col>
      <xdr:colOff>496382</xdr:colOff>
      <xdr:row>3</xdr:row>
      <xdr:rowOff>10354</xdr:rowOff>
    </xdr:to>
    <xdr:sp macro="" textlink="">
      <xdr:nvSpPr>
        <xdr:cNvPr id="54" name="TextBox 53">
          <a:hlinkClick xmlns:r="http://schemas.openxmlformats.org/officeDocument/2006/relationships" r:id="rId15"/>
          <a:extLst>
            <a:ext uri="{FF2B5EF4-FFF2-40B4-BE49-F238E27FC236}">
              <a16:creationId xmlns:a16="http://schemas.microsoft.com/office/drawing/2014/main" id="{AA5EF000-3DA8-4126-A51C-29703D70DA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56</xdr:col>
      <xdr:colOff>399108</xdr:colOff>
      <xdr:row>1</xdr:row>
      <xdr:rowOff>19879</xdr:rowOff>
    </xdr:from>
    <xdr:to>
      <xdr:col>57</xdr:col>
      <xdr:colOff>672500</xdr:colOff>
      <xdr:row>3</xdr:row>
      <xdr:rowOff>10354</xdr:rowOff>
    </xdr:to>
    <xdr:sp macro="" textlink="">
      <xdr:nvSpPr>
        <xdr:cNvPr id="55" name="TextBox 54">
          <a:hlinkClick xmlns:r="http://schemas.openxmlformats.org/officeDocument/2006/relationships" r:id="rId16"/>
          <a:extLst>
            <a:ext uri="{FF2B5EF4-FFF2-40B4-BE49-F238E27FC236}">
              <a16:creationId xmlns:a16="http://schemas.microsoft.com/office/drawing/2014/main" id="{5BDBED4E-8D3A-4636-9BE1-3AB780D1291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57</xdr:col>
      <xdr:colOff>575237</xdr:colOff>
      <xdr:row>1</xdr:row>
      <xdr:rowOff>19879</xdr:rowOff>
    </xdr:from>
    <xdr:to>
      <xdr:col>59</xdr:col>
      <xdr:colOff>160402</xdr:colOff>
      <xdr:row>3</xdr:row>
      <xdr:rowOff>10354</xdr:rowOff>
    </xdr:to>
    <xdr:sp macro="" textlink="">
      <xdr:nvSpPr>
        <xdr:cNvPr id="56" name="TextBox 55">
          <a:hlinkClick xmlns:r="http://schemas.openxmlformats.org/officeDocument/2006/relationships" r:id="rId17"/>
          <a:extLst>
            <a:ext uri="{FF2B5EF4-FFF2-40B4-BE49-F238E27FC236}">
              <a16:creationId xmlns:a16="http://schemas.microsoft.com/office/drawing/2014/main" id="{B3D4D253-30F2-4D81-82C6-E5B3C7C7A80C}"/>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31</xdr:col>
      <xdr:colOff>489854</xdr:colOff>
      <xdr:row>1</xdr:row>
      <xdr:rowOff>103586</xdr:rowOff>
    </xdr:from>
    <xdr:to>
      <xdr:col>31</xdr:col>
      <xdr:colOff>489854</xdr:colOff>
      <xdr:row>2</xdr:row>
      <xdr:rowOff>117146</xdr:rowOff>
    </xdr:to>
    <xdr:cxnSp macro="">
      <xdr:nvCxnSpPr>
        <xdr:cNvPr id="57" name="Straight Connector 56">
          <a:extLst>
            <a:ext uri="{FF2B5EF4-FFF2-40B4-BE49-F238E27FC236}">
              <a16:creationId xmlns:a16="http://schemas.microsoft.com/office/drawing/2014/main" id="{61AB4289-2826-416C-8D9B-31DF189342A5}"/>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644414</xdr:colOff>
      <xdr:row>1</xdr:row>
      <xdr:rowOff>103586</xdr:rowOff>
    </xdr:from>
    <xdr:to>
      <xdr:col>25</xdr:col>
      <xdr:colOff>644414</xdr:colOff>
      <xdr:row>2</xdr:row>
      <xdr:rowOff>117146</xdr:rowOff>
    </xdr:to>
    <xdr:cxnSp macro="">
      <xdr:nvCxnSpPr>
        <xdr:cNvPr id="58" name="Straight Connector 57">
          <a:extLst>
            <a:ext uri="{FF2B5EF4-FFF2-40B4-BE49-F238E27FC236}">
              <a16:creationId xmlns:a16="http://schemas.microsoft.com/office/drawing/2014/main" id="{69A3933C-3928-4B3A-81FE-0713AB4C16F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792915</xdr:colOff>
      <xdr:row>1</xdr:row>
      <xdr:rowOff>103586</xdr:rowOff>
    </xdr:from>
    <xdr:to>
      <xdr:col>19</xdr:col>
      <xdr:colOff>792915</xdr:colOff>
      <xdr:row>2</xdr:row>
      <xdr:rowOff>117146</xdr:rowOff>
    </xdr:to>
    <xdr:cxnSp macro="">
      <xdr:nvCxnSpPr>
        <xdr:cNvPr id="59" name="Straight Connector 58">
          <a:extLst>
            <a:ext uri="{FF2B5EF4-FFF2-40B4-BE49-F238E27FC236}">
              <a16:creationId xmlns:a16="http://schemas.microsoft.com/office/drawing/2014/main" id="{4C4C4B11-4595-453F-919C-520661D9307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341325</xdr:colOff>
      <xdr:row>1</xdr:row>
      <xdr:rowOff>103586</xdr:rowOff>
    </xdr:from>
    <xdr:to>
      <xdr:col>37</xdr:col>
      <xdr:colOff>341325</xdr:colOff>
      <xdr:row>2</xdr:row>
      <xdr:rowOff>117146</xdr:rowOff>
    </xdr:to>
    <xdr:cxnSp macro="">
      <xdr:nvCxnSpPr>
        <xdr:cNvPr id="60" name="Straight Connector 59">
          <a:extLst>
            <a:ext uri="{FF2B5EF4-FFF2-40B4-BE49-F238E27FC236}">
              <a16:creationId xmlns:a16="http://schemas.microsoft.com/office/drawing/2014/main" id="{59737CBE-7999-486B-AB2D-CF47DFE0C859}"/>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196877</xdr:colOff>
      <xdr:row>1</xdr:row>
      <xdr:rowOff>103586</xdr:rowOff>
    </xdr:from>
    <xdr:to>
      <xdr:col>43</xdr:col>
      <xdr:colOff>196877</xdr:colOff>
      <xdr:row>2</xdr:row>
      <xdr:rowOff>117146</xdr:rowOff>
    </xdr:to>
    <xdr:cxnSp macro="">
      <xdr:nvCxnSpPr>
        <xdr:cNvPr id="61" name="Straight Connector 60">
          <a:extLst>
            <a:ext uri="{FF2B5EF4-FFF2-40B4-BE49-F238E27FC236}">
              <a16:creationId xmlns:a16="http://schemas.microsoft.com/office/drawing/2014/main" id="{DDF0DDAB-F3DE-4E72-8324-9B205282AD9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45358</xdr:colOff>
      <xdr:row>1</xdr:row>
      <xdr:rowOff>103586</xdr:rowOff>
    </xdr:from>
    <xdr:to>
      <xdr:col>45</xdr:col>
      <xdr:colOff>45358</xdr:colOff>
      <xdr:row>2</xdr:row>
      <xdr:rowOff>117146</xdr:rowOff>
    </xdr:to>
    <xdr:cxnSp macro="">
      <xdr:nvCxnSpPr>
        <xdr:cNvPr id="62" name="Straight Connector 61">
          <a:extLst>
            <a:ext uri="{FF2B5EF4-FFF2-40B4-BE49-F238E27FC236}">
              <a16:creationId xmlns:a16="http://schemas.microsoft.com/office/drawing/2014/main" id="{E4B1C5AD-282E-4A58-8DBE-EEA5D6B7649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19346</xdr:colOff>
      <xdr:row>1</xdr:row>
      <xdr:rowOff>103586</xdr:rowOff>
    </xdr:from>
    <xdr:to>
      <xdr:col>46</xdr:col>
      <xdr:colOff>19346</xdr:colOff>
      <xdr:row>2</xdr:row>
      <xdr:rowOff>117146</xdr:rowOff>
    </xdr:to>
    <xdr:cxnSp macro="">
      <xdr:nvCxnSpPr>
        <xdr:cNvPr id="63" name="Straight Connector 62">
          <a:extLst>
            <a:ext uri="{FF2B5EF4-FFF2-40B4-BE49-F238E27FC236}">
              <a16:creationId xmlns:a16="http://schemas.microsoft.com/office/drawing/2014/main" id="{0AD78684-8BC1-4A2B-A4B1-BCBB1A34B1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754430</xdr:colOff>
      <xdr:row>1</xdr:row>
      <xdr:rowOff>103586</xdr:rowOff>
    </xdr:from>
    <xdr:to>
      <xdr:col>47</xdr:col>
      <xdr:colOff>754430</xdr:colOff>
      <xdr:row>2</xdr:row>
      <xdr:rowOff>117146</xdr:rowOff>
    </xdr:to>
    <xdr:cxnSp macro="">
      <xdr:nvCxnSpPr>
        <xdr:cNvPr id="64" name="Straight Connector 63">
          <a:extLst>
            <a:ext uri="{FF2B5EF4-FFF2-40B4-BE49-F238E27FC236}">
              <a16:creationId xmlns:a16="http://schemas.microsoft.com/office/drawing/2014/main" id="{C0741B33-E8E4-48E2-A968-F8BF720E4AB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604042</xdr:colOff>
      <xdr:row>1</xdr:row>
      <xdr:rowOff>103586</xdr:rowOff>
    </xdr:from>
    <xdr:to>
      <xdr:col>49</xdr:col>
      <xdr:colOff>604042</xdr:colOff>
      <xdr:row>2</xdr:row>
      <xdr:rowOff>117146</xdr:rowOff>
    </xdr:to>
    <xdr:cxnSp macro="">
      <xdr:nvCxnSpPr>
        <xdr:cNvPr id="65" name="Straight Connector 64">
          <a:extLst>
            <a:ext uri="{FF2B5EF4-FFF2-40B4-BE49-F238E27FC236}">
              <a16:creationId xmlns:a16="http://schemas.microsoft.com/office/drawing/2014/main" id="{3BBEE929-B4FD-45BF-88A1-408A318FFA62}"/>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615978</xdr:colOff>
      <xdr:row>1</xdr:row>
      <xdr:rowOff>103586</xdr:rowOff>
    </xdr:from>
    <xdr:to>
      <xdr:col>52</xdr:col>
      <xdr:colOff>615978</xdr:colOff>
      <xdr:row>2</xdr:row>
      <xdr:rowOff>117146</xdr:rowOff>
    </xdr:to>
    <xdr:cxnSp macro="">
      <xdr:nvCxnSpPr>
        <xdr:cNvPr id="66" name="Straight Connector 65">
          <a:extLst>
            <a:ext uri="{FF2B5EF4-FFF2-40B4-BE49-F238E27FC236}">
              <a16:creationId xmlns:a16="http://schemas.microsoft.com/office/drawing/2014/main" id="{F246B953-A577-4B16-912C-32FBCF20305A}"/>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101245</xdr:colOff>
      <xdr:row>1</xdr:row>
      <xdr:rowOff>103586</xdr:rowOff>
    </xdr:from>
    <xdr:to>
      <xdr:col>54</xdr:col>
      <xdr:colOff>101245</xdr:colOff>
      <xdr:row>2</xdr:row>
      <xdr:rowOff>117146</xdr:rowOff>
    </xdr:to>
    <xdr:cxnSp macro="">
      <xdr:nvCxnSpPr>
        <xdr:cNvPr id="67" name="Straight Connector 66">
          <a:extLst>
            <a:ext uri="{FF2B5EF4-FFF2-40B4-BE49-F238E27FC236}">
              <a16:creationId xmlns:a16="http://schemas.microsoft.com/office/drawing/2014/main" id="{CFCAA2B7-854B-4B34-A7AC-845B5C226D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275324</xdr:colOff>
      <xdr:row>1</xdr:row>
      <xdr:rowOff>103586</xdr:rowOff>
    </xdr:from>
    <xdr:to>
      <xdr:col>55</xdr:col>
      <xdr:colOff>275324</xdr:colOff>
      <xdr:row>2</xdr:row>
      <xdr:rowOff>117146</xdr:rowOff>
    </xdr:to>
    <xdr:cxnSp macro="">
      <xdr:nvCxnSpPr>
        <xdr:cNvPr id="68" name="Straight Connector 67">
          <a:extLst>
            <a:ext uri="{FF2B5EF4-FFF2-40B4-BE49-F238E27FC236}">
              <a16:creationId xmlns:a16="http://schemas.microsoft.com/office/drawing/2014/main" id="{18F95195-62A4-4354-8200-4F48D5A8D23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447745</xdr:colOff>
      <xdr:row>1</xdr:row>
      <xdr:rowOff>103586</xdr:rowOff>
    </xdr:from>
    <xdr:to>
      <xdr:col>56</xdr:col>
      <xdr:colOff>447745</xdr:colOff>
      <xdr:row>2</xdr:row>
      <xdr:rowOff>117146</xdr:rowOff>
    </xdr:to>
    <xdr:cxnSp macro="">
      <xdr:nvCxnSpPr>
        <xdr:cNvPr id="69" name="Straight Connector 68">
          <a:extLst>
            <a:ext uri="{FF2B5EF4-FFF2-40B4-BE49-F238E27FC236}">
              <a16:creationId xmlns:a16="http://schemas.microsoft.com/office/drawing/2014/main" id="{60FD960F-D7CB-4183-B7D3-7C29677B718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623863</xdr:colOff>
      <xdr:row>1</xdr:row>
      <xdr:rowOff>103586</xdr:rowOff>
    </xdr:from>
    <xdr:to>
      <xdr:col>57</xdr:col>
      <xdr:colOff>623863</xdr:colOff>
      <xdr:row>2</xdr:row>
      <xdr:rowOff>117146</xdr:rowOff>
    </xdr:to>
    <xdr:cxnSp macro="">
      <xdr:nvCxnSpPr>
        <xdr:cNvPr id="70" name="Straight Connector 69">
          <a:extLst>
            <a:ext uri="{FF2B5EF4-FFF2-40B4-BE49-F238E27FC236}">
              <a16:creationId xmlns:a16="http://schemas.microsoft.com/office/drawing/2014/main" id="{DB8813CF-D24B-4D97-B21D-8CD92B720A53}"/>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448084</xdr:colOff>
      <xdr:row>1</xdr:row>
      <xdr:rowOff>103586</xdr:rowOff>
    </xdr:from>
    <xdr:to>
      <xdr:col>51</xdr:col>
      <xdr:colOff>448084</xdr:colOff>
      <xdr:row>2</xdr:row>
      <xdr:rowOff>117146</xdr:rowOff>
    </xdr:to>
    <xdr:cxnSp macro="">
      <xdr:nvCxnSpPr>
        <xdr:cNvPr id="71" name="Straight Connector 70">
          <a:extLst>
            <a:ext uri="{FF2B5EF4-FFF2-40B4-BE49-F238E27FC236}">
              <a16:creationId xmlns:a16="http://schemas.microsoft.com/office/drawing/2014/main" id="{5C935EBB-8975-4ACE-95E5-F01198A12F4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46</xdr:col>
      <xdr:colOff>717308</xdr:colOff>
      <xdr:row>4</xdr:row>
      <xdr:rowOff>0</xdr:rowOff>
    </xdr:to>
    <xdr:sp macro="" textlink="">
      <xdr:nvSpPr>
        <xdr:cNvPr id="14" name="Rectangle 13">
          <a:extLst>
            <a:ext uri="{FF2B5EF4-FFF2-40B4-BE49-F238E27FC236}">
              <a16:creationId xmlns:a16="http://schemas.microsoft.com/office/drawing/2014/main" id="{1E4E01DA-1DC9-48D5-A5EF-A9F2B19DFC53}"/>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596671</xdr:colOff>
      <xdr:row>1</xdr:row>
      <xdr:rowOff>19879</xdr:rowOff>
    </xdr:from>
    <xdr:to>
      <xdr:col>13</xdr:col>
      <xdr:colOff>606344</xdr:colOff>
      <xdr:row>3</xdr:row>
      <xdr:rowOff>10354</xdr:rowOff>
    </xdr:to>
    <xdr:sp macro="" textlink="">
      <xdr:nvSpPr>
        <xdr:cNvPr id="50" name="TextBox 49">
          <a:hlinkClick xmlns:r="http://schemas.openxmlformats.org/officeDocument/2006/relationships" r:id="rId1"/>
          <a:extLst>
            <a:ext uri="{FF2B5EF4-FFF2-40B4-BE49-F238E27FC236}">
              <a16:creationId xmlns:a16="http://schemas.microsoft.com/office/drawing/2014/main" id="{21454B8A-C4D3-6865-B3C3-D55700FE5171}"/>
            </a:ext>
          </a:extLst>
        </xdr:cNvPr>
        <xdr:cNvSpPr txBox="1"/>
      </xdr:nvSpPr>
      <xdr:spPr>
        <a:xfrm>
          <a:off x="12569596" y="210379"/>
          <a:ext cx="9526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5" name="Picture 14">
          <a:extLst>
            <a:ext uri="{FF2B5EF4-FFF2-40B4-BE49-F238E27FC236}">
              <a16:creationId xmlns:a16="http://schemas.microsoft.com/office/drawing/2014/main" id="{1B452CBB-B668-4435-A503-6289600494F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20" name="Straight Connector 19">
          <a:extLst>
            <a:ext uri="{FF2B5EF4-FFF2-40B4-BE49-F238E27FC236}">
              <a16:creationId xmlns:a16="http://schemas.microsoft.com/office/drawing/2014/main" id="{48E59376-F131-46E6-B942-C61538DE54D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478696</xdr:colOff>
      <xdr:row>1</xdr:row>
      <xdr:rowOff>19879</xdr:rowOff>
    </xdr:from>
    <xdr:to>
      <xdr:col>4</xdr:col>
      <xdr:colOff>491928</xdr:colOff>
      <xdr:row>3</xdr:row>
      <xdr:rowOff>10354</xdr:rowOff>
    </xdr:to>
    <xdr:sp macro="" textlink="">
      <xdr:nvSpPr>
        <xdr:cNvPr id="21" name="TextBox 20">
          <a:hlinkClick xmlns:r="http://schemas.openxmlformats.org/officeDocument/2006/relationships" r:id="rId3"/>
          <a:extLst>
            <a:ext uri="{FF2B5EF4-FFF2-40B4-BE49-F238E27FC236}">
              <a16:creationId xmlns:a16="http://schemas.microsoft.com/office/drawing/2014/main" id="{0747EBFC-B320-4A12-913B-15317D4CADAE}"/>
            </a:ext>
          </a:extLst>
        </xdr:cNvPr>
        <xdr:cNvSpPr txBox="1"/>
      </xdr:nvSpPr>
      <xdr:spPr>
        <a:xfrm>
          <a:off x="3964846" y="210379"/>
          <a:ext cx="95620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4</xdr:col>
      <xdr:colOff>394654</xdr:colOff>
      <xdr:row>1</xdr:row>
      <xdr:rowOff>19879</xdr:rowOff>
    </xdr:from>
    <xdr:to>
      <xdr:col>5</xdr:col>
      <xdr:colOff>411783</xdr:colOff>
      <xdr:row>3</xdr:row>
      <xdr:rowOff>10354</xdr:rowOff>
    </xdr:to>
    <xdr:sp macro="" textlink="">
      <xdr:nvSpPr>
        <xdr:cNvPr id="22" name="TextBox 21">
          <a:hlinkClick xmlns:r="http://schemas.openxmlformats.org/officeDocument/2006/relationships" r:id="rId4"/>
          <a:extLst>
            <a:ext uri="{FF2B5EF4-FFF2-40B4-BE49-F238E27FC236}">
              <a16:creationId xmlns:a16="http://schemas.microsoft.com/office/drawing/2014/main" id="{5025120D-B8E6-439F-A184-45ED4C66B3DA}"/>
            </a:ext>
          </a:extLst>
        </xdr:cNvPr>
        <xdr:cNvSpPr txBox="1"/>
      </xdr:nvSpPr>
      <xdr:spPr>
        <a:xfrm>
          <a:off x="4823779" y="210379"/>
          <a:ext cx="96010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5</xdr:col>
      <xdr:colOff>314509</xdr:colOff>
      <xdr:row>1</xdr:row>
      <xdr:rowOff>19879</xdr:rowOff>
    </xdr:from>
    <xdr:to>
      <xdr:col>6</xdr:col>
      <xdr:colOff>325579</xdr:colOff>
      <xdr:row>3</xdr:row>
      <xdr:rowOff>10354</xdr:rowOff>
    </xdr:to>
    <xdr:sp macro="" textlink="">
      <xdr:nvSpPr>
        <xdr:cNvPr id="23" name="TextBox 22">
          <a:hlinkClick xmlns:r="http://schemas.openxmlformats.org/officeDocument/2006/relationships" r:id="rId5"/>
          <a:extLst>
            <a:ext uri="{FF2B5EF4-FFF2-40B4-BE49-F238E27FC236}">
              <a16:creationId xmlns:a16="http://schemas.microsoft.com/office/drawing/2014/main" id="{0C8DEDFE-F7E4-49B6-83B6-2D746467EB11}"/>
            </a:ext>
          </a:extLst>
        </xdr:cNvPr>
        <xdr:cNvSpPr txBox="1"/>
      </xdr:nvSpPr>
      <xdr:spPr>
        <a:xfrm>
          <a:off x="5686609" y="210379"/>
          <a:ext cx="95404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228305</xdr:colOff>
      <xdr:row>1</xdr:row>
      <xdr:rowOff>19879</xdr:rowOff>
    </xdr:from>
    <xdr:to>
      <xdr:col>7</xdr:col>
      <xdr:colOff>245406</xdr:colOff>
      <xdr:row>3</xdr:row>
      <xdr:rowOff>10354</xdr:rowOff>
    </xdr:to>
    <xdr:sp macro="" textlink="">
      <xdr:nvSpPr>
        <xdr:cNvPr id="24" name="TextBox 23">
          <a:hlinkClick xmlns:r="http://schemas.openxmlformats.org/officeDocument/2006/relationships" r:id="rId6"/>
          <a:extLst>
            <a:ext uri="{FF2B5EF4-FFF2-40B4-BE49-F238E27FC236}">
              <a16:creationId xmlns:a16="http://schemas.microsoft.com/office/drawing/2014/main" id="{2FE398FD-278D-4CA2-8139-851E1E042DD9}"/>
            </a:ext>
          </a:extLst>
        </xdr:cNvPr>
        <xdr:cNvSpPr txBox="1"/>
      </xdr:nvSpPr>
      <xdr:spPr>
        <a:xfrm>
          <a:off x="6543380" y="210379"/>
          <a:ext cx="9600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148132</xdr:colOff>
      <xdr:row>1</xdr:row>
      <xdr:rowOff>19879</xdr:rowOff>
    </xdr:from>
    <xdr:to>
      <xdr:col>8</xdr:col>
      <xdr:colOff>169314</xdr:colOff>
      <xdr:row>3</xdr:row>
      <xdr:rowOff>10354</xdr:rowOff>
    </xdr:to>
    <xdr:sp macro="" textlink="">
      <xdr:nvSpPr>
        <xdr:cNvPr id="25" name="TextBox 24">
          <a:hlinkClick xmlns:r="http://schemas.openxmlformats.org/officeDocument/2006/relationships" r:id="rId7"/>
          <a:extLst>
            <a:ext uri="{FF2B5EF4-FFF2-40B4-BE49-F238E27FC236}">
              <a16:creationId xmlns:a16="http://schemas.microsoft.com/office/drawing/2014/main" id="{87CB0B90-D070-4E1B-9097-4A41690718FF}"/>
            </a:ext>
          </a:extLst>
        </xdr:cNvPr>
        <xdr:cNvSpPr txBox="1"/>
      </xdr:nvSpPr>
      <xdr:spPr>
        <a:xfrm>
          <a:off x="7406182" y="210379"/>
          <a:ext cx="96415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72040</xdr:colOff>
      <xdr:row>1</xdr:row>
      <xdr:rowOff>19879</xdr:rowOff>
    </xdr:from>
    <xdr:to>
      <xdr:col>9</xdr:col>
      <xdr:colOff>86151</xdr:colOff>
      <xdr:row>3</xdr:row>
      <xdr:rowOff>10354</xdr:rowOff>
    </xdr:to>
    <xdr:sp macro="" textlink="">
      <xdr:nvSpPr>
        <xdr:cNvPr id="26" name="TextBox 25">
          <a:hlinkClick xmlns:r="http://schemas.openxmlformats.org/officeDocument/2006/relationships" r:id="rId8"/>
          <a:extLst>
            <a:ext uri="{FF2B5EF4-FFF2-40B4-BE49-F238E27FC236}">
              <a16:creationId xmlns:a16="http://schemas.microsoft.com/office/drawing/2014/main" id="{1CA5F316-B070-4EB7-B411-84D833643542}"/>
            </a:ext>
          </a:extLst>
        </xdr:cNvPr>
        <xdr:cNvSpPr txBox="1"/>
      </xdr:nvSpPr>
      <xdr:spPr>
        <a:xfrm>
          <a:off x="8273065" y="210379"/>
          <a:ext cx="95708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Peers</a:t>
          </a:r>
        </a:p>
      </xdr:txBody>
    </xdr:sp>
    <xdr:clientData/>
  </xdr:twoCellAnchor>
  <xdr:twoCellAnchor>
    <xdr:from>
      <xdr:col>8</xdr:col>
      <xdr:colOff>931852</xdr:colOff>
      <xdr:row>1</xdr:row>
      <xdr:rowOff>19879</xdr:rowOff>
    </xdr:from>
    <xdr:to>
      <xdr:col>10</xdr:col>
      <xdr:colOff>2989</xdr:colOff>
      <xdr:row>3</xdr:row>
      <xdr:rowOff>10354</xdr:rowOff>
    </xdr:to>
    <xdr:sp macro="" textlink="">
      <xdr:nvSpPr>
        <xdr:cNvPr id="27" name="TextBox 26">
          <a:hlinkClick xmlns:r="http://schemas.openxmlformats.org/officeDocument/2006/relationships" r:id="rId9"/>
          <a:extLst>
            <a:ext uri="{FF2B5EF4-FFF2-40B4-BE49-F238E27FC236}">
              <a16:creationId xmlns:a16="http://schemas.microsoft.com/office/drawing/2014/main" id="{9D3B267E-8202-443D-B0D7-2995DF0AAD6C}"/>
            </a:ext>
          </a:extLst>
        </xdr:cNvPr>
        <xdr:cNvSpPr txBox="1"/>
      </xdr:nvSpPr>
      <xdr:spPr>
        <a:xfrm>
          <a:off x="9132877" y="210379"/>
          <a:ext cx="95708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848690</xdr:colOff>
      <xdr:row>1</xdr:row>
      <xdr:rowOff>19879</xdr:rowOff>
    </xdr:from>
    <xdr:to>
      <xdr:col>10</xdr:col>
      <xdr:colOff>863579</xdr:colOff>
      <xdr:row>3</xdr:row>
      <xdr:rowOff>10354</xdr:rowOff>
    </xdr:to>
    <xdr:sp macro="" textlink="">
      <xdr:nvSpPr>
        <xdr:cNvPr id="28" name="TextBox 27">
          <a:hlinkClick xmlns:r="http://schemas.openxmlformats.org/officeDocument/2006/relationships" r:id="rId10"/>
          <a:extLst>
            <a:ext uri="{FF2B5EF4-FFF2-40B4-BE49-F238E27FC236}">
              <a16:creationId xmlns:a16="http://schemas.microsoft.com/office/drawing/2014/main" id="{AAC15DD9-C0DE-4DFC-9719-B4F7DA2BF78D}"/>
            </a:ext>
          </a:extLst>
        </xdr:cNvPr>
        <xdr:cNvSpPr txBox="1"/>
      </xdr:nvSpPr>
      <xdr:spPr>
        <a:xfrm>
          <a:off x="9992690" y="210379"/>
          <a:ext cx="9578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766305</xdr:colOff>
      <xdr:row>1</xdr:row>
      <xdr:rowOff>19879</xdr:rowOff>
    </xdr:from>
    <xdr:to>
      <xdr:col>11</xdr:col>
      <xdr:colOff>781547</xdr:colOff>
      <xdr:row>3</xdr:row>
      <xdr:rowOff>10354</xdr:rowOff>
    </xdr:to>
    <xdr:sp macro="" textlink="">
      <xdr:nvSpPr>
        <xdr:cNvPr id="29" name="TextBox 28">
          <a:hlinkClick xmlns:r="http://schemas.openxmlformats.org/officeDocument/2006/relationships" r:id="rId11"/>
          <a:extLst>
            <a:ext uri="{FF2B5EF4-FFF2-40B4-BE49-F238E27FC236}">
              <a16:creationId xmlns:a16="http://schemas.microsoft.com/office/drawing/2014/main" id="{2C886B9A-40F0-4C77-A003-3C7709B577A6}"/>
            </a:ext>
          </a:extLst>
        </xdr:cNvPr>
        <xdr:cNvSpPr txBox="1"/>
      </xdr:nvSpPr>
      <xdr:spPr>
        <a:xfrm>
          <a:off x="10853280" y="210379"/>
          <a:ext cx="95821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684273</xdr:colOff>
      <xdr:row>1</xdr:row>
      <xdr:rowOff>19879</xdr:rowOff>
    </xdr:from>
    <xdr:to>
      <xdr:col>12</xdr:col>
      <xdr:colOff>693945</xdr:colOff>
      <xdr:row>3</xdr:row>
      <xdr:rowOff>10354</xdr:rowOff>
    </xdr:to>
    <xdr:sp macro="" textlink="">
      <xdr:nvSpPr>
        <xdr:cNvPr id="30" name="TextBox 29">
          <a:hlinkClick xmlns:r="http://schemas.openxmlformats.org/officeDocument/2006/relationships" r:id="rId12"/>
          <a:extLst>
            <a:ext uri="{FF2B5EF4-FFF2-40B4-BE49-F238E27FC236}">
              <a16:creationId xmlns:a16="http://schemas.microsoft.com/office/drawing/2014/main" id="{A52FF790-07C8-49ED-AF46-6ADD3F0B34B5}"/>
            </a:ext>
          </a:extLst>
        </xdr:cNvPr>
        <xdr:cNvSpPr txBox="1"/>
      </xdr:nvSpPr>
      <xdr:spPr>
        <a:xfrm>
          <a:off x="11714223" y="210379"/>
          <a:ext cx="95264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13</xdr:col>
      <xdr:colOff>509070</xdr:colOff>
      <xdr:row>1</xdr:row>
      <xdr:rowOff>19879</xdr:rowOff>
    </xdr:from>
    <xdr:to>
      <xdr:col>14</xdr:col>
      <xdr:colOff>521917</xdr:colOff>
      <xdr:row>3</xdr:row>
      <xdr:rowOff>10354</xdr:rowOff>
    </xdr:to>
    <xdr:sp macro="" textlink="">
      <xdr:nvSpPr>
        <xdr:cNvPr id="31" name="TextBox 30">
          <a:hlinkClick xmlns:r="http://schemas.openxmlformats.org/officeDocument/2006/relationships" r:id="rId13"/>
          <a:extLst>
            <a:ext uri="{FF2B5EF4-FFF2-40B4-BE49-F238E27FC236}">
              <a16:creationId xmlns:a16="http://schemas.microsoft.com/office/drawing/2014/main" id="{C3D526A2-0DC0-40BE-8F06-872D5D75B9F5}"/>
            </a:ext>
          </a:extLst>
        </xdr:cNvPr>
        <xdr:cNvSpPr txBox="1"/>
      </xdr:nvSpPr>
      <xdr:spPr>
        <a:xfrm>
          <a:off x="13424970" y="210379"/>
          <a:ext cx="95582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14</xdr:col>
      <xdr:colOff>424643</xdr:colOff>
      <xdr:row>1</xdr:row>
      <xdr:rowOff>19879</xdr:rowOff>
    </xdr:from>
    <xdr:to>
      <xdr:col>15</xdr:col>
      <xdr:colOff>440502</xdr:colOff>
      <xdr:row>3</xdr:row>
      <xdr:rowOff>10354</xdr:rowOff>
    </xdr:to>
    <xdr:sp macro="" textlink="">
      <xdr:nvSpPr>
        <xdr:cNvPr id="32" name="TextBox 31">
          <a:hlinkClick xmlns:r="http://schemas.openxmlformats.org/officeDocument/2006/relationships" r:id="rId14"/>
          <a:extLst>
            <a:ext uri="{FF2B5EF4-FFF2-40B4-BE49-F238E27FC236}">
              <a16:creationId xmlns:a16="http://schemas.microsoft.com/office/drawing/2014/main" id="{E06CA26A-A650-4852-8A98-8835F0FC3098}"/>
            </a:ext>
          </a:extLst>
        </xdr:cNvPr>
        <xdr:cNvSpPr txBox="1"/>
      </xdr:nvSpPr>
      <xdr:spPr>
        <a:xfrm>
          <a:off x="14283518" y="210379"/>
          <a:ext cx="95883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15</xdr:col>
      <xdr:colOff>343228</xdr:colOff>
      <xdr:row>1</xdr:row>
      <xdr:rowOff>19879</xdr:rowOff>
    </xdr:from>
    <xdr:to>
      <xdr:col>16</xdr:col>
      <xdr:colOff>357429</xdr:colOff>
      <xdr:row>3</xdr:row>
      <xdr:rowOff>10354</xdr:rowOff>
    </xdr:to>
    <xdr:sp macro="" textlink="">
      <xdr:nvSpPr>
        <xdr:cNvPr id="33" name="TextBox 32">
          <a:hlinkClick xmlns:r="http://schemas.openxmlformats.org/officeDocument/2006/relationships" r:id="rId15"/>
          <a:extLst>
            <a:ext uri="{FF2B5EF4-FFF2-40B4-BE49-F238E27FC236}">
              <a16:creationId xmlns:a16="http://schemas.microsoft.com/office/drawing/2014/main" id="{80ACEBD4-E58E-42D5-A36D-714FFA8B983B}"/>
            </a:ext>
          </a:extLst>
        </xdr:cNvPr>
        <xdr:cNvSpPr txBox="1"/>
      </xdr:nvSpPr>
      <xdr:spPr>
        <a:xfrm>
          <a:off x="15145078" y="210379"/>
          <a:ext cx="9571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16</xdr:col>
      <xdr:colOff>260155</xdr:colOff>
      <xdr:row>1</xdr:row>
      <xdr:rowOff>19879</xdr:rowOff>
    </xdr:from>
    <xdr:to>
      <xdr:col>17</xdr:col>
      <xdr:colOff>278053</xdr:colOff>
      <xdr:row>3</xdr:row>
      <xdr:rowOff>10354</xdr:rowOff>
    </xdr:to>
    <xdr:sp macro="" textlink="">
      <xdr:nvSpPr>
        <xdr:cNvPr id="34" name="TextBox 33">
          <a:hlinkClick xmlns:r="http://schemas.openxmlformats.org/officeDocument/2006/relationships" r:id="rId16"/>
          <a:extLst>
            <a:ext uri="{FF2B5EF4-FFF2-40B4-BE49-F238E27FC236}">
              <a16:creationId xmlns:a16="http://schemas.microsoft.com/office/drawing/2014/main" id="{6D2E25FA-794C-4798-A861-056447095CCD}"/>
            </a:ext>
          </a:extLst>
        </xdr:cNvPr>
        <xdr:cNvSpPr txBox="1"/>
      </xdr:nvSpPr>
      <xdr:spPr>
        <a:xfrm>
          <a:off x="16004980" y="210379"/>
          <a:ext cx="96087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180790</xdr:colOff>
      <xdr:row>1</xdr:row>
      <xdr:rowOff>19879</xdr:rowOff>
    </xdr:from>
    <xdr:to>
      <xdr:col>18</xdr:col>
      <xdr:colOff>196261</xdr:colOff>
      <xdr:row>3</xdr:row>
      <xdr:rowOff>10354</xdr:rowOff>
    </xdr:to>
    <xdr:sp macro="" textlink="">
      <xdr:nvSpPr>
        <xdr:cNvPr id="35" name="TextBox 34">
          <a:hlinkClick xmlns:r="http://schemas.openxmlformats.org/officeDocument/2006/relationships" r:id="rId17"/>
          <a:extLst>
            <a:ext uri="{FF2B5EF4-FFF2-40B4-BE49-F238E27FC236}">
              <a16:creationId xmlns:a16="http://schemas.microsoft.com/office/drawing/2014/main" id="{EEB218FE-5597-417C-A9EE-78C91D3344CE}"/>
            </a:ext>
          </a:extLst>
        </xdr:cNvPr>
        <xdr:cNvSpPr txBox="1"/>
      </xdr:nvSpPr>
      <xdr:spPr>
        <a:xfrm>
          <a:off x="16868590" y="210379"/>
          <a:ext cx="95844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276942</xdr:colOff>
      <xdr:row>1</xdr:row>
      <xdr:rowOff>103586</xdr:rowOff>
    </xdr:from>
    <xdr:to>
      <xdr:col>6</xdr:col>
      <xdr:colOff>276942</xdr:colOff>
      <xdr:row>2</xdr:row>
      <xdr:rowOff>117146</xdr:rowOff>
    </xdr:to>
    <xdr:cxnSp macro="">
      <xdr:nvCxnSpPr>
        <xdr:cNvPr id="36" name="Straight Connector 35">
          <a:extLst>
            <a:ext uri="{FF2B5EF4-FFF2-40B4-BE49-F238E27FC236}">
              <a16:creationId xmlns:a16="http://schemas.microsoft.com/office/drawing/2014/main" id="{CA4D56D3-E2DF-4E85-A6E2-321C6AAF4EBB}"/>
            </a:ext>
          </a:extLst>
        </xdr:cNvPr>
        <xdr:cNvCxnSpPr/>
      </xdr:nvCxnSpPr>
      <xdr:spPr>
        <a:xfrm>
          <a:off x="65920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363146</xdr:colOff>
      <xdr:row>1</xdr:row>
      <xdr:rowOff>103586</xdr:rowOff>
    </xdr:from>
    <xdr:to>
      <xdr:col>5</xdr:col>
      <xdr:colOff>363146</xdr:colOff>
      <xdr:row>2</xdr:row>
      <xdr:rowOff>117146</xdr:rowOff>
    </xdr:to>
    <xdr:cxnSp macro="">
      <xdr:nvCxnSpPr>
        <xdr:cNvPr id="37" name="Straight Connector 36">
          <a:extLst>
            <a:ext uri="{FF2B5EF4-FFF2-40B4-BE49-F238E27FC236}">
              <a16:creationId xmlns:a16="http://schemas.microsoft.com/office/drawing/2014/main" id="{856508DE-E573-4F77-8251-33A78FA7ADC8}"/>
            </a:ext>
          </a:extLst>
        </xdr:cNvPr>
        <xdr:cNvCxnSpPr/>
      </xdr:nvCxnSpPr>
      <xdr:spPr>
        <a:xfrm>
          <a:off x="573524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443291</xdr:colOff>
      <xdr:row>1</xdr:row>
      <xdr:rowOff>103586</xdr:rowOff>
    </xdr:from>
    <xdr:to>
      <xdr:col>4</xdr:col>
      <xdr:colOff>443291</xdr:colOff>
      <xdr:row>2</xdr:row>
      <xdr:rowOff>117146</xdr:rowOff>
    </xdr:to>
    <xdr:cxnSp macro="">
      <xdr:nvCxnSpPr>
        <xdr:cNvPr id="38" name="Straight Connector 37">
          <a:extLst>
            <a:ext uri="{FF2B5EF4-FFF2-40B4-BE49-F238E27FC236}">
              <a16:creationId xmlns:a16="http://schemas.microsoft.com/office/drawing/2014/main" id="{49C36CF0-6157-48E3-A665-FC3192E553FF}"/>
            </a:ext>
          </a:extLst>
        </xdr:cNvPr>
        <xdr:cNvCxnSpPr/>
      </xdr:nvCxnSpPr>
      <xdr:spPr>
        <a:xfrm>
          <a:off x="48724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196769</xdr:colOff>
      <xdr:row>1</xdr:row>
      <xdr:rowOff>103586</xdr:rowOff>
    </xdr:from>
    <xdr:to>
      <xdr:col>7</xdr:col>
      <xdr:colOff>196769</xdr:colOff>
      <xdr:row>2</xdr:row>
      <xdr:rowOff>117146</xdr:rowOff>
    </xdr:to>
    <xdr:cxnSp macro="">
      <xdr:nvCxnSpPr>
        <xdr:cNvPr id="39" name="Straight Connector 38">
          <a:extLst>
            <a:ext uri="{FF2B5EF4-FFF2-40B4-BE49-F238E27FC236}">
              <a16:creationId xmlns:a16="http://schemas.microsoft.com/office/drawing/2014/main" id="{8F8EF1EE-96AF-4671-A775-1C9E9F5B626E}"/>
            </a:ext>
          </a:extLst>
        </xdr:cNvPr>
        <xdr:cNvCxnSpPr/>
      </xdr:nvCxnSpPr>
      <xdr:spPr>
        <a:xfrm>
          <a:off x="745481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120677</xdr:colOff>
      <xdr:row>1</xdr:row>
      <xdr:rowOff>103586</xdr:rowOff>
    </xdr:from>
    <xdr:to>
      <xdr:col>8</xdr:col>
      <xdr:colOff>120677</xdr:colOff>
      <xdr:row>2</xdr:row>
      <xdr:rowOff>117146</xdr:rowOff>
    </xdr:to>
    <xdr:cxnSp macro="">
      <xdr:nvCxnSpPr>
        <xdr:cNvPr id="40" name="Straight Connector 39">
          <a:extLst>
            <a:ext uri="{FF2B5EF4-FFF2-40B4-BE49-F238E27FC236}">
              <a16:creationId xmlns:a16="http://schemas.microsoft.com/office/drawing/2014/main" id="{EF72FF29-A8AB-4618-BB08-B64525A726EA}"/>
            </a:ext>
          </a:extLst>
        </xdr:cNvPr>
        <xdr:cNvCxnSpPr/>
      </xdr:nvCxnSpPr>
      <xdr:spPr>
        <a:xfrm>
          <a:off x="832170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37514</xdr:colOff>
      <xdr:row>1</xdr:row>
      <xdr:rowOff>103586</xdr:rowOff>
    </xdr:from>
    <xdr:to>
      <xdr:col>9</xdr:col>
      <xdr:colOff>37514</xdr:colOff>
      <xdr:row>2</xdr:row>
      <xdr:rowOff>117146</xdr:rowOff>
    </xdr:to>
    <xdr:cxnSp macro="">
      <xdr:nvCxnSpPr>
        <xdr:cNvPr id="41" name="Straight Connector 40">
          <a:extLst>
            <a:ext uri="{FF2B5EF4-FFF2-40B4-BE49-F238E27FC236}">
              <a16:creationId xmlns:a16="http://schemas.microsoft.com/office/drawing/2014/main" id="{F7CD5FBC-0323-40DE-B30A-190FB0B1CF28}"/>
            </a:ext>
          </a:extLst>
        </xdr:cNvPr>
        <xdr:cNvCxnSpPr/>
      </xdr:nvCxnSpPr>
      <xdr:spPr>
        <a:xfrm>
          <a:off x="918151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897327</xdr:colOff>
      <xdr:row>1</xdr:row>
      <xdr:rowOff>103586</xdr:rowOff>
    </xdr:from>
    <xdr:to>
      <xdr:col>9</xdr:col>
      <xdr:colOff>897327</xdr:colOff>
      <xdr:row>2</xdr:row>
      <xdr:rowOff>117146</xdr:rowOff>
    </xdr:to>
    <xdr:cxnSp macro="">
      <xdr:nvCxnSpPr>
        <xdr:cNvPr id="42" name="Straight Connector 41">
          <a:extLst>
            <a:ext uri="{FF2B5EF4-FFF2-40B4-BE49-F238E27FC236}">
              <a16:creationId xmlns:a16="http://schemas.microsoft.com/office/drawing/2014/main" id="{A8F65D51-25F0-4F49-B8FC-E32BC41DA29D}"/>
            </a:ext>
          </a:extLst>
        </xdr:cNvPr>
        <xdr:cNvCxnSpPr/>
      </xdr:nvCxnSpPr>
      <xdr:spPr>
        <a:xfrm>
          <a:off x="1004132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814942</xdr:colOff>
      <xdr:row>1</xdr:row>
      <xdr:rowOff>103586</xdr:rowOff>
    </xdr:from>
    <xdr:to>
      <xdr:col>10</xdr:col>
      <xdr:colOff>814942</xdr:colOff>
      <xdr:row>2</xdr:row>
      <xdr:rowOff>117146</xdr:rowOff>
    </xdr:to>
    <xdr:cxnSp macro="">
      <xdr:nvCxnSpPr>
        <xdr:cNvPr id="43" name="Straight Connector 42">
          <a:extLst>
            <a:ext uri="{FF2B5EF4-FFF2-40B4-BE49-F238E27FC236}">
              <a16:creationId xmlns:a16="http://schemas.microsoft.com/office/drawing/2014/main" id="{20035DFA-7E48-40F1-B370-D7DE39ECD4F7}"/>
            </a:ext>
          </a:extLst>
        </xdr:cNvPr>
        <xdr:cNvCxnSpPr/>
      </xdr:nvCxnSpPr>
      <xdr:spPr>
        <a:xfrm>
          <a:off x="109019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732910</xdr:colOff>
      <xdr:row>1</xdr:row>
      <xdr:rowOff>103586</xdr:rowOff>
    </xdr:from>
    <xdr:to>
      <xdr:col>11</xdr:col>
      <xdr:colOff>732910</xdr:colOff>
      <xdr:row>2</xdr:row>
      <xdr:rowOff>117146</xdr:rowOff>
    </xdr:to>
    <xdr:cxnSp macro="">
      <xdr:nvCxnSpPr>
        <xdr:cNvPr id="44" name="Straight Connector 43">
          <a:extLst>
            <a:ext uri="{FF2B5EF4-FFF2-40B4-BE49-F238E27FC236}">
              <a16:creationId xmlns:a16="http://schemas.microsoft.com/office/drawing/2014/main" id="{98376886-A700-4FF5-9C1A-6AF850442586}"/>
            </a:ext>
          </a:extLst>
        </xdr:cNvPr>
        <xdr:cNvCxnSpPr/>
      </xdr:nvCxnSpPr>
      <xdr:spPr>
        <a:xfrm>
          <a:off x="1176286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557707</xdr:colOff>
      <xdr:row>1</xdr:row>
      <xdr:rowOff>103586</xdr:rowOff>
    </xdr:from>
    <xdr:to>
      <xdr:col>13</xdr:col>
      <xdr:colOff>557707</xdr:colOff>
      <xdr:row>2</xdr:row>
      <xdr:rowOff>117146</xdr:rowOff>
    </xdr:to>
    <xdr:cxnSp macro="">
      <xdr:nvCxnSpPr>
        <xdr:cNvPr id="45" name="Straight Connector 44">
          <a:extLst>
            <a:ext uri="{FF2B5EF4-FFF2-40B4-BE49-F238E27FC236}">
              <a16:creationId xmlns:a16="http://schemas.microsoft.com/office/drawing/2014/main" id="{60A9DF5B-DA09-4B07-BB18-EC1D71BE74FE}"/>
            </a:ext>
          </a:extLst>
        </xdr:cNvPr>
        <xdr:cNvCxnSpPr/>
      </xdr:nvCxnSpPr>
      <xdr:spPr>
        <a:xfrm>
          <a:off x="1347360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473280</xdr:colOff>
      <xdr:row>1</xdr:row>
      <xdr:rowOff>103586</xdr:rowOff>
    </xdr:from>
    <xdr:to>
      <xdr:col>14</xdr:col>
      <xdr:colOff>473280</xdr:colOff>
      <xdr:row>2</xdr:row>
      <xdr:rowOff>117146</xdr:rowOff>
    </xdr:to>
    <xdr:cxnSp macro="">
      <xdr:nvCxnSpPr>
        <xdr:cNvPr id="46" name="Straight Connector 45">
          <a:extLst>
            <a:ext uri="{FF2B5EF4-FFF2-40B4-BE49-F238E27FC236}">
              <a16:creationId xmlns:a16="http://schemas.microsoft.com/office/drawing/2014/main" id="{60C1472F-7466-47F0-8E97-567C273090D9}"/>
            </a:ext>
          </a:extLst>
        </xdr:cNvPr>
        <xdr:cNvCxnSpPr/>
      </xdr:nvCxnSpPr>
      <xdr:spPr>
        <a:xfrm>
          <a:off x="1433215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391865</xdr:colOff>
      <xdr:row>1</xdr:row>
      <xdr:rowOff>103586</xdr:rowOff>
    </xdr:from>
    <xdr:to>
      <xdr:col>15</xdr:col>
      <xdr:colOff>391865</xdr:colOff>
      <xdr:row>2</xdr:row>
      <xdr:rowOff>117146</xdr:rowOff>
    </xdr:to>
    <xdr:cxnSp macro="">
      <xdr:nvCxnSpPr>
        <xdr:cNvPr id="47" name="Straight Connector 46">
          <a:extLst>
            <a:ext uri="{FF2B5EF4-FFF2-40B4-BE49-F238E27FC236}">
              <a16:creationId xmlns:a16="http://schemas.microsoft.com/office/drawing/2014/main" id="{10E62865-ED04-4924-87A1-24E8CA340D9F}"/>
            </a:ext>
          </a:extLst>
        </xdr:cNvPr>
        <xdr:cNvCxnSpPr/>
      </xdr:nvCxnSpPr>
      <xdr:spPr>
        <a:xfrm>
          <a:off x="151937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308792</xdr:colOff>
      <xdr:row>1</xdr:row>
      <xdr:rowOff>103586</xdr:rowOff>
    </xdr:from>
    <xdr:to>
      <xdr:col>16</xdr:col>
      <xdr:colOff>308792</xdr:colOff>
      <xdr:row>2</xdr:row>
      <xdr:rowOff>117146</xdr:rowOff>
    </xdr:to>
    <xdr:cxnSp macro="">
      <xdr:nvCxnSpPr>
        <xdr:cNvPr id="48" name="Straight Connector 47">
          <a:extLst>
            <a:ext uri="{FF2B5EF4-FFF2-40B4-BE49-F238E27FC236}">
              <a16:creationId xmlns:a16="http://schemas.microsoft.com/office/drawing/2014/main" id="{A1D2C990-FFD6-499A-9A96-BA8441209923}"/>
            </a:ext>
          </a:extLst>
        </xdr:cNvPr>
        <xdr:cNvCxnSpPr/>
      </xdr:nvCxnSpPr>
      <xdr:spPr>
        <a:xfrm>
          <a:off x="160536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229416</xdr:colOff>
      <xdr:row>1</xdr:row>
      <xdr:rowOff>103586</xdr:rowOff>
    </xdr:from>
    <xdr:to>
      <xdr:col>17</xdr:col>
      <xdr:colOff>229416</xdr:colOff>
      <xdr:row>2</xdr:row>
      <xdr:rowOff>117146</xdr:rowOff>
    </xdr:to>
    <xdr:cxnSp macro="">
      <xdr:nvCxnSpPr>
        <xdr:cNvPr id="49" name="Straight Connector 48">
          <a:extLst>
            <a:ext uri="{FF2B5EF4-FFF2-40B4-BE49-F238E27FC236}">
              <a16:creationId xmlns:a16="http://schemas.microsoft.com/office/drawing/2014/main" id="{78977976-5838-4ACB-BE08-9CBD213047BF}"/>
            </a:ext>
          </a:extLst>
        </xdr:cNvPr>
        <xdr:cNvCxnSpPr/>
      </xdr:nvCxnSpPr>
      <xdr:spPr>
        <a:xfrm>
          <a:off x="169172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645308</xdr:colOff>
      <xdr:row>1</xdr:row>
      <xdr:rowOff>103586</xdr:rowOff>
    </xdr:from>
    <xdr:to>
      <xdr:col>12</xdr:col>
      <xdr:colOff>645308</xdr:colOff>
      <xdr:row>2</xdr:row>
      <xdr:rowOff>117146</xdr:rowOff>
    </xdr:to>
    <xdr:cxnSp macro="">
      <xdr:nvCxnSpPr>
        <xdr:cNvPr id="52" name="Straight Connector 51">
          <a:extLst>
            <a:ext uri="{FF2B5EF4-FFF2-40B4-BE49-F238E27FC236}">
              <a16:creationId xmlns:a16="http://schemas.microsoft.com/office/drawing/2014/main" id="{A8C13133-9535-FBE8-2786-E1B7418F22C9}"/>
            </a:ext>
          </a:extLst>
        </xdr:cNvPr>
        <xdr:cNvCxnSpPr/>
      </xdr:nvCxnSpPr>
      <xdr:spPr>
        <a:xfrm>
          <a:off x="1261823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42</xdr:col>
      <xdr:colOff>35378</xdr:colOff>
      <xdr:row>39</xdr:row>
      <xdr:rowOff>47625</xdr:rowOff>
    </xdr:from>
    <xdr:to>
      <xdr:col>50</xdr:col>
      <xdr:colOff>578303</xdr:colOff>
      <xdr:row>57</xdr:row>
      <xdr:rowOff>85725</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193221</xdr:colOff>
      <xdr:row>5</xdr:row>
      <xdr:rowOff>136070</xdr:rowOff>
    </xdr:from>
    <xdr:to>
      <xdr:col>51</xdr:col>
      <xdr:colOff>370114</xdr:colOff>
      <xdr:row>35</xdr:row>
      <xdr:rowOff>54427</xdr:rowOff>
    </xdr:to>
    <xdr:graphicFrame macro="">
      <xdr:nvGraphicFramePr>
        <xdr:cNvPr id="5" name="Chart 4">
          <a:extLst>
            <a:ext uri="{FF2B5EF4-FFF2-40B4-BE49-F238E27FC236}">
              <a16:creationId xmlns:a16="http://schemas.microsoft.com/office/drawing/2014/main" id="{00000000-0008-0000-0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63</xdr:col>
      <xdr:colOff>103786</xdr:colOff>
      <xdr:row>4</xdr:row>
      <xdr:rowOff>0</xdr:rowOff>
    </xdr:to>
    <xdr:sp macro="" textlink="">
      <xdr:nvSpPr>
        <xdr:cNvPr id="8" name="Rectangle 7">
          <a:extLst>
            <a:ext uri="{FF2B5EF4-FFF2-40B4-BE49-F238E27FC236}">
              <a16:creationId xmlns:a16="http://schemas.microsoft.com/office/drawing/2014/main" id="{FF63C986-8D71-401D-B4AF-72EDC146E81F}"/>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199422</xdr:colOff>
      <xdr:row>1</xdr:row>
      <xdr:rowOff>19879</xdr:rowOff>
    </xdr:from>
    <xdr:to>
      <xdr:col>18</xdr:col>
      <xdr:colOff>293140</xdr:colOff>
      <xdr:row>3</xdr:row>
      <xdr:rowOff>10354</xdr:rowOff>
    </xdr:to>
    <xdr:sp macro="" textlink="">
      <xdr:nvSpPr>
        <xdr:cNvPr id="9" name="TextBox 8">
          <a:hlinkClick xmlns:r="http://schemas.openxmlformats.org/officeDocument/2006/relationships" r:id="rId3"/>
          <a:extLst>
            <a:ext uri="{FF2B5EF4-FFF2-40B4-BE49-F238E27FC236}">
              <a16:creationId xmlns:a16="http://schemas.microsoft.com/office/drawing/2014/main" id="{3728F7E1-2047-42C0-9F89-E756AE183D1A}"/>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 name="Picture 9">
          <a:extLst>
            <a:ext uri="{FF2B5EF4-FFF2-40B4-BE49-F238E27FC236}">
              <a16:creationId xmlns:a16="http://schemas.microsoft.com/office/drawing/2014/main" id="{60340CBF-200B-4C28-AF80-04F62DA58DC9}"/>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12" name="Straight Connector 11">
          <a:extLst>
            <a:ext uri="{FF2B5EF4-FFF2-40B4-BE49-F238E27FC236}">
              <a16:creationId xmlns:a16="http://schemas.microsoft.com/office/drawing/2014/main" id="{122036AA-4706-4E36-95BE-9F75F0DC03AF}"/>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29900</xdr:colOff>
      <xdr:row>1</xdr:row>
      <xdr:rowOff>19879</xdr:rowOff>
    </xdr:from>
    <xdr:to>
      <xdr:col>5</xdr:col>
      <xdr:colOff>327202</xdr:colOff>
      <xdr:row>3</xdr:row>
      <xdr:rowOff>10354</xdr:rowOff>
    </xdr:to>
    <xdr:sp macro="" textlink="">
      <xdr:nvSpPr>
        <xdr:cNvPr id="13" name="TextBox 12">
          <a:hlinkClick xmlns:r="http://schemas.openxmlformats.org/officeDocument/2006/relationships" r:id="rId5"/>
          <a:extLst>
            <a:ext uri="{FF2B5EF4-FFF2-40B4-BE49-F238E27FC236}">
              <a16:creationId xmlns:a16="http://schemas.microsoft.com/office/drawing/2014/main" id="{F2D11D64-7723-4E39-B640-051AE87B658F}"/>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229928</xdr:colOff>
      <xdr:row>1</xdr:row>
      <xdr:rowOff>19879</xdr:rowOff>
    </xdr:from>
    <xdr:to>
      <xdr:col>6</xdr:col>
      <xdr:colOff>302526</xdr:colOff>
      <xdr:row>3</xdr:row>
      <xdr:rowOff>10354</xdr:rowOff>
    </xdr:to>
    <xdr:sp macro="" textlink="">
      <xdr:nvSpPr>
        <xdr:cNvPr id="14" name="TextBox 13">
          <a:hlinkClick xmlns:r="http://schemas.openxmlformats.org/officeDocument/2006/relationships" r:id="rId6"/>
          <a:extLst>
            <a:ext uri="{FF2B5EF4-FFF2-40B4-BE49-F238E27FC236}">
              <a16:creationId xmlns:a16="http://schemas.microsoft.com/office/drawing/2014/main" id="{ABC295F4-2EC6-4478-9802-9358DF15025F}"/>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205252</xdr:colOff>
      <xdr:row>1</xdr:row>
      <xdr:rowOff>19879</xdr:rowOff>
    </xdr:from>
    <xdr:to>
      <xdr:col>8</xdr:col>
      <xdr:colOff>147966</xdr:colOff>
      <xdr:row>3</xdr:row>
      <xdr:rowOff>10354</xdr:rowOff>
    </xdr:to>
    <xdr:sp macro="" textlink="">
      <xdr:nvSpPr>
        <xdr:cNvPr id="15" name="TextBox 14">
          <a:hlinkClick xmlns:r="http://schemas.openxmlformats.org/officeDocument/2006/relationships" r:id="rId7"/>
          <a:extLst>
            <a:ext uri="{FF2B5EF4-FFF2-40B4-BE49-F238E27FC236}">
              <a16:creationId xmlns:a16="http://schemas.microsoft.com/office/drawing/2014/main" id="{2F70E382-CEDB-4EAD-8775-41778042974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50692</xdr:colOff>
      <xdr:row>1</xdr:row>
      <xdr:rowOff>19879</xdr:rowOff>
    </xdr:from>
    <xdr:to>
      <xdr:col>9</xdr:col>
      <xdr:colOff>275662</xdr:colOff>
      <xdr:row>3</xdr:row>
      <xdr:rowOff>10354</xdr:rowOff>
    </xdr:to>
    <xdr:sp macro="" textlink="">
      <xdr:nvSpPr>
        <xdr:cNvPr id="16" name="TextBox 15">
          <a:hlinkClick xmlns:r="http://schemas.openxmlformats.org/officeDocument/2006/relationships" r:id="rId8"/>
          <a:extLst>
            <a:ext uri="{FF2B5EF4-FFF2-40B4-BE49-F238E27FC236}">
              <a16:creationId xmlns:a16="http://schemas.microsoft.com/office/drawing/2014/main" id="{B7A936BC-5727-42AA-A9B7-BE7AE58222E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178388</xdr:colOff>
      <xdr:row>1</xdr:row>
      <xdr:rowOff>19879</xdr:rowOff>
    </xdr:from>
    <xdr:to>
      <xdr:col>10</xdr:col>
      <xdr:colOff>407439</xdr:colOff>
      <xdr:row>3</xdr:row>
      <xdr:rowOff>10354</xdr:rowOff>
    </xdr:to>
    <xdr:sp macro="" textlink="">
      <xdr:nvSpPr>
        <xdr:cNvPr id="17" name="TextBox 16">
          <a:hlinkClick xmlns:r="http://schemas.openxmlformats.org/officeDocument/2006/relationships" r:id="rId9"/>
          <a:extLst>
            <a:ext uri="{FF2B5EF4-FFF2-40B4-BE49-F238E27FC236}">
              <a16:creationId xmlns:a16="http://schemas.microsoft.com/office/drawing/2014/main" id="{1DC994C1-707F-434C-9AFB-B6D67225FE95}"/>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310165</xdr:colOff>
      <xdr:row>1</xdr:row>
      <xdr:rowOff>19879</xdr:rowOff>
    </xdr:from>
    <xdr:to>
      <xdr:col>11</xdr:col>
      <xdr:colOff>532145</xdr:colOff>
      <xdr:row>3</xdr:row>
      <xdr:rowOff>10354</xdr:rowOff>
    </xdr:to>
    <xdr:sp macro="" textlink="">
      <xdr:nvSpPr>
        <xdr:cNvPr id="18" name="TextBox 17">
          <a:hlinkClick xmlns:r="http://schemas.openxmlformats.org/officeDocument/2006/relationships" r:id="rId10"/>
          <a:extLst>
            <a:ext uri="{FF2B5EF4-FFF2-40B4-BE49-F238E27FC236}">
              <a16:creationId xmlns:a16="http://schemas.microsoft.com/office/drawing/2014/main" id="{1D696733-FBFB-4AD7-9915-7EB3B04384F4}"/>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436552</xdr:colOff>
      <xdr:row>1</xdr:row>
      <xdr:rowOff>19879</xdr:rowOff>
    </xdr:from>
    <xdr:to>
      <xdr:col>12</xdr:col>
      <xdr:colOff>656852</xdr:colOff>
      <xdr:row>3</xdr:row>
      <xdr:rowOff>10354</xdr:rowOff>
    </xdr:to>
    <xdr:sp macro="" textlink="">
      <xdr:nvSpPr>
        <xdr:cNvPr id="19" name="TextBox 18">
          <a:hlinkClick xmlns:r="http://schemas.openxmlformats.org/officeDocument/2006/relationships" r:id="rId11"/>
          <a:extLst>
            <a:ext uri="{FF2B5EF4-FFF2-40B4-BE49-F238E27FC236}">
              <a16:creationId xmlns:a16="http://schemas.microsoft.com/office/drawing/2014/main" id="{4AEDF86B-A44F-4320-BD63-8AD036DF47A3}"/>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Comps</a:t>
          </a:r>
        </a:p>
      </xdr:txBody>
    </xdr:sp>
    <xdr:clientData/>
  </xdr:twoCellAnchor>
  <xdr:twoCellAnchor>
    <xdr:from>
      <xdr:col>12</xdr:col>
      <xdr:colOff>561259</xdr:colOff>
      <xdr:row>1</xdr:row>
      <xdr:rowOff>19879</xdr:rowOff>
    </xdr:from>
    <xdr:to>
      <xdr:col>14</xdr:col>
      <xdr:colOff>50592</xdr:colOff>
      <xdr:row>3</xdr:row>
      <xdr:rowOff>10354</xdr:rowOff>
    </xdr:to>
    <xdr:sp macro="" textlink="">
      <xdr:nvSpPr>
        <xdr:cNvPr id="20" name="TextBox 19">
          <a:hlinkClick xmlns:r="http://schemas.openxmlformats.org/officeDocument/2006/relationships" r:id="rId12"/>
          <a:extLst>
            <a:ext uri="{FF2B5EF4-FFF2-40B4-BE49-F238E27FC236}">
              <a16:creationId xmlns:a16="http://schemas.microsoft.com/office/drawing/2014/main" id="{2C3ECB15-2EB5-4959-8B0C-5DB65B08D364}"/>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13</xdr:col>
      <xdr:colOff>686743</xdr:colOff>
      <xdr:row>1</xdr:row>
      <xdr:rowOff>19879</xdr:rowOff>
    </xdr:from>
    <xdr:to>
      <xdr:col>15</xdr:col>
      <xdr:colOff>176429</xdr:colOff>
      <xdr:row>3</xdr:row>
      <xdr:rowOff>10354</xdr:rowOff>
    </xdr:to>
    <xdr:sp macro="" textlink="">
      <xdr:nvSpPr>
        <xdr:cNvPr id="21" name="TextBox 20">
          <a:hlinkClick xmlns:r="http://schemas.openxmlformats.org/officeDocument/2006/relationships" r:id="rId13"/>
          <a:extLst>
            <a:ext uri="{FF2B5EF4-FFF2-40B4-BE49-F238E27FC236}">
              <a16:creationId xmlns:a16="http://schemas.microsoft.com/office/drawing/2014/main" id="{D6B17FCC-B4EF-4BD6-B948-31A8839F04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79155</xdr:colOff>
      <xdr:row>1</xdr:row>
      <xdr:rowOff>19879</xdr:rowOff>
    </xdr:from>
    <xdr:to>
      <xdr:col>16</xdr:col>
      <xdr:colOff>296696</xdr:colOff>
      <xdr:row>3</xdr:row>
      <xdr:rowOff>10354</xdr:rowOff>
    </xdr:to>
    <xdr:sp macro="" textlink="">
      <xdr:nvSpPr>
        <xdr:cNvPr id="22" name="TextBox 21">
          <a:hlinkClick xmlns:r="http://schemas.openxmlformats.org/officeDocument/2006/relationships" r:id="rId14"/>
          <a:extLst>
            <a:ext uri="{FF2B5EF4-FFF2-40B4-BE49-F238E27FC236}">
              <a16:creationId xmlns:a16="http://schemas.microsoft.com/office/drawing/2014/main" id="{6FA96479-422C-488A-A6E5-B7219E89ECCD}"/>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18</xdr:col>
      <xdr:colOff>195866</xdr:colOff>
      <xdr:row>1</xdr:row>
      <xdr:rowOff>19879</xdr:rowOff>
    </xdr:from>
    <xdr:to>
      <xdr:col>19</xdr:col>
      <xdr:colOff>492782</xdr:colOff>
      <xdr:row>3</xdr:row>
      <xdr:rowOff>10354</xdr:rowOff>
    </xdr:to>
    <xdr:sp macro="" textlink="">
      <xdr:nvSpPr>
        <xdr:cNvPr id="23" name="TextBox 22">
          <a:hlinkClick xmlns:r="http://schemas.openxmlformats.org/officeDocument/2006/relationships" r:id="rId15"/>
          <a:extLst>
            <a:ext uri="{FF2B5EF4-FFF2-40B4-BE49-F238E27FC236}">
              <a16:creationId xmlns:a16="http://schemas.microsoft.com/office/drawing/2014/main" id="{CD836D8E-21B6-4ED2-8255-F3724A33E32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19</xdr:col>
      <xdr:colOff>395508</xdr:colOff>
      <xdr:row>1</xdr:row>
      <xdr:rowOff>19879</xdr:rowOff>
    </xdr:from>
    <xdr:to>
      <xdr:col>21</xdr:col>
      <xdr:colOff>571611</xdr:colOff>
      <xdr:row>3</xdr:row>
      <xdr:rowOff>10354</xdr:rowOff>
    </xdr:to>
    <xdr:sp macro="" textlink="">
      <xdr:nvSpPr>
        <xdr:cNvPr id="24" name="TextBox 23">
          <a:hlinkClick xmlns:r="http://schemas.openxmlformats.org/officeDocument/2006/relationships" r:id="rId16"/>
          <a:extLst>
            <a:ext uri="{FF2B5EF4-FFF2-40B4-BE49-F238E27FC236}">
              <a16:creationId xmlns:a16="http://schemas.microsoft.com/office/drawing/2014/main" id="{FD735354-CB34-458E-8908-A299E4730BBF}"/>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21</xdr:col>
      <xdr:colOff>474337</xdr:colOff>
      <xdr:row>1</xdr:row>
      <xdr:rowOff>19879</xdr:rowOff>
    </xdr:from>
    <xdr:to>
      <xdr:col>22</xdr:col>
      <xdr:colOff>696407</xdr:colOff>
      <xdr:row>3</xdr:row>
      <xdr:rowOff>10354</xdr:rowOff>
    </xdr:to>
    <xdr:sp macro="" textlink="">
      <xdr:nvSpPr>
        <xdr:cNvPr id="25" name="TextBox 24">
          <a:hlinkClick xmlns:r="http://schemas.openxmlformats.org/officeDocument/2006/relationships" r:id="rId17"/>
          <a:extLst>
            <a:ext uri="{FF2B5EF4-FFF2-40B4-BE49-F238E27FC236}">
              <a16:creationId xmlns:a16="http://schemas.microsoft.com/office/drawing/2014/main" id="{F69EC914-5A19-426F-A6B4-E94A747CFCE2}"/>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22</xdr:col>
      <xdr:colOff>599133</xdr:colOff>
      <xdr:row>1</xdr:row>
      <xdr:rowOff>19879</xdr:rowOff>
    </xdr:from>
    <xdr:to>
      <xdr:col>24</xdr:col>
      <xdr:colOff>91475</xdr:colOff>
      <xdr:row>3</xdr:row>
      <xdr:rowOff>10354</xdr:rowOff>
    </xdr:to>
    <xdr:sp macro="" textlink="">
      <xdr:nvSpPr>
        <xdr:cNvPr id="26" name="TextBox 25">
          <a:hlinkClick xmlns:r="http://schemas.openxmlformats.org/officeDocument/2006/relationships" r:id="rId18"/>
          <a:extLst>
            <a:ext uri="{FF2B5EF4-FFF2-40B4-BE49-F238E27FC236}">
              <a16:creationId xmlns:a16="http://schemas.microsoft.com/office/drawing/2014/main" id="{02BDAC31-E597-4710-AC9D-5C26A8339DE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23</xdr:col>
      <xdr:colOff>727637</xdr:colOff>
      <xdr:row>1</xdr:row>
      <xdr:rowOff>19879</xdr:rowOff>
    </xdr:from>
    <xdr:to>
      <xdr:col>26</xdr:col>
      <xdr:colOff>169927</xdr:colOff>
      <xdr:row>3</xdr:row>
      <xdr:rowOff>10354</xdr:rowOff>
    </xdr:to>
    <xdr:sp macro="" textlink="">
      <xdr:nvSpPr>
        <xdr:cNvPr id="27" name="TextBox 26">
          <a:hlinkClick xmlns:r="http://schemas.openxmlformats.org/officeDocument/2006/relationships" r:id="rId19"/>
          <a:extLst>
            <a:ext uri="{FF2B5EF4-FFF2-40B4-BE49-F238E27FC236}">
              <a16:creationId xmlns:a16="http://schemas.microsoft.com/office/drawing/2014/main" id="{9B34A796-3306-415C-AFCD-05DC5497EA46}"/>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8</xdr:col>
      <xdr:colOff>99329</xdr:colOff>
      <xdr:row>1</xdr:row>
      <xdr:rowOff>103586</xdr:rowOff>
    </xdr:from>
    <xdr:to>
      <xdr:col>8</xdr:col>
      <xdr:colOff>99329</xdr:colOff>
      <xdr:row>2</xdr:row>
      <xdr:rowOff>117146</xdr:rowOff>
    </xdr:to>
    <xdr:cxnSp macro="">
      <xdr:nvCxnSpPr>
        <xdr:cNvPr id="28" name="Straight Connector 27">
          <a:extLst>
            <a:ext uri="{FF2B5EF4-FFF2-40B4-BE49-F238E27FC236}">
              <a16:creationId xmlns:a16="http://schemas.microsoft.com/office/drawing/2014/main" id="{7075BF25-EAF9-4F1A-9543-040213A4AAE3}"/>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253889</xdr:colOff>
      <xdr:row>1</xdr:row>
      <xdr:rowOff>103586</xdr:rowOff>
    </xdr:from>
    <xdr:to>
      <xdr:col>6</xdr:col>
      <xdr:colOff>253889</xdr:colOff>
      <xdr:row>2</xdr:row>
      <xdr:rowOff>117146</xdr:rowOff>
    </xdr:to>
    <xdr:cxnSp macro="">
      <xdr:nvCxnSpPr>
        <xdr:cNvPr id="29" name="Straight Connector 28">
          <a:extLst>
            <a:ext uri="{FF2B5EF4-FFF2-40B4-BE49-F238E27FC236}">
              <a16:creationId xmlns:a16="http://schemas.microsoft.com/office/drawing/2014/main" id="{D6942324-E6FE-453D-B649-8B9B8B680557}"/>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278565</xdr:colOff>
      <xdr:row>1</xdr:row>
      <xdr:rowOff>103586</xdr:rowOff>
    </xdr:from>
    <xdr:to>
      <xdr:col>5</xdr:col>
      <xdr:colOff>278565</xdr:colOff>
      <xdr:row>2</xdr:row>
      <xdr:rowOff>117146</xdr:rowOff>
    </xdr:to>
    <xdr:cxnSp macro="">
      <xdr:nvCxnSpPr>
        <xdr:cNvPr id="30" name="Straight Connector 29">
          <a:extLst>
            <a:ext uri="{FF2B5EF4-FFF2-40B4-BE49-F238E27FC236}">
              <a16:creationId xmlns:a16="http://schemas.microsoft.com/office/drawing/2014/main" id="{E3B06731-A9B6-4884-BA52-EEEFC191DB8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227025</xdr:colOff>
      <xdr:row>1</xdr:row>
      <xdr:rowOff>103586</xdr:rowOff>
    </xdr:from>
    <xdr:to>
      <xdr:col>9</xdr:col>
      <xdr:colOff>227025</xdr:colOff>
      <xdr:row>2</xdr:row>
      <xdr:rowOff>117146</xdr:rowOff>
    </xdr:to>
    <xdr:cxnSp macro="">
      <xdr:nvCxnSpPr>
        <xdr:cNvPr id="31" name="Straight Connector 30">
          <a:extLst>
            <a:ext uri="{FF2B5EF4-FFF2-40B4-BE49-F238E27FC236}">
              <a16:creationId xmlns:a16="http://schemas.microsoft.com/office/drawing/2014/main" id="{4893C342-97C2-4AE5-B65B-D7C7D5AD04B5}"/>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358802</xdr:colOff>
      <xdr:row>1</xdr:row>
      <xdr:rowOff>103586</xdr:rowOff>
    </xdr:from>
    <xdr:to>
      <xdr:col>10</xdr:col>
      <xdr:colOff>358802</xdr:colOff>
      <xdr:row>2</xdr:row>
      <xdr:rowOff>117146</xdr:rowOff>
    </xdr:to>
    <xdr:cxnSp macro="">
      <xdr:nvCxnSpPr>
        <xdr:cNvPr id="32" name="Straight Connector 31">
          <a:extLst>
            <a:ext uri="{FF2B5EF4-FFF2-40B4-BE49-F238E27FC236}">
              <a16:creationId xmlns:a16="http://schemas.microsoft.com/office/drawing/2014/main" id="{4F2FFEDA-14BB-4606-9AAE-CD6402C7EB7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483508</xdr:colOff>
      <xdr:row>1</xdr:row>
      <xdr:rowOff>103586</xdr:rowOff>
    </xdr:from>
    <xdr:to>
      <xdr:col>11</xdr:col>
      <xdr:colOff>483508</xdr:colOff>
      <xdr:row>2</xdr:row>
      <xdr:rowOff>117146</xdr:rowOff>
    </xdr:to>
    <xdr:cxnSp macro="">
      <xdr:nvCxnSpPr>
        <xdr:cNvPr id="33" name="Straight Connector 32">
          <a:extLst>
            <a:ext uri="{FF2B5EF4-FFF2-40B4-BE49-F238E27FC236}">
              <a16:creationId xmlns:a16="http://schemas.microsoft.com/office/drawing/2014/main" id="{DD18854D-0D8B-4225-BCF8-A4792433113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609896</xdr:colOff>
      <xdr:row>1</xdr:row>
      <xdr:rowOff>103586</xdr:rowOff>
    </xdr:from>
    <xdr:to>
      <xdr:col>12</xdr:col>
      <xdr:colOff>609896</xdr:colOff>
      <xdr:row>2</xdr:row>
      <xdr:rowOff>117146</xdr:rowOff>
    </xdr:to>
    <xdr:cxnSp macro="">
      <xdr:nvCxnSpPr>
        <xdr:cNvPr id="34" name="Straight Connector 33">
          <a:extLst>
            <a:ext uri="{FF2B5EF4-FFF2-40B4-BE49-F238E27FC236}">
              <a16:creationId xmlns:a16="http://schemas.microsoft.com/office/drawing/2014/main" id="{92336493-6D34-41A2-864E-6B7AEB0F06D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1955</xdr:colOff>
      <xdr:row>1</xdr:row>
      <xdr:rowOff>103586</xdr:rowOff>
    </xdr:from>
    <xdr:to>
      <xdr:col>14</xdr:col>
      <xdr:colOff>1955</xdr:colOff>
      <xdr:row>2</xdr:row>
      <xdr:rowOff>117146</xdr:rowOff>
    </xdr:to>
    <xdr:cxnSp macro="">
      <xdr:nvCxnSpPr>
        <xdr:cNvPr id="35" name="Straight Connector 34">
          <a:extLst>
            <a:ext uri="{FF2B5EF4-FFF2-40B4-BE49-F238E27FC236}">
              <a16:creationId xmlns:a16="http://schemas.microsoft.com/office/drawing/2014/main" id="{90B29F51-1840-4036-A79D-7DB86FBC543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127792</xdr:colOff>
      <xdr:row>1</xdr:row>
      <xdr:rowOff>103586</xdr:rowOff>
    </xdr:from>
    <xdr:to>
      <xdr:col>15</xdr:col>
      <xdr:colOff>127792</xdr:colOff>
      <xdr:row>2</xdr:row>
      <xdr:rowOff>117146</xdr:rowOff>
    </xdr:to>
    <xdr:cxnSp macro="">
      <xdr:nvCxnSpPr>
        <xdr:cNvPr id="36" name="Straight Connector 35">
          <a:extLst>
            <a:ext uri="{FF2B5EF4-FFF2-40B4-BE49-F238E27FC236}">
              <a16:creationId xmlns:a16="http://schemas.microsoft.com/office/drawing/2014/main" id="{079E2541-B8A5-480A-B289-BD8578800D97}"/>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244503</xdr:colOff>
      <xdr:row>1</xdr:row>
      <xdr:rowOff>103586</xdr:rowOff>
    </xdr:from>
    <xdr:to>
      <xdr:col>18</xdr:col>
      <xdr:colOff>244503</xdr:colOff>
      <xdr:row>2</xdr:row>
      <xdr:rowOff>117146</xdr:rowOff>
    </xdr:to>
    <xdr:cxnSp macro="">
      <xdr:nvCxnSpPr>
        <xdr:cNvPr id="37" name="Straight Connector 36">
          <a:extLst>
            <a:ext uri="{FF2B5EF4-FFF2-40B4-BE49-F238E27FC236}">
              <a16:creationId xmlns:a16="http://schemas.microsoft.com/office/drawing/2014/main" id="{1FE7A8E8-B19F-463B-B848-D466C03B2571}"/>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444145</xdr:colOff>
      <xdr:row>1</xdr:row>
      <xdr:rowOff>103586</xdr:rowOff>
    </xdr:from>
    <xdr:to>
      <xdr:col>19</xdr:col>
      <xdr:colOff>444145</xdr:colOff>
      <xdr:row>2</xdr:row>
      <xdr:rowOff>117146</xdr:rowOff>
    </xdr:to>
    <xdr:cxnSp macro="">
      <xdr:nvCxnSpPr>
        <xdr:cNvPr id="38" name="Straight Connector 37">
          <a:extLst>
            <a:ext uri="{FF2B5EF4-FFF2-40B4-BE49-F238E27FC236}">
              <a16:creationId xmlns:a16="http://schemas.microsoft.com/office/drawing/2014/main" id="{77A1B436-7905-41DE-A333-5D826CB45BC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522974</xdr:colOff>
      <xdr:row>1</xdr:row>
      <xdr:rowOff>103586</xdr:rowOff>
    </xdr:from>
    <xdr:to>
      <xdr:col>21</xdr:col>
      <xdr:colOff>522974</xdr:colOff>
      <xdr:row>2</xdr:row>
      <xdr:rowOff>117146</xdr:rowOff>
    </xdr:to>
    <xdr:cxnSp macro="">
      <xdr:nvCxnSpPr>
        <xdr:cNvPr id="39" name="Straight Connector 38">
          <a:extLst>
            <a:ext uri="{FF2B5EF4-FFF2-40B4-BE49-F238E27FC236}">
              <a16:creationId xmlns:a16="http://schemas.microsoft.com/office/drawing/2014/main" id="{FDC70FC8-FCA0-4BDF-BE85-190FF13196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647770</xdr:colOff>
      <xdr:row>1</xdr:row>
      <xdr:rowOff>103586</xdr:rowOff>
    </xdr:from>
    <xdr:to>
      <xdr:col>22</xdr:col>
      <xdr:colOff>647770</xdr:colOff>
      <xdr:row>2</xdr:row>
      <xdr:rowOff>117146</xdr:rowOff>
    </xdr:to>
    <xdr:cxnSp macro="">
      <xdr:nvCxnSpPr>
        <xdr:cNvPr id="40" name="Straight Connector 39">
          <a:extLst>
            <a:ext uri="{FF2B5EF4-FFF2-40B4-BE49-F238E27FC236}">
              <a16:creationId xmlns:a16="http://schemas.microsoft.com/office/drawing/2014/main" id="{F74BFD03-CBDC-4941-88CF-3E7AA92FBBF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42838</xdr:colOff>
      <xdr:row>1</xdr:row>
      <xdr:rowOff>103586</xdr:rowOff>
    </xdr:from>
    <xdr:to>
      <xdr:col>24</xdr:col>
      <xdr:colOff>42838</xdr:colOff>
      <xdr:row>2</xdr:row>
      <xdr:rowOff>117146</xdr:rowOff>
    </xdr:to>
    <xdr:cxnSp macro="">
      <xdr:nvCxnSpPr>
        <xdr:cNvPr id="70" name="Straight Connector 69">
          <a:extLst>
            <a:ext uri="{FF2B5EF4-FFF2-40B4-BE49-F238E27FC236}">
              <a16:creationId xmlns:a16="http://schemas.microsoft.com/office/drawing/2014/main" id="{F2F20398-E7FA-45C2-AA0F-5918096A07AF}"/>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248059</xdr:colOff>
      <xdr:row>1</xdr:row>
      <xdr:rowOff>103586</xdr:rowOff>
    </xdr:from>
    <xdr:to>
      <xdr:col>16</xdr:col>
      <xdr:colOff>248059</xdr:colOff>
      <xdr:row>2</xdr:row>
      <xdr:rowOff>117146</xdr:rowOff>
    </xdr:to>
    <xdr:cxnSp macro="">
      <xdr:nvCxnSpPr>
        <xdr:cNvPr id="71" name="Straight Connector 70">
          <a:extLst>
            <a:ext uri="{FF2B5EF4-FFF2-40B4-BE49-F238E27FC236}">
              <a16:creationId xmlns:a16="http://schemas.microsoft.com/office/drawing/2014/main" id="{BB6698CD-6856-4E3E-AB37-5F23446154D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55</xdr:col>
      <xdr:colOff>656236</xdr:colOff>
      <xdr:row>4</xdr:row>
      <xdr:rowOff>0</xdr:rowOff>
    </xdr:to>
    <xdr:sp macro="" textlink="">
      <xdr:nvSpPr>
        <xdr:cNvPr id="5" name="Rectangle 4">
          <a:extLst>
            <a:ext uri="{FF2B5EF4-FFF2-40B4-BE49-F238E27FC236}">
              <a16:creationId xmlns:a16="http://schemas.microsoft.com/office/drawing/2014/main" id="{9361A3FD-7BA3-4AC8-8C9A-CD6CECF5D29B}"/>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3018822</xdr:colOff>
      <xdr:row>1</xdr:row>
      <xdr:rowOff>19879</xdr:rowOff>
    </xdr:from>
    <xdr:to>
      <xdr:col>12</xdr:col>
      <xdr:colOff>188365</xdr:colOff>
      <xdr:row>3</xdr:row>
      <xdr:rowOff>10354</xdr:rowOff>
    </xdr:to>
    <xdr:sp macro="" textlink="">
      <xdr:nvSpPr>
        <xdr:cNvPr id="39" name="TextBox 38">
          <a:hlinkClick xmlns:r="http://schemas.openxmlformats.org/officeDocument/2006/relationships" r:id="rId1"/>
          <a:extLst>
            <a:ext uri="{FF2B5EF4-FFF2-40B4-BE49-F238E27FC236}">
              <a16:creationId xmlns:a16="http://schemas.microsoft.com/office/drawing/2014/main" id="{5BB3FF60-EBB9-46BE-AABB-B4572242351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0" name="Picture 39">
          <a:extLst>
            <a:ext uri="{FF2B5EF4-FFF2-40B4-BE49-F238E27FC236}">
              <a16:creationId xmlns:a16="http://schemas.microsoft.com/office/drawing/2014/main" id="{9E76B664-F2DF-4691-800B-39241254A05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1297802</xdr:colOff>
      <xdr:row>1</xdr:row>
      <xdr:rowOff>28201</xdr:rowOff>
    </xdr:from>
    <xdr:to>
      <xdr:col>1</xdr:col>
      <xdr:colOff>1297802</xdr:colOff>
      <xdr:row>2</xdr:row>
      <xdr:rowOff>138545</xdr:rowOff>
    </xdr:to>
    <xdr:cxnSp macro="">
      <xdr:nvCxnSpPr>
        <xdr:cNvPr id="42" name="Straight Connector 41">
          <a:extLst>
            <a:ext uri="{FF2B5EF4-FFF2-40B4-BE49-F238E27FC236}">
              <a16:creationId xmlns:a16="http://schemas.microsoft.com/office/drawing/2014/main" id="{A3BAADC3-BC7F-404E-A08E-0C92A5752D98}"/>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3801800</xdr:colOff>
      <xdr:row>1</xdr:row>
      <xdr:rowOff>19879</xdr:rowOff>
    </xdr:from>
    <xdr:to>
      <xdr:col>3</xdr:col>
      <xdr:colOff>622477</xdr:colOff>
      <xdr:row>3</xdr:row>
      <xdr:rowOff>10354</xdr:rowOff>
    </xdr:to>
    <xdr:sp macro="" textlink="">
      <xdr:nvSpPr>
        <xdr:cNvPr id="43" name="TextBox 42">
          <a:hlinkClick xmlns:r="http://schemas.openxmlformats.org/officeDocument/2006/relationships" r:id="rId3"/>
          <a:extLst>
            <a:ext uri="{FF2B5EF4-FFF2-40B4-BE49-F238E27FC236}">
              <a16:creationId xmlns:a16="http://schemas.microsoft.com/office/drawing/2014/main" id="{C3D69DA7-E0E3-484A-82FF-358C0270B596}"/>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525203</xdr:colOff>
      <xdr:row>1</xdr:row>
      <xdr:rowOff>19879</xdr:rowOff>
    </xdr:from>
    <xdr:to>
      <xdr:col>4</xdr:col>
      <xdr:colOff>597801</xdr:colOff>
      <xdr:row>3</xdr:row>
      <xdr:rowOff>10354</xdr:rowOff>
    </xdr:to>
    <xdr:sp macro="" textlink="">
      <xdr:nvSpPr>
        <xdr:cNvPr id="44" name="TextBox 43">
          <a:hlinkClick xmlns:r="http://schemas.openxmlformats.org/officeDocument/2006/relationships" r:id="rId4"/>
          <a:extLst>
            <a:ext uri="{FF2B5EF4-FFF2-40B4-BE49-F238E27FC236}">
              <a16:creationId xmlns:a16="http://schemas.microsoft.com/office/drawing/2014/main" id="{9CF89295-9740-428C-8FEA-F4B6E182A054}"/>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500527</xdr:colOff>
      <xdr:row>1</xdr:row>
      <xdr:rowOff>19879</xdr:rowOff>
    </xdr:from>
    <xdr:to>
      <xdr:col>5</xdr:col>
      <xdr:colOff>567066</xdr:colOff>
      <xdr:row>3</xdr:row>
      <xdr:rowOff>10354</xdr:rowOff>
    </xdr:to>
    <xdr:sp macro="" textlink="">
      <xdr:nvSpPr>
        <xdr:cNvPr id="45" name="TextBox 44">
          <a:hlinkClick xmlns:r="http://schemas.openxmlformats.org/officeDocument/2006/relationships" r:id="rId5"/>
          <a:extLst>
            <a:ext uri="{FF2B5EF4-FFF2-40B4-BE49-F238E27FC236}">
              <a16:creationId xmlns:a16="http://schemas.microsoft.com/office/drawing/2014/main" id="{1F1260B1-4CCC-473E-B417-A928F0774CB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469792</xdr:colOff>
      <xdr:row>1</xdr:row>
      <xdr:rowOff>19879</xdr:rowOff>
    </xdr:from>
    <xdr:to>
      <xdr:col>6</xdr:col>
      <xdr:colOff>542362</xdr:colOff>
      <xdr:row>3</xdr:row>
      <xdr:rowOff>10354</xdr:rowOff>
    </xdr:to>
    <xdr:sp macro="" textlink="">
      <xdr:nvSpPr>
        <xdr:cNvPr id="46" name="TextBox 45">
          <a:hlinkClick xmlns:r="http://schemas.openxmlformats.org/officeDocument/2006/relationships" r:id="rId6"/>
          <a:extLst>
            <a:ext uri="{FF2B5EF4-FFF2-40B4-BE49-F238E27FC236}">
              <a16:creationId xmlns:a16="http://schemas.microsoft.com/office/drawing/2014/main" id="{8B4B9446-EC75-45CC-ABEA-A2A1F59402BF}"/>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445088</xdr:colOff>
      <xdr:row>1</xdr:row>
      <xdr:rowOff>19879</xdr:rowOff>
    </xdr:from>
    <xdr:to>
      <xdr:col>7</xdr:col>
      <xdr:colOff>521739</xdr:colOff>
      <xdr:row>3</xdr:row>
      <xdr:rowOff>10354</xdr:rowOff>
    </xdr:to>
    <xdr:sp macro="" textlink="">
      <xdr:nvSpPr>
        <xdr:cNvPr id="47" name="TextBox 46">
          <a:hlinkClick xmlns:r="http://schemas.openxmlformats.org/officeDocument/2006/relationships" r:id="rId7"/>
          <a:extLst>
            <a:ext uri="{FF2B5EF4-FFF2-40B4-BE49-F238E27FC236}">
              <a16:creationId xmlns:a16="http://schemas.microsoft.com/office/drawing/2014/main" id="{C5BBA926-68D1-4DCE-8015-B6D56C62D2D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424465</xdr:colOff>
      <xdr:row>1</xdr:row>
      <xdr:rowOff>19879</xdr:rowOff>
    </xdr:from>
    <xdr:to>
      <xdr:col>9</xdr:col>
      <xdr:colOff>370220</xdr:colOff>
      <xdr:row>3</xdr:row>
      <xdr:rowOff>10354</xdr:rowOff>
    </xdr:to>
    <xdr:sp macro="" textlink="">
      <xdr:nvSpPr>
        <xdr:cNvPr id="48" name="TextBox 47">
          <a:hlinkClick xmlns:r="http://schemas.openxmlformats.org/officeDocument/2006/relationships" r:id="rId8"/>
          <a:extLst>
            <a:ext uri="{FF2B5EF4-FFF2-40B4-BE49-F238E27FC236}">
              <a16:creationId xmlns:a16="http://schemas.microsoft.com/office/drawing/2014/main" id="{93578FD3-03E8-495F-9606-DDBE0A53939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9</xdr:col>
      <xdr:colOff>274627</xdr:colOff>
      <xdr:row>1</xdr:row>
      <xdr:rowOff>19879</xdr:rowOff>
    </xdr:from>
    <xdr:to>
      <xdr:col>10</xdr:col>
      <xdr:colOff>542552</xdr:colOff>
      <xdr:row>3</xdr:row>
      <xdr:rowOff>10354</xdr:rowOff>
    </xdr:to>
    <xdr:sp macro="" textlink="">
      <xdr:nvSpPr>
        <xdr:cNvPr id="49" name="TextBox 48">
          <a:hlinkClick xmlns:r="http://schemas.openxmlformats.org/officeDocument/2006/relationships" r:id="rId9"/>
          <a:extLst>
            <a:ext uri="{FF2B5EF4-FFF2-40B4-BE49-F238E27FC236}">
              <a16:creationId xmlns:a16="http://schemas.microsoft.com/office/drawing/2014/main" id="{EC81B7FA-3FE9-4C69-95AE-93F67808580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10</xdr:col>
      <xdr:colOff>446959</xdr:colOff>
      <xdr:row>1</xdr:row>
      <xdr:rowOff>19879</xdr:rowOff>
    </xdr:from>
    <xdr:to>
      <xdr:col>10</xdr:col>
      <xdr:colOff>1403142</xdr:colOff>
      <xdr:row>3</xdr:row>
      <xdr:rowOff>10354</xdr:rowOff>
    </xdr:to>
    <xdr:sp macro="" textlink="">
      <xdr:nvSpPr>
        <xdr:cNvPr id="50" name="TextBox 49">
          <a:hlinkClick xmlns:r="http://schemas.openxmlformats.org/officeDocument/2006/relationships" r:id="rId10"/>
          <a:extLst>
            <a:ext uri="{FF2B5EF4-FFF2-40B4-BE49-F238E27FC236}">
              <a16:creationId xmlns:a16="http://schemas.microsoft.com/office/drawing/2014/main" id="{8A7F32F2-3819-406D-A2BA-90CFF308438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WACC</a:t>
          </a:r>
        </a:p>
      </xdr:txBody>
    </xdr:sp>
    <xdr:clientData/>
  </xdr:twoCellAnchor>
  <xdr:twoCellAnchor>
    <xdr:from>
      <xdr:col>10</xdr:col>
      <xdr:colOff>1305868</xdr:colOff>
      <xdr:row>1</xdr:row>
      <xdr:rowOff>19879</xdr:rowOff>
    </xdr:from>
    <xdr:to>
      <xdr:col>10</xdr:col>
      <xdr:colOff>2262404</xdr:colOff>
      <xdr:row>3</xdr:row>
      <xdr:rowOff>10354</xdr:rowOff>
    </xdr:to>
    <xdr:sp macro="" textlink="">
      <xdr:nvSpPr>
        <xdr:cNvPr id="51" name="TextBox 50">
          <a:hlinkClick xmlns:r="http://schemas.openxmlformats.org/officeDocument/2006/relationships" r:id="rId11"/>
          <a:extLst>
            <a:ext uri="{FF2B5EF4-FFF2-40B4-BE49-F238E27FC236}">
              <a16:creationId xmlns:a16="http://schemas.microsoft.com/office/drawing/2014/main" id="{5C3CF463-6629-42C1-B63A-512551BDB6F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2165130</xdr:colOff>
      <xdr:row>1</xdr:row>
      <xdr:rowOff>19879</xdr:rowOff>
    </xdr:from>
    <xdr:to>
      <xdr:col>11</xdr:col>
      <xdr:colOff>20471</xdr:colOff>
      <xdr:row>3</xdr:row>
      <xdr:rowOff>10354</xdr:rowOff>
    </xdr:to>
    <xdr:sp macro="" textlink="">
      <xdr:nvSpPr>
        <xdr:cNvPr id="52" name="TextBox 51">
          <a:hlinkClick xmlns:r="http://schemas.openxmlformats.org/officeDocument/2006/relationships" r:id="rId12"/>
          <a:extLst>
            <a:ext uri="{FF2B5EF4-FFF2-40B4-BE49-F238E27FC236}">
              <a16:creationId xmlns:a16="http://schemas.microsoft.com/office/drawing/2014/main" id="{F3ADCC7E-CAFC-44D2-99C4-271048807E2E}"/>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91091</xdr:colOff>
      <xdr:row>1</xdr:row>
      <xdr:rowOff>19879</xdr:rowOff>
    </xdr:from>
    <xdr:to>
      <xdr:col>13</xdr:col>
      <xdr:colOff>359432</xdr:colOff>
      <xdr:row>3</xdr:row>
      <xdr:rowOff>10354</xdr:rowOff>
    </xdr:to>
    <xdr:sp macro="" textlink="">
      <xdr:nvSpPr>
        <xdr:cNvPr id="53" name="TextBox 52">
          <a:hlinkClick xmlns:r="http://schemas.openxmlformats.org/officeDocument/2006/relationships" r:id="rId13"/>
          <a:extLst>
            <a:ext uri="{FF2B5EF4-FFF2-40B4-BE49-F238E27FC236}">
              <a16:creationId xmlns:a16="http://schemas.microsoft.com/office/drawing/2014/main" id="{EE156D09-15E3-4C05-9FCD-CF9777ACBD8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262158</xdr:colOff>
      <xdr:row>1</xdr:row>
      <xdr:rowOff>19879</xdr:rowOff>
    </xdr:from>
    <xdr:to>
      <xdr:col>14</xdr:col>
      <xdr:colOff>533511</xdr:colOff>
      <xdr:row>3</xdr:row>
      <xdr:rowOff>10354</xdr:rowOff>
    </xdr:to>
    <xdr:sp macro="" textlink="">
      <xdr:nvSpPr>
        <xdr:cNvPr id="54" name="TextBox 53">
          <a:hlinkClick xmlns:r="http://schemas.openxmlformats.org/officeDocument/2006/relationships" r:id="rId14"/>
          <a:extLst>
            <a:ext uri="{FF2B5EF4-FFF2-40B4-BE49-F238E27FC236}">
              <a16:creationId xmlns:a16="http://schemas.microsoft.com/office/drawing/2014/main" id="{05B53E2C-EC94-4034-B12A-3AF2D06258C4}"/>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14</xdr:col>
      <xdr:colOff>436237</xdr:colOff>
      <xdr:row>1</xdr:row>
      <xdr:rowOff>19879</xdr:rowOff>
    </xdr:from>
    <xdr:to>
      <xdr:col>16</xdr:col>
      <xdr:colOff>20132</xdr:colOff>
      <xdr:row>3</xdr:row>
      <xdr:rowOff>10354</xdr:rowOff>
    </xdr:to>
    <xdr:sp macro="" textlink="">
      <xdr:nvSpPr>
        <xdr:cNvPr id="55" name="TextBox 54">
          <a:hlinkClick xmlns:r="http://schemas.openxmlformats.org/officeDocument/2006/relationships" r:id="rId15"/>
          <a:extLst>
            <a:ext uri="{FF2B5EF4-FFF2-40B4-BE49-F238E27FC236}">
              <a16:creationId xmlns:a16="http://schemas.microsoft.com/office/drawing/2014/main" id="{B5F7A5B4-7EB9-4D2B-B8A4-2A0C91E5077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15</xdr:col>
      <xdr:colOff>608658</xdr:colOff>
      <xdr:row>1</xdr:row>
      <xdr:rowOff>19879</xdr:rowOff>
    </xdr:from>
    <xdr:to>
      <xdr:col>17</xdr:col>
      <xdr:colOff>196250</xdr:colOff>
      <xdr:row>3</xdr:row>
      <xdr:rowOff>10354</xdr:rowOff>
    </xdr:to>
    <xdr:sp macro="" textlink="">
      <xdr:nvSpPr>
        <xdr:cNvPr id="56" name="TextBox 55">
          <a:hlinkClick xmlns:r="http://schemas.openxmlformats.org/officeDocument/2006/relationships" r:id="rId16"/>
          <a:extLst>
            <a:ext uri="{FF2B5EF4-FFF2-40B4-BE49-F238E27FC236}">
              <a16:creationId xmlns:a16="http://schemas.microsoft.com/office/drawing/2014/main" id="{F5B84C41-ECA4-4193-A607-422E46BAD03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98987</xdr:colOff>
      <xdr:row>1</xdr:row>
      <xdr:rowOff>19879</xdr:rowOff>
    </xdr:from>
    <xdr:to>
      <xdr:col>18</xdr:col>
      <xdr:colOff>369952</xdr:colOff>
      <xdr:row>3</xdr:row>
      <xdr:rowOff>10354</xdr:rowOff>
    </xdr:to>
    <xdr:sp macro="" textlink="">
      <xdr:nvSpPr>
        <xdr:cNvPr id="57" name="TextBox 56">
          <a:hlinkClick xmlns:r="http://schemas.openxmlformats.org/officeDocument/2006/relationships" r:id="rId17"/>
          <a:extLst>
            <a:ext uri="{FF2B5EF4-FFF2-40B4-BE49-F238E27FC236}">
              <a16:creationId xmlns:a16="http://schemas.microsoft.com/office/drawing/2014/main" id="{CE8724CF-B33A-41D4-B885-FCF9908EE7D3}"/>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518429</xdr:colOff>
      <xdr:row>1</xdr:row>
      <xdr:rowOff>103586</xdr:rowOff>
    </xdr:from>
    <xdr:to>
      <xdr:col>5</xdr:col>
      <xdr:colOff>518429</xdr:colOff>
      <xdr:row>2</xdr:row>
      <xdr:rowOff>117146</xdr:rowOff>
    </xdr:to>
    <xdr:cxnSp macro="">
      <xdr:nvCxnSpPr>
        <xdr:cNvPr id="58" name="Straight Connector 57">
          <a:extLst>
            <a:ext uri="{FF2B5EF4-FFF2-40B4-BE49-F238E27FC236}">
              <a16:creationId xmlns:a16="http://schemas.microsoft.com/office/drawing/2014/main" id="{70788389-2F9B-41AC-ABBC-942394A78F2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549164</xdr:colOff>
      <xdr:row>1</xdr:row>
      <xdr:rowOff>103586</xdr:rowOff>
    </xdr:from>
    <xdr:to>
      <xdr:col>4</xdr:col>
      <xdr:colOff>549164</xdr:colOff>
      <xdr:row>2</xdr:row>
      <xdr:rowOff>117146</xdr:rowOff>
    </xdr:to>
    <xdr:cxnSp macro="">
      <xdr:nvCxnSpPr>
        <xdr:cNvPr id="59" name="Straight Connector 58">
          <a:extLst>
            <a:ext uri="{FF2B5EF4-FFF2-40B4-BE49-F238E27FC236}">
              <a16:creationId xmlns:a16="http://schemas.microsoft.com/office/drawing/2014/main" id="{0292A77A-E4E5-403F-BFD8-0CCDE604672A}"/>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573840</xdr:colOff>
      <xdr:row>1</xdr:row>
      <xdr:rowOff>103586</xdr:rowOff>
    </xdr:from>
    <xdr:to>
      <xdr:col>3</xdr:col>
      <xdr:colOff>573840</xdr:colOff>
      <xdr:row>2</xdr:row>
      <xdr:rowOff>117146</xdr:rowOff>
    </xdr:to>
    <xdr:cxnSp macro="">
      <xdr:nvCxnSpPr>
        <xdr:cNvPr id="60" name="Straight Connector 59">
          <a:extLst>
            <a:ext uri="{FF2B5EF4-FFF2-40B4-BE49-F238E27FC236}">
              <a16:creationId xmlns:a16="http://schemas.microsoft.com/office/drawing/2014/main" id="{E2533C51-C93D-46AF-885B-6D84DCD84D51}"/>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493725</xdr:colOff>
      <xdr:row>1</xdr:row>
      <xdr:rowOff>103586</xdr:rowOff>
    </xdr:from>
    <xdr:to>
      <xdr:col>6</xdr:col>
      <xdr:colOff>493725</xdr:colOff>
      <xdr:row>2</xdr:row>
      <xdr:rowOff>117146</xdr:rowOff>
    </xdr:to>
    <xdr:cxnSp macro="">
      <xdr:nvCxnSpPr>
        <xdr:cNvPr id="61" name="Straight Connector 60">
          <a:extLst>
            <a:ext uri="{FF2B5EF4-FFF2-40B4-BE49-F238E27FC236}">
              <a16:creationId xmlns:a16="http://schemas.microsoft.com/office/drawing/2014/main" id="{623019A7-0BED-4EF8-B1E8-0EF6F32A16D6}"/>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473102</xdr:colOff>
      <xdr:row>1</xdr:row>
      <xdr:rowOff>103586</xdr:rowOff>
    </xdr:from>
    <xdr:to>
      <xdr:col>7</xdr:col>
      <xdr:colOff>473102</xdr:colOff>
      <xdr:row>2</xdr:row>
      <xdr:rowOff>117146</xdr:rowOff>
    </xdr:to>
    <xdr:cxnSp macro="">
      <xdr:nvCxnSpPr>
        <xdr:cNvPr id="62" name="Straight Connector 61">
          <a:extLst>
            <a:ext uri="{FF2B5EF4-FFF2-40B4-BE49-F238E27FC236}">
              <a16:creationId xmlns:a16="http://schemas.microsoft.com/office/drawing/2014/main" id="{4E3B571D-C1A2-4F87-9CEA-6654DA12319F}"/>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321583</xdr:colOff>
      <xdr:row>1</xdr:row>
      <xdr:rowOff>103586</xdr:rowOff>
    </xdr:from>
    <xdr:to>
      <xdr:col>9</xdr:col>
      <xdr:colOff>321583</xdr:colOff>
      <xdr:row>2</xdr:row>
      <xdr:rowOff>117146</xdr:rowOff>
    </xdr:to>
    <xdr:cxnSp macro="">
      <xdr:nvCxnSpPr>
        <xdr:cNvPr id="63" name="Straight Connector 62">
          <a:extLst>
            <a:ext uri="{FF2B5EF4-FFF2-40B4-BE49-F238E27FC236}">
              <a16:creationId xmlns:a16="http://schemas.microsoft.com/office/drawing/2014/main" id="{2131708B-EAAB-44BE-AD67-E0B13EC25C15}"/>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495596</xdr:colOff>
      <xdr:row>1</xdr:row>
      <xdr:rowOff>103586</xdr:rowOff>
    </xdr:from>
    <xdr:to>
      <xdr:col>10</xdr:col>
      <xdr:colOff>495596</xdr:colOff>
      <xdr:row>2</xdr:row>
      <xdr:rowOff>117146</xdr:rowOff>
    </xdr:to>
    <xdr:cxnSp macro="">
      <xdr:nvCxnSpPr>
        <xdr:cNvPr id="64" name="Straight Connector 63">
          <a:extLst>
            <a:ext uri="{FF2B5EF4-FFF2-40B4-BE49-F238E27FC236}">
              <a16:creationId xmlns:a16="http://schemas.microsoft.com/office/drawing/2014/main" id="{B776D1A1-A8D7-487F-B7AE-53E662DCE8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1354505</xdr:colOff>
      <xdr:row>1</xdr:row>
      <xdr:rowOff>103586</xdr:rowOff>
    </xdr:from>
    <xdr:to>
      <xdr:col>10</xdr:col>
      <xdr:colOff>1354505</xdr:colOff>
      <xdr:row>2</xdr:row>
      <xdr:rowOff>117146</xdr:rowOff>
    </xdr:to>
    <xdr:cxnSp macro="">
      <xdr:nvCxnSpPr>
        <xdr:cNvPr id="65" name="Straight Connector 64">
          <a:extLst>
            <a:ext uri="{FF2B5EF4-FFF2-40B4-BE49-F238E27FC236}">
              <a16:creationId xmlns:a16="http://schemas.microsoft.com/office/drawing/2014/main" id="{2940BC73-6A61-4942-93DC-29D366F71C71}"/>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2213767</xdr:colOff>
      <xdr:row>1</xdr:row>
      <xdr:rowOff>103586</xdr:rowOff>
    </xdr:from>
    <xdr:to>
      <xdr:col>10</xdr:col>
      <xdr:colOff>2213767</xdr:colOff>
      <xdr:row>2</xdr:row>
      <xdr:rowOff>117146</xdr:rowOff>
    </xdr:to>
    <xdr:cxnSp macro="">
      <xdr:nvCxnSpPr>
        <xdr:cNvPr id="66" name="Straight Connector 65">
          <a:extLst>
            <a:ext uri="{FF2B5EF4-FFF2-40B4-BE49-F238E27FC236}">
              <a16:creationId xmlns:a16="http://schemas.microsoft.com/office/drawing/2014/main" id="{24C8217E-036D-4CB1-A656-73F97DA1E99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139728</xdr:colOff>
      <xdr:row>1</xdr:row>
      <xdr:rowOff>103586</xdr:rowOff>
    </xdr:from>
    <xdr:to>
      <xdr:col>12</xdr:col>
      <xdr:colOff>139728</xdr:colOff>
      <xdr:row>2</xdr:row>
      <xdr:rowOff>117146</xdr:rowOff>
    </xdr:to>
    <xdr:cxnSp macro="">
      <xdr:nvCxnSpPr>
        <xdr:cNvPr id="67" name="Straight Connector 66">
          <a:extLst>
            <a:ext uri="{FF2B5EF4-FFF2-40B4-BE49-F238E27FC236}">
              <a16:creationId xmlns:a16="http://schemas.microsoft.com/office/drawing/2014/main" id="{553BB99E-C0AD-435C-8522-3925435065F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310795</xdr:colOff>
      <xdr:row>1</xdr:row>
      <xdr:rowOff>103586</xdr:rowOff>
    </xdr:from>
    <xdr:to>
      <xdr:col>13</xdr:col>
      <xdr:colOff>310795</xdr:colOff>
      <xdr:row>2</xdr:row>
      <xdr:rowOff>117146</xdr:rowOff>
    </xdr:to>
    <xdr:cxnSp macro="">
      <xdr:nvCxnSpPr>
        <xdr:cNvPr id="68" name="Straight Connector 67">
          <a:extLst>
            <a:ext uri="{FF2B5EF4-FFF2-40B4-BE49-F238E27FC236}">
              <a16:creationId xmlns:a16="http://schemas.microsoft.com/office/drawing/2014/main" id="{7A220470-A67B-4791-8230-6004AB5E9E2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484874</xdr:colOff>
      <xdr:row>1</xdr:row>
      <xdr:rowOff>103586</xdr:rowOff>
    </xdr:from>
    <xdr:to>
      <xdr:col>14</xdr:col>
      <xdr:colOff>484874</xdr:colOff>
      <xdr:row>2</xdr:row>
      <xdr:rowOff>117146</xdr:rowOff>
    </xdr:to>
    <xdr:cxnSp macro="">
      <xdr:nvCxnSpPr>
        <xdr:cNvPr id="69" name="Straight Connector 68">
          <a:extLst>
            <a:ext uri="{FF2B5EF4-FFF2-40B4-BE49-F238E27FC236}">
              <a16:creationId xmlns:a16="http://schemas.microsoft.com/office/drawing/2014/main" id="{FA4213C4-8E99-4738-803C-F208AAFFA0EB}"/>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657295</xdr:colOff>
      <xdr:row>1</xdr:row>
      <xdr:rowOff>103586</xdr:rowOff>
    </xdr:from>
    <xdr:to>
      <xdr:col>15</xdr:col>
      <xdr:colOff>657295</xdr:colOff>
      <xdr:row>2</xdr:row>
      <xdr:rowOff>117146</xdr:rowOff>
    </xdr:to>
    <xdr:cxnSp macro="">
      <xdr:nvCxnSpPr>
        <xdr:cNvPr id="70" name="Straight Connector 69">
          <a:extLst>
            <a:ext uri="{FF2B5EF4-FFF2-40B4-BE49-F238E27FC236}">
              <a16:creationId xmlns:a16="http://schemas.microsoft.com/office/drawing/2014/main" id="{76DF83C4-023B-4038-82D7-8672E11253E0}"/>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147613</xdr:colOff>
      <xdr:row>1</xdr:row>
      <xdr:rowOff>103586</xdr:rowOff>
    </xdr:from>
    <xdr:to>
      <xdr:col>17</xdr:col>
      <xdr:colOff>147613</xdr:colOff>
      <xdr:row>2</xdr:row>
      <xdr:rowOff>117146</xdr:rowOff>
    </xdr:to>
    <xdr:cxnSp macro="">
      <xdr:nvCxnSpPr>
        <xdr:cNvPr id="71" name="Straight Connector 70">
          <a:extLst>
            <a:ext uri="{FF2B5EF4-FFF2-40B4-BE49-F238E27FC236}">
              <a16:creationId xmlns:a16="http://schemas.microsoft.com/office/drawing/2014/main" id="{8C0C10C9-71A1-4868-95C4-D45FB03865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3067459</xdr:colOff>
      <xdr:row>1</xdr:row>
      <xdr:rowOff>103586</xdr:rowOff>
    </xdr:from>
    <xdr:to>
      <xdr:col>10</xdr:col>
      <xdr:colOff>3067459</xdr:colOff>
      <xdr:row>2</xdr:row>
      <xdr:rowOff>117146</xdr:rowOff>
    </xdr:to>
    <xdr:cxnSp macro="">
      <xdr:nvCxnSpPr>
        <xdr:cNvPr id="72" name="Straight Connector 71">
          <a:extLst>
            <a:ext uri="{FF2B5EF4-FFF2-40B4-BE49-F238E27FC236}">
              <a16:creationId xmlns:a16="http://schemas.microsoft.com/office/drawing/2014/main" id="{B6AECF9B-AAEC-4ACD-97AE-407A6A8EA1C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56029</xdr:colOff>
      <xdr:row>23</xdr:row>
      <xdr:rowOff>179294</xdr:rowOff>
    </xdr:from>
    <xdr:to>
      <xdr:col>18</xdr:col>
      <xdr:colOff>56030</xdr:colOff>
      <xdr:row>39</xdr:row>
      <xdr:rowOff>85725</xdr:rowOff>
    </xdr:to>
    <xdr:graphicFrame macro="">
      <xdr:nvGraphicFramePr>
        <xdr:cNvPr id="2" name="Chart 1">
          <a:extLst>
            <a:ext uri="{FF2B5EF4-FFF2-40B4-BE49-F238E27FC236}">
              <a16:creationId xmlns:a16="http://schemas.microsoft.com/office/drawing/2014/main" id="{1F79E03C-B24C-4ABE-2F56-C2BB85122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470779</xdr:colOff>
      <xdr:row>4</xdr:row>
      <xdr:rowOff>0</xdr:rowOff>
    </xdr:to>
    <xdr:sp macro="" textlink="">
      <xdr:nvSpPr>
        <xdr:cNvPr id="2" name="Rectangle 1">
          <a:extLst>
            <a:ext uri="{FF2B5EF4-FFF2-40B4-BE49-F238E27FC236}">
              <a16:creationId xmlns:a16="http://schemas.microsoft.com/office/drawing/2014/main" id="{B3B9FA1E-7A0F-4FB0-B33A-9E7A970CD02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428582</xdr:colOff>
      <xdr:row>1</xdr:row>
      <xdr:rowOff>19879</xdr:rowOff>
    </xdr:from>
    <xdr:to>
      <xdr:col>16</xdr:col>
      <xdr:colOff>651168</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D4E69937-910C-4302-BEB8-CEF948F9120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C1862BE1-3669-411F-A0AC-F1108E24E155}"/>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39" name="Straight Connector 38">
          <a:extLst>
            <a:ext uri="{FF2B5EF4-FFF2-40B4-BE49-F238E27FC236}">
              <a16:creationId xmlns:a16="http://schemas.microsoft.com/office/drawing/2014/main" id="{D477F025-1034-4CEF-B273-515770732EC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3795637</xdr:colOff>
      <xdr:row>1</xdr:row>
      <xdr:rowOff>19879</xdr:rowOff>
    </xdr:from>
    <xdr:to>
      <xdr:col>3</xdr:col>
      <xdr:colOff>637605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A1578049-AF96-4B91-9ACF-7477C958BF5B}"/>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540331</xdr:colOff>
      <xdr:row>1</xdr:row>
      <xdr:rowOff>19879</xdr:rowOff>
    </xdr:from>
    <xdr:to>
      <xdr:col>5</xdr:col>
      <xdr:colOff>41989</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25F5091B-EB5B-4119-B135-3AE13104B639}"/>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673098</xdr:colOff>
      <xdr:row>1</xdr:row>
      <xdr:rowOff>19879</xdr:rowOff>
    </xdr:from>
    <xdr:to>
      <xdr:col>6</xdr:col>
      <xdr:colOff>168697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8C8782CC-0866-457A-A2B7-80BD409628FD}"/>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71423</xdr:colOff>
      <xdr:row>1</xdr:row>
      <xdr:rowOff>19879</xdr:rowOff>
    </xdr:from>
    <xdr:to>
      <xdr:col>7</xdr:col>
      <xdr:colOff>301436</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8298BAD8-CEA1-4156-BA29-423AE8908604}"/>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204162</xdr:colOff>
      <xdr:row>1</xdr:row>
      <xdr:rowOff>19879</xdr:rowOff>
    </xdr:from>
    <xdr:to>
      <xdr:col>9</xdr:col>
      <xdr:colOff>158108</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69FB6F3E-0333-4496-96D5-302CAA60B56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60834</xdr:colOff>
      <xdr:row>1</xdr:row>
      <xdr:rowOff>19879</xdr:rowOff>
    </xdr:from>
    <xdr:to>
      <xdr:col>10</xdr:col>
      <xdr:colOff>287857</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76646059-336F-42B8-B530-6EF52A18CF7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192264</xdr:colOff>
      <xdr:row>1</xdr:row>
      <xdr:rowOff>19879</xdr:rowOff>
    </xdr:from>
    <xdr:to>
      <xdr:col>11</xdr:col>
      <xdr:colOff>417606</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55096E33-C572-4ACE-A2E5-0A3C53CDE24A}"/>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322013</xdr:colOff>
      <xdr:row>1</xdr:row>
      <xdr:rowOff>19879</xdr:rowOff>
    </xdr:from>
    <xdr:to>
      <xdr:col>12</xdr:col>
      <xdr:colOff>549814</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8602735-EA77-489C-8BA5-0322630167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452540</xdr:colOff>
      <xdr:row>1</xdr:row>
      <xdr:rowOff>19879</xdr:rowOff>
    </xdr:from>
    <xdr:to>
      <xdr:col>13</xdr:col>
      <xdr:colOff>680694</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0E23078C-A8CE-48DC-8F63-432ADDAA5E8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FCFF</a:t>
          </a:r>
        </a:p>
      </xdr:txBody>
    </xdr:sp>
    <xdr:clientData/>
  </xdr:twoCellAnchor>
  <xdr:twoCellAnchor>
    <xdr:from>
      <xdr:col>13</xdr:col>
      <xdr:colOff>583420</xdr:colOff>
      <xdr:row>1</xdr:row>
      <xdr:rowOff>19879</xdr:rowOff>
    </xdr:from>
    <xdr:to>
      <xdr:col>15</xdr:col>
      <xdr:colOff>525856</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F474D1CA-BAF5-45DD-8156-7DDCFC1FF9A2}"/>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553894</xdr:colOff>
      <xdr:row>1</xdr:row>
      <xdr:rowOff>19879</xdr:rowOff>
    </xdr:from>
    <xdr:to>
      <xdr:col>18</xdr:col>
      <xdr:colOff>51270</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2F94DB21-9E66-4BA2-984B-7801327CA289}"/>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682379</xdr:colOff>
      <xdr:row>1</xdr:row>
      <xdr:rowOff>19879</xdr:rowOff>
    </xdr:from>
    <xdr:to>
      <xdr:col>19</xdr:col>
      <xdr:colOff>182767</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8281EE22-D5FF-483D-AD74-EBCE7E6819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85493</xdr:colOff>
      <xdr:row>1</xdr:row>
      <xdr:rowOff>19879</xdr:rowOff>
    </xdr:from>
    <xdr:to>
      <xdr:col>21</xdr:col>
      <xdr:colOff>32458</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F038F6B9-B843-42C1-86DE-826B4B2FE29B}"/>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58449</xdr:colOff>
      <xdr:row>1</xdr:row>
      <xdr:rowOff>19879</xdr:rowOff>
    </xdr:from>
    <xdr:to>
      <xdr:col>22</xdr:col>
      <xdr:colOff>165994</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FC0B690C-372F-4868-BB46-EAA02B408EE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22</xdr:col>
      <xdr:colOff>68731</xdr:colOff>
      <xdr:row>1</xdr:row>
      <xdr:rowOff>19879</xdr:rowOff>
    </xdr:from>
    <xdr:to>
      <xdr:col>23</xdr:col>
      <xdr:colOff>297114</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B0520DEF-B969-4C0A-B8C3-4C3FB77B9882}"/>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120060</xdr:colOff>
      <xdr:row>1</xdr:row>
      <xdr:rowOff>103586</xdr:rowOff>
    </xdr:from>
    <xdr:to>
      <xdr:col>6</xdr:col>
      <xdr:colOff>120060</xdr:colOff>
      <xdr:row>2</xdr:row>
      <xdr:rowOff>117146</xdr:rowOff>
    </xdr:to>
    <xdr:cxnSp macro="">
      <xdr:nvCxnSpPr>
        <xdr:cNvPr id="55" name="Straight Connector 54">
          <a:extLst>
            <a:ext uri="{FF2B5EF4-FFF2-40B4-BE49-F238E27FC236}">
              <a16:creationId xmlns:a16="http://schemas.microsoft.com/office/drawing/2014/main" id="{69781C5A-BAD1-48F1-BA66-B14AD3604AB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721735</xdr:colOff>
      <xdr:row>1</xdr:row>
      <xdr:rowOff>103586</xdr:rowOff>
    </xdr:from>
    <xdr:to>
      <xdr:col>4</xdr:col>
      <xdr:colOff>721735</xdr:colOff>
      <xdr:row>2</xdr:row>
      <xdr:rowOff>117146</xdr:rowOff>
    </xdr:to>
    <xdr:cxnSp macro="">
      <xdr:nvCxnSpPr>
        <xdr:cNvPr id="56" name="Straight Connector 55">
          <a:extLst>
            <a:ext uri="{FF2B5EF4-FFF2-40B4-BE49-F238E27FC236}">
              <a16:creationId xmlns:a16="http://schemas.microsoft.com/office/drawing/2014/main" id="{B16416D2-1DA8-46BE-87A0-8A97595580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588968</xdr:colOff>
      <xdr:row>1</xdr:row>
      <xdr:rowOff>103586</xdr:rowOff>
    </xdr:from>
    <xdr:to>
      <xdr:col>3</xdr:col>
      <xdr:colOff>588968</xdr:colOff>
      <xdr:row>2</xdr:row>
      <xdr:rowOff>117146</xdr:rowOff>
    </xdr:to>
    <xdr:cxnSp macro="">
      <xdr:nvCxnSpPr>
        <xdr:cNvPr id="57" name="Straight Connector 56">
          <a:extLst>
            <a:ext uri="{FF2B5EF4-FFF2-40B4-BE49-F238E27FC236}">
              <a16:creationId xmlns:a16="http://schemas.microsoft.com/office/drawing/2014/main" id="{ECC1ADD5-8578-44DF-A023-BF7C11E120A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252799</xdr:colOff>
      <xdr:row>1</xdr:row>
      <xdr:rowOff>103586</xdr:rowOff>
    </xdr:from>
    <xdr:to>
      <xdr:col>7</xdr:col>
      <xdr:colOff>252799</xdr:colOff>
      <xdr:row>2</xdr:row>
      <xdr:rowOff>117146</xdr:rowOff>
    </xdr:to>
    <xdr:cxnSp macro="">
      <xdr:nvCxnSpPr>
        <xdr:cNvPr id="58" name="Straight Connector 57">
          <a:extLst>
            <a:ext uri="{FF2B5EF4-FFF2-40B4-BE49-F238E27FC236}">
              <a16:creationId xmlns:a16="http://schemas.microsoft.com/office/drawing/2014/main" id="{9697DC2A-7554-4629-988F-C79DBC51974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109471</xdr:colOff>
      <xdr:row>1</xdr:row>
      <xdr:rowOff>103586</xdr:rowOff>
    </xdr:from>
    <xdr:to>
      <xdr:col>9</xdr:col>
      <xdr:colOff>109471</xdr:colOff>
      <xdr:row>2</xdr:row>
      <xdr:rowOff>117146</xdr:rowOff>
    </xdr:to>
    <xdr:cxnSp macro="">
      <xdr:nvCxnSpPr>
        <xdr:cNvPr id="59" name="Straight Connector 58">
          <a:extLst>
            <a:ext uri="{FF2B5EF4-FFF2-40B4-BE49-F238E27FC236}">
              <a16:creationId xmlns:a16="http://schemas.microsoft.com/office/drawing/2014/main" id="{8F61A2CD-C389-4716-BF30-992BC58B8614}"/>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239220</xdr:colOff>
      <xdr:row>1</xdr:row>
      <xdr:rowOff>103586</xdr:rowOff>
    </xdr:from>
    <xdr:to>
      <xdr:col>10</xdr:col>
      <xdr:colOff>239220</xdr:colOff>
      <xdr:row>2</xdr:row>
      <xdr:rowOff>117146</xdr:rowOff>
    </xdr:to>
    <xdr:cxnSp macro="">
      <xdr:nvCxnSpPr>
        <xdr:cNvPr id="60" name="Straight Connector 59">
          <a:extLst>
            <a:ext uri="{FF2B5EF4-FFF2-40B4-BE49-F238E27FC236}">
              <a16:creationId xmlns:a16="http://schemas.microsoft.com/office/drawing/2014/main" id="{F2AE59AD-9C88-48C3-9F21-34203C261A0C}"/>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370650</xdr:colOff>
      <xdr:row>1</xdr:row>
      <xdr:rowOff>103586</xdr:rowOff>
    </xdr:from>
    <xdr:to>
      <xdr:col>11</xdr:col>
      <xdr:colOff>370650</xdr:colOff>
      <xdr:row>2</xdr:row>
      <xdr:rowOff>117146</xdr:rowOff>
    </xdr:to>
    <xdr:cxnSp macro="">
      <xdr:nvCxnSpPr>
        <xdr:cNvPr id="61" name="Straight Connector 60">
          <a:extLst>
            <a:ext uri="{FF2B5EF4-FFF2-40B4-BE49-F238E27FC236}">
              <a16:creationId xmlns:a16="http://schemas.microsoft.com/office/drawing/2014/main" id="{FBEC924C-CA76-4570-9C2B-89613DCAC52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501177</xdr:colOff>
      <xdr:row>1</xdr:row>
      <xdr:rowOff>103586</xdr:rowOff>
    </xdr:from>
    <xdr:to>
      <xdr:col>12</xdr:col>
      <xdr:colOff>501177</xdr:colOff>
      <xdr:row>2</xdr:row>
      <xdr:rowOff>117146</xdr:rowOff>
    </xdr:to>
    <xdr:cxnSp macro="">
      <xdr:nvCxnSpPr>
        <xdr:cNvPr id="62" name="Straight Connector 61">
          <a:extLst>
            <a:ext uri="{FF2B5EF4-FFF2-40B4-BE49-F238E27FC236}">
              <a16:creationId xmlns:a16="http://schemas.microsoft.com/office/drawing/2014/main" id="{1CB19589-E990-4AE4-B709-81A67ED797A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632057</xdr:colOff>
      <xdr:row>1</xdr:row>
      <xdr:rowOff>103586</xdr:rowOff>
    </xdr:from>
    <xdr:to>
      <xdr:col>13</xdr:col>
      <xdr:colOff>632057</xdr:colOff>
      <xdr:row>2</xdr:row>
      <xdr:rowOff>117146</xdr:rowOff>
    </xdr:to>
    <xdr:cxnSp macro="">
      <xdr:nvCxnSpPr>
        <xdr:cNvPr id="63" name="Straight Connector 62">
          <a:extLst>
            <a:ext uri="{FF2B5EF4-FFF2-40B4-BE49-F238E27FC236}">
              <a16:creationId xmlns:a16="http://schemas.microsoft.com/office/drawing/2014/main" id="{E1607C58-CD82-4D1C-BDE9-C0CDB80FAA3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602531</xdr:colOff>
      <xdr:row>1</xdr:row>
      <xdr:rowOff>103586</xdr:rowOff>
    </xdr:from>
    <xdr:to>
      <xdr:col>16</xdr:col>
      <xdr:colOff>602531</xdr:colOff>
      <xdr:row>2</xdr:row>
      <xdr:rowOff>117146</xdr:rowOff>
    </xdr:to>
    <xdr:cxnSp macro="">
      <xdr:nvCxnSpPr>
        <xdr:cNvPr id="64" name="Straight Connector 63">
          <a:extLst>
            <a:ext uri="{FF2B5EF4-FFF2-40B4-BE49-F238E27FC236}">
              <a16:creationId xmlns:a16="http://schemas.microsoft.com/office/drawing/2014/main" id="{6A939570-A9B5-4E17-87FE-2FDBF4570669}"/>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2633</xdr:colOff>
      <xdr:row>1</xdr:row>
      <xdr:rowOff>103586</xdr:rowOff>
    </xdr:from>
    <xdr:to>
      <xdr:col>18</xdr:col>
      <xdr:colOff>2633</xdr:colOff>
      <xdr:row>2</xdr:row>
      <xdr:rowOff>117146</xdr:rowOff>
    </xdr:to>
    <xdr:cxnSp macro="">
      <xdr:nvCxnSpPr>
        <xdr:cNvPr id="65" name="Straight Connector 64">
          <a:extLst>
            <a:ext uri="{FF2B5EF4-FFF2-40B4-BE49-F238E27FC236}">
              <a16:creationId xmlns:a16="http://schemas.microsoft.com/office/drawing/2014/main" id="{2B28781C-862B-465D-B963-7D8299CB991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134130</xdr:colOff>
      <xdr:row>1</xdr:row>
      <xdr:rowOff>103586</xdr:rowOff>
    </xdr:from>
    <xdr:to>
      <xdr:col>19</xdr:col>
      <xdr:colOff>134130</xdr:colOff>
      <xdr:row>2</xdr:row>
      <xdr:rowOff>117146</xdr:rowOff>
    </xdr:to>
    <xdr:cxnSp macro="">
      <xdr:nvCxnSpPr>
        <xdr:cNvPr id="66" name="Straight Connector 65">
          <a:extLst>
            <a:ext uri="{FF2B5EF4-FFF2-40B4-BE49-F238E27FC236}">
              <a16:creationId xmlns:a16="http://schemas.microsoft.com/office/drawing/2014/main" id="{9D40F05A-8B34-4056-BC97-A9B7E0B999AF}"/>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107086</xdr:colOff>
      <xdr:row>1</xdr:row>
      <xdr:rowOff>103586</xdr:rowOff>
    </xdr:from>
    <xdr:to>
      <xdr:col>20</xdr:col>
      <xdr:colOff>107086</xdr:colOff>
      <xdr:row>2</xdr:row>
      <xdr:rowOff>117146</xdr:rowOff>
    </xdr:to>
    <xdr:cxnSp macro="">
      <xdr:nvCxnSpPr>
        <xdr:cNvPr id="67" name="Straight Connector 66">
          <a:extLst>
            <a:ext uri="{FF2B5EF4-FFF2-40B4-BE49-F238E27FC236}">
              <a16:creationId xmlns:a16="http://schemas.microsoft.com/office/drawing/2014/main" id="{EF66F637-4E2F-4E60-99E5-A1687F7B53A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117357</xdr:colOff>
      <xdr:row>1</xdr:row>
      <xdr:rowOff>103586</xdr:rowOff>
    </xdr:from>
    <xdr:to>
      <xdr:col>22</xdr:col>
      <xdr:colOff>117357</xdr:colOff>
      <xdr:row>2</xdr:row>
      <xdr:rowOff>117146</xdr:rowOff>
    </xdr:to>
    <xdr:cxnSp macro="">
      <xdr:nvCxnSpPr>
        <xdr:cNvPr id="68" name="Straight Connector 67">
          <a:extLst>
            <a:ext uri="{FF2B5EF4-FFF2-40B4-BE49-F238E27FC236}">
              <a16:creationId xmlns:a16="http://schemas.microsoft.com/office/drawing/2014/main" id="{920429B8-DEE7-4589-9003-2936C88A17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477219</xdr:colOff>
      <xdr:row>1</xdr:row>
      <xdr:rowOff>103586</xdr:rowOff>
    </xdr:from>
    <xdr:to>
      <xdr:col>15</xdr:col>
      <xdr:colOff>477219</xdr:colOff>
      <xdr:row>2</xdr:row>
      <xdr:rowOff>117146</xdr:rowOff>
    </xdr:to>
    <xdr:cxnSp macro="">
      <xdr:nvCxnSpPr>
        <xdr:cNvPr id="69" name="Straight Connector 68">
          <a:extLst>
            <a:ext uri="{FF2B5EF4-FFF2-40B4-BE49-F238E27FC236}">
              <a16:creationId xmlns:a16="http://schemas.microsoft.com/office/drawing/2014/main" id="{44B536AC-DD8B-48F2-B3F9-C3F8C064A509}"/>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53</xdr:col>
      <xdr:colOff>656236</xdr:colOff>
      <xdr:row>4</xdr:row>
      <xdr:rowOff>0</xdr:rowOff>
    </xdr:to>
    <xdr:sp macro="" textlink="">
      <xdr:nvSpPr>
        <xdr:cNvPr id="4" name="Rectangle 3">
          <a:extLst>
            <a:ext uri="{FF2B5EF4-FFF2-40B4-BE49-F238E27FC236}">
              <a16:creationId xmlns:a16="http://schemas.microsoft.com/office/drawing/2014/main" id="{E5C21A71-5063-4FFA-B079-25DE67E9D649}"/>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561372</xdr:colOff>
      <xdr:row>1</xdr:row>
      <xdr:rowOff>19879</xdr:rowOff>
    </xdr:from>
    <xdr:to>
      <xdr:col>12</xdr:col>
      <xdr:colOff>550315</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8F8890A5-9CD9-430A-817D-B8943AC254E2}"/>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22" name="Picture 21">
          <a:extLst>
            <a:ext uri="{FF2B5EF4-FFF2-40B4-BE49-F238E27FC236}">
              <a16:creationId xmlns:a16="http://schemas.microsoft.com/office/drawing/2014/main" id="{0B8985E1-0E4D-460F-AE38-5B300E4E09B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1183502</xdr:colOff>
      <xdr:row>1</xdr:row>
      <xdr:rowOff>28201</xdr:rowOff>
    </xdr:from>
    <xdr:to>
      <xdr:col>1</xdr:col>
      <xdr:colOff>1183502</xdr:colOff>
      <xdr:row>2</xdr:row>
      <xdr:rowOff>138545</xdr:rowOff>
    </xdr:to>
    <xdr:cxnSp macro="">
      <xdr:nvCxnSpPr>
        <xdr:cNvPr id="39" name="Straight Connector 38">
          <a:extLst>
            <a:ext uri="{FF2B5EF4-FFF2-40B4-BE49-F238E27FC236}">
              <a16:creationId xmlns:a16="http://schemas.microsoft.com/office/drawing/2014/main" id="{67C5BD55-D3F0-4183-AC3F-DBD37F5CACB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706175</xdr:colOff>
      <xdr:row>1</xdr:row>
      <xdr:rowOff>19879</xdr:rowOff>
    </xdr:from>
    <xdr:to>
      <xdr:col>3</xdr:col>
      <xdr:colOff>622477</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4673E65A-2F8F-423B-A7ED-925C2C835FC9}"/>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525203</xdr:colOff>
      <xdr:row>1</xdr:row>
      <xdr:rowOff>19879</xdr:rowOff>
    </xdr:from>
    <xdr:to>
      <xdr:col>4</xdr:col>
      <xdr:colOff>521601</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751DA4FE-0A8B-4365-8CF6-665FE2CC1AC1}"/>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424327</xdr:colOff>
      <xdr:row>1</xdr:row>
      <xdr:rowOff>19879</xdr:rowOff>
    </xdr:from>
    <xdr:to>
      <xdr:col>5</xdr:col>
      <xdr:colOff>414666</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31D76FBF-7F1E-449C-B20A-E22607D85C6B}"/>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317392</xdr:colOff>
      <xdr:row>1</xdr:row>
      <xdr:rowOff>19879</xdr:rowOff>
    </xdr:from>
    <xdr:to>
      <xdr:col>6</xdr:col>
      <xdr:colOff>313762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A9AF28AD-1675-465B-BB56-8C421864BD4D}"/>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216488</xdr:colOff>
      <xdr:row>1</xdr:row>
      <xdr:rowOff>19879</xdr:rowOff>
    </xdr:from>
    <xdr:to>
      <xdr:col>7</xdr:col>
      <xdr:colOff>216939</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6F46FB3A-4807-4296-B3D9-0957C7467C92}"/>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119665</xdr:colOff>
      <xdr:row>1</xdr:row>
      <xdr:rowOff>19879</xdr:rowOff>
    </xdr:from>
    <xdr:to>
      <xdr:col>8</xdr:col>
      <xdr:colOff>113045</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8C1277BF-791D-4339-8BDD-B66B5AF2E1A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17452</xdr:colOff>
      <xdr:row>1</xdr:row>
      <xdr:rowOff>19879</xdr:rowOff>
    </xdr:from>
    <xdr:to>
      <xdr:col>9</xdr:col>
      <xdr:colOff>9152</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47249956-3DC9-45F1-863D-D01840B00FA8}"/>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8</xdr:col>
      <xdr:colOff>875584</xdr:colOff>
      <xdr:row>1</xdr:row>
      <xdr:rowOff>19879</xdr:rowOff>
    </xdr:from>
    <xdr:to>
      <xdr:col>9</xdr:col>
      <xdr:colOff>869742</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8496B1C1-4A71-47BB-96F9-97116EA07FD0}"/>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772468</xdr:colOff>
      <xdr:row>1</xdr:row>
      <xdr:rowOff>19879</xdr:rowOff>
    </xdr:from>
    <xdr:to>
      <xdr:col>10</xdr:col>
      <xdr:colOff>766979</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C63F643E-9C16-42A8-B670-8D15311B5E80}"/>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669705</xdr:colOff>
      <xdr:row>1</xdr:row>
      <xdr:rowOff>19879</xdr:rowOff>
    </xdr:from>
    <xdr:to>
      <xdr:col>11</xdr:col>
      <xdr:colOff>658646</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33AE9142-4D46-4E82-BA8B-9137D46DACD9}"/>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LBO</a:t>
          </a:r>
        </a:p>
      </xdr:txBody>
    </xdr:sp>
    <xdr:clientData/>
  </xdr:twoCellAnchor>
  <xdr:twoCellAnchor>
    <xdr:from>
      <xdr:col>12</xdr:col>
      <xdr:colOff>453041</xdr:colOff>
      <xdr:row>1</xdr:row>
      <xdr:rowOff>19879</xdr:rowOff>
    </xdr:from>
    <xdr:to>
      <xdr:col>13</xdr:col>
      <xdr:colOff>445157</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57D109D3-2A6A-4A14-9890-9710B67BCBE1}"/>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347883</xdr:colOff>
      <xdr:row>1</xdr:row>
      <xdr:rowOff>19879</xdr:rowOff>
    </xdr:from>
    <xdr:to>
      <xdr:col>14</xdr:col>
      <xdr:colOff>343011</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01C93FA3-CEC8-4FC5-B1B4-6B227B8C6ED8}"/>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14</xdr:col>
      <xdr:colOff>245737</xdr:colOff>
      <xdr:row>1</xdr:row>
      <xdr:rowOff>19879</xdr:rowOff>
    </xdr:from>
    <xdr:to>
      <xdr:col>15</xdr:col>
      <xdr:colOff>239207</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F9E8916E-8A93-42D7-B856-6B1B2F46535B}"/>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15</xdr:col>
      <xdr:colOff>141933</xdr:colOff>
      <xdr:row>1</xdr:row>
      <xdr:rowOff>19879</xdr:rowOff>
    </xdr:from>
    <xdr:to>
      <xdr:col>16</xdr:col>
      <xdr:colOff>139100</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6C6300C5-A50F-48CF-8A23-D40CF38C6723}"/>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16</xdr:col>
      <xdr:colOff>41837</xdr:colOff>
      <xdr:row>1</xdr:row>
      <xdr:rowOff>19879</xdr:rowOff>
    </xdr:from>
    <xdr:to>
      <xdr:col>17</xdr:col>
      <xdr:colOff>36577</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68534189-1DD3-4DD1-9EDD-2F4500AD6C51}"/>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366029</xdr:colOff>
      <xdr:row>1</xdr:row>
      <xdr:rowOff>103586</xdr:rowOff>
    </xdr:from>
    <xdr:to>
      <xdr:col>5</xdr:col>
      <xdr:colOff>366029</xdr:colOff>
      <xdr:row>2</xdr:row>
      <xdr:rowOff>117146</xdr:rowOff>
    </xdr:to>
    <xdr:cxnSp macro="">
      <xdr:nvCxnSpPr>
        <xdr:cNvPr id="55" name="Straight Connector 54">
          <a:extLst>
            <a:ext uri="{FF2B5EF4-FFF2-40B4-BE49-F238E27FC236}">
              <a16:creationId xmlns:a16="http://schemas.microsoft.com/office/drawing/2014/main" id="{7C936F8A-EA55-4747-981D-B4AF0A5BAFB5}"/>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472964</xdr:colOff>
      <xdr:row>1</xdr:row>
      <xdr:rowOff>103586</xdr:rowOff>
    </xdr:from>
    <xdr:to>
      <xdr:col>4</xdr:col>
      <xdr:colOff>472964</xdr:colOff>
      <xdr:row>2</xdr:row>
      <xdr:rowOff>117146</xdr:rowOff>
    </xdr:to>
    <xdr:cxnSp macro="">
      <xdr:nvCxnSpPr>
        <xdr:cNvPr id="56" name="Straight Connector 55">
          <a:extLst>
            <a:ext uri="{FF2B5EF4-FFF2-40B4-BE49-F238E27FC236}">
              <a16:creationId xmlns:a16="http://schemas.microsoft.com/office/drawing/2014/main" id="{02FC1A29-F5E8-433E-904D-E258F1C49FCA}"/>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573840</xdr:colOff>
      <xdr:row>1</xdr:row>
      <xdr:rowOff>103586</xdr:rowOff>
    </xdr:from>
    <xdr:to>
      <xdr:col>3</xdr:col>
      <xdr:colOff>573840</xdr:colOff>
      <xdr:row>2</xdr:row>
      <xdr:rowOff>117146</xdr:rowOff>
    </xdr:to>
    <xdr:cxnSp macro="">
      <xdr:nvCxnSpPr>
        <xdr:cNvPr id="57" name="Straight Connector 56">
          <a:extLst>
            <a:ext uri="{FF2B5EF4-FFF2-40B4-BE49-F238E27FC236}">
              <a16:creationId xmlns:a16="http://schemas.microsoft.com/office/drawing/2014/main" id="{5E741EFA-2F93-4827-8EC2-7565AF73EDC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265125</xdr:colOff>
      <xdr:row>1</xdr:row>
      <xdr:rowOff>103586</xdr:rowOff>
    </xdr:from>
    <xdr:to>
      <xdr:col>6</xdr:col>
      <xdr:colOff>265125</xdr:colOff>
      <xdr:row>2</xdr:row>
      <xdr:rowOff>117146</xdr:rowOff>
    </xdr:to>
    <xdr:cxnSp macro="">
      <xdr:nvCxnSpPr>
        <xdr:cNvPr id="58" name="Straight Connector 57">
          <a:extLst>
            <a:ext uri="{FF2B5EF4-FFF2-40B4-BE49-F238E27FC236}">
              <a16:creationId xmlns:a16="http://schemas.microsoft.com/office/drawing/2014/main" id="{290B1C12-9DC4-4280-9388-821F2B9783C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168302</xdr:colOff>
      <xdr:row>1</xdr:row>
      <xdr:rowOff>103586</xdr:rowOff>
    </xdr:from>
    <xdr:to>
      <xdr:col>7</xdr:col>
      <xdr:colOff>168302</xdr:colOff>
      <xdr:row>2</xdr:row>
      <xdr:rowOff>117146</xdr:rowOff>
    </xdr:to>
    <xdr:cxnSp macro="">
      <xdr:nvCxnSpPr>
        <xdr:cNvPr id="59" name="Straight Connector 58">
          <a:extLst>
            <a:ext uri="{FF2B5EF4-FFF2-40B4-BE49-F238E27FC236}">
              <a16:creationId xmlns:a16="http://schemas.microsoft.com/office/drawing/2014/main" id="{04AA4FC9-E9E9-4A97-8460-9FC5B82E40D9}"/>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64408</xdr:colOff>
      <xdr:row>1</xdr:row>
      <xdr:rowOff>103586</xdr:rowOff>
    </xdr:from>
    <xdr:to>
      <xdr:col>8</xdr:col>
      <xdr:colOff>64408</xdr:colOff>
      <xdr:row>2</xdr:row>
      <xdr:rowOff>117146</xdr:rowOff>
    </xdr:to>
    <xdr:cxnSp macro="">
      <xdr:nvCxnSpPr>
        <xdr:cNvPr id="60" name="Straight Connector 59">
          <a:extLst>
            <a:ext uri="{FF2B5EF4-FFF2-40B4-BE49-F238E27FC236}">
              <a16:creationId xmlns:a16="http://schemas.microsoft.com/office/drawing/2014/main" id="{0917E34D-3039-459F-8B66-3B3152608E7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924221</xdr:colOff>
      <xdr:row>1</xdr:row>
      <xdr:rowOff>103586</xdr:rowOff>
    </xdr:from>
    <xdr:to>
      <xdr:col>8</xdr:col>
      <xdr:colOff>924221</xdr:colOff>
      <xdr:row>2</xdr:row>
      <xdr:rowOff>117146</xdr:rowOff>
    </xdr:to>
    <xdr:cxnSp macro="">
      <xdr:nvCxnSpPr>
        <xdr:cNvPr id="61" name="Straight Connector 60">
          <a:extLst>
            <a:ext uri="{FF2B5EF4-FFF2-40B4-BE49-F238E27FC236}">
              <a16:creationId xmlns:a16="http://schemas.microsoft.com/office/drawing/2014/main" id="{1516AA0C-5532-4A66-87A0-6B3262946C72}"/>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821105</xdr:colOff>
      <xdr:row>1</xdr:row>
      <xdr:rowOff>103586</xdr:rowOff>
    </xdr:from>
    <xdr:to>
      <xdr:col>9</xdr:col>
      <xdr:colOff>821105</xdr:colOff>
      <xdr:row>2</xdr:row>
      <xdr:rowOff>117146</xdr:rowOff>
    </xdr:to>
    <xdr:cxnSp macro="">
      <xdr:nvCxnSpPr>
        <xdr:cNvPr id="62" name="Straight Connector 61">
          <a:extLst>
            <a:ext uri="{FF2B5EF4-FFF2-40B4-BE49-F238E27FC236}">
              <a16:creationId xmlns:a16="http://schemas.microsoft.com/office/drawing/2014/main" id="{8A02328B-88CD-4A7E-8905-4F17362BA2BF}"/>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718342</xdr:colOff>
      <xdr:row>1</xdr:row>
      <xdr:rowOff>103586</xdr:rowOff>
    </xdr:from>
    <xdr:to>
      <xdr:col>10</xdr:col>
      <xdr:colOff>718342</xdr:colOff>
      <xdr:row>2</xdr:row>
      <xdr:rowOff>117146</xdr:rowOff>
    </xdr:to>
    <xdr:cxnSp macro="">
      <xdr:nvCxnSpPr>
        <xdr:cNvPr id="63" name="Straight Connector 62">
          <a:extLst>
            <a:ext uri="{FF2B5EF4-FFF2-40B4-BE49-F238E27FC236}">
              <a16:creationId xmlns:a16="http://schemas.microsoft.com/office/drawing/2014/main" id="{03A12636-1F14-4720-80C8-ADB90DB5E71B}"/>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501678</xdr:colOff>
      <xdr:row>1</xdr:row>
      <xdr:rowOff>103586</xdr:rowOff>
    </xdr:from>
    <xdr:to>
      <xdr:col>12</xdr:col>
      <xdr:colOff>501678</xdr:colOff>
      <xdr:row>2</xdr:row>
      <xdr:rowOff>117146</xdr:rowOff>
    </xdr:to>
    <xdr:cxnSp macro="">
      <xdr:nvCxnSpPr>
        <xdr:cNvPr id="64" name="Straight Connector 63">
          <a:extLst>
            <a:ext uri="{FF2B5EF4-FFF2-40B4-BE49-F238E27FC236}">
              <a16:creationId xmlns:a16="http://schemas.microsoft.com/office/drawing/2014/main" id="{19A6647D-299A-4748-8897-86651E08A9AF}"/>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396520</xdr:colOff>
      <xdr:row>1</xdr:row>
      <xdr:rowOff>103586</xdr:rowOff>
    </xdr:from>
    <xdr:to>
      <xdr:col>13</xdr:col>
      <xdr:colOff>396520</xdr:colOff>
      <xdr:row>2</xdr:row>
      <xdr:rowOff>117146</xdr:rowOff>
    </xdr:to>
    <xdr:cxnSp macro="">
      <xdr:nvCxnSpPr>
        <xdr:cNvPr id="65" name="Straight Connector 64">
          <a:extLst>
            <a:ext uri="{FF2B5EF4-FFF2-40B4-BE49-F238E27FC236}">
              <a16:creationId xmlns:a16="http://schemas.microsoft.com/office/drawing/2014/main" id="{27C23E6B-9619-4050-8B2B-C09015B3ECC7}"/>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294374</xdr:colOff>
      <xdr:row>1</xdr:row>
      <xdr:rowOff>103586</xdr:rowOff>
    </xdr:from>
    <xdr:to>
      <xdr:col>14</xdr:col>
      <xdr:colOff>294374</xdr:colOff>
      <xdr:row>2</xdr:row>
      <xdr:rowOff>117146</xdr:rowOff>
    </xdr:to>
    <xdr:cxnSp macro="">
      <xdr:nvCxnSpPr>
        <xdr:cNvPr id="66" name="Straight Connector 65">
          <a:extLst>
            <a:ext uri="{FF2B5EF4-FFF2-40B4-BE49-F238E27FC236}">
              <a16:creationId xmlns:a16="http://schemas.microsoft.com/office/drawing/2014/main" id="{0C211074-E0E3-47D0-AA39-EFA6DB726808}"/>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190570</xdr:colOff>
      <xdr:row>1</xdr:row>
      <xdr:rowOff>103586</xdr:rowOff>
    </xdr:from>
    <xdr:to>
      <xdr:col>15</xdr:col>
      <xdr:colOff>190570</xdr:colOff>
      <xdr:row>2</xdr:row>
      <xdr:rowOff>117146</xdr:rowOff>
    </xdr:to>
    <xdr:cxnSp macro="">
      <xdr:nvCxnSpPr>
        <xdr:cNvPr id="67" name="Straight Connector 66">
          <a:extLst>
            <a:ext uri="{FF2B5EF4-FFF2-40B4-BE49-F238E27FC236}">
              <a16:creationId xmlns:a16="http://schemas.microsoft.com/office/drawing/2014/main" id="{80EA75DC-B76E-42F6-8F03-2162246808A7}"/>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90463</xdr:colOff>
      <xdr:row>1</xdr:row>
      <xdr:rowOff>103586</xdr:rowOff>
    </xdr:from>
    <xdr:to>
      <xdr:col>16</xdr:col>
      <xdr:colOff>90463</xdr:colOff>
      <xdr:row>2</xdr:row>
      <xdr:rowOff>117146</xdr:rowOff>
    </xdr:to>
    <xdr:cxnSp macro="">
      <xdr:nvCxnSpPr>
        <xdr:cNvPr id="68" name="Straight Connector 67">
          <a:extLst>
            <a:ext uri="{FF2B5EF4-FFF2-40B4-BE49-F238E27FC236}">
              <a16:creationId xmlns:a16="http://schemas.microsoft.com/office/drawing/2014/main" id="{187C8BC0-8340-4C13-8E08-9AAD1A5A3C8B}"/>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610009</xdr:colOff>
      <xdr:row>1</xdr:row>
      <xdr:rowOff>103586</xdr:rowOff>
    </xdr:from>
    <xdr:to>
      <xdr:col>11</xdr:col>
      <xdr:colOff>610009</xdr:colOff>
      <xdr:row>2</xdr:row>
      <xdr:rowOff>117146</xdr:rowOff>
    </xdr:to>
    <xdr:cxnSp macro="">
      <xdr:nvCxnSpPr>
        <xdr:cNvPr id="69" name="Straight Connector 68">
          <a:extLst>
            <a:ext uri="{FF2B5EF4-FFF2-40B4-BE49-F238E27FC236}">
              <a16:creationId xmlns:a16="http://schemas.microsoft.com/office/drawing/2014/main" id="{59D7CCD1-11E7-4F37-94EF-99ED06634EA4}"/>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17</xdr:col>
      <xdr:colOff>20731</xdr:colOff>
      <xdr:row>10</xdr:row>
      <xdr:rowOff>62595</xdr:rowOff>
    </xdr:from>
    <xdr:to>
      <xdr:col>26</xdr:col>
      <xdr:colOff>121584</xdr:colOff>
      <xdr:row>29</xdr:row>
      <xdr:rowOff>1</xdr:rowOff>
    </xdr:to>
    <xdr:graphicFrame macro="">
      <xdr:nvGraphicFramePr>
        <xdr:cNvPr id="4" name="Chart 3">
          <a:extLst>
            <a:ext uri="{FF2B5EF4-FFF2-40B4-BE49-F238E27FC236}">
              <a16:creationId xmlns:a16="http://schemas.microsoft.com/office/drawing/2014/main" id="{D59B45DA-BBAB-715B-113D-35FF819D9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63</xdr:col>
      <xdr:colOff>470779</xdr:colOff>
      <xdr:row>4</xdr:row>
      <xdr:rowOff>0</xdr:rowOff>
    </xdr:to>
    <xdr:sp macro="" textlink="">
      <xdr:nvSpPr>
        <xdr:cNvPr id="40" name="Rectangle 39">
          <a:extLst>
            <a:ext uri="{FF2B5EF4-FFF2-40B4-BE49-F238E27FC236}">
              <a16:creationId xmlns:a16="http://schemas.microsoft.com/office/drawing/2014/main" id="{6718B9DD-6E7D-48AF-84DC-48DE5C595A9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u="sng"/>
        </a:p>
      </xdr:txBody>
    </xdr:sp>
    <xdr:clientData/>
  </xdr:twoCellAnchor>
  <xdr:twoCellAnchor>
    <xdr:from>
      <xdr:col>19</xdr:col>
      <xdr:colOff>81200</xdr:colOff>
      <xdr:row>1</xdr:row>
      <xdr:rowOff>19879</xdr:rowOff>
    </xdr:from>
    <xdr:to>
      <xdr:col>20</xdr:col>
      <xdr:colOff>348609</xdr:colOff>
      <xdr:row>3</xdr:row>
      <xdr:rowOff>10354</xdr:rowOff>
    </xdr:to>
    <xdr:sp macro="" textlink="">
      <xdr:nvSpPr>
        <xdr:cNvPr id="41" name="TextBox 40">
          <a:hlinkClick xmlns:r="http://schemas.openxmlformats.org/officeDocument/2006/relationships" r:id="rId2"/>
          <a:extLst>
            <a:ext uri="{FF2B5EF4-FFF2-40B4-BE49-F238E27FC236}">
              <a16:creationId xmlns:a16="http://schemas.microsoft.com/office/drawing/2014/main" id="{F6E8D479-6FFF-405E-88EE-BD8DF830BFB0}"/>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905DA265-AF8B-4BE0-882A-C33B7072E3F3}"/>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608080</xdr:colOff>
      <xdr:row>1</xdr:row>
      <xdr:rowOff>28201</xdr:rowOff>
    </xdr:from>
    <xdr:to>
      <xdr:col>2</xdr:col>
      <xdr:colOff>608080</xdr:colOff>
      <xdr:row>2</xdr:row>
      <xdr:rowOff>138545</xdr:rowOff>
    </xdr:to>
    <xdr:cxnSp macro="">
      <xdr:nvCxnSpPr>
        <xdr:cNvPr id="44" name="Straight Connector 43">
          <a:extLst>
            <a:ext uri="{FF2B5EF4-FFF2-40B4-BE49-F238E27FC236}">
              <a16:creationId xmlns:a16="http://schemas.microsoft.com/office/drawing/2014/main" id="{2EB8935B-3DB8-4E56-A328-8AC6245D655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377843</xdr:colOff>
      <xdr:row>1</xdr:row>
      <xdr:rowOff>19879</xdr:rowOff>
    </xdr:from>
    <xdr:to>
      <xdr:col>7</xdr:col>
      <xdr:colOff>648811</xdr:colOff>
      <xdr:row>3</xdr:row>
      <xdr:rowOff>10354</xdr:rowOff>
    </xdr:to>
    <xdr:sp macro="" textlink="">
      <xdr:nvSpPr>
        <xdr:cNvPr id="45" name="TextBox 44">
          <a:hlinkClick xmlns:r="http://schemas.openxmlformats.org/officeDocument/2006/relationships" r:id="rId4"/>
          <a:extLst>
            <a:ext uri="{FF2B5EF4-FFF2-40B4-BE49-F238E27FC236}">
              <a16:creationId xmlns:a16="http://schemas.microsoft.com/office/drawing/2014/main" id="{CAABC9B1-FE3F-4E92-9F7D-61862B4F6159}"/>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7</xdr:col>
      <xdr:colOff>551537</xdr:colOff>
      <xdr:row>1</xdr:row>
      <xdr:rowOff>19879</xdr:rowOff>
    </xdr:from>
    <xdr:to>
      <xdr:col>9</xdr:col>
      <xdr:colOff>142842</xdr:colOff>
      <xdr:row>3</xdr:row>
      <xdr:rowOff>10354</xdr:rowOff>
    </xdr:to>
    <xdr:sp macro="" textlink="">
      <xdr:nvSpPr>
        <xdr:cNvPr id="46" name="TextBox 45">
          <a:hlinkClick xmlns:r="http://schemas.openxmlformats.org/officeDocument/2006/relationships" r:id="rId5"/>
          <a:extLst>
            <a:ext uri="{FF2B5EF4-FFF2-40B4-BE49-F238E27FC236}">
              <a16:creationId xmlns:a16="http://schemas.microsoft.com/office/drawing/2014/main" id="{260A05A0-C69E-4B44-B0A3-36837E0E966B}"/>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9</xdr:col>
      <xdr:colOff>45568</xdr:colOff>
      <xdr:row>1</xdr:row>
      <xdr:rowOff>19879</xdr:rowOff>
    </xdr:from>
    <xdr:to>
      <xdr:col>10</xdr:col>
      <xdr:colOff>314373</xdr:colOff>
      <xdr:row>3</xdr:row>
      <xdr:rowOff>10354</xdr:rowOff>
    </xdr:to>
    <xdr:sp macro="" textlink="">
      <xdr:nvSpPr>
        <xdr:cNvPr id="47" name="TextBox 46">
          <a:hlinkClick xmlns:r="http://schemas.openxmlformats.org/officeDocument/2006/relationships" r:id="rId6"/>
          <a:extLst>
            <a:ext uri="{FF2B5EF4-FFF2-40B4-BE49-F238E27FC236}">
              <a16:creationId xmlns:a16="http://schemas.microsoft.com/office/drawing/2014/main" id="{189AE3C0-C619-47A8-8E89-E7E176C02FF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10</xdr:col>
      <xdr:colOff>217099</xdr:colOff>
      <xdr:row>1</xdr:row>
      <xdr:rowOff>19879</xdr:rowOff>
    </xdr:from>
    <xdr:to>
      <xdr:col>11</xdr:col>
      <xdr:colOff>491936</xdr:colOff>
      <xdr:row>3</xdr:row>
      <xdr:rowOff>10354</xdr:rowOff>
    </xdr:to>
    <xdr:sp macro="" textlink="">
      <xdr:nvSpPr>
        <xdr:cNvPr id="48" name="TextBox 47">
          <a:hlinkClick xmlns:r="http://schemas.openxmlformats.org/officeDocument/2006/relationships" r:id="rId7"/>
          <a:extLst>
            <a:ext uri="{FF2B5EF4-FFF2-40B4-BE49-F238E27FC236}">
              <a16:creationId xmlns:a16="http://schemas.microsoft.com/office/drawing/2014/main" id="{A806B1D4-7EB1-499E-87A1-6F5E6372095B}"/>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11</xdr:col>
      <xdr:colOff>394662</xdr:colOff>
      <xdr:row>1</xdr:row>
      <xdr:rowOff>19879</xdr:rowOff>
    </xdr:from>
    <xdr:to>
      <xdr:col>12</xdr:col>
      <xdr:colOff>673579</xdr:colOff>
      <xdr:row>3</xdr:row>
      <xdr:rowOff>10354</xdr:rowOff>
    </xdr:to>
    <xdr:sp macro="" textlink="">
      <xdr:nvSpPr>
        <xdr:cNvPr id="49" name="TextBox 48">
          <a:hlinkClick xmlns:r="http://schemas.openxmlformats.org/officeDocument/2006/relationships" r:id="rId8"/>
          <a:extLst>
            <a:ext uri="{FF2B5EF4-FFF2-40B4-BE49-F238E27FC236}">
              <a16:creationId xmlns:a16="http://schemas.microsoft.com/office/drawing/2014/main" id="{D7ABCDD3-F78A-440B-841A-74247B2A54B6}"/>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576305</xdr:colOff>
      <xdr:row>1</xdr:row>
      <xdr:rowOff>19879</xdr:rowOff>
    </xdr:from>
    <xdr:to>
      <xdr:col>14</xdr:col>
      <xdr:colOff>164592</xdr:colOff>
      <xdr:row>3</xdr:row>
      <xdr:rowOff>10354</xdr:rowOff>
    </xdr:to>
    <xdr:sp macro="" textlink="">
      <xdr:nvSpPr>
        <xdr:cNvPr id="50" name="TextBox 49">
          <a:hlinkClick xmlns:r="http://schemas.openxmlformats.org/officeDocument/2006/relationships" r:id="rId9"/>
          <a:extLst>
            <a:ext uri="{FF2B5EF4-FFF2-40B4-BE49-F238E27FC236}">
              <a16:creationId xmlns:a16="http://schemas.microsoft.com/office/drawing/2014/main" id="{70BA2138-00CE-4D92-9800-A2083B822D6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14</xdr:col>
      <xdr:colOff>68999</xdr:colOff>
      <xdr:row>1</xdr:row>
      <xdr:rowOff>19879</xdr:rowOff>
    </xdr:from>
    <xdr:to>
      <xdr:col>15</xdr:col>
      <xdr:colOff>339165</xdr:colOff>
      <xdr:row>3</xdr:row>
      <xdr:rowOff>10354</xdr:rowOff>
    </xdr:to>
    <xdr:sp macro="" textlink="">
      <xdr:nvSpPr>
        <xdr:cNvPr id="51" name="TextBox 50">
          <a:hlinkClick xmlns:r="http://schemas.openxmlformats.org/officeDocument/2006/relationships" r:id="rId10"/>
          <a:extLst>
            <a:ext uri="{FF2B5EF4-FFF2-40B4-BE49-F238E27FC236}">
              <a16:creationId xmlns:a16="http://schemas.microsoft.com/office/drawing/2014/main" id="{D8A0818B-E92A-4A99-972D-EDADD747A24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15</xdr:col>
      <xdr:colOff>243572</xdr:colOff>
      <xdr:row>1</xdr:row>
      <xdr:rowOff>19879</xdr:rowOff>
    </xdr:from>
    <xdr:to>
      <xdr:col>16</xdr:col>
      <xdr:colOff>516196</xdr:colOff>
      <xdr:row>3</xdr:row>
      <xdr:rowOff>10354</xdr:rowOff>
    </xdr:to>
    <xdr:sp macro="" textlink="">
      <xdr:nvSpPr>
        <xdr:cNvPr id="52" name="TextBox 51">
          <a:hlinkClick xmlns:r="http://schemas.openxmlformats.org/officeDocument/2006/relationships" r:id="rId11"/>
          <a:extLst>
            <a:ext uri="{FF2B5EF4-FFF2-40B4-BE49-F238E27FC236}">
              <a16:creationId xmlns:a16="http://schemas.microsoft.com/office/drawing/2014/main" id="{558721BD-8E0C-4A7C-AB17-053E0ACBDA2C}"/>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16</xdr:col>
      <xdr:colOff>418922</xdr:colOff>
      <xdr:row>1</xdr:row>
      <xdr:rowOff>19879</xdr:rowOff>
    </xdr:from>
    <xdr:to>
      <xdr:col>18</xdr:col>
      <xdr:colOff>8341</xdr:colOff>
      <xdr:row>3</xdr:row>
      <xdr:rowOff>10354</xdr:rowOff>
    </xdr:to>
    <xdr:sp macro="" textlink="">
      <xdr:nvSpPr>
        <xdr:cNvPr id="53" name="TextBox 52">
          <a:hlinkClick xmlns:r="http://schemas.openxmlformats.org/officeDocument/2006/relationships" r:id="rId12"/>
          <a:extLst>
            <a:ext uri="{FF2B5EF4-FFF2-40B4-BE49-F238E27FC236}">
              <a16:creationId xmlns:a16="http://schemas.microsoft.com/office/drawing/2014/main" id="{CD4D31F4-E2B9-4E1F-A2CF-4FF5FF4B252D}"/>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594626</xdr:colOff>
      <xdr:row>1</xdr:row>
      <xdr:rowOff>19879</xdr:rowOff>
    </xdr:from>
    <xdr:to>
      <xdr:col>19</xdr:col>
      <xdr:colOff>178474</xdr:colOff>
      <xdr:row>3</xdr:row>
      <xdr:rowOff>10354</xdr:rowOff>
    </xdr:to>
    <xdr:sp macro="" textlink="">
      <xdr:nvSpPr>
        <xdr:cNvPr id="54" name="TextBox 53">
          <a:hlinkClick xmlns:r="http://schemas.openxmlformats.org/officeDocument/2006/relationships" r:id="rId13"/>
          <a:extLst>
            <a:ext uri="{FF2B5EF4-FFF2-40B4-BE49-F238E27FC236}">
              <a16:creationId xmlns:a16="http://schemas.microsoft.com/office/drawing/2014/main" id="{F7711511-8CCE-4B47-9808-92967898DAEF}"/>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20</xdr:col>
      <xdr:colOff>251335</xdr:colOff>
      <xdr:row>1</xdr:row>
      <xdr:rowOff>19879</xdr:rowOff>
    </xdr:from>
    <xdr:to>
      <xdr:col>21</xdr:col>
      <xdr:colOff>499506</xdr:colOff>
      <xdr:row>3</xdr:row>
      <xdr:rowOff>10354</xdr:rowOff>
    </xdr:to>
    <xdr:sp macro="" textlink="">
      <xdr:nvSpPr>
        <xdr:cNvPr id="55" name="TextBox 54">
          <a:hlinkClick xmlns:r="http://schemas.openxmlformats.org/officeDocument/2006/relationships" r:id="rId14"/>
          <a:extLst>
            <a:ext uri="{FF2B5EF4-FFF2-40B4-BE49-F238E27FC236}">
              <a16:creationId xmlns:a16="http://schemas.microsoft.com/office/drawing/2014/main" id="{8F4FDE50-C839-4729-9F1E-5BA65224AD4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IS</a:t>
          </a:r>
        </a:p>
      </xdr:txBody>
    </xdr:sp>
    <xdr:clientData/>
  </xdr:twoCellAnchor>
  <xdr:twoCellAnchor>
    <xdr:from>
      <xdr:col>21</xdr:col>
      <xdr:colOff>402232</xdr:colOff>
      <xdr:row>1</xdr:row>
      <xdr:rowOff>19879</xdr:rowOff>
    </xdr:from>
    <xdr:to>
      <xdr:col>22</xdr:col>
      <xdr:colOff>653414</xdr:colOff>
      <xdr:row>3</xdr:row>
      <xdr:rowOff>10354</xdr:rowOff>
    </xdr:to>
    <xdr:sp macro="" textlink="">
      <xdr:nvSpPr>
        <xdr:cNvPr id="56" name="TextBox 55">
          <a:hlinkClick xmlns:r="http://schemas.openxmlformats.org/officeDocument/2006/relationships" r:id="rId15"/>
          <a:extLst>
            <a:ext uri="{FF2B5EF4-FFF2-40B4-BE49-F238E27FC236}">
              <a16:creationId xmlns:a16="http://schemas.microsoft.com/office/drawing/2014/main" id="{B690B155-83CD-497D-BA24-221594A95679}"/>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556140</xdr:colOff>
      <xdr:row>1</xdr:row>
      <xdr:rowOff>19879</xdr:rowOff>
    </xdr:from>
    <xdr:to>
      <xdr:col>24</xdr:col>
      <xdr:colOff>99694</xdr:colOff>
      <xdr:row>3</xdr:row>
      <xdr:rowOff>10354</xdr:rowOff>
    </xdr:to>
    <xdr:sp macro="" textlink="">
      <xdr:nvSpPr>
        <xdr:cNvPr id="57" name="TextBox 56">
          <a:hlinkClick xmlns:r="http://schemas.openxmlformats.org/officeDocument/2006/relationships" r:id="rId16"/>
          <a:extLst>
            <a:ext uri="{FF2B5EF4-FFF2-40B4-BE49-F238E27FC236}">
              <a16:creationId xmlns:a16="http://schemas.microsoft.com/office/drawing/2014/main" id="{2DF37820-DAA4-4FE6-9B0F-51271951F90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24</xdr:col>
      <xdr:colOff>2420</xdr:colOff>
      <xdr:row>1</xdr:row>
      <xdr:rowOff>19879</xdr:rowOff>
    </xdr:from>
    <xdr:to>
      <xdr:col>25</xdr:col>
      <xdr:colOff>278053</xdr:colOff>
      <xdr:row>3</xdr:row>
      <xdr:rowOff>10354</xdr:rowOff>
    </xdr:to>
    <xdr:sp macro="" textlink="">
      <xdr:nvSpPr>
        <xdr:cNvPr id="58" name="TextBox 57">
          <a:hlinkClick xmlns:r="http://schemas.openxmlformats.org/officeDocument/2006/relationships" r:id="rId17"/>
          <a:extLst>
            <a:ext uri="{FF2B5EF4-FFF2-40B4-BE49-F238E27FC236}">
              <a16:creationId xmlns:a16="http://schemas.microsoft.com/office/drawing/2014/main" id="{CD0814D2-F40E-4F77-A934-A66F94BB9462}"/>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25</xdr:col>
      <xdr:colOff>180790</xdr:colOff>
      <xdr:row>1</xdr:row>
      <xdr:rowOff>19879</xdr:rowOff>
    </xdr:from>
    <xdr:to>
      <xdr:col>26</xdr:col>
      <xdr:colOff>453996</xdr:colOff>
      <xdr:row>3</xdr:row>
      <xdr:rowOff>10354</xdr:rowOff>
    </xdr:to>
    <xdr:sp macro="" textlink="">
      <xdr:nvSpPr>
        <xdr:cNvPr id="59" name="TextBox 58">
          <a:hlinkClick xmlns:r="http://schemas.openxmlformats.org/officeDocument/2006/relationships" r:id="rId18"/>
          <a:extLst>
            <a:ext uri="{FF2B5EF4-FFF2-40B4-BE49-F238E27FC236}">
              <a16:creationId xmlns:a16="http://schemas.microsoft.com/office/drawing/2014/main" id="{C2CA7DD5-E5DC-4811-B179-76B86367350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10</xdr:col>
      <xdr:colOff>265736</xdr:colOff>
      <xdr:row>1</xdr:row>
      <xdr:rowOff>103586</xdr:rowOff>
    </xdr:from>
    <xdr:to>
      <xdr:col>10</xdr:col>
      <xdr:colOff>265736</xdr:colOff>
      <xdr:row>2</xdr:row>
      <xdr:rowOff>117146</xdr:rowOff>
    </xdr:to>
    <xdr:cxnSp macro="">
      <xdr:nvCxnSpPr>
        <xdr:cNvPr id="60" name="Straight Connector 59">
          <a:extLst>
            <a:ext uri="{FF2B5EF4-FFF2-40B4-BE49-F238E27FC236}">
              <a16:creationId xmlns:a16="http://schemas.microsoft.com/office/drawing/2014/main" id="{A0ACF81B-D411-490F-8AAC-6DDBC353177D}"/>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94205</xdr:colOff>
      <xdr:row>1</xdr:row>
      <xdr:rowOff>103586</xdr:rowOff>
    </xdr:from>
    <xdr:to>
      <xdr:col>9</xdr:col>
      <xdr:colOff>94205</xdr:colOff>
      <xdr:row>2</xdr:row>
      <xdr:rowOff>117146</xdr:rowOff>
    </xdr:to>
    <xdr:cxnSp macro="">
      <xdr:nvCxnSpPr>
        <xdr:cNvPr id="61" name="Straight Connector 60">
          <a:extLst>
            <a:ext uri="{FF2B5EF4-FFF2-40B4-BE49-F238E27FC236}">
              <a16:creationId xmlns:a16="http://schemas.microsoft.com/office/drawing/2014/main" id="{446FAD6D-611D-468E-AFDD-0B52AD38A2BC}"/>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600174</xdr:colOff>
      <xdr:row>1</xdr:row>
      <xdr:rowOff>103586</xdr:rowOff>
    </xdr:from>
    <xdr:to>
      <xdr:col>7</xdr:col>
      <xdr:colOff>600174</xdr:colOff>
      <xdr:row>2</xdr:row>
      <xdr:rowOff>117146</xdr:rowOff>
    </xdr:to>
    <xdr:cxnSp macro="">
      <xdr:nvCxnSpPr>
        <xdr:cNvPr id="62" name="Straight Connector 61">
          <a:extLst>
            <a:ext uri="{FF2B5EF4-FFF2-40B4-BE49-F238E27FC236}">
              <a16:creationId xmlns:a16="http://schemas.microsoft.com/office/drawing/2014/main" id="{00538D45-E35F-40D3-A792-EB55720A9A57}"/>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443299</xdr:colOff>
      <xdr:row>1</xdr:row>
      <xdr:rowOff>103586</xdr:rowOff>
    </xdr:from>
    <xdr:to>
      <xdr:col>11</xdr:col>
      <xdr:colOff>443299</xdr:colOff>
      <xdr:row>2</xdr:row>
      <xdr:rowOff>117146</xdr:rowOff>
    </xdr:to>
    <xdr:cxnSp macro="">
      <xdr:nvCxnSpPr>
        <xdr:cNvPr id="63" name="Straight Connector 62">
          <a:extLst>
            <a:ext uri="{FF2B5EF4-FFF2-40B4-BE49-F238E27FC236}">
              <a16:creationId xmlns:a16="http://schemas.microsoft.com/office/drawing/2014/main" id="{65DA74B9-16C2-4CB0-95E5-B9DE60AA1E8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624942</xdr:colOff>
      <xdr:row>1</xdr:row>
      <xdr:rowOff>103586</xdr:rowOff>
    </xdr:from>
    <xdr:to>
      <xdr:col>12</xdr:col>
      <xdr:colOff>624942</xdr:colOff>
      <xdr:row>2</xdr:row>
      <xdr:rowOff>117146</xdr:rowOff>
    </xdr:to>
    <xdr:cxnSp macro="">
      <xdr:nvCxnSpPr>
        <xdr:cNvPr id="64" name="Straight Connector 63">
          <a:extLst>
            <a:ext uri="{FF2B5EF4-FFF2-40B4-BE49-F238E27FC236}">
              <a16:creationId xmlns:a16="http://schemas.microsoft.com/office/drawing/2014/main" id="{A3F16B74-111A-4B8E-8554-2C324B17183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115955</xdr:colOff>
      <xdr:row>1</xdr:row>
      <xdr:rowOff>103586</xdr:rowOff>
    </xdr:from>
    <xdr:to>
      <xdr:col>14</xdr:col>
      <xdr:colOff>115955</xdr:colOff>
      <xdr:row>2</xdr:row>
      <xdr:rowOff>117146</xdr:rowOff>
    </xdr:to>
    <xdr:cxnSp macro="">
      <xdr:nvCxnSpPr>
        <xdr:cNvPr id="65" name="Straight Connector 64">
          <a:extLst>
            <a:ext uri="{FF2B5EF4-FFF2-40B4-BE49-F238E27FC236}">
              <a16:creationId xmlns:a16="http://schemas.microsoft.com/office/drawing/2014/main" id="{F12CE0FF-7D24-464B-A695-6CEA16B58253}"/>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292209</xdr:colOff>
      <xdr:row>1</xdr:row>
      <xdr:rowOff>103586</xdr:rowOff>
    </xdr:from>
    <xdr:to>
      <xdr:col>15</xdr:col>
      <xdr:colOff>292209</xdr:colOff>
      <xdr:row>2</xdr:row>
      <xdr:rowOff>117146</xdr:rowOff>
    </xdr:to>
    <xdr:cxnSp macro="">
      <xdr:nvCxnSpPr>
        <xdr:cNvPr id="66" name="Straight Connector 65">
          <a:extLst>
            <a:ext uri="{FF2B5EF4-FFF2-40B4-BE49-F238E27FC236}">
              <a16:creationId xmlns:a16="http://schemas.microsoft.com/office/drawing/2014/main" id="{24BE83D7-0CAA-40CA-98DF-7E0A634074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467559</xdr:colOff>
      <xdr:row>1</xdr:row>
      <xdr:rowOff>103586</xdr:rowOff>
    </xdr:from>
    <xdr:to>
      <xdr:col>16</xdr:col>
      <xdr:colOff>467559</xdr:colOff>
      <xdr:row>2</xdr:row>
      <xdr:rowOff>117146</xdr:rowOff>
    </xdr:to>
    <xdr:cxnSp macro="">
      <xdr:nvCxnSpPr>
        <xdr:cNvPr id="67" name="Straight Connector 66">
          <a:extLst>
            <a:ext uri="{FF2B5EF4-FFF2-40B4-BE49-F238E27FC236}">
              <a16:creationId xmlns:a16="http://schemas.microsoft.com/office/drawing/2014/main" id="{B568332A-8914-4393-A547-EED847086A9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643263</xdr:colOff>
      <xdr:row>1</xdr:row>
      <xdr:rowOff>103586</xdr:rowOff>
    </xdr:from>
    <xdr:to>
      <xdr:col>17</xdr:col>
      <xdr:colOff>643263</xdr:colOff>
      <xdr:row>2</xdr:row>
      <xdr:rowOff>117146</xdr:rowOff>
    </xdr:to>
    <xdr:cxnSp macro="">
      <xdr:nvCxnSpPr>
        <xdr:cNvPr id="68" name="Straight Connector 67">
          <a:extLst>
            <a:ext uri="{FF2B5EF4-FFF2-40B4-BE49-F238E27FC236}">
              <a16:creationId xmlns:a16="http://schemas.microsoft.com/office/drawing/2014/main" id="{5D355C19-F67E-4301-85D4-2E7149DCEAC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299972</xdr:colOff>
      <xdr:row>1</xdr:row>
      <xdr:rowOff>103586</xdr:rowOff>
    </xdr:from>
    <xdr:to>
      <xdr:col>20</xdr:col>
      <xdr:colOff>299972</xdr:colOff>
      <xdr:row>2</xdr:row>
      <xdr:rowOff>117146</xdr:rowOff>
    </xdr:to>
    <xdr:cxnSp macro="">
      <xdr:nvCxnSpPr>
        <xdr:cNvPr id="69" name="Straight Connector 68">
          <a:extLst>
            <a:ext uri="{FF2B5EF4-FFF2-40B4-BE49-F238E27FC236}">
              <a16:creationId xmlns:a16="http://schemas.microsoft.com/office/drawing/2014/main" id="{A25C1E46-D717-43B6-A8B1-67C1DE4B19D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450869</xdr:colOff>
      <xdr:row>1</xdr:row>
      <xdr:rowOff>103586</xdr:rowOff>
    </xdr:from>
    <xdr:to>
      <xdr:col>21</xdr:col>
      <xdr:colOff>450869</xdr:colOff>
      <xdr:row>2</xdr:row>
      <xdr:rowOff>117146</xdr:rowOff>
    </xdr:to>
    <xdr:cxnSp macro="">
      <xdr:nvCxnSpPr>
        <xdr:cNvPr id="70" name="Straight Connector 69">
          <a:extLst>
            <a:ext uri="{FF2B5EF4-FFF2-40B4-BE49-F238E27FC236}">
              <a16:creationId xmlns:a16="http://schemas.microsoft.com/office/drawing/2014/main" id="{9FC8B357-5AA4-47D3-8DFF-59C516DD8890}"/>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604777</xdr:colOff>
      <xdr:row>1</xdr:row>
      <xdr:rowOff>103586</xdr:rowOff>
    </xdr:from>
    <xdr:to>
      <xdr:col>22</xdr:col>
      <xdr:colOff>604777</xdr:colOff>
      <xdr:row>2</xdr:row>
      <xdr:rowOff>117146</xdr:rowOff>
    </xdr:to>
    <xdr:cxnSp macro="">
      <xdr:nvCxnSpPr>
        <xdr:cNvPr id="71" name="Straight Connector 70">
          <a:extLst>
            <a:ext uri="{FF2B5EF4-FFF2-40B4-BE49-F238E27FC236}">
              <a16:creationId xmlns:a16="http://schemas.microsoft.com/office/drawing/2014/main" id="{599B67DC-74F5-46EC-8CC7-2C11D4DB7D0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51057</xdr:colOff>
      <xdr:row>1</xdr:row>
      <xdr:rowOff>103586</xdr:rowOff>
    </xdr:from>
    <xdr:to>
      <xdr:col>24</xdr:col>
      <xdr:colOff>51057</xdr:colOff>
      <xdr:row>2</xdr:row>
      <xdr:rowOff>117146</xdr:rowOff>
    </xdr:to>
    <xdr:cxnSp macro="">
      <xdr:nvCxnSpPr>
        <xdr:cNvPr id="72" name="Straight Connector 71">
          <a:extLst>
            <a:ext uri="{FF2B5EF4-FFF2-40B4-BE49-F238E27FC236}">
              <a16:creationId xmlns:a16="http://schemas.microsoft.com/office/drawing/2014/main" id="{34EAB332-56E6-4F99-B973-1FBAB46550C9}"/>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229416</xdr:colOff>
      <xdr:row>1</xdr:row>
      <xdr:rowOff>103586</xdr:rowOff>
    </xdr:from>
    <xdr:to>
      <xdr:col>25</xdr:col>
      <xdr:colOff>229416</xdr:colOff>
      <xdr:row>2</xdr:row>
      <xdr:rowOff>117146</xdr:rowOff>
    </xdr:to>
    <xdr:cxnSp macro="">
      <xdr:nvCxnSpPr>
        <xdr:cNvPr id="73" name="Straight Connector 72">
          <a:extLst>
            <a:ext uri="{FF2B5EF4-FFF2-40B4-BE49-F238E27FC236}">
              <a16:creationId xmlns:a16="http://schemas.microsoft.com/office/drawing/2014/main" id="{8433AE92-9548-4BE5-872D-1CF6D0688884}"/>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129837</xdr:colOff>
      <xdr:row>1</xdr:row>
      <xdr:rowOff>103586</xdr:rowOff>
    </xdr:from>
    <xdr:to>
      <xdr:col>19</xdr:col>
      <xdr:colOff>129837</xdr:colOff>
      <xdr:row>2</xdr:row>
      <xdr:rowOff>117146</xdr:rowOff>
    </xdr:to>
    <xdr:cxnSp macro="">
      <xdr:nvCxnSpPr>
        <xdr:cNvPr id="74" name="Straight Connector 73">
          <a:extLst>
            <a:ext uri="{FF2B5EF4-FFF2-40B4-BE49-F238E27FC236}">
              <a16:creationId xmlns:a16="http://schemas.microsoft.com/office/drawing/2014/main" id="{6CCA1591-D2F2-495C-876C-5045CAD5DBEF}"/>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244230</xdr:colOff>
      <xdr:row>11</xdr:row>
      <xdr:rowOff>48846</xdr:rowOff>
    </xdr:from>
    <xdr:to>
      <xdr:col>11</xdr:col>
      <xdr:colOff>14955</xdr:colOff>
      <xdr:row>33</xdr:row>
      <xdr:rowOff>45358</xdr:rowOff>
    </xdr:to>
    <xdr:pic>
      <xdr:nvPicPr>
        <xdr:cNvPr id="8" name="Picture 7">
          <a:extLst>
            <a:ext uri="{FF2B5EF4-FFF2-40B4-BE49-F238E27FC236}">
              <a16:creationId xmlns:a16="http://schemas.microsoft.com/office/drawing/2014/main" id="{A129FEEE-7D9A-D2D8-0F5E-8A1C6E2BE8E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075778" y="1908489"/>
          <a:ext cx="7103463" cy="4320559"/>
        </a:xfrm>
        <a:prstGeom prst="rect">
          <a:avLst/>
        </a:prstGeom>
      </xdr:spPr>
    </xdr:pic>
    <xdr:clientData/>
  </xdr:twoCellAnchor>
  <xdr:twoCellAnchor editAs="oneCell">
    <xdr:from>
      <xdr:col>1</xdr:col>
      <xdr:colOff>496604</xdr:colOff>
      <xdr:row>41</xdr:row>
      <xdr:rowOff>5992</xdr:rowOff>
    </xdr:from>
    <xdr:to>
      <xdr:col>7</xdr:col>
      <xdr:colOff>464216</xdr:colOff>
      <xdr:row>59</xdr:row>
      <xdr:rowOff>154215</xdr:rowOff>
    </xdr:to>
    <xdr:pic>
      <xdr:nvPicPr>
        <xdr:cNvPr id="2" name="Picture 9">
          <a:extLst>
            <a:ext uri="{FF2B5EF4-FFF2-40B4-BE49-F238E27FC236}">
              <a16:creationId xmlns:a16="http://schemas.microsoft.com/office/drawing/2014/main" id="{FCFB5DD8-BDEE-CE5B-FF53-10FA4F0AFE2B}"/>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647794" y="7762063"/>
          <a:ext cx="5293992" cy="357722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43017C49-9EA0-4EE2-81EB-25B9D10D4D8D}"/>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4" name="TextBox 3">
          <a:hlinkClick xmlns:r="http://schemas.openxmlformats.org/officeDocument/2006/relationships" r:id="rId1"/>
          <a:extLst>
            <a:ext uri="{FF2B5EF4-FFF2-40B4-BE49-F238E27FC236}">
              <a16:creationId xmlns:a16="http://schemas.microsoft.com/office/drawing/2014/main" id="{7D420E38-046F-4AEF-8E50-F0365EFDD3F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5" name="Picture 4">
          <a:extLst>
            <a:ext uri="{FF2B5EF4-FFF2-40B4-BE49-F238E27FC236}">
              <a16:creationId xmlns:a16="http://schemas.microsoft.com/office/drawing/2014/main" id="{69131AEF-2AB8-4195-BDFA-16D6DEF395F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78218EBC-5A74-4226-9ECC-56BACFD4503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C129E1FF-62DE-45B1-8AB2-B1C39505603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9AE9281B-70F9-4203-8C6F-72A1E6927BB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08731BB7-EA48-49A2-AB22-4372BAC93FF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BA22BF2A-0106-4188-B0C7-88D2269405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761007E9-9A05-4B11-90F0-7290F9A13CB4}"/>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FF1174C0-DD1A-4C7F-ADC1-75DA876F2BA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927DFDED-D84E-477F-BF27-85683C68C52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D3572F7D-2225-45C3-AFCC-55F670CC229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CB330906-E121-4D99-982D-FC5020616F3C}"/>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C9A5D376-C3D5-47FD-B425-6C353600B78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C8ABB620-6C0F-4EFF-A586-6B8FBA36764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24EFB7B9-EB57-4B4B-909D-B34156B6FF7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B25CF6BF-1B77-4615-83BE-D64C942249C5}"/>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A360A8FE-A2F0-49A3-9AC0-802EA17937A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B2AA7A40-AE0C-49DA-BBFB-286549F1AC2D}"/>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24A051E6-1392-4828-9BA1-B13F5C3E5986}"/>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17FCE4C-3B17-46AE-8072-A3DCE8DB002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ED665E52-3C41-4278-80FE-4B8353ACB366}"/>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1A3A78B6-51C2-4CE8-8E38-10891F0B031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40CA7663-7096-40B3-9DC0-0E76ECF850FA}"/>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599EA639-8AFE-4F25-804C-31CE707CBF72}"/>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5F28E991-396E-4CB9-96CD-E84A2CA2F371}"/>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5F7DFCC2-113E-4F25-9A19-320E6EDCBC1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5EE0C0F-1EFA-42F9-8B2A-134651E76B8C}"/>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7F0F97D-A38E-4AD2-98D0-0EDA19DFDB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5E56EF89-BA47-4A5A-8793-D4DF99559ECF}"/>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A49D973B-E1D6-4171-98DE-3CE5129259A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58279B69-0D3D-4DE5-93A8-6D7E615DFDD4}"/>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C2D41711-31D1-4EB5-965D-DC83F3B9BCC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265A516A-A86D-4AB2-B867-532883B80F2D}"/>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124197</xdr:colOff>
      <xdr:row>4</xdr:row>
      <xdr:rowOff>0</xdr:rowOff>
    </xdr:to>
    <xdr:sp macro="" textlink="">
      <xdr:nvSpPr>
        <xdr:cNvPr id="4" name="Rectangle 3">
          <a:extLst>
            <a:ext uri="{FF2B5EF4-FFF2-40B4-BE49-F238E27FC236}">
              <a16:creationId xmlns:a16="http://schemas.microsoft.com/office/drawing/2014/main" id="{617FAE12-5B59-435D-B24B-0FCBF974820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AC51300F-E5C3-4DA0-8124-E456063E06C5}"/>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211799E0-91EF-44D6-8652-E3D5FC6D0EC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B9F33AD2-D475-457E-A876-AD16D5FA510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0901A182-93A0-43E7-B11F-9242774613D0}"/>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E157F68F-619A-43B6-935E-9FA5DA220B5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4485F24B-BA52-46D3-A985-6D55B37CE809}"/>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E682221F-4755-4ECE-9218-DCFAF07747B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7E701A3A-E82E-4FBD-9207-6E16365DEA52}"/>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06338BF7-6B8B-47CF-B4D7-6B213D7D194B}"/>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130FFE4A-EECE-44A1-8B9B-16DE1CFE852B}"/>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FB937D78-F683-4486-A17C-BCE41D4951B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E23C3758-3925-4B52-9016-A86DA7019C9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31B22D2D-90A3-47C7-AA4C-04998904BC19}"/>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EBD948F3-B150-49E0-9FE4-A1BEE18B32D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7E679969-D9FC-4E42-BA71-91F1E080BB4E}"/>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DC5657EA-9DB2-4806-92EB-CBC9535B4FF8}"/>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FFBB7292-B296-4EC5-87AA-E0E887AC9FA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EF2F54B5-EA83-4AB6-9281-8DC7D985AD4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DF9E42C4-49A2-40E4-9467-45F4323210C0}"/>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9161BDF-FF88-4458-A34E-C81C183520C9}"/>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3001A618-7877-4DE3-A81D-042089FC0A1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6DF62CF3-B167-4CF8-87BF-6DA43705B9E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8078C07A-269D-49D8-9436-9219448DFA7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9256061D-ECF0-42A2-AB2E-189FCE9C0136}"/>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199825F1-5805-49A5-B44F-8D055BB4E6CE}"/>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93A18476-8DBF-42F6-8657-DC0B10A1E1DC}"/>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9E59116F-26F3-4C72-830B-827EFA920B33}"/>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C53A68F6-38CF-4A81-814F-814D619AEBD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863A907D-30B0-4C5E-870E-116186F07A6B}"/>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09AAB225-3204-4862-ACB3-1C74EACEE8F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4136DC8A-9384-4B44-A3A7-76D13B1D4183}"/>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A178428A-72B7-4B5A-99B2-177D5C6DFCC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E016A023-4A45-44D7-BD38-DC68691D85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8EAC2606-C0C2-497E-A715-23ED24CC3AC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0872C436-FE21-48CA-B36B-A11125B4403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4B4F7FA-B997-4609-8FA9-E4DA75667B7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D441F765-015E-4581-B8EB-2FF0F23974A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8748FDB3-670A-46FA-90AF-730E5E7298A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34961042-2226-4205-B443-E3DAAB93589D}"/>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5814298F-CC85-40C1-B421-18F46824310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E903F656-3553-4D22-86C4-8631F3E2309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C9F92C18-FDC6-42E9-B18E-17C2F1212D1A}"/>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201AE1B9-D528-4521-8483-574B5F2DB6F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8EED5DFC-76D0-4741-AE6E-F473ABD5B69D}"/>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D90285C-EB04-44F9-ADD0-BE5988EAC347}"/>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5B86942F-12E7-4247-ACE7-78FB84B0DD5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5D2E482F-82FF-4118-AB32-65CD6059A71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6A9F3FBF-9B64-4880-98BA-BF771C0F1D3C}"/>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7E3A4EDF-8C3C-4EDA-ACC1-8B6A5ABC1C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CB3A954F-781C-46DE-A05E-0FAF59BCFF6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73C2DC9A-0314-4D64-A362-8A97626EFEE3}"/>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489E87B7-F477-4B23-916E-2EDB87BAECE5}"/>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0B595BC7-6D7E-487F-B48E-DD228A7540A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F4231307-8765-40DA-B8BC-06ADAAA7396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80BD65C5-7418-4551-9DDD-15CD9F9C90CB}"/>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40DC60D3-5B9D-43FF-A8C9-D33D52BB59D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D8C6375C-F869-4486-BBE8-5FB51E26473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E79765E9-6069-4F02-9124-ADC2CBD56771}"/>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BAA2D6D1-1F08-466A-8150-E50D91BED24D}"/>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76E5C163-2418-437F-8FF9-5E8E08664A5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95EC85A-8A41-4823-82E6-312E23978A1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E892B0E-2B9B-4DDD-A589-5B4762F65B5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14C39EA0-CC20-4C99-BAF0-7C7E5B63B9C3}"/>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42EBCD54-7E84-465C-B5E7-F5AAC5FDDDB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335B30A3-697A-4A1E-B76C-ECD8101A143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83013B23-C7B7-4B25-AB09-1436E01F1BF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DA612801-D5D5-4866-827C-9B4F706573E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646711</xdr:colOff>
      <xdr:row>4</xdr:row>
      <xdr:rowOff>0</xdr:rowOff>
    </xdr:to>
    <xdr:sp macro="" textlink="">
      <xdr:nvSpPr>
        <xdr:cNvPr id="2" name="Rectangle 1">
          <a:extLst>
            <a:ext uri="{FF2B5EF4-FFF2-40B4-BE49-F238E27FC236}">
              <a16:creationId xmlns:a16="http://schemas.microsoft.com/office/drawing/2014/main" id="{E1C9947F-F394-4AF7-921D-36742362EF6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380397</xdr:colOff>
      <xdr:row>1</xdr:row>
      <xdr:rowOff>19879</xdr:rowOff>
    </xdr:from>
    <xdr:to>
      <xdr:col>16</xdr:col>
      <xdr:colOff>597940</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8318BBB9-2ABA-42A0-97F4-2DA4655210A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8CAF285-4CE8-430A-92A4-407037A4027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39" name="Straight Connector 38">
          <a:extLst>
            <a:ext uri="{FF2B5EF4-FFF2-40B4-BE49-F238E27FC236}">
              <a16:creationId xmlns:a16="http://schemas.microsoft.com/office/drawing/2014/main" id="{30A0E70F-5A05-42AE-9D7F-5B17CEE8C5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3792275</xdr:colOff>
      <xdr:row>1</xdr:row>
      <xdr:rowOff>19879</xdr:rowOff>
    </xdr:from>
    <xdr:to>
      <xdr:col>3</xdr:col>
      <xdr:colOff>632002</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3E60C308-B1CB-4F3A-B247-FC7F7CCB4B4E}"/>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534728</xdr:colOff>
      <xdr:row>1</xdr:row>
      <xdr:rowOff>19879</xdr:rowOff>
    </xdr:from>
    <xdr:to>
      <xdr:col>5</xdr:col>
      <xdr:colOff>26301</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7DDBCB69-7E11-4DB8-8AE6-A199C826606A}"/>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662452</xdr:colOff>
      <xdr:row>1</xdr:row>
      <xdr:rowOff>19879</xdr:rowOff>
    </xdr:from>
    <xdr:to>
      <xdr:col>6</xdr:col>
      <xdr:colOff>147966</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1D42B26A-7FF3-4669-A319-0F7544F9DB4C}"/>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50692</xdr:colOff>
      <xdr:row>1</xdr:row>
      <xdr:rowOff>19879</xdr:rowOff>
    </xdr:from>
    <xdr:to>
      <xdr:col>7</xdr:col>
      <xdr:colOff>275662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1F869B43-1693-44E8-8A19-3D5A9D14B62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178388</xdr:colOff>
      <xdr:row>1</xdr:row>
      <xdr:rowOff>19879</xdr:rowOff>
    </xdr:from>
    <xdr:to>
      <xdr:col>9</xdr:col>
      <xdr:colOff>131214</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93194E40-6FC6-475C-A2E2-25BF58699338}"/>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33940</xdr:colOff>
      <xdr:row>1</xdr:row>
      <xdr:rowOff>19879</xdr:rowOff>
    </xdr:from>
    <xdr:to>
      <xdr:col>10</xdr:col>
      <xdr:colOff>255920</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62B0565C-CAD8-411D-976E-BC0F1ABDF76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160327</xdr:colOff>
      <xdr:row>1</xdr:row>
      <xdr:rowOff>19879</xdr:rowOff>
    </xdr:from>
    <xdr:to>
      <xdr:col>11</xdr:col>
      <xdr:colOff>380627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78B235BA-74AD-4E08-B5D9-E804F021FA20}"/>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285034</xdr:colOff>
      <xdr:row>1</xdr:row>
      <xdr:rowOff>19879</xdr:rowOff>
    </xdr:from>
    <xdr:to>
      <xdr:col>12</xdr:col>
      <xdr:colOff>507792</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3D652B5F-A72B-4094-A3A3-738A003EB0F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410518</xdr:colOff>
      <xdr:row>1</xdr:row>
      <xdr:rowOff>19879</xdr:rowOff>
    </xdr:from>
    <xdr:to>
      <xdr:col>13</xdr:col>
      <xdr:colOff>633629</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B34FEDB6-4CA5-441E-A5B9-B0A049D6F51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536355</xdr:colOff>
      <xdr:row>1</xdr:row>
      <xdr:rowOff>19879</xdr:rowOff>
    </xdr:from>
    <xdr:to>
      <xdr:col>15</xdr:col>
      <xdr:colOff>477671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AB80B540-DB95-4AAF-ACB0-ABA272E398B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500666</xdr:colOff>
      <xdr:row>1</xdr:row>
      <xdr:rowOff>19879</xdr:rowOff>
    </xdr:from>
    <xdr:to>
      <xdr:col>17</xdr:col>
      <xdr:colOff>721382</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F19AAFDF-C056-44A7-8A04-A34B0C13395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624108</xdr:colOff>
      <xdr:row>1</xdr:row>
      <xdr:rowOff>19879</xdr:rowOff>
    </xdr:from>
    <xdr:to>
      <xdr:col>19</xdr:col>
      <xdr:colOff>114411</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DF35B489-5A58-4FDE-A7D3-7703A4ECE435}"/>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17137</xdr:colOff>
      <xdr:row>1</xdr:row>
      <xdr:rowOff>19879</xdr:rowOff>
    </xdr:from>
    <xdr:to>
      <xdr:col>20</xdr:col>
      <xdr:colOff>86807</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36E2A83A-BDFE-4800-9BA5-1B2B7A15868E}"/>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875358</xdr:colOff>
      <xdr:row>1</xdr:row>
      <xdr:rowOff>19879</xdr:rowOff>
    </xdr:from>
    <xdr:to>
      <xdr:col>22</xdr:col>
      <xdr:colOff>91475</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34408FD4-D917-4B66-9AE0-519E07F3BB58}"/>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Error</a:t>
          </a:r>
        </a:p>
      </xdr:txBody>
    </xdr:sp>
    <xdr:clientData/>
  </xdr:twoCellAnchor>
  <xdr:twoCellAnchor>
    <xdr:from>
      <xdr:col>21</xdr:col>
      <xdr:colOff>727637</xdr:colOff>
      <xdr:row>1</xdr:row>
      <xdr:rowOff>19879</xdr:rowOff>
    </xdr:from>
    <xdr:to>
      <xdr:col>23</xdr:col>
      <xdr:colOff>217552</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7081A1CB-B9BD-4F04-A38D-F435B1BBF65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99329</xdr:colOff>
      <xdr:row>1</xdr:row>
      <xdr:rowOff>103586</xdr:rowOff>
    </xdr:from>
    <xdr:to>
      <xdr:col>6</xdr:col>
      <xdr:colOff>99329</xdr:colOff>
      <xdr:row>2</xdr:row>
      <xdr:rowOff>117146</xdr:rowOff>
    </xdr:to>
    <xdr:cxnSp macro="">
      <xdr:nvCxnSpPr>
        <xdr:cNvPr id="55" name="Straight Connector 54">
          <a:extLst>
            <a:ext uri="{FF2B5EF4-FFF2-40B4-BE49-F238E27FC236}">
              <a16:creationId xmlns:a16="http://schemas.microsoft.com/office/drawing/2014/main" id="{B2C964CE-13FD-446A-8B57-18F17B645CC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711089</xdr:colOff>
      <xdr:row>1</xdr:row>
      <xdr:rowOff>103586</xdr:rowOff>
    </xdr:from>
    <xdr:to>
      <xdr:col>4</xdr:col>
      <xdr:colOff>711089</xdr:colOff>
      <xdr:row>2</xdr:row>
      <xdr:rowOff>117146</xdr:rowOff>
    </xdr:to>
    <xdr:cxnSp macro="">
      <xdr:nvCxnSpPr>
        <xdr:cNvPr id="56" name="Straight Connector 55">
          <a:extLst>
            <a:ext uri="{FF2B5EF4-FFF2-40B4-BE49-F238E27FC236}">
              <a16:creationId xmlns:a16="http://schemas.microsoft.com/office/drawing/2014/main" id="{162DA624-A803-4147-A619-763D9168390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583365</xdr:colOff>
      <xdr:row>1</xdr:row>
      <xdr:rowOff>103586</xdr:rowOff>
    </xdr:from>
    <xdr:to>
      <xdr:col>3</xdr:col>
      <xdr:colOff>583365</xdr:colOff>
      <xdr:row>2</xdr:row>
      <xdr:rowOff>117146</xdr:rowOff>
    </xdr:to>
    <xdr:cxnSp macro="">
      <xdr:nvCxnSpPr>
        <xdr:cNvPr id="57" name="Straight Connector 56">
          <a:extLst>
            <a:ext uri="{FF2B5EF4-FFF2-40B4-BE49-F238E27FC236}">
              <a16:creationId xmlns:a16="http://schemas.microsoft.com/office/drawing/2014/main" id="{3DEC9F3F-DA3C-4A2A-9642-7B384794B6C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227025</xdr:colOff>
      <xdr:row>1</xdr:row>
      <xdr:rowOff>103586</xdr:rowOff>
    </xdr:from>
    <xdr:to>
      <xdr:col>7</xdr:col>
      <xdr:colOff>227025</xdr:colOff>
      <xdr:row>2</xdr:row>
      <xdr:rowOff>117146</xdr:rowOff>
    </xdr:to>
    <xdr:cxnSp macro="">
      <xdr:nvCxnSpPr>
        <xdr:cNvPr id="58" name="Straight Connector 57">
          <a:extLst>
            <a:ext uri="{FF2B5EF4-FFF2-40B4-BE49-F238E27FC236}">
              <a16:creationId xmlns:a16="http://schemas.microsoft.com/office/drawing/2014/main" id="{A49099B9-B95E-421D-905E-3436F6C3CC8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82577</xdr:colOff>
      <xdr:row>1</xdr:row>
      <xdr:rowOff>103586</xdr:rowOff>
    </xdr:from>
    <xdr:to>
      <xdr:col>9</xdr:col>
      <xdr:colOff>82577</xdr:colOff>
      <xdr:row>2</xdr:row>
      <xdr:rowOff>117146</xdr:rowOff>
    </xdr:to>
    <xdr:cxnSp macro="">
      <xdr:nvCxnSpPr>
        <xdr:cNvPr id="59" name="Straight Connector 58">
          <a:extLst>
            <a:ext uri="{FF2B5EF4-FFF2-40B4-BE49-F238E27FC236}">
              <a16:creationId xmlns:a16="http://schemas.microsoft.com/office/drawing/2014/main" id="{CD201D65-CCF0-4C78-BE4A-3589A9FB39D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207283</xdr:colOff>
      <xdr:row>1</xdr:row>
      <xdr:rowOff>103586</xdr:rowOff>
    </xdr:from>
    <xdr:to>
      <xdr:col>10</xdr:col>
      <xdr:colOff>207283</xdr:colOff>
      <xdr:row>2</xdr:row>
      <xdr:rowOff>117146</xdr:rowOff>
    </xdr:to>
    <xdr:cxnSp macro="">
      <xdr:nvCxnSpPr>
        <xdr:cNvPr id="60" name="Straight Connector 59">
          <a:extLst>
            <a:ext uri="{FF2B5EF4-FFF2-40B4-BE49-F238E27FC236}">
              <a16:creationId xmlns:a16="http://schemas.microsoft.com/office/drawing/2014/main" id="{DC020F3D-69B9-48BC-A5B6-41CECEAD17E4}"/>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333671</xdr:colOff>
      <xdr:row>1</xdr:row>
      <xdr:rowOff>103586</xdr:rowOff>
    </xdr:from>
    <xdr:to>
      <xdr:col>11</xdr:col>
      <xdr:colOff>333671</xdr:colOff>
      <xdr:row>2</xdr:row>
      <xdr:rowOff>117146</xdr:rowOff>
    </xdr:to>
    <xdr:cxnSp macro="">
      <xdr:nvCxnSpPr>
        <xdr:cNvPr id="61" name="Straight Connector 60">
          <a:extLst>
            <a:ext uri="{FF2B5EF4-FFF2-40B4-BE49-F238E27FC236}">
              <a16:creationId xmlns:a16="http://schemas.microsoft.com/office/drawing/2014/main" id="{B189BAB2-746F-4586-AD83-D9DDE8FA5EE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459155</xdr:colOff>
      <xdr:row>1</xdr:row>
      <xdr:rowOff>103586</xdr:rowOff>
    </xdr:from>
    <xdr:to>
      <xdr:col>12</xdr:col>
      <xdr:colOff>459155</xdr:colOff>
      <xdr:row>2</xdr:row>
      <xdr:rowOff>117146</xdr:rowOff>
    </xdr:to>
    <xdr:cxnSp macro="">
      <xdr:nvCxnSpPr>
        <xdr:cNvPr id="62" name="Straight Connector 61">
          <a:extLst>
            <a:ext uri="{FF2B5EF4-FFF2-40B4-BE49-F238E27FC236}">
              <a16:creationId xmlns:a16="http://schemas.microsoft.com/office/drawing/2014/main" id="{8DCB3351-D591-4D5E-9CD1-59AFBF3BC64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584992</xdr:colOff>
      <xdr:row>1</xdr:row>
      <xdr:rowOff>103586</xdr:rowOff>
    </xdr:from>
    <xdr:to>
      <xdr:col>13</xdr:col>
      <xdr:colOff>584992</xdr:colOff>
      <xdr:row>2</xdr:row>
      <xdr:rowOff>117146</xdr:rowOff>
    </xdr:to>
    <xdr:cxnSp macro="">
      <xdr:nvCxnSpPr>
        <xdr:cNvPr id="63" name="Straight Connector 62">
          <a:extLst>
            <a:ext uri="{FF2B5EF4-FFF2-40B4-BE49-F238E27FC236}">
              <a16:creationId xmlns:a16="http://schemas.microsoft.com/office/drawing/2014/main" id="{EF9BE06C-BB4C-4A6B-8823-F48D170FF35D}"/>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549303</xdr:colOff>
      <xdr:row>1</xdr:row>
      <xdr:rowOff>103586</xdr:rowOff>
    </xdr:from>
    <xdr:to>
      <xdr:col>16</xdr:col>
      <xdr:colOff>549303</xdr:colOff>
      <xdr:row>2</xdr:row>
      <xdr:rowOff>117146</xdr:rowOff>
    </xdr:to>
    <xdr:cxnSp macro="">
      <xdr:nvCxnSpPr>
        <xdr:cNvPr id="64" name="Straight Connector 63">
          <a:extLst>
            <a:ext uri="{FF2B5EF4-FFF2-40B4-BE49-F238E27FC236}">
              <a16:creationId xmlns:a16="http://schemas.microsoft.com/office/drawing/2014/main" id="{ECDB7F55-0680-4DE6-A6B1-8C08FF35229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672745</xdr:colOff>
      <xdr:row>1</xdr:row>
      <xdr:rowOff>103586</xdr:rowOff>
    </xdr:from>
    <xdr:to>
      <xdr:col>17</xdr:col>
      <xdr:colOff>672745</xdr:colOff>
      <xdr:row>2</xdr:row>
      <xdr:rowOff>117146</xdr:rowOff>
    </xdr:to>
    <xdr:cxnSp macro="">
      <xdr:nvCxnSpPr>
        <xdr:cNvPr id="65" name="Straight Connector 64">
          <a:extLst>
            <a:ext uri="{FF2B5EF4-FFF2-40B4-BE49-F238E27FC236}">
              <a16:creationId xmlns:a16="http://schemas.microsoft.com/office/drawing/2014/main" id="{3BEA882C-E3ED-4675-AC5F-6BE5F0B1B8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65774</xdr:colOff>
      <xdr:row>1</xdr:row>
      <xdr:rowOff>103586</xdr:rowOff>
    </xdr:from>
    <xdr:to>
      <xdr:col>19</xdr:col>
      <xdr:colOff>65774</xdr:colOff>
      <xdr:row>2</xdr:row>
      <xdr:rowOff>117146</xdr:rowOff>
    </xdr:to>
    <xdr:cxnSp macro="">
      <xdr:nvCxnSpPr>
        <xdr:cNvPr id="66" name="Straight Connector 65">
          <a:extLst>
            <a:ext uri="{FF2B5EF4-FFF2-40B4-BE49-F238E27FC236}">
              <a16:creationId xmlns:a16="http://schemas.microsoft.com/office/drawing/2014/main" id="{BDB68D7E-6B22-404A-858C-B4231AF2273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38170</xdr:colOff>
      <xdr:row>1</xdr:row>
      <xdr:rowOff>103586</xdr:rowOff>
    </xdr:from>
    <xdr:to>
      <xdr:col>20</xdr:col>
      <xdr:colOff>38170</xdr:colOff>
      <xdr:row>2</xdr:row>
      <xdr:rowOff>117146</xdr:rowOff>
    </xdr:to>
    <xdr:cxnSp macro="">
      <xdr:nvCxnSpPr>
        <xdr:cNvPr id="67" name="Straight Connector 66">
          <a:extLst>
            <a:ext uri="{FF2B5EF4-FFF2-40B4-BE49-F238E27FC236}">
              <a16:creationId xmlns:a16="http://schemas.microsoft.com/office/drawing/2014/main" id="{210FBF48-1254-4D37-B168-B739382B949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42838</xdr:colOff>
      <xdr:row>1</xdr:row>
      <xdr:rowOff>103586</xdr:rowOff>
    </xdr:from>
    <xdr:to>
      <xdr:col>22</xdr:col>
      <xdr:colOff>42838</xdr:colOff>
      <xdr:row>2</xdr:row>
      <xdr:rowOff>117146</xdr:rowOff>
    </xdr:to>
    <xdr:cxnSp macro="">
      <xdr:nvCxnSpPr>
        <xdr:cNvPr id="68" name="Straight Connector 67">
          <a:extLst>
            <a:ext uri="{FF2B5EF4-FFF2-40B4-BE49-F238E27FC236}">
              <a16:creationId xmlns:a16="http://schemas.microsoft.com/office/drawing/2014/main" id="{43960165-9582-4219-B1BA-D0D12B1E997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429034</xdr:colOff>
      <xdr:row>1</xdr:row>
      <xdr:rowOff>103586</xdr:rowOff>
    </xdr:from>
    <xdr:to>
      <xdr:col>15</xdr:col>
      <xdr:colOff>429034</xdr:colOff>
      <xdr:row>2</xdr:row>
      <xdr:rowOff>117146</xdr:rowOff>
    </xdr:to>
    <xdr:cxnSp macro="">
      <xdr:nvCxnSpPr>
        <xdr:cNvPr id="69" name="Straight Connector 68">
          <a:extLst>
            <a:ext uri="{FF2B5EF4-FFF2-40B4-BE49-F238E27FC236}">
              <a16:creationId xmlns:a16="http://schemas.microsoft.com/office/drawing/2014/main" id="{A71C8ECE-4E92-4B3F-9CEC-C15D1074BC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19052</xdr:colOff>
      <xdr:row>31</xdr:row>
      <xdr:rowOff>95251</xdr:rowOff>
    </xdr:from>
    <xdr:to>
      <xdr:col>9</xdr:col>
      <xdr:colOff>571501</xdr:colOff>
      <xdr:row>54</xdr:row>
      <xdr:rowOff>17318</xdr:rowOff>
    </xdr:to>
    <xdr:graphicFrame macro="">
      <xdr:nvGraphicFramePr>
        <xdr:cNvPr id="5" name="Chart 4">
          <a:extLst>
            <a:ext uri="{FF2B5EF4-FFF2-40B4-BE49-F238E27FC236}">
              <a16:creationId xmlns:a16="http://schemas.microsoft.com/office/drawing/2014/main" id="{00000000-0008-0000-0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573727</xdr:colOff>
      <xdr:row>31</xdr:row>
      <xdr:rowOff>55914</xdr:rowOff>
    </xdr:from>
    <xdr:to>
      <xdr:col>20</xdr:col>
      <xdr:colOff>612321</xdr:colOff>
      <xdr:row>55</xdr:row>
      <xdr:rowOff>0</xdr:rowOff>
    </xdr:to>
    <xdr:graphicFrame macro="">
      <xdr:nvGraphicFramePr>
        <xdr:cNvPr id="6" name="Chart 5">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60</xdr:col>
      <xdr:colOff>246661</xdr:colOff>
      <xdr:row>4</xdr:row>
      <xdr:rowOff>0</xdr:rowOff>
    </xdr:to>
    <xdr:sp macro="" textlink="">
      <xdr:nvSpPr>
        <xdr:cNvPr id="10" name="Rectangle 9">
          <a:extLst>
            <a:ext uri="{FF2B5EF4-FFF2-40B4-BE49-F238E27FC236}">
              <a16:creationId xmlns:a16="http://schemas.microsoft.com/office/drawing/2014/main" id="{7C9913F1-010A-47AE-A547-3D154E0FE75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294112</xdr:colOff>
      <xdr:row>1</xdr:row>
      <xdr:rowOff>19879</xdr:rowOff>
    </xdr:from>
    <xdr:to>
      <xdr:col>17</xdr:col>
      <xdr:colOff>561521</xdr:colOff>
      <xdr:row>3</xdr:row>
      <xdr:rowOff>10354</xdr:rowOff>
    </xdr:to>
    <xdr:sp macro="" textlink="">
      <xdr:nvSpPr>
        <xdr:cNvPr id="41" name="TextBox 40">
          <a:hlinkClick xmlns:r="http://schemas.openxmlformats.org/officeDocument/2006/relationships" r:id="rId3"/>
          <a:extLst>
            <a:ext uri="{FF2B5EF4-FFF2-40B4-BE49-F238E27FC236}">
              <a16:creationId xmlns:a16="http://schemas.microsoft.com/office/drawing/2014/main" id="{3ABE8BCA-9390-45FA-AE69-5DC04FA493BB}"/>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12BE76A5-CCA6-438D-8F9A-F6B49B40E4C0}"/>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327933</xdr:colOff>
      <xdr:row>1</xdr:row>
      <xdr:rowOff>28201</xdr:rowOff>
    </xdr:from>
    <xdr:to>
      <xdr:col>2</xdr:col>
      <xdr:colOff>327933</xdr:colOff>
      <xdr:row>2</xdr:row>
      <xdr:rowOff>138545</xdr:rowOff>
    </xdr:to>
    <xdr:cxnSp macro="">
      <xdr:nvCxnSpPr>
        <xdr:cNvPr id="44" name="Straight Connector 43">
          <a:extLst>
            <a:ext uri="{FF2B5EF4-FFF2-40B4-BE49-F238E27FC236}">
              <a16:creationId xmlns:a16="http://schemas.microsoft.com/office/drawing/2014/main" id="{741B9616-ED1E-475E-88F6-07100110BE19}"/>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41666</xdr:colOff>
      <xdr:row>1</xdr:row>
      <xdr:rowOff>19879</xdr:rowOff>
    </xdr:from>
    <xdr:to>
      <xdr:col>6</xdr:col>
      <xdr:colOff>88517</xdr:colOff>
      <xdr:row>3</xdr:row>
      <xdr:rowOff>10354</xdr:rowOff>
    </xdr:to>
    <xdr:sp macro="" textlink="">
      <xdr:nvSpPr>
        <xdr:cNvPr id="45" name="TextBox 44">
          <a:hlinkClick xmlns:r="http://schemas.openxmlformats.org/officeDocument/2006/relationships" r:id="rId5"/>
          <a:extLst>
            <a:ext uri="{FF2B5EF4-FFF2-40B4-BE49-F238E27FC236}">
              <a16:creationId xmlns:a16="http://schemas.microsoft.com/office/drawing/2014/main" id="{78235B36-5E3F-42F1-A0CD-0713AAAB6DD7}"/>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898919</xdr:colOff>
      <xdr:row>1</xdr:row>
      <xdr:rowOff>19879</xdr:rowOff>
    </xdr:from>
    <xdr:to>
      <xdr:col>7</xdr:col>
      <xdr:colOff>266107</xdr:colOff>
      <xdr:row>3</xdr:row>
      <xdr:rowOff>10354</xdr:rowOff>
    </xdr:to>
    <xdr:sp macro="" textlink="">
      <xdr:nvSpPr>
        <xdr:cNvPr id="46" name="TextBox 45">
          <a:hlinkClick xmlns:r="http://schemas.openxmlformats.org/officeDocument/2006/relationships" r:id="rId6"/>
          <a:extLst>
            <a:ext uri="{FF2B5EF4-FFF2-40B4-BE49-F238E27FC236}">
              <a16:creationId xmlns:a16="http://schemas.microsoft.com/office/drawing/2014/main" id="{2342C6E0-CB2F-4779-8342-8451590C7813}"/>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7</xdr:col>
      <xdr:colOff>168833</xdr:colOff>
      <xdr:row>1</xdr:row>
      <xdr:rowOff>19879</xdr:rowOff>
    </xdr:from>
    <xdr:to>
      <xdr:col>8</xdr:col>
      <xdr:colOff>437638</xdr:colOff>
      <xdr:row>3</xdr:row>
      <xdr:rowOff>10354</xdr:rowOff>
    </xdr:to>
    <xdr:sp macro="" textlink="">
      <xdr:nvSpPr>
        <xdr:cNvPr id="47" name="TextBox 46">
          <a:hlinkClick xmlns:r="http://schemas.openxmlformats.org/officeDocument/2006/relationships" r:id="rId7"/>
          <a:extLst>
            <a:ext uri="{FF2B5EF4-FFF2-40B4-BE49-F238E27FC236}">
              <a16:creationId xmlns:a16="http://schemas.microsoft.com/office/drawing/2014/main" id="{EF70F8E7-67BE-4D39-8D60-B98742817C9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340364</xdr:colOff>
      <xdr:row>1</xdr:row>
      <xdr:rowOff>19879</xdr:rowOff>
    </xdr:from>
    <xdr:to>
      <xdr:col>9</xdr:col>
      <xdr:colOff>615200</xdr:colOff>
      <xdr:row>3</xdr:row>
      <xdr:rowOff>10354</xdr:rowOff>
    </xdr:to>
    <xdr:sp macro="" textlink="">
      <xdr:nvSpPr>
        <xdr:cNvPr id="48" name="TextBox 47">
          <a:hlinkClick xmlns:r="http://schemas.openxmlformats.org/officeDocument/2006/relationships" r:id="rId8"/>
          <a:extLst>
            <a:ext uri="{FF2B5EF4-FFF2-40B4-BE49-F238E27FC236}">
              <a16:creationId xmlns:a16="http://schemas.microsoft.com/office/drawing/2014/main" id="{F148E187-7362-4A41-9BE2-625254BB32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517926</xdr:colOff>
      <xdr:row>1</xdr:row>
      <xdr:rowOff>19879</xdr:rowOff>
    </xdr:from>
    <xdr:to>
      <xdr:col>11</xdr:col>
      <xdr:colOff>1226</xdr:colOff>
      <xdr:row>3</xdr:row>
      <xdr:rowOff>10354</xdr:rowOff>
    </xdr:to>
    <xdr:sp macro="" textlink="">
      <xdr:nvSpPr>
        <xdr:cNvPr id="49" name="TextBox 48">
          <a:hlinkClick xmlns:r="http://schemas.openxmlformats.org/officeDocument/2006/relationships" r:id="rId9"/>
          <a:extLst>
            <a:ext uri="{FF2B5EF4-FFF2-40B4-BE49-F238E27FC236}">
              <a16:creationId xmlns:a16="http://schemas.microsoft.com/office/drawing/2014/main" id="{A9D68951-01A8-4743-92F6-C83DDBB349A0}"/>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587511</xdr:colOff>
      <xdr:row>1</xdr:row>
      <xdr:rowOff>19879</xdr:rowOff>
    </xdr:from>
    <xdr:to>
      <xdr:col>11</xdr:col>
      <xdr:colOff>859357</xdr:colOff>
      <xdr:row>3</xdr:row>
      <xdr:rowOff>10354</xdr:rowOff>
    </xdr:to>
    <xdr:sp macro="" textlink="">
      <xdr:nvSpPr>
        <xdr:cNvPr id="50" name="TextBox 49">
          <a:hlinkClick xmlns:r="http://schemas.openxmlformats.org/officeDocument/2006/relationships" r:id="rId10"/>
          <a:extLst>
            <a:ext uri="{FF2B5EF4-FFF2-40B4-BE49-F238E27FC236}">
              <a16:creationId xmlns:a16="http://schemas.microsoft.com/office/drawing/2014/main" id="{80750200-4D4E-49EA-97D5-CACB5BE9959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763764</xdr:colOff>
      <xdr:row>1</xdr:row>
      <xdr:rowOff>19879</xdr:rowOff>
    </xdr:from>
    <xdr:to>
      <xdr:col>12</xdr:col>
      <xdr:colOff>652930</xdr:colOff>
      <xdr:row>3</xdr:row>
      <xdr:rowOff>10354</xdr:rowOff>
    </xdr:to>
    <xdr:sp macro="" textlink="">
      <xdr:nvSpPr>
        <xdr:cNvPr id="51" name="TextBox 50">
          <a:hlinkClick xmlns:r="http://schemas.openxmlformats.org/officeDocument/2006/relationships" r:id="rId11"/>
          <a:extLst>
            <a:ext uri="{FF2B5EF4-FFF2-40B4-BE49-F238E27FC236}">
              <a16:creationId xmlns:a16="http://schemas.microsoft.com/office/drawing/2014/main" id="{279E679E-FDF9-49A3-A973-53D9C26DB34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12</xdr:col>
      <xdr:colOff>557337</xdr:colOff>
      <xdr:row>1</xdr:row>
      <xdr:rowOff>19879</xdr:rowOff>
    </xdr:from>
    <xdr:to>
      <xdr:col>14</xdr:col>
      <xdr:colOff>146402</xdr:colOff>
      <xdr:row>3</xdr:row>
      <xdr:rowOff>10354</xdr:rowOff>
    </xdr:to>
    <xdr:sp macro="" textlink="">
      <xdr:nvSpPr>
        <xdr:cNvPr id="52" name="TextBox 51">
          <a:hlinkClick xmlns:r="http://schemas.openxmlformats.org/officeDocument/2006/relationships" r:id="rId12"/>
          <a:extLst>
            <a:ext uri="{FF2B5EF4-FFF2-40B4-BE49-F238E27FC236}">
              <a16:creationId xmlns:a16="http://schemas.microsoft.com/office/drawing/2014/main" id="{F6C634CE-3BC7-4362-A45D-62F40DCA44F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14</xdr:col>
      <xdr:colOff>49128</xdr:colOff>
      <xdr:row>1</xdr:row>
      <xdr:rowOff>19879</xdr:rowOff>
    </xdr:from>
    <xdr:to>
      <xdr:col>15</xdr:col>
      <xdr:colOff>322105</xdr:colOff>
      <xdr:row>3</xdr:row>
      <xdr:rowOff>10354</xdr:rowOff>
    </xdr:to>
    <xdr:sp macro="" textlink="">
      <xdr:nvSpPr>
        <xdr:cNvPr id="53" name="TextBox 52">
          <a:hlinkClick xmlns:r="http://schemas.openxmlformats.org/officeDocument/2006/relationships" r:id="rId13"/>
          <a:extLst>
            <a:ext uri="{FF2B5EF4-FFF2-40B4-BE49-F238E27FC236}">
              <a16:creationId xmlns:a16="http://schemas.microsoft.com/office/drawing/2014/main" id="{0E55AFA2-42E5-4CBD-945B-C3F29D30F656}"/>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224831</xdr:colOff>
      <xdr:row>1</xdr:row>
      <xdr:rowOff>19879</xdr:rowOff>
    </xdr:from>
    <xdr:to>
      <xdr:col>16</xdr:col>
      <xdr:colOff>391386</xdr:colOff>
      <xdr:row>3</xdr:row>
      <xdr:rowOff>10354</xdr:rowOff>
    </xdr:to>
    <xdr:sp macro="" textlink="">
      <xdr:nvSpPr>
        <xdr:cNvPr id="54" name="TextBox 53">
          <a:hlinkClick xmlns:r="http://schemas.openxmlformats.org/officeDocument/2006/relationships" r:id="rId14"/>
          <a:extLst>
            <a:ext uri="{FF2B5EF4-FFF2-40B4-BE49-F238E27FC236}">
              <a16:creationId xmlns:a16="http://schemas.microsoft.com/office/drawing/2014/main" id="{2AE7C89B-A18E-4FB1-872B-91D333FCF78C}"/>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17</xdr:col>
      <xdr:colOff>464247</xdr:colOff>
      <xdr:row>1</xdr:row>
      <xdr:rowOff>19879</xdr:rowOff>
    </xdr:from>
    <xdr:to>
      <xdr:col>18</xdr:col>
      <xdr:colOff>465888</xdr:colOff>
      <xdr:row>3</xdr:row>
      <xdr:rowOff>10354</xdr:rowOff>
    </xdr:to>
    <xdr:sp macro="" textlink="">
      <xdr:nvSpPr>
        <xdr:cNvPr id="55" name="TextBox 54">
          <a:hlinkClick xmlns:r="http://schemas.openxmlformats.org/officeDocument/2006/relationships" r:id="rId15"/>
          <a:extLst>
            <a:ext uri="{FF2B5EF4-FFF2-40B4-BE49-F238E27FC236}">
              <a16:creationId xmlns:a16="http://schemas.microsoft.com/office/drawing/2014/main" id="{4AAA3A89-5E9B-4F0B-BF2D-1876354A3186}"/>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18</xdr:col>
      <xdr:colOff>368614</xdr:colOff>
      <xdr:row>1</xdr:row>
      <xdr:rowOff>19879</xdr:rowOff>
    </xdr:from>
    <xdr:to>
      <xdr:col>19</xdr:col>
      <xdr:colOff>642208</xdr:colOff>
      <xdr:row>3</xdr:row>
      <xdr:rowOff>10354</xdr:rowOff>
    </xdr:to>
    <xdr:sp macro="" textlink="">
      <xdr:nvSpPr>
        <xdr:cNvPr id="56" name="TextBox 55">
          <a:hlinkClick xmlns:r="http://schemas.openxmlformats.org/officeDocument/2006/relationships" r:id="rId16"/>
          <a:extLst>
            <a:ext uri="{FF2B5EF4-FFF2-40B4-BE49-F238E27FC236}">
              <a16:creationId xmlns:a16="http://schemas.microsoft.com/office/drawing/2014/main" id="{4A24A7BC-59FE-4C84-9C1E-7C00DA098F1B}"/>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544934</xdr:colOff>
      <xdr:row>1</xdr:row>
      <xdr:rowOff>19879</xdr:rowOff>
    </xdr:from>
    <xdr:to>
      <xdr:col>20</xdr:col>
      <xdr:colOff>816870</xdr:colOff>
      <xdr:row>3</xdr:row>
      <xdr:rowOff>10354</xdr:rowOff>
    </xdr:to>
    <xdr:sp macro="" textlink="">
      <xdr:nvSpPr>
        <xdr:cNvPr id="57" name="TextBox 56">
          <a:hlinkClick xmlns:r="http://schemas.openxmlformats.org/officeDocument/2006/relationships" r:id="rId17"/>
          <a:extLst>
            <a:ext uri="{FF2B5EF4-FFF2-40B4-BE49-F238E27FC236}">
              <a16:creationId xmlns:a16="http://schemas.microsoft.com/office/drawing/2014/main" id="{E93E99D1-224F-4FC2-8CBD-EFBDFFD1F839}"/>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719596</xdr:colOff>
      <xdr:row>1</xdr:row>
      <xdr:rowOff>19879</xdr:rowOff>
    </xdr:from>
    <xdr:to>
      <xdr:col>22</xdr:col>
      <xdr:colOff>53935</xdr:colOff>
      <xdr:row>3</xdr:row>
      <xdr:rowOff>10354</xdr:rowOff>
    </xdr:to>
    <xdr:sp macro="" textlink="">
      <xdr:nvSpPr>
        <xdr:cNvPr id="58" name="TextBox 57">
          <a:hlinkClick xmlns:r="http://schemas.openxmlformats.org/officeDocument/2006/relationships" r:id="rId18"/>
          <a:extLst>
            <a:ext uri="{FF2B5EF4-FFF2-40B4-BE49-F238E27FC236}">
              <a16:creationId xmlns:a16="http://schemas.microsoft.com/office/drawing/2014/main" id="{9298A526-51FA-4990-930E-8E5C471CDEB1}"/>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640231</xdr:colOff>
      <xdr:row>1</xdr:row>
      <xdr:rowOff>19879</xdr:rowOff>
    </xdr:from>
    <xdr:to>
      <xdr:col>23</xdr:col>
      <xdr:colOff>229878</xdr:colOff>
      <xdr:row>3</xdr:row>
      <xdr:rowOff>10354</xdr:rowOff>
    </xdr:to>
    <xdr:sp macro="" textlink="">
      <xdr:nvSpPr>
        <xdr:cNvPr id="59" name="TextBox 58">
          <a:hlinkClick xmlns:r="http://schemas.openxmlformats.org/officeDocument/2006/relationships" r:id="rId19"/>
          <a:extLst>
            <a:ext uri="{FF2B5EF4-FFF2-40B4-BE49-F238E27FC236}">
              <a16:creationId xmlns:a16="http://schemas.microsoft.com/office/drawing/2014/main" id="{CAD256AA-1D63-48C5-97BB-2FFDE6EAD89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Inputs</a:t>
          </a:r>
        </a:p>
      </xdr:txBody>
    </xdr:sp>
    <xdr:clientData/>
  </xdr:twoCellAnchor>
  <xdr:twoCellAnchor>
    <xdr:from>
      <xdr:col>8</xdr:col>
      <xdr:colOff>389001</xdr:colOff>
      <xdr:row>1</xdr:row>
      <xdr:rowOff>103586</xdr:rowOff>
    </xdr:from>
    <xdr:to>
      <xdr:col>8</xdr:col>
      <xdr:colOff>389001</xdr:colOff>
      <xdr:row>2</xdr:row>
      <xdr:rowOff>117146</xdr:rowOff>
    </xdr:to>
    <xdr:cxnSp macro="">
      <xdr:nvCxnSpPr>
        <xdr:cNvPr id="60" name="Straight Connector 59">
          <a:extLst>
            <a:ext uri="{FF2B5EF4-FFF2-40B4-BE49-F238E27FC236}">
              <a16:creationId xmlns:a16="http://schemas.microsoft.com/office/drawing/2014/main" id="{A2C93B85-1579-4F52-B82F-2755E566F33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217470</xdr:colOff>
      <xdr:row>1</xdr:row>
      <xdr:rowOff>103586</xdr:rowOff>
    </xdr:from>
    <xdr:to>
      <xdr:col>7</xdr:col>
      <xdr:colOff>217470</xdr:colOff>
      <xdr:row>2</xdr:row>
      <xdr:rowOff>117146</xdr:rowOff>
    </xdr:to>
    <xdr:cxnSp macro="">
      <xdr:nvCxnSpPr>
        <xdr:cNvPr id="61" name="Straight Connector 60">
          <a:extLst>
            <a:ext uri="{FF2B5EF4-FFF2-40B4-BE49-F238E27FC236}">
              <a16:creationId xmlns:a16="http://schemas.microsoft.com/office/drawing/2014/main" id="{C11CFDCC-2679-4DC6-946E-CF05C647D301}"/>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39880</xdr:colOff>
      <xdr:row>1</xdr:row>
      <xdr:rowOff>103586</xdr:rowOff>
    </xdr:from>
    <xdr:to>
      <xdr:col>6</xdr:col>
      <xdr:colOff>39880</xdr:colOff>
      <xdr:row>2</xdr:row>
      <xdr:rowOff>117146</xdr:rowOff>
    </xdr:to>
    <xdr:cxnSp macro="">
      <xdr:nvCxnSpPr>
        <xdr:cNvPr id="62" name="Straight Connector 61">
          <a:extLst>
            <a:ext uri="{FF2B5EF4-FFF2-40B4-BE49-F238E27FC236}">
              <a16:creationId xmlns:a16="http://schemas.microsoft.com/office/drawing/2014/main" id="{1EAC440B-0BD3-456F-A7A0-B58A2025463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566563</xdr:colOff>
      <xdr:row>1</xdr:row>
      <xdr:rowOff>103586</xdr:rowOff>
    </xdr:from>
    <xdr:to>
      <xdr:col>9</xdr:col>
      <xdr:colOff>566563</xdr:colOff>
      <xdr:row>2</xdr:row>
      <xdr:rowOff>117146</xdr:rowOff>
    </xdr:to>
    <xdr:cxnSp macro="">
      <xdr:nvCxnSpPr>
        <xdr:cNvPr id="63" name="Straight Connector 62">
          <a:extLst>
            <a:ext uri="{FF2B5EF4-FFF2-40B4-BE49-F238E27FC236}">
              <a16:creationId xmlns:a16="http://schemas.microsoft.com/office/drawing/2014/main" id="{DC1D936E-FA54-4E3E-A312-51AB27E60317}"/>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636148</xdr:colOff>
      <xdr:row>1</xdr:row>
      <xdr:rowOff>103586</xdr:rowOff>
    </xdr:from>
    <xdr:to>
      <xdr:col>10</xdr:col>
      <xdr:colOff>636148</xdr:colOff>
      <xdr:row>2</xdr:row>
      <xdr:rowOff>117146</xdr:rowOff>
    </xdr:to>
    <xdr:cxnSp macro="">
      <xdr:nvCxnSpPr>
        <xdr:cNvPr id="64" name="Straight Connector 63">
          <a:extLst>
            <a:ext uri="{FF2B5EF4-FFF2-40B4-BE49-F238E27FC236}">
              <a16:creationId xmlns:a16="http://schemas.microsoft.com/office/drawing/2014/main" id="{4E653A32-AFD4-404D-AB52-09C0D132AE2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810720</xdr:colOff>
      <xdr:row>1</xdr:row>
      <xdr:rowOff>103586</xdr:rowOff>
    </xdr:from>
    <xdr:to>
      <xdr:col>11</xdr:col>
      <xdr:colOff>810720</xdr:colOff>
      <xdr:row>2</xdr:row>
      <xdr:rowOff>117146</xdr:rowOff>
    </xdr:to>
    <xdr:cxnSp macro="">
      <xdr:nvCxnSpPr>
        <xdr:cNvPr id="65" name="Straight Connector 64">
          <a:extLst>
            <a:ext uri="{FF2B5EF4-FFF2-40B4-BE49-F238E27FC236}">
              <a16:creationId xmlns:a16="http://schemas.microsoft.com/office/drawing/2014/main" id="{5F6602E7-DD26-41E2-A2E7-0B0D5187721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605974</xdr:colOff>
      <xdr:row>1</xdr:row>
      <xdr:rowOff>103586</xdr:rowOff>
    </xdr:from>
    <xdr:to>
      <xdr:col>12</xdr:col>
      <xdr:colOff>605974</xdr:colOff>
      <xdr:row>2</xdr:row>
      <xdr:rowOff>117146</xdr:rowOff>
    </xdr:to>
    <xdr:cxnSp macro="">
      <xdr:nvCxnSpPr>
        <xdr:cNvPr id="66" name="Straight Connector 65">
          <a:extLst>
            <a:ext uri="{FF2B5EF4-FFF2-40B4-BE49-F238E27FC236}">
              <a16:creationId xmlns:a16="http://schemas.microsoft.com/office/drawing/2014/main" id="{3A6FA2A3-6F0E-40BA-9D2B-80FDCC50AF55}"/>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97765</xdr:colOff>
      <xdr:row>1</xdr:row>
      <xdr:rowOff>103586</xdr:rowOff>
    </xdr:from>
    <xdr:to>
      <xdr:col>14</xdr:col>
      <xdr:colOff>97765</xdr:colOff>
      <xdr:row>2</xdr:row>
      <xdr:rowOff>117146</xdr:rowOff>
    </xdr:to>
    <xdr:cxnSp macro="">
      <xdr:nvCxnSpPr>
        <xdr:cNvPr id="67" name="Straight Connector 66">
          <a:extLst>
            <a:ext uri="{FF2B5EF4-FFF2-40B4-BE49-F238E27FC236}">
              <a16:creationId xmlns:a16="http://schemas.microsoft.com/office/drawing/2014/main" id="{87D8FC45-0A7F-4833-A444-1769E4FE342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273468</xdr:colOff>
      <xdr:row>1</xdr:row>
      <xdr:rowOff>103586</xdr:rowOff>
    </xdr:from>
    <xdr:to>
      <xdr:col>15</xdr:col>
      <xdr:colOff>273468</xdr:colOff>
      <xdr:row>2</xdr:row>
      <xdr:rowOff>117146</xdr:rowOff>
    </xdr:to>
    <xdr:cxnSp macro="">
      <xdr:nvCxnSpPr>
        <xdr:cNvPr id="68" name="Straight Connector 67">
          <a:extLst>
            <a:ext uri="{FF2B5EF4-FFF2-40B4-BE49-F238E27FC236}">
              <a16:creationId xmlns:a16="http://schemas.microsoft.com/office/drawing/2014/main" id="{C6B12D8A-8A33-4BF1-9560-BBE500D435EE}"/>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512884</xdr:colOff>
      <xdr:row>1</xdr:row>
      <xdr:rowOff>103586</xdr:rowOff>
    </xdr:from>
    <xdr:to>
      <xdr:col>17</xdr:col>
      <xdr:colOff>512884</xdr:colOff>
      <xdr:row>2</xdr:row>
      <xdr:rowOff>117146</xdr:rowOff>
    </xdr:to>
    <xdr:cxnSp macro="">
      <xdr:nvCxnSpPr>
        <xdr:cNvPr id="69" name="Straight Connector 68">
          <a:extLst>
            <a:ext uri="{FF2B5EF4-FFF2-40B4-BE49-F238E27FC236}">
              <a16:creationId xmlns:a16="http://schemas.microsoft.com/office/drawing/2014/main" id="{D16331D2-EB67-4D96-BBB5-8D9648AF54E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417251</xdr:colOff>
      <xdr:row>1</xdr:row>
      <xdr:rowOff>103586</xdr:rowOff>
    </xdr:from>
    <xdr:to>
      <xdr:col>18</xdr:col>
      <xdr:colOff>417251</xdr:colOff>
      <xdr:row>2</xdr:row>
      <xdr:rowOff>117146</xdr:rowOff>
    </xdr:to>
    <xdr:cxnSp macro="">
      <xdr:nvCxnSpPr>
        <xdr:cNvPr id="70" name="Straight Connector 69">
          <a:extLst>
            <a:ext uri="{FF2B5EF4-FFF2-40B4-BE49-F238E27FC236}">
              <a16:creationId xmlns:a16="http://schemas.microsoft.com/office/drawing/2014/main" id="{C0215819-9145-42F4-B079-3BAA926EF7B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593571</xdr:colOff>
      <xdr:row>1</xdr:row>
      <xdr:rowOff>103586</xdr:rowOff>
    </xdr:from>
    <xdr:to>
      <xdr:col>19</xdr:col>
      <xdr:colOff>593571</xdr:colOff>
      <xdr:row>2</xdr:row>
      <xdr:rowOff>117146</xdr:rowOff>
    </xdr:to>
    <xdr:cxnSp macro="">
      <xdr:nvCxnSpPr>
        <xdr:cNvPr id="71" name="Straight Connector 70">
          <a:extLst>
            <a:ext uri="{FF2B5EF4-FFF2-40B4-BE49-F238E27FC236}">
              <a16:creationId xmlns:a16="http://schemas.microsoft.com/office/drawing/2014/main" id="{4E8FF9D5-7A5F-4BC3-A672-502C891C9279}"/>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768233</xdr:colOff>
      <xdr:row>1</xdr:row>
      <xdr:rowOff>103586</xdr:rowOff>
    </xdr:from>
    <xdr:to>
      <xdr:col>20</xdr:col>
      <xdr:colOff>768233</xdr:colOff>
      <xdr:row>2</xdr:row>
      <xdr:rowOff>117146</xdr:rowOff>
    </xdr:to>
    <xdr:cxnSp macro="">
      <xdr:nvCxnSpPr>
        <xdr:cNvPr id="72" name="Straight Connector 71">
          <a:extLst>
            <a:ext uri="{FF2B5EF4-FFF2-40B4-BE49-F238E27FC236}">
              <a16:creationId xmlns:a16="http://schemas.microsoft.com/office/drawing/2014/main" id="{98E7D1A0-3BFA-468F-ADCB-0DEA461BE8C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5298</xdr:colOff>
      <xdr:row>1</xdr:row>
      <xdr:rowOff>103586</xdr:rowOff>
    </xdr:from>
    <xdr:to>
      <xdr:col>22</xdr:col>
      <xdr:colOff>5298</xdr:colOff>
      <xdr:row>2</xdr:row>
      <xdr:rowOff>117146</xdr:rowOff>
    </xdr:to>
    <xdr:cxnSp macro="">
      <xdr:nvCxnSpPr>
        <xdr:cNvPr id="73" name="Straight Connector 72">
          <a:extLst>
            <a:ext uri="{FF2B5EF4-FFF2-40B4-BE49-F238E27FC236}">
              <a16:creationId xmlns:a16="http://schemas.microsoft.com/office/drawing/2014/main" id="{4D188447-2006-4CF3-AD6B-7B614C913581}"/>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342749</xdr:colOff>
      <xdr:row>1</xdr:row>
      <xdr:rowOff>103586</xdr:rowOff>
    </xdr:from>
    <xdr:to>
      <xdr:col>16</xdr:col>
      <xdr:colOff>342749</xdr:colOff>
      <xdr:row>2</xdr:row>
      <xdr:rowOff>117146</xdr:rowOff>
    </xdr:to>
    <xdr:cxnSp macro="">
      <xdr:nvCxnSpPr>
        <xdr:cNvPr id="74" name="Straight Connector 73">
          <a:extLst>
            <a:ext uri="{FF2B5EF4-FFF2-40B4-BE49-F238E27FC236}">
              <a16:creationId xmlns:a16="http://schemas.microsoft.com/office/drawing/2014/main" id="{8E6F14A5-079D-4A9F-826F-1F7AD44A203A}"/>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mailto:raul.vasconcelos@aln.iseg.ulisboa.pt" TargetMode="External"/><Relationship Id="rId7" Type="http://schemas.openxmlformats.org/officeDocument/2006/relationships/printerSettings" Target="../printerSettings/printerSettings1.bin"/><Relationship Id="rId2" Type="http://schemas.openxmlformats.org/officeDocument/2006/relationships/hyperlink" Target="mailto:raul.vasconcelos@aln.iseg.ulisboa.pt" TargetMode="External"/><Relationship Id="rId1" Type="http://schemas.openxmlformats.org/officeDocument/2006/relationships/hyperlink" Target="mailto:lis@iseg.ulisboa.pt" TargetMode="External"/><Relationship Id="rId6" Type="http://schemas.openxmlformats.org/officeDocument/2006/relationships/hyperlink" Target="mailto:manueljaco@aln.iseg.ulisboa.pt" TargetMode="External"/><Relationship Id="rId5" Type="http://schemas.openxmlformats.org/officeDocument/2006/relationships/hyperlink" Target="mailto:analuiza@aln.iseg.ulisboa.pt" TargetMode="External"/><Relationship Id="rId4" Type="http://schemas.openxmlformats.org/officeDocument/2006/relationships/hyperlink" Target="mailto:johnstavale@aln.iseg.ulisboa.pt" TargetMode="Externa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hyperlink" Target="https://www.grandviewresearch.com/industry-analysis/household-kitchen-appliances-market-report" TargetMode="External"/><Relationship Id="rId7" Type="http://schemas.openxmlformats.org/officeDocument/2006/relationships/printerSettings" Target="../printerSettings/printerSettings2.bin"/><Relationship Id="rId2" Type="http://schemas.openxmlformats.org/officeDocument/2006/relationships/hyperlink" Target="https://www.grandviewresearch.com/industry-analysis/north-america-food-service-equipment-market-report" TargetMode="External"/><Relationship Id="rId1" Type="http://schemas.openxmlformats.org/officeDocument/2006/relationships/hyperlink" Target="https://www.grandviewresearch.com/industry-analysis/food-service-equipment-market" TargetMode="External"/><Relationship Id="rId6" Type="http://schemas.openxmlformats.org/officeDocument/2006/relationships/hyperlink" Target="https://www.grandviewresearch.com/horizon/outlook/food-processing-equipment-market/north-america" TargetMode="External"/><Relationship Id="rId5" Type="http://schemas.openxmlformats.org/officeDocument/2006/relationships/hyperlink" Target="https://www.grandviewresearch.com/industry-analysis/north-america-household-kitchen-appliances-market-report" TargetMode="External"/><Relationship Id="rId4" Type="http://schemas.openxmlformats.org/officeDocument/2006/relationships/hyperlink" Target="https://www.grandviewresearch.com/industry-analysis/food-processing-equipment-market"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middleby.com/wp-content/uploads/2023/12/Middleby-2023-Sustainability-Report.pdf" TargetMode="External"/><Relationship Id="rId2" Type="http://schemas.openxmlformats.org/officeDocument/2006/relationships/hyperlink" Target="https://www.middleby.com/wp-content/uploads/2023/12/Middleby-2023-Sustainability-Report.pdf" TargetMode="External"/><Relationship Id="rId1" Type="http://schemas.openxmlformats.org/officeDocument/2006/relationships/hyperlink" Target="https://investors.middleby.com/static-files/9d81be2f-3a33-46a2-a38d-8ac4d21aff3d" TargetMode="External"/><Relationship Id="rId5" Type="http://schemas.openxmlformats.org/officeDocument/2006/relationships/drawing" Target="../drawings/drawing4.xm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2.xml"/><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6.xml"/><Relationship Id="rId1" Type="http://schemas.openxmlformats.org/officeDocument/2006/relationships/printerSettings" Target="../printerSettings/printerSettings14.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79998168889431442"/>
  </sheetPr>
  <dimension ref="B1:L558"/>
  <sheetViews>
    <sheetView showGridLines="0" tabSelected="1" zoomScale="75" zoomScaleNormal="145" workbookViewId="0"/>
  </sheetViews>
  <sheetFormatPr defaultColWidth="9" defaultRowHeight="15" customHeight="1"/>
  <cols>
    <col min="1" max="2" width="9" style="581"/>
    <col min="3" max="5" width="10" style="581" bestFit="1" customWidth="1"/>
    <col min="6" max="16384" width="9" style="581"/>
  </cols>
  <sheetData>
    <row r="1" s="576" customFormat="1" ht="15" customHeight="1"/>
    <row r="2" s="576" customFormat="1" ht="15" customHeight="1"/>
    <row r="3" s="576" customFormat="1" ht="15" customHeight="1"/>
    <row r="4" s="576" customFormat="1" ht="15" customHeight="1"/>
    <row r="5" ht="3.95" customHeight="1"/>
    <row r="101" spans="3:3" ht="15" customHeight="1">
      <c r="C101" s="607"/>
    </row>
    <row r="102" spans="3:3" ht="15" customHeight="1">
      <c r="C102" s="607"/>
    </row>
    <row r="103" spans="3:3" ht="15" customHeight="1">
      <c r="C103" s="607"/>
    </row>
    <row r="104" spans="3:3" ht="15" customHeight="1">
      <c r="C104" s="607"/>
    </row>
    <row r="105" spans="3:3" ht="15" customHeight="1">
      <c r="C105" s="607"/>
    </row>
    <row r="106" spans="3:3" ht="15" customHeight="1">
      <c r="C106" s="607"/>
    </row>
    <row r="107" spans="3:3" ht="15" customHeight="1">
      <c r="C107" s="607"/>
    </row>
    <row r="108" spans="3:3" ht="15" customHeight="1">
      <c r="C108" s="607"/>
    </row>
    <row r="109" spans="3:3" ht="15" customHeight="1">
      <c r="C109" s="607"/>
    </row>
    <row r="110" spans="3:3" ht="15" customHeight="1">
      <c r="C110" s="607"/>
    </row>
    <row r="111" spans="3:3" ht="15" customHeight="1">
      <c r="C111" s="607"/>
    </row>
    <row r="112" spans="3:3" ht="15" customHeight="1">
      <c r="C112" s="607"/>
    </row>
    <row r="113" spans="3:3" ht="15" customHeight="1">
      <c r="C113" s="607"/>
    </row>
    <row r="114" spans="3:3" ht="15" customHeight="1">
      <c r="C114" s="607"/>
    </row>
    <row r="115" spans="3:3" ht="15" customHeight="1">
      <c r="C115" s="607"/>
    </row>
    <row r="116" spans="3:3" ht="15" customHeight="1">
      <c r="C116" s="607"/>
    </row>
    <row r="117" spans="3:3" ht="15" customHeight="1">
      <c r="C117" s="607"/>
    </row>
    <row r="118" spans="3:3" ht="15" customHeight="1">
      <c r="C118" s="607"/>
    </row>
    <row r="119" spans="3:3" ht="15" customHeight="1">
      <c r="C119" s="607"/>
    </row>
    <row r="120" spans="3:3" ht="15" customHeight="1">
      <c r="C120" s="607"/>
    </row>
    <row r="121" spans="3:3" ht="15" customHeight="1">
      <c r="C121" s="607"/>
    </row>
    <row r="122" spans="3:3" ht="15" customHeight="1">
      <c r="C122" s="607"/>
    </row>
    <row r="123" spans="3:3" ht="15" customHeight="1">
      <c r="C123" s="607"/>
    </row>
    <row r="124" spans="3:3" ht="15" customHeight="1">
      <c r="C124" s="607"/>
    </row>
    <row r="125" spans="3:3" ht="15" customHeight="1">
      <c r="C125" s="607"/>
    </row>
    <row r="126" spans="3:3" ht="15" customHeight="1">
      <c r="C126" s="607"/>
    </row>
    <row r="127" spans="3:3" ht="15" customHeight="1">
      <c r="C127" s="607"/>
    </row>
    <row r="128" spans="3:3" ht="15" customHeight="1">
      <c r="C128" s="607"/>
    </row>
    <row r="129" spans="3:3" ht="15" customHeight="1">
      <c r="C129" s="607"/>
    </row>
    <row r="130" spans="3:3" ht="15" customHeight="1">
      <c r="C130" s="607"/>
    </row>
    <row r="131" spans="3:3" ht="15" customHeight="1">
      <c r="C131" s="607"/>
    </row>
    <row r="132" spans="3:3" ht="15" customHeight="1">
      <c r="C132" s="607"/>
    </row>
    <row r="133" spans="3:3" ht="15" customHeight="1">
      <c r="C133" s="607"/>
    </row>
    <row r="134" spans="3:3" ht="15" customHeight="1">
      <c r="C134" s="607"/>
    </row>
    <row r="135" spans="3:3" ht="15" customHeight="1">
      <c r="C135" s="607"/>
    </row>
    <row r="136" spans="3:3" ht="15" customHeight="1">
      <c r="C136" s="607"/>
    </row>
    <row r="137" spans="3:3" ht="15" customHeight="1">
      <c r="C137" s="607"/>
    </row>
    <row r="138" spans="3:3" ht="15" customHeight="1">
      <c r="C138" s="607"/>
    </row>
    <row r="139" spans="3:3" ht="15" customHeight="1">
      <c r="C139" s="607"/>
    </row>
    <row r="140" spans="3:3" ht="15" customHeight="1">
      <c r="C140" s="607"/>
    </row>
    <row r="141" spans="3:3" ht="15" customHeight="1">
      <c r="C141" s="607"/>
    </row>
    <row r="142" spans="3:3" ht="15" customHeight="1">
      <c r="C142" s="607"/>
    </row>
    <row r="143" spans="3:3" ht="15" customHeight="1">
      <c r="C143" s="607"/>
    </row>
    <row r="144" spans="3:3" ht="15" customHeight="1">
      <c r="C144" s="607"/>
    </row>
    <row r="145" spans="3:12" ht="15" customHeight="1">
      <c r="C145" s="607"/>
    </row>
    <row r="146" spans="3:12" ht="15" customHeight="1">
      <c r="C146" s="607"/>
    </row>
    <row r="147" spans="3:12" ht="15" customHeight="1">
      <c r="C147" s="607"/>
    </row>
    <row r="148" spans="3:12" ht="15" customHeight="1">
      <c r="C148" s="607"/>
    </row>
    <row r="149" spans="3:12" ht="15" customHeight="1">
      <c r="C149" s="607"/>
    </row>
    <row r="150" spans="3:12" ht="15" customHeight="1">
      <c r="C150" s="607"/>
    </row>
    <row r="151" spans="3:12" ht="15" customHeight="1">
      <c r="C151" s="607"/>
    </row>
    <row r="152" spans="3:12" ht="15" customHeight="1">
      <c r="C152" s="607"/>
    </row>
    <row r="153" spans="3:12" ht="15" customHeight="1">
      <c r="C153" s="607"/>
    </row>
    <row r="154" spans="3:12" ht="15" customHeight="1">
      <c r="C154" s="607">
        <f t="shared" ref="C154:C164" ca="1" si="0">+C155+1</f>
        <v>45984</v>
      </c>
    </row>
    <row r="155" spans="3:12" ht="15" customHeight="1">
      <c r="C155" s="607">
        <f t="shared" ca="1" si="0"/>
        <v>45983</v>
      </c>
    </row>
    <row r="156" spans="3:12" ht="15" customHeight="1">
      <c r="C156" s="607">
        <f t="shared" ca="1" si="0"/>
        <v>45982</v>
      </c>
    </row>
    <row r="157" spans="3:12" ht="15" customHeight="1">
      <c r="C157" s="607">
        <f t="shared" ca="1" si="0"/>
        <v>45981</v>
      </c>
    </row>
    <row r="158" spans="3:12" ht="15" customHeight="1">
      <c r="C158" s="607">
        <f t="shared" ca="1" si="0"/>
        <v>45980</v>
      </c>
    </row>
    <row r="159" spans="3:12" ht="15" customHeight="1">
      <c r="C159" s="607">
        <f t="shared" ca="1" si="0"/>
        <v>45979</v>
      </c>
    </row>
    <row r="160" spans="3:12" ht="15" customHeight="1">
      <c r="C160" s="607">
        <f t="shared" ca="1" si="0"/>
        <v>45978</v>
      </c>
      <c r="L160" s="581" t="e">
        <f ca="1">IF(FCFF!$R$165="Revenue Exit",FCFF!$AF$177,IF(FCFF!$R$165="EBITDA Exit",FCFF!Z177,FCFF!AL177))</f>
        <v>#NAME?</v>
      </c>
    </row>
    <row r="161" spans="3:5" ht="15" customHeight="1">
      <c r="C161" s="607">
        <f t="shared" ca="1" si="0"/>
        <v>45977</v>
      </c>
    </row>
    <row r="162" spans="3:5" ht="15" customHeight="1">
      <c r="C162" s="607">
        <f t="shared" ca="1" si="0"/>
        <v>45976</v>
      </c>
      <c r="E162" s="581" t="e">
        <f ca="1">IF(FCFF!$R$165="Revenue Exit",FCFF!$AF$177,IF(FCFF!$R$165="EBITDA Exit",FCFF!Z177,FCFF!AL177))</f>
        <v>#NAME?</v>
      </c>
    </row>
    <row r="163" spans="3:5" ht="15" customHeight="1">
      <c r="C163" s="607">
        <f t="shared" ca="1" si="0"/>
        <v>45975</v>
      </c>
      <c r="E163" s="581" t="e">
        <f t="shared" ref="E163:E192" ca="1" si="1">E164+($E$162-$E$193)/COUNTA($C$162:$C$192)</f>
        <v>#NAME?</v>
      </c>
    </row>
    <row r="164" spans="3:5" ht="15" customHeight="1">
      <c r="C164" s="607">
        <f t="shared" ca="1" si="0"/>
        <v>45974</v>
      </c>
      <c r="E164" s="581" t="e">
        <f t="shared" ca="1" si="1"/>
        <v>#NAME?</v>
      </c>
    </row>
    <row r="165" spans="3:5" ht="15" customHeight="1">
      <c r="C165" s="607">
        <f t="shared" ref="C165:C191" ca="1" si="2">+C166+1</f>
        <v>45973</v>
      </c>
      <c r="E165" s="581" t="e">
        <f t="shared" ca="1" si="1"/>
        <v>#NAME?</v>
      </c>
    </row>
    <row r="166" spans="3:5" ht="15" customHeight="1">
      <c r="C166" s="607">
        <f t="shared" ca="1" si="2"/>
        <v>45972</v>
      </c>
      <c r="E166" s="581" t="e">
        <f t="shared" ca="1" si="1"/>
        <v>#NAME?</v>
      </c>
    </row>
    <row r="167" spans="3:5" ht="15" customHeight="1">
      <c r="C167" s="607">
        <f t="shared" ca="1" si="2"/>
        <v>45971</v>
      </c>
      <c r="E167" s="581" t="e">
        <f t="shared" ca="1" si="1"/>
        <v>#NAME?</v>
      </c>
    </row>
    <row r="168" spans="3:5" ht="15" customHeight="1">
      <c r="C168" s="607">
        <f t="shared" ca="1" si="2"/>
        <v>45970</v>
      </c>
      <c r="E168" s="581" t="e">
        <f t="shared" ca="1" si="1"/>
        <v>#NAME?</v>
      </c>
    </row>
    <row r="169" spans="3:5" ht="15" customHeight="1">
      <c r="C169" s="607">
        <f t="shared" ca="1" si="2"/>
        <v>45969</v>
      </c>
      <c r="E169" s="581" t="e">
        <f t="shared" ca="1" si="1"/>
        <v>#NAME?</v>
      </c>
    </row>
    <row r="170" spans="3:5" ht="15" customHeight="1">
      <c r="C170" s="607">
        <f t="shared" ca="1" si="2"/>
        <v>45968</v>
      </c>
      <c r="E170" s="581" t="e">
        <f t="shared" ca="1" si="1"/>
        <v>#NAME?</v>
      </c>
    </row>
    <row r="171" spans="3:5" ht="15" customHeight="1">
      <c r="C171" s="607">
        <f t="shared" ca="1" si="2"/>
        <v>45967</v>
      </c>
      <c r="E171" s="581" t="e">
        <f t="shared" ca="1" si="1"/>
        <v>#NAME?</v>
      </c>
    </row>
    <row r="172" spans="3:5" ht="15" customHeight="1">
      <c r="C172" s="607">
        <f t="shared" ca="1" si="2"/>
        <v>45966</v>
      </c>
      <c r="E172" s="581" t="e">
        <f t="shared" ca="1" si="1"/>
        <v>#NAME?</v>
      </c>
    </row>
    <row r="173" spans="3:5" ht="15" customHeight="1">
      <c r="C173" s="607">
        <f t="shared" ca="1" si="2"/>
        <v>45965</v>
      </c>
      <c r="E173" s="581" t="e">
        <f t="shared" ca="1" si="1"/>
        <v>#NAME?</v>
      </c>
    </row>
    <row r="174" spans="3:5" ht="15" customHeight="1">
      <c r="C174" s="607">
        <f t="shared" ca="1" si="2"/>
        <v>45964</v>
      </c>
      <c r="E174" s="581" t="e">
        <f t="shared" ca="1" si="1"/>
        <v>#NAME?</v>
      </c>
    </row>
    <row r="175" spans="3:5" ht="15" customHeight="1">
      <c r="C175" s="607">
        <f t="shared" ca="1" si="2"/>
        <v>45963</v>
      </c>
      <c r="E175" s="581" t="e">
        <f t="shared" ca="1" si="1"/>
        <v>#NAME?</v>
      </c>
    </row>
    <row r="176" spans="3:5" ht="15" customHeight="1">
      <c r="C176" s="607">
        <f t="shared" ca="1" si="2"/>
        <v>45962</v>
      </c>
      <c r="E176" s="581" t="e">
        <f t="shared" ca="1" si="1"/>
        <v>#NAME?</v>
      </c>
    </row>
    <row r="177" spans="3:5" ht="15" customHeight="1">
      <c r="C177" s="607">
        <f t="shared" ca="1" si="2"/>
        <v>45961</v>
      </c>
      <c r="E177" s="581" t="e">
        <f t="shared" ca="1" si="1"/>
        <v>#NAME?</v>
      </c>
    </row>
    <row r="178" spans="3:5" ht="15" customHeight="1">
      <c r="C178" s="607">
        <f t="shared" ca="1" si="2"/>
        <v>45960</v>
      </c>
      <c r="E178" s="581" t="e">
        <f t="shared" ca="1" si="1"/>
        <v>#NAME?</v>
      </c>
    </row>
    <row r="179" spans="3:5" ht="15" customHeight="1">
      <c r="C179" s="607">
        <f t="shared" ca="1" si="2"/>
        <v>45959</v>
      </c>
      <c r="E179" s="581" t="e">
        <f t="shared" ca="1" si="1"/>
        <v>#NAME?</v>
      </c>
    </row>
    <row r="180" spans="3:5" ht="15" customHeight="1">
      <c r="C180" s="607">
        <f t="shared" ca="1" si="2"/>
        <v>45958</v>
      </c>
      <c r="E180" s="581" t="e">
        <f t="shared" ca="1" si="1"/>
        <v>#NAME?</v>
      </c>
    </row>
    <row r="181" spans="3:5" ht="15" customHeight="1">
      <c r="C181" s="607">
        <f t="shared" ca="1" si="2"/>
        <v>45957</v>
      </c>
      <c r="E181" s="581" t="e">
        <f t="shared" ca="1" si="1"/>
        <v>#NAME?</v>
      </c>
    </row>
    <row r="182" spans="3:5" ht="15" customHeight="1">
      <c r="C182" s="607">
        <f t="shared" ca="1" si="2"/>
        <v>45956</v>
      </c>
      <c r="E182" s="581" t="e">
        <f t="shared" ca="1" si="1"/>
        <v>#NAME?</v>
      </c>
    </row>
    <row r="183" spans="3:5" ht="15" customHeight="1">
      <c r="C183" s="607">
        <f t="shared" ca="1" si="2"/>
        <v>45955</v>
      </c>
      <c r="E183" s="581" t="e">
        <f t="shared" ca="1" si="1"/>
        <v>#NAME?</v>
      </c>
    </row>
    <row r="184" spans="3:5" ht="15" customHeight="1">
      <c r="C184" s="607">
        <f t="shared" ca="1" si="2"/>
        <v>45954</v>
      </c>
      <c r="E184" s="581" t="e">
        <f t="shared" ca="1" si="1"/>
        <v>#NAME?</v>
      </c>
    </row>
    <row r="185" spans="3:5" ht="15" customHeight="1">
      <c r="C185" s="607">
        <f t="shared" ca="1" si="2"/>
        <v>45953</v>
      </c>
      <c r="E185" s="581" t="e">
        <f t="shared" ca="1" si="1"/>
        <v>#NAME?</v>
      </c>
    </row>
    <row r="186" spans="3:5" ht="15" customHeight="1">
      <c r="C186" s="607">
        <f t="shared" ca="1" si="2"/>
        <v>45952</v>
      </c>
      <c r="E186" s="581" t="e">
        <f t="shared" ca="1" si="1"/>
        <v>#NAME?</v>
      </c>
    </row>
    <row r="187" spans="3:5" ht="15" customHeight="1">
      <c r="C187" s="607">
        <f t="shared" ca="1" si="2"/>
        <v>45951</v>
      </c>
      <c r="E187" s="581" t="e">
        <f t="shared" ca="1" si="1"/>
        <v>#NAME?</v>
      </c>
    </row>
    <row r="188" spans="3:5" ht="15" customHeight="1">
      <c r="C188" s="607">
        <f t="shared" ca="1" si="2"/>
        <v>45950</v>
      </c>
      <c r="E188" s="581" t="e">
        <f t="shared" ca="1" si="1"/>
        <v>#NAME?</v>
      </c>
    </row>
    <row r="189" spans="3:5" ht="15" customHeight="1">
      <c r="C189" s="607">
        <f t="shared" ca="1" si="2"/>
        <v>45949</v>
      </c>
      <c r="E189" s="581" t="e">
        <f t="shared" ca="1" si="1"/>
        <v>#NAME?</v>
      </c>
    </row>
    <row r="190" spans="3:5" ht="15" customHeight="1">
      <c r="C190" s="607">
        <f t="shared" ca="1" si="2"/>
        <v>45948</v>
      </c>
      <c r="E190" s="581" t="e">
        <f t="shared" ca="1" si="1"/>
        <v>#NAME?</v>
      </c>
    </row>
    <row r="191" spans="3:5" ht="15" customHeight="1">
      <c r="C191" s="607">
        <f t="shared" ca="1" si="2"/>
        <v>45947</v>
      </c>
      <c r="E191" s="581" t="e">
        <f t="shared" ca="1" si="1"/>
        <v>#NAME?</v>
      </c>
    </row>
    <row r="192" spans="3:5" ht="15" customHeight="1">
      <c r="C192" s="607">
        <f ca="1">+C193+1</f>
        <v>45946</v>
      </c>
      <c r="E192" s="581" t="e">
        <f t="shared" ca="1" si="1"/>
        <v>#NAME?</v>
      </c>
    </row>
    <row r="193" spans="2:5" ht="15" customHeight="1">
      <c r="B193" s="581" t="s">
        <v>0</v>
      </c>
      <c r="C193" s="606">
        <f ca="1">+'Stock Data'!AM4</f>
        <v>45945</v>
      </c>
      <c r="D193" s="581">
        <f ca="1">_xlfn.XLOOKUP(C193,'Stock Data'!$AM$4:$AM$1051,'Stock Data'!$AN$4:$AN$1051)</f>
        <v>141.83000000000001</v>
      </c>
      <c r="E193" s="581">
        <f ca="1">D193</f>
        <v>141.83000000000001</v>
      </c>
    </row>
    <row r="194" spans="2:5" ht="15" customHeight="1">
      <c r="C194" s="606">
        <f ca="1">+'Stock Data'!AM5</f>
        <v>45944</v>
      </c>
      <c r="D194" s="581">
        <f ca="1">_xlfn.XLOOKUP(C194,'Stock Data'!$AM$4:$AM$1051,'Stock Data'!$AN$4:$AN$1051)</f>
        <v>141.83000000000001</v>
      </c>
    </row>
    <row r="195" spans="2:5" ht="15" customHeight="1">
      <c r="C195" s="606">
        <f ca="1">+'Stock Data'!AM6</f>
        <v>45943</v>
      </c>
      <c r="D195" s="581">
        <f ca="1">_xlfn.XLOOKUP(C195,'Stock Data'!$AM$4:$AM$1051,'Stock Data'!$AN$4:$AN$1051)</f>
        <v>144.43</v>
      </c>
    </row>
    <row r="196" spans="2:5" ht="15" customHeight="1">
      <c r="C196" s="606">
        <f ca="1">+'Stock Data'!AM7</f>
        <v>45942</v>
      </c>
      <c r="D196" s="581">
        <f ca="1">_xlfn.XLOOKUP(C196,'Stock Data'!$AM$4:$AM$1051,'Stock Data'!$AN$4:$AN$1051)</f>
        <v>144.43</v>
      </c>
    </row>
    <row r="197" spans="2:5" ht="15" customHeight="1">
      <c r="C197" s="606">
        <f ca="1">+'Stock Data'!AM8</f>
        <v>45941</v>
      </c>
      <c r="D197" s="581">
        <f ca="1">_xlfn.XLOOKUP(C197,'Stock Data'!$AM$4:$AM$1051,'Stock Data'!$AN$4:$AN$1051)</f>
        <v>144.43</v>
      </c>
    </row>
    <row r="198" spans="2:5" ht="15" customHeight="1">
      <c r="C198" s="606">
        <f ca="1">+'Stock Data'!AM9</f>
        <v>45940</v>
      </c>
      <c r="D198" s="581">
        <f ca="1">_xlfn.XLOOKUP(C198,'Stock Data'!$AM$4:$AM$1051,'Stock Data'!$AN$4:$AN$1051)</f>
        <v>141.81</v>
      </c>
    </row>
    <row r="199" spans="2:5" ht="15" customHeight="1">
      <c r="C199" s="606">
        <f ca="1">+'Stock Data'!AM10</f>
        <v>45939</v>
      </c>
      <c r="D199" s="581">
        <f ca="1">_xlfn.XLOOKUP(C199,'Stock Data'!$AM$4:$AM$1051,'Stock Data'!$AN$4:$AN$1051)</f>
        <v>135.63999999999999</v>
      </c>
    </row>
    <row r="200" spans="2:5" ht="15" customHeight="1">
      <c r="C200" s="606">
        <f ca="1">+'Stock Data'!AM11</f>
        <v>45938</v>
      </c>
      <c r="D200" s="581">
        <f ca="1">_xlfn.XLOOKUP(C200,'Stock Data'!$AM$4:$AM$1051,'Stock Data'!$AN$4:$AN$1051)</f>
        <v>137.37</v>
      </c>
    </row>
    <row r="201" spans="2:5" ht="15" customHeight="1">
      <c r="C201" s="606">
        <f ca="1">+'Stock Data'!AM12</f>
        <v>45937</v>
      </c>
      <c r="D201" s="581">
        <f ca="1">_xlfn.XLOOKUP(C201,'Stock Data'!$AM$4:$AM$1051,'Stock Data'!$AN$4:$AN$1051)</f>
        <v>136.85</v>
      </c>
    </row>
    <row r="202" spans="2:5" ht="15" customHeight="1">
      <c r="C202" s="606">
        <f ca="1">+'Stock Data'!AM13</f>
        <v>45936</v>
      </c>
      <c r="D202" s="581">
        <f ca="1">_xlfn.XLOOKUP(C202,'Stock Data'!$AM$4:$AM$1051,'Stock Data'!$AN$4:$AN$1051)</f>
        <v>136.85</v>
      </c>
    </row>
    <row r="203" spans="2:5" ht="15" customHeight="1">
      <c r="C203" s="606">
        <f ca="1">+'Stock Data'!AM14</f>
        <v>45935</v>
      </c>
      <c r="D203" s="581">
        <f ca="1">_xlfn.XLOOKUP(C203,'Stock Data'!$AM$4:$AM$1051,'Stock Data'!$AN$4:$AN$1051)</f>
        <v>136.85</v>
      </c>
    </row>
    <row r="204" spans="2:5" ht="15" customHeight="1">
      <c r="C204" s="606">
        <f ca="1">+'Stock Data'!AM15</f>
        <v>45934</v>
      </c>
      <c r="D204" s="581">
        <f ca="1">_xlfn.XLOOKUP(C204,'Stock Data'!$AM$4:$AM$1051,'Stock Data'!$AN$4:$AN$1051)</f>
        <v>136.85</v>
      </c>
    </row>
    <row r="205" spans="2:5" ht="15" customHeight="1">
      <c r="C205" s="606">
        <f ca="1">+'Stock Data'!AM16</f>
        <v>45933</v>
      </c>
      <c r="D205" s="581">
        <f ca="1">_xlfn.XLOOKUP(C205,'Stock Data'!$AM$4:$AM$1051,'Stock Data'!$AN$4:$AN$1051)</f>
        <v>136.84</v>
      </c>
    </row>
    <row r="206" spans="2:5" ht="15" customHeight="1">
      <c r="C206" s="606">
        <f ca="1">+'Stock Data'!AM17</f>
        <v>45932</v>
      </c>
      <c r="D206" s="581">
        <f ca="1">_xlfn.XLOOKUP(C206,'Stock Data'!$AM$4:$AM$1051,'Stock Data'!$AN$4:$AN$1051)</f>
        <v>137.78</v>
      </c>
    </row>
    <row r="207" spans="2:5" ht="15" customHeight="1">
      <c r="C207" s="606">
        <f ca="1">+'Stock Data'!AM18</f>
        <v>45931</v>
      </c>
      <c r="D207" s="581">
        <f ca="1">_xlfn.XLOOKUP(C207,'Stock Data'!$AM$4:$AM$1051,'Stock Data'!$AN$4:$AN$1051)</f>
        <v>136.26</v>
      </c>
    </row>
    <row r="208" spans="2:5" ht="15" customHeight="1">
      <c r="C208" s="606">
        <f ca="1">+'Stock Data'!AM19</f>
        <v>45930</v>
      </c>
      <c r="D208" s="581">
        <f ca="1">_xlfn.XLOOKUP(C208,'Stock Data'!$AM$4:$AM$1051,'Stock Data'!$AN$4:$AN$1051)</f>
        <v>136.12</v>
      </c>
    </row>
    <row r="209" spans="3:4" ht="15" customHeight="1">
      <c r="C209" s="606">
        <f ca="1">+'Stock Data'!AM20</f>
        <v>45929</v>
      </c>
      <c r="D209" s="581">
        <f ca="1">_xlfn.XLOOKUP(C209,'Stock Data'!$AM$4:$AM$1051,'Stock Data'!$AN$4:$AN$1051)</f>
        <v>137.31</v>
      </c>
    </row>
    <row r="210" spans="3:4" ht="15" customHeight="1">
      <c r="C210" s="606">
        <f ca="1">+'Stock Data'!AM21</f>
        <v>45928</v>
      </c>
      <c r="D210" s="581">
        <f ca="1">_xlfn.XLOOKUP(C210,'Stock Data'!$AM$4:$AM$1051,'Stock Data'!$AN$4:$AN$1051)</f>
        <v>137.31</v>
      </c>
    </row>
    <row r="211" spans="3:4" ht="15" customHeight="1">
      <c r="C211" s="606">
        <f ca="1">+'Stock Data'!AM22</f>
        <v>45927</v>
      </c>
      <c r="D211" s="581">
        <f ca="1">_xlfn.XLOOKUP(C211,'Stock Data'!$AM$4:$AM$1051,'Stock Data'!$AN$4:$AN$1051)</f>
        <v>137.31</v>
      </c>
    </row>
    <row r="212" spans="3:4" ht="15" customHeight="1">
      <c r="C212" s="606">
        <f ca="1">+'Stock Data'!AM23</f>
        <v>45926</v>
      </c>
      <c r="D212" s="581">
        <f ca="1">_xlfn.XLOOKUP(C212,'Stock Data'!$AM$4:$AM$1051,'Stock Data'!$AN$4:$AN$1051)</f>
        <v>130.13</v>
      </c>
    </row>
    <row r="213" spans="3:4" ht="15" customHeight="1">
      <c r="C213" s="606">
        <f ca="1">+'Stock Data'!AM24</f>
        <v>45925</v>
      </c>
      <c r="D213" s="581">
        <f ca="1">_xlfn.XLOOKUP(C213,'Stock Data'!$AM$4:$AM$1051,'Stock Data'!$AN$4:$AN$1051)</f>
        <v>130.4</v>
      </c>
    </row>
    <row r="214" spans="3:4" ht="15" customHeight="1">
      <c r="C214" s="606">
        <f ca="1">+'Stock Data'!AM25</f>
        <v>45924</v>
      </c>
      <c r="D214" s="581">
        <f ca="1">_xlfn.XLOOKUP(C214,'Stock Data'!$AM$4:$AM$1051,'Stock Data'!$AN$4:$AN$1051)</f>
        <v>132.61000000000001</v>
      </c>
    </row>
    <row r="215" spans="3:4" ht="15" customHeight="1">
      <c r="C215" s="606">
        <f ca="1">+'Stock Data'!AM26</f>
        <v>45923</v>
      </c>
      <c r="D215" s="581">
        <f ca="1">_xlfn.XLOOKUP(C215,'Stock Data'!$AM$4:$AM$1051,'Stock Data'!$AN$4:$AN$1051)</f>
        <v>130.72</v>
      </c>
    </row>
    <row r="216" spans="3:4" ht="15" customHeight="1">
      <c r="C216" s="606">
        <f ca="1">+'Stock Data'!AM27</f>
        <v>45922</v>
      </c>
      <c r="D216" s="581">
        <f ca="1">_xlfn.XLOOKUP(C216,'Stock Data'!$AM$4:$AM$1051,'Stock Data'!$AN$4:$AN$1051)</f>
        <v>132.61000000000001</v>
      </c>
    </row>
    <row r="217" spans="3:4" ht="15" customHeight="1">
      <c r="C217" s="606">
        <f ca="1">+'Stock Data'!AM28</f>
        <v>45921</v>
      </c>
      <c r="D217" s="581">
        <f ca="1">_xlfn.XLOOKUP(C217,'Stock Data'!$AM$4:$AM$1051,'Stock Data'!$AN$4:$AN$1051)</f>
        <v>132.61000000000001</v>
      </c>
    </row>
    <row r="218" spans="3:4" ht="15" customHeight="1">
      <c r="C218" s="606">
        <f ca="1">+'Stock Data'!AM29</f>
        <v>45920</v>
      </c>
      <c r="D218" s="581">
        <f ca="1">_xlfn.XLOOKUP(C218,'Stock Data'!$AM$4:$AM$1051,'Stock Data'!$AN$4:$AN$1051)</f>
        <v>132.61000000000001</v>
      </c>
    </row>
    <row r="219" spans="3:4" ht="15" customHeight="1">
      <c r="C219" s="606">
        <f ca="1">+'Stock Data'!AM30</f>
        <v>45919</v>
      </c>
      <c r="D219" s="581">
        <f ca="1">_xlfn.XLOOKUP(C219,'Stock Data'!$AM$4:$AM$1051,'Stock Data'!$AN$4:$AN$1051)</f>
        <v>134.22999999999999</v>
      </c>
    </row>
    <row r="220" spans="3:4" ht="15" customHeight="1">
      <c r="C220" s="606">
        <f ca="1">+'Stock Data'!AM31</f>
        <v>45918</v>
      </c>
      <c r="D220" s="581">
        <f ca="1">_xlfn.XLOOKUP(C220,'Stock Data'!$AM$4:$AM$1051,'Stock Data'!$AN$4:$AN$1051)</f>
        <v>137.97999999999999</v>
      </c>
    </row>
    <row r="221" spans="3:4" ht="15" customHeight="1">
      <c r="C221" s="606">
        <f ca="1">+'Stock Data'!AM32</f>
        <v>45917</v>
      </c>
      <c r="D221" s="581">
        <f ca="1">_xlfn.XLOOKUP(C221,'Stock Data'!$AM$4:$AM$1051,'Stock Data'!$AN$4:$AN$1051)</f>
        <v>130.31</v>
      </c>
    </row>
    <row r="222" spans="3:4" ht="15" customHeight="1">
      <c r="C222" s="606">
        <f ca="1">+'Stock Data'!AM33</f>
        <v>45916</v>
      </c>
      <c r="D222" s="581">
        <f ca="1">_xlfn.XLOOKUP(C222,'Stock Data'!$AM$4:$AM$1051,'Stock Data'!$AN$4:$AN$1051)</f>
        <v>119.99</v>
      </c>
    </row>
    <row r="223" spans="3:4" ht="15" customHeight="1">
      <c r="C223" s="606">
        <f ca="1">+'Stock Data'!AM34</f>
        <v>45915</v>
      </c>
      <c r="D223" s="581">
        <f ca="1">_xlfn.XLOOKUP(C223,'Stock Data'!$AM$4:$AM$1051,'Stock Data'!$AN$4:$AN$1051)</f>
        <v>119.71</v>
      </c>
    </row>
    <row r="224" spans="3:4" ht="15" customHeight="1">
      <c r="C224" s="606">
        <f ca="1">+'Stock Data'!AM35</f>
        <v>45914</v>
      </c>
      <c r="D224" s="581">
        <f ca="1">_xlfn.XLOOKUP(C224,'Stock Data'!$AM$4:$AM$1051,'Stock Data'!$AN$4:$AN$1051)</f>
        <v>119.71</v>
      </c>
    </row>
    <row r="225" spans="3:4" ht="15" customHeight="1">
      <c r="C225" s="606">
        <f ca="1">+'Stock Data'!AM36</f>
        <v>45913</v>
      </c>
      <c r="D225" s="581">
        <f ca="1">_xlfn.XLOOKUP(C225,'Stock Data'!$AM$4:$AM$1051,'Stock Data'!$AN$4:$AN$1051)</f>
        <v>119.71</v>
      </c>
    </row>
    <row r="226" spans="3:4" ht="15" customHeight="1">
      <c r="C226" s="606">
        <f ca="1">+'Stock Data'!AM37</f>
        <v>45912</v>
      </c>
      <c r="D226" s="581">
        <f ca="1">_xlfn.XLOOKUP(C226,'Stock Data'!$AM$4:$AM$1051,'Stock Data'!$AN$4:$AN$1051)</f>
        <v>120.17</v>
      </c>
    </row>
    <row r="227" spans="3:4" ht="15" customHeight="1">
      <c r="C227" s="606">
        <f ca="1">+'Stock Data'!AM38</f>
        <v>45911</v>
      </c>
      <c r="D227" s="581">
        <f ca="1">_xlfn.XLOOKUP(C227,'Stock Data'!$AM$4:$AM$1051,'Stock Data'!$AN$4:$AN$1051)</f>
        <v>118.3</v>
      </c>
    </row>
    <row r="228" spans="3:4" ht="15" customHeight="1">
      <c r="C228" s="606">
        <f ca="1">+'Stock Data'!AM39</f>
        <v>45910</v>
      </c>
      <c r="D228" s="581">
        <f ca="1">_xlfn.XLOOKUP(C228,'Stock Data'!$AM$4:$AM$1051,'Stock Data'!$AN$4:$AN$1051)</f>
        <v>144.71</v>
      </c>
    </row>
    <row r="229" spans="3:4" ht="15" customHeight="1">
      <c r="C229" s="606">
        <f ca="1">+'Stock Data'!AM40</f>
        <v>45909</v>
      </c>
      <c r="D229" s="581">
        <f ca="1">_xlfn.XLOOKUP(C229,'Stock Data'!$AM$4:$AM$1051,'Stock Data'!$AN$4:$AN$1051)</f>
        <v>141.81</v>
      </c>
    </row>
    <row r="230" spans="3:4" ht="15" customHeight="1">
      <c r="C230" s="606">
        <f ca="1">+'Stock Data'!AM41</f>
        <v>45908</v>
      </c>
      <c r="D230" s="581">
        <f ca="1">_xlfn.XLOOKUP(C230,'Stock Data'!$AM$4:$AM$1051,'Stock Data'!$AN$4:$AN$1051)</f>
        <v>141.72999999999999</v>
      </c>
    </row>
    <row r="231" spans="3:4" ht="15" customHeight="1">
      <c r="C231" s="606">
        <f ca="1">+'Stock Data'!AM42</f>
        <v>45907</v>
      </c>
      <c r="D231" s="581">
        <f ca="1">_xlfn.XLOOKUP(C231,'Stock Data'!$AM$4:$AM$1051,'Stock Data'!$AN$4:$AN$1051)</f>
        <v>141.72999999999999</v>
      </c>
    </row>
    <row r="232" spans="3:4" ht="15" customHeight="1">
      <c r="C232" s="606">
        <f ca="1">+'Stock Data'!AM43</f>
        <v>45906</v>
      </c>
      <c r="D232" s="581">
        <f ca="1">_xlfn.XLOOKUP(C232,'Stock Data'!$AM$4:$AM$1051,'Stock Data'!$AN$4:$AN$1051)</f>
        <v>141.72999999999999</v>
      </c>
    </row>
    <row r="233" spans="3:4" ht="15" customHeight="1">
      <c r="C233" s="606">
        <f ca="1">+'Stock Data'!AM44</f>
        <v>45905</v>
      </c>
      <c r="D233" s="581">
        <f ca="1">_xlfn.XLOOKUP(C233,'Stock Data'!$AM$4:$AM$1051,'Stock Data'!$AN$4:$AN$1051)</f>
        <v>145.19999999999999</v>
      </c>
    </row>
    <row r="234" spans="3:4" ht="15" customHeight="1">
      <c r="C234" s="606">
        <f ca="1">+'Stock Data'!AM45</f>
        <v>45904</v>
      </c>
      <c r="D234" s="581">
        <f ca="1">_xlfn.XLOOKUP(C234,'Stock Data'!$AM$4:$AM$1051,'Stock Data'!$AN$4:$AN$1051)</f>
        <v>144.68</v>
      </c>
    </row>
    <row r="235" spans="3:4" ht="15" customHeight="1">
      <c r="C235" s="606">
        <f ca="1">+'Stock Data'!AM46</f>
        <v>45903</v>
      </c>
      <c r="D235" s="581">
        <f ca="1">_xlfn.XLOOKUP(C235,'Stock Data'!$AM$4:$AM$1051,'Stock Data'!$AN$4:$AN$1051)</f>
        <v>146.94</v>
      </c>
    </row>
    <row r="236" spans="3:4" ht="15" customHeight="1">
      <c r="C236" s="606">
        <f ca="1">+'Stock Data'!AM47</f>
        <v>45902</v>
      </c>
      <c r="D236" s="581">
        <f ca="1">_xlfn.XLOOKUP(C236,'Stock Data'!$AM$4:$AM$1051,'Stock Data'!$AN$4:$AN$1051)</f>
        <v>149.22999999999999</v>
      </c>
    </row>
    <row r="237" spans="3:4" ht="15" customHeight="1">
      <c r="C237" s="606">
        <f ca="1">+'Stock Data'!AM48</f>
        <v>45901</v>
      </c>
      <c r="D237" s="581">
        <f ca="1">_xlfn.XLOOKUP(C237,'Stock Data'!$AM$4:$AM$1051,'Stock Data'!$AN$4:$AN$1051)</f>
        <v>149.69999999999999</v>
      </c>
    </row>
    <row r="238" spans="3:4" ht="15" customHeight="1">
      <c r="C238" s="606">
        <f ca="1">+'Stock Data'!AM49</f>
        <v>45900</v>
      </c>
      <c r="D238" s="581">
        <f ca="1">_xlfn.XLOOKUP(C238,'Stock Data'!$AM$4:$AM$1051,'Stock Data'!$AN$4:$AN$1051)</f>
        <v>149.69999999999999</v>
      </c>
    </row>
    <row r="239" spans="3:4" ht="15" customHeight="1">
      <c r="C239" s="606">
        <f ca="1">+'Stock Data'!AM50</f>
        <v>45899</v>
      </c>
      <c r="D239" s="581">
        <f ca="1">_xlfn.XLOOKUP(C239,'Stock Data'!$AM$4:$AM$1051,'Stock Data'!$AN$4:$AN$1051)</f>
        <v>149.69999999999999</v>
      </c>
    </row>
    <row r="240" spans="3:4" ht="15" customHeight="1">
      <c r="C240" s="606">
        <f ca="1">+'Stock Data'!AM51</f>
        <v>45898</v>
      </c>
      <c r="D240" s="581">
        <f ca="1">_xlfn.XLOOKUP(C240,'Stock Data'!$AM$4:$AM$1051,'Stock Data'!$AN$4:$AN$1051)</f>
        <v>148.46</v>
      </c>
    </row>
    <row r="241" spans="3:4" ht="15" customHeight="1">
      <c r="C241" s="606">
        <f ca="1">+'Stock Data'!AM52</f>
        <v>45897</v>
      </c>
      <c r="D241" s="581">
        <f ca="1">_xlfn.XLOOKUP(C241,'Stock Data'!$AM$4:$AM$1051,'Stock Data'!$AN$4:$AN$1051)</f>
        <v>149.57</v>
      </c>
    </row>
    <row r="242" spans="3:4" ht="15" customHeight="1">
      <c r="C242" s="606">
        <f ca="1">+'Stock Data'!AM53</f>
        <v>45896</v>
      </c>
      <c r="D242" s="581">
        <f ca="1">_xlfn.XLOOKUP(C242,'Stock Data'!$AM$4:$AM$1051,'Stock Data'!$AN$4:$AN$1051)</f>
        <v>149.47999999999999</v>
      </c>
    </row>
    <row r="243" spans="3:4" ht="15" customHeight="1">
      <c r="C243" s="606">
        <f ca="1">+'Stock Data'!AM54</f>
        <v>45895</v>
      </c>
      <c r="D243" s="581">
        <f ca="1">_xlfn.XLOOKUP(C243,'Stock Data'!$AM$4:$AM$1051,'Stock Data'!$AN$4:$AN$1051)</f>
        <v>144.46</v>
      </c>
    </row>
    <row r="244" spans="3:4" ht="15" customHeight="1">
      <c r="C244" s="606">
        <f ca="1">+'Stock Data'!AM55</f>
        <v>45894</v>
      </c>
      <c r="D244" s="581">
        <f ca="1">_xlfn.XLOOKUP(C244,'Stock Data'!$AM$4:$AM$1051,'Stock Data'!$AN$4:$AN$1051)</f>
        <v>146.47999999999999</v>
      </c>
    </row>
    <row r="245" spans="3:4" ht="15" customHeight="1">
      <c r="C245" s="606">
        <f ca="1">+'Stock Data'!AM56</f>
        <v>45893</v>
      </c>
      <c r="D245" s="581">
        <f ca="1">_xlfn.XLOOKUP(C245,'Stock Data'!$AM$4:$AM$1051,'Stock Data'!$AN$4:$AN$1051)</f>
        <v>146.47999999999999</v>
      </c>
    </row>
    <row r="246" spans="3:4" ht="15" customHeight="1">
      <c r="C246" s="606">
        <f ca="1">+'Stock Data'!AM57</f>
        <v>45892</v>
      </c>
      <c r="D246" s="581">
        <f ca="1">_xlfn.XLOOKUP(C246,'Stock Data'!$AM$4:$AM$1051,'Stock Data'!$AN$4:$AN$1051)</f>
        <v>146.47999999999999</v>
      </c>
    </row>
    <row r="247" spans="3:4" ht="15" customHeight="1">
      <c r="C247" s="606">
        <f ca="1">+'Stock Data'!AM58</f>
        <v>45891</v>
      </c>
      <c r="D247" s="581">
        <f ca="1">_xlfn.XLOOKUP(C247,'Stock Data'!$AM$4:$AM$1051,'Stock Data'!$AN$4:$AN$1051)</f>
        <v>147.37</v>
      </c>
    </row>
    <row r="248" spans="3:4" ht="15" customHeight="1">
      <c r="C248" s="606">
        <f ca="1">+'Stock Data'!AM59</f>
        <v>45890</v>
      </c>
      <c r="D248" s="581">
        <f ca="1">_xlfn.XLOOKUP(C248,'Stock Data'!$AM$4:$AM$1051,'Stock Data'!$AN$4:$AN$1051)</f>
        <v>143.12</v>
      </c>
    </row>
    <row r="249" spans="3:4" ht="15" customHeight="1">
      <c r="C249" s="606">
        <f ca="1">+'Stock Data'!AM60</f>
        <v>45889</v>
      </c>
      <c r="D249" s="581">
        <f ca="1">_xlfn.XLOOKUP(C249,'Stock Data'!$AM$4:$AM$1051,'Stock Data'!$AN$4:$AN$1051)</f>
        <v>143.80000000000001</v>
      </c>
    </row>
    <row r="250" spans="3:4" ht="15" customHeight="1">
      <c r="C250" s="606">
        <f ca="1">+'Stock Data'!AM61</f>
        <v>45888</v>
      </c>
      <c r="D250" s="581">
        <f ca="1">_xlfn.XLOOKUP(C250,'Stock Data'!$AM$4:$AM$1051,'Stock Data'!$AN$4:$AN$1051)</f>
        <v>146.04</v>
      </c>
    </row>
    <row r="251" spans="3:4" ht="15" customHeight="1">
      <c r="C251" s="606">
        <f ca="1">+'Stock Data'!AM62</f>
        <v>45887</v>
      </c>
      <c r="D251" s="581">
        <f ca="1">_xlfn.XLOOKUP(C251,'Stock Data'!$AM$4:$AM$1051,'Stock Data'!$AN$4:$AN$1051)</f>
        <v>149.5</v>
      </c>
    </row>
    <row r="252" spans="3:4" ht="15" customHeight="1">
      <c r="C252" s="606">
        <f ca="1">+'Stock Data'!AM63</f>
        <v>45886</v>
      </c>
      <c r="D252" s="581">
        <f ca="1">_xlfn.XLOOKUP(C252,'Stock Data'!$AM$4:$AM$1051,'Stock Data'!$AN$4:$AN$1051)</f>
        <v>149.5</v>
      </c>
    </row>
    <row r="253" spans="3:4" ht="15" customHeight="1">
      <c r="C253" s="606">
        <f ca="1">+'Stock Data'!AM64</f>
        <v>45885</v>
      </c>
      <c r="D253" s="581">
        <f ca="1">_xlfn.XLOOKUP(C253,'Stock Data'!$AM$4:$AM$1051,'Stock Data'!$AN$4:$AN$1051)</f>
        <v>149.5</v>
      </c>
    </row>
    <row r="254" spans="3:4" ht="15" customHeight="1">
      <c r="C254" s="606">
        <f ca="1">+'Stock Data'!AM65</f>
        <v>45884</v>
      </c>
      <c r="D254" s="581">
        <f ca="1">_xlfn.XLOOKUP(C254,'Stock Data'!$AM$4:$AM$1051,'Stock Data'!$AN$4:$AN$1051)</f>
        <v>150.16</v>
      </c>
    </row>
    <row r="255" spans="3:4" ht="15" customHeight="1">
      <c r="C255" s="606">
        <f ca="1">+'Stock Data'!AM66</f>
        <v>45883</v>
      </c>
      <c r="D255" s="581">
        <f ca="1">_xlfn.XLOOKUP(C255,'Stock Data'!$AM$4:$AM$1051,'Stock Data'!$AN$4:$AN$1051)</f>
        <v>148.72999999999999</v>
      </c>
    </row>
    <row r="256" spans="3:4" ht="15" customHeight="1">
      <c r="C256" s="606">
        <f ca="1">+'Stock Data'!AM67</f>
        <v>45882</v>
      </c>
      <c r="D256" s="581">
        <f ca="1">_xlfn.XLOOKUP(C256,'Stock Data'!$AM$4:$AM$1051,'Stock Data'!$AN$4:$AN$1051)</f>
        <v>148.06</v>
      </c>
    </row>
    <row r="257" spans="3:4" ht="15" customHeight="1">
      <c r="C257" s="606">
        <f ca="1">+'Stock Data'!AM68</f>
        <v>45881</v>
      </c>
      <c r="D257" s="581">
        <f ca="1">_xlfn.XLOOKUP(C257,'Stock Data'!$AM$4:$AM$1051,'Stock Data'!$AN$4:$AN$1051)</f>
        <v>145.38999999999999</v>
      </c>
    </row>
    <row r="258" spans="3:4" ht="15" customHeight="1">
      <c r="C258" s="606">
        <f ca="1">+'Stock Data'!AM69</f>
        <v>45880</v>
      </c>
      <c r="D258" s="581">
        <f ca="1">_xlfn.XLOOKUP(C258,'Stock Data'!$AM$4:$AM$1051,'Stock Data'!$AN$4:$AN$1051)</f>
        <v>148.63</v>
      </c>
    </row>
    <row r="259" spans="3:4" ht="15" customHeight="1">
      <c r="C259" s="606">
        <f ca="1">+'Stock Data'!AM70</f>
        <v>45879</v>
      </c>
      <c r="D259" s="581">
        <f ca="1">_xlfn.XLOOKUP(C259,'Stock Data'!$AM$4:$AM$1051,'Stock Data'!$AN$4:$AN$1051)</f>
        <v>148.63</v>
      </c>
    </row>
    <row r="260" spans="3:4" ht="15" customHeight="1">
      <c r="C260" s="606">
        <f ca="1">+'Stock Data'!AM71</f>
        <v>45878</v>
      </c>
      <c r="D260" s="581">
        <f ca="1">_xlfn.XLOOKUP(C260,'Stock Data'!$AM$4:$AM$1051,'Stock Data'!$AN$4:$AN$1051)</f>
        <v>148.63</v>
      </c>
    </row>
    <row r="261" spans="3:4" ht="15" customHeight="1">
      <c r="C261" s="606">
        <f ca="1">+'Stock Data'!AM72</f>
        <v>45877</v>
      </c>
      <c r="D261" s="581">
        <f ca="1">_xlfn.XLOOKUP(C261,'Stock Data'!$AM$4:$AM$1051,'Stock Data'!$AN$4:$AN$1051)</f>
        <v>148.63</v>
      </c>
    </row>
    <row r="262" spans="3:4" ht="15" customHeight="1">
      <c r="C262" s="606">
        <f ca="1">+'Stock Data'!AM73</f>
        <v>45876</v>
      </c>
      <c r="D262" s="581">
        <f ca="1">_xlfn.XLOOKUP(C262,'Stock Data'!$AM$4:$AM$1051,'Stock Data'!$AN$4:$AN$1051)</f>
        <v>149.16</v>
      </c>
    </row>
    <row r="263" spans="3:4" ht="15" customHeight="1">
      <c r="C263" s="606">
        <f ca="1">+'Stock Data'!AM74</f>
        <v>45875</v>
      </c>
      <c r="D263" s="581">
        <f ca="1">_xlfn.XLOOKUP(C263,'Stock Data'!$AM$4:$AM$1051,'Stock Data'!$AN$4:$AN$1051)</f>
        <v>147.34</v>
      </c>
    </row>
    <row r="264" spans="3:4" ht="15" customHeight="1">
      <c r="C264" s="606">
        <f ca="1">+'Stock Data'!AM75</f>
        <v>45874</v>
      </c>
      <c r="D264" s="581">
        <f ca="1">_xlfn.XLOOKUP(C264,'Stock Data'!$AM$4:$AM$1051,'Stock Data'!$AN$4:$AN$1051)</f>
        <v>144</v>
      </c>
    </row>
    <row r="265" spans="3:4" ht="15" customHeight="1">
      <c r="C265" s="606">
        <f ca="1">+'Stock Data'!AM76</f>
        <v>45873</v>
      </c>
      <c r="D265" s="581">
        <f ca="1">_xlfn.XLOOKUP(C265,'Stock Data'!$AM$4:$AM$1051,'Stock Data'!$AN$4:$AN$1051)</f>
        <v>144.94</v>
      </c>
    </row>
    <row r="266" spans="3:4" ht="15" customHeight="1">
      <c r="C266" s="606">
        <f ca="1">+'Stock Data'!AM77</f>
        <v>45872</v>
      </c>
      <c r="D266" s="581">
        <f ca="1">_xlfn.XLOOKUP(C266,'Stock Data'!$AM$4:$AM$1051,'Stock Data'!$AN$4:$AN$1051)</f>
        <v>144.94</v>
      </c>
    </row>
    <row r="267" spans="3:4" ht="15" customHeight="1">
      <c r="C267" s="606">
        <f ca="1">+'Stock Data'!AM78</f>
        <v>45871</v>
      </c>
      <c r="D267" s="581">
        <f ca="1">_xlfn.XLOOKUP(C267,'Stock Data'!$AM$4:$AM$1051,'Stock Data'!$AN$4:$AN$1051)</f>
        <v>144.94</v>
      </c>
    </row>
    <row r="268" spans="3:4" ht="15" customHeight="1">
      <c r="C268" s="606">
        <f ca="1">+'Stock Data'!AM79</f>
        <v>45870</v>
      </c>
      <c r="D268" s="581">
        <f ca="1">_xlfn.XLOOKUP(C268,'Stock Data'!$AM$4:$AM$1051,'Stock Data'!$AN$4:$AN$1051)</f>
        <v>144.75</v>
      </c>
    </row>
    <row r="269" spans="3:4" ht="15" customHeight="1">
      <c r="C269" s="606">
        <f ca="1">+'Stock Data'!AM80</f>
        <v>45869</v>
      </c>
      <c r="D269" s="581">
        <f ca="1">_xlfn.XLOOKUP(C269,'Stock Data'!$AM$4:$AM$1051,'Stock Data'!$AN$4:$AN$1051)</f>
        <v>143.94</v>
      </c>
    </row>
    <row r="270" spans="3:4" ht="15" customHeight="1">
      <c r="C270" s="606">
        <f ca="1">+'Stock Data'!AM81</f>
        <v>45868</v>
      </c>
      <c r="D270" s="581">
        <f ca="1">_xlfn.XLOOKUP(C270,'Stock Data'!$AM$4:$AM$1051,'Stock Data'!$AN$4:$AN$1051)</f>
        <v>143.18</v>
      </c>
    </row>
    <row r="271" spans="3:4" ht="15" customHeight="1">
      <c r="C271" s="606">
        <f ca="1">+'Stock Data'!AM82</f>
        <v>45867</v>
      </c>
      <c r="D271" s="581">
        <f ca="1">_xlfn.XLOOKUP(C271,'Stock Data'!$AM$4:$AM$1051,'Stock Data'!$AN$4:$AN$1051)</f>
        <v>143.62</v>
      </c>
    </row>
    <row r="272" spans="3:4" ht="15" customHeight="1">
      <c r="C272" s="606">
        <f ca="1">+'Stock Data'!AM83</f>
        <v>45866</v>
      </c>
      <c r="D272" s="581">
        <f ca="1">_xlfn.XLOOKUP(C272,'Stock Data'!$AM$4:$AM$1051,'Stock Data'!$AN$4:$AN$1051)</f>
        <v>141.49</v>
      </c>
    </row>
    <row r="273" spans="3:4" ht="15" customHeight="1">
      <c r="C273" s="606">
        <f ca="1">+'Stock Data'!AM84</f>
        <v>45865</v>
      </c>
      <c r="D273" s="581">
        <f ca="1">_xlfn.XLOOKUP(C273,'Stock Data'!$AM$4:$AM$1051,'Stock Data'!$AN$4:$AN$1051)</f>
        <v>141.49</v>
      </c>
    </row>
    <row r="274" spans="3:4" ht="15" customHeight="1">
      <c r="C274" s="606">
        <f ca="1">+'Stock Data'!AM85</f>
        <v>45864</v>
      </c>
      <c r="D274" s="581">
        <f ca="1">_xlfn.XLOOKUP(C274,'Stock Data'!$AM$4:$AM$1051,'Stock Data'!$AN$4:$AN$1051)</f>
        <v>141.49</v>
      </c>
    </row>
    <row r="275" spans="3:4" ht="15" customHeight="1">
      <c r="C275" s="606">
        <f ca="1">+'Stock Data'!AM86</f>
        <v>45863</v>
      </c>
      <c r="D275" s="581">
        <f ca="1">_xlfn.XLOOKUP(C275,'Stock Data'!$AM$4:$AM$1051,'Stock Data'!$AN$4:$AN$1051)</f>
        <v>141.78</v>
      </c>
    </row>
    <row r="276" spans="3:4" ht="15" customHeight="1">
      <c r="C276" s="606">
        <f ca="1">+'Stock Data'!AM87</f>
        <v>45862</v>
      </c>
      <c r="D276" s="581">
        <f ca="1">_xlfn.XLOOKUP(C276,'Stock Data'!$AM$4:$AM$1051,'Stock Data'!$AN$4:$AN$1051)</f>
        <v>141.78</v>
      </c>
    </row>
    <row r="277" spans="3:4" ht="15" customHeight="1">
      <c r="C277" s="606">
        <f ca="1">+'Stock Data'!AM88</f>
        <v>45861</v>
      </c>
      <c r="D277" s="581">
        <f ca="1">_xlfn.XLOOKUP(C277,'Stock Data'!$AM$4:$AM$1051,'Stock Data'!$AN$4:$AN$1051)</f>
        <v>140.93</v>
      </c>
    </row>
    <row r="278" spans="3:4" ht="15" customHeight="1">
      <c r="C278" s="606">
        <f ca="1">+'Stock Data'!AM89</f>
        <v>45860</v>
      </c>
      <c r="D278" s="581">
        <f ca="1">_xlfn.XLOOKUP(C278,'Stock Data'!$AM$4:$AM$1051,'Stock Data'!$AN$4:$AN$1051)</f>
        <v>144.01</v>
      </c>
    </row>
    <row r="279" spans="3:4" ht="15" customHeight="1">
      <c r="C279" s="606">
        <f ca="1">+'Stock Data'!AM90</f>
        <v>45859</v>
      </c>
      <c r="D279" s="581">
        <f ca="1">_xlfn.XLOOKUP(C279,'Stock Data'!$AM$4:$AM$1051,'Stock Data'!$AN$4:$AN$1051)</f>
        <v>141.19</v>
      </c>
    </row>
    <row r="280" spans="3:4" ht="15" customHeight="1">
      <c r="C280" s="606">
        <f ca="1">+'Stock Data'!AM91</f>
        <v>45858</v>
      </c>
      <c r="D280" s="581">
        <f ca="1">_xlfn.XLOOKUP(C280,'Stock Data'!$AM$4:$AM$1051,'Stock Data'!$AN$4:$AN$1051)</f>
        <v>141.19</v>
      </c>
    </row>
    <row r="281" spans="3:4" ht="15" customHeight="1">
      <c r="C281" s="606">
        <f ca="1">+'Stock Data'!AM92</f>
        <v>45857</v>
      </c>
      <c r="D281" s="581">
        <f ca="1">_xlfn.XLOOKUP(C281,'Stock Data'!$AM$4:$AM$1051,'Stock Data'!$AN$4:$AN$1051)</f>
        <v>141.19</v>
      </c>
    </row>
    <row r="282" spans="3:4" ht="15" customHeight="1">
      <c r="C282" s="606">
        <f ca="1">+'Stock Data'!AM93</f>
        <v>45856</v>
      </c>
      <c r="D282" s="581">
        <f ca="1">_xlfn.XLOOKUP(C282,'Stock Data'!$AM$4:$AM$1051,'Stock Data'!$AN$4:$AN$1051)</f>
        <v>143.88</v>
      </c>
    </row>
    <row r="283" spans="3:4" ht="15" customHeight="1">
      <c r="C283" s="606">
        <f ca="1">+'Stock Data'!AM94</f>
        <v>45855</v>
      </c>
      <c r="D283" s="581">
        <f ca="1">_xlfn.XLOOKUP(C283,'Stock Data'!$AM$4:$AM$1051,'Stock Data'!$AN$4:$AN$1051)</f>
        <v>146.71</v>
      </c>
    </row>
    <row r="284" spans="3:4" ht="15" customHeight="1">
      <c r="C284" s="606">
        <f ca="1">+'Stock Data'!AM95</f>
        <v>45854</v>
      </c>
      <c r="D284" s="581">
        <f ca="1">_xlfn.XLOOKUP(C284,'Stock Data'!$AM$4:$AM$1051,'Stock Data'!$AN$4:$AN$1051)</f>
        <v>148.83000000000001</v>
      </c>
    </row>
    <row r="285" spans="3:4" ht="15" customHeight="1">
      <c r="C285" s="606">
        <f ca="1">+'Stock Data'!AM96</f>
        <v>45853</v>
      </c>
      <c r="D285" s="581">
        <f ca="1">_xlfn.XLOOKUP(C285,'Stock Data'!$AM$4:$AM$1051,'Stock Data'!$AN$4:$AN$1051)</f>
        <v>149.97</v>
      </c>
    </row>
    <row r="286" spans="3:4" ht="15" customHeight="1">
      <c r="C286" s="606">
        <f ca="1">+'Stock Data'!AM97</f>
        <v>45852</v>
      </c>
      <c r="D286" s="581">
        <f ca="1">_xlfn.XLOOKUP(C286,'Stock Data'!$AM$4:$AM$1051,'Stock Data'!$AN$4:$AN$1051)</f>
        <v>147.22</v>
      </c>
    </row>
    <row r="287" spans="3:4" ht="15" customHeight="1">
      <c r="C287" s="606">
        <f ca="1">+'Stock Data'!AM98</f>
        <v>45851</v>
      </c>
      <c r="D287" s="581">
        <f ca="1">_xlfn.XLOOKUP(C287,'Stock Data'!$AM$4:$AM$1051,'Stock Data'!$AN$4:$AN$1051)</f>
        <v>147.22</v>
      </c>
    </row>
    <row r="288" spans="3:4" ht="15" customHeight="1">
      <c r="C288" s="606">
        <f ca="1">+'Stock Data'!AM99</f>
        <v>45850</v>
      </c>
      <c r="D288" s="581">
        <f ca="1">_xlfn.XLOOKUP(C288,'Stock Data'!$AM$4:$AM$1051,'Stock Data'!$AN$4:$AN$1051)</f>
        <v>147.22</v>
      </c>
    </row>
    <row r="289" spans="3:4" ht="15" customHeight="1">
      <c r="C289" s="606">
        <f ca="1">+'Stock Data'!AM100</f>
        <v>45849</v>
      </c>
      <c r="D289" s="581">
        <f ca="1">_xlfn.XLOOKUP(C289,'Stock Data'!$AM$4:$AM$1051,'Stock Data'!$AN$4:$AN$1051)</f>
        <v>147.13999999999999</v>
      </c>
    </row>
    <row r="290" spans="3:4" ht="15" customHeight="1">
      <c r="C290" s="606">
        <f ca="1">+'Stock Data'!AM101</f>
        <v>45848</v>
      </c>
      <c r="D290" s="581">
        <f ca="1">_xlfn.XLOOKUP(C290,'Stock Data'!$AM$4:$AM$1051,'Stock Data'!$AN$4:$AN$1051)</f>
        <v>147.79</v>
      </c>
    </row>
    <row r="291" spans="3:4" ht="15" customHeight="1">
      <c r="C291" s="606">
        <f ca="1">+'Stock Data'!AM102</f>
        <v>45847</v>
      </c>
      <c r="D291" s="581">
        <f ca="1">_xlfn.XLOOKUP(C291,'Stock Data'!$AM$4:$AM$1051,'Stock Data'!$AN$4:$AN$1051)</f>
        <v>147.88</v>
      </c>
    </row>
    <row r="292" spans="3:4" ht="15" customHeight="1">
      <c r="C292" s="606">
        <f ca="1">+'Stock Data'!AM103</f>
        <v>45846</v>
      </c>
      <c r="D292" s="581">
        <f ca="1">_xlfn.XLOOKUP(C292,'Stock Data'!$AM$4:$AM$1051,'Stock Data'!$AN$4:$AN$1051)</f>
        <v>144.55000000000001</v>
      </c>
    </row>
    <row r="293" spans="3:4" ht="15" customHeight="1">
      <c r="C293" s="606">
        <f ca="1">+'Stock Data'!AM104</f>
        <v>45845</v>
      </c>
      <c r="D293" s="581">
        <f ca="1">_xlfn.XLOOKUP(C293,'Stock Data'!$AM$4:$AM$1051,'Stock Data'!$AN$4:$AN$1051)</f>
        <v>146.13</v>
      </c>
    </row>
    <row r="294" spans="3:4" ht="15" customHeight="1">
      <c r="C294" s="606">
        <f ca="1">+'Stock Data'!AM105</f>
        <v>45844</v>
      </c>
      <c r="D294" s="581">
        <f ca="1">_xlfn.XLOOKUP(C294,'Stock Data'!$AM$4:$AM$1051,'Stock Data'!$AN$4:$AN$1051)</f>
        <v>146.13</v>
      </c>
    </row>
    <row r="295" spans="3:4" ht="15" customHeight="1">
      <c r="C295" s="606">
        <f ca="1">+'Stock Data'!AM106</f>
        <v>45843</v>
      </c>
      <c r="D295" s="581">
        <f ca="1">_xlfn.XLOOKUP(C295,'Stock Data'!$AM$4:$AM$1051,'Stock Data'!$AN$4:$AN$1051)</f>
        <v>146.13</v>
      </c>
    </row>
    <row r="296" spans="3:4" ht="15" customHeight="1">
      <c r="C296" s="606">
        <f ca="1">+'Stock Data'!AM107</f>
        <v>45842</v>
      </c>
      <c r="D296" s="581">
        <f ca="1">_xlfn.XLOOKUP(C296,'Stock Data'!$AM$4:$AM$1051,'Stock Data'!$AN$4:$AN$1051)</f>
        <v>147.46</v>
      </c>
    </row>
    <row r="297" spans="3:4" ht="15" customHeight="1">
      <c r="C297" s="606">
        <f ca="1">+'Stock Data'!AM108</f>
        <v>45841</v>
      </c>
      <c r="D297" s="581">
        <f ca="1">_xlfn.XLOOKUP(C297,'Stock Data'!$AM$4:$AM$1051,'Stock Data'!$AN$4:$AN$1051)</f>
        <v>147.88999999999999</v>
      </c>
    </row>
    <row r="298" spans="3:4" ht="15" customHeight="1">
      <c r="C298" s="606">
        <f ca="1">+'Stock Data'!AM109</f>
        <v>45840</v>
      </c>
      <c r="D298" s="581">
        <f ca="1">_xlfn.XLOOKUP(C298,'Stock Data'!$AM$4:$AM$1051,'Stock Data'!$AN$4:$AN$1051)</f>
        <v>150.57</v>
      </c>
    </row>
    <row r="299" spans="3:4" ht="15" customHeight="1">
      <c r="C299" s="606">
        <f ca="1">+'Stock Data'!AM110</f>
        <v>45839</v>
      </c>
      <c r="D299" s="581">
        <f ca="1">_xlfn.XLOOKUP(C299,'Stock Data'!$AM$4:$AM$1051,'Stock Data'!$AN$4:$AN$1051)</f>
        <v>145.79</v>
      </c>
    </row>
    <row r="300" spans="3:4" ht="15" customHeight="1">
      <c r="C300" s="606">
        <f ca="1">+'Stock Data'!AM111</f>
        <v>45838</v>
      </c>
      <c r="D300" s="581">
        <f ca="1">_xlfn.XLOOKUP(C300,'Stock Data'!$AM$4:$AM$1051,'Stock Data'!$AN$4:$AN$1051)</f>
        <v>145.79</v>
      </c>
    </row>
    <row r="301" spans="3:4" ht="15" customHeight="1">
      <c r="C301" s="606">
        <f ca="1">+'Stock Data'!AM112</f>
        <v>45837</v>
      </c>
      <c r="D301" s="581">
        <f ca="1">_xlfn.XLOOKUP(C301,'Stock Data'!$AM$4:$AM$1051,'Stock Data'!$AN$4:$AN$1051)</f>
        <v>145.79</v>
      </c>
    </row>
    <row r="302" spans="3:4" ht="15" customHeight="1">
      <c r="C302" s="606">
        <f ca="1">+'Stock Data'!AM113</f>
        <v>45836</v>
      </c>
      <c r="D302" s="581">
        <f ca="1">_xlfn.XLOOKUP(C302,'Stock Data'!$AM$4:$AM$1051,'Stock Data'!$AN$4:$AN$1051)</f>
        <v>145.79</v>
      </c>
    </row>
    <row r="303" spans="3:4" ht="15" customHeight="1">
      <c r="C303" s="606">
        <f ca="1">+'Stock Data'!AM114</f>
        <v>45835</v>
      </c>
      <c r="D303" s="581">
        <f ca="1">_xlfn.XLOOKUP(C303,'Stock Data'!$AM$4:$AM$1051,'Stock Data'!$AN$4:$AN$1051)</f>
        <v>147.13999999999999</v>
      </c>
    </row>
    <row r="304" spans="3:4" ht="15" customHeight="1">
      <c r="C304" s="606">
        <f ca="1">+'Stock Data'!AM115</f>
        <v>45834</v>
      </c>
      <c r="D304" s="581">
        <f ca="1">_xlfn.XLOOKUP(C304,'Stock Data'!$AM$4:$AM$1051,'Stock Data'!$AN$4:$AN$1051)</f>
        <v>145.01</v>
      </c>
    </row>
    <row r="305" spans="3:4" ht="15" customHeight="1">
      <c r="C305" s="606">
        <f ca="1">+'Stock Data'!AM116</f>
        <v>45833</v>
      </c>
      <c r="D305" s="581">
        <f ca="1">_xlfn.XLOOKUP(C305,'Stock Data'!$AM$4:$AM$1051,'Stock Data'!$AN$4:$AN$1051)</f>
        <v>152.11000000000001</v>
      </c>
    </row>
    <row r="306" spans="3:4" ht="15" customHeight="1">
      <c r="C306" s="606">
        <f ca="1">+'Stock Data'!AM117</f>
        <v>45832</v>
      </c>
      <c r="D306" s="581">
        <f ca="1">_xlfn.XLOOKUP(C306,'Stock Data'!$AM$4:$AM$1051,'Stock Data'!$AN$4:$AN$1051)</f>
        <v>150.99</v>
      </c>
    </row>
    <row r="307" spans="3:4" ht="15" customHeight="1">
      <c r="C307" s="606">
        <f ca="1">+'Stock Data'!AM118</f>
        <v>45831</v>
      </c>
      <c r="D307" s="581">
        <f ca="1">_xlfn.XLOOKUP(C307,'Stock Data'!$AM$4:$AM$1051,'Stock Data'!$AN$4:$AN$1051)</f>
        <v>151.49</v>
      </c>
    </row>
    <row r="308" spans="3:4" ht="15" customHeight="1">
      <c r="C308" s="606">
        <f ca="1">+'Stock Data'!AM119</f>
        <v>45830</v>
      </c>
      <c r="D308" s="581">
        <f ca="1">_xlfn.XLOOKUP(C308,'Stock Data'!$AM$4:$AM$1051,'Stock Data'!$AN$4:$AN$1051)</f>
        <v>151.49</v>
      </c>
    </row>
    <row r="309" spans="3:4" ht="15" customHeight="1">
      <c r="C309" s="606">
        <f ca="1">+'Stock Data'!AM120</f>
        <v>45829</v>
      </c>
      <c r="D309" s="581">
        <f ca="1">_xlfn.XLOOKUP(C309,'Stock Data'!$AM$4:$AM$1051,'Stock Data'!$AN$4:$AN$1051)</f>
        <v>151.49</v>
      </c>
    </row>
    <row r="310" spans="3:4" ht="15" customHeight="1">
      <c r="C310" s="606">
        <f ca="1">+'Stock Data'!AM121</f>
        <v>45828</v>
      </c>
      <c r="D310" s="581">
        <f ca="1">_xlfn.XLOOKUP(C310,'Stock Data'!$AM$4:$AM$1051,'Stock Data'!$AN$4:$AN$1051)</f>
        <v>149.78</v>
      </c>
    </row>
    <row r="311" spans="3:4" ht="15" customHeight="1">
      <c r="C311" s="606">
        <f ca="1">+'Stock Data'!AM122</f>
        <v>45827</v>
      </c>
      <c r="D311" s="581">
        <f ca="1">_xlfn.XLOOKUP(C311,'Stock Data'!$AM$4:$AM$1051,'Stock Data'!$AN$4:$AN$1051)</f>
        <v>148.72</v>
      </c>
    </row>
    <row r="312" spans="3:4" ht="15" customHeight="1">
      <c r="C312" s="606">
        <f ca="1">+'Stock Data'!AM123</f>
        <v>45826</v>
      </c>
      <c r="D312" s="581">
        <f ca="1">_xlfn.XLOOKUP(C312,'Stock Data'!$AM$4:$AM$1051,'Stock Data'!$AN$4:$AN$1051)</f>
        <v>149.91</v>
      </c>
    </row>
    <row r="313" spans="3:4" ht="15" customHeight="1">
      <c r="C313" s="606">
        <f ca="1">+'Stock Data'!AM124</f>
        <v>45825</v>
      </c>
      <c r="D313" s="581">
        <f ca="1">_xlfn.XLOOKUP(C313,'Stock Data'!$AM$4:$AM$1051,'Stock Data'!$AN$4:$AN$1051)</f>
        <v>146.9</v>
      </c>
    </row>
    <row r="314" spans="3:4" ht="15" customHeight="1">
      <c r="C314" s="606">
        <f ca="1">+'Stock Data'!AM125</f>
        <v>45824</v>
      </c>
      <c r="D314" s="581">
        <f ca="1">_xlfn.XLOOKUP(C314,'Stock Data'!$AM$4:$AM$1051,'Stock Data'!$AN$4:$AN$1051)</f>
        <v>139.52000000000001</v>
      </c>
    </row>
    <row r="315" spans="3:4" ht="15" customHeight="1">
      <c r="C315" s="606">
        <f ca="1">+'Stock Data'!AM126</f>
        <v>45823</v>
      </c>
      <c r="D315" s="581">
        <f ca="1">_xlfn.XLOOKUP(C315,'Stock Data'!$AM$4:$AM$1051,'Stock Data'!$AN$4:$AN$1051)</f>
        <v>139.52000000000001</v>
      </c>
    </row>
    <row r="316" spans="3:4" ht="15" customHeight="1">
      <c r="C316" s="606">
        <f ca="1">+'Stock Data'!AM127</f>
        <v>45822</v>
      </c>
      <c r="D316" s="581">
        <f ca="1">_xlfn.XLOOKUP(C316,'Stock Data'!$AM$4:$AM$1051,'Stock Data'!$AN$4:$AN$1051)</f>
        <v>139.52000000000001</v>
      </c>
    </row>
    <row r="317" spans="3:4" ht="15" customHeight="1">
      <c r="C317" s="606">
        <f ca="1">+'Stock Data'!AM128</f>
        <v>45821</v>
      </c>
      <c r="D317" s="581">
        <f ca="1">_xlfn.XLOOKUP(C317,'Stock Data'!$AM$4:$AM$1051,'Stock Data'!$AN$4:$AN$1051)</f>
        <v>139.59</v>
      </c>
    </row>
    <row r="318" spans="3:4" ht="15" customHeight="1">
      <c r="C318" s="606">
        <f ca="1">+'Stock Data'!AM129</f>
        <v>45820</v>
      </c>
      <c r="D318" s="581">
        <f ca="1">_xlfn.XLOOKUP(C318,'Stock Data'!$AM$4:$AM$1051,'Stock Data'!$AN$4:$AN$1051)</f>
        <v>131.63</v>
      </c>
    </row>
    <row r="319" spans="3:4" ht="15" customHeight="1">
      <c r="C319" s="606">
        <f ca="1">+'Stock Data'!AM130</f>
        <v>45819</v>
      </c>
      <c r="D319" s="581">
        <f ca="1">_xlfn.XLOOKUP(C319,'Stock Data'!$AM$4:$AM$1051,'Stock Data'!$AN$4:$AN$1051)</f>
        <v>135.38</v>
      </c>
    </row>
    <row r="320" spans="3:4" ht="15" customHeight="1">
      <c r="C320" s="606">
        <f ca="1">+'Stock Data'!AM131</f>
        <v>45818</v>
      </c>
      <c r="D320" s="581">
        <f ca="1">_xlfn.XLOOKUP(C320,'Stock Data'!$AM$4:$AM$1051,'Stock Data'!$AN$4:$AN$1051)</f>
        <v>136.22999999999999</v>
      </c>
    </row>
    <row r="321" spans="3:4" ht="15" customHeight="1">
      <c r="C321" s="606">
        <f ca="1">+'Stock Data'!AM132</f>
        <v>45817</v>
      </c>
      <c r="D321" s="581">
        <f ca="1">_xlfn.XLOOKUP(C321,'Stock Data'!$AM$4:$AM$1051,'Stock Data'!$AN$4:$AN$1051)</f>
        <v>138.57</v>
      </c>
    </row>
    <row r="322" spans="3:4" ht="15" customHeight="1">
      <c r="C322" s="606">
        <f ca="1">+'Stock Data'!AM133</f>
        <v>45816</v>
      </c>
      <c r="D322" s="581">
        <f ca="1">_xlfn.XLOOKUP(C322,'Stock Data'!$AM$4:$AM$1051,'Stock Data'!$AN$4:$AN$1051)</f>
        <v>138.57</v>
      </c>
    </row>
    <row r="323" spans="3:4" ht="15" customHeight="1">
      <c r="C323" s="606">
        <f ca="1">+'Stock Data'!AM134</f>
        <v>45815</v>
      </c>
      <c r="D323" s="581">
        <f ca="1">_xlfn.XLOOKUP(C323,'Stock Data'!$AM$4:$AM$1051,'Stock Data'!$AN$4:$AN$1051)</f>
        <v>138.57</v>
      </c>
    </row>
    <row r="324" spans="3:4" ht="15" customHeight="1">
      <c r="C324" s="606">
        <f ca="1">+'Stock Data'!AM135</f>
        <v>45814</v>
      </c>
      <c r="D324" s="581">
        <f ca="1">_xlfn.XLOOKUP(C324,'Stock Data'!$AM$4:$AM$1051,'Stock Data'!$AN$4:$AN$1051)</f>
        <v>134.36000000000001</v>
      </c>
    </row>
    <row r="325" spans="3:4" ht="15" customHeight="1">
      <c r="C325" s="606">
        <f ca="1">+'Stock Data'!AM136</f>
        <v>45813</v>
      </c>
      <c r="D325" s="581">
        <f ca="1">_xlfn.XLOOKUP(C325,'Stock Data'!$AM$4:$AM$1051,'Stock Data'!$AN$4:$AN$1051)</f>
        <v>133.35</v>
      </c>
    </row>
    <row r="326" spans="3:4" ht="15" customHeight="1">
      <c r="C326" s="606">
        <f ca="1">+'Stock Data'!AM137</f>
        <v>45812</v>
      </c>
      <c r="D326" s="581">
        <f ca="1">_xlfn.XLOOKUP(C326,'Stock Data'!$AM$4:$AM$1051,'Stock Data'!$AN$4:$AN$1051)</f>
        <v>132.78</v>
      </c>
    </row>
    <row r="327" spans="3:4" ht="15" customHeight="1">
      <c r="C327" s="606">
        <f ca="1">+'Stock Data'!AM138</f>
        <v>45811</v>
      </c>
      <c r="D327" s="581">
        <f ca="1">_xlfn.XLOOKUP(C327,'Stock Data'!$AM$4:$AM$1051,'Stock Data'!$AN$4:$AN$1051)</f>
        <v>130.58000000000001</v>
      </c>
    </row>
    <row r="328" spans="3:4" ht="15" customHeight="1">
      <c r="C328" s="606">
        <f ca="1">+'Stock Data'!AM139</f>
        <v>45810</v>
      </c>
      <c r="D328" s="581">
        <f ca="1">_xlfn.XLOOKUP(C328,'Stock Data'!$AM$4:$AM$1051,'Stock Data'!$AN$4:$AN$1051)</f>
        <v>130.82</v>
      </c>
    </row>
    <row r="329" spans="3:4" ht="15" customHeight="1">
      <c r="C329" s="606">
        <f ca="1">+'Stock Data'!AM140</f>
        <v>45809</v>
      </c>
      <c r="D329" s="581">
        <f ca="1">_xlfn.XLOOKUP(C329,'Stock Data'!$AM$4:$AM$1051,'Stock Data'!$AN$4:$AN$1051)</f>
        <v>130.82</v>
      </c>
    </row>
    <row r="330" spans="3:4" ht="15" customHeight="1">
      <c r="C330" s="606">
        <f ca="1">+'Stock Data'!AM141</f>
        <v>45808</v>
      </c>
      <c r="D330" s="581">
        <f ca="1">_xlfn.XLOOKUP(C330,'Stock Data'!$AM$4:$AM$1051,'Stock Data'!$AN$4:$AN$1051)</f>
        <v>130.82</v>
      </c>
    </row>
    <row r="331" spans="3:4" ht="15" customHeight="1">
      <c r="C331" s="606">
        <f ca="1">+'Stock Data'!AM142</f>
        <v>45807</v>
      </c>
      <c r="D331" s="581">
        <f ca="1">_xlfn.XLOOKUP(C331,'Stock Data'!$AM$4:$AM$1051,'Stock Data'!$AN$4:$AN$1051)</f>
        <v>132.41999999999999</v>
      </c>
    </row>
    <row r="332" spans="3:4" ht="15" customHeight="1">
      <c r="C332" s="606">
        <f ca="1">+'Stock Data'!AM143</f>
        <v>45806</v>
      </c>
      <c r="D332" s="581">
        <f ca="1">_xlfn.XLOOKUP(C332,'Stock Data'!$AM$4:$AM$1051,'Stock Data'!$AN$4:$AN$1051)</f>
        <v>128.16</v>
      </c>
    </row>
    <row r="333" spans="3:4" ht="15" customHeight="1">
      <c r="C333" s="606">
        <f ca="1">+'Stock Data'!AM144</f>
        <v>45805</v>
      </c>
      <c r="D333" s="581">
        <f ca="1">_xlfn.XLOOKUP(C333,'Stock Data'!$AM$4:$AM$1051,'Stock Data'!$AN$4:$AN$1051)</f>
        <v>127.44</v>
      </c>
    </row>
    <row r="334" spans="3:4" ht="15" customHeight="1">
      <c r="C334" s="606">
        <f ca="1">+'Stock Data'!AM145</f>
        <v>45804</v>
      </c>
      <c r="D334" s="581">
        <f ca="1">_xlfn.XLOOKUP(C334,'Stock Data'!$AM$4:$AM$1051,'Stock Data'!$AN$4:$AN$1051)</f>
        <v>124.01</v>
      </c>
    </row>
    <row r="335" spans="3:4" ht="15" customHeight="1">
      <c r="C335" s="606">
        <f ca="1">+'Stock Data'!AM146</f>
        <v>45803</v>
      </c>
      <c r="D335" s="581">
        <f ca="1">_xlfn.XLOOKUP(C335,'Stock Data'!$AM$4:$AM$1051,'Stock Data'!$AN$4:$AN$1051)</f>
        <v>126.91</v>
      </c>
    </row>
    <row r="336" spans="3:4" ht="15" customHeight="1">
      <c r="C336" s="606">
        <f ca="1">+'Stock Data'!AM147</f>
        <v>45802</v>
      </c>
      <c r="D336" s="581">
        <f ca="1">_xlfn.XLOOKUP(C336,'Stock Data'!$AM$4:$AM$1051,'Stock Data'!$AN$4:$AN$1051)</f>
        <v>126.91</v>
      </c>
    </row>
    <row r="337" spans="3:4" ht="15" customHeight="1">
      <c r="C337" s="606">
        <f ca="1">+'Stock Data'!AM148</f>
        <v>45801</v>
      </c>
      <c r="D337" s="581">
        <f ca="1">_xlfn.XLOOKUP(C337,'Stock Data'!$AM$4:$AM$1051,'Stock Data'!$AN$4:$AN$1051)</f>
        <v>126.91</v>
      </c>
    </row>
    <row r="338" spans="3:4" ht="15" customHeight="1">
      <c r="C338" s="606">
        <f ca="1">+'Stock Data'!AM149</f>
        <v>45800</v>
      </c>
      <c r="D338" s="581">
        <f ca="1">_xlfn.XLOOKUP(C338,'Stock Data'!$AM$4:$AM$1051,'Stock Data'!$AN$4:$AN$1051)</f>
        <v>126.91</v>
      </c>
    </row>
    <row r="339" spans="3:4" ht="15" customHeight="1">
      <c r="C339" s="606">
        <f ca="1">+'Stock Data'!AM150</f>
        <v>45799</v>
      </c>
      <c r="D339" s="581">
        <f ca="1">_xlfn.XLOOKUP(C339,'Stock Data'!$AM$4:$AM$1051,'Stock Data'!$AN$4:$AN$1051)</f>
        <v>127.48</v>
      </c>
    </row>
    <row r="340" spans="3:4" ht="15" customHeight="1">
      <c r="C340" s="606">
        <f ca="1">+'Stock Data'!AM151</f>
        <v>45798</v>
      </c>
      <c r="D340" s="581">
        <f ca="1">_xlfn.XLOOKUP(C340,'Stock Data'!$AM$4:$AM$1051,'Stock Data'!$AN$4:$AN$1051)</f>
        <v>129.49</v>
      </c>
    </row>
    <row r="341" spans="3:4" ht="15" customHeight="1">
      <c r="C341" s="606">
        <f ca="1">+'Stock Data'!AM152</f>
        <v>45797</v>
      </c>
      <c r="D341" s="581">
        <f ca="1">_xlfn.XLOOKUP(C341,'Stock Data'!$AM$4:$AM$1051,'Stock Data'!$AN$4:$AN$1051)</f>
        <v>131.91</v>
      </c>
    </row>
    <row r="342" spans="3:4" ht="15" customHeight="1">
      <c r="C342" s="606">
        <f ca="1">+'Stock Data'!AM153</f>
        <v>45796</v>
      </c>
      <c r="D342" s="581">
        <f ca="1">_xlfn.XLOOKUP(C342,'Stock Data'!$AM$4:$AM$1051,'Stock Data'!$AN$4:$AN$1051)</f>
        <v>132.19</v>
      </c>
    </row>
    <row r="343" spans="3:4" ht="15" customHeight="1">
      <c r="C343" s="606">
        <f ca="1">+'Stock Data'!AM154</f>
        <v>45795</v>
      </c>
      <c r="D343" s="581">
        <f ca="1">_xlfn.XLOOKUP(C343,'Stock Data'!$AM$4:$AM$1051,'Stock Data'!$AN$4:$AN$1051)</f>
        <v>132.19</v>
      </c>
    </row>
    <row r="344" spans="3:4" ht="15" customHeight="1">
      <c r="C344" s="606">
        <f ca="1">+'Stock Data'!AM155</f>
        <v>45794</v>
      </c>
      <c r="D344" s="581">
        <f ca="1">_xlfn.XLOOKUP(C344,'Stock Data'!$AM$4:$AM$1051,'Stock Data'!$AN$4:$AN$1051)</f>
        <v>132.19</v>
      </c>
    </row>
    <row r="345" spans="3:4" ht="15" customHeight="1">
      <c r="C345" s="606">
        <f ca="1">+'Stock Data'!AM156</f>
        <v>45793</v>
      </c>
      <c r="D345" s="581">
        <f ca="1">_xlfn.XLOOKUP(C345,'Stock Data'!$AM$4:$AM$1051,'Stock Data'!$AN$4:$AN$1051)</f>
        <v>131.59</v>
      </c>
    </row>
    <row r="346" spans="3:4" ht="15" customHeight="1">
      <c r="C346" s="606">
        <f ca="1">+'Stock Data'!AM157</f>
        <v>45792</v>
      </c>
      <c r="D346" s="581">
        <f ca="1">_xlfn.XLOOKUP(C346,'Stock Data'!$AM$4:$AM$1051,'Stock Data'!$AN$4:$AN$1051)</f>
        <v>143.55000000000001</v>
      </c>
    </row>
    <row r="347" spans="3:4" ht="15" customHeight="1">
      <c r="C347" s="606">
        <f ca="1">+'Stock Data'!AM158</f>
        <v>45791</v>
      </c>
      <c r="D347" s="581">
        <f ca="1">_xlfn.XLOOKUP(C347,'Stock Data'!$AM$4:$AM$1051,'Stock Data'!$AN$4:$AN$1051)</f>
        <v>125.14</v>
      </c>
    </row>
    <row r="348" spans="3:4" ht="15" customHeight="1">
      <c r="C348" s="606">
        <f ca="1">+'Stock Data'!AM159</f>
        <v>45790</v>
      </c>
      <c r="D348" s="581">
        <f ca="1">_xlfn.XLOOKUP(C348,'Stock Data'!$AM$4:$AM$1051,'Stock Data'!$AN$4:$AN$1051)</f>
        <v>129.27000000000001</v>
      </c>
    </row>
    <row r="349" spans="3:4" ht="15" customHeight="1">
      <c r="C349" s="606">
        <f ca="1">+'Stock Data'!AM160</f>
        <v>45789</v>
      </c>
      <c r="D349" s="581">
        <f ca="1">_xlfn.XLOOKUP(C349,'Stock Data'!$AM$4:$AM$1051,'Stock Data'!$AN$4:$AN$1051)</f>
        <v>135.46</v>
      </c>
    </row>
    <row r="350" spans="3:4" ht="15" customHeight="1">
      <c r="C350" s="606">
        <f ca="1">+'Stock Data'!AM161</f>
        <v>45788</v>
      </c>
      <c r="D350" s="581">
        <f ca="1">_xlfn.XLOOKUP(C350,'Stock Data'!$AM$4:$AM$1051,'Stock Data'!$AN$4:$AN$1051)</f>
        <v>135.46</v>
      </c>
    </row>
    <row r="351" spans="3:4" ht="15" customHeight="1">
      <c r="C351" s="606">
        <f ca="1">+'Stock Data'!AM162</f>
        <v>45787</v>
      </c>
      <c r="D351" s="581">
        <f ca="1">_xlfn.XLOOKUP(C351,'Stock Data'!$AM$4:$AM$1051,'Stock Data'!$AN$4:$AN$1051)</f>
        <v>135.46</v>
      </c>
    </row>
    <row r="352" spans="3:4" ht="15" customHeight="1">
      <c r="C352" s="606">
        <f ca="1">+'Stock Data'!AM163</f>
        <v>45786</v>
      </c>
      <c r="D352" s="581">
        <f ca="1">_xlfn.XLOOKUP(C352,'Stock Data'!$AM$4:$AM$1051,'Stock Data'!$AN$4:$AN$1051)</f>
        <v>142.16999999999999</v>
      </c>
    </row>
    <row r="353" spans="3:4" ht="15" customHeight="1">
      <c r="C353" s="606">
        <f ca="1">+'Stock Data'!AM164</f>
        <v>45785</v>
      </c>
      <c r="D353" s="581">
        <f ca="1">_xlfn.XLOOKUP(C353,'Stock Data'!$AM$4:$AM$1051,'Stock Data'!$AN$4:$AN$1051)</f>
        <v>154.76</v>
      </c>
    </row>
    <row r="354" spans="3:4" ht="15" customHeight="1">
      <c r="C354" s="606">
        <f ca="1">+'Stock Data'!AM165</f>
        <v>45784</v>
      </c>
      <c r="D354" s="581">
        <f ca="1">_xlfn.XLOOKUP(C354,'Stock Data'!$AM$4:$AM$1051,'Stock Data'!$AN$4:$AN$1051)</f>
        <v>152.72999999999999</v>
      </c>
    </row>
    <row r="355" spans="3:4" ht="15" customHeight="1">
      <c r="C355" s="606">
        <f ca="1">+'Stock Data'!AM166</f>
        <v>45783</v>
      </c>
      <c r="D355" s="581">
        <f ca="1">_xlfn.XLOOKUP(C355,'Stock Data'!$AM$4:$AM$1051,'Stock Data'!$AN$4:$AN$1051)</f>
        <v>151.97999999999999</v>
      </c>
    </row>
    <row r="356" spans="3:4" ht="15" customHeight="1">
      <c r="C356" s="606">
        <f ca="1">+'Stock Data'!AM167</f>
        <v>45782</v>
      </c>
      <c r="D356" s="581">
        <f ca="1">_xlfn.XLOOKUP(C356,'Stock Data'!$AM$4:$AM$1051,'Stock Data'!$AN$4:$AN$1051)</f>
        <v>152.76</v>
      </c>
    </row>
    <row r="357" spans="3:4" ht="15" customHeight="1">
      <c r="C357" s="606">
        <f ca="1">+'Stock Data'!AM168</f>
        <v>45781</v>
      </c>
      <c r="D357" s="581">
        <f ca="1">_xlfn.XLOOKUP(C357,'Stock Data'!$AM$4:$AM$1051,'Stock Data'!$AN$4:$AN$1051)</f>
        <v>152.76</v>
      </c>
    </row>
    <row r="358" spans="3:4" ht="15" customHeight="1">
      <c r="C358" s="606">
        <f ca="1">+'Stock Data'!AM169</f>
        <v>45780</v>
      </c>
      <c r="D358" s="581">
        <f ca="1">_xlfn.XLOOKUP(C358,'Stock Data'!$AM$4:$AM$1051,'Stock Data'!$AN$4:$AN$1051)</f>
        <v>152.76</v>
      </c>
    </row>
    <row r="359" spans="3:4" ht="15" customHeight="1">
      <c r="C359" s="606">
        <f ca="1">+'Stock Data'!AM170</f>
        <v>45779</v>
      </c>
      <c r="D359" s="581">
        <f ca="1">_xlfn.XLOOKUP(C359,'Stock Data'!$AM$4:$AM$1051,'Stock Data'!$AN$4:$AN$1051)</f>
        <v>157.13</v>
      </c>
    </row>
    <row r="360" spans="3:4" ht="15" customHeight="1">
      <c r="C360" s="606">
        <f ca="1">+'Stock Data'!AM171</f>
        <v>45778</v>
      </c>
      <c r="D360" s="581">
        <f ca="1">_xlfn.XLOOKUP(C360,'Stock Data'!$AM$4:$AM$1051,'Stock Data'!$AN$4:$AN$1051)</f>
        <v>156.52000000000001</v>
      </c>
    </row>
    <row r="361" spans="3:4" ht="15" customHeight="1">
      <c r="C361" s="606">
        <f ca="1">+'Stock Data'!AM172</f>
        <v>45777</v>
      </c>
      <c r="D361" s="581">
        <f ca="1">_xlfn.XLOOKUP(C361,'Stock Data'!$AM$4:$AM$1051,'Stock Data'!$AN$4:$AN$1051)</f>
        <v>156.65</v>
      </c>
    </row>
    <row r="362" spans="3:4" ht="15" customHeight="1">
      <c r="C362" s="606">
        <f ca="1">+'Stock Data'!AM173</f>
        <v>45776</v>
      </c>
      <c r="D362" s="581">
        <f ca="1">_xlfn.XLOOKUP(C362,'Stock Data'!$AM$4:$AM$1051,'Stock Data'!$AN$4:$AN$1051)</f>
        <v>158.54</v>
      </c>
    </row>
    <row r="363" spans="3:4" ht="15" customHeight="1">
      <c r="C363" s="606">
        <f ca="1">+'Stock Data'!AM174</f>
        <v>45775</v>
      </c>
      <c r="D363" s="581">
        <f ca="1">_xlfn.XLOOKUP(C363,'Stock Data'!$AM$4:$AM$1051,'Stock Data'!$AN$4:$AN$1051)</f>
        <v>154.41</v>
      </c>
    </row>
    <row r="364" spans="3:4" ht="15" customHeight="1">
      <c r="C364" s="606">
        <f ca="1">+'Stock Data'!AM175</f>
        <v>45774</v>
      </c>
      <c r="D364" s="581">
        <f ca="1">_xlfn.XLOOKUP(C364,'Stock Data'!$AM$4:$AM$1051,'Stock Data'!$AN$4:$AN$1051)</f>
        <v>154.41</v>
      </c>
    </row>
    <row r="365" spans="3:4" ht="15" customHeight="1">
      <c r="C365" s="606">
        <f ca="1">+'Stock Data'!AM176</f>
        <v>45773</v>
      </c>
      <c r="D365" s="581">
        <f ca="1">_xlfn.XLOOKUP(C365,'Stock Data'!$AM$4:$AM$1051,'Stock Data'!$AN$4:$AN$1051)</f>
        <v>154.41</v>
      </c>
    </row>
    <row r="366" spans="3:4" ht="15" customHeight="1">
      <c r="C366" s="606">
        <f ca="1">+'Stock Data'!AM177</f>
        <v>45772</v>
      </c>
      <c r="D366" s="581">
        <f ca="1">_xlfn.XLOOKUP(C366,'Stock Data'!$AM$4:$AM$1051,'Stock Data'!$AN$4:$AN$1051)</f>
        <v>153.93</v>
      </c>
    </row>
    <row r="367" spans="3:4" ht="15" customHeight="1">
      <c r="C367" s="606">
        <f ca="1">+'Stock Data'!AM178</f>
        <v>45771</v>
      </c>
      <c r="D367" s="581">
        <f ca="1">_xlfn.XLOOKUP(C367,'Stock Data'!$AM$4:$AM$1051,'Stock Data'!$AN$4:$AN$1051)</f>
        <v>154.9</v>
      </c>
    </row>
    <row r="368" spans="3:4" ht="15" customHeight="1">
      <c r="C368" s="606">
        <f ca="1">+'Stock Data'!AM179</f>
        <v>45770</v>
      </c>
      <c r="D368" s="581">
        <f ca="1">_xlfn.XLOOKUP(C368,'Stock Data'!$AM$4:$AM$1051,'Stock Data'!$AN$4:$AN$1051)</f>
        <v>153.44</v>
      </c>
    </row>
    <row r="369" spans="3:4" ht="15" customHeight="1">
      <c r="C369" s="606">
        <f ca="1">+'Stock Data'!AM180</f>
        <v>45769</v>
      </c>
      <c r="D369" s="581">
        <f ca="1">_xlfn.XLOOKUP(C369,'Stock Data'!$AM$4:$AM$1051,'Stock Data'!$AN$4:$AN$1051)</f>
        <v>153.52000000000001</v>
      </c>
    </row>
    <row r="370" spans="3:4" ht="15" customHeight="1">
      <c r="C370" s="606">
        <f ca="1">+'Stock Data'!AM181</f>
        <v>45768</v>
      </c>
      <c r="D370" s="581">
        <f ca="1">_xlfn.XLOOKUP(C370,'Stock Data'!$AM$4:$AM$1051,'Stock Data'!$AN$4:$AN$1051)</f>
        <v>151.66999999999999</v>
      </c>
    </row>
    <row r="371" spans="3:4" ht="15" customHeight="1">
      <c r="C371" s="606">
        <f ca="1">+'Stock Data'!AM182</f>
        <v>45767</v>
      </c>
      <c r="D371" s="581">
        <f ca="1">_xlfn.XLOOKUP(C371,'Stock Data'!$AM$4:$AM$1051,'Stock Data'!$AN$4:$AN$1051)</f>
        <v>151.66999999999999</v>
      </c>
    </row>
    <row r="372" spans="3:4" ht="15" customHeight="1">
      <c r="C372" s="606">
        <f ca="1">+'Stock Data'!AM183</f>
        <v>45766</v>
      </c>
      <c r="D372" s="581">
        <f ca="1">_xlfn.XLOOKUP(C372,'Stock Data'!$AM$4:$AM$1051,'Stock Data'!$AN$4:$AN$1051)</f>
        <v>151.66999999999999</v>
      </c>
    </row>
    <row r="373" spans="3:4" ht="15" customHeight="1">
      <c r="C373" s="606">
        <f ca="1">+'Stock Data'!AM184</f>
        <v>45765</v>
      </c>
      <c r="D373" s="581">
        <f ca="1">_xlfn.XLOOKUP(C373,'Stock Data'!$AM$4:$AM$1051,'Stock Data'!$AN$4:$AN$1051)</f>
        <v>147.69</v>
      </c>
    </row>
    <row r="374" spans="3:4" ht="15" customHeight="1">
      <c r="C374" s="606">
        <f ca="1">+'Stock Data'!AM185</f>
        <v>45764</v>
      </c>
      <c r="D374" s="581">
        <f ca="1">_xlfn.XLOOKUP(C374,'Stock Data'!$AM$4:$AM$1051,'Stock Data'!$AN$4:$AN$1051)</f>
        <v>152.13</v>
      </c>
    </row>
    <row r="375" spans="3:4" ht="15" customHeight="1">
      <c r="C375" s="606">
        <f ca="1">+'Stock Data'!AM186</f>
        <v>45763</v>
      </c>
      <c r="D375" s="581">
        <f ca="1">_xlfn.XLOOKUP(C375,'Stock Data'!$AM$4:$AM$1051,'Stock Data'!$AN$4:$AN$1051)</f>
        <v>155.16999999999999</v>
      </c>
    </row>
    <row r="376" spans="3:4" ht="15" customHeight="1">
      <c r="C376" s="606">
        <f ca="1">+'Stock Data'!AM187</f>
        <v>45762</v>
      </c>
      <c r="D376" s="581">
        <f ca="1">_xlfn.XLOOKUP(C376,'Stock Data'!$AM$4:$AM$1051,'Stock Data'!$AN$4:$AN$1051)</f>
        <v>157.32</v>
      </c>
    </row>
    <row r="377" spans="3:4" ht="15" customHeight="1">
      <c r="C377" s="606">
        <f ca="1">+'Stock Data'!AM188</f>
        <v>45761</v>
      </c>
      <c r="D377" s="581">
        <f ca="1">_xlfn.XLOOKUP(C377,'Stock Data'!$AM$4:$AM$1051,'Stock Data'!$AN$4:$AN$1051)</f>
        <v>160.87</v>
      </c>
    </row>
    <row r="378" spans="3:4" ht="15" customHeight="1">
      <c r="C378" s="606">
        <f ca="1">+'Stock Data'!AM189</f>
        <v>45760</v>
      </c>
      <c r="D378" s="581">
        <f ca="1">_xlfn.XLOOKUP(C378,'Stock Data'!$AM$4:$AM$1051,'Stock Data'!$AN$4:$AN$1051)</f>
        <v>160.87</v>
      </c>
    </row>
    <row r="379" spans="3:4" ht="15" customHeight="1">
      <c r="C379" s="606">
        <f ca="1">+'Stock Data'!AM190</f>
        <v>45759</v>
      </c>
      <c r="D379" s="581">
        <f ca="1">_xlfn.XLOOKUP(C379,'Stock Data'!$AM$4:$AM$1051,'Stock Data'!$AN$4:$AN$1051)</f>
        <v>160.87</v>
      </c>
    </row>
    <row r="380" spans="3:4" ht="15" customHeight="1">
      <c r="C380" s="606">
        <f ca="1">+'Stock Data'!AM191</f>
        <v>45758</v>
      </c>
      <c r="D380" s="581">
        <f ca="1">_xlfn.XLOOKUP(C380,'Stock Data'!$AM$4:$AM$1051,'Stock Data'!$AN$4:$AN$1051)</f>
        <v>158.07</v>
      </c>
    </row>
    <row r="381" spans="3:4" ht="15" customHeight="1">
      <c r="C381" s="606">
        <f ca="1">+'Stock Data'!AM192</f>
        <v>45757</v>
      </c>
      <c r="D381" s="581">
        <f ca="1">_xlfn.XLOOKUP(C381,'Stock Data'!$AM$4:$AM$1051,'Stock Data'!$AN$4:$AN$1051)</f>
        <v>160.1</v>
      </c>
    </row>
    <row r="382" spans="3:4" ht="15" customHeight="1">
      <c r="C382" s="606">
        <f ca="1">+'Stock Data'!AM193</f>
        <v>45756</v>
      </c>
      <c r="D382" s="581">
        <f ca="1">_xlfn.XLOOKUP(C382,'Stock Data'!$AM$4:$AM$1051,'Stock Data'!$AN$4:$AN$1051)</f>
        <v>159.04</v>
      </c>
    </row>
    <row r="383" spans="3:4" ht="15" customHeight="1">
      <c r="C383" s="606">
        <f ca="1">+'Stock Data'!AM194</f>
        <v>45755</v>
      </c>
      <c r="D383" s="581">
        <f ca="1">_xlfn.XLOOKUP(C383,'Stock Data'!$AM$4:$AM$1051,'Stock Data'!$AN$4:$AN$1051)</f>
        <v>161.58000000000001</v>
      </c>
    </row>
    <row r="384" spans="3:4" ht="15" customHeight="1">
      <c r="C384" s="606">
        <f ca="1">+'Stock Data'!AM195</f>
        <v>45754</v>
      </c>
      <c r="D384" s="581">
        <f ca="1">_xlfn.XLOOKUP(C384,'Stock Data'!$AM$4:$AM$1051,'Stock Data'!$AN$4:$AN$1051)</f>
        <v>165.41</v>
      </c>
    </row>
    <row r="385" spans="3:4" ht="15" customHeight="1">
      <c r="C385" s="606">
        <f ca="1">+'Stock Data'!AM196</f>
        <v>45753</v>
      </c>
      <c r="D385" s="581">
        <f ca="1">_xlfn.XLOOKUP(C385,'Stock Data'!$AM$4:$AM$1051,'Stock Data'!$AN$4:$AN$1051)</f>
        <v>165.41</v>
      </c>
    </row>
    <row r="386" spans="3:4" ht="15" customHeight="1">
      <c r="C386" s="606">
        <f ca="1">+'Stock Data'!AM197</f>
        <v>45752</v>
      </c>
      <c r="D386" s="581">
        <f ca="1">_xlfn.XLOOKUP(C386,'Stock Data'!$AM$4:$AM$1051,'Stock Data'!$AN$4:$AN$1051)</f>
        <v>165.41</v>
      </c>
    </row>
    <row r="387" spans="3:4" ht="15" customHeight="1">
      <c r="C387" s="606">
        <f ca="1">+'Stock Data'!AM198</f>
        <v>45751</v>
      </c>
      <c r="D387" s="581">
        <f ca="1">_xlfn.XLOOKUP(C387,'Stock Data'!$AM$4:$AM$1051,'Stock Data'!$AN$4:$AN$1051)</f>
        <v>163.25</v>
      </c>
    </row>
    <row r="388" spans="3:4" ht="15" customHeight="1">
      <c r="C388" s="606">
        <f ca="1">+'Stock Data'!AM199</f>
        <v>45750</v>
      </c>
      <c r="D388" s="581">
        <f ca="1">_xlfn.XLOOKUP(C388,'Stock Data'!$AM$4:$AM$1051,'Stock Data'!$AN$4:$AN$1051)</f>
        <v>165.36</v>
      </c>
    </row>
    <row r="389" spans="3:4" ht="15" customHeight="1">
      <c r="C389" s="606">
        <f ca="1">+'Stock Data'!AM200</f>
        <v>45749</v>
      </c>
      <c r="D389" s="581">
        <f ca="1">_xlfn.XLOOKUP(C389,'Stock Data'!$AM$4:$AM$1051,'Stock Data'!$AN$4:$AN$1051)</f>
        <v>169.25</v>
      </c>
    </row>
    <row r="390" spans="3:4" ht="15" customHeight="1">
      <c r="C390" s="606">
        <f ca="1">+'Stock Data'!AM201</f>
        <v>45748</v>
      </c>
      <c r="D390" s="581">
        <f ca="1">_xlfn.XLOOKUP(C390,'Stock Data'!$AM$4:$AM$1051,'Stock Data'!$AN$4:$AN$1051)</f>
        <v>168.15</v>
      </c>
    </row>
    <row r="391" spans="3:4" ht="15" customHeight="1">
      <c r="C391" s="606">
        <f ca="1">+'Stock Data'!AM202</f>
        <v>45747</v>
      </c>
      <c r="D391" s="581">
        <f ca="1">_xlfn.XLOOKUP(C391,'Stock Data'!$AM$4:$AM$1051,'Stock Data'!$AN$4:$AN$1051)</f>
        <v>167.07</v>
      </c>
    </row>
    <row r="392" spans="3:4" ht="15" customHeight="1">
      <c r="C392" s="606">
        <f ca="1">+'Stock Data'!AM203</f>
        <v>45746</v>
      </c>
      <c r="D392" s="581">
        <f ca="1">_xlfn.XLOOKUP(C392,'Stock Data'!$AM$4:$AM$1051,'Stock Data'!$AN$4:$AN$1051)</f>
        <v>167.07</v>
      </c>
    </row>
    <row r="393" spans="3:4" ht="15" customHeight="1">
      <c r="C393" s="606">
        <f ca="1">+'Stock Data'!AM204</f>
        <v>45745</v>
      </c>
      <c r="D393" s="581">
        <f ca="1">_xlfn.XLOOKUP(C393,'Stock Data'!$AM$4:$AM$1051,'Stock Data'!$AN$4:$AN$1051)</f>
        <v>167.07</v>
      </c>
    </row>
    <row r="394" spans="3:4" ht="15" customHeight="1">
      <c r="C394" s="606">
        <f ca="1">+'Stock Data'!AM205</f>
        <v>45744</v>
      </c>
      <c r="D394" s="581">
        <f ca="1">_xlfn.XLOOKUP(C394,'Stock Data'!$AM$4:$AM$1051,'Stock Data'!$AN$4:$AN$1051)</f>
        <v>169.92</v>
      </c>
    </row>
    <row r="395" spans="3:4" ht="15" customHeight="1">
      <c r="C395" s="606">
        <f ca="1">+'Stock Data'!AM206</f>
        <v>45743</v>
      </c>
      <c r="D395" s="581">
        <f ca="1">_xlfn.XLOOKUP(C395,'Stock Data'!$AM$4:$AM$1051,'Stock Data'!$AN$4:$AN$1051)</f>
        <v>169.99</v>
      </c>
    </row>
    <row r="396" spans="3:4" ht="15" customHeight="1">
      <c r="C396" s="606">
        <f ca="1">+'Stock Data'!AM207</f>
        <v>45742</v>
      </c>
      <c r="D396" s="581">
        <f ca="1">_xlfn.XLOOKUP(C396,'Stock Data'!$AM$4:$AM$1051,'Stock Data'!$AN$4:$AN$1051)</f>
        <v>171.6</v>
      </c>
    </row>
    <row r="397" spans="3:4" ht="15" customHeight="1">
      <c r="C397" s="606">
        <f ca="1">+'Stock Data'!AM208</f>
        <v>45741</v>
      </c>
      <c r="D397" s="581">
        <f ca="1">_xlfn.XLOOKUP(C397,'Stock Data'!$AM$4:$AM$1051,'Stock Data'!$AN$4:$AN$1051)</f>
        <v>168.33</v>
      </c>
    </row>
    <row r="398" spans="3:4" ht="15" customHeight="1">
      <c r="C398" s="606">
        <f ca="1">+'Stock Data'!AM209</f>
        <v>45740</v>
      </c>
      <c r="D398" s="581">
        <f ca="1">_xlfn.XLOOKUP(C398,'Stock Data'!$AM$4:$AM$1051,'Stock Data'!$AN$4:$AN$1051)</f>
        <v>168.33</v>
      </c>
    </row>
    <row r="399" spans="3:4" ht="15" customHeight="1">
      <c r="C399" s="606">
        <f ca="1">+'Stock Data'!AM210</f>
        <v>45739</v>
      </c>
      <c r="D399" s="581">
        <f ca="1">_xlfn.XLOOKUP(C399,'Stock Data'!$AM$4:$AM$1051,'Stock Data'!$AN$4:$AN$1051)</f>
        <v>168.33</v>
      </c>
    </row>
    <row r="400" spans="3:4" ht="15" customHeight="1">
      <c r="C400" s="606">
        <f ca="1">+'Stock Data'!AM211</f>
        <v>45738</v>
      </c>
      <c r="D400" s="581">
        <f ca="1">_xlfn.XLOOKUP(C400,'Stock Data'!$AM$4:$AM$1051,'Stock Data'!$AN$4:$AN$1051)</f>
        <v>168.33</v>
      </c>
    </row>
    <row r="401" spans="3:4" ht="15" customHeight="1">
      <c r="C401" s="606">
        <f ca="1">+'Stock Data'!AM212</f>
        <v>45737</v>
      </c>
      <c r="D401" s="581">
        <f ca="1">_xlfn.XLOOKUP(C401,'Stock Data'!$AM$4:$AM$1051,'Stock Data'!$AN$4:$AN$1051)</f>
        <v>167</v>
      </c>
    </row>
    <row r="402" spans="3:4" ht="15" customHeight="1">
      <c r="C402" s="606">
        <f ca="1">+'Stock Data'!AM213</f>
        <v>45736</v>
      </c>
      <c r="D402" s="581">
        <f ca="1">_xlfn.XLOOKUP(C402,'Stock Data'!$AM$4:$AM$1051,'Stock Data'!$AN$4:$AN$1051)</f>
        <v>165.1</v>
      </c>
    </row>
    <row r="403" spans="3:4" ht="15" customHeight="1">
      <c r="C403" s="606">
        <f ca="1">+'Stock Data'!AM214</f>
        <v>45735</v>
      </c>
      <c r="D403" s="581">
        <f ca="1">_xlfn.XLOOKUP(C403,'Stock Data'!$AM$4:$AM$1051,'Stock Data'!$AN$4:$AN$1051)</f>
        <v>164.52</v>
      </c>
    </row>
    <row r="404" spans="3:4" ht="15" customHeight="1">
      <c r="C404" s="606">
        <f ca="1">+'Stock Data'!AM215</f>
        <v>45734</v>
      </c>
      <c r="D404" s="581">
        <f ca="1">_xlfn.XLOOKUP(C404,'Stock Data'!$AM$4:$AM$1051,'Stock Data'!$AN$4:$AN$1051)</f>
        <v>165.26</v>
      </c>
    </row>
    <row r="405" spans="3:4" ht="15" customHeight="1">
      <c r="C405" s="606">
        <f ca="1">+'Stock Data'!AM216</f>
        <v>45733</v>
      </c>
      <c r="D405" s="581">
        <f ca="1">_xlfn.XLOOKUP(C405,'Stock Data'!$AM$4:$AM$1051,'Stock Data'!$AN$4:$AN$1051)</f>
        <v>164.87</v>
      </c>
    </row>
    <row r="406" spans="3:4" ht="15" customHeight="1">
      <c r="C406" s="606">
        <f ca="1">+'Stock Data'!AM217</f>
        <v>45732</v>
      </c>
      <c r="D406" s="581">
        <f ca="1">_xlfn.XLOOKUP(C406,'Stock Data'!$AM$4:$AM$1051,'Stock Data'!$AN$4:$AN$1051)</f>
        <v>164.87</v>
      </c>
    </row>
    <row r="407" spans="3:4" ht="15" customHeight="1">
      <c r="C407" s="606">
        <f ca="1">+'Stock Data'!AM218</f>
        <v>45731</v>
      </c>
      <c r="D407" s="581">
        <f ca="1">_xlfn.XLOOKUP(C407,'Stock Data'!$AM$4:$AM$1051,'Stock Data'!$AN$4:$AN$1051)</f>
        <v>164.87</v>
      </c>
    </row>
    <row r="408" spans="3:4" ht="15" customHeight="1">
      <c r="C408" s="606">
        <f ca="1">+'Stock Data'!AM219</f>
        <v>45730</v>
      </c>
      <c r="D408" s="581">
        <f ca="1">_xlfn.XLOOKUP(C408,'Stock Data'!$AM$4:$AM$1051,'Stock Data'!$AN$4:$AN$1051)</f>
        <v>167.11</v>
      </c>
    </row>
    <row r="409" spans="3:4" ht="15" customHeight="1">
      <c r="C409" s="606">
        <f ca="1">+'Stock Data'!AM220</f>
        <v>45729</v>
      </c>
      <c r="D409" s="581">
        <f ca="1">_xlfn.XLOOKUP(C409,'Stock Data'!$AM$4:$AM$1051,'Stock Data'!$AN$4:$AN$1051)</f>
        <v>166.54</v>
      </c>
    </row>
    <row r="410" spans="3:4" ht="15" customHeight="1">
      <c r="C410" s="606">
        <f ca="1">+'Stock Data'!AM221</f>
        <v>45728</v>
      </c>
      <c r="D410" s="581">
        <f ca="1">_xlfn.XLOOKUP(C410,'Stock Data'!$AM$4:$AM$1051,'Stock Data'!$AN$4:$AN$1051)</f>
        <v>169.54</v>
      </c>
    </row>
    <row r="411" spans="3:4" ht="15" customHeight="1">
      <c r="C411" s="606">
        <f ca="1">+'Stock Data'!AM222</f>
        <v>45727</v>
      </c>
      <c r="D411" s="581">
        <f ca="1">_xlfn.XLOOKUP(C411,'Stock Data'!$AM$4:$AM$1051,'Stock Data'!$AN$4:$AN$1051)</f>
        <v>169.84</v>
      </c>
    </row>
    <row r="412" spans="3:4" ht="15" customHeight="1">
      <c r="C412" s="606">
        <f ca="1">+'Stock Data'!AM223</f>
        <v>45726</v>
      </c>
      <c r="D412" s="581">
        <f ca="1">_xlfn.XLOOKUP(C412,'Stock Data'!$AM$4:$AM$1051,'Stock Data'!$AN$4:$AN$1051)</f>
        <v>171.14</v>
      </c>
    </row>
    <row r="413" spans="3:4" ht="15" customHeight="1">
      <c r="C413" s="606">
        <f ca="1">+'Stock Data'!AM224</f>
        <v>45725</v>
      </c>
      <c r="D413" s="581">
        <f ca="1">_xlfn.XLOOKUP(C413,'Stock Data'!$AM$4:$AM$1051,'Stock Data'!$AN$4:$AN$1051)</f>
        <v>171.14</v>
      </c>
    </row>
    <row r="414" spans="3:4" ht="15" customHeight="1">
      <c r="C414" s="606">
        <f ca="1">+'Stock Data'!AM225</f>
        <v>45724</v>
      </c>
      <c r="D414" s="581">
        <f ca="1">_xlfn.XLOOKUP(C414,'Stock Data'!$AM$4:$AM$1051,'Stock Data'!$AN$4:$AN$1051)</f>
        <v>171.14</v>
      </c>
    </row>
    <row r="415" spans="3:4" ht="15" customHeight="1">
      <c r="C415" s="606">
        <f ca="1">+'Stock Data'!AM226</f>
        <v>45723</v>
      </c>
      <c r="D415" s="581">
        <f ca="1">_xlfn.XLOOKUP(C415,'Stock Data'!$AM$4:$AM$1051,'Stock Data'!$AN$4:$AN$1051)</f>
        <v>171.66</v>
      </c>
    </row>
    <row r="416" spans="3:4" ht="15" customHeight="1">
      <c r="C416" s="606">
        <f ca="1">+'Stock Data'!AM227</f>
        <v>45722</v>
      </c>
      <c r="D416" s="581">
        <f ca="1">_xlfn.XLOOKUP(C416,'Stock Data'!$AM$4:$AM$1051,'Stock Data'!$AN$4:$AN$1051)</f>
        <v>170.08</v>
      </c>
    </row>
    <row r="417" spans="3:4" ht="15" customHeight="1">
      <c r="C417" s="606">
        <f ca="1">+'Stock Data'!AM228</f>
        <v>45721</v>
      </c>
      <c r="D417" s="581">
        <f ca="1">_xlfn.XLOOKUP(C417,'Stock Data'!$AM$4:$AM$1051,'Stock Data'!$AN$4:$AN$1051)</f>
        <v>172.89</v>
      </c>
    </row>
    <row r="418" spans="3:4" ht="15" customHeight="1">
      <c r="C418" s="606">
        <f ca="1">+'Stock Data'!AM229</f>
        <v>45720</v>
      </c>
      <c r="D418" s="581">
        <f ca="1">_xlfn.XLOOKUP(C418,'Stock Data'!$AM$4:$AM$1051,'Stock Data'!$AN$4:$AN$1051)</f>
        <v>171.75</v>
      </c>
    </row>
    <row r="419" spans="3:4" ht="15" customHeight="1">
      <c r="C419" s="606">
        <f ca="1">+'Stock Data'!AM230</f>
        <v>45719</v>
      </c>
      <c r="D419" s="581">
        <f ca="1">_xlfn.XLOOKUP(C419,'Stock Data'!$AM$4:$AM$1051,'Stock Data'!$AN$4:$AN$1051)</f>
        <v>169.72</v>
      </c>
    </row>
    <row r="420" spans="3:4" ht="15" customHeight="1">
      <c r="C420" s="606">
        <f ca="1">+'Stock Data'!AM231</f>
        <v>45718</v>
      </c>
      <c r="D420" s="581">
        <f ca="1">_xlfn.XLOOKUP(C420,'Stock Data'!$AM$4:$AM$1051,'Stock Data'!$AN$4:$AN$1051)</f>
        <v>169.72</v>
      </c>
    </row>
    <row r="421" spans="3:4" ht="15" customHeight="1">
      <c r="C421" s="606">
        <f ca="1">+'Stock Data'!AM232</f>
        <v>45717</v>
      </c>
      <c r="D421" s="581">
        <f ca="1">_xlfn.XLOOKUP(C421,'Stock Data'!$AM$4:$AM$1051,'Stock Data'!$AN$4:$AN$1051)</f>
        <v>169.72</v>
      </c>
    </row>
    <row r="422" spans="3:4" ht="15" customHeight="1">
      <c r="C422" s="606">
        <f ca="1">+'Stock Data'!AM233</f>
        <v>45716</v>
      </c>
      <c r="D422" s="581">
        <f ca="1">_xlfn.XLOOKUP(C422,'Stock Data'!$AM$4:$AM$1051,'Stock Data'!$AN$4:$AN$1051)</f>
        <v>145.65</v>
      </c>
    </row>
    <row r="423" spans="3:4" ht="15" customHeight="1">
      <c r="C423" s="606">
        <f ca="1">+'Stock Data'!AM234</f>
        <v>45715</v>
      </c>
      <c r="D423" s="581">
        <f ca="1">_xlfn.XLOOKUP(C423,'Stock Data'!$AM$4:$AM$1051,'Stock Data'!$AN$4:$AN$1051)</f>
        <v>143.72</v>
      </c>
    </row>
    <row r="424" spans="3:4" ht="15" customHeight="1">
      <c r="C424" s="606">
        <f ca="1">+'Stock Data'!AM235</f>
        <v>45714</v>
      </c>
      <c r="D424" s="581">
        <f ca="1">_xlfn.XLOOKUP(C424,'Stock Data'!$AM$4:$AM$1051,'Stock Data'!$AN$4:$AN$1051)</f>
        <v>143.79</v>
      </c>
    </row>
    <row r="425" spans="3:4" ht="15" customHeight="1">
      <c r="C425" s="606">
        <f ca="1">+'Stock Data'!AM236</f>
        <v>45713</v>
      </c>
      <c r="D425" s="581">
        <f ca="1">_xlfn.XLOOKUP(C425,'Stock Data'!$AM$4:$AM$1051,'Stock Data'!$AN$4:$AN$1051)</f>
        <v>142.03</v>
      </c>
    </row>
    <row r="426" spans="3:4" ht="15" customHeight="1">
      <c r="C426" s="606">
        <f ca="1">+'Stock Data'!AM237</f>
        <v>45712</v>
      </c>
      <c r="D426" s="581">
        <f ca="1">_xlfn.XLOOKUP(C426,'Stock Data'!$AM$4:$AM$1051,'Stock Data'!$AN$4:$AN$1051)</f>
        <v>142.03</v>
      </c>
    </row>
    <row r="427" spans="3:4" ht="15" customHeight="1">
      <c r="C427" s="606">
        <f ca="1">+'Stock Data'!AM238</f>
        <v>45711</v>
      </c>
      <c r="D427" s="581">
        <f ca="1">_xlfn.XLOOKUP(C427,'Stock Data'!$AM$4:$AM$1051,'Stock Data'!$AN$4:$AN$1051)</f>
        <v>142.03</v>
      </c>
    </row>
    <row r="428" spans="3:4" ht="15" customHeight="1">
      <c r="C428" s="606">
        <f ca="1">+'Stock Data'!AM239</f>
        <v>45710</v>
      </c>
      <c r="D428" s="581">
        <f ca="1">_xlfn.XLOOKUP(C428,'Stock Data'!$AM$4:$AM$1051,'Stock Data'!$AN$4:$AN$1051)</f>
        <v>142.03</v>
      </c>
    </row>
    <row r="429" spans="3:4" ht="15" customHeight="1">
      <c r="C429" s="606">
        <f ca="1">+'Stock Data'!AM240</f>
        <v>45709</v>
      </c>
      <c r="D429" s="581">
        <f ca="1">_xlfn.XLOOKUP(C429,'Stock Data'!$AM$4:$AM$1051,'Stock Data'!$AN$4:$AN$1051)</f>
        <v>141.63999999999999</v>
      </c>
    </row>
    <row r="430" spans="3:4" ht="15" customHeight="1">
      <c r="C430" s="606">
        <f ca="1">+'Stock Data'!AM241</f>
        <v>45708</v>
      </c>
      <c r="D430" s="581">
        <f ca="1">_xlfn.XLOOKUP(C430,'Stock Data'!$AM$4:$AM$1051,'Stock Data'!$AN$4:$AN$1051)</f>
        <v>140.91</v>
      </c>
    </row>
    <row r="431" spans="3:4" ht="15" customHeight="1">
      <c r="C431" s="606">
        <f ca="1">+'Stock Data'!AM242</f>
        <v>45707</v>
      </c>
      <c r="D431" s="581">
        <f ca="1">_xlfn.XLOOKUP(C431,'Stock Data'!$AM$4:$AM$1051,'Stock Data'!$AN$4:$AN$1051)</f>
        <v>139.30000000000001</v>
      </c>
    </row>
    <row r="432" spans="3:4" ht="15" customHeight="1">
      <c r="C432" s="606">
        <f ca="1">+'Stock Data'!AM243</f>
        <v>45706</v>
      </c>
      <c r="D432" s="581">
        <f ca="1">_xlfn.XLOOKUP(C432,'Stock Data'!$AM$4:$AM$1051,'Stock Data'!$AN$4:$AN$1051)</f>
        <v>136.71</v>
      </c>
    </row>
    <row r="433" spans="3:4" ht="15" customHeight="1">
      <c r="C433" s="606">
        <f ca="1">+'Stock Data'!AM244</f>
        <v>45705</v>
      </c>
      <c r="D433" s="581">
        <f ca="1">_xlfn.XLOOKUP(C433,'Stock Data'!$AM$4:$AM$1051,'Stock Data'!$AN$4:$AN$1051)</f>
        <v>134.5</v>
      </c>
    </row>
    <row r="434" spans="3:4" ht="15" customHeight="1">
      <c r="C434" s="606">
        <f ca="1">+'Stock Data'!AM245</f>
        <v>45704</v>
      </c>
      <c r="D434" s="581">
        <f ca="1">_xlfn.XLOOKUP(C434,'Stock Data'!$AM$4:$AM$1051,'Stock Data'!$AN$4:$AN$1051)</f>
        <v>134.5</v>
      </c>
    </row>
    <row r="435" spans="3:4" ht="15" customHeight="1">
      <c r="C435" s="606">
        <f ca="1">+'Stock Data'!AM246</f>
        <v>45703</v>
      </c>
      <c r="D435" s="581">
        <f ca="1">_xlfn.XLOOKUP(C435,'Stock Data'!$AM$4:$AM$1051,'Stock Data'!$AN$4:$AN$1051)</f>
        <v>134.5</v>
      </c>
    </row>
    <row r="436" spans="3:4" ht="15" customHeight="1">
      <c r="C436" s="606">
        <f ca="1">+'Stock Data'!AM247</f>
        <v>45702</v>
      </c>
      <c r="D436" s="581">
        <f ca="1">_xlfn.XLOOKUP(C436,'Stock Data'!$AM$4:$AM$1051,'Stock Data'!$AN$4:$AN$1051)</f>
        <v>134.56</v>
      </c>
    </row>
    <row r="437" spans="3:4" ht="15" customHeight="1">
      <c r="C437" s="606">
        <f ca="1">+'Stock Data'!AM248</f>
        <v>45701</v>
      </c>
      <c r="D437" s="581">
        <f ca="1">_xlfn.XLOOKUP(C437,'Stock Data'!$AM$4:$AM$1051,'Stock Data'!$AN$4:$AN$1051)</f>
        <v>134.56</v>
      </c>
    </row>
    <row r="438" spans="3:4" ht="15" customHeight="1">
      <c r="C438" s="606">
        <f ca="1">+'Stock Data'!AM249</f>
        <v>45700</v>
      </c>
      <c r="D438" s="581">
        <f ca="1">_xlfn.XLOOKUP(C438,'Stock Data'!$AM$4:$AM$1051,'Stock Data'!$AN$4:$AN$1051)</f>
        <v>134.22999999999999</v>
      </c>
    </row>
    <row r="439" spans="3:4" ht="15" customHeight="1">
      <c r="C439" s="606">
        <f ca="1">+'Stock Data'!AM250</f>
        <v>45699</v>
      </c>
      <c r="D439" s="581">
        <f ca="1">_xlfn.XLOOKUP(C439,'Stock Data'!$AM$4:$AM$1051,'Stock Data'!$AN$4:$AN$1051)</f>
        <v>134.56</v>
      </c>
    </row>
    <row r="440" spans="3:4" ht="15" customHeight="1">
      <c r="C440" s="606">
        <f ca="1">+'Stock Data'!AM251</f>
        <v>45698</v>
      </c>
      <c r="D440" s="581">
        <f ca="1">_xlfn.XLOOKUP(C440,'Stock Data'!$AM$4:$AM$1051,'Stock Data'!$AN$4:$AN$1051)</f>
        <v>134.36500000000001</v>
      </c>
    </row>
    <row r="441" spans="3:4" ht="15" customHeight="1">
      <c r="C441" s="606">
        <f ca="1">+'Stock Data'!AM252</f>
        <v>45697</v>
      </c>
      <c r="D441" s="581">
        <f ca="1">_xlfn.XLOOKUP(C441,'Stock Data'!$AM$4:$AM$1051,'Stock Data'!$AN$4:$AN$1051)</f>
        <v>134.36500000000001</v>
      </c>
    </row>
    <row r="442" spans="3:4" ht="15" customHeight="1">
      <c r="C442" s="606">
        <f ca="1">+'Stock Data'!AM253</f>
        <v>45696</v>
      </c>
      <c r="D442" s="581">
        <f ca="1">_xlfn.XLOOKUP(C442,'Stock Data'!$AM$4:$AM$1051,'Stock Data'!$AN$4:$AN$1051)</f>
        <v>134.36500000000001</v>
      </c>
    </row>
    <row r="443" spans="3:4" ht="15" customHeight="1">
      <c r="C443" s="606">
        <f ca="1">+'Stock Data'!AM254</f>
        <v>45695</v>
      </c>
      <c r="D443" s="581">
        <f ca="1">_xlfn.XLOOKUP(C443,'Stock Data'!$AM$4:$AM$1051,'Stock Data'!$AN$4:$AN$1051)</f>
        <v>133.93</v>
      </c>
    </row>
    <row r="444" spans="3:4" ht="15" customHeight="1">
      <c r="C444" s="606">
        <f ca="1">+'Stock Data'!AM255</f>
        <v>45694</v>
      </c>
      <c r="D444" s="581">
        <f ca="1">_xlfn.XLOOKUP(C444,'Stock Data'!$AM$4:$AM$1051,'Stock Data'!$AN$4:$AN$1051)</f>
        <v>135.44999999999999</v>
      </c>
    </row>
    <row r="445" spans="3:4" ht="15" customHeight="1">
      <c r="C445" s="606">
        <f ca="1">+'Stock Data'!AM256</f>
        <v>45693</v>
      </c>
      <c r="D445" s="581">
        <f ca="1">_xlfn.XLOOKUP(C445,'Stock Data'!$AM$4:$AM$1051,'Stock Data'!$AN$4:$AN$1051)</f>
        <v>135.44999999999999</v>
      </c>
    </row>
    <row r="446" spans="3:4" ht="15" customHeight="1">
      <c r="C446" s="606">
        <f ca="1">+'Stock Data'!AM257</f>
        <v>45692</v>
      </c>
      <c r="D446" s="581">
        <f ca="1">_xlfn.XLOOKUP(C446,'Stock Data'!$AM$4:$AM$1051,'Stock Data'!$AN$4:$AN$1051)</f>
        <v>135.59</v>
      </c>
    </row>
    <row r="447" spans="3:4" ht="15" customHeight="1">
      <c r="C447" s="606">
        <f ca="1">+'Stock Data'!AM258</f>
        <v>45691</v>
      </c>
      <c r="D447" s="581">
        <f ca="1">_xlfn.XLOOKUP(C447,'Stock Data'!$AM$4:$AM$1051,'Stock Data'!$AN$4:$AN$1051)</f>
        <v>136.58000000000001</v>
      </c>
    </row>
    <row r="448" spans="3:4" ht="15" customHeight="1">
      <c r="C448" s="606">
        <f ca="1">+'Stock Data'!AM259</f>
        <v>45690</v>
      </c>
      <c r="D448" s="581">
        <f ca="1">_xlfn.XLOOKUP(C448,'Stock Data'!$AM$4:$AM$1051,'Stock Data'!$AN$4:$AN$1051)</f>
        <v>136.58000000000001</v>
      </c>
    </row>
    <row r="449" spans="3:4" ht="15" customHeight="1">
      <c r="C449" s="606">
        <f ca="1">+'Stock Data'!AM260</f>
        <v>45689</v>
      </c>
      <c r="D449" s="581">
        <f ca="1">_xlfn.XLOOKUP(C449,'Stock Data'!$AM$4:$AM$1051,'Stock Data'!$AN$4:$AN$1051)</f>
        <v>136.58000000000001</v>
      </c>
    </row>
    <row r="450" spans="3:4" ht="15" customHeight="1">
      <c r="C450" s="606">
        <f ca="1">+'Stock Data'!AM261</f>
        <v>45688</v>
      </c>
      <c r="D450" s="581">
        <f ca="1">_xlfn.XLOOKUP(C450,'Stock Data'!$AM$4:$AM$1051,'Stock Data'!$AN$4:$AN$1051)</f>
        <v>137.38999999999999</v>
      </c>
    </row>
    <row r="451" spans="3:4" ht="15" customHeight="1">
      <c r="C451" s="606">
        <f ca="1">+'Stock Data'!AM262</f>
        <v>45687</v>
      </c>
      <c r="D451" s="581">
        <f ca="1">_xlfn.XLOOKUP(C451,'Stock Data'!$AM$4:$AM$1051,'Stock Data'!$AN$4:$AN$1051)</f>
        <v>136.84</v>
      </c>
    </row>
    <row r="452" spans="3:4" ht="15" customHeight="1">
      <c r="C452" s="606">
        <f ca="1">+'Stock Data'!AM263</f>
        <v>45686</v>
      </c>
      <c r="D452" s="581">
        <f ca="1">_xlfn.XLOOKUP(C452,'Stock Data'!$AM$4:$AM$1051,'Stock Data'!$AN$4:$AN$1051)</f>
        <v>136.84</v>
      </c>
    </row>
    <row r="453" spans="3:4" ht="15" customHeight="1">
      <c r="C453" s="606">
        <f ca="1">+'Stock Data'!AM264</f>
        <v>45685</v>
      </c>
      <c r="D453" s="581">
        <f ca="1">_xlfn.XLOOKUP(C453,'Stock Data'!$AM$4:$AM$1051,'Stock Data'!$AN$4:$AN$1051)</f>
        <v>134.94999999999999</v>
      </c>
    </row>
    <row r="454" spans="3:4" ht="15" customHeight="1">
      <c r="C454" s="606">
        <f ca="1">+'Stock Data'!AM265</f>
        <v>45684</v>
      </c>
      <c r="D454" s="581">
        <f ca="1">_xlfn.XLOOKUP(C454,'Stock Data'!$AM$4:$AM$1051,'Stock Data'!$AN$4:$AN$1051)</f>
        <v>134.72</v>
      </c>
    </row>
    <row r="455" spans="3:4" ht="15" customHeight="1">
      <c r="C455" s="606">
        <f ca="1">+'Stock Data'!AM266</f>
        <v>45683</v>
      </c>
      <c r="D455" s="581">
        <f ca="1">_xlfn.XLOOKUP(C455,'Stock Data'!$AM$4:$AM$1051,'Stock Data'!$AN$4:$AN$1051)</f>
        <v>134.72</v>
      </c>
    </row>
    <row r="456" spans="3:4" ht="15" customHeight="1">
      <c r="C456" s="606">
        <f ca="1">+'Stock Data'!AM267</f>
        <v>45682</v>
      </c>
      <c r="D456" s="581">
        <f ca="1">_xlfn.XLOOKUP(C456,'Stock Data'!$AM$4:$AM$1051,'Stock Data'!$AN$4:$AN$1051)</f>
        <v>134.72</v>
      </c>
    </row>
    <row r="457" spans="3:4" ht="15" customHeight="1">
      <c r="C457" s="606">
        <f ca="1">+'Stock Data'!AM268</f>
        <v>45681</v>
      </c>
      <c r="D457" s="581">
        <f ca="1">_xlfn.XLOOKUP(C457,'Stock Data'!$AM$4:$AM$1051,'Stock Data'!$AN$4:$AN$1051)</f>
        <v>132.72</v>
      </c>
    </row>
    <row r="458" spans="3:4" ht="15" customHeight="1">
      <c r="C458" s="606">
        <f ca="1">+'Stock Data'!AM269</f>
        <v>45680</v>
      </c>
      <c r="D458" s="581">
        <f ca="1">_xlfn.XLOOKUP(C458,'Stock Data'!$AM$4:$AM$1051,'Stock Data'!$AN$4:$AN$1051)</f>
        <v>133.54</v>
      </c>
    </row>
    <row r="459" spans="3:4" ht="15" customHeight="1">
      <c r="C459" s="606">
        <f ca="1">+'Stock Data'!AM270</f>
        <v>45679</v>
      </c>
      <c r="D459" s="581">
        <f ca="1">_xlfn.XLOOKUP(C459,'Stock Data'!$AM$4:$AM$1051,'Stock Data'!$AN$4:$AN$1051)</f>
        <v>135.96</v>
      </c>
    </row>
    <row r="460" spans="3:4" ht="15" customHeight="1">
      <c r="C460" s="606">
        <f ca="1">+'Stock Data'!AM271</f>
        <v>45678</v>
      </c>
      <c r="D460" s="581">
        <f ca="1">_xlfn.XLOOKUP(C460,'Stock Data'!$AM$4:$AM$1051,'Stock Data'!$AN$4:$AN$1051)</f>
        <v>136.97999999999999</v>
      </c>
    </row>
    <row r="461" spans="3:4" ht="15" customHeight="1">
      <c r="C461" s="606">
        <f ca="1">+'Stock Data'!AM272</f>
        <v>45677</v>
      </c>
      <c r="D461" s="581">
        <f ca="1">_xlfn.XLOOKUP(C461,'Stock Data'!$AM$4:$AM$1051,'Stock Data'!$AN$4:$AN$1051)</f>
        <v>138.75</v>
      </c>
    </row>
    <row r="462" spans="3:4" ht="15" customHeight="1">
      <c r="C462" s="606">
        <f ca="1">+'Stock Data'!AM273</f>
        <v>45676</v>
      </c>
      <c r="D462" s="581">
        <f ca="1">_xlfn.XLOOKUP(C462,'Stock Data'!$AM$4:$AM$1051,'Stock Data'!$AN$4:$AN$1051)</f>
        <v>138.75</v>
      </c>
    </row>
    <row r="463" spans="3:4" ht="15" customHeight="1">
      <c r="C463" s="606">
        <f ca="1">+'Stock Data'!AM274</f>
        <v>45675</v>
      </c>
      <c r="D463" s="581">
        <f ca="1">_xlfn.XLOOKUP(C463,'Stock Data'!$AM$4:$AM$1051,'Stock Data'!$AN$4:$AN$1051)</f>
        <v>138.75</v>
      </c>
    </row>
    <row r="464" spans="3:4" ht="15" customHeight="1">
      <c r="C464" s="606">
        <f ca="1">+'Stock Data'!AM275</f>
        <v>45674</v>
      </c>
      <c r="D464" s="581">
        <f ca="1">_xlfn.XLOOKUP(C464,'Stock Data'!$AM$4:$AM$1051,'Stock Data'!$AN$4:$AN$1051)</f>
        <v>141.08000000000001</v>
      </c>
    </row>
    <row r="465" spans="3:4" ht="15" customHeight="1">
      <c r="C465" s="606">
        <f ca="1">+'Stock Data'!AM276</f>
        <v>45673</v>
      </c>
      <c r="D465" s="581">
        <f ca="1">_xlfn.XLOOKUP(C465,'Stock Data'!$AM$4:$AM$1051,'Stock Data'!$AN$4:$AN$1051)</f>
        <v>144.74</v>
      </c>
    </row>
    <row r="466" spans="3:4" ht="15" customHeight="1">
      <c r="C466" s="606">
        <f ca="1">+'Stock Data'!AM277</f>
        <v>45672</v>
      </c>
      <c r="D466" s="581">
        <f ca="1">_xlfn.XLOOKUP(C466,'Stock Data'!$AM$4:$AM$1051,'Stock Data'!$AN$4:$AN$1051)</f>
        <v>144.25</v>
      </c>
    </row>
    <row r="467" spans="3:4" ht="15" customHeight="1">
      <c r="C467" s="606">
        <f ca="1">+'Stock Data'!AM278</f>
        <v>45671</v>
      </c>
      <c r="D467" s="581">
        <f ca="1">_xlfn.XLOOKUP(C467,'Stock Data'!$AM$4:$AM$1051,'Stock Data'!$AN$4:$AN$1051)</f>
        <v>142.76</v>
      </c>
    </row>
    <row r="468" spans="3:4" ht="15" customHeight="1">
      <c r="C468" s="606">
        <f ca="1">+'Stock Data'!AM279</f>
        <v>45670</v>
      </c>
      <c r="D468" s="581">
        <f ca="1">_xlfn.XLOOKUP(C468,'Stock Data'!$AM$4:$AM$1051,'Stock Data'!$AN$4:$AN$1051)</f>
        <v>142</v>
      </c>
    </row>
    <row r="469" spans="3:4" ht="15" customHeight="1">
      <c r="C469" s="606">
        <f ca="1">+'Stock Data'!AM280</f>
        <v>45669</v>
      </c>
      <c r="D469" s="581">
        <f ca="1">_xlfn.XLOOKUP(C469,'Stock Data'!$AM$4:$AM$1051,'Stock Data'!$AN$4:$AN$1051)</f>
        <v>142</v>
      </c>
    </row>
    <row r="470" spans="3:4" ht="15" customHeight="1">
      <c r="C470" s="606">
        <f ca="1">+'Stock Data'!AM281</f>
        <v>45668</v>
      </c>
      <c r="D470" s="581">
        <f ca="1">_xlfn.XLOOKUP(C470,'Stock Data'!$AM$4:$AM$1051,'Stock Data'!$AN$4:$AN$1051)</f>
        <v>142</v>
      </c>
    </row>
    <row r="471" spans="3:4" ht="15" customHeight="1">
      <c r="C471" s="606">
        <f ca="1">+'Stock Data'!AM282</f>
        <v>45667</v>
      </c>
      <c r="D471" s="581">
        <f ca="1">_xlfn.XLOOKUP(C471,'Stock Data'!$AM$4:$AM$1051,'Stock Data'!$AN$4:$AN$1051)</f>
        <v>141.72</v>
      </c>
    </row>
    <row r="472" spans="3:4" ht="15" customHeight="1">
      <c r="C472" s="606">
        <f ca="1">+'Stock Data'!AM283</f>
        <v>45666</v>
      </c>
      <c r="D472" s="581">
        <f ca="1">_xlfn.XLOOKUP(C472,'Stock Data'!$AM$4:$AM$1051,'Stock Data'!$AN$4:$AN$1051)</f>
        <v>143.03</v>
      </c>
    </row>
    <row r="473" spans="3:4" ht="15" customHeight="1">
      <c r="C473" s="606">
        <f ca="1">+'Stock Data'!AM284</f>
        <v>45665</v>
      </c>
      <c r="D473" s="581">
        <f ca="1">_xlfn.XLOOKUP(C473,'Stock Data'!$AM$4:$AM$1051,'Stock Data'!$AN$4:$AN$1051)</f>
        <v>142.25</v>
      </c>
    </row>
    <row r="474" spans="3:4" ht="15" customHeight="1">
      <c r="C474" s="606">
        <f ca="1">+'Stock Data'!AM285</f>
        <v>45664</v>
      </c>
      <c r="D474" s="581">
        <f ca="1">_xlfn.XLOOKUP(C474,'Stock Data'!$AM$4:$AM$1051,'Stock Data'!$AN$4:$AN$1051)</f>
        <v>142.06</v>
      </c>
    </row>
    <row r="475" spans="3:4" ht="15" customHeight="1">
      <c r="C475" s="606">
        <f ca="1">+'Stock Data'!AM286</f>
        <v>45663</v>
      </c>
      <c r="D475" s="581">
        <f ca="1">_xlfn.XLOOKUP(C475,'Stock Data'!$AM$4:$AM$1051,'Stock Data'!$AN$4:$AN$1051)</f>
        <v>143.38999999999999</v>
      </c>
    </row>
    <row r="476" spans="3:4" ht="15" customHeight="1">
      <c r="C476" s="606">
        <f ca="1">+'Stock Data'!AM287</f>
        <v>45662</v>
      </c>
      <c r="D476" s="581">
        <f ca="1">_xlfn.XLOOKUP(C476,'Stock Data'!$AM$4:$AM$1051,'Stock Data'!$AN$4:$AN$1051)</f>
        <v>143.38999999999999</v>
      </c>
    </row>
    <row r="477" spans="3:4" ht="15" customHeight="1">
      <c r="C477" s="606">
        <f ca="1">+'Stock Data'!AM288</f>
        <v>45661</v>
      </c>
      <c r="D477" s="581">
        <f ca="1">_xlfn.XLOOKUP(C477,'Stock Data'!$AM$4:$AM$1051,'Stock Data'!$AN$4:$AN$1051)</f>
        <v>143.38999999999999</v>
      </c>
    </row>
    <row r="478" spans="3:4" ht="15" customHeight="1">
      <c r="C478" s="606">
        <f ca="1">+'Stock Data'!AM289</f>
        <v>45660</v>
      </c>
      <c r="D478" s="581">
        <f ca="1">_xlfn.XLOOKUP(C478,'Stock Data'!$AM$4:$AM$1051,'Stock Data'!$AN$4:$AN$1051)</f>
        <v>141.75</v>
      </c>
    </row>
    <row r="479" spans="3:4" ht="15" customHeight="1">
      <c r="C479" s="606">
        <f ca="1">+'Stock Data'!AM290</f>
        <v>45659</v>
      </c>
      <c r="D479" s="581">
        <f ca="1">_xlfn.XLOOKUP(C479,'Stock Data'!$AM$4:$AM$1051,'Stock Data'!$AN$4:$AN$1051)</f>
        <v>141.75</v>
      </c>
    </row>
    <row r="480" spans="3:4" ht="15" customHeight="1">
      <c r="C480" s="606">
        <f ca="1">+'Stock Data'!AM291</f>
        <v>45658</v>
      </c>
      <c r="D480" s="581">
        <f ca="1">_xlfn.XLOOKUP(C480,'Stock Data'!$AM$4:$AM$1051,'Stock Data'!$AN$4:$AN$1051)</f>
        <v>142.18</v>
      </c>
    </row>
    <row r="481" spans="3:4" ht="15" customHeight="1">
      <c r="C481" s="606">
        <f ca="1">+'Stock Data'!AM292</f>
        <v>45657</v>
      </c>
      <c r="D481" s="581">
        <f ca="1">_xlfn.XLOOKUP(C481,'Stock Data'!$AM$4:$AM$1051,'Stock Data'!$AN$4:$AN$1051)</f>
        <v>146.97</v>
      </c>
    </row>
    <row r="482" spans="3:4" ht="15" customHeight="1">
      <c r="C482" s="606">
        <f ca="1">+'Stock Data'!AM293</f>
        <v>45656</v>
      </c>
      <c r="D482" s="581">
        <f ca="1">_xlfn.XLOOKUP(C482,'Stock Data'!$AM$4:$AM$1051,'Stock Data'!$AN$4:$AN$1051)</f>
        <v>142.16</v>
      </c>
    </row>
    <row r="483" spans="3:4" ht="15" customHeight="1">
      <c r="C483" s="606">
        <f ca="1">+'Stock Data'!AM294</f>
        <v>45655</v>
      </c>
      <c r="D483" s="581">
        <f ca="1">_xlfn.XLOOKUP(C483,'Stock Data'!$AM$4:$AM$1051,'Stock Data'!$AN$4:$AN$1051)</f>
        <v>142.16</v>
      </c>
    </row>
    <row r="484" spans="3:4" ht="15" customHeight="1">
      <c r="C484" s="606">
        <f ca="1">+'Stock Data'!AM295</f>
        <v>45654</v>
      </c>
      <c r="D484" s="581">
        <f ca="1">_xlfn.XLOOKUP(C484,'Stock Data'!$AM$4:$AM$1051,'Stock Data'!$AN$4:$AN$1051)</f>
        <v>142.16</v>
      </c>
    </row>
    <row r="485" spans="3:4" ht="15" customHeight="1">
      <c r="C485" s="606">
        <f ca="1">+'Stock Data'!AM296</f>
        <v>45653</v>
      </c>
      <c r="D485" s="581">
        <f ca="1">_xlfn.XLOOKUP(C485,'Stock Data'!$AM$4:$AM$1051,'Stock Data'!$AN$4:$AN$1051)</f>
        <v>138.66</v>
      </c>
    </row>
    <row r="486" spans="3:4" ht="15" customHeight="1">
      <c r="C486" s="606">
        <f ca="1">+'Stock Data'!AM297</f>
        <v>45652</v>
      </c>
      <c r="D486" s="581">
        <f ca="1">_xlfn.XLOOKUP(C486,'Stock Data'!$AM$4:$AM$1051,'Stock Data'!$AN$4:$AN$1051)</f>
        <v>135.72999999999999</v>
      </c>
    </row>
    <row r="487" spans="3:4" ht="15" customHeight="1">
      <c r="C487" s="606">
        <f ca="1">+'Stock Data'!AM298</f>
        <v>45651</v>
      </c>
      <c r="D487" s="581">
        <f ca="1">_xlfn.XLOOKUP(C487,'Stock Data'!$AM$4:$AM$1051,'Stock Data'!$AN$4:$AN$1051)</f>
        <v>136.33000000000001</v>
      </c>
    </row>
    <row r="488" spans="3:4" ht="15" customHeight="1">
      <c r="C488" s="606">
        <f ca="1">+'Stock Data'!AM299</f>
        <v>45650</v>
      </c>
      <c r="D488" s="581">
        <f ca="1">_xlfn.XLOOKUP(C488,'Stock Data'!$AM$4:$AM$1051,'Stock Data'!$AN$4:$AN$1051)</f>
        <v>137.22</v>
      </c>
    </row>
    <row r="489" spans="3:4" ht="15" customHeight="1">
      <c r="C489" s="606">
        <f ca="1">+'Stock Data'!AM300</f>
        <v>45649</v>
      </c>
      <c r="D489" s="581">
        <f ca="1">_xlfn.XLOOKUP(C489,'Stock Data'!$AM$4:$AM$1051,'Stock Data'!$AN$4:$AN$1051)</f>
        <v>136</v>
      </c>
    </row>
    <row r="490" spans="3:4" ht="15" customHeight="1">
      <c r="C490" s="606">
        <f ca="1">+'Stock Data'!AM301</f>
        <v>45648</v>
      </c>
      <c r="D490" s="581">
        <f ca="1">_xlfn.XLOOKUP(C490,'Stock Data'!$AM$4:$AM$1051,'Stock Data'!$AN$4:$AN$1051)</f>
        <v>136</v>
      </c>
    </row>
    <row r="491" spans="3:4" ht="15" customHeight="1">
      <c r="C491" s="606">
        <f ca="1">+'Stock Data'!AM302</f>
        <v>45647</v>
      </c>
      <c r="D491" s="581">
        <f ca="1">_xlfn.XLOOKUP(C491,'Stock Data'!$AM$4:$AM$1051,'Stock Data'!$AN$4:$AN$1051)</f>
        <v>136</v>
      </c>
    </row>
    <row r="492" spans="3:4" ht="15" customHeight="1">
      <c r="C492" s="606">
        <f ca="1">+'Stock Data'!AM303</f>
        <v>45646</v>
      </c>
      <c r="D492" s="581">
        <f ca="1">_xlfn.XLOOKUP(C492,'Stock Data'!$AM$4:$AM$1051,'Stock Data'!$AN$4:$AN$1051)</f>
        <v>135.68</v>
      </c>
    </row>
    <row r="493" spans="3:4" ht="15" customHeight="1">
      <c r="C493" s="606">
        <f ca="1">+'Stock Data'!AM304</f>
        <v>45645</v>
      </c>
      <c r="D493" s="581">
        <f ca="1">_xlfn.XLOOKUP(C493,'Stock Data'!$AM$4:$AM$1051,'Stock Data'!$AN$4:$AN$1051)</f>
        <v>138.05000000000001</v>
      </c>
    </row>
    <row r="494" spans="3:4" ht="15" customHeight="1">
      <c r="C494" s="606">
        <f ca="1">+'Stock Data'!AM305</f>
        <v>45644</v>
      </c>
      <c r="D494" s="581">
        <f ca="1">_xlfn.XLOOKUP(C494,'Stock Data'!$AM$4:$AM$1051,'Stock Data'!$AN$4:$AN$1051)</f>
        <v>137.34</v>
      </c>
    </row>
    <row r="495" spans="3:4" ht="15" customHeight="1">
      <c r="C495" s="606">
        <f ca="1">+'Stock Data'!AM306</f>
        <v>45643</v>
      </c>
      <c r="D495" s="581">
        <f ca="1">_xlfn.XLOOKUP(C495,'Stock Data'!$AM$4:$AM$1051,'Stock Data'!$AN$4:$AN$1051)</f>
        <v>139.63999999999999</v>
      </c>
    </row>
    <row r="496" spans="3:4" ht="15" customHeight="1">
      <c r="C496" s="606">
        <f ca="1">+'Stock Data'!AM307</f>
        <v>45642</v>
      </c>
      <c r="D496" s="581">
        <f ca="1">_xlfn.XLOOKUP(C496,'Stock Data'!$AM$4:$AM$1051,'Stock Data'!$AN$4:$AN$1051)</f>
        <v>140.31</v>
      </c>
    </row>
    <row r="497" spans="3:4" ht="15" customHeight="1">
      <c r="C497" s="606">
        <f ca="1">+'Stock Data'!AM308</f>
        <v>45641</v>
      </c>
      <c r="D497" s="581">
        <f ca="1">_xlfn.XLOOKUP(C497,'Stock Data'!$AM$4:$AM$1051,'Stock Data'!$AN$4:$AN$1051)</f>
        <v>140.31</v>
      </c>
    </row>
    <row r="498" spans="3:4" ht="15" customHeight="1">
      <c r="C498" s="606">
        <f ca="1">+'Stock Data'!AM309</f>
        <v>45640</v>
      </c>
      <c r="D498" s="581">
        <f ca="1">_xlfn.XLOOKUP(C498,'Stock Data'!$AM$4:$AM$1051,'Stock Data'!$AN$4:$AN$1051)</f>
        <v>140.31</v>
      </c>
    </row>
    <row r="499" spans="3:4" ht="15" customHeight="1">
      <c r="C499" s="606">
        <f ca="1">+'Stock Data'!AM310</f>
        <v>45639</v>
      </c>
      <c r="D499" s="581">
        <f ca="1">_xlfn.XLOOKUP(C499,'Stock Data'!$AM$4:$AM$1051,'Stock Data'!$AN$4:$AN$1051)</f>
        <v>141.24</v>
      </c>
    </row>
    <row r="500" spans="3:4" ht="15" customHeight="1">
      <c r="C500" s="606">
        <f ca="1">+'Stock Data'!AM311</f>
        <v>45638</v>
      </c>
      <c r="D500" s="581">
        <f ca="1">_xlfn.XLOOKUP(C500,'Stock Data'!$AM$4:$AM$1051,'Stock Data'!$AN$4:$AN$1051)</f>
        <v>143.63</v>
      </c>
    </row>
    <row r="501" spans="3:4" ht="15" customHeight="1">
      <c r="C501" s="606">
        <f ca="1">+'Stock Data'!AM312</f>
        <v>45637</v>
      </c>
      <c r="D501" s="581">
        <f ca="1">_xlfn.XLOOKUP(C501,'Stock Data'!$AM$4:$AM$1051,'Stock Data'!$AN$4:$AN$1051)</f>
        <v>137.09</v>
      </c>
    </row>
    <row r="502" spans="3:4" ht="15" customHeight="1">
      <c r="C502" s="606">
        <f ca="1">+'Stock Data'!AM313</f>
        <v>45636</v>
      </c>
      <c r="D502" s="581">
        <f ca="1">_xlfn.XLOOKUP(C502,'Stock Data'!$AM$4:$AM$1051,'Stock Data'!$AN$4:$AN$1051)</f>
        <v>134.13999999999999</v>
      </c>
    </row>
    <row r="503" spans="3:4" ht="15" customHeight="1">
      <c r="C503" s="606">
        <f ca="1">+'Stock Data'!AM314</f>
        <v>45635</v>
      </c>
      <c r="D503" s="581">
        <f ca="1">_xlfn.XLOOKUP(C503,'Stock Data'!$AM$4:$AM$1051,'Stock Data'!$AN$4:$AN$1051)</f>
        <v>130.16</v>
      </c>
    </row>
    <row r="504" spans="3:4" ht="15" customHeight="1">
      <c r="C504" s="606">
        <f ca="1">+'Stock Data'!AM315</f>
        <v>45634</v>
      </c>
      <c r="D504" s="581">
        <f ca="1">_xlfn.XLOOKUP(C504,'Stock Data'!$AM$4:$AM$1051,'Stock Data'!$AN$4:$AN$1051)</f>
        <v>130.16</v>
      </c>
    </row>
    <row r="505" spans="3:4" ht="15" customHeight="1">
      <c r="C505" s="606">
        <f ca="1">+'Stock Data'!AM316</f>
        <v>45633</v>
      </c>
      <c r="D505" s="581">
        <f ca="1">_xlfn.XLOOKUP(C505,'Stock Data'!$AM$4:$AM$1051,'Stock Data'!$AN$4:$AN$1051)</f>
        <v>130.16</v>
      </c>
    </row>
    <row r="506" spans="3:4" ht="15" customHeight="1">
      <c r="C506" s="606">
        <f ca="1">+'Stock Data'!AM317</f>
        <v>45632</v>
      </c>
      <c r="D506" s="581">
        <f ca="1">_xlfn.XLOOKUP(C506,'Stock Data'!$AM$4:$AM$1051,'Stock Data'!$AN$4:$AN$1051)</f>
        <v>129.69999999999999</v>
      </c>
    </row>
    <row r="507" spans="3:4" ht="15" customHeight="1">
      <c r="C507" s="606">
        <f ca="1">+'Stock Data'!AM318</f>
        <v>45631</v>
      </c>
      <c r="D507" s="581">
        <f ca="1">_xlfn.XLOOKUP(C507,'Stock Data'!$AM$4:$AM$1051,'Stock Data'!$AN$4:$AN$1051)</f>
        <v>140.38</v>
      </c>
    </row>
    <row r="508" spans="3:4" ht="15" customHeight="1">
      <c r="C508" s="606">
        <f ca="1">+'Stock Data'!AM319</f>
        <v>45630</v>
      </c>
      <c r="D508" s="581">
        <f ca="1">_xlfn.XLOOKUP(C508,'Stock Data'!$AM$4:$AM$1051,'Stock Data'!$AN$4:$AN$1051)</f>
        <v>138</v>
      </c>
    </row>
    <row r="509" spans="3:4" ht="15" customHeight="1">
      <c r="C509" s="606">
        <f ca="1">+'Stock Data'!AM320</f>
        <v>45629</v>
      </c>
      <c r="D509" s="581">
        <f ca="1">_xlfn.XLOOKUP(C509,'Stock Data'!$AM$4:$AM$1051,'Stock Data'!$AN$4:$AN$1051)</f>
        <v>140.27000000000001</v>
      </c>
    </row>
    <row r="510" spans="3:4" ht="15" customHeight="1">
      <c r="C510" s="606">
        <f ca="1">+'Stock Data'!AM321</f>
        <v>45628</v>
      </c>
      <c r="D510" s="581">
        <f ca="1">_xlfn.XLOOKUP(C510,'Stock Data'!$AM$4:$AM$1051,'Stock Data'!$AN$4:$AN$1051)</f>
        <v>137.65</v>
      </c>
    </row>
    <row r="511" spans="3:4" ht="15" customHeight="1">
      <c r="C511" s="606">
        <f ca="1">+'Stock Data'!AM322</f>
        <v>45627</v>
      </c>
      <c r="D511" s="581">
        <f ca="1">_xlfn.XLOOKUP(C511,'Stock Data'!$AM$4:$AM$1051,'Stock Data'!$AN$4:$AN$1051)</f>
        <v>137.65</v>
      </c>
    </row>
    <row r="512" spans="3:4" ht="15" customHeight="1">
      <c r="C512" s="606">
        <f ca="1">+'Stock Data'!AM323</f>
        <v>45626</v>
      </c>
      <c r="D512" s="581">
        <f ca="1">_xlfn.XLOOKUP(C512,'Stock Data'!$AM$4:$AM$1051,'Stock Data'!$AN$4:$AN$1051)</f>
        <v>137.65</v>
      </c>
    </row>
    <row r="513" spans="3:4" ht="15" customHeight="1">
      <c r="C513" s="606">
        <f ca="1">+'Stock Data'!AM324</f>
        <v>45625</v>
      </c>
      <c r="D513" s="581">
        <f ca="1">_xlfn.XLOOKUP(C513,'Stock Data'!$AM$4:$AM$1051,'Stock Data'!$AN$4:$AN$1051)</f>
        <v>138.08000000000001</v>
      </c>
    </row>
    <row r="514" spans="3:4" ht="15" customHeight="1">
      <c r="C514" s="606">
        <f ca="1">+'Stock Data'!AM325</f>
        <v>45624</v>
      </c>
      <c r="D514" s="581">
        <f ca="1">_xlfn.XLOOKUP(C514,'Stock Data'!$AM$4:$AM$1051,'Stock Data'!$AN$4:$AN$1051)</f>
        <v>136.12</v>
      </c>
    </row>
    <row r="515" spans="3:4" ht="15" customHeight="1">
      <c r="C515" s="606">
        <f ca="1">+'Stock Data'!AM326</f>
        <v>45623</v>
      </c>
      <c r="D515" s="581">
        <f ca="1">_xlfn.XLOOKUP(C515,'Stock Data'!$AM$4:$AM$1051,'Stock Data'!$AN$4:$AN$1051)</f>
        <v>136.86000000000001</v>
      </c>
    </row>
    <row r="516" spans="3:4" ht="15" customHeight="1">
      <c r="C516" s="606">
        <f ca="1">+'Stock Data'!AM327</f>
        <v>45622</v>
      </c>
      <c r="D516" s="581">
        <f ca="1">_xlfn.XLOOKUP(C516,'Stock Data'!$AM$4:$AM$1051,'Stock Data'!$AN$4:$AN$1051)</f>
        <v>137.63999999999999</v>
      </c>
    </row>
    <row r="517" spans="3:4" ht="15" customHeight="1">
      <c r="C517" s="606">
        <f ca="1">+'Stock Data'!AM328</f>
        <v>45621</v>
      </c>
      <c r="D517" s="581">
        <f ca="1">_xlfn.XLOOKUP(C517,'Stock Data'!$AM$4:$AM$1051,'Stock Data'!$AN$4:$AN$1051)</f>
        <v>139.69999999999999</v>
      </c>
    </row>
    <row r="518" spans="3:4" ht="15" customHeight="1">
      <c r="C518" s="606">
        <f ca="1">+'Stock Data'!AM329</f>
        <v>45620</v>
      </c>
      <c r="D518" s="581">
        <f ca="1">_xlfn.XLOOKUP(C518,'Stock Data'!$AM$4:$AM$1051,'Stock Data'!$AN$4:$AN$1051)</f>
        <v>139.69999999999999</v>
      </c>
    </row>
    <row r="519" spans="3:4" ht="15" customHeight="1">
      <c r="C519" s="606">
        <f ca="1">+'Stock Data'!AM330</f>
        <v>45619</v>
      </c>
      <c r="D519" s="581">
        <f ca="1">_xlfn.XLOOKUP(C519,'Stock Data'!$AM$4:$AM$1051,'Stock Data'!$AN$4:$AN$1051)</f>
        <v>139.69999999999999</v>
      </c>
    </row>
    <row r="520" spans="3:4" ht="15" customHeight="1">
      <c r="C520" s="606">
        <f ca="1">+'Stock Data'!AM331</f>
        <v>45618</v>
      </c>
      <c r="D520" s="581">
        <f ca="1">_xlfn.XLOOKUP(C520,'Stock Data'!$AM$4:$AM$1051,'Stock Data'!$AN$4:$AN$1051)</f>
        <v>139.59</v>
      </c>
    </row>
    <row r="521" spans="3:4" ht="15" customHeight="1">
      <c r="C521" s="606">
        <f ca="1">+'Stock Data'!AM332</f>
        <v>45617</v>
      </c>
      <c r="D521" s="581">
        <f ca="1">_xlfn.XLOOKUP(C521,'Stock Data'!$AM$4:$AM$1051,'Stock Data'!$AN$4:$AN$1051)</f>
        <v>138.41999999999999</v>
      </c>
    </row>
    <row r="522" spans="3:4" ht="15" customHeight="1">
      <c r="C522" s="606">
        <f ca="1">+'Stock Data'!AM333</f>
        <v>45616</v>
      </c>
      <c r="D522" s="581">
        <f ca="1">_xlfn.XLOOKUP(C522,'Stock Data'!$AM$4:$AM$1051,'Stock Data'!$AN$4:$AN$1051)</f>
        <v>137.83000000000001</v>
      </c>
    </row>
    <row r="523" spans="3:4" ht="15" customHeight="1">
      <c r="C523" s="606">
        <f ca="1">+'Stock Data'!AM334</f>
        <v>45615</v>
      </c>
      <c r="D523" s="581">
        <f ca="1">_xlfn.XLOOKUP(C523,'Stock Data'!$AM$4:$AM$1051,'Stock Data'!$AN$4:$AN$1051)</f>
        <v>137.80000000000001</v>
      </c>
    </row>
    <row r="524" spans="3:4" ht="15" customHeight="1">
      <c r="C524" s="606">
        <f ca="1">+'Stock Data'!AM335</f>
        <v>45614</v>
      </c>
      <c r="D524" s="581">
        <f ca="1">_xlfn.XLOOKUP(C524,'Stock Data'!$AM$4:$AM$1051,'Stock Data'!$AN$4:$AN$1051)</f>
        <v>133.27000000000001</v>
      </c>
    </row>
    <row r="525" spans="3:4" ht="15" customHeight="1">
      <c r="C525" s="606">
        <f ca="1">+'Stock Data'!AM336</f>
        <v>45613</v>
      </c>
      <c r="D525" s="581">
        <f ca="1">_xlfn.XLOOKUP(C525,'Stock Data'!$AM$4:$AM$1051,'Stock Data'!$AN$4:$AN$1051)</f>
        <v>133.27000000000001</v>
      </c>
    </row>
    <row r="526" spans="3:4" ht="15" customHeight="1">
      <c r="C526" s="606">
        <f ca="1">+'Stock Data'!AM337</f>
        <v>45612</v>
      </c>
      <c r="D526" s="581">
        <f ca="1">_xlfn.XLOOKUP(C526,'Stock Data'!$AM$4:$AM$1051,'Stock Data'!$AN$4:$AN$1051)</f>
        <v>133.27000000000001</v>
      </c>
    </row>
    <row r="527" spans="3:4" ht="15" customHeight="1">
      <c r="C527" s="606">
        <f ca="1">+'Stock Data'!AM338</f>
        <v>45611</v>
      </c>
      <c r="D527" s="581">
        <f ca="1">_xlfn.XLOOKUP(C527,'Stock Data'!$AM$4:$AM$1051,'Stock Data'!$AN$4:$AN$1051)</f>
        <v>133.43</v>
      </c>
    </row>
    <row r="528" spans="3:4" ht="15" customHeight="1">
      <c r="C528" s="606">
        <f ca="1">+'Stock Data'!AM339</f>
        <v>45610</v>
      </c>
      <c r="D528" s="581">
        <f ca="1">_xlfn.XLOOKUP(C528,'Stock Data'!$AM$4:$AM$1051,'Stock Data'!$AN$4:$AN$1051)</f>
        <v>132.9</v>
      </c>
    </row>
    <row r="529" spans="3:4" ht="15" customHeight="1">
      <c r="C529" s="606">
        <f ca="1">+'Stock Data'!AM340</f>
        <v>45609</v>
      </c>
      <c r="D529" s="581">
        <f ca="1">_xlfn.XLOOKUP(C529,'Stock Data'!$AM$4:$AM$1051,'Stock Data'!$AN$4:$AN$1051)</f>
        <v>132</v>
      </c>
    </row>
    <row r="530" spans="3:4" ht="15" customHeight="1">
      <c r="C530" s="606">
        <f ca="1">+'Stock Data'!AM341</f>
        <v>45608</v>
      </c>
      <c r="D530" s="581">
        <f ca="1">_xlfn.XLOOKUP(C530,'Stock Data'!$AM$4:$AM$1051,'Stock Data'!$AN$4:$AN$1051)</f>
        <v>132.47</v>
      </c>
    </row>
    <row r="531" spans="3:4" ht="15" customHeight="1">
      <c r="C531" s="606">
        <f ca="1">+'Stock Data'!AM342</f>
        <v>45607</v>
      </c>
      <c r="D531" s="581">
        <f ca="1">_xlfn.XLOOKUP(C531,'Stock Data'!$AM$4:$AM$1051,'Stock Data'!$AN$4:$AN$1051)</f>
        <v>134.47999999999999</v>
      </c>
    </row>
    <row r="532" spans="3:4" ht="15" customHeight="1">
      <c r="C532" s="606">
        <f ca="1">+'Stock Data'!AM343</f>
        <v>45606</v>
      </c>
      <c r="D532" s="581">
        <f ca="1">_xlfn.XLOOKUP(C532,'Stock Data'!$AM$4:$AM$1051,'Stock Data'!$AN$4:$AN$1051)</f>
        <v>134.47999999999999</v>
      </c>
    </row>
    <row r="533" spans="3:4" ht="15" customHeight="1">
      <c r="C533" s="606">
        <f ca="1">+'Stock Data'!AM344</f>
        <v>45605</v>
      </c>
      <c r="D533" s="581">
        <f ca="1">_xlfn.XLOOKUP(C533,'Stock Data'!$AM$4:$AM$1051,'Stock Data'!$AN$4:$AN$1051)</f>
        <v>134.47999999999999</v>
      </c>
    </row>
    <row r="534" spans="3:4" ht="15" customHeight="1">
      <c r="C534" s="606">
        <f ca="1">+'Stock Data'!AM345</f>
        <v>45604</v>
      </c>
      <c r="D534" s="581">
        <f ca="1">_xlfn.XLOOKUP(C534,'Stock Data'!$AM$4:$AM$1051,'Stock Data'!$AN$4:$AN$1051)</f>
        <v>133.82</v>
      </c>
    </row>
    <row r="535" spans="3:4" ht="15" customHeight="1">
      <c r="C535" s="606">
        <f ca="1">+'Stock Data'!AM346</f>
        <v>45603</v>
      </c>
      <c r="D535" s="581">
        <f ca="1">_xlfn.XLOOKUP(C535,'Stock Data'!$AM$4:$AM$1051,'Stock Data'!$AN$4:$AN$1051)</f>
        <v>134.41999999999999</v>
      </c>
    </row>
    <row r="536" spans="3:4" ht="15" customHeight="1">
      <c r="C536" s="606">
        <f ca="1">+'Stock Data'!AM347</f>
        <v>45602</v>
      </c>
      <c r="D536" s="581">
        <f ca="1">_xlfn.XLOOKUP(C536,'Stock Data'!$AM$4:$AM$1051,'Stock Data'!$AN$4:$AN$1051)</f>
        <v>138.22999999999999</v>
      </c>
    </row>
    <row r="537" spans="3:4" ht="15" customHeight="1">
      <c r="C537" s="606">
        <f ca="1">+'Stock Data'!AM348</f>
        <v>45601</v>
      </c>
      <c r="D537" s="581">
        <f ca="1">_xlfn.XLOOKUP(C537,'Stock Data'!$AM$4:$AM$1051,'Stock Data'!$AN$4:$AN$1051)</f>
        <v>139.13</v>
      </c>
    </row>
    <row r="538" spans="3:4" ht="15" customHeight="1">
      <c r="C538" s="606">
        <f ca="1">+'Stock Data'!AM349</f>
        <v>45600</v>
      </c>
      <c r="D538" s="581">
        <f ca="1">_xlfn.XLOOKUP(C538,'Stock Data'!$AM$4:$AM$1051,'Stock Data'!$AN$4:$AN$1051)</f>
        <v>141.71</v>
      </c>
    </row>
    <row r="539" spans="3:4" ht="15" customHeight="1">
      <c r="C539" s="606">
        <f ca="1">+'Stock Data'!AM350</f>
        <v>45599</v>
      </c>
      <c r="D539" s="581">
        <f ca="1">_xlfn.XLOOKUP(C539,'Stock Data'!$AM$4:$AM$1051,'Stock Data'!$AN$4:$AN$1051)</f>
        <v>141.71</v>
      </c>
    </row>
    <row r="540" spans="3:4" ht="15" customHeight="1">
      <c r="C540" s="606">
        <f ca="1">+'Stock Data'!AM351</f>
        <v>45598</v>
      </c>
      <c r="D540" s="581">
        <f ca="1">_xlfn.XLOOKUP(C540,'Stock Data'!$AM$4:$AM$1051,'Stock Data'!$AN$4:$AN$1051)</f>
        <v>141.71</v>
      </c>
    </row>
    <row r="541" spans="3:4" ht="15" customHeight="1">
      <c r="C541" s="606">
        <f ca="1">+'Stock Data'!AM352</f>
        <v>45597</v>
      </c>
      <c r="D541" s="581">
        <f ca="1">_xlfn.XLOOKUP(C541,'Stock Data'!$AM$4:$AM$1051,'Stock Data'!$AN$4:$AN$1051)</f>
        <v>141.26</v>
      </c>
    </row>
    <row r="542" spans="3:4" ht="15" customHeight="1">
      <c r="C542" s="606">
        <f ca="1">+'Stock Data'!AM353</f>
        <v>45596</v>
      </c>
      <c r="D542" s="581">
        <f ca="1">_xlfn.XLOOKUP(C542,'Stock Data'!$AM$4:$AM$1051,'Stock Data'!$AN$4:$AN$1051)</f>
        <v>140.33000000000001</v>
      </c>
    </row>
    <row r="543" spans="3:4" ht="15" customHeight="1">
      <c r="C543" s="606">
        <f ca="1">+'Stock Data'!AM354</f>
        <v>45595</v>
      </c>
      <c r="D543" s="581">
        <f ca="1">_xlfn.XLOOKUP(C543,'Stock Data'!$AM$4:$AM$1051,'Stock Data'!$AN$4:$AN$1051)</f>
        <v>144.82</v>
      </c>
    </row>
    <row r="544" spans="3:4" ht="15" customHeight="1">
      <c r="C544" s="606">
        <f ca="1">+'Stock Data'!AM355</f>
        <v>45594</v>
      </c>
      <c r="D544" s="581">
        <f ca="1">_xlfn.XLOOKUP(C544,'Stock Data'!$AM$4:$AM$1051,'Stock Data'!$AN$4:$AN$1051)</f>
        <v>142.25</v>
      </c>
    </row>
    <row r="545" spans="3:4" ht="15" customHeight="1">
      <c r="C545" s="606">
        <f ca="1">+'Stock Data'!AM356</f>
        <v>45593</v>
      </c>
      <c r="D545" s="581">
        <f ca="1">_xlfn.XLOOKUP(C545,'Stock Data'!$AM$4:$AM$1051,'Stock Data'!$AN$4:$AN$1051)</f>
        <v>141.31</v>
      </c>
    </row>
    <row r="546" spans="3:4" ht="15" customHeight="1">
      <c r="C546" s="606">
        <f ca="1">+'Stock Data'!AM357</f>
        <v>45592</v>
      </c>
      <c r="D546" s="581">
        <f ca="1">_xlfn.XLOOKUP(C546,'Stock Data'!$AM$4:$AM$1051,'Stock Data'!$AN$4:$AN$1051)</f>
        <v>141.31</v>
      </c>
    </row>
    <row r="547" spans="3:4" ht="15" customHeight="1">
      <c r="C547" s="606">
        <f ca="1">+'Stock Data'!AM358</f>
        <v>45591</v>
      </c>
      <c r="D547" s="581">
        <f ca="1">_xlfn.XLOOKUP(C547,'Stock Data'!$AM$4:$AM$1051,'Stock Data'!$AN$4:$AN$1051)</f>
        <v>141.31</v>
      </c>
    </row>
    <row r="548" spans="3:4" ht="15" customHeight="1">
      <c r="C548" s="606">
        <f ca="1">+'Stock Data'!AM359</f>
        <v>45590</v>
      </c>
      <c r="D548" s="581">
        <f ca="1">_xlfn.XLOOKUP(C548,'Stock Data'!$AM$4:$AM$1051,'Stock Data'!$AN$4:$AN$1051)</f>
        <v>144.15</v>
      </c>
    </row>
    <row r="549" spans="3:4" ht="15" customHeight="1">
      <c r="C549" s="606">
        <f ca="1">+'Stock Data'!AM360</f>
        <v>45589</v>
      </c>
      <c r="D549" s="581">
        <f ca="1">_xlfn.XLOOKUP(C549,'Stock Data'!$AM$4:$AM$1051,'Stock Data'!$AN$4:$AN$1051)</f>
        <v>139.66999999999999</v>
      </c>
    </row>
    <row r="550" spans="3:4" ht="15" customHeight="1">
      <c r="C550" s="606">
        <f ca="1">+'Stock Data'!AM361</f>
        <v>45588</v>
      </c>
      <c r="D550" s="581">
        <f ca="1">_xlfn.XLOOKUP(C550,'Stock Data'!$AM$4:$AM$1051,'Stock Data'!$AN$4:$AN$1051)</f>
        <v>139.19</v>
      </c>
    </row>
    <row r="551" spans="3:4" ht="15" customHeight="1">
      <c r="C551" s="606">
        <f ca="1">+'Stock Data'!AM362</f>
        <v>45587</v>
      </c>
      <c r="D551" s="581">
        <f ca="1">_xlfn.XLOOKUP(C551,'Stock Data'!$AM$4:$AM$1051,'Stock Data'!$AN$4:$AN$1051)</f>
        <v>135.76</v>
      </c>
    </row>
    <row r="552" spans="3:4" ht="15" customHeight="1">
      <c r="C552" s="606">
        <f ca="1">+'Stock Data'!AM363</f>
        <v>45586</v>
      </c>
      <c r="D552" s="581">
        <f ca="1">_xlfn.XLOOKUP(C552,'Stock Data'!$AM$4:$AM$1051,'Stock Data'!$AN$4:$AN$1051)</f>
        <v>132.80000000000001</v>
      </c>
    </row>
    <row r="553" spans="3:4" ht="15" customHeight="1">
      <c r="C553" s="606">
        <f ca="1">+'Stock Data'!AM364</f>
        <v>45585</v>
      </c>
      <c r="D553" s="581">
        <f ca="1">_xlfn.XLOOKUP(C553,'Stock Data'!$AM$4:$AM$1051,'Stock Data'!$AN$4:$AN$1051)</f>
        <v>132.80000000000001</v>
      </c>
    </row>
    <row r="554" spans="3:4" ht="15" customHeight="1">
      <c r="C554" s="606">
        <f ca="1">+'Stock Data'!AM365</f>
        <v>45584</v>
      </c>
      <c r="D554" s="581">
        <f ca="1">_xlfn.XLOOKUP(C554,'Stock Data'!$AM$4:$AM$1051,'Stock Data'!$AN$4:$AN$1051)</f>
        <v>132.80000000000001</v>
      </c>
    </row>
    <row r="555" spans="3:4" ht="15" customHeight="1">
      <c r="C555" s="606">
        <f ca="1">+'Stock Data'!AM366</f>
        <v>45583</v>
      </c>
      <c r="D555" s="581">
        <f ca="1">_xlfn.XLOOKUP(C555,'Stock Data'!$AM$4:$AM$1051,'Stock Data'!$AN$4:$AN$1051)</f>
        <v>128.04</v>
      </c>
    </row>
    <row r="556" spans="3:4" ht="15" customHeight="1">
      <c r="C556" s="606">
        <f ca="1">+'Stock Data'!AM367</f>
        <v>45582</v>
      </c>
      <c r="D556" s="581">
        <f ca="1">_xlfn.XLOOKUP(C556,'Stock Data'!$AM$4:$AM$1051,'Stock Data'!$AN$4:$AN$1051)</f>
        <v>129.41</v>
      </c>
    </row>
    <row r="557" spans="3:4" ht="15" customHeight="1">
      <c r="C557" s="606">
        <f ca="1">+'Stock Data'!AM368</f>
        <v>45581</v>
      </c>
      <c r="D557" s="581">
        <f ca="1">_xlfn.XLOOKUP(C557,'Stock Data'!$AM$4:$AM$1051,'Stock Data'!$AN$4:$AN$1051)</f>
        <v>129.66999999999999</v>
      </c>
    </row>
    <row r="558" spans="3:4" ht="15" customHeight="1">
      <c r="C558" s="606">
        <f ca="1">+'Stock Data'!AM369</f>
        <v>45580</v>
      </c>
      <c r="D558" s="581">
        <f ca="1">_xlfn.XLOOKUP(C558,'Stock Data'!$AM$4:$AM$1051,'Stock Data'!$AN$4:$AN$1051)</f>
        <v>131.81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B1:P42"/>
  <sheetViews>
    <sheetView showGridLines="0" topLeftCell="F6" zoomScale="95" zoomScaleNormal="95" workbookViewId="0">
      <selection activeCell="E16" sqref="E16"/>
    </sheetView>
  </sheetViews>
  <sheetFormatPr defaultColWidth="9" defaultRowHeight="15" customHeight="1"/>
  <cols>
    <col min="1" max="1" width="2" style="23" customWidth="1"/>
    <col min="2" max="2" width="25.5" style="23" customWidth="1"/>
    <col min="3" max="4" width="11.5" style="23" customWidth="1"/>
    <col min="5" max="5" width="10.375" style="23" customWidth="1"/>
    <col min="6" max="6" width="25.5" style="23" customWidth="1"/>
    <col min="7" max="8" width="11.5" style="23" customWidth="1"/>
    <col min="9" max="9" width="10.375" style="23" customWidth="1"/>
    <col min="10" max="10" width="27" style="23" customWidth="1"/>
    <col min="11" max="12" width="11.5" style="23" customWidth="1"/>
    <col min="13" max="13" width="10.375" style="23" customWidth="1"/>
    <col min="14" max="14" width="25.5" style="23" customWidth="1"/>
    <col min="15" max="16" width="11.5" style="23" customWidth="1"/>
    <col min="17" max="16384" width="9" style="23"/>
  </cols>
  <sheetData>
    <row r="1" spans="2:16" s="582" customFormat="1" ht="15" customHeight="1"/>
    <row r="2" spans="2:16" s="582" customFormat="1" ht="15" customHeight="1"/>
    <row r="3" spans="2:16" s="582" customFormat="1" ht="15" customHeight="1"/>
    <row r="4" spans="2:16" s="582" customFormat="1" ht="15" customHeight="1"/>
    <row r="5" spans="2:16" s="36" customFormat="1" ht="3.95" customHeight="1"/>
    <row r="7" spans="2:16" ht="15" customHeight="1">
      <c r="B7" s="375" t="s">
        <v>1</v>
      </c>
      <c r="C7" s="186"/>
      <c r="D7" s="186"/>
      <c r="F7" s="375" t="s">
        <v>2</v>
      </c>
      <c r="G7" s="186"/>
      <c r="H7" s="186"/>
      <c r="J7" s="375" t="s">
        <v>3</v>
      </c>
      <c r="K7" s="186"/>
      <c r="L7" s="186"/>
      <c r="M7" s="186"/>
      <c r="N7" s="186"/>
      <c r="O7" s="186"/>
      <c r="P7" s="186"/>
    </row>
    <row r="8" spans="2:16" ht="15" customHeight="1">
      <c r="B8" s="375"/>
      <c r="C8" s="186"/>
      <c r="D8" s="186"/>
      <c r="F8" s="375"/>
      <c r="G8" s="186"/>
      <c r="H8" s="186"/>
      <c r="J8" s="186"/>
      <c r="K8" s="186"/>
      <c r="L8" s="186"/>
      <c r="M8" s="186"/>
      <c r="N8" s="186"/>
      <c r="O8" s="186"/>
      <c r="P8" s="186"/>
    </row>
    <row r="9" spans="2:16" ht="15" customHeight="1">
      <c r="B9" s="186"/>
      <c r="C9" s="186"/>
      <c r="D9" s="186"/>
      <c r="F9" s="186"/>
      <c r="G9" s="186"/>
      <c r="H9" s="186"/>
      <c r="J9" s="186"/>
      <c r="K9" s="186"/>
      <c r="L9" s="186"/>
      <c r="M9" s="186"/>
      <c r="N9" s="186"/>
      <c r="O9" s="186"/>
      <c r="P9" s="186"/>
    </row>
    <row r="10" spans="2:16" ht="3.95" customHeight="1">
      <c r="B10" s="36"/>
      <c r="C10" s="36"/>
      <c r="D10" s="36"/>
      <c r="F10" s="36"/>
      <c r="G10" s="36"/>
      <c r="H10" s="36"/>
      <c r="J10" s="36"/>
      <c r="K10" s="36"/>
      <c r="L10" s="36"/>
      <c r="M10" s="36"/>
      <c r="N10" s="36"/>
      <c r="O10" s="36"/>
      <c r="P10" s="36"/>
    </row>
    <row r="11" spans="2:16" ht="3.95" customHeight="1"/>
    <row r="12" spans="2:16" ht="15" customHeight="1">
      <c r="B12" s="484" t="s">
        <v>4</v>
      </c>
      <c r="F12" s="376" t="s">
        <v>5</v>
      </c>
      <c r="H12" s="560" t="s">
        <v>6</v>
      </c>
      <c r="J12" s="536"/>
    </row>
    <row r="13" spans="2:16" ht="15" customHeight="1">
      <c r="B13" s="573" t="s">
        <v>7</v>
      </c>
      <c r="F13" s="376" t="s">
        <v>8</v>
      </c>
      <c r="H13" s="599" t="e">
        <f ca="1">FCFF!AL177</f>
        <v>#NAME?</v>
      </c>
      <c r="J13" s="536"/>
    </row>
    <row r="14" spans="2:16" ht="15" customHeight="1">
      <c r="B14" s="693" t="s">
        <v>9</v>
      </c>
      <c r="F14" s="376" t="s">
        <v>10</v>
      </c>
      <c r="H14" s="744" t="e">
        <f ca="1">FCFF!AL179</f>
        <v>#NAME?</v>
      </c>
      <c r="J14" s="536"/>
    </row>
    <row r="15" spans="2:16" ht="15" customHeight="1">
      <c r="B15" s="378" t="s">
        <v>11</v>
      </c>
      <c r="J15" s="536"/>
    </row>
    <row r="16" spans="2:16" ht="15" customHeight="1">
      <c r="B16" s="573" t="s">
        <v>7</v>
      </c>
      <c r="F16" s="376" t="s">
        <v>12</v>
      </c>
      <c r="H16" s="591" t="s">
        <v>13</v>
      </c>
      <c r="J16" s="536"/>
    </row>
    <row r="17" spans="2:8" ht="15" customHeight="1">
      <c r="B17" s="574" t="s">
        <v>14</v>
      </c>
      <c r="F17" s="376" t="s">
        <v>15</v>
      </c>
      <c r="G17" s="554"/>
      <c r="H17" s="591" t="s">
        <v>16</v>
      </c>
    </row>
    <row r="18" spans="2:8" ht="15" customHeight="1">
      <c r="B18" s="378" t="s">
        <v>17</v>
      </c>
    </row>
    <row r="19" spans="2:8" ht="15" customHeight="1">
      <c r="B19" s="695" t="s">
        <v>18</v>
      </c>
      <c r="F19" s="376" t="s">
        <v>19</v>
      </c>
      <c r="H19" s="742">
        <f>'Stock Data'!AN4</f>
        <v>141.83000000000001</v>
      </c>
    </row>
    <row r="20" spans="2:8" ht="15" customHeight="1">
      <c r="B20" s="754" t="s">
        <v>20</v>
      </c>
      <c r="F20" s="376" t="str">
        <f>"Market Cap (in "&amp;IF(Inputs!$D$14="BLN","billions",IF(Inputs!$D$14="MLN","millions","thousands"))&amp;")"</f>
        <v>Market Cap (in thousands)</v>
      </c>
      <c r="H20" s="742">
        <f>'Stock Data'!AQ4</f>
        <v>7188282.8063800009</v>
      </c>
    </row>
    <row r="21" spans="2:8" ht="15" customHeight="1">
      <c r="B21" s="378"/>
      <c r="F21" s="378" t="s">
        <v>21</v>
      </c>
      <c r="G21" s="554"/>
      <c r="H21" s="587">
        <f>'Stock Data'!E164</f>
        <v>0.98372155427932739</v>
      </c>
    </row>
    <row r="22" spans="2:8" ht="15" customHeight="1">
      <c r="B22" s="573"/>
      <c r="F22" s="378" t="s">
        <v>22</v>
      </c>
      <c r="H22" s="588">
        <f>'Stock Data'!E165</f>
        <v>0.24535886764526368</v>
      </c>
    </row>
    <row r="23" spans="2:8" ht="15" customHeight="1">
      <c r="B23" s="574"/>
      <c r="F23" s="378" t="s">
        <v>23</v>
      </c>
      <c r="H23" s="742">
        <f>'Stock Data'!E166</f>
        <v>141.42449951171875</v>
      </c>
    </row>
    <row r="24" spans="2:8" ht="15" customHeight="1">
      <c r="B24" s="559"/>
      <c r="F24" s="376"/>
      <c r="H24" s="589"/>
    </row>
    <row r="25" spans="2:8" ht="15" customHeight="1">
      <c r="B25" s="376" t="s">
        <v>24</v>
      </c>
      <c r="F25" s="378" t="s">
        <v>25</v>
      </c>
      <c r="H25" s="590">
        <f>'Stock Data'!E168</f>
        <v>1068818.625</v>
      </c>
    </row>
    <row r="26" spans="2:8" ht="15" customHeight="1">
      <c r="B26" s="378" t="s">
        <v>26</v>
      </c>
      <c r="F26" s="378" t="s">
        <v>27</v>
      </c>
      <c r="H26" s="590">
        <f>'Stock Data'!E169</f>
        <v>50.682389999999998</v>
      </c>
    </row>
    <row r="27" spans="2:8" ht="15" customHeight="1">
      <c r="B27" s="573" t="s">
        <v>28</v>
      </c>
      <c r="F27" s="378" t="s">
        <v>29</v>
      </c>
      <c r="H27" s="588">
        <f>'Stock Data'!E170</f>
        <v>0.91989109999999996</v>
      </c>
    </row>
    <row r="28" spans="2:8" ht="15" customHeight="1">
      <c r="B28" s="574" t="s">
        <v>30</v>
      </c>
      <c r="F28" s="378" t="s">
        <v>31</v>
      </c>
      <c r="H28" s="588">
        <f>IFERROR('Stock Data'!E171,0)</f>
        <v>6.098394E-2</v>
      </c>
    </row>
    <row r="29" spans="2:8" ht="15" customHeight="1">
      <c r="F29" s="376"/>
      <c r="H29" s="589"/>
    </row>
    <row r="30" spans="2:8" ht="15" customHeight="1">
      <c r="B30" s="549" t="s">
        <v>32</v>
      </c>
      <c r="F30" s="378" t="s">
        <v>33</v>
      </c>
      <c r="H30" s="588">
        <f>'Stock Data'!E173</f>
        <v>1.5432756821452185E-2</v>
      </c>
    </row>
    <row r="31" spans="2:8" ht="15" customHeight="1">
      <c r="B31" s="558" t="s">
        <v>34</v>
      </c>
      <c r="F31" s="378" t="s">
        <v>35</v>
      </c>
      <c r="H31" s="588">
        <f>'Stock Data'!E174</f>
        <v>1.2342791546626637</v>
      </c>
    </row>
    <row r="32" spans="2:8" ht="15" customHeight="1">
      <c r="B32" s="559" t="s">
        <v>36</v>
      </c>
    </row>
    <row r="34" spans="2:16" ht="15" customHeight="1">
      <c r="B34" s="774" t="s">
        <v>37</v>
      </c>
      <c r="C34" s="774"/>
      <c r="D34" s="774"/>
      <c r="E34" s="774"/>
      <c r="F34" s="774"/>
      <c r="G34" s="774"/>
      <c r="H34" s="774"/>
      <c r="I34" s="774"/>
      <c r="J34" s="774"/>
      <c r="K34" s="774"/>
      <c r="L34" s="774"/>
      <c r="M34" s="774"/>
      <c r="N34" s="774"/>
      <c r="O34" s="774"/>
      <c r="P34" s="774"/>
    </row>
    <row r="35" spans="2:16" ht="15" customHeight="1">
      <c r="B35" s="774"/>
      <c r="C35" s="774"/>
      <c r="D35" s="774"/>
      <c r="E35" s="774"/>
      <c r="F35" s="774"/>
      <c r="G35" s="774"/>
      <c r="H35" s="774"/>
      <c r="I35" s="774"/>
      <c r="J35" s="774"/>
      <c r="K35" s="774"/>
      <c r="L35" s="774"/>
      <c r="M35" s="774"/>
      <c r="N35" s="774"/>
      <c r="O35" s="774"/>
      <c r="P35" s="774"/>
    </row>
    <row r="36" spans="2:16" ht="15" customHeight="1">
      <c r="B36" s="774"/>
      <c r="C36" s="774"/>
      <c r="D36" s="774"/>
      <c r="E36" s="774"/>
      <c r="F36" s="774"/>
      <c r="G36" s="774"/>
      <c r="H36" s="774"/>
      <c r="I36" s="774"/>
      <c r="J36" s="774"/>
      <c r="K36" s="774"/>
      <c r="L36" s="774"/>
      <c r="M36" s="774"/>
      <c r="N36" s="774"/>
      <c r="O36" s="774"/>
      <c r="P36" s="774"/>
    </row>
    <row r="37" spans="2:16" ht="15" customHeight="1">
      <c r="B37" s="774"/>
      <c r="C37" s="774"/>
      <c r="D37" s="774"/>
      <c r="E37" s="774"/>
      <c r="F37" s="774"/>
      <c r="G37" s="774"/>
      <c r="H37" s="774"/>
      <c r="I37" s="774"/>
      <c r="J37" s="774"/>
      <c r="K37" s="774"/>
      <c r="L37" s="774"/>
      <c r="M37" s="774"/>
      <c r="N37" s="774"/>
      <c r="O37" s="774"/>
      <c r="P37" s="774"/>
    </row>
    <row r="38" spans="2:16" ht="15" customHeight="1">
      <c r="B38" s="774"/>
      <c r="C38" s="774"/>
      <c r="D38" s="774"/>
      <c r="E38" s="774"/>
      <c r="F38" s="774"/>
      <c r="G38" s="774"/>
      <c r="H38" s="774"/>
      <c r="I38" s="774"/>
      <c r="J38" s="774"/>
      <c r="K38" s="774"/>
      <c r="L38" s="774"/>
      <c r="M38" s="774"/>
      <c r="N38" s="774"/>
      <c r="O38" s="774"/>
      <c r="P38" s="774"/>
    </row>
    <row r="39" spans="2:16" ht="15" customHeight="1">
      <c r="B39" s="774"/>
      <c r="C39" s="774"/>
      <c r="D39" s="774"/>
      <c r="E39" s="774"/>
      <c r="F39" s="774"/>
      <c r="G39" s="774"/>
      <c r="H39" s="774"/>
      <c r="I39" s="774"/>
      <c r="J39" s="774"/>
      <c r="K39" s="774"/>
      <c r="L39" s="774"/>
      <c r="M39" s="774"/>
      <c r="N39" s="774"/>
      <c r="O39" s="774"/>
      <c r="P39" s="774"/>
    </row>
    <row r="40" spans="2:16" ht="15" customHeight="1">
      <c r="B40" s="774"/>
      <c r="C40" s="774"/>
      <c r="D40" s="774"/>
      <c r="E40" s="774"/>
      <c r="F40" s="774"/>
      <c r="G40" s="774"/>
      <c r="H40" s="774"/>
      <c r="I40" s="774"/>
      <c r="J40" s="774"/>
      <c r="K40" s="774"/>
      <c r="L40" s="774"/>
      <c r="M40" s="774"/>
      <c r="N40" s="774"/>
      <c r="O40" s="774"/>
      <c r="P40" s="774"/>
    </row>
    <row r="41" spans="2:16" ht="15" customHeight="1">
      <c r="B41" s="774"/>
      <c r="C41" s="774"/>
      <c r="D41" s="774"/>
      <c r="E41" s="774"/>
      <c r="F41" s="774"/>
      <c r="G41" s="774"/>
      <c r="H41" s="774"/>
      <c r="I41" s="774"/>
      <c r="J41" s="774"/>
      <c r="K41" s="774"/>
      <c r="L41" s="774"/>
      <c r="M41" s="774"/>
      <c r="N41" s="774"/>
      <c r="O41" s="774"/>
      <c r="P41" s="774"/>
    </row>
    <row r="42" spans="2:16" ht="15" customHeight="1">
      <c r="B42" s="774"/>
      <c r="C42" s="774"/>
      <c r="D42" s="774"/>
      <c r="E42" s="774"/>
      <c r="F42" s="774"/>
      <c r="G42" s="774"/>
      <c r="H42" s="774"/>
      <c r="I42" s="774"/>
      <c r="J42" s="774"/>
      <c r="K42" s="774"/>
      <c r="L42" s="774"/>
      <c r="M42" s="774"/>
      <c r="N42" s="774"/>
      <c r="O42" s="774"/>
      <c r="P42" s="774"/>
    </row>
  </sheetData>
  <mergeCells count="1">
    <mergeCell ref="B34:P42"/>
  </mergeCells>
  <conditionalFormatting sqref="H12">
    <cfRule type="beginsWith" dxfId="5" priority="1" operator="beginsWith" text="Hold">
      <formula>LEFT(H12,LEN("Hold"))="Hold"</formula>
    </cfRule>
    <cfRule type="beginsWith" dxfId="4" priority="2" operator="beginsWith" text="Buy">
      <formula>LEFT(H12,LEN("Buy"))="Buy"</formula>
    </cfRule>
    <cfRule type="beginsWith" dxfId="3" priority="3" operator="beginsWith" text="Strong Buy">
      <formula>LEFT(H12,LEN("Strong Buy"))="Strong Buy"</formula>
    </cfRule>
    <cfRule type="beginsWith" dxfId="2" priority="4" operator="beginsWith" text="Sell">
      <formula>LEFT(H12,LEN("Sell"))="Sell"</formula>
    </cfRule>
    <cfRule type="beginsWith" dxfId="1" priority="5" operator="beginsWith" text="Strong Sell">
      <formula>LEFT(H12,LEN("Strong Sell"))="Strong Sell"</formula>
    </cfRule>
  </conditionalFormatting>
  <dataValidations count="1">
    <dataValidation type="list" allowBlank="1" showInputMessage="1" showErrorMessage="1" sqref="H12" xr:uid="{00000000-0002-0000-0100-000000000000}">
      <formula1>"Strong Buy, Buy, Hold, Sell, Strong Sell"</formula1>
    </dataValidation>
  </dataValidations>
  <hyperlinks>
    <hyperlink ref="B32" r:id="rId1" xr:uid="{068F08CB-A223-45FB-9A9F-060ED37D18D0}"/>
    <hyperlink ref="B27" r:id="rId2" display="raul.vasconcelos@aln.iseg.ulisboa.pt" xr:uid="{D48763E3-2FF5-493C-B29F-B756409D01B4}"/>
    <hyperlink ref="B13" r:id="rId3" display="raul.vasconcelos@aln.iseg.ulisboa.pt" xr:uid="{77AB066A-C300-4B87-AFCB-2C947D186323}"/>
    <hyperlink ref="B17" r:id="rId4" xr:uid="{360FFBDA-7F84-4225-9205-82E04A3C9743}"/>
    <hyperlink ref="B14" r:id="rId5" xr:uid="{86739638-61CC-3044-9033-1B3D73CDD0C2}"/>
    <hyperlink ref="B20" r:id="rId6" xr:uid="{3F69AF51-2D9E-4DD1-86B9-05CC4C9F8686}"/>
  </hyperlinks>
  <pageMargins left="0.7" right="0.7" top="0.75" bottom="0.75" header="0.3" footer="0.3"/>
  <pageSetup paperSize="9" orientation="portrait"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4" tint="0.59999389629810485"/>
    <pageSetUpPr autoPageBreaks="0"/>
  </sheetPr>
  <dimension ref="A1:AB38"/>
  <sheetViews>
    <sheetView showGridLines="0" zoomScale="72" zoomScaleNormal="110" workbookViewId="0">
      <selection activeCell="F12" sqref="F12"/>
    </sheetView>
  </sheetViews>
  <sheetFormatPr defaultColWidth="11.5" defaultRowHeight="15" customHeight="1"/>
  <cols>
    <col min="1" max="1" width="2" style="23" customWidth="1"/>
    <col min="2" max="2" width="49.875" style="23" bestFit="1" customWidth="1"/>
    <col min="3" max="3" width="3.5" style="23" customWidth="1"/>
    <col min="4" max="11" width="11.5" style="23"/>
    <col min="12" max="12" width="14.5" style="23" customWidth="1"/>
    <col min="13" max="13" width="11.5" style="23"/>
    <col min="14" max="14" width="1.5" style="23" customWidth="1"/>
    <col min="15" max="16384" width="11.5" style="23"/>
  </cols>
  <sheetData>
    <row r="1" spans="1:28" s="582" customFormat="1" ht="15" customHeight="1"/>
    <row r="2" spans="1:28" s="582" customFormat="1" ht="15" customHeight="1"/>
    <row r="3" spans="1:28" s="582" customFormat="1" ht="15" customHeight="1"/>
    <row r="4" spans="1:28" s="582" customFormat="1" ht="15" customHeight="1"/>
    <row r="5" spans="1:28" s="36" customFormat="1" ht="3.95" customHeight="1"/>
    <row r="6" spans="1:28" ht="15" customHeight="1">
      <c r="D6" s="423">
        <v>584.16999999999996</v>
      </c>
      <c r="E6" s="423">
        <v>627.76</v>
      </c>
      <c r="F6" s="423">
        <v>676.06</v>
      </c>
      <c r="G6" s="423">
        <v>729.63</v>
      </c>
      <c r="H6" s="423">
        <v>789.13</v>
      </c>
      <c r="I6" s="423">
        <v>855.3</v>
      </c>
      <c r="J6" s="423">
        <v>929</v>
      </c>
      <c r="K6" s="423">
        <v>997.69</v>
      </c>
      <c r="L6" s="423">
        <v>1067.6300000000001</v>
      </c>
      <c r="M6" s="423">
        <v>1137.57</v>
      </c>
    </row>
    <row r="7" spans="1:28" ht="15" customHeight="1">
      <c r="A7" s="44" t="s">
        <v>38</v>
      </c>
      <c r="B7" s="375" t="s">
        <v>39</v>
      </c>
      <c r="C7" s="186"/>
      <c r="D7" s="32"/>
      <c r="E7" s="32"/>
      <c r="F7" s="32"/>
      <c r="G7" s="32"/>
      <c r="H7" s="32"/>
      <c r="I7" s="32"/>
      <c r="J7" s="32"/>
      <c r="K7" s="32"/>
      <c r="L7" s="32"/>
      <c r="M7" s="32"/>
      <c r="N7" s="423"/>
      <c r="O7" s="375" t="s">
        <v>40</v>
      </c>
      <c r="P7" s="186"/>
      <c r="Q7" s="186"/>
      <c r="R7" s="186"/>
      <c r="S7" s="186"/>
    </row>
    <row r="8" spans="1:28" ht="15" customHeight="1">
      <c r="B8" s="186"/>
      <c r="C8" s="186"/>
      <c r="D8" s="32"/>
      <c r="E8" s="32"/>
      <c r="F8" s="32"/>
      <c r="G8" s="32"/>
      <c r="H8" s="32"/>
      <c r="I8" s="32"/>
      <c r="J8" s="32"/>
      <c r="K8" s="32"/>
      <c r="L8" s="32"/>
      <c r="M8" s="32"/>
      <c r="N8" s="423"/>
      <c r="O8" s="186"/>
      <c r="P8" s="186"/>
      <c r="Q8" s="186"/>
      <c r="R8" s="186"/>
      <c r="S8" s="186"/>
    </row>
    <row r="9" spans="1:28" ht="15" customHeight="1">
      <c r="B9" s="375"/>
      <c r="C9" s="32"/>
      <c r="D9" s="453">
        <v>2022</v>
      </c>
      <c r="E9" s="453">
        <f>+D9+1</f>
        <v>2023</v>
      </c>
      <c r="F9" s="453">
        <f>+E9+1</f>
        <v>2024</v>
      </c>
      <c r="G9" s="454">
        <f>+F9+1</f>
        <v>2025</v>
      </c>
      <c r="H9" s="454">
        <f t="shared" ref="H9:K9" si="0">+G9+1</f>
        <v>2026</v>
      </c>
      <c r="I9" s="454">
        <f t="shared" si="0"/>
        <v>2027</v>
      </c>
      <c r="J9" s="454">
        <f t="shared" si="0"/>
        <v>2028</v>
      </c>
      <c r="K9" s="454">
        <f t="shared" si="0"/>
        <v>2029</v>
      </c>
      <c r="L9" s="543"/>
      <c r="M9" s="544" t="str">
        <f>"CAGR "&amp;$G$9&amp;" - "&amp;$K$9</f>
        <v>CAGR 2025 - 2029</v>
      </c>
      <c r="N9" s="545"/>
      <c r="O9" s="32"/>
      <c r="P9" s="32"/>
      <c r="Q9" s="32"/>
      <c r="R9" s="32"/>
      <c r="S9" s="32"/>
    </row>
    <row r="10" spans="1:28" ht="3.95" customHeight="1">
      <c r="B10" s="36"/>
      <c r="C10" s="36"/>
      <c r="D10" s="36"/>
      <c r="E10" s="36"/>
      <c r="F10" s="36"/>
      <c r="G10" s="36"/>
      <c r="H10" s="36"/>
      <c r="I10" s="36"/>
      <c r="J10" s="36"/>
      <c r="K10" s="36"/>
      <c r="L10" s="36"/>
      <c r="M10" s="383"/>
      <c r="O10" s="36"/>
      <c r="P10" s="36"/>
      <c r="Q10" s="36"/>
      <c r="R10" s="36"/>
      <c r="S10" s="36"/>
    </row>
    <row r="11" spans="1:28" ht="3.95" customHeight="1">
      <c r="M11" s="536"/>
    </row>
    <row r="12" spans="1:28" ht="15" customHeight="1">
      <c r="B12" s="729" t="s">
        <v>41</v>
      </c>
      <c r="C12" s="33"/>
      <c r="D12" s="552"/>
      <c r="E12" s="552"/>
      <c r="F12" s="552">
        <v>39071</v>
      </c>
      <c r="G12" s="552">
        <f>F12*(1+0.07)</f>
        <v>41805.97</v>
      </c>
      <c r="H12" s="552">
        <f>G12*(1+0.07)</f>
        <v>44732.387900000002</v>
      </c>
      <c r="I12" s="552">
        <f>H12*(1+0.07)</f>
        <v>47863.655053000002</v>
      </c>
      <c r="J12" s="552">
        <f>I12*(1+0.07)</f>
        <v>51214.110906710004</v>
      </c>
      <c r="K12" s="552">
        <f>J12*(1+0.07)</f>
        <v>54799.098670179708</v>
      </c>
      <c r="L12" s="541"/>
      <c r="M12" s="546">
        <f>(K12/G12)^(1/5)-1</f>
        <v>5.5618571473524892E-2</v>
      </c>
      <c r="W12" s="24"/>
      <c r="X12" s="23" t="s">
        <v>42</v>
      </c>
      <c r="Y12" s="23" t="s">
        <v>43</v>
      </c>
      <c r="Z12" s="24"/>
      <c r="AA12" s="24"/>
      <c r="AB12" s="24"/>
    </row>
    <row r="13" spans="1:28" ht="15" customHeight="1">
      <c r="B13" s="550" t="s">
        <v>44</v>
      </c>
      <c r="D13" s="551"/>
      <c r="E13" s="551"/>
      <c r="F13" s="551"/>
      <c r="G13" s="551"/>
      <c r="H13" s="551"/>
      <c r="I13" s="551"/>
      <c r="J13" s="551"/>
      <c r="K13" s="551"/>
      <c r="L13" s="541"/>
      <c r="M13" s="553" t="e">
        <f>((K13*K12)/(G13*G12))^(1/5)-1</f>
        <v>#DIV/0!</v>
      </c>
      <c r="W13" s="23" t="s">
        <v>45</v>
      </c>
      <c r="X13" s="743">
        <f>M12</f>
        <v>5.5618571473524892E-2</v>
      </c>
      <c r="Y13" s="743">
        <f>M18</f>
        <v>2.551911049074973E-2</v>
      </c>
    </row>
    <row r="14" spans="1:28" ht="15" customHeight="1">
      <c r="B14" s="730" t="s">
        <v>46</v>
      </c>
      <c r="C14" s="33"/>
      <c r="D14" s="552"/>
      <c r="E14" s="552">
        <v>52690</v>
      </c>
      <c r="F14" s="552">
        <f t="shared" ref="F14:K14" si="1">E14*(1+0.04)</f>
        <v>54797.599999999999</v>
      </c>
      <c r="G14" s="552">
        <f t="shared" si="1"/>
        <v>56989.504000000001</v>
      </c>
      <c r="H14" s="552">
        <f t="shared" si="1"/>
        <v>59269.084160000006</v>
      </c>
      <c r="I14" s="552">
        <f t="shared" si="1"/>
        <v>61639.847526400008</v>
      </c>
      <c r="J14" s="552">
        <f t="shared" si="1"/>
        <v>64105.441427456011</v>
      </c>
      <c r="K14" s="552">
        <f t="shared" si="1"/>
        <v>66669.659084554252</v>
      </c>
      <c r="L14" s="541"/>
      <c r="M14" s="546">
        <f>(K14/G14)^(1/5)-1</f>
        <v>3.1874004066068329E-2</v>
      </c>
      <c r="T14" s="696"/>
      <c r="W14" s="23" t="s">
        <v>47</v>
      </c>
      <c r="X14" s="488">
        <f>M14</f>
        <v>3.1874004066068329E-2</v>
      </c>
      <c r="Y14" s="480">
        <f>M20</f>
        <v>2.6314009542671934E-2</v>
      </c>
      <c r="Z14" s="24"/>
      <c r="AA14" s="24"/>
      <c r="AB14" s="24"/>
    </row>
    <row r="15" spans="1:28" ht="15" customHeight="1">
      <c r="B15" s="550" t="s">
        <v>44</v>
      </c>
      <c r="D15" s="551"/>
      <c r="E15" s="551"/>
      <c r="F15" s="551"/>
      <c r="G15" s="551"/>
      <c r="H15" s="551"/>
      <c r="I15" s="551"/>
      <c r="J15" s="551"/>
      <c r="K15" s="551"/>
      <c r="L15" s="541"/>
      <c r="M15" s="553" t="e">
        <f>((K15*K14)/(G15*G14))^(1/5)-1</f>
        <v>#DIV/0!</v>
      </c>
      <c r="W15" s="23" t="s">
        <v>48</v>
      </c>
      <c r="X15" s="743">
        <f>M16</f>
        <v>3.346119748028431E-2</v>
      </c>
      <c r="Y15" s="743">
        <f>M22</f>
        <v>2.1542300661269609E-2</v>
      </c>
    </row>
    <row r="16" spans="1:28" ht="15" customHeight="1">
      <c r="B16" s="730" t="s">
        <v>49</v>
      </c>
      <c r="C16" s="33"/>
      <c r="D16" s="552"/>
      <c r="E16" s="552"/>
      <c r="F16" s="552">
        <v>269270</v>
      </c>
      <c r="G16" s="552">
        <f>F16*(1+0.042)</f>
        <v>280579.34000000003</v>
      </c>
      <c r="H16" s="552">
        <f>G16*(1+0.042)</f>
        <v>292363.67228000006</v>
      </c>
      <c r="I16" s="552">
        <f>H16*(1+0.042)</f>
        <v>304642.94651576009</v>
      </c>
      <c r="J16" s="552">
        <f>I16*(1+0.042)</f>
        <v>317437.95026942203</v>
      </c>
      <c r="K16" s="552">
        <f>J16*(1+0.042)</f>
        <v>330770.34418073774</v>
      </c>
      <c r="L16" s="541"/>
      <c r="M16" s="546">
        <f>(K16/G16)^(1/5)-1</f>
        <v>3.346119748028431E-2</v>
      </c>
      <c r="X16" s="24"/>
      <c r="Y16" s="24"/>
      <c r="Z16" s="24"/>
      <c r="AA16" s="24"/>
      <c r="AB16" s="24"/>
    </row>
    <row r="17" spans="1:19" ht="15" customHeight="1">
      <c r="B17" s="550" t="s">
        <v>44</v>
      </c>
      <c r="D17" s="551"/>
      <c r="E17" s="551"/>
      <c r="F17" s="551"/>
      <c r="G17" s="551"/>
      <c r="H17" s="551"/>
      <c r="I17" s="551"/>
      <c r="J17" s="551"/>
      <c r="K17" s="551"/>
      <c r="L17" s="541"/>
      <c r="M17" s="553" t="e">
        <f>((K17*K16)/(G17*G16))^(1/5)-1</f>
        <v>#DIV/0!</v>
      </c>
    </row>
    <row r="18" spans="1:19" ht="15" customHeight="1">
      <c r="B18" s="730" t="s">
        <v>50</v>
      </c>
      <c r="C18" s="33"/>
      <c r="D18" s="552"/>
      <c r="E18" s="552"/>
      <c r="F18" s="552">
        <v>10738</v>
      </c>
      <c r="G18" s="552">
        <f>F18*(1+0.032)</f>
        <v>11081.616</v>
      </c>
      <c r="H18" s="552">
        <f>G18*(1+0.032)</f>
        <v>11436.227712</v>
      </c>
      <c r="I18" s="552">
        <f>H18*(1+0.032)</f>
        <v>11802.186998784</v>
      </c>
      <c r="J18" s="552">
        <f>I18*(1+0.032)</f>
        <v>12179.856982745088</v>
      </c>
      <c r="K18" s="552">
        <f>J18*(1+0.032)</f>
        <v>12569.612406192931</v>
      </c>
      <c r="L18" s="541"/>
      <c r="M18" s="546">
        <f>(K18/G18)^(1/5)-1</f>
        <v>2.551911049074973E-2</v>
      </c>
    </row>
    <row r="19" spans="1:19" ht="15" customHeight="1">
      <c r="B19" s="550" t="s">
        <v>44</v>
      </c>
      <c r="D19" s="551"/>
      <c r="E19" s="551"/>
      <c r="F19" s="551"/>
      <c r="G19" s="551"/>
      <c r="H19" s="551"/>
      <c r="I19" s="551"/>
      <c r="J19" s="551"/>
      <c r="K19" s="551"/>
      <c r="L19" s="541"/>
      <c r="M19" s="553" t="e">
        <f>((K19*K18)/(G19*G18))^(1/5)-1</f>
        <v>#DIV/0!</v>
      </c>
    </row>
    <row r="20" spans="1:19" ht="15" customHeight="1">
      <c r="B20" s="730" t="s">
        <v>51</v>
      </c>
      <c r="C20" s="33"/>
      <c r="D20" s="552">
        <v>9609</v>
      </c>
      <c r="E20" s="552">
        <f t="shared" ref="E20:K20" si="2">D20*(1+0.033)</f>
        <v>9926.0969999999998</v>
      </c>
      <c r="F20" s="552">
        <f t="shared" si="2"/>
        <v>10253.658200999998</v>
      </c>
      <c r="G20" s="552">
        <f t="shared" si="2"/>
        <v>10592.028921632997</v>
      </c>
      <c r="H20" s="552">
        <f t="shared" si="2"/>
        <v>10941.565876046885</v>
      </c>
      <c r="I20" s="552">
        <f t="shared" si="2"/>
        <v>11302.637549956431</v>
      </c>
      <c r="J20" s="552">
        <f t="shared" si="2"/>
        <v>11675.624589104993</v>
      </c>
      <c r="K20" s="552">
        <f t="shared" si="2"/>
        <v>12060.920200545457</v>
      </c>
      <c r="L20" s="541"/>
      <c r="M20" s="546">
        <f t="shared" ref="M20" si="3">(K20/G20)^(1/5)-1</f>
        <v>2.6314009542671934E-2</v>
      </c>
    </row>
    <row r="21" spans="1:19" ht="15" customHeight="1">
      <c r="B21" s="550" t="s">
        <v>44</v>
      </c>
      <c r="D21" s="551"/>
      <c r="E21" s="551"/>
      <c r="F21" s="551"/>
      <c r="G21" s="551"/>
      <c r="H21" s="551"/>
      <c r="I21" s="551"/>
      <c r="J21" s="551"/>
      <c r="K21" s="551"/>
      <c r="L21" s="541"/>
      <c r="M21" s="553" t="e">
        <f>((K21*K20)/(G21*G20))^(1/5)-1</f>
        <v>#DIV/0!</v>
      </c>
    </row>
    <row r="22" spans="1:19" ht="15" customHeight="1">
      <c r="B22" s="730" t="s">
        <v>52</v>
      </c>
      <c r="D22" s="551"/>
      <c r="E22" s="551"/>
      <c r="F22" s="731">
        <v>68120</v>
      </c>
      <c r="G22" s="731">
        <f>F22*(1+0.027)</f>
        <v>69959.239999999991</v>
      </c>
      <c r="H22" s="731">
        <f>G22*(1+0.027)</f>
        <v>71848.139479999983</v>
      </c>
      <c r="I22" s="731">
        <f>H22*(1+0.027)</f>
        <v>73788.039245959983</v>
      </c>
      <c r="J22" s="731">
        <f>I22*(1+0.027)</f>
        <v>75780.316305600893</v>
      </c>
      <c r="K22" s="731">
        <f>J22*(1+0.027)</f>
        <v>77826.38484585211</v>
      </c>
      <c r="L22" s="541"/>
      <c r="M22" s="732">
        <f>(K22/G22)^(1/5)-1</f>
        <v>2.1542300661269609E-2</v>
      </c>
    </row>
    <row r="23" spans="1:19" ht="15" customHeight="1">
      <c r="B23" s="550" t="s">
        <v>44</v>
      </c>
      <c r="D23" s="551"/>
      <c r="E23" s="551"/>
      <c r="F23" s="551"/>
      <c r="G23" s="551"/>
      <c r="H23" s="551"/>
      <c r="I23" s="551"/>
      <c r="J23" s="551"/>
      <c r="K23" s="551"/>
      <c r="L23" s="541"/>
      <c r="M23" s="553" t="e">
        <f>((K23*K22)/(G23*G22))^(1/5)-1</f>
        <v>#DIV/0!</v>
      </c>
    </row>
    <row r="24" spans="1:19" ht="15" customHeight="1">
      <c r="E24" s="542"/>
    </row>
    <row r="25" spans="1:19" ht="15" customHeight="1">
      <c r="A25" s="44" t="s">
        <v>38</v>
      </c>
      <c r="B25" s="32"/>
      <c r="C25" s="32"/>
      <c r="D25" s="32"/>
      <c r="E25" s="32"/>
      <c r="F25" s="32"/>
      <c r="G25" s="32"/>
      <c r="H25" s="32"/>
      <c r="I25" s="32"/>
      <c r="J25" s="32"/>
      <c r="K25" s="32"/>
      <c r="L25" s="32"/>
      <c r="M25" s="32"/>
      <c r="O25" s="32"/>
      <c r="P25" s="32"/>
      <c r="Q25" s="32"/>
      <c r="R25" s="32"/>
      <c r="S25" s="32"/>
    </row>
    <row r="26" spans="1:19" ht="15" customHeight="1">
      <c r="B26" s="32"/>
      <c r="C26" s="32"/>
      <c r="D26" s="32"/>
      <c r="E26" s="32"/>
      <c r="F26" s="32"/>
      <c r="G26" s="32"/>
      <c r="H26" s="32"/>
      <c r="I26" s="32"/>
      <c r="J26" s="32"/>
      <c r="K26" s="32"/>
      <c r="L26" s="32"/>
      <c r="M26" s="32"/>
      <c r="O26" s="32"/>
      <c r="P26" s="32"/>
      <c r="Q26" s="32"/>
      <c r="R26" s="32"/>
      <c r="S26" s="32"/>
    </row>
    <row r="27" spans="1:19" s="423" customFormat="1" ht="15" customHeight="1">
      <c r="B27" s="375" t="s">
        <v>53</v>
      </c>
      <c r="C27" s="32"/>
      <c r="D27" s="375" t="s">
        <v>54</v>
      </c>
      <c r="E27" s="32"/>
      <c r="F27" s="32"/>
      <c r="G27" s="32"/>
      <c r="H27" s="32"/>
      <c r="I27" s="32"/>
      <c r="J27" s="32"/>
      <c r="K27" s="32"/>
      <c r="L27" s="32"/>
      <c r="M27" s="32"/>
      <c r="O27" s="375" t="s">
        <v>55</v>
      </c>
      <c r="P27" s="32"/>
      <c r="Q27" s="32"/>
      <c r="R27" s="32"/>
      <c r="S27" s="32"/>
    </row>
    <row r="28" spans="1:19" ht="3.95" customHeight="1">
      <c r="B28" s="36"/>
      <c r="C28" s="36"/>
      <c r="D28" s="36"/>
      <c r="E28" s="36"/>
      <c r="F28" s="36"/>
      <c r="G28" s="36"/>
      <c r="H28" s="36"/>
      <c r="I28" s="36"/>
      <c r="J28" s="36"/>
      <c r="K28" s="36"/>
      <c r="L28" s="36"/>
      <c r="M28" s="36"/>
      <c r="O28" s="36"/>
      <c r="P28" s="36"/>
      <c r="Q28" s="36"/>
      <c r="R28" s="36"/>
      <c r="S28" s="36"/>
    </row>
    <row r="29" spans="1:19" ht="60" customHeight="1">
      <c r="B29" s="377" t="s">
        <v>56</v>
      </c>
      <c r="C29" s="547"/>
      <c r="D29" s="775" t="s">
        <v>57</v>
      </c>
      <c r="E29" s="775"/>
      <c r="F29" s="775"/>
      <c r="G29" s="775"/>
      <c r="H29" s="775"/>
      <c r="I29" s="775"/>
      <c r="J29" s="775"/>
      <c r="K29" s="775"/>
      <c r="L29" s="775"/>
      <c r="M29" s="775"/>
    </row>
    <row r="30" spans="1:19" ht="60" customHeight="1">
      <c r="B30" s="377" t="s">
        <v>58</v>
      </c>
      <c r="C30" s="547"/>
      <c r="D30" s="775" t="s">
        <v>59</v>
      </c>
      <c r="E30" s="775"/>
      <c r="F30" s="775"/>
      <c r="G30" s="775"/>
      <c r="H30" s="775"/>
      <c r="I30" s="775"/>
      <c r="J30" s="775"/>
      <c r="K30" s="775"/>
      <c r="L30" s="775"/>
      <c r="M30" s="775"/>
    </row>
    <row r="31" spans="1:19" ht="60" customHeight="1">
      <c r="B31" s="377" t="s">
        <v>60</v>
      </c>
      <c r="C31" s="547"/>
      <c r="D31" s="775" t="s">
        <v>61</v>
      </c>
      <c r="E31" s="775"/>
      <c r="F31" s="775"/>
      <c r="G31" s="775"/>
      <c r="H31" s="775"/>
      <c r="I31" s="775"/>
      <c r="J31" s="775"/>
      <c r="K31" s="775"/>
      <c r="L31" s="775"/>
      <c r="M31" s="775"/>
    </row>
    <row r="32" spans="1:19" ht="60" customHeight="1">
      <c r="B32" s="549"/>
      <c r="C32" s="547"/>
      <c r="D32" s="776"/>
      <c r="E32" s="776"/>
      <c r="F32" s="776"/>
      <c r="G32" s="776"/>
      <c r="H32" s="776"/>
      <c r="I32" s="776"/>
      <c r="J32" s="776"/>
      <c r="K32" s="776"/>
      <c r="L32" s="776"/>
      <c r="M32" s="776"/>
    </row>
    <row r="33" spans="2:18" ht="60" customHeight="1">
      <c r="B33" s="549"/>
      <c r="C33" s="547"/>
      <c r="D33" s="776"/>
      <c r="E33" s="776"/>
      <c r="F33" s="776"/>
      <c r="G33" s="776"/>
      <c r="H33" s="776"/>
      <c r="I33" s="776"/>
      <c r="J33" s="776"/>
      <c r="K33" s="776"/>
      <c r="L33" s="776"/>
      <c r="M33" s="776"/>
    </row>
    <row r="34" spans="2:18" ht="15" customHeight="1">
      <c r="O34" s="378" t="s">
        <v>62</v>
      </c>
      <c r="R34" s="548">
        <v>5</v>
      </c>
    </row>
    <row r="35" spans="2:18" ht="15" customHeight="1">
      <c r="O35" s="378" t="s">
        <v>63</v>
      </c>
      <c r="R35" s="548">
        <v>2</v>
      </c>
    </row>
    <row r="36" spans="2:18" ht="15" customHeight="1">
      <c r="O36" s="378" t="s">
        <v>64</v>
      </c>
      <c r="R36" s="548">
        <v>3</v>
      </c>
    </row>
    <row r="37" spans="2:18" ht="15" customHeight="1">
      <c r="O37" s="378" t="s">
        <v>65</v>
      </c>
      <c r="R37" s="548">
        <v>3</v>
      </c>
    </row>
    <row r="38" spans="2:18" ht="15" customHeight="1">
      <c r="O38" s="378" t="s">
        <v>66</v>
      </c>
      <c r="R38" s="548">
        <v>4</v>
      </c>
    </row>
  </sheetData>
  <mergeCells count="5">
    <mergeCell ref="D29:M29"/>
    <mergeCell ref="D30:M30"/>
    <mergeCell ref="D31:M31"/>
    <mergeCell ref="D32:M32"/>
    <mergeCell ref="D33:M33"/>
  </mergeCells>
  <hyperlinks>
    <hyperlink ref="B12" r:id="rId1" xr:uid="{58878259-D8A7-4868-AA6A-DF2E7D3F9B40}"/>
    <hyperlink ref="B18" r:id="rId2" display="Market Size" xr:uid="{56FD4F85-EB23-449B-9B93-2AEE49D8D2FB}"/>
    <hyperlink ref="B16" r:id="rId3" display="Market Size (Residential Kitchen Equipment)" xr:uid="{0F0113B8-DB3C-418B-9418-AB25FCAC33B1}"/>
    <hyperlink ref="B14" r:id="rId4" xr:uid="{D2D7EC1B-B187-486B-9A63-A128ADFCACAB}"/>
    <hyperlink ref="B22" r:id="rId5" display="Market Size" xr:uid="{B5207BAA-59C6-4CA5-BB47-3BFE7B2BF03E}"/>
    <hyperlink ref="B20" r:id="rId6" display="Market Size" xr:uid="{1D1912CB-46E1-4908-A749-E6AD01593FD5}"/>
  </hyperlinks>
  <pageMargins left="0.7" right="0.7" top="0.75" bottom="0.75" header="0.3" footer="0.3"/>
  <pageSetup paperSize="9" orientation="portrait" r:id="rId7"/>
  <drawing r:id="rId8"/>
  <extLst>
    <ext xmlns:x14="http://schemas.microsoft.com/office/spreadsheetml/2009/9/main" uri="{05C60535-1F16-4fd2-B633-F4F36F0B64E0}">
      <x14:sparklineGroups xmlns:xm="http://schemas.microsoft.com/office/excel/2006/main">
        <x14:sparklineGroup type="column" displayEmptyCellsAs="gap" xr2:uid="{5F0A0049-7BD0-483B-8F67-A15143380640}">
          <x14:colorSeries rgb="FF7B1314"/>
          <x14:colorNegative rgb="FFD00000"/>
          <x14:colorAxis rgb="FF000000"/>
          <x14:colorMarkers rgb="FFD00000"/>
          <x14:colorFirst rgb="FFD00000"/>
          <x14:colorLast rgb="FFD00000"/>
          <x14:colorHigh rgb="FFD00000"/>
          <x14:colorLow rgb="FFD00000"/>
          <x14:sparklines>
            <x14:sparkline>
              <xm:f>Industry!F22:K22</xm:f>
              <xm:sqref>L22</xm:sqref>
            </x14:sparkline>
          </x14:sparklines>
        </x14:sparklineGroup>
        <x14:sparklineGroup displayEmptyCellsAs="gap" xr2:uid="{00000000-0003-0000-0200-000000000000}">
          <x14:colorSeries rgb="FF7B1314"/>
          <x14:colorNegative rgb="FFD00000"/>
          <x14:colorAxis rgb="FF000000"/>
          <x14:colorMarkers rgb="FFD00000"/>
          <x14:colorFirst rgb="FFD00000"/>
          <x14:colorLast rgb="FFD00000"/>
          <x14:colorHigh rgb="FFD00000"/>
          <x14:colorLow rgb="FFD00000"/>
          <x14:sparklines>
            <x14:sparkline>
              <xm:f>Industry!D21:K21</xm:f>
              <xm:sqref>L21</xm:sqref>
            </x14:sparkline>
            <x14:sparkline>
              <xm:f>Industry!D23:K23</xm:f>
              <xm:sqref>L23</xm:sqref>
            </x14:sparkline>
          </x14:sparklines>
        </x14:sparklineGroup>
        <x14:sparklineGroup displayEmptyCellsAs="gap" xr2:uid="{00000000-0003-0000-0200-000001000000}">
          <x14:colorSeries rgb="FF7B1314"/>
          <x14:colorNegative rgb="FFD00000"/>
          <x14:colorAxis rgb="FF000000"/>
          <x14:colorMarkers rgb="FFD00000"/>
          <x14:colorFirst rgb="FFD00000"/>
          <x14:colorLast rgb="FFD00000"/>
          <x14:colorHigh rgb="FFD00000"/>
          <x14:colorLow rgb="FFD00000"/>
          <x14:sparklines>
            <x14:sparkline>
              <xm:f>Industry!D19:K19</xm:f>
              <xm:sqref>L19</xm:sqref>
            </x14:sparkline>
          </x14:sparklines>
        </x14:sparklineGroup>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Industry!D17:K17</xm:f>
              <xm:sqref>L17</xm:sqref>
            </x14:sparkline>
          </x14:sparklines>
        </x14:sparklineGroup>
        <x14:sparklineGroup displayEmptyCellsAs="gap" xr2:uid="{00000000-0003-0000-0200-000003000000}">
          <x14:colorSeries rgb="FF7B1314"/>
          <x14:colorNegative rgb="FFD00000"/>
          <x14:colorAxis rgb="FF000000"/>
          <x14:colorMarkers rgb="FFD00000"/>
          <x14:colorFirst rgb="FFD00000"/>
          <x14:colorLast rgb="FFD00000"/>
          <x14:colorHigh rgb="FFD00000"/>
          <x14:colorLow rgb="FFD00000"/>
          <x14:sparklines>
            <x14:sparkline>
              <xm:f>Industry!D15:K15</xm:f>
              <xm:sqref>L15</xm:sqref>
            </x14:sparkline>
          </x14:sparklines>
        </x14:sparklineGroup>
        <x14:sparklineGroup displayEmptyCellsAs="gap" xr2:uid="{00000000-0003-0000-0200-000004000000}">
          <x14:colorSeries rgb="FF7B1314"/>
          <x14:colorNegative rgb="FFD00000"/>
          <x14:colorAxis rgb="FF000000"/>
          <x14:colorMarkers rgb="FFD00000"/>
          <x14:colorFirst rgb="FFD00000"/>
          <x14:colorLast rgb="FFD00000"/>
          <x14:colorHigh rgb="FFD00000"/>
          <x14:colorLow rgb="FFD00000"/>
          <x14:sparklines>
            <x14:sparkline>
              <xm:f>Industry!D13:K13</xm:f>
              <xm:sqref>L13</xm:sqref>
            </x14:sparkline>
          </x14:sparklines>
        </x14:sparklineGroup>
        <x14:sparklineGroup type="column" displayEmptyCellsAs="gap" xr2:uid="{00000000-0003-0000-0200-000005000000}">
          <x14:colorSeries rgb="FF7B1314"/>
          <x14:colorNegative rgb="FFD00000"/>
          <x14:colorAxis rgb="FF000000"/>
          <x14:colorMarkers rgb="FFD00000"/>
          <x14:colorFirst rgb="FFD00000"/>
          <x14:colorLast rgb="FFD00000"/>
          <x14:colorHigh rgb="FFD00000"/>
          <x14:colorLow rgb="FFD00000"/>
          <x14:sparklines>
            <x14:sparkline>
              <xm:f>Industry!F18:K18</xm:f>
              <xm:sqref>L18</xm:sqref>
            </x14:sparkline>
          </x14:sparklines>
        </x14:sparklineGroup>
        <x14:sparklineGroup type="column" displayEmptyCellsAs="gap" xr2:uid="{00000000-0003-0000-0200-000006000000}">
          <x14:colorSeries rgb="FF7B1314"/>
          <x14:colorNegative rgb="FFD00000"/>
          <x14:colorAxis rgb="FF000000"/>
          <x14:colorMarkers rgb="FFD00000"/>
          <x14:colorFirst rgb="FFD00000"/>
          <x14:colorLast rgb="FFD00000"/>
          <x14:colorHigh rgb="FFD00000"/>
          <x14:colorLow rgb="FFD00000"/>
          <x14:sparklines>
            <x14:sparkline>
              <xm:f>Industry!F16:K16</xm:f>
              <xm:sqref>L16</xm:sqref>
            </x14:sparkline>
          </x14:sparklines>
        </x14:sparklineGroup>
        <x14:sparklineGroup type="column" displayEmptyCellsAs="gap" xr2:uid="{C586AE77-4C48-5945-BDFC-E13D6D94B9DB}">
          <x14:colorSeries theme="4"/>
          <x14:colorNegative rgb="FFD00000"/>
          <x14:colorAxis rgb="FF000000"/>
          <x14:colorMarkers rgb="FFD00000"/>
          <x14:colorFirst rgb="FFD00000"/>
          <x14:colorLast rgb="FFD00000"/>
          <x14:colorHigh rgb="FFD00000"/>
          <x14:colorLow rgb="FFD00000"/>
          <x14:sparklines>
            <x14:sparkline>
              <xm:f>Industry!F12:K12</xm:f>
              <xm:sqref>L12</xm:sqref>
            </x14:sparkline>
          </x14:sparklines>
        </x14:sparklineGroup>
        <x14:sparklineGroup type="column" displayEmptyCellsAs="gap" xr2:uid="{00000000-0003-0000-0200-000008000000}">
          <x14:colorSeries rgb="FF7B1314"/>
          <x14:colorNegative rgb="FFD00000"/>
          <x14:colorAxis rgb="FF000000"/>
          <x14:colorMarkers rgb="FFD00000"/>
          <x14:colorFirst rgb="FFD00000"/>
          <x14:colorLast rgb="FFD00000"/>
          <x14:colorHigh rgb="FFD00000"/>
          <x14:colorLow rgb="FFD00000"/>
          <x14:sparklines>
            <x14:sparkline>
              <xm:f>Industry!F20:K20</xm:f>
              <xm:sqref>L20</xm:sqref>
            </x14:sparkline>
          </x14:sparklines>
        </x14:sparklineGroup>
        <x14:sparklineGroup type="column" displayEmptyCellsAs="gap" xr2:uid="{00000000-0003-0000-0200-000009000000}">
          <x14:colorSeries rgb="FF7B1314"/>
          <x14:colorNegative rgb="FFD00000"/>
          <x14:colorAxis rgb="FF000000"/>
          <x14:colorMarkers rgb="FFD00000"/>
          <x14:colorFirst rgb="FFD00000"/>
          <x14:colorLast rgb="FFD00000"/>
          <x14:colorHigh rgb="FFD00000"/>
          <x14:colorLow rgb="FFD00000"/>
          <x14:sparklines>
            <x14:sparkline>
              <xm:f>Industry!E14:K14</xm:f>
              <xm:sqref>L14</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theme="4" tint="0.59999389629810485"/>
  </sheetPr>
  <dimension ref="A1:K94"/>
  <sheetViews>
    <sheetView showGridLines="0" topLeftCell="B27" zoomScale="75" zoomScaleNormal="100" workbookViewId="0">
      <selection activeCell="B52" sqref="B52:E52"/>
    </sheetView>
  </sheetViews>
  <sheetFormatPr defaultColWidth="7.5" defaultRowHeight="15" customHeight="1"/>
  <cols>
    <col min="1" max="1" width="2" style="381" customWidth="1"/>
    <col min="2" max="2" width="29.5" style="381" customWidth="1"/>
    <col min="3" max="4" width="9" style="381" customWidth="1"/>
    <col min="5" max="5" width="10" style="382" customWidth="1"/>
    <col min="6" max="6" width="1.5" style="381" customWidth="1"/>
    <col min="7" max="7" width="24" style="381" customWidth="1"/>
    <col min="8" max="8" width="11" style="381" customWidth="1"/>
    <col min="9" max="9" width="25" style="381" customWidth="1"/>
    <col min="10" max="10" width="34.5" style="381" customWidth="1"/>
    <col min="11" max="11" width="75.5" style="381" customWidth="1"/>
    <col min="12" max="16384" width="7.5" style="381"/>
  </cols>
  <sheetData>
    <row r="1" spans="1:11" s="595" customFormat="1" ht="15" customHeight="1">
      <c r="A1" s="594"/>
      <c r="E1" s="594"/>
    </row>
    <row r="2" spans="1:11" s="595" customFormat="1" ht="15" customHeight="1">
      <c r="E2" s="594"/>
    </row>
    <row r="3" spans="1:11" s="595" customFormat="1" ht="15" customHeight="1">
      <c r="E3" s="594"/>
    </row>
    <row r="4" spans="1:11" s="595" customFormat="1" ht="15" customHeight="1">
      <c r="E4" s="594"/>
    </row>
    <row r="5" spans="1:11" s="396" customFormat="1" ht="3.95" customHeight="1">
      <c r="E5" s="397"/>
    </row>
    <row r="7" spans="1:11" s="97" customFormat="1" ht="15" customHeight="1">
      <c r="A7" s="384" t="s">
        <v>38</v>
      </c>
      <c r="B7" s="385" t="s">
        <v>67</v>
      </c>
      <c r="C7" s="385"/>
      <c r="D7" s="385"/>
      <c r="E7" s="32"/>
      <c r="F7" s="340"/>
      <c r="G7" s="340"/>
      <c r="H7" s="340"/>
      <c r="I7" s="32"/>
      <c r="J7" s="340"/>
      <c r="K7" s="340"/>
    </row>
    <row r="8" spans="1:11" s="97" customFormat="1" ht="15" customHeight="1">
      <c r="B8" s="386"/>
      <c r="C8" s="386"/>
      <c r="D8" s="386"/>
      <c r="E8" s="32"/>
      <c r="F8" s="387"/>
      <c r="G8" s="387"/>
      <c r="H8" s="387"/>
      <c r="I8" s="388"/>
      <c r="J8" s="387"/>
      <c r="K8" s="387"/>
    </row>
    <row r="9" spans="1:11" s="97" customFormat="1" ht="14.25" customHeight="1">
      <c r="B9" s="386"/>
      <c r="C9" s="386"/>
      <c r="D9" s="386"/>
      <c r="E9" s="32"/>
      <c r="F9" s="389"/>
      <c r="G9" s="389"/>
      <c r="H9" s="389"/>
      <c r="I9" s="387"/>
      <c r="J9" s="389"/>
      <c r="K9" s="389"/>
    </row>
    <row r="10" spans="1:11" s="97" customFormat="1" ht="3.95" customHeight="1">
      <c r="A10" s="55"/>
      <c r="B10" s="390"/>
      <c r="C10" s="390"/>
      <c r="D10" s="390"/>
      <c r="E10" s="391"/>
      <c r="F10" s="392"/>
      <c r="G10" s="392"/>
      <c r="H10" s="392"/>
      <c r="I10" s="393"/>
      <c r="J10" s="392"/>
      <c r="K10" s="392"/>
    </row>
    <row r="11" spans="1:11" s="23" customFormat="1" ht="15" customHeight="1"/>
    <row r="12" spans="1:11" s="23" customFormat="1" ht="15" customHeight="1">
      <c r="B12" s="375" t="s">
        <v>68</v>
      </c>
      <c r="C12" s="375"/>
      <c r="D12" s="375"/>
      <c r="E12" s="394"/>
      <c r="F12" s="395"/>
      <c r="G12" s="385" t="s">
        <v>69</v>
      </c>
      <c r="H12" s="386"/>
      <c r="I12" s="385"/>
      <c r="J12" s="386"/>
      <c r="K12" s="386"/>
    </row>
    <row r="13" spans="1:11" s="23" customFormat="1" ht="3.95" customHeight="1">
      <c r="B13" s="396"/>
      <c r="C13" s="396"/>
      <c r="D13" s="396"/>
      <c r="E13" s="397"/>
      <c r="F13" s="341"/>
      <c r="G13" s="390"/>
      <c r="H13" s="390"/>
      <c r="I13" s="390"/>
      <c r="J13" s="390"/>
      <c r="K13" s="390"/>
    </row>
    <row r="14" spans="1:11" s="23" customFormat="1" ht="3.95" customHeight="1">
      <c r="B14" s="381"/>
      <c r="C14" s="381"/>
      <c r="D14" s="381"/>
      <c r="E14" s="382"/>
      <c r="F14" s="341"/>
      <c r="G14" s="341"/>
      <c r="H14" s="341"/>
      <c r="I14" s="341"/>
      <c r="J14" s="341"/>
    </row>
    <row r="15" spans="1:11" ht="15" customHeight="1">
      <c r="B15" s="376" t="s">
        <v>70</v>
      </c>
      <c r="C15" s="376"/>
      <c r="D15" s="784">
        <v>55</v>
      </c>
      <c r="E15" s="784"/>
      <c r="H15" s="535"/>
      <c r="I15" s="535"/>
      <c r="J15" s="535"/>
    </row>
    <row r="16" spans="1:11" ht="15" customHeight="1">
      <c r="B16" s="403" t="s">
        <v>71</v>
      </c>
      <c r="C16" s="378"/>
      <c r="D16" s="785">
        <v>37</v>
      </c>
      <c r="E16" s="785"/>
      <c r="G16" s="376"/>
      <c r="H16" s="804"/>
      <c r="I16" s="804"/>
      <c r="J16" s="804"/>
    </row>
    <row r="17" spans="2:11" ht="15" customHeight="1">
      <c r="B17" s="403" t="s">
        <v>72</v>
      </c>
      <c r="C17" s="378"/>
      <c r="D17" s="785">
        <v>46</v>
      </c>
      <c r="E17" s="785"/>
      <c r="H17" s="804"/>
      <c r="I17" s="804"/>
      <c r="J17" s="804"/>
      <c r="K17" s="377"/>
    </row>
    <row r="18" spans="2:11" ht="15" customHeight="1">
      <c r="B18" s="403" t="s">
        <v>73</v>
      </c>
      <c r="C18" s="378"/>
      <c r="D18" s="785">
        <v>88</v>
      </c>
      <c r="E18" s="785"/>
      <c r="G18" s="376"/>
      <c r="H18" s="804"/>
      <c r="I18" s="804"/>
      <c r="J18" s="804"/>
      <c r="K18" s="377"/>
    </row>
    <row r="19" spans="2:11" ht="15" customHeight="1">
      <c r="B19" s="376" t="s">
        <v>74</v>
      </c>
      <c r="C19" s="376"/>
      <c r="D19" s="783">
        <v>26</v>
      </c>
      <c r="E19" s="783"/>
      <c r="H19" s="804"/>
      <c r="I19" s="804"/>
      <c r="J19" s="804"/>
      <c r="K19" s="377"/>
    </row>
    <row r="20" spans="2:11" ht="15" customHeight="1">
      <c r="B20" s="376" t="s">
        <v>75</v>
      </c>
      <c r="C20" s="376"/>
      <c r="D20" s="786">
        <v>31.62</v>
      </c>
      <c r="E20" s="786"/>
      <c r="G20" s="376"/>
      <c r="H20" s="804"/>
      <c r="I20" s="804"/>
      <c r="J20" s="804"/>
      <c r="K20" s="377"/>
    </row>
    <row r="21" spans="2:11" ht="15" customHeight="1">
      <c r="B21" s="376" t="s">
        <v>76</v>
      </c>
      <c r="C21" s="376"/>
      <c r="D21" s="787" t="s">
        <v>77</v>
      </c>
      <c r="E21" s="787"/>
      <c r="H21" s="804"/>
      <c r="I21" s="804"/>
      <c r="J21" s="804"/>
      <c r="K21" s="377"/>
    </row>
    <row r="22" spans="2:11" ht="15" customHeight="1">
      <c r="B22" s="403" t="s">
        <v>78</v>
      </c>
      <c r="C22" s="378"/>
      <c r="D22" s="785">
        <v>-6.5</v>
      </c>
      <c r="E22" s="785"/>
      <c r="G22" s="376"/>
      <c r="H22" s="804"/>
      <c r="I22" s="804"/>
      <c r="J22" s="804"/>
      <c r="K22" s="377"/>
    </row>
    <row r="23" spans="2:11" ht="15" customHeight="1">
      <c r="B23" s="403" t="s">
        <v>79</v>
      </c>
      <c r="C23" s="378"/>
      <c r="D23" s="785">
        <v>1</v>
      </c>
      <c r="E23" s="785"/>
      <c r="H23" s="804"/>
      <c r="I23" s="804"/>
      <c r="J23" s="804"/>
      <c r="K23" s="377"/>
    </row>
    <row r="24" spans="2:11" ht="15" customHeight="1">
      <c r="B24" s="376" t="s">
        <v>80</v>
      </c>
      <c r="C24" s="376"/>
      <c r="D24" s="782" t="s">
        <v>81</v>
      </c>
      <c r="E24" s="782"/>
    </row>
    <row r="25" spans="2:11" ht="15" customHeight="1">
      <c r="G25" s="33"/>
      <c r="H25" s="33"/>
      <c r="I25" s="33"/>
      <c r="K25" s="33"/>
    </row>
    <row r="26" spans="2:11" ht="15" customHeight="1">
      <c r="G26" s="376"/>
      <c r="H26" s="804"/>
      <c r="I26" s="804"/>
      <c r="J26" s="804"/>
      <c r="K26" s="376"/>
    </row>
    <row r="27" spans="2:11" ht="15" customHeight="1">
      <c r="H27" s="804"/>
      <c r="I27" s="804"/>
      <c r="J27" s="804"/>
      <c r="K27" s="535"/>
    </row>
    <row r="28" spans="2:11" ht="15" customHeight="1">
      <c r="E28" s="381"/>
      <c r="G28" s="376"/>
      <c r="H28" s="804"/>
      <c r="I28" s="804"/>
      <c r="J28" s="804"/>
      <c r="K28" s="535"/>
    </row>
    <row r="29" spans="2:11" ht="15" customHeight="1">
      <c r="E29" s="381"/>
      <c r="H29" s="804"/>
      <c r="I29" s="804"/>
      <c r="J29" s="804"/>
      <c r="K29" s="535"/>
    </row>
    <row r="30" spans="2:11" ht="15" customHeight="1">
      <c r="B30" s="375" t="s">
        <v>82</v>
      </c>
      <c r="C30" s="375"/>
      <c r="D30" s="375"/>
      <c r="E30" s="375"/>
      <c r="G30" s="375" t="s">
        <v>83</v>
      </c>
      <c r="H30" s="375"/>
      <c r="I30" s="375"/>
      <c r="J30" s="375"/>
      <c r="K30" s="375"/>
    </row>
    <row r="31" spans="2:11" s="23" customFormat="1" ht="3.95" customHeight="1">
      <c r="B31" s="36"/>
      <c r="C31" s="36"/>
      <c r="D31" s="36"/>
      <c r="E31" s="36"/>
      <c r="F31" s="381"/>
      <c r="G31" s="36"/>
      <c r="H31" s="36"/>
      <c r="I31" s="36"/>
      <c r="J31" s="36"/>
      <c r="K31" s="36"/>
    </row>
    <row r="32" spans="2:11" ht="15" customHeight="1" thickBot="1">
      <c r="B32" s="398"/>
      <c r="C32" s="398"/>
      <c r="D32" s="398"/>
      <c r="E32" s="398"/>
      <c r="G32" s="398"/>
      <c r="H32" s="399" t="s">
        <v>84</v>
      </c>
      <c r="I32" s="399" t="s">
        <v>85</v>
      </c>
      <c r="J32" s="399" t="s">
        <v>86</v>
      </c>
      <c r="K32" s="399" t="s">
        <v>87</v>
      </c>
    </row>
    <row r="33" spans="2:11" ht="17.25" customHeight="1">
      <c r="B33" s="405" t="s">
        <v>88</v>
      </c>
      <c r="C33" s="788" t="s">
        <v>89</v>
      </c>
      <c r="D33" s="788"/>
      <c r="E33" s="788"/>
      <c r="G33" s="797" t="s">
        <v>90</v>
      </c>
      <c r="H33" s="801"/>
      <c r="I33" s="793" t="s">
        <v>91</v>
      </c>
      <c r="J33" s="790"/>
      <c r="K33" s="791" t="s">
        <v>92</v>
      </c>
    </row>
    <row r="34" spans="2:11" ht="15" customHeight="1">
      <c r="B34" s="405" t="s">
        <v>93</v>
      </c>
      <c r="C34" s="788" t="s">
        <v>94</v>
      </c>
      <c r="D34" s="788"/>
      <c r="E34" s="788"/>
      <c r="G34" s="797"/>
      <c r="H34" s="801"/>
      <c r="I34" s="793"/>
      <c r="J34" s="790"/>
      <c r="K34" s="791"/>
    </row>
    <row r="35" spans="2:11" ht="15" customHeight="1">
      <c r="B35" s="405" t="s">
        <v>95</v>
      </c>
      <c r="C35" s="788" t="s">
        <v>96</v>
      </c>
      <c r="D35" s="788"/>
      <c r="E35" s="788"/>
      <c r="G35" s="797" t="s">
        <v>97</v>
      </c>
      <c r="H35" s="794"/>
      <c r="I35" s="792"/>
      <c r="J35" s="791" t="s">
        <v>98</v>
      </c>
      <c r="K35" s="791" t="s">
        <v>99</v>
      </c>
    </row>
    <row r="36" spans="2:11" ht="29.25" customHeight="1">
      <c r="B36" s="405" t="s">
        <v>100</v>
      </c>
      <c r="C36" s="788" t="s">
        <v>101</v>
      </c>
      <c r="D36" s="788"/>
      <c r="E36" s="788"/>
      <c r="G36" s="797"/>
      <c r="H36" s="794"/>
      <c r="I36" s="792"/>
      <c r="J36" s="791"/>
      <c r="K36" s="791"/>
    </row>
    <row r="37" spans="2:11" ht="15" customHeight="1">
      <c r="C37" s="789"/>
      <c r="D37" s="789"/>
      <c r="E37" s="789"/>
      <c r="G37" s="797" t="s">
        <v>102</v>
      </c>
      <c r="H37" s="794"/>
      <c r="I37" s="805"/>
      <c r="J37" s="793" t="s">
        <v>103</v>
      </c>
      <c r="K37" s="791" t="s">
        <v>104</v>
      </c>
    </row>
    <row r="38" spans="2:11" ht="17.25" customHeight="1">
      <c r="B38" s="405" t="s">
        <v>105</v>
      </c>
      <c r="C38" s="788" t="s">
        <v>106</v>
      </c>
      <c r="D38" s="788"/>
      <c r="E38" s="788"/>
      <c r="G38" s="797"/>
      <c r="H38" s="794"/>
      <c r="I38" s="805"/>
      <c r="J38" s="793"/>
      <c r="K38" s="791"/>
    </row>
    <row r="39" spans="2:11" ht="27" customHeight="1">
      <c r="B39" s="405" t="s">
        <v>107</v>
      </c>
      <c r="C39" s="795">
        <v>10616</v>
      </c>
      <c r="D39" s="788"/>
      <c r="E39" s="788"/>
      <c r="G39" s="797" t="s">
        <v>108</v>
      </c>
      <c r="H39" s="801"/>
      <c r="I39" s="792"/>
      <c r="J39" s="791" t="s">
        <v>109</v>
      </c>
      <c r="K39" s="791" t="s">
        <v>110</v>
      </c>
    </row>
    <row r="40" spans="2:11" ht="15" customHeight="1">
      <c r="C40" s="406"/>
      <c r="D40" s="537"/>
      <c r="E40" s="537"/>
      <c r="G40" s="797"/>
      <c r="H40" s="801"/>
      <c r="I40" s="792"/>
      <c r="J40" s="791"/>
      <c r="K40" s="791"/>
    </row>
    <row r="41" spans="2:11" ht="15" customHeight="1">
      <c r="B41" s="376" t="s">
        <v>111</v>
      </c>
      <c r="C41" s="777" t="s">
        <v>112</v>
      </c>
      <c r="D41" s="777"/>
      <c r="E41" s="777"/>
      <c r="G41" s="797" t="s">
        <v>113</v>
      </c>
      <c r="H41" s="805"/>
      <c r="I41" s="792"/>
      <c r="J41" s="790"/>
      <c r="K41" s="790"/>
    </row>
    <row r="42" spans="2:11" ht="15" customHeight="1">
      <c r="B42" s="376" t="s">
        <v>114</v>
      </c>
      <c r="C42" s="796" t="s">
        <v>115</v>
      </c>
      <c r="D42" s="796"/>
      <c r="E42" s="796"/>
      <c r="G42" s="797"/>
      <c r="H42" s="805"/>
      <c r="I42" s="792"/>
      <c r="J42" s="790"/>
      <c r="K42" s="790"/>
    </row>
    <row r="43" spans="2:11" ht="15" customHeight="1">
      <c r="C43" s="777" t="s">
        <v>116</v>
      </c>
      <c r="D43" s="777"/>
      <c r="E43" s="777"/>
      <c r="G43" s="380"/>
      <c r="H43" s="400"/>
      <c r="I43" s="401"/>
      <c r="J43" s="402"/>
      <c r="K43" s="402"/>
    </row>
    <row r="44" spans="2:11" ht="15" customHeight="1">
      <c r="B44" s="375" t="s">
        <v>117</v>
      </c>
      <c r="C44" s="375"/>
      <c r="D44" s="375"/>
      <c r="E44" s="375"/>
      <c r="G44" s="375" t="s">
        <v>118</v>
      </c>
      <c r="H44" s="375"/>
      <c r="I44" s="375"/>
      <c r="J44" s="375"/>
      <c r="K44" s="375"/>
    </row>
    <row r="45" spans="2:11" s="23" customFormat="1" ht="3.95" customHeight="1">
      <c r="B45" s="36"/>
      <c r="C45" s="36"/>
      <c r="D45" s="36"/>
      <c r="E45" s="36"/>
      <c r="F45" s="381"/>
      <c r="G45" s="36"/>
      <c r="H45" s="36"/>
      <c r="I45" s="36"/>
      <c r="J45" s="36"/>
      <c r="K45" s="36"/>
    </row>
    <row r="46" spans="2:11" ht="15" customHeight="1" thickBot="1">
      <c r="B46" s="398"/>
      <c r="C46" s="398"/>
      <c r="D46" s="398"/>
      <c r="E46" s="398"/>
      <c r="G46" s="398"/>
      <c r="H46" s="399" t="s">
        <v>84</v>
      </c>
      <c r="I46" s="399" t="s">
        <v>85</v>
      </c>
      <c r="J46" s="399" t="s">
        <v>86</v>
      </c>
      <c r="K46" s="399" t="s">
        <v>87</v>
      </c>
    </row>
    <row r="47" spans="2:11" ht="26.25" customHeight="1">
      <c r="B47" s="781"/>
      <c r="C47" s="781"/>
      <c r="D47" s="781"/>
      <c r="E47" s="781"/>
      <c r="G47" s="797" t="s">
        <v>119</v>
      </c>
      <c r="H47" s="794"/>
      <c r="I47" s="792"/>
      <c r="J47" s="790"/>
      <c r="K47" s="791" t="s">
        <v>120</v>
      </c>
    </row>
    <row r="48" spans="2:11" ht="15" customHeight="1">
      <c r="B48" s="779"/>
      <c r="C48" s="779"/>
      <c r="D48" s="779"/>
      <c r="E48" s="779"/>
      <c r="G48" s="797"/>
      <c r="H48" s="794"/>
      <c r="I48" s="792"/>
      <c r="J48" s="790"/>
      <c r="K48" s="791"/>
    </row>
    <row r="49" spans="2:11" ht="15" customHeight="1">
      <c r="B49" s="779"/>
      <c r="C49" s="779"/>
      <c r="D49" s="779"/>
      <c r="E49" s="779"/>
      <c r="G49" s="797" t="s">
        <v>121</v>
      </c>
      <c r="H49" s="794"/>
      <c r="I49" s="792"/>
      <c r="J49" s="790"/>
      <c r="K49" s="791" t="s">
        <v>122</v>
      </c>
    </row>
    <row r="50" spans="2:11" ht="15" customHeight="1">
      <c r="B50" s="779"/>
      <c r="C50" s="779"/>
      <c r="D50" s="779"/>
      <c r="E50" s="779"/>
      <c r="G50" s="797"/>
      <c r="H50" s="794"/>
      <c r="I50" s="792"/>
      <c r="J50" s="790"/>
      <c r="K50" s="791"/>
    </row>
    <row r="51" spans="2:11" ht="15" customHeight="1">
      <c r="B51" s="779"/>
      <c r="C51" s="779"/>
      <c r="D51" s="779"/>
      <c r="E51" s="779"/>
      <c r="G51" s="798" t="s">
        <v>123</v>
      </c>
      <c r="H51" s="800"/>
      <c r="I51" s="792"/>
      <c r="J51" s="790"/>
      <c r="K51" s="791"/>
    </row>
    <row r="52" spans="2:11" ht="15" customHeight="1">
      <c r="B52" s="779"/>
      <c r="C52" s="779"/>
      <c r="D52" s="779"/>
      <c r="E52" s="779"/>
      <c r="G52" s="798"/>
      <c r="H52" s="800"/>
      <c r="I52" s="792"/>
      <c r="J52" s="790"/>
      <c r="K52" s="791"/>
    </row>
    <row r="53" spans="2:11" ht="26.25" customHeight="1">
      <c r="B53" s="779"/>
      <c r="C53" s="779"/>
      <c r="D53" s="779"/>
      <c r="E53" s="779"/>
      <c r="G53" s="797" t="s">
        <v>124</v>
      </c>
      <c r="H53" s="800"/>
      <c r="I53" s="792"/>
      <c r="J53" s="790"/>
      <c r="K53" s="802" t="s">
        <v>125</v>
      </c>
    </row>
    <row r="54" spans="2:11" ht="15" customHeight="1">
      <c r="B54" s="779"/>
      <c r="C54" s="779"/>
      <c r="D54" s="779"/>
      <c r="E54" s="779"/>
      <c r="G54" s="797"/>
      <c r="H54" s="800"/>
      <c r="I54" s="792"/>
      <c r="J54" s="790"/>
      <c r="K54" s="803"/>
    </row>
    <row r="55" spans="2:11" ht="15" customHeight="1">
      <c r="B55" s="779"/>
      <c r="C55" s="779"/>
      <c r="D55" s="779"/>
      <c r="E55" s="779"/>
      <c r="G55" s="797" t="s">
        <v>126</v>
      </c>
      <c r="H55" s="794"/>
      <c r="I55" s="792"/>
      <c r="J55" s="790"/>
      <c r="K55" s="791" t="s">
        <v>127</v>
      </c>
    </row>
    <row r="56" spans="2:11" ht="15" customHeight="1">
      <c r="B56" s="779"/>
      <c r="C56" s="779"/>
      <c r="D56" s="779"/>
      <c r="E56" s="779"/>
      <c r="G56" s="797"/>
      <c r="H56" s="794"/>
      <c r="I56" s="792"/>
      <c r="J56" s="790"/>
      <c r="K56" s="791"/>
    </row>
    <row r="57" spans="2:11" ht="15" customHeight="1">
      <c r="B57" s="779"/>
      <c r="C57" s="779"/>
      <c r="D57" s="779"/>
      <c r="E57" s="779"/>
      <c r="G57" s="797" t="s">
        <v>128</v>
      </c>
      <c r="H57" s="800"/>
      <c r="I57" s="792"/>
      <c r="J57" s="790"/>
      <c r="K57" s="791" t="s">
        <v>129</v>
      </c>
    </row>
    <row r="58" spans="2:11" ht="14.25" customHeight="1">
      <c r="B58" s="779"/>
      <c r="C58" s="779"/>
      <c r="D58" s="779"/>
      <c r="E58" s="779"/>
      <c r="G58" s="797"/>
      <c r="H58" s="800"/>
      <c r="I58" s="792"/>
      <c r="J58" s="790"/>
      <c r="K58" s="791"/>
    </row>
    <row r="59" spans="2:11" ht="15.95" customHeight="1">
      <c r="B59" s="779"/>
      <c r="C59" s="779"/>
      <c r="D59" s="779"/>
      <c r="E59" s="779"/>
      <c r="G59" s="797" t="s">
        <v>130</v>
      </c>
      <c r="H59" s="801"/>
      <c r="I59" s="792"/>
      <c r="J59" s="790"/>
      <c r="K59" s="791" t="s">
        <v>131</v>
      </c>
    </row>
    <row r="60" spans="2:11" ht="27.95" customHeight="1">
      <c r="B60" s="779"/>
      <c r="C60" s="779"/>
      <c r="D60" s="779"/>
      <c r="E60" s="779"/>
      <c r="G60" s="797"/>
      <c r="H60" s="801"/>
      <c r="I60" s="792"/>
      <c r="J60" s="790"/>
      <c r="K60" s="791"/>
    </row>
    <row r="61" spans="2:11" ht="15" customHeight="1">
      <c r="B61" s="779"/>
      <c r="C61" s="779"/>
      <c r="D61" s="779"/>
      <c r="E61" s="779"/>
      <c r="G61" s="797" t="s">
        <v>132</v>
      </c>
      <c r="H61" s="794"/>
      <c r="I61" s="792"/>
      <c r="J61" s="790"/>
      <c r="K61" s="793" t="s">
        <v>133</v>
      </c>
    </row>
    <row r="62" spans="2:11" ht="15" customHeight="1">
      <c r="B62" s="779"/>
      <c r="C62" s="779"/>
      <c r="D62" s="779"/>
      <c r="E62" s="779"/>
      <c r="G62" s="797"/>
      <c r="H62" s="794"/>
      <c r="I62" s="792"/>
      <c r="J62" s="790"/>
      <c r="K62" s="793"/>
    </row>
    <row r="63" spans="2:11" ht="15" customHeight="1">
      <c r="B63" s="779"/>
      <c r="C63" s="779"/>
      <c r="D63" s="779"/>
      <c r="E63" s="779"/>
      <c r="G63" s="797" t="s">
        <v>134</v>
      </c>
      <c r="H63" s="806"/>
      <c r="I63" s="792"/>
      <c r="J63" s="790"/>
      <c r="K63" s="791" t="s">
        <v>135</v>
      </c>
    </row>
    <row r="64" spans="2:11" ht="15" customHeight="1">
      <c r="B64" s="779"/>
      <c r="C64" s="779"/>
      <c r="D64" s="779"/>
      <c r="E64" s="779"/>
      <c r="G64" s="797"/>
      <c r="H64" s="806"/>
      <c r="I64" s="792"/>
      <c r="J64" s="790"/>
      <c r="K64" s="791"/>
    </row>
    <row r="65" spans="2:11" ht="15" customHeight="1">
      <c r="B65" s="779"/>
      <c r="C65" s="779"/>
      <c r="D65" s="779"/>
      <c r="E65" s="779"/>
      <c r="G65" s="797" t="s">
        <v>136</v>
      </c>
      <c r="H65" s="800"/>
      <c r="I65" s="792"/>
      <c r="J65" s="790"/>
      <c r="K65" s="791" t="s">
        <v>137</v>
      </c>
    </row>
    <row r="66" spans="2:11" ht="15" customHeight="1">
      <c r="B66" s="779"/>
      <c r="C66" s="779"/>
      <c r="D66" s="779"/>
      <c r="E66" s="779"/>
      <c r="G66" s="797"/>
      <c r="H66" s="800"/>
      <c r="I66" s="792"/>
      <c r="J66" s="790"/>
      <c r="K66" s="791"/>
    </row>
    <row r="67" spans="2:11" ht="15" customHeight="1">
      <c r="B67" s="779"/>
      <c r="C67" s="779"/>
      <c r="D67" s="779"/>
      <c r="E67" s="779"/>
      <c r="G67" s="797" t="s">
        <v>138</v>
      </c>
      <c r="H67" s="800"/>
      <c r="I67" s="792"/>
      <c r="J67" s="790"/>
      <c r="K67" s="791" t="s">
        <v>139</v>
      </c>
    </row>
    <row r="68" spans="2:11" ht="15" customHeight="1">
      <c r="B68" s="779"/>
      <c r="C68" s="779"/>
      <c r="D68" s="779"/>
      <c r="E68" s="779"/>
      <c r="G68" s="797"/>
      <c r="H68" s="800"/>
      <c r="I68" s="792"/>
      <c r="J68" s="790"/>
      <c r="K68" s="791"/>
    </row>
    <row r="69" spans="2:11" ht="15" customHeight="1">
      <c r="G69" s="380"/>
      <c r="H69" s="400"/>
      <c r="I69" s="401"/>
      <c r="J69" s="402"/>
      <c r="K69" s="402"/>
    </row>
    <row r="70" spans="2:11" ht="15" customHeight="1">
      <c r="B70" s="385" t="s">
        <v>140</v>
      </c>
      <c r="C70" s="385"/>
      <c r="D70" s="385"/>
      <c r="E70" s="386"/>
      <c r="G70" s="375" t="s">
        <v>141</v>
      </c>
      <c r="H70" s="375"/>
      <c r="I70" s="375"/>
      <c r="J70" s="375"/>
      <c r="K70" s="375"/>
    </row>
    <row r="71" spans="2:11" s="23" customFormat="1" ht="3.95" customHeight="1">
      <c r="B71" s="390"/>
      <c r="C71" s="390"/>
      <c r="D71" s="390"/>
      <c r="E71" s="390"/>
      <c r="F71" s="381"/>
      <c r="G71" s="36"/>
      <c r="H71" s="36"/>
      <c r="I71" s="36"/>
      <c r="J71" s="36"/>
      <c r="K71" s="36"/>
    </row>
    <row r="72" spans="2:11" ht="15" customHeight="1" thickBot="1">
      <c r="B72" s="399" t="s">
        <v>142</v>
      </c>
      <c r="C72" s="404" t="s">
        <v>143</v>
      </c>
      <c r="D72" s="404"/>
      <c r="E72" s="404" t="s">
        <v>144</v>
      </c>
      <c r="G72" s="398"/>
      <c r="H72" s="399" t="s">
        <v>84</v>
      </c>
      <c r="I72" s="399" t="s">
        <v>85</v>
      </c>
      <c r="J72" s="399" t="s">
        <v>86</v>
      </c>
      <c r="K72" s="399" t="s">
        <v>87</v>
      </c>
    </row>
    <row r="73" spans="2:11" ht="15" customHeight="1">
      <c r="B73" s="381" t="s">
        <v>145</v>
      </c>
      <c r="C73" s="780" t="s">
        <v>146</v>
      </c>
      <c r="D73" s="780"/>
      <c r="E73" s="400" t="s">
        <v>147</v>
      </c>
      <c r="G73" s="797" t="s">
        <v>148</v>
      </c>
      <c r="H73" s="807"/>
      <c r="I73" s="810"/>
      <c r="J73" s="799"/>
      <c r="K73" s="791" t="s">
        <v>149</v>
      </c>
    </row>
    <row r="74" spans="2:11" ht="15" customHeight="1">
      <c r="B74" s="381" t="s">
        <v>150</v>
      </c>
      <c r="C74" s="778" t="s">
        <v>151</v>
      </c>
      <c r="D74" s="778"/>
      <c r="E74" s="400" t="s">
        <v>152</v>
      </c>
      <c r="G74" s="797"/>
      <c r="H74" s="807"/>
      <c r="I74" s="810"/>
      <c r="J74" s="799"/>
      <c r="K74" s="791"/>
    </row>
    <row r="75" spans="2:11" ht="15" customHeight="1">
      <c r="B75" s="381" t="s">
        <v>153</v>
      </c>
      <c r="C75" s="778" t="s">
        <v>151</v>
      </c>
      <c r="D75" s="778"/>
      <c r="E75" s="400" t="s">
        <v>154</v>
      </c>
      <c r="G75" s="797" t="s">
        <v>155</v>
      </c>
      <c r="H75" s="809"/>
      <c r="I75" s="792"/>
      <c r="J75" s="790"/>
      <c r="K75" s="791" t="s">
        <v>156</v>
      </c>
    </row>
    <row r="76" spans="2:11" ht="15" customHeight="1">
      <c r="B76" s="381" t="s">
        <v>157</v>
      </c>
      <c r="C76" s="778" t="s">
        <v>158</v>
      </c>
      <c r="D76" s="778"/>
      <c r="E76" s="400" t="s">
        <v>159</v>
      </c>
      <c r="G76" s="797"/>
      <c r="H76" s="809"/>
      <c r="I76" s="792"/>
      <c r="J76" s="790"/>
      <c r="K76" s="791"/>
    </row>
    <row r="77" spans="2:11" ht="15" customHeight="1">
      <c r="B77" s="690" t="s">
        <v>160</v>
      </c>
      <c r="C77" s="778" t="s">
        <v>151</v>
      </c>
      <c r="D77" s="778"/>
      <c r="E77" s="379" t="s">
        <v>161</v>
      </c>
      <c r="G77" s="797" t="s">
        <v>162</v>
      </c>
      <c r="H77" s="807"/>
      <c r="I77" s="792"/>
      <c r="J77" s="790"/>
      <c r="K77" s="791" t="s">
        <v>163</v>
      </c>
    </row>
    <row r="78" spans="2:11" ht="15" customHeight="1">
      <c r="B78" s="381" t="s">
        <v>164</v>
      </c>
      <c r="C78" s="778" t="s">
        <v>151</v>
      </c>
      <c r="D78" s="778"/>
      <c r="E78" s="400" t="s">
        <v>165</v>
      </c>
      <c r="G78" s="797"/>
      <c r="H78" s="807"/>
      <c r="I78" s="792"/>
      <c r="J78" s="790"/>
      <c r="K78" s="791"/>
    </row>
    <row r="79" spans="2:11" ht="18" customHeight="1">
      <c r="B79" s="381" t="s">
        <v>166</v>
      </c>
      <c r="C79" s="778" t="s">
        <v>151</v>
      </c>
      <c r="D79" s="778"/>
      <c r="E79" s="400" t="s">
        <v>167</v>
      </c>
      <c r="G79" s="797" t="s">
        <v>168</v>
      </c>
      <c r="H79" s="808"/>
      <c r="I79" s="792"/>
      <c r="J79" s="790"/>
      <c r="K79" s="791" t="s">
        <v>169</v>
      </c>
    </row>
    <row r="80" spans="2:11" ht="12.95" customHeight="1">
      <c r="B80" s="381" t="s">
        <v>170</v>
      </c>
      <c r="C80" s="778" t="s">
        <v>151</v>
      </c>
      <c r="D80" s="778"/>
      <c r="E80" s="400" t="s">
        <v>171</v>
      </c>
      <c r="G80" s="797"/>
      <c r="H80" s="808"/>
      <c r="I80" s="792"/>
      <c r="J80" s="790"/>
      <c r="K80" s="791"/>
    </row>
    <row r="81" spans="2:11" ht="15" customHeight="1">
      <c r="B81" s="381" t="s">
        <v>172</v>
      </c>
      <c r="C81" s="778" t="s">
        <v>151</v>
      </c>
      <c r="D81" s="778"/>
      <c r="E81" s="400" t="s">
        <v>173</v>
      </c>
      <c r="G81" s="797" t="s">
        <v>174</v>
      </c>
      <c r="H81" s="811"/>
      <c r="I81" s="792"/>
      <c r="J81" s="790"/>
      <c r="K81" s="791" t="s">
        <v>175</v>
      </c>
    </row>
    <row r="82" spans="2:11" ht="15" customHeight="1">
      <c r="B82" s="381" t="s">
        <v>176</v>
      </c>
      <c r="C82" s="778" t="s">
        <v>151</v>
      </c>
      <c r="D82" s="778"/>
      <c r="E82" s="400" t="s">
        <v>147</v>
      </c>
      <c r="G82" s="797"/>
      <c r="H82" s="811"/>
      <c r="I82" s="792"/>
      <c r="J82" s="790"/>
      <c r="K82" s="791"/>
    </row>
    <row r="83" spans="2:11" ht="15" customHeight="1">
      <c r="C83" s="778"/>
      <c r="D83" s="778"/>
      <c r="E83" s="381"/>
      <c r="G83" s="797" t="s">
        <v>177</v>
      </c>
      <c r="H83" s="807"/>
      <c r="I83" s="792"/>
      <c r="J83" s="790"/>
      <c r="K83" s="791" t="s">
        <v>178</v>
      </c>
    </row>
    <row r="84" spans="2:11" ht="15" customHeight="1">
      <c r="C84" s="778"/>
      <c r="D84" s="778"/>
      <c r="E84" s="381"/>
      <c r="G84" s="797"/>
      <c r="H84" s="807"/>
      <c r="I84" s="792"/>
      <c r="J84" s="790"/>
      <c r="K84" s="791"/>
    </row>
    <row r="85" spans="2:11" ht="15" customHeight="1">
      <c r="C85" s="778"/>
      <c r="D85" s="778"/>
      <c r="E85" s="381"/>
      <c r="G85" s="797" t="s">
        <v>179</v>
      </c>
      <c r="H85" s="809"/>
      <c r="I85" s="792"/>
      <c r="J85" s="790"/>
      <c r="K85" s="791" t="s">
        <v>180</v>
      </c>
    </row>
    <row r="86" spans="2:11" ht="15" customHeight="1">
      <c r="C86" s="778"/>
      <c r="D86" s="778"/>
      <c r="E86" s="381"/>
      <c r="G86" s="797"/>
      <c r="H86" s="809"/>
      <c r="I86" s="792"/>
      <c r="J86" s="790"/>
      <c r="K86" s="791"/>
    </row>
    <row r="87" spans="2:11" ht="15" customHeight="1">
      <c r="C87" s="778"/>
      <c r="D87" s="778"/>
      <c r="E87" s="381"/>
      <c r="G87" s="797" t="s">
        <v>181</v>
      </c>
      <c r="H87" s="809"/>
      <c r="I87" s="792"/>
      <c r="J87" s="790"/>
      <c r="K87" s="791" t="s">
        <v>182</v>
      </c>
    </row>
    <row r="88" spans="2:11" ht="15" customHeight="1">
      <c r="C88" s="778"/>
      <c r="D88" s="778"/>
      <c r="E88" s="381"/>
      <c r="G88" s="797"/>
      <c r="H88" s="809"/>
      <c r="I88" s="792"/>
      <c r="J88" s="790"/>
      <c r="K88" s="791"/>
    </row>
    <row r="89" spans="2:11" ht="15" customHeight="1">
      <c r="C89" s="778"/>
      <c r="D89" s="778"/>
      <c r="E89" s="381"/>
      <c r="G89" s="797" t="s">
        <v>183</v>
      </c>
      <c r="H89" s="809"/>
      <c r="I89" s="792"/>
      <c r="J89" s="790"/>
      <c r="K89" s="791" t="s">
        <v>184</v>
      </c>
    </row>
    <row r="90" spans="2:11" ht="15" customHeight="1">
      <c r="C90" s="778"/>
      <c r="D90" s="778"/>
      <c r="E90" s="381"/>
      <c r="G90" s="797"/>
      <c r="H90" s="809"/>
      <c r="I90" s="792"/>
      <c r="J90" s="790"/>
      <c r="K90" s="791"/>
    </row>
    <row r="91" spans="2:11" ht="15" customHeight="1">
      <c r="C91" s="778"/>
      <c r="D91" s="778"/>
      <c r="E91" s="381"/>
      <c r="G91" s="797" t="s">
        <v>185</v>
      </c>
      <c r="H91" s="812"/>
      <c r="I91" s="792"/>
      <c r="J91" s="790"/>
      <c r="K91" s="791" t="s">
        <v>186</v>
      </c>
    </row>
    <row r="92" spans="2:11" ht="15" customHeight="1">
      <c r="C92" s="778"/>
      <c r="D92" s="778"/>
      <c r="E92" s="381"/>
      <c r="G92" s="797"/>
      <c r="H92" s="812"/>
      <c r="I92" s="792"/>
      <c r="J92" s="790"/>
      <c r="K92" s="791"/>
    </row>
    <row r="93" spans="2:11" ht="15" customHeight="1">
      <c r="C93" s="778"/>
      <c r="D93" s="778"/>
      <c r="E93" s="381"/>
      <c r="G93" s="797" t="s">
        <v>187</v>
      </c>
      <c r="H93" s="807"/>
      <c r="I93" s="792"/>
      <c r="J93" s="790"/>
      <c r="K93" s="791" t="s">
        <v>188</v>
      </c>
    </row>
    <row r="94" spans="2:11" ht="15" customHeight="1">
      <c r="G94" s="797"/>
      <c r="H94" s="807"/>
      <c r="I94" s="792"/>
      <c r="J94" s="790"/>
      <c r="K94" s="791"/>
    </row>
  </sheetData>
  <mergeCells count="204">
    <mergeCell ref="J93:J94"/>
    <mergeCell ref="K91:K92"/>
    <mergeCell ref="K93:K94"/>
    <mergeCell ref="H87:H88"/>
    <mergeCell ref="H81:H82"/>
    <mergeCell ref="H83:H84"/>
    <mergeCell ref="H93:H94"/>
    <mergeCell ref="H89:H90"/>
    <mergeCell ref="H91:H92"/>
    <mergeCell ref="J91:J92"/>
    <mergeCell ref="K81:K82"/>
    <mergeCell ref="K83:K84"/>
    <mergeCell ref="K85:K86"/>
    <mergeCell ref="K87:K88"/>
    <mergeCell ref="K89:K90"/>
    <mergeCell ref="J83:J84"/>
    <mergeCell ref="I85:I86"/>
    <mergeCell ref="J85:J86"/>
    <mergeCell ref="I87:I88"/>
    <mergeCell ref="J87:J88"/>
    <mergeCell ref="I89:I90"/>
    <mergeCell ref="J89:J90"/>
    <mergeCell ref="G91:G92"/>
    <mergeCell ref="G93:G94"/>
    <mergeCell ref="I93:I94"/>
    <mergeCell ref="H65:H66"/>
    <mergeCell ref="H67:H68"/>
    <mergeCell ref="H61:H62"/>
    <mergeCell ref="H63:H64"/>
    <mergeCell ref="H77:H78"/>
    <mergeCell ref="H79:H80"/>
    <mergeCell ref="H73:H74"/>
    <mergeCell ref="H75:H76"/>
    <mergeCell ref="H85:H86"/>
    <mergeCell ref="I63:I64"/>
    <mergeCell ref="G75:G76"/>
    <mergeCell ref="G77:G78"/>
    <mergeCell ref="G79:G80"/>
    <mergeCell ref="G81:G82"/>
    <mergeCell ref="G83:G84"/>
    <mergeCell ref="G85:G86"/>
    <mergeCell ref="G87:G88"/>
    <mergeCell ref="G89:G90"/>
    <mergeCell ref="I91:I92"/>
    <mergeCell ref="I73:I74"/>
    <mergeCell ref="I83:I84"/>
    <mergeCell ref="H26:J27"/>
    <mergeCell ref="H28:J29"/>
    <mergeCell ref="H16:J17"/>
    <mergeCell ref="H18:J19"/>
    <mergeCell ref="H20:J21"/>
    <mergeCell ref="H22:J23"/>
    <mergeCell ref="H33:H34"/>
    <mergeCell ref="G33:G34"/>
    <mergeCell ref="H41:H42"/>
    <mergeCell ref="H37:H38"/>
    <mergeCell ref="H39:H40"/>
    <mergeCell ref="G35:G36"/>
    <mergeCell ref="G37:G38"/>
    <mergeCell ref="G39:G40"/>
    <mergeCell ref="G41:G42"/>
    <mergeCell ref="I37:I38"/>
    <mergeCell ref="H49:H50"/>
    <mergeCell ref="H51:H52"/>
    <mergeCell ref="H47:H48"/>
    <mergeCell ref="H57:H58"/>
    <mergeCell ref="H59:H60"/>
    <mergeCell ref="H53:H54"/>
    <mergeCell ref="H55:H56"/>
    <mergeCell ref="K47:K48"/>
    <mergeCell ref="K49:K50"/>
    <mergeCell ref="K51:K52"/>
    <mergeCell ref="K53:K54"/>
    <mergeCell ref="K55:K56"/>
    <mergeCell ref="K57:K58"/>
    <mergeCell ref="K59:K60"/>
    <mergeCell ref="I47:I48"/>
    <mergeCell ref="I49:I50"/>
    <mergeCell ref="I51:I52"/>
    <mergeCell ref="I53:I54"/>
    <mergeCell ref="I55:I56"/>
    <mergeCell ref="I57:I58"/>
    <mergeCell ref="I59:I60"/>
    <mergeCell ref="J47:J48"/>
    <mergeCell ref="J49:J50"/>
    <mergeCell ref="J51:J52"/>
    <mergeCell ref="I75:I76"/>
    <mergeCell ref="J75:J76"/>
    <mergeCell ref="I77:I78"/>
    <mergeCell ref="J77:J78"/>
    <mergeCell ref="I79:I80"/>
    <mergeCell ref="J79:J80"/>
    <mergeCell ref="I81:I82"/>
    <mergeCell ref="J81:J82"/>
    <mergeCell ref="I61:I62"/>
    <mergeCell ref="J73:J74"/>
    <mergeCell ref="I65:I66"/>
    <mergeCell ref="I67:I68"/>
    <mergeCell ref="G47:G48"/>
    <mergeCell ref="G49:G50"/>
    <mergeCell ref="G51:G52"/>
    <mergeCell ref="G53:G54"/>
    <mergeCell ref="G73:G74"/>
    <mergeCell ref="G55:G56"/>
    <mergeCell ref="G57:G58"/>
    <mergeCell ref="G59:G60"/>
    <mergeCell ref="G61:G62"/>
    <mergeCell ref="G63:G64"/>
    <mergeCell ref="G65:G66"/>
    <mergeCell ref="G67:G68"/>
    <mergeCell ref="J53:J54"/>
    <mergeCell ref="J55:J56"/>
    <mergeCell ref="J57:J58"/>
    <mergeCell ref="K73:K74"/>
    <mergeCell ref="K75:K76"/>
    <mergeCell ref="K77:K78"/>
    <mergeCell ref="K79:K80"/>
    <mergeCell ref="K65:K66"/>
    <mergeCell ref="K67:K68"/>
    <mergeCell ref="J59:J60"/>
    <mergeCell ref="J61:J62"/>
    <mergeCell ref="J63:J64"/>
    <mergeCell ref="J65:J66"/>
    <mergeCell ref="J67:J68"/>
    <mergeCell ref="K61:K62"/>
    <mergeCell ref="K63:K64"/>
    <mergeCell ref="C33:E33"/>
    <mergeCell ref="C34:E34"/>
    <mergeCell ref="C35:E35"/>
    <mergeCell ref="C36:E36"/>
    <mergeCell ref="C37:E37"/>
    <mergeCell ref="C38:E38"/>
    <mergeCell ref="K41:K42"/>
    <mergeCell ref="K39:K40"/>
    <mergeCell ref="K37:K38"/>
    <mergeCell ref="K35:K36"/>
    <mergeCell ref="K33:K34"/>
    <mergeCell ref="J41:J42"/>
    <mergeCell ref="J39:J40"/>
    <mergeCell ref="J35:J36"/>
    <mergeCell ref="J33:J34"/>
    <mergeCell ref="I41:I42"/>
    <mergeCell ref="I39:I40"/>
    <mergeCell ref="J37:J38"/>
    <mergeCell ref="I35:I36"/>
    <mergeCell ref="I33:I34"/>
    <mergeCell ref="H35:H36"/>
    <mergeCell ref="C39:E39"/>
    <mergeCell ref="C41:E41"/>
    <mergeCell ref="C42:E42"/>
    <mergeCell ref="D24:E24"/>
    <mergeCell ref="D19:E19"/>
    <mergeCell ref="D15:E15"/>
    <mergeCell ref="D16:E16"/>
    <mergeCell ref="D17:E17"/>
    <mergeCell ref="D18:E18"/>
    <mergeCell ref="D20:E20"/>
    <mergeCell ref="D21:E21"/>
    <mergeCell ref="D22:E22"/>
    <mergeCell ref="D23:E23"/>
    <mergeCell ref="C90:D90"/>
    <mergeCell ref="C91:D91"/>
    <mergeCell ref="C92:D92"/>
    <mergeCell ref="C93:D93"/>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C81:D81"/>
    <mergeCell ref="C82:D82"/>
    <mergeCell ref="C43:E43"/>
    <mergeCell ref="C89:D89"/>
    <mergeCell ref="C83:D83"/>
    <mergeCell ref="C84:D84"/>
    <mergeCell ref="C85:D85"/>
    <mergeCell ref="C86:D86"/>
    <mergeCell ref="C87:D87"/>
    <mergeCell ref="C88:D88"/>
    <mergeCell ref="B65:E65"/>
    <mergeCell ref="B66:E66"/>
    <mergeCell ref="B67:E67"/>
    <mergeCell ref="B68:E68"/>
    <mergeCell ref="C73:D73"/>
    <mergeCell ref="C74:D74"/>
    <mergeCell ref="C75:D75"/>
    <mergeCell ref="C76:D76"/>
    <mergeCell ref="C77:D77"/>
    <mergeCell ref="C78:D78"/>
    <mergeCell ref="C79:D79"/>
    <mergeCell ref="C80:D80"/>
  </mergeCells>
  <dataValidations count="1">
    <dataValidation type="list" allowBlank="1" showInputMessage="1" showErrorMessage="1" sqref="C33:E33" xr:uid="{00000000-0002-0000-0300-000000000000}">
      <formula1>"Energy, Materials, Industrials, Consumer Discrecionary, Consumer Staples, Health Care, Financials, Information Technology, Communication Services, Utilities, Real Estate"</formula1>
    </dataValidation>
  </dataValidations>
  <hyperlinks>
    <hyperlink ref="C41:E41" r:id="rId1" display="Form 10K 2024" xr:uid="{01946A48-BF64-4E03-8218-BC5FC971509A}"/>
    <hyperlink ref="C43:E43" r:id="rId2" display="2023 Sustainability Report" xr:uid="{D8505DCE-20BD-49F7-894F-A9E237F1DF49}"/>
    <hyperlink ref="C42:E42" r:id="rId3" display="2024 Sustainability Report Update" xr:uid="{429D3155-7EC8-EF40-B2C3-CBFA3589E259}"/>
  </hyperlinks>
  <pageMargins left="0.7" right="0.7" top="0.75" bottom="0.75" header="0.3" footer="0.3"/>
  <pageSetup paperSize="9" orientation="portrait" r:id="rId4"/>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BG46"/>
  <sheetViews>
    <sheetView showGridLines="0" topLeftCell="A3" zoomScale="77" zoomScaleNormal="100" workbookViewId="0">
      <selection activeCell="BB29" sqref="BB29"/>
    </sheetView>
  </sheetViews>
  <sheetFormatPr defaultColWidth="9" defaultRowHeight="15" customHeight="1" outlineLevelCol="1"/>
  <cols>
    <col min="1" max="1" width="2" style="97" customWidth="1"/>
    <col min="2" max="2" width="39.375" style="97" customWidth="1"/>
    <col min="3" max="3" width="3.375" style="23" customWidth="1"/>
    <col min="4" max="7" width="9.5" style="97" hidden="1" customWidth="1" outlineLevel="1"/>
    <col min="8" max="8" width="11.5" style="97" customWidth="1" collapsed="1"/>
    <col min="9" max="9" width="1.5" style="23" customWidth="1"/>
    <col min="10" max="13" width="9.5" style="97" hidden="1" customWidth="1" outlineLevel="1"/>
    <col min="14" max="14" width="11.5" style="97" customWidth="1" collapsed="1"/>
    <col min="15" max="15" width="1.5" style="23" customWidth="1"/>
    <col min="16" max="19" width="9.5" style="97" hidden="1" customWidth="1" outlineLevel="1"/>
    <col min="20" max="20" width="11.5" style="97" customWidth="1" collapsed="1"/>
    <col min="21" max="21" width="1.5" style="23" customWidth="1"/>
    <col min="22" max="25" width="9.5" style="97" hidden="1" customWidth="1" outlineLevel="1"/>
    <col min="26" max="26" width="11.5" style="97" customWidth="1" collapsed="1"/>
    <col min="27" max="27" width="1.5" style="23" customWidth="1"/>
    <col min="28" max="31" width="9.5" style="97" hidden="1" customWidth="1" outlineLevel="1"/>
    <col min="32" max="32" width="11.5" style="97" customWidth="1" collapsed="1"/>
    <col min="33" max="33" width="1.5" style="23" customWidth="1"/>
    <col min="34" max="37" width="9.5" style="97" hidden="1" customWidth="1" outlineLevel="1"/>
    <col min="38" max="38" width="11.5" style="97" customWidth="1" collapsed="1"/>
    <col min="39" max="39" width="1.5" style="23" customWidth="1"/>
    <col min="40" max="43" width="9.5" style="97" hidden="1" customWidth="1" outlineLevel="1"/>
    <col min="44" max="44" width="11.5" style="97" customWidth="1" collapsed="1"/>
    <col min="45" max="45" width="1.5" style="23" customWidth="1"/>
    <col min="46" max="46" width="11.5" style="97" customWidth="1"/>
    <col min="47" max="47" width="1.5" style="23" customWidth="1"/>
    <col min="48" max="48" width="11.5" style="105" customWidth="1"/>
    <col min="49" max="49" width="1.5" style="23" customWidth="1"/>
    <col min="50" max="50" width="11.5" style="97" customWidth="1"/>
    <col min="51" max="51" width="1.5" style="97" customWidth="1"/>
    <col min="52" max="16384" width="9" style="97"/>
  </cols>
  <sheetData>
    <row r="1" spans="1:59" s="582" customFormat="1" ht="15" customHeight="1"/>
    <row r="2" spans="1:59" s="582" customFormat="1" ht="15" customHeight="1"/>
    <row r="3" spans="1:59" s="582" customFormat="1" ht="15" customHeight="1"/>
    <row r="4" spans="1:59" s="582" customFormat="1" ht="15" customHeight="1"/>
    <row r="5" spans="1:59" s="288" customFormat="1" ht="3.95" customHeight="1">
      <c r="C5" s="36"/>
      <c r="I5" s="36"/>
      <c r="O5" s="36"/>
      <c r="U5" s="36"/>
      <c r="AA5" s="36"/>
      <c r="AG5" s="36"/>
      <c r="AM5" s="36"/>
      <c r="AS5" s="36"/>
      <c r="AU5" s="36"/>
      <c r="AV5" s="289"/>
      <c r="AW5" s="36"/>
    </row>
    <row r="7" spans="1:59" s="41" customFormat="1" ht="15" customHeight="1">
      <c r="A7" s="44" t="s">
        <v>38</v>
      </c>
      <c r="B7" s="161" t="s">
        <v>189</v>
      </c>
      <c r="C7" s="18"/>
      <c r="D7" s="202">
        <f>F7</f>
        <v>2020</v>
      </c>
      <c r="E7" s="202">
        <f>F7</f>
        <v>2020</v>
      </c>
      <c r="F7" s="202">
        <v>2020</v>
      </c>
      <c r="G7" s="202">
        <f>F7</f>
        <v>2020</v>
      </c>
      <c r="H7" s="202">
        <f>F7</f>
        <v>2020</v>
      </c>
      <c r="I7" s="18"/>
      <c r="J7" s="202">
        <f>L7</f>
        <v>2021</v>
      </c>
      <c r="K7" s="202">
        <f>L7</f>
        <v>2021</v>
      </c>
      <c r="L7" s="202">
        <v>2021</v>
      </c>
      <c r="M7" s="202">
        <f>L7</f>
        <v>2021</v>
      </c>
      <c r="N7" s="202">
        <f>L7</f>
        <v>2021</v>
      </c>
      <c r="O7" s="169"/>
      <c r="P7" s="202">
        <f>R7</f>
        <v>2022</v>
      </c>
      <c r="Q7" s="202">
        <f>R7</f>
        <v>2022</v>
      </c>
      <c r="R7" s="202">
        <v>2022</v>
      </c>
      <c r="S7" s="202">
        <f>R7</f>
        <v>2022</v>
      </c>
      <c r="T7" s="202">
        <f>R7</f>
        <v>2022</v>
      </c>
      <c r="U7" s="169"/>
      <c r="V7" s="202">
        <f>X7</f>
        <v>2023</v>
      </c>
      <c r="W7" s="202">
        <f>X7</f>
        <v>2023</v>
      </c>
      <c r="X7" s="202">
        <v>2023</v>
      </c>
      <c r="Y7" s="202">
        <f>X7</f>
        <v>2023</v>
      </c>
      <c r="Z7" s="202">
        <f>X7</f>
        <v>2023</v>
      </c>
      <c r="AA7" s="170"/>
      <c r="AB7" s="202">
        <f>AD7</f>
        <v>2024</v>
      </c>
      <c r="AC7" s="202">
        <f>AD7</f>
        <v>2024</v>
      </c>
      <c r="AD7" s="202">
        <v>2024</v>
      </c>
      <c r="AE7" s="202">
        <f>AD7</f>
        <v>2024</v>
      </c>
      <c r="AF7" s="202">
        <f>AD7</f>
        <v>2024</v>
      </c>
      <c r="AG7" s="170"/>
      <c r="AH7" s="202">
        <f>AJ7</f>
        <v>2025</v>
      </c>
      <c r="AI7" s="202">
        <f>AJ7</f>
        <v>2025</v>
      </c>
      <c r="AJ7" s="203">
        <v>2025</v>
      </c>
      <c r="AK7" s="202">
        <f>AJ7</f>
        <v>2025</v>
      </c>
      <c r="AL7" s="202">
        <f>AJ7</f>
        <v>2025</v>
      </c>
      <c r="AM7" s="171"/>
      <c r="AN7" s="202">
        <f>AP7</f>
        <v>2025</v>
      </c>
      <c r="AO7" s="202">
        <f>AP7</f>
        <v>2025</v>
      </c>
      <c r="AP7" s="203">
        <v>2025</v>
      </c>
      <c r="AQ7" s="202">
        <f>AP7</f>
        <v>2025</v>
      </c>
      <c r="AR7" s="202">
        <f>AP7</f>
        <v>2025</v>
      </c>
      <c r="AS7" s="18"/>
      <c r="AT7" s="162"/>
      <c r="AU7" s="18"/>
      <c r="AV7" s="163"/>
      <c r="AW7" s="18"/>
      <c r="AX7" s="163"/>
      <c r="AY7" s="19"/>
      <c r="AZ7" s="164" t="s">
        <v>190</v>
      </c>
      <c r="BA7" s="164"/>
      <c r="BB7" s="164"/>
      <c r="BC7" s="164"/>
      <c r="BD7" s="164"/>
      <c r="BE7" s="164"/>
      <c r="BF7" s="164"/>
      <c r="BG7" s="164"/>
    </row>
    <row r="8" spans="1:59" s="41" customFormat="1" ht="15" customHeight="1">
      <c r="B8" s="164"/>
      <c r="C8" s="18"/>
      <c r="D8" s="815">
        <v>2020</v>
      </c>
      <c r="E8" s="815"/>
      <c r="F8" s="815"/>
      <c r="G8" s="815"/>
      <c r="H8" s="815"/>
      <c r="I8" s="169"/>
      <c r="J8" s="815">
        <f>D8+1</f>
        <v>2021</v>
      </c>
      <c r="K8" s="815"/>
      <c r="L8" s="815"/>
      <c r="M8" s="815"/>
      <c r="N8" s="815"/>
      <c r="O8" s="169"/>
      <c r="P8" s="815">
        <f>J8+1</f>
        <v>2022</v>
      </c>
      <c r="Q8" s="815"/>
      <c r="R8" s="815"/>
      <c r="S8" s="815"/>
      <c r="T8" s="815"/>
      <c r="U8" s="169"/>
      <c r="V8" s="815">
        <f>P8+1</f>
        <v>2023</v>
      </c>
      <c r="W8" s="815"/>
      <c r="X8" s="815"/>
      <c r="Y8" s="815"/>
      <c r="Z8" s="815"/>
      <c r="AA8" s="169"/>
      <c r="AB8" s="815">
        <f>V8+1</f>
        <v>2024</v>
      </c>
      <c r="AC8" s="815"/>
      <c r="AD8" s="815"/>
      <c r="AE8" s="815"/>
      <c r="AF8" s="815"/>
      <c r="AG8" s="169"/>
      <c r="AH8" s="813">
        <f>AB8+1</f>
        <v>2025</v>
      </c>
      <c r="AI8" s="813"/>
      <c r="AJ8" s="813"/>
      <c r="AK8" s="813"/>
      <c r="AL8" s="813"/>
      <c r="AM8" s="169"/>
      <c r="AN8" s="813">
        <f>AH8+1</f>
        <v>2026</v>
      </c>
      <c r="AO8" s="813"/>
      <c r="AP8" s="813"/>
      <c r="AQ8" s="813"/>
      <c r="AR8" s="813"/>
      <c r="AS8" s="171"/>
      <c r="AT8" s="166">
        <f>AN8+1</f>
        <v>2027</v>
      </c>
      <c r="AU8" s="167"/>
      <c r="AV8" s="166">
        <f>+AT8+1</f>
        <v>2028</v>
      </c>
      <c r="AW8" s="167"/>
      <c r="AX8" s="166">
        <f>+AV8+1</f>
        <v>2029</v>
      </c>
      <c r="AY8" s="555"/>
      <c r="AZ8" s="164"/>
      <c r="BA8" s="164"/>
      <c r="BB8" s="164"/>
      <c r="BC8" s="164"/>
      <c r="BD8" s="164"/>
      <c r="BE8" s="164"/>
      <c r="BF8" s="164"/>
      <c r="BG8" s="164"/>
    </row>
    <row r="9" spans="1:59" s="41" customFormat="1" ht="15" customHeight="1">
      <c r="B9" s="164"/>
      <c r="C9" s="18"/>
      <c r="D9" s="168" t="s">
        <v>191</v>
      </c>
      <c r="E9" s="168" t="s">
        <v>192</v>
      </c>
      <c r="F9" s="168" t="s">
        <v>193</v>
      </c>
      <c r="G9" s="168" t="s">
        <v>194</v>
      </c>
      <c r="H9" s="168" t="s">
        <v>195</v>
      </c>
      <c r="I9" s="18"/>
      <c r="J9" s="168" t="s">
        <v>191</v>
      </c>
      <c r="K9" s="168" t="s">
        <v>192</v>
      </c>
      <c r="L9" s="168" t="s">
        <v>193</v>
      </c>
      <c r="M9" s="168" t="s">
        <v>194</v>
      </c>
      <c r="N9" s="168" t="s">
        <v>195</v>
      </c>
      <c r="O9" s="165"/>
      <c r="P9" s="168" t="s">
        <v>191</v>
      </c>
      <c r="Q9" s="168" t="s">
        <v>192</v>
      </c>
      <c r="R9" s="168" t="s">
        <v>193</v>
      </c>
      <c r="S9" s="168" t="s">
        <v>194</v>
      </c>
      <c r="T9" s="168" t="s">
        <v>195</v>
      </c>
      <c r="U9" s="165"/>
      <c r="V9" s="168" t="s">
        <v>191</v>
      </c>
      <c r="W9" s="168" t="s">
        <v>192</v>
      </c>
      <c r="X9" s="168" t="s">
        <v>193</v>
      </c>
      <c r="Y9" s="168" t="s">
        <v>194</v>
      </c>
      <c r="Z9" s="168" t="s">
        <v>195</v>
      </c>
      <c r="AA9" s="165"/>
      <c r="AB9" s="168" t="s">
        <v>191</v>
      </c>
      <c r="AC9" s="168" t="s">
        <v>192</v>
      </c>
      <c r="AD9" s="168" t="s">
        <v>193</v>
      </c>
      <c r="AE9" s="168" t="s">
        <v>194</v>
      </c>
      <c r="AF9" s="168" t="s">
        <v>195</v>
      </c>
      <c r="AG9" s="165"/>
      <c r="AH9" s="168" t="s">
        <v>191</v>
      </c>
      <c r="AI9" s="168" t="s">
        <v>192</v>
      </c>
      <c r="AJ9" s="168" t="s">
        <v>193</v>
      </c>
      <c r="AK9" s="168" t="s">
        <v>194</v>
      </c>
      <c r="AL9" s="168" t="s">
        <v>195</v>
      </c>
      <c r="AM9" s="165"/>
      <c r="AN9" s="168" t="s">
        <v>191</v>
      </c>
      <c r="AO9" s="168" t="s">
        <v>192</v>
      </c>
      <c r="AP9" s="168" t="s">
        <v>193</v>
      </c>
      <c r="AQ9" s="168" t="s">
        <v>194</v>
      </c>
      <c r="AR9" s="168" t="s">
        <v>195</v>
      </c>
      <c r="AS9" s="165"/>
      <c r="AT9" s="168" t="s">
        <v>195</v>
      </c>
      <c r="AU9" s="165"/>
      <c r="AV9" s="168" t="s">
        <v>195</v>
      </c>
      <c r="AW9" s="165"/>
      <c r="AX9" s="168" t="s">
        <v>195</v>
      </c>
      <c r="AY9" s="556"/>
      <c r="AZ9" s="164"/>
      <c r="BA9" s="164"/>
      <c r="BB9" s="164"/>
      <c r="BC9" s="164"/>
      <c r="BD9" s="164"/>
      <c r="BE9" s="164"/>
      <c r="BF9" s="164"/>
      <c r="BG9" s="164"/>
    </row>
    <row r="10" spans="1:59" s="41" customFormat="1" ht="3.95"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c r="AY10" s="34"/>
      <c r="AZ10" s="176"/>
      <c r="BA10" s="176"/>
      <c r="BB10" s="176"/>
      <c r="BC10" s="176"/>
      <c r="BD10" s="176"/>
      <c r="BE10" s="176"/>
      <c r="BF10" s="176"/>
      <c r="BG10" s="176"/>
    </row>
    <row r="11" spans="1:59" s="41" customFormat="1" ht="3.95"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9" s="54" customFormat="1" ht="15" customHeight="1">
      <c r="B12" s="694" t="s">
        <v>196</v>
      </c>
      <c r="C12" s="23"/>
      <c r="D12" s="66"/>
      <c r="E12" s="66"/>
      <c r="F12" s="66"/>
      <c r="G12" s="66"/>
      <c r="H12" s="688"/>
      <c r="I12" s="48"/>
      <c r="J12" s="66"/>
      <c r="K12" s="66"/>
      <c r="L12" s="66"/>
      <c r="M12" s="66"/>
      <c r="N12" s="688"/>
      <c r="O12" s="47"/>
      <c r="P12" s="66"/>
      <c r="Q12" s="66"/>
      <c r="R12" s="66"/>
      <c r="S12" s="66"/>
      <c r="T12" s="47"/>
      <c r="U12" s="47"/>
      <c r="V12" s="66"/>
      <c r="W12" s="66"/>
      <c r="X12" s="66"/>
      <c r="Y12" s="66"/>
      <c r="Z12" s="47"/>
      <c r="AA12" s="47"/>
      <c r="AB12" s="66"/>
      <c r="AC12" s="66"/>
      <c r="AD12" s="66"/>
      <c r="AE12" s="66"/>
      <c r="AF12" s="47"/>
      <c r="AG12" s="49"/>
      <c r="AH12" s="66"/>
      <c r="AI12" s="66"/>
      <c r="AJ12" s="68"/>
      <c r="AK12" s="68"/>
      <c r="AL12" s="47"/>
      <c r="AM12" s="51"/>
      <c r="AN12" s="68"/>
      <c r="AO12" s="68"/>
      <c r="AP12" s="68"/>
      <c r="AQ12" s="68"/>
      <c r="AR12" s="47"/>
      <c r="AS12" s="51"/>
      <c r="AT12" s="52"/>
      <c r="AU12" s="53"/>
      <c r="AV12" s="52"/>
      <c r="AW12" s="53"/>
      <c r="AX12" s="52"/>
    </row>
    <row r="13" spans="1:59" s="54" customFormat="1" ht="15" customHeight="1">
      <c r="A13" s="55"/>
      <c r="B13" s="56" t="s">
        <v>197</v>
      </c>
      <c r="C13" s="23"/>
      <c r="D13" s="46"/>
      <c r="E13" s="46"/>
      <c r="F13" s="46"/>
      <c r="G13" s="46"/>
      <c r="H13" s="688">
        <v>1510279</v>
      </c>
      <c r="I13" s="48"/>
      <c r="J13" s="46"/>
      <c r="K13" s="46"/>
      <c r="L13" s="46"/>
      <c r="M13" s="46"/>
      <c r="N13" s="688">
        <v>2032761</v>
      </c>
      <c r="O13" s="47"/>
      <c r="P13" s="46"/>
      <c r="Q13" s="46"/>
      <c r="R13" s="46"/>
      <c r="S13" s="46"/>
      <c r="T13" s="47">
        <v>2394762</v>
      </c>
      <c r="U13" s="47"/>
      <c r="V13" s="46"/>
      <c r="W13" s="46"/>
      <c r="X13" s="46"/>
      <c r="Y13" s="46"/>
      <c r="Z13" s="47">
        <v>2521471</v>
      </c>
      <c r="AA13" s="47"/>
      <c r="AB13" s="46"/>
      <c r="AC13" s="46"/>
      <c r="AD13" s="46"/>
      <c r="AE13" s="46"/>
      <c r="AF13" s="47">
        <v>2419236</v>
      </c>
      <c r="AG13" s="49"/>
      <c r="AH13" s="46"/>
      <c r="AI13" s="46"/>
      <c r="AJ13" s="50"/>
      <c r="AK13" s="50"/>
      <c r="AL13" s="52">
        <f>FCFF!Z11</f>
        <v>2368431.1668706848</v>
      </c>
      <c r="AM13" s="51"/>
      <c r="AN13" s="50"/>
      <c r="AO13" s="50"/>
      <c r="AP13" s="50"/>
      <c r="AQ13" s="50"/>
      <c r="AR13" s="52">
        <f>FCFF!AF11</f>
        <v>2434945.365207748</v>
      </c>
      <c r="AS13" s="51"/>
      <c r="AT13" s="52">
        <f>FCFF!AH11</f>
        <v>2530367.9832371334</v>
      </c>
      <c r="AU13" s="52"/>
      <c r="AV13" s="52">
        <f>FCFF!AJ11</f>
        <v>2622378.5023390613</v>
      </c>
      <c r="AW13" s="52"/>
      <c r="AX13" s="52">
        <f>FCFF!AL11</f>
        <v>2720762.3678738903</v>
      </c>
    </row>
    <row r="14" spans="1:59" s="54" customFormat="1" ht="15" customHeight="1">
      <c r="A14" s="55"/>
      <c r="B14" s="689" t="s">
        <v>198</v>
      </c>
      <c r="C14" s="23"/>
      <c r="D14" s="46"/>
      <c r="E14" s="46"/>
      <c r="F14" s="46"/>
      <c r="G14" s="46"/>
      <c r="H14" s="688">
        <v>437272</v>
      </c>
      <c r="I14" s="48"/>
      <c r="J14" s="46"/>
      <c r="K14" s="46"/>
      <c r="L14" s="46"/>
      <c r="M14" s="46"/>
      <c r="N14" s="688">
        <v>480746</v>
      </c>
      <c r="O14" s="47"/>
      <c r="P14" s="46"/>
      <c r="Q14" s="46"/>
      <c r="R14" s="46"/>
      <c r="S14" s="46"/>
      <c r="T14" s="47">
        <v>589969</v>
      </c>
      <c r="U14" s="47"/>
      <c r="V14" s="46"/>
      <c r="W14" s="46"/>
      <c r="X14" s="46"/>
      <c r="Y14" s="46"/>
      <c r="Z14" s="47">
        <v>720618</v>
      </c>
      <c r="AA14" s="47"/>
      <c r="AB14" s="46"/>
      <c r="AC14" s="46"/>
      <c r="AD14" s="46"/>
      <c r="AE14" s="46"/>
      <c r="AF14" s="47">
        <v>794516</v>
      </c>
      <c r="AG14" s="49"/>
      <c r="AH14" s="46"/>
      <c r="AI14" s="46"/>
      <c r="AJ14" s="50"/>
      <c r="AK14" s="50"/>
      <c r="AL14" s="52">
        <f>FCFF!Z17</f>
        <v>796982.55813596037</v>
      </c>
      <c r="AM14" s="51"/>
      <c r="AN14" s="50"/>
      <c r="AO14" s="50"/>
      <c r="AP14" s="50"/>
      <c r="AQ14" s="50"/>
      <c r="AR14" s="52">
        <f>FCFF!AF17</f>
        <v>865326.6720357883</v>
      </c>
      <c r="AS14" s="51"/>
      <c r="AT14" s="52">
        <f>FCFF!AH17</f>
        <v>924724.45034505334</v>
      </c>
      <c r="AU14" s="52"/>
      <c r="AV14" s="52">
        <f>FCFF!AJ17</f>
        <v>980517.64837068587</v>
      </c>
      <c r="AW14" s="52"/>
      <c r="AX14" s="52">
        <f>FCFF!AL17</f>
        <v>1032242.1032584286</v>
      </c>
    </row>
    <row r="15" spans="1:59" s="54" customFormat="1" ht="15" customHeight="1">
      <c r="A15" s="55"/>
      <c r="B15" s="689" t="s">
        <v>199</v>
      </c>
      <c r="C15" s="23"/>
      <c r="D15" s="46"/>
      <c r="E15" s="46"/>
      <c r="F15" s="46"/>
      <c r="G15" s="46"/>
      <c r="H15" s="688">
        <v>565706</v>
      </c>
      <c r="I15" s="48"/>
      <c r="J15" s="46"/>
      <c r="K15" s="46"/>
      <c r="L15" s="46"/>
      <c r="M15" s="46"/>
      <c r="N15" s="688">
        <v>737285</v>
      </c>
      <c r="O15" s="47"/>
      <c r="P15" s="46"/>
      <c r="Q15" s="46"/>
      <c r="R15" s="46"/>
      <c r="S15" s="46"/>
      <c r="T15" s="47">
        <v>1048122</v>
      </c>
      <c r="U15" s="47"/>
      <c r="V15" s="46"/>
      <c r="W15" s="46"/>
      <c r="X15" s="46"/>
      <c r="Y15" s="46"/>
      <c r="Z15" s="47">
        <v>794516</v>
      </c>
      <c r="AA15" s="47"/>
      <c r="AB15" s="46"/>
      <c r="AC15" s="46"/>
      <c r="AD15" s="46"/>
      <c r="AE15" s="46"/>
      <c r="AF15" s="47">
        <v>724923</v>
      </c>
      <c r="AG15" s="49"/>
      <c r="AH15" s="46"/>
      <c r="AI15" s="46"/>
      <c r="AJ15" s="50"/>
      <c r="AK15" s="50"/>
      <c r="AL15" s="52">
        <f>FCFF!Z23</f>
        <v>713547.47885342769</v>
      </c>
      <c r="AM15" s="51"/>
      <c r="AN15" s="50"/>
      <c r="AO15" s="50"/>
      <c r="AP15" s="50"/>
      <c r="AQ15" s="50"/>
      <c r="AR15" s="52">
        <f>FCFF!AF23</f>
        <v>726878.53455692227</v>
      </c>
      <c r="AS15" s="51"/>
      <c r="AT15" s="52">
        <f>FCFF!AH23</f>
        <v>746028.25332523021</v>
      </c>
      <c r="AU15" s="52"/>
      <c r="AV15" s="52">
        <f>FCFF!AJ23</f>
        <v>769238.04991187551</v>
      </c>
      <c r="AW15" s="52"/>
      <c r="AX15" s="52">
        <f>FCFF!AL23</f>
        <v>793226.29846893111</v>
      </c>
    </row>
    <row r="16" spans="1:59" s="54" customFormat="1" ht="15" customHeight="1">
      <c r="A16" s="55"/>
      <c r="B16" s="56"/>
      <c r="C16" s="23"/>
      <c r="D16" s="46"/>
      <c r="E16" s="46"/>
      <c r="F16" s="46"/>
      <c r="G16" s="46"/>
      <c r="H16" s="688"/>
      <c r="I16" s="48"/>
      <c r="J16" s="46"/>
      <c r="K16" s="46"/>
      <c r="L16" s="46"/>
      <c r="M16" s="46"/>
      <c r="N16" s="688"/>
      <c r="O16" s="57"/>
      <c r="P16" s="46"/>
      <c r="Q16" s="46"/>
      <c r="R16" s="46"/>
      <c r="S16" s="46"/>
      <c r="T16" s="57"/>
      <c r="U16" s="57"/>
      <c r="V16" s="46"/>
      <c r="W16" s="46"/>
      <c r="X16" s="46"/>
      <c r="Y16" s="46"/>
      <c r="Z16" s="57"/>
      <c r="AA16" s="57"/>
      <c r="AB16" s="46"/>
      <c r="AC16" s="46"/>
      <c r="AD16" s="46"/>
      <c r="AE16" s="46"/>
      <c r="AF16" s="57"/>
      <c r="AG16" s="49"/>
      <c r="AH16" s="46"/>
      <c r="AI16" s="46"/>
      <c r="AJ16" s="50"/>
      <c r="AK16" s="50"/>
      <c r="AL16" s="57"/>
      <c r="AM16" s="51"/>
      <c r="AN16" s="50"/>
      <c r="AO16" s="50"/>
      <c r="AP16" s="50"/>
      <c r="AQ16" s="50"/>
      <c r="AR16" s="57"/>
      <c r="AS16" s="51"/>
      <c r="AT16" s="58"/>
      <c r="AU16" s="53"/>
      <c r="AV16" s="58"/>
      <c r="AW16" s="53"/>
      <c r="AX16" s="58"/>
    </row>
    <row r="17" spans="2:54" s="54" customFormat="1" ht="15" customHeight="1">
      <c r="B17" s="56"/>
      <c r="C17" s="23"/>
      <c r="D17" s="46"/>
      <c r="E17" s="46"/>
      <c r="F17" s="46"/>
      <c r="G17" s="46"/>
      <c r="H17" s="688"/>
      <c r="I17" s="48"/>
      <c r="J17" s="46"/>
      <c r="K17" s="46"/>
      <c r="L17" s="46"/>
      <c r="M17" s="46"/>
      <c r="N17" s="688"/>
      <c r="O17" s="57"/>
      <c r="P17" s="46"/>
      <c r="Q17" s="46"/>
      <c r="R17" s="46"/>
      <c r="S17" s="46"/>
      <c r="T17" s="57"/>
      <c r="U17" s="57"/>
      <c r="V17" s="46"/>
      <c r="W17" s="46"/>
      <c r="X17" s="46"/>
      <c r="Y17" s="46"/>
      <c r="Z17" s="57"/>
      <c r="AA17" s="57"/>
      <c r="AB17" s="46"/>
      <c r="AC17" s="46"/>
      <c r="AD17" s="46"/>
      <c r="AE17" s="46"/>
      <c r="AF17" s="57"/>
      <c r="AG17" s="49"/>
      <c r="AH17" s="46"/>
      <c r="AI17" s="46"/>
      <c r="AJ17" s="50"/>
      <c r="AK17" s="50"/>
      <c r="AL17" s="57"/>
      <c r="AM17" s="51"/>
      <c r="AN17" s="50"/>
      <c r="AO17" s="50"/>
      <c r="AP17" s="50"/>
      <c r="AQ17" s="50"/>
      <c r="AR17" s="57"/>
      <c r="AS17" s="51"/>
      <c r="AT17" s="58"/>
      <c r="AU17" s="53"/>
      <c r="AV17" s="58"/>
      <c r="AW17" s="53"/>
      <c r="AX17" s="58"/>
    </row>
    <row r="18" spans="2:54" s="54" customFormat="1" ht="15" customHeight="1">
      <c r="B18" s="59" t="s">
        <v>200</v>
      </c>
      <c r="C18" s="23"/>
      <c r="D18" s="687">
        <f>IS!D18</f>
        <v>677459</v>
      </c>
      <c r="E18" s="687">
        <f>IS!E18</f>
        <v>471977</v>
      </c>
      <c r="F18" s="687">
        <f>IS!F18</f>
        <v>634525</v>
      </c>
      <c r="G18" s="687">
        <f>IS!G18</f>
        <v>729296</v>
      </c>
      <c r="H18" s="686">
        <f>IS!H18</f>
        <v>2513257</v>
      </c>
      <c r="I18" s="96"/>
      <c r="J18" s="687">
        <f>IS!J18</f>
        <v>758058</v>
      </c>
      <c r="K18" s="687">
        <f>IS!K18</f>
        <v>808773</v>
      </c>
      <c r="L18" s="687">
        <f>IS!L18</f>
        <v>817545</v>
      </c>
      <c r="M18" s="687">
        <f>IS!M18</f>
        <v>866416</v>
      </c>
      <c r="N18" s="686">
        <f>IS!N18</f>
        <v>3250792</v>
      </c>
      <c r="O18" s="52"/>
      <c r="P18" s="62">
        <f>IS!P18</f>
        <v>994676</v>
      </c>
      <c r="Q18" s="62">
        <f>IS!Q18</f>
        <v>1013601</v>
      </c>
      <c r="R18" s="62">
        <f>IS!R18</f>
        <v>992871</v>
      </c>
      <c r="S18" s="62">
        <f>IS!S18</f>
        <v>1031705</v>
      </c>
      <c r="T18" s="63">
        <f>IS!T18</f>
        <v>4032853</v>
      </c>
      <c r="U18" s="52"/>
      <c r="V18" s="62">
        <f>IS!V18</f>
        <v>1007396</v>
      </c>
      <c r="W18" s="62">
        <f>IS!W18</f>
        <v>1039982</v>
      </c>
      <c r="X18" s="62">
        <f>IS!X18</f>
        <v>980651</v>
      </c>
      <c r="Y18" s="62">
        <f>IS!Y18</f>
        <v>1008576</v>
      </c>
      <c r="Z18" s="63">
        <f>IS!Z18</f>
        <v>4036605</v>
      </c>
      <c r="AA18" s="52"/>
      <c r="AB18" s="62">
        <f>IS!AB18</f>
        <v>926926</v>
      </c>
      <c r="AC18" s="62">
        <f>IS!AC18</f>
        <v>991546</v>
      </c>
      <c r="AD18" s="62">
        <f>IS!AD18</f>
        <v>942809</v>
      </c>
      <c r="AE18" s="62">
        <f>IS!AE18</f>
        <v>1013881</v>
      </c>
      <c r="AF18" s="63">
        <f>IS!AF18</f>
        <v>3875162</v>
      </c>
      <c r="AG18" s="540"/>
      <c r="AH18" s="62">
        <f>IS!AH18</f>
        <v>906627</v>
      </c>
      <c r="AI18" s="62">
        <f>IS!AI18</f>
        <v>977859</v>
      </c>
      <c r="AJ18" s="62">
        <f>IS!AJ18</f>
        <v>0</v>
      </c>
      <c r="AK18" s="62">
        <f>IS!AK18</f>
        <v>0</v>
      </c>
      <c r="AL18" s="63">
        <f>SUM(AL13:AL15)</f>
        <v>3878961.2038600729</v>
      </c>
      <c r="AM18" s="53"/>
      <c r="AN18" s="62">
        <f>IS!AN18</f>
        <v>0</v>
      </c>
      <c r="AO18" s="62">
        <f>IS!AO18</f>
        <v>0</v>
      </c>
      <c r="AP18" s="62">
        <f>IS!AP18</f>
        <v>0</v>
      </c>
      <c r="AQ18" s="62">
        <f>IS!AQ18</f>
        <v>0</v>
      </c>
      <c r="AR18" s="63">
        <f>SUM(AR13:AR15)</f>
        <v>4027150.5718004582</v>
      </c>
      <c r="AS18" s="53"/>
      <c r="AT18" s="63">
        <f>SUM(AT13:AT15)</f>
        <v>4201120.6869074171</v>
      </c>
      <c r="AU18" s="53"/>
      <c r="AV18" s="63">
        <f>SUM(AV13:AV15)</f>
        <v>4372134.2006216226</v>
      </c>
      <c r="AW18" s="53"/>
      <c r="AX18" s="63">
        <f>SUM(AX13:AX15)</f>
        <v>4546230.7696012501</v>
      </c>
    </row>
    <row r="19" spans="2:54" ht="15" customHeight="1">
      <c r="AG19" s="205"/>
    </row>
    <row r="20" spans="2:54" ht="15" customHeight="1">
      <c r="B20" s="694" t="s">
        <v>201</v>
      </c>
      <c r="AG20" s="205"/>
    </row>
    <row r="21" spans="2:54" ht="15" customHeight="1">
      <c r="B21" s="689" t="s">
        <v>202</v>
      </c>
      <c r="D21" s="46"/>
      <c r="E21" s="46"/>
      <c r="F21" s="46"/>
      <c r="G21" s="46"/>
      <c r="H21" s="688">
        <v>1752778</v>
      </c>
      <c r="I21" s="48"/>
      <c r="J21" s="46"/>
      <c r="K21" s="46"/>
      <c r="L21" s="46"/>
      <c r="M21" s="46"/>
      <c r="N21" s="688">
        <v>2236775</v>
      </c>
      <c r="O21" s="47"/>
      <c r="P21" s="46"/>
      <c r="Q21" s="46"/>
      <c r="R21" s="46"/>
      <c r="S21" s="46"/>
      <c r="T21" s="47">
        <v>2879019</v>
      </c>
      <c r="U21" s="47"/>
      <c r="V21" s="46"/>
      <c r="W21" s="46"/>
      <c r="X21" s="46"/>
      <c r="Y21" s="46"/>
      <c r="Z21" s="47">
        <v>2821061</v>
      </c>
      <c r="AA21" s="47"/>
      <c r="AB21" s="46"/>
      <c r="AC21" s="46"/>
      <c r="AD21" s="46"/>
      <c r="AE21" s="46"/>
      <c r="AF21" s="47">
        <v>2614872</v>
      </c>
      <c r="AG21" s="49"/>
      <c r="AH21" s="46"/>
      <c r="AI21" s="46"/>
      <c r="AJ21" s="50"/>
      <c r="AK21" s="50"/>
      <c r="AL21" s="52">
        <f>FCFF!Z12+FCFF!Z18+FCFF!Z24</f>
        <v>2560457.1387810451</v>
      </c>
      <c r="AM21" s="51"/>
      <c r="AN21" s="50"/>
      <c r="AO21" s="50"/>
      <c r="AP21" s="50"/>
      <c r="AQ21" s="50"/>
      <c r="AR21" s="52">
        <f>FCFF!AF12+FCFF!AF24+FCFF!AF18</f>
        <v>2621789.4713540594</v>
      </c>
      <c r="AS21" s="51"/>
      <c r="AT21" s="52">
        <f>FCFF!AH12+FCFF!AH18+FCFF!AH24</f>
        <v>2716262.5495794904</v>
      </c>
      <c r="AU21" s="52"/>
      <c r="AV21" s="52">
        <f>FCFF!AJ12+FCFF!AJ18+FCFF!AJ24</f>
        <v>2810723.6325264745</v>
      </c>
      <c r="AW21" s="52"/>
      <c r="AX21" s="52">
        <f>FCFF!AL12+FCFF!AL18+FCFF!AL24</f>
        <v>2908939.4734856789</v>
      </c>
      <c r="BB21" s="312"/>
    </row>
    <row r="22" spans="2:54" ht="15" customHeight="1">
      <c r="B22" s="689" t="s">
        <v>203</v>
      </c>
      <c r="D22" s="46"/>
      <c r="E22" s="46"/>
      <c r="F22" s="46"/>
      <c r="G22" s="46"/>
      <c r="H22" s="688">
        <v>189231</v>
      </c>
      <c r="I22" s="48"/>
      <c r="J22" s="46"/>
      <c r="K22" s="46"/>
      <c r="L22" s="46"/>
      <c r="M22" s="46"/>
      <c r="N22" s="688">
        <v>233227</v>
      </c>
      <c r="O22" s="47"/>
      <c r="P22" s="46"/>
      <c r="Q22" s="46"/>
      <c r="R22" s="46"/>
      <c r="S22" s="46"/>
      <c r="T22" s="47">
        <v>264609</v>
      </c>
      <c r="U22" s="47"/>
      <c r="V22" s="46"/>
      <c r="W22" s="46"/>
      <c r="X22" s="46"/>
      <c r="Y22" s="46"/>
      <c r="Z22" s="47">
        <v>285858</v>
      </c>
      <c r="AA22" s="47"/>
      <c r="AB22" s="46"/>
      <c r="AC22" s="46"/>
      <c r="AD22" s="46"/>
      <c r="AE22" s="46"/>
      <c r="AF22" s="47">
        <v>262705</v>
      </c>
      <c r="AG22" s="49"/>
      <c r="AH22" s="46"/>
      <c r="AI22" s="46"/>
      <c r="AJ22" s="50"/>
      <c r="AK22" s="50"/>
      <c r="AL22" s="52">
        <f>FCFF!Z13+FCFF!Z19+FCFF!Z25</f>
        <v>257988.87765956848</v>
      </c>
      <c r="AM22" s="51"/>
      <c r="AN22" s="50"/>
      <c r="AO22" s="50"/>
      <c r="AP22" s="50"/>
      <c r="AQ22" s="50"/>
      <c r="AR22" s="52">
        <f>FCFF!AF13+FCFF!AF19+FCFF!AF25</f>
        <v>268396.74577397713</v>
      </c>
      <c r="AS22" s="51"/>
      <c r="AT22" s="52">
        <f>FCFF!AH13+FCFF!AH19+FCFF!AH25</f>
        <v>278429.40667149395</v>
      </c>
      <c r="AU22" s="52"/>
      <c r="AV22" s="52">
        <f>FCFF!AJ13+FCFF!AJ19+FCFF!AJ25</f>
        <v>289808.53851807181</v>
      </c>
      <c r="AW22" s="52"/>
      <c r="AX22" s="52">
        <f>FCFF!AL13+FCFF!AL19+FCFF!AL25</f>
        <v>302462.64515529724</v>
      </c>
      <c r="BB22" s="312"/>
    </row>
    <row r="23" spans="2:54" ht="15" customHeight="1">
      <c r="B23" s="689" t="s">
        <v>204</v>
      </c>
      <c r="D23" s="46"/>
      <c r="E23" s="46"/>
      <c r="F23" s="46"/>
      <c r="G23" s="46"/>
      <c r="H23" s="688">
        <v>508454</v>
      </c>
      <c r="I23" s="48"/>
      <c r="J23" s="46"/>
      <c r="K23" s="46"/>
      <c r="L23" s="46"/>
      <c r="M23" s="46"/>
      <c r="N23" s="688">
        <v>687452</v>
      </c>
      <c r="O23" s="47"/>
      <c r="P23" s="46"/>
      <c r="Q23" s="46"/>
      <c r="R23" s="46"/>
      <c r="S23" s="46"/>
      <c r="T23" s="47">
        <v>768199</v>
      </c>
      <c r="U23" s="47"/>
      <c r="V23" s="46"/>
      <c r="W23" s="46"/>
      <c r="X23" s="46"/>
      <c r="Y23" s="46"/>
      <c r="Z23" s="47">
        <v>773317</v>
      </c>
      <c r="AA23" s="47"/>
      <c r="AB23" s="46"/>
      <c r="AC23" s="46"/>
      <c r="AD23" s="46"/>
      <c r="AE23" s="46"/>
      <c r="AF23" s="47">
        <v>826913</v>
      </c>
      <c r="AG23" s="49"/>
      <c r="AH23" s="46"/>
      <c r="AI23" s="46"/>
      <c r="AJ23" s="50"/>
      <c r="AK23" s="50"/>
      <c r="AL23" s="52">
        <f>FCFF!Z14+FCFF!Z20+FCFF!Z26</f>
        <v>876487.6440973361</v>
      </c>
      <c r="AM23" s="51"/>
      <c r="AN23" s="50"/>
      <c r="AO23" s="50"/>
      <c r="AP23" s="50"/>
      <c r="AQ23" s="50"/>
      <c r="AR23" s="52">
        <f>FCFF!AF14+FCFF!AF20+FCFF!AF26</f>
        <v>934158.96574619436</v>
      </c>
      <c r="AS23" s="51"/>
      <c r="AT23" s="52">
        <f>FCFF!AH14+FCFF!AH20+FCFF!AH26</f>
        <v>989078.48808028619</v>
      </c>
      <c r="AU23" s="52"/>
      <c r="AV23" s="52">
        <f>FCFF!AJ14+FCFF!AJ20+FCFF!AJ26</f>
        <v>1041087.5367267893</v>
      </c>
      <c r="AW23" s="52"/>
      <c r="AX23" s="52">
        <f>FCFF!AL14+FCFF!AL20+FCFF!AL26</f>
        <v>1092720.4625053178</v>
      </c>
      <c r="BB23" s="312"/>
    </row>
    <row r="24" spans="2:54" ht="15" customHeight="1">
      <c r="B24" s="689" t="s">
        <v>205</v>
      </c>
      <c r="D24" s="46"/>
      <c r="E24" s="46"/>
      <c r="F24" s="46"/>
      <c r="G24" s="46"/>
      <c r="H24" s="688">
        <v>62794</v>
      </c>
      <c r="I24" s="48"/>
      <c r="J24" s="46"/>
      <c r="K24" s="46"/>
      <c r="L24" s="46"/>
      <c r="M24" s="46"/>
      <c r="N24" s="688">
        <v>93338</v>
      </c>
      <c r="O24" s="57"/>
      <c r="P24" s="46"/>
      <c r="Q24" s="46"/>
      <c r="R24" s="46"/>
      <c r="S24" s="46"/>
      <c r="T24" s="57">
        <v>121026</v>
      </c>
      <c r="U24" s="57"/>
      <c r="V24" s="46"/>
      <c r="W24" s="46"/>
      <c r="X24" s="46"/>
      <c r="Y24" s="46"/>
      <c r="Z24" s="57">
        <v>156369</v>
      </c>
      <c r="AA24" s="57"/>
      <c r="AB24" s="46"/>
      <c r="AC24" s="46"/>
      <c r="AD24" s="46"/>
      <c r="AE24" s="46"/>
      <c r="AF24" s="57">
        <v>170672</v>
      </c>
      <c r="AG24" s="49"/>
      <c r="AH24" s="46"/>
      <c r="AI24" s="46"/>
      <c r="AJ24" s="50"/>
      <c r="AK24" s="50"/>
      <c r="AL24" s="52">
        <f>FCFF!Z15+FCFF!Z21+FCFF!Z27</f>
        <v>184027.54332212292</v>
      </c>
      <c r="AM24" s="51"/>
      <c r="AN24" s="50"/>
      <c r="AO24" s="50"/>
      <c r="AP24" s="50"/>
      <c r="AQ24" s="50"/>
      <c r="AR24" s="52">
        <f>FCFF!AF15+FCFF!AF21+FCFF!AF27</f>
        <v>202805.38892622798</v>
      </c>
      <c r="AS24" s="51"/>
      <c r="AT24" s="58">
        <f>FCFF!AH15+FCFF!AH21+FCFF!AH27</f>
        <v>217350.24257614615</v>
      </c>
      <c r="AU24" s="58"/>
      <c r="AV24" s="58">
        <f>FCFF!AJ15+FCFF!AJ21+FCFF!AJ27</f>
        <v>230514.49285028654</v>
      </c>
      <c r="AW24" s="58"/>
      <c r="AX24" s="58">
        <f>FCFF!AL15+FCFF!AL21+FCFF!AL27</f>
        <v>242108.18845495599</v>
      </c>
      <c r="BB24" s="312"/>
    </row>
    <row r="25" spans="2:54" ht="15" customHeight="1">
      <c r="B25" s="56"/>
      <c r="D25" s="46"/>
      <c r="E25" s="46"/>
      <c r="F25" s="46"/>
      <c r="G25" s="46"/>
      <c r="H25" s="688"/>
      <c r="I25" s="48"/>
      <c r="J25" s="46"/>
      <c r="K25" s="46"/>
      <c r="L25" s="46"/>
      <c r="M25" s="46"/>
      <c r="N25" s="688"/>
      <c r="O25" s="57"/>
      <c r="P25" s="46"/>
      <c r="Q25" s="46"/>
      <c r="R25" s="46"/>
      <c r="S25" s="46"/>
      <c r="T25" s="57"/>
      <c r="U25" s="57"/>
      <c r="V25" s="46"/>
      <c r="W25" s="46"/>
      <c r="X25" s="46"/>
      <c r="Y25" s="46"/>
      <c r="Z25" s="57"/>
      <c r="AA25" s="57"/>
      <c r="AB25" s="46"/>
      <c r="AC25" s="46"/>
      <c r="AD25" s="46"/>
      <c r="AE25" s="46"/>
      <c r="AF25" s="57"/>
      <c r="AG25" s="49"/>
      <c r="AH25" s="46"/>
      <c r="AI25" s="46"/>
      <c r="AJ25" s="50"/>
      <c r="AK25" s="50"/>
      <c r="AL25" s="57"/>
      <c r="AM25" s="51"/>
      <c r="AN25" s="50"/>
      <c r="AO25" s="50"/>
      <c r="AP25" s="50"/>
      <c r="AQ25" s="50"/>
      <c r="AR25" s="57"/>
      <c r="AS25" s="51"/>
      <c r="AT25" s="58"/>
      <c r="AU25" s="53"/>
      <c r="AV25" s="58"/>
      <c r="AW25" s="53"/>
      <c r="AX25" s="58"/>
    </row>
    <row r="26" spans="2:54" ht="15" customHeight="1">
      <c r="B26" s="59" t="s">
        <v>200</v>
      </c>
      <c r="D26" s="687">
        <f>IS!D18</f>
        <v>677459</v>
      </c>
      <c r="E26" s="687">
        <f>IS!E18</f>
        <v>471977</v>
      </c>
      <c r="F26" s="687">
        <f>IS!F18</f>
        <v>634525</v>
      </c>
      <c r="G26" s="687">
        <f>IS!G18</f>
        <v>729296</v>
      </c>
      <c r="H26" s="686">
        <f>IS!H18</f>
        <v>2513257</v>
      </c>
      <c r="I26" s="96"/>
      <c r="J26" s="687">
        <f>IS!J18</f>
        <v>758058</v>
      </c>
      <c r="K26" s="687">
        <f>IS!K18</f>
        <v>808773</v>
      </c>
      <c r="L26" s="687">
        <f>IS!L18</f>
        <v>817545</v>
      </c>
      <c r="M26" s="687">
        <f>IS!M18</f>
        <v>866416</v>
      </c>
      <c r="N26" s="686">
        <f>IS!N18</f>
        <v>3250792</v>
      </c>
      <c r="O26" s="52"/>
      <c r="P26" s="62">
        <f>IS!P18</f>
        <v>994676</v>
      </c>
      <c r="Q26" s="62">
        <f>IS!Q18</f>
        <v>1013601</v>
      </c>
      <c r="R26" s="62">
        <f>IS!R18</f>
        <v>992871</v>
      </c>
      <c r="S26" s="62">
        <f>IS!S18</f>
        <v>1031705</v>
      </c>
      <c r="T26" s="63">
        <f>IS!T18</f>
        <v>4032853</v>
      </c>
      <c r="U26" s="52"/>
      <c r="V26" s="62">
        <f>IS!V18</f>
        <v>1007396</v>
      </c>
      <c r="W26" s="62">
        <f>IS!W18</f>
        <v>1039982</v>
      </c>
      <c r="X26" s="62">
        <f>IS!X18</f>
        <v>980651</v>
      </c>
      <c r="Y26" s="62">
        <f>IS!Y18</f>
        <v>1008576</v>
      </c>
      <c r="Z26" s="63">
        <f>IS!Z18</f>
        <v>4036605</v>
      </c>
      <c r="AA26" s="52"/>
      <c r="AB26" s="62">
        <f>IS!AB18</f>
        <v>926926</v>
      </c>
      <c r="AC26" s="62">
        <f>IS!AC18</f>
        <v>991546</v>
      </c>
      <c r="AD26" s="62">
        <f>IS!AD18</f>
        <v>942809</v>
      </c>
      <c r="AE26" s="62">
        <f>IS!AE18</f>
        <v>1013881</v>
      </c>
      <c r="AF26" s="63">
        <f>IS!AF18</f>
        <v>3875162</v>
      </c>
      <c r="AG26" s="540"/>
      <c r="AH26" s="62">
        <f>IS!AH18</f>
        <v>906627</v>
      </c>
      <c r="AI26" s="62">
        <f>IS!AI18</f>
        <v>977859</v>
      </c>
      <c r="AJ26" s="62">
        <f>IS!AJ18</f>
        <v>0</v>
      </c>
      <c r="AK26" s="62">
        <f>IS!AK18</f>
        <v>0</v>
      </c>
      <c r="AL26" s="63">
        <f>SUM(AL21:AL24)</f>
        <v>3878961.2038600729</v>
      </c>
      <c r="AM26" s="53"/>
      <c r="AN26" s="62">
        <f>IS!AN18</f>
        <v>0</v>
      </c>
      <c r="AO26" s="62">
        <f>IS!AO18</f>
        <v>0</v>
      </c>
      <c r="AP26" s="62">
        <f>IS!AP18</f>
        <v>0</v>
      </c>
      <c r="AQ26" s="62">
        <f>IS!AQ18</f>
        <v>0</v>
      </c>
      <c r="AR26" s="63">
        <f>IFERROR(SUM(AR21:AR24), " ")</f>
        <v>4027150.5718004587</v>
      </c>
      <c r="AS26" s="63">
        <f t="shared" ref="AS26:AX26" si="0">IFERROR(SUM(AS21:AS24), " ")</f>
        <v>0</v>
      </c>
      <c r="AT26" s="63">
        <f t="shared" si="0"/>
        <v>4201120.6869074171</v>
      </c>
      <c r="AU26" s="63"/>
      <c r="AV26" s="63">
        <f t="shared" si="0"/>
        <v>4372134.2006216226</v>
      </c>
      <c r="AW26" s="63"/>
      <c r="AX26" s="63">
        <f t="shared" si="0"/>
        <v>4546230.7696012501</v>
      </c>
    </row>
    <row r="27" spans="2:54" ht="15" customHeight="1">
      <c r="AG27" s="205"/>
    </row>
    <row r="28" spans="2:54" ht="15" customHeight="1">
      <c r="B28" s="97" t="s">
        <v>206</v>
      </c>
      <c r="AG28" s="205"/>
    </row>
    <row r="29" spans="2:54" ht="15" customHeight="1">
      <c r="B29" s="56" t="s">
        <v>207</v>
      </c>
      <c r="D29" s="46"/>
      <c r="E29" s="46"/>
      <c r="F29" s="46"/>
      <c r="G29" s="46"/>
      <c r="J29" s="46"/>
      <c r="K29" s="46"/>
      <c r="L29" s="46"/>
      <c r="M29" s="46"/>
      <c r="P29" s="46"/>
      <c r="Q29" s="46"/>
      <c r="R29" s="46"/>
      <c r="S29" s="46"/>
      <c r="V29" s="46"/>
      <c r="W29" s="46"/>
      <c r="X29" s="46"/>
      <c r="Y29" s="46"/>
      <c r="AB29" s="46"/>
      <c r="AC29" s="46"/>
      <c r="AD29" s="46"/>
      <c r="AE29" s="46"/>
      <c r="AG29" s="205"/>
      <c r="AH29" s="46"/>
      <c r="AI29" s="46"/>
      <c r="AJ29" s="46"/>
      <c r="AK29" s="46"/>
      <c r="AN29" s="46"/>
      <c r="AO29" s="46"/>
      <c r="AP29" s="46"/>
      <c r="AQ29" s="46"/>
    </row>
    <row r="30" spans="2:54" ht="15" customHeight="1">
      <c r="B30" s="56" t="s">
        <v>208</v>
      </c>
      <c r="D30" s="46"/>
      <c r="E30" s="46"/>
      <c r="F30" s="46"/>
      <c r="G30" s="46"/>
      <c r="J30" s="46"/>
      <c r="K30" s="46"/>
      <c r="L30" s="46"/>
      <c r="M30" s="46"/>
      <c r="P30" s="46"/>
      <c r="Q30" s="46"/>
      <c r="R30" s="46"/>
      <c r="S30" s="46"/>
      <c r="V30" s="46"/>
      <c r="W30" s="46"/>
      <c r="X30" s="46"/>
      <c r="Y30" s="46"/>
      <c r="AB30" s="46"/>
      <c r="AC30" s="46"/>
      <c r="AD30" s="46"/>
      <c r="AE30" s="46"/>
      <c r="AG30" s="205"/>
      <c r="AH30" s="46"/>
      <c r="AI30" s="46"/>
      <c r="AJ30" s="46"/>
      <c r="AK30" s="46"/>
      <c r="AN30" s="46"/>
      <c r="AO30" s="46"/>
      <c r="AP30" s="46"/>
      <c r="AQ30" s="46"/>
    </row>
    <row r="31" spans="2:54" ht="15" customHeight="1">
      <c r="B31" s="56" t="s">
        <v>209</v>
      </c>
      <c r="D31" s="46"/>
      <c r="E31" s="46"/>
      <c r="F31" s="46"/>
      <c r="G31" s="46"/>
      <c r="J31" s="46"/>
      <c r="K31" s="46"/>
      <c r="L31" s="46"/>
      <c r="M31" s="46"/>
      <c r="P31" s="46"/>
      <c r="Q31" s="46"/>
      <c r="R31" s="46"/>
      <c r="S31" s="46"/>
      <c r="V31" s="46"/>
      <c r="W31" s="46"/>
      <c r="X31" s="46"/>
      <c r="Y31" s="46"/>
      <c r="AB31" s="46"/>
      <c r="AC31" s="46"/>
      <c r="AD31" s="46"/>
      <c r="AE31" s="46"/>
      <c r="AG31" s="205"/>
      <c r="AH31" s="46"/>
      <c r="AI31" s="46"/>
      <c r="AJ31" s="46"/>
      <c r="AK31" s="46"/>
      <c r="AN31" s="46"/>
      <c r="AO31" s="46"/>
      <c r="AP31" s="46"/>
      <c r="AQ31" s="46"/>
    </row>
    <row r="32" spans="2:54" ht="15" customHeight="1">
      <c r="B32" s="56" t="s">
        <v>210</v>
      </c>
      <c r="D32" s="46"/>
      <c r="E32" s="46"/>
      <c r="F32" s="46"/>
      <c r="G32" s="46"/>
      <c r="J32" s="46"/>
      <c r="K32" s="46"/>
      <c r="L32" s="46"/>
      <c r="M32" s="46"/>
      <c r="P32" s="46"/>
      <c r="Q32" s="46"/>
      <c r="R32" s="46"/>
      <c r="S32" s="46"/>
      <c r="V32" s="46"/>
      <c r="W32" s="46"/>
      <c r="X32" s="46"/>
      <c r="Y32" s="46"/>
      <c r="AB32" s="46"/>
      <c r="AC32" s="46"/>
      <c r="AD32" s="46"/>
      <c r="AE32" s="46"/>
      <c r="AG32" s="205"/>
      <c r="AH32" s="46"/>
      <c r="AI32" s="46"/>
      <c r="AJ32" s="46"/>
      <c r="AK32" s="46"/>
      <c r="AN32" s="46"/>
      <c r="AO32" s="46"/>
      <c r="AP32" s="46"/>
      <c r="AQ32" s="46"/>
    </row>
    <row r="33" spans="1:50" ht="15" customHeight="1">
      <c r="B33" s="56" t="s">
        <v>211</v>
      </c>
      <c r="D33" s="46"/>
      <c r="E33" s="46"/>
      <c r="F33" s="46"/>
      <c r="G33" s="46"/>
      <c r="J33" s="46"/>
      <c r="K33" s="46"/>
      <c r="L33" s="46"/>
      <c r="M33" s="46"/>
      <c r="P33" s="46"/>
      <c r="Q33" s="46"/>
      <c r="R33" s="46"/>
      <c r="S33" s="46"/>
      <c r="V33" s="46"/>
      <c r="W33" s="46"/>
      <c r="X33" s="46"/>
      <c r="Y33" s="46"/>
      <c r="AB33" s="46"/>
      <c r="AC33" s="46"/>
      <c r="AD33" s="46"/>
      <c r="AE33" s="46"/>
      <c r="AG33" s="205"/>
      <c r="AH33" s="46"/>
      <c r="AI33" s="46"/>
      <c r="AJ33" s="46"/>
      <c r="AK33" s="46"/>
      <c r="AN33" s="46"/>
      <c r="AO33" s="46"/>
      <c r="AP33" s="46"/>
      <c r="AQ33" s="46"/>
    </row>
    <row r="35" spans="1:50" ht="15" customHeight="1">
      <c r="A35" s="44" t="s">
        <v>38</v>
      </c>
      <c r="B35" s="161" t="s">
        <v>212</v>
      </c>
      <c r="C35" s="164"/>
      <c r="D35" s="164"/>
      <c r="E35" s="164"/>
      <c r="F35" s="164"/>
      <c r="G35" s="164"/>
      <c r="H35" s="164"/>
      <c r="I35" s="164"/>
      <c r="J35" s="164"/>
      <c r="K35" s="164"/>
      <c r="L35" s="164"/>
      <c r="M35" s="164"/>
      <c r="N35" s="164"/>
      <c r="O35" s="164"/>
      <c r="P35" s="164"/>
      <c r="Q35" s="164"/>
      <c r="R35" s="164"/>
      <c r="S35" s="164"/>
      <c r="T35" s="164"/>
      <c r="U35" s="164"/>
      <c r="V35" s="164"/>
      <c r="W35" s="164"/>
      <c r="X35" s="164"/>
      <c r="Y35" s="164"/>
      <c r="Z35" s="164"/>
      <c r="AA35" s="164"/>
      <c r="AB35" s="164"/>
      <c r="AC35" s="164"/>
      <c r="AD35" s="164"/>
      <c r="AE35" s="164"/>
      <c r="AF35" s="164"/>
      <c r="AG35" s="164"/>
      <c r="AH35" s="164"/>
      <c r="AI35" s="164"/>
      <c r="AJ35" s="164"/>
      <c r="AK35" s="164"/>
      <c r="AL35" s="164"/>
      <c r="AM35" s="164"/>
      <c r="AN35" s="164"/>
      <c r="AO35" s="164"/>
      <c r="AP35" s="164"/>
      <c r="AQ35" s="164"/>
      <c r="AR35" s="164"/>
      <c r="AS35" s="164"/>
      <c r="AT35" s="164"/>
      <c r="AU35" s="164"/>
      <c r="AV35" s="164"/>
      <c r="AW35" s="164"/>
      <c r="AX35" s="164"/>
    </row>
    <row r="36" spans="1:50" ht="15" customHeight="1">
      <c r="B36" s="164"/>
      <c r="C36" s="164"/>
      <c r="D36" s="164"/>
      <c r="E36" s="164"/>
      <c r="F36" s="164"/>
      <c r="G36" s="164"/>
      <c r="H36" s="164"/>
      <c r="I36" s="164"/>
      <c r="J36" s="164"/>
      <c r="K36" s="164"/>
      <c r="L36" s="164"/>
      <c r="M36" s="164"/>
      <c r="N36" s="164"/>
      <c r="O36" s="164"/>
      <c r="P36" s="164"/>
      <c r="Q36" s="164"/>
      <c r="R36" s="164"/>
      <c r="S36" s="164"/>
      <c r="T36" s="164"/>
      <c r="U36" s="164"/>
      <c r="V36" s="164"/>
      <c r="W36" s="164"/>
      <c r="X36" s="164"/>
      <c r="Y36" s="164"/>
      <c r="Z36" s="164"/>
      <c r="AA36" s="164"/>
      <c r="AB36" s="164"/>
      <c r="AC36" s="164"/>
      <c r="AD36" s="164"/>
      <c r="AE36" s="164"/>
      <c r="AF36" s="164"/>
      <c r="AG36" s="164"/>
      <c r="AH36" s="164"/>
      <c r="AI36" s="164"/>
      <c r="AJ36" s="164"/>
      <c r="AK36" s="164"/>
      <c r="AL36" s="164"/>
      <c r="AM36" s="164"/>
      <c r="AN36" s="164"/>
      <c r="AO36" s="164"/>
      <c r="AP36" s="164"/>
      <c r="AQ36" s="164"/>
      <c r="AR36" s="164"/>
      <c r="AS36" s="164"/>
      <c r="AT36" s="164"/>
      <c r="AU36" s="164"/>
      <c r="AV36" s="164"/>
      <c r="AW36" s="164"/>
      <c r="AX36" s="164"/>
    </row>
    <row r="37" spans="1:50" ht="15" customHeight="1">
      <c r="B37" s="164"/>
      <c r="C37" s="164"/>
      <c r="D37" s="164"/>
      <c r="E37" s="164"/>
      <c r="F37" s="164"/>
      <c r="G37" s="164"/>
      <c r="H37" s="164"/>
      <c r="I37" s="164"/>
      <c r="J37" s="164"/>
      <c r="K37" s="164"/>
      <c r="L37" s="164"/>
      <c r="M37" s="164"/>
      <c r="N37" s="164"/>
      <c r="O37" s="164"/>
      <c r="P37" s="164"/>
      <c r="Q37" s="164"/>
      <c r="R37" s="164"/>
      <c r="S37" s="164"/>
      <c r="T37" s="164"/>
      <c r="U37" s="164"/>
      <c r="V37" s="164"/>
      <c r="W37" s="164"/>
      <c r="X37" s="164"/>
      <c r="Y37" s="164"/>
      <c r="Z37" s="164"/>
      <c r="AA37" s="164"/>
      <c r="AB37" s="164"/>
      <c r="AC37" s="164"/>
      <c r="AD37" s="164"/>
      <c r="AE37" s="164"/>
      <c r="AF37" s="164"/>
      <c r="AG37" s="164"/>
      <c r="AH37" s="164"/>
      <c r="AI37" s="164"/>
      <c r="AJ37" s="164"/>
      <c r="AK37" s="164"/>
      <c r="AL37" s="164"/>
      <c r="AM37" s="164"/>
      <c r="AN37" s="164"/>
      <c r="AO37" s="164"/>
      <c r="AP37" s="164"/>
      <c r="AQ37" s="164"/>
      <c r="AR37" s="164"/>
      <c r="AS37" s="164"/>
      <c r="AT37" s="164"/>
      <c r="AU37" s="164"/>
      <c r="AV37" s="164"/>
      <c r="AW37" s="164"/>
      <c r="AX37" s="164"/>
    </row>
    <row r="38" spans="1:50" ht="3.95" customHeight="1">
      <c r="B38" s="176"/>
      <c r="C38" s="176"/>
      <c r="D38" s="176"/>
      <c r="E38" s="176"/>
      <c r="F38" s="176"/>
      <c r="G38" s="176"/>
      <c r="H38" s="176"/>
      <c r="I38" s="176"/>
      <c r="J38" s="176"/>
      <c r="K38" s="176"/>
      <c r="L38" s="176"/>
      <c r="M38" s="176"/>
      <c r="N38" s="176"/>
      <c r="O38" s="176"/>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row>
    <row r="39" spans="1:50" ht="3.95" customHeight="1"/>
    <row r="40" spans="1:50" s="23" customFormat="1" ht="60" customHeight="1">
      <c r="B40" s="575" t="s">
        <v>213</v>
      </c>
      <c r="C40" s="547"/>
      <c r="D40" s="557"/>
      <c r="E40" s="557"/>
      <c r="F40" s="557"/>
      <c r="G40" s="557"/>
      <c r="H40" s="814" t="s">
        <v>214</v>
      </c>
      <c r="I40" s="814"/>
      <c r="J40" s="814"/>
      <c r="K40" s="814"/>
      <c r="L40" s="814"/>
      <c r="M40" s="814"/>
      <c r="N40" s="814"/>
      <c r="O40" s="814"/>
      <c r="P40" s="814"/>
      <c r="Q40" s="814"/>
      <c r="R40" s="814"/>
      <c r="S40" s="814"/>
      <c r="T40" s="814"/>
      <c r="U40" s="814"/>
      <c r="V40" s="814"/>
      <c r="W40" s="814"/>
      <c r="X40" s="814"/>
      <c r="Y40" s="814"/>
      <c r="Z40" s="814"/>
      <c r="AA40" s="814"/>
      <c r="AB40" s="814"/>
      <c r="AC40" s="814"/>
      <c r="AD40" s="814"/>
      <c r="AE40" s="814"/>
      <c r="AF40" s="814"/>
      <c r="AG40" s="814"/>
      <c r="AH40" s="814"/>
      <c r="AI40" s="814"/>
      <c r="AJ40" s="814"/>
      <c r="AK40" s="814"/>
      <c r="AL40" s="814"/>
      <c r="AM40" s="814"/>
      <c r="AN40" s="814"/>
      <c r="AO40" s="814"/>
      <c r="AP40" s="814"/>
      <c r="AQ40" s="814"/>
      <c r="AR40" s="814"/>
      <c r="AS40" s="814"/>
      <c r="AT40" s="814"/>
      <c r="AU40" s="814"/>
      <c r="AV40" s="814"/>
      <c r="AW40" s="814"/>
      <c r="AX40" s="814"/>
    </row>
    <row r="41" spans="1:50" ht="60" customHeight="1">
      <c r="B41" s="575" t="s">
        <v>215</v>
      </c>
      <c r="C41" s="547"/>
      <c r="D41" s="557"/>
      <c r="E41" s="557"/>
      <c r="F41" s="557"/>
      <c r="G41" s="557"/>
      <c r="H41" s="804" t="s">
        <v>216</v>
      </c>
      <c r="I41" s="804"/>
      <c r="J41" s="804"/>
      <c r="K41" s="804"/>
      <c r="L41" s="804"/>
      <c r="M41" s="804"/>
      <c r="N41" s="804"/>
      <c r="O41" s="804"/>
      <c r="P41" s="804"/>
      <c r="Q41" s="804"/>
      <c r="R41" s="804"/>
      <c r="S41" s="804"/>
      <c r="T41" s="804"/>
      <c r="U41" s="804"/>
      <c r="V41" s="804"/>
      <c r="W41" s="804"/>
      <c r="X41" s="804"/>
      <c r="Y41" s="804"/>
      <c r="Z41" s="804"/>
      <c r="AA41" s="804"/>
      <c r="AB41" s="804"/>
      <c r="AC41" s="804"/>
      <c r="AD41" s="804"/>
      <c r="AE41" s="804"/>
      <c r="AF41" s="804"/>
      <c r="AG41" s="804"/>
      <c r="AH41" s="804"/>
      <c r="AI41" s="804"/>
      <c r="AJ41" s="804"/>
      <c r="AK41" s="804"/>
      <c r="AL41" s="804"/>
      <c r="AM41" s="804"/>
      <c r="AN41" s="804"/>
      <c r="AO41" s="804"/>
      <c r="AP41" s="804"/>
      <c r="AQ41" s="804"/>
      <c r="AR41" s="804"/>
      <c r="AS41" s="804"/>
      <c r="AT41" s="804"/>
      <c r="AU41" s="804"/>
      <c r="AV41" s="804"/>
      <c r="AW41" s="804"/>
      <c r="AX41" s="804"/>
    </row>
    <row r="42" spans="1:50" ht="60" customHeight="1">
      <c r="B42" s="575" t="s">
        <v>217</v>
      </c>
      <c r="C42" s="205"/>
      <c r="H42" s="804" t="s">
        <v>218</v>
      </c>
      <c r="I42" s="804"/>
      <c r="J42" s="804"/>
      <c r="K42" s="804"/>
      <c r="L42" s="804"/>
      <c r="M42" s="804"/>
      <c r="N42" s="804"/>
      <c r="O42" s="804"/>
      <c r="P42" s="804"/>
      <c r="Q42" s="804"/>
      <c r="R42" s="804"/>
      <c r="S42" s="804"/>
      <c r="T42" s="804"/>
      <c r="U42" s="804"/>
      <c r="V42" s="804"/>
      <c r="W42" s="804"/>
      <c r="X42" s="804"/>
      <c r="Y42" s="804"/>
      <c r="Z42" s="804"/>
      <c r="AA42" s="804"/>
      <c r="AB42" s="804"/>
      <c r="AC42" s="804"/>
      <c r="AD42" s="804"/>
      <c r="AE42" s="804"/>
      <c r="AF42" s="804"/>
      <c r="AG42" s="804"/>
      <c r="AH42" s="804"/>
      <c r="AI42" s="804"/>
      <c r="AJ42" s="804"/>
      <c r="AK42" s="804"/>
      <c r="AL42" s="804"/>
      <c r="AM42" s="804"/>
      <c r="AN42" s="804"/>
      <c r="AO42" s="804"/>
      <c r="AP42" s="804"/>
      <c r="AQ42" s="804"/>
      <c r="AR42" s="804"/>
      <c r="AS42" s="804"/>
      <c r="AT42" s="804"/>
      <c r="AU42" s="804"/>
      <c r="AV42" s="804"/>
      <c r="AW42" s="804"/>
      <c r="AX42" s="804"/>
    </row>
    <row r="43" spans="1:50" ht="60" customHeight="1">
      <c r="B43" s="575"/>
      <c r="C43" s="205"/>
      <c r="H43" s="816"/>
      <c r="I43" s="816"/>
      <c r="J43" s="816"/>
      <c r="K43" s="816"/>
      <c r="L43" s="816"/>
      <c r="M43" s="816"/>
      <c r="N43" s="816"/>
      <c r="O43" s="816"/>
      <c r="P43" s="816"/>
      <c r="Q43" s="816"/>
      <c r="R43" s="816"/>
      <c r="S43" s="816"/>
      <c r="T43" s="816"/>
      <c r="U43" s="816"/>
      <c r="V43" s="816"/>
      <c r="W43" s="816"/>
      <c r="X43" s="816"/>
      <c r="Y43" s="816"/>
      <c r="Z43" s="816"/>
      <c r="AA43" s="816"/>
      <c r="AB43" s="816"/>
      <c r="AC43" s="816"/>
      <c r="AD43" s="816"/>
      <c r="AE43" s="816"/>
      <c r="AF43" s="816"/>
      <c r="AG43" s="816"/>
      <c r="AH43" s="816"/>
      <c r="AI43" s="816"/>
      <c r="AJ43" s="816"/>
      <c r="AK43" s="816"/>
      <c r="AL43" s="816"/>
      <c r="AM43" s="816"/>
      <c r="AN43" s="816"/>
      <c r="AO43" s="816"/>
      <c r="AP43" s="816"/>
      <c r="AQ43" s="816"/>
      <c r="AR43" s="816"/>
      <c r="AS43" s="816"/>
      <c r="AT43" s="816"/>
      <c r="AU43" s="816"/>
      <c r="AV43" s="816"/>
      <c r="AW43" s="816"/>
      <c r="AX43" s="816"/>
    </row>
    <row r="44" spans="1:50" ht="60" customHeight="1">
      <c r="B44" s="575"/>
      <c r="C44" s="205"/>
      <c r="H44" s="816"/>
      <c r="I44" s="816"/>
      <c r="J44" s="816"/>
      <c r="K44" s="816"/>
      <c r="L44" s="816"/>
      <c r="M44" s="816"/>
      <c r="N44" s="816"/>
      <c r="O44" s="816"/>
      <c r="P44" s="816"/>
      <c r="Q44" s="816"/>
      <c r="R44" s="816"/>
      <c r="S44" s="816"/>
      <c r="T44" s="816"/>
      <c r="U44" s="816"/>
      <c r="V44" s="816"/>
      <c r="W44" s="816"/>
      <c r="X44" s="816"/>
      <c r="Y44" s="816"/>
      <c r="Z44" s="816"/>
      <c r="AA44" s="816"/>
      <c r="AB44" s="816"/>
      <c r="AC44" s="816"/>
      <c r="AD44" s="816"/>
      <c r="AE44" s="816"/>
      <c r="AF44" s="816"/>
      <c r="AG44" s="816"/>
      <c r="AH44" s="816"/>
      <c r="AI44" s="816"/>
      <c r="AJ44" s="816"/>
      <c r="AK44" s="816"/>
      <c r="AL44" s="816"/>
      <c r="AM44" s="816"/>
      <c r="AN44" s="816"/>
      <c r="AO44" s="816"/>
      <c r="AP44" s="816"/>
      <c r="AQ44" s="816"/>
      <c r="AR44" s="816"/>
      <c r="AS44" s="816"/>
      <c r="AT44" s="816"/>
      <c r="AU44" s="816"/>
      <c r="AV44" s="816"/>
      <c r="AW44" s="816"/>
      <c r="AX44" s="816"/>
    </row>
    <row r="45" spans="1:50" ht="60" customHeight="1">
      <c r="B45" s="575"/>
      <c r="C45" s="205"/>
      <c r="H45" s="816"/>
      <c r="I45" s="816"/>
      <c r="J45" s="816"/>
      <c r="K45" s="816"/>
      <c r="L45" s="816"/>
      <c r="M45" s="816"/>
      <c r="N45" s="816"/>
      <c r="O45" s="816"/>
      <c r="P45" s="816"/>
      <c r="Q45" s="816"/>
      <c r="R45" s="816"/>
      <c r="S45" s="816"/>
      <c r="T45" s="816"/>
      <c r="U45" s="816"/>
      <c r="V45" s="816"/>
      <c r="W45" s="816"/>
      <c r="X45" s="816"/>
      <c r="Y45" s="816"/>
      <c r="Z45" s="816"/>
      <c r="AA45" s="816"/>
      <c r="AB45" s="816"/>
      <c r="AC45" s="816"/>
      <c r="AD45" s="816"/>
      <c r="AE45" s="816"/>
      <c r="AF45" s="816"/>
      <c r="AG45" s="816"/>
      <c r="AH45" s="816"/>
      <c r="AI45" s="816"/>
      <c r="AJ45" s="816"/>
      <c r="AK45" s="816"/>
      <c r="AL45" s="816"/>
      <c r="AM45" s="816"/>
      <c r="AN45" s="816"/>
      <c r="AO45" s="816"/>
      <c r="AP45" s="816"/>
      <c r="AQ45" s="816"/>
      <c r="AR45" s="816"/>
      <c r="AS45" s="816"/>
      <c r="AT45" s="816"/>
      <c r="AU45" s="816"/>
      <c r="AV45" s="816"/>
      <c r="AW45" s="816"/>
      <c r="AX45" s="816"/>
    </row>
    <row r="46" spans="1:50" ht="60" customHeight="1">
      <c r="B46" s="575"/>
      <c r="C46" s="205"/>
      <c r="H46" s="816"/>
      <c r="I46" s="816"/>
      <c r="J46" s="816"/>
      <c r="K46" s="816"/>
      <c r="L46" s="816"/>
      <c r="M46" s="816"/>
      <c r="N46" s="816"/>
      <c r="O46" s="816"/>
      <c r="P46" s="816"/>
      <c r="Q46" s="816"/>
      <c r="R46" s="816"/>
      <c r="S46" s="816"/>
      <c r="T46" s="816"/>
      <c r="U46" s="816"/>
      <c r="V46" s="816"/>
      <c r="W46" s="816"/>
      <c r="X46" s="816"/>
      <c r="Y46" s="816"/>
      <c r="Z46" s="816"/>
      <c r="AA46" s="816"/>
      <c r="AB46" s="816"/>
      <c r="AC46" s="816"/>
      <c r="AD46" s="816"/>
      <c r="AE46" s="816"/>
      <c r="AF46" s="816"/>
      <c r="AG46" s="816"/>
      <c r="AH46" s="816"/>
      <c r="AI46" s="816"/>
      <c r="AJ46" s="816"/>
      <c r="AK46" s="816"/>
      <c r="AL46" s="816"/>
      <c r="AM46" s="816"/>
      <c r="AN46" s="816"/>
      <c r="AO46" s="816"/>
      <c r="AP46" s="816"/>
      <c r="AQ46" s="816"/>
      <c r="AR46" s="816"/>
      <c r="AS46" s="816"/>
      <c r="AT46" s="816"/>
      <c r="AU46" s="816"/>
      <c r="AV46" s="816"/>
      <c r="AW46" s="816"/>
      <c r="AX46" s="816"/>
    </row>
  </sheetData>
  <mergeCells count="14">
    <mergeCell ref="H46:AX46"/>
    <mergeCell ref="H41:AX41"/>
    <mergeCell ref="H42:AX42"/>
    <mergeCell ref="H43:AX43"/>
    <mergeCell ref="H44:AX44"/>
    <mergeCell ref="H45:AX45"/>
    <mergeCell ref="AN8:AR8"/>
    <mergeCell ref="H40:AX40"/>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sheetPr>
  <dimension ref="A1:T93"/>
  <sheetViews>
    <sheetView showGridLines="0" topLeftCell="B1" zoomScale="63" zoomScaleNormal="100" workbookViewId="0">
      <selection activeCell="A96" sqref="A96"/>
    </sheetView>
  </sheetViews>
  <sheetFormatPr defaultColWidth="11.5" defaultRowHeight="15" customHeight="1"/>
  <cols>
    <col min="1" max="1" width="2" style="23" customWidth="1"/>
    <col min="2" max="2" width="31" style="23" customWidth="1"/>
    <col min="3" max="3" width="12" style="23" bestFit="1" customWidth="1"/>
    <col min="4" max="4" width="11.875" style="23" bestFit="1" customWidth="1"/>
    <col min="5" max="5" width="15.5" style="23" bestFit="1" customWidth="1"/>
    <col min="6" max="6" width="15.25" style="23" bestFit="1" customWidth="1"/>
    <col min="7" max="7" width="11.375" style="23" bestFit="1" customWidth="1"/>
    <col min="8" max="8" width="10.875" style="23" bestFit="1" customWidth="1"/>
    <col min="9" max="9" width="15" style="23" bestFit="1" customWidth="1"/>
    <col min="10" max="10" width="14.75" style="23" bestFit="1" customWidth="1"/>
    <col min="11" max="11" width="17.125" style="23" bestFit="1" customWidth="1"/>
    <col min="12" max="12" width="12.375" style="23" customWidth="1"/>
    <col min="13" max="13" width="17.625" style="23" bestFit="1" customWidth="1"/>
    <col min="14" max="14" width="15.25" style="23" bestFit="1" customWidth="1"/>
    <col min="15" max="15" width="17.75" style="23" bestFit="1" customWidth="1"/>
    <col min="16" max="16" width="10.25" style="23" bestFit="1" customWidth="1"/>
    <col min="17" max="17" width="16.75" style="23" bestFit="1" customWidth="1"/>
    <col min="18" max="18" width="16" style="23" bestFit="1" customWidth="1"/>
    <col min="19" max="16384" width="11.5" style="23"/>
  </cols>
  <sheetData>
    <row r="1" spans="1:18" s="582" customFormat="1" ht="15" customHeight="1"/>
    <row r="2" spans="1:18" s="582" customFormat="1" ht="15" customHeight="1"/>
    <row r="3" spans="1:18" s="582" customFormat="1" ht="15" customHeight="1"/>
    <row r="4" spans="1:18" s="582" customFormat="1" ht="15" customHeight="1"/>
    <row r="5" spans="1:18" s="36" customFormat="1" ht="3.95" customHeight="1"/>
    <row r="7" spans="1:18" ht="15" customHeight="1">
      <c r="B7" s="592" t="s">
        <v>219</v>
      </c>
      <c r="C7" s="582"/>
      <c r="D7" s="582"/>
      <c r="E7" s="582"/>
      <c r="F7" s="582"/>
      <c r="G7" s="582"/>
      <c r="H7" s="582"/>
      <c r="I7" s="582"/>
      <c r="J7" s="582"/>
      <c r="K7" s="582"/>
      <c r="L7" s="582"/>
      <c r="M7" s="582"/>
      <c r="N7" s="582"/>
      <c r="O7" s="582"/>
      <c r="P7" s="582"/>
      <c r="Q7" s="582"/>
      <c r="R7" s="582"/>
    </row>
    <row r="8" spans="1:18" ht="15" customHeight="1">
      <c r="B8" s="582"/>
      <c r="C8" s="582"/>
      <c r="D8" s="582"/>
      <c r="E8" s="582"/>
      <c r="F8" s="582"/>
      <c r="G8" s="582"/>
      <c r="H8" s="582"/>
      <c r="I8" s="582"/>
      <c r="J8" s="582"/>
      <c r="K8" s="582"/>
      <c r="L8" s="582"/>
      <c r="M8" s="582"/>
      <c r="N8" s="582"/>
      <c r="O8" s="582"/>
      <c r="P8" s="582"/>
      <c r="Q8" s="582"/>
      <c r="R8" s="582"/>
    </row>
    <row r="9" spans="1:18" ht="15" customHeight="1">
      <c r="B9" s="582"/>
      <c r="C9" s="582"/>
      <c r="D9" s="582"/>
      <c r="E9" s="582"/>
      <c r="F9" s="582"/>
      <c r="G9" s="582"/>
      <c r="H9" s="582"/>
      <c r="I9" s="582"/>
      <c r="J9" s="582"/>
      <c r="K9" s="582"/>
      <c r="L9" s="582"/>
      <c r="M9" s="582"/>
      <c r="N9" s="582"/>
      <c r="O9" s="582"/>
      <c r="P9" s="582"/>
      <c r="Q9" s="582"/>
      <c r="R9" s="582"/>
    </row>
    <row r="10" spans="1:18" ht="3.95" customHeight="1">
      <c r="B10" s="36"/>
      <c r="C10" s="36"/>
      <c r="D10" s="36"/>
      <c r="E10" s="36"/>
      <c r="F10" s="36"/>
      <c r="G10" s="36"/>
      <c r="H10" s="36"/>
      <c r="I10" s="36"/>
      <c r="J10" s="36"/>
      <c r="K10" s="36"/>
      <c r="L10" s="36"/>
      <c r="M10" s="36"/>
      <c r="N10" s="36"/>
      <c r="O10" s="36"/>
      <c r="P10" s="36"/>
      <c r="Q10" s="36"/>
      <c r="R10" s="36"/>
    </row>
    <row r="11" spans="1:18" ht="3.95" customHeight="1"/>
    <row r="12" spans="1:18" ht="15" customHeight="1">
      <c r="A12" s="384" t="s">
        <v>38</v>
      </c>
      <c r="B12" s="596" t="s">
        <v>220</v>
      </c>
      <c r="C12" s="597" t="s">
        <v>221</v>
      </c>
      <c r="D12" s="597" t="s">
        <v>222</v>
      </c>
      <c r="E12" s="597" t="s">
        <v>223</v>
      </c>
      <c r="F12" s="597" t="s">
        <v>224</v>
      </c>
      <c r="G12" s="597" t="s">
        <v>225</v>
      </c>
      <c r="H12" s="597" t="s">
        <v>226</v>
      </c>
      <c r="I12" s="597" t="s">
        <v>227</v>
      </c>
      <c r="J12" s="597" t="s">
        <v>228</v>
      </c>
      <c r="K12" s="597" t="s">
        <v>229</v>
      </c>
      <c r="L12" s="597" t="s">
        <v>230</v>
      </c>
      <c r="M12" s="597" t="s">
        <v>231</v>
      </c>
      <c r="N12" s="597" t="s">
        <v>232</v>
      </c>
      <c r="O12" s="597" t="s">
        <v>233</v>
      </c>
      <c r="P12" s="597" t="s">
        <v>234</v>
      </c>
      <c r="Q12" s="597" t="s">
        <v>235</v>
      </c>
      <c r="R12" s="597" t="s">
        <v>236</v>
      </c>
    </row>
    <row r="13" spans="1:18" ht="3.95" customHeight="1">
      <c r="A13" s="384"/>
      <c r="B13" s="753"/>
      <c r="C13" s="752"/>
      <c r="D13" s="752"/>
      <c r="E13" s="752"/>
      <c r="F13" s="752"/>
      <c r="G13" s="752"/>
      <c r="H13" s="752"/>
      <c r="I13" s="752"/>
      <c r="J13" s="36"/>
      <c r="K13" s="36"/>
      <c r="L13" s="36"/>
      <c r="M13" s="36"/>
      <c r="N13" s="36"/>
      <c r="O13" s="36"/>
      <c r="P13" s="36"/>
      <c r="Q13" s="36"/>
      <c r="R13" s="36"/>
    </row>
    <row r="14" spans="1:18" ht="15" customHeight="1">
      <c r="B14" s="751" t="s">
        <v>237</v>
      </c>
      <c r="C14" s="750">
        <v>-1.7023573207660014E-2</v>
      </c>
      <c r="D14" s="750">
        <v>4.4881099629533905E-2</v>
      </c>
      <c r="E14" s="750">
        <v>-2.7123451165596113E-2</v>
      </c>
      <c r="F14" s="750">
        <v>-8.0019305019304987E-2</v>
      </c>
      <c r="G14" s="750">
        <v>-3.8152770050075002E-3</v>
      </c>
      <c r="H14" s="750">
        <v>1.7405108876307418E-2</v>
      </c>
      <c r="I14" s="750">
        <v>0.64980521061602148</v>
      </c>
      <c r="J14" s="583">
        <v>5.4899989053007747E-3</v>
      </c>
      <c r="K14" s="583">
        <v>2.8227695065141445E-2</v>
      </c>
      <c r="L14" s="583">
        <v>2.8227695065141445E-2</v>
      </c>
      <c r="M14" s="583">
        <v>-7.6128224196642114E-3</v>
      </c>
      <c r="N14" s="583">
        <v>-7.6128224196642114E-3</v>
      </c>
      <c r="O14" s="583">
        <v>-7.6128224196642114E-3</v>
      </c>
      <c r="P14" s="583">
        <v>-7.6128224196642114E-3</v>
      </c>
      <c r="Q14" s="583">
        <v>-7.6128224196642114E-3</v>
      </c>
      <c r="R14" s="583" t="e">
        <f ca="1">_xll.BQL(
  Inputs!$Q$24,
  "(sales_rev_turn(fpt=ltm,fa_adjusted=y) /
    sales_rev_turn(fpt=ltm,fa_adjusted=y,fa_period_offset=-1)) - 1"
)</f>
        <v>#NAME?</v>
      </c>
    </row>
    <row r="15" spans="1:18" ht="15" customHeight="1">
      <c r="B15" s="751" t="s">
        <v>238</v>
      </c>
      <c r="C15" s="750">
        <v>1.3269195145102275E-2</v>
      </c>
      <c r="D15" s="750">
        <v>3.5740049262370288E-2</v>
      </c>
      <c r="E15" s="750">
        <v>-3.1488221616912448E-2</v>
      </c>
      <c r="F15" s="750">
        <v>-9.8965481563603186E-3</v>
      </c>
      <c r="G15" s="750">
        <v>4.8693213525604628E-2</v>
      </c>
      <c r="H15" s="750">
        <v>5.7317113825859689E-2</v>
      </c>
      <c r="I15" s="750">
        <v>0.13817279596757048</v>
      </c>
      <c r="J15" s="583">
        <v>7.9385688480002603E-2</v>
      </c>
      <c r="K15" s="583">
        <v>2.4913716452394041E-2</v>
      </c>
      <c r="L15" s="583">
        <v>2.3562645232569457E-2</v>
      </c>
      <c r="M15" s="583">
        <v>8.9939807522714688E-2</v>
      </c>
      <c r="N15" s="583">
        <v>0.15051169717631985</v>
      </c>
      <c r="O15" s="583">
        <v>6.7282557056542736E-3</v>
      </c>
      <c r="P15" s="583">
        <v>2.9262877065840964E-2</v>
      </c>
      <c r="Q15" s="583">
        <v>-0.10847820733460811</v>
      </c>
      <c r="R15" s="583" t="e">
        <f ca="1">_xll.BQL(
  Inputs!$Q$25,
  "(sales_rev_turn(fpt=ltm,fa_adjusted=y) /
    sales_rev_turn(fpt=ltm,fa_adjusted=y,fa_period_offset=-3))^(1/3) - 1"
)</f>
        <v>#NAME?</v>
      </c>
    </row>
    <row r="16" spans="1:18" ht="15" customHeight="1">
      <c r="B16" s="751" t="s">
        <v>239</v>
      </c>
      <c r="C16" s="750">
        <v>-1.7806706713500701E-2</v>
      </c>
      <c r="D16" s="750">
        <v>3.5261735398303573E-2</v>
      </c>
      <c r="E16" s="750">
        <v>5.4829185997469221E-3</v>
      </c>
      <c r="F16" s="750">
        <v>-7.0683661645422946E-2</v>
      </c>
      <c r="G16" s="750">
        <v>-3.6417141806143305E-2</v>
      </c>
      <c r="H16" s="750">
        <v>4.565109327014083E-2</v>
      </c>
      <c r="I16" s="750">
        <v>0.64607027669326045</v>
      </c>
      <c r="J16" s="583">
        <v>-2.2288875893199833E-2</v>
      </c>
      <c r="K16" s="583">
        <v>9.4937127292440415E-3</v>
      </c>
      <c r="L16" s="583">
        <v>9.4937127292440415E-3</v>
      </c>
      <c r="M16" s="583">
        <v>3.503960999390543E-3</v>
      </c>
      <c r="N16" s="583">
        <v>3.503960999390543E-3</v>
      </c>
      <c r="O16" s="583">
        <v>3.503960999390543E-3</v>
      </c>
      <c r="P16" s="583">
        <v>3.503960999390543E-3</v>
      </c>
      <c r="Q16" s="583">
        <v>3.503960999390543E-3</v>
      </c>
      <c r="R16" s="583" t="e">
        <f ca="1">_xll.BQL(
  Inputs!$Q$24,
  "(gross_profit(fpt=ltm,fa_adjusted=y) /
    gross_profit(fpt=ltm,fa_adjusted=y,fa_period_offset=-1)) - 1"
)</f>
        <v>#NAME?</v>
      </c>
    </row>
    <row r="17" spans="1:20" ht="15" customHeight="1">
      <c r="B17" s="751" t="s">
        <v>240</v>
      </c>
      <c r="C17" s="750">
        <v>2.0717434945480839E-2</v>
      </c>
      <c r="D17" s="750">
        <v>4.5871901739128029E-2</v>
      </c>
      <c r="E17" s="750">
        <v>1.4782516218228237E-2</v>
      </c>
      <c r="F17" s="750">
        <v>-0.13530443497870204</v>
      </c>
      <c r="G17" s="750">
        <v>-0.1056241426611797</v>
      </c>
      <c r="H17" s="750">
        <v>-5.858349157609799E-2</v>
      </c>
      <c r="I17" s="750">
        <v>0.47714604236343372</v>
      </c>
      <c r="J17" s="583">
        <v>-1.0764279185048853E-2</v>
      </c>
      <c r="K17" s="583">
        <v>-9.8607550687485057E-3</v>
      </c>
      <c r="L17" s="583">
        <v>-9.8607550687485057E-3</v>
      </c>
      <c r="M17" s="583">
        <v>-1.6612303724493627E-2</v>
      </c>
      <c r="N17" s="583">
        <v>-1.6612303724493627E-2</v>
      </c>
      <c r="O17" s="583">
        <v>-1.6612303724493627E-2</v>
      </c>
      <c r="P17" s="583">
        <v>-1.6612303724493627E-2</v>
      </c>
      <c r="Q17" s="583">
        <v>-1.6612303724493627E-2</v>
      </c>
      <c r="R17" s="583" t="e">
        <f ca="1">_xll.BQL(
  Inputs!$Q$24,
  "(is_oper_inc(fpt=ltm,fa_adjusted=y) /
    is_oper_inc(fpt=ltm,fa_adjusted=y,fa_period_offset=-1)) - 1"
)</f>
        <v>#NAME?</v>
      </c>
    </row>
    <row r="18" spans="1:20" ht="15" customHeight="1">
      <c r="B18" s="751" t="s">
        <v>241</v>
      </c>
      <c r="C18" s="750">
        <v>1.3216805934494813E-2</v>
      </c>
      <c r="D18" s="750">
        <v>6.0447767501898841E-2</v>
      </c>
      <c r="E18" s="750">
        <v>-1.8241042345276903E-2</v>
      </c>
      <c r="F18" s="750">
        <v>-3.9993044687880341E-2</v>
      </c>
      <c r="G18" s="750">
        <v>-6.315789473684208E-2</v>
      </c>
      <c r="H18" s="750">
        <v>-2.5983024424043322E-3</v>
      </c>
      <c r="I18" s="750">
        <v>0.68601190476190466</v>
      </c>
      <c r="J18" s="583">
        <v>-9.482477264111111E-5</v>
      </c>
      <c r="K18" s="583">
        <v>-7.1547075902115287E-3</v>
      </c>
      <c r="L18" s="583">
        <v>-7.1547075902115287E-3</v>
      </c>
      <c r="M18" s="583">
        <v>-1.6443189837685224E-2</v>
      </c>
      <c r="N18" s="583">
        <v>-1.6443189837685224E-2</v>
      </c>
      <c r="O18" s="583">
        <v>-1.6443189837685224E-2</v>
      </c>
      <c r="P18" s="583">
        <v>-1.6443189837685224E-2</v>
      </c>
      <c r="Q18" s="583">
        <v>-1.6443189837685224E-2</v>
      </c>
      <c r="R18" s="583" t="e">
        <f ca="1">_xll.BQL(
  Inputs!$Q$24,
  "(ebitda(fpt=ltm,fa_adjusted=y) /
    ebitda(fpt=ltm,fa_adjusted=y,fa_period_offset=-1)) - 1"
)</f>
        <v>#NAME?</v>
      </c>
    </row>
    <row r="19" spans="1:20" ht="15" customHeight="1">
      <c r="B19" s="751" t="s">
        <v>242</v>
      </c>
      <c r="C19" s="750">
        <v>0.17272461374034023</v>
      </c>
      <c r="D19" s="750">
        <v>-0.18941188299304934</v>
      </c>
      <c r="E19" s="750">
        <v>-0.1168191414496831</v>
      </c>
      <c r="F19" s="750">
        <v>-4.3572984749452861E-3</v>
      </c>
      <c r="G19" s="750">
        <v>-0.5845410628019323</v>
      </c>
      <c r="H19" s="750">
        <v>4.2260368749766093E-3</v>
      </c>
      <c r="I19" s="750">
        <f>(282.9-195.7)/195.7</f>
        <v>0.44557996934082778</v>
      </c>
      <c r="J19" s="583">
        <v>3.8351067015351452</v>
      </c>
      <c r="K19" s="583">
        <v>4.4426198261075254E-3</v>
      </c>
      <c r="L19" s="583">
        <v>7.0619335347431977E-2</v>
      </c>
      <c r="M19" s="583">
        <v>-3.7678152132364993E-2</v>
      </c>
      <c r="N19" s="583">
        <v>0.1620962827544182</v>
      </c>
      <c r="O19" s="583">
        <v>16.105236139630399</v>
      </c>
      <c r="P19" s="583">
        <v>-0.43123295568763254</v>
      </c>
      <c r="Q19" s="583">
        <v>-0.40635556111597654</v>
      </c>
      <c r="R19" s="750" t="e" cm="1">
        <f t="array" aca="1" ref="R19" ca="1">_xll.BDP(Inputs!$Q$25,"FREE_CASH_FLOW_1_YEAR_GROWTH")/100</f>
        <v>#NAME?</v>
      </c>
    </row>
    <row r="20" spans="1:20" ht="15" customHeight="1">
      <c r="B20" s="751"/>
      <c r="C20" s="749"/>
      <c r="D20" s="749"/>
      <c r="E20" s="749"/>
      <c r="F20" s="749"/>
      <c r="G20" s="749"/>
      <c r="H20" s="749"/>
      <c r="I20" s="749"/>
    </row>
    <row r="21" spans="1:20" ht="15" customHeight="1">
      <c r="A21" s="384" t="s">
        <v>38</v>
      </c>
      <c r="B21" s="596" t="s">
        <v>243</v>
      </c>
      <c r="C21" s="597" t="s">
        <v>221</v>
      </c>
      <c r="D21" s="597" t="s">
        <v>222</v>
      </c>
      <c r="E21" s="597" t="s">
        <v>223</v>
      </c>
      <c r="F21" s="597" t="s">
        <v>224</v>
      </c>
      <c r="G21" s="597" t="s">
        <v>225</v>
      </c>
      <c r="H21" s="597" t="s">
        <v>226</v>
      </c>
      <c r="I21" s="597" t="s">
        <v>227</v>
      </c>
      <c r="J21" s="597" t="s">
        <v>228</v>
      </c>
      <c r="K21" s="597" t="s">
        <v>229</v>
      </c>
      <c r="L21" s="597" t="s">
        <v>230</v>
      </c>
      <c r="M21" s="597" t="s">
        <v>231</v>
      </c>
      <c r="N21" s="597" t="s">
        <v>232</v>
      </c>
      <c r="O21" s="597" t="s">
        <v>233</v>
      </c>
      <c r="P21" s="597" t="s">
        <v>234</v>
      </c>
      <c r="Q21" s="597" t="s">
        <v>235</v>
      </c>
      <c r="R21" s="597" t="str">
        <f>R12</f>
        <v>GEA GROUP AG</v>
      </c>
    </row>
    <row r="22" spans="1:20" ht="3.95" customHeight="1">
      <c r="A22" s="384"/>
      <c r="B22" s="753"/>
      <c r="C22" s="752"/>
      <c r="D22" s="752"/>
      <c r="E22" s="752"/>
      <c r="F22" s="752"/>
      <c r="G22" s="752"/>
      <c r="H22" s="752"/>
      <c r="I22" s="752"/>
      <c r="J22" s="36"/>
      <c r="K22" s="36"/>
      <c r="L22" s="36"/>
      <c r="M22" s="36"/>
      <c r="N22" s="36"/>
      <c r="O22" s="36"/>
      <c r="P22" s="36"/>
      <c r="Q22" s="36"/>
      <c r="R22" s="36"/>
    </row>
    <row r="23" spans="1:20" ht="15" customHeight="1">
      <c r="B23" s="751" t="s">
        <v>244</v>
      </c>
      <c r="C23" s="750">
        <v>0.37943420171853459</v>
      </c>
      <c r="D23" s="750">
        <v>0.55248053753251491</v>
      </c>
      <c r="E23" s="750">
        <v>0.29379722368652261</v>
      </c>
      <c r="F23" s="750">
        <v>0.33194042981022998</v>
      </c>
      <c r="G23" s="750">
        <v>0.42745006606046476</v>
      </c>
      <c r="H23" s="750">
        <v>0.44252428364205265</v>
      </c>
      <c r="I23" s="750">
        <v>0.36509324009324007</v>
      </c>
      <c r="J23" s="583">
        <v>0.47587299656000093</v>
      </c>
      <c r="K23" s="583">
        <v>0.51061220335532898</v>
      </c>
      <c r="L23" s="583">
        <v>0.5196930545767755</v>
      </c>
      <c r="M23" s="583">
        <v>0.4473963633590054</v>
      </c>
      <c r="N23" s="583">
        <v>0.28632822992210583</v>
      </c>
      <c r="O23" s="583">
        <v>0.25828666113167198</v>
      </c>
      <c r="P23" s="583">
        <v>0.3785222797844281</v>
      </c>
      <c r="Q23" s="583">
        <v>0.44831850726838796</v>
      </c>
      <c r="R23" s="750" t="e" cm="1">
        <f t="array" aca="1" ref="R23" ca="1">_xll.BDP(Inputs!$Q$25,"GROSS_MARGIN")/100</f>
        <v>#NAME?</v>
      </c>
    </row>
    <row r="24" spans="1:20" ht="15" customHeight="1">
      <c r="B24" s="751" t="s">
        <v>245</v>
      </c>
      <c r="C24" s="750">
        <v>0.16933175954966528</v>
      </c>
      <c r="D24" s="750">
        <v>0.25056535117574086</v>
      </c>
      <c r="E24" s="750">
        <v>3.6483856902061081E-2</v>
      </c>
      <c r="F24" s="750">
        <v>-5.6239788865150176E-3</v>
      </c>
      <c r="G24" s="750">
        <v>8.8831895546747489E-2</v>
      </c>
      <c r="H24" s="750">
        <v>0.16257319268187101</v>
      </c>
      <c r="I24" s="750">
        <v>6.8997668997669001E-2</v>
      </c>
      <c r="J24" s="583">
        <v>0.2172481113188138</v>
      </c>
      <c r="K24" s="583">
        <v>0.20625095418228701</v>
      </c>
      <c r="L24" s="583">
        <v>0.2634288622660716</v>
      </c>
      <c r="M24" s="583">
        <v>0.16008807583996212</v>
      </c>
      <c r="N24" s="583">
        <v>0.15116841257050764</v>
      </c>
      <c r="O24" s="583">
        <v>0.15603935944162223</v>
      </c>
      <c r="P24" s="583">
        <v>0.16325507524619609</v>
      </c>
      <c r="Q24" s="583">
        <v>0.16009980472987631</v>
      </c>
      <c r="R24" s="750" t="e" cm="1">
        <f t="array" aca="1" ref="R24" ca="1">_xll.BDP(Inputs!$Q$25,"OPER_MARGIN")/100</f>
        <v>#NAME?</v>
      </c>
    </row>
    <row r="25" spans="1:20" ht="15" customHeight="1">
      <c r="B25" s="751" t="s">
        <v>246</v>
      </c>
      <c r="C25" s="750">
        <v>0.19962376105650981</v>
      </c>
      <c r="D25" s="750">
        <v>0.29642081506305418</v>
      </c>
      <c r="E25" s="750">
        <v>8.1297488391726472E-2</v>
      </c>
      <c r="F25" s="750">
        <v>0.12681425523729586</v>
      </c>
      <c r="G25" s="750">
        <v>0.11561477698874971</v>
      </c>
      <c r="H25" s="750">
        <v>0.20586044031906389</v>
      </c>
      <c r="I25" s="750">
        <v>9.8033428033797013E-2</v>
      </c>
      <c r="J25" s="583">
        <v>0.2400358676485955</v>
      </c>
      <c r="K25" s="583">
        <v>0.23173035969472078</v>
      </c>
      <c r="L25" s="583">
        <v>0.27490189118302472</v>
      </c>
      <c r="M25" s="583">
        <v>0.20363877319966905</v>
      </c>
      <c r="N25" s="583">
        <v>0.19340625949559398</v>
      </c>
      <c r="O25" s="583">
        <v>0.2177109288200556</v>
      </c>
      <c r="P25" s="583">
        <v>0.18522169826827334</v>
      </c>
      <c r="Q25" s="583">
        <v>0.18819787357088841</v>
      </c>
      <c r="R25" s="750" t="e" cm="1">
        <f t="array" aca="1" ref="R25" ca="1">_xll.BDP(Inputs!$Q$25,"EBITDA_MARGIN")/100</f>
        <v>#NAME?</v>
      </c>
    </row>
    <row r="26" spans="1:20" ht="15" customHeight="1">
      <c r="B26" s="751" t="s">
        <v>247</v>
      </c>
      <c r="C26" s="750">
        <v>0.11055873277039772</v>
      </c>
      <c r="D26" s="750">
        <v>0.1737166258786039</v>
      </c>
      <c r="E26" s="750">
        <v>1.9153048673343876E-2</v>
      </c>
      <c r="F26" s="750">
        <v>-6.6293829332663062E-2</v>
      </c>
      <c r="G26" s="750">
        <v>6.5050128235019822E-2</v>
      </c>
      <c r="H26" s="750">
        <v>0.10594237239221405</v>
      </c>
      <c r="I26" s="750">
        <v>4.9766899766899769E-2</v>
      </c>
      <c r="J26" s="583">
        <v>0.15756633888968774</v>
      </c>
      <c r="K26" s="583">
        <v>0.14545809231395565</v>
      </c>
      <c r="L26" s="583">
        <v>0.20434969853574508</v>
      </c>
      <c r="M26" s="583">
        <v>0.10741519087447587</v>
      </c>
      <c r="N26" s="583">
        <v>0.1161966156325544</v>
      </c>
      <c r="O26" s="583">
        <v>9.6864753809999579E-2</v>
      </c>
      <c r="P26" s="583">
        <v>9.6629345487435611E-2</v>
      </c>
      <c r="Q26" s="583">
        <v>0.10238663484486872</v>
      </c>
      <c r="R26" s="750" t="e" cm="1">
        <f t="array" aca="1" ref="R26" ca="1">_xll.BDP(Inputs!$Q$25,"NET_INCOME_TO_COMMON_MARGIN")/100</f>
        <v>#NAME?</v>
      </c>
    </row>
    <row r="27" spans="1:20" ht="15" customHeight="1">
      <c r="B27" s="751" t="s">
        <v>248</v>
      </c>
      <c r="C27" s="750">
        <f>754.3/3841.2</f>
        <v>0.19637092575236906</v>
      </c>
      <c r="D27" s="750">
        <v>0.30191518635677406</v>
      </c>
      <c r="E27" s="750">
        <v>0.19404908334797633</v>
      </c>
      <c r="F27" s="750">
        <f>603.5/2859.3</f>
        <v>0.21106564543769452</v>
      </c>
      <c r="G27" s="750">
        <v>0.30457760161653841</v>
      </c>
      <c r="H27" s="750">
        <v>0.26573405329870209</v>
      </c>
      <c r="I27" s="750">
        <v>0.29527972027972027</v>
      </c>
      <c r="J27" s="583">
        <v>0.2182944904708706</v>
      </c>
      <c r="K27" s="583">
        <v>0.28594086614306796</v>
      </c>
      <c r="L27" s="583">
        <f>1368.2/5070.9</f>
        <v>0.26981403695596445</v>
      </c>
      <c r="M27" s="583">
        <v>0.25954472739242923</v>
      </c>
      <c r="N27" s="583">
        <v>0.11904378189632019</v>
      </c>
      <c r="O27" s="583">
        <v>0.16126887409763169</v>
      </c>
      <c r="P27" s="583">
        <v>0.21153581632828047</v>
      </c>
      <c r="Q27" s="583">
        <v>0.26884356693425904</v>
      </c>
      <c r="R27" s="750" t="e" cm="1">
        <f t="array" aca="1" ref="R27" ca="1">_xll.BDP(Inputs!$Q$25,"TRAILING_12_MONTH_SG&amp;A_EXPENSE")/_xll.BDP(Inputs!$Q$25,"TRAIL_12M_NET_SALES")</f>
        <v>#NAME?</v>
      </c>
    </row>
    <row r="28" spans="1:20" ht="15" customHeight="1">
      <c r="B28" s="751" t="s">
        <v>249</v>
      </c>
      <c r="C28" s="750" t="e">
        <v>#VALUE!</v>
      </c>
      <c r="D28" s="750" t="e">
        <v>#VALUE!</v>
      </c>
      <c r="E28" s="750"/>
      <c r="F28" s="750"/>
      <c r="G28" s="750">
        <v>3.3511529561956438E-2</v>
      </c>
      <c r="H28" s="750">
        <v>1.401494549960405E-2</v>
      </c>
      <c r="I28" s="750"/>
      <c r="J28" s="583">
        <v>3.6219431665181295E-2</v>
      </c>
      <c r="K28" s="583"/>
      <c r="L28" s="583"/>
      <c r="M28" s="583"/>
      <c r="N28" s="583"/>
      <c r="O28" s="583"/>
      <c r="P28" s="583"/>
      <c r="Q28" s="583"/>
      <c r="R28" s="750" t="e" cm="1">
        <f t="array" aca="1" ref="R28" ca="1">_xll.BDP(Inputs!$Q$25,"TRAILING_12M_R&amp;D_%_SALES")/100</f>
        <v>#NAME?</v>
      </c>
      <c r="T28" s="750" t="e" cm="1">
        <f t="array" aca="1" ref="T28" ca="1">_xll.BDP(Inputs!$Q$25,"TRAILING_12M_R&amp;D_%_SALES")/100</f>
        <v>#NAME?</v>
      </c>
    </row>
    <row r="29" spans="1:20" ht="15" customHeight="1">
      <c r="B29" s="751"/>
      <c r="C29" s="749"/>
      <c r="D29" s="749"/>
      <c r="E29" s="749"/>
      <c r="F29" s="749"/>
      <c r="G29" s="749"/>
      <c r="H29" s="749"/>
      <c r="I29" s="749"/>
    </row>
    <row r="30" spans="1:20" ht="15" customHeight="1">
      <c r="A30" s="384" t="s">
        <v>38</v>
      </c>
      <c r="B30" s="596" t="s">
        <v>250</v>
      </c>
      <c r="C30" s="597" t="s">
        <v>221</v>
      </c>
      <c r="D30" s="597" t="s">
        <v>222</v>
      </c>
      <c r="E30" s="597" t="s">
        <v>223</v>
      </c>
      <c r="F30" s="597" t="s">
        <v>224</v>
      </c>
      <c r="G30" s="597" t="s">
        <v>225</v>
      </c>
      <c r="H30" s="597" t="s">
        <v>226</v>
      </c>
      <c r="I30" s="597" t="s">
        <v>227</v>
      </c>
      <c r="J30" s="597" t="s">
        <v>228</v>
      </c>
      <c r="K30" s="597" t="s">
        <v>229</v>
      </c>
      <c r="L30" s="597" t="s">
        <v>230</v>
      </c>
      <c r="M30" s="597" t="s">
        <v>231</v>
      </c>
      <c r="N30" s="597" t="s">
        <v>232</v>
      </c>
      <c r="O30" s="597" t="s">
        <v>233</v>
      </c>
      <c r="P30" s="597" t="s">
        <v>234</v>
      </c>
      <c r="Q30" s="597" t="s">
        <v>235</v>
      </c>
      <c r="R30" s="597" t="str">
        <f>R21</f>
        <v>GEA GROUP AG</v>
      </c>
    </row>
    <row r="31" spans="1:20" ht="3.95" customHeight="1">
      <c r="A31" s="384"/>
      <c r="B31" s="753"/>
      <c r="C31" s="752"/>
      <c r="D31" s="752"/>
      <c r="E31" s="752"/>
      <c r="F31" s="752"/>
      <c r="G31" s="752"/>
      <c r="H31" s="752"/>
      <c r="I31" s="752"/>
      <c r="J31" s="36"/>
      <c r="K31" s="36"/>
      <c r="L31" s="36"/>
      <c r="M31" s="36"/>
      <c r="N31" s="36"/>
      <c r="O31" s="36"/>
      <c r="P31" s="36"/>
      <c r="Q31" s="36"/>
      <c r="R31" s="36"/>
    </row>
    <row r="32" spans="1:20" ht="15" customHeight="1">
      <c r="B32" s="751" t="s">
        <v>251</v>
      </c>
      <c r="C32" s="750">
        <v>7.5913293844111496E-2</v>
      </c>
      <c r="D32" s="750">
        <v>0.1070702418501845</v>
      </c>
      <c r="E32" s="750">
        <v>1.7850569718578405E-2</v>
      </c>
      <c r="F32" s="750">
        <v>9.89430269661307E-3</v>
      </c>
      <c r="G32" s="750">
        <v>7.7376435014149855E-2</v>
      </c>
      <c r="H32" s="750">
        <v>0.10046889511841198</v>
      </c>
      <c r="I32" s="750">
        <v>4.4793926472692001E-2</v>
      </c>
      <c r="J32" s="583">
        <v>0.1346584373163015</v>
      </c>
      <c r="K32" s="583">
        <v>0.1610633576825333</v>
      </c>
      <c r="L32" s="583">
        <v>0.14832807700794165</v>
      </c>
      <c r="M32" s="583">
        <v>8.8298511994111928E-2</v>
      </c>
      <c r="N32" s="583">
        <v>0.15936522541936618</v>
      </c>
      <c r="O32" s="583">
        <v>0.14343476919911305</v>
      </c>
      <c r="P32" s="583">
        <v>0.11254755669310507</v>
      </c>
      <c r="Q32" s="583">
        <v>9.2949497794225747E-2</v>
      </c>
      <c r="R32" s="750" t="e" cm="1">
        <f t="array" aca="1" ref="R32" ca="1">_xll.BDP(Inputs!$Q$25,"RETURN_ON_INV_CAPITAL")/100</f>
        <v>#NAME?</v>
      </c>
    </row>
    <row r="33" spans="1:18" ht="15" customHeight="1">
      <c r="B33" s="751" t="s">
        <v>252</v>
      </c>
      <c r="C33" s="750">
        <v>9.8830754042876209E-2</v>
      </c>
      <c r="D33" s="750">
        <v>8.958518875020334E-2</v>
      </c>
      <c r="E33" s="750">
        <v>4.8898009013338184E-2</v>
      </c>
      <c r="F33" s="750">
        <v>3.8870460151399173E-2</v>
      </c>
      <c r="G33" s="750">
        <v>7.673432968993979E-2</v>
      </c>
      <c r="H33" s="750">
        <v>0.11316120625496753</v>
      </c>
      <c r="I33" s="750">
        <v>2.432564124989068E-2</v>
      </c>
      <c r="J33" s="583">
        <v>0.13442092527638413</v>
      </c>
      <c r="K33" s="583">
        <v>0.10665184569374452</v>
      </c>
      <c r="L33" s="583">
        <v>0.16815195954862913</v>
      </c>
      <c r="M33" s="583">
        <v>7.9964365498663717E-2</v>
      </c>
      <c r="N33" s="583">
        <v>0.12801235148016382</v>
      </c>
      <c r="O33" s="583">
        <v>6.8402685114856393E-2</v>
      </c>
      <c r="P33" s="583">
        <v>5.1996055462089304E-2</v>
      </c>
      <c r="Q33" s="583">
        <v>8.819538670284939E-2</v>
      </c>
      <c r="R33" s="750" t="e" cm="1">
        <f t="array" aca="1" ref="R33" ca="1">_xll.BDP(Inputs!$Q$25,"CF_FREE_CASH_FLOW")/_xll.BDP(Inputs!$Q$25,"TOTAL_INVESTED_CAPITAL")</f>
        <v>#NAME?</v>
      </c>
    </row>
    <row r="34" spans="1:18" ht="15" customHeight="1">
      <c r="B34" s="751" t="s">
        <v>253</v>
      </c>
      <c r="C34" s="750">
        <v>0.33664097778498298</v>
      </c>
      <c r="D34" s="750">
        <v>0.58653971668607285</v>
      </c>
      <c r="E34" s="750">
        <v>0.20313802224879524</v>
      </c>
      <c r="F34" s="750">
        <v>-2.9576999339061463E-2</v>
      </c>
      <c r="G34" s="750">
        <v>0.20926400585865981</v>
      </c>
      <c r="H34" s="750">
        <v>0.38087909203933079</v>
      </c>
      <c r="I34" s="750">
        <v>0.17184325108853418</v>
      </c>
      <c r="J34" s="583">
        <v>0.41817568243707909</v>
      </c>
      <c r="K34" s="583">
        <v>0.40065046758536144</v>
      </c>
      <c r="L34" s="583">
        <v>0.34276617422312788</v>
      </c>
      <c r="M34" s="583">
        <v>0.32352893453728271</v>
      </c>
      <c r="N34" s="583">
        <v>0.4112231477422183</v>
      </c>
      <c r="O34" s="583">
        <v>0.31658833060316988</v>
      </c>
      <c r="P34" s="583">
        <v>0.42003869481506373</v>
      </c>
      <c r="Q34" s="583">
        <v>0.33681760087639212</v>
      </c>
      <c r="R34" s="750" t="e" cm="1">
        <f t="array" aca="1" ref="R34" ca="1">_xll.BDP(Inputs!$Q$25,"IS_OPER_INC")/_xll.BDP(Inputs!$Q$25,"CAPITAL_EMPLOYED")</f>
        <v>#NAME?</v>
      </c>
    </row>
    <row r="35" spans="1:18" ht="15" customHeight="1">
      <c r="B35" s="751" t="s">
        <v>254</v>
      </c>
      <c r="C35" s="750">
        <v>0.18034916698983711</v>
      </c>
      <c r="D35" s="750">
        <v>0.2298625055930853</v>
      </c>
      <c r="E35" s="750">
        <v>6.4289728093212081E-2</v>
      </c>
      <c r="F35" s="750">
        <v>-1.2282146287909974E-2</v>
      </c>
      <c r="G35" s="750">
        <v>0.18373251888763867</v>
      </c>
      <c r="H35" s="750">
        <v>0.19956463371431768</v>
      </c>
      <c r="I35" s="750">
        <v>7.6674005957777486E-2</v>
      </c>
      <c r="J35" s="583">
        <v>0.34357427804488511</v>
      </c>
      <c r="K35" s="583">
        <v>0.31018753555675171</v>
      </c>
      <c r="L35" s="583">
        <v>0.24842163559165595</v>
      </c>
      <c r="M35" s="583">
        <v>0.16102278348121904</v>
      </c>
      <c r="N35" s="583">
        <v>0.23724812410420706</v>
      </c>
      <c r="O35" s="583">
        <v>0.33574551028518446</v>
      </c>
      <c r="P35" s="583">
        <v>0.24744932805161238</v>
      </c>
      <c r="Q35" s="583">
        <v>0.30466556564822461</v>
      </c>
      <c r="R35" s="750" t="e" cm="1">
        <f t="array" aca="1" ref="R35" ca="1">_xll.BDP(Inputs!$Q$25,"IS_OPER_INC")/_xll.BDP(Inputs!$Q$25,"NET_ASSETS")</f>
        <v>#NAME?</v>
      </c>
    </row>
    <row r="36" spans="1:18" ht="15" customHeight="1">
      <c r="B36" s="751" t="s">
        <v>255</v>
      </c>
      <c r="C36" s="750">
        <v>0.12059906315113167</v>
      </c>
      <c r="D36" s="750">
        <v>0.15594369811750133</v>
      </c>
      <c r="E36" s="750">
        <v>5.3787201502398102E-2</v>
      </c>
      <c r="F36" s="750">
        <v>-1.3206162876008804E-2</v>
      </c>
      <c r="G36" s="750">
        <v>9.5103799451625545E-2</v>
      </c>
      <c r="H36" s="750">
        <v>0.12209506549747334</v>
      </c>
      <c r="I36" s="750">
        <v>-4.672786195429017E-2</v>
      </c>
      <c r="J36" s="583">
        <v>0.24300715485722538</v>
      </c>
      <c r="K36" s="583">
        <v>0.2216030925526993</v>
      </c>
      <c r="L36" s="583">
        <v>0.18178843461978952</v>
      </c>
      <c r="M36" s="583">
        <v>0.10877000680002842</v>
      </c>
      <c r="N36" s="583">
        <v>0.18765348463036666</v>
      </c>
      <c r="O36" s="583">
        <v>0.25758892063672612</v>
      </c>
      <c r="P36" s="583">
        <v>0.13565748853373116</v>
      </c>
      <c r="Q36" s="583">
        <v>0.16845080071936289</v>
      </c>
      <c r="R36" s="750" t="e" cm="1">
        <f t="array" aca="1" ref="R36" ca="1">_xll.BDP(Inputs!$Q$25,"RETURN_COM_EQY")/100</f>
        <v>#NAME?</v>
      </c>
    </row>
    <row r="37" spans="1:18" ht="15" customHeight="1">
      <c r="B37" s="751" t="s">
        <v>256</v>
      </c>
      <c r="C37" s="750">
        <v>5.9154418435855553E-2</v>
      </c>
      <c r="D37" s="750">
        <v>8.1149390458408424E-2</v>
      </c>
      <c r="E37" s="750">
        <v>2.1282938941148202E-2</v>
      </c>
      <c r="F37" s="750">
        <v>-3.6188178528347411E-3</v>
      </c>
      <c r="G37" s="750">
        <v>5.0394354503943549E-2</v>
      </c>
      <c r="H37" s="750">
        <v>7.198663105423278E-2</v>
      </c>
      <c r="I37" s="750">
        <v>-2.5167463240333733E-2</v>
      </c>
      <c r="J37" s="583">
        <v>0.11555469147324597</v>
      </c>
      <c r="K37" s="583">
        <v>0.11293839631635529</v>
      </c>
      <c r="L37" s="583">
        <v>0.12529993672353198</v>
      </c>
      <c r="M37" s="583">
        <v>7.0400699999868616E-2</v>
      </c>
      <c r="N37" s="583">
        <v>0.12285516285516283</v>
      </c>
      <c r="O37" s="583">
        <v>0.10286408814393862</v>
      </c>
      <c r="P37" s="583">
        <v>6.1010963305559364E-2</v>
      </c>
      <c r="Q37" s="583">
        <v>5.9293422559836016E-2</v>
      </c>
      <c r="R37" s="750" t="e" cm="1">
        <f t="array" aca="1" ref="R37" ca="1">_xll.BDP(Inputs!$Q$25,"RETURN_ON_ASSET")/100</f>
        <v>#NAME?</v>
      </c>
    </row>
    <row r="38" spans="1:18" ht="15" customHeight="1">
      <c r="B38" s="751"/>
      <c r="C38" s="749"/>
      <c r="D38" s="749"/>
      <c r="E38" s="749"/>
      <c r="F38" s="749"/>
      <c r="G38" s="749"/>
      <c r="H38" s="749"/>
      <c r="I38" s="749"/>
    </row>
    <row r="39" spans="1:18" ht="15" customHeight="1">
      <c r="A39" s="384" t="s">
        <v>38</v>
      </c>
      <c r="B39" s="596" t="s">
        <v>257</v>
      </c>
      <c r="C39" s="597" t="s">
        <v>221</v>
      </c>
      <c r="D39" s="597" t="s">
        <v>222</v>
      </c>
      <c r="E39" s="597" t="s">
        <v>223</v>
      </c>
      <c r="F39" s="597" t="s">
        <v>224</v>
      </c>
      <c r="G39" s="597" t="s">
        <v>225</v>
      </c>
      <c r="H39" s="597" t="s">
        <v>226</v>
      </c>
      <c r="I39" s="597" t="s">
        <v>227</v>
      </c>
      <c r="J39" s="597" t="s">
        <v>228</v>
      </c>
      <c r="K39" s="597" t="s">
        <v>229</v>
      </c>
      <c r="L39" s="597" t="s">
        <v>230</v>
      </c>
      <c r="M39" s="597" t="s">
        <v>231</v>
      </c>
      <c r="N39" s="597" t="s">
        <v>232</v>
      </c>
      <c r="O39" s="597" t="s">
        <v>233</v>
      </c>
      <c r="P39" s="597" t="s">
        <v>234</v>
      </c>
      <c r="Q39" s="597" t="s">
        <v>235</v>
      </c>
      <c r="R39" s="597" t="str">
        <f>R30</f>
        <v>GEA GROUP AG</v>
      </c>
    </row>
    <row r="40" spans="1:18" ht="3.95" customHeight="1">
      <c r="A40" s="384"/>
      <c r="B40" s="753"/>
      <c r="C40" s="752"/>
      <c r="D40" s="752"/>
      <c r="E40" s="752"/>
      <c r="F40" s="752"/>
      <c r="G40" s="752"/>
      <c r="H40" s="752"/>
      <c r="I40" s="752"/>
      <c r="J40" s="36"/>
      <c r="K40" s="36"/>
      <c r="L40" s="36"/>
      <c r="M40" s="36"/>
      <c r="N40" s="36"/>
      <c r="O40" s="36"/>
      <c r="P40" s="36"/>
      <c r="Q40" s="36"/>
      <c r="R40" s="36"/>
    </row>
    <row r="41" spans="1:18" ht="15" customHeight="1">
      <c r="B41" s="751" t="s">
        <v>258</v>
      </c>
      <c r="C41" s="748">
        <v>0.53492067006710775</v>
      </c>
      <c r="D41" s="748">
        <v>0.49658077258746891</v>
      </c>
      <c r="E41" s="748">
        <v>0.67464647093897667</v>
      </c>
      <c r="F41" s="748">
        <v>0.57484921592279847</v>
      </c>
      <c r="G41" s="748">
        <v>1.0405147364051472</v>
      </c>
      <c r="H41" s="748">
        <v>0.69655159279943246</v>
      </c>
      <c r="I41" s="748">
        <v>0.49536220494027983</v>
      </c>
      <c r="J41" s="584">
        <v>0.76258411417123284</v>
      </c>
      <c r="K41" s="584">
        <v>0.77093221972048098</v>
      </c>
      <c r="L41" s="584">
        <v>0.63538344913135814</v>
      </c>
      <c r="M41" s="584">
        <v>0.64636868499086242</v>
      </c>
      <c r="N41" s="584">
        <v>1.0947193347193347</v>
      </c>
      <c r="O41" s="584">
        <v>0.90394881243800629</v>
      </c>
      <c r="P41" s="584">
        <v>0.6518812963764159</v>
      </c>
      <c r="Q41" s="584">
        <v>0.67760897088081029</v>
      </c>
      <c r="R41" s="748" t="e" cm="1">
        <f t="array" aca="1" ref="R41" ca="1">_xll.BDP(Inputs!$Q$25,"ASSET_TURNOVER")</f>
        <v>#NAME?</v>
      </c>
    </row>
    <row r="42" spans="1:18" ht="15" customHeight="1">
      <c r="B42" s="751" t="s">
        <v>259</v>
      </c>
      <c r="C42" s="748">
        <v>0.95152718025051009</v>
      </c>
      <c r="D42" s="748">
        <v>0.75460737803264988</v>
      </c>
      <c r="E42" s="748">
        <v>1.0268718757518243</v>
      </c>
      <c r="F42" s="748">
        <v>1.0668722555559282</v>
      </c>
      <c r="G42" s="748">
        <v>1.5391148325358852</v>
      </c>
      <c r="H42" s="748">
        <v>1.0411329881286897</v>
      </c>
      <c r="I42" s="748">
        <v>1.9073024341447149</v>
      </c>
      <c r="J42" s="584">
        <v>1.21577943380533</v>
      </c>
      <c r="K42" s="584">
        <v>1.5468115755694507</v>
      </c>
      <c r="L42" s="584">
        <v>0.97451354444868366</v>
      </c>
      <c r="M42" s="584">
        <v>0.88299035671812942</v>
      </c>
      <c r="N42" s="584">
        <v>1.3093479637054228</v>
      </c>
      <c r="O42" s="584">
        <v>1.55326415413955</v>
      </c>
      <c r="P42" s="584">
        <v>1.0117853221887438</v>
      </c>
      <c r="Q42" s="584">
        <v>1.3740571803356887</v>
      </c>
      <c r="R42" s="748" t="e" cm="1">
        <f t="array" aca="1" ref="R42" ca="1">_xll.BDP(Inputs!$Q$25,"SALES_REV_TURN")/(_xll.BDP(Inputs!$Q$25,"BS_TOT_ASSET")-_xll.BDP(Inputs!$Q$25,"BS_CASH_CASH_EQUIVALENTS_AND_STI")-_xll.BDP(Inputs!$Q$25,"SHORT_AND_LONG_TERM_DEBT"))</f>
        <v>#NAME?</v>
      </c>
    </row>
    <row r="43" spans="1:18" ht="15" customHeight="1">
      <c r="B43" s="751" t="s">
        <v>260</v>
      </c>
      <c r="C43" s="748">
        <v>7.1458754040415773</v>
      </c>
      <c r="D43" s="748">
        <v>5.0467618857733232</v>
      </c>
      <c r="E43" s="748">
        <v>6.001147855686833</v>
      </c>
      <c r="F43" s="748">
        <v>7.246990242047902</v>
      </c>
      <c r="G43" s="748">
        <v>5.3331914893617016</v>
      </c>
      <c r="H43" s="748">
        <v>5.8704694100989956</v>
      </c>
      <c r="I43" s="748">
        <v>5.1837046954193369</v>
      </c>
      <c r="J43" s="584">
        <v>6.0267370510440603</v>
      </c>
      <c r="K43" s="584">
        <v>13.642153673583845</v>
      </c>
      <c r="L43" s="584">
        <v>8.0394768133174779</v>
      </c>
      <c r="M43" s="584">
        <v>5.8225123082749484</v>
      </c>
      <c r="N43" s="584">
        <v>7.9878640776699035</v>
      </c>
      <c r="O43" s="584">
        <v>6.1923173033468908</v>
      </c>
      <c r="P43" s="584">
        <v>6.9100917986940713</v>
      </c>
      <c r="Q43" s="584">
        <v>3.8419073662621765</v>
      </c>
      <c r="R43" s="748" t="e" cm="1">
        <f t="array" aca="1" ref="R43" ca="1">_xll.BDP(Inputs!$Q$25,"NET_FIX_ASSET_TURN")</f>
        <v>#NAME?</v>
      </c>
    </row>
    <row r="44" spans="1:18" ht="15" customHeight="1">
      <c r="B44" s="751" t="s">
        <v>261</v>
      </c>
      <c r="C44" s="747">
        <v>361.8289374529013</v>
      </c>
      <c r="D44" s="747">
        <v>348.04362500000002</v>
      </c>
      <c r="E44" s="747">
        <v>312.61030927835054</v>
      </c>
      <c r="F44" s="747">
        <v>273.61722488038276</v>
      </c>
      <c r="G44" s="747">
        <v>278.51111111111112</v>
      </c>
      <c r="H44" s="747">
        <v>292.60599999999999</v>
      </c>
      <c r="I44" s="747">
        <v>222.15573770491804</v>
      </c>
      <c r="J44" s="585">
        <v>351.50596153846152</v>
      </c>
      <c r="K44" s="585">
        <v>304.04950000000002</v>
      </c>
      <c r="L44" s="585">
        <v>390.06923076923078</v>
      </c>
      <c r="M44" s="585">
        <v>313.76211734693879</v>
      </c>
      <c r="N44" s="585">
        <v>420.12765957446811</v>
      </c>
      <c r="O44" s="585">
        <v>348.08188882247458</v>
      </c>
      <c r="P44" s="585" t="e">
        <v>#VALUE!</v>
      </c>
      <c r="Q44" s="585">
        <v>408.70909090909089</v>
      </c>
      <c r="R44" s="585" t="e">
        <f ca="1">_xll.BQL(
Inputs!$Q$25,
"sales_rev_turn(fpt=ltm,fa_adjusted=y,fs=mr)/1k",
"currency=USD"
)/IFERROR(VALUE(_xll.BDP(Inputs!$Q$25,"NUM_OF_EMPLOYEES")),_xll.BDP(Inputs!$Q$25,"NUM_OF_EMPLOYEES_CSR"))</f>
        <v>#NAME?</v>
      </c>
    </row>
    <row r="45" spans="1:18" ht="15" customHeight="1">
      <c r="B45" s="751" t="s">
        <v>262</v>
      </c>
      <c r="C45" s="747">
        <v>66.143085908063298</v>
      </c>
      <c r="D45" s="747">
        <v>91.153750000000002</v>
      </c>
      <c r="E45" s="747">
        <v>19.674226804123712</v>
      </c>
      <c r="F45" s="747">
        <v>33.023923444976077</v>
      </c>
      <c r="G45" s="747">
        <v>28.977777777777778</v>
      </c>
      <c r="H45" s="747">
        <v>46.601999999999997</v>
      </c>
      <c r="I45" s="747">
        <v>21.721311475409838</v>
      </c>
      <c r="J45" s="585">
        <v>74.297499999999999</v>
      </c>
      <c r="K45" s="585">
        <v>67.978999999999999</v>
      </c>
      <c r="L45" s="585">
        <v>99.723076923076917</v>
      </c>
      <c r="M45" s="585">
        <v>49.382653061224488</v>
      </c>
      <c r="N45" s="585">
        <v>67.962294640452555</v>
      </c>
      <c r="O45" s="585">
        <v>35.285116557083086</v>
      </c>
      <c r="P45" s="585" t="e">
        <v>#VALUE!</v>
      </c>
      <c r="Q45" s="585">
        <v>66.581818181818178</v>
      </c>
      <c r="R45" s="585" t="e">
        <f ca="1">_xll.BQL(
Inputs!$Q$25,
"is_oper_inc(fpt=ltm,fa_adjusted=y,fs=mr)/1k",
"currency=USD"
)/IFERROR(VALUE(_xll.BDP(Inputs!$Q$25,"NUM_OF_EMPLOYEES")),_xll.BDP(Inputs!$Q$25,"NUM_OF_EMPLOYEES_CSR"))</f>
        <v>#NAME?</v>
      </c>
    </row>
    <row r="46" spans="1:18" ht="15" customHeight="1">
      <c r="B46" s="751"/>
      <c r="C46" s="749"/>
      <c r="D46" s="749"/>
      <c r="E46" s="749"/>
      <c r="F46" s="749"/>
      <c r="G46" s="749"/>
      <c r="H46" s="749"/>
      <c r="I46" s="749"/>
    </row>
    <row r="47" spans="1:18" ht="15" customHeight="1">
      <c r="A47" s="384" t="s">
        <v>38</v>
      </c>
      <c r="B47" s="596" t="s">
        <v>263</v>
      </c>
      <c r="C47" s="597" t="s">
        <v>221</v>
      </c>
      <c r="D47" s="597" t="s">
        <v>222</v>
      </c>
      <c r="E47" s="597" t="s">
        <v>223</v>
      </c>
      <c r="F47" s="597" t="s">
        <v>224</v>
      </c>
      <c r="G47" s="597" t="s">
        <v>225</v>
      </c>
      <c r="H47" s="597" t="s">
        <v>226</v>
      </c>
      <c r="I47" s="597" t="s">
        <v>227</v>
      </c>
      <c r="J47" s="597" t="s">
        <v>228</v>
      </c>
      <c r="K47" s="597" t="s">
        <v>229</v>
      </c>
      <c r="L47" s="597" t="s">
        <v>230</v>
      </c>
      <c r="M47" s="597" t="s">
        <v>231</v>
      </c>
      <c r="N47" s="597" t="s">
        <v>232</v>
      </c>
      <c r="O47" s="597" t="s">
        <v>233</v>
      </c>
      <c r="P47" s="597" t="s">
        <v>234</v>
      </c>
      <c r="Q47" s="597" t="s">
        <v>235</v>
      </c>
      <c r="R47" s="597" t="str">
        <f>R39</f>
        <v>GEA GROUP AG</v>
      </c>
    </row>
    <row r="48" spans="1:18" ht="3.95" customHeight="1">
      <c r="A48" s="384"/>
      <c r="B48" s="753"/>
      <c r="C48" s="752"/>
      <c r="D48" s="752"/>
      <c r="E48" s="752"/>
      <c r="F48" s="752"/>
      <c r="G48" s="752"/>
      <c r="H48" s="752"/>
      <c r="I48" s="752"/>
      <c r="J48" s="36"/>
      <c r="K48" s="36"/>
      <c r="L48" s="36"/>
      <c r="M48" s="36"/>
      <c r="N48" s="36"/>
      <c r="O48" s="36"/>
      <c r="P48" s="36"/>
      <c r="Q48" s="36"/>
      <c r="R48" s="36"/>
    </row>
    <row r="49" spans="1:18" ht="15" customHeight="1">
      <c r="B49" s="751" t="s">
        <v>264</v>
      </c>
      <c r="C49" s="747">
        <v>61.143464918035519</v>
      </c>
      <c r="D49" s="747">
        <v>73.901400291414632</v>
      </c>
      <c r="E49" s="747">
        <v>33.438370620514988</v>
      </c>
      <c r="F49" s="747">
        <v>40.300248312524047</v>
      </c>
      <c r="G49" s="747">
        <v>77.773278544642153</v>
      </c>
      <c r="H49" s="747">
        <v>53.716178068802428</v>
      </c>
      <c r="I49" s="747">
        <v>43.236265358078441</v>
      </c>
      <c r="J49" s="585">
        <v>63.182688935683878</v>
      </c>
      <c r="K49" s="585">
        <v>66.276330005476098</v>
      </c>
      <c r="L49" s="585">
        <v>103.11502889033505</v>
      </c>
      <c r="M49" s="585">
        <v>73.966846145872083</v>
      </c>
      <c r="N49" s="585">
        <v>41.766307100172178</v>
      </c>
      <c r="O49" s="585">
        <v>88.177051761768439</v>
      </c>
      <c r="P49" s="585">
        <v>60.121953041388302</v>
      </c>
      <c r="Q49" s="585">
        <v>48.607010988033281</v>
      </c>
      <c r="R49" s="747" t="e" cm="1">
        <f t="array" aca="1" ref="R49" ca="1">_xll.BDP(Inputs!$Q$25,"ACCT_RCV_DAYS")</f>
        <v>#NAME?</v>
      </c>
    </row>
    <row r="50" spans="1:18" ht="15" customHeight="1">
      <c r="B50" s="751" t="s">
        <v>265</v>
      </c>
      <c r="C50" s="747">
        <v>138.34163885016829</v>
      </c>
      <c r="D50" s="747">
        <v>129.44811050831166</v>
      </c>
      <c r="E50" s="747">
        <v>156.36950026144768</v>
      </c>
      <c r="F50" s="747">
        <v>92.332358057883923</v>
      </c>
      <c r="G50" s="747">
        <v>96.354195228955319</v>
      </c>
      <c r="H50" s="747">
        <v>110.50205342088915</v>
      </c>
      <c r="I50" s="747">
        <v>96.440020682523254</v>
      </c>
      <c r="J50" s="585">
        <v>124.83802906030925</v>
      </c>
      <c r="K50" s="585">
        <v>100.37074965891559</v>
      </c>
      <c r="L50" s="585">
        <v>146.63248635113504</v>
      </c>
      <c r="M50" s="585">
        <v>130.98695988507015</v>
      </c>
      <c r="N50" s="585">
        <v>89.009777333713956</v>
      </c>
      <c r="O50" s="585">
        <v>135.24814412626492</v>
      </c>
      <c r="P50" s="585">
        <v>98.021133053425089</v>
      </c>
      <c r="Q50" s="585">
        <v>148.18013331165662</v>
      </c>
      <c r="R50" s="747" t="e" cm="1">
        <f t="array" aca="1" ref="R50" ca="1">_xll.BDP(Inputs!$Q$25,"INVENT_DAYS")</f>
        <v>#NAME?</v>
      </c>
    </row>
    <row r="51" spans="1:18" ht="15" customHeight="1">
      <c r="B51" s="751" t="s">
        <v>266</v>
      </c>
      <c r="C51" s="747">
        <v>36.775725813904266</v>
      </c>
      <c r="D51" s="747">
        <v>32.323259415435992</v>
      </c>
      <c r="E51" s="747">
        <v>83.452522667853387</v>
      </c>
      <c r="F51" s="747">
        <v>88.826772344408056</v>
      </c>
      <c r="G51" s="747">
        <v>62.314651067881925</v>
      </c>
      <c r="H51" s="747">
        <v>34.852498992883042</v>
      </c>
      <c r="I51" s="747">
        <v>36.150839944003721</v>
      </c>
      <c r="J51" s="585">
        <v>47.365705023496602</v>
      </c>
      <c r="K51" s="585">
        <v>51.270961891562507</v>
      </c>
      <c r="L51" s="585">
        <v>39.875162022035006</v>
      </c>
      <c r="M51" s="585">
        <v>40.705334515523219</v>
      </c>
      <c r="N51" s="585">
        <v>24.209183673469386</v>
      </c>
      <c r="O51" s="585">
        <v>26.866385074600771</v>
      </c>
      <c r="P51" s="585">
        <v>76.19776870594535</v>
      </c>
      <c r="Q51" s="585">
        <v>78.588576492387006</v>
      </c>
      <c r="R51" s="747" t="e" cm="1">
        <f t="array" aca="1" ref="R51" ca="1">_xll.BDP(Inputs!$Q$25,"ACCOUNTS_PAYABLE_TURNOVER_DAYS")</f>
        <v>#NAME?</v>
      </c>
    </row>
    <row r="52" spans="1:18" ht="15" customHeight="1">
      <c r="B52" s="751" t="s">
        <v>267</v>
      </c>
      <c r="C52" s="747">
        <v>160.66553901189607</v>
      </c>
      <c r="D52" s="747">
        <v>186.76315965567846</v>
      </c>
      <c r="E52" s="747">
        <v>99.978206274805217</v>
      </c>
      <c r="F52" s="747">
        <v>59.59155737863631</v>
      </c>
      <c r="G52" s="747">
        <v>102.84946490252902</v>
      </c>
      <c r="H52" s="747">
        <v>111.14822938376173</v>
      </c>
      <c r="I52" s="747">
        <v>82.856363142992251</v>
      </c>
      <c r="J52" s="585">
        <v>129.59445550912756</v>
      </c>
      <c r="K52" s="585">
        <v>96.438209369376636</v>
      </c>
      <c r="L52" s="585">
        <v>206.39788601284792</v>
      </c>
      <c r="M52" s="585">
        <v>154.66168236666732</v>
      </c>
      <c r="N52" s="585">
        <v>105.33914954137325</v>
      </c>
      <c r="O52" s="585">
        <v>149.7559816999381</v>
      </c>
      <c r="P52" s="585">
        <v>69.293601966224742</v>
      </c>
      <c r="Q52" s="585">
        <v>102.33069746948215</v>
      </c>
      <c r="R52" s="747" t="e" cm="1">
        <f t="array" aca="1" ref="R52" ca="1">_xll.BDP(Inputs!$Q$25,"CASH_CONVERSION_CYCLE")</f>
        <v>#NAME?</v>
      </c>
    </row>
    <row r="53" spans="1:18" ht="15" customHeight="1">
      <c r="B53" s="751" t="s">
        <v>268</v>
      </c>
      <c r="C53" s="750">
        <v>0.34693593836887454</v>
      </c>
      <c r="D53" s="750">
        <v>0.22439913243634324</v>
      </c>
      <c r="E53" s="750">
        <v>5.6982772266779225E-2</v>
      </c>
      <c r="F53" s="750">
        <v>0.11885776238939602</v>
      </c>
      <c r="G53" s="750">
        <v>0.24391606159738291</v>
      </c>
      <c r="H53" s="750">
        <v>0.25790555998754056</v>
      </c>
      <c r="I53" s="750">
        <v>0.10474855182083165</v>
      </c>
      <c r="J53" s="583">
        <v>0.30410114501833052</v>
      </c>
      <c r="K53" s="583">
        <v>0.39168622214474952</v>
      </c>
      <c r="L53" s="583">
        <v>0.60996075647320991</v>
      </c>
      <c r="M53" s="583">
        <v>0.32977627093839368</v>
      </c>
      <c r="N53" s="583">
        <v>0.20794084877949964</v>
      </c>
      <c r="O53" s="583">
        <v>0.27548635593234894</v>
      </c>
      <c r="P53" s="583">
        <v>0.22121757806650036</v>
      </c>
      <c r="Q53" s="583">
        <v>0.16952488989723744</v>
      </c>
      <c r="R53" s="750" t="e" cm="1">
        <f t="array" aca="1" ref="R53" ca="1">_xll.BDP(Inputs!$Q$25,"WORKING_CAPITAL_TO_SALES")</f>
        <v>#NAME?</v>
      </c>
    </row>
    <row r="54" spans="1:18" ht="15" customHeight="1">
      <c r="B54" s="751" t="s">
        <v>269</v>
      </c>
      <c r="C54" s="748">
        <v>1.0466756478326333</v>
      </c>
      <c r="D54" s="748">
        <v>0.8252109418235285</v>
      </c>
      <c r="E54" s="748">
        <v>1.9744916161255799</v>
      </c>
      <c r="F54" s="748">
        <v>-10.687150837988828</v>
      </c>
      <c r="G54" s="748">
        <v>0.78477690288713919</v>
      </c>
      <c r="H54" s="748">
        <v>0.90664634573610803</v>
      </c>
      <c r="I54" s="748">
        <v>1.964527027027027</v>
      </c>
      <c r="J54" s="584">
        <v>0.75462495067652713</v>
      </c>
      <c r="K54" s="584">
        <v>0.66881327773528421</v>
      </c>
      <c r="L54" s="584">
        <v>0.90473359589804558</v>
      </c>
      <c r="M54" s="584">
        <v>0.79137881314492764</v>
      </c>
      <c r="N54" s="584">
        <v>0.82196162046908328</v>
      </c>
      <c r="O54" s="584">
        <v>0.46366208614683968</v>
      </c>
      <c r="P54" s="584">
        <v>0.7942764554698849</v>
      </c>
      <c r="Q54" s="584">
        <v>0.9050006775985906</v>
      </c>
      <c r="R54" s="748" t="e" cm="1">
        <f t="array" aca="1" ref="R54" ca="1">_xll.BDP(Inputs!$Q$25,"CF_CASH_FROM_OPER")/_xll.BDP(Inputs!$Q$25,"IS_OPER_INC")</f>
        <v>#NAME?</v>
      </c>
    </row>
    <row r="55" spans="1:18" ht="15" customHeight="1">
      <c r="B55" s="751" t="s">
        <v>270</v>
      </c>
      <c r="C55" s="750">
        <v>0.17723542912528562</v>
      </c>
      <c r="D55" s="750">
        <v>0.20676926943207627</v>
      </c>
      <c r="E55" s="750">
        <v>7.2037069577044976E-2</v>
      </c>
      <c r="F55" s="750">
        <v>6.0104310669850447E-2</v>
      </c>
      <c r="G55" s="750">
        <v>6.9713219864770345E-2</v>
      </c>
      <c r="H55" s="750">
        <v>0.14739639105967053</v>
      </c>
      <c r="I55" s="750">
        <v>0.13554778554778554</v>
      </c>
      <c r="J55" s="583">
        <v>0.16394084528852854</v>
      </c>
      <c r="K55" s="583">
        <v>0.13794337670268528</v>
      </c>
      <c r="L55" s="583">
        <v>0.23833294182131393</v>
      </c>
      <c r="M55" s="583">
        <v>0.12669031145688439</v>
      </c>
      <c r="N55" s="583">
        <v>0.12425463336019339</v>
      </c>
      <c r="O55" s="583">
        <v>7.2349534919719127E-2</v>
      </c>
      <c r="P55" s="583">
        <v>0.12966966250401799</v>
      </c>
      <c r="Q55" s="583">
        <v>0.14489043176394012</v>
      </c>
      <c r="R55" s="750" t="e" cm="1">
        <f t="array" aca="1" ref="R55" ca="1">_xll.BDP(Inputs!$Q$25,"CF_CASH_FROM_OPER")/_xll.BDP(Inputs!$Q$25,"SALES_REV_TURN")</f>
        <v>#NAME?</v>
      </c>
    </row>
    <row r="56" spans="1:18" ht="15" customHeight="1">
      <c r="B56" s="751"/>
      <c r="C56" s="749"/>
      <c r="D56" s="749"/>
      <c r="E56" s="749"/>
      <c r="F56" s="749"/>
      <c r="G56" s="749"/>
      <c r="H56" s="749"/>
      <c r="I56" s="749"/>
    </row>
    <row r="57" spans="1:18" ht="15" customHeight="1">
      <c r="A57" s="384" t="s">
        <v>38</v>
      </c>
      <c r="B57" s="596" t="s">
        <v>271</v>
      </c>
      <c r="C57" s="597" t="s">
        <v>221</v>
      </c>
      <c r="D57" s="597" t="s">
        <v>222</v>
      </c>
      <c r="E57" s="597" t="s">
        <v>223</v>
      </c>
      <c r="F57" s="597" t="s">
        <v>224</v>
      </c>
      <c r="G57" s="597" t="s">
        <v>225</v>
      </c>
      <c r="H57" s="597" t="s">
        <v>226</v>
      </c>
      <c r="I57" s="597" t="s">
        <v>227</v>
      </c>
      <c r="J57" s="597" t="s">
        <v>228</v>
      </c>
      <c r="K57" s="597" t="s">
        <v>229</v>
      </c>
      <c r="L57" s="597" t="s">
        <v>230</v>
      </c>
      <c r="M57" s="597" t="s">
        <v>231</v>
      </c>
      <c r="N57" s="597" t="s">
        <v>232</v>
      </c>
      <c r="O57" s="597" t="s">
        <v>233</v>
      </c>
      <c r="P57" s="597" t="s">
        <v>234</v>
      </c>
      <c r="Q57" s="597" t="s">
        <v>235</v>
      </c>
      <c r="R57" s="597" t="str">
        <f>R47</f>
        <v>GEA GROUP AG</v>
      </c>
    </row>
    <row r="58" spans="1:18" ht="3.95" customHeight="1">
      <c r="A58" s="384"/>
      <c r="B58" s="753"/>
      <c r="C58" s="752"/>
      <c r="D58" s="752"/>
      <c r="E58" s="752"/>
      <c r="F58" s="752"/>
      <c r="G58" s="752"/>
      <c r="H58" s="752"/>
      <c r="I58" s="752"/>
      <c r="J58" s="36"/>
      <c r="K58" s="36"/>
      <c r="L58" s="36"/>
      <c r="M58" s="36"/>
      <c r="N58" s="36"/>
      <c r="O58" s="36"/>
      <c r="P58" s="36"/>
      <c r="Q58" s="36"/>
      <c r="R58" s="36"/>
    </row>
    <row r="59" spans="1:18" ht="15" customHeight="1">
      <c r="B59" s="751" t="s">
        <v>272</v>
      </c>
      <c r="C59" s="748">
        <v>2.4668918478331747</v>
      </c>
      <c r="D59" s="748">
        <v>2.5118248380362496</v>
      </c>
      <c r="E59" s="748">
        <v>5.5423495051111464</v>
      </c>
      <c r="F59" s="748">
        <v>4.4426365140650859</v>
      </c>
      <c r="G59" s="748">
        <v>1.1580400276052449</v>
      </c>
      <c r="H59" s="748">
        <v>0.72857237722102586</v>
      </c>
      <c r="I59" s="748">
        <v>6.8110651110274736</v>
      </c>
      <c r="J59" s="584">
        <v>1.3195478011145425</v>
      </c>
      <c r="K59" s="584">
        <v>0.36584497835623608</v>
      </c>
      <c r="L59" s="584">
        <v>-0.11319942611190814</v>
      </c>
      <c r="M59" s="584">
        <v>1.147046493522049</v>
      </c>
      <c r="N59" s="584">
        <v>0.60617962817491511</v>
      </c>
      <c r="O59" s="584">
        <v>1.9587875250429869</v>
      </c>
      <c r="P59" s="584">
        <v>1.6217217163918618</v>
      </c>
      <c r="Q59" s="584">
        <v>3.2630894693298664</v>
      </c>
      <c r="R59" s="748" t="e" cm="1">
        <f t="array" aca="1" ref="R59" ca="1">_xll.BDP(Inputs!$Q$25,"NET_DEBT_TO_EBITDA")</f>
        <v>#NAME?</v>
      </c>
    </row>
    <row r="60" spans="1:18" ht="15" customHeight="1">
      <c r="B60" s="751" t="s">
        <v>273</v>
      </c>
      <c r="C60" s="748">
        <v>2.8729360978563339</v>
      </c>
      <c r="D60" s="748">
        <v>4.4824627935491881</v>
      </c>
      <c r="E60" s="748">
        <v>8.3722443559096931</v>
      </c>
      <c r="F60" s="748">
        <v>13.543398978847554</v>
      </c>
      <c r="G60" s="748">
        <v>2.2456395348837206</v>
      </c>
      <c r="H60" s="748">
        <v>1.7075674065246538</v>
      </c>
      <c r="I60" s="748">
        <v>0.29429892141756525</v>
      </c>
      <c r="J60" s="584">
        <v>1.6078817530604239</v>
      </c>
      <c r="K60" s="584">
        <v>0.90542434239336722</v>
      </c>
      <c r="L60" s="584">
        <v>-5.8377425044091748E-2</v>
      </c>
      <c r="M60" s="584">
        <v>2.1212998165276433</v>
      </c>
      <c r="N60" s="584">
        <v>0.84583114840062912</v>
      </c>
      <c r="O60" s="584">
        <v>6.4145433810509891</v>
      </c>
      <c r="P60" s="584">
        <v>5.5108231747979417</v>
      </c>
      <c r="Q60" s="584">
        <v>5.1534246575342477</v>
      </c>
      <c r="R60" s="748" t="e" cm="1">
        <f t="array" aca="1" ref="R60" ca="1">_xll.BDP(Inputs!$Q$25,"NET_DEBT")/_xll.BDP(Inputs!$Q$25,"CF_FREE_CASH_FLOW")</f>
        <v>#NAME?</v>
      </c>
    </row>
    <row r="61" spans="1:18" ht="15" customHeight="1">
      <c r="B61" s="751" t="s">
        <v>274</v>
      </c>
      <c r="C61" s="748">
        <f>695/79.6</f>
        <v>8.7311557788944736</v>
      </c>
      <c r="D61" s="748">
        <v>7.5795173406504421</v>
      </c>
      <c r="E61" s="748">
        <v>1.1243481748896911</v>
      </c>
      <c r="F61" s="748">
        <v>-0.14732510288065842</v>
      </c>
      <c r="G61" s="748">
        <v>12.56043956043956</v>
      </c>
      <c r="H61" s="748">
        <v>8.5506291192330739</v>
      </c>
      <c r="I61" s="748">
        <v>6.1030927835051552</v>
      </c>
      <c r="J61" s="584">
        <v>10.648567323592397</v>
      </c>
      <c r="K61" s="584">
        <f>135.8/9.4</f>
        <v>14.446808510638299</v>
      </c>
      <c r="L61" s="584">
        <v>27.131048387096776</v>
      </c>
      <c r="M61" s="584">
        <v>7.7246489104116236</v>
      </c>
      <c r="N61" s="584">
        <v>22.511999999999997</v>
      </c>
      <c r="O61" s="584">
        <v>5.8131716906946265</v>
      </c>
      <c r="P61" s="584">
        <f>452.9/72.4</f>
        <v>6.2555248618784525</v>
      </c>
      <c r="Q61" s="584">
        <v>6.1236514522821572</v>
      </c>
      <c r="R61" s="748" t="e" cm="1">
        <f t="array" aca="1" ref="R61" ca="1">_xll.BDP(Inputs!$Q$25,"IS_OPER_INC")/_xll.BDP(Inputs!$Q$25,"IS_INT_EXPENSE")</f>
        <v>#NAME?</v>
      </c>
    </row>
    <row r="62" spans="1:18" ht="15" customHeight="1">
      <c r="B62" s="751" t="s">
        <v>275</v>
      </c>
      <c r="C62" s="750">
        <v>0.40929556043547854</v>
      </c>
      <c r="D62" s="750">
        <v>0.44175764006120471</v>
      </c>
      <c r="E62" s="750">
        <v>0.43061894780831489</v>
      </c>
      <c r="F62" s="750">
        <v>0.58519994307670409</v>
      </c>
      <c r="G62" s="750">
        <v>0.29016430853491559</v>
      </c>
      <c r="H62" s="750">
        <v>0.27403163667065411</v>
      </c>
      <c r="I62" s="750">
        <v>0.45432700802148479</v>
      </c>
      <c r="J62" s="583">
        <v>0.32639590977755462</v>
      </c>
      <c r="K62" s="583">
        <v>0.36889550796973114</v>
      </c>
      <c r="L62" s="583">
        <v>0.19285384351764936</v>
      </c>
      <c r="M62" s="583">
        <v>0.23444713548468865</v>
      </c>
      <c r="N62" s="583">
        <v>0.17546054918317691</v>
      </c>
      <c r="O62" s="583">
        <v>0.45305367925758633</v>
      </c>
      <c r="P62" s="583">
        <v>0.37300397921211881</v>
      </c>
      <c r="Q62" s="583">
        <v>0.53852602697965102</v>
      </c>
      <c r="R62" s="750" t="e" cm="1">
        <f t="array" aca="1" ref="R62" ca="1">_xll.BDP(Inputs!$Q$25,"TOT_DEBT_TO_TOT_CAP")/100</f>
        <v>#NAME?</v>
      </c>
    </row>
    <row r="63" spans="1:18" ht="15" customHeight="1">
      <c r="B63" s="751" t="s">
        <v>276</v>
      </c>
      <c r="C63" s="750">
        <v>2.8514740105995643E-2</v>
      </c>
      <c r="D63" s="750">
        <v>5.4411164517782003E-2</v>
      </c>
      <c r="E63" s="750">
        <v>9.5074907502881056E-2</v>
      </c>
      <c r="F63" s="750">
        <v>2.0718836632459513E-2</v>
      </c>
      <c r="G63" s="750">
        <v>7.7860794337396774E-2</v>
      </c>
      <c r="H63" s="750">
        <v>3.3956124698226092E-2</v>
      </c>
      <c r="I63" s="750">
        <v>9.2556583962044026E-3</v>
      </c>
      <c r="J63" s="583">
        <v>4.7637442080011264E-2</v>
      </c>
      <c r="K63" s="583">
        <v>6.3128216095425557E-2</v>
      </c>
      <c r="L63" s="583">
        <v>3.0286641427798813E-2</v>
      </c>
      <c r="M63" s="583">
        <v>0.14518617161542113</v>
      </c>
      <c r="N63" s="583">
        <v>0.10380348652931855</v>
      </c>
      <c r="O63" s="583">
        <v>3.3784462985131915E-2</v>
      </c>
      <c r="P63" s="583">
        <v>1.3943902749644662E-2</v>
      </c>
      <c r="Q63" s="583">
        <v>0.1879068780073592</v>
      </c>
      <c r="R63" s="750" t="e" cm="1">
        <f t="array" aca="1" ref="R63" ca="1">_xll.BDP(Inputs!$Q$25,"BS_ST_BORROW")/_xll.BDP(Inputs!$Q$25,"SHORT_AND_LONG_TERM_DEBT")</f>
        <v>#NAME?</v>
      </c>
    </row>
    <row r="64" spans="1:18" ht="15" customHeight="1">
      <c r="B64" s="751"/>
      <c r="C64" s="749"/>
      <c r="D64" s="749"/>
      <c r="E64" s="749"/>
      <c r="F64" s="749"/>
      <c r="G64" s="749"/>
      <c r="H64" s="749"/>
      <c r="I64" s="749"/>
    </row>
    <row r="65" spans="1:18" ht="15" customHeight="1">
      <c r="A65" s="384" t="s">
        <v>38</v>
      </c>
      <c r="B65" s="596" t="s">
        <v>277</v>
      </c>
      <c r="C65" s="597" t="s">
        <v>221</v>
      </c>
      <c r="D65" s="597" t="s">
        <v>222</v>
      </c>
      <c r="E65" s="597" t="s">
        <v>223</v>
      </c>
      <c r="F65" s="597" t="s">
        <v>224</v>
      </c>
      <c r="G65" s="597" t="s">
        <v>225</v>
      </c>
      <c r="H65" s="597" t="s">
        <v>226</v>
      </c>
      <c r="I65" s="597" t="s">
        <v>227</v>
      </c>
      <c r="J65" s="597" t="s">
        <v>228</v>
      </c>
      <c r="K65" s="597" t="s">
        <v>229</v>
      </c>
      <c r="L65" s="597" t="s">
        <v>230</v>
      </c>
      <c r="M65" s="597" t="s">
        <v>231</v>
      </c>
      <c r="N65" s="597" t="s">
        <v>232</v>
      </c>
      <c r="O65" s="597" t="s">
        <v>233</v>
      </c>
      <c r="P65" s="597" t="s">
        <v>234</v>
      </c>
      <c r="Q65" s="597" t="s">
        <v>235</v>
      </c>
      <c r="R65" s="597" t="str">
        <f>R57</f>
        <v>GEA GROUP AG</v>
      </c>
    </row>
    <row r="66" spans="1:18" ht="3.95" customHeight="1">
      <c r="A66" s="384"/>
      <c r="B66" s="753"/>
      <c r="C66" s="752"/>
      <c r="D66" s="752"/>
      <c r="E66" s="752"/>
      <c r="F66" s="752"/>
      <c r="G66" s="752"/>
      <c r="H66" s="752"/>
      <c r="I66" s="752"/>
      <c r="J66" s="36"/>
      <c r="K66" s="36"/>
      <c r="L66" s="36"/>
      <c r="M66" s="36"/>
      <c r="N66" s="36"/>
      <c r="O66" s="36"/>
      <c r="P66" s="36"/>
      <c r="Q66" s="36"/>
      <c r="R66" s="36"/>
    </row>
    <row r="67" spans="1:18" ht="15" customHeight="1">
      <c r="B67" s="751" t="s">
        <v>278</v>
      </c>
      <c r="C67" s="748">
        <v>2.8095757739454639</v>
      </c>
      <c r="D67" s="748">
        <v>2.4126537200294429</v>
      </c>
      <c r="E67" s="748">
        <v>1.2970977648518376</v>
      </c>
      <c r="F67" s="748">
        <v>1.2697838701538982</v>
      </c>
      <c r="G67" s="748">
        <v>1.9733059548254621</v>
      </c>
      <c r="H67" s="748">
        <v>2.3090126066870256</v>
      </c>
      <c r="I67" s="748">
        <v>3.4795518207282914</v>
      </c>
      <c r="J67" s="584">
        <v>2.7873985136744035</v>
      </c>
      <c r="K67" s="584">
        <v>2.8769562495652776</v>
      </c>
      <c r="L67" s="584">
        <v>4.149141965678627</v>
      </c>
      <c r="M67" s="584">
        <v>2.4346236120110416</v>
      </c>
      <c r="N67" s="584">
        <v>2.6571546732837055</v>
      </c>
      <c r="O67" s="584">
        <v>3.3939052883519492</v>
      </c>
      <c r="P67" s="584">
        <v>1.8169135085618091</v>
      </c>
      <c r="Q67" s="584">
        <v>1.252824065405979</v>
      </c>
      <c r="R67" s="748" t="e" cm="1">
        <f t="array" aca="1" ref="R67" ca="1">_xll.BDP(Inputs!$Q$25,"CUR_RATIO")</f>
        <v>#NAME?</v>
      </c>
    </row>
    <row r="68" spans="1:18" ht="15" customHeight="1">
      <c r="B68" s="751" t="s">
        <v>279</v>
      </c>
      <c r="C68" s="748">
        <v>1.6072020276804424</v>
      </c>
      <c r="D68" s="748">
        <v>1.2832327613122236</v>
      </c>
      <c r="E68" s="748">
        <v>0.26577721735239684</v>
      </c>
      <c r="F68" s="748">
        <v>0.4620301068034649</v>
      </c>
      <c r="G68" s="748">
        <v>1.2282683093771392</v>
      </c>
      <c r="H68" s="748">
        <v>1.237814840915616</v>
      </c>
      <c r="I68" s="748">
        <v>2.7415499533146597</v>
      </c>
      <c r="J68" s="584">
        <v>1.540381057505736</v>
      </c>
      <c r="K68" s="584">
        <v>2.0977100770520813</v>
      </c>
      <c r="L68" s="584">
        <v>2.8979719188767552</v>
      </c>
      <c r="M68" s="584">
        <v>1.3257857504238304</v>
      </c>
      <c r="N68" s="584">
        <v>1.1889991728701406</v>
      </c>
      <c r="O68" s="584">
        <v>1.3181844084795988</v>
      </c>
      <c r="P68" s="584">
        <v>0.98042563021022044</v>
      </c>
      <c r="Q68" s="584">
        <v>0.55888410410035572</v>
      </c>
      <c r="R68" s="748" t="e" cm="1">
        <f t="array" aca="1" ref="R68" ca="1">_xll.BDP(Inputs!$Q$25,"QUICK_RATIO")</f>
        <v>#NAME?</v>
      </c>
    </row>
    <row r="69" spans="1:18" ht="15" customHeight="1">
      <c r="B69" s="751" t="s">
        <v>280</v>
      </c>
      <c r="C69" s="748">
        <v>0.8314418283851146</v>
      </c>
      <c r="D69" s="748">
        <v>0.21940784556376153</v>
      </c>
      <c r="E69" s="748">
        <v>5.9081941873944971E-2</v>
      </c>
      <c r="F69" s="748">
        <v>0.16760575224960056</v>
      </c>
      <c r="G69" s="748">
        <v>0.34154688569472963</v>
      </c>
      <c r="H69" s="748">
        <v>0.49414037010936235</v>
      </c>
      <c r="I69" s="748">
        <v>2.2939309056956119</v>
      </c>
      <c r="J69" s="584">
        <v>0.57120443745596039</v>
      </c>
      <c r="K69" s="584">
        <v>1.2913681574737428</v>
      </c>
      <c r="L69" s="584">
        <v>1.4149765990639624</v>
      </c>
      <c r="M69" s="584">
        <v>0.3509315391921039</v>
      </c>
      <c r="N69" s="584">
        <v>0.37675765095119929</v>
      </c>
      <c r="O69" s="584">
        <v>7.2928538864827905E-2</v>
      </c>
      <c r="P69" s="584">
        <v>0.39452196104428278</v>
      </c>
      <c r="Q69" s="584">
        <v>0.2378455969543781</v>
      </c>
      <c r="R69" s="748" t="e" cm="1">
        <f t="array" aca="1" ref="R69" ca="1">_xll.BDP(Inputs!$Q$25,"CASH_RATIO")</f>
        <v>#NAME?</v>
      </c>
    </row>
    <row r="70" spans="1:18" ht="15" customHeight="1">
      <c r="B70" s="749"/>
      <c r="C70" s="749"/>
      <c r="D70" s="749"/>
      <c r="E70" s="749"/>
      <c r="F70" s="749"/>
      <c r="G70" s="749"/>
      <c r="H70" s="749"/>
      <c r="I70" s="749"/>
    </row>
    <row r="71" spans="1:18" ht="15" customHeight="1">
      <c r="A71" s="384" t="s">
        <v>38</v>
      </c>
      <c r="B71" s="596" t="s">
        <v>281</v>
      </c>
      <c r="C71" s="597" t="s">
        <v>221</v>
      </c>
      <c r="D71" s="597" t="s">
        <v>222</v>
      </c>
      <c r="E71" s="597" t="s">
        <v>223</v>
      </c>
      <c r="F71" s="597" t="s">
        <v>224</v>
      </c>
      <c r="G71" s="597" t="s">
        <v>225</v>
      </c>
      <c r="H71" s="597" t="s">
        <v>226</v>
      </c>
      <c r="I71" s="597" t="s">
        <v>227</v>
      </c>
      <c r="J71" s="597" t="s">
        <v>228</v>
      </c>
      <c r="K71" s="597" t="s">
        <v>229</v>
      </c>
      <c r="L71" s="597" t="s">
        <v>230</v>
      </c>
      <c r="M71" s="597" t="s">
        <v>231</v>
      </c>
      <c r="N71" s="597" t="s">
        <v>232</v>
      </c>
      <c r="O71" s="597" t="s">
        <v>233</v>
      </c>
      <c r="P71" s="597" t="s">
        <v>234</v>
      </c>
      <c r="Q71" s="597" t="s">
        <v>235</v>
      </c>
      <c r="R71" s="597" t="str">
        <f>R65</f>
        <v>GEA GROUP AG</v>
      </c>
    </row>
    <row r="72" spans="1:18" ht="3.95" customHeight="1">
      <c r="A72" s="384"/>
      <c r="B72" s="753"/>
      <c r="C72" s="752"/>
      <c r="D72" s="752"/>
      <c r="E72" s="752"/>
      <c r="F72" s="752"/>
      <c r="G72" s="752"/>
      <c r="H72" s="752"/>
      <c r="I72" s="752"/>
      <c r="J72" s="36"/>
      <c r="K72" s="36"/>
      <c r="L72" s="36"/>
      <c r="M72" s="36"/>
      <c r="N72" s="36"/>
      <c r="O72" s="36"/>
      <c r="P72" s="36"/>
      <c r="Q72" s="36"/>
      <c r="R72" s="36"/>
    </row>
    <row r="73" spans="1:18" ht="15" customHeight="1">
      <c r="B73" s="751" t="s">
        <v>282</v>
      </c>
      <c r="C73" s="750">
        <v>1.2745273616948143E-2</v>
      </c>
      <c r="D73" s="750">
        <v>2.3944941133958952E-2</v>
      </c>
      <c r="E73" s="750">
        <v>2.3031817619763497E-2</v>
      </c>
      <c r="F73" s="750">
        <v>1.7029031041849944E-2</v>
      </c>
      <c r="G73" s="750">
        <v>1.6243102510297661E-2</v>
      </c>
      <c r="H73" s="750">
        <v>1.9940496533078153E-2</v>
      </c>
      <c r="I73" s="750">
        <v>2.2086247086247086E-2</v>
      </c>
      <c r="J73" s="583">
        <v>2.9988275244173569E-2</v>
      </c>
      <c r="K73" s="583">
        <v>2.1735000254448612E-2</v>
      </c>
      <c r="L73" s="583">
        <v>1.6345626810743093E-2</v>
      </c>
      <c r="M73" s="583">
        <v>2.0571770368541593E-2</v>
      </c>
      <c r="N73" s="583">
        <v>2.1810367982809564E-2</v>
      </c>
      <c r="O73" s="583">
        <v>1.3737810112154003E-2</v>
      </c>
      <c r="P73" s="583">
        <v>7.495722968779589E-2</v>
      </c>
      <c r="Q73" s="583">
        <v>4.193968322846605E-2</v>
      </c>
      <c r="R73" s="750" t="e" cm="1">
        <f t="array" aca="1" ref="R73" ca="1">-_xll.BDP(Inputs!$Q$25,"ACQUIS_OF_FIXED_INTANG")/_xll.BDP(Inputs!$Q$25,"SALES_REV_TURN")</f>
        <v>#NAME?</v>
      </c>
    </row>
    <row r="74" spans="1:18" ht="15" customHeight="1">
      <c r="B74" s="751" t="s">
        <v>283</v>
      </c>
      <c r="C74" s="750">
        <v>0.38836554641672039</v>
      </c>
      <c r="D74" s="750">
        <v>0.47299430879383142</v>
      </c>
      <c r="E74" s="750">
        <v>0.60033927056827818</v>
      </c>
      <c r="F74" s="750">
        <v>0.3430379746835443</v>
      </c>
      <c r="G74" s="750">
        <v>0.37931034482758619</v>
      </c>
      <c r="H74" s="750">
        <v>0.42359892713816116</v>
      </c>
      <c r="I74" s="750">
        <v>0.42393736017897088</v>
      </c>
      <c r="J74" s="583">
        <v>0.84284892667837663</v>
      </c>
      <c r="K74" s="583">
        <v>0.96519774011299442</v>
      </c>
      <c r="L74" s="583">
        <v>0.85204081632653061</v>
      </c>
      <c r="M74" s="583">
        <v>0.45879403733381086</v>
      </c>
      <c r="N74" s="583">
        <v>0.63536776212832557</v>
      </c>
      <c r="O74" s="583">
        <v>0.43655673560648406</v>
      </c>
      <c r="P74" s="583">
        <v>3.0759544842042219</v>
      </c>
      <c r="Q74" s="583">
        <v>0.99845041322314054</v>
      </c>
      <c r="R74" s="750" t="e" cm="1">
        <f t="array" aca="1" ref="R74" ca="1">-_xll.BDP(Inputs!$Q$25,"ACQUIS_OF_FIXED_INTANG")/_xll.BDP(Inputs!$Q$25,"CF_DEPR_AMORT")</f>
        <v>#NAME?</v>
      </c>
    </row>
    <row r="75" spans="1:18" ht="15" customHeight="1">
      <c r="B75" s="751" t="s">
        <v>284</v>
      </c>
      <c r="C75" s="750" t="e">
        <v>#VALUE!</v>
      </c>
      <c r="D75" s="750" t="e">
        <v>#VALUE!</v>
      </c>
      <c r="E75" s="750" t="e">
        <v>#VALUE!</v>
      </c>
      <c r="F75" s="750" t="e">
        <v>#VALUE!</v>
      </c>
      <c r="G75" s="750" t="e">
        <v>#VALUE!</v>
      </c>
      <c r="H75" s="750" t="e">
        <v>#VALUE!</v>
      </c>
      <c r="I75" s="750" t="e">
        <v>#VALUE!</v>
      </c>
      <c r="J75" s="583" t="e">
        <v>#VALUE!</v>
      </c>
      <c r="K75" s="583" t="e">
        <v>#VALUE!</v>
      </c>
      <c r="L75" s="583" t="e">
        <v>#VALUE!</v>
      </c>
      <c r="M75" s="583" t="e">
        <v>#VALUE!</v>
      </c>
      <c r="N75" s="583" t="e">
        <v>#VALUE!</v>
      </c>
      <c r="O75" s="583" t="e">
        <v>#VALUE!</v>
      </c>
      <c r="P75" s="583" t="e">
        <v>#VALUE!</v>
      </c>
      <c r="Q75" s="583" t="e">
        <v>#VALUE!</v>
      </c>
      <c r="R75" s="750" t="e" cm="1">
        <f t="array" aca="1" ref="R75" ca="1">_xll.BDP(Inputs!$Q$25,"EXPND_INCUR_ON_R&amp;D_CAPITALZD")/_xll.BDP(Inputs!$Q$25,"IS_RD_EXPEND")</f>
        <v>#NAME?</v>
      </c>
    </row>
    <row r="76" spans="1:18" ht="15" customHeight="1">
      <c r="B76" s="751" t="s">
        <v>285</v>
      </c>
      <c r="C76" s="748" t="e">
        <v>#VALUE!</v>
      </c>
      <c r="D76" s="748" t="e">
        <v>#VALUE!</v>
      </c>
      <c r="E76" s="748" t="e">
        <v>#VALUE!</v>
      </c>
      <c r="F76" s="748" t="e">
        <v>#VALUE!</v>
      </c>
      <c r="G76" s="748" t="e">
        <v>#VALUE!</v>
      </c>
      <c r="H76" s="748" t="e">
        <v>#VALUE!</v>
      </c>
      <c r="I76" s="748" t="e">
        <v>#VALUE!</v>
      </c>
      <c r="J76" s="584" t="e">
        <v>#VALUE!</v>
      </c>
      <c r="K76" s="584" t="e">
        <v>#VALUE!</v>
      </c>
      <c r="L76" s="584" t="e">
        <v>#VALUE!</v>
      </c>
      <c r="M76" s="584" t="e">
        <v>#VALUE!</v>
      </c>
      <c r="N76" s="584" t="e">
        <v>#VALUE!</v>
      </c>
      <c r="O76" s="584" t="e">
        <v>#VALUE!</v>
      </c>
      <c r="P76" s="584" t="e">
        <v>#VALUE!</v>
      </c>
      <c r="Q76" s="584" t="e">
        <v>#VALUE!</v>
      </c>
      <c r="R76" s="748" t="e" cm="1">
        <f t="array" aca="1" ref="R76" ca="1">_xll.BDP(Inputs!$Q$25,"EXPND_INCUR_ON_R&amp;D_CAPITALZD")/IFERROR(VALUE(_xll.BDP(Inputs!$Q$25,"AMORTIZATION_OF_R&amp;D")),_xll.BDP(Inputs!$Q$25,"BEST_AMORTIZATION"))</f>
        <v>#NAME?</v>
      </c>
    </row>
    <row r="77" spans="1:18" ht="15" customHeight="1">
      <c r="B77" s="751" t="s">
        <v>286</v>
      </c>
      <c r="C77" s="750">
        <v>0</v>
      </c>
      <c r="D77" s="750">
        <v>0.34504994821136614</v>
      </c>
      <c r="E77" s="750">
        <v>1.7156828501571777</v>
      </c>
      <c r="F77" s="750" t="e">
        <v>#VALUE!</v>
      </c>
      <c r="G77" s="750">
        <v>0.25475625549581843</v>
      </c>
      <c r="H77" s="750">
        <v>0.13473359737629706</v>
      </c>
      <c r="I77" s="750">
        <v>0.15130023640661938</v>
      </c>
      <c r="J77" s="583">
        <v>0.27638275617580788</v>
      </c>
      <c r="K77" s="583">
        <v>2.64386244480397E-2</v>
      </c>
      <c r="L77" s="583">
        <v>0.38899511447456658</v>
      </c>
      <c r="M77" s="583">
        <v>0</v>
      </c>
      <c r="N77" s="583">
        <v>0.13546000924641702</v>
      </c>
      <c r="O77" s="583">
        <v>0.4944093074017577</v>
      </c>
      <c r="P77" s="583">
        <v>1.6835112675909192E-2</v>
      </c>
      <c r="Q77" s="583">
        <v>0.2565289256198347</v>
      </c>
      <c r="R77" s="750" t="e" cm="1">
        <f t="array" aca="1" ref="R77" ca="1">_xll.BDP(Inputs!$Q$25,"DVD_PAYOUT_RATIO")/100</f>
        <v>#NAME?</v>
      </c>
    </row>
    <row r="78" spans="1:18" ht="15" customHeight="1">
      <c r="B78" s="751" t="s">
        <v>287</v>
      </c>
      <c r="C78" s="750" t="e">
        <v>#VALUE!</v>
      </c>
      <c r="D78" s="750">
        <v>0.32815056467995024</v>
      </c>
      <c r="E78" s="750">
        <v>0.61938911022576348</v>
      </c>
      <c r="F78" s="750">
        <v>0.43950401167031355</v>
      </c>
      <c r="G78" s="750">
        <v>0.39094847594476734</v>
      </c>
      <c r="H78" s="750">
        <v>0.1000372411738418</v>
      </c>
      <c r="I78" s="750">
        <v>6.5742167437082694E-2</v>
      </c>
      <c r="J78" s="583">
        <v>0.47722735183772014</v>
      </c>
      <c r="K78" s="583">
        <v>0.58642221119318017</v>
      </c>
      <c r="L78" s="583">
        <v>0.53070426807760152</v>
      </c>
      <c r="M78" s="583" t="e">
        <v>#VALUE!</v>
      </c>
      <c r="N78" s="583">
        <v>0.17825625794441533</v>
      </c>
      <c r="O78" s="583">
        <v>0.81708627412142498</v>
      </c>
      <c r="P78" s="583">
        <v>3.2237585958547844E-2</v>
      </c>
      <c r="Q78" s="583" t="e">
        <v>#VALUE!</v>
      </c>
      <c r="R78" s="750" t="e" cm="1">
        <f t="array" aca="1" ref="R78" ca="1">_xll.BDP(Inputs!$Q$25,"TOTAL_PAYOUT")/_xll.BDP(Inputs!$Q$25,"CF_FREE_CASH_FLOW")</f>
        <v>#NAME?</v>
      </c>
    </row>
    <row r="79" spans="1:18" ht="15" customHeight="1">
      <c r="B79" s="751" t="s">
        <v>288</v>
      </c>
      <c r="C79" s="750">
        <v>5.0464753296370492E-2</v>
      </c>
      <c r="D79" s="750">
        <v>5.9941423211007691E-2</v>
      </c>
      <c r="E79" s="750">
        <v>1.5990604390640525E-2</v>
      </c>
      <c r="F79" s="750">
        <v>0</v>
      </c>
      <c r="G79" s="750">
        <v>0.21850613154960982</v>
      </c>
      <c r="H79" s="750">
        <v>0</v>
      </c>
      <c r="I79" s="750">
        <v>0</v>
      </c>
      <c r="J79" s="583">
        <v>0.12596650788724414</v>
      </c>
      <c r="K79" s="583">
        <v>0.47164869218755762</v>
      </c>
      <c r="L79" s="583">
        <v>0.23819301848049282</v>
      </c>
      <c r="M79" s="583">
        <v>0.37022719351056749</v>
      </c>
      <c r="N79" s="583">
        <v>5.5339386078685687E-2</v>
      </c>
      <c r="O79" s="583">
        <v>0</v>
      </c>
      <c r="P79" s="583">
        <v>0</v>
      </c>
      <c r="Q79" s="583">
        <v>0.35998802036537891</v>
      </c>
      <c r="R79" s="750" t="e" cm="1">
        <f t="array" aca="1" ref="R79" ca="1">-_xll.BDP(Inputs!$Q$25,"CF_DECR_CAP_STOCK")/_xll.BDP(Inputs!$Q$25,"CF_CASH_FROM_OPER")</f>
        <v>#NAME?</v>
      </c>
    </row>
    <row r="80" spans="1:18" ht="15" customHeight="1">
      <c r="B80" s="751"/>
      <c r="C80" s="749"/>
      <c r="D80" s="749"/>
      <c r="E80" s="749"/>
      <c r="F80" s="749"/>
      <c r="G80" s="749"/>
      <c r="H80" s="749"/>
      <c r="I80" s="749"/>
    </row>
    <row r="81" spans="1:18" ht="15" customHeight="1">
      <c r="A81" s="384" t="s">
        <v>38</v>
      </c>
      <c r="B81" s="596" t="s">
        <v>289</v>
      </c>
      <c r="C81" s="597" t="s">
        <v>221</v>
      </c>
      <c r="D81" s="597" t="s">
        <v>222</v>
      </c>
      <c r="E81" s="597" t="s">
        <v>223</v>
      </c>
      <c r="F81" s="597" t="s">
        <v>224</v>
      </c>
      <c r="G81" s="597" t="s">
        <v>225</v>
      </c>
      <c r="H81" s="597" t="s">
        <v>226</v>
      </c>
      <c r="I81" s="597" t="s">
        <v>227</v>
      </c>
      <c r="J81" s="597" t="s">
        <v>228</v>
      </c>
      <c r="K81" s="597" t="s">
        <v>229</v>
      </c>
      <c r="L81" s="597" t="s">
        <v>230</v>
      </c>
      <c r="M81" s="597" t="s">
        <v>231</v>
      </c>
      <c r="N81" s="597" t="s">
        <v>232</v>
      </c>
      <c r="O81" s="597" t="s">
        <v>233</v>
      </c>
      <c r="P81" s="597" t="s">
        <v>234</v>
      </c>
      <c r="Q81" s="597" t="s">
        <v>235</v>
      </c>
      <c r="R81" s="597" t="str">
        <f>R71</f>
        <v>GEA GROUP AG</v>
      </c>
    </row>
    <row r="82" spans="1:18" ht="3.95" customHeight="1">
      <c r="A82" s="384"/>
      <c r="B82" s="753"/>
      <c r="C82" s="752"/>
      <c r="D82" s="752"/>
      <c r="E82" s="752"/>
      <c r="F82" s="752"/>
      <c r="G82" s="752"/>
      <c r="H82" s="752"/>
      <c r="I82" s="752"/>
      <c r="J82" s="36"/>
      <c r="K82" s="36"/>
      <c r="L82" s="36"/>
      <c r="M82" s="36"/>
      <c r="N82" s="36"/>
      <c r="O82" s="36"/>
      <c r="P82" s="36"/>
      <c r="Q82" s="36"/>
      <c r="R82" s="36"/>
    </row>
    <row r="83" spans="1:18" ht="15" customHeight="1">
      <c r="B83" s="751" t="s">
        <v>290</v>
      </c>
      <c r="C83" s="748">
        <v>6.4068656716417909</v>
      </c>
      <c r="D83" s="748">
        <v>3.3280059835452507</v>
      </c>
      <c r="E83" s="748">
        <v>6.1024891804724763</v>
      </c>
      <c r="F83" s="748">
        <v>4.2796420581655479</v>
      </c>
      <c r="G83" s="748">
        <v>3.2093023255813957</v>
      </c>
      <c r="H83" s="748">
        <v>6.0414396887159532</v>
      </c>
      <c r="I83" s="748">
        <v>2.985879332477535</v>
      </c>
      <c r="J83" s="584">
        <v>4.0634407128169974</v>
      </c>
      <c r="K83" s="584">
        <v>2.9251438848920865</v>
      </c>
      <c r="L83" s="584">
        <v>4.953657365590086</v>
      </c>
      <c r="M83" s="584">
        <v>5.6330209727800087</v>
      </c>
      <c r="N83" s="584">
        <v>3.4797129575303516</v>
      </c>
      <c r="O83" s="584">
        <v>5.5960544217687067</v>
      </c>
      <c r="P83" s="584">
        <v>4.5505633802816901</v>
      </c>
      <c r="Q83" s="584">
        <v>4.9380707657041434</v>
      </c>
      <c r="R83" s="748" t="e" cm="1">
        <f t="array" aca="1" ref="R83" ca="1">_xll.BDP(Inputs!$Q$25,"cf_cash_from_oper")/_xll.BDP(Inputs!$Q$25,"BEST_NET_INCOME")</f>
        <v>#NAME?</v>
      </c>
    </row>
    <row r="84" spans="1:18" ht="15" customHeight="1">
      <c r="B84" s="751" t="s">
        <v>291</v>
      </c>
      <c r="C84" s="748">
        <v>5.9468843283582098</v>
      </c>
      <c r="D84" s="748">
        <v>2.9426058339566192</v>
      </c>
      <c r="E84" s="748">
        <v>4.151390688314911</v>
      </c>
      <c r="F84" s="748">
        <v>3.0671140939597317</v>
      </c>
      <c r="G84" s="748">
        <v>2.4615384615384621</v>
      </c>
      <c r="H84" s="748">
        <v>5.2241245136186771</v>
      </c>
      <c r="I84" s="748">
        <v>2.4993581514762511</v>
      </c>
      <c r="J84" s="584">
        <v>3.320150788211103</v>
      </c>
      <c r="K84" s="584">
        <v>2.4642446043165469</v>
      </c>
      <c r="L84" s="584">
        <v>4.6139198789151186</v>
      </c>
      <c r="M84" s="584">
        <v>4.7183400267737614</v>
      </c>
      <c r="N84" s="584">
        <v>2.868920281024808</v>
      </c>
      <c r="O84" s="584">
        <v>4.5334693877551011</v>
      </c>
      <c r="P84" s="584">
        <v>1.9200512163892443</v>
      </c>
      <c r="Q84" s="584">
        <v>3.5087070654786103</v>
      </c>
      <c r="R84" s="748" t="e" cm="1">
        <f t="array" aca="1" ref="R84" ca="1">_xll.BDP(Inputs!$Q$25,"cf_free_cash_flow")/_xll.BDP(Inputs!$Q$25,"BEST_NET_INCOME")</f>
        <v>#NAME?</v>
      </c>
    </row>
    <row r="85" spans="1:18" ht="15" customHeight="1">
      <c r="B85" s="749"/>
      <c r="C85" s="749"/>
      <c r="D85" s="749"/>
      <c r="E85" s="749"/>
      <c r="F85" s="749"/>
      <c r="G85" s="749"/>
      <c r="H85" s="749"/>
      <c r="I85" s="749"/>
    </row>
    <row r="86" spans="1:18" ht="15" customHeight="1">
      <c r="A86" s="384" t="s">
        <v>38</v>
      </c>
      <c r="B86" s="596" t="s">
        <v>292</v>
      </c>
      <c r="C86" s="597" t="s">
        <v>221</v>
      </c>
      <c r="D86" s="597" t="s">
        <v>222</v>
      </c>
      <c r="E86" s="597" t="s">
        <v>223</v>
      </c>
      <c r="F86" s="597" t="s">
        <v>224</v>
      </c>
      <c r="G86" s="597" t="s">
        <v>225</v>
      </c>
      <c r="H86" s="597" t="s">
        <v>226</v>
      </c>
      <c r="I86" s="597" t="s">
        <v>227</v>
      </c>
      <c r="J86" s="597" t="s">
        <v>228</v>
      </c>
      <c r="K86" s="597" t="s">
        <v>229</v>
      </c>
      <c r="L86" s="597" t="s">
        <v>230</v>
      </c>
      <c r="M86" s="597" t="s">
        <v>231</v>
      </c>
      <c r="N86" s="597" t="s">
        <v>232</v>
      </c>
      <c r="O86" s="597" t="s">
        <v>233</v>
      </c>
      <c r="P86" s="597" t="s">
        <v>234</v>
      </c>
      <c r="Q86" s="597" t="s">
        <v>235</v>
      </c>
      <c r="R86" s="597" t="str">
        <f>R81</f>
        <v>GEA GROUP AG</v>
      </c>
    </row>
    <row r="87" spans="1:18" ht="3.95" customHeight="1">
      <c r="A87" s="384"/>
      <c r="B87" s="753"/>
      <c r="C87" s="752"/>
      <c r="D87" s="752"/>
      <c r="E87" s="752"/>
      <c r="F87" s="752"/>
      <c r="G87" s="752"/>
      <c r="H87" s="752"/>
      <c r="I87" s="752"/>
      <c r="J87" s="36"/>
      <c r="K87" s="36"/>
      <c r="L87" s="36"/>
      <c r="M87" s="36"/>
      <c r="N87" s="36"/>
      <c r="O87" s="36"/>
      <c r="P87" s="36"/>
      <c r="Q87" s="36"/>
      <c r="R87" s="36"/>
    </row>
    <row r="88" spans="1:18" ht="15" customHeight="1">
      <c r="B88" s="751" t="s">
        <v>293</v>
      </c>
      <c r="C88" s="750">
        <v>8.7647474785068624E-3</v>
      </c>
      <c r="D88" s="750">
        <v>7.6955365887785288E-3</v>
      </c>
      <c r="E88" s="750">
        <v>5.3958866332191047E-3</v>
      </c>
      <c r="F88" s="750">
        <v>0</v>
      </c>
      <c r="G88" s="750">
        <v>1.6461868503807597E-2</v>
      </c>
      <c r="H88" s="750">
        <v>2.7259562143282512E-3</v>
      </c>
      <c r="I88" s="750">
        <v>6.2500000000000888E-3</v>
      </c>
      <c r="J88" s="583">
        <v>4.1655025272406832E-3</v>
      </c>
      <c r="K88" s="583">
        <v>9.6805064782097272E-3</v>
      </c>
      <c r="L88" s="583">
        <v>1.7110266159695797E-2</v>
      </c>
      <c r="M88" s="583">
        <v>1.0396257199074554E-2</v>
      </c>
      <c r="N88" s="583">
        <v>1.3136288998357948E-2</v>
      </c>
      <c r="O88" s="583">
        <v>1.8010225752117082E-2</v>
      </c>
      <c r="P88" s="583">
        <v>1.1159112793605486E-2</v>
      </c>
      <c r="Q88" s="583">
        <v>7.2115384615385469E-3</v>
      </c>
      <c r="R88" s="750" t="e" cm="1">
        <f t="array" aca="1" ref="R88" ca="1">_xll.BDP(Inputs!$Q$25,"PERIODIC_SHARE_DILUTION_FACTOR")-1</f>
        <v>#NAME?</v>
      </c>
    </row>
    <row r="89" spans="1:18" ht="15" customHeight="1">
      <c r="B89" s="751" t="s">
        <v>294</v>
      </c>
      <c r="C89" s="750">
        <v>9.3289003143610522E-3</v>
      </c>
      <c r="D89" s="750">
        <v>7.0474188647175889E-3</v>
      </c>
      <c r="E89" s="750">
        <v>6.8594336737018164E-3</v>
      </c>
      <c r="F89" s="750">
        <v>6.3780319215784838E-3</v>
      </c>
      <c r="G89" s="750">
        <v>9.2484650656718733E-3</v>
      </c>
      <c r="H89" s="750">
        <v>1.0099830641057772E-2</v>
      </c>
      <c r="I89" s="750">
        <v>8.5664335664335668E-3</v>
      </c>
      <c r="J89" s="583">
        <v>1.005729644828387E-2</v>
      </c>
      <c r="K89" s="583">
        <v>1.854251836270801E-2</v>
      </c>
      <c r="L89" s="583">
        <v>5.5986218776916457E-3</v>
      </c>
      <c r="M89" s="583">
        <v>1.0525745322727299E-2</v>
      </c>
      <c r="N89" s="583">
        <v>8.38033843674456E-3</v>
      </c>
      <c r="O89" s="583">
        <v>8.5487525153736827E-3</v>
      </c>
      <c r="P89" s="583">
        <v>7.2168630872047361E-3</v>
      </c>
      <c r="Q89" s="583">
        <v>8.5267954003037522E-3</v>
      </c>
      <c r="R89" s="750" t="e" cm="1">
        <f t="array" aca="1" ref="R89" ca="1">_xll.BDP(Inputs!$Q$25,"CF_STOCK_BASED_COMPENSATION")/_xll.BDP(Inputs!$Q$25,"sales_rev_turn")</f>
        <v>#NAME?</v>
      </c>
    </row>
    <row r="90" spans="1:18" ht="15" customHeight="1">
      <c r="B90" s="751" t="s">
        <v>295</v>
      </c>
      <c r="C90" s="750">
        <v>5.2635640404416907E-2</v>
      </c>
      <c r="D90" s="750">
        <v>3.4083492600590085E-2</v>
      </c>
      <c r="E90" s="750">
        <v>9.522088716234528E-2</v>
      </c>
      <c r="F90" s="750">
        <v>0.10611604809200209</v>
      </c>
      <c r="G90" s="750">
        <v>0.1326644370122631</v>
      </c>
      <c r="H90" s="750">
        <v>6.8521559913695934E-2</v>
      </c>
      <c r="I90" s="750">
        <v>6.3198624247635421E-2</v>
      </c>
      <c r="J90" s="583">
        <v>6.1347106211289075E-2</v>
      </c>
      <c r="K90" s="583">
        <v>0.13442122997085551</v>
      </c>
      <c r="L90" s="583">
        <v>2.3490759753593431E-2</v>
      </c>
      <c r="M90" s="583">
        <v>8.3082480433473799E-2</v>
      </c>
      <c r="N90" s="583">
        <v>6.744487678339818E-2</v>
      </c>
      <c r="O90" s="583">
        <v>0.11815905278257276</v>
      </c>
      <c r="P90" s="583">
        <v>5.5655755925030741E-2</v>
      </c>
      <c r="Q90" s="583">
        <v>5.884995507637017E-2</v>
      </c>
      <c r="R90" s="750" t="e" cm="1">
        <f t="array" aca="1" ref="R90" ca="1">_xll.BDP(Inputs!$Q$25,"CF_STOCK_BASED_COMPENSATION")/_xll.BDP(Inputs!$Q$25,"cf_cash_from_oper")</f>
        <v>#NAME?</v>
      </c>
    </row>
    <row r="91" spans="1:18" ht="15" customHeight="1">
      <c r="B91" s="751" t="s">
        <v>296</v>
      </c>
      <c r="C91" s="746">
        <v>8.8174109999999999</v>
      </c>
      <c r="D91" s="746">
        <v>8.7417049999999996</v>
      </c>
      <c r="E91" s="746">
        <v>4.8833800000000007</v>
      </c>
      <c r="F91" s="746">
        <v>1.8296779999999999</v>
      </c>
      <c r="G91" s="746">
        <v>4.9404250000000003</v>
      </c>
      <c r="H91" s="746">
        <v>9.1583189999999988</v>
      </c>
      <c r="I91" s="746">
        <v>0.76299300000000003</v>
      </c>
      <c r="J91" s="593">
        <v>7.3212039999999998</v>
      </c>
      <c r="K91" s="593">
        <v>1.795852</v>
      </c>
      <c r="L91" s="593">
        <v>19.075445999999999</v>
      </c>
      <c r="M91" s="593">
        <v>1.559858</v>
      </c>
      <c r="N91" s="593">
        <v>3.5514079999999999</v>
      </c>
      <c r="O91" s="593">
        <v>1.5404690000000001</v>
      </c>
      <c r="P91" s="593">
        <v>5.4653860000000005</v>
      </c>
      <c r="Q91" s="593">
        <v>3.7207060000000003</v>
      </c>
      <c r="R91" s="593" t="e">
        <f ca="1">_xll.BQL(
Inputs!$Q$25,
"is_eps(fpt=ltm,fa_adjusted=y,fs=mr)",
"currency=USD"
)</f>
        <v>#NAME?</v>
      </c>
    </row>
    <row r="92" spans="1:18" ht="15" customHeight="1">
      <c r="B92" s="749"/>
      <c r="C92" s="749"/>
      <c r="D92" s="749"/>
      <c r="E92" s="749"/>
      <c r="F92" s="749"/>
      <c r="G92" s="749"/>
      <c r="H92" s="749"/>
      <c r="I92" s="749"/>
    </row>
    <row r="93" spans="1:18" ht="15" customHeight="1">
      <c r="B93" s="749"/>
      <c r="C93" s="749"/>
      <c r="D93" s="749"/>
      <c r="E93" s="749"/>
      <c r="F93" s="749"/>
      <c r="G93" s="749"/>
      <c r="H93" s="749"/>
      <c r="I93" s="749"/>
    </row>
  </sheetData>
  <conditionalFormatting sqref="C14:R14">
    <cfRule type="colorScale" priority="68">
      <colorScale>
        <cfvo type="min"/>
        <cfvo type="num" val="0"/>
        <cfvo type="max"/>
        <color theme="4" tint="0.79998168889431442"/>
        <color theme="0"/>
        <color rgb="FF8DEB91"/>
      </colorScale>
    </cfRule>
  </conditionalFormatting>
  <conditionalFormatting sqref="C15:R15">
    <cfRule type="colorScale" priority="50">
      <colorScale>
        <cfvo type="min"/>
        <cfvo type="num" val="0"/>
        <cfvo type="max"/>
        <color theme="4" tint="0.79998168889431442"/>
        <color theme="0"/>
        <color rgb="FF8DEB91"/>
      </colorScale>
    </cfRule>
  </conditionalFormatting>
  <conditionalFormatting sqref="C16:R16">
    <cfRule type="colorScale" priority="49">
      <colorScale>
        <cfvo type="min"/>
        <cfvo type="num" val="0"/>
        <cfvo type="max"/>
        <color theme="4" tint="0.79998168889431442"/>
        <color theme="0"/>
        <color rgb="FF8DEB91"/>
      </colorScale>
    </cfRule>
  </conditionalFormatting>
  <conditionalFormatting sqref="C17:R17">
    <cfRule type="colorScale" priority="48">
      <colorScale>
        <cfvo type="min"/>
        <cfvo type="num" val="0"/>
        <cfvo type="max"/>
        <color theme="4" tint="0.79998168889431442"/>
        <color theme="0"/>
        <color rgb="FF8DEB91"/>
      </colorScale>
    </cfRule>
  </conditionalFormatting>
  <conditionalFormatting sqref="C18:R18">
    <cfRule type="colorScale" priority="47">
      <colorScale>
        <cfvo type="min"/>
        <cfvo type="num" val="0"/>
        <cfvo type="max"/>
        <color theme="4" tint="0.79998168889431442"/>
        <color theme="0"/>
        <color rgb="FF8DEB91"/>
      </colorScale>
    </cfRule>
  </conditionalFormatting>
  <conditionalFormatting sqref="C19:R19">
    <cfRule type="colorScale" priority="46">
      <colorScale>
        <cfvo type="min"/>
        <cfvo type="num" val="0"/>
        <cfvo type="max"/>
        <color theme="4" tint="0.79998168889431442"/>
        <color theme="0"/>
        <color rgb="FF8DEB91"/>
      </colorScale>
    </cfRule>
  </conditionalFormatting>
  <conditionalFormatting sqref="C23:R23">
    <cfRule type="colorScale" priority="62">
      <colorScale>
        <cfvo type="min"/>
        <cfvo type="percentile" val="50"/>
        <cfvo type="max"/>
        <color theme="4" tint="0.79998168889431442"/>
        <color theme="0"/>
        <color rgb="FF8DEB91"/>
      </colorScale>
    </cfRule>
  </conditionalFormatting>
  <conditionalFormatting sqref="C24:R24">
    <cfRule type="colorScale" priority="45">
      <colorScale>
        <cfvo type="min"/>
        <cfvo type="percentile" val="50"/>
        <cfvo type="max"/>
        <color theme="4" tint="0.79998168889431442"/>
        <color theme="0"/>
        <color rgb="FF8DEB91"/>
      </colorScale>
    </cfRule>
  </conditionalFormatting>
  <conditionalFormatting sqref="C25:R25">
    <cfRule type="colorScale" priority="44">
      <colorScale>
        <cfvo type="min"/>
        <cfvo type="percentile" val="50"/>
        <cfvo type="max"/>
        <color theme="4" tint="0.79998168889431442"/>
        <color theme="0"/>
        <color rgb="FF8DEB91"/>
      </colorScale>
    </cfRule>
  </conditionalFormatting>
  <conditionalFormatting sqref="C26:R26">
    <cfRule type="colorScale" priority="43">
      <colorScale>
        <cfvo type="min"/>
        <cfvo type="percentile" val="50"/>
        <cfvo type="max"/>
        <color theme="4" tint="0.79998168889431442"/>
        <color theme="0"/>
        <color rgb="FF8DEB91"/>
      </colorScale>
    </cfRule>
  </conditionalFormatting>
  <conditionalFormatting sqref="C27:R27">
    <cfRule type="colorScale" priority="42">
      <colorScale>
        <cfvo type="min"/>
        <cfvo type="percentile" val="50"/>
        <cfvo type="max"/>
        <color theme="4" tint="0.79998168889431442"/>
        <color theme="0"/>
        <color rgb="FF8DEB91"/>
      </colorScale>
    </cfRule>
  </conditionalFormatting>
  <conditionalFormatting sqref="C28:R28">
    <cfRule type="colorScale" priority="41">
      <colorScale>
        <cfvo type="min"/>
        <cfvo type="percentile" val="50"/>
        <cfvo type="max"/>
        <color theme="4" tint="0.79998168889431442"/>
        <color theme="0"/>
        <color rgb="FF8DEB91"/>
      </colorScale>
    </cfRule>
  </conditionalFormatting>
  <conditionalFormatting sqref="C32:R32">
    <cfRule type="colorScale" priority="40">
      <colorScale>
        <cfvo type="min"/>
        <cfvo type="percentile" val="50"/>
        <cfvo type="max"/>
        <color theme="4" tint="0.79998168889431442"/>
        <color theme="0"/>
        <color rgb="FF8DEB91"/>
      </colorScale>
    </cfRule>
  </conditionalFormatting>
  <conditionalFormatting sqref="C33:R33">
    <cfRule type="colorScale" priority="39">
      <colorScale>
        <cfvo type="min"/>
        <cfvo type="percentile" val="50"/>
        <cfvo type="max"/>
        <color theme="4" tint="0.79998168889431442"/>
        <color theme="0"/>
        <color rgb="FF8DEB91"/>
      </colorScale>
    </cfRule>
  </conditionalFormatting>
  <conditionalFormatting sqref="C34:R34">
    <cfRule type="colorScale" priority="38">
      <colorScale>
        <cfvo type="min"/>
        <cfvo type="percentile" val="50"/>
        <cfvo type="max"/>
        <color theme="4" tint="0.79998168889431442"/>
        <color theme="0"/>
        <color rgb="FF8DEB91"/>
      </colorScale>
    </cfRule>
  </conditionalFormatting>
  <conditionalFormatting sqref="C35:R35">
    <cfRule type="colorScale" priority="37">
      <colorScale>
        <cfvo type="min"/>
        <cfvo type="percentile" val="50"/>
        <cfvo type="max"/>
        <color theme="4" tint="0.79998168889431442"/>
        <color theme="0"/>
        <color rgb="FF8DEB91"/>
      </colorScale>
    </cfRule>
  </conditionalFormatting>
  <conditionalFormatting sqref="C36:R36">
    <cfRule type="colorScale" priority="36">
      <colorScale>
        <cfvo type="min"/>
        <cfvo type="percentile" val="50"/>
        <cfvo type="max"/>
        <color theme="4" tint="0.79998168889431442"/>
        <color theme="0"/>
        <color rgb="FF8DEB91"/>
      </colorScale>
    </cfRule>
  </conditionalFormatting>
  <conditionalFormatting sqref="C37:R37">
    <cfRule type="colorScale" priority="35">
      <colorScale>
        <cfvo type="min"/>
        <cfvo type="percentile" val="50"/>
        <cfvo type="max"/>
        <color theme="4" tint="0.79998168889431442"/>
        <color theme="0"/>
        <color rgb="FF8DEB91"/>
      </colorScale>
    </cfRule>
  </conditionalFormatting>
  <conditionalFormatting sqref="C41:R41">
    <cfRule type="colorScale" priority="34">
      <colorScale>
        <cfvo type="min"/>
        <cfvo type="percentile" val="50"/>
        <cfvo type="max"/>
        <color theme="4" tint="0.79998168889431442"/>
        <color theme="0" tint="-4.9989318521683403E-2"/>
        <color rgb="FF8DEB91"/>
      </colorScale>
    </cfRule>
  </conditionalFormatting>
  <conditionalFormatting sqref="C42:R42">
    <cfRule type="colorScale" priority="33">
      <colorScale>
        <cfvo type="min"/>
        <cfvo type="percentile" val="50"/>
        <cfvo type="max"/>
        <color theme="4" tint="0.79998168889431442"/>
        <color theme="0" tint="-4.9989318521683403E-2"/>
        <color rgb="FF8DEB91"/>
      </colorScale>
    </cfRule>
  </conditionalFormatting>
  <conditionalFormatting sqref="C43:R43">
    <cfRule type="colorScale" priority="32">
      <colorScale>
        <cfvo type="min"/>
        <cfvo type="percentile" val="50"/>
        <cfvo type="max"/>
        <color theme="4" tint="0.79998168889431442"/>
        <color theme="0" tint="-4.9989318521683403E-2"/>
        <color rgb="FF8DEB91"/>
      </colorScale>
    </cfRule>
  </conditionalFormatting>
  <conditionalFormatting sqref="C44:R44">
    <cfRule type="colorScale" priority="31">
      <colorScale>
        <cfvo type="min"/>
        <cfvo type="percentile" val="50"/>
        <cfvo type="max"/>
        <color theme="4" tint="0.79998168889431442"/>
        <color theme="0"/>
        <color rgb="FF8DEB91"/>
      </colorScale>
    </cfRule>
  </conditionalFormatting>
  <conditionalFormatting sqref="C45:R45">
    <cfRule type="colorScale" priority="30">
      <colorScale>
        <cfvo type="min"/>
        <cfvo type="percentile" val="50"/>
        <cfvo type="max"/>
        <color theme="4" tint="0.79998168889431442"/>
        <color theme="0"/>
        <color rgb="FF8DEB91"/>
      </colorScale>
    </cfRule>
  </conditionalFormatting>
  <conditionalFormatting sqref="C49:R49">
    <cfRule type="colorScale" priority="29">
      <colorScale>
        <cfvo type="min"/>
        <cfvo type="percentile" val="50"/>
        <cfvo type="max"/>
        <color theme="4" tint="0.79998168889431442"/>
        <color theme="0"/>
        <color rgb="FF8DEB91"/>
      </colorScale>
    </cfRule>
  </conditionalFormatting>
  <conditionalFormatting sqref="C50:R50">
    <cfRule type="colorScale" priority="28">
      <colorScale>
        <cfvo type="min"/>
        <cfvo type="percentile" val="50"/>
        <cfvo type="max"/>
        <color theme="4" tint="0.79998168889431442"/>
        <color theme="0"/>
        <color rgb="FF8DEB91"/>
      </colorScale>
    </cfRule>
  </conditionalFormatting>
  <conditionalFormatting sqref="C51:R51">
    <cfRule type="colorScale" priority="27">
      <colorScale>
        <cfvo type="min"/>
        <cfvo type="percentile" val="50"/>
        <cfvo type="max"/>
        <color theme="4" tint="0.79998168889431442"/>
        <color theme="0"/>
        <color rgb="FF8DEB91"/>
      </colorScale>
    </cfRule>
  </conditionalFormatting>
  <conditionalFormatting sqref="C52:R52">
    <cfRule type="colorScale" priority="26">
      <colorScale>
        <cfvo type="min"/>
        <cfvo type="percentile" val="50"/>
        <cfvo type="max"/>
        <color theme="4" tint="0.79998168889431442"/>
        <color theme="0"/>
        <color rgb="FF8DEB91"/>
      </colorScale>
    </cfRule>
  </conditionalFormatting>
  <conditionalFormatting sqref="C53:R53">
    <cfRule type="colorScale" priority="25">
      <colorScale>
        <cfvo type="min"/>
        <cfvo type="percentile" val="50"/>
        <cfvo type="max"/>
        <color theme="4" tint="0.79998168889431442"/>
        <color theme="0"/>
        <color rgb="FF8DEB91"/>
      </colorScale>
    </cfRule>
  </conditionalFormatting>
  <conditionalFormatting sqref="C54:R54">
    <cfRule type="colorScale" priority="24">
      <colorScale>
        <cfvo type="min"/>
        <cfvo type="percentile" val="50"/>
        <cfvo type="max"/>
        <color theme="4" tint="0.79998168889431442"/>
        <color theme="0" tint="-4.9989318521683403E-2"/>
        <color rgb="FF8DEB91"/>
      </colorScale>
    </cfRule>
  </conditionalFormatting>
  <conditionalFormatting sqref="C55:R55">
    <cfRule type="colorScale" priority="23">
      <colorScale>
        <cfvo type="min"/>
        <cfvo type="percentile" val="50"/>
        <cfvo type="max"/>
        <color theme="4" tint="0.79998168889431442"/>
        <color theme="0"/>
        <color rgb="FF8DEB91"/>
      </colorScale>
    </cfRule>
  </conditionalFormatting>
  <conditionalFormatting sqref="C59:R59">
    <cfRule type="colorScale" priority="22">
      <colorScale>
        <cfvo type="min"/>
        <cfvo type="percentile" val="50"/>
        <cfvo type="max"/>
        <color theme="4" tint="0.79998168889431442"/>
        <color theme="0" tint="-4.9989318521683403E-2"/>
        <color rgb="FF8DEB91"/>
      </colorScale>
    </cfRule>
  </conditionalFormatting>
  <conditionalFormatting sqref="C60:R60">
    <cfRule type="colorScale" priority="21">
      <colorScale>
        <cfvo type="min"/>
        <cfvo type="percentile" val="50"/>
        <cfvo type="max"/>
        <color theme="4" tint="0.79998168889431442"/>
        <color theme="0" tint="-4.9989318521683403E-2"/>
        <color rgb="FF8DEB91"/>
      </colorScale>
    </cfRule>
  </conditionalFormatting>
  <conditionalFormatting sqref="C61:R61">
    <cfRule type="colorScale" priority="20">
      <colorScale>
        <cfvo type="min"/>
        <cfvo type="percentile" val="50"/>
        <cfvo type="max"/>
        <color theme="4" tint="0.79998168889431442"/>
        <color theme="0" tint="-4.9989318521683403E-2"/>
        <color rgb="FF8DEB91"/>
      </colorScale>
    </cfRule>
  </conditionalFormatting>
  <conditionalFormatting sqref="C62:R62">
    <cfRule type="colorScale" priority="19">
      <colorScale>
        <cfvo type="min"/>
        <cfvo type="percentile" val="50"/>
        <cfvo type="max"/>
        <color theme="4" tint="0.79998168889431442"/>
        <color theme="0"/>
        <color rgb="FF8DEB91"/>
      </colorScale>
    </cfRule>
  </conditionalFormatting>
  <conditionalFormatting sqref="C63:R63">
    <cfRule type="colorScale" priority="18">
      <colorScale>
        <cfvo type="min"/>
        <cfvo type="percentile" val="50"/>
        <cfvo type="max"/>
        <color theme="4" tint="0.79998168889431442"/>
        <color theme="0"/>
        <color rgb="FF8DEB91"/>
      </colorScale>
    </cfRule>
  </conditionalFormatting>
  <conditionalFormatting sqref="C67:R67">
    <cfRule type="colorScale" priority="17">
      <colorScale>
        <cfvo type="min"/>
        <cfvo type="percentile" val="50"/>
        <cfvo type="max"/>
        <color theme="4" tint="0.79998168889431442"/>
        <color theme="0" tint="-4.9989318521683403E-2"/>
        <color rgb="FF8DEB91"/>
      </colorScale>
    </cfRule>
  </conditionalFormatting>
  <conditionalFormatting sqref="C68:R68">
    <cfRule type="colorScale" priority="16">
      <colorScale>
        <cfvo type="min"/>
        <cfvo type="percentile" val="50"/>
        <cfvo type="max"/>
        <color theme="4" tint="0.79998168889431442"/>
        <color theme="0" tint="-4.9989318521683403E-2"/>
        <color rgb="FF8DEB91"/>
      </colorScale>
    </cfRule>
  </conditionalFormatting>
  <conditionalFormatting sqref="C69:R69">
    <cfRule type="colorScale" priority="15">
      <colorScale>
        <cfvo type="min"/>
        <cfvo type="percentile" val="50"/>
        <cfvo type="max"/>
        <color theme="4" tint="0.79998168889431442"/>
        <color theme="0" tint="-4.9989318521683403E-2"/>
        <color rgb="FF8DEB91"/>
      </colorScale>
    </cfRule>
  </conditionalFormatting>
  <conditionalFormatting sqref="C73:R73">
    <cfRule type="colorScale" priority="14">
      <colorScale>
        <cfvo type="min"/>
        <cfvo type="percentile" val="50"/>
        <cfvo type="max"/>
        <color theme="4" tint="0.79998168889431442"/>
        <color theme="0"/>
        <color rgb="FF8DEB91"/>
      </colorScale>
    </cfRule>
  </conditionalFormatting>
  <conditionalFormatting sqref="C74:R74">
    <cfRule type="colorScale" priority="13">
      <colorScale>
        <cfvo type="min"/>
        <cfvo type="percentile" val="50"/>
        <cfvo type="max"/>
        <color theme="4" tint="0.79998168889431442"/>
        <color theme="0"/>
        <color rgb="FF8DEB91"/>
      </colorScale>
    </cfRule>
  </conditionalFormatting>
  <conditionalFormatting sqref="C75:R75">
    <cfRule type="colorScale" priority="12">
      <colorScale>
        <cfvo type="min"/>
        <cfvo type="percentile" val="50"/>
        <cfvo type="max"/>
        <color theme="4" tint="0.79998168889431442"/>
        <color theme="0"/>
        <color rgb="FF8DEB91"/>
      </colorScale>
    </cfRule>
  </conditionalFormatting>
  <conditionalFormatting sqref="C76:R76">
    <cfRule type="colorScale" priority="11">
      <colorScale>
        <cfvo type="min"/>
        <cfvo type="percentile" val="50"/>
        <cfvo type="max"/>
        <color theme="4" tint="0.79998168889431442"/>
        <color theme="0" tint="-4.9989318521683403E-2"/>
        <color rgb="FF8DEB91"/>
      </colorScale>
    </cfRule>
  </conditionalFormatting>
  <conditionalFormatting sqref="C77:R77">
    <cfRule type="colorScale" priority="10">
      <colorScale>
        <cfvo type="min"/>
        <cfvo type="percentile" val="50"/>
        <cfvo type="max"/>
        <color theme="4" tint="0.79998168889431442"/>
        <color theme="0"/>
        <color rgb="FF8DEB91"/>
      </colorScale>
    </cfRule>
  </conditionalFormatting>
  <conditionalFormatting sqref="C78:R78">
    <cfRule type="colorScale" priority="8">
      <colorScale>
        <cfvo type="min"/>
        <cfvo type="percentile" val="50"/>
        <cfvo type="max"/>
        <color theme="4" tint="0.79998168889431442"/>
        <color theme="0"/>
        <color rgb="FF8DEB91"/>
      </colorScale>
    </cfRule>
  </conditionalFormatting>
  <conditionalFormatting sqref="C79:R79">
    <cfRule type="colorScale" priority="9">
      <colorScale>
        <cfvo type="min"/>
        <cfvo type="percentile" val="50"/>
        <cfvo type="max"/>
        <color theme="4" tint="0.79998168889431442"/>
        <color theme="0"/>
        <color rgb="FF8DEB91"/>
      </colorScale>
    </cfRule>
  </conditionalFormatting>
  <conditionalFormatting sqref="C83:R83">
    <cfRule type="colorScale" priority="7">
      <colorScale>
        <cfvo type="min"/>
        <cfvo type="percentile" val="50"/>
        <cfvo type="max"/>
        <color theme="4" tint="0.79998168889431442"/>
        <color theme="0" tint="-4.9989318521683403E-2"/>
        <color rgb="FF8DEB91"/>
      </colorScale>
    </cfRule>
  </conditionalFormatting>
  <conditionalFormatting sqref="C84:R84">
    <cfRule type="colorScale" priority="6">
      <colorScale>
        <cfvo type="min"/>
        <cfvo type="percentile" val="50"/>
        <cfvo type="max"/>
        <color theme="4" tint="0.79998168889431442"/>
        <color theme="0" tint="-4.9989318521683403E-2"/>
        <color rgb="FF8DEB91"/>
      </colorScale>
    </cfRule>
  </conditionalFormatting>
  <conditionalFormatting sqref="C88:R88">
    <cfRule type="colorScale" priority="5">
      <colorScale>
        <cfvo type="min"/>
        <cfvo type="percentile" val="50"/>
        <cfvo type="max"/>
        <color theme="4" tint="0.79998168889431442"/>
        <color theme="0"/>
        <color rgb="FF8DEB91"/>
      </colorScale>
    </cfRule>
  </conditionalFormatting>
  <conditionalFormatting sqref="C89:R89">
    <cfRule type="colorScale" priority="4">
      <colorScale>
        <cfvo type="min"/>
        <cfvo type="percentile" val="50"/>
        <cfvo type="max"/>
        <color theme="4" tint="0.79998168889431442"/>
        <color theme="0"/>
        <color rgb="FF8DEB91"/>
      </colorScale>
    </cfRule>
  </conditionalFormatting>
  <conditionalFormatting sqref="C90:R90">
    <cfRule type="colorScale" priority="3">
      <colorScale>
        <cfvo type="min"/>
        <cfvo type="percentile" val="50"/>
        <cfvo type="max"/>
        <color theme="4" tint="0.79998168889431442"/>
        <color theme="0"/>
        <color rgb="FF8DEB91"/>
      </colorScale>
    </cfRule>
  </conditionalFormatting>
  <conditionalFormatting sqref="C91:R91">
    <cfRule type="colorScale" priority="2">
      <colorScale>
        <cfvo type="min"/>
        <cfvo type="percentile" val="50"/>
        <cfvo type="max"/>
        <color theme="4" tint="0.79998168889431442"/>
        <color theme="0"/>
        <color rgb="FF8DEB91"/>
      </colorScale>
    </cfRule>
  </conditionalFormatting>
  <conditionalFormatting sqref="T28">
    <cfRule type="colorScale" priority="1">
      <colorScale>
        <cfvo type="min"/>
        <cfvo type="percentile" val="50"/>
        <cfvo type="max"/>
        <color theme="4" tint="0.79998168889431442"/>
        <color theme="0"/>
        <color rgb="FF8DEB91"/>
      </colorScale>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B1:Z55"/>
  <sheetViews>
    <sheetView showGridLines="0" zoomScale="75" zoomScaleNormal="100" workbookViewId="0">
      <selection activeCell="Z23" sqref="Z23"/>
    </sheetView>
  </sheetViews>
  <sheetFormatPr defaultColWidth="9" defaultRowHeight="15" customHeight="1"/>
  <cols>
    <col min="1" max="1" width="2" style="570" customWidth="1"/>
    <col min="2" max="2" width="28" style="570" customWidth="1"/>
    <col min="3" max="4" width="10.5" style="570" customWidth="1"/>
    <col min="5" max="5" width="8.5" style="570" customWidth="1"/>
    <col min="6" max="7" width="11.5" style="570" customWidth="1"/>
    <col min="8" max="8" width="1.5" style="570" customWidth="1"/>
    <col min="9" max="17" width="9.5" style="570" customWidth="1"/>
    <col min="18" max="18" width="1.5" style="570" customWidth="1"/>
    <col min="19" max="20" width="8.5" style="570" customWidth="1"/>
    <col min="21" max="21" width="1.5" style="570" customWidth="1"/>
    <col min="22" max="24" width="9.5" style="570" customWidth="1"/>
    <col min="25" max="25" width="1.5" style="570" customWidth="1"/>
    <col min="26" max="26" width="8.875" style="570" bestFit="1" customWidth="1"/>
    <col min="27" max="16384" width="9" style="570"/>
  </cols>
  <sheetData>
    <row r="1" spans="2:26" s="582" customFormat="1" ht="15" customHeight="1"/>
    <row r="2" spans="2:26" s="582" customFormat="1" ht="15" customHeight="1"/>
    <row r="3" spans="2:26" s="582" customFormat="1" ht="15" customHeight="1"/>
    <row r="4" spans="2:26" s="582" customFormat="1" ht="15" customHeight="1"/>
    <row r="5" spans="2:26" s="568" customFormat="1" ht="3.95" customHeight="1">
      <c r="B5" s="36"/>
      <c r="C5" s="36"/>
      <c r="D5" s="36"/>
      <c r="E5" s="36"/>
      <c r="F5" s="36"/>
      <c r="G5" s="36"/>
      <c r="H5" s="36"/>
      <c r="I5" s="36"/>
      <c r="J5" s="36"/>
      <c r="K5" s="36"/>
      <c r="L5" s="36"/>
      <c r="M5" s="36"/>
      <c r="N5" s="36"/>
      <c r="O5" s="36"/>
      <c r="P5" s="36"/>
      <c r="Q5" s="36"/>
      <c r="R5" s="36"/>
      <c r="S5" s="36"/>
      <c r="T5" s="36"/>
      <c r="U5" s="36"/>
      <c r="V5" s="36"/>
      <c r="W5" s="36"/>
      <c r="X5" s="36"/>
      <c r="Y5" s="36"/>
      <c r="Z5" s="36"/>
    </row>
    <row r="7" spans="2:26" s="569" customFormat="1" ht="15" customHeight="1">
      <c r="B7" s="622" t="str">
        <f>"in "&amp;IF(Inputs!$R$18="k","thousands",IF(Inputs!$R$18="MLN","millions","billions")&amp;" of "&amp;Inputs!$R$17)</f>
        <v>in thousands</v>
      </c>
      <c r="C7" s="375"/>
      <c r="D7" s="623" t="s">
        <v>297</v>
      </c>
      <c r="E7" s="623" t="s">
        <v>298</v>
      </c>
      <c r="F7" s="623"/>
      <c r="G7" s="623"/>
      <c r="H7" s="623"/>
      <c r="I7" s="817" t="s">
        <v>299</v>
      </c>
      <c r="J7" s="817"/>
      <c r="K7" s="817"/>
      <c r="L7" s="817"/>
      <c r="M7" s="817"/>
      <c r="N7" s="817"/>
      <c r="O7" s="817"/>
      <c r="P7" s="817"/>
      <c r="Q7" s="817"/>
      <c r="R7" s="623"/>
      <c r="S7" s="623" t="s">
        <v>300</v>
      </c>
      <c r="T7" s="623" t="s">
        <v>301</v>
      </c>
      <c r="U7" s="623"/>
      <c r="V7" s="817" t="s">
        <v>302</v>
      </c>
      <c r="W7" s="817"/>
      <c r="X7" s="817"/>
      <c r="Y7" s="623"/>
      <c r="Z7" s="623" t="s">
        <v>303</v>
      </c>
    </row>
    <row r="8" spans="2:26" s="569" customFormat="1" ht="15" customHeight="1">
      <c r="B8" s="375"/>
      <c r="C8" s="375"/>
      <c r="D8" s="623" t="s">
        <v>304</v>
      </c>
      <c r="E8" s="623" t="s">
        <v>305</v>
      </c>
      <c r="F8" s="623" t="s">
        <v>306</v>
      </c>
      <c r="G8" s="623" t="s">
        <v>307</v>
      </c>
      <c r="H8" s="623"/>
      <c r="I8" s="623" t="s">
        <v>300</v>
      </c>
      <c r="J8" s="534">
        <v>2025</v>
      </c>
      <c r="K8" s="534">
        <v>2026</v>
      </c>
      <c r="L8" s="623" t="s">
        <v>300</v>
      </c>
      <c r="M8" s="623" t="s">
        <v>308</v>
      </c>
      <c r="N8" s="623" t="s">
        <v>309</v>
      </c>
      <c r="O8" s="623" t="s">
        <v>300</v>
      </c>
      <c r="P8" s="623" t="s">
        <v>308</v>
      </c>
      <c r="Q8" s="623" t="s">
        <v>309</v>
      </c>
      <c r="R8" s="623"/>
      <c r="S8" s="623" t="s">
        <v>310</v>
      </c>
      <c r="T8" s="623" t="s">
        <v>311</v>
      </c>
      <c r="U8" s="623"/>
      <c r="V8" s="623" t="s">
        <v>300</v>
      </c>
      <c r="W8" s="623" t="s">
        <v>308</v>
      </c>
      <c r="X8" s="623" t="s">
        <v>309</v>
      </c>
      <c r="Y8" s="623"/>
      <c r="Z8" s="623" t="s">
        <v>312</v>
      </c>
    </row>
    <row r="9" spans="2:26" s="569" customFormat="1" ht="15" customHeight="1">
      <c r="B9" s="375" t="s">
        <v>313</v>
      </c>
      <c r="C9" s="375" t="s">
        <v>12</v>
      </c>
      <c r="D9" s="623" t="s">
        <v>314</v>
      </c>
      <c r="E9" s="623" t="s">
        <v>315</v>
      </c>
      <c r="F9" s="623" t="s">
        <v>316</v>
      </c>
      <c r="G9" s="623" t="s">
        <v>316</v>
      </c>
      <c r="H9" s="623"/>
      <c r="I9" s="623" t="s">
        <v>317</v>
      </c>
      <c r="J9" s="623" t="s">
        <v>317</v>
      </c>
      <c r="K9" s="623" t="s">
        <v>317</v>
      </c>
      <c r="L9" s="623" t="s">
        <v>310</v>
      </c>
      <c r="M9" s="623" t="s">
        <v>310</v>
      </c>
      <c r="N9" s="623" t="s">
        <v>310</v>
      </c>
      <c r="O9" s="623" t="s">
        <v>318</v>
      </c>
      <c r="P9" s="623" t="s">
        <v>318</v>
      </c>
      <c r="Q9" s="623" t="s">
        <v>318</v>
      </c>
      <c r="R9" s="623"/>
      <c r="S9" s="623" t="s">
        <v>319</v>
      </c>
      <c r="T9" s="623" t="s">
        <v>310</v>
      </c>
      <c r="U9" s="623"/>
      <c r="V9" s="623" t="s">
        <v>312</v>
      </c>
      <c r="W9" s="623" t="s">
        <v>312</v>
      </c>
      <c r="X9" s="623" t="s">
        <v>312</v>
      </c>
      <c r="Y9" s="623"/>
      <c r="Z9" s="623" t="s">
        <v>220</v>
      </c>
    </row>
    <row r="10" spans="2:26" ht="3.95" customHeight="1">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spans="2:26" ht="3.95" customHeight="1">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2:26" s="571" customFormat="1" ht="15" customHeight="1">
      <c r="B12" s="375" t="s">
        <v>320</v>
      </c>
      <c r="C12" s="32"/>
      <c r="D12" s="32"/>
      <c r="E12" s="32"/>
      <c r="F12" s="32"/>
      <c r="G12" s="32"/>
      <c r="H12" s="32"/>
      <c r="I12" s="32"/>
      <c r="J12" s="32"/>
      <c r="K12" s="32"/>
      <c r="L12" s="32"/>
      <c r="M12" s="32"/>
      <c r="N12" s="32"/>
      <c r="O12" s="32"/>
      <c r="P12" s="32"/>
      <c r="Q12" s="32"/>
      <c r="R12" s="32"/>
      <c r="S12" s="32"/>
      <c r="T12" s="32"/>
      <c r="U12" s="32"/>
      <c r="V12" s="32"/>
      <c r="W12" s="32"/>
      <c r="X12" s="32"/>
      <c r="Y12" s="32"/>
      <c r="Z12" s="32"/>
    </row>
    <row r="13" spans="2:26" ht="3.95" customHeight="1">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spans="2:26" ht="3.95" customHeight="1">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2:26" ht="15" customHeight="1">
      <c r="B15" s="23" t="str">
        <f>+Inputs!B21</f>
        <v>NORDSON CORP</v>
      </c>
      <c r="C15" s="23" t="str">
        <f>+_xll.BDP(Inputs!E21,"TICKER_AND_EXCH_CODE")</f>
        <v>NDSN US</v>
      </c>
      <c r="D15" s="624" t="str">
        <f>CONCATENATE(_xll.BDP(Inputs!E21,"CRNCY")," ",_xll.BDP(Inputs!E21,"PX_YEST_CLOSE"))</f>
        <v>USD 227</v>
      </c>
      <c r="E15" s="480">
        <f>_xll.BDP(Inputs!E21,"PX_YEST_CLOSE")/_xll.BDP(Inputs!E21,"HIGH_52WEEK")</f>
        <v>0.85063329086412343</v>
      </c>
      <c r="F15" s="625">
        <f>_xll.BDP(Inputs!$E21, "CUR_MKT_CAP", "SCALING_FORMAT=" &amp; Inputs!$R$18)</f>
        <v>12743053.520399999</v>
      </c>
      <c r="G15" s="625">
        <f>_xll.BDP(Inputs!$E21, "ENTERPRISE_VALUE", "SCALING_FORMAT=" &amp; Inputs!$R$18)</f>
        <v>14162690.98</v>
      </c>
      <c r="H15" s="23"/>
      <c r="I15" s="626" cm="1">
        <f t="array" ref="I15">G15/_xll.BQL(Inputs!$E21, "sales_rev_turn(fpt = ltm, fa_adjusted = y, fs = mr)/1"&amp;IF(Inputs!$R$18="BLN","b",IF(Inputs!$R$18="MLN","m","k")))</f>
        <v>5.0865358401550953</v>
      </c>
      <c r="J15" s="626" cm="1">
        <f t="array" ref="J15">G15/_xll.BQL(Inputs!$E21, "sales_rev_turn(fpr = 2025, fpt = a, ae = e, fa_adjusted = y, fs = mr)/1"&amp;IF(Inputs!$R$18="BLN","b",IF(Inputs!$R$18="MLN","m","k")))</f>
        <v>5.0503971465620641</v>
      </c>
      <c r="K15" s="627">
        <f>G15/_xll.BQL(Inputs!$E21, "sales_rev_turn(fpr = 2026, fpt = a, ae = e, fa_adjusted = y, fs = mr)/1"&amp;IF(Inputs!$R$18="BLN","b",IF(Inputs!$R$18="MLN","m","k")))</f>
        <v>4.8326333337469372</v>
      </c>
      <c r="L15" s="626">
        <f>G15/_xll.BQL(Inputs!$E21, "ebitda(fpt = ltm, fa_adjusted = y, fs = mr)/1"&amp;IF(Inputs!$R$18="BLN","b",IF(Inputs!$R$18="MLN","m","k")))</f>
        <v>16.126715250172794</v>
      </c>
      <c r="M15" s="626">
        <f>G15/_xll.BQL(Inputs!$E21, "ebitda(fpr = 2025, fpt = a, ae = e, fa_adjusted = y, fs = mr)/1"&amp;IF(Inputs!$R$18="BLN","b",IF(Inputs!$R$18="MLN","m","k")))</f>
        <v>15.808339078022101</v>
      </c>
      <c r="N15" s="627" cm="1">
        <f t="array" ref="N15">G15/_xll.BQL(Inputs!$E21,"EBITDA(fpr = 2026, fpt = a, ae = e, fa_adjusted = y, fs = mr)/1"&amp;IF(Inputs!$R$18="BLN","b",IF(Inputs!$R$18="MLN","m","k")))</f>
        <v>15.042688242166756</v>
      </c>
      <c r="O15" s="626">
        <f>G15/_xll.BQL(Inputs!$E21, "is_oper_inc(fpt = ltm, fa_adjusted = y, fs = mr)/1"&amp;IF(Inputs!$R$18="BLN","b",IF(Inputs!$R$18="MLN","m","k")))</f>
        <v>19.421432168177393</v>
      </c>
      <c r="P15" s="626">
        <f>G15/_xll.BQL(Inputs!$E21, "is_oper_inc(fpr = 2025, fpt = a, ae = e, fa_adjusted = y, fs = mr)/1"&amp;IF(Inputs!$R$18="BLN","b",IF(Inputs!$R$18="MLN","m","k")))</f>
        <v>19.149122471606276</v>
      </c>
      <c r="Q15" s="627">
        <f>G15/_xll.BQL(Inputs!$E21, "is_oper_inc(fpr = 2026, fpt = a, ae = e, fa_adjusted = y, fs = mr)/1"&amp;IF(Inputs!$R$18="BLN","b",IF(Inputs!$R$18="MLN","m","k")))</f>
        <v>17.74369029384966</v>
      </c>
      <c r="R15" s="23"/>
      <c r="S15" s="488">
        <f>_xll.BQL(Inputs!$E21, "ebitda(fpt = ltm, fa_adjusted = y, fs = mr)/1"&amp;IF(Inputs!$R$18="BLN","b",IF(Inputs!$R$18="MLN","m","k")))/_xll.BQL(Inputs!$E21, "sales_rev_turn(fpt = ltm, fa_adjusted = y, fs = mr)/1"&amp;IF(Inputs!$R$18="BLN","b",IF(Inputs!$R$18="MLN","m","k")))</f>
        <v>0.31541053222853888</v>
      </c>
      <c r="T15" s="626">
        <f>_xll.BDP(Inputs!$E21,"TOT_DEBT_TO_EBITDA")</f>
        <v>2.6908882289580403</v>
      </c>
      <c r="U15" s="628"/>
      <c r="V15" s="626">
        <f>F15/_xll.BQL(Inputs!$E21, "earn_for_common(fpt = ltm, fa_adjusted = y, fs = mr)/1"&amp;IF(Inputs!$R$18="BLN","b",IF(Inputs!$R$18="MLN","m","k")))</f>
        <v>25.632215462200254</v>
      </c>
      <c r="W15" s="626">
        <f>F15/_xll.BQL(Inputs!$E21, "EARN_FOR_COMMON(fpr = 2025, fpt = a, ae = e, fa_adjusted = y, fs = mr)/1"&amp;IF(Inputs!$R$18="BLN","b",IF(Inputs!$R$18="MLN","m","k")))</f>
        <v>22.385689100395254</v>
      </c>
      <c r="X15" s="626">
        <f>F15/_xll.BQL(Inputs!$E21, "EARN_FOR_COMMON(fpr = 2026, fpt = a, ae = e, fa_adjusted = y, fs = mr)/1"&amp;IF(Inputs!$R$18="BLN","b",IF(Inputs!$R$18="MLN","m","k")))</f>
        <v>20.628172432861188</v>
      </c>
      <c r="Y15" s="628"/>
      <c r="Z15" s="488">
        <f>(_xll.BQL(Inputs!$E21, "EARN_FOR_COMMON(fpr = 2028, fpt = a, ae = e, fa_adjusted = y, fs = mr)")/_xll.BQL(Inputs!$E21, "EARN_FOR_COMMON(fpr = 2025, fpt = a, ae = e, fa_adjusted = y, fs = mr)"))^(1/3)-1</f>
        <v>8.4951831269079126E-2</v>
      </c>
    </row>
    <row r="16" spans="2:26" ht="15" customHeight="1">
      <c r="B16" s="23" t="str">
        <f>+Inputs!B22</f>
        <v>STANLEY BLACK &amp;</v>
      </c>
      <c r="C16" s="23" t="s">
        <v>321</v>
      </c>
      <c r="D16" s="624" t="s">
        <v>322</v>
      </c>
      <c r="E16" s="480">
        <v>0.69146825396825407</v>
      </c>
      <c r="F16" s="625">
        <f>_xll.BDP(Inputs!$E22, "CUR_MKT_CAP", "SCALING_FORMAT=" &amp; Inputs!$R$18)</f>
        <v>11361750.9298</v>
      </c>
      <c r="G16" s="625">
        <f>_xll.BDP(Inputs!$E22, "ENTERPRISE_VALUE", "SCALING_FORMAT=" &amp; Inputs!$R$18)</f>
        <v>17300577.72515</v>
      </c>
      <c r="H16" s="23"/>
      <c r="I16" s="626" cm="1">
        <f t="array" ref="I16">G16/_xll.BQL(Inputs!$E22, "sales_rev_turn(fpt = ltm, fa_adjusted = y, fs = mr)/1"&amp;IF(Inputs!$R$18="BLN","b",IF(Inputs!$R$18="MLN","m","k")))</f>
        <v>1.141078627925153</v>
      </c>
      <c r="J16" s="626">
        <f>G16/_xll.BQL(Inputs!$E22, "sales_rev_turn(fpr = 2025, fpt = a, ae = e, fa_adjusted = y, fs = mr)/1"&amp;IF(Inputs!$R$18="BLN","b",IF(Inputs!$R$18="MLN","m","k")))</f>
        <v>1.1330178127908856</v>
      </c>
      <c r="K16" s="627">
        <f>G16/_xll.BQL(Inputs!$E22, "sales_rev_turn(fpr = 2026, fpt = a, ae = e, fa_adjusted = y, fs = mr)/1"&amp;IF(Inputs!$R$18="BLN","b",IF(Inputs!$R$18="MLN","m","k")))</f>
        <v>1.0890227066335845</v>
      </c>
      <c r="L16" s="626">
        <f>G16/_xll.BQL(Inputs!$E22, "ebitda(fpt = ltm, fa_adjusted = y, fs = mr)/1"&amp;IF(Inputs!$R$18="BLN","b",IF(Inputs!$R$18="MLN","m","k")))</f>
        <v>11.48014447587923</v>
      </c>
      <c r="M16" s="626" cm="1">
        <f t="array" ref="M16">G16/_xll.BQL(Inputs!$E22, "ebitda(fpr = 2025, fpt = a, ae = e, fa_adjusted = y, fs = mr)/1"&amp;IF(Inputs!$R$18="BLN","b",IF(Inputs!$R$18="MLN","m","k")))</f>
        <v>10.344760658425018</v>
      </c>
      <c r="N16" s="627">
        <f>G16/_xll.BQL(Inputs!$E22, "ebitda(fpr = 2026, fpt = a, ae = e, fa_adjusted = y, fs = mr)/1"&amp;IF(Inputs!$R$18="BLN","b",IF(Inputs!$R$18="MLN","m","k")))</f>
        <v>9.0514626163944971</v>
      </c>
      <c r="O16" s="626">
        <f>G16/_xll.BQL(Inputs!$E22, "is_oper_inc(fpt = ltm, fa_adjusted = y, fs = mr)/1"&amp;IF(Inputs!$R$18="BLN","b",IF(Inputs!$R$18="MLN","m","k")))</f>
        <v>18.130976446394886</v>
      </c>
      <c r="P16" s="626">
        <f>G16/_xll.BQL(Inputs!$E22, "is_oper_inc(fpr = 2025, fpt = a, ae = e, fa_adjusted = y, fs = mr)/1"&amp;IF(Inputs!$R$18="BLN","b",IF(Inputs!$R$18="MLN","m","k")))</f>
        <v>12.179216983562126</v>
      </c>
      <c r="Q16" s="627">
        <f>G16/_xll.BQL(Inputs!$E22, "is_oper_inc(fpr = 2026, fpt = a, ae = e, fa_adjusted = y, fs = mr)/1"&amp;IF(Inputs!$R$18="BLN","b",IF(Inputs!$R$18="MLN","m","k")))</f>
        <v>10.404276470973238</v>
      </c>
      <c r="R16" s="23"/>
      <c r="S16" s="488">
        <f>_xll.BQL(Inputs!$E22, "ebitda(fpt = ltm, fa_adjusted = y, fs = mr)/1"&amp;IF(Inputs!$R$18="BLN","b",IF(Inputs!$R$18="MLN","m","k")))/_xll.BQL(Inputs!$E22, "sales_rev_turn(fpt = ltm, fa_adjusted = y, fs = mr)/1"&amp;IF(Inputs!$R$18="BLN","b",IF(Inputs!$R$18="MLN","m","k")))</f>
        <v>9.9395842127479955E-2</v>
      </c>
      <c r="T16" s="626">
        <f>_xll.BDP(Inputs!$E22,"TOT_DEBT_TO_EBITDA")</f>
        <v>5.7953107252961216</v>
      </c>
      <c r="U16" s="628"/>
      <c r="V16" s="626">
        <f>F16/_xll.BQL(Inputs!$E22, "earn_for_common(fpt = ltm, fa_adjusted = y, fs = mr)/1"&amp;IF(Inputs!$R$18="BLN","b",IF(Inputs!$R$18="MLN","m","k")))</f>
        <v>15.420400284744842</v>
      </c>
      <c r="W16" s="626">
        <f>F16/_xll.BQL(Inputs!$E22, "EARN_FOR_COMMON(fpr = 2025, fpt = a, ae = e, fa_adjusted = y, fs = mr)/1"&amp;IF(Inputs!$R$18="BLN","b",IF(Inputs!$R$18="MLN","m","k")))</f>
        <v>16.189772317272265</v>
      </c>
      <c r="X16" s="626">
        <f>F16/_xll.BQL(Inputs!$E22, "EARN_FOR_COMMON(fpr = 2026, fpt = a, ae = e, fa_adjusted = y, fs = mr)/1"&amp;IF(Inputs!$R$18="BLN","b",IF(Inputs!$R$18="MLN","m","k")))</f>
        <v>12.837169625414282</v>
      </c>
      <c r="Y16" s="628"/>
      <c r="Z16" s="488">
        <f>(_xll.BQL(Inputs!$E22, "EARN_FOR_COMMON(fpr = 2028, fpt = a, ae = e, fa_adjusted = y, fs = mr)")/_xll.BQL(Inputs!$E22, "EARN_FOR_COMMON(fpr = 2025, fpt = a, ae = e, fa_adjusted = y, fs = mr)"))^(1/3)-1</f>
        <v>0.14970241991277078</v>
      </c>
    </row>
    <row r="17" spans="2:26" ht="15" customHeight="1">
      <c r="B17" s="23" t="str">
        <f>+Inputs!B23</f>
        <v>HILLENBRAND INC</v>
      </c>
      <c r="C17" s="23" t="s">
        <v>323</v>
      </c>
      <c r="D17" s="624" t="s">
        <v>324</v>
      </c>
      <c r="E17" s="480">
        <v>0.69176735037932002</v>
      </c>
      <c r="F17" s="625">
        <f>_xll.BDP(Inputs!$E23, "CUR_MKT_CAP", "SCALING_FORMAT=" &amp; Inputs!$R$18)</f>
        <v>1848744.0928100001</v>
      </c>
      <c r="G17" s="625">
        <f>_xll.BDP(Inputs!$E23, "ENTERPRISE_VALUE", "SCALING_FORMAT=" &amp; Inputs!$R$18)</f>
        <v>3059528.0000000005</v>
      </c>
      <c r="H17" s="23"/>
      <c r="I17" s="626" cm="1">
        <f t="array" ref="I17">G17/_xll.BQL(Inputs!$E23, "sales_rev_turn(fpt = ltm, fa_adjusted = y, fs = mr)/1"&amp;IF(Inputs!$R$18="BLN","b",IF(Inputs!$R$18="MLN","m","k")))</f>
        <v>1.0700269296681006</v>
      </c>
      <c r="J17" s="626">
        <f>G17/_xll.BQL(Inputs!$E23, "sales_rev_turn(fpr = 2025, fpt = a, ae = e, fa_adjusted = y, fs = mr)/1"&amp;IF(Inputs!$R$18="BLN","b",IF(Inputs!$R$18="MLN","m","k")))</f>
        <v>1.1705511238641799</v>
      </c>
      <c r="K17" s="627">
        <f>G17/_xll.BQL(Inputs!$E23, "sales_rev_turn(fpr = 2026, fpt = a, ae = e, fa_adjusted = y, fs = mr)/1"&amp;IF(Inputs!$R$18="BLN","b",IF(Inputs!$R$18="MLN","m","k")))</f>
        <v>1.2758665554628859</v>
      </c>
      <c r="L17" s="626">
        <f>G17/_xll.BQL(Inputs!$E23, "ebitda(fpt = ltm, fa_adjusted = y, fs = mr)/1"&amp;IF(Inputs!$R$18="BLN","b",IF(Inputs!$R$18="MLN","m","k")))</f>
        <v>5.5416192718710384</v>
      </c>
      <c r="M17" s="626">
        <f>G17/_xll.BQL(Inputs!$E23, "ebitda(fpr = 2025, fpt = a, ae = e, fa_adjusted = y, fs = mr)/1"&amp;IF(Inputs!$R$18="BLN","b",IF(Inputs!$R$18="MLN","m","k")))</f>
        <v>8.1316358803986724</v>
      </c>
      <c r="N17" s="627">
        <f>G17/_xll.BQL(Inputs!$E23, "ebitda(fpr = 2026, fpt = a, ae = e, fa_adjusted = y, fs = mr)/1"&amp;IF(Inputs!$R$18="BLN","b",IF(Inputs!$R$18="MLN","m","k")))</f>
        <v>8.1641841227484999</v>
      </c>
      <c r="O17" s="626">
        <f>G17/_xll.BQL(Inputs!$E23, "is_oper_inc(fpt = ltm, fa_adjusted = y, fs = mr)/1"&amp;IF(Inputs!$R$18="BLN","b",IF(Inputs!$R$18="MLN","m","k")))</f>
        <v>8.8656273543900337</v>
      </c>
      <c r="P17" s="626">
        <f>G17/_xll.BQL(Inputs!$E23, "is_oper_inc(fpr = 2025, fpt = a, ae = e, fa_adjusted = y, fs = mr)/1"&amp;IF(Inputs!$R$18="BLN","b",IF(Inputs!$R$18="MLN","m","k")))</f>
        <v>8.9722228739002947</v>
      </c>
      <c r="Q17" s="627">
        <f>G17/_xll.BQL(Inputs!$E23, "is_oper_inc(fpr = 2026, fpt = a, ae = e, fa_adjusted = y, fs = mr)/1"&amp;IF(Inputs!$R$18="BLN","b",IF(Inputs!$R$18="MLN","m","k")))</f>
        <v>10.130887417218545</v>
      </c>
      <c r="R17" s="23"/>
      <c r="S17" s="488">
        <f>_xll.BQL(Inputs!$E23, "ebitda(fpt = ltm, fa_adjusted = y, fs = mr)/1"&amp;IF(Inputs!$R$18="BLN","b",IF(Inputs!$R$18="MLN","m","k")))/_xll.BQL(Inputs!$E23, "sales_rev_turn(fpt = ltm, fa_adjusted = y, fs = mr)/1"&amp;IF(Inputs!$R$18="BLN","b",IF(Inputs!$R$18="MLN","m","k")))</f>
        <v>0.19308921764068129</v>
      </c>
      <c r="T17" s="626">
        <f>_xll.BDP(Inputs!$E23,"TOT_DEBT_TO_EBITDA")</f>
        <v>4.8916161059018197</v>
      </c>
      <c r="U17" s="628"/>
      <c r="V17" s="626">
        <f>F17/_xll.BQL(Inputs!$E23, "earn_for_common(fpt = ltm, fa_adjusted = y, fs = mr)/1"&amp;IF(Inputs!$R$18="BLN","b",IF(Inputs!$R$18="MLN","m","k")))</f>
        <v>14.313848110731012</v>
      </c>
      <c r="W17" s="626">
        <f>F17/_xll.BQL(Inputs!$E23, "EARN_FOR_COMMON(fpr = 2025, fpt = a, ae = e, fa_adjusted = y, fs = mr)/1"&amp;IF(Inputs!$R$18="BLN","b",IF(Inputs!$R$18="MLN","m","k")))</f>
        <v>11.59087205523511</v>
      </c>
      <c r="X17" s="626">
        <f>F17/_xll.BQL(Inputs!$E23, "EARN_FOR_COMMON(fpr = 2026, fpt = a, ae = e, fa_adjusted = y, fs = mr)/1"&amp;IF(Inputs!$R$18="BLN","b",IF(Inputs!$R$18="MLN","m","k")))</f>
        <v>11.59087205523511</v>
      </c>
      <c r="Y17" s="628"/>
      <c r="Z17" s="488" t="e">
        <f>(_xll.BQL(Inputs!$E23, "EARN_FOR_COMMON(fpr = 2028, fpt = a, ae = e, fa_adjusted = y, fs = mr)")/_xll.BQL(Inputs!$E23, "EARN_FOR_COMMON(fpr = 2025, fpt = a, ae = e, fa_adjusted = y, fs = mr)"))^(1/3)-1</f>
        <v>#VALUE!</v>
      </c>
    </row>
    <row r="18" spans="2:26" ht="15" customHeight="1">
      <c r="B18" s="23" t="str">
        <f>+Inputs!B24</f>
        <v>TENNANT CO</v>
      </c>
      <c r="C18" s="23" t="s">
        <v>325</v>
      </c>
      <c r="D18" s="624" t="s">
        <v>326</v>
      </c>
      <c r="E18" s="480">
        <v>0.81871701177425904</v>
      </c>
      <c r="F18" s="625">
        <f>_xll.BDP(Inputs!$E24, "CUR_MKT_CAP", "SCALING_FORMAT=" &amp; Inputs!$R$18)</f>
        <v>1475960.4440349999</v>
      </c>
      <c r="G18" s="625">
        <f>_xll.BDP(Inputs!$E24, "ENTERPRISE_VALUE", "SCALING_FORMAT=" &amp; Inputs!$R$18)</f>
        <v>1605484.6184800004</v>
      </c>
      <c r="H18" s="23"/>
      <c r="I18" s="626" cm="1">
        <f t="array" ref="I18">G18/_xll.BQL(Inputs!$E24, "sales_rev_turn(fpt = ltm, fa_adjusted = y, fs = mr)/1"&amp;IF(Inputs!$R$18="BLN","b",IF(Inputs!$R$18="MLN","m","k")))</f>
        <v>1.2810058393680686</v>
      </c>
      <c r="J18" s="626">
        <f>G18/_xll.BQL(Inputs!$E24, "sales_rev_turn(fpr = 2025, fpt = a, ae = e, fa_adjusted = y, fs = mr)/1"&amp;IF(Inputs!$R$18="BLN","b",IF(Inputs!$R$18="MLN","m","k")))</f>
        <v>1.3003385138876893</v>
      </c>
      <c r="K18" s="627">
        <f>G18/_xll.BQL(Inputs!$E24, "sales_rev_turn(fpr = 2026, fpt = a, ae = e, fa_adjusted = y, fs = mr)/1"&amp;IF(Inputs!$R$18="BLN","b",IF(Inputs!$R$18="MLN","m","k")))</f>
        <v>1.2286872080204083</v>
      </c>
      <c r="L18" s="626">
        <f>G18/_xll.BQL(Inputs!$E24, "ebitda(fpt = ltm, fa_adjusted = y, fs = mr)/1"&amp;IF(Inputs!$R$18="BLN","b",IF(Inputs!$R$18="MLN","m","k")))</f>
        <v>8.5900728650615328</v>
      </c>
      <c r="M18" s="626">
        <f>G18/_xll.BQL(Inputs!$E24, "ebitda(fpr = 2025, fpt = a, ae = e, fa_adjusted = y, fs = mr)/1"&amp;IF(Inputs!$R$18="BLN","b",IF(Inputs!$R$18="MLN","m","k")))</f>
        <v>8.1496681141116767</v>
      </c>
      <c r="N18" s="627">
        <f>G18/_xll.BQL(Inputs!$E24, "ebitda(fpr = 2026, fpt = a, ae = e, fa_adjusted = y, fs = mr)/1"&amp;IF(Inputs!$R$18="BLN","b",IF(Inputs!$R$18="MLN","m","k")))</f>
        <v>7.4673703185116302</v>
      </c>
      <c r="O18" s="626">
        <f>G18/_xll.BQL(Inputs!$E24, "is_oper_inc(fpt = ltm, fa_adjusted = y, fs = mr)/1"&amp;IF(Inputs!$R$18="BLN","b",IF(Inputs!$R$18="MLN","m","k")))</f>
        <v>12.311998607975463</v>
      </c>
      <c r="P18" s="626">
        <f>G18/_xll.BQL(Inputs!$E24, "is_oper_inc(fpr = 2025, fpt = a, ae = e, fa_adjusted = y, fs = mr)/1"&amp;IF(Inputs!$R$18="BLN","b",IF(Inputs!$R$18="MLN","m","k")))</f>
        <v>14.207828482123897</v>
      </c>
      <c r="Q18" s="627">
        <f>G18/_xll.BQL(Inputs!$E24, "is_oper_inc(fpr = 2026, fpt = a, ae = e, fa_adjusted = y, fs = mr)/1"&amp;IF(Inputs!$R$18="BLN","b",IF(Inputs!$R$18="MLN","m","k")))</f>
        <v>11.49511660009547</v>
      </c>
      <c r="R18" s="23"/>
      <c r="S18" s="488">
        <f>_xll.BQL(Inputs!$E24, "ebitda(fpt = ltm, fa_adjusted = y, fs = mr)/1"&amp;IF(Inputs!$R$18="BLN","b",IF(Inputs!$R$18="MLN","m","k")))/_xll.BQL(Inputs!$E24, "sales_rev_turn(fpt = ltm, fa_adjusted = y, fs = mr)/1"&amp;IF(Inputs!$R$18="BLN","b",IF(Inputs!$R$18="MLN","m","k")))</f>
        <v>0.14912630655070613</v>
      </c>
      <c r="T18" s="626">
        <f>_xll.BDP(Inputs!$E24,"TOT_DEBT_TO_EBITDA")</f>
        <v>1.7108350586611456</v>
      </c>
      <c r="U18" s="628"/>
      <c r="V18" s="626">
        <f>F18/_xll.BQL(Inputs!$E24, "earn_for_common(fpt = ltm, fa_adjusted = y, fs = mr)/1"&amp;IF(Inputs!$R$18="BLN","b",IF(Inputs!$R$18="MLN","m","k")))</f>
        <v>15.979076931712818</v>
      </c>
      <c r="W18" s="626">
        <f>F18/_xll.BQL(Inputs!$E24, "EARN_FOR_COMMON(fpr = 2025, fpt = a, ae = e, fa_adjusted = y, fs = mr)/1"&amp;IF(Inputs!$R$18="BLN","b",IF(Inputs!$R$18="MLN","m","k")))</f>
        <v>14.908691353888889</v>
      </c>
      <c r="X18" s="626">
        <f>F18/_xll.BQL(Inputs!$E24, "EARN_FOR_COMMON(fpr = 2026, fpt = a, ae = e, fa_adjusted = y, fs = mr)/1"&amp;IF(Inputs!$R$18="BLN","b",IF(Inputs!$R$18="MLN","m","k")))</f>
        <v>13.023180388544118</v>
      </c>
      <c r="Y18" s="628"/>
      <c r="Z18" s="488">
        <f>(_xll.BQL(Inputs!$E24, "EARN_FOR_COMMON(fpr = 2028, fpt = a, ae = e, fa_adjusted = y, fs = mr)")/_xll.BQL(Inputs!$E24, "EARN_FOR_COMMON(fpr = 2025, fpt = a, ae = e, fa_adjusted = y, fs = mr)"))^(1/3)-1</f>
        <v>0.14342804569205225</v>
      </c>
    </row>
    <row r="19" spans="2:26" ht="15" customHeight="1">
      <c r="B19" s="23" t="str">
        <f>+Inputs!B25</f>
        <v>KADANT INC</v>
      </c>
      <c r="C19" s="23" t="s">
        <v>327</v>
      </c>
      <c r="D19" s="624" t="s">
        <v>328</v>
      </c>
      <c r="E19" s="480">
        <v>0.71043144551692061</v>
      </c>
      <c r="F19" s="625">
        <f>_xll.BDP(Inputs!$E25, "CUR_MKT_CAP", "SCALING_FORMAT=" &amp; Inputs!$R$18)</f>
        <v>3514513.92747</v>
      </c>
      <c r="G19" s="625">
        <f>_xll.BDP(Inputs!$E25, "ENTERPRISE_VALUE", "SCALING_FORMAT=" &amp; Inputs!$R$18)</f>
        <v>3857415.9448899995</v>
      </c>
      <c r="H19" s="23"/>
      <c r="I19" s="626" cm="1">
        <f t="array" ref="I19">G19/_xll.BQL(Inputs!$E25, "sales_rev_turn(fpt = ltm, fa_adjusted = y, fs = mr)/1"&amp;IF(Inputs!$R$18="BLN","b",IF(Inputs!$R$18="MLN","m","k")))</f>
        <v>3.766562686332962</v>
      </c>
      <c r="J19" s="626">
        <f>G19/_xll.BQL(Inputs!$E25, "sales_rev_turn(fpr = 2025, fpt = a, ae = e, fa_adjusted = y, fs = mr)/1"&amp;IF(Inputs!$R$18="BLN","b",IF(Inputs!$R$18="MLN","m","k")))</f>
        <v>3.7477929996502302</v>
      </c>
      <c r="K19" s="627">
        <f>G19/_xll.BQL(Inputs!$E25, "sales_rev_turn(fpr = 2026, fpt = a, ae = e, fa_adjusted = y, fs = mr)/1"&amp;IF(Inputs!$R$18="BLN","b",IF(Inputs!$R$18="MLN","m","k")))</f>
        <v>3.56755231897341</v>
      </c>
      <c r="L19" s="626">
        <f>G19/_xll.BQL(Inputs!$E25, "ebitda(fpt = ltm, fa_adjusted = y, fs = mr)/1"&amp;IF(Inputs!$R$18="BLN","b",IF(Inputs!$R$18="MLN","m","k")))</f>
        <v>18.106023792467351</v>
      </c>
      <c r="M19" s="626">
        <f>G19/_xll.BQL(Inputs!$E25, "ebitda(fpr = 2025, fpt = a, ae = e, fa_adjusted = y, fs = mr)/1"&amp;IF(Inputs!$R$18="BLN","b",IF(Inputs!$R$18="MLN","m","k")))</f>
        <v>18.567585775643799</v>
      </c>
      <c r="N19" s="627">
        <f>G19/_xll.BQL(Inputs!$E25, "ebitda(fpr = 2026, fpt = a, ae = e, fa_adjusted = y, fs = mr)/1"&amp;IF(Inputs!$R$18="BLN","b",IF(Inputs!$R$18="MLN","m","k")))</f>
        <v>16.955674483032965</v>
      </c>
      <c r="O19" s="626">
        <f>G19/_xll.BQL(Inputs!$E25, "is_oper_inc(fpt = ltm, fa_adjusted = y, fs = mr)/1"&amp;IF(Inputs!$R$18="BLN","b",IF(Inputs!$R$18="MLN","m","k")))</f>
        <v>23.649603909642135</v>
      </c>
      <c r="P19" s="626">
        <f>G19/_xll.BQL(Inputs!$E25, "is_oper_inc(fpr = 2025, fpt = a, ae = e, fa_adjusted = y, fs = mr)/1"&amp;IF(Inputs!$R$18="BLN","b",IF(Inputs!$R$18="MLN","m","k")))</f>
        <v>24.298683117417319</v>
      </c>
      <c r="Q19" s="627">
        <f>G19/_xll.BQL(Inputs!$E25, "is_oper_inc(fpr = 2026, fpt = a, ae = e, fa_adjusted = y, fs = mr)/1"&amp;IF(Inputs!$R$18="BLN","b",IF(Inputs!$R$18="MLN","m","k")))</f>
        <v>21.701355526807312</v>
      </c>
      <c r="R19" s="23"/>
      <c r="S19" s="488">
        <f>_xll.BQL(Inputs!$E25, "ebitda(fpt = ltm, fa_adjusted = y, fs = mr)/1"&amp;IF(Inputs!$R$18="BLN","b",IF(Inputs!$R$18="MLN","m","k")))/_xll.BQL(Inputs!$E25, "sales_rev_turn(fpt = ltm, fa_adjusted = y, fs = mr)/1"&amp;IF(Inputs!$R$18="BLN","b",IF(Inputs!$R$18="MLN","m","k")))</f>
        <v>0.20802815292333621</v>
      </c>
      <c r="T19" s="626">
        <f>_xll.BDP(Inputs!$E25,"TOT_DEBT_TO_EBITDA")</f>
        <v>1.1807035185413564</v>
      </c>
      <c r="U19" s="628"/>
      <c r="V19" s="626">
        <f>F19/_xll.BQL(Inputs!$E25, "earn_for_common(fpt = ltm, fa_adjusted = y, fs = mr)/1"&amp;IF(Inputs!$R$18="BLN","b",IF(Inputs!$R$18="MLN","m","k")))</f>
        <v>32.645120453654378</v>
      </c>
      <c r="W19" s="626">
        <f>F19/_xll.BQL(Inputs!$E25, "EARN_FOR_COMMON(fpr = 2025, fpt = a, ae = e, fa_adjusted = y, fs = mr)/1"&amp;IF(Inputs!$R$18="BLN","b",IF(Inputs!$R$18="MLN","m","k")))</f>
        <v>32.617298630812066</v>
      </c>
      <c r="X19" s="626">
        <f>F19/_xll.BQL(Inputs!$E25, "EARN_FOR_COMMON(fpr = 2026, fpt = a, ae = e, fa_adjusted = y, fs = mr)/1"&amp;IF(Inputs!$R$18="BLN","b",IF(Inputs!$R$18="MLN","m","k")))</f>
        <v>28.515325983529412</v>
      </c>
      <c r="Y19" s="628"/>
      <c r="Z19" s="488" t="e">
        <f>(_xll.BQL(Inputs!$E25, "EARN_FOR_COMMON(fpr = 2028, fpt = a, ae = e, fa_adjusted = y, fs = mr)")/_xll.BQL(Inputs!$E25, "EARN_FOR_COMMON(fpr = 2025, fpt = a, ae = e, fa_adjusted = y, fs = mr)"))^(1/3)-1</f>
        <v>#VALUE!</v>
      </c>
    </row>
    <row r="20" spans="2:26" ht="15" customHeight="1">
      <c r="B20" s="23"/>
      <c r="C20" s="23"/>
      <c r="D20" s="23"/>
      <c r="E20" s="23"/>
      <c r="F20" s="23"/>
      <c r="G20" s="23"/>
      <c r="H20" s="23"/>
      <c r="I20" s="23"/>
      <c r="J20" s="23"/>
      <c r="K20" s="628"/>
      <c r="L20" s="23"/>
      <c r="M20" s="23"/>
      <c r="N20" s="628"/>
      <c r="O20" s="23"/>
      <c r="P20" s="23"/>
      <c r="Q20" s="628"/>
      <c r="R20" s="23"/>
      <c r="S20" s="23"/>
      <c r="T20" s="23"/>
      <c r="U20" s="628"/>
      <c r="V20" s="23"/>
      <c r="W20" s="23"/>
      <c r="X20" s="23"/>
      <c r="Y20" s="628"/>
      <c r="Z20" s="23"/>
    </row>
    <row r="21" spans="2:26" ht="15" customHeight="1">
      <c r="B21" s="629" t="s">
        <v>329</v>
      </c>
      <c r="C21" s="630"/>
      <c r="D21" s="630"/>
      <c r="E21" s="630"/>
      <c r="F21" s="630"/>
      <c r="G21" s="630"/>
      <c r="H21" s="630"/>
      <c r="I21" s="631">
        <f>AVERAGE(I15:I19)</f>
        <v>2.4690419846898761</v>
      </c>
      <c r="J21" s="631">
        <f t="shared" ref="J21:Q21" si="0">AVERAGE(J15:J19)</f>
        <v>2.4804195193510097</v>
      </c>
      <c r="K21" s="632">
        <f t="shared" si="0"/>
        <v>2.3987524245674452</v>
      </c>
      <c r="L21" s="631">
        <f>AVERAGE(L15:L19)</f>
        <v>11.968915131090389</v>
      </c>
      <c r="M21" s="631">
        <f t="shared" si="0"/>
        <v>12.200397901320255</v>
      </c>
      <c r="N21" s="632">
        <f t="shared" si="0"/>
        <v>11.336275956570869</v>
      </c>
      <c r="O21" s="631">
        <f t="shared" si="0"/>
        <v>16.475927697315981</v>
      </c>
      <c r="P21" s="631">
        <f t="shared" si="0"/>
        <v>15.761414785721986</v>
      </c>
      <c r="Q21" s="632">
        <f t="shared" si="0"/>
        <v>14.295065261788846</v>
      </c>
      <c r="R21" s="630"/>
      <c r="S21" s="633">
        <f>AVERAGE(S15:S19)</f>
        <v>0.19301001029414849</v>
      </c>
      <c r="T21" s="631">
        <f>AVERAGE(T15:T19)</f>
        <v>3.2538707274716971</v>
      </c>
      <c r="U21" s="634"/>
      <c r="V21" s="631">
        <f t="shared" ref="V21:X21" si="1">AVERAGE(V15:V19)</f>
        <v>20.798132248608663</v>
      </c>
      <c r="W21" s="631">
        <f t="shared" si="1"/>
        <v>19.538464691520716</v>
      </c>
      <c r="X21" s="631">
        <f t="shared" si="1"/>
        <v>17.31894409711682</v>
      </c>
      <c r="Y21" s="634"/>
      <c r="Z21" s="633" t="e">
        <f>AVERAGE(Z15:Z19)</f>
        <v>#VALUE!</v>
      </c>
    </row>
    <row r="22" spans="2:26" ht="15" customHeight="1">
      <c r="B22" s="635" t="s">
        <v>330</v>
      </c>
      <c r="C22" s="636"/>
      <c r="D22" s="636"/>
      <c r="E22" s="636"/>
      <c r="F22" s="636"/>
      <c r="G22" s="636"/>
      <c r="H22" s="636"/>
      <c r="I22" s="637">
        <f>MEDIAN(I15:I19)</f>
        <v>1.2810058393680686</v>
      </c>
      <c r="J22" s="637">
        <f t="shared" ref="J22:T22" si="2">MEDIAN(J15:J19)</f>
        <v>1.3003385138876893</v>
      </c>
      <c r="K22" s="638">
        <f t="shared" si="2"/>
        <v>1.2758665554628859</v>
      </c>
      <c r="L22" s="637">
        <f>MEDIAN(L15:L19)</f>
        <v>11.48014447587923</v>
      </c>
      <c r="M22" s="637">
        <f t="shared" si="2"/>
        <v>10.344760658425018</v>
      </c>
      <c r="N22" s="638">
        <f t="shared" si="2"/>
        <v>9.0514626163944971</v>
      </c>
      <c r="O22" s="637">
        <f t="shared" si="2"/>
        <v>18.130976446394886</v>
      </c>
      <c r="P22" s="637">
        <f t="shared" si="2"/>
        <v>14.207828482123897</v>
      </c>
      <c r="Q22" s="638">
        <f t="shared" si="2"/>
        <v>11.49511660009547</v>
      </c>
      <c r="R22" s="636"/>
      <c r="S22" s="639">
        <f t="shared" si="2"/>
        <v>0.19308921764068129</v>
      </c>
      <c r="T22" s="637">
        <f t="shared" si="2"/>
        <v>2.6908882289580403</v>
      </c>
      <c r="U22" s="640"/>
      <c r="V22" s="637">
        <f t="shared" ref="V22:X22" si="3">MEDIAN(V15:V19)</f>
        <v>15.979076931712818</v>
      </c>
      <c r="W22" s="637">
        <f t="shared" si="3"/>
        <v>16.189772317272265</v>
      </c>
      <c r="X22" s="637">
        <f t="shared" si="3"/>
        <v>13.023180388544118</v>
      </c>
      <c r="Y22" s="640"/>
      <c r="Z22" s="639" t="e">
        <f>MEDIAN(Z15:Z19)</f>
        <v>#VALUE!</v>
      </c>
    </row>
    <row r="24" spans="2:26" s="571" customFormat="1" ht="15" customHeight="1">
      <c r="B24" s="375" t="s">
        <v>331</v>
      </c>
      <c r="C24" s="32"/>
      <c r="D24" s="32"/>
      <c r="E24" s="32"/>
      <c r="F24" s="32"/>
      <c r="G24" s="32"/>
      <c r="H24" s="32"/>
      <c r="I24" s="32"/>
      <c r="J24" s="32"/>
      <c r="K24" s="32"/>
      <c r="L24" s="32"/>
      <c r="M24" s="32"/>
      <c r="N24" s="32"/>
      <c r="O24" s="32"/>
      <c r="P24" s="32"/>
      <c r="Q24" s="32"/>
      <c r="R24" s="32"/>
      <c r="S24" s="32"/>
      <c r="T24" s="32"/>
      <c r="U24" s="32"/>
      <c r="V24" s="32"/>
      <c r="W24" s="32"/>
      <c r="X24" s="32"/>
      <c r="Y24" s="32"/>
      <c r="Z24" s="32"/>
    </row>
    <row r="25" spans="2:26" ht="3.95" customHeight="1">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spans="2:26" ht="3.95" customHeight="1">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2:26" ht="15" customHeight="1">
      <c r="B27" s="23" t="str">
        <f>+Inputs!H21</f>
        <v>JBT MAREL CORP</v>
      </c>
      <c r="C27" s="23" t="str">
        <f>+_xll.BDP(Inputs!K21,"TICKER_AND_EXCH_CODE")</f>
        <v>JBTM US</v>
      </c>
      <c r="D27" s="624" t="str">
        <f>CONCATENATE(_xll.BDP(Inputs!K21,"CRNCY")," ",_xll.BDP(Inputs!K21,"PX_YEST_CLOSE"))</f>
        <v>USD 137,35</v>
      </c>
      <c r="E27" s="480">
        <f>_xll.BDP(Inputs!K21,"PX_YEST_CLOSE")/_xll.BDP(Inputs!K21,"HIGH_52WEEK")</f>
        <v>0.92326824185796397</v>
      </c>
      <c r="F27" s="625">
        <f>_xll.BDP(Inputs!$K21, "CUR_MKT_CAP", "SCALING_FORMAT=" &amp; Inputs!$R$18)</f>
        <v>7123062.3386999993</v>
      </c>
      <c r="G27" s="625">
        <f>_xll.BDP(Inputs!$K21, "ENTERPRISE_VALUE", "SCALING_FORMAT=" &amp; Inputs!$R$18)</f>
        <v>8059605.3451800002</v>
      </c>
      <c r="H27" s="23"/>
      <c r="I27" s="626">
        <f>G27/_xll.BQL(Inputs!$K21, "sales_rev_turn(fpt = ltm, fa_adjusted = y, fs = mr)/1"&amp;IF(Inputs!$R$18="BLN","b",IF(Inputs!$R$18="MLN","m","k")))</f>
        <v>2.9736949212928461</v>
      </c>
      <c r="J27" s="626">
        <f>G27/_xll.BQL(Inputs!$K21, "sales_rev_turn(fpr = 2025, fpt = a, ae = e, fa_adjusted = y, fs = mr)/1"&amp;IF(Inputs!$R$18="BLN","b",IF(Inputs!$R$18="MLN","m","k")))</f>
        <v>2.1753320769716598</v>
      </c>
      <c r="K27" s="627">
        <f>G27/_xll.BQL(Inputs!$K21, "sales_rev_turn(fpr = 2026, fpt = a, ae = e, fa_adjusted = y, fs = mr)/1"&amp;IF(Inputs!$R$18="BLN","b",IF(Inputs!$R$18="MLN","m","k")))</f>
        <v>2.0757199302513651</v>
      </c>
      <c r="L27" s="626">
        <f>G27/_xll.BQL(Inputs!$K21, "ebitda(fpt = ltm, fa_adjusted = y, fs = mr)/1"&amp;IF(Inputs!$R$18="BLN","b",IF(Inputs!$R$18="MLN","m","k")))</f>
        <v>17.783771723698148</v>
      </c>
      <c r="M27" s="626">
        <f>G27/_xll.BQL(Inputs!$K21, "ebitda(fpr = 2025, fpt = a, ae = e, fa_adjusted = y, fs = mr)/1"&amp;IF(Inputs!$R$18="BLN","b",IF(Inputs!$R$18="MLN","m","k")))</f>
        <v>13.679669609923614</v>
      </c>
      <c r="N27" s="627">
        <f>G27/_xll.BQL(Inputs!$K21, "ebitda(fpr = 2026, fpt = a, ae = e, fa_adjusted = y, fs = mr)/1"&amp;IF(Inputs!$R$18="BLN","b",IF(Inputs!$R$18="MLN","m","k")))</f>
        <v>12.211523250272727</v>
      </c>
      <c r="O27" s="626">
        <f>G27/_xll.BQL(Inputs!$K21, "is_oper_inc(fpt = ltm, fa_adjusted = y, fs = mr)/1"&amp;IF(Inputs!$R$18="BLN","b",IF(Inputs!$R$18="MLN","m","k")))</f>
        <v>30.413605076150944</v>
      </c>
      <c r="P27" s="626">
        <f>G27/_xll.BQL(Inputs!$K21, "is_oper_inc(fpr = 2025, fpt = a, ae = e, fa_adjusted = y, fs = mr)/1"&amp;IF(Inputs!$R$18="BLN","b",IF(Inputs!$R$18="MLN","m","k")))</f>
        <v>17.752434681013217</v>
      </c>
      <c r="Q27" s="627">
        <f>G27/_xll.BQL(Inputs!$K21, "is_oper_inc(fpr = 2026, fpt = a, ae = e, fa_adjusted = y, fs = mr)/1"&amp;IF(Inputs!$R$18="BLN","b",IF(Inputs!$R$18="MLN","m","k")))</f>
        <v>14.795053410151446</v>
      </c>
      <c r="R27" s="23"/>
      <c r="S27" s="488">
        <f>_xll.BQL(Inputs!$K21, "ebitda(fpt = ltm, fa_adjusted = y, fs = mr)/1"&amp;IF(Inputs!$R$18="BLN","b",IF(Inputs!$R$18="MLN","m","k")))/_xll.BQL(Inputs!$K21, "sales_rev_turn(fpt = ltm, fa_adjusted = y, fs = mr)/1"&amp;IF(Inputs!$R$18="BLN","b",IF(Inputs!$R$18="MLN","m","k")))</f>
        <v>0.16721396155407151</v>
      </c>
      <c r="T27" s="626">
        <f>_xll.BDP(Inputs!$K21,"TOT_DEBT_TO_EBITDA")</f>
        <v>7.2318404215280383</v>
      </c>
      <c r="U27" s="628"/>
      <c r="V27" s="626">
        <f>F27/_xll.BQL(Inputs!$K21, "earn_for_common(fpt = ltm, fa_adjusted = y, fs = mr)/1"&amp;IF(Inputs!$R$18="BLN","b",IF(Inputs!$R$18="MLN","m","k")))</f>
        <v>-556.53320784271989</v>
      </c>
      <c r="W27" s="626">
        <f>F27/_xll.BQL(Inputs!$K21, "EARN_FOR_COMMON(fpr = 2025, fpt = a, ae = e, fa_adjusted = y, fs = mr)/1"&amp;IF(Inputs!$R$18="BLN","b",IF(Inputs!$R$18="MLN","m","k")))</f>
        <v>23.258979065142857</v>
      </c>
      <c r="X27" s="626">
        <f>F27/_xll.BQL(Inputs!$K21, "EARN_FOR_COMMON(fpr = 2026, fpt = a, ae = e, fa_adjusted = y, fs = mr)/1"&amp;IF(Inputs!$R$18="BLN","b",IF(Inputs!$R$18="MLN","m","k")))</f>
        <v>19.986145731481479</v>
      </c>
      <c r="Y27" s="628"/>
      <c r="Z27" s="488" t="e">
        <f>(_xll.BQL(Inputs!$K21, "EARN_FOR_COMMON(fpr = 2028, fpt = a, ae = e, fa_adjusted = y, fs = mr)")/_xll.BQL(Inputs!$K21, "EARN_FOR_COMMON(fpr = 2025, fpt = a, ae = e, fa_adjusted = y, fs = mr)"))^(1/3)-1</f>
        <v>#VALUE!</v>
      </c>
    </row>
    <row r="28" spans="2:26" ht="15" customHeight="1">
      <c r="B28" s="23" t="str">
        <f>+Inputs!H22</f>
        <v>MSA SAFETY INC</v>
      </c>
      <c r="C28" s="23" t="str">
        <f>+_xll.BDP(Inputs!K22,"TICKER_AND_EXCH_CODE")</f>
        <v>MSA US</v>
      </c>
      <c r="D28" s="624" t="str">
        <f>CONCATENATE(_xll.BDP(Inputs!K22,"CRNCY")," ",_xll.BDP(Inputs!K22,"PX_YEST_CLOSE"))</f>
        <v>USD 170,88</v>
      </c>
      <c r="E28" s="480">
        <f>_xll.BDP(Inputs!K22,"PX_YEST_CLOSE")/_xll.BDP(Inputs!K22,"HIGH_52WEEK")</f>
        <v>0.93451095130021056</v>
      </c>
      <c r="F28" s="625">
        <f>_xll.BDP(Inputs!$K22, "CUR_MKT_CAP", "SCALING_FORMAT=" &amp; Inputs!$R$18)</f>
        <v>6664720.3533000005</v>
      </c>
      <c r="G28" s="625">
        <f>_xll.BDP(Inputs!$K22, "ENTERPRISE_VALUE", "SCALING_FORMAT=" &amp; Inputs!$R$18)</f>
        <v>7140078.8038999997</v>
      </c>
      <c r="H28" s="23"/>
      <c r="I28" s="626">
        <f>G28/_xll.BQL(Inputs!$K22, "sales_rev_turn(fpt = ltm, fa_adjusted = y, fs = mr)/1"&amp;IF(Inputs!$R$18="BLN","b",IF(Inputs!$R$18="MLN","m","k")))</f>
        <v>3.9063123472027774</v>
      </c>
      <c r="J28" s="626">
        <f>G28/_xll.BQL(Inputs!$K22, "sales_rev_turn(fpt = ltm, fa_adjusted = y, fs = mr)/1"&amp;IF(Inputs!$R$18="BLN","b",IF(Inputs!$R$18="MLN","m","k")))</f>
        <v>3.9063123472027774</v>
      </c>
      <c r="K28" s="627">
        <f>G28/_xll.BQL(Inputs!$K22, "sales_rev_turn(fpr = 2026, fpt = a, ae = e, fa_adjusted = y, fs = mr)/1"&amp;IF(Inputs!$R$18="BLN","b",IF(Inputs!$R$18="MLN","m","k")))</f>
        <v>3.5955075806462444</v>
      </c>
      <c r="L28" s="626">
        <f>G28/_xll.BQL(Inputs!$K22, "ebitda(fpt = ltm, fa_adjusted = y, fs = mr)/1"&amp;IF(Inputs!$R$18="BLN","b",IF(Inputs!$R$18="MLN","m","k")))</f>
        <v>15.746989698186027</v>
      </c>
      <c r="M28" s="626">
        <f>G28/_xll.BQL(Inputs!$K22, "ebitda(fpr = 2025, fpt = a, ae = e, fa_adjusted = y, fs = mr)/1"&amp;IF(Inputs!$R$18="BLN","b",IF(Inputs!$R$18="MLN","m","k")))</f>
        <v>15.186271826798997</v>
      </c>
      <c r="N28" s="627">
        <f>G28/_xll.BQL(Inputs!$K22, "ebitda(fpr = 2026, fpt = a, ae = e, fa_adjusted = y, fs = mr)/1"&amp;IF(Inputs!$R$18="BLN","b",IF(Inputs!$R$18="MLN","m","k")))</f>
        <v>14.036852170183478</v>
      </c>
      <c r="O28" s="626">
        <f>G28/_xll.BQL(Inputs!$K22, "is_oper_inc(fpt = ltm, fa_adjusted = y, fs = mr)/1"&amp;IF(Inputs!$R$18="BLN","b",IF(Inputs!$R$18="MLN","m","k")))</f>
        <v>18.480999733141449</v>
      </c>
      <c r="P28" s="626">
        <f>G28/_xll.BQL(Inputs!$K22, "is_oper_inc(fpr = 2025, fpt = a, ae = e, fa_adjusted = y, fs = mr)/1"&amp;IF(Inputs!$R$18="BLN","b",IF(Inputs!$R$18="MLN","m","k")))</f>
        <v>17.238239507242877</v>
      </c>
      <c r="Q28" s="627">
        <f>G28/_xll.BQL(Inputs!$K22, "is_oper_inc(fpr = 2026, fpt = a, ae = e, fa_adjusted = y, fs = mr)/1"&amp;IF(Inputs!$R$18="BLN","b",IF(Inputs!$R$18="MLN","m","k")))</f>
        <v>15.9376759015625</v>
      </c>
      <c r="R28" s="23"/>
      <c r="S28" s="488">
        <f>_xll.BQL(Inputs!$K22, "ebitda(fpt = ltm, fa_adjusted = y, fs = mr)/1"&amp;IF(Inputs!$R$18="BLN","b",IF(Inputs!$R$18="MLN","m","k")))/_xll.BQL(Inputs!$K22, "sales_rev_turn(fpt = ltm, fa_adjusted = y, fs = mr)/1"&amp;IF(Inputs!$R$18="BLN","b",IF(Inputs!$R$18="MLN","m","k")))</f>
        <v>0.24806724472886169</v>
      </c>
      <c r="T28" s="626">
        <f>_xll.BDP(Inputs!$K22,"TOT_DEBT_TO_EBITDA")</f>
        <v>1.6545670036125768</v>
      </c>
      <c r="U28" s="628"/>
      <c r="V28" s="626">
        <f>F28/_xll.BQL(Inputs!$K22, "earn_for_common(fpt = ltm, fa_adjusted = y, fs = mr)/1"&amp;IF(Inputs!$R$18="BLN","b",IF(Inputs!$R$18="MLN","m","k")))</f>
        <v>23.143303303929422</v>
      </c>
      <c r="W28" s="626">
        <f>F28/_xll.BQL(Inputs!$K22, "EARN_FOR_COMMON(fpr = 2025, fpt = a, ae = e, fa_adjusted = y, fs = mr)/1"&amp;IF(Inputs!$R$18="BLN","b",IF(Inputs!$R$18="MLN","m","k")))</f>
        <v>21.697407552794356</v>
      </c>
      <c r="X28" s="626">
        <f>F28/_xll.BQL(Inputs!$K22, "EARN_FOR_COMMON(fpr = 2026, fpt = a, ae = e, fa_adjusted = y, fs = mr)/1"&amp;IF(Inputs!$R$18="BLN","b",IF(Inputs!$R$18="MLN","m","k")))</f>
        <v>19.421234638076736</v>
      </c>
      <c r="Y28" s="628"/>
      <c r="Z28" s="488">
        <f>(_xll.BQL(Inputs!$K22, "EARN_FOR_COMMON(fpr = 2028, fpt = a, ae = e, fa_adjusted = y, fs = mr)")/_xll.BQL(Inputs!$K22, "EARN_FOR_COMMON(fpr = 2025, fpt = a, ae = e, fa_adjusted = y, fs = mr)"))^(1/3)-1</f>
        <v>0.1151805119592908</v>
      </c>
    </row>
    <row r="29" spans="2:26" ht="15" customHeight="1">
      <c r="B29" s="23" t="str">
        <f>+Inputs!H23</f>
        <v>ENERPAC TOOL GRO</v>
      </c>
      <c r="C29" s="23" t="str">
        <f>+_xll.BDP(Inputs!K23,"TICKER_AND_EXCH_CODE")</f>
        <v>EPAC US</v>
      </c>
      <c r="D29" s="624" t="str">
        <f>CONCATENATE(_xll.BDP(Inputs!K23,"CRNCY")," ",_xll.BDP(Inputs!K23,"PX_YEST_CLOSE"))</f>
        <v>USD 40,2</v>
      </c>
      <c r="E29" s="480">
        <f>_xll.BDP(Inputs!K23,"PX_YEST_CLOSE")/_xll.BDP(Inputs!K23,"HIGH_52WEEK")</f>
        <v>0.77441726064342142</v>
      </c>
      <c r="F29" s="625">
        <f>_xll.BDP(Inputs!$K23, "CUR_MKT_CAP", "SCALING_FORMAT=" &amp; Inputs!$R$18)</f>
        <v>2169089.6455200003</v>
      </c>
      <c r="G29" s="625">
        <f>_xll.BDP(Inputs!$K23, "ENTERPRISE_VALUE", "SCALING_FORMAT=" &amp; Inputs!$R$18)</f>
        <v>2364189.0499200001</v>
      </c>
      <c r="H29" s="23"/>
      <c r="I29" s="626">
        <f>G29/_xll.BQL(Inputs!$K23, "sales_rev_turn(fpt = ltm, fa_adjusted = y, fs = mr)/1"&amp;IF(Inputs!$R$18="BLN","b",IF(Inputs!$R$18="MLN","m","k")))</f>
        <v>3.8878357798976815</v>
      </c>
      <c r="J29" s="626">
        <f>G29/_xll.BQL(Inputs!$K23, "sales_rev_turn(fpr = 2025, fpt = a, ae = e, fa_adjusted = y, fs = mr)/1"&amp;IF(Inputs!$R$18="BLN","b",IF(Inputs!$R$18="MLN","m","k")))</f>
        <v>3.8546560596521737</v>
      </c>
      <c r="K29" s="627">
        <f>G29/_xll.BQL(Inputs!$K23, "sales_rev_turn(fpr = 2026, fpt = a, ae = e, fa_adjusted = y, fs = mr)/1"&amp;IF(Inputs!$R$18="BLN","b",IF(Inputs!$R$18="MLN","m","k")))</f>
        <v>3.7056254700940441</v>
      </c>
      <c r="L29" s="626">
        <f>G29/_xll.BQL(Inputs!$K23, "ebitda(fpt = ltm, fa_adjusted = y, fs = mr)/1"&amp;IF(Inputs!$R$18="BLN","b",IF(Inputs!$R$18="MLN","m","k")))</f>
        <v>15.432043406788512</v>
      </c>
      <c r="M29" s="626">
        <f>G29/_xll.BQL(Inputs!$K23, "ebitda(fpr = 2025, fpt = a, ae = e, fa_adjusted = y, fs = mr)/1"&amp;IF(Inputs!$R$18="BLN","b",IF(Inputs!$R$18="MLN","m","k")))</f>
        <v>15.452216012549021</v>
      </c>
      <c r="N29" s="627">
        <f>G29/_xll.BQL(Inputs!$K23, "ebitda(fpr = 2026, fpt = a, ae = e, fa_adjusted = y, fs = mr)/1"&amp;IF(Inputs!$R$18="BLN","b",IF(Inputs!$R$18="MLN","m","k")))</f>
        <v>14.5042273001227</v>
      </c>
      <c r="O29" s="626">
        <f>G29/_xll.BQL(Inputs!$K23, "is_oper_inc(fpt = ltm, fa_adjusted = y, fs = mr)/1"&amp;IF(Inputs!$R$18="BLN","b",IF(Inputs!$R$18="MLN","m","k")))</f>
        <v>17.389113181423674</v>
      </c>
      <c r="P29" s="626">
        <f>G29/_xll.BQL(Inputs!$K23, "is_oper_inc(fpr = 2025, fpt = a, ae = e, fa_adjusted = y, fs = mr)/1"&amp;IF(Inputs!$R$18="BLN","b",IF(Inputs!$R$18="MLN","m","k")))</f>
        <v>17.731417874400005</v>
      </c>
      <c r="Q29" s="627">
        <f>G29/_xll.BQL(Inputs!$K23, "is_oper_inc(fpr = 2026, fpt = a, ae = e, fa_adjusted = y, fs = mr)/1"&amp;IF(Inputs!$R$18="BLN","b",IF(Inputs!$R$18="MLN","m","k")))</f>
        <v>15.867040603489933</v>
      </c>
      <c r="R29" s="23"/>
      <c r="S29" s="488">
        <f>_xll.BQL(Inputs!$K23, "ebitda(fpt = ltm, fa_adjusted = y, fs = mr)/1"&amp;IF(Inputs!$R$18="BLN","b",IF(Inputs!$R$18="MLN","m","k")))/_xll.BQL(Inputs!$K23, "sales_rev_turn(fpt = ltm, fa_adjusted = y, fs = mr)/1"&amp;IF(Inputs!$R$18="BLN","b",IF(Inputs!$R$18="MLN","m","k")))</f>
        <v>0.25193266228031946</v>
      </c>
      <c r="T29" s="626">
        <f>_xll.BDP(Inputs!$K23,"TOT_DEBT_TO_EBITDA")</f>
        <v>1.3863411870660354</v>
      </c>
      <c r="U29" s="628"/>
      <c r="V29" s="626">
        <f>F29/_xll.BQL(Inputs!$K23, "earn_for_common(fpt = ltm, fa_adjusted = y, fs = mr)/1"&amp;IF(Inputs!$R$18="BLN","b",IF(Inputs!$R$18="MLN","m","k")))</f>
        <v>22.268120249538747</v>
      </c>
      <c r="W29" s="626">
        <f>F29/_xll.BQL(Inputs!$K23, "EARN_FOR_COMMON(fpr = 2025, fpt = a, ae = e, fa_adjusted = y, fs = mr)/1"&amp;IF(Inputs!$R$18="BLN","b",IF(Inputs!$R$18="MLN","m","k")))</f>
        <v>22.021214675329954</v>
      </c>
      <c r="X29" s="626">
        <f>F29/_xll.BQL(Inputs!$K23, "EARN_FOR_COMMON(fpr = 2026, fpt = a, ae = e, fa_adjusted = y, fs = mr)/1"&amp;IF(Inputs!$R$18="BLN","b",IF(Inputs!$R$18="MLN","m","k")))</f>
        <v>21.059122772038837</v>
      </c>
      <c r="Y29" s="628"/>
      <c r="Z29" s="488" t="e">
        <f>(_xll.BQL(Inputs!$K23, "EARN_FOR_COMMON(fpr = 2028, fpt = a, ae = e, fa_adjusted = y, fs = mr)")/_xll.BQL(Inputs!$K23, "EARN_FOR_COMMON(fpr = 2025, fpt = a, ae = e, fa_adjusted = y, fs = mr)"))^(1/3)-1</f>
        <v>#VALUE!</v>
      </c>
    </row>
    <row r="30" spans="2:26" ht="15" customHeight="1">
      <c r="B30" s="23" t="str">
        <f>+Inputs!H24</f>
        <v>SNAP-ON INC</v>
      </c>
      <c r="C30" s="23" t="str">
        <f>+_xll.BDP(Inputs!K24,"TICKER_AND_EXCH_CODE")</f>
        <v>SNA US</v>
      </c>
      <c r="D30" s="624" t="str">
        <f>CONCATENATE(_xll.BDP(Inputs!K24,"CRNCY")," ",_xll.BDP(Inputs!K24,"PX_YEST_CLOSE"))</f>
        <v>USD 341,91</v>
      </c>
      <c r="E30" s="480">
        <f>_xll.BDP(Inputs!K24,"PX_YEST_CLOSE")/_xll.BDP(Inputs!K24,"HIGH_52WEEK")</f>
        <v>0.9144545928669815</v>
      </c>
      <c r="F30" s="625">
        <f>_xll.BDP(Inputs!$K24, "CUR_MKT_CAP", "SCALING_FORMAT=" &amp; Inputs!$R$18)</f>
        <v>17877952.142829999</v>
      </c>
      <c r="G30" s="625">
        <f>_xll.BDP(Inputs!$K24, "ENTERPRISE_VALUE", "SCALING_FORMAT=" &amp; Inputs!$R$18)</f>
        <v>16088968.330650002</v>
      </c>
      <c r="H30" s="23"/>
      <c r="I30" s="626">
        <f>G30/_xll.BQL(Inputs!$K24, "sales_rev_turn(fpt = ltm, fa_adjusted = y, fs = mr)/1"&amp;IF(Inputs!$R$18="BLN","b",IF(Inputs!$R$18="MLN","m","k")))</f>
        <v>3.1728033151215764</v>
      </c>
      <c r="J30" s="626">
        <f>G30/_xll.BQL(Inputs!$K24, "sales_rev_turn(fpr = 2025, fpt = a, ae = e, fa_adjusted = y, fs = mr)/1"&amp;IF(Inputs!$R$18="BLN","b",IF(Inputs!$R$18="MLN","m","k")))</f>
        <v>3.4180213572369404</v>
      </c>
      <c r="K30" s="627">
        <f>G30/_xll.BQL(Inputs!$K24, "sales_rev_turn(fpr = 2026, fpt = a, ae = e, fa_adjusted = y, fs = mr)/1"&amp;IF(Inputs!$R$18="BLN","b",IF(Inputs!$R$18="MLN","m","k")))</f>
        <v>3.2864811215708305</v>
      </c>
      <c r="L30" s="626">
        <f>G30/_xll.BQL(Inputs!$K24, "ebitda(fpt = ltm, fa_adjusted = y, fs = mr)/1"&amp;IF(Inputs!$R$18="BLN","b",IF(Inputs!$R$18="MLN","m","k")))</f>
        <v>11.544068544629406</v>
      </c>
      <c r="M30" s="626">
        <f>G30/_xll.BQL(Inputs!$K24, "ebitda(fpr = 2025, fpt = a, ae = e, fa_adjusted = y, fs = mr)/1"&amp;IF(Inputs!$R$18="BLN","b",IF(Inputs!$R$18="MLN","m","k")))</f>
        <v>11.554609450554031</v>
      </c>
      <c r="N30" s="627">
        <f>G30/_xll.BQL(Inputs!$K24, "ebitda(fpr = 2026, fpt = a, ae = e, fa_adjusted = y, fs = mr)/1"&amp;IF(Inputs!$R$18="BLN","b",IF(Inputs!$R$18="MLN","m","k")))</f>
        <v>10.862667452544519</v>
      </c>
      <c r="O30" s="626">
        <f>G30/_xll.BQL(Inputs!$K24, "is_oper_inc(fpt = ltm, fa_adjusted = y, fs = mr)/1"&amp;IF(Inputs!$R$18="BLN","b",IF(Inputs!$R$18="MLN","m","k")))</f>
        <v>12.410497015311634</v>
      </c>
      <c r="P30" s="626">
        <f>G30/_xll.BQL(Inputs!$K24, "is_oper_inc(fpr = 2025, fpt = a, ae = e, fa_adjusted = y, fs = mr)/1"&amp;IF(Inputs!$R$18="BLN","b",IF(Inputs!$R$18="MLN","m","k")))</f>
        <v>12.349530496354008</v>
      </c>
      <c r="Q30" s="627">
        <f>G30/_xll.BQL(Inputs!$K24, "is_oper_inc(fpr = 2026, fpt = a, ae = e, fa_adjusted = y, fs = mr)/1"&amp;IF(Inputs!$R$18="BLN","b",IF(Inputs!$R$18="MLN","m","k")))</f>
        <v>11.614720059023824</v>
      </c>
      <c r="R30" s="23"/>
      <c r="S30" s="488">
        <f>_xll.BQL(Inputs!$K24, "ebitda(fpt = ltm, fa_adjusted = y, fs = mr)/1"&amp;IF(Inputs!$R$18="BLN","b",IF(Inputs!$R$18="MLN","m","k")))/_xll.BQL(Inputs!$K24, "sales_rev_turn(fpt = ltm, fa_adjusted = y, fs = mr)/1"&amp;IF(Inputs!$R$18="BLN","b",IF(Inputs!$R$18="MLN","m","k")))</f>
        <v>0.27484273008736121</v>
      </c>
      <c r="T30" s="626">
        <f>_xll.BDP(Inputs!$K24,"TOT_DEBT_TO_EBITDA")</f>
        <v>0.93292682926829273</v>
      </c>
      <c r="U30" s="628"/>
      <c r="V30" s="626">
        <f>F30/_xll.BQL(Inputs!$K24, "earn_for_common(fpt = ltm, fa_adjusted = y, fs = mr)/1"&amp;IF(Inputs!$R$18="BLN","b",IF(Inputs!$R$18="MLN","m","k")))</f>
        <v>17.882190221912591</v>
      </c>
      <c r="W30" s="626">
        <f>F30/_xll.BQL(Inputs!$K24, "EARN_FOR_COMMON(fpr = 2025, fpt = a, ae = e, fa_adjusted = y, fs = mr)/1"&amp;IF(Inputs!$R$18="BLN","b",IF(Inputs!$R$18="MLN","m","k")))</f>
        <v>17.849393113847842</v>
      </c>
      <c r="X30" s="626">
        <f>F30/_xll.BQL(Inputs!$K24, "EARN_FOR_COMMON(fpr = 2026, fpt = a, ae = e, fa_adjusted = y, fs = mr)/1"&amp;IF(Inputs!$R$18="BLN","b",IF(Inputs!$R$18="MLN","m","k")))</f>
        <v>16.655442652161355</v>
      </c>
      <c r="Y30" s="628"/>
      <c r="Z30" s="488">
        <f>(_xll.BQL(Inputs!$K24, "EARN_FOR_COMMON(fpr = 2028, fpt = a, ae = e, fa_adjusted = y, fs = mr)")/_xll.BQL(Inputs!$K24, "EARN_FOR_COMMON(fpr = 2025, fpt = a, ae = e, fa_adjusted = y, fs = mr)"))^(1/3)-1</f>
        <v>8.6035729891666746E-2</v>
      </c>
    </row>
    <row r="31" spans="2:26" ht="15" customHeight="1">
      <c r="B31" s="23" t="str">
        <f>+Inputs!H25</f>
        <v>THERMON GROUP HO</v>
      </c>
      <c r="C31" s="23" t="str">
        <f>+_xll.BDP(Inputs!K25,"TICKER_AND_EXCH_CODE")</f>
        <v>THR US</v>
      </c>
      <c r="D31" s="624" t="str">
        <f>CONCATENATE(_xll.BDP(Inputs!K25,"CRNCY")," ",_xll.BDP(Inputs!K25,"PX_YEST_CLOSE"))</f>
        <v>USD 26,58</v>
      </c>
      <c r="E31" s="480">
        <f>_xll.BDP(Inputs!K25,"PX_YEST_CLOSE")/_xll.BDP(Inputs!K25,"HIGH_52WEEK")</f>
        <v>0.79939849624060144</v>
      </c>
      <c r="F31" s="625">
        <f>_xll.BDP(Inputs!$K25, "CUR_MKT_CAP", "SCALING_FORMAT=" &amp; Inputs!$R$18)</f>
        <v>871428.68116499996</v>
      </c>
      <c r="G31" s="625">
        <f>_xll.BDP(Inputs!$K25, "ENTERPRISE_VALUE", "SCALING_FORMAT=" &amp; Inputs!$R$18)</f>
        <v>1043244.00744</v>
      </c>
      <c r="H31" s="23"/>
      <c r="I31" s="626">
        <f>G31/_xll.BQL(Inputs!$K25, "sales_rev_turn(fpt = ltm, fa_adjusted = y, fs = mr)/1"&amp;IF(Inputs!$R$18="BLN","b",IF(Inputs!$R$18="MLN","m","k")))</f>
        <v>2.1205051586348196</v>
      </c>
      <c r="J31" s="626">
        <f>G31/_xll.BQL(Inputs!$K25, "sales_rev_turn(fpr = 2025, fpt = a, ae = e, fa_adjusted = y, fs = mr)/1"&amp;IF(Inputs!$R$18="BLN","b",IF(Inputs!$R$18="MLN","m","k")))</f>
        <v>2.0959196533199398</v>
      </c>
      <c r="K31" s="627">
        <f>G31/_xll.BQL(Inputs!$K25, "sales_rev_turn(fpr = 2026, fpt = a, ae = e, fa_adjusted = y, fs = mr)/1"&amp;IF(Inputs!$R$18="BLN","b",IF(Inputs!$R$18="MLN","m","k")))</f>
        <v>2.0617470502766797</v>
      </c>
      <c r="L31" s="626">
        <f>G31/_xll.BQL(Inputs!$K25, "ebitda(fpt = ltm, fa_adjusted = y, fs = mr)/1"&amp;IF(Inputs!$R$18="BLN","b",IF(Inputs!$R$18="MLN","m","k")))</f>
        <v>10.44601990027035</v>
      </c>
      <c r="M31" s="626">
        <f>G31/_xll.BQL(Inputs!$K25, "ebitda(fpr = 2025, fpt = a, ae = e, fa_adjusted = y, fs = mr)/1"&amp;IF(Inputs!$R$18="BLN","b",IF(Inputs!$R$18="MLN","m","k")))</f>
        <v>9.6820789553596285</v>
      </c>
      <c r="N31" s="627">
        <f>G31/_xll.BQL(Inputs!$K25, "ebitda(fpr = 2026, fpt = a, ae = e, fa_adjusted = y, fs = mr)/1"&amp;IF(Inputs!$R$18="BLN","b",IF(Inputs!$R$18="MLN","m","k")))</f>
        <v>10.148288010116731</v>
      </c>
      <c r="O31" s="626">
        <f>G31/_xll.BQL(Inputs!$K25, "is_oper_inc(fpt = ltm, fa_adjusted = y, fs = mr)/1"&amp;IF(Inputs!$R$18="BLN","b",IF(Inputs!$R$18="MLN","m","k")))</f>
        <v>13.473034500464923</v>
      </c>
      <c r="P31" s="626">
        <f>G31/_xll.BQL(Inputs!$K25, "is_oper_inc(fpr = 2025, fpt = a, ae = e, fa_adjusted = y, fs = mr)/1"&amp;IF(Inputs!$R$18="BLN","b",IF(Inputs!$R$18="MLN","m","k")))</f>
        <v>13.15566213669609</v>
      </c>
      <c r="Q31" s="627">
        <f>G31/_xll.BQL(Inputs!$K25, "is_oper_inc(fpr = 2026, fpt = a, ae = e, fa_adjusted = y, fs = mr)/1"&amp;IF(Inputs!$R$18="BLN","b",IF(Inputs!$R$18="MLN","m","k")))</f>
        <v>14.48279510559926</v>
      </c>
      <c r="R31" s="23"/>
      <c r="S31" s="488">
        <f>_xll.BQL(Inputs!$K25, "ebitda(fpt = ltm, fa_adjusted = y, fs = mr)/1"&amp;IF(Inputs!$R$18="BLN","b",IF(Inputs!$R$18="MLN","m","k")))/_xll.BQL(Inputs!$K25, "sales_rev_turn(fpt = ltm, fa_adjusted = y, fs = mr)/1"&amp;IF(Inputs!$R$18="BLN","b",IF(Inputs!$R$18="MLN","m","k")))</f>
        <v>0.20299646936149715</v>
      </c>
      <c r="T31" s="626">
        <f>_xll.BDP(Inputs!$K25,"TOT_DEBT_TO_EBITDA")</f>
        <v>1.5116682969676403</v>
      </c>
      <c r="U31" s="628"/>
      <c r="V31" s="626">
        <f>F31/_xll.BQL(Inputs!$K25, "earn_for_common(fpt = ltm, fa_adjusted = y, fs = mr)/1"&amp;IF(Inputs!$R$18="BLN","b",IF(Inputs!$R$18="MLN","m","k")))</f>
        <v>16.637691998287625</v>
      </c>
      <c r="W31" s="626">
        <f>F31/_xll.BQL(Inputs!$K25, "EARN_FOR_COMMON(fpr = 2025, fpt = a, ae = e, fa_adjusted = y, fs = mr)/1"&amp;IF(Inputs!$R$18="BLN","b",IF(Inputs!$R$18="MLN","m","k")))</f>
        <v>14.025139718320817</v>
      </c>
      <c r="X31" s="626">
        <f>F31/_xll.BQL(Inputs!$K25, "EARN_FOR_COMMON(fpr = 2026, fpt = a, ae = e, fa_adjusted = y, fs = mr)/1"&amp;IF(Inputs!$R$18="BLN","b",IF(Inputs!$R$18="MLN","m","k")))</f>
        <v>14.864455115820897</v>
      </c>
      <c r="Y31" s="628"/>
      <c r="Z31" s="488" t="e">
        <f>(_xll.BQL(Inputs!$K25, "EARN_FOR_COMMON(fpr = 2028, fpt = a, ae = e, fa_adjusted = y, fs = mr)")/_xll.BQL(Inputs!$K25, "EARN_FOR_COMMON(fpr = 2025, fpt = a, ae = e, fa_adjusted = y, fs = mr)"))^(1/3)-1</f>
        <v>#VALUE!</v>
      </c>
    </row>
    <row r="32" spans="2:26" ht="15" customHeight="1">
      <c r="B32" s="23"/>
      <c r="C32" s="23"/>
      <c r="D32" s="23"/>
      <c r="E32" s="23"/>
      <c r="F32" s="23"/>
      <c r="G32" s="23"/>
      <c r="H32" s="23"/>
      <c r="I32" s="23"/>
      <c r="J32" s="23"/>
      <c r="K32" s="628"/>
      <c r="L32" s="23"/>
      <c r="M32" s="23"/>
      <c r="N32" s="628"/>
      <c r="O32" s="23"/>
      <c r="P32" s="23"/>
      <c r="Q32" s="628"/>
      <c r="R32" s="23"/>
      <c r="S32" s="23"/>
      <c r="T32" s="23"/>
      <c r="U32" s="628"/>
      <c r="V32" s="23"/>
      <c r="W32" s="23"/>
      <c r="X32" s="23"/>
      <c r="Y32" s="628"/>
      <c r="Z32" s="23"/>
    </row>
    <row r="33" spans="2:26" ht="15" customHeight="1">
      <c r="B33" s="629" t="s">
        <v>329</v>
      </c>
      <c r="C33" s="630"/>
      <c r="D33" s="630"/>
      <c r="E33" s="630"/>
      <c r="F33" s="630"/>
      <c r="G33" s="630"/>
      <c r="H33" s="630"/>
      <c r="I33" s="631">
        <f>AVERAGE(I27:I31)</f>
        <v>3.2122303044299398</v>
      </c>
      <c r="J33" s="631">
        <f t="shared" ref="J33:K33" si="4">AVERAGE(J27:J31)</f>
        <v>3.090048298876698</v>
      </c>
      <c r="K33" s="632">
        <f t="shared" si="4"/>
        <v>2.9450162305678327</v>
      </c>
      <c r="L33" s="631">
        <f>AVERAGE(L27:L31)</f>
        <v>14.190578654714489</v>
      </c>
      <c r="M33" s="631">
        <f t="shared" ref="M33:Q33" si="5">AVERAGE(M27:M31)</f>
        <v>13.110969171037059</v>
      </c>
      <c r="N33" s="632">
        <f t="shared" si="5"/>
        <v>12.352711636648031</v>
      </c>
      <c r="O33" s="631">
        <f t="shared" si="5"/>
        <v>18.433449901298523</v>
      </c>
      <c r="P33" s="631">
        <f t="shared" si="5"/>
        <v>15.645456939141241</v>
      </c>
      <c r="Q33" s="632">
        <f t="shared" si="5"/>
        <v>14.539457015965393</v>
      </c>
      <c r="R33" s="630"/>
      <c r="S33" s="633">
        <f>AVERAGE(S27:S31)</f>
        <v>0.22901061360242222</v>
      </c>
      <c r="T33" s="631">
        <f>AVERAGE(T27:T31)</f>
        <v>2.5434687476885167</v>
      </c>
      <c r="U33" s="634"/>
      <c r="V33" s="631">
        <f t="shared" ref="V33:X33" si="6">AVERAGE(V27:V31)</f>
        <v>-95.320380413810298</v>
      </c>
      <c r="W33" s="631">
        <f t="shared" si="6"/>
        <v>19.770426825087164</v>
      </c>
      <c r="X33" s="631">
        <f t="shared" si="6"/>
        <v>18.39728018191586</v>
      </c>
      <c r="Y33" s="634"/>
      <c r="Z33" s="633" t="e">
        <f>AVERAGE(Z27:Z31)</f>
        <v>#VALUE!</v>
      </c>
    </row>
    <row r="34" spans="2:26" ht="15" customHeight="1">
      <c r="B34" s="635" t="s">
        <v>330</v>
      </c>
      <c r="C34" s="636"/>
      <c r="D34" s="636"/>
      <c r="E34" s="636"/>
      <c r="F34" s="636"/>
      <c r="G34" s="636"/>
      <c r="H34" s="636"/>
      <c r="I34" s="637">
        <f>MEDIAN(I27:I31)</f>
        <v>3.1728033151215764</v>
      </c>
      <c r="J34" s="637">
        <f t="shared" ref="J34:K34" si="7">MEDIAN(J27:J31)</f>
        <v>3.4180213572369404</v>
      </c>
      <c r="K34" s="638">
        <f t="shared" si="7"/>
        <v>3.2864811215708305</v>
      </c>
      <c r="L34" s="637">
        <f>MEDIAN(L27:L31)</f>
        <v>15.432043406788512</v>
      </c>
      <c r="M34" s="637">
        <f t="shared" ref="M34:Q34" si="8">MEDIAN(M27:M31)</f>
        <v>13.679669609923614</v>
      </c>
      <c r="N34" s="638">
        <f t="shared" si="8"/>
        <v>12.211523250272727</v>
      </c>
      <c r="O34" s="637">
        <f t="shared" si="8"/>
        <v>17.389113181423674</v>
      </c>
      <c r="P34" s="637">
        <f t="shared" si="8"/>
        <v>17.238239507242877</v>
      </c>
      <c r="Q34" s="638">
        <f t="shared" si="8"/>
        <v>14.795053410151446</v>
      </c>
      <c r="R34" s="636"/>
      <c r="S34" s="639">
        <f t="shared" ref="S34:T34" si="9">MEDIAN(S27:S31)</f>
        <v>0.24806724472886169</v>
      </c>
      <c r="T34" s="637">
        <f t="shared" si="9"/>
        <v>1.5116682969676403</v>
      </c>
      <c r="U34" s="640"/>
      <c r="V34" s="637">
        <f t="shared" ref="V34:X34" si="10">MEDIAN(V27:V31)</f>
        <v>17.882190221912591</v>
      </c>
      <c r="W34" s="637">
        <f t="shared" si="10"/>
        <v>21.697407552794356</v>
      </c>
      <c r="X34" s="637">
        <f t="shared" si="10"/>
        <v>19.421234638076736</v>
      </c>
      <c r="Y34" s="640"/>
      <c r="Z34" s="639" t="e">
        <f>MEDIAN(Z27:Z31)</f>
        <v>#VALUE!</v>
      </c>
    </row>
    <row r="36" spans="2:26" s="571" customFormat="1" ht="15" customHeight="1">
      <c r="B36" s="375" t="s">
        <v>332</v>
      </c>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2:26" ht="3.95" customHeight="1">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spans="2:26" ht="3.95" customHeight="1">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2:26" ht="15" customHeight="1">
      <c r="B39" s="23" t="str">
        <f>+Inputs!N21</f>
        <v>FED SIGNAL CORP</v>
      </c>
      <c r="C39" s="23" t="str">
        <f>+_xll.BDP(Inputs!Q21,"TICKER_AND_EXCH_CODE")</f>
        <v>FSS US</v>
      </c>
      <c r="D39" s="624" t="str">
        <f>CONCATENATE(_xll.BDP(Inputs!Q21,"CRNCY")," ",_xll.BDP(Inputs!Q21,"PX_YEST_CLOSE"))</f>
        <v>USD 122,24</v>
      </c>
      <c r="E39" s="480">
        <f>_xll.BDP(Inputs!Q21,"PX_YEST_CLOSE")/_xll.BDP(Inputs!Q21,"HIGH_52WEEK")</f>
        <v>0.93814274750575588</v>
      </c>
      <c r="F39" s="625">
        <f>_xll.BDP(Inputs!$Q21, "CUR_MKT_CAP", "SCALING_FORMAT=" &amp; Inputs!$R$18)</f>
        <v>7247002.0413699998</v>
      </c>
      <c r="G39" s="625">
        <f>_xll.BDP(Inputs!$Q21, "ENTERPRISE_VALUE", "SCALING_FORMAT=" &amp; Inputs!$R$18)</f>
        <v>6701836</v>
      </c>
      <c r="H39" s="23"/>
      <c r="I39" s="626">
        <f>G39/_xll.BQL(Inputs!$Q21, "sales_rev_turn(fpt = ltm, fa_adjusted = y, fs = mr)/1"&amp;IF(Inputs!$R$18="BLN","b",IF(Inputs!$R$18="MLN","m","k")))</f>
        <v>3.394022080421351</v>
      </c>
      <c r="J39" s="626">
        <f>G39/_xll.BQL(Inputs!$Q21, "sales_rev_turn(fpr = 2025, fpt = a, ae = e, fa_adjusted = y, fs = mr)/1"&amp;IF(Inputs!$R$18="BLN","b",IF(Inputs!$R$18="MLN","m","k")))</f>
        <v>3.176440652718532</v>
      </c>
      <c r="K39" s="627">
        <f>G39/_xll.BQL(Inputs!$Q21, "sales_rev_turn(fpr = 2026, fpt = a, ae = e, fa_adjusted = y, fs = mr)/1"&amp;IF(Inputs!$R$18="BLN","b",IF(Inputs!$R$18="MLN","m","k")))</f>
        <v>2.8677090286692342</v>
      </c>
      <c r="L39" s="626">
        <f>G39/_xll.BQL(Inputs!$Q21, "ebitda(fpt = ltm, fa_adjusted = y, fs = mr)/1"&amp;IF(Inputs!$R$18="BLN","b",IF(Inputs!$R$18="MLN","m","k")))</f>
        <v>17.09988870192073</v>
      </c>
      <c r="M39" s="626">
        <f>G39/_xll.BQL(Inputs!$Q21, "ebitda(fpr = 2025, fpt = a, ae = e, fa_adjusted = y, fs = mr)/1"&amp;IF(Inputs!$R$18="BLN","b",IF(Inputs!$R$18="MLN","m","k")))</f>
        <v>15.875753637901864</v>
      </c>
      <c r="N39" s="627">
        <f>G39/_xll.BQL(Inputs!$Q21, "ebitda(fpr = 2026, fpt = a, ae = e, fa_adjusted = y, fs = mr)/1"&amp;IF(Inputs!$R$18="BLN","b",IF(Inputs!$R$18="MLN","m","k")))</f>
        <v>14.315792493133968</v>
      </c>
      <c r="O39" s="626">
        <f>G39/_xll.BQL(Inputs!$Q21, "is_oper_inc(fpt = ltm, fa_adjusted = y, fs = mr)/1"&amp;IF(Inputs!$R$18="BLN","b",IF(Inputs!$R$18="MLN","m","k")))</f>
        <v>20.981083124623503</v>
      </c>
      <c r="P39" s="626">
        <f>G39/_xll.BQL(Inputs!$Q21, "is_oper_inc(fpr = 2025, fpt = a, ae = e, fa_adjusted = y, fs = mr)/1"&amp;IF(Inputs!$R$18="BLN","b",IF(Inputs!$R$18="MLN","m","k")))</f>
        <v>19.425611594202898</v>
      </c>
      <c r="Q39" s="627">
        <f>G39/_xll.BQL(Inputs!$Q21, "is_oper_inc(fpr = 2026, fpt = a, ae = e, fa_adjusted = y, fs = mr)/1"&amp;IF(Inputs!$R$18="BLN","b",IF(Inputs!$R$18="MLN","m","k")))</f>
        <v>17.009736040609138</v>
      </c>
      <c r="R39" s="23"/>
      <c r="S39" s="488">
        <f>_xll.BQL(Inputs!$Q21, "ebitda(fpt = ltm, fa_adjusted = y, fs = mr)/1"&amp;IF(Inputs!$R$18="BLN","b",IF(Inputs!$R$18="MLN","m","k")))/_xll.BQL(Inputs!$Q21, "sales_rev_turn(fpt = ltm, fa_adjusted = y, fs = mr)/1"&amp;IF(Inputs!$R$18="BLN","b",IF(Inputs!$R$18="MLN","m","k")))</f>
        <v>0.19848211526897955</v>
      </c>
      <c r="T39" s="626">
        <f>_xll.BDP(Inputs!$Q21,"TOT_DEBT_TO_EBITDA")</f>
        <v>0.77559570568211589</v>
      </c>
      <c r="U39" s="628"/>
      <c r="V39" s="626">
        <f>F39/_xll.BQL(Inputs!$Q21, "earn_for_common(fpt = ltm, fa_adjusted = y, fs = mr)/1"&amp;IF(Inputs!$R$18="BLN","b",IF(Inputs!$R$18="MLN","m","k")))</f>
        <v>33.516471558492469</v>
      </c>
      <c r="W39" s="626">
        <f>F39/_xll.BQL(Inputs!$Q21, "EARN_FOR_COMMON(fpr = 2025, fpt = a, ae = e, fa_adjusted = y, fs = mr)/1"&amp;IF(Inputs!$R$18="BLN","b",IF(Inputs!$R$18="MLN","m","k")))</f>
        <v>29.204959291646517</v>
      </c>
      <c r="X39" s="626">
        <f>F39/_xll.BQL(Inputs!$Q21, "EARN_FOR_COMMON(fpr = 2026, fpt = a, ae = e, fa_adjusted = y, fs = mr)/1"&amp;IF(Inputs!$R$18="BLN","b",IF(Inputs!$R$18="MLN","m","k")))</f>
        <v>25.88215014775</v>
      </c>
      <c r="Y39" s="628"/>
      <c r="Z39" s="488">
        <f>(_xll.BQL(Inputs!$Q21, "EARN_FOR_COMMON(fpr = 2028, fpt = a, ae = e, fa_adjusted = y, fs = mr)")/_xll.BQL(Inputs!$Q21, "EARN_FOR_COMMON(fpr = 2025, fpt = a, ae = e, fa_adjusted = y, fs = mr)"))^(1/3)-1</f>
        <v>0.12360491001855189</v>
      </c>
    </row>
    <row r="40" spans="2:26" ht="15" customHeight="1">
      <c r="B40" s="23" t="str">
        <f>+Inputs!N22</f>
        <v>DOUGLAS DYNAMICS</v>
      </c>
      <c r="C40" s="23" t="str">
        <f>+_xll.BDP(Inputs!Q22,"TICKER_AND_EXCH_CODE")</f>
        <v>PLOW US</v>
      </c>
      <c r="D40" s="624" t="str">
        <f>CONCATENATE(_xll.BDP(Inputs!Q22,"CRNCY")," ",_xll.BDP(Inputs!Q22,"PX_YEST_CLOSE"))</f>
        <v>USD 31,5</v>
      </c>
      <c r="E40" s="480">
        <f>_xll.BDP(Inputs!Q22,"PX_YEST_CLOSE")/_xll.BDP(Inputs!Q22,"HIGH_52WEEK")</f>
        <v>0.91970802919708028</v>
      </c>
      <c r="F40" s="625">
        <f>_xll.BDP(Inputs!$Q22, "CUR_MKT_CAP", "SCALING_FORMAT=" &amp; Inputs!$R$18)</f>
        <v>714728.03555999999</v>
      </c>
      <c r="G40" s="625">
        <f>_xll.BDP(Inputs!$Q22, "ENTERPRISE_VALUE", "SCALING_FORMAT=" &amp; Inputs!$R$18)</f>
        <v>927353.6746599999</v>
      </c>
      <c r="H40" s="23"/>
      <c r="I40" s="626">
        <f>G40/_xll.BQL(Inputs!$Q22, "sales_rev_turn(fpt = ltm, fa_adjusted = y, fs = mr)/1"&amp;IF(Inputs!$R$18="BLN","b",IF(Inputs!$R$18="MLN","m","k")))</f>
        <v>1.5924581553763171</v>
      </c>
      <c r="J40" s="626">
        <f>G40/_xll.BQL(Inputs!$Q22, "sales_rev_turn(fpr = 2025, fpt = a, ae = e, fa_adjusted = y, fs = mr)/1"&amp;IF(Inputs!$R$18="BLN","b",IF(Inputs!$R$18="MLN","m","k")))</f>
        <v>1.4565764523455498</v>
      </c>
      <c r="K40" s="627">
        <f>G40/_xll.BQL(Inputs!$Q22, "sales_rev_turn(fpr = 2026, fpt = a, ae = e, fa_adjusted = y, fs = mr)/1"&amp;IF(Inputs!$R$18="BLN","b",IF(Inputs!$R$18="MLN","m","k")))</f>
        <v>1.3538009849051094</v>
      </c>
      <c r="L40" s="626">
        <f>G40/_xll.BQL(Inputs!$Q22, "ebitda(fpt = ltm, fa_adjusted = y, fs = mr)/1"&amp;IF(Inputs!$R$18="BLN","b",IF(Inputs!$R$18="MLN","m","k")))</f>
        <v>10.685152204311605</v>
      </c>
      <c r="M40" s="626">
        <f>G40/_xll.BQL(Inputs!$Q22, "ebitda(fpr = 2025, fpt = a, ae = e, fa_adjusted = y, fs = mr)/1"&amp;IF(Inputs!$R$18="BLN","b",IF(Inputs!$R$18="MLN","m","k")))</f>
        <v>9.9040976289782865</v>
      </c>
      <c r="N40" s="627">
        <f>G40/_xll.BQL(Inputs!$Q22, "ebitda(fpr = 2026, fpt = a, ae = e, fa_adjusted = y, fs = mr)/1"&amp;IF(Inputs!$R$18="BLN","b",IF(Inputs!$R$18="MLN","m","k")))</f>
        <v>8.8319397586666657</v>
      </c>
      <c r="O40" s="626">
        <f>G40/_xll.BQL(Inputs!$Q22, "is_oper_inc(fpt = ltm, fa_adjusted = y, fs = mr)/1"&amp;IF(Inputs!$R$18="BLN","b",IF(Inputs!$R$18="MLN","m","k")))</f>
        <v>15.709338573316165</v>
      </c>
      <c r="P40" s="626">
        <f>G40/_xll.BQL(Inputs!$Q22, "is_oper_inc(fpr = 2025, fpt = a, ae = e, fa_adjusted = y, fs = mr)/1"&amp;IF(Inputs!$R$18="BLN","b",IF(Inputs!$R$18="MLN","m","k")))</f>
        <v>12.63424624877384</v>
      </c>
      <c r="Q40" s="627">
        <f>G40/_xll.BQL(Inputs!$Q22, "is_oper_inc(fpr = 2026, fpt = a, ae = e, fa_adjusted = y, fs = mr)/1"&amp;IF(Inputs!$R$18="BLN","b",IF(Inputs!$R$18="MLN","m","k")))</f>
        <v>11.206690932447129</v>
      </c>
      <c r="R40" s="23"/>
      <c r="S40" s="488">
        <f>_xll.BQL(Inputs!$Q22, "ebitda(fpt = ltm, fa_adjusted = y, fs = mr)/1"&amp;IF(Inputs!$R$18="BLN","b",IF(Inputs!$R$18="MLN","m","k")))/_xll.BQL(Inputs!$Q22, "sales_rev_turn(fpt = ltm, fa_adjusted = y, fs = mr)/1"&amp;IF(Inputs!$R$18="BLN","b",IF(Inputs!$R$18="MLN","m","k")))</f>
        <v>0.14903467212509508</v>
      </c>
      <c r="T40" s="626">
        <f>_xll.BDP(Inputs!$Q22,"TOT_DEBT_TO_EBITDA")</f>
        <v>2.0217302140682429</v>
      </c>
      <c r="U40" s="628"/>
      <c r="V40" s="626">
        <f>F40/_xll.BQL(Inputs!$Q22, "earn_for_common(fpt = ltm, fa_adjusted = y, fs = mr)/1"&amp;IF(Inputs!$R$18="BLN","b",IF(Inputs!$R$18="MLN","m","k")))</f>
        <v>20.067027275803053</v>
      </c>
      <c r="W40" s="626">
        <f>F40/_xll.BQL(Inputs!$Q22, "EARN_FOR_COMMON(fpr = 2025, fpt = a, ae = e, fa_adjusted = y, fs = mr)/1"&amp;IF(Inputs!$R$18="BLN","b",IF(Inputs!$R$18="MLN","m","k")))</f>
        <v>15.554473026332971</v>
      </c>
      <c r="X40" s="626">
        <f>F40/_xll.BQL(Inputs!$Q22, "EARN_FOR_COMMON(fpr = 2026, fpt = a, ae = e, fa_adjusted = y, fs = mr)/1"&amp;IF(Inputs!$R$18="BLN","b",IF(Inputs!$R$18="MLN","m","k")))</f>
        <v>13.523709282119206</v>
      </c>
      <c r="Y40" s="628"/>
      <c r="Z40" s="488" t="e">
        <f>(_xll.BQL(Inputs!$Q22, "EARN_FOR_COMMON(fpr = 2028, fpt = a, ae = e, fa_adjusted = y, fs = mr)")/_xll.BQL(Inputs!$Q22, "EARN_FOR_COMMON(fpr = 2025, fpt = a, ae = e, fa_adjusted = y, fs = mr)"))^(1/3)-1</f>
        <v>#VALUE!</v>
      </c>
    </row>
    <row r="41" spans="2:26" ht="15" customHeight="1">
      <c r="B41" s="23" t="str">
        <f>+Inputs!N23</f>
        <v>ESAB CORP</v>
      </c>
      <c r="C41" s="23" t="str">
        <f>+_xll.BDP(Inputs!Q23,"TICKER_AND_EXCH_CODE")</f>
        <v>ESAB US</v>
      </c>
      <c r="D41" s="624" t="str">
        <f>CONCATENATE(_xll.BDP(Inputs!Q23,"CRNCY")," ",_xll.BDP(Inputs!Q23,"PX_YEST_CLOSE"))</f>
        <v>USD 110,06</v>
      </c>
      <c r="E41" s="480">
        <f>_xll.BDP(Inputs!Q23,"PX_YEST_CLOSE")/_xll.BDP(Inputs!Q23,"HIGH_52WEEK")</f>
        <v>0.80944325954254615</v>
      </c>
      <c r="F41" s="625">
        <f>_xll.BDP(Inputs!$Q23, "CUR_MKT_CAP", "SCALING_FORMAT=" &amp; Inputs!$R$18)</f>
        <v>6643473.8095000014</v>
      </c>
      <c r="G41" s="625">
        <f>_xll.BDP(Inputs!$Q23, "ENTERPRISE_VALUE", "SCALING_FORMAT=" &amp; Inputs!$R$18)</f>
        <v>8478906.8037000019</v>
      </c>
      <c r="H41" s="23"/>
      <c r="I41" s="626">
        <f>G41/_xll.BQL(Inputs!$Q23, "sales_rev_turn(fpt = ltm, fa_adjusted = y, fs = mr)/1"&amp;IF(Inputs!$R$18="BLN","b",IF(Inputs!$R$18="MLN","m","k")))</f>
        <v>3.0970573444788205</v>
      </c>
      <c r="J41" s="626">
        <f>G41/_xll.BQL(Inputs!$Q23, "sales_rev_turn(fpr = 2025, fpt = a, ae = e, fa_adjusted = y, fs = mr)/1"&amp;IF(Inputs!$R$18="BLN","b",IF(Inputs!$R$18="MLN","m","k")))</f>
        <v>3.184924800428218</v>
      </c>
      <c r="K41" s="627">
        <f>G41/_xll.BQL(Inputs!$Q23, "sales_rev_turn(fpr = 2026, fpt = a, ae = e, fa_adjusted = y, fs = mr)/1"&amp;IF(Inputs!$R$18="BLN","b",IF(Inputs!$R$18="MLN","m","k")))</f>
        <v>3.0008518151477621</v>
      </c>
      <c r="L41" s="626">
        <f>G41/_xll.BQL(Inputs!$Q23, "ebitda(fpt = ltm, fa_adjusted = y, fs = mr)/1"&amp;IF(Inputs!$R$18="BLN","b",IF(Inputs!$R$18="MLN","m","k")))</f>
        <v>14.652858499242893</v>
      </c>
      <c r="M41" s="626">
        <f>G41/_xll.BQL(Inputs!$Q23, "ebitda(fpr = 2025, fpt = a, ae = e, fa_adjusted = y, fs = mr)/1"&amp;IF(Inputs!$R$18="BLN","b",IF(Inputs!$R$18="MLN","m","k")))</f>
        <v>15.949787064898423</v>
      </c>
      <c r="N41" s="627">
        <f>G41/_xll.BQL(Inputs!$Q23, "ebitda(fpr = 2026, fpt = a, ae = e, fa_adjusted = y, fs = mr)/1"&amp;IF(Inputs!$R$18="BLN","b",IF(Inputs!$R$18="MLN","m","k")))</f>
        <v>14.56606563081945</v>
      </c>
      <c r="O41" s="626">
        <f>G41/_xll.BQL(Inputs!$Q23, "is_oper_inc(fpt = ltm, fa_adjusted = y, fs = mr)/1"&amp;IF(Inputs!$R$18="BLN","b",IF(Inputs!$R$18="MLN","m","k")))</f>
        <v>16.692533748096309</v>
      </c>
      <c r="P41" s="626">
        <f>G41/_xll.BQL(Inputs!$Q23, "is_oper_inc(fpr = 2025, fpt = a, ae = e, fa_adjusted = y, fs = mr)/1"&amp;IF(Inputs!$R$18="BLN","b",IF(Inputs!$R$18="MLN","m","k")))</f>
        <v>18.800236815299339</v>
      </c>
      <c r="Q41" s="627">
        <f>G41/_xll.BQL(Inputs!$Q23, "is_oper_inc(fpr = 2026, fpt = a, ae = e, fa_adjusted = y, fs = mr)/1"&amp;IF(Inputs!$R$18="BLN","b",IF(Inputs!$R$18="MLN","m","k")))</f>
        <v>16.784375065061038</v>
      </c>
      <c r="R41" s="23"/>
      <c r="S41" s="488">
        <f>_xll.BQL(Inputs!$Q23, "ebitda(fpt = ltm, fa_adjusted = y, fs = mr)/1"&amp;IF(Inputs!$R$18="BLN","b",IF(Inputs!$R$18="MLN","m","k")))/_xll.BQL(Inputs!$Q23, "sales_rev_turn(fpt = ltm, fa_adjusted = y, fs = mr)/1"&amp;IF(Inputs!$R$18="BLN","b",IF(Inputs!$R$18="MLN","m","k")))</f>
        <v>0.21136199087972116</v>
      </c>
      <c r="T41" s="626">
        <f>_xll.BDP(Inputs!$Q23,"TOT_DEBT_TO_EBITDA")</f>
        <v>2.130949915892145</v>
      </c>
      <c r="U41" s="628"/>
      <c r="V41" s="626">
        <f>F41/_xll.BQL(Inputs!$Q23, "earn_for_common(fpt = ltm, fa_adjusted = y, fs = mr)/1"&amp;IF(Inputs!$R$18="BLN","b",IF(Inputs!$R$18="MLN","m","k")))</f>
        <v>20.046178426229048</v>
      </c>
      <c r="W41" s="626">
        <f>F41/_xll.BQL(Inputs!$Q23, "EARN_FOR_COMMON(fpr = 2025, fpt = a, ae = e, fa_adjusted = y, fs = mr)/1"&amp;IF(Inputs!$R$18="BLN","b",IF(Inputs!$R$18="MLN","m","k")))</f>
        <v>20.593533197458157</v>
      </c>
      <c r="X41" s="626">
        <f>F41/_xll.BQL(Inputs!$Q23, "EARN_FOR_COMMON(fpr = 2026, fpt = a, ae = e, fa_adjusted = y, fs = mr)/1"&amp;IF(Inputs!$R$18="BLN","b",IF(Inputs!$R$18="MLN","m","k")))</f>
        <v>18.286467958987068</v>
      </c>
      <c r="Y41" s="628"/>
      <c r="Z41" s="488">
        <f>(_xll.BQL(Inputs!$Q23, "EARN_FOR_COMMON(fpr = 2028, fpt = a, ae = e, fa_adjusted = y, fs = mr)")/_xll.BQL(Inputs!$Q23, "EARN_FOR_COMMON(fpr = 2025, fpt = a, ae = e, fa_adjusted = y, fs = mr)"))^(1/3)-1</f>
        <v>0.11276246380502086</v>
      </c>
    </row>
    <row r="42" spans="2:26" ht="15" customHeight="1">
      <c r="B42" s="23" t="str">
        <f>+Inputs!N24</f>
        <v>FORTUNE BRANDS</v>
      </c>
      <c r="C42" s="23" t="e">
        <f ca="1">+_xll.BDP(Inputs!Q24,"TICKER_AND_EXCH_CODE")</f>
        <v>#NAME?</v>
      </c>
      <c r="D42" s="624" t="e">
        <f ca="1">CONCATENATE(_xll.BDP(Inputs!Q24,"CRNCY")," ",_xll.BDP(Inputs!Q24,"PX_YEST_CLOSE"))</f>
        <v>#NAME?</v>
      </c>
      <c r="E42" s="480" t="e">
        <f ca="1">_xll.BDP(Inputs!Q24,"PX_YEST_CLOSE")/_xll.BDP(Inputs!Q24,"HIGH_52WEEK")</f>
        <v>#NAME?</v>
      </c>
      <c r="F42" s="625" t="e">
        <f ca="1">_xll.BDP(Inputs!$Q24, "CUR_MKT_CAP", "SCALING_FORMAT=" &amp; Inputs!$R$18)</f>
        <v>#NAME?</v>
      </c>
      <c r="G42" s="625" t="e">
        <f ca="1">_xll.BDP(Inputs!$Q24, "ENTERPRISE_VALUE", "SCALING_FORMAT=" &amp; Inputs!$R$18)</f>
        <v>#NAME?</v>
      </c>
      <c r="H42" s="23"/>
      <c r="I42" s="626" t="e">
        <f ca="1">G42/_xll.BQL(Inputs!$Q24, "sales_rev_turn(fpt = ltm, fa_adjusted = y, fs = mr)/1"&amp;IF(Inputs!$R$18="BLN","b",IF(Inputs!$R$18="MLN","m","k")))</f>
        <v>#NAME?</v>
      </c>
      <c r="J42" s="626" t="e">
        <f ca="1">G42/_xll.BQL(Inputs!$Q24, "sales_rev_turn(fpr = 2025, fpt = a, ae = e, fa_adjusted = y, fs = mr)/1"&amp;IF(Inputs!$R$18="BLN","b",IF(Inputs!$R$18="MLN","m","k")))</f>
        <v>#NAME?</v>
      </c>
      <c r="K42" s="627" t="e">
        <f ca="1">G42/_xll.BQL(Inputs!$Q24, "sales_rev_turn(fpr = 2026, fpt = a, ae = e, fa_adjusted = y, fs = mr)/1"&amp;IF(Inputs!$R$18="BLN","b",IF(Inputs!$R$18="MLN","m","k")))</f>
        <v>#NAME?</v>
      </c>
      <c r="L42" s="626" t="e">
        <f ca="1">G42/_xll.BQL(Inputs!$Q24, "ebitda(fpt = ltm, fa_adjusted = y, fs = mr)/1"&amp;IF(Inputs!$R$18="BLN","b",IF(Inputs!$R$18="MLN","m","k")))</f>
        <v>#NAME?</v>
      </c>
      <c r="M42" s="626" t="e">
        <f ca="1">G42/_xll.BQL(Inputs!$Q24, "ebitda(fpr = 2025, fpt = a, ae = e, fa_adjusted = y, fs = mr)/1"&amp;IF(Inputs!$R$18="BLN","b",IF(Inputs!$R$18="MLN","m","k")))</f>
        <v>#NAME?</v>
      </c>
      <c r="N42" s="627" t="e">
        <f ca="1">G42/_xll.BQL(Inputs!$Q24, "ebitda(fpr = 2026, fpt = a, ae = e, fa_adjusted = y, fs = mr)/1"&amp;IF(Inputs!$R$18="BLN","b",IF(Inputs!$R$18="MLN","m","k")))</f>
        <v>#NAME?</v>
      </c>
      <c r="O42" s="626" t="e">
        <f ca="1">G42/_xll.BQL(Inputs!$Q24, "is_oper_inc(fpt = ltm, fa_adjusted = y, fs = mr)/1"&amp;IF(Inputs!$R$18="BLN","b",IF(Inputs!$R$18="MLN","m","k")))</f>
        <v>#NAME?</v>
      </c>
      <c r="P42" s="626" t="e">
        <f ca="1">G42/_xll.BQL(Inputs!$Q24, "is_oper_inc(fpr = 2025, fpt = a, ae = e, fa_adjusted = y, fs = mr)/1"&amp;IF(Inputs!$R$18="BLN","b",IF(Inputs!$R$18="MLN","m","k")))</f>
        <v>#NAME?</v>
      </c>
      <c r="Q42" s="627" t="e">
        <f ca="1">G42/_xll.BQL(Inputs!$Q24, "is_oper_inc(fpr = 2026, fpt = a, ae = e, fa_adjusted = y, fs = mr)/1"&amp;IF(Inputs!$R$18="BLN","b",IF(Inputs!$R$18="MLN","m","k")))</f>
        <v>#NAME?</v>
      </c>
      <c r="R42" s="23"/>
      <c r="S42" s="488" t="e">
        <f ca="1">_xll.BQL(Inputs!$Q24, "ebitda(fpt = ltm, fa_adjusted = y, fs = mr)/1"&amp;IF(Inputs!$R$18="BLN","b",IF(Inputs!$R$18="MLN","m","k")))/_xll.BQL(Inputs!$Q24, "sales_rev_turn(fpt = ltm, fa_adjusted = y, fs = mr)/1"&amp;IF(Inputs!$R$18="BLN","b",IF(Inputs!$R$18="MLN","m","k")))</f>
        <v>#NAME?</v>
      </c>
      <c r="T42" s="626" t="e">
        <f ca="1">_xll.BDP(Inputs!$Q24,"TOT_DEBT_TO_EBITDA")</f>
        <v>#NAME?</v>
      </c>
      <c r="U42" s="628"/>
      <c r="V42" s="626" t="e">
        <f ca="1">F42/_xll.BQL(Inputs!$Q24, "earn_for_common(fpt = ltm, fa_adjusted = y, fs = mr)/1"&amp;IF(Inputs!$R$18="BLN","b",IF(Inputs!$R$18="MLN","m","k")))</f>
        <v>#NAME?</v>
      </c>
      <c r="W42" s="626" t="e">
        <f ca="1">F42/_xll.BQL(Inputs!$Q24, "EARN_FOR_COMMON(fpr = 2025, fpt = a, ae = e, fa_adjusted = y, fs = mr)/1"&amp;IF(Inputs!$R$18="BLN","b",IF(Inputs!$R$18="MLN","m","k")))</f>
        <v>#NAME?</v>
      </c>
      <c r="X42" s="626" t="e">
        <f ca="1">F42/_xll.BQL(Inputs!$Q24, "EARN_FOR_COMMON(fpr = 2026, fpt = a, ae = e, fa_adjusted = y, fs = mr)/1"&amp;IF(Inputs!$R$18="BLN","b",IF(Inputs!$R$18="MLN","m","k")))</f>
        <v>#NAME?</v>
      </c>
      <c r="Y42" s="628"/>
      <c r="Z42" s="488" t="e">
        <f ca="1">(_xll.BQL(Inputs!$Q24, "EARN_FOR_COMMON(fpr = 2028, fpt = a, ae = e, fa_adjusted = y, fs = mr)")/_xll.BQL(Inputs!$Q24, "EARN_FOR_COMMON(fpr = 2025, fpt = a, ae = e, fa_adjusted = y, fs = mr)"))^(1/3)-1</f>
        <v>#NAME?</v>
      </c>
    </row>
    <row r="43" spans="2:26" ht="15" customHeight="1">
      <c r="B43" s="23" t="str">
        <f>+Inputs!N25</f>
        <v>GEA GROUP AG</v>
      </c>
      <c r="C43" s="23" t="e">
        <f ca="1">+_xll.BDP(Inputs!Q25,"TICKER_AND_EXCH_CODE")</f>
        <v>#NAME?</v>
      </c>
      <c r="D43" s="624" t="e">
        <f ca="1">CONCATENATE(_xll.BDP(Inputs!Q25,"CRNCY")," ",_xll.BDP(Inputs!Q25,"PX_YEST_CLOSE"))</f>
        <v>#NAME?</v>
      </c>
      <c r="E43" s="480" t="e">
        <f ca="1">_xll.BDP(Inputs!Q25,"PX_YEST_CLOSE")/_xll.BDP(Inputs!Q25,"HIGH_52WEEK")</f>
        <v>#NAME?</v>
      </c>
      <c r="F43" s="625" t="e">
        <f ca="1">_xll.BDP(Inputs!$Q25, "CUR_MKT_CAP", "SCALING_FORMAT=" &amp; Inputs!$R$18)</f>
        <v>#NAME?</v>
      </c>
      <c r="G43" s="625" t="e">
        <f ca="1">_xll.BDP(Inputs!$Q25, "ENTERPRISE_VALUE", "SCALING_FORMAT=" &amp; Inputs!$R$18)</f>
        <v>#NAME?</v>
      </c>
      <c r="H43" s="23"/>
      <c r="I43" s="626" t="e">
        <f ca="1">G43/_xll.BQL(Inputs!$Q25, "sales_rev_turn(fpt = ltm, fa_adjusted = y, fs = mr)/1"&amp;IF(Inputs!$R$18="BLN","b",IF(Inputs!$R$18="MLN","m","k")))</f>
        <v>#NAME?</v>
      </c>
      <c r="J43" s="626" t="e">
        <f ca="1">G43/_xll.BQL(Inputs!$Q25, "sales_rev_turn(fpr = 2025, fpt = a, ae = e, fa_adjusted = y, fs = mr)/1"&amp;IF(Inputs!$R$18="BLN","b",IF(Inputs!$R$18="MLN","m","k")))</f>
        <v>#NAME?</v>
      </c>
      <c r="K43" s="627" t="e">
        <f ca="1">G43/_xll.BQL(Inputs!$Q25, "sales_rev_turn(fpr = 2026, fpt = a, ae = e, fa_adjusted = y, fs = mr)/1"&amp;IF(Inputs!$R$18="BLN","b",IF(Inputs!$R$18="MLN","m","k")))</f>
        <v>#NAME?</v>
      </c>
      <c r="L43" s="626" t="e">
        <f ca="1">G43/_xll.BQL(Inputs!$Q25, "ebitda(fpt = ltm, fa_adjusted = y, fs = mr)/1"&amp;IF(Inputs!$R$18="BLN","b",IF(Inputs!$R$18="MLN","m","k")))</f>
        <v>#NAME?</v>
      </c>
      <c r="M43" s="626" t="e">
        <f ca="1">G43/_xll.BQL(Inputs!$Q25, "ebitda(fpr = 2025, fpt = a, ae = e, fa_adjusted = y, fs = mr)/1"&amp;IF(Inputs!$R$18="BLN","b",IF(Inputs!$R$18="MLN","m","k")))</f>
        <v>#NAME?</v>
      </c>
      <c r="N43" s="627" t="e">
        <f ca="1">G43/_xll.BQL(Inputs!$Q25, "ebitda(fpr = 2026, fpt = a, ae = e, fa_adjusted = y, fs = mr)/1"&amp;IF(Inputs!$R$18="BLN","b",IF(Inputs!$R$18="MLN","m","k")))</f>
        <v>#NAME?</v>
      </c>
      <c r="O43" s="626" t="e">
        <f ca="1">G43/_xll.BQL(Inputs!$Q25, "is_oper_inc(fpt = ltm, fa_adjusted = y, fs = mr)/1"&amp;IF(Inputs!$R$18="BLN","b",IF(Inputs!$R$18="MLN","m","k")))</f>
        <v>#NAME?</v>
      </c>
      <c r="P43" s="626" t="e">
        <f ca="1">G43/_xll.BQL(Inputs!$Q25, "is_oper_inc(fpr = 2025, fpt = a, ae = e, fa_adjusted = y, fs = mr)/1"&amp;IF(Inputs!$R$18="BLN","b",IF(Inputs!$R$18="MLN","m","k")))</f>
        <v>#NAME?</v>
      </c>
      <c r="Q43" s="627" t="e">
        <f ca="1">G43/_xll.BQL(Inputs!$Q25, "is_oper_inc(fpr = 2026, fpt = a, ae = e, fa_adjusted = y, fs = mr)/1"&amp;IF(Inputs!$R$18="BLN","b",IF(Inputs!$R$18="MLN","m","k")))</f>
        <v>#NAME?</v>
      </c>
      <c r="R43" s="23"/>
      <c r="S43" s="488" t="e">
        <f ca="1">_xll.BQL(Inputs!$Q25, "ebitda(fpt = ltm, fa_adjusted = y, fs = mr)/1"&amp;IF(Inputs!$R$18="BLN","b",IF(Inputs!$R$18="MLN","m","k")))/_xll.BQL(Inputs!$Q25, "sales_rev_turn(fpt = ltm, fa_adjusted = y, fs = mr)/1"&amp;IF(Inputs!$R$18="BLN","b",IF(Inputs!$R$18="MLN","m","k")))</f>
        <v>#NAME?</v>
      </c>
      <c r="T43" s="626" t="e">
        <f ca="1">_xll.BDP(Inputs!$Q25,"TOT_DEBT_TO_EBITDA")</f>
        <v>#NAME?</v>
      </c>
      <c r="U43" s="628"/>
      <c r="V43" s="626" t="e">
        <f ca="1">F43/_xll.BQL(Inputs!$Q25, "earn_for_common(fpt = ltm, fa_adjusted = y, fs = mr)/1"&amp;IF(Inputs!$R$18="BLN","b",IF(Inputs!$R$18="MLN","m","k")))</f>
        <v>#NAME?</v>
      </c>
      <c r="W43" s="626" t="e">
        <f ca="1">F43/_xll.BQL(Inputs!$Q25, "EARN_FOR_COMMON(fpr = 2025, fpt = a, ae = e, fa_adjusted = y, fs = mr)/1"&amp;IF(Inputs!$R$18="BLN","b",IF(Inputs!$R$18="MLN","m","k")))</f>
        <v>#NAME?</v>
      </c>
      <c r="X43" s="626" t="e">
        <f ca="1">F43/_xll.BQL(Inputs!$Q25, "EARN_FOR_COMMON(fpr = 2026, fpt = a, ae = e, fa_adjusted = y, fs = mr)/1"&amp;IF(Inputs!$R$18="BLN","b",IF(Inputs!$R$18="MLN","m","k")))</f>
        <v>#NAME?</v>
      </c>
      <c r="Y43" s="628"/>
      <c r="Z43" s="488" t="e">
        <f ca="1">(_xll.BQL(Inputs!$Q25, "EARN_FOR_COMMON(fpr = 2028, fpt = a, ae = e, fa_adjusted = y, fs = mr)")/_xll.BQL(Inputs!$Q25, "EARN_FOR_COMMON(fpr = 2025, fpt = a, ae = e, fa_adjusted = y, fs = mr)"))^(1/3)-1</f>
        <v>#NAME?</v>
      </c>
    </row>
    <row r="44" spans="2:26" ht="15" customHeight="1">
      <c r="B44" s="23"/>
      <c r="C44" s="23"/>
      <c r="D44" s="23"/>
      <c r="E44" s="23"/>
      <c r="F44" s="23"/>
      <c r="G44" s="23"/>
      <c r="H44" s="23"/>
      <c r="I44" s="23"/>
      <c r="J44" s="23"/>
      <c r="K44" s="641"/>
      <c r="L44" s="23"/>
      <c r="M44" s="23"/>
      <c r="N44" s="628"/>
      <c r="O44" s="23"/>
      <c r="P44" s="23"/>
      <c r="Q44" s="628"/>
      <c r="R44" s="23"/>
      <c r="S44" s="23"/>
      <c r="T44" s="23"/>
      <c r="U44" s="628"/>
      <c r="V44" s="23"/>
      <c r="W44" s="23"/>
      <c r="X44" s="23"/>
      <c r="Y44" s="628"/>
      <c r="Z44" s="23"/>
    </row>
    <row r="45" spans="2:26" ht="15" customHeight="1">
      <c r="B45" s="629" t="s">
        <v>329</v>
      </c>
      <c r="C45" s="630"/>
      <c r="D45" s="630"/>
      <c r="E45" s="630"/>
      <c r="F45" s="630"/>
      <c r="G45" s="630"/>
      <c r="H45" s="630"/>
      <c r="I45" s="631" t="e">
        <f ca="1">AVERAGE(I39:I43)</f>
        <v>#NAME?</v>
      </c>
      <c r="J45" s="631" t="e">
        <f t="shared" ref="J45:K45" ca="1" si="11">AVERAGE(J39:J43)</f>
        <v>#NAME?</v>
      </c>
      <c r="K45" s="632" t="e">
        <f t="shared" ca="1" si="11"/>
        <v>#NAME?</v>
      </c>
      <c r="L45" s="631" t="e">
        <f ca="1">AVERAGE(L39:L43)</f>
        <v>#NAME?</v>
      </c>
      <c r="M45" s="631" t="e">
        <f t="shared" ref="M45:Q45" ca="1" si="12">AVERAGE(M39:M43)</f>
        <v>#NAME?</v>
      </c>
      <c r="N45" s="632" t="e">
        <f t="shared" ca="1" si="12"/>
        <v>#NAME?</v>
      </c>
      <c r="O45" s="631" t="e">
        <f t="shared" ca="1" si="12"/>
        <v>#NAME?</v>
      </c>
      <c r="P45" s="631" t="e">
        <f t="shared" ca="1" si="12"/>
        <v>#NAME?</v>
      </c>
      <c r="Q45" s="632" t="e">
        <f t="shared" ca="1" si="12"/>
        <v>#NAME?</v>
      </c>
      <c r="R45" s="630"/>
      <c r="S45" s="633" t="e">
        <f ca="1">AVERAGE(S39:S43)</f>
        <v>#NAME?</v>
      </c>
      <c r="T45" s="631" t="e">
        <f ca="1">AVERAGE(T39:T43)</f>
        <v>#NAME?</v>
      </c>
      <c r="U45" s="634"/>
      <c r="V45" s="631" t="e">
        <f t="shared" ref="V45:X45" ca="1" si="13">AVERAGE(V39:V43)</f>
        <v>#NAME?</v>
      </c>
      <c r="W45" s="631" t="e">
        <f t="shared" ca="1" si="13"/>
        <v>#NAME?</v>
      </c>
      <c r="X45" s="631" t="e">
        <f t="shared" ca="1" si="13"/>
        <v>#NAME?</v>
      </c>
      <c r="Y45" s="634"/>
      <c r="Z45" s="642" t="e">
        <f>AVERAGE(Z39:Z43)</f>
        <v>#VALUE!</v>
      </c>
    </row>
    <row r="46" spans="2:26" ht="15" customHeight="1">
      <c r="B46" s="635" t="s">
        <v>330</v>
      </c>
      <c r="C46" s="636"/>
      <c r="D46" s="636"/>
      <c r="E46" s="636"/>
      <c r="F46" s="636"/>
      <c r="G46" s="636"/>
      <c r="H46" s="636"/>
      <c r="I46" s="637" t="e">
        <f ca="1">MEDIAN(I39:I43)</f>
        <v>#NAME?</v>
      </c>
      <c r="J46" s="637" t="e">
        <f t="shared" ref="J46:K46" ca="1" si="14">MEDIAN(J39:J43)</f>
        <v>#NAME?</v>
      </c>
      <c r="K46" s="638" t="e">
        <f t="shared" ca="1" si="14"/>
        <v>#NAME?</v>
      </c>
      <c r="L46" s="637" t="e">
        <f ca="1">MEDIAN(L39:L43)</f>
        <v>#NAME?</v>
      </c>
      <c r="M46" s="637" t="e">
        <f t="shared" ref="M46:Q46" ca="1" si="15">MEDIAN(M39:M43)</f>
        <v>#NAME?</v>
      </c>
      <c r="N46" s="638" t="e">
        <f t="shared" ca="1" si="15"/>
        <v>#NAME?</v>
      </c>
      <c r="O46" s="637" t="e">
        <f t="shared" ca="1" si="15"/>
        <v>#NAME?</v>
      </c>
      <c r="P46" s="637" t="e">
        <f t="shared" ca="1" si="15"/>
        <v>#NAME?</v>
      </c>
      <c r="Q46" s="638" t="e">
        <f t="shared" ca="1" si="15"/>
        <v>#NAME?</v>
      </c>
      <c r="R46" s="636"/>
      <c r="S46" s="639" t="e">
        <f t="shared" ref="S46:T46" ca="1" si="16">MEDIAN(S39:S43)</f>
        <v>#NAME?</v>
      </c>
      <c r="T46" s="637" t="e">
        <f t="shared" ca="1" si="16"/>
        <v>#NAME?</v>
      </c>
      <c r="U46" s="640"/>
      <c r="V46" s="637" t="e">
        <f t="shared" ref="V46:X46" ca="1" si="17">MEDIAN(V39:V43)</f>
        <v>#NAME?</v>
      </c>
      <c r="W46" s="637" t="e">
        <f t="shared" ca="1" si="17"/>
        <v>#NAME?</v>
      </c>
      <c r="X46" s="637" t="e">
        <f t="shared" ca="1" si="17"/>
        <v>#NAME?</v>
      </c>
      <c r="Y46" s="640"/>
      <c r="Z46" s="643" t="e">
        <f>MEDIAN(Z39:Z43)</f>
        <v>#VALUE!</v>
      </c>
    </row>
    <row r="47" spans="2:26" ht="15" customHeight="1">
      <c r="B47" s="23"/>
      <c r="C47" s="23"/>
      <c r="D47" s="23"/>
      <c r="E47" s="23"/>
      <c r="F47" s="23"/>
      <c r="G47" s="23"/>
      <c r="H47" s="23"/>
      <c r="I47" s="23"/>
      <c r="J47" s="644"/>
      <c r="K47" s="23"/>
      <c r="L47" s="23"/>
      <c r="M47" s="23"/>
      <c r="N47" s="23"/>
      <c r="O47" s="23"/>
      <c r="P47" s="23"/>
      <c r="Q47" s="23"/>
      <c r="R47" s="23"/>
      <c r="S47" s="23"/>
      <c r="T47" s="23"/>
      <c r="U47" s="23"/>
      <c r="V47" s="23"/>
      <c r="W47" s="23"/>
      <c r="X47" s="23"/>
      <c r="Y47" s="23"/>
      <c r="Z47" s="23"/>
    </row>
    <row r="48" spans="2:26" s="571" customFormat="1" ht="15" customHeight="1">
      <c r="B48" s="375" t="s">
        <v>333</v>
      </c>
      <c r="C48" s="32"/>
      <c r="D48" s="32"/>
      <c r="E48" s="32"/>
      <c r="F48" s="32"/>
      <c r="G48" s="32"/>
      <c r="H48" s="32"/>
      <c r="I48" s="32"/>
      <c r="J48" s="645"/>
      <c r="K48" s="32"/>
      <c r="L48" s="32"/>
      <c r="M48" s="32"/>
      <c r="N48" s="32"/>
      <c r="O48" s="32"/>
      <c r="P48" s="32"/>
      <c r="Q48" s="32"/>
      <c r="R48" s="32"/>
      <c r="S48" s="32"/>
      <c r="T48" s="32"/>
      <c r="U48" s="32"/>
      <c r="V48" s="32"/>
      <c r="W48" s="32"/>
      <c r="X48" s="32"/>
      <c r="Y48" s="32"/>
      <c r="Z48" s="32"/>
    </row>
    <row r="49" spans="2:26" ht="3.95" customHeight="1">
      <c r="B49" s="36"/>
      <c r="C49" s="36"/>
      <c r="D49" s="36"/>
      <c r="E49" s="36"/>
      <c r="F49" s="36"/>
      <c r="G49" s="36"/>
      <c r="H49" s="36"/>
      <c r="I49" s="36"/>
      <c r="J49" s="646"/>
      <c r="K49" s="36"/>
      <c r="L49" s="36"/>
      <c r="M49" s="36"/>
      <c r="N49" s="36"/>
      <c r="O49" s="36"/>
      <c r="P49" s="36"/>
      <c r="Q49" s="36"/>
      <c r="R49" s="36"/>
      <c r="S49" s="36"/>
      <c r="T49" s="36"/>
      <c r="U49" s="36"/>
      <c r="V49" s="36"/>
      <c r="W49" s="36"/>
      <c r="X49" s="36"/>
      <c r="Y49" s="36"/>
      <c r="Z49" s="36"/>
    </row>
    <row r="50" spans="2:26" ht="15" customHeight="1">
      <c r="B50" s="23"/>
      <c r="C50" s="23"/>
      <c r="D50" s="23"/>
      <c r="E50" s="23"/>
      <c r="F50" s="23"/>
      <c r="G50" s="23"/>
      <c r="H50" s="23"/>
      <c r="I50" s="23"/>
      <c r="J50" s="644"/>
      <c r="K50" s="23"/>
      <c r="L50" s="23"/>
      <c r="M50" s="23"/>
      <c r="N50" s="23"/>
      <c r="O50" s="23"/>
      <c r="P50" s="23"/>
      <c r="Q50" s="23"/>
      <c r="R50" s="23"/>
      <c r="S50" s="23"/>
      <c r="T50" s="23"/>
      <c r="U50" s="23"/>
      <c r="V50" s="23"/>
      <c r="W50" s="23"/>
      <c r="X50" s="23"/>
      <c r="Y50" s="23"/>
      <c r="Z50" s="23"/>
    </row>
    <row r="51" spans="2:26" ht="15" customHeight="1">
      <c r="B51" s="629" t="s">
        <v>329</v>
      </c>
      <c r="C51" s="630"/>
      <c r="D51" s="630"/>
      <c r="E51" s="630"/>
      <c r="F51" s="630"/>
      <c r="G51" s="630"/>
      <c r="H51" s="630"/>
      <c r="I51" s="631" t="e">
        <f ca="1">AVERAGE(I39:I43,I27:I32,I15:I19)</f>
        <v>#NAME?</v>
      </c>
      <c r="J51" s="631" t="e">
        <f t="shared" ref="J51:Z51" ca="1" si="18">AVERAGE(J39:J43,J27:J32,J15:J19)</f>
        <v>#NAME?</v>
      </c>
      <c r="K51" s="632" t="e">
        <f t="shared" ca="1" si="18"/>
        <v>#NAME?</v>
      </c>
      <c r="L51" s="631" t="e">
        <f t="shared" ca="1" si="18"/>
        <v>#NAME?</v>
      </c>
      <c r="M51" s="631" t="e">
        <f t="shared" ca="1" si="18"/>
        <v>#NAME?</v>
      </c>
      <c r="N51" s="632" t="e">
        <f t="shared" ca="1" si="18"/>
        <v>#NAME?</v>
      </c>
      <c r="O51" s="631" t="e">
        <f t="shared" ca="1" si="18"/>
        <v>#NAME?</v>
      </c>
      <c r="P51" s="631" t="e">
        <f t="shared" ca="1" si="18"/>
        <v>#NAME?</v>
      </c>
      <c r="Q51" s="631" t="e">
        <f t="shared" ca="1" si="18"/>
        <v>#NAME?</v>
      </c>
      <c r="R51" s="630"/>
      <c r="S51" s="633" t="e">
        <f t="shared" ca="1" si="18"/>
        <v>#NAME?</v>
      </c>
      <c r="T51" s="631" t="e">
        <f t="shared" ca="1" si="18"/>
        <v>#NAME?</v>
      </c>
      <c r="U51" s="634"/>
      <c r="V51" s="631" t="e">
        <f t="shared" ca="1" si="18"/>
        <v>#NAME?</v>
      </c>
      <c r="W51" s="631" t="e">
        <f t="shared" ca="1" si="18"/>
        <v>#NAME?</v>
      </c>
      <c r="X51" s="631" t="e">
        <f t="shared" ca="1" si="18"/>
        <v>#NAME?</v>
      </c>
      <c r="Y51" s="634"/>
      <c r="Z51" s="642" t="e">
        <f t="shared" si="18"/>
        <v>#VALUE!</v>
      </c>
    </row>
    <row r="52" spans="2:26" ht="15" customHeight="1">
      <c r="B52" s="635" t="s">
        <v>330</v>
      </c>
      <c r="C52" s="636"/>
      <c r="D52" s="636"/>
      <c r="E52" s="636"/>
      <c r="F52" s="636"/>
      <c r="G52" s="636"/>
      <c r="H52" s="636"/>
      <c r="I52" s="637" t="e">
        <f ca="1">MEDIAN(I39:I43,I27:I31,I15:I19)</f>
        <v>#NAME?</v>
      </c>
      <c r="J52" s="637" t="e">
        <f t="shared" ref="J52:Z52" ca="1" si="19">MEDIAN(J39:J43,J27:J31,J15:J19)</f>
        <v>#NAME?</v>
      </c>
      <c r="K52" s="638" t="e">
        <f t="shared" ca="1" si="19"/>
        <v>#NAME?</v>
      </c>
      <c r="L52" s="637" t="e">
        <f t="shared" ca="1" si="19"/>
        <v>#NAME?</v>
      </c>
      <c r="M52" s="637" t="e">
        <f t="shared" ca="1" si="19"/>
        <v>#NAME?</v>
      </c>
      <c r="N52" s="638" t="e">
        <f t="shared" ca="1" si="19"/>
        <v>#NAME?</v>
      </c>
      <c r="O52" s="637" t="e">
        <f t="shared" ca="1" si="19"/>
        <v>#NAME?</v>
      </c>
      <c r="P52" s="637" t="e">
        <f t="shared" ca="1" si="19"/>
        <v>#NAME?</v>
      </c>
      <c r="Q52" s="637" t="e">
        <f t="shared" ca="1" si="19"/>
        <v>#NAME?</v>
      </c>
      <c r="R52" s="636"/>
      <c r="S52" s="639" t="e">
        <f t="shared" ca="1" si="19"/>
        <v>#NAME?</v>
      </c>
      <c r="T52" s="637" t="e">
        <f t="shared" ca="1" si="19"/>
        <v>#NAME?</v>
      </c>
      <c r="U52" s="640"/>
      <c r="V52" s="637" t="e">
        <f t="shared" ca="1" si="19"/>
        <v>#NAME?</v>
      </c>
      <c r="W52" s="637" t="e">
        <f t="shared" ca="1" si="19"/>
        <v>#NAME?</v>
      </c>
      <c r="X52" s="637" t="e">
        <f t="shared" ca="1" si="19"/>
        <v>#NAME?</v>
      </c>
      <c r="Y52" s="640"/>
      <c r="Z52" s="643" t="e">
        <f t="shared" si="19"/>
        <v>#VALUE!</v>
      </c>
    </row>
    <row r="53" spans="2:26" ht="15" customHeight="1">
      <c r="B53" s="23"/>
      <c r="C53" s="23"/>
      <c r="D53" s="23"/>
      <c r="E53" s="23"/>
      <c r="F53" s="23"/>
      <c r="G53" s="23"/>
      <c r="H53" s="23"/>
      <c r="I53" s="23"/>
      <c r="J53" s="644"/>
      <c r="K53" s="23"/>
      <c r="L53" s="23"/>
      <c r="M53" s="23"/>
      <c r="N53" s="23"/>
      <c r="O53" s="23"/>
      <c r="P53" s="23"/>
      <c r="Q53" s="23"/>
      <c r="R53" s="23"/>
      <c r="S53" s="23"/>
      <c r="T53" s="23"/>
      <c r="U53" s="23"/>
      <c r="V53" s="23"/>
      <c r="W53" s="23"/>
      <c r="X53" s="23"/>
      <c r="Y53" s="23"/>
      <c r="Z53" s="23"/>
    </row>
    <row r="54" spans="2:26" ht="15" customHeight="1">
      <c r="B54" s="629" t="s">
        <v>315</v>
      </c>
      <c r="C54" s="630"/>
      <c r="D54" s="630"/>
      <c r="E54" s="630"/>
      <c r="F54" s="630"/>
      <c r="G54" s="630"/>
      <c r="H54" s="630"/>
      <c r="I54" s="631" t="e">
        <f ca="1">MAX(I39:I43,I27:I31,I15:I19)</f>
        <v>#NAME?</v>
      </c>
      <c r="J54" s="631" t="e">
        <f t="shared" ref="J54:Z54" ca="1" si="20">MAX(J39:J43,J27:J31,J15:J19)</f>
        <v>#NAME?</v>
      </c>
      <c r="K54" s="632" t="e">
        <f t="shared" ca="1" si="20"/>
        <v>#NAME?</v>
      </c>
      <c r="L54" s="631" t="e">
        <f t="shared" ca="1" si="20"/>
        <v>#NAME?</v>
      </c>
      <c r="M54" s="631" t="e">
        <f t="shared" ca="1" si="20"/>
        <v>#NAME?</v>
      </c>
      <c r="N54" s="632" t="e">
        <f t="shared" ca="1" si="20"/>
        <v>#NAME?</v>
      </c>
      <c r="O54" s="631" t="e">
        <f t="shared" ca="1" si="20"/>
        <v>#NAME?</v>
      </c>
      <c r="P54" s="631" t="e">
        <f t="shared" ca="1" si="20"/>
        <v>#NAME?</v>
      </c>
      <c r="Q54" s="631" t="e">
        <f t="shared" ca="1" si="20"/>
        <v>#NAME?</v>
      </c>
      <c r="R54" s="630">
        <f t="shared" si="20"/>
        <v>0</v>
      </c>
      <c r="S54" s="633" t="e">
        <f t="shared" ca="1" si="20"/>
        <v>#NAME?</v>
      </c>
      <c r="T54" s="631" t="e">
        <f t="shared" ca="1" si="20"/>
        <v>#NAME?</v>
      </c>
      <c r="U54" s="634"/>
      <c r="V54" s="631" t="e">
        <f t="shared" ca="1" si="20"/>
        <v>#NAME?</v>
      </c>
      <c r="W54" s="631" t="e">
        <f t="shared" ca="1" si="20"/>
        <v>#NAME?</v>
      </c>
      <c r="X54" s="631" t="e">
        <f t="shared" ca="1" si="20"/>
        <v>#NAME?</v>
      </c>
      <c r="Y54" s="634"/>
      <c r="Z54" s="642" t="e">
        <f t="shared" si="20"/>
        <v>#VALUE!</v>
      </c>
    </row>
    <row r="55" spans="2:26" ht="15" customHeight="1">
      <c r="B55" s="635" t="s">
        <v>334</v>
      </c>
      <c r="C55" s="636"/>
      <c r="D55" s="636"/>
      <c r="E55" s="636"/>
      <c r="F55" s="636"/>
      <c r="G55" s="636"/>
      <c r="H55" s="636"/>
      <c r="I55" s="637" t="e">
        <f ca="1">MIN(I39:I43,I27:I31,I15:I19)</f>
        <v>#NAME?</v>
      </c>
      <c r="J55" s="637" t="e">
        <f t="shared" ref="J55:Z55" ca="1" si="21">MIN(J39:J43,J27:J31,J15:J19)</f>
        <v>#NAME?</v>
      </c>
      <c r="K55" s="638" t="e">
        <f t="shared" ca="1" si="21"/>
        <v>#NAME?</v>
      </c>
      <c r="L55" s="637" t="e">
        <f t="shared" ca="1" si="21"/>
        <v>#NAME?</v>
      </c>
      <c r="M55" s="637" t="e">
        <f t="shared" ca="1" si="21"/>
        <v>#NAME?</v>
      </c>
      <c r="N55" s="638" t="e">
        <f t="shared" ca="1" si="21"/>
        <v>#NAME?</v>
      </c>
      <c r="O55" s="637" t="e">
        <f t="shared" ca="1" si="21"/>
        <v>#NAME?</v>
      </c>
      <c r="P55" s="637" t="e">
        <f t="shared" ca="1" si="21"/>
        <v>#NAME?</v>
      </c>
      <c r="Q55" s="637" t="e">
        <f t="shared" ca="1" si="21"/>
        <v>#NAME?</v>
      </c>
      <c r="R55" s="636">
        <f t="shared" si="21"/>
        <v>0</v>
      </c>
      <c r="S55" s="639" t="e">
        <f t="shared" ca="1" si="21"/>
        <v>#NAME?</v>
      </c>
      <c r="T55" s="637" t="e">
        <f t="shared" ca="1" si="21"/>
        <v>#NAME?</v>
      </c>
      <c r="U55" s="640"/>
      <c r="V55" s="637" t="e">
        <f t="shared" ca="1" si="21"/>
        <v>#NAME?</v>
      </c>
      <c r="W55" s="637" t="e">
        <f t="shared" ca="1" si="21"/>
        <v>#NAME?</v>
      </c>
      <c r="X55" s="637" t="e">
        <f t="shared" ca="1" si="21"/>
        <v>#NAME?</v>
      </c>
      <c r="Y55" s="640"/>
      <c r="Z55" s="643" t="e">
        <f t="shared" si="21"/>
        <v>#VALUE!</v>
      </c>
    </row>
  </sheetData>
  <mergeCells count="2">
    <mergeCell ref="I7:Q7"/>
    <mergeCell ref="V7:X7"/>
  </mergeCells>
  <conditionalFormatting sqref="I27:I31 I39:I43 I15:I19">
    <cfRule type="colorScale" priority="23">
      <colorScale>
        <cfvo type="min"/>
        <cfvo type="percentile" val="50"/>
        <cfvo type="max"/>
        <color rgb="FF8DEB91"/>
        <color theme="0"/>
        <color theme="4" tint="0.79998168889431442"/>
      </colorScale>
    </cfRule>
  </conditionalFormatting>
  <conditionalFormatting sqref="J15:J19 J27:J31 J39:J43">
    <cfRule type="colorScale" priority="14">
      <colorScale>
        <cfvo type="min"/>
        <cfvo type="percentile" val="50"/>
        <cfvo type="max"/>
        <color rgb="FF8DEB91"/>
        <color theme="0"/>
        <color theme="4" tint="0.79998168889431442"/>
      </colorScale>
    </cfRule>
  </conditionalFormatting>
  <conditionalFormatting sqref="K15:K19 K27:K31 K39:K43">
    <cfRule type="colorScale" priority="13">
      <colorScale>
        <cfvo type="min"/>
        <cfvo type="percentile" val="50"/>
        <cfvo type="max"/>
        <color rgb="FF8DEB91"/>
        <color theme="0"/>
        <color theme="4" tint="0.79998168889431442"/>
      </colorScale>
    </cfRule>
  </conditionalFormatting>
  <conditionalFormatting sqref="L15:L19 L27:L31 L39:L43">
    <cfRule type="colorScale" priority="12">
      <colorScale>
        <cfvo type="min"/>
        <cfvo type="percentile" val="50"/>
        <cfvo type="max"/>
        <color rgb="FF8DEB91"/>
        <color theme="0"/>
        <color theme="4" tint="0.79998168889431442"/>
      </colorScale>
    </cfRule>
  </conditionalFormatting>
  <conditionalFormatting sqref="M15:M19 M27:M31 M39:M43">
    <cfRule type="colorScale" priority="11">
      <colorScale>
        <cfvo type="min"/>
        <cfvo type="percentile" val="50"/>
        <cfvo type="max"/>
        <color rgb="FF8DEB91"/>
        <color theme="0"/>
        <color theme="4" tint="0.79998168889431442"/>
      </colorScale>
    </cfRule>
  </conditionalFormatting>
  <conditionalFormatting sqref="N15:N19 N27:N31 N39:N43">
    <cfRule type="colorScale" priority="10">
      <colorScale>
        <cfvo type="min"/>
        <cfvo type="percentile" val="50"/>
        <cfvo type="max"/>
        <color rgb="FF8DEB91"/>
        <color theme="0"/>
        <color theme="4" tint="0.79998168889431442"/>
      </colorScale>
    </cfRule>
  </conditionalFormatting>
  <conditionalFormatting sqref="O15:O19 O27:O31 O39:O43">
    <cfRule type="colorScale" priority="9">
      <colorScale>
        <cfvo type="min"/>
        <cfvo type="percentile" val="50"/>
        <cfvo type="max"/>
        <color rgb="FF8DEB91"/>
        <color theme="0"/>
        <color theme="4" tint="0.79998168889431442"/>
      </colorScale>
    </cfRule>
  </conditionalFormatting>
  <conditionalFormatting sqref="P15:P19 P27:P31 P39:P43">
    <cfRule type="colorScale" priority="8">
      <colorScale>
        <cfvo type="min"/>
        <cfvo type="percentile" val="50"/>
        <cfvo type="max"/>
        <color rgb="FF8DEB91"/>
        <color theme="0"/>
        <color theme="4" tint="0.79998168889431442"/>
      </colorScale>
    </cfRule>
  </conditionalFormatting>
  <conditionalFormatting sqref="Q15:Q19 Q27:Q31 Q39:Q43">
    <cfRule type="colorScale" priority="7">
      <colorScale>
        <cfvo type="min"/>
        <cfvo type="percentile" val="50"/>
        <cfvo type="max"/>
        <color rgb="FF8DEB91"/>
        <color theme="0"/>
        <color theme="4" tint="0.79998168889431442"/>
      </colorScale>
    </cfRule>
  </conditionalFormatting>
  <conditionalFormatting sqref="S15:S19 S27:S31 S39:S43">
    <cfRule type="colorScale" priority="2">
      <colorScale>
        <cfvo type="min"/>
        <cfvo type="percentile" val="50"/>
        <cfvo type="max"/>
        <color theme="4" tint="0.79998168889431442"/>
        <color theme="0"/>
        <color rgb="FF8DEB91"/>
      </colorScale>
    </cfRule>
  </conditionalFormatting>
  <conditionalFormatting sqref="T15:T19 T27:T31 T39:T43">
    <cfRule type="colorScale" priority="6">
      <colorScale>
        <cfvo type="min"/>
        <cfvo type="percentile" val="50"/>
        <cfvo type="max"/>
        <color rgb="FF8DEB91"/>
        <color theme="0"/>
        <color theme="4" tint="0.79998168889431442"/>
      </colorScale>
    </cfRule>
  </conditionalFormatting>
  <conditionalFormatting sqref="V15:V19 V27:V31 V39:V43">
    <cfRule type="colorScale" priority="5">
      <colorScale>
        <cfvo type="min"/>
        <cfvo type="percentile" val="50"/>
        <cfvo type="max"/>
        <color rgb="FF8DEB91"/>
        <color theme="0"/>
        <color theme="4" tint="0.79998168889431442"/>
      </colorScale>
    </cfRule>
  </conditionalFormatting>
  <conditionalFormatting sqref="W15:W19 W27:W31 W39:W43">
    <cfRule type="colorScale" priority="4">
      <colorScale>
        <cfvo type="min"/>
        <cfvo type="percentile" val="50"/>
        <cfvo type="max"/>
        <color rgb="FF8DEB91"/>
        <color theme="0"/>
        <color theme="4" tint="0.79998168889431442"/>
      </colorScale>
    </cfRule>
  </conditionalFormatting>
  <conditionalFormatting sqref="X15:X19 X27:X31 X39:X43">
    <cfRule type="colorScale" priority="3">
      <colorScale>
        <cfvo type="min"/>
        <cfvo type="percentile" val="50"/>
        <cfvo type="max"/>
        <color rgb="FF8DEB91"/>
        <color theme="0"/>
        <color theme="4" tint="0.79998168889431442"/>
      </colorScale>
    </cfRule>
  </conditionalFormatting>
  <conditionalFormatting sqref="Z39:Z43 Z15:Z19 Z27:Z31">
    <cfRule type="colorScale" priority="1">
      <colorScale>
        <cfvo type="min"/>
        <cfvo type="percentile" val="50"/>
        <cfvo type="max"/>
        <color theme="4" tint="0.79998168889431442"/>
        <color theme="0"/>
        <color rgb="FF8DEB91"/>
      </colorScale>
    </cfRule>
  </conditionalFormatting>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8">
    <tabColor rgb="FF7B1314"/>
    <pageSetUpPr autoPageBreaks="0"/>
  </sheetPr>
  <dimension ref="A1:X49"/>
  <sheetViews>
    <sheetView showGridLines="0" topLeftCell="A2" zoomScale="64" zoomScaleNormal="100" workbookViewId="0">
      <selection activeCell="B21" sqref="B21"/>
    </sheetView>
  </sheetViews>
  <sheetFormatPr defaultColWidth="8.875" defaultRowHeight="15" customHeight="1"/>
  <cols>
    <col min="1" max="1" width="2" style="570" customWidth="1"/>
    <col min="2" max="2" width="50.5" style="570" customWidth="1"/>
    <col min="3" max="3" width="3.5" style="570" customWidth="1"/>
    <col min="4" max="8" width="11.5" style="570" customWidth="1"/>
    <col min="9" max="9" width="1.5" style="570" customWidth="1"/>
    <col min="10" max="10" width="9" style="570" customWidth="1"/>
    <col min="11" max="11" width="40.5" style="570" customWidth="1"/>
    <col min="12" max="18" width="9" style="570" customWidth="1"/>
    <col min="19" max="22" width="8.875" style="570"/>
    <col min="23" max="23" width="10" style="570" bestFit="1" customWidth="1"/>
    <col min="24" max="16384" width="8.875" style="570"/>
  </cols>
  <sheetData>
    <row r="1" spans="1:24" s="582" customFormat="1" ht="15" customHeight="1"/>
    <row r="2" spans="1:24" s="582" customFormat="1" ht="15" customHeight="1"/>
    <row r="3" spans="1:24" s="582" customFormat="1" ht="15" customHeight="1"/>
    <row r="4" spans="1:24" s="582" customFormat="1" ht="15" customHeight="1"/>
    <row r="5" spans="1:24" s="568" customFormat="1" ht="3.95" customHeight="1">
      <c r="A5" s="36"/>
      <c r="B5" s="36"/>
      <c r="C5" s="36"/>
      <c r="D5" s="36"/>
      <c r="E5" s="36"/>
      <c r="F5" s="36"/>
      <c r="G5" s="36"/>
      <c r="H5" s="36"/>
      <c r="I5" s="36"/>
      <c r="J5" s="36"/>
      <c r="K5" s="36"/>
      <c r="L5" s="36"/>
      <c r="M5" s="36"/>
      <c r="N5" s="36"/>
      <c r="O5" s="36"/>
      <c r="P5" s="36"/>
      <c r="Q5" s="36"/>
      <c r="R5" s="36"/>
      <c r="S5" s="36"/>
      <c r="T5" s="36"/>
      <c r="U5" s="36"/>
      <c r="V5" s="36"/>
      <c r="W5" s="36"/>
      <c r="X5" s="36"/>
    </row>
    <row r="7" spans="1:24" ht="15" customHeight="1">
      <c r="A7" s="619" t="s">
        <v>38</v>
      </c>
      <c r="B7" s="375" t="s">
        <v>335</v>
      </c>
      <c r="C7" s="32"/>
      <c r="D7" s="32"/>
      <c r="E7" s="32"/>
      <c r="F7" s="32"/>
      <c r="G7" s="32"/>
      <c r="H7" s="32"/>
      <c r="I7" s="32"/>
      <c r="J7" s="647"/>
      <c r="K7" s="375" t="s">
        <v>336</v>
      </c>
      <c r="L7" s="375"/>
      <c r="M7" s="375"/>
      <c r="N7" s="32"/>
      <c r="O7" s="32"/>
      <c r="P7" s="32"/>
      <c r="Q7" s="32"/>
      <c r="R7" s="32"/>
      <c r="S7" s="23"/>
      <c r="T7" s="23"/>
      <c r="U7" s="23"/>
      <c r="V7" s="23"/>
      <c r="W7" s="23"/>
      <c r="X7" s="23"/>
    </row>
    <row r="8" spans="1:24" ht="15" customHeight="1">
      <c r="A8" s="23"/>
      <c r="B8" s="32"/>
      <c r="C8" s="32"/>
      <c r="D8" s="32"/>
      <c r="E8" s="32"/>
      <c r="F8" s="32"/>
      <c r="G8" s="32"/>
      <c r="H8" s="32"/>
      <c r="I8" s="32"/>
      <c r="J8" s="647"/>
      <c r="K8" s="32"/>
      <c r="L8" s="375"/>
      <c r="M8" s="32"/>
      <c r="N8" s="648"/>
      <c r="O8" s="648"/>
      <c r="P8" s="649" t="s">
        <v>337</v>
      </c>
      <c r="Q8" s="648"/>
      <c r="R8" s="648"/>
      <c r="S8" s="23"/>
      <c r="T8" s="23"/>
      <c r="U8" s="23"/>
      <c r="V8" s="23"/>
      <c r="W8" s="23"/>
      <c r="X8" s="23"/>
    </row>
    <row r="9" spans="1:24" ht="15" customHeight="1">
      <c r="A9" s="23"/>
      <c r="B9" s="375"/>
      <c r="C9" s="32"/>
      <c r="D9" s="37">
        <v>2025</v>
      </c>
      <c r="E9" s="37">
        <f>+D9+1</f>
        <v>2026</v>
      </c>
      <c r="F9" s="37">
        <f t="shared" ref="F9:H9" si="0">+E9+1</f>
        <v>2027</v>
      </c>
      <c r="G9" s="37">
        <f t="shared" si="0"/>
        <v>2028</v>
      </c>
      <c r="H9" s="37">
        <f t="shared" si="0"/>
        <v>2029</v>
      </c>
      <c r="I9" s="600"/>
      <c r="J9" s="647"/>
      <c r="K9" s="375"/>
      <c r="L9" s="375"/>
      <c r="M9" s="375" t="s">
        <v>338</v>
      </c>
      <c r="N9" s="37">
        <v>2025</v>
      </c>
      <c r="O9" s="37">
        <f>+N9+1</f>
        <v>2026</v>
      </c>
      <c r="P9" s="37">
        <f t="shared" ref="P9:R9" si="1">+O9+1</f>
        <v>2027</v>
      </c>
      <c r="Q9" s="37">
        <f t="shared" si="1"/>
        <v>2028</v>
      </c>
      <c r="R9" s="37">
        <f t="shared" si="1"/>
        <v>2029</v>
      </c>
      <c r="S9" s="23"/>
      <c r="T9" s="23"/>
      <c r="U9" s="23"/>
      <c r="V9" s="23"/>
      <c r="W9" s="23"/>
      <c r="X9" s="23"/>
    </row>
    <row r="10" spans="1:24" ht="3.95" customHeight="1">
      <c r="A10" s="23"/>
      <c r="B10" s="424"/>
      <c r="C10" s="391"/>
      <c r="D10" s="391"/>
      <c r="E10" s="391"/>
      <c r="F10" s="391"/>
      <c r="G10" s="391"/>
      <c r="H10" s="391"/>
      <c r="I10" s="391"/>
      <c r="J10" s="647"/>
      <c r="K10" s="424"/>
      <c r="L10" s="424"/>
      <c r="M10" s="424"/>
      <c r="N10" s="391"/>
      <c r="O10" s="391"/>
      <c r="P10" s="391"/>
      <c r="Q10" s="391"/>
      <c r="R10" s="391"/>
      <c r="S10" s="23"/>
      <c r="T10" s="23"/>
      <c r="U10" s="23"/>
      <c r="V10" s="23"/>
      <c r="W10" s="23"/>
      <c r="X10" s="23"/>
    </row>
    <row r="11" spans="1:24" ht="3.95" customHeight="1">
      <c r="A11" s="23"/>
      <c r="B11" s="342"/>
      <c r="C11" s="423"/>
      <c r="D11" s="423"/>
      <c r="E11" s="423"/>
      <c r="F11" s="423"/>
      <c r="G11" s="423"/>
      <c r="H11" s="423"/>
      <c r="I11" s="647"/>
      <c r="J11" s="647"/>
      <c r="K11" s="647"/>
      <c r="L11" s="23"/>
      <c r="M11" s="647"/>
      <c r="N11" s="647"/>
      <c r="O11" s="647"/>
      <c r="P11" s="647"/>
      <c r="Q11" s="23"/>
      <c r="R11" s="23"/>
      <c r="S11" s="23"/>
      <c r="T11" s="23"/>
      <c r="U11" s="23"/>
      <c r="V11" s="23"/>
      <c r="W11" s="23"/>
      <c r="X11" s="23"/>
    </row>
    <row r="12" spans="1:24" ht="15" customHeight="1">
      <c r="A12" s="23"/>
      <c r="B12" s="484" t="s">
        <v>339</v>
      </c>
      <c r="C12" s="423"/>
      <c r="D12" s="423"/>
      <c r="E12" s="423"/>
      <c r="F12" s="423"/>
      <c r="G12" s="423"/>
      <c r="H12" s="423"/>
      <c r="I12" s="647"/>
      <c r="J12" s="647"/>
      <c r="K12" s="650" t="str">
        <f>+Segments!B21</f>
        <v xml:space="preserve">      United States and Canada</v>
      </c>
      <c r="L12" s="23"/>
      <c r="M12" s="651">
        <v>4.3299999999999998E-2</v>
      </c>
      <c r="N12" s="652">
        <f>+Segments!AL21/Segments!AL$26</f>
        <v>0.66008835979928238</v>
      </c>
      <c r="O12" s="652">
        <f>Segments!AR21/Segments!AR$26</f>
        <v>0.65102841937740352</v>
      </c>
      <c r="P12" s="652">
        <f>Segments!AT21/Segments!AT$26</f>
        <v>0.64655665761866521</v>
      </c>
      <c r="Q12" s="652">
        <f>+Segments!AR21/Segments!AR$26</f>
        <v>0.65102841937740352</v>
      </c>
      <c r="R12" s="652">
        <f>+Segments!AT21/Segments!AT$26</f>
        <v>0.64655665761866521</v>
      </c>
      <c r="S12" s="23"/>
      <c r="T12" s="23"/>
      <c r="U12" s="23"/>
      <c r="V12" s="23"/>
      <c r="W12" s="696"/>
      <c r="X12" s="23"/>
    </row>
    <row r="13" spans="1:24" ht="15" customHeight="1">
      <c r="A13" s="23"/>
      <c r="B13" s="653" t="s">
        <v>340</v>
      </c>
      <c r="C13" s="23"/>
      <c r="D13" s="654">
        <f>+Inputs!J13</f>
        <v>7188282.8063800009</v>
      </c>
      <c r="E13" s="772">
        <f>+FCFF!AF107*FCFF!AF39</f>
        <v>7651586.0864208722</v>
      </c>
      <c r="F13" s="654">
        <f>+FCFF!AH107*FCFF!AH39</f>
        <v>7562017.2364333514</v>
      </c>
      <c r="G13" s="654">
        <f>+FCFF!AJ107*FCFF!AJ39</f>
        <v>7869841.5611189213</v>
      </c>
      <c r="H13" s="654">
        <f>+FCFF!AL107*FCFF!AL39</f>
        <v>8183215.3852822501</v>
      </c>
      <c r="I13" s="23"/>
      <c r="J13" s="647"/>
      <c r="K13" s="650" t="str">
        <f>+Segments!B22</f>
        <v xml:space="preserve">      Asia</v>
      </c>
      <c r="L13" s="23"/>
      <c r="M13" s="651">
        <f>5.27%</f>
        <v>5.2699999999999997E-2</v>
      </c>
      <c r="N13" s="652">
        <f>+Segments!AL22/Segments!AL$26</f>
        <v>6.650978550722185E-2</v>
      </c>
      <c r="O13" s="652">
        <f>Segments!AR22/Segments!AR$26</f>
        <v>6.6646811682033111E-2</v>
      </c>
      <c r="P13" s="652">
        <f>Segments!AT22/Segments!AT$26</f>
        <v>6.627503169313971E-2</v>
      </c>
      <c r="Q13" s="652">
        <f>+Segments!AR22/Segments!AR$26</f>
        <v>6.6646811682033111E-2</v>
      </c>
      <c r="R13" s="652">
        <f>+Segments!AT22/Segments!AT$26</f>
        <v>6.627503169313971E-2</v>
      </c>
      <c r="S13" s="23"/>
      <c r="T13" s="23"/>
      <c r="U13" s="23"/>
      <c r="V13" s="771"/>
      <c r="W13" s="743"/>
      <c r="X13" s="743"/>
    </row>
    <row r="14" spans="1:24" ht="15" customHeight="1">
      <c r="A14" s="23"/>
      <c r="B14" s="655" t="s">
        <v>341</v>
      </c>
      <c r="C14" s="23"/>
      <c r="D14" s="553">
        <f>IFERROR(D13/D35,"")</f>
        <v>0.74945320131421578</v>
      </c>
      <c r="E14" s="553">
        <f>IFERROR(E13/E35,"")</f>
        <v>0.79278017290713865</v>
      </c>
      <c r="F14" s="553">
        <f>IFERROR(E13/F35,"")</f>
        <v>0.81730100395925975</v>
      </c>
      <c r="G14" s="553">
        <f>IFERROR(F13/G35,"")</f>
        <v>0.76617412646450456</v>
      </c>
      <c r="H14" s="553">
        <f>IFERROR(G13/H35,"")</f>
        <v>0.7728248164615239</v>
      </c>
      <c r="I14" s="480"/>
      <c r="J14" s="480"/>
      <c r="K14" s="650" t="str">
        <f>+Segments!B23</f>
        <v xml:space="preserve">      Europe and Middle East</v>
      </c>
      <c r="L14" s="23"/>
      <c r="M14" s="651">
        <v>5.1299999999999998E-2</v>
      </c>
      <c r="N14" s="652">
        <f>+Segments!AL23/Segments!AL$26</f>
        <v>0.22595937366558769</v>
      </c>
      <c r="O14" s="652">
        <f>Segments!AR23/Segments!AR$26</f>
        <v>0.23196524418220363</v>
      </c>
      <c r="P14" s="652">
        <f>Segments!AT23/Segments!AT$26</f>
        <v>0.23543205772752493</v>
      </c>
      <c r="Q14" s="652">
        <f>+Segments!AR23/Segments!AR$26</f>
        <v>0.23196524418220363</v>
      </c>
      <c r="R14" s="652">
        <f>+Segments!AT23/Segments!AT$26</f>
        <v>0.23543205772752493</v>
      </c>
      <c r="S14" s="23"/>
      <c r="T14" s="23"/>
      <c r="U14" s="23"/>
      <c r="V14" s="771"/>
      <c r="W14" s="743"/>
      <c r="X14" s="743"/>
    </row>
    <row r="15" spans="1:24" ht="15" customHeight="1">
      <c r="A15" s="23"/>
      <c r="B15" s="481" t="s">
        <v>342</v>
      </c>
      <c r="C15" s="23"/>
      <c r="D15" s="651">
        <v>4.1599999999999998E-2</v>
      </c>
      <c r="E15" s="651">
        <v>3.7999999999999999E-2</v>
      </c>
      <c r="F15" s="651">
        <v>3.5999999999999997E-2</v>
      </c>
      <c r="G15" s="651">
        <v>3.4000000000000002E-2</v>
      </c>
      <c r="H15" s="651">
        <v>3.4000000000000002E-2</v>
      </c>
      <c r="I15" s="554"/>
      <c r="J15" s="554"/>
      <c r="K15" s="650" t="str">
        <f>+Segments!B24</f>
        <v xml:space="preserve">      Latin America</v>
      </c>
      <c r="L15" s="23"/>
      <c r="M15" s="701">
        <f>7.96%</f>
        <v>7.9600000000000004E-2</v>
      </c>
      <c r="N15" s="652">
        <f>+Segments!AL24/Segments!AL$26</f>
        <v>4.7442481027908059E-2</v>
      </c>
      <c r="O15" s="652">
        <f>Segments!AR24/Segments!AR$26</f>
        <v>5.0359524758359787E-2</v>
      </c>
      <c r="P15" s="652">
        <f>Segments!AT24/Segments!AT$26</f>
        <v>5.1736252960670075E-2</v>
      </c>
      <c r="Q15" s="652">
        <f>+Segments!AR24/Segments!AR$26</f>
        <v>5.0359524758359787E-2</v>
      </c>
      <c r="R15" s="652">
        <f>+Segments!AT24/Segments!AT$26</f>
        <v>5.1736252960670075E-2</v>
      </c>
      <c r="S15" s="23"/>
      <c r="T15" s="23"/>
      <c r="U15" s="23"/>
      <c r="V15" s="771"/>
      <c r="W15" s="743"/>
      <c r="X15" s="743"/>
    </row>
    <row r="16" spans="1:24" ht="15" customHeight="1">
      <c r="A16" s="23"/>
      <c r="B16" s="481" t="s">
        <v>21</v>
      </c>
      <c r="C16" s="23"/>
      <c r="D16" s="656">
        <f>+Inputs!M18</f>
        <v>0.98372155427932739</v>
      </c>
      <c r="E16" s="657">
        <f>+D17*(1+(E28/E13)*(1-E32))</f>
        <v>0.93717420206842339</v>
      </c>
      <c r="F16" s="657">
        <f>+E17*(1+(F28/F13)*(1-F32))</f>
        <v>0.92378548632319268</v>
      </c>
      <c r="G16" s="657">
        <f>+F17*(1+(G28/G13)*(1-G32))</f>
        <v>0.93336516743725662</v>
      </c>
      <c r="H16" s="657">
        <f>+G17*(1+(H28/H13)*(1-H32))</f>
        <v>0.9275600745485677</v>
      </c>
      <c r="I16" s="658"/>
      <c r="J16" s="658"/>
      <c r="K16" s="650"/>
      <c r="L16" s="23"/>
      <c r="M16" s="700"/>
      <c r="N16" s="652"/>
      <c r="O16" s="652"/>
      <c r="P16" s="652"/>
      <c r="Q16" s="652"/>
      <c r="R16" s="652"/>
      <c r="S16" s="23"/>
      <c r="T16" s="23"/>
      <c r="U16" s="23"/>
      <c r="V16" s="771"/>
      <c r="W16" s="743"/>
      <c r="X16" s="743"/>
    </row>
    <row r="17" spans="2:18" ht="15" customHeight="1">
      <c r="B17" s="481" t="s">
        <v>343</v>
      </c>
      <c r="C17" s="23"/>
      <c r="D17" s="657">
        <f>+D16/(1+(D28/D13)*(1-D32))</f>
        <v>0.78177520753379948</v>
      </c>
      <c r="E17" s="657">
        <f>+E16/(1+(E28/E13)*(1-E32))</f>
        <v>0.78177520753379948</v>
      </c>
      <c r="F17" s="657">
        <f>+F16/(1+(F28/F13)*(1-F32))</f>
        <v>0.78177520753379948</v>
      </c>
      <c r="G17" s="657">
        <f>+G16/(1+(G28/G13)*(1-G32))</f>
        <v>0.78177520753379948</v>
      </c>
      <c r="H17" s="657">
        <f>+H16/(1+(H28/H13)*(1-H32))</f>
        <v>0.78177520753379948</v>
      </c>
      <c r="I17" s="658"/>
      <c r="J17" s="658"/>
      <c r="K17" s="658"/>
      <c r="L17" s="23"/>
      <c r="M17" s="658"/>
      <c r="N17" s="658"/>
      <c r="O17" s="658"/>
      <c r="P17" s="658"/>
      <c r="Q17" s="23"/>
      <c r="R17" s="23"/>
    </row>
    <row r="18" spans="2:18" ht="15" customHeight="1">
      <c r="B18" s="481" t="s">
        <v>336</v>
      </c>
      <c r="C18" s="23"/>
      <c r="D18" s="659">
        <f>+N18</f>
        <v>4.7455029034405648E-2</v>
      </c>
      <c r="E18" s="659">
        <f>+O18</f>
        <v>4.7610252731997198E-2</v>
      </c>
      <c r="F18" s="659">
        <f>+P18</f>
        <v>4.7684467742208032E-2</v>
      </c>
      <c r="G18" s="659">
        <f>+Q18</f>
        <v>4.7610252731997198E-2</v>
      </c>
      <c r="H18" s="659">
        <f>+R18</f>
        <v>4.7684467742208032E-2</v>
      </c>
      <c r="I18" s="660"/>
      <c r="J18" s="660"/>
      <c r="K18" s="661" t="s">
        <v>338</v>
      </c>
      <c r="L18" s="293"/>
      <c r="M18" s="293"/>
      <c r="N18" s="662">
        <f>+SUMPRODUCT($M12:$M16,N12:N16)</f>
        <v>4.7455029034405648E-2</v>
      </c>
      <c r="O18" s="662">
        <f>+SUMPRODUCT($M12:$M16,O12:O16)</f>
        <v>4.7610252731997198E-2</v>
      </c>
      <c r="P18" s="662">
        <f>+SUMPRODUCT($M12:$M16,P12:P16)</f>
        <v>4.7684467742208032E-2</v>
      </c>
      <c r="Q18" s="662">
        <f>+SUMPRODUCT($M12:$M16,Q12:Q16)</f>
        <v>4.7610252731997198E-2</v>
      </c>
      <c r="R18" s="662">
        <f>+SUMPRODUCT($M12:$M16,R12:R16)</f>
        <v>4.7684467742208032E-2</v>
      </c>
    </row>
    <row r="19" spans="2:18" ht="15" customHeight="1">
      <c r="B19" s="663" t="s">
        <v>344</v>
      </c>
      <c r="C19" s="23"/>
      <c r="D19" s="664">
        <f>IFERROR(+D15+D16*D18,"")</f>
        <v>8.8282534920096134E-2</v>
      </c>
      <c r="E19" s="664">
        <f>IFERROR(+E15+E16*E18,"")</f>
        <v>8.2619100614385446E-2</v>
      </c>
      <c r="F19" s="664">
        <f>IFERROR(+F15+F16*F18,"")</f>
        <v>8.0050219223298247E-2</v>
      </c>
      <c r="G19" s="664">
        <f>IFERROR(+G15+G16*G18,"")</f>
        <v>7.843775151293067E-2</v>
      </c>
      <c r="H19" s="664">
        <f>IFERROR(+H15+H16*H18,"")</f>
        <v>7.8230208453771266E-2</v>
      </c>
      <c r="I19" s="665"/>
      <c r="J19" s="665"/>
      <c r="K19" s="665"/>
      <c r="L19" s="665"/>
      <c r="M19" s="665"/>
      <c r="N19" s="665"/>
      <c r="O19" s="665"/>
      <c r="P19" s="23"/>
      <c r="Q19" s="23"/>
      <c r="R19" s="23"/>
    </row>
    <row r="20" spans="2:18" ht="15" customHeight="1">
      <c r="B20" s="378"/>
      <c r="C20" s="23"/>
      <c r="D20" s="23"/>
      <c r="E20" s="23"/>
      <c r="F20" s="23"/>
      <c r="G20" s="23"/>
      <c r="H20" s="23"/>
      <c r="I20" s="554"/>
      <c r="J20" s="554"/>
      <c r="K20" s="23"/>
      <c r="L20" s="23"/>
      <c r="M20" s="23"/>
      <c r="N20" s="23"/>
      <c r="O20" s="23"/>
      <c r="P20" s="23"/>
      <c r="Q20" s="23"/>
      <c r="R20" s="23"/>
    </row>
    <row r="21" spans="2:18" ht="15" customHeight="1">
      <c r="B21" s="484" t="s">
        <v>345</v>
      </c>
      <c r="C21" s="23"/>
      <c r="D21" s="23"/>
      <c r="E21" s="23"/>
      <c r="F21" s="23"/>
      <c r="G21" s="23"/>
      <c r="H21" s="23"/>
      <c r="I21" s="23"/>
      <c r="J21" s="23"/>
      <c r="K21" s="375" t="s">
        <v>346</v>
      </c>
      <c r="L21" s="375"/>
      <c r="M21" s="375"/>
      <c r="N21" s="375"/>
      <c r="O21" s="375"/>
      <c r="P21" s="375"/>
      <c r="Q21" s="375"/>
      <c r="R21" s="375"/>
    </row>
    <row r="22" spans="2:18" ht="15" customHeight="1">
      <c r="B22" s="481" t="s">
        <v>347</v>
      </c>
      <c r="C22" s="23"/>
      <c r="D22" s="96">
        <f ca="1">IFERROR(Inputs!J14,0)</f>
        <v>0</v>
      </c>
      <c r="E22" s="24">
        <f ca="1">+D22*(E13/D13)</f>
        <v>0</v>
      </c>
      <c r="F22" s="24">
        <f ca="1">+E22*(F13/E13)</f>
        <v>0</v>
      </c>
      <c r="G22" s="24">
        <f ca="1">+F22*(G13/F13)</f>
        <v>0</v>
      </c>
      <c r="H22" s="24">
        <f ca="1">+G22*(H13/G13)</f>
        <v>0</v>
      </c>
      <c r="I22" s="23"/>
      <c r="J22" s="23"/>
      <c r="K22" s="375"/>
      <c r="L22" s="375"/>
      <c r="M22" s="375"/>
      <c r="N22" s="375"/>
      <c r="O22" s="375"/>
      <c r="P22" s="375"/>
      <c r="Q22" s="375"/>
      <c r="R22" s="375"/>
    </row>
    <row r="23" spans="2:18" ht="15" customHeight="1">
      <c r="B23" s="655" t="s">
        <v>348</v>
      </c>
      <c r="C23" s="23"/>
      <c r="D23" s="480">
        <f ca="1">+D22/D35</f>
        <v>0</v>
      </c>
      <c r="E23" s="480">
        <f ca="1">+E22/E35</f>
        <v>0</v>
      </c>
      <c r="F23" s="480">
        <f ca="1">+F22/F35</f>
        <v>0</v>
      </c>
      <c r="G23" s="480">
        <f ca="1">+G22/G35</f>
        <v>0</v>
      </c>
      <c r="H23" s="480">
        <f ca="1">+H22/H35</f>
        <v>0</v>
      </c>
      <c r="I23" s="23"/>
      <c r="J23" s="23"/>
      <c r="K23" s="375"/>
      <c r="L23" s="375"/>
      <c r="M23" s="375"/>
      <c r="N23" s="375"/>
      <c r="O23" s="375"/>
      <c r="P23" s="375"/>
      <c r="Q23" s="375"/>
      <c r="R23" s="375"/>
    </row>
    <row r="24" spans="2:18" ht="15" customHeight="1">
      <c r="B24" s="481" t="s">
        <v>349</v>
      </c>
      <c r="C24" s="23"/>
      <c r="D24" s="428">
        <f>+IS!AF50</f>
        <v>0</v>
      </c>
      <c r="E24" s="666">
        <f>D24</f>
        <v>0</v>
      </c>
      <c r="F24" s="666">
        <f t="shared" ref="F24:H24" si="2">E24</f>
        <v>0</v>
      </c>
      <c r="G24" s="666">
        <f t="shared" si="2"/>
        <v>0</v>
      </c>
      <c r="H24" s="666">
        <f t="shared" si="2"/>
        <v>0</v>
      </c>
      <c r="I24" s="23"/>
      <c r="J24" s="23"/>
      <c r="K24" s="23"/>
      <c r="L24" s="23"/>
      <c r="M24" s="23"/>
      <c r="N24" s="23"/>
      <c r="O24" s="667"/>
      <c r="P24" s="23"/>
      <c r="Q24" s="23"/>
      <c r="R24" s="23"/>
    </row>
    <row r="25" spans="2:18" ht="15" customHeight="1">
      <c r="B25" s="663" t="s">
        <v>350</v>
      </c>
      <c r="C25" s="23"/>
      <c r="D25" s="664">
        <f ca="1">IFERROR(D24/D22,0)</f>
        <v>0</v>
      </c>
      <c r="E25" s="664">
        <f ca="1">IFERROR(E24/E22,0)</f>
        <v>0</v>
      </c>
      <c r="F25" s="664">
        <f ca="1">IFERROR(F24/F22,0)</f>
        <v>0</v>
      </c>
      <c r="G25" s="664">
        <f ca="1">IFERROR(G24/G22,0)</f>
        <v>0</v>
      </c>
      <c r="H25" s="664">
        <f ca="1">IFERROR(H24/H22,0)</f>
        <v>0</v>
      </c>
      <c r="I25" s="23"/>
      <c r="J25" s="23"/>
      <c r="K25" s="23"/>
      <c r="L25" s="23"/>
      <c r="M25" s="23"/>
      <c r="N25" s="23"/>
      <c r="O25" s="667"/>
      <c r="P25" s="23"/>
      <c r="Q25" s="23"/>
      <c r="R25" s="23"/>
    </row>
    <row r="26" spans="2:18" ht="15" customHeight="1">
      <c r="B26" s="378"/>
      <c r="C26" s="23"/>
      <c r="D26" s="23"/>
      <c r="E26" s="23"/>
      <c r="F26" s="23"/>
      <c r="G26" s="23"/>
      <c r="H26" s="23"/>
      <c r="I26" s="23"/>
      <c r="J26" s="23"/>
      <c r="K26" s="23"/>
      <c r="L26" s="23"/>
      <c r="M26" s="23"/>
      <c r="N26" s="23"/>
      <c r="O26" s="667"/>
      <c r="P26" s="23"/>
      <c r="Q26" s="23"/>
      <c r="R26" s="23"/>
    </row>
    <row r="27" spans="2:18" ht="15" customHeight="1">
      <c r="B27" s="378" t="s">
        <v>351</v>
      </c>
      <c r="C27" s="23"/>
      <c r="D27" s="23"/>
      <c r="E27" s="23"/>
      <c r="F27" s="23"/>
      <c r="G27" s="23"/>
      <c r="H27" s="23"/>
      <c r="I27" s="23"/>
      <c r="J27" s="23"/>
      <c r="K27" s="23"/>
      <c r="L27" s="23"/>
      <c r="M27" s="23"/>
      <c r="N27" s="23"/>
      <c r="O27" s="667"/>
      <c r="P27" s="23"/>
      <c r="Q27" s="23"/>
      <c r="R27" s="23"/>
    </row>
    <row r="28" spans="2:18" ht="15" customHeight="1">
      <c r="B28" s="653" t="s">
        <v>352</v>
      </c>
      <c r="C28" s="616">
        <f>+BS!AF38+BS!AF39+BS!AF44+BS!AF45</f>
        <v>2521047</v>
      </c>
      <c r="D28" s="668">
        <f>+BS!AI38+BS!AI39+BS!AI44+BS!AI45</f>
        <v>2403087</v>
      </c>
      <c r="E28" s="669">
        <v>2000000</v>
      </c>
      <c r="F28" s="669">
        <v>1800000</v>
      </c>
      <c r="G28" s="669">
        <v>2000000</v>
      </c>
      <c r="H28" s="669">
        <v>2000000</v>
      </c>
      <c r="I28" s="23"/>
      <c r="J28" s="23"/>
      <c r="K28" s="23"/>
      <c r="L28" s="23"/>
      <c r="M28" s="23"/>
      <c r="N28" s="23"/>
      <c r="O28" s="667"/>
      <c r="P28" s="23"/>
      <c r="Q28" s="23"/>
      <c r="R28" s="23"/>
    </row>
    <row r="29" spans="2:18" ht="15" customHeight="1">
      <c r="B29" s="655" t="s">
        <v>353</v>
      </c>
      <c r="C29" s="23"/>
      <c r="D29" s="553">
        <f>IFERROR(D28/D35,"")</f>
        <v>0.25054679868578433</v>
      </c>
      <c r="E29" s="553">
        <f>IFERROR(E28/E35,"")</f>
        <v>0.20721982709286141</v>
      </c>
      <c r="F29" s="553">
        <f>IFERROR(F28/F35,"")</f>
        <v>0.19226625571624628</v>
      </c>
      <c r="G29" s="553">
        <f>IFERROR(G28/G35,"")</f>
        <v>0.20263749804037023</v>
      </c>
      <c r="H29" s="553">
        <f>IFERROR(H28/H35,"")</f>
        <v>0.19640162014942647</v>
      </c>
      <c r="I29" s="667"/>
      <c r="J29" s="667"/>
      <c r="K29" s="667"/>
      <c r="L29" s="667"/>
      <c r="M29" s="667"/>
      <c r="N29" s="667"/>
      <c r="O29" s="23"/>
      <c r="P29" s="23"/>
      <c r="Q29" s="23"/>
      <c r="R29" s="23"/>
    </row>
    <row r="30" spans="2:18" ht="15" customHeight="1">
      <c r="B30" s="481" t="s">
        <v>354</v>
      </c>
      <c r="C30" s="23"/>
      <c r="D30" s="554">
        <f>+D31-D15</f>
        <v>-3.3342288148535612E-2</v>
      </c>
      <c r="E30" s="651"/>
      <c r="F30" s="651"/>
      <c r="G30" s="651"/>
      <c r="H30" s="651"/>
      <c r="I30" s="658"/>
      <c r="J30" s="658"/>
      <c r="K30" s="658"/>
      <c r="L30" s="658"/>
      <c r="M30" s="658"/>
      <c r="N30" s="658"/>
      <c r="O30" s="658"/>
      <c r="P30" s="23"/>
      <c r="Q30" s="23"/>
      <c r="R30" s="23"/>
    </row>
    <row r="31" spans="2:18" ht="15" customHeight="1">
      <c r="B31" s="481" t="s">
        <v>355</v>
      </c>
      <c r="C31" s="23"/>
      <c r="D31" s="613">
        <f>+IS!AI36/WACC!D28</f>
        <v>8.2577118514643878E-3</v>
      </c>
      <c r="E31" s="554">
        <f>+E30+E15</f>
        <v>3.7999999999999999E-2</v>
      </c>
      <c r="F31" s="554">
        <f>+F30+F15</f>
        <v>3.5999999999999997E-2</v>
      </c>
      <c r="G31" s="554">
        <f>+G30+G15</f>
        <v>3.4000000000000002E-2</v>
      </c>
      <c r="H31" s="554">
        <f>+H30+H15</f>
        <v>3.4000000000000002E-2</v>
      </c>
      <c r="I31" s="658"/>
      <c r="J31" s="658"/>
      <c r="K31" s="658"/>
      <c r="L31" s="658"/>
      <c r="M31" s="658"/>
      <c r="N31" s="658"/>
      <c r="O31" s="658"/>
      <c r="P31" s="23"/>
      <c r="Q31" s="23"/>
      <c r="R31" s="23"/>
    </row>
    <row r="32" spans="2:18" ht="15" customHeight="1">
      <c r="B32" s="481" t="s">
        <v>356</v>
      </c>
      <c r="C32" s="23"/>
      <c r="D32" s="670">
        <f>+FCFF!Z132</f>
        <v>0.22730203474057287</v>
      </c>
      <c r="E32" s="670">
        <f>+FCFF!AF132</f>
        <v>0.23952002252929325</v>
      </c>
      <c r="F32" s="670">
        <f>+FCFF!AH132</f>
        <v>0.23686206184811062</v>
      </c>
      <c r="G32" s="670">
        <f>+FCFF!AJ132</f>
        <v>0.23699999999999999</v>
      </c>
      <c r="H32" s="670">
        <f>+FCFF!AL132</f>
        <v>0.23699999999999999</v>
      </c>
      <c r="I32" s="658"/>
      <c r="J32" s="658"/>
      <c r="K32" s="658"/>
      <c r="L32" s="658"/>
      <c r="M32" s="658"/>
      <c r="N32" s="658"/>
      <c r="O32" s="23"/>
      <c r="P32" s="23"/>
      <c r="Q32" s="23"/>
      <c r="R32" s="23"/>
    </row>
    <row r="33" spans="1:14" ht="15" customHeight="1">
      <c r="A33" s="23"/>
      <c r="B33" s="663" t="s">
        <v>357</v>
      </c>
      <c r="C33" s="23"/>
      <c r="D33" s="664">
        <f>+D31*(1-D32)</f>
        <v>6.3807171453251895E-3</v>
      </c>
      <c r="E33" s="664">
        <f t="shared" ref="E33" si="3">+E31*(1-E32)</f>
        <v>2.8898239143886856E-2</v>
      </c>
      <c r="F33" s="664">
        <f>+F31*(1-F32)</f>
        <v>2.7472965773468014E-2</v>
      </c>
      <c r="G33" s="664">
        <f>+G31*(1-G32)</f>
        <v>2.5942000000000003E-2</v>
      </c>
      <c r="H33" s="664">
        <f>+H31*(1-H32)</f>
        <v>2.5942000000000003E-2</v>
      </c>
      <c r="I33" s="658"/>
      <c r="J33" s="658"/>
      <c r="K33" s="658"/>
      <c r="L33" s="658"/>
      <c r="M33" s="658"/>
      <c r="N33" s="658"/>
    </row>
    <row r="34" spans="1:14" ht="15" customHeight="1">
      <c r="A34" s="23"/>
      <c r="B34" s="376"/>
      <c r="C34" s="23"/>
      <c r="D34" s="664"/>
      <c r="E34" s="664"/>
      <c r="F34" s="664"/>
      <c r="G34" s="664"/>
      <c r="H34" s="664"/>
      <c r="I34" s="23"/>
      <c r="J34" s="23"/>
      <c r="K34" s="23"/>
      <c r="L34" s="23"/>
      <c r="M34" s="23"/>
      <c r="N34" s="23"/>
    </row>
    <row r="35" spans="1:14" ht="15" customHeight="1">
      <c r="A35" s="23"/>
      <c r="B35" s="378" t="s">
        <v>358</v>
      </c>
      <c r="C35" s="23"/>
      <c r="D35" s="667">
        <f>+D13+D24+D28</f>
        <v>9591369.80638</v>
      </c>
      <c r="E35" s="667">
        <f>+E13+E24+E28</f>
        <v>9651586.0864208713</v>
      </c>
      <c r="F35" s="667">
        <f>+F13+F24+F28</f>
        <v>9362017.2364333514</v>
      </c>
      <c r="G35" s="667">
        <f>+G13+G24+G28</f>
        <v>9869841.5611189213</v>
      </c>
      <c r="H35" s="667">
        <f>+H13+H24+H28</f>
        <v>10183215.38528225</v>
      </c>
      <c r="I35" s="23"/>
      <c r="J35" s="23"/>
      <c r="K35" s="23"/>
      <c r="L35" s="23"/>
      <c r="M35" s="23"/>
      <c r="N35" s="23"/>
    </row>
    <row r="36" spans="1:14" ht="15" customHeight="1">
      <c r="A36" s="23"/>
      <c r="B36" s="378"/>
      <c r="C36" s="23"/>
      <c r="D36" s="23"/>
      <c r="E36" s="23"/>
      <c r="F36" s="23"/>
      <c r="G36" s="23"/>
      <c r="H36" s="23"/>
      <c r="I36" s="667"/>
      <c r="J36" s="667"/>
      <c r="K36" s="667"/>
      <c r="L36" s="667"/>
      <c r="M36" s="667"/>
      <c r="N36" s="667"/>
    </row>
    <row r="37" spans="1:14" ht="15" customHeight="1">
      <c r="A37" s="23"/>
      <c r="B37" s="378" t="s">
        <v>359</v>
      </c>
      <c r="C37" s="23"/>
      <c r="D37" s="671">
        <v>0</v>
      </c>
      <c r="E37" s="671">
        <v>0</v>
      </c>
      <c r="F37" s="671">
        <v>0</v>
      </c>
      <c r="G37" s="671">
        <v>0</v>
      </c>
      <c r="H37" s="671">
        <v>0</v>
      </c>
      <c r="I37" s="23"/>
      <c r="J37" s="23"/>
      <c r="K37" s="23"/>
      <c r="L37" s="23"/>
      <c r="M37" s="23"/>
      <c r="N37" s="23"/>
    </row>
    <row r="38" spans="1:14" ht="15" customHeight="1">
      <c r="A38" s="23"/>
      <c r="B38" s="378"/>
      <c r="C38" s="23"/>
      <c r="D38" s="23"/>
      <c r="E38" s="23"/>
      <c r="F38" s="23"/>
      <c r="G38" s="23"/>
      <c r="H38" s="23"/>
      <c r="I38" s="658"/>
      <c r="J38" s="658"/>
      <c r="K38" s="658"/>
      <c r="L38" s="658"/>
      <c r="M38" s="658"/>
      <c r="N38" s="658"/>
    </row>
    <row r="39" spans="1:14" ht="15" customHeight="1">
      <c r="A39" s="619" t="s">
        <v>38</v>
      </c>
      <c r="B39" s="672" t="s">
        <v>360</v>
      </c>
      <c r="C39" s="673"/>
      <c r="D39" s="674">
        <f ca="1">+D19*D14+D25*D23+D33*D29+D37</f>
        <v>6.7762296670080824E-2</v>
      </c>
      <c r="E39" s="674">
        <f ca="1">D39</f>
        <v>6.7762296670080824E-2</v>
      </c>
      <c r="F39" s="674">
        <f ca="1">E39</f>
        <v>6.7762296670080824E-2</v>
      </c>
      <c r="G39" s="674">
        <f ca="1">F39</f>
        <v>6.7762296670080824E-2</v>
      </c>
      <c r="H39" s="674">
        <f ca="1">G39</f>
        <v>6.7762296670080824E-2</v>
      </c>
      <c r="I39" s="23"/>
      <c r="J39" s="23"/>
      <c r="K39" s="23"/>
      <c r="L39" s="23"/>
      <c r="M39" s="23"/>
      <c r="N39" s="23"/>
    </row>
    <row r="40" spans="1:14" ht="15" customHeight="1">
      <c r="A40" s="23"/>
      <c r="B40" s="23"/>
      <c r="C40" s="23"/>
      <c r="D40" s="23"/>
      <c r="E40" s="23"/>
      <c r="F40" s="23"/>
      <c r="G40" s="23"/>
      <c r="H40" s="23"/>
      <c r="I40" s="675"/>
      <c r="J40" s="675"/>
      <c r="K40" s="675"/>
      <c r="L40" s="675"/>
      <c r="M40" s="675"/>
      <c r="N40" s="675"/>
    </row>
    <row r="41" spans="1:14" ht="15" hidden="1" customHeight="1">
      <c r="A41" s="23"/>
      <c r="B41" s="23" t="s">
        <v>361</v>
      </c>
      <c r="C41" s="23"/>
      <c r="D41" s="24">
        <f>+FCFF!Z134</f>
        <v>481811.57187930588</v>
      </c>
      <c r="E41" s="24">
        <f>+FCFF!AF134</f>
        <v>541147.93370145303</v>
      </c>
      <c r="F41" s="24">
        <f>+FCFF!AH134</f>
        <v>631773.7526589866</v>
      </c>
      <c r="G41" s="24">
        <f>+FCFF!AJ134</f>
        <v>728476.74136133259</v>
      </c>
      <c r="H41" s="24">
        <f>+FCFF!AL134</f>
        <v>786115.73806997354</v>
      </c>
      <c r="I41" s="675"/>
      <c r="J41" s="675"/>
      <c r="K41" s="675"/>
      <c r="L41" s="675"/>
      <c r="M41" s="675"/>
      <c r="N41" s="675"/>
    </row>
    <row r="42" spans="1:14" ht="15" hidden="1" customHeight="1">
      <c r="A42" s="23"/>
      <c r="B42" s="23" t="s">
        <v>362</v>
      </c>
      <c r="C42" s="23"/>
      <c r="D42" s="24">
        <f>+FCFF!Z120+FCFF!Z123</f>
        <v>-513804.83333333331</v>
      </c>
      <c r="E42" s="24">
        <f>+FCFF!AF120+FCFF!AF123</f>
        <v>-114140.5</v>
      </c>
      <c r="F42" s="24">
        <f>+FCFF!AH120+FCFF!AH123</f>
        <v>-74455.166666666672</v>
      </c>
      <c r="G42" s="24">
        <f>+FCFF!AJ120+FCFF!AJ123</f>
        <v>-74455.166666666672</v>
      </c>
      <c r="H42" s="24">
        <f>+FCFF!AL120+FCFF!AL123</f>
        <v>-74455.166666666672</v>
      </c>
      <c r="I42" s="675"/>
      <c r="J42" s="675"/>
      <c r="K42" s="675"/>
      <c r="L42" s="675"/>
      <c r="M42" s="675"/>
      <c r="N42" s="675"/>
    </row>
    <row r="43" spans="1:14" ht="15" hidden="1" customHeight="1">
      <c r="A43" s="23"/>
      <c r="B43" s="23" t="s">
        <v>363</v>
      </c>
      <c r="C43" s="617">
        <f>+BS!AF54</f>
        <v>3638431</v>
      </c>
      <c r="D43" s="24">
        <f>+C43+D41+D42</f>
        <v>3606437.7385459724</v>
      </c>
      <c r="E43" s="24">
        <f t="shared" ref="E43:H43" si="4">+D43+E41+E42</f>
        <v>4033445.1722474257</v>
      </c>
      <c r="F43" s="24">
        <f t="shared" si="4"/>
        <v>4590763.7582397452</v>
      </c>
      <c r="G43" s="24">
        <f t="shared" si="4"/>
        <v>5244785.3329344103</v>
      </c>
      <c r="H43" s="24">
        <f t="shared" si="4"/>
        <v>5956445.9043377172</v>
      </c>
      <c r="I43" s="675"/>
      <c r="J43" s="675"/>
      <c r="K43" s="675"/>
      <c r="L43" s="675"/>
      <c r="M43" s="675"/>
      <c r="N43" s="675"/>
    </row>
    <row r="44" spans="1:14" ht="15" hidden="1" customHeight="1">
      <c r="A44" s="23"/>
      <c r="B44" s="23" t="s">
        <v>364</v>
      </c>
      <c r="C44" s="617">
        <f>+C43+C28</f>
        <v>6159478</v>
      </c>
      <c r="D44" s="24">
        <f t="shared" ref="D44:H44" si="5">+D43+D28</f>
        <v>6009524.7385459729</v>
      </c>
      <c r="E44" s="24">
        <f>+E43+E28</f>
        <v>6033445.1722474257</v>
      </c>
      <c r="F44" s="24">
        <f t="shared" si="5"/>
        <v>6390763.7582397452</v>
      </c>
      <c r="G44" s="24">
        <f t="shared" si="5"/>
        <v>7244785.3329344103</v>
      </c>
      <c r="H44" s="24">
        <f t="shared" si="5"/>
        <v>7956445.9043377172</v>
      </c>
      <c r="I44" s="675"/>
      <c r="J44" s="675"/>
      <c r="K44" s="23"/>
      <c r="L44" s="675"/>
      <c r="M44" s="675"/>
      <c r="N44" s="675"/>
    </row>
    <row r="45" spans="1:14" ht="15" customHeight="1">
      <c r="A45" s="619" t="s">
        <v>38</v>
      </c>
      <c r="B45" s="614" t="s">
        <v>251</v>
      </c>
      <c r="C45" s="676"/>
      <c r="D45" s="677">
        <f>+D41/((D44+C44)/2)</f>
        <v>7.9186697912909776E-2</v>
      </c>
      <c r="E45" s="677">
        <f t="shared" ref="E45:H45" si="6">+E41/((E44+D44)/2)</f>
        <v>8.9869515195990707E-2</v>
      </c>
      <c r="F45" s="677">
        <f t="shared" si="6"/>
        <v>0.10170043923017219</v>
      </c>
      <c r="G45" s="677">
        <f t="shared" si="6"/>
        <v>0.10684963788262135</v>
      </c>
      <c r="H45" s="678">
        <f t="shared" si="6"/>
        <v>0.10342790341120323</v>
      </c>
      <c r="I45" s="23"/>
      <c r="J45" s="23"/>
      <c r="K45" s="23"/>
      <c r="L45" s="23"/>
      <c r="M45" s="23"/>
      <c r="N45" s="23"/>
    </row>
    <row r="46" spans="1:14" ht="15" customHeight="1">
      <c r="A46" s="23"/>
      <c r="B46" s="23"/>
      <c r="C46" s="23"/>
      <c r="D46" s="23"/>
      <c r="E46" s="23"/>
      <c r="F46" s="23"/>
      <c r="G46" s="23"/>
      <c r="H46" s="23"/>
      <c r="I46" s="23"/>
      <c r="J46" s="23"/>
      <c r="K46" s="23"/>
      <c r="L46" s="23"/>
      <c r="M46" s="23"/>
      <c r="N46" s="23"/>
    </row>
    <row r="49" spans="23:23" ht="15" customHeight="1">
      <c r="W49" s="23" t="s">
        <v>365</v>
      </c>
    </row>
  </sheetData>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C9F5C-54DB-4848-BFEC-82787530F319}">
  <sheetPr>
    <tabColor rgb="FFBE606D"/>
  </sheetPr>
  <dimension ref="B2:AR185"/>
  <sheetViews>
    <sheetView topLeftCell="B12" zoomScale="52" zoomScaleNormal="80" workbookViewId="0">
      <selection activeCell="AB25" sqref="AB25"/>
    </sheetView>
  </sheetViews>
  <sheetFormatPr defaultColWidth="11" defaultRowHeight="14.1"/>
  <cols>
    <col min="2" max="2" width="12.375" bestFit="1" customWidth="1"/>
    <col min="3" max="3" width="23.5" bestFit="1" customWidth="1"/>
    <col min="5" max="5" width="9" bestFit="1" customWidth="1"/>
    <col min="6" max="8" width="10.5" bestFit="1" customWidth="1"/>
    <col min="9" max="9" width="11.5" customWidth="1"/>
    <col min="10" max="10" width="11" customWidth="1"/>
    <col min="11" max="14" width="10.5" bestFit="1" customWidth="1"/>
    <col min="15" max="15" width="9.375" bestFit="1" customWidth="1"/>
    <col min="16" max="16" width="9" bestFit="1" customWidth="1"/>
    <col min="17" max="20" width="10.5" bestFit="1" customWidth="1"/>
    <col min="21" max="21" width="9.5" bestFit="1" customWidth="1"/>
    <col min="22" max="22" width="9" bestFit="1" customWidth="1"/>
    <col min="23" max="24" width="10.5" bestFit="1" customWidth="1"/>
    <col min="25" max="25" width="9.375" bestFit="1" customWidth="1"/>
    <col min="41" max="41" width="14.5" bestFit="1" customWidth="1"/>
  </cols>
  <sheetData>
    <row r="2" spans="2:39" ht="15">
      <c r="E2" s="818" t="s">
        <v>366</v>
      </c>
      <c r="F2" s="818"/>
      <c r="G2" s="818"/>
      <c r="H2" s="818"/>
      <c r="I2" s="818"/>
      <c r="K2" s="818" t="s">
        <v>367</v>
      </c>
      <c r="L2" s="818"/>
      <c r="M2" s="818"/>
      <c r="N2" s="818"/>
      <c r="O2" s="818"/>
      <c r="Q2" s="818" t="s">
        <v>368</v>
      </c>
      <c r="R2" s="818"/>
      <c r="S2" s="818"/>
      <c r="T2" s="818"/>
      <c r="U2" s="818"/>
      <c r="W2" s="818" t="s">
        <v>369</v>
      </c>
      <c r="X2" s="818"/>
      <c r="Y2" s="818"/>
      <c r="Z2" s="818"/>
      <c r="AA2" s="818"/>
      <c r="AC2" s="818" t="s">
        <v>309</v>
      </c>
      <c r="AD2" s="818"/>
      <c r="AE2" s="818"/>
      <c r="AF2" s="818"/>
      <c r="AG2" s="818"/>
      <c r="AI2" s="706" t="s">
        <v>370</v>
      </c>
      <c r="AK2" s="706" t="s">
        <v>371</v>
      </c>
      <c r="AM2" s="706" t="s">
        <v>372</v>
      </c>
    </row>
    <row r="3" spans="2:39" ht="15">
      <c r="D3" s="705"/>
      <c r="E3" s="706" t="s">
        <v>191</v>
      </c>
      <c r="F3" s="706" t="s">
        <v>192</v>
      </c>
      <c r="G3" s="706" t="s">
        <v>193</v>
      </c>
      <c r="H3" s="706" t="s">
        <v>194</v>
      </c>
      <c r="I3" s="706" t="s">
        <v>195</v>
      </c>
      <c r="J3" s="707"/>
      <c r="K3" s="706" t="s">
        <v>191</v>
      </c>
      <c r="L3" s="706" t="s">
        <v>192</v>
      </c>
      <c r="M3" s="706" t="s">
        <v>193</v>
      </c>
      <c r="N3" s="706" t="s">
        <v>194</v>
      </c>
      <c r="O3" s="706" t="s">
        <v>195</v>
      </c>
      <c r="P3" s="707"/>
      <c r="Q3" s="706" t="s">
        <v>191</v>
      </c>
      <c r="R3" s="706" t="s">
        <v>192</v>
      </c>
      <c r="S3" s="706" t="s">
        <v>193</v>
      </c>
      <c r="T3" s="706" t="s">
        <v>194</v>
      </c>
      <c r="U3" s="706" t="s">
        <v>195</v>
      </c>
      <c r="V3" s="707"/>
      <c r="W3" s="706" t="s">
        <v>191</v>
      </c>
      <c r="X3" s="708" t="s">
        <v>192</v>
      </c>
      <c r="Y3" s="706" t="s">
        <v>193</v>
      </c>
      <c r="Z3" s="706" t="s">
        <v>194</v>
      </c>
      <c r="AA3" s="706" t="s">
        <v>195</v>
      </c>
      <c r="AB3" s="707"/>
      <c r="AC3" s="706" t="s">
        <v>191</v>
      </c>
      <c r="AD3" s="706" t="s">
        <v>192</v>
      </c>
      <c r="AE3" s="706" t="s">
        <v>193</v>
      </c>
      <c r="AF3" s="706" t="s">
        <v>194</v>
      </c>
      <c r="AG3" s="706" t="s">
        <v>195</v>
      </c>
      <c r="AH3" s="707"/>
      <c r="AI3" s="706" t="s">
        <v>195</v>
      </c>
      <c r="AJ3" s="707"/>
      <c r="AK3" s="706" t="s">
        <v>195</v>
      </c>
      <c r="AL3" s="707"/>
      <c r="AM3" s="706" t="s">
        <v>195</v>
      </c>
    </row>
    <row r="4" spans="2:39">
      <c r="B4" t="s">
        <v>373</v>
      </c>
      <c r="C4" t="s">
        <v>374</v>
      </c>
      <c r="X4" s="709"/>
    </row>
    <row r="5" spans="2:39">
      <c r="C5" s="702" t="s">
        <v>375</v>
      </c>
      <c r="E5" s="711">
        <v>543653</v>
      </c>
      <c r="F5" s="711">
        <v>609679</v>
      </c>
      <c r="G5" s="711">
        <v>623662</v>
      </c>
      <c r="H5" s="711">
        <v>633272</v>
      </c>
      <c r="I5" s="711">
        <v>2410266</v>
      </c>
      <c r="J5" s="711"/>
      <c r="K5" s="711">
        <v>613935</v>
      </c>
      <c r="L5" s="711">
        <v>645663</v>
      </c>
      <c r="M5" s="711">
        <v>634009</v>
      </c>
      <c r="N5" s="711">
        <v>627864</v>
      </c>
      <c r="O5" s="711">
        <v>2521471</v>
      </c>
      <c r="P5" s="711"/>
      <c r="Q5" s="711">
        <v>590344</v>
      </c>
      <c r="R5" s="711">
        <v>619379</v>
      </c>
      <c r="S5" s="711">
        <v>600068</v>
      </c>
      <c r="T5" s="711">
        <v>609445</v>
      </c>
      <c r="U5" s="711">
        <v>2419236</v>
      </c>
      <c r="V5" s="711"/>
      <c r="W5" s="711">
        <v>562717</v>
      </c>
      <c r="X5" s="713">
        <v>580605</v>
      </c>
      <c r="Y5" s="719">
        <f>SUM(Y6:Y9)</f>
        <v>593316.10712242953</v>
      </c>
      <c r="Z5" s="719">
        <f>SUM(Z6:Z9)</f>
        <v>605444.67163070687</v>
      </c>
      <c r="AA5" s="719">
        <f>SUM(AA6:AA9)</f>
        <v>2342082.7787531363</v>
      </c>
      <c r="AB5" s="719"/>
      <c r="AC5" s="719">
        <f>SUM(AC6:AC9)</f>
        <v>574279.13263146847</v>
      </c>
      <c r="AD5" s="719">
        <f>SUM(AD6:AD9)</f>
        <v>592653.50980460038</v>
      </c>
      <c r="AE5" s="719">
        <f>SUM(AE6:AE9)</f>
        <v>606673.33388962527</v>
      </c>
      <c r="AF5" s="719">
        <f>SUM(AF6:AF9)</f>
        <v>619159.3777263849</v>
      </c>
      <c r="AG5" s="719">
        <f>SUM(AG6:AG9)</f>
        <v>2392765.3540520794</v>
      </c>
      <c r="AH5" s="719"/>
      <c r="AI5" s="719">
        <f>SUM(AI6:AI9)</f>
        <v>2497982.417631689</v>
      </c>
      <c r="AJ5" s="719"/>
      <c r="AK5" s="719">
        <f>SUM(AK6:AK9)</f>
        <v>2592943.4863199326</v>
      </c>
      <c r="AL5" s="719"/>
      <c r="AM5" s="719">
        <f>SUM(AM6:AM9)</f>
        <v>2697062.5379691413</v>
      </c>
    </row>
    <row r="6" spans="2:39">
      <c r="C6" s="703" t="s">
        <v>376</v>
      </c>
      <c r="E6" s="711">
        <v>374909</v>
      </c>
      <c r="F6" s="711">
        <v>454464</v>
      </c>
      <c r="G6" s="711">
        <v>464053</v>
      </c>
      <c r="H6" s="711">
        <v>472831</v>
      </c>
      <c r="I6" s="711">
        <v>1766257</v>
      </c>
      <c r="J6" s="711"/>
      <c r="K6" s="711">
        <v>452655</v>
      </c>
      <c r="L6" s="711">
        <v>474745</v>
      </c>
      <c r="M6" s="711">
        <v>458529</v>
      </c>
      <c r="N6" s="711">
        <v>442487</v>
      </c>
      <c r="O6" s="711">
        <v>1828416</v>
      </c>
      <c r="P6" s="711"/>
      <c r="Q6" s="711">
        <v>426528</v>
      </c>
      <c r="R6" s="711">
        <v>442395</v>
      </c>
      <c r="S6" s="711">
        <v>419515</v>
      </c>
      <c r="T6" s="711">
        <v>421923</v>
      </c>
      <c r="U6" s="711">
        <v>1710361</v>
      </c>
      <c r="V6" s="711"/>
      <c r="W6" s="711">
        <v>413860</v>
      </c>
      <c r="X6" s="713">
        <v>412575</v>
      </c>
      <c r="Y6" s="719">
        <f t="shared" ref="Y6:Z9" si="0">S6*(1+Y28)</f>
        <v>399170.84165430529</v>
      </c>
      <c r="Z6" s="719">
        <f t="shared" si="0"/>
        <v>398580.35664464702</v>
      </c>
      <c r="AA6" s="719">
        <f>SUM(W6:Z6)</f>
        <v>1624186.1982989523</v>
      </c>
      <c r="AB6" s="719"/>
      <c r="AC6" s="719">
        <f t="shared" ref="AC6:AF9" si="1">W6*(1+AC28)</f>
        <v>422137.2</v>
      </c>
      <c r="AD6" s="719">
        <f t="shared" si="1"/>
        <v>420826.5</v>
      </c>
      <c r="AE6" s="719">
        <f t="shared" si="1"/>
        <v>407154.2584873914</v>
      </c>
      <c r="AF6" s="719">
        <f t="shared" si="1"/>
        <v>406551.96377753996</v>
      </c>
      <c r="AG6" s="719">
        <f>SUM(AC6:AF6)</f>
        <v>1656669.9222649315</v>
      </c>
      <c r="AH6" s="719"/>
      <c r="AI6" s="719">
        <f>AG6*(1+AI28)</f>
        <v>1739503.418378178</v>
      </c>
      <c r="AJ6" s="719"/>
      <c r="AK6" s="719">
        <f>AI6*(1+AK28)</f>
        <v>1809083.5551133051</v>
      </c>
      <c r="AL6" s="719"/>
      <c r="AM6" s="719">
        <f>AK6*(1+AM28)</f>
        <v>1881446.8973178375</v>
      </c>
    </row>
    <row r="7" spans="2:39">
      <c r="C7" s="703" t="s">
        <v>377</v>
      </c>
      <c r="E7" s="711">
        <v>52016</v>
      </c>
      <c r="F7" s="711">
        <v>45802</v>
      </c>
      <c r="G7" s="711">
        <v>55243</v>
      </c>
      <c r="H7" s="711">
        <v>59132</v>
      </c>
      <c r="I7" s="711">
        <v>212193</v>
      </c>
      <c r="J7" s="711"/>
      <c r="K7" s="711">
        <v>56526</v>
      </c>
      <c r="L7" s="711">
        <v>57453</v>
      </c>
      <c r="M7" s="711">
        <v>59922</v>
      </c>
      <c r="N7" s="711">
        <v>59138</v>
      </c>
      <c r="O7" s="711">
        <v>233039</v>
      </c>
      <c r="P7" s="711"/>
      <c r="Q7" s="711">
        <v>51387</v>
      </c>
      <c r="R7" s="711">
        <v>55992</v>
      </c>
      <c r="S7" s="711">
        <v>53725</v>
      </c>
      <c r="T7" s="711">
        <v>54154</v>
      </c>
      <c r="U7" s="711">
        <v>215258</v>
      </c>
      <c r="V7" s="711"/>
      <c r="W7" s="711">
        <v>48715</v>
      </c>
      <c r="X7" s="713">
        <v>51835</v>
      </c>
      <c r="Y7" s="719">
        <f t="shared" si="0"/>
        <v>53222.153808304036</v>
      </c>
      <c r="Z7" s="719">
        <f t="shared" si="0"/>
        <v>51874.76685861338</v>
      </c>
      <c r="AA7" s="719">
        <f>SUM(W7:Z7)</f>
        <v>205646.92066691743</v>
      </c>
      <c r="AB7" s="719"/>
      <c r="AC7" s="719">
        <f t="shared" si="1"/>
        <v>48346.245369027391</v>
      </c>
      <c r="AD7" s="719">
        <f t="shared" si="1"/>
        <v>51442.62811666909</v>
      </c>
      <c r="AE7" s="719">
        <f t="shared" si="1"/>
        <v>53020.71774459524</v>
      </c>
      <c r="AF7" s="719">
        <f t="shared" si="1"/>
        <v>51776.598632657631</v>
      </c>
      <c r="AG7" s="719">
        <f>SUM(AC7:AF7)</f>
        <v>204586.18986294934</v>
      </c>
      <c r="AH7" s="719"/>
      <c r="AI7" s="719">
        <f>AG7*(1+AI29)</f>
        <v>204586.18986294934</v>
      </c>
      <c r="AJ7" s="719"/>
      <c r="AK7" s="719">
        <f>AI7*(1+AK29)</f>
        <v>206632.05176157883</v>
      </c>
      <c r="AL7" s="719"/>
      <c r="AM7" s="719">
        <f>AK7*(1+AM29)</f>
        <v>210764.69279681041</v>
      </c>
    </row>
    <row r="8" spans="2:39">
      <c r="C8" s="703" t="s">
        <v>378</v>
      </c>
      <c r="E8" s="711">
        <v>100291</v>
      </c>
      <c r="F8" s="711">
        <v>92328</v>
      </c>
      <c r="G8" s="711">
        <v>86962</v>
      </c>
      <c r="H8" s="711">
        <v>84562</v>
      </c>
      <c r="I8" s="711">
        <v>364143</v>
      </c>
      <c r="J8" s="711"/>
      <c r="K8" s="711">
        <v>86965</v>
      </c>
      <c r="L8" s="711">
        <v>94175</v>
      </c>
      <c r="M8" s="711">
        <v>91112</v>
      </c>
      <c r="N8" s="711">
        <v>97571</v>
      </c>
      <c r="O8" s="711">
        <v>369823</v>
      </c>
      <c r="P8" s="711"/>
      <c r="Q8" s="711">
        <v>90465</v>
      </c>
      <c r="R8" s="711">
        <v>98266</v>
      </c>
      <c r="S8" s="711">
        <v>99494</v>
      </c>
      <c r="T8" s="711">
        <v>108612</v>
      </c>
      <c r="U8" s="711">
        <v>396837</v>
      </c>
      <c r="V8" s="711"/>
      <c r="W8" s="711">
        <v>82051</v>
      </c>
      <c r="X8" s="713">
        <v>96244</v>
      </c>
      <c r="Y8" s="719">
        <f t="shared" si="0"/>
        <v>106444.58402786845</v>
      </c>
      <c r="Z8" s="719">
        <f t="shared" si="0"/>
        <v>123111.61560696707</v>
      </c>
      <c r="AA8" s="719">
        <f>SUM(W8:Z8)</f>
        <v>407851.19963483553</v>
      </c>
      <c r="AB8" s="719"/>
      <c r="AC8" s="719">
        <f t="shared" si="1"/>
        <v>84332.017800000001</v>
      </c>
      <c r="AD8" s="719">
        <f t="shared" si="1"/>
        <v>98919.583200000008</v>
      </c>
      <c r="AE8" s="719">
        <f t="shared" si="1"/>
        <v>109403.7434638432</v>
      </c>
      <c r="AF8" s="719">
        <f t="shared" si="1"/>
        <v>126534.11852084076</v>
      </c>
      <c r="AG8" s="719">
        <f>SUM(AC8:AF8)</f>
        <v>419189.46298468398</v>
      </c>
      <c r="AH8" s="719"/>
      <c r="AI8" s="719">
        <f>AG8*(1+AI30)</f>
        <v>435957.04150407133</v>
      </c>
      <c r="AJ8" s="719"/>
      <c r="AK8" s="719">
        <f>AI8*(1+AK30)</f>
        <v>453395.32316423417</v>
      </c>
      <c r="AL8" s="719"/>
      <c r="AM8" s="719">
        <f>AK8*(1+AM30)</f>
        <v>476065.08932244591</v>
      </c>
    </row>
    <row r="9" spans="2:39">
      <c r="C9" s="703" t="s">
        <v>379</v>
      </c>
      <c r="E9" s="711">
        <v>16437</v>
      </c>
      <c r="F9" s="711">
        <v>17085</v>
      </c>
      <c r="G9" s="711">
        <v>17404</v>
      </c>
      <c r="H9" s="711">
        <v>16747</v>
      </c>
      <c r="I9" s="711">
        <v>67673</v>
      </c>
      <c r="J9" s="711"/>
      <c r="K9" s="711">
        <v>17789</v>
      </c>
      <c r="L9" s="711">
        <v>19290</v>
      </c>
      <c r="M9" s="711">
        <v>24446</v>
      </c>
      <c r="N9" s="711">
        <v>28668</v>
      </c>
      <c r="O9" s="711">
        <v>90193</v>
      </c>
      <c r="P9" s="711"/>
      <c r="Q9" s="711">
        <v>21964</v>
      </c>
      <c r="R9" s="711">
        <v>22726</v>
      </c>
      <c r="S9" s="711">
        <v>27334</v>
      </c>
      <c r="T9" s="711">
        <v>24756</v>
      </c>
      <c r="U9" s="711">
        <v>96780</v>
      </c>
      <c r="V9" s="711"/>
      <c r="W9" s="711">
        <v>18091</v>
      </c>
      <c r="X9" s="713">
        <v>19951</v>
      </c>
      <c r="Y9" s="719">
        <f t="shared" si="0"/>
        <v>34478.527631951722</v>
      </c>
      <c r="Z9" s="719">
        <f t="shared" si="0"/>
        <v>31877.932520479419</v>
      </c>
      <c r="AA9" s="719">
        <f>SUM(W9:Z9)</f>
        <v>104398.46015243114</v>
      </c>
      <c r="AB9" s="719"/>
      <c r="AC9" s="719">
        <f t="shared" si="1"/>
        <v>19463.669462441165</v>
      </c>
      <c r="AD9" s="719">
        <f t="shared" si="1"/>
        <v>21464.798487931221</v>
      </c>
      <c r="AE9" s="719">
        <f t="shared" si="1"/>
        <v>37094.614193795402</v>
      </c>
      <c r="AF9" s="719">
        <f t="shared" si="1"/>
        <v>34296.696795346601</v>
      </c>
      <c r="AG9" s="719">
        <f>SUM(AC9:AF9)</f>
        <v>112319.77893951439</v>
      </c>
      <c r="AH9" s="719"/>
      <c r="AI9" s="719">
        <f>AG9*(1+AI31)</f>
        <v>117935.76788649011</v>
      </c>
      <c r="AJ9" s="719"/>
      <c r="AK9" s="719">
        <f>AI9*(1+AK31)</f>
        <v>123832.55628081462</v>
      </c>
      <c r="AL9" s="719"/>
      <c r="AM9" s="719">
        <f>AK9*(1+AM31)</f>
        <v>128785.8585320472</v>
      </c>
    </row>
    <row r="10" spans="2:39">
      <c r="C10" s="704"/>
      <c r="E10" s="711"/>
      <c r="F10" s="711"/>
      <c r="G10" s="711"/>
      <c r="H10" s="711"/>
      <c r="I10" s="711"/>
      <c r="J10" s="711"/>
      <c r="K10" s="711"/>
      <c r="L10" s="711"/>
      <c r="M10" s="711"/>
      <c r="N10" s="711"/>
      <c r="O10" s="711"/>
      <c r="P10" s="711"/>
      <c r="Q10" s="711"/>
      <c r="R10" s="711"/>
      <c r="S10" s="711"/>
      <c r="T10" s="711"/>
      <c r="U10" s="711"/>
      <c r="V10" s="711"/>
      <c r="W10" s="711"/>
      <c r="X10" s="713"/>
      <c r="Y10" s="719"/>
      <c r="Z10" s="719"/>
      <c r="AA10" s="719"/>
      <c r="AB10" s="719"/>
      <c r="AC10" s="719"/>
      <c r="AD10" s="719"/>
      <c r="AE10" s="719"/>
      <c r="AF10" s="719"/>
      <c r="AG10" s="719"/>
      <c r="AH10" s="719"/>
      <c r="AI10" s="719"/>
      <c r="AJ10" s="719"/>
      <c r="AK10" s="719"/>
      <c r="AL10" s="719"/>
      <c r="AM10" s="719"/>
    </row>
    <row r="11" spans="2:39">
      <c r="C11" s="702" t="s">
        <v>380</v>
      </c>
      <c r="E11" s="711">
        <v>119943</v>
      </c>
      <c r="F11" s="711">
        <v>123913</v>
      </c>
      <c r="G11" s="711">
        <v>148244</v>
      </c>
      <c r="H11" s="711">
        <v>182365</v>
      </c>
      <c r="I11" s="711">
        <v>574465</v>
      </c>
      <c r="J11" s="711"/>
      <c r="K11" s="711">
        <v>173503</v>
      </c>
      <c r="L11" s="711">
        <v>188748</v>
      </c>
      <c r="M11" s="711">
        <v>166667</v>
      </c>
      <c r="N11" s="711">
        <v>191700</v>
      </c>
      <c r="O11" s="711">
        <v>720618</v>
      </c>
      <c r="P11" s="711"/>
      <c r="Q11" s="711">
        <v>162683</v>
      </c>
      <c r="R11" s="711">
        <v>179404</v>
      </c>
      <c r="S11" s="711">
        <v>169523</v>
      </c>
      <c r="T11" s="711">
        <v>219393</v>
      </c>
      <c r="U11" s="711">
        <v>731003</v>
      </c>
      <c r="V11" s="711"/>
      <c r="W11" s="711">
        <v>167906</v>
      </c>
      <c r="X11" s="713">
        <v>216195</v>
      </c>
      <c r="Y11" s="719">
        <f>SUM(Y12:Y15)</f>
        <v>186908.31047866077</v>
      </c>
      <c r="Z11" s="719">
        <f>SUM(Z12:Z15)</f>
        <v>238830.82975888974</v>
      </c>
      <c r="AA11" s="719">
        <f>SUM(AA12:AA15)</f>
        <v>809840.1402375506</v>
      </c>
      <c r="AB11" s="719"/>
      <c r="AC11" s="719">
        <f>SUM(AC12:AC15)</f>
        <v>192569.12868777814</v>
      </c>
      <c r="AD11" s="719">
        <f>SUM(AD12:AD15)</f>
        <v>244383.06987113919</v>
      </c>
      <c r="AE11" s="719">
        <f>SUM(AE12:AE15)</f>
        <v>212183.44171078978</v>
      </c>
      <c r="AF11" s="719">
        <f>SUM(AF12:AF15)</f>
        <v>274934.46754616132</v>
      </c>
      <c r="AG11" s="719">
        <f>SUM(AG12:AG15)</f>
        <v>924070.10781586845</v>
      </c>
      <c r="AH11" s="719"/>
      <c r="AI11" s="719">
        <f>SUM(AI12:AI15)</f>
        <v>1019758.2740353496</v>
      </c>
      <c r="AJ11" s="719"/>
      <c r="AK11" s="719">
        <f>SUM(AK12:AK15)</f>
        <v>1107569.2143947775</v>
      </c>
      <c r="AL11" s="719"/>
      <c r="AM11" s="719">
        <f>SUM(AM12:AM15)</f>
        <v>1186555.1107206298</v>
      </c>
    </row>
    <row r="12" spans="2:39">
      <c r="C12" s="703" t="s">
        <v>376</v>
      </c>
      <c r="E12" s="711">
        <v>94797</v>
      </c>
      <c r="F12" s="711">
        <v>87873</v>
      </c>
      <c r="G12" s="711">
        <v>104367</v>
      </c>
      <c r="H12" s="711">
        <v>123816</v>
      </c>
      <c r="I12" s="711">
        <v>410853</v>
      </c>
      <c r="J12" s="711"/>
      <c r="K12" s="711">
        <v>116900</v>
      </c>
      <c r="L12" s="711">
        <v>126953</v>
      </c>
      <c r="M12" s="711">
        <v>111092</v>
      </c>
      <c r="N12" s="711">
        <v>124367</v>
      </c>
      <c r="O12" s="711">
        <v>479312</v>
      </c>
      <c r="P12" s="711"/>
      <c r="Q12" s="711">
        <v>103030</v>
      </c>
      <c r="R12" s="711">
        <v>108659</v>
      </c>
      <c r="S12" s="711">
        <v>103391</v>
      </c>
      <c r="T12" s="711">
        <v>128324.00000000001</v>
      </c>
      <c r="U12" s="711">
        <v>443404</v>
      </c>
      <c r="V12" s="711"/>
      <c r="W12" s="711">
        <v>93163</v>
      </c>
      <c r="X12" s="713">
        <v>124950</v>
      </c>
      <c r="Y12" s="719">
        <f t="shared" ref="Y12:Z15" si="2">S12*(1+Y34)</f>
        <v>103138.47540942658</v>
      </c>
      <c r="Z12" s="719">
        <f t="shared" si="2"/>
        <v>130650.98081793304</v>
      </c>
      <c r="AA12" s="719">
        <f>SUM(W12:Z12)</f>
        <v>451902.45622735965</v>
      </c>
      <c r="AB12" s="719"/>
      <c r="AC12" s="719">
        <f t="shared" ref="AC12:AF15" si="3">W12*(1+AC34)</f>
        <v>95957.89</v>
      </c>
      <c r="AD12" s="719">
        <f t="shared" si="3"/>
        <v>129948</v>
      </c>
      <c r="AE12" s="719">
        <f t="shared" si="3"/>
        <v>108295.39917989791</v>
      </c>
      <c r="AF12" s="719">
        <f t="shared" si="3"/>
        <v>138490.03966700903</v>
      </c>
      <c r="AG12" s="719">
        <f>SUM(AC12:AF12)</f>
        <v>472691.32884690695</v>
      </c>
      <c r="AH12" s="719"/>
      <c r="AI12" s="719">
        <f>AG12*(1+AI34)</f>
        <v>501052.80857772141</v>
      </c>
      <c r="AJ12" s="719"/>
      <c r="AK12" s="719">
        <f>AI12*(1+AK34)</f>
        <v>536126.5051781619</v>
      </c>
      <c r="AL12" s="719"/>
      <c r="AM12" s="719">
        <f>AK12*(1+AM34)</f>
        <v>573655.36054063321</v>
      </c>
    </row>
    <row r="13" spans="2:39">
      <c r="C13" s="703" t="s">
        <v>377</v>
      </c>
      <c r="E13" s="711">
        <v>3743</v>
      </c>
      <c r="F13" s="711">
        <v>4114</v>
      </c>
      <c r="G13" s="711">
        <v>7805</v>
      </c>
      <c r="H13" s="711">
        <v>4633</v>
      </c>
      <c r="I13" s="711">
        <v>20295</v>
      </c>
      <c r="J13" s="711"/>
      <c r="K13" s="711">
        <v>8587</v>
      </c>
      <c r="L13" s="711">
        <v>15531</v>
      </c>
      <c r="M13" s="711">
        <v>6389</v>
      </c>
      <c r="N13" s="711">
        <v>9701</v>
      </c>
      <c r="O13" s="711">
        <v>40208</v>
      </c>
      <c r="P13" s="711"/>
      <c r="Q13" s="711">
        <v>6368</v>
      </c>
      <c r="R13" s="711">
        <v>6951</v>
      </c>
      <c r="S13" s="711">
        <v>7437</v>
      </c>
      <c r="T13" s="711">
        <v>8229</v>
      </c>
      <c r="U13" s="711">
        <v>28985</v>
      </c>
      <c r="V13" s="711"/>
      <c r="W13" s="711">
        <v>3704</v>
      </c>
      <c r="X13" s="713">
        <v>7456</v>
      </c>
      <c r="Y13" s="719">
        <f t="shared" si="2"/>
        <v>7372.334409668123</v>
      </c>
      <c r="Z13" s="719">
        <f t="shared" si="2"/>
        <v>12105.495564763951</v>
      </c>
      <c r="AA13" s="719">
        <f>SUM(W13:Z13)</f>
        <v>30637.829974432076</v>
      </c>
      <c r="AB13" s="719"/>
      <c r="AC13" s="719">
        <f t="shared" si="3"/>
        <v>4466.2751602062999</v>
      </c>
      <c r="AD13" s="719">
        <f t="shared" si="3"/>
        <v>7997.6889656164576</v>
      </c>
      <c r="AE13" s="719">
        <f t="shared" si="3"/>
        <v>7740.9511301515295</v>
      </c>
      <c r="AF13" s="719">
        <f t="shared" si="3"/>
        <v>17808.120411777822</v>
      </c>
      <c r="AG13" s="719">
        <f>SUM(AC13:AF13)</f>
        <v>38013.035667752105</v>
      </c>
      <c r="AH13" s="719"/>
      <c r="AI13" s="719">
        <f>AG13*(1+AI35)</f>
        <v>43334.860661237406</v>
      </c>
      <c r="AJ13" s="719"/>
      <c r="AK13" s="719">
        <f>AI13*(1+AK35)</f>
        <v>48535.0439405859</v>
      </c>
      <c r="AL13" s="719"/>
      <c r="AM13" s="719">
        <f>AK13*(1+AM35)</f>
        <v>53388.548334644496</v>
      </c>
    </row>
    <row r="14" spans="2:39">
      <c r="C14" s="703" t="s">
        <v>378</v>
      </c>
      <c r="E14" s="711">
        <v>14200</v>
      </c>
      <c r="F14" s="711">
        <v>20460</v>
      </c>
      <c r="G14" s="711">
        <v>24264</v>
      </c>
      <c r="H14" s="711">
        <v>41292</v>
      </c>
      <c r="I14" s="711">
        <v>100216</v>
      </c>
      <c r="J14" s="711"/>
      <c r="K14" s="711">
        <v>34059</v>
      </c>
      <c r="L14" s="711">
        <v>33499</v>
      </c>
      <c r="M14" s="711">
        <v>34250</v>
      </c>
      <c r="N14" s="711">
        <v>43485</v>
      </c>
      <c r="O14" s="711">
        <v>145293</v>
      </c>
      <c r="P14" s="711"/>
      <c r="Q14" s="711">
        <v>41825</v>
      </c>
      <c r="R14" s="711">
        <v>50354</v>
      </c>
      <c r="S14" s="711">
        <v>45280</v>
      </c>
      <c r="T14" s="711">
        <v>56643</v>
      </c>
      <c r="U14" s="711">
        <v>194102</v>
      </c>
      <c r="V14" s="711"/>
      <c r="W14" s="711">
        <v>54688</v>
      </c>
      <c r="X14" s="713">
        <v>65223</v>
      </c>
      <c r="Y14" s="719">
        <f t="shared" si="2"/>
        <v>61888.704239737584</v>
      </c>
      <c r="Z14" s="719">
        <f t="shared" si="2"/>
        <v>66716.862961110368</v>
      </c>
      <c r="AA14" s="719">
        <f>SUM(W14:Z14)</f>
        <v>248516.56720084796</v>
      </c>
      <c r="AB14" s="719"/>
      <c r="AC14" s="719">
        <f t="shared" si="3"/>
        <v>69332.336918633184</v>
      </c>
      <c r="AD14" s="719">
        <f t="shared" si="3"/>
        <v>84482.65736584978</v>
      </c>
      <c r="AE14" s="719">
        <f t="shared" si="3"/>
        <v>80455.31551165886</v>
      </c>
      <c r="AF14" s="719">
        <f t="shared" si="3"/>
        <v>78582.345627378148</v>
      </c>
      <c r="AG14" s="719">
        <f>SUM(AC14:AF14)</f>
        <v>312852.65542351996</v>
      </c>
      <c r="AH14" s="719"/>
      <c r="AI14" s="719">
        <f>AG14*(1+AI36)</f>
        <v>359780.55373704794</v>
      </c>
      <c r="AJ14" s="719"/>
      <c r="AK14" s="719">
        <f>AI14*(1+AK36)</f>
        <v>395758.60911075276</v>
      </c>
      <c r="AL14" s="719"/>
      <c r="AM14" s="719">
        <f>AK14*(1+AM36)</f>
        <v>423461.71174850548</v>
      </c>
    </row>
    <row r="15" spans="2:39">
      <c r="C15" s="703" t="s">
        <v>379</v>
      </c>
      <c r="E15" s="711">
        <v>7203</v>
      </c>
      <c r="F15" s="711">
        <v>11466</v>
      </c>
      <c r="G15" s="711">
        <v>11808</v>
      </c>
      <c r="H15" s="711">
        <v>12624</v>
      </c>
      <c r="I15" s="711">
        <v>43101</v>
      </c>
      <c r="J15" s="711"/>
      <c r="K15" s="711">
        <v>13957</v>
      </c>
      <c r="L15" s="711">
        <v>12765</v>
      </c>
      <c r="M15" s="711">
        <v>14936</v>
      </c>
      <c r="N15" s="711">
        <v>14147</v>
      </c>
      <c r="O15" s="711">
        <v>55805</v>
      </c>
      <c r="P15" s="711"/>
      <c r="Q15" s="711">
        <v>11460</v>
      </c>
      <c r="R15" s="711">
        <v>13440</v>
      </c>
      <c r="S15" s="711">
        <v>13415</v>
      </c>
      <c r="T15" s="711">
        <v>26197</v>
      </c>
      <c r="U15" s="711">
        <v>64512</v>
      </c>
      <c r="V15" s="711"/>
      <c r="W15" s="711">
        <v>16351</v>
      </c>
      <c r="X15" s="713">
        <v>18566</v>
      </c>
      <c r="Y15" s="719">
        <f t="shared" si="2"/>
        <v>14508.796419828484</v>
      </c>
      <c r="Z15" s="719">
        <f t="shared" si="2"/>
        <v>29357.490415082382</v>
      </c>
      <c r="AA15" s="719">
        <f>SUM(W15:Z15)</f>
        <v>78783.286834910861</v>
      </c>
      <c r="AB15" s="719"/>
      <c r="AC15" s="719">
        <f t="shared" si="3"/>
        <v>22812.626608938688</v>
      </c>
      <c r="AD15" s="719">
        <f t="shared" si="3"/>
        <v>21954.723539672956</v>
      </c>
      <c r="AE15" s="719">
        <f t="shared" si="3"/>
        <v>15691.775889081466</v>
      </c>
      <c r="AF15" s="719">
        <f t="shared" si="3"/>
        <v>40053.961839996329</v>
      </c>
      <c r="AG15" s="719">
        <f>SUM(AC15:AF15)</f>
        <v>100513.08787768944</v>
      </c>
      <c r="AH15" s="719"/>
      <c r="AI15" s="719">
        <f>AG15*(1+AI37)</f>
        <v>115590.05105934285</v>
      </c>
      <c r="AJ15" s="719"/>
      <c r="AK15" s="719">
        <f>AI15*(1+AK37)</f>
        <v>127149.05616527714</v>
      </c>
      <c r="AL15" s="719"/>
      <c r="AM15" s="719">
        <f>AK15*(1+AM37)</f>
        <v>136049.49009684654</v>
      </c>
    </row>
    <row r="16" spans="2:39">
      <c r="C16" s="704"/>
      <c r="E16" s="711"/>
      <c r="F16" s="711"/>
      <c r="G16" s="711"/>
      <c r="H16" s="711"/>
      <c r="I16" s="711"/>
      <c r="J16" s="711"/>
      <c r="K16" s="711"/>
      <c r="L16" s="711"/>
      <c r="M16" s="711"/>
      <c r="N16" s="711"/>
      <c r="O16" s="711"/>
      <c r="P16" s="711"/>
      <c r="Q16" s="711"/>
      <c r="R16" s="711"/>
      <c r="S16" s="711"/>
      <c r="T16" s="711"/>
      <c r="U16" s="711"/>
      <c r="V16" s="711"/>
      <c r="W16" s="711"/>
      <c r="X16" s="713"/>
      <c r="Y16" s="719"/>
      <c r="Z16" s="719"/>
      <c r="AA16" s="719"/>
      <c r="AB16" s="719"/>
      <c r="AC16" s="719"/>
      <c r="AD16" s="719"/>
      <c r="AE16" s="719"/>
      <c r="AF16" s="719"/>
      <c r="AG16" s="719"/>
      <c r="AH16" s="719"/>
      <c r="AI16" s="719"/>
      <c r="AJ16" s="719"/>
      <c r="AK16" s="719"/>
      <c r="AL16" s="719"/>
      <c r="AM16" s="719"/>
    </row>
    <row r="17" spans="2:43">
      <c r="C17" s="702" t="s">
        <v>381</v>
      </c>
      <c r="E17" s="711">
        <v>331080</v>
      </c>
      <c r="F17" s="711">
        <v>280009</v>
      </c>
      <c r="G17" s="711">
        <v>220965</v>
      </c>
      <c r="H17" s="711">
        <v>216068</v>
      </c>
      <c r="I17" s="711">
        <v>1048122</v>
      </c>
      <c r="J17" s="711"/>
      <c r="K17" s="711">
        <v>219958</v>
      </c>
      <c r="L17" s="711">
        <v>205571</v>
      </c>
      <c r="M17" s="711">
        <v>179975</v>
      </c>
      <c r="N17" s="711">
        <v>189012</v>
      </c>
      <c r="O17" s="711">
        <v>794516</v>
      </c>
      <c r="P17" s="711"/>
      <c r="Q17" s="711">
        <v>173899</v>
      </c>
      <c r="R17" s="711">
        <v>192763</v>
      </c>
      <c r="S17" s="711">
        <v>173218</v>
      </c>
      <c r="T17" s="711">
        <v>185043</v>
      </c>
      <c r="U17" s="711">
        <v>724923</v>
      </c>
      <c r="V17" s="711"/>
      <c r="W17" s="711">
        <v>176004</v>
      </c>
      <c r="X17" s="713">
        <v>181059</v>
      </c>
      <c r="Y17" s="719">
        <f>SUM(Y18:Y21)</f>
        <v>156588.00269759097</v>
      </c>
      <c r="Z17" s="719">
        <f>SUM(Z18:Z21)</f>
        <v>188864.98487151536</v>
      </c>
      <c r="AA17" s="719">
        <f>SUM(AA18:AA21)</f>
        <v>702515.98756910639</v>
      </c>
      <c r="AB17" s="719"/>
      <c r="AC17" s="719">
        <f>SUM(AC18:AC21)</f>
        <v>177185.16657186561</v>
      </c>
      <c r="AD17" s="719">
        <f>SUM(AD18:AD21)</f>
        <v>182685.68807774398</v>
      </c>
      <c r="AE17" s="719">
        <f>SUM(AE18:AE21)</f>
        <v>158296.75440587348</v>
      </c>
      <c r="AF17" s="719">
        <f>SUM(AF18:AF21)</f>
        <v>192226.46526959637</v>
      </c>
      <c r="AG17" s="719">
        <f>SUM(AG18:AG21)</f>
        <v>710394.07432507933</v>
      </c>
      <c r="AH17" s="719"/>
      <c r="AI17" s="719">
        <f>SUM(AI18:AI21)</f>
        <v>729398.59925728443</v>
      </c>
      <c r="AJ17" s="719"/>
      <c r="AK17" s="719">
        <f>SUM(AK18:AK21)</f>
        <v>755997.83135876537</v>
      </c>
      <c r="AL17" s="719"/>
      <c r="AM17" s="719">
        <f>SUM(AM18:AM21)</f>
        <v>783613.52580442315</v>
      </c>
    </row>
    <row r="18" spans="2:43">
      <c r="C18" s="703" t="s">
        <v>376</v>
      </c>
      <c r="E18" s="711">
        <v>229599</v>
      </c>
      <c r="F18" s="711">
        <v>189729</v>
      </c>
      <c r="G18" s="711">
        <v>145757</v>
      </c>
      <c r="H18" s="711">
        <v>136824</v>
      </c>
      <c r="I18" s="711">
        <v>701909</v>
      </c>
      <c r="J18" s="711"/>
      <c r="K18" s="711">
        <v>143959</v>
      </c>
      <c r="L18" s="711">
        <v>134755</v>
      </c>
      <c r="M18" s="711">
        <v>116522</v>
      </c>
      <c r="N18" s="711">
        <v>118097</v>
      </c>
      <c r="O18" s="711">
        <v>513333</v>
      </c>
      <c r="P18" s="711"/>
      <c r="Q18" s="711">
        <v>107041</v>
      </c>
      <c r="R18" s="711">
        <v>124777</v>
      </c>
      <c r="S18" s="711">
        <v>112912</v>
      </c>
      <c r="T18" s="711">
        <v>116377</v>
      </c>
      <c r="U18" s="711">
        <v>461107</v>
      </c>
      <c r="V18" s="711"/>
      <c r="W18" s="711">
        <v>112851</v>
      </c>
      <c r="X18" s="713">
        <v>111122</v>
      </c>
      <c r="Y18" s="719">
        <f t="shared" ref="Y18:Z21" si="4">S18*(1+Y40)</f>
        <v>99839.340445161055</v>
      </c>
      <c r="Z18" s="719">
        <f t="shared" si="4"/>
        <v>117540.77</v>
      </c>
      <c r="AA18" s="719">
        <f>SUM(W18:Z18)</f>
        <v>441353.11044516106</v>
      </c>
      <c r="AB18" s="719"/>
      <c r="AC18" s="719">
        <f t="shared" ref="AC18:AF21" si="5">W18*(1+AC40)</f>
        <v>113979.51</v>
      </c>
      <c r="AD18" s="719">
        <f t="shared" si="5"/>
        <v>112233.22</v>
      </c>
      <c r="AE18" s="719">
        <f t="shared" si="5"/>
        <v>100837.73384961266</v>
      </c>
      <c r="AF18" s="719">
        <f t="shared" si="5"/>
        <v>118716.1777</v>
      </c>
      <c r="AG18" s="719">
        <f>SUM(AC18:AF18)</f>
        <v>445766.64154961263</v>
      </c>
      <c r="AH18" s="719"/>
      <c r="AI18" s="719">
        <f>AG18*(1+AI40)</f>
        <v>456910.80758835288</v>
      </c>
      <c r="AJ18" s="719"/>
      <c r="AK18" s="719">
        <f>AI18*(1+AK40)</f>
        <v>472902.68585394521</v>
      </c>
      <c r="AL18" s="719"/>
      <c r="AM18" s="719">
        <f>AK18*(1+AM40)</f>
        <v>489454.27985883324</v>
      </c>
    </row>
    <row r="19" spans="2:43">
      <c r="C19" s="703" t="s">
        <v>377</v>
      </c>
      <c r="E19" s="711">
        <v>6005</v>
      </c>
      <c r="F19" s="711">
        <v>10072</v>
      </c>
      <c r="G19" s="711">
        <v>11647</v>
      </c>
      <c r="H19" s="711">
        <v>4397</v>
      </c>
      <c r="I19" s="711">
        <v>32121</v>
      </c>
      <c r="J19" s="711"/>
      <c r="K19" s="711">
        <v>3189</v>
      </c>
      <c r="L19" s="711">
        <v>2092</v>
      </c>
      <c r="M19" s="711">
        <v>3371</v>
      </c>
      <c r="N19" s="711">
        <v>3959</v>
      </c>
      <c r="O19" s="711">
        <v>12611</v>
      </c>
      <c r="P19" s="711"/>
      <c r="Q19" s="711">
        <v>2596</v>
      </c>
      <c r="R19" s="711">
        <v>3843</v>
      </c>
      <c r="S19" s="711">
        <v>5994</v>
      </c>
      <c r="T19" s="711">
        <v>6029</v>
      </c>
      <c r="U19" s="711">
        <v>18462</v>
      </c>
      <c r="V19" s="711"/>
      <c r="W19" s="711">
        <v>2808</v>
      </c>
      <c r="X19" s="713">
        <v>3198</v>
      </c>
      <c r="Y19" s="719">
        <f t="shared" si="4"/>
        <v>6196.4118092752033</v>
      </c>
      <c r="Z19" s="719">
        <f t="shared" si="4"/>
        <v>7304.8748715153615</v>
      </c>
      <c r="AA19" s="719">
        <f>SUM(W19:Z19)</f>
        <v>19507.286680790567</v>
      </c>
      <c r="AB19" s="719"/>
      <c r="AC19" s="719">
        <f t="shared" si="5"/>
        <v>2271.4565718656404</v>
      </c>
      <c r="AD19" s="719">
        <f t="shared" si="5"/>
        <v>3066.7380777439753</v>
      </c>
      <c r="AE19" s="719">
        <f t="shared" si="5"/>
        <v>6405.6588772314308</v>
      </c>
      <c r="AF19" s="719">
        <f t="shared" si="5"/>
        <v>8850.7541695963791</v>
      </c>
      <c r="AG19" s="719">
        <f>SUM(AC19:AF19)</f>
        <v>20594.607696437422</v>
      </c>
      <c r="AH19" s="719"/>
      <c r="AI19" s="719">
        <f>AG19*(1+AI41)</f>
        <v>21212.445927330547</v>
      </c>
      <c r="AJ19" s="719"/>
      <c r="AK19" s="719">
        <f>AI19*(1+AK41)</f>
        <v>21848.819305150464</v>
      </c>
      <c r="AL19" s="719"/>
      <c r="AM19" s="719">
        <f>AK19*(1+AM41)</f>
        <v>22504.283884304979</v>
      </c>
    </row>
    <row r="20" spans="2:43">
      <c r="C20" s="703" t="s">
        <v>378</v>
      </c>
      <c r="E20" s="711">
        <v>93583</v>
      </c>
      <c r="F20" s="711">
        <v>78382</v>
      </c>
      <c r="G20" s="711">
        <v>60200</v>
      </c>
      <c r="H20" s="711">
        <v>71675</v>
      </c>
      <c r="I20" s="711">
        <v>303840</v>
      </c>
      <c r="J20" s="711"/>
      <c r="K20" s="711">
        <v>70386</v>
      </c>
      <c r="L20" s="711">
        <v>66771</v>
      </c>
      <c r="M20" s="711">
        <v>57474</v>
      </c>
      <c r="N20" s="711">
        <v>63570</v>
      </c>
      <c r="O20" s="711">
        <v>258201</v>
      </c>
      <c r="P20" s="711"/>
      <c r="Q20" s="711">
        <v>62157</v>
      </c>
      <c r="R20" s="711">
        <v>61468</v>
      </c>
      <c r="S20" s="711">
        <v>52952</v>
      </c>
      <c r="T20" s="711">
        <v>59397</v>
      </c>
      <c r="U20" s="711">
        <v>235974</v>
      </c>
      <c r="V20" s="711"/>
      <c r="W20" s="711">
        <v>58920</v>
      </c>
      <c r="X20" s="713">
        <v>64673</v>
      </c>
      <c r="Y20" s="719">
        <f t="shared" si="4"/>
        <v>49669.99673178119</v>
      </c>
      <c r="Z20" s="719">
        <f t="shared" si="4"/>
        <v>60584.94</v>
      </c>
      <c r="AA20" s="719">
        <f>SUM(W20:Z20)</f>
        <v>233847.9367317812</v>
      </c>
      <c r="AB20" s="719"/>
      <c r="AC20" s="719">
        <f t="shared" si="5"/>
        <v>59509.2</v>
      </c>
      <c r="AD20" s="719">
        <f t="shared" si="5"/>
        <v>65319.73</v>
      </c>
      <c r="AE20" s="719">
        <f t="shared" si="5"/>
        <v>50166.696699099004</v>
      </c>
      <c r="AF20" s="719">
        <f t="shared" si="5"/>
        <v>61190.789400000001</v>
      </c>
      <c r="AG20" s="719">
        <f>SUM(AC20:AF20)</f>
        <v>236186.41609909901</v>
      </c>
      <c r="AH20" s="719"/>
      <c r="AI20" s="719">
        <f>AG20*(1+AI42)</f>
        <v>243272.00858207198</v>
      </c>
      <c r="AJ20" s="719"/>
      <c r="AK20" s="719">
        <f>AI20*(1+AK42)</f>
        <v>253002.88892535487</v>
      </c>
      <c r="AL20" s="719"/>
      <c r="AM20" s="719">
        <f>AK20*(1+AM42)</f>
        <v>263123.00448236906</v>
      </c>
    </row>
    <row r="21" spans="2:43">
      <c r="C21" s="703" t="s">
        <v>379</v>
      </c>
      <c r="E21" s="711">
        <v>1893</v>
      </c>
      <c r="F21" s="711">
        <v>1826</v>
      </c>
      <c r="G21" s="711">
        <v>3361</v>
      </c>
      <c r="H21" s="711">
        <v>3172</v>
      </c>
      <c r="I21" s="711">
        <v>10252</v>
      </c>
      <c r="J21" s="711"/>
      <c r="K21" s="711">
        <v>2424</v>
      </c>
      <c r="L21" s="711">
        <v>1953</v>
      </c>
      <c r="M21" s="711">
        <v>2608</v>
      </c>
      <c r="N21" s="711">
        <v>3386</v>
      </c>
      <c r="O21" s="711">
        <v>10371</v>
      </c>
      <c r="P21" s="711"/>
      <c r="Q21" s="711">
        <v>2105</v>
      </c>
      <c r="R21" s="711">
        <v>2675</v>
      </c>
      <c r="S21" s="711">
        <v>1360</v>
      </c>
      <c r="T21" s="711">
        <v>3240</v>
      </c>
      <c r="U21" s="711">
        <v>9380</v>
      </c>
      <c r="V21" s="711"/>
      <c r="W21" s="711">
        <v>1425</v>
      </c>
      <c r="X21" s="713">
        <v>2066</v>
      </c>
      <c r="Y21" s="719">
        <f t="shared" si="4"/>
        <v>882.25371137351385</v>
      </c>
      <c r="Z21" s="719">
        <f t="shared" si="4"/>
        <v>3434.4</v>
      </c>
      <c r="AA21" s="719">
        <f>SUM(W21:Z21)</f>
        <v>7807.6537113735139</v>
      </c>
      <c r="AB21" s="719"/>
      <c r="AC21" s="719">
        <f t="shared" si="5"/>
        <v>1425</v>
      </c>
      <c r="AD21" s="719">
        <f t="shared" si="5"/>
        <v>2066</v>
      </c>
      <c r="AE21" s="719">
        <f t="shared" si="5"/>
        <v>886.66497993038138</v>
      </c>
      <c r="AF21" s="719">
        <f t="shared" si="5"/>
        <v>3468.7440000000001</v>
      </c>
      <c r="AG21" s="719">
        <f>SUM(AC21:AF21)</f>
        <v>7846.408979930382</v>
      </c>
      <c r="AH21" s="719"/>
      <c r="AI21" s="719">
        <f>AG21*(1+AI43)</f>
        <v>8003.33715952899</v>
      </c>
      <c r="AJ21" s="719"/>
      <c r="AK21" s="719">
        <f>AI21*(1+AK43)</f>
        <v>8243.4372743148597</v>
      </c>
      <c r="AL21" s="719"/>
      <c r="AM21" s="719">
        <f>AK21*(1+AM43)</f>
        <v>8531.9575789158789</v>
      </c>
    </row>
    <row r="22" spans="2:43">
      <c r="B22" t="s">
        <v>38</v>
      </c>
      <c r="X22" s="709"/>
    </row>
    <row r="23" spans="2:43">
      <c r="C23" s="697" t="s">
        <v>382</v>
      </c>
      <c r="E23" s="684">
        <f>E17+E11+E5</f>
        <v>994676</v>
      </c>
      <c r="F23" s="684">
        <f>F17+F11+F5</f>
        <v>1013601</v>
      </c>
      <c r="G23" s="684">
        <f>G17+G11+G5</f>
        <v>992871</v>
      </c>
      <c r="H23" s="684">
        <f>H17+H11+H5</f>
        <v>1031705</v>
      </c>
      <c r="I23" s="684">
        <f>I17+I11+I5</f>
        <v>4032853</v>
      </c>
      <c r="K23" s="684">
        <f>K17+K11+K5</f>
        <v>1007396</v>
      </c>
      <c r="L23" s="684">
        <f>L17+L11+L5</f>
        <v>1039982</v>
      </c>
      <c r="M23" s="684">
        <f>M17+M11+M5</f>
        <v>980651</v>
      </c>
      <c r="N23" s="684">
        <f>N17+N11+N5</f>
        <v>1008576</v>
      </c>
      <c r="O23" s="684">
        <f>O17+O11+O5</f>
        <v>4036605</v>
      </c>
      <c r="Q23" s="684">
        <f>Q17+Q11+Q5</f>
        <v>926926</v>
      </c>
      <c r="R23" s="684">
        <f>R17+R11+R5</f>
        <v>991546</v>
      </c>
      <c r="S23" s="684">
        <f>S17+S11+S5</f>
        <v>942809</v>
      </c>
      <c r="T23" s="684">
        <f>T17+T11+T5</f>
        <v>1013881</v>
      </c>
      <c r="U23" s="684">
        <f>U17+U11+U5</f>
        <v>3875162</v>
      </c>
      <c r="W23" s="684">
        <f>W17+W11+W5</f>
        <v>906627</v>
      </c>
      <c r="X23" s="684">
        <f>X17+X11+X5</f>
        <v>977859</v>
      </c>
      <c r="Y23" s="720">
        <f>Y17+Y11+Y5</f>
        <v>936812.42029868125</v>
      </c>
      <c r="Z23" s="720">
        <f>Z17+Z11+Z5</f>
        <v>1033140.4862611119</v>
      </c>
      <c r="AA23" s="720">
        <f>AA17+AA11+AA5</f>
        <v>3854438.9065597933</v>
      </c>
      <c r="AB23" s="722"/>
      <c r="AC23" s="720">
        <f>AC17+AC11+AC5</f>
        <v>944033.42789111217</v>
      </c>
      <c r="AD23" s="720">
        <f>AD17+AD11+AD5</f>
        <v>1019722.2677534835</v>
      </c>
      <c r="AE23" s="720">
        <f>AE17+AE11+AE5</f>
        <v>977153.53000628855</v>
      </c>
      <c r="AF23" s="720">
        <f>AF17+AF11+AF5</f>
        <v>1086320.3105421425</v>
      </c>
      <c r="AG23" s="720">
        <f>AG17+AG11+AG5</f>
        <v>4027229.5361930272</v>
      </c>
      <c r="AH23" s="722"/>
      <c r="AI23" s="720">
        <f>AI17+AI11+AI5</f>
        <v>4247139.2909243228</v>
      </c>
      <c r="AJ23" s="722"/>
      <c r="AK23" s="720">
        <f>AK17+AK11+AK5</f>
        <v>4456510.5320734754</v>
      </c>
      <c r="AL23" s="722"/>
      <c r="AM23" s="720">
        <f>AM17+AM11+AM5</f>
        <v>4667231.1744941939</v>
      </c>
    </row>
    <row r="26" spans="2:43">
      <c r="C26" s="697" t="s">
        <v>383</v>
      </c>
      <c r="E26" s="710"/>
      <c r="X26" s="709"/>
    </row>
    <row r="27" spans="2:43">
      <c r="C27" s="702" t="s">
        <v>375</v>
      </c>
      <c r="E27" s="711"/>
      <c r="F27" s="712"/>
      <c r="G27" s="711"/>
      <c r="H27" s="711"/>
      <c r="I27" s="711"/>
      <c r="J27" s="711"/>
      <c r="K27" s="712">
        <v>0.12927731475775905</v>
      </c>
      <c r="L27" s="712">
        <v>5.9021222643391047E-2</v>
      </c>
      <c r="M27" s="712">
        <v>1.6590717407826583E-2</v>
      </c>
      <c r="N27" s="712">
        <v>-8.5397743781503443E-3</v>
      </c>
      <c r="O27" s="712">
        <v>4.6138061110267525E-2</v>
      </c>
      <c r="P27" s="711"/>
      <c r="Q27" s="712">
        <v>-3.8425891991823224E-2</v>
      </c>
      <c r="R27" s="712">
        <v>-4.0708543001534814E-2</v>
      </c>
      <c r="S27" s="712">
        <v>-5.3533940369931643E-2</v>
      </c>
      <c r="T27" s="712">
        <v>-2.9335970847189863E-2</v>
      </c>
      <c r="U27" s="712">
        <v>-4.05457766518037E-2</v>
      </c>
      <c r="V27" s="711"/>
      <c r="W27" s="712">
        <v>-4.6798138034772951E-2</v>
      </c>
      <c r="X27" s="714">
        <v>-6.2601412059498318E-2</v>
      </c>
      <c r="Y27" s="721">
        <f>Y5/S5-1</f>
        <v>-1.125187958293139E-2</v>
      </c>
      <c r="Z27" s="721">
        <f>Z5/T5-1</f>
        <v>-6.5638874210028897E-3</v>
      </c>
      <c r="AA27" s="721">
        <f>AA5/U5-1</f>
        <v>-3.1891564629024871E-2</v>
      </c>
      <c r="AB27" s="721"/>
      <c r="AC27" s="721">
        <f>AC5/W5-1</f>
        <v>2.0546975889245367E-2</v>
      </c>
      <c r="AD27" s="721">
        <f>AD5/X5-1</f>
        <v>2.0751646652371836E-2</v>
      </c>
      <c r="AE27" s="721">
        <f>AE5/Y5-1</f>
        <v>2.2512833558451684E-2</v>
      </c>
      <c r="AF27" s="721">
        <f>AF5/Z5-1</f>
        <v>2.2652286390990595E-2</v>
      </c>
      <c r="AG27" s="721">
        <f>AG5/AA5-1</f>
        <v>2.1639958996635178E-2</v>
      </c>
      <c r="AH27" s="721"/>
      <c r="AI27" s="721">
        <f>AI5/AG5-1</f>
        <v>4.3972996934876107E-2</v>
      </c>
      <c r="AJ27" s="721"/>
      <c r="AK27" s="721">
        <f>AK5/AI5-1</f>
        <v>3.8015106919077279E-2</v>
      </c>
      <c r="AL27" s="721"/>
      <c r="AM27" s="721">
        <f>AM5/AK5-1</f>
        <v>4.0154770899762715E-2</v>
      </c>
      <c r="AP27" s="728">
        <f>(AM5/U5)^(1/5)-1</f>
        <v>2.1980374745256492E-2</v>
      </c>
      <c r="AQ27" s="715"/>
    </row>
    <row r="28" spans="2:43">
      <c r="C28" s="703" t="s">
        <v>376</v>
      </c>
      <c r="E28" s="711"/>
      <c r="F28" s="711"/>
      <c r="G28" s="711"/>
      <c r="H28" s="711"/>
      <c r="I28" s="711"/>
      <c r="J28" s="711"/>
      <c r="K28" s="712">
        <v>0.20737298917870728</v>
      </c>
      <c r="L28" s="712">
        <v>4.4626197014504987E-2</v>
      </c>
      <c r="M28" s="712">
        <v>-1.1903812711048123E-2</v>
      </c>
      <c r="N28" s="712">
        <v>-6.4175149260518038E-2</v>
      </c>
      <c r="O28" s="712">
        <v>3.5192500298654172E-2</v>
      </c>
      <c r="P28" s="711"/>
      <c r="Q28" s="712">
        <v>-5.7719455214236048E-2</v>
      </c>
      <c r="R28" s="712">
        <v>-6.8141844569189813E-2</v>
      </c>
      <c r="S28" s="712">
        <v>-8.5085130929559494E-2</v>
      </c>
      <c r="T28" s="712">
        <v>-4.6473681712683068E-2</v>
      </c>
      <c r="U28" s="712">
        <v>-6.4566816304385877E-2</v>
      </c>
      <c r="V28" s="711"/>
      <c r="W28" s="712">
        <v>-2.9700277590216873E-2</v>
      </c>
      <c r="X28" s="714">
        <v>-6.7405825111043316E-2</v>
      </c>
      <c r="Y28" s="721">
        <f t="shared" ref="Y28:Z31" si="6">AVERAGE(S28,M28)</f>
        <v>-4.8494471820303808E-2</v>
      </c>
      <c r="Z28" s="721">
        <f t="shared" si="6"/>
        <v>-5.5324415486600553E-2</v>
      </c>
      <c r="AA28" s="721">
        <f>AA6/U6-1</f>
        <v>-5.0383984258906556E-2</v>
      </c>
      <c r="AB28" s="721"/>
      <c r="AC28" s="721">
        <v>0.02</v>
      </c>
      <c r="AD28" s="721">
        <v>0.02</v>
      </c>
      <c r="AE28" s="721">
        <v>0.02</v>
      </c>
      <c r="AF28" s="721">
        <v>0.02</v>
      </c>
      <c r="AG28" s="721">
        <f>AG6/AA6-1</f>
        <v>2.0000000000000018E-2</v>
      </c>
      <c r="AH28" s="721"/>
      <c r="AI28" s="721">
        <v>0.05</v>
      </c>
      <c r="AJ28" s="721"/>
      <c r="AK28" s="721">
        <v>0.04</v>
      </c>
      <c r="AL28" s="721"/>
      <c r="AM28" s="721">
        <v>0.04</v>
      </c>
      <c r="AP28" s="718">
        <f>(AM6/U6)^(1/5)-1</f>
        <v>1.9250271963120902E-2</v>
      </c>
      <c r="AQ28" s="718"/>
    </row>
    <row r="29" spans="2:43">
      <c r="C29" s="703" t="s">
        <v>377</v>
      </c>
      <c r="E29" s="711"/>
      <c r="F29" s="711"/>
      <c r="G29" s="711"/>
      <c r="H29" s="711"/>
      <c r="I29" s="711"/>
      <c r="J29" s="711"/>
      <c r="K29" s="712">
        <v>8.6704091048908083E-2</v>
      </c>
      <c r="L29" s="712">
        <v>0.25437753809877295</v>
      </c>
      <c r="M29" s="712">
        <v>8.4698513838857403E-2</v>
      </c>
      <c r="N29" s="712">
        <v>1.0146790232012926E-4</v>
      </c>
      <c r="O29" s="712">
        <v>9.8240752522467778E-2</v>
      </c>
      <c r="P29" s="711"/>
      <c r="Q29" s="712">
        <v>-9.0913915720199578E-2</v>
      </c>
      <c r="R29" s="712">
        <v>-2.5429481489217309E-2</v>
      </c>
      <c r="S29" s="712">
        <v>-0.10341777644270889</v>
      </c>
      <c r="T29" s="712">
        <v>-8.4277452737664404E-2</v>
      </c>
      <c r="U29" s="712">
        <v>-7.630053338711551E-2</v>
      </c>
      <c r="V29" s="711"/>
      <c r="W29" s="712">
        <v>-5.1997586938330675E-2</v>
      </c>
      <c r="X29" s="714">
        <v>-7.4242748964137739E-2</v>
      </c>
      <c r="Y29" s="721">
        <f t="shared" si="6"/>
        <v>-9.3596313019257416E-3</v>
      </c>
      <c r="Z29" s="721">
        <f t="shared" si="6"/>
        <v>-4.2087992417672138E-2</v>
      </c>
      <c r="AA29" s="721">
        <f>AA7/U7-1</f>
        <v>-4.4649115633716652E-2</v>
      </c>
      <c r="AB29" s="721"/>
      <c r="AC29" s="721">
        <f>AVERAGE(AA29,U29,O29)</f>
        <v>-7.569632166121461E-3</v>
      </c>
      <c r="AD29" s="721">
        <v>-7.569632166121461E-3</v>
      </c>
      <c r="AE29" s="721">
        <f>AD29/2</f>
        <v>-3.7848160830607305E-3</v>
      </c>
      <c r="AF29" s="721">
        <f>AE29/2</f>
        <v>-1.8924080415303652E-3</v>
      </c>
      <c r="AG29" s="721">
        <f>AG7/AA7-1</f>
        <v>-5.1580193884164238E-3</v>
      </c>
      <c r="AH29" s="721"/>
      <c r="AI29" s="721">
        <v>0</v>
      </c>
      <c r="AJ29" s="721"/>
      <c r="AK29" s="721">
        <v>0.01</v>
      </c>
      <c r="AL29" s="721"/>
      <c r="AM29" s="721">
        <v>0.02</v>
      </c>
      <c r="AP29" s="718">
        <f>(AM7/U7)^(1/5)-1</f>
        <v>-4.2101120328063013E-3</v>
      </c>
      <c r="AQ29" s="718"/>
    </row>
    <row r="30" spans="2:43">
      <c r="C30" s="703" t="s">
        <v>378</v>
      </c>
      <c r="E30" s="711"/>
      <c r="F30" s="711"/>
      <c r="G30" s="711"/>
      <c r="H30" s="711"/>
      <c r="I30" s="711"/>
      <c r="J30" s="711"/>
      <c r="K30" s="712">
        <v>-0.1328733385847185</v>
      </c>
      <c r="L30" s="712">
        <v>2.0004765618230724E-2</v>
      </c>
      <c r="M30" s="712">
        <v>4.7721993514408645E-2</v>
      </c>
      <c r="N30" s="712">
        <v>0.15383978619237948</v>
      </c>
      <c r="O30" s="712">
        <v>1.5598267713508251E-2</v>
      </c>
      <c r="P30" s="711"/>
      <c r="Q30" s="712">
        <v>4.0246076007589338E-2</v>
      </c>
      <c r="R30" s="712">
        <v>4.3440403504114711E-2</v>
      </c>
      <c r="S30" s="712">
        <v>9.1996663447185822E-2</v>
      </c>
      <c r="T30" s="712">
        <v>0.11315862295149182</v>
      </c>
      <c r="U30" s="712">
        <v>7.3045754320310019E-2</v>
      </c>
      <c r="V30" s="711"/>
      <c r="W30" s="712">
        <v>-9.3008345769082013E-2</v>
      </c>
      <c r="X30" s="714">
        <v>-2.0576801742209883E-2</v>
      </c>
      <c r="Y30" s="721">
        <f t="shared" si="6"/>
        <v>6.9859328480797234E-2</v>
      </c>
      <c r="Z30" s="721">
        <f t="shared" si="6"/>
        <v>0.13349920457193565</v>
      </c>
      <c r="AA30" s="721">
        <f>AA8/U8-1</f>
        <v>2.7754971524418082E-2</v>
      </c>
      <c r="AB30" s="721"/>
      <c r="AC30" s="721">
        <v>2.7799999999999998E-2</v>
      </c>
      <c r="AD30" s="721">
        <v>2.7799999999999998E-2</v>
      </c>
      <c r="AE30" s="721">
        <v>2.7799999999999998E-2</v>
      </c>
      <c r="AF30" s="721">
        <v>2.7799999999999998E-2</v>
      </c>
      <c r="AG30" s="721">
        <f>AG8/AA8-1</f>
        <v>2.7800000000000047E-2</v>
      </c>
      <c r="AH30" s="721"/>
      <c r="AI30" s="721">
        <v>0.04</v>
      </c>
      <c r="AJ30" s="721"/>
      <c r="AK30" s="721">
        <v>0.04</v>
      </c>
      <c r="AL30" s="721"/>
      <c r="AM30" s="721">
        <v>0.05</v>
      </c>
      <c r="AP30" s="718">
        <f>(AM8/U8)^(1/5)-1</f>
        <v>3.7076600603549226E-2</v>
      </c>
      <c r="AQ30" s="718"/>
    </row>
    <row r="31" spans="2:43">
      <c r="C31" s="703" t="s">
        <v>379</v>
      </c>
      <c r="E31" s="711"/>
      <c r="F31" s="711"/>
      <c r="G31" s="711"/>
      <c r="H31" s="711"/>
      <c r="I31" s="711"/>
      <c r="J31" s="711"/>
      <c r="K31" s="712">
        <v>8.2253452576504182E-2</v>
      </c>
      <c r="L31" s="712">
        <v>0.12906057945566296</v>
      </c>
      <c r="M31" s="712">
        <v>0.40461962767179949</v>
      </c>
      <c r="N31" s="712">
        <v>0.71182898429569486</v>
      </c>
      <c r="O31" s="712">
        <v>0.33277673518242135</v>
      </c>
      <c r="P31" s="711"/>
      <c r="Q31" s="712">
        <v>0.23469559840350773</v>
      </c>
      <c r="R31" s="712">
        <v>0.17812337998963201</v>
      </c>
      <c r="S31" s="712">
        <v>0.11813793667675698</v>
      </c>
      <c r="T31" s="712">
        <v>-0.13645876935956469</v>
      </c>
      <c r="U31" s="712">
        <v>7.3032275232002508E-2</v>
      </c>
      <c r="V31" s="711"/>
      <c r="W31" s="712">
        <v>-0.17633400109269715</v>
      </c>
      <c r="X31" s="714">
        <v>-0.1221068379829271</v>
      </c>
      <c r="Y31" s="721">
        <f t="shared" si="6"/>
        <v>0.26137878217427823</v>
      </c>
      <c r="Z31" s="721">
        <f t="shared" si="6"/>
        <v>0.28768510746806508</v>
      </c>
      <c r="AA31" s="721">
        <f>AA9/U9-1</f>
        <v>7.8719365079883641E-2</v>
      </c>
      <c r="AB31" s="721"/>
      <c r="AC31" s="721">
        <f>AVERAGE(AA31,U31)</f>
        <v>7.5875820155943074E-2</v>
      </c>
      <c r="AD31" s="721">
        <v>7.5875820155943074E-2</v>
      </c>
      <c r="AE31" s="721">
        <v>7.5875820155943074E-2</v>
      </c>
      <c r="AF31" s="721">
        <v>7.5875820155943074E-2</v>
      </c>
      <c r="AG31" s="721">
        <f>AG9/AA9-1</f>
        <v>7.5875820155943074E-2</v>
      </c>
      <c r="AH31" s="721"/>
      <c r="AI31" s="721">
        <v>0.05</v>
      </c>
      <c r="AJ31" s="721"/>
      <c r="AK31" s="721">
        <v>0.05</v>
      </c>
      <c r="AL31" s="721"/>
      <c r="AM31" s="721">
        <v>0.04</v>
      </c>
      <c r="AP31" s="718">
        <f>(AM9/U9)^(1/5)-1</f>
        <v>5.8806288320259359E-2</v>
      </c>
      <c r="AQ31" s="718"/>
    </row>
    <row r="32" spans="2:43">
      <c r="C32" s="704"/>
      <c r="E32" s="711"/>
      <c r="F32" s="711"/>
      <c r="G32" s="711"/>
      <c r="H32" s="711"/>
      <c r="I32" s="711"/>
      <c r="J32" s="711"/>
      <c r="K32" s="711"/>
      <c r="L32" s="711"/>
      <c r="M32" s="711"/>
      <c r="N32" s="711"/>
      <c r="O32" s="711"/>
      <c r="P32" s="711"/>
      <c r="Q32" s="711"/>
      <c r="R32" s="711"/>
      <c r="S32" s="711"/>
      <c r="T32" s="711"/>
      <c r="U32" s="711"/>
      <c r="V32" s="711"/>
      <c r="W32" s="711"/>
      <c r="X32" s="713"/>
      <c r="Y32" s="722"/>
      <c r="Z32" s="722"/>
      <c r="AA32" s="722"/>
      <c r="AB32" s="721"/>
      <c r="AC32" s="721"/>
      <c r="AD32" s="721"/>
      <c r="AE32" s="721"/>
      <c r="AF32" s="721"/>
      <c r="AG32" s="721"/>
      <c r="AH32" s="721"/>
      <c r="AI32" s="721"/>
      <c r="AJ32" s="721"/>
      <c r="AK32" s="721"/>
      <c r="AL32" s="721"/>
      <c r="AM32" s="721"/>
    </row>
    <row r="33" spans="3:44">
      <c r="C33" s="702" t="s">
        <v>380</v>
      </c>
      <c r="E33" s="711"/>
      <c r="F33" s="711"/>
      <c r="G33" s="711"/>
      <c r="H33" s="711"/>
      <c r="I33" s="711"/>
      <c r="J33" s="711"/>
      <c r="K33" s="712">
        <v>0.44654544241848204</v>
      </c>
      <c r="L33" s="712">
        <v>0.52323000815088005</v>
      </c>
      <c r="M33" s="712">
        <v>0.12427484417581836</v>
      </c>
      <c r="N33" s="712">
        <v>5.1188550434567937E-2</v>
      </c>
      <c r="O33" s="712">
        <v>0.2544158477888121</v>
      </c>
      <c r="P33" s="711"/>
      <c r="Q33" s="712">
        <v>-6.2362034085865936E-2</v>
      </c>
      <c r="R33" s="712">
        <v>-4.9505160319579522E-2</v>
      </c>
      <c r="S33" s="712">
        <v>1.7135965728068525E-2</v>
      </c>
      <c r="T33" s="712">
        <v>0.14446009389671355</v>
      </c>
      <c r="U33" s="712">
        <v>1.4411241462189306E-2</v>
      </c>
      <c r="V33" s="711"/>
      <c r="W33" s="712">
        <v>3.2105382861147058E-2</v>
      </c>
      <c r="X33" s="714">
        <v>0.20507346547457139</v>
      </c>
      <c r="Y33" s="721">
        <f>Y11/S11-1</f>
        <v>0.10255428749291107</v>
      </c>
      <c r="Z33" s="721">
        <f>Z11/T11-1</f>
        <v>8.859822218069735E-2</v>
      </c>
      <c r="AA33" s="721">
        <f>AA11/U11-1</f>
        <v>0.10784790245395781</v>
      </c>
      <c r="AB33" s="721"/>
      <c r="AC33" s="721">
        <f>AC11/W11-1</f>
        <v>0.14688652393469037</v>
      </c>
      <c r="AD33" s="721">
        <f>AD11/X11-1</f>
        <v>0.13038261694830688</v>
      </c>
      <c r="AE33" s="721">
        <f>AE11/Y11-1</f>
        <v>0.13522743406861326</v>
      </c>
      <c r="AF33" s="721">
        <f>AF11/Z11-1</f>
        <v>0.15116824667786743</v>
      </c>
      <c r="AG33" s="721">
        <f>AG11/AA11-1</f>
        <v>0.14105248913052248</v>
      </c>
      <c r="AH33" s="721"/>
      <c r="AI33" s="721">
        <f>AI11/AG11-1</f>
        <v>0.10355076461205925</v>
      </c>
      <c r="AJ33" s="721"/>
      <c r="AK33" s="721">
        <f>AK11/AI11-1</f>
        <v>8.6109563996912497E-2</v>
      </c>
      <c r="AL33" s="721"/>
      <c r="AM33" s="721">
        <f>AM11/AK11-1</f>
        <v>7.13146368635873E-2</v>
      </c>
      <c r="AP33" s="728">
        <f>(AM11/U11)^(1/5)-1</f>
        <v>0.10172638656229527</v>
      </c>
      <c r="AQ33" s="715"/>
    </row>
    <row r="34" spans="3:44">
      <c r="C34" s="703" t="s">
        <v>376</v>
      </c>
      <c r="E34" s="711"/>
      <c r="F34" s="711"/>
      <c r="G34" s="711"/>
      <c r="H34" s="711"/>
      <c r="I34" s="711"/>
      <c r="J34" s="711"/>
      <c r="K34" s="712">
        <v>0.23316138696372257</v>
      </c>
      <c r="L34" s="712">
        <v>0.44473273929420865</v>
      </c>
      <c r="M34" s="712">
        <v>6.443607653760286E-2</v>
      </c>
      <c r="N34" s="712">
        <v>4.4501518382116245E-3</v>
      </c>
      <c r="O34" s="712">
        <v>0.16662650631734466</v>
      </c>
      <c r="P34" s="711"/>
      <c r="Q34" s="712">
        <v>-0.11864841745081267</v>
      </c>
      <c r="R34" s="712">
        <v>-0.14410057265287157</v>
      </c>
      <c r="S34" s="712">
        <v>-6.9320923198790241E-2</v>
      </c>
      <c r="T34" s="712">
        <v>3.1817121905328705E-2</v>
      </c>
      <c r="U34" s="712">
        <v>-7.4915712521280486E-2</v>
      </c>
      <c r="V34" s="711"/>
      <c r="W34" s="712">
        <v>-9.5768222847714246E-2</v>
      </c>
      <c r="X34" s="714">
        <v>0.14992775563920158</v>
      </c>
      <c r="Y34" s="721">
        <f t="shared" ref="Y34:Z36" si="7">AVERAGE(S34,M34)</f>
        <v>-2.4424233305936904E-3</v>
      </c>
      <c r="Z34" s="721">
        <f t="shared" si="7"/>
        <v>1.8133636871770165E-2</v>
      </c>
      <c r="AA34" s="721">
        <f>AA12/U12-1</f>
        <v>1.916639504235329E-2</v>
      </c>
      <c r="AB34" s="721"/>
      <c r="AC34" s="721">
        <v>0.03</v>
      </c>
      <c r="AD34" s="721">
        <v>0.04</v>
      </c>
      <c r="AE34" s="721">
        <v>0.05</v>
      </c>
      <c r="AF34" s="721">
        <v>0.06</v>
      </c>
      <c r="AG34" s="721">
        <f>AG12/AA12-1</f>
        <v>4.600300868709617E-2</v>
      </c>
      <c r="AH34" s="721"/>
      <c r="AI34" s="721">
        <v>0.06</v>
      </c>
      <c r="AJ34" s="721"/>
      <c r="AK34" s="721">
        <v>7.0000000000000007E-2</v>
      </c>
      <c r="AL34" s="721"/>
      <c r="AM34" s="721">
        <v>7.0000000000000007E-2</v>
      </c>
      <c r="AP34" s="718">
        <f>(AM12/U12)^(1/5)-1</f>
        <v>5.2859184296351502E-2</v>
      </c>
      <c r="AQ34" s="718"/>
    </row>
    <row r="35" spans="3:44">
      <c r="C35" s="703" t="s">
        <v>377</v>
      </c>
      <c r="E35" s="711"/>
      <c r="F35" s="711"/>
      <c r="G35" s="711"/>
      <c r="H35" s="711"/>
      <c r="I35" s="711"/>
      <c r="J35" s="711"/>
      <c r="K35" s="712">
        <v>1.2941490782794549</v>
      </c>
      <c r="L35" s="712">
        <v>2.7751579970831308</v>
      </c>
      <c r="M35" s="712">
        <v>-0.1814221652786675</v>
      </c>
      <c r="N35" s="712">
        <v>1.0938916468810707</v>
      </c>
      <c r="O35" s="712">
        <v>0.98117762995811786</v>
      </c>
      <c r="P35" s="711"/>
      <c r="Q35" s="712">
        <v>-0.25841388144870148</v>
      </c>
      <c r="R35" s="712">
        <v>-0.55244350009658105</v>
      </c>
      <c r="S35" s="712">
        <v>0.16403192987948034</v>
      </c>
      <c r="T35" s="712">
        <v>-0.15173693433666635</v>
      </c>
      <c r="U35" s="712">
        <v>-0.27912355750099482</v>
      </c>
      <c r="V35" s="711"/>
      <c r="W35" s="712">
        <v>-0.41834170854271358</v>
      </c>
      <c r="X35" s="714">
        <v>7.2651417062293167E-2</v>
      </c>
      <c r="Y35" s="721">
        <f t="shared" si="7"/>
        <v>-8.6951176995935797E-3</v>
      </c>
      <c r="Z35" s="721">
        <f t="shared" si="7"/>
        <v>0.47107735627220215</v>
      </c>
      <c r="AA35" s="721">
        <f>AA13/U13-1</f>
        <v>5.7023632031467208E-2</v>
      </c>
      <c r="AB35" s="721"/>
      <c r="AC35" s="721">
        <f>AVERAGE(W35,Q35,K35)</f>
        <v>0.20579782942934663</v>
      </c>
      <c r="AD35" s="721">
        <f>X35</f>
        <v>7.2651417062293167E-2</v>
      </c>
      <c r="AE35" s="721">
        <v>0.05</v>
      </c>
      <c r="AF35" s="721">
        <f>AVERAGE(Z35,T35,N35)</f>
        <v>0.47107735627220215</v>
      </c>
      <c r="AG35" s="721">
        <f>AG13/AA13-1</f>
        <v>0.2407221953863834</v>
      </c>
      <c r="AH35" s="721"/>
      <c r="AI35" s="721">
        <v>0.14000000000000001</v>
      </c>
      <c r="AJ35" s="721"/>
      <c r="AK35" s="721">
        <v>0.12</v>
      </c>
      <c r="AL35" s="721"/>
      <c r="AM35" s="721">
        <v>0.1</v>
      </c>
      <c r="AP35" s="718">
        <f>(AM13/U13)^(1/5)-1</f>
        <v>0.12993890343161985</v>
      </c>
      <c r="AQ35" s="718"/>
    </row>
    <row r="36" spans="3:44">
      <c r="C36" s="703" t="s">
        <v>378</v>
      </c>
      <c r="E36" s="711"/>
      <c r="F36" s="711"/>
      <c r="G36" s="711"/>
      <c r="H36" s="711"/>
      <c r="I36" s="711"/>
      <c r="J36" s="711"/>
      <c r="K36" s="712">
        <v>1.3985211267605635</v>
      </c>
      <c r="L36" s="712">
        <v>0.63729227761485818</v>
      </c>
      <c r="M36" s="712">
        <v>0.41155621496867778</v>
      </c>
      <c r="N36" s="712">
        <v>5.310956117407728E-2</v>
      </c>
      <c r="O36" s="712">
        <v>0.44979843537958009</v>
      </c>
      <c r="P36" s="711"/>
      <c r="Q36" s="712">
        <v>0.22801608972665077</v>
      </c>
      <c r="R36" s="712">
        <v>0.50314934774172371</v>
      </c>
      <c r="S36" s="712">
        <v>0.32204379562043806</v>
      </c>
      <c r="T36" s="712">
        <v>0.30258709899965508</v>
      </c>
      <c r="U36" s="712">
        <v>0.33593497277914275</v>
      </c>
      <c r="V36" s="711"/>
      <c r="W36" s="712">
        <v>0.30754333532576217</v>
      </c>
      <c r="X36" s="714">
        <v>0.29528935139214352</v>
      </c>
      <c r="Y36" s="721">
        <f t="shared" si="7"/>
        <v>0.36680000529455792</v>
      </c>
      <c r="Z36" s="721">
        <f t="shared" si="7"/>
        <v>0.17784833008686618</v>
      </c>
      <c r="AA36" s="721">
        <f>AA14/U14-1</f>
        <v>0.2803400645065377</v>
      </c>
      <c r="AB36" s="721"/>
      <c r="AC36" s="721">
        <f>AVERAGE(W36,Q36)</f>
        <v>0.26777971252620647</v>
      </c>
      <c r="AD36" s="721">
        <f>X36</f>
        <v>0.29528935139214352</v>
      </c>
      <c r="AE36" s="721">
        <v>0.3</v>
      </c>
      <c r="AF36" s="721">
        <f>AVERAGE(Z36,T36,N36)</f>
        <v>0.17784833008686618</v>
      </c>
      <c r="AG36" s="721">
        <f>AG14/AA14-1</f>
        <v>0.25888048007148101</v>
      </c>
      <c r="AH36" s="721"/>
      <c r="AI36" s="721">
        <v>0.15</v>
      </c>
      <c r="AJ36" s="721"/>
      <c r="AK36" s="721">
        <v>0.1</v>
      </c>
      <c r="AL36" s="721"/>
      <c r="AM36" s="721">
        <v>7.0000000000000007E-2</v>
      </c>
      <c r="AO36" t="s">
        <v>384</v>
      </c>
      <c r="AP36" s="718">
        <f>(AM14/U14)^(1/5)-1</f>
        <v>0.16884474241513603</v>
      </c>
      <c r="AQ36" s="718"/>
    </row>
    <row r="37" spans="3:44">
      <c r="C37" s="703" t="s">
        <v>379</v>
      </c>
      <c r="E37" s="711"/>
      <c r="F37" s="711"/>
      <c r="G37" s="711"/>
      <c r="H37" s="711"/>
      <c r="I37" s="711"/>
      <c r="J37" s="711"/>
      <c r="K37" s="712">
        <v>0.93766486186311249</v>
      </c>
      <c r="L37" s="712">
        <v>0.11329147043432752</v>
      </c>
      <c r="M37" s="712">
        <v>0.26490514905149043</v>
      </c>
      <c r="N37" s="712">
        <v>0.1206432192648923</v>
      </c>
      <c r="O37" s="712">
        <v>0.29474954177397272</v>
      </c>
      <c r="P37" s="711"/>
      <c r="Q37" s="712">
        <v>-0.17890664182847316</v>
      </c>
      <c r="R37" s="712">
        <v>5.2878965922444232E-2</v>
      </c>
      <c r="S37" s="712">
        <v>-0.10183449384038568</v>
      </c>
      <c r="T37" s="712">
        <v>0.85177069343323675</v>
      </c>
      <c r="U37" s="712">
        <v>0.15602544574858879</v>
      </c>
      <c r="V37" s="711"/>
      <c r="W37" s="712">
        <v>0.42678883071553231</v>
      </c>
      <c r="X37" s="714">
        <v>0.38139880952380945</v>
      </c>
      <c r="Y37" s="721">
        <f>AVERAGE(S37,M37)</f>
        <v>8.1535327605552377E-2</v>
      </c>
      <c r="Z37" s="721">
        <f>N37</f>
        <v>0.1206432192648923</v>
      </c>
      <c r="AA37" s="721">
        <f>AA15/U15-1</f>
        <v>0.22121910396377209</v>
      </c>
      <c r="AB37" s="721"/>
      <c r="AC37" s="721">
        <f>AVERAGE(W37,Q37,K37)</f>
        <v>0.39518235025005727</v>
      </c>
      <c r="AD37" s="721">
        <f>AVERAGE(X37,R37,L37)</f>
        <v>0.18252308196019373</v>
      </c>
      <c r="AE37" s="721">
        <f>AVERAGE(Y37,S37,M37)</f>
        <v>8.1535327605552377E-2</v>
      </c>
      <c r="AF37" s="721">
        <f>AVERAGE(Z37,T37,N37)</f>
        <v>0.36435237732100711</v>
      </c>
      <c r="AG37" s="721">
        <f>AG15/AA15-1</f>
        <v>0.27581739624944857</v>
      </c>
      <c r="AH37" s="721"/>
      <c r="AI37" s="721">
        <v>0.15</v>
      </c>
      <c r="AJ37" s="721"/>
      <c r="AK37" s="721">
        <v>0.1</v>
      </c>
      <c r="AL37" s="721"/>
      <c r="AM37" s="721">
        <v>7.0000000000000007E-2</v>
      </c>
      <c r="AP37" s="718">
        <f>(AM15/U15)^(1/5)-1</f>
        <v>0.16094402970742894</v>
      </c>
      <c r="AQ37" s="718"/>
    </row>
    <row r="38" spans="3:44">
      <c r="C38" s="704"/>
      <c r="E38" s="711"/>
      <c r="F38" s="711"/>
      <c r="G38" s="711"/>
      <c r="H38" s="711"/>
      <c r="I38" s="711"/>
      <c r="J38" s="711"/>
      <c r="K38" s="711"/>
      <c r="L38" s="711"/>
      <c r="M38" s="711"/>
      <c r="N38" s="711"/>
      <c r="O38" s="711"/>
      <c r="P38" s="711"/>
      <c r="Q38" s="711"/>
      <c r="R38" s="711"/>
      <c r="S38" s="711"/>
      <c r="T38" s="711"/>
      <c r="U38" s="711"/>
      <c r="V38" s="711"/>
      <c r="W38" s="711"/>
      <c r="X38" s="713"/>
      <c r="Y38" s="722"/>
      <c r="Z38" s="722"/>
      <c r="AA38" s="722"/>
      <c r="AB38" s="721"/>
      <c r="AC38" s="721"/>
      <c r="AD38" s="721"/>
      <c r="AE38" s="721"/>
      <c r="AF38" s="721"/>
      <c r="AG38" s="721"/>
      <c r="AH38" s="721"/>
      <c r="AI38" s="721"/>
      <c r="AJ38" s="721"/>
      <c r="AK38" s="721"/>
      <c r="AL38" s="721"/>
      <c r="AM38" s="721"/>
    </row>
    <row r="39" spans="3:44">
      <c r="C39" s="702" t="s">
        <v>381</v>
      </c>
      <c r="E39" s="711"/>
      <c r="F39" s="711"/>
      <c r="G39" s="711"/>
      <c r="H39" s="711"/>
      <c r="I39" s="711"/>
      <c r="J39" s="711"/>
      <c r="K39" s="712">
        <v>-0.33563489186903472</v>
      </c>
      <c r="L39" s="712">
        <v>-0.26584145509608614</v>
      </c>
      <c r="M39" s="712">
        <v>-0.18550449166157534</v>
      </c>
      <c r="N39" s="712">
        <v>-0.12521983819908544</v>
      </c>
      <c r="O39" s="712">
        <v>-0.24196229064937103</v>
      </c>
      <c r="P39" s="711"/>
      <c r="Q39" s="712">
        <v>-0.20939906709462719</v>
      </c>
      <c r="R39" s="712">
        <v>-6.2304507931566278E-2</v>
      </c>
      <c r="S39" s="712">
        <v>-3.7544103347687208E-2</v>
      </c>
      <c r="T39" s="712">
        <v>-2.0998666751317341E-2</v>
      </c>
      <c r="U39" s="712">
        <v>-8.7591691042093522E-2</v>
      </c>
      <c r="V39" s="711"/>
      <c r="W39" s="712">
        <v>1.210472745674207E-2</v>
      </c>
      <c r="X39" s="714">
        <v>-6.0717046321130064E-2</v>
      </c>
      <c r="Y39" s="721">
        <f>Y17/S17-1</f>
        <v>-9.6006173159885355E-2</v>
      </c>
      <c r="Z39" s="721">
        <f>Z17/T17-1</f>
        <v>2.0654576890319243E-2</v>
      </c>
      <c r="AA39" s="721">
        <f>AA17/U17-1</f>
        <v>-3.090950684540783E-2</v>
      </c>
      <c r="AB39" s="721"/>
      <c r="AC39" s="721">
        <f>AC17/W17-1</f>
        <v>6.7110211805732067E-3</v>
      </c>
      <c r="AD39" s="721">
        <f>AD17/X17-1</f>
        <v>8.9842983654166986E-3</v>
      </c>
      <c r="AE39" s="721">
        <f>AE17/Y17-1</f>
        <v>1.0912405030048866E-2</v>
      </c>
      <c r="AF39" s="721">
        <f>AF17/Z17-1</f>
        <v>1.7798325085869315E-2</v>
      </c>
      <c r="AG39" s="721">
        <f>AG17/AA17-1</f>
        <v>1.1214103159749023E-2</v>
      </c>
      <c r="AH39" s="721"/>
      <c r="AI39" s="721">
        <f>AI17/AG17-1</f>
        <v>2.6752088198737534E-2</v>
      </c>
      <c r="AJ39" s="721"/>
      <c r="AK39" s="721">
        <f>AK17/AI17-1</f>
        <v>3.6467347385319648E-2</v>
      </c>
      <c r="AL39" s="721"/>
      <c r="AM39" s="721">
        <f>AM17/AK17-1</f>
        <v>3.652880114222512E-2</v>
      </c>
      <c r="AP39" s="728">
        <f>(AM17/U17)^(1/5)-1</f>
        <v>1.5691946525359324E-2</v>
      </c>
    </row>
    <row r="40" spans="3:44">
      <c r="C40" s="703" t="s">
        <v>376</v>
      </c>
      <c r="E40" s="711"/>
      <c r="F40" s="711"/>
      <c r="G40" s="711"/>
      <c r="H40" s="711"/>
      <c r="I40" s="711"/>
      <c r="J40" s="711"/>
      <c r="K40" s="712">
        <v>-0.37299814023580247</v>
      </c>
      <c r="L40" s="712">
        <v>-0.28975011727253086</v>
      </c>
      <c r="M40" s="712">
        <v>-0.20057355735916627</v>
      </c>
      <c r="N40" s="712">
        <v>-0.13686926270244981</v>
      </c>
      <c r="O40" s="712">
        <v>-0.26866160713140874</v>
      </c>
      <c r="P40" s="711"/>
      <c r="Q40" s="712">
        <v>-0.25644801644912785</v>
      </c>
      <c r="R40" s="712">
        <v>-7.4045489963266653E-2</v>
      </c>
      <c r="S40" s="712">
        <v>-3.0981273922521035E-2</v>
      </c>
      <c r="T40" s="712">
        <v>-1.456429883908994E-2</v>
      </c>
      <c r="U40" s="712">
        <v>-0.10173902710326432</v>
      </c>
      <c r="V40" s="711"/>
      <c r="W40" s="712">
        <v>5.42782672060238E-2</v>
      </c>
      <c r="X40" s="714">
        <v>-0.10943523245469922</v>
      </c>
      <c r="Y40" s="721">
        <f>AVERAGE(S40,M40)</f>
        <v>-0.11577741564084365</v>
      </c>
      <c r="Z40" s="721">
        <v>0.01</v>
      </c>
      <c r="AA40" s="721">
        <f>AA18/U18-1</f>
        <v>-4.2840142428631434E-2</v>
      </c>
      <c r="AB40" s="721"/>
      <c r="AC40" s="721">
        <v>0.01</v>
      </c>
      <c r="AD40" s="721">
        <v>0.01</v>
      </c>
      <c r="AE40" s="721">
        <v>0.01</v>
      </c>
      <c r="AF40" s="721">
        <v>0.01</v>
      </c>
      <c r="AG40" s="721">
        <f>AG18/AA18-1</f>
        <v>1.0000000000000009E-2</v>
      </c>
      <c r="AH40" s="721"/>
      <c r="AI40" s="721">
        <v>2.5000000000000001E-2</v>
      </c>
      <c r="AJ40" s="721"/>
      <c r="AK40" s="721">
        <v>3.5000000000000003E-2</v>
      </c>
      <c r="AL40" s="721"/>
      <c r="AM40" s="721">
        <v>3.5000000000000003E-2</v>
      </c>
      <c r="AP40" s="718">
        <f>(AM18/U18)^(1/5)-1</f>
        <v>1.2003659677409795E-2</v>
      </c>
      <c r="AQ40" s="718"/>
    </row>
    <row r="41" spans="3:44">
      <c r="C41" s="703" t="s">
        <v>377</v>
      </c>
      <c r="E41" s="711"/>
      <c r="F41" s="711"/>
      <c r="G41" s="711"/>
      <c r="H41" s="711"/>
      <c r="I41" s="711"/>
      <c r="J41" s="711"/>
      <c r="K41" s="712">
        <v>-0.46894254787676937</v>
      </c>
      <c r="L41" s="712">
        <v>-0.79229547259729949</v>
      </c>
      <c r="M41" s="712">
        <v>-0.71056924529921872</v>
      </c>
      <c r="N41" s="712">
        <v>-9.9613372754150609E-2</v>
      </c>
      <c r="O41" s="712">
        <v>-0.60739080352417418</v>
      </c>
      <c r="P41" s="711"/>
      <c r="Q41" s="712">
        <v>-0.18595170899968638</v>
      </c>
      <c r="R41" s="712">
        <v>0.83699808795411079</v>
      </c>
      <c r="S41" s="712">
        <v>0.77810738653218636</v>
      </c>
      <c r="T41" s="712">
        <v>0.52285930790603685</v>
      </c>
      <c r="U41" s="712">
        <v>0.46396003489017534</v>
      </c>
      <c r="V41" s="711"/>
      <c r="W41" s="712">
        <v>8.1664098613251079E-2</v>
      </c>
      <c r="X41" s="714">
        <v>-0.16783762685402026</v>
      </c>
      <c r="Y41" s="721">
        <f>AVERAGE(S41,M41)</f>
        <v>3.3769070616483821E-2</v>
      </c>
      <c r="Z41" s="721">
        <f>AVERAGE(T41,N41)</f>
        <v>0.21162296757594312</v>
      </c>
      <c r="AA41" s="721">
        <f>AA19/U19-1</f>
        <v>5.6618279752495226E-2</v>
      </c>
      <c r="AB41" s="721"/>
      <c r="AC41" s="721">
        <f>AVERAGE(W41,Q41,K41)</f>
        <v>-0.19107671942106821</v>
      </c>
      <c r="AD41" s="721">
        <f>AVERAGE(X41,R41,L41)</f>
        <v>-4.1045003832402983E-2</v>
      </c>
      <c r="AE41" s="721">
        <f>AVERAGE(Y41,S41,M41)</f>
        <v>3.3769070616483821E-2</v>
      </c>
      <c r="AF41" s="721">
        <f>AVERAGE(Z41,T41,N41)</f>
        <v>0.21162296757594312</v>
      </c>
      <c r="AG41" s="721">
        <f>AG19/AA19-1</f>
        <v>5.5739223677764294E-2</v>
      </c>
      <c r="AH41" s="721"/>
      <c r="AI41" s="721">
        <v>0.03</v>
      </c>
      <c r="AJ41" s="721"/>
      <c r="AK41" s="721">
        <v>0.03</v>
      </c>
      <c r="AL41" s="721"/>
      <c r="AM41" s="721">
        <v>0.03</v>
      </c>
      <c r="AP41" s="718">
        <f>(AM19/U19)^(1/5)-1</f>
        <v>4.0392685475995505E-2</v>
      </c>
      <c r="AQ41" s="718"/>
    </row>
    <row r="42" spans="3:44">
      <c r="C42" s="703" t="s">
        <v>378</v>
      </c>
      <c r="E42" s="711"/>
      <c r="F42" s="711"/>
      <c r="G42" s="711"/>
      <c r="H42" s="711"/>
      <c r="I42" s="711"/>
      <c r="J42" s="711"/>
      <c r="K42" s="712">
        <v>-0.24787621683425409</v>
      </c>
      <c r="L42" s="712">
        <v>-0.14813350003827408</v>
      </c>
      <c r="M42" s="712">
        <v>-4.5282392026578022E-2</v>
      </c>
      <c r="N42" s="712">
        <v>-0.11307987443320544</v>
      </c>
      <c r="O42" s="712">
        <v>-0.15020734597156393</v>
      </c>
      <c r="P42" s="711"/>
      <c r="Q42" s="712">
        <v>-0.1169124541812292</v>
      </c>
      <c r="R42" s="712">
        <v>-7.9420706594180102E-2</v>
      </c>
      <c r="S42" s="712">
        <v>-7.8679054876987897E-2</v>
      </c>
      <c r="T42" s="712">
        <v>-6.5644171779141058E-2</v>
      </c>
      <c r="U42" s="712">
        <v>-8.6084097273054661E-2</v>
      </c>
      <c r="V42" s="711"/>
      <c r="W42" s="712">
        <v>-5.2077802982769428E-2</v>
      </c>
      <c r="X42" s="714">
        <v>5.2140951389340717E-2</v>
      </c>
      <c r="Y42" s="721">
        <f>AVERAGE(S42,M42)</f>
        <v>-6.198072345178296E-2</v>
      </c>
      <c r="Z42" s="721">
        <v>0.02</v>
      </c>
      <c r="AA42" s="721">
        <f>AA20/U20-1</f>
        <v>-9.0097352598964564E-3</v>
      </c>
      <c r="AB42" s="721"/>
      <c r="AC42" s="721">
        <v>0.01</v>
      </c>
      <c r="AD42" s="721">
        <v>0.01</v>
      </c>
      <c r="AE42" s="721">
        <v>0.01</v>
      </c>
      <c r="AF42" s="721">
        <v>0.01</v>
      </c>
      <c r="AG42" s="721">
        <f>AG20/AA20-1</f>
        <v>1.0000000000000009E-2</v>
      </c>
      <c r="AH42" s="721"/>
      <c r="AI42" s="721">
        <v>0.03</v>
      </c>
      <c r="AJ42" s="721"/>
      <c r="AK42" s="721">
        <v>0.04</v>
      </c>
      <c r="AL42" s="721"/>
      <c r="AM42" s="721">
        <v>0.04</v>
      </c>
      <c r="AP42" s="718">
        <f>(AM20/U20)^(1/5)-1</f>
        <v>2.2018913740413204E-2</v>
      </c>
      <c r="AQ42" s="718"/>
    </row>
    <row r="43" spans="3:44">
      <c r="C43" s="703" t="s">
        <v>379</v>
      </c>
      <c r="E43" s="711"/>
      <c r="F43" s="711"/>
      <c r="G43" s="711"/>
      <c r="H43" s="711"/>
      <c r="I43" s="711"/>
      <c r="J43" s="711"/>
      <c r="K43" s="712">
        <v>0.28050713153724249</v>
      </c>
      <c r="L43" s="712">
        <v>6.9550930996714166E-2</v>
      </c>
      <c r="M43" s="712">
        <v>-0.22404046414757517</v>
      </c>
      <c r="N43" s="712">
        <v>6.7465321563682235E-2</v>
      </c>
      <c r="O43" s="712">
        <v>1.1607491221225175E-2</v>
      </c>
      <c r="P43" s="711"/>
      <c r="Q43" s="712">
        <v>-0.13160066006600657</v>
      </c>
      <c r="R43" s="712">
        <v>0.36968766001024056</v>
      </c>
      <c r="S43" s="712">
        <v>-0.4785276073619632</v>
      </c>
      <c r="T43" s="712">
        <v>-4.3118724158298871E-2</v>
      </c>
      <c r="U43" s="712">
        <v>-9.5554912737440989E-2</v>
      </c>
      <c r="V43" s="711"/>
      <c r="W43" s="712">
        <v>-0.3230403800475059</v>
      </c>
      <c r="X43" s="714">
        <v>-0.22766355140186911</v>
      </c>
      <c r="Y43" s="721">
        <f>AVERAGE(S43,M43)</f>
        <v>-0.35128403575476919</v>
      </c>
      <c r="Z43" s="721">
        <v>0.06</v>
      </c>
      <c r="AA43" s="721">
        <f>AA21/U21-1</f>
        <v>-0.16762753610090475</v>
      </c>
      <c r="AB43" s="721"/>
      <c r="AC43" s="721">
        <v>0</v>
      </c>
      <c r="AD43" s="721">
        <v>0</v>
      </c>
      <c r="AE43" s="721">
        <v>5.0000000000000001E-3</v>
      </c>
      <c r="AF43" s="721">
        <v>0.01</v>
      </c>
      <c r="AG43" s="721">
        <f>AG21/AA21-1</f>
        <v>4.9637535154014589E-3</v>
      </c>
      <c r="AH43" s="721"/>
      <c r="AI43" s="721">
        <v>0.02</v>
      </c>
      <c r="AJ43" s="721"/>
      <c r="AK43" s="721">
        <v>0.03</v>
      </c>
      <c r="AL43" s="721"/>
      <c r="AM43" s="721">
        <v>3.5000000000000003E-2</v>
      </c>
      <c r="AP43" s="718">
        <f>(AM21/U21)^(1/5)-1</f>
        <v>-1.8773723392793706E-2</v>
      </c>
      <c r="AQ43" s="718"/>
      <c r="AR43" s="715"/>
    </row>
    <row r="44" spans="3:44">
      <c r="C44" s="703"/>
      <c r="E44" s="703"/>
      <c r="F44" s="703"/>
      <c r="G44" s="703"/>
      <c r="H44" s="703"/>
      <c r="I44" s="703"/>
      <c r="J44" s="703"/>
      <c r="K44" s="703"/>
      <c r="L44" s="703"/>
      <c r="M44" s="703"/>
      <c r="N44" s="703"/>
      <c r="O44" s="703"/>
      <c r="P44" s="703"/>
      <c r="Q44" s="703"/>
      <c r="R44" s="703"/>
      <c r="S44" s="703"/>
      <c r="T44" s="703"/>
      <c r="U44" s="703"/>
      <c r="V44" s="703"/>
      <c r="W44" s="703"/>
      <c r="X44" s="725"/>
      <c r="Y44" s="703"/>
    </row>
    <row r="45" spans="3:44">
      <c r="C45" s="703" t="s">
        <v>382</v>
      </c>
      <c r="E45" s="703"/>
      <c r="F45" s="703"/>
      <c r="G45" s="703"/>
      <c r="H45" s="703"/>
      <c r="I45" s="703"/>
      <c r="J45" s="703"/>
      <c r="K45" s="717">
        <f>K23/E23-1</f>
        <v>1.2788083757927282E-2</v>
      </c>
      <c r="L45" s="717">
        <f>L23/F23-1</f>
        <v>2.6027006682116438E-2</v>
      </c>
      <c r="M45" s="717">
        <f>M23/G23-1</f>
        <v>-1.2307741891947721E-2</v>
      </c>
      <c r="N45" s="717">
        <f>N23/H23-1</f>
        <v>-2.2418230017301477E-2</v>
      </c>
      <c r="O45" s="717">
        <f>O23/I23-1</f>
        <v>9.3035873115132617E-4</v>
      </c>
      <c r="P45" s="704"/>
      <c r="Q45" s="717">
        <f>Q23/K23-1</f>
        <v>-7.9879213338151067E-2</v>
      </c>
      <c r="R45" s="717">
        <f>R23/L23-1</f>
        <v>-4.6573883009513595E-2</v>
      </c>
      <c r="S45" s="717">
        <f>S23/M23-1</f>
        <v>-3.8588651824145392E-2</v>
      </c>
      <c r="T45" s="717">
        <f>T23/N23-1</f>
        <v>5.259891173297726E-3</v>
      </c>
      <c r="U45" s="717">
        <f>U23/O23-1</f>
        <v>-3.9994748061799479E-2</v>
      </c>
      <c r="V45" s="704"/>
      <c r="W45" s="717">
        <f>W23/Q23-1</f>
        <v>-2.1899267039655834E-2</v>
      </c>
      <c r="X45" s="726">
        <f>X23/R23-1</f>
        <v>-1.3803696449786518E-2</v>
      </c>
      <c r="Y45" s="723">
        <f>Y23/S23-1</f>
        <v>-6.3603335366110292E-3</v>
      </c>
      <c r="Z45" s="723">
        <f>Z23/T23-1</f>
        <v>1.8995805485172212E-2</v>
      </c>
      <c r="AA45" s="723">
        <f>AA23/U23-1</f>
        <v>-5.3476715141732578E-3</v>
      </c>
      <c r="AB45" s="722"/>
      <c r="AC45" s="723">
        <f>AC23/W23-1</f>
        <v>4.1258894662427048E-2</v>
      </c>
      <c r="AD45" s="723">
        <f>AD23/X23-1</f>
        <v>4.2811149412628424E-2</v>
      </c>
      <c r="AE45" s="723">
        <f>AE23/Y23-1</f>
        <v>4.3062099555368327E-2</v>
      </c>
      <c r="AF45" s="723">
        <f>AF23/Z23-1</f>
        <v>5.1473952466509099E-2</v>
      </c>
      <c r="AG45" s="723">
        <f>AG23/AA23-1</f>
        <v>4.4828996858444103E-2</v>
      </c>
      <c r="AH45" s="722"/>
      <c r="AI45" s="724">
        <f>AI23/AG23-1</f>
        <v>5.4605716598706167E-2</v>
      </c>
      <c r="AJ45" s="722"/>
      <c r="AK45" s="723">
        <f>AK23/AI23-1</f>
        <v>4.9297003655273564E-2</v>
      </c>
      <c r="AL45" s="722"/>
      <c r="AM45" s="723">
        <f>AM23/AK23-1</f>
        <v>4.7283775255138272E-2</v>
      </c>
      <c r="AO45" s="727" t="s">
        <v>385</v>
      </c>
      <c r="AP45" s="728">
        <f>(AM23/U23)^(1/5)-1</f>
        <v>3.7896123713495156E-2</v>
      </c>
    </row>
    <row r="46" spans="3:44">
      <c r="C46" s="703"/>
      <c r="E46" s="703"/>
      <c r="F46" s="703"/>
      <c r="G46" s="703"/>
      <c r="H46" s="703"/>
      <c r="I46" s="703"/>
      <c r="J46" s="703"/>
      <c r="K46" s="703"/>
      <c r="L46" s="703"/>
      <c r="M46" s="703"/>
      <c r="N46" s="703"/>
      <c r="O46" s="703"/>
      <c r="P46" s="703"/>
      <c r="Q46" s="703"/>
      <c r="R46" s="703"/>
      <c r="S46" s="703"/>
      <c r="T46" s="703"/>
      <c r="U46" s="703"/>
      <c r="V46" s="703"/>
      <c r="W46" s="703"/>
      <c r="X46" s="703"/>
      <c r="Y46" s="703"/>
      <c r="Z46" s="715"/>
    </row>
    <row r="47" spans="3:44">
      <c r="E47" s="703"/>
      <c r="F47" s="703"/>
      <c r="G47" s="703"/>
      <c r="H47" s="703"/>
      <c r="I47" s="703"/>
      <c r="J47" s="703"/>
      <c r="K47" s="703"/>
      <c r="L47" s="703"/>
      <c r="M47" s="703"/>
      <c r="N47" s="703"/>
      <c r="O47" s="703"/>
      <c r="P47" s="703"/>
      <c r="Q47" s="703"/>
      <c r="R47" s="703"/>
      <c r="S47" s="703"/>
      <c r="T47" s="703"/>
      <c r="U47" s="703"/>
      <c r="V47" s="703"/>
      <c r="W47" s="703"/>
      <c r="X47" s="703"/>
      <c r="Y47" s="703"/>
    </row>
    <row r="48" spans="3:44">
      <c r="E48" s="703"/>
      <c r="F48" s="703"/>
      <c r="G48" s="703"/>
      <c r="H48" s="703"/>
      <c r="I48" s="703"/>
      <c r="J48" s="703"/>
      <c r="K48" s="703"/>
      <c r="L48" s="703"/>
      <c r="M48" s="703"/>
      <c r="N48" s="703"/>
      <c r="O48" s="703"/>
      <c r="P48" s="703"/>
      <c r="Q48" s="703"/>
      <c r="R48" s="703"/>
      <c r="S48" s="703"/>
      <c r="T48" s="703"/>
      <c r="U48" s="703"/>
      <c r="V48" s="703"/>
      <c r="W48" s="703"/>
      <c r="X48" s="703"/>
      <c r="Y48" s="703"/>
    </row>
    <row r="49" spans="2:38">
      <c r="C49" s="702"/>
      <c r="E49" s="703"/>
      <c r="F49" s="703"/>
      <c r="G49" s="703"/>
      <c r="H49" s="703"/>
      <c r="I49" s="703"/>
      <c r="J49" s="703"/>
      <c r="K49" s="703"/>
      <c r="L49" s="703"/>
      <c r="M49" s="703"/>
      <c r="N49" s="703"/>
      <c r="O49" s="703"/>
      <c r="P49" s="703"/>
      <c r="Q49" s="703"/>
      <c r="R49" s="703"/>
      <c r="S49" s="703"/>
      <c r="T49" s="703"/>
      <c r="U49" s="703"/>
      <c r="V49" s="703"/>
      <c r="W49" s="703"/>
      <c r="X49" s="703"/>
      <c r="Y49" s="703"/>
    </row>
    <row r="50" spans="2:38">
      <c r="C50" s="703"/>
      <c r="E50" s="703"/>
      <c r="F50" s="703"/>
      <c r="G50" s="703"/>
      <c r="H50" s="703"/>
      <c r="I50" s="703"/>
      <c r="J50" s="703"/>
      <c r="K50" s="703"/>
      <c r="L50" s="703"/>
      <c r="M50" s="703"/>
      <c r="N50" s="703"/>
      <c r="O50" s="703"/>
      <c r="P50" s="703"/>
      <c r="Q50" s="703"/>
      <c r="R50" s="703"/>
      <c r="S50" s="703"/>
      <c r="T50" s="703"/>
      <c r="U50" s="703"/>
      <c r="V50" s="703"/>
      <c r="W50" s="703"/>
      <c r="X50" s="703"/>
      <c r="Y50" s="703"/>
    </row>
    <row r="51" spans="2:38">
      <c r="C51" s="703"/>
      <c r="E51" s="703"/>
      <c r="F51" s="703"/>
      <c r="G51" s="703"/>
      <c r="H51" s="703"/>
      <c r="I51" s="703"/>
      <c r="J51" s="703"/>
      <c r="K51" s="703"/>
      <c r="L51" s="703"/>
      <c r="M51" s="703"/>
      <c r="N51" s="703"/>
      <c r="O51" s="703"/>
      <c r="P51" s="703"/>
      <c r="Q51" s="703"/>
      <c r="R51" s="703"/>
      <c r="S51" s="703"/>
      <c r="T51" s="703"/>
      <c r="U51" s="703"/>
      <c r="V51" s="703"/>
      <c r="W51" s="703"/>
      <c r="X51" s="703"/>
      <c r="Y51" s="703"/>
    </row>
    <row r="52" spans="2:38">
      <c r="C52" s="703"/>
      <c r="E52" s="703"/>
      <c r="F52" s="703"/>
      <c r="G52" s="703"/>
      <c r="H52" s="703"/>
      <c r="I52" s="703"/>
      <c r="J52" s="703"/>
      <c r="K52" s="703"/>
      <c r="L52" s="703"/>
      <c r="M52" s="703"/>
      <c r="N52" s="703"/>
      <c r="O52" s="703"/>
      <c r="P52" s="703"/>
      <c r="Q52" s="703"/>
      <c r="R52" s="703"/>
      <c r="S52" s="703"/>
      <c r="T52" s="703"/>
      <c r="U52" s="703"/>
      <c r="V52" s="703"/>
      <c r="W52" s="703"/>
      <c r="X52" s="703"/>
      <c r="Y52" s="703"/>
    </row>
    <row r="53" spans="2:38" ht="15">
      <c r="C53" s="703"/>
      <c r="E53" s="818" t="s">
        <v>368</v>
      </c>
      <c r="F53" s="818"/>
      <c r="G53" s="818"/>
      <c r="H53" s="818"/>
      <c r="I53" s="818"/>
      <c r="K53" s="818" t="s">
        <v>369</v>
      </c>
      <c r="L53" s="818"/>
      <c r="M53" s="818"/>
      <c r="N53" s="818"/>
      <c r="O53" s="818"/>
      <c r="Q53" s="818" t="s">
        <v>309</v>
      </c>
      <c r="R53" s="818"/>
      <c r="S53" s="818"/>
      <c r="T53" s="818"/>
      <c r="U53" s="818"/>
      <c r="W53" s="706" t="s">
        <v>370</v>
      </c>
      <c r="Y53" s="706" t="s">
        <v>371</v>
      </c>
      <c r="AA53" s="706" t="s">
        <v>372</v>
      </c>
      <c r="AB53" s="703"/>
      <c r="AC53" s="703"/>
      <c r="AD53" s="703"/>
      <c r="AE53" s="703"/>
      <c r="AF53" s="703"/>
      <c r="AG53" s="703"/>
      <c r="AH53" s="703"/>
      <c r="AI53" s="703"/>
      <c r="AJ53" s="703"/>
      <c r="AK53" s="703"/>
      <c r="AL53" s="703"/>
    </row>
    <row r="54" spans="2:38" ht="15">
      <c r="D54" s="707"/>
      <c r="E54" s="706" t="s">
        <v>191</v>
      </c>
      <c r="F54" s="706" t="s">
        <v>192</v>
      </c>
      <c r="G54" s="706" t="s">
        <v>193</v>
      </c>
      <c r="H54" s="706" t="s">
        <v>194</v>
      </c>
      <c r="I54" s="706" t="s">
        <v>195</v>
      </c>
      <c r="J54" s="707"/>
      <c r="K54" s="706" t="s">
        <v>191</v>
      </c>
      <c r="L54" s="708" t="s">
        <v>192</v>
      </c>
      <c r="M54" s="706" t="s">
        <v>193</v>
      </c>
      <c r="N54" s="706" t="s">
        <v>194</v>
      </c>
      <c r="O54" s="706" t="s">
        <v>195</v>
      </c>
      <c r="P54" s="707"/>
      <c r="Q54" s="706" t="s">
        <v>191</v>
      </c>
      <c r="R54" s="706" t="s">
        <v>192</v>
      </c>
      <c r="S54" s="706" t="s">
        <v>193</v>
      </c>
      <c r="T54" s="706" t="s">
        <v>194</v>
      </c>
      <c r="U54" s="706" t="s">
        <v>195</v>
      </c>
      <c r="V54" s="707"/>
      <c r="W54" s="706" t="s">
        <v>195</v>
      </c>
      <c r="X54" s="707"/>
      <c r="Y54" s="706" t="s">
        <v>195</v>
      </c>
      <c r="Z54" s="707"/>
      <c r="AA54" s="706" t="s">
        <v>195</v>
      </c>
      <c r="AB54" s="703"/>
      <c r="AC54" s="703"/>
      <c r="AD54" s="703"/>
      <c r="AE54" s="703"/>
      <c r="AF54" s="703"/>
      <c r="AG54" s="703"/>
      <c r="AH54" s="703"/>
      <c r="AI54" s="703"/>
      <c r="AJ54" s="703"/>
      <c r="AK54" s="703"/>
      <c r="AL54" s="703"/>
    </row>
    <row r="55" spans="2:38">
      <c r="C55" t="s">
        <v>386</v>
      </c>
      <c r="E55" s="703"/>
      <c r="F55" s="703"/>
      <c r="G55" s="703"/>
      <c r="H55" s="703"/>
      <c r="I55" s="703"/>
      <c r="J55" s="703"/>
      <c r="K55" s="703"/>
      <c r="L55" s="703"/>
      <c r="M55" s="703"/>
      <c r="N55" s="703"/>
      <c r="O55" s="703"/>
      <c r="P55" s="703"/>
      <c r="Q55" s="703"/>
      <c r="R55" s="703"/>
      <c r="S55" s="703"/>
      <c r="T55" s="703"/>
      <c r="U55" s="703"/>
      <c r="V55" s="703"/>
      <c r="W55" s="703"/>
      <c r="X55" s="703"/>
      <c r="Y55" s="703"/>
    </row>
    <row r="56" spans="2:38">
      <c r="C56" s="702" t="s">
        <v>375</v>
      </c>
      <c r="E56" s="711">
        <v>590344</v>
      </c>
      <c r="F56" s="711">
        <v>619379</v>
      </c>
      <c r="G56" s="711">
        <v>600068</v>
      </c>
      <c r="H56" s="711">
        <v>609445</v>
      </c>
      <c r="I56" s="711">
        <v>2419236</v>
      </c>
      <c r="J56" s="703"/>
      <c r="K56" s="711">
        <v>562717</v>
      </c>
      <c r="L56" s="713">
        <v>580605</v>
      </c>
      <c r="M56" s="719">
        <f>SUM(M57:M60)</f>
        <v>620815.74957278627</v>
      </c>
      <c r="N56" s="719">
        <f>SUM(N57:N60)</f>
        <v>630641.80541544699</v>
      </c>
      <c r="O56" s="719">
        <f>SUM(O57:O60)</f>
        <v>2394779.5549882334</v>
      </c>
      <c r="P56" s="719"/>
      <c r="Q56" s="719">
        <f>SUM(Q57:Q60)</f>
        <v>581557.55276153609</v>
      </c>
      <c r="R56" s="719">
        <f>SUM(R57:R60)</f>
        <v>600479.13557541743</v>
      </c>
      <c r="S56" s="719">
        <f>SUM(S57:S60)</f>
        <v>642395.22505454125</v>
      </c>
      <c r="T56" s="719">
        <f>SUM(T57:T60)</f>
        <v>652693.46297192224</v>
      </c>
      <c r="U56" s="719">
        <f>SUM(U57:U60)</f>
        <v>2477125.3763634167</v>
      </c>
      <c r="V56" s="719"/>
      <c r="W56" s="719">
        <f>SUM(W57:W60)</f>
        <v>2562753.5488425773</v>
      </c>
      <c r="X56" s="719"/>
      <c r="Y56" s="719">
        <f>SUM(Y57:Y60)</f>
        <v>2651813.5183581896</v>
      </c>
      <c r="Z56" s="719"/>
      <c r="AA56" s="719">
        <f>SUM(AA57:AA60)</f>
        <v>2744462.1977786394</v>
      </c>
    </row>
    <row r="57" spans="2:38">
      <c r="B57" s="718">
        <f>Industry!$M$18</f>
        <v>2.551911049074973E-2</v>
      </c>
      <c r="C57" s="703" t="s">
        <v>376</v>
      </c>
      <c r="E57" s="711">
        <v>426528</v>
      </c>
      <c r="F57" s="711">
        <v>442395</v>
      </c>
      <c r="G57" s="711">
        <v>419515</v>
      </c>
      <c r="H57" s="711">
        <v>421923</v>
      </c>
      <c r="I57" s="711">
        <v>1710361</v>
      </c>
      <c r="J57" s="703"/>
      <c r="K57" s="711">
        <v>413860</v>
      </c>
      <c r="L57" s="713">
        <v>412575</v>
      </c>
      <c r="M57" s="719">
        <f>G57*(1+$B$57)</f>
        <v>430220.64963752689</v>
      </c>
      <c r="N57" s="719">
        <f>H57*(1+$B$57)</f>
        <v>432690.09965558862</v>
      </c>
      <c r="O57" s="719">
        <f>SUM(K57:N57)</f>
        <v>1689345.7492931155</v>
      </c>
      <c r="P57" s="719"/>
      <c r="Q57" s="719">
        <f t="shared" ref="Q57:T60" si="8">K57*(1+$B57)</f>
        <v>424421.33906770166</v>
      </c>
      <c r="R57" s="719">
        <f t="shared" si="8"/>
        <v>423103.54701072106</v>
      </c>
      <c r="S57" s="719">
        <f t="shared" si="8"/>
        <v>441199.49793102907</v>
      </c>
      <c r="T57" s="719">
        <f t="shared" si="8"/>
        <v>443731.96611695312</v>
      </c>
      <c r="U57" s="719">
        <f>SUM(Q57:T57)</f>
        <v>1732456.3501264048</v>
      </c>
      <c r="V57" s="719"/>
      <c r="W57" s="719">
        <f>U57*(1+$B57)</f>
        <v>1776667.0951456814</v>
      </c>
      <c r="X57" s="719"/>
      <c r="Y57" s="719">
        <f>W57*(1+$B57)</f>
        <v>1822006.0590519835</v>
      </c>
      <c r="Z57" s="719"/>
      <c r="AA57" s="719">
        <f>Y57*(1+$B57)</f>
        <v>1868502.0329877466</v>
      </c>
    </row>
    <row r="58" spans="2:38">
      <c r="B58" s="718">
        <f>Industry!$M$12</f>
        <v>5.5618571473524892E-2</v>
      </c>
      <c r="C58" s="703" t="s">
        <v>377</v>
      </c>
      <c r="E58" s="711">
        <v>51387</v>
      </c>
      <c r="F58" s="711">
        <v>55992</v>
      </c>
      <c r="G58" s="711">
        <v>53725</v>
      </c>
      <c r="H58" s="711">
        <v>54154</v>
      </c>
      <c r="I58" s="711">
        <v>215258</v>
      </c>
      <c r="J58" s="703"/>
      <c r="K58" s="711">
        <v>48715</v>
      </c>
      <c r="L58" s="713">
        <v>51835</v>
      </c>
      <c r="M58" s="719">
        <f>G58*(1+$B$58)</f>
        <v>56713.107752415126</v>
      </c>
      <c r="N58" s="719">
        <f>H58*(1+$B$58)</f>
        <v>57165.968119577265</v>
      </c>
      <c r="O58" s="719">
        <f>SUM(K58:N58)</f>
        <v>214429.07587199239</v>
      </c>
      <c r="P58" s="719"/>
      <c r="Q58" s="719">
        <f t="shared" si="8"/>
        <v>51424.458709332765</v>
      </c>
      <c r="R58" s="719">
        <f t="shared" si="8"/>
        <v>54717.988652330161</v>
      </c>
      <c r="S58" s="719">
        <f t="shared" si="8"/>
        <v>59867.409789428544</v>
      </c>
      <c r="T58" s="719">
        <f t="shared" si="8"/>
        <v>60345.457603289215</v>
      </c>
      <c r="U58" s="719">
        <f>SUM(Q58:T58)</f>
        <v>226355.3147543807</v>
      </c>
      <c r="V58" s="719"/>
      <c r="W58" s="719">
        <f>U58*(1+$B58)</f>
        <v>238944.87400645943</v>
      </c>
      <c r="X58" s="719"/>
      <c r="Y58" s="719">
        <f>W58*(1+$B58)</f>
        <v>252234.6465596201</v>
      </c>
      <c r="Z58" s="719"/>
      <c r="AA58" s="719">
        <f>Y58*(1+$B58)</f>
        <v>266263.57727739564</v>
      </c>
    </row>
    <row r="59" spans="2:38">
      <c r="B59" s="718">
        <f>Industry!$M$12</f>
        <v>5.5618571473524892E-2</v>
      </c>
      <c r="C59" s="703" t="s">
        <v>378</v>
      </c>
      <c r="E59" s="711">
        <v>90465</v>
      </c>
      <c r="F59" s="711">
        <v>98266</v>
      </c>
      <c r="G59" s="711">
        <v>99494</v>
      </c>
      <c r="H59" s="711">
        <v>108612</v>
      </c>
      <c r="I59" s="711">
        <v>396837</v>
      </c>
      <c r="J59" s="703"/>
      <c r="K59" s="711">
        <v>82051</v>
      </c>
      <c r="L59" s="713">
        <v>96244</v>
      </c>
      <c r="M59" s="719">
        <f>G59*(1+$B$59)</f>
        <v>105027.71415018689</v>
      </c>
      <c r="N59" s="719">
        <f>H59*(1+$B$59)</f>
        <v>114652.84428488249</v>
      </c>
      <c r="O59" s="719">
        <f>SUM(K59:N59)</f>
        <v>397975.55843506934</v>
      </c>
      <c r="P59" s="719"/>
      <c r="Q59" s="719">
        <f t="shared" si="8"/>
        <v>86614.559407974186</v>
      </c>
      <c r="R59" s="719">
        <f t="shared" si="8"/>
        <v>101596.95379289793</v>
      </c>
      <c r="S59" s="719">
        <f t="shared" si="8"/>
        <v>110869.20557635</v>
      </c>
      <c r="T59" s="719">
        <f t="shared" si="8"/>
        <v>121029.67169938415</v>
      </c>
      <c r="U59" s="719">
        <f>SUM(Q59:T59)</f>
        <v>420110.39047660626</v>
      </c>
      <c r="V59" s="719"/>
      <c r="W59" s="719">
        <f>U59*(1+$B59)</f>
        <v>443476.33025609981</v>
      </c>
      <c r="X59" s="719"/>
      <c r="Y59" s="719">
        <f>W59*(1+$B59)</f>
        <v>468141.85022726521</v>
      </c>
      <c r="Z59" s="719"/>
      <c r="AA59" s="719">
        <f>Y59*(1+$B59)</f>
        <v>494179.23118387855</v>
      </c>
    </row>
    <row r="60" spans="2:38">
      <c r="B60" s="718">
        <f>Industry!$M$12</f>
        <v>5.5618571473524892E-2</v>
      </c>
      <c r="C60" s="703" t="s">
        <v>379</v>
      </c>
      <c r="E60" s="711">
        <v>21964</v>
      </c>
      <c r="F60" s="711">
        <v>22726</v>
      </c>
      <c r="G60" s="711">
        <v>27334</v>
      </c>
      <c r="H60" s="711">
        <v>24756</v>
      </c>
      <c r="I60" s="711">
        <v>96780</v>
      </c>
      <c r="J60" s="703"/>
      <c r="K60" s="711">
        <v>18091</v>
      </c>
      <c r="L60" s="713">
        <v>19951</v>
      </c>
      <c r="M60" s="719">
        <f>G60*(1+$B$60)</f>
        <v>28854.27803265733</v>
      </c>
      <c r="N60" s="719">
        <f>H60*(1+$B$60)</f>
        <v>26132.893355398581</v>
      </c>
      <c r="O60" s="719">
        <f>SUM(K60:N60)</f>
        <v>93029.171388055911</v>
      </c>
      <c r="P60" s="719"/>
      <c r="Q60" s="719">
        <f t="shared" si="8"/>
        <v>19097.195576527538</v>
      </c>
      <c r="R60" s="719">
        <f t="shared" si="8"/>
        <v>21060.646119468296</v>
      </c>
      <c r="S60" s="719">
        <f t="shared" si="8"/>
        <v>30459.111757733641</v>
      </c>
      <c r="T60" s="719">
        <f t="shared" si="8"/>
        <v>27586.367552295822</v>
      </c>
      <c r="U60" s="719">
        <f>SUM(Q60:T60)</f>
        <v>98203.321006025304</v>
      </c>
      <c r="V60" s="719"/>
      <c r="W60" s="719">
        <f>U60*(1+$B60)</f>
        <v>103665.24943433644</v>
      </c>
      <c r="X60" s="719"/>
      <c r="Y60" s="719">
        <f>W60*(1+$B60)</f>
        <v>109430.96251932086</v>
      </c>
      <c r="Z60" s="719"/>
      <c r="AA60" s="719">
        <f>Y60*(1+$B60)</f>
        <v>115517.35632961833</v>
      </c>
    </row>
    <row r="61" spans="2:38">
      <c r="C61" s="704"/>
      <c r="E61" s="711"/>
      <c r="F61" s="711"/>
      <c r="G61" s="711"/>
      <c r="H61" s="711"/>
      <c r="I61" s="711"/>
      <c r="J61" s="703"/>
      <c r="K61" s="711"/>
      <c r="L61" s="713"/>
      <c r="M61" s="719"/>
      <c r="N61" s="719"/>
      <c r="O61" s="719"/>
      <c r="P61" s="719"/>
      <c r="Q61" s="719"/>
      <c r="R61" s="719"/>
      <c r="S61" s="719"/>
      <c r="T61" s="719"/>
      <c r="U61" s="719"/>
      <c r="V61" s="719"/>
      <c r="W61" s="719"/>
      <c r="X61" s="719"/>
      <c r="Y61" s="719"/>
      <c r="Z61" s="719"/>
      <c r="AA61" s="719"/>
    </row>
    <row r="62" spans="2:38">
      <c r="C62" s="702" t="s">
        <v>380</v>
      </c>
      <c r="E62" s="711">
        <v>162683</v>
      </c>
      <c r="F62" s="711">
        <v>179404</v>
      </c>
      <c r="G62" s="711">
        <v>169523</v>
      </c>
      <c r="H62" s="711">
        <v>219393</v>
      </c>
      <c r="I62" s="711">
        <v>731003</v>
      </c>
      <c r="J62" s="703"/>
      <c r="K62" s="711">
        <v>167906</v>
      </c>
      <c r="L62" s="713">
        <v>216195</v>
      </c>
      <c r="M62" s="719">
        <f>SUM(M63:M66)</f>
        <v>174351.52339752362</v>
      </c>
      <c r="N62" s="719">
        <f>SUM(N63:N66)</f>
        <v>225672.45263684663</v>
      </c>
      <c r="O62" s="719">
        <f>SUM(O63:O66)</f>
        <v>784124.97603437013</v>
      </c>
      <c r="P62" s="719"/>
      <c r="Q62" s="719">
        <f>SUM(Q63:Q66)</f>
        <v>172739.85075693409</v>
      </c>
      <c r="R62" s="719">
        <f>SUM(R63:R66)</f>
        <v>222391.27899336527</v>
      </c>
      <c r="S62" s="719">
        <f>SUM(S63:S66)</f>
        <v>179318.82447176374</v>
      </c>
      <c r="T62" s="719">
        <f>SUM(T63:T66)</f>
        <v>232133.28203364502</v>
      </c>
      <c r="U62" s="719">
        <f>SUM(U63:U66)</f>
        <v>806583.23625570815</v>
      </c>
      <c r="V62" s="719"/>
      <c r="W62" s="719">
        <f>SUM(W63:W66)</f>
        <v>829690.62665475719</v>
      </c>
      <c r="X62" s="719"/>
      <c r="Y62" s="719">
        <f>SUM(Y63:Y66)</f>
        <v>853466.08234659419</v>
      </c>
      <c r="Z62" s="719"/>
      <c r="AA62" s="719">
        <f>SUM(AA63:AA66)</f>
        <v>877929.09579622734</v>
      </c>
    </row>
    <row r="63" spans="2:38">
      <c r="B63" s="718">
        <f>Industry!$M$20</f>
        <v>2.6314009542671934E-2</v>
      </c>
      <c r="C63" s="703" t="s">
        <v>376</v>
      </c>
      <c r="E63" s="711">
        <v>103030</v>
      </c>
      <c r="F63" s="711">
        <v>108659</v>
      </c>
      <c r="G63" s="711">
        <v>103391</v>
      </c>
      <c r="H63" s="711">
        <v>128324.00000000001</v>
      </c>
      <c r="I63" s="711">
        <v>443404</v>
      </c>
      <c r="J63" s="703"/>
      <c r="K63" s="711">
        <v>93163</v>
      </c>
      <c r="L63" s="713">
        <v>124950</v>
      </c>
      <c r="M63" s="719">
        <f>G63*(1+$B$63)</f>
        <v>106111.63176062639</v>
      </c>
      <c r="N63" s="719">
        <f>H63*(1+$B$63)</f>
        <v>131700.71896055384</v>
      </c>
      <c r="O63" s="719">
        <f>SUM(K63:N63)</f>
        <v>455925.35072118021</v>
      </c>
      <c r="P63" s="719"/>
      <c r="Q63" s="719">
        <f>K63*(1+$B$63)</f>
        <v>95614.492071023938</v>
      </c>
      <c r="R63" s="719">
        <f>L63*(1+$B$63)</f>
        <v>128237.93549235686</v>
      </c>
      <c r="S63" s="719">
        <f>M63*(1+$B$63)</f>
        <v>108903.854251364</v>
      </c>
      <c r="T63" s="719">
        <f>N63*(1+$B$63)</f>
        <v>135166.2929360586</v>
      </c>
      <c r="U63" s="719">
        <f>SUM(Q63:T63)</f>
        <v>467922.57475080341</v>
      </c>
      <c r="V63" s="719"/>
      <c r="W63" s="719">
        <f>U63*(1+$B63)</f>
        <v>480235.49384802766</v>
      </c>
      <c r="X63" s="719"/>
      <c r="Y63" s="719">
        <f>W63*(1+$B63)</f>
        <v>492872.41521587444</v>
      </c>
      <c r="Z63" s="719"/>
      <c r="AA63" s="719">
        <f>Y63*(1+$B63)</f>
        <v>505841.86465318472</v>
      </c>
    </row>
    <row r="64" spans="2:38">
      <c r="B64" s="715">
        <f>Industry!$M$14</f>
        <v>3.1874004066068329E-2</v>
      </c>
      <c r="C64" s="703" t="s">
        <v>377</v>
      </c>
      <c r="E64" s="711">
        <v>6368</v>
      </c>
      <c r="F64" s="711">
        <v>6951</v>
      </c>
      <c r="G64" s="711">
        <v>7437</v>
      </c>
      <c r="H64" s="711">
        <v>8229</v>
      </c>
      <c r="I64" s="711">
        <v>28985</v>
      </c>
      <c r="K64" s="711">
        <v>3704</v>
      </c>
      <c r="L64" s="713">
        <v>7456</v>
      </c>
      <c r="M64" s="719">
        <f>G64*(1+$B$64)</f>
        <v>7674.0469682393505</v>
      </c>
      <c r="N64" s="719">
        <f>H64*(1+$B$64)</f>
        <v>8491.2911794596766</v>
      </c>
      <c r="O64" s="719">
        <f>SUM(K64:N64)</f>
        <v>27325.338147699029</v>
      </c>
      <c r="P64" s="719"/>
      <c r="Q64" s="719">
        <f t="shared" ref="Q64:T66" si="9">K64*(1+$B64)</f>
        <v>3822.0613110607169</v>
      </c>
      <c r="R64" s="719">
        <f t="shared" si="9"/>
        <v>7693.6525743166058</v>
      </c>
      <c r="S64" s="719">
        <f t="shared" si="9"/>
        <v>7918.6495725082104</v>
      </c>
      <c r="T64" s="719">
        <f t="shared" si="9"/>
        <v>8761.9426290399442</v>
      </c>
      <c r="U64" s="719">
        <f>SUM(Q64:T64)</f>
        <v>28196.306086925477</v>
      </c>
      <c r="V64" s="719"/>
      <c r="W64" s="719">
        <f>U64*(1+$B64)</f>
        <v>29095.035261788245</v>
      </c>
      <c r="X64" s="719"/>
      <c r="Y64" s="719">
        <f>W64*(1+$B64)</f>
        <v>30022.410534024886</v>
      </c>
      <c r="Z64" s="719"/>
      <c r="AA64" s="719">
        <f>Y64*(1+$B64)</f>
        <v>30979.344969459569</v>
      </c>
    </row>
    <row r="65" spans="2:27">
      <c r="B65" s="715">
        <f>Industry!$M$14</f>
        <v>3.1874004066068329E-2</v>
      </c>
      <c r="C65" s="703" t="s">
        <v>378</v>
      </c>
      <c r="E65" s="711">
        <v>41825</v>
      </c>
      <c r="F65" s="711">
        <v>50354</v>
      </c>
      <c r="G65" s="711">
        <v>45280</v>
      </c>
      <c r="H65" s="711">
        <v>56643</v>
      </c>
      <c r="I65" s="711">
        <v>194102</v>
      </c>
      <c r="K65" s="711">
        <v>54688</v>
      </c>
      <c r="L65" s="713">
        <v>65223</v>
      </c>
      <c r="M65" s="719">
        <f>G65*(1+$B$65)</f>
        <v>46723.254904111571</v>
      </c>
      <c r="N65" s="719">
        <f>H65*(1+$B$65)</f>
        <v>58448.439212314312</v>
      </c>
      <c r="O65" s="719">
        <f>SUM(K65:N65)</f>
        <v>225082.69411642588</v>
      </c>
      <c r="P65" s="719"/>
      <c r="Q65" s="719">
        <f t="shared" si="9"/>
        <v>56431.125534365143</v>
      </c>
      <c r="R65" s="719">
        <f t="shared" si="9"/>
        <v>67301.918167201176</v>
      </c>
      <c r="S65" s="719">
        <f t="shared" si="9"/>
        <v>48212.512120905172</v>
      </c>
      <c r="T65" s="719">
        <f t="shared" si="9"/>
        <v>60311.425001422962</v>
      </c>
      <c r="U65" s="719">
        <f>SUM(Q65:T65)</f>
        <v>232256.98082389447</v>
      </c>
      <c r="V65" s="719"/>
      <c r="W65" s="719">
        <f>U65*(1+$B65)</f>
        <v>239659.94077504805</v>
      </c>
      <c r="X65" s="719"/>
      <c r="Y65" s="719">
        <f>W65*(1+$B65)</f>
        <v>247298.86270178563</v>
      </c>
      <c r="Z65" s="719"/>
      <c r="AA65" s="719">
        <f>Y65*(1+$B65)</f>
        <v>255181.26765707642</v>
      </c>
    </row>
    <row r="66" spans="2:27">
      <c r="B66" s="715">
        <f>Industry!$M$14</f>
        <v>3.1874004066068329E-2</v>
      </c>
      <c r="C66" s="703" t="s">
        <v>379</v>
      </c>
      <c r="E66" s="711">
        <v>11460</v>
      </c>
      <c r="F66" s="711">
        <v>13440</v>
      </c>
      <c r="G66" s="711">
        <v>13415</v>
      </c>
      <c r="H66" s="711">
        <v>26197</v>
      </c>
      <c r="I66" s="711">
        <v>64512</v>
      </c>
      <c r="K66" s="711">
        <v>16351</v>
      </c>
      <c r="L66" s="713">
        <v>18566</v>
      </c>
      <c r="M66" s="719">
        <f>G66*(1+$B$66)</f>
        <v>13842.589764546306</v>
      </c>
      <c r="N66" s="719">
        <f>H66*(1+$B$66)</f>
        <v>27032.003284518792</v>
      </c>
      <c r="O66" s="719">
        <f>SUM(K66:N66)</f>
        <v>75791.593049065094</v>
      </c>
      <c r="P66" s="719"/>
      <c r="Q66" s="719">
        <f t="shared" si="9"/>
        <v>16872.171840484283</v>
      </c>
      <c r="R66" s="719">
        <f t="shared" si="9"/>
        <v>19157.772759490625</v>
      </c>
      <c r="S66" s="719">
        <f t="shared" si="9"/>
        <v>14283.808526986371</v>
      </c>
      <c r="T66" s="719">
        <f t="shared" si="9"/>
        <v>27893.621467123518</v>
      </c>
      <c r="U66" s="719">
        <f>SUM(Q66:T66)</f>
        <v>78207.374594084802</v>
      </c>
      <c r="V66" s="719"/>
      <c r="W66" s="719">
        <f>U66*(1+$B66)</f>
        <v>80700.15676989319</v>
      </c>
      <c r="X66" s="719"/>
      <c r="Y66" s="719">
        <f>W66*(1+$B66)</f>
        <v>83272.393894909124</v>
      </c>
      <c r="Z66" s="719"/>
      <c r="AA66" s="719">
        <f>Y66*(1+$B66)</f>
        <v>85926.6185165067</v>
      </c>
    </row>
    <row r="67" spans="2:27">
      <c r="C67" s="704"/>
      <c r="E67" s="711"/>
      <c r="F67" s="711"/>
      <c r="G67" s="711"/>
      <c r="H67" s="711"/>
      <c r="I67" s="711"/>
      <c r="K67" s="711"/>
      <c r="L67" s="713"/>
      <c r="M67" s="719"/>
      <c r="N67" s="719"/>
      <c r="O67" s="719"/>
      <c r="P67" s="719"/>
      <c r="Q67" s="719"/>
      <c r="R67" s="719"/>
      <c r="S67" s="719"/>
      <c r="T67" s="719"/>
      <c r="U67" s="719"/>
      <c r="V67" s="719"/>
      <c r="W67" s="719"/>
      <c r="X67" s="719"/>
      <c r="Y67" s="719"/>
      <c r="Z67" s="719"/>
      <c r="AA67" s="719"/>
    </row>
    <row r="68" spans="2:27">
      <c r="C68" s="702" t="s">
        <v>381</v>
      </c>
      <c r="E68" s="711">
        <v>173899</v>
      </c>
      <c r="F68" s="711">
        <v>192763</v>
      </c>
      <c r="G68" s="711">
        <v>173218</v>
      </c>
      <c r="H68" s="711">
        <v>185043</v>
      </c>
      <c r="I68" s="711">
        <v>724923</v>
      </c>
      <c r="K68" s="711">
        <v>176004</v>
      </c>
      <c r="L68" s="713">
        <v>181059</v>
      </c>
      <c r="M68" s="719">
        <f>SUM(M69:M72)</f>
        <v>177668.29522751129</v>
      </c>
      <c r="N68" s="719">
        <f>SUM(N69:N72)</f>
        <v>189847.67491023778</v>
      </c>
      <c r="O68" s="719">
        <f>SUM(O69:O72)</f>
        <v>724578.9701377491</v>
      </c>
      <c r="P68" s="719"/>
      <c r="Q68" s="719">
        <f>SUM(Q69:Q72)</f>
        <v>180548.24517639732</v>
      </c>
      <c r="R68" s="719">
        <f>SUM(R69:R72)</f>
        <v>185792.99930226026</v>
      </c>
      <c r="S68" s="719">
        <f>SUM(S69:S72)</f>
        <v>182238.51132554899</v>
      </c>
      <c r="T68" s="719">
        <f>SUM(T69:T72)</f>
        <v>194783.23898455882</v>
      </c>
      <c r="U68" s="719">
        <f>SUM(U69:U72)</f>
        <v>743362.99478876533</v>
      </c>
      <c r="V68" s="719"/>
      <c r="W68" s="719">
        <f>SUM(W69:W72)</f>
        <v>762657.90739317611</v>
      </c>
      <c r="X68" s="719"/>
      <c r="Y68" s="719">
        <f>SUM(Y69:Y72)</f>
        <v>782478.26846498565</v>
      </c>
      <c r="Z68" s="719"/>
      <c r="AA68" s="719">
        <f>SUM(AA69:AA72)</f>
        <v>802839.0711334392</v>
      </c>
    </row>
    <row r="69" spans="2:27">
      <c r="B69" s="718">
        <f>Industry!$M$22</f>
        <v>2.1542300661269609E-2</v>
      </c>
      <c r="C69" s="703" t="s">
        <v>376</v>
      </c>
      <c r="E69" s="711">
        <v>107041</v>
      </c>
      <c r="F69" s="711">
        <v>124777</v>
      </c>
      <c r="G69" s="711">
        <v>112912</v>
      </c>
      <c r="H69" s="711">
        <v>116377</v>
      </c>
      <c r="I69" s="711">
        <v>461107</v>
      </c>
      <c r="K69" s="711">
        <v>112851</v>
      </c>
      <c r="L69" s="713">
        <v>111122</v>
      </c>
      <c r="M69" s="719">
        <f>G69*(1+$B$69)</f>
        <v>115344.38425226527</v>
      </c>
      <c r="N69" s="719">
        <f>H69*(1+$B$69)</f>
        <v>118884.02832405658</v>
      </c>
      <c r="O69" s="719">
        <f>SUM(K69:N69)</f>
        <v>458201.41257632186</v>
      </c>
      <c r="P69" s="719"/>
      <c r="Q69" s="719">
        <f>K69*(1+$B$69)</f>
        <v>115282.07017192493</v>
      </c>
      <c r="R69" s="719">
        <f>L69*(1+$B$69)</f>
        <v>113515.8235340816</v>
      </c>
      <c r="S69" s="719">
        <f>M69*(1+$B$69)</f>
        <v>117829.16765741658</v>
      </c>
      <c r="T69" s="719">
        <f>N69*(1+$B$69)</f>
        <v>121445.0638060363</v>
      </c>
      <c r="U69" s="719">
        <f>SUM(Q69:T69)</f>
        <v>468072.12516945944</v>
      </c>
      <c r="V69" s="719"/>
      <c r="W69" s="719">
        <f>U69*(1+$B69)</f>
        <v>478155.47562101937</v>
      </c>
      <c r="X69" s="719"/>
      <c r="Y69" s="719">
        <f>W69*(1+$B69)</f>
        <v>488456.04463967972</v>
      </c>
      <c r="Z69" s="719"/>
      <c r="AA69" s="719">
        <f>Y69*(1+$B69)</f>
        <v>498978.51161312225</v>
      </c>
    </row>
    <row r="70" spans="2:27">
      <c r="B70" s="718">
        <f>Industry!$M$16</f>
        <v>3.346119748028431E-2</v>
      </c>
      <c r="C70" s="703" t="s">
        <v>377</v>
      </c>
      <c r="E70" s="711">
        <v>2596</v>
      </c>
      <c r="F70" s="711">
        <v>3843</v>
      </c>
      <c r="G70" s="711">
        <v>5994</v>
      </c>
      <c r="H70" s="711">
        <v>6029</v>
      </c>
      <c r="I70" s="711">
        <v>18462</v>
      </c>
      <c r="K70" s="711">
        <v>2808</v>
      </c>
      <c r="L70" s="713">
        <v>3198</v>
      </c>
      <c r="M70" s="719">
        <f t="shared" ref="M70:N72" si="10">G70*(1+$B70)</f>
        <v>6194.5664176968239</v>
      </c>
      <c r="N70" s="719">
        <f t="shared" si="10"/>
        <v>6230.737559608634</v>
      </c>
      <c r="O70" s="719">
        <f>SUM(K70:N70)</f>
        <v>18431.303977305459</v>
      </c>
      <c r="P70" s="719"/>
      <c r="Q70" s="719">
        <f t="shared" ref="Q70:T72" si="11">K70*(1+$B70)</f>
        <v>2901.9590425246383</v>
      </c>
      <c r="R70" s="719">
        <f t="shared" si="11"/>
        <v>3305.0089095419494</v>
      </c>
      <c r="S70" s="719">
        <f t="shared" si="11"/>
        <v>6401.8440279041151</v>
      </c>
      <c r="T70" s="719">
        <f t="shared" si="11"/>
        <v>6439.2254995385229</v>
      </c>
      <c r="U70" s="719">
        <f>SUM(Q70:T70)</f>
        <v>19048.037479509225</v>
      </c>
      <c r="V70" s="719"/>
      <c r="W70" s="719">
        <f>U70*(1+$B70)</f>
        <v>19685.407623222942</v>
      </c>
      <c r="X70" s="719"/>
      <c r="Y70" s="719">
        <f>W70*(1+$B70)</f>
        <v>20344.104935183499</v>
      </c>
      <c r="Z70" s="719"/>
      <c r="AA70" s="719">
        <f>Y70*(1+$B70)</f>
        <v>21024.843047979302</v>
      </c>
    </row>
    <row r="71" spans="2:27">
      <c r="B71" s="718">
        <f>Industry!$M$16</f>
        <v>3.346119748028431E-2</v>
      </c>
      <c r="C71" s="703" t="s">
        <v>378</v>
      </c>
      <c r="E71" s="711">
        <v>62157</v>
      </c>
      <c r="F71" s="711">
        <v>61468</v>
      </c>
      <c r="G71" s="711">
        <v>52952</v>
      </c>
      <c r="H71" s="711">
        <v>59397</v>
      </c>
      <c r="I71" s="711">
        <v>235974</v>
      </c>
      <c r="K71" s="711">
        <v>58920</v>
      </c>
      <c r="L71" s="713">
        <v>64673</v>
      </c>
      <c r="M71" s="719">
        <f t="shared" si="10"/>
        <v>54723.837328976013</v>
      </c>
      <c r="N71" s="719">
        <f t="shared" si="10"/>
        <v>61384.494746736447</v>
      </c>
      <c r="O71" s="719">
        <f>SUM(K71:N71)</f>
        <v>239701.33207571247</v>
      </c>
      <c r="P71" s="719"/>
      <c r="Q71" s="719">
        <f t="shared" si="11"/>
        <v>60891.533755538352</v>
      </c>
      <c r="R71" s="719">
        <f t="shared" si="11"/>
        <v>66837.036024642424</v>
      </c>
      <c r="S71" s="719">
        <f t="shared" si="11"/>
        <v>56554.962456719833</v>
      </c>
      <c r="T71" s="719">
        <f t="shared" si="11"/>
        <v>63438.493447684472</v>
      </c>
      <c r="U71" s="719">
        <f>SUM(Q71:T71)</f>
        <v>247722.0256845851</v>
      </c>
      <c r="V71" s="719"/>
      <c r="W71" s="719">
        <f>U71*(1+$B71)</f>
        <v>256011.10130623306</v>
      </c>
      <c r="X71" s="719"/>
      <c r="Y71" s="719">
        <f>W71*(1+$B71)</f>
        <v>264577.53932418599</v>
      </c>
      <c r="Z71" s="719"/>
      <c r="AA71" s="719">
        <f>Y71*(1+$B71)</f>
        <v>273430.62061636028</v>
      </c>
    </row>
    <row r="72" spans="2:27">
      <c r="B72" s="718">
        <f>Industry!$M$16</f>
        <v>3.346119748028431E-2</v>
      </c>
      <c r="C72" s="703" t="s">
        <v>379</v>
      </c>
      <c r="E72" s="711">
        <v>2105</v>
      </c>
      <c r="F72" s="711">
        <v>2675</v>
      </c>
      <c r="G72" s="711">
        <v>1360</v>
      </c>
      <c r="H72" s="711">
        <v>3240</v>
      </c>
      <c r="I72" s="711">
        <v>9380</v>
      </c>
      <c r="K72" s="711">
        <v>1425</v>
      </c>
      <c r="L72" s="713">
        <v>2066</v>
      </c>
      <c r="M72" s="719">
        <f t="shared" si="10"/>
        <v>1405.5072285731867</v>
      </c>
      <c r="N72" s="719">
        <f t="shared" si="10"/>
        <v>3348.4142798361213</v>
      </c>
      <c r="O72" s="719">
        <f>SUM(K72:N72)</f>
        <v>8244.9215084093084</v>
      </c>
      <c r="P72" s="719"/>
      <c r="Q72" s="719">
        <f t="shared" si="11"/>
        <v>1472.6822064094051</v>
      </c>
      <c r="R72" s="719">
        <f t="shared" si="11"/>
        <v>2135.1308339942675</v>
      </c>
      <c r="S72" s="719">
        <f t="shared" si="11"/>
        <v>1452.5371835084411</v>
      </c>
      <c r="T72" s="719">
        <f t="shared" si="11"/>
        <v>3460.4562312995217</v>
      </c>
      <c r="U72" s="719">
        <f>SUM(Q72:T72)</f>
        <v>8520.8064552116357</v>
      </c>
      <c r="V72" s="719"/>
      <c r="W72" s="719">
        <f>U72*(1+$B72)</f>
        <v>8805.9228427007529</v>
      </c>
      <c r="X72" s="719"/>
      <c r="Y72" s="719">
        <f>W72*(1+$B72)</f>
        <v>9100.5795659365085</v>
      </c>
      <c r="Z72" s="719"/>
      <c r="AA72" s="719">
        <f>Y72*(1+$B72)</f>
        <v>9405.0958559773499</v>
      </c>
    </row>
    <row r="74" spans="2:27">
      <c r="C74" s="703" t="s">
        <v>382</v>
      </c>
      <c r="E74" s="684">
        <f>E68+E62+E56</f>
        <v>926926</v>
      </c>
      <c r="F74" s="684">
        <f>F68+F62+F56</f>
        <v>991546</v>
      </c>
      <c r="G74" s="684">
        <f>G68+G62+G56</f>
        <v>942809</v>
      </c>
      <c r="H74" s="684">
        <f>H68+H62+H56</f>
        <v>1013881</v>
      </c>
      <c r="I74" s="684">
        <f>I68+I62+I56</f>
        <v>3875162</v>
      </c>
      <c r="K74" s="684">
        <f>K68+K62+K56</f>
        <v>906627</v>
      </c>
      <c r="L74" s="684">
        <f>L68+L62+L56</f>
        <v>977859</v>
      </c>
      <c r="M74" s="720">
        <f>M68+M62+M56</f>
        <v>972835.56819782115</v>
      </c>
      <c r="N74" s="720">
        <f>N68+N62+N56</f>
        <v>1046161.9329625315</v>
      </c>
      <c r="O74" s="720">
        <f>O68+O62+O56</f>
        <v>3903483.5011603525</v>
      </c>
      <c r="P74" s="722"/>
      <c r="Q74" s="720">
        <f>Q68+Q62+Q56</f>
        <v>934845.6486948675</v>
      </c>
      <c r="R74" s="720">
        <f>R68+R62+R56</f>
        <v>1008663.4138710429</v>
      </c>
      <c r="S74" s="720">
        <f>S68+S62+S56</f>
        <v>1003952.560851854</v>
      </c>
      <c r="T74" s="720">
        <f>T68+T62+T56</f>
        <v>1079609.9839901261</v>
      </c>
      <c r="U74" s="720">
        <f>U68+U62+U56</f>
        <v>4027071.6074078903</v>
      </c>
      <c r="V74" s="722"/>
      <c r="W74" s="720">
        <f>W68+W62+W56</f>
        <v>4155102.0828905106</v>
      </c>
      <c r="X74" s="722"/>
      <c r="Y74" s="720">
        <f>Y68+Y62+Y56</f>
        <v>4287757.8691697698</v>
      </c>
      <c r="Z74" s="722"/>
      <c r="AA74" s="720">
        <f>AA68+AA62+AA56</f>
        <v>4425230.3647083063</v>
      </c>
    </row>
    <row r="75" spans="2:27">
      <c r="C75" s="704"/>
    </row>
    <row r="76" spans="2:27">
      <c r="C76" s="702"/>
      <c r="E76" s="741"/>
      <c r="F76" s="764" t="s">
        <v>387</v>
      </c>
      <c r="G76" s="741"/>
      <c r="H76" s="741"/>
      <c r="I76" s="741"/>
      <c r="J76" s="741"/>
      <c r="K76" s="741"/>
      <c r="L76" s="741"/>
      <c r="M76" s="741"/>
      <c r="N76" s="741"/>
    </row>
    <row r="77" spans="2:27">
      <c r="C77" s="703"/>
      <c r="E77" s="741"/>
      <c r="F77" s="2" t="s">
        <v>388</v>
      </c>
      <c r="G77" s="755"/>
      <c r="H77" s="755"/>
      <c r="I77" s="756" t="s">
        <v>368</v>
      </c>
      <c r="J77" s="756" t="s">
        <v>369</v>
      </c>
      <c r="K77" s="756" t="s">
        <v>309</v>
      </c>
      <c r="L77" s="756" t="s">
        <v>370</v>
      </c>
      <c r="M77" s="756" t="s">
        <v>371</v>
      </c>
      <c r="N77" s="756" t="s">
        <v>372</v>
      </c>
    </row>
    <row r="78" spans="2:27">
      <c r="C78" s="703"/>
      <c r="E78" s="741"/>
      <c r="F78" s="758" t="s">
        <v>196</v>
      </c>
      <c r="G78" s="741"/>
      <c r="H78" s="741"/>
      <c r="I78" s="741"/>
      <c r="J78" s="741"/>
      <c r="K78" s="741"/>
      <c r="L78" s="741"/>
      <c r="M78" s="741"/>
      <c r="N78" s="741"/>
    </row>
    <row r="79" spans="2:27">
      <c r="C79" s="703"/>
      <c r="E79" s="741"/>
      <c r="F79" s="741" t="str">
        <f>C56</f>
        <v>Commercial Foodservice</v>
      </c>
      <c r="G79" s="741"/>
      <c r="H79" s="741"/>
      <c r="I79" s="757">
        <f>I56</f>
        <v>2419236</v>
      </c>
      <c r="J79" s="757">
        <f>O56</f>
        <v>2394779.5549882334</v>
      </c>
      <c r="K79" s="757">
        <f>U56</f>
        <v>2477125.3763634167</v>
      </c>
      <c r="L79" s="757">
        <f>W56</f>
        <v>2562753.5488425773</v>
      </c>
      <c r="M79" s="757">
        <f>Y56</f>
        <v>2651813.5183581896</v>
      </c>
      <c r="N79" s="757">
        <f>AA56</f>
        <v>2744462.1977786394</v>
      </c>
    </row>
    <row r="80" spans="2:27">
      <c r="C80" s="703"/>
      <c r="E80" s="741"/>
      <c r="F80" s="761" t="s">
        <v>389</v>
      </c>
      <c r="G80" s="762"/>
      <c r="H80" s="762"/>
      <c r="I80" s="763">
        <f>I79/O5-1</f>
        <v>-4.05457766518037E-2</v>
      </c>
      <c r="J80" s="763">
        <f>J79/I79-1</f>
        <v>-1.0109160500160641E-2</v>
      </c>
      <c r="K80" s="763">
        <f t="shared" ref="K80:N80" si="12">K79/J79-1</f>
        <v>3.4385553861799201E-2</v>
      </c>
      <c r="L80" s="763">
        <f t="shared" si="12"/>
        <v>3.4567556933621235E-2</v>
      </c>
      <c r="M80" s="763">
        <f t="shared" si="12"/>
        <v>3.4751671519813065E-2</v>
      </c>
      <c r="N80" s="763">
        <f t="shared" si="12"/>
        <v>3.4937856217661656E-2</v>
      </c>
    </row>
    <row r="81" spans="3:14">
      <c r="C81" s="704"/>
      <c r="E81" s="741"/>
      <c r="F81" s="741" t="str">
        <f>C62</f>
        <v>Food Processing</v>
      </c>
      <c r="G81" s="741"/>
      <c r="H81" s="741"/>
      <c r="I81" s="757">
        <f>I62</f>
        <v>731003</v>
      </c>
      <c r="J81" s="757">
        <f>O62</f>
        <v>784124.97603437013</v>
      </c>
      <c r="K81" s="757">
        <f>U62</f>
        <v>806583.23625570815</v>
      </c>
      <c r="L81" s="757">
        <f>W62</f>
        <v>829690.62665475719</v>
      </c>
      <c r="M81" s="757">
        <f>Y62</f>
        <v>853466.08234659419</v>
      </c>
      <c r="N81" s="757">
        <f>AA62</f>
        <v>877929.09579622734</v>
      </c>
    </row>
    <row r="82" spans="3:14">
      <c r="C82" s="702"/>
      <c r="E82" s="741"/>
      <c r="F82" s="761" t="str">
        <f>F80</f>
        <v>%YoY Growth</v>
      </c>
      <c r="G82" s="760"/>
      <c r="H82" s="760"/>
      <c r="I82" s="763">
        <f>U11/O11-1</f>
        <v>1.4411241462189306E-2</v>
      </c>
      <c r="J82" s="763">
        <f>J81/I81-1</f>
        <v>7.2669983617536626E-2</v>
      </c>
      <c r="K82" s="763">
        <f t="shared" ref="K82:N82" si="13">K81/J81-1</f>
        <v>2.8641174439970385E-2</v>
      </c>
      <c r="L82" s="763">
        <f t="shared" si="13"/>
        <v>2.8648488290331064E-2</v>
      </c>
      <c r="M82" s="763">
        <f t="shared" si="13"/>
        <v>2.8655808476103495E-2</v>
      </c>
      <c r="N82" s="763">
        <f t="shared" si="13"/>
        <v>2.8663134898545106E-2</v>
      </c>
    </row>
    <row r="83" spans="3:14">
      <c r="C83" s="703"/>
      <c r="E83" s="741"/>
      <c r="F83" s="741" t="str">
        <f>C68</f>
        <v>Residential Kitchen</v>
      </c>
      <c r="G83" s="741"/>
      <c r="H83" s="741"/>
      <c r="I83" s="757">
        <f>I68</f>
        <v>724923</v>
      </c>
      <c r="J83" s="757">
        <f>O68</f>
        <v>724578.9701377491</v>
      </c>
      <c r="K83" s="757">
        <f>U68</f>
        <v>743362.99478876533</v>
      </c>
      <c r="L83" s="757">
        <f>W68</f>
        <v>762657.90739317611</v>
      </c>
      <c r="M83" s="757">
        <f>Y68</f>
        <v>782478.26846498565</v>
      </c>
      <c r="N83" s="757">
        <f>AA68</f>
        <v>802839.0711334392</v>
      </c>
    </row>
    <row r="84" spans="3:14">
      <c r="C84" s="703"/>
      <c r="E84" s="741"/>
      <c r="F84" s="766" t="str">
        <f>F82</f>
        <v>%YoY Growth</v>
      </c>
      <c r="G84" s="767"/>
      <c r="H84" s="767"/>
      <c r="I84" s="768">
        <f>U17/O17-1</f>
        <v>-8.7591691042093522E-2</v>
      </c>
      <c r="J84" s="768">
        <f>J83/I83-1</f>
        <v>-4.7457435100128897E-4</v>
      </c>
      <c r="K84" s="768">
        <f t="shared" ref="K84:N84" si="14">K83/J83-1</f>
        <v>2.5924054416656794E-2</v>
      </c>
      <c r="L84" s="768">
        <f t="shared" si="14"/>
        <v>2.5956245790649923E-2</v>
      </c>
      <c r="M84" s="768">
        <f t="shared" si="14"/>
        <v>2.598853415098934E-2</v>
      </c>
      <c r="N84" s="768">
        <f t="shared" si="14"/>
        <v>2.6020917754554507E-2</v>
      </c>
    </row>
    <row r="85" spans="3:14">
      <c r="C85" s="703"/>
      <c r="E85" s="741"/>
      <c r="F85" s="758" t="s">
        <v>201</v>
      </c>
      <c r="G85" s="741"/>
      <c r="H85" s="741"/>
      <c r="I85" s="757"/>
      <c r="J85" s="757"/>
      <c r="K85" s="757"/>
      <c r="L85" s="757"/>
      <c r="M85" s="757"/>
      <c r="N85" s="757"/>
    </row>
    <row r="86" spans="3:14">
      <c r="C86" s="703"/>
      <c r="E86" s="741"/>
      <c r="F86" s="741" t="s">
        <v>376</v>
      </c>
      <c r="G86" s="741"/>
      <c r="H86" s="741"/>
      <c r="I86" s="757">
        <f>Segments!AF21</f>
        <v>2614872</v>
      </c>
      <c r="J86" s="757">
        <f>Segments!AL21</f>
        <v>2560457.1387810451</v>
      </c>
      <c r="K86" s="757">
        <f>Segments!AR21</f>
        <v>2621789.4713540594</v>
      </c>
      <c r="L86" s="757">
        <f>Segments!AT21</f>
        <v>2716262.5495794904</v>
      </c>
      <c r="M86" s="757">
        <f>Segments!AV21</f>
        <v>2810723.6325264745</v>
      </c>
      <c r="N86" s="757">
        <f>Segments!AX21</f>
        <v>2908939.4734856789</v>
      </c>
    </row>
    <row r="87" spans="3:14">
      <c r="C87" s="704"/>
      <c r="E87" s="741"/>
      <c r="F87" s="761" t="s">
        <v>389</v>
      </c>
      <c r="G87" s="741"/>
      <c r="H87" s="741"/>
      <c r="I87" s="763">
        <f>I86/Segments!Z21-1</f>
        <v>-7.3089167515342668E-2</v>
      </c>
      <c r="J87" s="763">
        <f>J86/I86-1</f>
        <v>-2.080976094392184E-2</v>
      </c>
      <c r="K87" s="763">
        <f t="shared" ref="K87:N87" si="15">K86/J86-1</f>
        <v>2.3953665009293079E-2</v>
      </c>
      <c r="L87" s="763">
        <f t="shared" si="15"/>
        <v>3.6033815551421489E-2</v>
      </c>
      <c r="M87" s="763">
        <f t="shared" si="15"/>
        <v>3.4776123891855582E-2</v>
      </c>
      <c r="N87" s="763">
        <f t="shared" si="15"/>
        <v>3.4943257964825669E-2</v>
      </c>
    </row>
    <row r="88" spans="3:14">
      <c r="C88" s="702"/>
      <c r="F88" s="741" t="s">
        <v>377</v>
      </c>
      <c r="G88" s="741"/>
      <c r="H88" s="741"/>
      <c r="I88" s="757">
        <f>I58+I64+I70</f>
        <v>262705</v>
      </c>
      <c r="J88" s="757">
        <f>O58+O64+O70</f>
        <v>260185.71799699686</v>
      </c>
      <c r="K88" s="757">
        <f>U58+U64+U70</f>
        <v>273599.65832081542</v>
      </c>
      <c r="L88" s="757">
        <f>W58+W64+W70</f>
        <v>287725.31689147057</v>
      </c>
      <c r="M88" s="757">
        <f>Y58+Y64+Y70</f>
        <v>302601.16202882846</v>
      </c>
      <c r="N88" s="757">
        <f>AA58+AA64+AA70</f>
        <v>318267.76529483451</v>
      </c>
    </row>
    <row r="89" spans="3:14">
      <c r="C89" s="703"/>
      <c r="F89" s="761" t="s">
        <v>389</v>
      </c>
      <c r="G89" s="741"/>
      <c r="H89" s="741"/>
      <c r="I89" s="763">
        <f>I88/Segments!Z22-1</f>
        <v>-8.0994759635903191E-2</v>
      </c>
      <c r="J89" s="763">
        <f>J88/I88-1</f>
        <v>-9.5897756152457658E-3</v>
      </c>
      <c r="K89" s="763">
        <f t="shared" ref="K89:N89" si="16">K88/J88-1</f>
        <v>5.1555252252444506E-2</v>
      </c>
      <c r="L89" s="763">
        <f t="shared" si="16"/>
        <v>5.1628933520420528E-2</v>
      </c>
      <c r="M89" s="763">
        <f t="shared" si="16"/>
        <v>5.1701550972551358E-2</v>
      </c>
      <c r="N89" s="763">
        <f t="shared" si="16"/>
        <v>5.177311006001184E-2</v>
      </c>
    </row>
    <row r="90" spans="3:14">
      <c r="C90" s="703"/>
      <c r="F90" s="741" t="s">
        <v>378</v>
      </c>
      <c r="G90" s="741"/>
      <c r="H90" s="741"/>
      <c r="I90" s="757">
        <f>Segments!AF23</f>
        <v>826913</v>
      </c>
      <c r="J90" s="757">
        <f>Segments!AL23</f>
        <v>876487.6440973361</v>
      </c>
      <c r="K90" s="757">
        <f>Segments!AR23</f>
        <v>934158.96574619436</v>
      </c>
      <c r="L90" s="757">
        <f>Segments!AT23</f>
        <v>989078.48808028619</v>
      </c>
      <c r="M90" s="757">
        <f>Segments!AV23</f>
        <v>1041087.5367267893</v>
      </c>
      <c r="N90" s="757">
        <f>Segments!AX23</f>
        <v>1092720.4625053178</v>
      </c>
    </row>
    <row r="91" spans="3:14">
      <c r="C91" s="703"/>
      <c r="F91" s="761" t="s">
        <v>389</v>
      </c>
      <c r="G91" s="741"/>
      <c r="H91" s="741"/>
      <c r="I91" s="763">
        <f>I90/Segments!Z23-1</f>
        <v>6.9306636217747686E-2</v>
      </c>
      <c r="J91" s="763">
        <f>J90/I90-1</f>
        <v>5.9951462968094615E-2</v>
      </c>
      <c r="K91" s="763">
        <f t="shared" ref="K91:N91" si="17">K90/J90-1</f>
        <v>6.5798214084640039E-2</v>
      </c>
      <c r="L91" s="763">
        <f t="shared" si="17"/>
        <v>5.879033906207054E-2</v>
      </c>
      <c r="M91" s="763">
        <f t="shared" si="17"/>
        <v>5.2583338201448671E-2</v>
      </c>
      <c r="N91" s="763">
        <f t="shared" si="17"/>
        <v>4.9595181919921849E-2</v>
      </c>
    </row>
    <row r="92" spans="3:14">
      <c r="C92" s="703"/>
      <c r="F92" s="741" t="s">
        <v>379</v>
      </c>
      <c r="G92" s="741"/>
      <c r="H92" s="741"/>
      <c r="I92" s="757">
        <f>Segments!AF24</f>
        <v>170672</v>
      </c>
      <c r="J92" s="757">
        <f>Segments!AL24</f>
        <v>184027.54332212292</v>
      </c>
      <c r="K92" s="757">
        <f>Segments!AR24</f>
        <v>202805.38892622798</v>
      </c>
      <c r="L92" s="757">
        <f>Segments!AT24</f>
        <v>217350.24257614615</v>
      </c>
      <c r="M92" s="757">
        <f>Segments!AV24</f>
        <v>230514.49285028654</v>
      </c>
      <c r="N92" s="757">
        <f>Segments!AX24</f>
        <v>242108.18845495599</v>
      </c>
    </row>
    <row r="93" spans="3:14">
      <c r="F93" s="769" t="s">
        <v>389</v>
      </c>
      <c r="G93" s="770"/>
      <c r="H93" s="770"/>
      <c r="I93" s="768">
        <f>I92/Segments!Z24-1</f>
        <v>9.1469536800772522E-2</v>
      </c>
      <c r="J93" s="768">
        <f>J92/I92-1</f>
        <v>7.8252691256462281E-2</v>
      </c>
      <c r="K93" s="768">
        <f t="shared" ref="K93:N93" si="18">K92/J92-1</f>
        <v>0.10203823441383553</v>
      </c>
      <c r="L93" s="768">
        <f t="shared" si="18"/>
        <v>7.1718279908276727E-2</v>
      </c>
      <c r="M93" s="768">
        <f t="shared" si="18"/>
        <v>6.0566991405718973E-2</v>
      </c>
      <c r="N93" s="768">
        <f t="shared" si="18"/>
        <v>5.0294866328423282E-2</v>
      </c>
    </row>
    <row r="94" spans="3:14">
      <c r="F94" s="758" t="s">
        <v>390</v>
      </c>
      <c r="G94" s="741"/>
      <c r="H94" s="741"/>
      <c r="I94" s="757">
        <f>U23</f>
        <v>3875162</v>
      </c>
      <c r="J94" s="757">
        <f>O74</f>
        <v>3903483.5011603525</v>
      </c>
      <c r="K94" s="757">
        <f>U74</f>
        <v>4027071.6074078903</v>
      </c>
      <c r="L94" s="757">
        <f>W74</f>
        <v>4155102.0828905106</v>
      </c>
      <c r="M94" s="757">
        <f>Y74</f>
        <v>4287757.8691697698</v>
      </c>
      <c r="N94" s="757">
        <f>AA74</f>
        <v>4425230.3647083063</v>
      </c>
    </row>
    <row r="95" spans="3:14">
      <c r="F95" s="759" t="s">
        <v>389</v>
      </c>
      <c r="G95" s="741"/>
      <c r="H95" s="741"/>
      <c r="I95" s="765">
        <f>U23/O23-1</f>
        <v>-3.9994748061799479E-2</v>
      </c>
      <c r="J95" s="763">
        <f>J94/I94-1</f>
        <v>7.3084689518405632E-3</v>
      </c>
      <c r="K95" s="763">
        <f t="shared" ref="K95:N95" si="19">K94/J94-1</f>
        <v>3.1660978254628214E-2</v>
      </c>
      <c r="L95" s="763">
        <f>L94/K94-1</f>
        <v>3.1792450684786866E-2</v>
      </c>
      <c r="M95" s="763">
        <f t="shared" si="19"/>
        <v>3.1925999321532172E-2</v>
      </c>
      <c r="N95" s="763">
        <f t="shared" si="19"/>
        <v>3.2061627482979915E-2</v>
      </c>
    </row>
    <row r="148" spans="3:3">
      <c r="C148" t="s">
        <v>391</v>
      </c>
    </row>
    <row r="149" spans="3:3">
      <c r="C149" s="702" t="s">
        <v>375</v>
      </c>
    </row>
    <row r="150" spans="3:3">
      <c r="C150" s="703" t="s">
        <v>376</v>
      </c>
    </row>
    <row r="151" spans="3:3">
      <c r="C151" s="703" t="s">
        <v>377</v>
      </c>
    </row>
    <row r="152" spans="3:3">
      <c r="C152" s="703" t="s">
        <v>378</v>
      </c>
    </row>
    <row r="153" spans="3:3">
      <c r="C153" s="703" t="s">
        <v>379</v>
      </c>
    </row>
    <row r="154" spans="3:3">
      <c r="C154" s="704"/>
    </row>
    <row r="155" spans="3:3">
      <c r="C155" s="702" t="s">
        <v>380</v>
      </c>
    </row>
    <row r="156" spans="3:3">
      <c r="C156" s="703" t="s">
        <v>376</v>
      </c>
    </row>
    <row r="157" spans="3:3">
      <c r="C157" s="703" t="s">
        <v>377</v>
      </c>
    </row>
    <row r="158" spans="3:3">
      <c r="C158" s="703" t="s">
        <v>378</v>
      </c>
    </row>
    <row r="159" spans="3:3">
      <c r="C159" s="703" t="s">
        <v>379</v>
      </c>
    </row>
    <row r="160" spans="3:3">
      <c r="C160" s="704"/>
    </row>
    <row r="161" spans="3:3">
      <c r="C161" s="702" t="s">
        <v>381</v>
      </c>
    </row>
    <row r="162" spans="3:3">
      <c r="C162" s="703" t="s">
        <v>376</v>
      </c>
    </row>
    <row r="163" spans="3:3">
      <c r="C163" s="703" t="s">
        <v>377</v>
      </c>
    </row>
    <row r="164" spans="3:3">
      <c r="C164" s="703" t="s">
        <v>378</v>
      </c>
    </row>
    <row r="165" spans="3:3">
      <c r="C165" s="703" t="s">
        <v>379</v>
      </c>
    </row>
    <row r="168" spans="3:3">
      <c r="C168" s="97" t="s">
        <v>386</v>
      </c>
    </row>
    <row r="169" spans="3:3">
      <c r="C169" s="702" t="s">
        <v>375</v>
      </c>
    </row>
    <row r="170" spans="3:3">
      <c r="C170" s="703" t="s">
        <v>376</v>
      </c>
    </row>
    <row r="171" spans="3:3">
      <c r="C171" s="703" t="s">
        <v>377</v>
      </c>
    </row>
    <row r="172" spans="3:3">
      <c r="C172" s="703" t="s">
        <v>378</v>
      </c>
    </row>
    <row r="173" spans="3:3">
      <c r="C173" s="703" t="s">
        <v>379</v>
      </c>
    </row>
    <row r="174" spans="3:3">
      <c r="C174" s="704"/>
    </row>
    <row r="175" spans="3:3">
      <c r="C175" s="702" t="s">
        <v>380</v>
      </c>
    </row>
    <row r="176" spans="3:3">
      <c r="C176" s="703" t="s">
        <v>376</v>
      </c>
    </row>
    <row r="177" spans="3:3">
      <c r="C177" s="703" t="s">
        <v>377</v>
      </c>
    </row>
    <row r="178" spans="3:3">
      <c r="C178" s="703" t="s">
        <v>378</v>
      </c>
    </row>
    <row r="179" spans="3:3">
      <c r="C179" s="703" t="s">
        <v>379</v>
      </c>
    </row>
    <row r="180" spans="3:3">
      <c r="C180" s="704"/>
    </row>
    <row r="181" spans="3:3">
      <c r="C181" s="702" t="s">
        <v>381</v>
      </c>
    </row>
    <row r="182" spans="3:3">
      <c r="C182" s="703" t="s">
        <v>376</v>
      </c>
    </row>
    <row r="183" spans="3:3">
      <c r="C183" s="703" t="s">
        <v>377</v>
      </c>
    </row>
    <row r="184" spans="3:3">
      <c r="C184" s="703" t="s">
        <v>378</v>
      </c>
    </row>
    <row r="185" spans="3:3">
      <c r="C185" s="703" t="s">
        <v>379</v>
      </c>
    </row>
  </sheetData>
  <mergeCells count="8">
    <mergeCell ref="W2:AA2"/>
    <mergeCell ref="AC2:AG2"/>
    <mergeCell ref="E53:I53"/>
    <mergeCell ref="K53:O53"/>
    <mergeCell ref="Q53:U53"/>
    <mergeCell ref="E2:I2"/>
    <mergeCell ref="K2:O2"/>
    <mergeCell ref="Q2:U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4">
    <tabColor theme="4"/>
  </sheetPr>
  <dimension ref="A1:BH191"/>
  <sheetViews>
    <sheetView showGridLines="0" topLeftCell="A145" zoomScale="57" zoomScaleNormal="70" workbookViewId="0">
      <selection activeCell="AD160" sqref="AD160"/>
    </sheetView>
  </sheetViews>
  <sheetFormatPr defaultColWidth="9" defaultRowHeight="14.25" customHeight="1" outlineLevelCol="1"/>
  <cols>
    <col min="1" max="1" width="2" style="97" customWidth="1"/>
    <col min="2" max="2" width="50.5" style="97" customWidth="1"/>
    <col min="3" max="3" width="3.375" style="23" customWidth="1"/>
    <col min="4" max="7" width="9.5" style="97" customWidth="1" outlineLevel="1"/>
    <col min="8" max="8" width="11.5" style="97" customWidth="1"/>
    <col min="9" max="9" width="1.5" style="23" customWidth="1"/>
    <col min="10" max="12" width="9.5" style="97" customWidth="1" outlineLevel="1"/>
    <col min="13" max="13" width="10.125" style="97" bestFit="1" customWidth="1" outlineLevel="1"/>
    <col min="14" max="14" width="11.5" style="97" customWidth="1"/>
    <col min="15" max="15" width="1.5" style="23" customWidth="1"/>
    <col min="16" max="18" width="9.5" style="97" customWidth="1" outlineLevel="1"/>
    <col min="19" max="19" width="10.125" style="97" bestFit="1" customWidth="1" outlineLevel="1"/>
    <col min="20" max="20" width="11.5" style="97" customWidth="1"/>
    <col min="21" max="21" width="1.5" style="23" customWidth="1"/>
    <col min="22" max="23" width="9.5" style="97" customWidth="1" outlineLevel="1"/>
    <col min="24" max="24" width="11.5" style="97" customWidth="1" outlineLevel="1"/>
    <col min="25" max="25" width="11" style="97" customWidth="1" outlineLevel="1"/>
    <col min="26" max="26" width="13" style="97" customWidth="1"/>
    <col min="27" max="27" width="1.5" style="23" customWidth="1"/>
    <col min="28" max="29" width="11" style="97" customWidth="1" outlineLevel="1"/>
    <col min="30" max="30" width="10.75" style="97" bestFit="1" customWidth="1" outlineLevel="1"/>
    <col min="31" max="31" width="11.75" style="97" bestFit="1" customWidth="1" outlineLevel="1"/>
    <col min="32" max="32" width="12.5" style="97" bestFit="1" customWidth="1"/>
    <col min="33" max="33" width="1.5" style="23" customWidth="1"/>
    <col min="34" max="34" width="11.5" style="97" customWidth="1"/>
    <col min="35" max="35" width="1.5" style="23" customWidth="1"/>
    <col min="36" max="36" width="11.5" style="105" customWidth="1"/>
    <col min="37" max="37" width="1.5" style="97" customWidth="1"/>
    <col min="38" max="38" width="12.125" style="97" bestFit="1" customWidth="1"/>
    <col min="39" max="39" width="1.5" style="97" customWidth="1"/>
    <col min="40" max="16384" width="9" style="97"/>
  </cols>
  <sheetData>
    <row r="1" spans="1:60" s="582" customFormat="1" ht="15" customHeight="1"/>
    <row r="2" spans="1:60" s="582" customFormat="1" ht="15" customHeight="1"/>
    <row r="3" spans="1:60" s="582" customFormat="1" ht="15" customHeight="1"/>
    <row r="4" spans="1:60" s="582" customFormat="1" ht="15" customHeight="1"/>
    <row r="5" spans="1:60" s="288" customFormat="1" ht="3.95" customHeight="1">
      <c r="C5" s="36"/>
      <c r="I5" s="36"/>
      <c r="O5" s="36"/>
      <c r="U5" s="36"/>
      <c r="AA5" s="36"/>
      <c r="AG5" s="36"/>
      <c r="AI5" s="36"/>
      <c r="AJ5" s="289"/>
    </row>
    <row r="7" spans="1:60" s="41" customFormat="1" ht="15" customHeight="1">
      <c r="A7" s="30" t="s">
        <v>38</v>
      </c>
      <c r="B7" s="161" t="s">
        <v>392</v>
      </c>
      <c r="C7" s="18"/>
      <c r="D7" s="162"/>
      <c r="E7" s="162"/>
      <c r="F7" s="162"/>
      <c r="G7" s="162"/>
      <c r="H7" s="162"/>
      <c r="I7" s="18"/>
      <c r="J7" s="162"/>
      <c r="K7" s="162"/>
      <c r="L7" s="162"/>
      <c r="M7" s="162"/>
      <c r="N7" s="162"/>
      <c r="O7" s="18"/>
      <c r="P7" s="162"/>
      <c r="Q7" s="162"/>
      <c r="R7" s="162"/>
      <c r="S7" s="162"/>
      <c r="T7" s="162"/>
      <c r="U7" s="18"/>
      <c r="V7" s="162"/>
      <c r="W7" s="162"/>
      <c r="X7" s="162"/>
      <c r="Y7" s="162"/>
      <c r="Z7" s="162"/>
      <c r="AA7" s="18"/>
      <c r="AB7" s="162"/>
      <c r="AC7" s="162"/>
      <c r="AD7" s="162"/>
      <c r="AE7" s="162"/>
      <c r="AF7" s="162"/>
      <c r="AG7" s="18"/>
      <c r="AH7" s="162"/>
      <c r="AI7" s="18"/>
      <c r="AJ7" s="163"/>
      <c r="AK7" s="18"/>
      <c r="AL7" s="163"/>
    </row>
    <row r="8" spans="1:60" s="41" customFormat="1" ht="15" customHeight="1">
      <c r="B8" s="164"/>
      <c r="C8" s="18"/>
      <c r="D8" s="815">
        <v>2022</v>
      </c>
      <c r="E8" s="815"/>
      <c r="F8" s="815"/>
      <c r="G8" s="815"/>
      <c r="H8" s="815"/>
      <c r="I8" s="169"/>
      <c r="J8" s="815">
        <f>D8+1</f>
        <v>2023</v>
      </c>
      <c r="K8" s="815"/>
      <c r="L8" s="815"/>
      <c r="M8" s="815"/>
      <c r="N8" s="815"/>
      <c r="O8" s="169"/>
      <c r="P8" s="815">
        <f>J8+1</f>
        <v>2024</v>
      </c>
      <c r="Q8" s="815"/>
      <c r="R8" s="815"/>
      <c r="S8" s="815"/>
      <c r="T8" s="815"/>
      <c r="U8" s="169"/>
      <c r="V8" s="813">
        <f>P8+1</f>
        <v>2025</v>
      </c>
      <c r="W8" s="813"/>
      <c r="X8" s="813"/>
      <c r="Y8" s="813"/>
      <c r="Z8" s="813"/>
      <c r="AA8" s="169"/>
      <c r="AB8" s="813">
        <f>V8+1</f>
        <v>2026</v>
      </c>
      <c r="AC8" s="813"/>
      <c r="AD8" s="813"/>
      <c r="AE8" s="813"/>
      <c r="AF8" s="813"/>
      <c r="AG8" s="171"/>
      <c r="AH8" s="166">
        <f>AB8+1</f>
        <v>2027</v>
      </c>
      <c r="AI8" s="167"/>
      <c r="AJ8" s="166">
        <f>+AH8+1</f>
        <v>2028</v>
      </c>
      <c r="AK8" s="167"/>
      <c r="AL8" s="166">
        <f>+AJ8+1</f>
        <v>2029</v>
      </c>
    </row>
    <row r="9" spans="1:60" s="41" customFormat="1" ht="14.25" customHeight="1">
      <c r="B9" s="164"/>
      <c r="C9" s="18"/>
      <c r="D9" s="168" t="s">
        <v>191</v>
      </c>
      <c r="E9" s="168" t="s">
        <v>192</v>
      </c>
      <c r="F9" s="168" t="s">
        <v>193</v>
      </c>
      <c r="G9" s="168" t="s">
        <v>194</v>
      </c>
      <c r="H9" s="168" t="s">
        <v>195</v>
      </c>
      <c r="I9" s="165"/>
      <c r="J9" s="168" t="s">
        <v>191</v>
      </c>
      <c r="K9" s="168" t="s">
        <v>192</v>
      </c>
      <c r="L9" s="168" t="s">
        <v>193</v>
      </c>
      <c r="M9" s="168" t="s">
        <v>194</v>
      </c>
      <c r="N9" s="168" t="s">
        <v>195</v>
      </c>
      <c r="O9" s="165"/>
      <c r="P9" s="168" t="s">
        <v>191</v>
      </c>
      <c r="Q9" s="168" t="s">
        <v>192</v>
      </c>
      <c r="R9" s="168" t="s">
        <v>193</v>
      </c>
      <c r="S9" s="168" t="s">
        <v>194</v>
      </c>
      <c r="T9" s="168" t="s">
        <v>195</v>
      </c>
      <c r="U9" s="165"/>
      <c r="V9" s="168" t="s">
        <v>191</v>
      </c>
      <c r="W9" s="168" t="s">
        <v>192</v>
      </c>
      <c r="X9" s="168" t="s">
        <v>193</v>
      </c>
      <c r="Y9" s="168" t="s">
        <v>194</v>
      </c>
      <c r="Z9" s="168" t="s">
        <v>195</v>
      </c>
      <c r="AA9" s="165"/>
      <c r="AB9" s="168" t="s">
        <v>191</v>
      </c>
      <c r="AC9" s="168" t="s">
        <v>192</v>
      </c>
      <c r="AD9" s="168" t="s">
        <v>193</v>
      </c>
      <c r="AE9" s="168" t="s">
        <v>194</v>
      </c>
      <c r="AF9" s="168" t="s">
        <v>195</v>
      </c>
      <c r="AG9" s="165"/>
      <c r="AH9" s="168" t="s">
        <v>195</v>
      </c>
      <c r="AI9" s="165"/>
      <c r="AJ9" s="168" t="s">
        <v>195</v>
      </c>
      <c r="AK9" s="165"/>
      <c r="AL9" s="168" t="s">
        <v>195</v>
      </c>
    </row>
    <row r="11" spans="1:60" ht="14.25" customHeight="1">
      <c r="B11" s="702" t="s">
        <v>375</v>
      </c>
      <c r="D11" s="312">
        <f>Revenue!E5</f>
        <v>543653</v>
      </c>
      <c r="E11" s="733">
        <f>Revenue!F5</f>
        <v>609679</v>
      </c>
      <c r="F11" s="733">
        <f>Revenue!G5</f>
        <v>623662</v>
      </c>
      <c r="G11" s="733">
        <f>Revenue!H5</f>
        <v>633272</v>
      </c>
      <c r="H11" s="737">
        <f>Revenue!I5</f>
        <v>2410266</v>
      </c>
      <c r="I11" s="733">
        <f>Revenue!J5</f>
        <v>0</v>
      </c>
      <c r="J11" s="733">
        <f>Revenue!K5</f>
        <v>613935</v>
      </c>
      <c r="K11" s="733">
        <f>Revenue!L5</f>
        <v>645663</v>
      </c>
      <c r="L11" s="733">
        <f>Revenue!M5</f>
        <v>634009</v>
      </c>
      <c r="M11" s="733">
        <f>Revenue!N5</f>
        <v>627864</v>
      </c>
      <c r="N11" s="737">
        <f>Revenue!O5</f>
        <v>2521471</v>
      </c>
      <c r="O11" s="733">
        <f>Revenue!P5</f>
        <v>0</v>
      </c>
      <c r="P11" s="733">
        <f>Revenue!Q5</f>
        <v>590344</v>
      </c>
      <c r="Q11" s="733">
        <f>Revenue!R5</f>
        <v>619379</v>
      </c>
      <c r="R11" s="733">
        <f>Revenue!S5</f>
        <v>600068</v>
      </c>
      <c r="S11" s="733">
        <f>Revenue!T5</f>
        <v>609445</v>
      </c>
      <c r="T11" s="737">
        <f>Revenue!U5</f>
        <v>2419236</v>
      </c>
      <c r="U11" s="733">
        <f>Revenue!V5</f>
        <v>0</v>
      </c>
      <c r="V11" s="733">
        <f>Revenue!W5</f>
        <v>562717</v>
      </c>
      <c r="W11" s="733">
        <f>Revenue!X5</f>
        <v>580605</v>
      </c>
      <c r="X11" s="312">
        <f>AVERAGE(Revenue!Y5,Revenue!M56)</f>
        <v>607065.92834760784</v>
      </c>
      <c r="Y11" s="733">
        <f>AVERAGE(Revenue!Z5,Revenue!N56)</f>
        <v>618043.23852307699</v>
      </c>
      <c r="Z11" s="736">
        <f>SUM(V11:Y11)</f>
        <v>2368431.1668706848</v>
      </c>
      <c r="AB11" s="733">
        <f>AVERAGE(Revenue!AC5,Revenue!Q56)</f>
        <v>577918.34269650234</v>
      </c>
      <c r="AC11" s="733">
        <f>AVERAGE(Revenue!AD5,Revenue!R56)</f>
        <v>596566.32269000891</v>
      </c>
      <c r="AD11" s="733">
        <f>AVERAGE(Revenue!AE5,Revenue!S56)</f>
        <v>624534.27947208332</v>
      </c>
      <c r="AE11" s="733">
        <f>AVERAGE(Revenue!AF5,Revenue!T56)</f>
        <v>635926.42034915357</v>
      </c>
      <c r="AF11" s="737">
        <f>SUM(AB11:AE11)</f>
        <v>2434945.365207748</v>
      </c>
      <c r="AH11" s="736">
        <f>AVERAGE(Revenue!AI5,Revenue!W56)</f>
        <v>2530367.9832371334</v>
      </c>
      <c r="AJ11" s="737">
        <f>AVERAGE(Revenue!AK5,Revenue!Y56)</f>
        <v>2622378.5023390613</v>
      </c>
      <c r="AL11" s="737">
        <f>AVERAGE(Revenue!AM5,Revenue!AA56)</f>
        <v>2720762.3678738903</v>
      </c>
    </row>
    <row r="12" spans="1:60" ht="14.25" customHeight="1">
      <c r="B12" s="703" t="s">
        <v>376</v>
      </c>
      <c r="D12" s="733">
        <f>Revenue!E6</f>
        <v>374909</v>
      </c>
      <c r="E12" s="733">
        <f>Revenue!F6</f>
        <v>454464</v>
      </c>
      <c r="F12" s="733">
        <f>Revenue!G6</f>
        <v>464053</v>
      </c>
      <c r="G12" s="733">
        <f>Revenue!H6</f>
        <v>472831</v>
      </c>
      <c r="H12" s="737">
        <f>Revenue!I6</f>
        <v>1766257</v>
      </c>
      <c r="I12" s="733">
        <f>Revenue!J6</f>
        <v>0</v>
      </c>
      <c r="J12" s="733">
        <f>Revenue!K6</f>
        <v>452655</v>
      </c>
      <c r="K12" s="733">
        <f>Revenue!L6</f>
        <v>474745</v>
      </c>
      <c r="L12" s="733">
        <f>Revenue!M6</f>
        <v>458529</v>
      </c>
      <c r="M12" s="733">
        <f>Revenue!N6</f>
        <v>442487</v>
      </c>
      <c r="N12" s="737">
        <f>Revenue!O6</f>
        <v>1828416</v>
      </c>
      <c r="O12" s="733">
        <f>Revenue!P6</f>
        <v>0</v>
      </c>
      <c r="P12" s="733">
        <f>Revenue!Q6</f>
        <v>426528</v>
      </c>
      <c r="Q12" s="733">
        <f>Revenue!R6</f>
        <v>442395</v>
      </c>
      <c r="R12" s="733">
        <f>Revenue!S6</f>
        <v>419515</v>
      </c>
      <c r="S12" s="733">
        <f>Revenue!T6</f>
        <v>421923</v>
      </c>
      <c r="T12" s="737">
        <f>Revenue!U6</f>
        <v>1710361</v>
      </c>
      <c r="U12" s="733">
        <f>Revenue!V6</f>
        <v>0</v>
      </c>
      <c r="V12" s="733">
        <f>Revenue!W6</f>
        <v>413860</v>
      </c>
      <c r="W12" s="733">
        <f>Revenue!X6</f>
        <v>412575</v>
      </c>
      <c r="X12" s="733">
        <f>AVERAGE(Revenue!Y6,Revenue!M57)</f>
        <v>414695.74564591609</v>
      </c>
      <c r="Y12" s="733">
        <f>AVERAGE(Revenue!Z6,Revenue!N57)</f>
        <v>415635.22815011779</v>
      </c>
      <c r="Z12" s="737">
        <f>SUM(V12:Y12)</f>
        <v>1656765.9737960338</v>
      </c>
      <c r="AB12" s="733">
        <f>AVERAGE(Revenue!AC6,Revenue!Q57)</f>
        <v>423279.26953385083</v>
      </c>
      <c r="AC12" s="733">
        <f>AVERAGE(Revenue!AD6,Revenue!R57)</f>
        <v>421965.02350536053</v>
      </c>
      <c r="AD12" s="733">
        <f>AVERAGE(Revenue!AE6,Revenue!S57)</f>
        <v>424176.87820921023</v>
      </c>
      <c r="AE12" s="733">
        <f>AVERAGE(Revenue!AF6,Revenue!T57)</f>
        <v>425141.96494724654</v>
      </c>
      <c r="AF12" s="737">
        <f>SUM(AB12:AE12)</f>
        <v>1694563.136195668</v>
      </c>
      <c r="AH12" s="737">
        <f>AVERAGE(Revenue!AI6,Revenue!W57)</f>
        <v>1758085.2567619297</v>
      </c>
      <c r="AJ12" s="737">
        <f>AVERAGE(Revenue!AK6,Revenue!Y57)</f>
        <v>1815544.8070826442</v>
      </c>
      <c r="AL12" s="737">
        <f>AVERAGE(Revenue!AM6,Revenue!AA57)</f>
        <v>1874974.4651527922</v>
      </c>
    </row>
    <row r="13" spans="1:60" ht="14.25" customHeight="1">
      <c r="B13" s="703" t="s">
        <v>377</v>
      </c>
      <c r="D13" s="733">
        <f>Revenue!E7</f>
        <v>52016</v>
      </c>
      <c r="E13" s="733">
        <f>Revenue!F7</f>
        <v>45802</v>
      </c>
      <c r="F13" s="733">
        <f>Revenue!G7</f>
        <v>55243</v>
      </c>
      <c r="G13" s="733">
        <f>Revenue!H7</f>
        <v>59132</v>
      </c>
      <c r="H13" s="737">
        <f>Revenue!I7</f>
        <v>212193</v>
      </c>
      <c r="I13" s="733">
        <f>Revenue!J7</f>
        <v>0</v>
      </c>
      <c r="J13" s="733">
        <f>Revenue!K7</f>
        <v>56526</v>
      </c>
      <c r="K13" s="733">
        <f>Revenue!L7</f>
        <v>57453</v>
      </c>
      <c r="L13" s="733">
        <f>Revenue!M7</f>
        <v>59922</v>
      </c>
      <c r="M13" s="733">
        <f>Revenue!N7</f>
        <v>59138</v>
      </c>
      <c r="N13" s="737">
        <f>Revenue!O7</f>
        <v>233039</v>
      </c>
      <c r="O13" s="733">
        <f>Revenue!P7</f>
        <v>0</v>
      </c>
      <c r="P13" s="733">
        <f>Revenue!Q7</f>
        <v>51387</v>
      </c>
      <c r="Q13" s="733">
        <f>Revenue!R7</f>
        <v>55992</v>
      </c>
      <c r="R13" s="733">
        <f>Revenue!S7</f>
        <v>53725</v>
      </c>
      <c r="S13" s="733">
        <f>Revenue!T7</f>
        <v>54154</v>
      </c>
      <c r="T13" s="737">
        <f>Revenue!U7</f>
        <v>215258</v>
      </c>
      <c r="U13" s="733">
        <f>Revenue!V7</f>
        <v>0</v>
      </c>
      <c r="V13" s="733">
        <f>Revenue!W7</f>
        <v>48715</v>
      </c>
      <c r="W13" s="733">
        <f>Revenue!X7</f>
        <v>51835</v>
      </c>
      <c r="X13" s="733">
        <f>AVERAGE(Revenue!Y7,Revenue!M58)</f>
        <v>54967.630780359585</v>
      </c>
      <c r="Y13" s="733">
        <f>AVERAGE(Revenue!Z7,Revenue!N58)</f>
        <v>54520.367489095326</v>
      </c>
      <c r="Z13" s="737">
        <f>SUM(V13:Y13)</f>
        <v>210037.99826945493</v>
      </c>
      <c r="AB13" s="733">
        <f>AVERAGE(Revenue!AC7,Revenue!Q58)</f>
        <v>49885.352039180078</v>
      </c>
      <c r="AC13" s="733">
        <f>AVERAGE(Revenue!AD7,Revenue!R58)</f>
        <v>53080.308384499629</v>
      </c>
      <c r="AD13" s="733">
        <f>AVERAGE(Revenue!AE7,Revenue!S58)</f>
        <v>56444.063767011889</v>
      </c>
      <c r="AE13" s="733">
        <f>AVERAGE(Revenue!AF7,Revenue!T58)</f>
        <v>56061.028117973423</v>
      </c>
      <c r="AF13" s="737">
        <f>SUM(AB13:AE13)</f>
        <v>215470.75230866502</v>
      </c>
      <c r="AH13" s="737">
        <f>AVERAGE(Revenue!AI7,Revenue!W58)</f>
        <v>221765.5319347044</v>
      </c>
      <c r="AJ13" s="737">
        <f>AVERAGE(Revenue!AK7,Revenue!Y58)</f>
        <v>229433.34916059946</v>
      </c>
      <c r="AL13" s="737">
        <f>AVERAGE(Revenue!AM7,Revenue!AA58)</f>
        <v>238514.13503710303</v>
      </c>
    </row>
    <row r="14" spans="1:60" ht="14.25" customHeight="1">
      <c r="B14" s="703" t="s">
        <v>378</v>
      </c>
      <c r="D14" s="733">
        <f>Revenue!E8</f>
        <v>100291</v>
      </c>
      <c r="E14" s="733">
        <f>Revenue!F8</f>
        <v>92328</v>
      </c>
      <c r="F14" s="733">
        <f>Revenue!G8</f>
        <v>86962</v>
      </c>
      <c r="G14" s="733">
        <f>Revenue!H8</f>
        <v>84562</v>
      </c>
      <c r="H14" s="737">
        <f>Revenue!I8</f>
        <v>364143</v>
      </c>
      <c r="I14" s="733">
        <f>Revenue!J8</f>
        <v>0</v>
      </c>
      <c r="J14" s="733">
        <f>Revenue!K8</f>
        <v>86965</v>
      </c>
      <c r="K14" s="733">
        <f>Revenue!L8</f>
        <v>94175</v>
      </c>
      <c r="L14" s="733">
        <f>Revenue!M8</f>
        <v>91112</v>
      </c>
      <c r="M14" s="733">
        <f>Revenue!N8</f>
        <v>97571</v>
      </c>
      <c r="N14" s="737">
        <f>Revenue!O8</f>
        <v>369823</v>
      </c>
      <c r="O14" s="733">
        <f>Revenue!P8</f>
        <v>0</v>
      </c>
      <c r="P14" s="733">
        <f>Revenue!Q8</f>
        <v>90465</v>
      </c>
      <c r="Q14" s="733">
        <f>Revenue!R8</f>
        <v>98266</v>
      </c>
      <c r="R14" s="733">
        <f>Revenue!S8</f>
        <v>99494</v>
      </c>
      <c r="S14" s="733">
        <f>Revenue!T8</f>
        <v>108612</v>
      </c>
      <c r="T14" s="737">
        <f>Revenue!U8</f>
        <v>396837</v>
      </c>
      <c r="U14" s="733">
        <f>Revenue!V8</f>
        <v>0</v>
      </c>
      <c r="V14" s="733">
        <f>Revenue!W8</f>
        <v>82051</v>
      </c>
      <c r="W14" s="733">
        <f>Revenue!X8</f>
        <v>96244</v>
      </c>
      <c r="X14" s="733">
        <f>AVERAGE(Revenue!Y8,Revenue!M59)</f>
        <v>105736.14908902766</v>
      </c>
      <c r="Y14" s="733">
        <f>AVERAGE(Revenue!Z8,Revenue!N59)</f>
        <v>118882.22994592477</v>
      </c>
      <c r="Z14" s="737">
        <f>SUM(V14:Y14)</f>
        <v>402913.37903495244</v>
      </c>
      <c r="AB14" s="733">
        <f>AVERAGE(Revenue!AC8,Revenue!Q59)</f>
        <v>85473.288603987094</v>
      </c>
      <c r="AC14" s="733">
        <f>AVERAGE(Revenue!AD8,Revenue!R59)</f>
        <v>100258.26849644896</v>
      </c>
      <c r="AD14" s="733">
        <f>AVERAGE(Revenue!AE8,Revenue!S59)</f>
        <v>110136.4745200966</v>
      </c>
      <c r="AE14" s="733">
        <f>AVERAGE(Revenue!AF8,Revenue!T59)</f>
        <v>123781.89511011245</v>
      </c>
      <c r="AF14" s="737">
        <f>SUM(AB14:AE14)</f>
        <v>419649.92673064512</v>
      </c>
      <c r="AH14" s="737">
        <f>AVERAGE(Revenue!AI8,Revenue!W59)</f>
        <v>439716.68588008557</v>
      </c>
      <c r="AJ14" s="737">
        <f>AVERAGE(Revenue!AK8,Revenue!Y59)</f>
        <v>460768.58669574966</v>
      </c>
      <c r="AL14" s="737">
        <f>AVERAGE(Revenue!AM8,Revenue!AA59)</f>
        <v>485122.16025316226</v>
      </c>
    </row>
    <row r="15" spans="1:60" ht="14.25" customHeight="1">
      <c r="B15" s="703" t="s">
        <v>379</v>
      </c>
      <c r="D15" s="733">
        <f>Revenue!E9</f>
        <v>16437</v>
      </c>
      <c r="E15" s="733">
        <f>Revenue!F9</f>
        <v>17085</v>
      </c>
      <c r="F15" s="733">
        <f>Revenue!G9</f>
        <v>17404</v>
      </c>
      <c r="G15" s="733">
        <f>Revenue!H9</f>
        <v>16747</v>
      </c>
      <c r="H15" s="737">
        <f>Revenue!I9</f>
        <v>67673</v>
      </c>
      <c r="I15" s="733">
        <f>Revenue!J9</f>
        <v>0</v>
      </c>
      <c r="J15" s="733">
        <f>Revenue!K9</f>
        <v>17789</v>
      </c>
      <c r="K15" s="733">
        <f>Revenue!L9</f>
        <v>19290</v>
      </c>
      <c r="L15" s="733">
        <f>Revenue!M9</f>
        <v>24446</v>
      </c>
      <c r="M15" s="733">
        <f>Revenue!N9</f>
        <v>28668</v>
      </c>
      <c r="N15" s="737">
        <f>Revenue!O9</f>
        <v>90193</v>
      </c>
      <c r="O15" s="733">
        <f>Revenue!P9</f>
        <v>0</v>
      </c>
      <c r="P15" s="733">
        <f>Revenue!Q9</f>
        <v>21964</v>
      </c>
      <c r="Q15" s="733">
        <f>Revenue!R9</f>
        <v>22726</v>
      </c>
      <c r="R15" s="733">
        <f>Revenue!S9</f>
        <v>27334</v>
      </c>
      <c r="S15" s="733">
        <f>Revenue!T9</f>
        <v>24756</v>
      </c>
      <c r="T15" s="737">
        <f>Revenue!U9</f>
        <v>96780</v>
      </c>
      <c r="U15" s="733">
        <f>Revenue!V9</f>
        <v>0</v>
      </c>
      <c r="V15" s="733">
        <f>Revenue!W9</f>
        <v>18091</v>
      </c>
      <c r="W15" s="733">
        <f>Revenue!X9</f>
        <v>19951</v>
      </c>
      <c r="X15" s="733">
        <f>AVERAGE(Revenue!Y9,Revenue!M60)</f>
        <v>31666.402832304528</v>
      </c>
      <c r="Y15" s="733">
        <f>AVERAGE(Revenue!Z9,Revenue!N60)</f>
        <v>29005.412937939</v>
      </c>
      <c r="Z15" s="737">
        <f>SUM(V15:Y15)</f>
        <v>98713.815770243527</v>
      </c>
      <c r="AB15" s="733">
        <f>AVERAGE(Revenue!AC9,Revenue!Q60)</f>
        <v>19280.432519484351</v>
      </c>
      <c r="AC15" s="733">
        <f>AVERAGE(Revenue!AD9,Revenue!R60)</f>
        <v>21262.72230369976</v>
      </c>
      <c r="AD15" s="733">
        <f>AVERAGE(Revenue!AE9,Revenue!S60)</f>
        <v>33776.862975764525</v>
      </c>
      <c r="AE15" s="733">
        <f>AVERAGE(Revenue!AF9,Revenue!T60)</f>
        <v>30941.532173821211</v>
      </c>
      <c r="AF15" s="737">
        <f>SUM(AB15:AE15)</f>
        <v>105261.54997276985</v>
      </c>
      <c r="AH15" s="737">
        <f>AVERAGE(Revenue!AI9,Revenue!W60)</f>
        <v>110800.50866041327</v>
      </c>
      <c r="AJ15" s="737">
        <f>AVERAGE(Revenue!AK9,Revenue!Y60)</f>
        <v>116631.75940006773</v>
      </c>
      <c r="AL15" s="737">
        <f>AVERAGE(Revenue!AM9,Revenue!AA60)</f>
        <v>122151.60743083277</v>
      </c>
      <c r="AS15" s="611">
        <v>2022</v>
      </c>
      <c r="AT15" s="611">
        <f>+AS15+1</f>
        <v>2023</v>
      </c>
      <c r="AU15" s="611">
        <f t="shared" ref="AU15:AZ15" si="0">+AT15+1</f>
        <v>2024</v>
      </c>
      <c r="AV15" s="612">
        <f t="shared" si="0"/>
        <v>2025</v>
      </c>
      <c r="AW15" s="612">
        <f t="shared" si="0"/>
        <v>2026</v>
      </c>
      <c r="AX15" s="612">
        <f t="shared" si="0"/>
        <v>2027</v>
      </c>
      <c r="AY15" s="612">
        <f t="shared" si="0"/>
        <v>2028</v>
      </c>
      <c r="AZ15" s="612">
        <f t="shared" si="0"/>
        <v>2029</v>
      </c>
    </row>
    <row r="16" spans="1:60" ht="14.25" customHeight="1">
      <c r="B16" s="704"/>
      <c r="D16" s="733"/>
      <c r="H16" s="735"/>
      <c r="I16" s="733"/>
      <c r="N16" s="737"/>
      <c r="O16" s="704"/>
      <c r="S16" s="733"/>
      <c r="T16" s="735"/>
      <c r="U16" s="704"/>
      <c r="Z16" s="735"/>
      <c r="AF16" s="735"/>
      <c r="AH16" s="735"/>
      <c r="AJ16" s="740"/>
      <c r="AL16" s="738"/>
      <c r="AR16" s="97" t="s">
        <v>310</v>
      </c>
      <c r="AS16" s="312">
        <f>H69+H136</f>
        <v>801402</v>
      </c>
      <c r="AT16" s="312">
        <f>N69+N136</f>
        <v>856484</v>
      </c>
      <c r="AU16" s="312">
        <f>T69+T136</f>
        <v>837271</v>
      </c>
      <c r="AV16" s="312">
        <f>Z69+Z136</f>
        <v>752861.07328182738</v>
      </c>
      <c r="AW16" s="312">
        <f>AF69+AF136</f>
        <v>837794.44250802707</v>
      </c>
      <c r="AX16" s="312">
        <f>AH69+AH136</f>
        <v>956610.38091400394</v>
      </c>
      <c r="AY16" s="312">
        <f>AJ69+AJ136</f>
        <v>1081244.6070804277</v>
      </c>
      <c r="AZ16" s="312">
        <f>AL69+AL136</f>
        <v>1155438.8875791735</v>
      </c>
      <c r="BA16" s="312"/>
      <c r="BB16" s="312"/>
      <c r="BC16" s="312"/>
      <c r="BD16" s="312"/>
      <c r="BE16" s="312"/>
      <c r="BF16" s="312"/>
      <c r="BG16" s="312"/>
      <c r="BH16" s="312"/>
    </row>
    <row r="17" spans="1:60" ht="14.25" customHeight="1">
      <c r="B17" s="702" t="s">
        <v>380</v>
      </c>
      <c r="D17" s="733">
        <f>Revenue!E11</f>
        <v>119943</v>
      </c>
      <c r="E17" s="733">
        <f>Revenue!F11</f>
        <v>123913</v>
      </c>
      <c r="F17" s="733">
        <f>Revenue!G11</f>
        <v>148244</v>
      </c>
      <c r="G17" s="733">
        <f>Revenue!H11</f>
        <v>182365</v>
      </c>
      <c r="H17" s="737">
        <f>Revenue!I11</f>
        <v>574465</v>
      </c>
      <c r="I17" s="733">
        <f>Revenue!J11</f>
        <v>0</v>
      </c>
      <c r="J17" s="733">
        <f>Revenue!K11</f>
        <v>173503</v>
      </c>
      <c r="K17" s="733">
        <f>Revenue!L11</f>
        <v>188748</v>
      </c>
      <c r="L17" s="733">
        <f>Revenue!M11</f>
        <v>166667</v>
      </c>
      <c r="M17" s="733">
        <f>Revenue!N11</f>
        <v>191700</v>
      </c>
      <c r="N17" s="737">
        <f>Revenue!O11</f>
        <v>720618</v>
      </c>
      <c r="O17" s="733">
        <f>Revenue!P11</f>
        <v>0</v>
      </c>
      <c r="P17" s="733">
        <f>Revenue!Q11</f>
        <v>162683</v>
      </c>
      <c r="Q17" s="733">
        <f>Revenue!R11</f>
        <v>179404</v>
      </c>
      <c r="R17" s="733">
        <f>Revenue!S11</f>
        <v>169523</v>
      </c>
      <c r="S17" s="733">
        <f>Revenue!T11</f>
        <v>219393</v>
      </c>
      <c r="T17" s="737">
        <f>Revenue!U11</f>
        <v>731003</v>
      </c>
      <c r="U17" s="733">
        <f>Revenue!V11</f>
        <v>0</v>
      </c>
      <c r="V17" s="733">
        <f>Revenue!W11</f>
        <v>167906</v>
      </c>
      <c r="W17" s="733">
        <f>Revenue!X11</f>
        <v>216195</v>
      </c>
      <c r="X17" s="733">
        <f>AVERAGE(Revenue!Y11,Revenue!M62)</f>
        <v>180629.91693809221</v>
      </c>
      <c r="Y17" s="733">
        <f>AVERAGE(Revenue!Z11,Revenue!N62)</f>
        <v>232251.64119786819</v>
      </c>
      <c r="Z17" s="737">
        <f>SUM(V17:Y17)</f>
        <v>796982.55813596037</v>
      </c>
      <c r="AB17" s="733">
        <f>AVERAGE(Revenue!AC11,Revenue!Q62)</f>
        <v>182654.48972235611</v>
      </c>
      <c r="AC17" s="733">
        <f>AVERAGE(Revenue!AD11,Revenue!R62)</f>
        <v>233387.17443225224</v>
      </c>
      <c r="AD17" s="733">
        <f>AVERAGE(Revenue!AE11,Revenue!S62)</f>
        <v>195751.13309127674</v>
      </c>
      <c r="AE17" s="733">
        <f>AVERAGE(Revenue!AF11,Revenue!T62)</f>
        <v>253533.87478990317</v>
      </c>
      <c r="AF17" s="737">
        <f>SUM(AB17:AE17)</f>
        <v>865326.6720357883</v>
      </c>
      <c r="AH17" s="737">
        <f>AVERAGE(Revenue!AI11,Revenue!W62)</f>
        <v>924724.45034505334</v>
      </c>
      <c r="AJ17" s="737">
        <f>AVERAGE(Revenue!AK11,Revenue!Y62)</f>
        <v>980517.64837068587</v>
      </c>
      <c r="AL17" s="737">
        <f>AVERAGE(Revenue!AM11,Revenue!AA62)</f>
        <v>1032242.1032584286</v>
      </c>
      <c r="AS17" s="312"/>
      <c r="AT17" s="312"/>
      <c r="AU17" s="312"/>
      <c r="AV17" s="312"/>
      <c r="AW17" s="312"/>
      <c r="AX17" s="312"/>
      <c r="AY17" s="312"/>
      <c r="AZ17" s="312"/>
      <c r="BA17" s="312"/>
      <c r="BB17" s="312"/>
      <c r="BC17" s="312"/>
      <c r="BD17" s="312"/>
      <c r="BE17" s="312"/>
      <c r="BF17" s="312"/>
      <c r="BG17" s="312"/>
      <c r="BH17" s="312"/>
    </row>
    <row r="18" spans="1:60" ht="14.25" customHeight="1">
      <c r="B18" s="703" t="s">
        <v>376</v>
      </c>
      <c r="D18" s="733">
        <f>Revenue!E12</f>
        <v>94797</v>
      </c>
      <c r="E18" s="733">
        <f>Revenue!F12</f>
        <v>87873</v>
      </c>
      <c r="F18" s="733">
        <f>Revenue!G12</f>
        <v>104367</v>
      </c>
      <c r="G18" s="733">
        <f>Revenue!H12</f>
        <v>123816</v>
      </c>
      <c r="H18" s="737">
        <f>Revenue!I12</f>
        <v>410853</v>
      </c>
      <c r="I18" s="733">
        <f>Revenue!J12</f>
        <v>0</v>
      </c>
      <c r="J18" s="733">
        <f>Revenue!K12</f>
        <v>116900</v>
      </c>
      <c r="K18" s="733">
        <f>Revenue!L12</f>
        <v>126953</v>
      </c>
      <c r="L18" s="733">
        <f>Revenue!M12</f>
        <v>111092</v>
      </c>
      <c r="M18" s="733">
        <f>Revenue!N12</f>
        <v>124367</v>
      </c>
      <c r="N18" s="737">
        <f>Revenue!O12</f>
        <v>479312</v>
      </c>
      <c r="O18" s="733">
        <f>Revenue!P12</f>
        <v>0</v>
      </c>
      <c r="P18" s="733">
        <f>Revenue!Q12</f>
        <v>103030</v>
      </c>
      <c r="Q18" s="733">
        <f>Revenue!R12</f>
        <v>108659</v>
      </c>
      <c r="R18" s="733">
        <f>Revenue!S12</f>
        <v>103391</v>
      </c>
      <c r="S18" s="733">
        <f>Revenue!T12</f>
        <v>128324.00000000001</v>
      </c>
      <c r="T18" s="737">
        <f>Revenue!U12</f>
        <v>443404</v>
      </c>
      <c r="U18" s="733">
        <f>Revenue!V12</f>
        <v>0</v>
      </c>
      <c r="V18" s="733">
        <f>Revenue!W12</f>
        <v>93163</v>
      </c>
      <c r="W18" s="733">
        <f>Revenue!X12</f>
        <v>124950</v>
      </c>
      <c r="X18" s="733">
        <f>AVERAGE(Revenue!Y12,Revenue!M63)</f>
        <v>104625.05358502649</v>
      </c>
      <c r="Y18" s="733">
        <f>AVERAGE(Revenue!Z12,Revenue!N63)</f>
        <v>131175.84988924343</v>
      </c>
      <c r="Z18" s="737">
        <f>SUM(V18:Y18)</f>
        <v>453913.9034742699</v>
      </c>
      <c r="AB18" s="733">
        <f>AVERAGE(Revenue!AC12,Revenue!Q63)</f>
        <v>95786.191035511962</v>
      </c>
      <c r="AC18" s="733">
        <f>AVERAGE(Revenue!AD12,Revenue!R63)</f>
        <v>129092.96774617843</v>
      </c>
      <c r="AD18" s="733">
        <f>AVERAGE(Revenue!AE12,Revenue!S63)</f>
        <v>108599.62671563096</v>
      </c>
      <c r="AE18" s="733">
        <f>AVERAGE(Revenue!AF12,Revenue!T63)</f>
        <v>136828.16630153381</v>
      </c>
      <c r="AF18" s="737">
        <f>SUM(AB18:AE18)</f>
        <v>470306.95179885521</v>
      </c>
      <c r="AH18" s="737">
        <f>AVERAGE(Revenue!AI12,Revenue!W63)</f>
        <v>490644.15121287457</v>
      </c>
      <c r="AJ18" s="737">
        <f>AVERAGE(Revenue!AK12,Revenue!Y63)</f>
        <v>514499.46019701817</v>
      </c>
      <c r="AL18" s="737">
        <f>AVERAGE(Revenue!AM12,Revenue!AA63)</f>
        <v>539748.61259690893</v>
      </c>
      <c r="AS18" s="312"/>
      <c r="AT18" s="312"/>
      <c r="AU18" s="312"/>
      <c r="AV18" s="312"/>
      <c r="AW18" s="312"/>
      <c r="AX18" s="312"/>
      <c r="AY18" s="312"/>
      <c r="AZ18" s="312"/>
      <c r="BA18" s="312"/>
      <c r="BB18" s="312"/>
      <c r="BC18" s="312"/>
      <c r="BD18" s="312"/>
      <c r="BE18" s="312"/>
      <c r="BF18" s="312"/>
      <c r="BG18" s="312"/>
      <c r="BH18" s="312"/>
    </row>
    <row r="19" spans="1:60" ht="14.25" customHeight="1">
      <c r="B19" s="703" t="s">
        <v>377</v>
      </c>
      <c r="D19" s="733">
        <f>Revenue!E13</f>
        <v>3743</v>
      </c>
      <c r="E19" s="733">
        <f>Revenue!F13</f>
        <v>4114</v>
      </c>
      <c r="F19" s="733">
        <f>Revenue!G13</f>
        <v>7805</v>
      </c>
      <c r="G19" s="733">
        <f>Revenue!H13</f>
        <v>4633</v>
      </c>
      <c r="H19" s="737">
        <f>Revenue!I13</f>
        <v>20295</v>
      </c>
      <c r="I19" s="733">
        <f>Revenue!J13</f>
        <v>0</v>
      </c>
      <c r="J19" s="733">
        <f>Revenue!K13</f>
        <v>8587</v>
      </c>
      <c r="K19" s="733">
        <f>Revenue!L13</f>
        <v>15531</v>
      </c>
      <c r="L19" s="733">
        <f>Revenue!M13</f>
        <v>6389</v>
      </c>
      <c r="M19" s="733">
        <f>Revenue!N13</f>
        <v>9701</v>
      </c>
      <c r="N19" s="737">
        <f>Revenue!O13</f>
        <v>40208</v>
      </c>
      <c r="O19" s="733">
        <f>Revenue!P13</f>
        <v>0</v>
      </c>
      <c r="P19" s="733">
        <f>Revenue!Q13</f>
        <v>6368</v>
      </c>
      <c r="Q19" s="733">
        <f>Revenue!R13</f>
        <v>6951</v>
      </c>
      <c r="R19" s="733">
        <f>Revenue!S13</f>
        <v>7437</v>
      </c>
      <c r="S19" s="733">
        <f>Revenue!T13</f>
        <v>8229</v>
      </c>
      <c r="T19" s="737">
        <f>Revenue!U13</f>
        <v>28985</v>
      </c>
      <c r="U19" s="733">
        <f>Revenue!V13</f>
        <v>0</v>
      </c>
      <c r="V19" s="733">
        <f>Revenue!W13</f>
        <v>3704</v>
      </c>
      <c r="W19" s="733">
        <f>Revenue!X13</f>
        <v>7456</v>
      </c>
      <c r="X19" s="733">
        <f>AVERAGE(Revenue!Y13,Revenue!M64)</f>
        <v>7523.1906889537368</v>
      </c>
      <c r="Y19" s="733">
        <f>AVERAGE(Revenue!Z13,Revenue!N64)</f>
        <v>10298.393372111814</v>
      </c>
      <c r="Z19" s="737">
        <f>SUM(V19:Y19)</f>
        <v>28981.58406106555</v>
      </c>
      <c r="AB19" s="733">
        <f>AVERAGE(Revenue!AC13,Revenue!Q64)</f>
        <v>4144.1682356335086</v>
      </c>
      <c r="AC19" s="733">
        <f>AVERAGE(Revenue!AD13,Revenue!R64)</f>
        <v>7845.6707699665312</v>
      </c>
      <c r="AD19" s="733">
        <f>AVERAGE(Revenue!AE13,Revenue!S64)</f>
        <v>7829.80035132987</v>
      </c>
      <c r="AE19" s="733">
        <f>AVERAGE(Revenue!AF13,Revenue!T64)</f>
        <v>13285.031520408884</v>
      </c>
      <c r="AF19" s="737">
        <f>SUM(AB19:AE19)</f>
        <v>33104.670877338795</v>
      </c>
      <c r="AH19" s="737">
        <f>AVERAGE(Revenue!AI13,Revenue!W64)</f>
        <v>36214.947961512822</v>
      </c>
      <c r="AJ19" s="737">
        <f>AVERAGE(Revenue!AK13,Revenue!Y64)</f>
        <v>39278.727237305393</v>
      </c>
      <c r="AL19" s="737">
        <f>AVERAGE(Revenue!AM13,Revenue!AA64)</f>
        <v>42183.946652052036</v>
      </c>
      <c r="AS19" s="312"/>
      <c r="AT19" s="312"/>
      <c r="AU19" s="312"/>
      <c r="AV19" s="312"/>
      <c r="AW19" s="312"/>
      <c r="AX19" s="312"/>
      <c r="AY19" s="312"/>
      <c r="AZ19" s="312"/>
      <c r="BA19" s="312"/>
      <c r="BB19" s="312"/>
      <c r="BC19" s="312"/>
      <c r="BD19" s="312"/>
      <c r="BE19" s="312"/>
      <c r="BF19" s="312"/>
      <c r="BG19" s="312"/>
      <c r="BH19" s="312"/>
    </row>
    <row r="20" spans="1:60" ht="14.25" customHeight="1">
      <c r="B20" s="703" t="s">
        <v>378</v>
      </c>
      <c r="D20" s="733">
        <f>Revenue!E14</f>
        <v>14200</v>
      </c>
      <c r="E20" s="733">
        <f>Revenue!F14</f>
        <v>20460</v>
      </c>
      <c r="F20" s="733">
        <f>Revenue!G14</f>
        <v>24264</v>
      </c>
      <c r="G20" s="733">
        <f>Revenue!H14</f>
        <v>41292</v>
      </c>
      <c r="H20" s="737">
        <f>Revenue!I14</f>
        <v>100216</v>
      </c>
      <c r="I20" s="733">
        <f>Revenue!J14</f>
        <v>0</v>
      </c>
      <c r="J20" s="733">
        <f>Revenue!K14</f>
        <v>34059</v>
      </c>
      <c r="K20" s="733">
        <f>Revenue!L14</f>
        <v>33499</v>
      </c>
      <c r="L20" s="733">
        <f>Revenue!M14</f>
        <v>34250</v>
      </c>
      <c r="M20" s="733">
        <f>Revenue!N14</f>
        <v>43485</v>
      </c>
      <c r="N20" s="737">
        <f>Revenue!O14</f>
        <v>145293</v>
      </c>
      <c r="O20" s="733">
        <f>Revenue!P14</f>
        <v>0</v>
      </c>
      <c r="P20" s="733">
        <f>Revenue!Q14</f>
        <v>41825</v>
      </c>
      <c r="Q20" s="733">
        <f>Revenue!R14</f>
        <v>50354</v>
      </c>
      <c r="R20" s="733">
        <f>Revenue!S14</f>
        <v>45280</v>
      </c>
      <c r="S20" s="733">
        <f>Revenue!T14</f>
        <v>56643</v>
      </c>
      <c r="T20" s="737">
        <f>Revenue!U14</f>
        <v>194102</v>
      </c>
      <c r="U20" s="733">
        <f>Revenue!V14</f>
        <v>0</v>
      </c>
      <c r="V20" s="733">
        <f>Revenue!W14</f>
        <v>54688</v>
      </c>
      <c r="W20" s="733">
        <f>Revenue!X14</f>
        <v>65223</v>
      </c>
      <c r="X20" s="733">
        <f>AVERAGE(Revenue!Y14,Revenue!M65)</f>
        <v>54305.979571924574</v>
      </c>
      <c r="Y20" s="733">
        <f>AVERAGE(Revenue!Z14,Revenue!N65)</f>
        <v>62582.651086712343</v>
      </c>
      <c r="Z20" s="737">
        <f>SUM(V20:Y20)</f>
        <v>236799.63065863692</v>
      </c>
      <c r="AB20" s="733">
        <f>AVERAGE(Revenue!AC14,Revenue!Q65)</f>
        <v>62881.731226499163</v>
      </c>
      <c r="AC20" s="733">
        <f>AVERAGE(Revenue!AD14,Revenue!R65)</f>
        <v>75892.287766525478</v>
      </c>
      <c r="AD20" s="733">
        <f>AVERAGE(Revenue!AE14,Revenue!S65)</f>
        <v>64333.913816282016</v>
      </c>
      <c r="AE20" s="733">
        <f>AVERAGE(Revenue!AF14,Revenue!T65)</f>
        <v>69446.885314400555</v>
      </c>
      <c r="AF20" s="737">
        <f>SUM(AB20:AE20)</f>
        <v>272554.8181237072</v>
      </c>
      <c r="AH20" s="737">
        <f>AVERAGE(Revenue!AI14,Revenue!W65)</f>
        <v>299720.24725604802</v>
      </c>
      <c r="AJ20" s="737">
        <f>AVERAGE(Revenue!AK14,Revenue!Y65)</f>
        <v>321528.73590626917</v>
      </c>
      <c r="AL20" s="737">
        <f>AVERAGE(Revenue!AM14,Revenue!AA65)</f>
        <v>339321.48970279098</v>
      </c>
      <c r="AR20" s="97" t="s">
        <v>393</v>
      </c>
      <c r="AS20" s="312">
        <f>H144</f>
        <v>400810.93967159488</v>
      </c>
      <c r="AT20" s="312">
        <f>N144</f>
        <v>628304.98341825465</v>
      </c>
      <c r="AU20" s="312">
        <f>T144</f>
        <v>679159.63556042232</v>
      </c>
      <c r="AV20" s="312">
        <f>Z144</f>
        <v>634502.51660998492</v>
      </c>
      <c r="AW20" s="312">
        <f>AF144</f>
        <v>668909.18108586129</v>
      </c>
      <c r="AX20" s="312">
        <f>AH144</f>
        <v>663689.02823293454</v>
      </c>
      <c r="AY20" s="312">
        <f>AJ144</f>
        <v>750720.23356764857</v>
      </c>
      <c r="AZ20" s="312">
        <f>AL144</f>
        <v>795208.34511697874</v>
      </c>
    </row>
    <row r="21" spans="1:60" ht="14.25" customHeight="1">
      <c r="B21" s="703" t="s">
        <v>379</v>
      </c>
      <c r="D21" s="733">
        <f>Revenue!E15</f>
        <v>7203</v>
      </c>
      <c r="E21" s="733">
        <f>Revenue!F15</f>
        <v>11466</v>
      </c>
      <c r="F21" s="733">
        <f>Revenue!G15</f>
        <v>11808</v>
      </c>
      <c r="G21" s="733">
        <f>Revenue!H15</f>
        <v>12624</v>
      </c>
      <c r="H21" s="737">
        <f>Revenue!I15</f>
        <v>43101</v>
      </c>
      <c r="I21" s="733">
        <f>Revenue!J15</f>
        <v>0</v>
      </c>
      <c r="J21" s="733">
        <f>Revenue!K15</f>
        <v>13957</v>
      </c>
      <c r="K21" s="733">
        <f>Revenue!L15</f>
        <v>12765</v>
      </c>
      <c r="L21" s="733">
        <f>Revenue!M15</f>
        <v>14936</v>
      </c>
      <c r="M21" s="733">
        <f>Revenue!N15</f>
        <v>14147</v>
      </c>
      <c r="N21" s="737">
        <f>Revenue!O15</f>
        <v>55805</v>
      </c>
      <c r="O21" s="733">
        <f>Revenue!P15</f>
        <v>0</v>
      </c>
      <c r="P21" s="733">
        <f>Revenue!Q15</f>
        <v>11460</v>
      </c>
      <c r="Q21" s="733">
        <f>Revenue!R15</f>
        <v>13440</v>
      </c>
      <c r="R21" s="733">
        <f>Revenue!S15</f>
        <v>13415</v>
      </c>
      <c r="S21" s="733">
        <f>Revenue!T15</f>
        <v>26197</v>
      </c>
      <c r="T21" s="737">
        <f>Revenue!U15</f>
        <v>64512</v>
      </c>
      <c r="U21" s="733">
        <f>Revenue!V15</f>
        <v>0</v>
      </c>
      <c r="V21" s="733">
        <f>Revenue!W15</f>
        <v>16351</v>
      </c>
      <c r="W21" s="733">
        <f>Revenue!X15</f>
        <v>18566</v>
      </c>
      <c r="X21" s="733">
        <f>AVERAGE(Revenue!Y15,Revenue!M66)</f>
        <v>14175.693092187395</v>
      </c>
      <c r="Y21" s="733">
        <f>AVERAGE(Revenue!Z15,Revenue!N66)</f>
        <v>28194.746849800587</v>
      </c>
      <c r="Z21" s="737">
        <f>SUM(V21:Y21)</f>
        <v>77287.439941987977</v>
      </c>
      <c r="AB21" s="733">
        <f>AVERAGE(Revenue!AC15,Revenue!Q66)</f>
        <v>19842.399224711487</v>
      </c>
      <c r="AC21" s="733">
        <f>AVERAGE(Revenue!AD15,Revenue!R66)</f>
        <v>20556.248149581792</v>
      </c>
      <c r="AD21" s="733">
        <f>AVERAGE(Revenue!AE15,Revenue!S66)</f>
        <v>14987.792208033919</v>
      </c>
      <c r="AE21" s="733">
        <f>AVERAGE(Revenue!AF15,Revenue!T66)</f>
        <v>33973.791653559922</v>
      </c>
      <c r="AF21" s="737">
        <f>SUM(AB21:AE21)</f>
        <v>89360.231235887128</v>
      </c>
      <c r="AH21" s="737">
        <f>AVERAGE(Revenue!AI15,Revenue!W66)</f>
        <v>98145.103914618026</v>
      </c>
      <c r="AJ21" s="737">
        <f>AVERAGE(Revenue!AK15,Revenue!Y66)</f>
        <v>105210.72503009313</v>
      </c>
      <c r="AL21" s="737">
        <f>AVERAGE(Revenue!AM15,Revenue!AA66)</f>
        <v>110988.05430667661</v>
      </c>
      <c r="AS21" s="312"/>
      <c r="AT21" s="312"/>
      <c r="AU21" s="312"/>
      <c r="AV21" s="312"/>
      <c r="AW21" s="312"/>
      <c r="AX21" s="312"/>
      <c r="AY21" s="312"/>
      <c r="AZ21" s="312"/>
    </row>
    <row r="22" spans="1:60" ht="14.25" customHeight="1">
      <c r="B22" s="704"/>
      <c r="D22" s="733"/>
      <c r="H22" s="735"/>
      <c r="I22" s="733"/>
      <c r="N22" s="737"/>
      <c r="O22" s="704"/>
      <c r="S22" s="733"/>
      <c r="T22" s="735"/>
      <c r="U22" s="704"/>
      <c r="Z22" s="735"/>
      <c r="AF22" s="735"/>
      <c r="AH22" s="735"/>
      <c r="AJ22" s="740"/>
      <c r="AL22" s="738"/>
      <c r="AS22" s="312"/>
      <c r="AT22" s="312"/>
      <c r="AU22" s="312"/>
      <c r="AV22" s="312"/>
      <c r="AW22" s="312"/>
      <c r="AX22" s="312"/>
      <c r="AY22" s="312"/>
      <c r="AZ22" s="312"/>
    </row>
    <row r="23" spans="1:60" ht="14.25" customHeight="1">
      <c r="B23" s="702" t="s">
        <v>381</v>
      </c>
      <c r="D23" s="733">
        <f>Revenue!E17</f>
        <v>331080</v>
      </c>
      <c r="E23" s="733">
        <f>Revenue!F17</f>
        <v>280009</v>
      </c>
      <c r="F23" s="733">
        <f>Revenue!G17</f>
        <v>220965</v>
      </c>
      <c r="G23" s="733">
        <f>Revenue!H17</f>
        <v>216068</v>
      </c>
      <c r="H23" s="737">
        <f>Revenue!I17</f>
        <v>1048122</v>
      </c>
      <c r="I23" s="733">
        <f>Revenue!J17</f>
        <v>0</v>
      </c>
      <c r="J23" s="733">
        <f>Revenue!K17</f>
        <v>219958</v>
      </c>
      <c r="K23" s="733">
        <f>Revenue!L17</f>
        <v>205571</v>
      </c>
      <c r="L23" s="733">
        <f>Revenue!M17</f>
        <v>179975</v>
      </c>
      <c r="M23" s="733">
        <f>Revenue!N17</f>
        <v>189012</v>
      </c>
      <c r="N23" s="737">
        <f>Revenue!O17</f>
        <v>794516</v>
      </c>
      <c r="O23" s="733">
        <f>Revenue!P17</f>
        <v>0</v>
      </c>
      <c r="P23" s="733">
        <f>Revenue!Q17</f>
        <v>173899</v>
      </c>
      <c r="Q23" s="733">
        <f>Revenue!R17</f>
        <v>192763</v>
      </c>
      <c r="R23" s="733">
        <f>Revenue!S17</f>
        <v>173218</v>
      </c>
      <c r="S23" s="733">
        <f>Revenue!T17</f>
        <v>185043</v>
      </c>
      <c r="T23" s="737">
        <f>Revenue!U17</f>
        <v>724923</v>
      </c>
      <c r="U23" s="733">
        <f>Revenue!V17</f>
        <v>0</v>
      </c>
      <c r="V23" s="733">
        <f>Revenue!W17</f>
        <v>176004</v>
      </c>
      <c r="W23" s="733">
        <f>Revenue!X17</f>
        <v>181059</v>
      </c>
      <c r="X23" s="733">
        <f>AVERAGE(Revenue!Y17,Revenue!M68)</f>
        <v>167128.14896255115</v>
      </c>
      <c r="Y23" s="733">
        <f>AVERAGE(Revenue!Z17,Revenue!N68)</f>
        <v>189356.32989087657</v>
      </c>
      <c r="Z23" s="737">
        <f>SUM(V23:Y23)</f>
        <v>713547.47885342769</v>
      </c>
      <c r="AB23" s="733">
        <f>AVERAGE(Revenue!AC17,Revenue!Q68)</f>
        <v>178866.70587413147</v>
      </c>
      <c r="AC23" s="733">
        <f>AVERAGE(Revenue!AD17,Revenue!R68)</f>
        <v>184239.3436900021</v>
      </c>
      <c r="AD23" s="733">
        <f>AVERAGE(Revenue!AE17,Revenue!S68)</f>
        <v>170267.63286571123</v>
      </c>
      <c r="AE23" s="733">
        <f>AVERAGE(Revenue!AF17,Revenue!T68)</f>
        <v>193504.85212707758</v>
      </c>
      <c r="AF23" s="737">
        <f>SUM(AB23:AE23)</f>
        <v>726878.53455692227</v>
      </c>
      <c r="AH23" s="737">
        <f>AVERAGE(Revenue!AI17,Revenue!W68)</f>
        <v>746028.25332523021</v>
      </c>
      <c r="AJ23" s="737">
        <f>AVERAGE(Revenue!AK17,Revenue!Y68)</f>
        <v>769238.04991187551</v>
      </c>
      <c r="AL23" s="737">
        <f>AVERAGE(Revenue!AM17,Revenue!AA68)</f>
        <v>793226.29846893111</v>
      </c>
      <c r="AS23" s="312"/>
      <c r="AT23" s="312"/>
      <c r="AU23" s="312"/>
      <c r="AV23" s="312"/>
      <c r="AW23" s="312"/>
      <c r="AX23" s="312"/>
      <c r="AY23" s="312"/>
      <c r="AZ23" s="312"/>
    </row>
    <row r="24" spans="1:60" ht="14.25" customHeight="1">
      <c r="B24" s="703" t="s">
        <v>376</v>
      </c>
      <c r="D24" s="733">
        <f>Revenue!E18</f>
        <v>229599</v>
      </c>
      <c r="E24" s="733">
        <f>Revenue!F18</f>
        <v>189729</v>
      </c>
      <c r="F24" s="733">
        <f>Revenue!G18</f>
        <v>145757</v>
      </c>
      <c r="G24" s="733">
        <f>Revenue!H18</f>
        <v>136824</v>
      </c>
      <c r="H24" s="737">
        <f>Revenue!I18</f>
        <v>701909</v>
      </c>
      <c r="I24" s="733">
        <f>Revenue!J18</f>
        <v>0</v>
      </c>
      <c r="J24" s="733">
        <f>Revenue!K18</f>
        <v>143959</v>
      </c>
      <c r="K24" s="733">
        <f>Revenue!L18</f>
        <v>134755</v>
      </c>
      <c r="L24" s="733">
        <f>Revenue!M18</f>
        <v>116522</v>
      </c>
      <c r="M24" s="733">
        <f>Revenue!N18</f>
        <v>118097</v>
      </c>
      <c r="N24" s="737">
        <f>Revenue!O18</f>
        <v>513333</v>
      </c>
      <c r="O24" s="733">
        <f>Revenue!P18</f>
        <v>0</v>
      </c>
      <c r="P24" s="733">
        <f>Revenue!Q18</f>
        <v>107041</v>
      </c>
      <c r="Q24" s="733">
        <f>Revenue!R18</f>
        <v>124777</v>
      </c>
      <c r="R24" s="733">
        <f>Revenue!S18</f>
        <v>112912</v>
      </c>
      <c r="S24" s="733">
        <f>Revenue!T18</f>
        <v>116377</v>
      </c>
      <c r="T24" s="737">
        <f>Revenue!U18</f>
        <v>461107</v>
      </c>
      <c r="U24" s="733">
        <f>Revenue!V18</f>
        <v>0</v>
      </c>
      <c r="V24" s="733">
        <f>Revenue!W18</f>
        <v>112851</v>
      </c>
      <c r="W24" s="733">
        <f>Revenue!X18</f>
        <v>111122</v>
      </c>
      <c r="X24" s="733">
        <f>AVERAGE(Revenue!Y18,Revenue!M69)</f>
        <v>107591.86234871316</v>
      </c>
      <c r="Y24" s="733">
        <f>AVERAGE(Revenue!Z18,Revenue!N69)</f>
        <v>118212.39916202829</v>
      </c>
      <c r="Z24" s="737">
        <f>SUM(V24:Y24)</f>
        <v>449777.26151074143</v>
      </c>
      <c r="AB24" s="733">
        <f>AVERAGE(Revenue!AC18,Revenue!Q69)</f>
        <v>114630.79008596246</v>
      </c>
      <c r="AC24" s="733">
        <f>AVERAGE(Revenue!AD18,Revenue!R69)</f>
        <v>112874.5217670408</v>
      </c>
      <c r="AD24" s="733">
        <f>AVERAGE(Revenue!AE18,Revenue!S69)</f>
        <v>109333.45075351463</v>
      </c>
      <c r="AE24" s="733">
        <f>AVERAGE(Revenue!AF18,Revenue!T69)</f>
        <v>120080.62075301816</v>
      </c>
      <c r="AF24" s="737">
        <f>SUM(AB24:AE24)</f>
        <v>456919.38335953606</v>
      </c>
      <c r="AH24" s="737">
        <f>AVERAGE(Revenue!AI18,Revenue!W69)</f>
        <v>467533.14160468616</v>
      </c>
      <c r="AJ24" s="737">
        <f>AVERAGE(Revenue!AK18,Revenue!Y69)</f>
        <v>480679.36524681246</v>
      </c>
      <c r="AL24" s="737">
        <f>AVERAGE(Revenue!AM18,Revenue!AA69)</f>
        <v>494216.39573597774</v>
      </c>
      <c r="AS24" s="312"/>
      <c r="AT24" s="312"/>
      <c r="AU24" s="312"/>
      <c r="AV24" s="312"/>
      <c r="AW24" s="312"/>
      <c r="AX24" s="312"/>
      <c r="AY24" s="312"/>
      <c r="AZ24" s="312"/>
    </row>
    <row r="25" spans="1:60" ht="14.25" customHeight="1">
      <c r="B25" s="703" t="s">
        <v>377</v>
      </c>
      <c r="D25" s="733">
        <f>Revenue!E19</f>
        <v>6005</v>
      </c>
      <c r="E25" s="733">
        <f>Revenue!F19</f>
        <v>10072</v>
      </c>
      <c r="F25" s="733">
        <f>Revenue!G19</f>
        <v>11647</v>
      </c>
      <c r="G25" s="733">
        <f>Revenue!H19</f>
        <v>4397</v>
      </c>
      <c r="H25" s="737">
        <f>Revenue!I19</f>
        <v>32121</v>
      </c>
      <c r="I25" s="733">
        <f>Revenue!J19</f>
        <v>0</v>
      </c>
      <c r="J25" s="733">
        <f>Revenue!K19</f>
        <v>3189</v>
      </c>
      <c r="K25" s="733">
        <f>Revenue!L19</f>
        <v>2092</v>
      </c>
      <c r="L25" s="733">
        <f>Revenue!M19</f>
        <v>3371</v>
      </c>
      <c r="M25" s="733">
        <f>Revenue!N19</f>
        <v>3959</v>
      </c>
      <c r="N25" s="737">
        <f>Revenue!O19</f>
        <v>12611</v>
      </c>
      <c r="O25" s="733">
        <f>Revenue!P19</f>
        <v>0</v>
      </c>
      <c r="P25" s="733">
        <f>Revenue!Q19</f>
        <v>2596</v>
      </c>
      <c r="Q25" s="733">
        <f>Revenue!R19</f>
        <v>3843</v>
      </c>
      <c r="R25" s="733">
        <f>Revenue!S19</f>
        <v>5994</v>
      </c>
      <c r="S25" s="733">
        <f>Revenue!T19</f>
        <v>6029</v>
      </c>
      <c r="T25" s="737">
        <f>Revenue!U19</f>
        <v>18462</v>
      </c>
      <c r="U25" s="733">
        <f>Revenue!V19</f>
        <v>0</v>
      </c>
      <c r="V25" s="733">
        <f>Revenue!W19</f>
        <v>2808</v>
      </c>
      <c r="W25" s="733">
        <f>Revenue!X19</f>
        <v>3198</v>
      </c>
      <c r="X25" s="733">
        <f>AVERAGE(Revenue!Y19,Revenue!M70)</f>
        <v>6195.4891134860136</v>
      </c>
      <c r="Y25" s="733">
        <f>AVERAGE(Revenue!Z19,Revenue!N70)</f>
        <v>6767.8062155619973</v>
      </c>
      <c r="Z25" s="737">
        <f>SUM(V25:Y25)</f>
        <v>18969.295329048011</v>
      </c>
      <c r="AB25" s="733">
        <f>AVERAGE(Revenue!AC19,Revenue!Q70)</f>
        <v>2586.7078071951391</v>
      </c>
      <c r="AC25" s="733">
        <f>AVERAGE(Revenue!AD19,Revenue!R70)</f>
        <v>3185.8734936429623</v>
      </c>
      <c r="AD25" s="733">
        <f>AVERAGE(Revenue!AE19,Revenue!S70)</f>
        <v>6403.7514525677725</v>
      </c>
      <c r="AE25" s="733">
        <f>AVERAGE(Revenue!AF19,Revenue!T70)</f>
        <v>7644.989834567451</v>
      </c>
      <c r="AF25" s="737">
        <f>SUM(AB25:AE25)</f>
        <v>19821.322587973325</v>
      </c>
      <c r="AH25" s="737">
        <f>AVERAGE(Revenue!AI19,Revenue!W70)</f>
        <v>20448.926775276745</v>
      </c>
      <c r="AJ25" s="737">
        <f>AVERAGE(Revenue!AK19,Revenue!Y70)</f>
        <v>21096.46212016698</v>
      </c>
      <c r="AL25" s="737">
        <f>AVERAGE(Revenue!AM19,Revenue!AA70)</f>
        <v>21764.563466142143</v>
      </c>
      <c r="AS25" s="312"/>
      <c r="AT25" s="312"/>
      <c r="AU25" s="312"/>
      <c r="AV25" s="312"/>
      <c r="AW25" s="312"/>
      <c r="AX25" s="312"/>
      <c r="AY25" s="312"/>
      <c r="AZ25" s="312"/>
    </row>
    <row r="26" spans="1:60" ht="14.25" customHeight="1">
      <c r="B26" s="703" t="s">
        <v>378</v>
      </c>
      <c r="D26" s="733">
        <f>Revenue!E20</f>
        <v>93583</v>
      </c>
      <c r="E26" s="733">
        <f>Revenue!F20</f>
        <v>78382</v>
      </c>
      <c r="F26" s="733">
        <f>Revenue!G20</f>
        <v>60200</v>
      </c>
      <c r="G26" s="733">
        <f>Revenue!H20</f>
        <v>71675</v>
      </c>
      <c r="H26" s="737">
        <f>Revenue!I20</f>
        <v>303840</v>
      </c>
      <c r="I26" s="733">
        <f>Revenue!J20</f>
        <v>0</v>
      </c>
      <c r="J26" s="733">
        <f>Revenue!K20</f>
        <v>70386</v>
      </c>
      <c r="K26" s="733">
        <f>Revenue!L20</f>
        <v>66771</v>
      </c>
      <c r="L26" s="733">
        <f>Revenue!M20</f>
        <v>57474</v>
      </c>
      <c r="M26" s="733">
        <f>Revenue!N20</f>
        <v>63570</v>
      </c>
      <c r="N26" s="737">
        <f>Revenue!O20</f>
        <v>258201</v>
      </c>
      <c r="O26" s="733">
        <f>Revenue!P20</f>
        <v>0</v>
      </c>
      <c r="P26" s="733">
        <f>Revenue!Q20</f>
        <v>62157</v>
      </c>
      <c r="Q26" s="733">
        <f>Revenue!R20</f>
        <v>61468</v>
      </c>
      <c r="R26" s="733">
        <f>Revenue!S20</f>
        <v>52952</v>
      </c>
      <c r="S26" s="733">
        <f>Revenue!T20</f>
        <v>59397</v>
      </c>
      <c r="T26" s="737">
        <f>Revenue!U20</f>
        <v>235974</v>
      </c>
      <c r="U26" s="733">
        <f>Revenue!V20</f>
        <v>0</v>
      </c>
      <c r="V26" s="733">
        <f>Revenue!W20</f>
        <v>58920</v>
      </c>
      <c r="W26" s="733">
        <f>Revenue!X20</f>
        <v>64673</v>
      </c>
      <c r="X26" s="733">
        <f>AVERAGE(Revenue!Y20,Revenue!M71)</f>
        <v>52196.917030378601</v>
      </c>
      <c r="Y26" s="733">
        <f>AVERAGE(Revenue!Z20,Revenue!N71)</f>
        <v>60984.717373368228</v>
      </c>
      <c r="Z26" s="737">
        <f>SUM(V26:Y26)</f>
        <v>236774.63440374681</v>
      </c>
      <c r="AB26" s="733">
        <f>AVERAGE(Revenue!AC20,Revenue!Q71)</f>
        <v>60200.366877769178</v>
      </c>
      <c r="AC26" s="733">
        <f>AVERAGE(Revenue!AD20,Revenue!R71)</f>
        <v>66078.38301232121</v>
      </c>
      <c r="AD26" s="733">
        <f>AVERAGE(Revenue!AE20,Revenue!S71)</f>
        <v>53360.829577909419</v>
      </c>
      <c r="AE26" s="733">
        <f>AVERAGE(Revenue!AF20,Revenue!T71)</f>
        <v>62314.641423842237</v>
      </c>
      <c r="AF26" s="737">
        <f>SUM(AB26:AE26)</f>
        <v>241954.22089184204</v>
      </c>
      <c r="AH26" s="737">
        <f>AVERAGE(Revenue!AI20,Revenue!W71)</f>
        <v>249641.55494415254</v>
      </c>
      <c r="AJ26" s="737">
        <f>AVERAGE(Revenue!AK20,Revenue!Y71)</f>
        <v>258790.21412477043</v>
      </c>
      <c r="AL26" s="737">
        <f>AVERAGE(Revenue!AM20,Revenue!AA71)</f>
        <v>268276.81254936464</v>
      </c>
      <c r="AR26" s="97" t="s">
        <v>394</v>
      </c>
      <c r="AS26" s="328">
        <f>H40</f>
        <v>0.24057552744069755</v>
      </c>
      <c r="AT26" s="328">
        <f>N40</f>
        <v>9.3035873115132617E-4</v>
      </c>
      <c r="AU26" s="328">
        <f>T40</f>
        <v>-3.9994748061799479E-2</v>
      </c>
      <c r="AV26" s="328">
        <f>Z40</f>
        <v>9.8039871883370822E-4</v>
      </c>
      <c r="AW26" s="328">
        <f>AF40</f>
        <v>3.8203364290655406E-2</v>
      </c>
      <c r="AX26" s="328">
        <f>AH40</f>
        <v>4.3199307303073864E-2</v>
      </c>
      <c r="AY26" s="328">
        <f>+AJ40</f>
        <v>4.0706641503339913E-2</v>
      </c>
      <c r="AZ26" s="328">
        <f>+AL40</f>
        <v>3.9819584896290339E-2</v>
      </c>
      <c r="BC26" s="312"/>
    </row>
    <row r="27" spans="1:60" ht="14.25" customHeight="1">
      <c r="B27" s="703" t="s">
        <v>379</v>
      </c>
      <c r="D27" s="733">
        <f>Revenue!E21</f>
        <v>1893</v>
      </c>
      <c r="E27" s="733">
        <f>Revenue!F21</f>
        <v>1826</v>
      </c>
      <c r="F27" s="733">
        <f>Revenue!G21</f>
        <v>3361</v>
      </c>
      <c r="G27" s="733">
        <f>Revenue!H21</f>
        <v>3172</v>
      </c>
      <c r="H27" s="737">
        <f>Revenue!I21</f>
        <v>10252</v>
      </c>
      <c r="I27" s="733">
        <f>Revenue!J21</f>
        <v>0</v>
      </c>
      <c r="J27" s="733">
        <f>Revenue!K21</f>
        <v>2424</v>
      </c>
      <c r="K27" s="733">
        <f>Revenue!L21</f>
        <v>1953</v>
      </c>
      <c r="L27" s="733">
        <f>Revenue!M21</f>
        <v>2608</v>
      </c>
      <c r="M27" s="733">
        <f>Revenue!N21</f>
        <v>3386</v>
      </c>
      <c r="N27" s="737">
        <f>Revenue!O21</f>
        <v>10371</v>
      </c>
      <c r="O27" s="733">
        <f>Revenue!P21</f>
        <v>0</v>
      </c>
      <c r="P27" s="733">
        <f>Revenue!Q21</f>
        <v>2105</v>
      </c>
      <c r="Q27" s="733">
        <f>Revenue!R21</f>
        <v>2675</v>
      </c>
      <c r="R27" s="733">
        <f>Revenue!S21</f>
        <v>1360</v>
      </c>
      <c r="S27" s="733">
        <f>Revenue!T21</f>
        <v>3240</v>
      </c>
      <c r="T27" s="737">
        <f>Revenue!U21</f>
        <v>9380</v>
      </c>
      <c r="U27" s="733">
        <f>Revenue!V21</f>
        <v>0</v>
      </c>
      <c r="V27" s="733">
        <f>Revenue!W21</f>
        <v>1425</v>
      </c>
      <c r="W27" s="733">
        <f>Revenue!X21</f>
        <v>2066</v>
      </c>
      <c r="X27" s="733">
        <f>AVERAGE(Revenue!Y21,Revenue!M72)</f>
        <v>1143.8804699733503</v>
      </c>
      <c r="Y27" s="733">
        <f>AVERAGE(Revenue!Z21,Revenue!N72)</f>
        <v>3391.4071399180607</v>
      </c>
      <c r="Z27" s="737">
        <f>SUM(V27:Y27)</f>
        <v>8026.2876098914112</v>
      </c>
      <c r="AB27" s="733">
        <f>AVERAGE(Revenue!AC21,Revenue!Q72)</f>
        <v>1448.8411032047024</v>
      </c>
      <c r="AC27" s="733">
        <f>AVERAGE(Revenue!AD21,Revenue!R72)</f>
        <v>2100.565416997134</v>
      </c>
      <c r="AD27" s="733">
        <f>AVERAGE(Revenue!AE21,Revenue!S72)</f>
        <v>1169.6010817194112</v>
      </c>
      <c r="AE27" s="733">
        <f>AVERAGE(Revenue!AF21,Revenue!T72)</f>
        <v>3464.6001156497609</v>
      </c>
      <c r="AF27" s="737">
        <f>SUM(AB27:AE27)</f>
        <v>8183.6077175710088</v>
      </c>
      <c r="AH27" s="737">
        <f>AVERAGE(Revenue!AI21,Revenue!W72)</f>
        <v>8404.6300011148705</v>
      </c>
      <c r="AJ27" s="737">
        <f>AVERAGE(Revenue!AK21,Revenue!Y72)</f>
        <v>8672.0084201256832</v>
      </c>
      <c r="AL27" s="737">
        <f>AVERAGE(Revenue!AM21,Revenue!AA72)</f>
        <v>8968.5267174466135</v>
      </c>
    </row>
    <row r="29" spans="1:60" s="41" customFormat="1" ht="15" customHeight="1">
      <c r="B29" s="526" t="s">
        <v>395</v>
      </c>
      <c r="C29" s="527"/>
      <c r="D29" s="528"/>
      <c r="E29" s="528"/>
      <c r="F29" s="528"/>
      <c r="G29" s="528"/>
      <c r="H29" s="528"/>
      <c r="I29" s="527"/>
      <c r="J29" s="528"/>
      <c r="K29" s="528"/>
      <c r="L29" s="528"/>
      <c r="M29" s="528"/>
      <c r="N29" s="528"/>
      <c r="O29" s="527"/>
      <c r="P29" s="528"/>
      <c r="Q29" s="528"/>
      <c r="R29" s="528"/>
      <c r="S29" s="528"/>
      <c r="T29" s="528"/>
      <c r="U29" s="529"/>
      <c r="V29" s="528"/>
      <c r="W29" s="528"/>
      <c r="X29" s="530">
        <f>SUM(X11+X17+X23)</f>
        <v>954823.9942482512</v>
      </c>
      <c r="Y29" s="530">
        <f>SUM(Y11+Y17+Y23)</f>
        <v>1039651.2096118217</v>
      </c>
      <c r="Z29" s="530"/>
      <c r="AA29" s="531"/>
      <c r="AB29" s="530">
        <f>SUM(AB11+AB17+AB23)</f>
        <v>939439.53829298983</v>
      </c>
      <c r="AC29" s="530">
        <f>SUM(AC11+AC17+AC23)</f>
        <v>1014192.8408122633</v>
      </c>
      <c r="AD29" s="530">
        <f>SUM(AD11+AD17+AD23)</f>
        <v>990553.0454290713</v>
      </c>
      <c r="AE29" s="530">
        <f>SUM(AE11+AE17+AE23)</f>
        <v>1082965.1472661344</v>
      </c>
      <c r="AF29" s="530"/>
      <c r="AG29" s="531"/>
      <c r="AH29" s="530">
        <f>SUM(AH11+AH17+AH23)</f>
        <v>4201120.6869074171</v>
      </c>
      <c r="AI29" s="531"/>
      <c r="AJ29" s="530">
        <f>SUM(AJ11+AJ17+AJ23)</f>
        <v>4372134.2006216226</v>
      </c>
      <c r="AK29" s="531"/>
      <c r="AL29" s="530">
        <f>SUM(AL11+AL17+AL23)</f>
        <v>4546230.7696012501</v>
      </c>
      <c r="AM29" s="532"/>
    </row>
    <row r="30" spans="1:60" s="41" customFormat="1" ht="15" customHeight="1">
      <c r="C30" s="17"/>
      <c r="I30" s="17"/>
      <c r="O30" s="17"/>
      <c r="U30" s="17"/>
      <c r="AA30" s="17"/>
      <c r="AG30" s="17"/>
      <c r="AI30" s="17"/>
      <c r="AJ30" s="42"/>
      <c r="AK30" s="17"/>
      <c r="AL30" s="42"/>
    </row>
    <row r="31" spans="1:60" s="41" customFormat="1" ht="15" customHeight="1">
      <c r="A31" s="30" t="s">
        <v>38</v>
      </c>
      <c r="B31" s="161" t="s">
        <v>396</v>
      </c>
      <c r="C31" s="18"/>
      <c r="D31" s="162"/>
      <c r="E31" s="162"/>
      <c r="F31" s="162"/>
      <c r="G31" s="162"/>
      <c r="H31" s="162"/>
      <c r="I31" s="18"/>
      <c r="J31" s="162"/>
      <c r="K31" s="162"/>
      <c r="L31" s="162"/>
      <c r="M31" s="162"/>
      <c r="N31" s="162"/>
      <c r="O31" s="18"/>
      <c r="P31" s="162"/>
      <c r="Q31" s="162"/>
      <c r="R31" s="162"/>
      <c r="S31" s="162"/>
      <c r="T31" s="162"/>
      <c r="U31" s="18"/>
      <c r="V31" s="162"/>
      <c r="W31" s="162"/>
      <c r="X31" s="162"/>
      <c r="Y31" s="162"/>
      <c r="Z31" s="162"/>
      <c r="AA31" s="18"/>
      <c r="AB31" s="162"/>
      <c r="AC31" s="162"/>
      <c r="AD31" s="162"/>
      <c r="AE31" s="162"/>
      <c r="AF31" s="162"/>
      <c r="AG31" s="18"/>
      <c r="AH31" s="162"/>
      <c r="AI31" s="18"/>
      <c r="AJ31" s="163"/>
      <c r="AK31" s="18"/>
      <c r="AL31" s="163"/>
      <c r="AM31" s="163"/>
    </row>
    <row r="32" spans="1:60" s="41" customFormat="1" ht="15" customHeight="1">
      <c r="B32" s="164"/>
      <c r="C32" s="18"/>
      <c r="D32" s="815">
        <f>D$8</f>
        <v>2022</v>
      </c>
      <c r="E32" s="815">
        <f>F32</f>
        <v>0</v>
      </c>
      <c r="F32" s="815">
        <f>F$8</f>
        <v>0</v>
      </c>
      <c r="G32" s="815">
        <f>F32</f>
        <v>0</v>
      </c>
      <c r="H32" s="815">
        <f>F32</f>
        <v>0</v>
      </c>
      <c r="I32" s="169"/>
      <c r="J32" s="815">
        <f>J$8</f>
        <v>2023</v>
      </c>
      <c r="K32" s="815">
        <f>L32</f>
        <v>0</v>
      </c>
      <c r="L32" s="815">
        <f>L$8</f>
        <v>0</v>
      </c>
      <c r="M32" s="815">
        <f>L32</f>
        <v>0</v>
      </c>
      <c r="N32" s="815">
        <f>L32</f>
        <v>0</v>
      </c>
      <c r="O32" s="169"/>
      <c r="P32" s="815">
        <f>P$8</f>
        <v>2024</v>
      </c>
      <c r="Q32" s="815">
        <f>R32</f>
        <v>0</v>
      </c>
      <c r="R32" s="815">
        <f>R$8</f>
        <v>0</v>
      </c>
      <c r="S32" s="815">
        <f>R32</f>
        <v>0</v>
      </c>
      <c r="T32" s="815">
        <f>R32</f>
        <v>0</v>
      </c>
      <c r="U32" s="169"/>
      <c r="V32" s="813">
        <f>V$8</f>
        <v>2025</v>
      </c>
      <c r="W32" s="813">
        <f>X32</f>
        <v>0</v>
      </c>
      <c r="X32" s="813">
        <f>X$8</f>
        <v>0</v>
      </c>
      <c r="Y32" s="813">
        <f>X32</f>
        <v>0</v>
      </c>
      <c r="Z32" s="813">
        <f>X32</f>
        <v>0</v>
      </c>
      <c r="AA32" s="169"/>
      <c r="AB32" s="813">
        <f>AB$8</f>
        <v>2026</v>
      </c>
      <c r="AC32" s="813">
        <f>AD32</f>
        <v>0</v>
      </c>
      <c r="AD32" s="813">
        <f>AD$8</f>
        <v>0</v>
      </c>
      <c r="AE32" s="813">
        <f>AD32</f>
        <v>0</v>
      </c>
      <c r="AF32" s="813">
        <f>AD32</f>
        <v>0</v>
      </c>
      <c r="AG32" s="171"/>
      <c r="AH32" s="166">
        <f>AH$8</f>
        <v>2027</v>
      </c>
      <c r="AI32" s="167"/>
      <c r="AJ32" s="166">
        <f>AJ$8</f>
        <v>2028</v>
      </c>
      <c r="AK32" s="167"/>
      <c r="AL32" s="166">
        <f>AL$8</f>
        <v>2029</v>
      </c>
      <c r="AM32" s="163">
        <f>AN32</f>
        <v>0</v>
      </c>
    </row>
    <row r="33" spans="1:52" s="41" customFormat="1" ht="14.25" customHeight="1">
      <c r="B33" s="164"/>
      <c r="C33" s="18"/>
      <c r="D33" s="168" t="s">
        <v>191</v>
      </c>
      <c r="E33" s="168" t="s">
        <v>192</v>
      </c>
      <c r="F33" s="168" t="s">
        <v>193</v>
      </c>
      <c r="G33" s="168" t="s">
        <v>194</v>
      </c>
      <c r="H33" s="168" t="s">
        <v>195</v>
      </c>
      <c r="I33" s="165"/>
      <c r="J33" s="168" t="s">
        <v>191</v>
      </c>
      <c r="K33" s="168" t="s">
        <v>192</v>
      </c>
      <c r="L33" s="168" t="s">
        <v>193</v>
      </c>
      <c r="M33" s="168" t="s">
        <v>194</v>
      </c>
      <c r="N33" s="168" t="s">
        <v>195</v>
      </c>
      <c r="O33" s="165"/>
      <c r="P33" s="168" t="s">
        <v>191</v>
      </c>
      <c r="Q33" s="168" t="s">
        <v>192</v>
      </c>
      <c r="R33" s="168" t="s">
        <v>193</v>
      </c>
      <c r="S33" s="168" t="s">
        <v>194</v>
      </c>
      <c r="T33" s="168" t="s">
        <v>195</v>
      </c>
      <c r="U33" s="165"/>
      <c r="V33" s="168" t="s">
        <v>191</v>
      </c>
      <c r="W33" s="168" t="s">
        <v>192</v>
      </c>
      <c r="X33" s="168" t="s">
        <v>193</v>
      </c>
      <c r="Y33" s="168" t="s">
        <v>194</v>
      </c>
      <c r="Z33" s="168" t="s">
        <v>195</v>
      </c>
      <c r="AA33" s="165"/>
      <c r="AB33" s="168" t="s">
        <v>191</v>
      </c>
      <c r="AC33" s="168" t="s">
        <v>192</v>
      </c>
      <c r="AD33" s="168" t="s">
        <v>193</v>
      </c>
      <c r="AE33" s="168" t="s">
        <v>194</v>
      </c>
      <c r="AF33" s="168" t="s">
        <v>195</v>
      </c>
      <c r="AG33" s="165"/>
      <c r="AH33" s="168" t="s">
        <v>195</v>
      </c>
      <c r="AI33" s="165"/>
      <c r="AJ33" s="168" t="s">
        <v>195</v>
      </c>
      <c r="AK33" s="165"/>
      <c r="AL33" s="168" t="s">
        <v>195</v>
      </c>
      <c r="AM33" s="163"/>
    </row>
    <row r="34" spans="1:52" s="41" customFormat="1" ht="3.95" customHeight="1">
      <c r="A34" s="43"/>
      <c r="B34" s="176"/>
      <c r="C34" s="35"/>
      <c r="D34" s="177"/>
      <c r="E34" s="177"/>
      <c r="F34" s="177"/>
      <c r="G34" s="177"/>
      <c r="H34" s="177"/>
      <c r="I34" s="178"/>
      <c r="J34" s="177"/>
      <c r="K34" s="177"/>
      <c r="L34" s="177"/>
      <c r="M34" s="177"/>
      <c r="N34" s="177"/>
      <c r="O34" s="178"/>
      <c r="P34" s="177"/>
      <c r="Q34" s="177"/>
      <c r="R34" s="177"/>
      <c r="S34" s="177"/>
      <c r="T34" s="177"/>
      <c r="U34" s="178"/>
      <c r="V34" s="177"/>
      <c r="W34" s="177"/>
      <c r="X34" s="177"/>
      <c r="Y34" s="177"/>
      <c r="Z34" s="179"/>
      <c r="AA34" s="180"/>
      <c r="AB34" s="179"/>
      <c r="AC34" s="179"/>
      <c r="AD34" s="179"/>
      <c r="AE34" s="179"/>
      <c r="AF34" s="179"/>
      <c r="AG34" s="180"/>
      <c r="AH34" s="179"/>
      <c r="AI34" s="180"/>
      <c r="AJ34" s="179"/>
      <c r="AK34" s="180"/>
      <c r="AL34" s="179"/>
      <c r="AM34" s="179"/>
    </row>
    <row r="35" spans="1:52" s="54" customFormat="1" ht="3.95" customHeight="1">
      <c r="A35" s="44"/>
      <c r="B35" s="45"/>
      <c r="C35" s="23"/>
      <c r="D35" s="66"/>
      <c r="E35" s="66"/>
      <c r="F35" s="66"/>
      <c r="G35" s="66"/>
      <c r="H35" s="57"/>
      <c r="I35" s="57"/>
      <c r="J35" s="66"/>
      <c r="K35" s="66"/>
      <c r="L35" s="66"/>
      <c r="M35" s="66"/>
      <c r="N35" s="57"/>
      <c r="O35" s="57"/>
      <c r="P35" s="66"/>
      <c r="Q35" s="66"/>
      <c r="R35" s="66"/>
      <c r="S35" s="66"/>
      <c r="T35" s="57"/>
      <c r="U35" s="71"/>
      <c r="V35" s="66"/>
      <c r="W35" s="66"/>
      <c r="X35" s="68"/>
      <c r="Y35" s="68"/>
      <c r="Z35" s="57"/>
      <c r="AA35" s="71"/>
      <c r="AB35" s="68"/>
      <c r="AC35" s="68"/>
      <c r="AD35" s="68"/>
      <c r="AE35" s="68"/>
      <c r="AF35" s="57"/>
      <c r="AG35" s="71"/>
      <c r="AH35" s="58"/>
      <c r="AI35" s="72"/>
      <c r="AJ35" s="58"/>
    </row>
    <row r="36" spans="1:52" s="54" customFormat="1" ht="14.25" customHeight="1">
      <c r="A36" s="44"/>
      <c r="B36" s="161" t="s">
        <v>397</v>
      </c>
      <c r="C36" s="186"/>
      <c r="D36" s="187"/>
      <c r="E36" s="187"/>
      <c r="F36" s="187"/>
      <c r="G36" s="187"/>
      <c r="H36" s="188"/>
      <c r="I36" s="188"/>
      <c r="J36" s="187"/>
      <c r="K36" s="187"/>
      <c r="L36" s="187"/>
      <c r="M36" s="187"/>
      <c r="N36" s="188"/>
      <c r="O36" s="188"/>
      <c r="P36" s="187"/>
      <c r="Q36" s="187"/>
      <c r="R36" s="187"/>
      <c r="S36" s="187"/>
      <c r="T36" s="188"/>
      <c r="U36" s="189"/>
      <c r="V36" s="187"/>
      <c r="W36" s="187"/>
      <c r="X36" s="190"/>
      <c r="Y36" s="190"/>
      <c r="Z36" s="188"/>
      <c r="AA36" s="189"/>
      <c r="AB36" s="190"/>
      <c r="AC36" s="190"/>
      <c r="AD36" s="190"/>
      <c r="AE36" s="190"/>
      <c r="AF36" s="188"/>
      <c r="AG36" s="189"/>
      <c r="AH36" s="191"/>
      <c r="AI36" s="192"/>
      <c r="AJ36" s="191"/>
      <c r="AK36" s="193"/>
      <c r="AL36" s="193"/>
      <c r="AM36" s="193"/>
    </row>
    <row r="37" spans="1:52" s="54" customFormat="1" ht="3.95" customHeight="1">
      <c r="A37" s="44"/>
      <c r="B37" s="194"/>
      <c r="C37" s="36"/>
      <c r="D37" s="195"/>
      <c r="E37" s="195"/>
      <c r="F37" s="195"/>
      <c r="G37" s="195"/>
      <c r="H37" s="196"/>
      <c r="I37" s="196"/>
      <c r="J37" s="195"/>
      <c r="K37" s="195"/>
      <c r="L37" s="195"/>
      <c r="M37" s="195"/>
      <c r="N37" s="196"/>
      <c r="O37" s="196"/>
      <c r="P37" s="195"/>
      <c r="Q37" s="195"/>
      <c r="R37" s="195"/>
      <c r="S37" s="195"/>
      <c r="T37" s="196"/>
      <c r="U37" s="197"/>
      <c r="V37" s="195"/>
      <c r="W37" s="195"/>
      <c r="X37" s="198"/>
      <c r="Y37" s="198"/>
      <c r="Z37" s="196"/>
      <c r="AA37" s="197"/>
      <c r="AB37" s="198"/>
      <c r="AC37" s="198"/>
      <c r="AD37" s="198"/>
      <c r="AE37" s="198"/>
      <c r="AF37" s="196"/>
      <c r="AG37" s="197"/>
      <c r="AH37" s="199"/>
      <c r="AI37" s="200"/>
      <c r="AJ37" s="199"/>
      <c r="AK37" s="201"/>
      <c r="AL37" s="201"/>
      <c r="AM37" s="201"/>
    </row>
    <row r="38" spans="1:52" s="54" customFormat="1" ht="3.95" customHeight="1">
      <c r="A38" s="44"/>
      <c r="B38" s="45"/>
      <c r="C38" s="23"/>
      <c r="D38" s="66"/>
      <c r="E38" s="66"/>
      <c r="F38" s="66"/>
      <c r="G38" s="66"/>
      <c r="H38" s="57"/>
      <c r="I38" s="57"/>
      <c r="J38" s="66"/>
      <c r="K38" s="66"/>
      <c r="L38" s="66"/>
      <c r="M38" s="66"/>
      <c r="N38" s="57"/>
      <c r="O38" s="57"/>
      <c r="P38" s="66"/>
      <c r="Q38" s="66"/>
      <c r="R38" s="66"/>
      <c r="S38" s="66"/>
      <c r="T38" s="57"/>
      <c r="U38" s="49"/>
      <c r="V38" s="66"/>
      <c r="W38" s="66"/>
      <c r="X38" s="68"/>
      <c r="Y38" s="68"/>
      <c r="Z38" s="57"/>
      <c r="AA38" s="71"/>
      <c r="AB38" s="68"/>
      <c r="AC38" s="68"/>
      <c r="AD38" s="68"/>
      <c r="AE38" s="68"/>
      <c r="AF38" s="57"/>
      <c r="AG38" s="71"/>
      <c r="AH38" s="58"/>
      <c r="AI38" s="72"/>
      <c r="AJ38" s="58"/>
    </row>
    <row r="39" spans="1:52" s="54" customFormat="1" ht="14.25" customHeight="1">
      <c r="A39" s="44"/>
      <c r="B39" s="28" t="s">
        <v>395</v>
      </c>
      <c r="C39" s="23"/>
      <c r="D39" s="50">
        <f>IS!P18</f>
        <v>994676</v>
      </c>
      <c r="E39" s="50">
        <f>IS!Q18</f>
        <v>1013601</v>
      </c>
      <c r="F39" s="50">
        <f>IS!R18</f>
        <v>992871</v>
      </c>
      <c r="G39" s="50">
        <f>IS!S18</f>
        <v>1031705</v>
      </c>
      <c r="H39" s="58">
        <f>IS!T18</f>
        <v>4032853</v>
      </c>
      <c r="I39" s="57"/>
      <c r="J39" s="50">
        <f>IS!V18</f>
        <v>1007396</v>
      </c>
      <c r="K39" s="50">
        <f>IS!W18</f>
        <v>1039982</v>
      </c>
      <c r="L39" s="50">
        <f>IS!X18</f>
        <v>980651</v>
      </c>
      <c r="M39" s="50">
        <f>IS!Y18</f>
        <v>1008576</v>
      </c>
      <c r="N39" s="58">
        <f>IS!Z18</f>
        <v>4036605</v>
      </c>
      <c r="O39" s="57"/>
      <c r="P39" s="50">
        <f>IS!AB18</f>
        <v>926926</v>
      </c>
      <c r="Q39" s="50">
        <f>IS!AC18</f>
        <v>991546</v>
      </c>
      <c r="R39" s="50">
        <f>IS!AD18</f>
        <v>942809</v>
      </c>
      <c r="S39" s="50">
        <f>IS!AE18</f>
        <v>1013881</v>
      </c>
      <c r="T39" s="58">
        <f>IS!AF18</f>
        <v>3875162</v>
      </c>
      <c r="U39" s="49"/>
      <c r="V39" s="50">
        <f>IS!AH18</f>
        <v>906627</v>
      </c>
      <c r="W39" s="50">
        <f>IS!AI18</f>
        <v>977859</v>
      </c>
      <c r="X39" s="300">
        <f>X29</f>
        <v>954823.9942482512</v>
      </c>
      <c r="Y39" s="300">
        <f>Y29</f>
        <v>1039651.2096118217</v>
      </c>
      <c r="Z39" s="57">
        <f>SUM(V39:Y39)</f>
        <v>3878961.2038600734</v>
      </c>
      <c r="AA39" s="71"/>
      <c r="AB39" s="300">
        <f>AB29</f>
        <v>939439.53829298983</v>
      </c>
      <c r="AC39" s="300">
        <f>AC29</f>
        <v>1014192.8408122633</v>
      </c>
      <c r="AD39" s="300">
        <f>AD29</f>
        <v>990553.0454290713</v>
      </c>
      <c r="AE39" s="300">
        <f>AE29</f>
        <v>1082965.1472661344</v>
      </c>
      <c r="AF39" s="57">
        <f>SUM(AB39:AE39)</f>
        <v>4027150.5718004592</v>
      </c>
      <c r="AG39" s="71"/>
      <c r="AH39" s="317">
        <f>AH29</f>
        <v>4201120.6869074171</v>
      </c>
      <c r="AI39" s="72"/>
      <c r="AJ39" s="317">
        <f>AJ29</f>
        <v>4372134.2006216226</v>
      </c>
      <c r="AL39" s="317">
        <f>AL29</f>
        <v>4546230.7696012501</v>
      </c>
      <c r="AS39" s="312"/>
      <c r="AT39" s="312"/>
      <c r="AU39" s="312"/>
      <c r="AV39" s="312"/>
      <c r="AW39" s="312"/>
      <c r="AX39" s="312"/>
      <c r="AY39" s="312"/>
      <c r="AZ39" s="312"/>
    </row>
    <row r="40" spans="1:52" s="54" customFormat="1" ht="14.25" customHeight="1">
      <c r="A40" s="55"/>
      <c r="B40" s="31" t="s">
        <v>398</v>
      </c>
      <c r="C40" s="23"/>
      <c r="D40" s="305">
        <f>D39/IS!J18-1</f>
        <v>0.3121370660292484</v>
      </c>
      <c r="E40" s="305">
        <f>E39/IS!K18-1</f>
        <v>0.25325771260910046</v>
      </c>
      <c r="F40" s="305">
        <f>F39/IS!L18-1</f>
        <v>0.21445425022475817</v>
      </c>
      <c r="G40" s="305">
        <f>G39/IS!M18-1</f>
        <v>0.19077325441820103</v>
      </c>
      <c r="H40" s="306">
        <f>H39/IS!N18-1</f>
        <v>0.24057552744069755</v>
      </c>
      <c r="I40" s="57"/>
      <c r="J40" s="305">
        <f>J39/IS!P18-1</f>
        <v>1.2788083757927282E-2</v>
      </c>
      <c r="K40" s="305">
        <f>K39/IS!Q18-1</f>
        <v>2.6027006682116438E-2</v>
      </c>
      <c r="L40" s="305">
        <f>L39/IS!R18-1</f>
        <v>-1.2307741891947721E-2</v>
      </c>
      <c r="M40" s="305">
        <f>M39/IS!S18-1</f>
        <v>-2.2418230017301477E-2</v>
      </c>
      <c r="N40" s="306">
        <f>N39/H39-1</f>
        <v>9.3035873115132617E-4</v>
      </c>
      <c r="O40" s="57"/>
      <c r="P40" s="305">
        <f>P39/IS!V18-1</f>
        <v>-7.9879213338151067E-2</v>
      </c>
      <c r="Q40" s="305">
        <f>Q39/IS!W18-1</f>
        <v>-4.6573883009513595E-2</v>
      </c>
      <c r="R40" s="305">
        <f>R39/IS!X18-1</f>
        <v>-3.8588651824145392E-2</v>
      </c>
      <c r="S40" s="305">
        <f>S39/IS!Y18-1</f>
        <v>5.259891173297726E-3</v>
      </c>
      <c r="T40" s="306">
        <f>T39/N39-1</f>
        <v>-3.9994748061799479E-2</v>
      </c>
      <c r="U40" s="49"/>
      <c r="V40" s="305">
        <f>V39/IS!AB18-1</f>
        <v>-2.1899267039655834E-2</v>
      </c>
      <c r="W40" s="305">
        <f>W39/IS!AC18-1</f>
        <v>-1.3803696449786518E-2</v>
      </c>
      <c r="X40" s="305">
        <f>X39/IS!AD18-1</f>
        <v>1.2743826425342997E-2</v>
      </c>
      <c r="Y40" s="305">
        <f>Y39/IS!AE18-1</f>
        <v>2.5417390809988172E-2</v>
      </c>
      <c r="Z40" s="306">
        <f>Z39/T39-1</f>
        <v>9.8039871883370822E-4</v>
      </c>
      <c r="AA40" s="71"/>
      <c r="AB40" s="305">
        <f>AB39/IS!AH18-1</f>
        <v>3.6191882982737011E-2</v>
      </c>
      <c r="AC40" s="305">
        <f>AC39/IS!AI18-1</f>
        <v>3.7156523396791652E-2</v>
      </c>
      <c r="AD40" s="305">
        <f>AD39/X39-1</f>
        <v>3.7419515424882199E-2</v>
      </c>
      <c r="AE40" s="305">
        <f t="shared" ref="AE40" si="1">AE39/Y39-1</f>
        <v>4.1661989380539444E-2</v>
      </c>
      <c r="AF40" s="306">
        <f>AF39/Z39-1</f>
        <v>3.8203364290655406E-2</v>
      </c>
      <c r="AG40" s="71"/>
      <c r="AH40" s="306">
        <f>AH39/AF39-1</f>
        <v>4.3199307303073864E-2</v>
      </c>
      <c r="AI40" s="72"/>
      <c r="AJ40" s="306">
        <f>AJ39/AH39-1</f>
        <v>4.0706641503339913E-2</v>
      </c>
      <c r="AL40" s="306">
        <f>AL39/AJ39-1</f>
        <v>3.9819584896290339E-2</v>
      </c>
    </row>
    <row r="41" spans="1:52" s="54" customFormat="1" ht="14.25" customHeight="1">
      <c r="B41" s="31"/>
      <c r="C41" s="23"/>
      <c r="D41" s="305"/>
      <c r="E41" s="305"/>
      <c r="F41" s="305"/>
      <c r="G41" s="305"/>
      <c r="H41" s="308"/>
      <c r="I41" s="48"/>
      <c r="J41" s="305"/>
      <c r="K41" s="305"/>
      <c r="L41" s="305"/>
      <c r="M41" s="305"/>
      <c r="N41" s="308"/>
      <c r="O41" s="71"/>
      <c r="P41" s="305"/>
      <c r="Q41" s="305"/>
      <c r="R41" s="305"/>
      <c r="S41" s="305"/>
      <c r="T41" s="308"/>
      <c r="U41" s="49"/>
      <c r="V41" s="305"/>
      <c r="W41" s="305"/>
      <c r="X41" s="50"/>
      <c r="Y41" s="50"/>
      <c r="Z41" s="66"/>
      <c r="AA41" s="71"/>
      <c r="AB41" s="50"/>
      <c r="AC41" s="50"/>
      <c r="AD41" s="50"/>
      <c r="AE41" s="50"/>
      <c r="AF41" s="66"/>
      <c r="AG41" s="71"/>
      <c r="AH41" s="68"/>
      <c r="AI41" s="72"/>
      <c r="AJ41" s="68"/>
    </row>
    <row r="42" spans="1:52" s="54" customFormat="1" ht="14.25" customHeight="1">
      <c r="B42" s="28" t="s">
        <v>399</v>
      </c>
      <c r="C42" s="23"/>
      <c r="D42" s="50">
        <f>IS!P21</f>
        <v>664166</v>
      </c>
      <c r="E42" s="50">
        <f>IS!Q21</f>
        <v>652859</v>
      </c>
      <c r="F42" s="50">
        <f>IS!R21</f>
        <v>627639</v>
      </c>
      <c r="G42" s="50">
        <f>IS!S21</f>
        <v>641635</v>
      </c>
      <c r="H42" s="58">
        <f>IS!T21</f>
        <v>2537399</v>
      </c>
      <c r="I42" s="57"/>
      <c r="J42" s="50">
        <f>IS!V21</f>
        <v>628661</v>
      </c>
      <c r="K42" s="50">
        <f>IS!W21</f>
        <v>646746</v>
      </c>
      <c r="L42" s="50">
        <f>IS!X21</f>
        <v>605329</v>
      </c>
      <c r="M42" s="50">
        <f>IS!Y21</f>
        <v>621807</v>
      </c>
      <c r="N42" s="58">
        <f>IS!Z21</f>
        <v>2449443</v>
      </c>
      <c r="O42" s="57"/>
      <c r="P42" s="50">
        <f>IS!AB21</f>
        <v>580568</v>
      </c>
      <c r="Q42" s="50">
        <f>IS!AC21</f>
        <v>611904</v>
      </c>
      <c r="R42" s="50">
        <f>IS!AD21</f>
        <v>587375</v>
      </c>
      <c r="S42" s="50">
        <f>IS!AE21</f>
        <v>624946</v>
      </c>
      <c r="T42" s="58">
        <f>IS!AF21</f>
        <v>2347093</v>
      </c>
      <c r="U42" s="49"/>
      <c r="V42" s="50">
        <f>IS!AH21</f>
        <v>560694</v>
      </c>
      <c r="W42" s="50">
        <f>IS!AI21</f>
        <v>606568</v>
      </c>
      <c r="X42" s="46">
        <f>(X43+Sensitivity!$U$39)*X$39</f>
        <v>595944.95196063258</v>
      </c>
      <c r="Y42" s="46">
        <f>(Y43+Sensitivity!$U$39)*Y$39</f>
        <v>642790.9534123484</v>
      </c>
      <c r="Z42" s="57">
        <f>SUM(V42:Y42)</f>
        <v>2405997.905372981</v>
      </c>
      <c r="AA42" s="71"/>
      <c r="AB42" s="46">
        <f>(AB43+Sensitivity!$U$39)*AB$39</f>
        <v>573567.45191626786</v>
      </c>
      <c r="AC42" s="46">
        <f>(AC43+Sensitivity!$U$39)*AC$39</f>
        <v>632332.07189966284</v>
      </c>
      <c r="AD42" s="46">
        <f>(AD43+Sensitivity!$U$39)*AD$39</f>
        <v>609464.52296263946</v>
      </c>
      <c r="AE42" s="46">
        <f>(AE43+Sensitivity!$U$39)*AE$39</f>
        <v>660783.3850358855</v>
      </c>
      <c r="AF42" s="57">
        <f>SUM(AB42:AE42)</f>
        <v>2476147.4318144559</v>
      </c>
      <c r="AG42" s="71"/>
      <c r="AH42" s="57">
        <f>(AH43+Sensitivity!$U$39)*AH$39</f>
        <v>2541678.0155789871</v>
      </c>
      <c r="AI42" s="72"/>
      <c r="AJ42" s="57">
        <f>(AJ43+Sensitivity!$U$39)*AJ$39</f>
        <v>2601419.8493698654</v>
      </c>
      <c r="AL42" s="57">
        <f>(AL43+Sensitivity!$U$39)*AL$39</f>
        <v>2682276.1540647373</v>
      </c>
    </row>
    <row r="43" spans="1:52" s="54" customFormat="1" ht="14.25" customHeight="1">
      <c r="B43" s="31" t="s">
        <v>400</v>
      </c>
      <c r="C43" s="23"/>
      <c r="D43" s="305">
        <f>D42/D39</f>
        <v>0.66772094631819812</v>
      </c>
      <c r="E43" s="305">
        <f t="shared" ref="E43:H43" si="2">E42/E39</f>
        <v>0.6440986147409089</v>
      </c>
      <c r="F43" s="305">
        <f t="shared" si="2"/>
        <v>0.63214556573814729</v>
      </c>
      <c r="G43" s="305">
        <f t="shared" si="2"/>
        <v>0.62191711778076098</v>
      </c>
      <c r="H43" s="306">
        <f t="shared" si="2"/>
        <v>0.62918211995329365</v>
      </c>
      <c r="I43" s="57"/>
      <c r="J43" s="305">
        <f>J42/J39</f>
        <v>0.6240455590453009</v>
      </c>
      <c r="K43" s="305">
        <f t="shared" ref="K43:N43" si="3">K42/K39</f>
        <v>0.62188191718702823</v>
      </c>
      <c r="L43" s="305">
        <f t="shared" si="3"/>
        <v>0.61727260768611869</v>
      </c>
      <c r="M43" s="305">
        <f t="shared" si="3"/>
        <v>0.6165197268227679</v>
      </c>
      <c r="N43" s="306">
        <f t="shared" si="3"/>
        <v>0.60680770102598591</v>
      </c>
      <c r="O43" s="57"/>
      <c r="P43" s="305">
        <f>P42/P39</f>
        <v>0.62633694599137368</v>
      </c>
      <c r="Q43" s="305">
        <f t="shared" ref="Q43:T43" si="4">Q42/Q39</f>
        <v>0.61712114213561453</v>
      </c>
      <c r="R43" s="305">
        <f t="shared" si="4"/>
        <v>0.62300529587647124</v>
      </c>
      <c r="S43" s="305">
        <f t="shared" si="4"/>
        <v>0.61638989191039184</v>
      </c>
      <c r="T43" s="306">
        <f t="shared" si="4"/>
        <v>0.60567609818634682</v>
      </c>
      <c r="U43" s="49"/>
      <c r="V43" s="305">
        <f>V42/V39</f>
        <v>0.61843955673060691</v>
      </c>
      <c r="W43" s="305">
        <f t="shared" ref="W43" si="5">W42/W39</f>
        <v>0.62030210899526417</v>
      </c>
      <c r="X43" s="316">
        <f>AVERAGE(R43,L43,F43)</f>
        <v>0.62414115643357915</v>
      </c>
      <c r="Y43" s="316">
        <f>AVERAGE(S43,M43,G43)</f>
        <v>0.61827557883797357</v>
      </c>
      <c r="Z43" s="306">
        <f>Z42/Z39</f>
        <v>0.62026861804616618</v>
      </c>
      <c r="AA43" s="71"/>
      <c r="AB43" s="316">
        <f>V43-(P43-V43)</f>
        <v>0.61054216746984014</v>
      </c>
      <c r="AC43" s="316">
        <f t="shared" ref="AC43" si="6">W43-(Q43-W43)</f>
        <v>0.6234830758549138</v>
      </c>
      <c r="AD43" s="316">
        <f>(X43-(R43-X43))-1%</f>
        <v>0.61527701699068704</v>
      </c>
      <c r="AE43" s="316">
        <f t="shared" ref="AE43" si="7">(Y43-(S43-Y43))-1%</f>
        <v>0.61016126576555529</v>
      </c>
      <c r="AF43" s="306">
        <f>AF42/AF39</f>
        <v>0.61486338483425995</v>
      </c>
      <c r="AG43" s="71"/>
      <c r="AH43" s="316">
        <v>0.60499999999999998</v>
      </c>
      <c r="AI43" s="72"/>
      <c r="AJ43" s="316">
        <f>AH43-1%</f>
        <v>0.59499999999999997</v>
      </c>
      <c r="AL43" s="316">
        <f>AJ43-0.5%</f>
        <v>0.59</v>
      </c>
    </row>
    <row r="44" spans="1:52" s="54" customFormat="1" ht="14.25" customHeight="1">
      <c r="B44" s="31"/>
      <c r="C44" s="23"/>
      <c r="D44" s="46"/>
      <c r="E44" s="46"/>
      <c r="F44" s="46"/>
      <c r="G44" s="46"/>
      <c r="H44" s="57"/>
      <c r="I44" s="57"/>
      <c r="J44" s="46"/>
      <c r="K44" s="46"/>
      <c r="L44" s="46"/>
      <c r="M44" s="46"/>
      <c r="N44" s="57"/>
      <c r="O44" s="57"/>
      <c r="P44" s="46"/>
      <c r="Q44" s="46"/>
      <c r="R44" s="46"/>
      <c r="S44" s="46"/>
      <c r="T44" s="57"/>
      <c r="U44" s="49"/>
      <c r="V44" s="46"/>
      <c r="W44" s="46"/>
      <c r="X44" s="50"/>
      <c r="Y44" s="50"/>
      <c r="Z44" s="57"/>
      <c r="AA44" s="71"/>
      <c r="AB44" s="50"/>
      <c r="AC44" s="50"/>
      <c r="AD44" s="50"/>
      <c r="AE44" s="50"/>
      <c r="AF44" s="57"/>
      <c r="AG44" s="71"/>
      <c r="AH44" s="58"/>
      <c r="AI44" s="72"/>
      <c r="AJ44" s="58"/>
    </row>
    <row r="45" spans="1:52" s="54" customFormat="1" ht="14.25" customHeight="1">
      <c r="B45" s="28" t="s">
        <v>401</v>
      </c>
      <c r="C45" s="23"/>
      <c r="D45" s="50">
        <f>IS!P22</f>
        <v>0</v>
      </c>
      <c r="E45" s="50">
        <f>IS!Q22</f>
        <v>0</v>
      </c>
      <c r="F45" s="50">
        <f>IS!R22</f>
        <v>0</v>
      </c>
      <c r="G45" s="50">
        <f>IS!S22</f>
        <v>0</v>
      </c>
      <c r="H45" s="58">
        <f>IS!T22</f>
        <v>0</v>
      </c>
      <c r="I45" s="57"/>
      <c r="J45" s="50">
        <f>IS!V22</f>
        <v>0</v>
      </c>
      <c r="K45" s="50">
        <f>IS!W22</f>
        <v>0</v>
      </c>
      <c r="L45" s="50">
        <f>IS!X22</f>
        <v>0</v>
      </c>
      <c r="M45" s="50">
        <f>IS!Y22</f>
        <v>0</v>
      </c>
      <c r="N45" s="58">
        <f>IS!Z22</f>
        <v>0</v>
      </c>
      <c r="O45" s="57"/>
      <c r="P45" s="50">
        <f>IS!AB22</f>
        <v>0</v>
      </c>
      <c r="Q45" s="50">
        <f>IS!AC22</f>
        <v>0</v>
      </c>
      <c r="R45" s="50">
        <f>IS!AD22</f>
        <v>0</v>
      </c>
      <c r="S45" s="50">
        <f>IS!AE22</f>
        <v>0</v>
      </c>
      <c r="T45" s="58">
        <f>IS!AF22</f>
        <v>0</v>
      </c>
      <c r="U45" s="49"/>
      <c r="V45" s="50">
        <f>IS!AH22</f>
        <v>0</v>
      </c>
      <c r="W45" s="50">
        <f>IS!AI22</f>
        <v>0</v>
      </c>
      <c r="X45" s="46">
        <f>X46*X42</f>
        <v>0</v>
      </c>
      <c r="Y45" s="46">
        <f>Y46*Y42</f>
        <v>0</v>
      </c>
      <c r="Z45" s="57">
        <f>SUM(V45:Y45)</f>
        <v>0</v>
      </c>
      <c r="AA45" s="71"/>
      <c r="AB45" s="46">
        <f t="shared" ref="AB45:AE45" si="8">AB46*AB42</f>
        <v>0</v>
      </c>
      <c r="AC45" s="46">
        <f t="shared" si="8"/>
        <v>0</v>
      </c>
      <c r="AD45" s="46">
        <f t="shared" si="8"/>
        <v>0</v>
      </c>
      <c r="AE45" s="46">
        <f t="shared" si="8"/>
        <v>0</v>
      </c>
      <c r="AF45" s="57">
        <f>SUM(AB45:AE45)</f>
        <v>0</v>
      </c>
      <c r="AG45" s="71"/>
      <c r="AH45" s="57">
        <f t="shared" ref="AH45:AL45" si="9">AH46*AH42</f>
        <v>0</v>
      </c>
      <c r="AI45" s="72"/>
      <c r="AJ45" s="57">
        <f t="shared" si="9"/>
        <v>0</v>
      </c>
      <c r="AL45" s="57">
        <f t="shared" si="9"/>
        <v>0</v>
      </c>
    </row>
    <row r="46" spans="1:52" s="54" customFormat="1" ht="14.25" customHeight="1">
      <c r="B46" s="31" t="s">
        <v>402</v>
      </c>
      <c r="C46" s="23"/>
      <c r="D46" s="307">
        <f>D45/D42</f>
        <v>0</v>
      </c>
      <c r="E46" s="307">
        <f t="shared" ref="E46:H46" si="10">E45/E42</f>
        <v>0</v>
      </c>
      <c r="F46" s="307">
        <f t="shared" si="10"/>
        <v>0</v>
      </c>
      <c r="G46" s="307">
        <f t="shared" si="10"/>
        <v>0</v>
      </c>
      <c r="H46" s="306">
        <f t="shared" si="10"/>
        <v>0</v>
      </c>
      <c r="I46" s="57"/>
      <c r="J46" s="307">
        <f>J45/J42</f>
        <v>0</v>
      </c>
      <c r="K46" s="307">
        <f t="shared" ref="K46:N46" si="11">K45/K42</f>
        <v>0</v>
      </c>
      <c r="L46" s="307">
        <f t="shared" si="11"/>
        <v>0</v>
      </c>
      <c r="M46" s="307">
        <f t="shared" si="11"/>
        <v>0</v>
      </c>
      <c r="N46" s="306">
        <f t="shared" si="11"/>
        <v>0</v>
      </c>
      <c r="O46" s="57"/>
      <c r="P46" s="307">
        <f>P45/P42</f>
        <v>0</v>
      </c>
      <c r="Q46" s="307">
        <f t="shared" ref="Q46:T46" si="12">Q45/Q42</f>
        <v>0</v>
      </c>
      <c r="R46" s="307">
        <f t="shared" si="12"/>
        <v>0</v>
      </c>
      <c r="S46" s="307">
        <f t="shared" si="12"/>
        <v>0</v>
      </c>
      <c r="T46" s="306">
        <f t="shared" si="12"/>
        <v>0</v>
      </c>
      <c r="U46" s="49"/>
      <c r="V46" s="307">
        <f>V45/V42</f>
        <v>0</v>
      </c>
      <c r="W46" s="307">
        <f t="shared" ref="W46" si="13">W45/W42</f>
        <v>0</v>
      </c>
      <c r="X46" s="316">
        <v>0</v>
      </c>
      <c r="Y46" s="316">
        <v>0</v>
      </c>
      <c r="Z46" s="306"/>
      <c r="AA46" s="71"/>
      <c r="AB46" s="316">
        <v>0</v>
      </c>
      <c r="AC46" s="316">
        <v>0</v>
      </c>
      <c r="AD46" s="316">
        <v>0</v>
      </c>
      <c r="AE46" s="316">
        <v>0</v>
      </c>
      <c r="AF46" s="306"/>
      <c r="AG46" s="71"/>
      <c r="AH46" s="316">
        <v>0</v>
      </c>
      <c r="AI46" s="72"/>
      <c r="AJ46" s="316">
        <v>0</v>
      </c>
      <c r="AL46" s="316">
        <v>0</v>
      </c>
    </row>
    <row r="47" spans="1:52" s="54" customFormat="1" ht="14.25" customHeight="1">
      <c r="B47" s="31"/>
      <c r="C47" s="23"/>
      <c r="D47" s="60"/>
      <c r="E47" s="60"/>
      <c r="F47" s="60"/>
      <c r="G47" s="60"/>
      <c r="H47" s="181"/>
      <c r="I47" s="57"/>
      <c r="J47" s="60"/>
      <c r="K47" s="60"/>
      <c r="L47" s="60"/>
      <c r="M47" s="60"/>
      <c r="N47" s="181"/>
      <c r="O47" s="57"/>
      <c r="P47" s="60"/>
      <c r="Q47" s="60"/>
      <c r="R47" s="60"/>
      <c r="S47" s="60"/>
      <c r="T47" s="181"/>
      <c r="U47" s="49"/>
      <c r="V47" s="60"/>
      <c r="W47" s="60"/>
      <c r="X47" s="62"/>
      <c r="Y47" s="62"/>
      <c r="Z47" s="181"/>
      <c r="AA47" s="71"/>
      <c r="AB47" s="62"/>
      <c r="AC47" s="62"/>
      <c r="AD47" s="62"/>
      <c r="AE47" s="62"/>
      <c r="AF47" s="181"/>
      <c r="AG47" s="71"/>
      <c r="AH47" s="182"/>
      <c r="AI47" s="72"/>
      <c r="AJ47" s="182"/>
    </row>
    <row r="48" spans="1:52" s="54" customFormat="1" ht="14.25" customHeight="1">
      <c r="B48" s="28" t="s">
        <v>403</v>
      </c>
      <c r="C48" s="23"/>
      <c r="D48" s="50">
        <f>IS!P24</f>
        <v>330510</v>
      </c>
      <c r="E48" s="50">
        <f>IS!Q24</f>
        <v>360742</v>
      </c>
      <c r="F48" s="50">
        <f>IS!R24</f>
        <v>365232</v>
      </c>
      <c r="G48" s="50">
        <f>IS!S24</f>
        <v>390070</v>
      </c>
      <c r="H48" s="58">
        <f>IS!T24</f>
        <v>1495454</v>
      </c>
      <c r="I48" s="57"/>
      <c r="J48" s="50">
        <f>IS!V24</f>
        <v>378735</v>
      </c>
      <c r="K48" s="50">
        <f>IS!W24</f>
        <v>393236</v>
      </c>
      <c r="L48" s="50">
        <f>IS!X24</f>
        <v>375322</v>
      </c>
      <c r="M48" s="50">
        <f>IS!Y24</f>
        <v>386769</v>
      </c>
      <c r="N48" s="58">
        <f>IS!Z24</f>
        <v>1587162</v>
      </c>
      <c r="O48" s="57"/>
      <c r="P48" s="50">
        <f>IS!AB24</f>
        <v>346358</v>
      </c>
      <c r="Q48" s="50">
        <f>IS!AC24</f>
        <v>379642</v>
      </c>
      <c r="R48" s="50">
        <f>IS!AD24</f>
        <v>355434</v>
      </c>
      <c r="S48" s="50">
        <f>IS!AE24</f>
        <v>388935</v>
      </c>
      <c r="T48" s="58">
        <f>IS!AF24</f>
        <v>1528069</v>
      </c>
      <c r="U48" s="49"/>
      <c r="V48" s="50">
        <f>IS!AH24</f>
        <v>345933</v>
      </c>
      <c r="W48" s="50">
        <f>IS!AI24</f>
        <v>371291</v>
      </c>
      <c r="X48" s="46">
        <f>X39-X42-X45</f>
        <v>358879.04228761862</v>
      </c>
      <c r="Y48" s="46">
        <f>Y39-Y42-Y45</f>
        <v>396860.25619947328</v>
      </c>
      <c r="Z48" s="57">
        <f>SUM(V48:Y48)</f>
        <v>1472963.2984870919</v>
      </c>
      <c r="AA48" s="71"/>
      <c r="AB48" s="46">
        <f t="shared" ref="AB48:AE48" si="14">AB39-AB42-AB45</f>
        <v>365872.08637672197</v>
      </c>
      <c r="AC48" s="46">
        <f t="shared" si="14"/>
        <v>381860.76891260047</v>
      </c>
      <c r="AD48" s="46">
        <f t="shared" si="14"/>
        <v>381088.52246643184</v>
      </c>
      <c r="AE48" s="46">
        <f t="shared" si="14"/>
        <v>422181.76223024889</v>
      </c>
      <c r="AF48" s="57">
        <f>SUM(AB48:AE48)</f>
        <v>1551003.1399860031</v>
      </c>
      <c r="AG48" s="57"/>
      <c r="AH48" s="57">
        <f t="shared" ref="AH48:AL48" si="15">AH39-AH42-AH45</f>
        <v>1659442.6713284301</v>
      </c>
      <c r="AI48" s="57"/>
      <c r="AJ48" s="57">
        <f t="shared" si="15"/>
        <v>1770714.3512517572</v>
      </c>
      <c r="AK48" s="57"/>
      <c r="AL48" s="57">
        <f t="shared" si="15"/>
        <v>1863954.6155365128</v>
      </c>
    </row>
    <row r="49" spans="2:45" s="54" customFormat="1" ht="14.25" customHeight="1">
      <c r="B49" s="31" t="s">
        <v>400</v>
      </c>
      <c r="C49" s="21"/>
      <c r="D49" s="305">
        <f>D48/D39</f>
        <v>0.33227905368180194</v>
      </c>
      <c r="E49" s="305">
        <f t="shared" ref="E49:H49" si="16">E48/E39</f>
        <v>0.3559013852590911</v>
      </c>
      <c r="F49" s="305">
        <f t="shared" si="16"/>
        <v>0.36785443426185277</v>
      </c>
      <c r="G49" s="305">
        <f t="shared" si="16"/>
        <v>0.37808288221923902</v>
      </c>
      <c r="H49" s="308">
        <f t="shared" si="16"/>
        <v>0.37081788004670641</v>
      </c>
      <c r="I49" s="48"/>
      <c r="J49" s="305">
        <f>J48/J39</f>
        <v>0.37595444095469904</v>
      </c>
      <c r="K49" s="305">
        <f t="shared" ref="K49:N49" si="17">K48/K39</f>
        <v>0.37811808281297177</v>
      </c>
      <c r="L49" s="305">
        <f t="shared" si="17"/>
        <v>0.38272739231388131</v>
      </c>
      <c r="M49" s="305">
        <f t="shared" si="17"/>
        <v>0.38348027317723204</v>
      </c>
      <c r="N49" s="308">
        <f t="shared" si="17"/>
        <v>0.39319229897401403</v>
      </c>
      <c r="O49" s="71"/>
      <c r="P49" s="305">
        <f>P48/P39</f>
        <v>0.37366305400862637</v>
      </c>
      <c r="Q49" s="305">
        <f t="shared" ref="Q49:T49" si="18">Q48/Q39</f>
        <v>0.38287885786438552</v>
      </c>
      <c r="R49" s="305">
        <f t="shared" si="18"/>
        <v>0.37699470412352876</v>
      </c>
      <c r="S49" s="305">
        <f t="shared" si="18"/>
        <v>0.38361010808960816</v>
      </c>
      <c r="T49" s="308">
        <f t="shared" si="18"/>
        <v>0.39432390181365323</v>
      </c>
      <c r="U49" s="49"/>
      <c r="V49" s="305">
        <f>V48/V39</f>
        <v>0.38156044326939303</v>
      </c>
      <c r="W49" s="305">
        <f t="shared" ref="W49:AL49" si="19">W48/W39</f>
        <v>0.37969789100473583</v>
      </c>
      <c r="X49" s="305">
        <f t="shared" si="19"/>
        <v>0.37585884356642091</v>
      </c>
      <c r="Y49" s="305">
        <f t="shared" si="19"/>
        <v>0.38172442116202648</v>
      </c>
      <c r="Z49" s="306">
        <f>Z48/Z$39</f>
        <v>0.37973138195383366</v>
      </c>
      <c r="AA49" s="183"/>
      <c r="AB49" s="305">
        <f t="shared" si="19"/>
        <v>0.38945783253015992</v>
      </c>
      <c r="AC49" s="305">
        <f t="shared" si="19"/>
        <v>0.37651692414508625</v>
      </c>
      <c r="AD49" s="305">
        <f t="shared" si="19"/>
        <v>0.38472298300931301</v>
      </c>
      <c r="AE49" s="305">
        <f t="shared" si="19"/>
        <v>0.38983873423444476</v>
      </c>
      <c r="AF49" s="306">
        <f>AF48/AF$39</f>
        <v>0.38513661516573994</v>
      </c>
      <c r="AG49" s="183"/>
      <c r="AH49" s="308">
        <f t="shared" si="19"/>
        <v>0.39500000000000007</v>
      </c>
      <c r="AI49" s="184"/>
      <c r="AJ49" s="308">
        <f t="shared" si="19"/>
        <v>0.40500000000000003</v>
      </c>
      <c r="AL49" s="308">
        <f t="shared" si="19"/>
        <v>0.41000000000000009</v>
      </c>
    </row>
    <row r="50" spans="2:45" s="54" customFormat="1" ht="14.25" customHeight="1">
      <c r="B50" s="28"/>
      <c r="C50" s="23"/>
      <c r="D50" s="60"/>
      <c r="E50" s="60"/>
      <c r="F50" s="60"/>
      <c r="G50" s="60"/>
      <c r="H50" s="66"/>
      <c r="I50" s="48"/>
      <c r="J50" s="60"/>
      <c r="K50" s="60"/>
      <c r="L50" s="60"/>
      <c r="M50" s="60"/>
      <c r="N50" s="66"/>
      <c r="O50" s="71"/>
      <c r="P50" s="60"/>
      <c r="Q50" s="60"/>
      <c r="R50" s="60"/>
      <c r="S50" s="60"/>
      <c r="T50" s="66"/>
      <c r="U50" s="49"/>
      <c r="V50" s="60"/>
      <c r="W50" s="60"/>
      <c r="X50" s="50"/>
      <c r="Y50" s="50"/>
      <c r="Z50" s="66"/>
      <c r="AA50" s="71"/>
      <c r="AB50" s="50"/>
      <c r="AC50" s="50"/>
      <c r="AD50" s="50"/>
      <c r="AE50" s="50"/>
      <c r="AF50" s="66"/>
      <c r="AG50" s="71"/>
      <c r="AH50" s="68"/>
      <c r="AI50" s="72"/>
      <c r="AJ50" s="68"/>
    </row>
    <row r="51" spans="2:45" s="54" customFormat="1" ht="14.25" customHeight="1">
      <c r="B51" s="28" t="s">
        <v>404</v>
      </c>
      <c r="C51" s="21"/>
      <c r="D51" s="62">
        <f>IS!P27</f>
        <v>159329</v>
      </c>
      <c r="E51" s="62">
        <f>IS!Q27</f>
        <v>160451</v>
      </c>
      <c r="F51" s="62">
        <f>IS!R27</f>
        <v>170060</v>
      </c>
      <c r="G51" s="62">
        <f>IS!S27</f>
        <v>169333</v>
      </c>
      <c r="H51" s="68">
        <f>IS!T27</f>
        <v>659173</v>
      </c>
      <c r="I51" s="48"/>
      <c r="J51" s="62">
        <f>IS!V27</f>
        <v>180460</v>
      </c>
      <c r="K51" s="62">
        <f>IS!W27</f>
        <v>172691</v>
      </c>
      <c r="L51" s="62">
        <f>IS!X27</f>
        <v>163152</v>
      </c>
      <c r="M51" s="62">
        <f>IS!Y27</f>
        <v>158039</v>
      </c>
      <c r="N51" s="68">
        <f>IS!Z27</f>
        <v>674342</v>
      </c>
      <c r="O51" s="71"/>
      <c r="P51" s="62">
        <f>IS!AB27</f>
        <v>173638</v>
      </c>
      <c r="Q51" s="62">
        <f>IS!AC27</f>
        <v>166938</v>
      </c>
      <c r="R51" s="62">
        <f>IS!AD27</f>
        <v>148696</v>
      </c>
      <c r="S51" s="62">
        <f>IS!AE27</f>
        <v>146056</v>
      </c>
      <c r="T51" s="68">
        <f>IS!AF27</f>
        <v>635328</v>
      </c>
      <c r="U51" s="49"/>
      <c r="V51" s="62">
        <f>IS!AH27</f>
        <v>170461</v>
      </c>
      <c r="W51" s="62">
        <f>IS!AI27</f>
        <v>181421</v>
      </c>
      <c r="X51" s="46">
        <f>(X52+Sensitivity!$U$40)*X$39</f>
        <v>157663.11890011543</v>
      </c>
      <c r="Y51" s="46">
        <f>(Y52+Sensitivity!$U$40)*Y$39</f>
        <v>161104.63457767171</v>
      </c>
      <c r="Z51" s="57">
        <f>SUM(V51:Y51)</f>
        <v>670649.75347778713</v>
      </c>
      <c r="AA51" s="71"/>
      <c r="AB51" s="46">
        <f>(AB52+Sensitivity!$U$40)*AB$39</f>
        <v>167235.9091821904</v>
      </c>
      <c r="AC51" s="46">
        <f>(AC52+Sensitivity!$U$40)*AC$39</f>
        <v>178020.04522304671</v>
      </c>
      <c r="AD51" s="46">
        <f>(AD52+Sensitivity!$U$40)*AD$39</f>
        <v>153657.26595544259</v>
      </c>
      <c r="AE51" s="46">
        <f>(AE52+Sensitivity!$U$40)*AE$39</f>
        <v>156986.922679941</v>
      </c>
      <c r="AF51" s="57">
        <f>SUM(AB51:AE51)</f>
        <v>655900.14304062072</v>
      </c>
      <c r="AG51" s="57"/>
      <c r="AH51" s="57">
        <f>(AH52+Sensitivity!$U$40)*AH$39</f>
        <v>642223.36801088846</v>
      </c>
      <c r="AI51" s="57"/>
      <c r="AJ51" s="57">
        <f>(AJ52+Sensitivity!$U$40)*AJ$39</f>
        <v>624644.7824113589</v>
      </c>
      <c r="AK51" s="57"/>
      <c r="AL51" s="57">
        <f>(AL52+Sensitivity!$U$40)*AL$39</f>
        <v>636472.30774417508</v>
      </c>
    </row>
    <row r="52" spans="2:45" s="54" customFormat="1" ht="14.25" customHeight="1">
      <c r="B52" s="31" t="s">
        <v>400</v>
      </c>
      <c r="C52" s="23"/>
      <c r="D52" s="305">
        <f>D51/D39</f>
        <v>0.16018180794550185</v>
      </c>
      <c r="E52" s="305">
        <f t="shared" ref="E52:H52" si="20">E51/E39</f>
        <v>0.15829798905091846</v>
      </c>
      <c r="F52" s="305">
        <f t="shared" si="20"/>
        <v>0.1712810626959595</v>
      </c>
      <c r="G52" s="305">
        <f t="shared" si="20"/>
        <v>0.16412928114141154</v>
      </c>
      <c r="H52" s="308">
        <f t="shared" si="20"/>
        <v>0.16345078781696235</v>
      </c>
      <c r="I52" s="48"/>
      <c r="J52" s="305">
        <f>J51/J39</f>
        <v>0.17913511667705648</v>
      </c>
      <c r="K52" s="305">
        <f t="shared" ref="K52:N52" si="21">K51/K39</f>
        <v>0.16605191243694603</v>
      </c>
      <c r="L52" s="305">
        <f t="shared" si="21"/>
        <v>0.16637111469829735</v>
      </c>
      <c r="M52" s="305">
        <f t="shared" si="21"/>
        <v>0.1566951821181547</v>
      </c>
      <c r="N52" s="308">
        <f t="shared" si="21"/>
        <v>0.16705672217123052</v>
      </c>
      <c r="O52" s="71"/>
      <c r="P52" s="305">
        <f>P51/P39</f>
        <v>0.18732671216472513</v>
      </c>
      <c r="Q52" s="305">
        <f t="shared" ref="Q52:T52" si="22">Q51/Q39</f>
        <v>0.16836132665554598</v>
      </c>
      <c r="R52" s="305">
        <f t="shared" si="22"/>
        <v>0.15771593185894492</v>
      </c>
      <c r="S52" s="305">
        <f t="shared" si="22"/>
        <v>0.144056353753547</v>
      </c>
      <c r="T52" s="308">
        <f t="shared" si="22"/>
        <v>0.16394875878737455</v>
      </c>
      <c r="U52" s="49"/>
      <c r="V52" s="305">
        <f>V51/V39</f>
        <v>0.18801668161217347</v>
      </c>
      <c r="W52" s="305">
        <f t="shared" ref="W52" si="23">W51/W39</f>
        <v>0.18552879300594463</v>
      </c>
      <c r="X52" s="316">
        <f>AVERAGE(R52,L52,F52)</f>
        <v>0.16512270308440061</v>
      </c>
      <c r="Y52" s="316">
        <f>AVERAGE(S52,M52,G52)</f>
        <v>0.1549602723377044</v>
      </c>
      <c r="Z52" s="734">
        <f>Z51/Z39</f>
        <v>0.17289416372878466</v>
      </c>
      <c r="AA52" s="71"/>
      <c r="AB52" s="316">
        <f>V52-1%</f>
        <v>0.17801668161217346</v>
      </c>
      <c r="AC52" s="316">
        <f>W52-1%</f>
        <v>0.17552879300594462</v>
      </c>
      <c r="AD52" s="316">
        <f>X52-1%</f>
        <v>0.1551227030844006</v>
      </c>
      <c r="AE52" s="316">
        <f>Y52-1%</f>
        <v>0.14496027233770439</v>
      </c>
      <c r="AF52" s="734">
        <f>AF51/AF39</f>
        <v>0.1628695355056915</v>
      </c>
      <c r="AG52" s="71"/>
      <c r="AH52" s="316">
        <f>AF52-1%</f>
        <v>0.15286953550569149</v>
      </c>
      <c r="AI52" s="72"/>
      <c r="AJ52" s="316">
        <f>AH52-1%</f>
        <v>0.14286953550569148</v>
      </c>
      <c r="AL52" s="316">
        <v>0.14000000000000001</v>
      </c>
    </row>
    <row r="53" spans="2:45" s="54" customFormat="1" ht="14.25" customHeight="1">
      <c r="B53" s="29"/>
      <c r="C53" s="21"/>
      <c r="D53" s="46"/>
      <c r="E53" s="46"/>
      <c r="F53" s="46"/>
      <c r="G53" s="46"/>
      <c r="H53" s="66"/>
      <c r="I53" s="48"/>
      <c r="J53" s="46"/>
      <c r="K53" s="46"/>
      <c r="L53" s="46"/>
      <c r="M53" s="46"/>
      <c r="N53" s="66"/>
      <c r="O53" s="71"/>
      <c r="P53" s="46"/>
      <c r="Q53" s="46"/>
      <c r="R53" s="46"/>
      <c r="S53" s="46"/>
      <c r="T53" s="66"/>
      <c r="U53" s="49"/>
      <c r="V53" s="46"/>
      <c r="W53" s="46"/>
      <c r="X53" s="50"/>
      <c r="Y53" s="50"/>
      <c r="Z53" s="66"/>
      <c r="AA53" s="71"/>
      <c r="AB53" s="50"/>
      <c r="AC53" s="50"/>
      <c r="AD53" s="50"/>
      <c r="AE53" s="50"/>
      <c r="AF53" s="66"/>
      <c r="AG53" s="71"/>
      <c r="AH53" s="68"/>
      <c r="AI53" s="72"/>
      <c r="AJ53" s="68"/>
    </row>
    <row r="54" spans="2:45" s="54" customFormat="1" ht="14.25" customHeight="1">
      <c r="B54" s="28" t="s">
        <v>405</v>
      </c>
      <c r="C54" s="23"/>
      <c r="D54" s="50">
        <f>IS!P29</f>
        <v>0</v>
      </c>
      <c r="E54" s="50">
        <f>IS!Q29</f>
        <v>0</v>
      </c>
      <c r="F54" s="50">
        <f>IS!R29</f>
        <v>0</v>
      </c>
      <c r="G54" s="50">
        <f>IS!S29</f>
        <v>0</v>
      </c>
      <c r="H54" s="68">
        <f>IS!T29</f>
        <v>48900</v>
      </c>
      <c r="I54" s="48"/>
      <c r="J54" s="50">
        <f>IS!V29</f>
        <v>0</v>
      </c>
      <c r="K54" s="50">
        <f>IS!W29</f>
        <v>0</v>
      </c>
      <c r="L54" s="50">
        <f>IS!X29</f>
        <v>0</v>
      </c>
      <c r="M54" s="50">
        <f>IS!Y29</f>
        <v>0</v>
      </c>
      <c r="N54" s="68">
        <f>IS!Z29</f>
        <v>53100</v>
      </c>
      <c r="O54" s="71"/>
      <c r="P54" s="50">
        <f>IS!AB29</f>
        <v>0</v>
      </c>
      <c r="Q54" s="50">
        <f>IS!AC29</f>
        <v>0</v>
      </c>
      <c r="R54" s="50">
        <f>IS!AD29</f>
        <v>0</v>
      </c>
      <c r="S54" s="50">
        <f>IS!AE29</f>
        <v>0</v>
      </c>
      <c r="T54" s="68">
        <f>IS!AF29</f>
        <v>57700</v>
      </c>
      <c r="U54" s="49"/>
      <c r="V54" s="50">
        <f>IS!AH29</f>
        <v>0</v>
      </c>
      <c r="W54" s="50">
        <f>IS!AI29</f>
        <v>0</v>
      </c>
      <c r="X54" s="46">
        <f>Z54/2</f>
        <v>29459.265969741838</v>
      </c>
      <c r="Y54" s="46">
        <f>Z54/2</f>
        <v>29459.265969741838</v>
      </c>
      <c r="Z54" s="57">
        <f>Z55*Z48</f>
        <v>58918.531939483677</v>
      </c>
      <c r="AA54" s="71"/>
      <c r="AB54" s="46">
        <f t="shared" ref="AB54:AE54" si="24">AB55*AB48</f>
        <v>14634.883455068879</v>
      </c>
      <c r="AC54" s="46">
        <f t="shared" si="24"/>
        <v>15274.43075650402</v>
      </c>
      <c r="AD54" s="46">
        <f t="shared" si="24"/>
        <v>15243.540898657273</v>
      </c>
      <c r="AE54" s="46">
        <f t="shared" si="24"/>
        <v>16887.270489209957</v>
      </c>
      <c r="AF54" s="57">
        <f>SUM(AB54:AE54)</f>
        <v>62040.125599440129</v>
      </c>
      <c r="AG54" s="71"/>
      <c r="AH54" s="57">
        <f t="shared" ref="AH54:AJ54" si="25">AH55*AH48</f>
        <v>66377.706853137221</v>
      </c>
      <c r="AI54" s="72"/>
      <c r="AJ54" s="57">
        <f t="shared" si="25"/>
        <v>70828.57405007031</v>
      </c>
      <c r="AL54" s="57">
        <f>AL55*AL48</f>
        <v>78286.093852533537</v>
      </c>
      <c r="AS54" s="312"/>
    </row>
    <row r="55" spans="2:45" s="54" customFormat="1" ht="14.25" customHeight="1">
      <c r="B55" s="31" t="s">
        <v>406</v>
      </c>
      <c r="C55" s="21"/>
      <c r="D55" s="305">
        <f>D54/D48</f>
        <v>0</v>
      </c>
      <c r="E55" s="305">
        <f t="shared" ref="E55:G55" si="26">E54/E48</f>
        <v>0</v>
      </c>
      <c r="F55" s="305">
        <f t="shared" si="26"/>
        <v>0</v>
      </c>
      <c r="G55" s="305">
        <f t="shared" si="26"/>
        <v>0</v>
      </c>
      <c r="H55" s="308">
        <f>H54/H48</f>
        <v>3.2699100072620085E-2</v>
      </c>
      <c r="I55" s="48"/>
      <c r="J55" s="305">
        <f>J54/J48</f>
        <v>0</v>
      </c>
      <c r="K55" s="305">
        <f t="shared" ref="K55" si="27">K54/K48</f>
        <v>0</v>
      </c>
      <c r="L55" s="305">
        <f t="shared" ref="L55" si="28">L54/L48</f>
        <v>0</v>
      </c>
      <c r="M55" s="305">
        <f t="shared" ref="M55" si="29">M54/M48</f>
        <v>0</v>
      </c>
      <c r="N55" s="308">
        <f>N54/N48</f>
        <v>3.3455942115549642E-2</v>
      </c>
      <c r="O55" s="86"/>
      <c r="P55" s="305">
        <f>P54/P48</f>
        <v>0</v>
      </c>
      <c r="Q55" s="305">
        <f t="shared" ref="Q55" si="30">Q54/Q48</f>
        <v>0</v>
      </c>
      <c r="R55" s="305">
        <f t="shared" ref="R55" si="31">R54/R48</f>
        <v>0</v>
      </c>
      <c r="S55" s="305">
        <f t="shared" ref="S55" si="32">S54/S48</f>
        <v>0</v>
      </c>
      <c r="T55" s="308">
        <f>T54/T48</f>
        <v>3.7760074970436541E-2</v>
      </c>
      <c r="U55" s="82"/>
      <c r="V55" s="305">
        <f>V54/V48</f>
        <v>0</v>
      </c>
      <c r="W55" s="305">
        <f t="shared" ref="W55" si="33">W54/W48</f>
        <v>0</v>
      </c>
      <c r="X55" s="316">
        <f>X54/X48</f>
        <v>8.2086894185735476E-2</v>
      </c>
      <c r="Y55" s="316">
        <f t="shared" ref="Y55" si="34">Y54/Y48</f>
        <v>7.4230829390320135E-2</v>
      </c>
      <c r="Z55" s="734">
        <f>4%</f>
        <v>0.04</v>
      </c>
      <c r="AA55" s="71"/>
      <c r="AB55" s="316">
        <v>0.04</v>
      </c>
      <c r="AC55" s="316">
        <v>0.04</v>
      </c>
      <c r="AD55" s="316">
        <v>0.04</v>
      </c>
      <c r="AE55" s="316">
        <v>0.04</v>
      </c>
      <c r="AF55" s="306">
        <f>AF54/AF48</f>
        <v>4.0000000000000008E-2</v>
      </c>
      <c r="AG55" s="71"/>
      <c r="AH55" s="316">
        <f>AF55</f>
        <v>4.0000000000000008E-2</v>
      </c>
      <c r="AI55" s="72"/>
      <c r="AJ55" s="316">
        <f>AF55</f>
        <v>4.0000000000000008E-2</v>
      </c>
      <c r="AL55" s="316">
        <v>4.2000000000000003E-2</v>
      </c>
    </row>
    <row r="56" spans="2:45" s="54" customFormat="1" ht="14.25" customHeight="1">
      <c r="B56" s="31"/>
      <c r="C56" s="23"/>
      <c r="D56" s="305"/>
      <c r="E56" s="305"/>
      <c r="F56" s="305"/>
      <c r="G56" s="305"/>
      <c r="H56" s="308"/>
      <c r="I56" s="48"/>
      <c r="J56" s="305"/>
      <c r="K56" s="305"/>
      <c r="L56" s="305"/>
      <c r="M56" s="305"/>
      <c r="N56" s="308"/>
      <c r="O56" s="71"/>
      <c r="P56" s="305"/>
      <c r="Q56" s="305"/>
      <c r="R56" s="305"/>
      <c r="S56" s="305"/>
      <c r="T56" s="308"/>
      <c r="U56" s="49"/>
      <c r="V56" s="305"/>
      <c r="W56" s="305"/>
      <c r="X56" s="50"/>
      <c r="Y56" s="50"/>
      <c r="Z56" s="66"/>
      <c r="AA56" s="71"/>
      <c r="AB56" s="50"/>
      <c r="AC56" s="50"/>
      <c r="AD56" s="50"/>
      <c r="AE56" s="50"/>
      <c r="AF56" s="66"/>
      <c r="AG56" s="71"/>
      <c r="AH56" s="68"/>
      <c r="AI56" s="72"/>
      <c r="AJ56" s="68"/>
    </row>
    <row r="57" spans="2:45" s="54" customFormat="1" ht="14.25" customHeight="1">
      <c r="B57" s="28" t="s">
        <v>407</v>
      </c>
      <c r="C57" s="21"/>
      <c r="D57" s="50">
        <f>IS!P28</f>
        <v>46742</v>
      </c>
      <c r="E57" s="50">
        <f>IS!Q28</f>
        <v>29035</v>
      </c>
      <c r="F57" s="50">
        <f>IS!R28</f>
        <v>31140</v>
      </c>
      <c r="G57" s="50">
        <f>IS!S28</f>
        <v>31144</v>
      </c>
      <c r="H57" s="68">
        <f>IS!T28</f>
        <v>138061</v>
      </c>
      <c r="I57" s="48"/>
      <c r="J57" s="50">
        <f>IS!V28</f>
        <v>34947</v>
      </c>
      <c r="K57" s="50">
        <f>IS!W28</f>
        <v>30830</v>
      </c>
      <c r="L57" s="50">
        <f>IS!X28</f>
        <v>33281</v>
      </c>
      <c r="M57" s="50">
        <f>IS!Y28</f>
        <v>33546</v>
      </c>
      <c r="N57" s="68">
        <f>IS!Z28</f>
        <v>132604</v>
      </c>
      <c r="O57" s="86"/>
      <c r="P57" s="50">
        <f>IS!AB28</f>
        <v>32410</v>
      </c>
      <c r="Q57" s="50">
        <f>IS!AC28</f>
        <v>31646</v>
      </c>
      <c r="R57" s="50">
        <f>IS!AD28</f>
        <v>30780</v>
      </c>
      <c r="S57" s="50">
        <f>IS!AE28</f>
        <v>32338</v>
      </c>
      <c r="T57" s="68">
        <f>IS!AF28</f>
        <v>127174</v>
      </c>
      <c r="U57" s="82"/>
      <c r="V57" s="50">
        <f>IS!AH28</f>
        <v>32145</v>
      </c>
      <c r="W57" s="50">
        <f>IS!AI28</f>
        <v>32190</v>
      </c>
      <c r="X57" s="46">
        <f>X60+X63</f>
        <v>33797.553078141929</v>
      </c>
      <c r="Y57" s="46">
        <f>Y60+Y63</f>
        <v>32460.216871197343</v>
      </c>
      <c r="Z57" s="57">
        <f>SUM(V57:Y57)</f>
        <v>130592.76994933927</v>
      </c>
      <c r="AA57" s="185"/>
      <c r="AB57" s="46">
        <f t="shared" ref="AB57:AE57" si="35">AB60+AB63</f>
        <v>32539.462286277005</v>
      </c>
      <c r="AC57" s="46">
        <f t="shared" si="35"/>
        <v>29957.43608632675</v>
      </c>
      <c r="AD57" s="46">
        <f t="shared" si="35"/>
        <v>32912.663468501618</v>
      </c>
      <c r="AE57" s="46">
        <f t="shared" si="35"/>
        <v>31679.008479303222</v>
      </c>
      <c r="AF57" s="57">
        <f>SUM(AB57:AE57)</f>
        <v>127088.57032040859</v>
      </c>
      <c r="AG57" s="185"/>
      <c r="AH57" s="66">
        <f>AH60+AH63</f>
        <v>128747.26328553271</v>
      </c>
      <c r="AI57" s="185"/>
      <c r="AJ57" s="66">
        <f>AJ60+AJ63</f>
        <v>126491.34186242953</v>
      </c>
      <c r="AK57" s="66"/>
      <c r="AL57" s="66">
        <f>AL60+AL63</f>
        <v>125143.03165522389</v>
      </c>
    </row>
    <row r="58" spans="2:45" s="54" customFormat="1" ht="14.25" customHeight="1">
      <c r="B58" s="31" t="s">
        <v>408</v>
      </c>
      <c r="C58" s="23"/>
      <c r="D58" s="305">
        <f>D57/(D87+D90)</f>
        <v>1.0493981821986218E-2</v>
      </c>
      <c r="E58" s="305">
        <f>E57/(E87+E90)</f>
        <v>6.5337577106667107E-3</v>
      </c>
      <c r="F58" s="305">
        <f>F57/(F87+F90)</f>
        <v>6.9305220726222569E-3</v>
      </c>
      <c r="G58" s="305">
        <f>G57/(G87+G90)</f>
        <v>6.6982192423682583E-3</v>
      </c>
      <c r="H58" s="308">
        <f>H57/(H87+H90)</f>
        <v>2.9693130195883769E-2</v>
      </c>
      <c r="I58" s="48"/>
      <c r="J58" s="305">
        <f>J57/(J87+J90)</f>
        <v>7.4641864502386504E-3</v>
      </c>
      <c r="K58" s="305">
        <f>K57/(K87+K90)</f>
        <v>6.5238998404681123E-3</v>
      </c>
      <c r="L58" s="305">
        <f>L57/(L87+L90)</f>
        <v>7.0408620057899199E-3</v>
      </c>
      <c r="M58" s="305">
        <f>M57/(M87+M90)</f>
        <v>7.1522321462836793E-3</v>
      </c>
      <c r="N58" s="308">
        <f>N57/(N87+N90)</f>
        <v>2.8272061990276067E-2</v>
      </c>
      <c r="O58" s="71"/>
      <c r="P58" s="305">
        <f>P57/(P87+P90)</f>
        <v>6.9684912818605291E-3</v>
      </c>
      <c r="Q58" s="305">
        <f>Q57/(Q87+Q90)</f>
        <v>6.8389079098671443E-3</v>
      </c>
      <c r="R58" s="305">
        <f>R57/(R87+R90)</f>
        <v>6.5933684594074067E-3</v>
      </c>
      <c r="S58" s="305">
        <f>S57/(S87+S90)</f>
        <v>6.9466045028123242E-3</v>
      </c>
      <c r="T58" s="308">
        <f>T57/(T87+T90)</f>
        <v>2.7318556529180981E-2</v>
      </c>
      <c r="U58" s="49"/>
      <c r="V58" s="305">
        <f>V57/(V87+V90)</f>
        <v>6.8388233266742831E-3</v>
      </c>
      <c r="W58" s="305">
        <f>W57/(W87+W90)</f>
        <v>6.7388971488121828E-3</v>
      </c>
      <c r="X58" s="305">
        <f>X57/( X87+X90)</f>
        <v>7.0972772406842433E-3</v>
      </c>
      <c r="Y58" s="305">
        <f>Y57/( Y87+Y90)</f>
        <v>6.8331864723083589E-3</v>
      </c>
      <c r="Z58" s="308">
        <f>Z57/( Z87+Z90)</f>
        <v>2.7491028557819566E-2</v>
      </c>
      <c r="AA58" s="71"/>
      <c r="AB58" s="305">
        <f t="shared" ref="AB58:AE58" si="36">AB57/( AB87+AB90)</f>
        <v>6.8670299640296991E-3</v>
      </c>
      <c r="AC58" s="305">
        <f t="shared" si="36"/>
        <v>6.3323436646039993E-3</v>
      </c>
      <c r="AD58" s="305">
        <f t="shared" si="36"/>
        <v>6.9734056778144281E-3</v>
      </c>
      <c r="AE58" s="305">
        <f t="shared" si="36"/>
        <v>6.7232113163290278E-3</v>
      </c>
      <c r="AF58" s="308">
        <f>AF57/( AF87+AF90)</f>
        <v>2.6971908376251106E-2</v>
      </c>
      <c r="AG58" s="71"/>
      <c r="AH58" s="308">
        <f>AH57/( AH87+AH90)</f>
        <v>2.7486805043701788E-2</v>
      </c>
      <c r="AI58" s="72"/>
      <c r="AJ58" s="308">
        <f>AJ57/( AJ87+AJ90)</f>
        <v>2.7079270608876507E-2</v>
      </c>
      <c r="AL58" s="308">
        <f>AL57/( AL87+AL90)</f>
        <v>2.6830492718151334E-2</v>
      </c>
    </row>
    <row r="59" spans="2:45" s="54" customFormat="1" ht="14.25" customHeight="1">
      <c r="B59" s="31"/>
      <c r="C59" s="23"/>
      <c r="D59" s="305"/>
      <c r="E59" s="305"/>
      <c r="F59" s="305"/>
      <c r="G59" s="305"/>
      <c r="H59" s="308"/>
      <c r="I59" s="48"/>
      <c r="J59" s="305"/>
      <c r="K59" s="305"/>
      <c r="L59" s="305"/>
      <c r="M59" s="305"/>
      <c r="N59" s="308"/>
      <c r="O59" s="71"/>
      <c r="P59" s="305"/>
      <c r="Q59" s="305"/>
      <c r="R59" s="305"/>
      <c r="S59" s="305"/>
      <c r="T59" s="308"/>
      <c r="U59" s="49"/>
      <c r="V59" s="305"/>
      <c r="W59" s="305"/>
      <c r="X59" s="50"/>
      <c r="Y59" s="50"/>
      <c r="Z59" s="66"/>
      <c r="AA59" s="71"/>
      <c r="AB59" s="50"/>
      <c r="AC59" s="50"/>
      <c r="AD59" s="50"/>
      <c r="AE59" s="50"/>
      <c r="AF59" s="66"/>
      <c r="AG59" s="71"/>
      <c r="AH59" s="68"/>
      <c r="AI59" s="72"/>
      <c r="AJ59" s="68"/>
    </row>
    <row r="60" spans="2:45" s="54" customFormat="1" ht="14.25" customHeight="1">
      <c r="B60" s="301" t="s">
        <v>409</v>
      </c>
      <c r="C60" s="23"/>
      <c r="D60" s="50">
        <f>IS!P64</f>
        <v>11372</v>
      </c>
      <c r="E60" s="50">
        <f>IS!Q64</f>
        <v>10574</v>
      </c>
      <c r="F60" s="50">
        <f>IS!R64</f>
        <v>9479</v>
      </c>
      <c r="G60" s="50">
        <f>IS!S64</f>
        <v>13011</v>
      </c>
      <c r="H60" s="68">
        <f>IS!T64</f>
        <v>44436</v>
      </c>
      <c r="I60" s="48"/>
      <c r="J60" s="50">
        <f>IS!V64</f>
        <v>11977</v>
      </c>
      <c r="K60" s="50">
        <f>IS!W64</f>
        <v>12219</v>
      </c>
      <c r="L60" s="50">
        <f>IS!X64</f>
        <v>12588</v>
      </c>
      <c r="M60" s="50">
        <f>IS!Y64</f>
        <v>13328</v>
      </c>
      <c r="N60" s="68">
        <f>IS!Z64</f>
        <v>50112</v>
      </c>
      <c r="O60" s="71"/>
      <c r="P60" s="50">
        <f>IS!AB64</f>
        <v>13273</v>
      </c>
      <c r="Q60" s="50">
        <f>IS!AC64</f>
        <v>13151</v>
      </c>
      <c r="R60" s="50">
        <f>IS!AD64</f>
        <v>13975</v>
      </c>
      <c r="S60" s="50">
        <f>IS!AE64</f>
        <v>14781</v>
      </c>
      <c r="T60" s="68">
        <f>IS!AF64</f>
        <v>55180</v>
      </c>
      <c r="U60" s="49"/>
      <c r="V60" s="50">
        <f>IS!AH64</f>
        <v>14356</v>
      </c>
      <c r="W60" s="50">
        <f>IS!AI64</f>
        <v>14300</v>
      </c>
      <c r="X60" s="46">
        <f>X61*W87</f>
        <v>15003.356867475886</v>
      </c>
      <c r="Y60" s="46">
        <f>Y61*X87</f>
        <v>15169.736332541874</v>
      </c>
      <c r="Z60" s="57">
        <f>SUM(V60:Y60)</f>
        <v>58829.093200017756</v>
      </c>
      <c r="AA60" s="71"/>
      <c r="AB60" s="46">
        <f>AB61*Y87</f>
        <v>14237.808945171344</v>
      </c>
      <c r="AC60" s="46">
        <f>AC61*AB87</f>
        <v>13866.3462541587</v>
      </c>
      <c r="AD60" s="46">
        <f t="shared" ref="AD60:AE60" si="37">AD61*AC87</f>
        <v>14184.36145311154</v>
      </c>
      <c r="AE60" s="46">
        <f t="shared" si="37"/>
        <v>14453.888178074154</v>
      </c>
      <c r="AF60" s="57">
        <f>SUM(AB60:AE60)</f>
        <v>56742.404830515734</v>
      </c>
      <c r="AG60" s="71"/>
      <c r="AH60" s="57">
        <f>AH61*AF87</f>
        <v>57537.32527489018</v>
      </c>
      <c r="AI60" s="72"/>
      <c r="AJ60" s="57">
        <f>AJ61*AH87</f>
        <v>55430.440644505143</v>
      </c>
      <c r="AL60" s="57">
        <f>AL61*AJ87</f>
        <v>54093.360232202984</v>
      </c>
    </row>
    <row r="61" spans="2:45" s="54" customFormat="1" ht="14.25" customHeight="1">
      <c r="B61" s="302" t="s">
        <v>410</v>
      </c>
      <c r="C61" s="23"/>
      <c r="D61" s="305">
        <f>D60/D87</f>
        <v>2.9724968241438259E-2</v>
      </c>
      <c r="E61" s="305">
        <f>E60/E87</f>
        <v>2.5315546532339927E-2</v>
      </c>
      <c r="F61" s="305">
        <f>F60/F87</f>
        <v>2.2358926941339365E-2</v>
      </c>
      <c r="G61" s="305">
        <f>G60/G87</f>
        <v>2.9335239263361051E-2</v>
      </c>
      <c r="H61" s="308">
        <f>H60/H87</f>
        <v>0.10018758680398983</v>
      </c>
      <c r="I61" s="48"/>
      <c r="J61" s="305">
        <f>J60/J87</f>
        <v>2.5939514172846352E-2</v>
      </c>
      <c r="K61" s="305">
        <f>K60/K87</f>
        <v>2.5294784956030672E-2</v>
      </c>
      <c r="L61" s="305">
        <f>L60/L87</f>
        <v>2.5232976059943353E-2</v>
      </c>
      <c r="M61" s="305">
        <f>M60/M87</f>
        <v>2.6087399050299668E-2</v>
      </c>
      <c r="N61" s="308">
        <f>N60/N87</f>
        <v>9.808611503666094E-2</v>
      </c>
      <c r="O61" s="71"/>
      <c r="P61" s="305">
        <f>P60/P87</f>
        <v>2.6120754122879522E-2</v>
      </c>
      <c r="Q61" s="305">
        <f>Q60/Q87</f>
        <v>2.6059077281581102E-2</v>
      </c>
      <c r="R61" s="305">
        <f>R60/R87</f>
        <v>2.7372173419122327E-2</v>
      </c>
      <c r="S61" s="305">
        <f>S60/S87</f>
        <v>2.8102630403163707E-2</v>
      </c>
      <c r="T61" s="308">
        <f>T60/T87</f>
        <v>0.10491192379721084</v>
      </c>
      <c r="U61" s="49"/>
      <c r="V61" s="305">
        <f>V60/V87</f>
        <v>2.6066935882164959E-2</v>
      </c>
      <c r="W61" s="305">
        <f>W60/W87</f>
        <v>2.5069510916632481E-2</v>
      </c>
      <c r="X61" s="316">
        <f>AVERAGE(R61,L61)</f>
        <v>2.630257473953284E-2</v>
      </c>
      <c r="Y61" s="316">
        <f t="shared" ref="Y61" si="38">AVERAGE(S61,M61)</f>
        <v>2.7095014726731689E-2</v>
      </c>
      <c r="Z61" s="306">
        <f>Z60/Z87</f>
        <v>0.10760439788025836</v>
      </c>
      <c r="AA61" s="71"/>
      <c r="AB61" s="316">
        <f>AVERAGE(V61,P61,J61)</f>
        <v>2.6042401392630279E-2</v>
      </c>
      <c r="AC61" s="316">
        <f t="shared" ref="AC61:AE61" si="39">AVERAGE(W61,Q61,K61)</f>
        <v>2.547445771808142E-2</v>
      </c>
      <c r="AD61" s="316">
        <f t="shared" si="39"/>
        <v>2.6302574739532836E-2</v>
      </c>
      <c r="AE61" s="316">
        <f t="shared" si="39"/>
        <v>2.7095014726731689E-2</v>
      </c>
      <c r="AF61" s="306">
        <f>AF60/AF87</f>
        <v>0.10848026913897318</v>
      </c>
      <c r="AG61" s="71"/>
      <c r="AH61" s="316">
        <v>0.11</v>
      </c>
      <c r="AI61" s="72"/>
      <c r="AJ61" s="316">
        <v>0.11</v>
      </c>
      <c r="AL61" s="316">
        <v>0.11</v>
      </c>
    </row>
    <row r="62" spans="2:45" s="54" customFormat="1" ht="14.25" customHeight="1">
      <c r="B62" s="31"/>
      <c r="C62" s="23"/>
      <c r="D62" s="305"/>
      <c r="E62" s="305"/>
      <c r="F62" s="305"/>
      <c r="G62" s="305"/>
      <c r="H62" s="308"/>
      <c r="I62" s="48"/>
      <c r="J62" s="305"/>
      <c r="K62" s="305"/>
      <c r="L62" s="305"/>
      <c r="M62" s="305"/>
      <c r="N62" s="308"/>
      <c r="O62" s="71"/>
      <c r="P62" s="305"/>
      <c r="Q62" s="305"/>
      <c r="R62" s="305"/>
      <c r="S62" s="305"/>
      <c r="T62" s="308"/>
      <c r="U62" s="49"/>
      <c r="V62" s="305"/>
      <c r="W62" s="305"/>
      <c r="X62" s="50"/>
      <c r="Y62" s="50"/>
      <c r="Z62" s="66"/>
      <c r="AA62" s="71"/>
      <c r="AB62" s="50"/>
      <c r="AC62" s="50"/>
      <c r="AD62" s="50"/>
      <c r="AE62" s="50"/>
      <c r="AF62" s="66"/>
      <c r="AG62" s="71"/>
      <c r="AH62" s="68"/>
      <c r="AI62" s="72"/>
      <c r="AJ62" s="68"/>
    </row>
    <row r="63" spans="2:45" s="54" customFormat="1" ht="14.25" customHeight="1">
      <c r="B63" s="301" t="s">
        <v>411</v>
      </c>
      <c r="C63" s="23"/>
      <c r="D63" s="50">
        <f>IS!P65</f>
        <v>33565</v>
      </c>
      <c r="E63" s="50">
        <f>IS!Q65</f>
        <v>16488</v>
      </c>
      <c r="F63" s="50">
        <f>IS!R65</f>
        <v>21661</v>
      </c>
      <c r="G63" s="50">
        <f>IS!S65</f>
        <v>16346</v>
      </c>
      <c r="H63" s="68">
        <f>IS!T65</f>
        <v>88060</v>
      </c>
      <c r="I63" s="48"/>
      <c r="J63" s="50">
        <f>IS!V65</f>
        <v>21183</v>
      </c>
      <c r="K63" s="50">
        <f>IS!W65</f>
        <v>16520</v>
      </c>
      <c r="L63" s="50">
        <f>IS!X65</f>
        <v>20693</v>
      </c>
      <c r="M63" s="50">
        <f>IS!Y65</f>
        <v>18432</v>
      </c>
      <c r="N63" s="68">
        <f>IS!Z65</f>
        <v>76828</v>
      </c>
      <c r="O63" s="71"/>
      <c r="P63" s="50">
        <f>IS!AB65</f>
        <v>17350</v>
      </c>
      <c r="Q63" s="50">
        <f>IS!AC65</f>
        <v>16288</v>
      </c>
      <c r="R63" s="50">
        <f>IS!AD65</f>
        <v>16805</v>
      </c>
      <c r="S63" s="50">
        <f>IS!AE65</f>
        <v>15770</v>
      </c>
      <c r="T63" s="68">
        <f>IS!AF65</f>
        <v>66213</v>
      </c>
      <c r="U63" s="49"/>
      <c r="V63" s="50">
        <f>IS!AH65</f>
        <v>15992</v>
      </c>
      <c r="W63" s="50">
        <f>IS!AI65</f>
        <v>15416</v>
      </c>
      <c r="X63" s="46">
        <f>X64*W90</f>
        <v>18794.196210666043</v>
      </c>
      <c r="Y63" s="46">
        <f>Y64*X90</f>
        <v>17290.480538655469</v>
      </c>
      <c r="Z63" s="57">
        <f>SUM(V63:Y63)</f>
        <v>67492.676749321516</v>
      </c>
      <c r="AA63" s="71"/>
      <c r="AB63" s="46">
        <f>AB64*Y90</f>
        <v>18301.653341105659</v>
      </c>
      <c r="AC63" s="46">
        <f t="shared" ref="AC63:AE63" si="40">AC64*AB90</f>
        <v>16091.089832168051</v>
      </c>
      <c r="AD63" s="46">
        <f t="shared" si="40"/>
        <v>18728.30201539008</v>
      </c>
      <c r="AE63" s="46">
        <f t="shared" si="40"/>
        <v>17225.120301229068</v>
      </c>
      <c r="AF63" s="57">
        <f>SUM(AB63:AE63)</f>
        <v>70346.165489892854</v>
      </c>
      <c r="AG63" s="71"/>
      <c r="AH63" s="57">
        <f>AH64*AF90</f>
        <v>71209.938010642523</v>
      </c>
      <c r="AI63" s="72"/>
      <c r="AJ63" s="57">
        <f>AJ64*AH90</f>
        <v>71060.901217924387</v>
      </c>
      <c r="AL63" s="57">
        <f>AL64*AJ90</f>
        <v>71049.671423020918</v>
      </c>
    </row>
    <row r="64" spans="2:45" s="54" customFormat="1" ht="14.25" customHeight="1">
      <c r="B64" s="302" t="s">
        <v>412</v>
      </c>
      <c r="C64" s="23"/>
      <c r="D64" s="305">
        <f>D63/D90</f>
        <v>8.2436920344297251E-3</v>
      </c>
      <c r="E64" s="305">
        <f>E63/E90</f>
        <v>4.0952213476079915E-3</v>
      </c>
      <c r="F64" s="305">
        <f>F63/F90</f>
        <v>5.3231318721691451E-3</v>
      </c>
      <c r="G64" s="305">
        <f>G63/G90</f>
        <v>3.8862918461098806E-3</v>
      </c>
      <c r="H64" s="308">
        <f>H63/H90</f>
        <v>2.0936428482101803E-2</v>
      </c>
      <c r="I64" s="48"/>
      <c r="J64" s="305">
        <f>J63/J90</f>
        <v>5.0193958669067481E-3</v>
      </c>
      <c r="K64" s="305">
        <f>K63/K90</f>
        <v>3.8938047256930064E-3</v>
      </c>
      <c r="L64" s="305">
        <f>L63/L90</f>
        <v>4.8943167694150734E-3</v>
      </c>
      <c r="M64" s="305">
        <f>M63/M90</f>
        <v>4.4102171945831275E-3</v>
      </c>
      <c r="N64" s="308">
        <f>N63/N90</f>
        <v>1.8382604526119388E-2</v>
      </c>
      <c r="O64" s="71"/>
      <c r="P64" s="305">
        <f>P63/P90</f>
        <v>4.1879938543905749E-3</v>
      </c>
      <c r="Q64" s="305">
        <f>Q63/Q90</f>
        <v>3.9508223522237689E-3</v>
      </c>
      <c r="R64" s="305">
        <f>R63/R90</f>
        <v>4.0418281714341238E-3</v>
      </c>
      <c r="S64" s="305">
        <f>S63/S90</f>
        <v>3.8190871534093647E-3</v>
      </c>
      <c r="T64" s="308">
        <f>T63/T90</f>
        <v>1.6035080386093487E-2</v>
      </c>
      <c r="U64" s="49"/>
      <c r="V64" s="305">
        <f>V63/V90</f>
        <v>3.8538338561906905E-3</v>
      </c>
      <c r="W64" s="305">
        <f>W63/W90</f>
        <v>3.664950840780043E-3</v>
      </c>
      <c r="X64" s="316">
        <f>AVERAGE(R64,L64)</f>
        <v>4.4680724704245986E-3</v>
      </c>
      <c r="Y64" s="316">
        <f>AVERAGE(S64,M64)</f>
        <v>4.1146521739962461E-3</v>
      </c>
      <c r="Z64" s="306">
        <f>Z63/Z90</f>
        <v>1.6055688602480449E-2</v>
      </c>
      <c r="AA64" s="71"/>
      <c r="AB64" s="316">
        <f>AVERAGE(V64,P64,J64)</f>
        <v>4.3537411924960039E-3</v>
      </c>
      <c r="AC64" s="316">
        <f t="shared" ref="AC64:AE64" si="41">AVERAGE(W64,Q64,K64)</f>
        <v>3.8365259728989393E-3</v>
      </c>
      <c r="AD64" s="316">
        <f t="shared" si="41"/>
        <v>4.4680724704245986E-3</v>
      </c>
      <c r="AE64" s="316">
        <f t="shared" si="41"/>
        <v>4.114652173996247E-3</v>
      </c>
      <c r="AF64" s="306">
        <f>AF63/AF90</f>
        <v>1.6793790961444878E-2</v>
      </c>
      <c r="AG64" s="71"/>
      <c r="AH64" s="316">
        <v>1.7000000000000001E-2</v>
      </c>
      <c r="AI64" s="72"/>
      <c r="AJ64" s="316">
        <v>1.7000000000000001E-2</v>
      </c>
      <c r="AL64" s="316">
        <v>1.7000000000000001E-2</v>
      </c>
    </row>
    <row r="65" spans="2:38" s="54" customFormat="1" ht="14.25" customHeight="1">
      <c r="B65" s="31"/>
      <c r="C65" s="23"/>
      <c r="D65" s="46"/>
      <c r="E65" s="46"/>
      <c r="F65" s="46"/>
      <c r="G65" s="46"/>
      <c r="H65" s="66"/>
      <c r="I65" s="48"/>
      <c r="J65" s="46"/>
      <c r="K65" s="46"/>
      <c r="L65" s="46"/>
      <c r="M65" s="46"/>
      <c r="N65" s="66"/>
      <c r="O65" s="71"/>
      <c r="P65" s="46"/>
      <c r="Q65" s="46"/>
      <c r="R65" s="46"/>
      <c r="S65" s="46"/>
      <c r="T65" s="66"/>
      <c r="U65" s="49"/>
      <c r="V65" s="46"/>
      <c r="W65" s="46"/>
      <c r="X65" s="50"/>
      <c r="Y65" s="50"/>
      <c r="Z65" s="66"/>
      <c r="AA65" s="71"/>
      <c r="AB65" s="50"/>
      <c r="AC65" s="50"/>
      <c r="AD65" s="50"/>
      <c r="AE65" s="50"/>
      <c r="AF65" s="66"/>
      <c r="AG65" s="71"/>
      <c r="AH65" s="68"/>
      <c r="AI65" s="72"/>
      <c r="AJ65" s="68"/>
    </row>
    <row r="66" spans="2:38" s="54" customFormat="1" ht="14.25" customHeight="1">
      <c r="B66" s="39" t="s">
        <v>413</v>
      </c>
      <c r="C66" s="23"/>
      <c r="D66" s="50">
        <f>IS!P30+IS!P32</f>
        <v>-14250</v>
      </c>
      <c r="E66" s="50">
        <f>IS!Q30+IS!Q32</f>
        <v>2280</v>
      </c>
      <c r="F66" s="50">
        <f>IS!R30+IS!R32</f>
        <v>-3189</v>
      </c>
      <c r="G66" s="50">
        <f>IS!S30+IS!S32</f>
        <v>1138</v>
      </c>
      <c r="H66" s="68">
        <f>IS!T30+IS!T32</f>
        <v>-14021</v>
      </c>
      <c r="I66" s="48"/>
      <c r="J66" s="50">
        <f>IS!V30+IS!V32</f>
        <v>-1304</v>
      </c>
      <c r="K66" s="50">
        <f>IS!W30+IS!W32</f>
        <v>276</v>
      </c>
      <c r="L66" s="50">
        <f>IS!X30+IS!X32</f>
        <v>-111</v>
      </c>
      <c r="M66" s="50">
        <f>IS!Y30+IS!Y32</f>
        <v>7494</v>
      </c>
      <c r="N66" s="68">
        <f>IS!Z30+IS!Z32</f>
        <v>3236</v>
      </c>
      <c r="O66" s="71"/>
      <c r="P66" s="50">
        <f>IS!AB30+IS!AB32</f>
        <v>-1030</v>
      </c>
      <c r="Q66" s="50">
        <f>IS!AC30+IS!AC32</f>
        <v>1165</v>
      </c>
      <c r="R66" s="50">
        <f>IS!AD30+IS!AD32</f>
        <v>1169</v>
      </c>
      <c r="S66" s="50">
        <f>IS!AE30+IS!AE32</f>
        <v>-4046</v>
      </c>
      <c r="T66" s="68">
        <f>IS!AF30+IS!AF32</f>
        <v>-2230</v>
      </c>
      <c r="U66" s="49"/>
      <c r="V66" s="50">
        <f>IS!AH30+IS!AH32</f>
        <v>-5917</v>
      </c>
      <c r="W66" s="50">
        <f>IS!AI30+IS!AI32</f>
        <v>-5875</v>
      </c>
      <c r="X66" s="46">
        <f>X67*X$39</f>
        <v>537.91044742823283</v>
      </c>
      <c r="Y66" s="46">
        <f>Y67*Y$39</f>
        <v>1788.0293405655243</v>
      </c>
      <c r="Z66" s="57">
        <f>SUM(V66:Y66)</f>
        <v>-9466.0602120062431</v>
      </c>
      <c r="AA66" s="71"/>
      <c r="AB66" s="46">
        <f>AB67*AB$39</f>
        <v>-5462.4387847968865</v>
      </c>
      <c r="AC66" s="46">
        <f>AC67*AC$39</f>
        <v>-587.79973284339485</v>
      </c>
      <c r="AD66" s="46">
        <f>AD67*AD$39</f>
        <v>-376.859645023947</v>
      </c>
      <c r="AE66" s="46">
        <f>AE67*AE$39</f>
        <v>1695.5270005794375</v>
      </c>
      <c r="AF66" s="57">
        <f>SUM(AB66:AE66)</f>
        <v>-4731.5711620847906</v>
      </c>
      <c r="AG66" s="71"/>
      <c r="AH66" s="57">
        <f>AH67*AH$39</f>
        <v>-5768.7844495995478</v>
      </c>
      <c r="AI66" s="72"/>
      <c r="AJ66" s="57">
        <f>AJ67*AJ$39</f>
        <v>-6003.6122900994387</v>
      </c>
      <c r="AL66" s="57">
        <f>AL67*AL$39</f>
        <v>-6242.6736393694664</v>
      </c>
    </row>
    <row r="67" spans="2:38" s="54" customFormat="1" ht="14.25" customHeight="1">
      <c r="B67" s="31" t="s">
        <v>400</v>
      </c>
      <c r="C67" s="21"/>
      <c r="D67" s="305">
        <f>D66/D39</f>
        <v>-1.4326273077866561E-2</v>
      </c>
      <c r="E67" s="305">
        <f>E66/E39</f>
        <v>2.2494058312886433E-3</v>
      </c>
      <c r="F67" s="305">
        <f>F66/F39</f>
        <v>-3.2118976181195746E-3</v>
      </c>
      <c r="G67" s="305">
        <f>G66/G39</f>
        <v>1.1030284819788603E-3</v>
      </c>
      <c r="H67" s="308">
        <f>H66/H39</f>
        <v>-3.4766950345078286E-3</v>
      </c>
      <c r="I67" s="48"/>
      <c r="J67" s="305">
        <f>J66/J39</f>
        <v>-1.2944264221815454E-3</v>
      </c>
      <c r="K67" s="305">
        <f>K66/K39</f>
        <v>2.6538920865938062E-4</v>
      </c>
      <c r="L67" s="305">
        <f>L66/L39</f>
        <v>-1.1319011554569362E-4</v>
      </c>
      <c r="M67" s="305">
        <f>M66/M39</f>
        <v>7.4302779364172856E-3</v>
      </c>
      <c r="N67" s="308">
        <f>N66/N39</f>
        <v>8.0166377438466239E-4</v>
      </c>
      <c r="O67" s="86"/>
      <c r="P67" s="305">
        <f>P66/P39</f>
        <v>-1.111199815303487E-3</v>
      </c>
      <c r="Q67" s="305">
        <f>Q66/Q39</f>
        <v>1.1749328825894109E-3</v>
      </c>
      <c r="R67" s="305">
        <f>R66/R39</f>
        <v>1.2399117954962247E-3</v>
      </c>
      <c r="S67" s="305">
        <f>S66/S39</f>
        <v>-3.9906063926634389E-3</v>
      </c>
      <c r="T67" s="308">
        <f>T66/T39</f>
        <v>-5.7545981303491311E-4</v>
      </c>
      <c r="U67" s="82"/>
      <c r="V67" s="305">
        <f>V66/V39</f>
        <v>-6.5263884706720622E-3</v>
      </c>
      <c r="W67" s="305">
        <f>W66/W39</f>
        <v>-6.0080236516716623E-3</v>
      </c>
      <c r="X67" s="316">
        <f>AVERAGE(R67,L67)</f>
        <v>5.633608399752655E-4</v>
      </c>
      <c r="Y67" s="316">
        <f>AVERAGE(S67,M67)</f>
        <v>1.7198357718769233E-3</v>
      </c>
      <c r="Z67" s="306">
        <f>Z66/Z$39</f>
        <v>-2.4403596000357715E-3</v>
      </c>
      <c r="AA67" s="71"/>
      <c r="AB67" s="716">
        <f>AVERAGE(D67,J67,P67,V67)</f>
        <v>-5.8145719465059137E-3</v>
      </c>
      <c r="AC67" s="316">
        <f>AVERAGE(E67,K67,Q67,W67)</f>
        <v>-5.7957393228355689E-4</v>
      </c>
      <c r="AD67" s="316">
        <f>AVERAGE(F67,L67,R67,X67)</f>
        <v>-3.8045377454844453E-4</v>
      </c>
      <c r="AE67" s="316">
        <f>AVERAGE(G67,M67,S67,Y67)</f>
        <v>1.5656339494024073E-3</v>
      </c>
      <c r="AF67" s="306">
        <f>AF66/AF$39</f>
        <v>-1.1749178675406217E-3</v>
      </c>
      <c r="AG67" s="71"/>
      <c r="AH67" s="316">
        <f>AVERAGE($AF$67,$Z$67,$T$67,$N$67,$H$67)</f>
        <v>-1.3731537081468944E-3</v>
      </c>
      <c r="AI67" s="72"/>
      <c r="AJ67" s="316">
        <f>AVERAGE($AF$67,$Z$67,$T$67,$N$67,$H$67)</f>
        <v>-1.3731537081468944E-3</v>
      </c>
      <c r="AL67" s="316">
        <f>AVERAGE($AF$67,$Z$67,$T$67,$N$67,$H$67)</f>
        <v>-1.3731537081468944E-3</v>
      </c>
    </row>
    <row r="68" spans="2:38" s="54" customFormat="1" ht="14.25" customHeight="1">
      <c r="B68" s="39"/>
      <c r="C68" s="23"/>
      <c r="D68" s="46"/>
      <c r="E68" s="46"/>
      <c r="F68" s="46"/>
      <c r="G68" s="46"/>
      <c r="H68" s="66"/>
      <c r="I68" s="48"/>
      <c r="J68" s="46"/>
      <c r="K68" s="46"/>
      <c r="L68" s="46"/>
      <c r="M68" s="46"/>
      <c r="N68" s="66"/>
      <c r="O68" s="71"/>
      <c r="P68" s="46"/>
      <c r="Q68" s="46"/>
      <c r="R68" s="46"/>
      <c r="S68" s="46"/>
      <c r="T68" s="66"/>
      <c r="U68" s="49"/>
      <c r="V68" s="46"/>
      <c r="W68" s="46"/>
      <c r="X68" s="50"/>
      <c r="Y68" s="50"/>
      <c r="Z68" s="66"/>
      <c r="AA68" s="71"/>
      <c r="AB68" s="50"/>
      <c r="AC68" s="50"/>
      <c r="AD68" s="50"/>
      <c r="AE68" s="50"/>
      <c r="AF68" s="66"/>
      <c r="AG68" s="71"/>
      <c r="AH68" s="68"/>
      <c r="AI68" s="72"/>
      <c r="AJ68" s="68"/>
    </row>
    <row r="69" spans="2:38" s="54" customFormat="1" ht="14.25" customHeight="1">
      <c r="B69" s="28" t="s">
        <v>414</v>
      </c>
      <c r="C69" s="23"/>
      <c r="D69" s="50">
        <f>IS!P33</f>
        <v>138689</v>
      </c>
      <c r="E69" s="50">
        <f>IS!Q33</f>
        <v>168976</v>
      </c>
      <c r="F69" s="50">
        <f>IS!R33</f>
        <v>167221</v>
      </c>
      <c r="G69" s="50">
        <f>IS!S33</f>
        <v>188455</v>
      </c>
      <c r="H69" s="68">
        <f>IS!T33</f>
        <v>663341</v>
      </c>
      <c r="I69" s="48"/>
      <c r="J69" s="50">
        <f>IS!V33</f>
        <v>164632</v>
      </c>
      <c r="K69" s="50">
        <f>IS!W33</f>
        <v>189439</v>
      </c>
      <c r="L69" s="50">
        <f>IS!X33</f>
        <v>179000</v>
      </c>
      <c r="M69" s="50">
        <f>IS!Y33</f>
        <v>187690</v>
      </c>
      <c r="N69" s="68">
        <f>IS!Z33</f>
        <v>723880</v>
      </c>
      <c r="O69" s="71"/>
      <c r="P69" s="50">
        <f>IS!AB33</f>
        <v>141340</v>
      </c>
      <c r="Q69" s="50">
        <f>IS!AC33</f>
        <v>179893</v>
      </c>
      <c r="R69" s="50">
        <f>IS!AD33</f>
        <v>174789</v>
      </c>
      <c r="S69" s="50">
        <f>IS!AE33</f>
        <v>214587</v>
      </c>
      <c r="T69" s="68">
        <f>IS!AF33</f>
        <v>710097</v>
      </c>
      <c r="U69" s="49"/>
      <c r="V69" s="50">
        <f>IS!AH33</f>
        <v>149244</v>
      </c>
      <c r="W69" s="50">
        <f>IS!AI33</f>
        <v>163555</v>
      </c>
      <c r="X69" s="46">
        <f>X48-X51-X54-X57-X66</f>
        <v>137421.19389219119</v>
      </c>
      <c r="Y69" s="46">
        <f>Y48-Y51-Y54-Y57-Y66</f>
        <v>172048.10944029689</v>
      </c>
      <c r="Z69" s="66">
        <f>SUM(V69:Y69)</f>
        <v>622268.30333248805</v>
      </c>
      <c r="AA69" s="71"/>
      <c r="AB69" s="46">
        <f t="shared" ref="AB69:AE69" si="42">AB48-AB51-AB54-AB57-AB66</f>
        <v>156924.27023798256</v>
      </c>
      <c r="AC69" s="46">
        <f t="shared" si="42"/>
        <v>159196.65657956639</v>
      </c>
      <c r="AD69" s="46">
        <f t="shared" si="42"/>
        <v>179651.91178885431</v>
      </c>
      <c r="AE69" s="46">
        <f t="shared" si="42"/>
        <v>214933.03358121528</v>
      </c>
      <c r="AF69" s="66">
        <f>SUM(AB69:AE69)</f>
        <v>710705.87218761852</v>
      </c>
      <c r="AG69" s="71"/>
      <c r="AH69" s="54">
        <f>AH48-AH51-AH54-AH57-AH66</f>
        <v>827863.11762847123</v>
      </c>
      <c r="AI69" s="72"/>
      <c r="AJ69" s="54">
        <f>AJ48-AJ51-AJ54-AJ57-AJ66</f>
        <v>954753.26521799818</v>
      </c>
      <c r="AL69" s="54">
        <f>AL48-AL51-AL54-AL57-AL66</f>
        <v>1030295.8559239496</v>
      </c>
    </row>
    <row r="70" spans="2:38" s="54" customFormat="1" ht="14.25" customHeight="1">
      <c r="B70" s="31" t="s">
        <v>400</v>
      </c>
      <c r="C70" s="23"/>
      <c r="D70" s="305">
        <f>D69/D39</f>
        <v>0.13943133241377093</v>
      </c>
      <c r="E70" s="305">
        <f>E69/E39</f>
        <v>0.1667085963806271</v>
      </c>
      <c r="F70" s="305">
        <f>F69/F39</f>
        <v>0.16842167814348491</v>
      </c>
      <c r="G70" s="305">
        <f>G69/G39</f>
        <v>0.18266364900819518</v>
      </c>
      <c r="H70" s="308">
        <f>H69/H39</f>
        <v>0.16448429932853986</v>
      </c>
      <c r="I70" s="48"/>
      <c r="J70" s="305">
        <f>J69/J39</f>
        <v>0.16342332111701854</v>
      </c>
      <c r="K70" s="305">
        <f>K69/K39</f>
        <v>0.18215603731603047</v>
      </c>
      <c r="L70" s="305">
        <f>L69/L39</f>
        <v>0.1825318079520645</v>
      </c>
      <c r="M70" s="305">
        <f>M69/M39</f>
        <v>0.18609405736404594</v>
      </c>
      <c r="N70" s="308">
        <f>N69/N39</f>
        <v>0.17932891625512032</v>
      </c>
      <c r="O70" s="71"/>
      <c r="P70" s="305">
        <f>P69/P39</f>
        <v>0.15248250669416977</v>
      </c>
      <c r="Q70" s="305">
        <f>Q69/Q39</f>
        <v>0.18142678201515614</v>
      </c>
      <c r="R70" s="305">
        <f>R69/R39</f>
        <v>0.18539173894182173</v>
      </c>
      <c r="S70" s="305">
        <f>S69/S39</f>
        <v>0.21164909885874181</v>
      </c>
      <c r="T70" s="308">
        <f>T69/T39</f>
        <v>0.18324317796262454</v>
      </c>
      <c r="U70" s="49"/>
      <c r="V70" s="305">
        <f>V69/V39</f>
        <v>0.1646145548279502</v>
      </c>
      <c r="W70" s="305">
        <f>W69/W39</f>
        <v>0.16725826525092063</v>
      </c>
      <c r="X70" s="307">
        <f t="shared" ref="X70:Y70" si="43">X69/X$39</f>
        <v>0.14392306301475508</v>
      </c>
      <c r="Y70" s="307">
        <f t="shared" si="43"/>
        <v>0.16548637451644491</v>
      </c>
      <c r="Z70" s="306">
        <f>Z69/Z$39</f>
        <v>0.16042137846422638</v>
      </c>
      <c r="AA70" s="71"/>
      <c r="AB70" s="307">
        <f t="shared" ref="AB70" si="44">AB69/AB$39</f>
        <v>0.16704030844084131</v>
      </c>
      <c r="AC70" s="307">
        <f t="shared" ref="AC70" si="45">AC69/AC$39</f>
        <v>0.15696882306136806</v>
      </c>
      <c r="AD70" s="307">
        <f t="shared" ref="AD70" si="46">AD69/AD$39</f>
        <v>0.18136526117188978</v>
      </c>
      <c r="AE70" s="307">
        <f t="shared" ref="AE70" si="47">AE69/AE$39</f>
        <v>0.19846717516606871</v>
      </c>
      <c r="AF70" s="306">
        <f>AF69/AF$39</f>
        <v>0.17647859436005045</v>
      </c>
      <c r="AG70" s="71"/>
      <c r="AH70" s="306">
        <f>AH69/AH$39</f>
        <v>0.19705768515731178</v>
      </c>
      <c r="AI70" s="72"/>
      <c r="AJ70" s="306">
        <f>AJ69/AJ$39</f>
        <v>0.21837236036401925</v>
      </c>
      <c r="AL70" s="306">
        <f>AL69/AL$39</f>
        <v>0.22662638747093714</v>
      </c>
    </row>
    <row r="71" spans="2:38" s="54" customFormat="1" ht="14.25" customHeight="1">
      <c r="B71" s="31"/>
      <c r="C71" s="23"/>
      <c r="D71" s="46"/>
      <c r="E71" s="46"/>
      <c r="F71" s="46"/>
      <c r="G71" s="46"/>
      <c r="H71" s="66"/>
      <c r="I71" s="48"/>
      <c r="J71" s="46"/>
      <c r="K71" s="46"/>
      <c r="L71" s="46"/>
      <c r="M71" s="46"/>
      <c r="N71" s="66"/>
      <c r="O71" s="71"/>
      <c r="P71" s="46"/>
      <c r="Q71" s="46"/>
      <c r="R71" s="46"/>
      <c r="S71" s="46"/>
      <c r="T71" s="66"/>
      <c r="U71" s="49"/>
      <c r="V71" s="46"/>
      <c r="W71" s="46"/>
      <c r="X71" s="50"/>
      <c r="Y71" s="50"/>
      <c r="Z71" s="66"/>
      <c r="AA71" s="71"/>
      <c r="AB71" s="50"/>
      <c r="AC71" s="50"/>
      <c r="AD71" s="50"/>
      <c r="AE71" s="50"/>
      <c r="AF71" s="66"/>
      <c r="AG71" s="71"/>
      <c r="AH71" s="68"/>
      <c r="AI71" s="72"/>
      <c r="AJ71" s="68"/>
    </row>
    <row r="72" spans="2:38" s="54" customFormat="1" ht="14.25" customHeight="1">
      <c r="B72" s="28" t="s">
        <v>415</v>
      </c>
      <c r="C72" s="23"/>
      <c r="D72" s="320">
        <f>IS!P59</f>
        <v>54669</v>
      </c>
      <c r="E72" s="320">
        <f>IS!Q59</f>
        <v>54033</v>
      </c>
      <c r="F72" s="320">
        <f>IS!R59</f>
        <v>53867</v>
      </c>
      <c r="G72" s="320">
        <f>IS!S59</f>
        <v>53809</v>
      </c>
      <c r="H72" s="330">
        <f>IS!T59</f>
        <v>54095</v>
      </c>
      <c r="I72" s="331"/>
      <c r="J72" s="320">
        <f>IS!V59</f>
        <v>53594</v>
      </c>
      <c r="K72" s="320">
        <f>IS!W59</f>
        <v>53527</v>
      </c>
      <c r="L72" s="320">
        <f>IS!X59</f>
        <v>53588</v>
      </c>
      <c r="M72" s="320">
        <f>IS!Y59</f>
        <v>53601</v>
      </c>
      <c r="N72" s="330">
        <f>IS!Z59</f>
        <v>53577</v>
      </c>
      <c r="O72" s="334"/>
      <c r="P72" s="320">
        <f>IS!AB59</f>
        <v>53654</v>
      </c>
      <c r="Q72" s="320">
        <f>IS!AC59</f>
        <v>53765</v>
      </c>
      <c r="R72" s="320">
        <f>IS!AD59</f>
        <v>53770</v>
      </c>
      <c r="S72" s="320">
        <f>IS!AE59</f>
        <v>53764</v>
      </c>
      <c r="T72" s="330">
        <f>IS!AF59</f>
        <v>53738</v>
      </c>
      <c r="U72" s="335"/>
      <c r="V72" s="320">
        <f>IS!AH59</f>
        <v>53594</v>
      </c>
      <c r="W72" s="320">
        <f>IS!AI59</f>
        <v>52616</v>
      </c>
      <c r="X72" s="320">
        <f>W72+X109</f>
        <v>52652.930011056946</v>
      </c>
      <c r="Y72" s="320">
        <f>X72+Y109</f>
        <v>52697.937492964214</v>
      </c>
      <c r="Z72" s="330">
        <f>AVERAGE(V72:Y72)</f>
        <v>52890.216876005288</v>
      </c>
      <c r="AA72" s="71"/>
      <c r="AB72" s="320">
        <f>Y72+AB109</f>
        <v>52761.96065842676</v>
      </c>
      <c r="AC72" s="320">
        <f t="shared" ref="AC72:AE72" si="48">AB72+AC109</f>
        <v>52819.323204713139</v>
      </c>
      <c r="AD72" s="320">
        <f t="shared" si="48"/>
        <v>52881.284216089065</v>
      </c>
      <c r="AE72" s="320">
        <f t="shared" si="48"/>
        <v>52947.080901785986</v>
      </c>
      <c r="AF72" s="330">
        <f>AVERAGE(AB72:AE72)</f>
        <v>52852.412245253734</v>
      </c>
      <c r="AG72" s="71"/>
      <c r="AH72" s="330">
        <f>AE72+AH109</f>
        <v>53191.040438274707</v>
      </c>
      <c r="AI72" s="72"/>
      <c r="AJ72" s="330">
        <f>AF72+AJ109</f>
        <v>53081.463645094802</v>
      </c>
      <c r="AL72" s="330">
        <f>AH72+AL109</f>
        <v>53415.0289567613</v>
      </c>
    </row>
    <row r="73" spans="2:38" s="54" customFormat="1" ht="14.25" customHeight="1">
      <c r="B73" s="28" t="s">
        <v>416</v>
      </c>
      <c r="C73" s="23"/>
      <c r="D73" s="320">
        <f>IS!P60</f>
        <v>56363</v>
      </c>
      <c r="E73" s="320">
        <f>IS!Q60</f>
        <v>54654</v>
      </c>
      <c r="F73" s="320">
        <f>IS!R60</f>
        <v>54384</v>
      </c>
      <c r="G73" s="320">
        <f>IS!S60</f>
        <v>54388</v>
      </c>
      <c r="H73" s="330">
        <f>IS!T60</f>
        <v>54947</v>
      </c>
      <c r="I73" s="331"/>
      <c r="J73" s="320">
        <f>IS!V60</f>
        <v>54377</v>
      </c>
      <c r="K73" s="320">
        <f>IS!W60</f>
        <v>54042</v>
      </c>
      <c r="L73" s="320">
        <f>IS!X60</f>
        <v>54157</v>
      </c>
      <c r="M73" s="320">
        <f>IS!Y60</f>
        <v>53768</v>
      </c>
      <c r="N73" s="330">
        <f>IS!Z60</f>
        <v>54086</v>
      </c>
      <c r="O73" s="334"/>
      <c r="P73" s="320">
        <f>IS!AB60</f>
        <v>54394</v>
      </c>
      <c r="Q73" s="320">
        <f>IS!AC60</f>
        <v>54072</v>
      </c>
      <c r="R73" s="320">
        <f>IS!AD60</f>
        <v>54037</v>
      </c>
      <c r="S73" s="320">
        <f>IS!AE60</f>
        <v>54334</v>
      </c>
      <c r="T73" s="330">
        <f>IS!AF60</f>
        <v>54209</v>
      </c>
      <c r="U73" s="335"/>
      <c r="V73" s="320">
        <f>IS!AH60</f>
        <v>54621</v>
      </c>
      <c r="W73" s="320">
        <f>IS!AI60</f>
        <v>53154</v>
      </c>
      <c r="X73" s="320">
        <f>W73</f>
        <v>53154</v>
      </c>
      <c r="Y73" s="320">
        <f>X73</f>
        <v>53154</v>
      </c>
      <c r="Z73" s="330">
        <f>AVERAGE(V73:Y73)</f>
        <v>53520.75</v>
      </c>
      <c r="AA73" s="71"/>
      <c r="AB73" s="320">
        <f>Y73</f>
        <v>53154</v>
      </c>
      <c r="AC73" s="320">
        <f t="shared" ref="AC73:AE73" si="49">AB73</f>
        <v>53154</v>
      </c>
      <c r="AD73" s="320">
        <f t="shared" si="49"/>
        <v>53154</v>
      </c>
      <c r="AE73" s="320">
        <f t="shared" si="49"/>
        <v>53154</v>
      </c>
      <c r="AF73" s="330">
        <f>AVERAGE(AB73:AE73)</f>
        <v>53154</v>
      </c>
      <c r="AG73" s="71"/>
      <c r="AH73" s="330">
        <f>AF73</f>
        <v>53154</v>
      </c>
      <c r="AI73" s="72"/>
      <c r="AJ73" s="330">
        <f>AH73</f>
        <v>53154</v>
      </c>
      <c r="AL73" s="330">
        <f>AJ73</f>
        <v>53154</v>
      </c>
    </row>
    <row r="74" spans="2:38" ht="14.25" customHeight="1">
      <c r="U74" s="205"/>
    </row>
    <row r="75" spans="2:38" s="55" customFormat="1" ht="14.25" customHeight="1">
      <c r="B75" s="161" t="s">
        <v>417</v>
      </c>
      <c r="C75" s="32"/>
      <c r="D75" s="359" t="s">
        <v>418</v>
      </c>
      <c r="E75" s="359" t="s">
        <v>419</v>
      </c>
      <c r="F75" s="359" t="s">
        <v>420</v>
      </c>
      <c r="G75" s="359" t="s">
        <v>421</v>
      </c>
      <c r="H75" s="359" t="s">
        <v>422</v>
      </c>
      <c r="I75" s="37"/>
      <c r="J75" s="359" t="s">
        <v>423</v>
      </c>
      <c r="K75" s="359" t="s">
        <v>424</v>
      </c>
      <c r="L75" s="359" t="s">
        <v>425</v>
      </c>
      <c r="M75" s="359" t="s">
        <v>426</v>
      </c>
      <c r="N75" s="359" t="s">
        <v>427</v>
      </c>
      <c r="O75" s="37"/>
      <c r="P75" s="359" t="s">
        <v>428</v>
      </c>
      <c r="Q75" s="359" t="s">
        <v>429</v>
      </c>
      <c r="R75" s="359" t="s">
        <v>430</v>
      </c>
      <c r="S75" s="359" t="s">
        <v>431</v>
      </c>
      <c r="T75" s="359" t="s">
        <v>432</v>
      </c>
      <c r="U75" s="37"/>
      <c r="V75" s="359" t="s">
        <v>433</v>
      </c>
      <c r="W75" s="359" t="s">
        <v>434</v>
      </c>
      <c r="X75" s="359" t="s">
        <v>435</v>
      </c>
      <c r="Y75" s="359" t="s">
        <v>436</v>
      </c>
      <c r="Z75" s="359" t="s">
        <v>437</v>
      </c>
      <c r="AA75" s="37"/>
      <c r="AB75" s="359" t="s">
        <v>438</v>
      </c>
      <c r="AC75" s="359" t="s">
        <v>439</v>
      </c>
      <c r="AD75" s="359" t="s">
        <v>440</v>
      </c>
      <c r="AE75" s="359" t="s">
        <v>441</v>
      </c>
      <c r="AF75" s="359" t="s">
        <v>442</v>
      </c>
      <c r="AG75" s="37"/>
      <c r="AH75" s="359" t="s">
        <v>443</v>
      </c>
      <c r="AI75" s="37"/>
      <c r="AJ75" s="359" t="s">
        <v>444</v>
      </c>
      <c r="AK75" s="359"/>
      <c r="AL75" s="359" t="s">
        <v>445</v>
      </c>
    </row>
    <row r="76" spans="2:38" ht="3.95" customHeight="1">
      <c r="B76" s="288"/>
      <c r="C76" s="36"/>
      <c r="D76" s="288"/>
      <c r="E76" s="288"/>
      <c r="F76" s="288"/>
      <c r="G76" s="288"/>
      <c r="H76" s="288"/>
      <c r="I76" s="36"/>
      <c r="J76" s="288"/>
      <c r="K76" s="288"/>
      <c r="L76" s="288"/>
      <c r="M76" s="288"/>
      <c r="N76" s="288"/>
      <c r="O76" s="36"/>
      <c r="P76" s="288"/>
      <c r="Q76" s="288"/>
      <c r="R76" s="288"/>
      <c r="S76" s="288"/>
      <c r="T76" s="288"/>
      <c r="U76" s="36"/>
      <c r="V76" s="288"/>
      <c r="W76" s="288"/>
      <c r="X76" s="288"/>
      <c r="Y76" s="288"/>
      <c r="Z76" s="288"/>
      <c r="AA76" s="36"/>
      <c r="AB76" s="288"/>
      <c r="AC76" s="288"/>
      <c r="AD76" s="288"/>
      <c r="AE76" s="288"/>
      <c r="AF76" s="288"/>
      <c r="AG76" s="36"/>
      <c r="AH76" s="288"/>
      <c r="AI76" s="36"/>
      <c r="AJ76" s="289"/>
      <c r="AK76" s="288"/>
      <c r="AL76" s="288"/>
    </row>
    <row r="77" spans="2:38" ht="3.95" customHeight="1">
      <c r="U77" s="205"/>
    </row>
    <row r="78" spans="2:38" ht="14.25" customHeight="1">
      <c r="B78" s="28" t="s">
        <v>446</v>
      </c>
      <c r="D78" s="50">
        <f>BS!P18</f>
        <v>629855</v>
      </c>
      <c r="E78" s="50">
        <f>BS!Q18</f>
        <v>627276</v>
      </c>
      <c r="F78" s="50">
        <f>BS!R18</f>
        <v>593514</v>
      </c>
      <c r="G78" s="50">
        <f>BS!S18</f>
        <v>631134</v>
      </c>
      <c r="H78" s="68">
        <f>BS!T18</f>
        <v>631134</v>
      </c>
      <c r="J78" s="50">
        <f>BS!V18</f>
        <v>652949</v>
      </c>
      <c r="K78" s="50">
        <f>BS!W18</f>
        <v>643405</v>
      </c>
      <c r="L78" s="50">
        <f>BS!X18</f>
        <v>633169</v>
      </c>
      <c r="M78" s="50">
        <f>BS!Y18</f>
        <v>644576</v>
      </c>
      <c r="N78" s="68">
        <f>BS!Z18</f>
        <v>644576</v>
      </c>
      <c r="P78" s="50">
        <f>BS!AB18</f>
        <v>605180</v>
      </c>
      <c r="Q78" s="50">
        <f>BS!AC18</f>
        <v>624622</v>
      </c>
      <c r="R78" s="50">
        <f>BS!AD18</f>
        <v>614976</v>
      </c>
      <c r="S78" s="50">
        <f>BS!AE18</f>
        <v>643355</v>
      </c>
      <c r="T78" s="68">
        <f>BS!AF18</f>
        <v>643355</v>
      </c>
      <c r="U78" s="205"/>
      <c r="V78" s="50">
        <f>BS!AH18</f>
        <v>645511</v>
      </c>
      <c r="W78" s="50">
        <f>BS!AI18</f>
        <v>665833</v>
      </c>
      <c r="X78" s="46">
        <f>X39*X79/92</f>
        <v>664225.38730313128</v>
      </c>
      <c r="Y78" s="46">
        <f>Y39*Y79/92</f>
        <v>678033.39757292718</v>
      </c>
      <c r="Z78" s="312">
        <f>Y78</f>
        <v>678033.39757292718</v>
      </c>
      <c r="AB78" s="46">
        <f>AB39*AB79/90</f>
        <v>621500.92395558383</v>
      </c>
      <c r="AC78" s="46">
        <f>AC39*AC79/91</f>
        <v>646138.41630966507</v>
      </c>
      <c r="AD78" s="46">
        <f t="shared" ref="AD78:AE78" si="50">AD39*AD79/92</f>
        <v>641722.41251071345</v>
      </c>
      <c r="AE78" s="46">
        <f t="shared" si="50"/>
        <v>687020.8273054458</v>
      </c>
      <c r="AF78" s="312">
        <f>AE78</f>
        <v>687020.8273054458</v>
      </c>
      <c r="AH78" s="312">
        <f>AH39*AH79/365</f>
        <v>716699.65114782588</v>
      </c>
      <c r="AJ78" s="312">
        <f>AJ39*AJ79/366</f>
        <v>743836.17957137781</v>
      </c>
      <c r="AL78" s="312">
        <f>AL39*AL79/365</f>
        <v>775574.4834384314</v>
      </c>
    </row>
    <row r="79" spans="2:38" ht="14.25" customHeight="1">
      <c r="B79" s="31" t="s">
        <v>447</v>
      </c>
      <c r="D79" s="323">
        <f>D78/D39*90</f>
        <v>56.990366712376698</v>
      </c>
      <c r="E79" s="323">
        <f>E78/E39*91</f>
        <v>56.316159909076653</v>
      </c>
      <c r="F79" s="323">
        <f>F78/F39*92</f>
        <v>54.995349849074046</v>
      </c>
      <c r="G79" s="323">
        <f>G78/G39*92</f>
        <v>56.279971503482102</v>
      </c>
      <c r="H79" s="324">
        <f>H78/H39*365</f>
        <v>57.121821697939403</v>
      </c>
      <c r="I79" s="325"/>
      <c r="J79" s="323">
        <f>J78/J39*90</f>
        <v>58.333971943505837</v>
      </c>
      <c r="K79" s="323">
        <f>K78/K39*91</f>
        <v>56.298911904244491</v>
      </c>
      <c r="L79" s="323">
        <f>L78/L39*92</f>
        <v>59.400895935455125</v>
      </c>
      <c r="M79" s="323">
        <f>M78/M39*92</f>
        <v>58.796751062884695</v>
      </c>
      <c r="N79" s="324">
        <f>N78/N39*365</f>
        <v>58.284186835224155</v>
      </c>
      <c r="O79" s="325"/>
      <c r="P79" s="323">
        <f>P78/P39*90</f>
        <v>58.760030466293962</v>
      </c>
      <c r="Q79" s="323">
        <f>Q78/Q39*91</f>
        <v>57.325229490109386</v>
      </c>
      <c r="R79" s="323">
        <f>R78/R39*92</f>
        <v>60.009813228342118</v>
      </c>
      <c r="S79" s="323">
        <f>S78/S39*92</f>
        <v>58.378310669595344</v>
      </c>
      <c r="T79" s="324">
        <f>T78/T39*365</f>
        <v>60.59735696210894</v>
      </c>
      <c r="U79" s="326"/>
      <c r="V79" s="323">
        <f>V78/V39*90</f>
        <v>64.079263026580946</v>
      </c>
      <c r="W79" s="323">
        <f>W78/W39*91</f>
        <v>61.962719574089924</v>
      </c>
      <c r="X79" s="327">
        <v>64</v>
      </c>
      <c r="Y79" s="327">
        <v>60</v>
      </c>
      <c r="Z79" s="324">
        <f>Z78/Z39*365</f>
        <v>63.801151160738932</v>
      </c>
      <c r="AA79" s="325"/>
      <c r="AB79" s="327">
        <f>AVERAGE(V79,J79,P79,D79)</f>
        <v>59.540908037189361</v>
      </c>
      <c r="AC79" s="327">
        <f t="shared" ref="AC79:AE79" si="51">AVERAGE(W79,K79,Q79,E79)</f>
        <v>57.975755219380112</v>
      </c>
      <c r="AD79" s="327">
        <f t="shared" si="51"/>
        <v>59.60151475321782</v>
      </c>
      <c r="AE79" s="327">
        <f t="shared" si="51"/>
        <v>58.363758308990533</v>
      </c>
      <c r="AF79" s="324">
        <f>AF78/AF39*365</f>
        <v>62.267997556986487</v>
      </c>
      <c r="AG79" s="325"/>
      <c r="AH79" s="327">
        <f>AF79</f>
        <v>62.267997556986487</v>
      </c>
      <c r="AI79" s="325"/>
      <c r="AJ79" s="327">
        <f>AF79</f>
        <v>62.267997556986487</v>
      </c>
      <c r="AK79" s="324"/>
      <c r="AL79" s="327">
        <f>AF79</f>
        <v>62.267997556986487</v>
      </c>
    </row>
    <row r="80" spans="2:38" ht="14.25" customHeight="1">
      <c r="B80" s="28"/>
      <c r="D80" s="46"/>
      <c r="E80" s="46"/>
      <c r="F80" s="46"/>
      <c r="G80" s="46"/>
      <c r="J80" s="46"/>
      <c r="K80" s="46"/>
      <c r="L80" s="46"/>
      <c r="M80" s="46"/>
      <c r="P80" s="46"/>
      <c r="Q80" s="46"/>
      <c r="R80" s="46"/>
      <c r="S80" s="46"/>
      <c r="U80" s="205"/>
      <c r="V80" s="46"/>
      <c r="W80" s="46"/>
      <c r="X80" s="46"/>
      <c r="Y80" s="46"/>
      <c r="AB80" s="46"/>
      <c r="AC80" s="46"/>
      <c r="AD80" s="46"/>
      <c r="AE80" s="46"/>
    </row>
    <row r="81" spans="2:38" ht="14.25" customHeight="1">
      <c r="B81" s="28" t="s">
        <v>448</v>
      </c>
      <c r="D81" s="50">
        <f>BS!P19</f>
        <v>924763</v>
      </c>
      <c r="E81" s="50">
        <f>BS!Q19</f>
        <v>1008920</v>
      </c>
      <c r="F81" s="50">
        <f>BS!R19</f>
        <v>1062634</v>
      </c>
      <c r="G81" s="50">
        <f>BS!S19</f>
        <v>1077729</v>
      </c>
      <c r="H81" s="68">
        <f>BS!T19</f>
        <v>1077729</v>
      </c>
      <c r="J81" s="50">
        <f>BS!V19</f>
        <v>1116364</v>
      </c>
      <c r="K81" s="50">
        <f>BS!W19</f>
        <v>1082523</v>
      </c>
      <c r="L81" s="50">
        <f>BS!X19</f>
        <v>1015047</v>
      </c>
      <c r="M81" s="50">
        <f>BS!Y19</f>
        <v>935867</v>
      </c>
      <c r="N81" s="68">
        <f>BS!Z19</f>
        <v>935867</v>
      </c>
      <c r="P81" s="50">
        <f>BS!AB19</f>
        <v>943679</v>
      </c>
      <c r="Q81" s="50">
        <f>BS!AC19</f>
        <v>920096</v>
      </c>
      <c r="R81" s="50">
        <f>BS!AD19</f>
        <v>905865</v>
      </c>
      <c r="S81" s="50">
        <f>BS!AE19</f>
        <v>841567</v>
      </c>
      <c r="T81" s="68">
        <f>BS!AF19</f>
        <v>841567</v>
      </c>
      <c r="U81" s="205"/>
      <c r="V81" s="50">
        <f>BS!AH19</f>
        <v>877729</v>
      </c>
      <c r="W81" s="50">
        <f>BS!AI19</f>
        <v>888670</v>
      </c>
      <c r="X81" s="46">
        <f>X82*X42/92</f>
        <v>838852.26304550376</v>
      </c>
      <c r="Y81" s="46">
        <f>Y82*Y42/92</f>
        <v>763745.41729170235</v>
      </c>
      <c r="Z81" s="312">
        <f>Y81</f>
        <v>763745.41729170235</v>
      </c>
      <c r="AB81" s="46">
        <f t="shared" ref="AB81:AE81" si="52">AB82*AB42/92</f>
        <v>844692.09989237203</v>
      </c>
      <c r="AC81" s="46">
        <f t="shared" si="52"/>
        <v>892215.34486454423</v>
      </c>
      <c r="AD81" s="46">
        <f t="shared" si="52"/>
        <v>842078.93615858408</v>
      </c>
      <c r="AE81" s="46">
        <f t="shared" si="52"/>
        <v>752244.81137306197</v>
      </c>
      <c r="AF81" s="312">
        <f>AE81</f>
        <v>752244.81137306197</v>
      </c>
      <c r="AH81" s="312">
        <f>AH82*AH42/365</f>
        <v>772152.7704023812</v>
      </c>
      <c r="AJ81" s="312">
        <f>AJ82*AJ42/366</f>
        <v>788142.8322810143</v>
      </c>
      <c r="AL81" s="312">
        <f>AL82*AL42/365</f>
        <v>814865.98642729118</v>
      </c>
    </row>
    <row r="82" spans="2:38" ht="14.25" customHeight="1">
      <c r="B82" s="31" t="s">
        <v>449</v>
      </c>
      <c r="D82" s="323">
        <f>D81/D42*90</f>
        <v>125.31305426655383</v>
      </c>
      <c r="E82" s="323">
        <f>E81/E42*91</f>
        <v>140.63024328377185</v>
      </c>
      <c r="F82" s="323">
        <f>F81/F42*92</f>
        <v>155.76203518264481</v>
      </c>
      <c r="G82" s="323">
        <f>G81/G42*92</f>
        <v>154.52877103025864</v>
      </c>
      <c r="H82" s="324">
        <f>H81/H42*365</f>
        <v>155.02925830742424</v>
      </c>
      <c r="I82" s="325"/>
      <c r="J82" s="323">
        <f>J81/J42*90</f>
        <v>159.82025288669092</v>
      </c>
      <c r="K82" s="323">
        <f>K81/K42*91</f>
        <v>152.31573600764443</v>
      </c>
      <c r="L82" s="323">
        <f>L81/L42*92</f>
        <v>154.27036206756986</v>
      </c>
      <c r="M82" s="323">
        <f>M81/M42*92</f>
        <v>138.46702272570107</v>
      </c>
      <c r="N82" s="324">
        <f>N81/N42*365</f>
        <v>139.45678874748259</v>
      </c>
      <c r="O82" s="325"/>
      <c r="P82" s="323">
        <f>P81/P42*90</f>
        <v>146.28968527373195</v>
      </c>
      <c r="Q82" s="323">
        <f>Q81/Q42*91</f>
        <v>136.8331241501935</v>
      </c>
      <c r="R82" s="323">
        <f>R81/R42*92</f>
        <v>141.88479250904447</v>
      </c>
      <c r="S82" s="323">
        <f>S81/S42*92</f>
        <v>123.88936644126053</v>
      </c>
      <c r="T82" s="324">
        <f>T81/T42*365</f>
        <v>130.87336334776677</v>
      </c>
      <c r="U82" s="326"/>
      <c r="V82" s="323">
        <f>V81/V42*90</f>
        <v>140.88898757611102</v>
      </c>
      <c r="W82" s="323">
        <f>W81/W42*91</f>
        <v>133.32218316825154</v>
      </c>
      <c r="X82" s="327">
        <f>R82-(L82-R82)</f>
        <v>129.49922295051908</v>
      </c>
      <c r="Y82" s="327">
        <f>S82-(M82-S82)</f>
        <v>109.31171015682</v>
      </c>
      <c r="Z82" s="324">
        <f>Z81/Z42*365</f>
        <v>115.86339152205394</v>
      </c>
      <c r="AA82" s="325"/>
      <c r="AB82" s="327">
        <f>V82-(P82-V82)</f>
        <v>135.48828987849009</v>
      </c>
      <c r="AC82" s="327">
        <f t="shared" ref="AC82" si="53">W82-(Q82-W82)</f>
        <v>129.81124218630958</v>
      </c>
      <c r="AD82" s="327">
        <f>X82-(R82-X82)+10</f>
        <v>127.11365339199369</v>
      </c>
      <c r="AE82" s="327">
        <f>Y82-(S82-Y82)+10</f>
        <v>104.73405387237946</v>
      </c>
      <c r="AF82" s="324">
        <f>AF81/AF42*365</f>
        <v>110.88570600578916</v>
      </c>
      <c r="AG82" s="325"/>
      <c r="AH82" s="327">
        <f>AF82</f>
        <v>110.88570600578916</v>
      </c>
      <c r="AI82" s="325"/>
      <c r="AJ82" s="327">
        <f>AF82</f>
        <v>110.88570600578916</v>
      </c>
      <c r="AK82" s="324"/>
      <c r="AL82" s="327">
        <f>AF82</f>
        <v>110.88570600578916</v>
      </c>
    </row>
    <row r="83" spans="2:38" ht="14.25" customHeight="1">
      <c r="B83" s="28"/>
      <c r="D83" s="46"/>
      <c r="E83" s="46"/>
      <c r="F83" s="46"/>
      <c r="G83" s="46"/>
      <c r="J83" s="46"/>
      <c r="K83" s="46"/>
      <c r="L83" s="46"/>
      <c r="M83" s="46"/>
      <c r="P83" s="46"/>
      <c r="Q83" s="46"/>
      <c r="R83" s="46"/>
      <c r="S83" s="46"/>
      <c r="U83" s="205"/>
      <c r="V83" s="46"/>
      <c r="W83" s="46"/>
      <c r="X83" s="46"/>
      <c r="Y83" s="46"/>
      <c r="AB83" s="46"/>
      <c r="AC83" s="46"/>
      <c r="AD83" s="46"/>
      <c r="AE83" s="46"/>
    </row>
    <row r="84" spans="2:38" ht="14.25" customHeight="1">
      <c r="B84" s="28" t="s">
        <v>450</v>
      </c>
      <c r="D84" s="50">
        <f>BS!P20</f>
        <v>122526</v>
      </c>
      <c r="E84" s="50">
        <f>BS!Q20</f>
        <v>132475</v>
      </c>
      <c r="F84" s="50">
        <f>BS!R20</f>
        <v>149472</v>
      </c>
      <c r="G84" s="50">
        <f>BS!S20</f>
        <v>135132</v>
      </c>
      <c r="H84" s="68">
        <f>BS!T20</f>
        <v>135132</v>
      </c>
      <c r="J84" s="50">
        <f>BS!V20</f>
        <v>134682</v>
      </c>
      <c r="K84" s="50">
        <f>BS!W20</f>
        <v>152997</v>
      </c>
      <c r="L84" s="50">
        <f>BS!X20</f>
        <v>145452</v>
      </c>
      <c r="M84" s="50">
        <f>BS!Y20</f>
        <v>137920</v>
      </c>
      <c r="N84" s="68">
        <f>BS!Z20</f>
        <v>137920</v>
      </c>
      <c r="P84" s="50">
        <f>BS!AB20</f>
        <v>132046</v>
      </c>
      <c r="Q84" s="50">
        <f>BS!AC20</f>
        <v>139164</v>
      </c>
      <c r="R84" s="50">
        <f>BS!AD20</f>
        <v>164765</v>
      </c>
      <c r="S84" s="50">
        <f>BS!AE20</f>
        <v>155588</v>
      </c>
      <c r="T84" s="68">
        <f>BS!AF20</f>
        <v>155588</v>
      </c>
      <c r="U84" s="205"/>
      <c r="V84" s="50">
        <f>BS!AH20</f>
        <v>145380</v>
      </c>
      <c r="W84" s="50">
        <f>BS!AI20</f>
        <v>193588</v>
      </c>
      <c r="X84" s="46">
        <f>X85*X$39</f>
        <v>150743.41033793136</v>
      </c>
      <c r="Y84" s="46">
        <f>Y85*Y$39</f>
        <v>145961.62653785179</v>
      </c>
      <c r="Z84" s="312">
        <f>Y84</f>
        <v>145961.62653785179</v>
      </c>
      <c r="AB84" s="46">
        <f t="shared" ref="AB84:AE84" si="54">AB85*AB$39</f>
        <v>167454.52558345726</v>
      </c>
      <c r="AC84" s="46">
        <f t="shared" si="54"/>
        <v>200781.05705133811</v>
      </c>
      <c r="AD84" s="46">
        <f t="shared" si="54"/>
        <v>139659.57726795803</v>
      </c>
      <c r="AE84" s="46">
        <f t="shared" si="54"/>
        <v>137895.85172879038</v>
      </c>
      <c r="AF84" s="312">
        <f>AE84</f>
        <v>137895.85172879038</v>
      </c>
      <c r="AH84" s="57">
        <f>AH85*AH$39</f>
        <v>143852.85700344152</v>
      </c>
      <c r="AJ84" s="57">
        <f>AJ85*AJ$39</f>
        <v>149708.62368271186</v>
      </c>
      <c r="AL84" s="57">
        <f>AL85*AL$39</f>
        <v>155669.95893315237</v>
      </c>
    </row>
    <row r="85" spans="2:38" ht="14.25" customHeight="1">
      <c r="B85" s="31" t="s">
        <v>400</v>
      </c>
      <c r="D85" s="305">
        <f>D84/D39</f>
        <v>0.12318182000973181</v>
      </c>
      <c r="E85" s="305">
        <f>E84/E39</f>
        <v>0.13069738486840482</v>
      </c>
      <c r="F85" s="305">
        <f>F84/F39</f>
        <v>0.15054523699453404</v>
      </c>
      <c r="G85" s="305">
        <f>G84/G39</f>
        <v>0.13097930125374985</v>
      </c>
      <c r="H85" s="308">
        <f>H84/H39</f>
        <v>3.3507792126318513E-2</v>
      </c>
      <c r="J85" s="305">
        <f>J84/J39</f>
        <v>0.13369320505541019</v>
      </c>
      <c r="K85" s="305">
        <f>K84/K39</f>
        <v>0.14711504622195384</v>
      </c>
      <c r="L85" s="305">
        <f>L84/L39</f>
        <v>0.1483218800572273</v>
      </c>
      <c r="M85" s="305">
        <f>M84/M39</f>
        <v>0.13674725553651881</v>
      </c>
      <c r="N85" s="308">
        <f>N84/N39</f>
        <v>3.4167326255603411E-2</v>
      </c>
      <c r="P85" s="305">
        <f>P84/P39</f>
        <v>0.14245581632190704</v>
      </c>
      <c r="Q85" s="305">
        <f>Q84/Q39</f>
        <v>0.14035052332418263</v>
      </c>
      <c r="R85" s="305">
        <f>R84/R39</f>
        <v>0.17475968091097985</v>
      </c>
      <c r="S85" s="305">
        <f>S84/S39</f>
        <v>0.15345785156246147</v>
      </c>
      <c r="T85" s="308">
        <f>T84/T39</f>
        <v>4.0150063403800923E-2</v>
      </c>
      <c r="U85" s="205"/>
      <c r="V85" s="305">
        <f>V84/V39</f>
        <v>0.16035260366170431</v>
      </c>
      <c r="W85" s="305">
        <f>W84/W39</f>
        <v>0.19797128215826618</v>
      </c>
      <c r="X85" s="316">
        <f>AVERAGE(R85,L85,F85)</f>
        <v>0.15787559932091375</v>
      </c>
      <c r="Y85" s="316">
        <f>AVERAGE(S85,M85,G85)</f>
        <v>0.14039480278424338</v>
      </c>
      <c r="Z85" s="306">
        <f>Z84/Z$39</f>
        <v>3.7629050373744623E-2</v>
      </c>
      <c r="AB85" s="316">
        <f>V85+(V85-P85)</f>
        <v>0.17824939100150158</v>
      </c>
      <c r="AC85" s="316">
        <f>W85</f>
        <v>0.19797128215826618</v>
      </c>
      <c r="AD85" s="316">
        <f t="shared" ref="AD85:AE85" si="55">X85+(X85-R85)</f>
        <v>0.14099151773084764</v>
      </c>
      <c r="AE85" s="316">
        <f t="shared" si="55"/>
        <v>0.12733175400602528</v>
      </c>
      <c r="AF85" s="306">
        <f>AF84/AF$39</f>
        <v>3.4241543560448472E-2</v>
      </c>
      <c r="AH85" s="316">
        <f>AF85</f>
        <v>3.4241543560448472E-2</v>
      </c>
      <c r="AJ85" s="316">
        <f>AF85</f>
        <v>3.4241543560448472E-2</v>
      </c>
      <c r="AL85" s="316">
        <f>AF85</f>
        <v>3.4241543560448472E-2</v>
      </c>
    </row>
    <row r="86" spans="2:38" ht="14.25" customHeight="1">
      <c r="B86" s="28"/>
      <c r="D86" s="46"/>
      <c r="E86" s="46"/>
      <c r="F86" s="46"/>
      <c r="G86" s="46"/>
      <c r="J86" s="46"/>
      <c r="K86" s="46"/>
      <c r="L86" s="46"/>
      <c r="M86" s="46"/>
      <c r="P86" s="46"/>
      <c r="Q86" s="46"/>
      <c r="R86" s="46"/>
      <c r="S86" s="46"/>
      <c r="U86" s="205"/>
      <c r="V86" s="46"/>
      <c r="W86" s="46"/>
      <c r="X86" s="46"/>
      <c r="Y86" s="46"/>
      <c r="AB86" s="46"/>
      <c r="AC86" s="46"/>
      <c r="AD86" s="46"/>
      <c r="AE86" s="46"/>
    </row>
    <row r="87" spans="2:38" ht="14.25" customHeight="1">
      <c r="B87" s="28" t="s">
        <v>451</v>
      </c>
      <c r="D87" s="50">
        <f>BS!P24</f>
        <v>382574</v>
      </c>
      <c r="E87" s="50">
        <f>BS!Q24</f>
        <v>417688</v>
      </c>
      <c r="F87" s="50">
        <f>BS!R24</f>
        <v>423947</v>
      </c>
      <c r="G87" s="50">
        <f>BS!S24</f>
        <v>443528</v>
      </c>
      <c r="H87" s="68">
        <f>BS!T24</f>
        <v>443528</v>
      </c>
      <c r="J87" s="50">
        <f>BS!V24</f>
        <v>461728</v>
      </c>
      <c r="K87" s="50">
        <f>BS!W24</f>
        <v>483064</v>
      </c>
      <c r="L87" s="50">
        <f>BS!X24</f>
        <v>498871</v>
      </c>
      <c r="M87" s="50">
        <f>BS!Y24</f>
        <v>510898</v>
      </c>
      <c r="N87" s="68">
        <f>BS!Z24</f>
        <v>510898</v>
      </c>
      <c r="P87" s="50">
        <f>BS!AB24</f>
        <v>508140</v>
      </c>
      <c r="Q87" s="50">
        <f>BS!AC24</f>
        <v>504661</v>
      </c>
      <c r="R87" s="50">
        <f>BS!AD24</f>
        <v>510555</v>
      </c>
      <c r="S87" s="50">
        <f>BS!AE24</f>
        <v>525965</v>
      </c>
      <c r="T87" s="68">
        <f>BS!AF24</f>
        <v>525965</v>
      </c>
      <c r="U87" s="205"/>
      <c r="V87" s="50">
        <f>BS!AH24</f>
        <v>550736</v>
      </c>
      <c r="W87" s="50">
        <f>BS!AI24</f>
        <v>570414</v>
      </c>
      <c r="X87" s="46">
        <f>W87-X88*X114-X117-X60-X45</f>
        <v>559871.86150430667</v>
      </c>
      <c r="Y87" s="46">
        <f>X87-Y88*Y114-Y117-Y60-Y45</f>
        <v>546716.43872290873</v>
      </c>
      <c r="Z87" s="57">
        <f>Y87</f>
        <v>546716.43872290873</v>
      </c>
      <c r="AB87" s="46">
        <f>Y87-AB88*AB114-AB117-AB60-AB45</f>
        <v>544323.5105380303</v>
      </c>
      <c r="AC87" s="46">
        <f>AB87-AC88*AC114-AC117-AC60-AC45</f>
        <v>539276.53826955613</v>
      </c>
      <c r="AD87" s="46">
        <f>AC87-AD88*AD114-AD117-AD60-AD45</f>
        <v>533451.94028678944</v>
      </c>
      <c r="AE87" s="46">
        <f>AD87-AE88*AE114-AE117-AE60-AE45</f>
        <v>523066.59340809251</v>
      </c>
      <c r="AF87" s="57">
        <f>AE87</f>
        <v>523066.59340809251</v>
      </c>
      <c r="AH87" s="57">
        <f>AF87-AH88*AH114-AH117-AH60-AH45</f>
        <v>503913.09676822857</v>
      </c>
      <c r="AI87" s="72"/>
      <c r="AJ87" s="57">
        <f>AH87-AJ88*AJ114-AJ117-AJ60-AJ45</f>
        <v>491757.82029275439</v>
      </c>
      <c r="AK87" s="54"/>
      <c r="AL87" s="57">
        <f>AJ87-AL88*AL114-AL117-AL60-AL45</f>
        <v>482662.823303112</v>
      </c>
    </row>
    <row r="88" spans="2:38" ht="14.25" customHeight="1">
      <c r="B88" s="31" t="s">
        <v>452</v>
      </c>
      <c r="D88" s="305"/>
      <c r="E88" s="305">
        <f>(-E114-E60)/(-E114)</f>
        <v>0.40043093672034474</v>
      </c>
      <c r="F88" s="305">
        <f t="shared" ref="F88:G88" si="56">(-F114-F60)/(-F114)</f>
        <v>0.50737969026088769</v>
      </c>
      <c r="G88" s="305">
        <f t="shared" si="56"/>
        <v>0.27341263193164683</v>
      </c>
      <c r="H88" s="319">
        <f>AVERAGE(D88:G88)</f>
        <v>0.39374108630429311</v>
      </c>
      <c r="J88" s="305">
        <f t="shared" ref="J88" si="57">(-J114-J60)/(-J114)</f>
        <v>0.55820730357801551</v>
      </c>
      <c r="K88" s="305">
        <f>(-K114-K60)/(-K114)</f>
        <v>0.46897001303780966</v>
      </c>
      <c r="L88" s="305">
        <f t="shared" ref="L88:M88" si="58">(-L114-L60)/(-L114)</f>
        <v>0.40984528832630096</v>
      </c>
      <c r="M88" s="305">
        <f t="shared" si="58"/>
        <v>0.14201107248615938</v>
      </c>
      <c r="N88" s="319">
        <f>AVERAGE(J88:M88)</f>
        <v>0.39475841935707134</v>
      </c>
      <c r="P88" s="305">
        <f t="shared" ref="P88" si="59">(-P114-P60)/(-P114)</f>
        <v>3.9788757867322576E-2</v>
      </c>
      <c r="Q88" s="305">
        <f>(-Q114-Q60)/(-Q114)</f>
        <v>-0.20243211118222548</v>
      </c>
      <c r="R88" s="305">
        <f t="shared" ref="R88:S88" si="60">(-R114-R60)/(-R114)</f>
        <v>-0.21638088606493167</v>
      </c>
      <c r="S88" s="305">
        <f t="shared" si="60"/>
        <v>-0.12480024351267027</v>
      </c>
      <c r="T88" s="319">
        <f>AVERAGE(P88:S88)</f>
        <v>-0.1259561207231262</v>
      </c>
      <c r="U88" s="205"/>
      <c r="V88" s="305">
        <f t="shared" ref="V88" si="61">(-V114-V60)/(-V114)</f>
        <v>0.58801584112954142</v>
      </c>
      <c r="W88" s="305">
        <f>(-W114-W60)/(-W114)</f>
        <v>0.3164109183039342</v>
      </c>
      <c r="X88" s="316">
        <f>AVERAGE(R88,L88,F88)</f>
        <v>0.23361469750741901</v>
      </c>
      <c r="Y88" s="316">
        <f>AVERAGE(S88,M88,G88)</f>
        <v>9.6874486968378637E-2</v>
      </c>
      <c r="Z88" s="319">
        <f>AVERAGE(V88:Y88)</f>
        <v>0.30872898597731829</v>
      </c>
      <c r="AB88" s="316">
        <f t="shared" ref="AB88" si="62">AVERAGE(D88,J88,V88)</f>
        <v>0.57311157235377852</v>
      </c>
      <c r="AC88" s="316">
        <f>AVERAGE(E88,K88,W88)</f>
        <v>0.39527062268736285</v>
      </c>
      <c r="AD88" s="316">
        <f t="shared" ref="AD88:AE88" si="63">AVERAGE(F88,L88,X88)</f>
        <v>0.38361322536486919</v>
      </c>
      <c r="AE88" s="316">
        <f t="shared" si="63"/>
        <v>0.17076606379539494</v>
      </c>
      <c r="AF88" s="319">
        <f>AVERAGE(AB88:AE88)</f>
        <v>0.38069037105035136</v>
      </c>
      <c r="AH88" s="316">
        <f>AF88</f>
        <v>0.38069037105035136</v>
      </c>
      <c r="AJ88" s="316">
        <f>AF88</f>
        <v>0.38069037105035136</v>
      </c>
      <c r="AL88" s="316">
        <f>AF88</f>
        <v>0.38069037105035136</v>
      </c>
    </row>
    <row r="89" spans="2:38" ht="14.25" customHeight="1">
      <c r="D89" s="46"/>
      <c r="E89" s="46"/>
      <c r="F89" s="46"/>
      <c r="G89" s="46"/>
      <c r="J89" s="46"/>
      <c r="K89" s="46"/>
      <c r="L89" s="46"/>
      <c r="M89" s="46"/>
      <c r="P89" s="46"/>
      <c r="Q89" s="46"/>
      <c r="R89" s="46"/>
      <c r="S89" s="46"/>
      <c r="U89" s="205"/>
      <c r="V89" s="46"/>
      <c r="W89" s="46"/>
      <c r="X89" s="46"/>
      <c r="Y89" s="46"/>
      <c r="AB89" s="46"/>
      <c r="AC89" s="46"/>
      <c r="AD89" s="46"/>
      <c r="AE89" s="46"/>
    </row>
    <row r="90" spans="2:38" ht="14.25" customHeight="1">
      <c r="B90" s="28" t="s">
        <v>453</v>
      </c>
      <c r="D90" s="50">
        <f>IF($B$90="Intangibles excl. Goodwill",BS!P29,BS!P27)</f>
        <v>4071598</v>
      </c>
      <c r="E90" s="50">
        <f>IF($B$90="Intangibles excl. Goodwill",BS!Q29,BS!Q27)</f>
        <v>4026156</v>
      </c>
      <c r="F90" s="50">
        <f>IF($B$90="Intangibles excl. Goodwill",BS!R29,BS!R27)</f>
        <v>4069221</v>
      </c>
      <c r="G90" s="50">
        <f>IF($B$90="Intangibles excl. Goodwill",BS!S29,BS!S27)</f>
        <v>4206066</v>
      </c>
      <c r="H90" s="68">
        <f>IF($B$90="Intangibles excl. Goodwill",BS!T29,BS!T27)</f>
        <v>4206066</v>
      </c>
      <c r="J90" s="50">
        <f>IF($B$90="Intangibles excl. Goodwill",BS!V29,BS!V27)</f>
        <v>4220229</v>
      </c>
      <c r="K90" s="50">
        <f>IF($B$90="Intangibles excl. Goodwill",BS!W29,BS!W27)</f>
        <v>4242637</v>
      </c>
      <c r="L90" s="50">
        <f>IF($B$90="Intangibles excl. Goodwill",BS!X29,BS!X27)</f>
        <v>4227965</v>
      </c>
      <c r="M90" s="50">
        <f>IF($B$90="Intangibles excl. Goodwill",BS!Y29,BS!Y27)</f>
        <v>4179386</v>
      </c>
      <c r="N90" s="68">
        <f>IF($B$90="Intangibles excl. Goodwill",BS!Z29,BS!Z27)</f>
        <v>4179386</v>
      </c>
      <c r="P90" s="50">
        <f>IF($B$90="Intangibles excl. Goodwill",BS!AB29,BS!AB27)</f>
        <v>4142795</v>
      </c>
      <c r="Q90" s="50">
        <f>IF($B$90="Intangibles excl. Goodwill",BS!AC29,BS!AC27)</f>
        <v>4122686</v>
      </c>
      <c r="R90" s="50">
        <f>IF($B$90="Intangibles excl. Goodwill",BS!AD29,BS!AD27)</f>
        <v>4157772</v>
      </c>
      <c r="S90" s="50">
        <f>IF($B$90="Intangibles excl. Goodwill",BS!AE29,BS!AE27)</f>
        <v>4129259</v>
      </c>
      <c r="T90" s="68">
        <f>IF($B$90="Intangibles excl. Goodwill",BS!AF29,BS!AF27)</f>
        <v>4129259</v>
      </c>
      <c r="U90" s="205"/>
      <c r="V90" s="50">
        <f>IF($B$90="Intangibles excl. Goodwill",BS!AH29,BS!AH27)</f>
        <v>4149634</v>
      </c>
      <c r="W90" s="50">
        <f>IF($B$90="Intangibles excl. Goodwill",BS!AI29,BS!AI27)</f>
        <v>4206332</v>
      </c>
      <c r="X90" s="46">
        <f>W90-(1-X88)*X114-X63+X91*X54</f>
        <v>4202173.0653025163</v>
      </c>
      <c r="Y90" s="46">
        <f>X90-(1-Y88)*Y114-Y63+Y91*Y54</f>
        <v>4203661.2954049539</v>
      </c>
      <c r="Z90" s="57">
        <f>Y90</f>
        <v>4203661.2954049539</v>
      </c>
      <c r="AB90" s="46">
        <f>Y90-(1-AB88)*AB114-AB63+AB91*AB54</f>
        <v>4194182.431146001</v>
      </c>
      <c r="AC90" s="46">
        <f>AB90-(1-AC88)*AC114-AC63+AC91*AC54</f>
        <v>4191584.2098260187</v>
      </c>
      <c r="AD90" s="46">
        <f t="shared" ref="AD90:AE90" si="64">AC90-(1-AD88)*AD114-AD63+AD91*AD54</f>
        <v>4186288.3113397229</v>
      </c>
      <c r="AE90" s="46">
        <f t="shared" si="64"/>
        <v>4188819.882978972</v>
      </c>
      <c r="AF90" s="57">
        <f>AE90</f>
        <v>4188819.882978972</v>
      </c>
      <c r="AH90" s="57">
        <f>AF90-(1-AH88)*AH114-AH63+AH91*AH54</f>
        <v>4180053.0128190815</v>
      </c>
      <c r="AJ90" s="57">
        <f>AH90-(1-AJ88)*AJ114-AJ63+AJ91*AJ54</f>
        <v>4179392.4366482887</v>
      </c>
      <c r="AL90" s="57">
        <f>AJ90-(1-AL88)*AL114-AL63+AL91*AL54</f>
        <v>4181546.4019923396</v>
      </c>
    </row>
    <row r="91" spans="2:38" ht="14.25" customHeight="1">
      <c r="B91" s="31" t="s">
        <v>454</v>
      </c>
      <c r="D91" s="305">
        <f>IFERROR(BS!P57/FCFF!D90,"")</f>
        <v>0</v>
      </c>
      <c r="E91" s="305">
        <f>IFERROR(BS!Q57/FCFF!E90,"")</f>
        <v>0</v>
      </c>
      <c r="F91" s="305">
        <f>IFERROR(BS!R57/FCFF!F90,"")</f>
        <v>0</v>
      </c>
      <c r="G91" s="305">
        <f>IFERROR(BS!S57/FCFF!G90,"")</f>
        <v>0</v>
      </c>
      <c r="H91" s="308">
        <f>IFERROR(BS!T57/FCFF!H90,"")</f>
        <v>0</v>
      </c>
      <c r="J91" s="305">
        <f>IFERROR(BS!V57/FCFF!J90,"")</f>
        <v>0</v>
      </c>
      <c r="K91" s="305">
        <f>IFERROR(BS!W57/FCFF!K90,"")</f>
        <v>0</v>
      </c>
      <c r="L91" s="305">
        <f>IFERROR(BS!X57/FCFF!L90,"")</f>
        <v>0</v>
      </c>
      <c r="M91" s="305">
        <f>IFERROR(BS!Y57/FCFF!M90,"")</f>
        <v>0</v>
      </c>
      <c r="N91" s="308">
        <f>IFERROR(BS!Z57/FCFF!N90,"")</f>
        <v>0</v>
      </c>
      <c r="P91" s="305">
        <f>IFERROR(BS!AB57/FCFF!P90,"")</f>
        <v>0</v>
      </c>
      <c r="Q91" s="305">
        <f>IFERROR(BS!AC57/FCFF!Q90,"")</f>
        <v>0</v>
      </c>
      <c r="R91" s="305">
        <f>IFERROR(BS!AD57/FCFF!R90,"")</f>
        <v>0</v>
      </c>
      <c r="S91" s="305">
        <f>IFERROR(BS!AE57/FCFF!S90,"")</f>
        <v>0</v>
      </c>
      <c r="T91" s="308">
        <f>IFERROR(BS!AF57/FCFF!T90,"")</f>
        <v>0</v>
      </c>
      <c r="U91" s="205"/>
      <c r="V91" s="305">
        <f>IFERROR(BS!AH57/FCFF!V90,"")</f>
        <v>0</v>
      </c>
      <c r="W91" s="305">
        <f>IFERROR(BS!AI57/FCFF!W90,"")</f>
        <v>0</v>
      </c>
      <c r="X91" s="316">
        <v>0</v>
      </c>
      <c r="Y91" s="316">
        <v>0</v>
      </c>
      <c r="Z91" s="319">
        <f>AVERAGE(V91:Y91)</f>
        <v>0</v>
      </c>
      <c r="AB91" s="316">
        <v>0</v>
      </c>
      <c r="AC91" s="316">
        <v>0</v>
      </c>
      <c r="AD91" s="316">
        <v>0</v>
      </c>
      <c r="AE91" s="316">
        <v>0</v>
      </c>
      <c r="AF91" s="319">
        <f>AVERAGE(AB91:AE91)</f>
        <v>0</v>
      </c>
      <c r="AH91" s="316">
        <v>0</v>
      </c>
      <c r="AJ91" s="316">
        <v>0</v>
      </c>
      <c r="AL91" s="316">
        <v>0</v>
      </c>
    </row>
    <row r="92" spans="2:38" ht="14.25" customHeight="1">
      <c r="D92" s="46"/>
      <c r="E92" s="46"/>
      <c r="F92" s="46"/>
      <c r="G92" s="46"/>
      <c r="J92" s="46"/>
      <c r="K92" s="46"/>
      <c r="L92" s="46"/>
      <c r="M92" s="46"/>
      <c r="P92" s="46"/>
      <c r="Q92" s="46"/>
      <c r="R92" s="46"/>
      <c r="S92" s="46"/>
      <c r="U92" s="205"/>
      <c r="V92" s="46"/>
      <c r="W92" s="46"/>
      <c r="X92" s="46"/>
      <c r="Y92" s="46"/>
      <c r="AB92" s="46"/>
      <c r="AC92" s="46"/>
      <c r="AD92" s="46"/>
      <c r="AE92" s="46"/>
    </row>
    <row r="93" spans="2:38" ht="14.25" customHeight="1">
      <c r="B93" s="28" t="s">
        <v>455</v>
      </c>
      <c r="D93" s="50">
        <f>BS!P37</f>
        <v>556304</v>
      </c>
      <c r="E93" s="50">
        <f>BS!Q37</f>
        <v>555919</v>
      </c>
      <c r="F93" s="50">
        <f>BS!R37</f>
        <v>506211</v>
      </c>
      <c r="G93" s="50">
        <f>BS!S37</f>
        <v>538060</v>
      </c>
      <c r="H93" s="68">
        <f>BS!T37</f>
        <v>538060</v>
      </c>
      <c r="J93" s="50">
        <f>BS!V37</f>
        <v>751157</v>
      </c>
      <c r="K93" s="50">
        <f>BS!W37</f>
        <v>496222</v>
      </c>
      <c r="L93" s="50">
        <f>BS!X37</f>
        <v>480175</v>
      </c>
      <c r="M93" s="50">
        <f>BS!Y37</f>
        <v>480393</v>
      </c>
      <c r="N93" s="68">
        <f>BS!Z37</f>
        <v>480393</v>
      </c>
      <c r="P93" s="50">
        <f>BS!AB37</f>
        <v>507054</v>
      </c>
      <c r="Q93" s="50">
        <f>BS!AC37</f>
        <v>520258</v>
      </c>
      <c r="R93" s="50">
        <f>BS!AD37</f>
        <v>469035</v>
      </c>
      <c r="S93" s="50">
        <f>BS!AE37</f>
        <v>475313</v>
      </c>
      <c r="T93" s="68">
        <f>BS!AF37</f>
        <v>475313</v>
      </c>
      <c r="U93" s="205"/>
      <c r="V93" s="50">
        <f>BS!AH37</f>
        <v>529098</v>
      </c>
      <c r="W93" s="50">
        <f>BS!AI37</f>
        <v>516153</v>
      </c>
      <c r="X93" s="46">
        <f>X94*X42/92</f>
        <v>474304.7397240214</v>
      </c>
      <c r="Y93" s="46">
        <f>Y94*Y42/92</f>
        <v>492744.98360974196</v>
      </c>
      <c r="Z93" s="312">
        <f>Y93</f>
        <v>492744.98360974196</v>
      </c>
      <c r="AB93" s="46">
        <f>AB94*AB42/90</f>
        <v>541702.59347647522</v>
      </c>
      <c r="AC93" s="46">
        <f>AC94*AC42/91</f>
        <v>514204.10242390167</v>
      </c>
      <c r="AD93" s="46">
        <f t="shared" ref="AD93:AE93" si="65">AD94*AD42/92</f>
        <v>486686.76641406992</v>
      </c>
      <c r="AE93" s="46">
        <f t="shared" si="65"/>
        <v>509952.39497334638</v>
      </c>
      <c r="AF93" s="312">
        <f>AE93</f>
        <v>509952.39497334638</v>
      </c>
      <c r="AH93" s="57">
        <f>AH94*AH42/365</f>
        <v>523448.14959012088</v>
      </c>
      <c r="AJ93" s="57">
        <f>AJ94*AJ42/366</f>
        <v>534287.93236761482</v>
      </c>
      <c r="AL93" s="57">
        <f>AL94*AL42/365</f>
        <v>552403.75882743672</v>
      </c>
    </row>
    <row r="94" spans="2:38" ht="14.25" customHeight="1">
      <c r="B94" s="31" t="s">
        <v>456</v>
      </c>
      <c r="D94" s="323">
        <f>D93/D42*90</f>
        <v>75.383804651246834</v>
      </c>
      <c r="E94" s="323">
        <f>E93/E42*91</f>
        <v>77.487832747959359</v>
      </c>
      <c r="F94" s="323">
        <f>F93/F42*92</f>
        <v>74.200953095648927</v>
      </c>
      <c r="G94" s="323">
        <f>G93/G42*92</f>
        <v>77.14903332891754</v>
      </c>
      <c r="H94" s="324">
        <f>H93/H42*365</f>
        <v>77.398903365217691</v>
      </c>
      <c r="I94" s="325"/>
      <c r="J94" s="323">
        <f>J93/J42*90</f>
        <v>107.53670102010464</v>
      </c>
      <c r="K94" s="323">
        <f>K93/K42*91</f>
        <v>69.820612728953876</v>
      </c>
      <c r="L94" s="323">
        <f>L93/L42*92</f>
        <v>72.978661190856542</v>
      </c>
      <c r="M94" s="323">
        <f>M93/M42*92</f>
        <v>71.076967612136883</v>
      </c>
      <c r="N94" s="324">
        <f>N93/N42*365</f>
        <v>71.585027698133814</v>
      </c>
      <c r="O94" s="325"/>
      <c r="P94" s="323">
        <f>P93/P42*90</f>
        <v>78.603815573714016</v>
      </c>
      <c r="Q94" s="323">
        <f>Q93/Q42*91</f>
        <v>77.370760772931703</v>
      </c>
      <c r="R94" s="323">
        <f>R93/R42*92</f>
        <v>73.46451585443711</v>
      </c>
      <c r="S94" s="323">
        <f>S93/S42*92</f>
        <v>69.972119191098116</v>
      </c>
      <c r="T94" s="324">
        <f>T93/T42*365</f>
        <v>73.916647103459468</v>
      </c>
      <c r="U94" s="326"/>
      <c r="V94" s="323">
        <f>V93/V42*90</f>
        <v>84.928356643730808</v>
      </c>
      <c r="W94" s="323">
        <f>W93/W42*91</f>
        <v>77.435543912636348</v>
      </c>
      <c r="X94" s="327">
        <f>AVERAGE(R94,L94)</f>
        <v>73.221588522646826</v>
      </c>
      <c r="Y94" s="327">
        <f t="shared" ref="Y94" si="66">AVERAGE(S94,M94)</f>
        <v>70.524543401617507</v>
      </c>
      <c r="Z94" s="324">
        <f>Z93/Z42*365</f>
        <v>74.751486115560411</v>
      </c>
      <c r="AA94" s="325"/>
      <c r="AB94" s="327">
        <v>85</v>
      </c>
      <c r="AC94" s="327">
        <v>74</v>
      </c>
      <c r="AD94" s="327">
        <f t="shared" ref="AD94" si="67">AVERAGE(X94,L94,R94,F94)</f>
        <v>73.466429665897351</v>
      </c>
      <c r="AE94" s="327">
        <v>71</v>
      </c>
      <c r="AF94" s="324">
        <f>AF93/AF42*365</f>
        <v>75.170251081890683</v>
      </c>
      <c r="AG94" s="325"/>
      <c r="AH94" s="327">
        <f>AF94</f>
        <v>75.170251081890683</v>
      </c>
      <c r="AI94" s="325"/>
      <c r="AJ94" s="327">
        <f>AF94</f>
        <v>75.170251081890683</v>
      </c>
      <c r="AK94" s="324"/>
      <c r="AL94" s="327">
        <f>AF94</f>
        <v>75.170251081890683</v>
      </c>
    </row>
    <row r="95" spans="2:38" ht="14.25" customHeight="1">
      <c r="B95" s="28"/>
      <c r="D95" s="46"/>
      <c r="E95" s="46"/>
      <c r="F95" s="46"/>
      <c r="G95" s="46"/>
      <c r="J95" s="46"/>
      <c r="K95" s="46"/>
      <c r="L95" s="46"/>
      <c r="M95" s="46"/>
      <c r="P95" s="46"/>
      <c r="Q95" s="46"/>
      <c r="R95" s="46"/>
      <c r="S95" s="46"/>
      <c r="U95" s="205"/>
      <c r="V95" s="46"/>
      <c r="W95" s="46"/>
      <c r="X95" s="46"/>
      <c r="Y95" s="46"/>
      <c r="AB95" s="46"/>
      <c r="AC95" s="46"/>
      <c r="AD95" s="46"/>
      <c r="AE95" s="46"/>
    </row>
    <row r="96" spans="2:38" ht="14.25" customHeight="1">
      <c r="B96" s="28" t="s">
        <v>457</v>
      </c>
      <c r="D96" s="50">
        <f>BS!P40</f>
        <v>312397</v>
      </c>
      <c r="E96" s="50">
        <f>BS!Q40</f>
        <v>348047</v>
      </c>
      <c r="F96" s="50">
        <f>BS!R40</f>
        <v>362987</v>
      </c>
      <c r="G96" s="50">
        <f>BS!S40</f>
        <v>379391</v>
      </c>
      <c r="H96" s="68">
        <f>BS!T40</f>
        <v>379391</v>
      </c>
      <c r="J96" s="50">
        <f>BS!V40</f>
        <v>169023</v>
      </c>
      <c r="K96" s="50">
        <f>BS!W40</f>
        <v>311093</v>
      </c>
      <c r="L96" s="50">
        <f>BS!X40</f>
        <v>313108</v>
      </c>
      <c r="M96" s="50">
        <f>BS!Y40</f>
        <v>299462</v>
      </c>
      <c r="N96" s="68">
        <f>BS!Z40</f>
        <v>299462</v>
      </c>
      <c r="P96" s="50">
        <f>BS!AB40</f>
        <v>263208</v>
      </c>
      <c r="Q96" s="50">
        <f>BS!AC40</f>
        <v>266987</v>
      </c>
      <c r="R96" s="50">
        <f>BS!AD40</f>
        <v>276431</v>
      </c>
      <c r="S96" s="50">
        <f>BS!AE40</f>
        <v>282122</v>
      </c>
      <c r="T96" s="68">
        <f>BS!AF40</f>
        <v>282122</v>
      </c>
      <c r="U96" s="205"/>
      <c r="V96" s="50">
        <f>BS!AH40</f>
        <v>285437</v>
      </c>
      <c r="W96" s="50">
        <f>BS!AI40</f>
        <v>293314</v>
      </c>
      <c r="X96" s="46">
        <f>X97*X39</f>
        <v>292407.79544223484</v>
      </c>
      <c r="Y96" s="46">
        <f t="shared" ref="Y96" si="68">Y97*Y39</f>
        <v>298990.76061678369</v>
      </c>
      <c r="Z96" s="312">
        <f>Y96</f>
        <v>298990.76061678369</v>
      </c>
      <c r="AB96" s="46">
        <f t="shared" ref="AB96:AC96" si="69">AB97*AB39</f>
        <v>281831.86148789694</v>
      </c>
      <c r="AC96" s="46">
        <f t="shared" si="69"/>
        <v>304257.85224367899</v>
      </c>
      <c r="AD96" s="46">
        <f>AD97*AD39</f>
        <v>297165.91362872138</v>
      </c>
      <c r="AE96" s="46">
        <f t="shared" ref="AE96" si="70">AE97*AE39</f>
        <v>324889.5441798403</v>
      </c>
      <c r="AF96" s="312">
        <f>AE96</f>
        <v>324889.5441798403</v>
      </c>
      <c r="AH96" s="57">
        <f>AH97*AH39</f>
        <v>336089.65495259338</v>
      </c>
      <c r="AJ96" s="57">
        <f>AJ97*AJ39</f>
        <v>349770.73604972981</v>
      </c>
      <c r="AL96" s="57">
        <f>AL97*AL39</f>
        <v>363698.46156810003</v>
      </c>
    </row>
    <row r="97" spans="2:38" ht="14.25" customHeight="1">
      <c r="B97" s="31" t="s">
        <v>400</v>
      </c>
      <c r="D97" s="305">
        <f>D96/D39</f>
        <v>0.31406910390921267</v>
      </c>
      <c r="E97" s="305">
        <f t="shared" ref="E97:H97" si="71">E96/E39</f>
        <v>0.34337673305373612</v>
      </c>
      <c r="F97" s="305">
        <f t="shared" si="71"/>
        <v>0.36559331474078705</v>
      </c>
      <c r="G97" s="305">
        <f t="shared" si="71"/>
        <v>0.36773205519019486</v>
      </c>
      <c r="H97" s="308">
        <f t="shared" si="71"/>
        <v>9.4075087785247813E-2</v>
      </c>
      <c r="J97" s="305">
        <f>J96/J39</f>
        <v>0.16778208370888906</v>
      </c>
      <c r="K97" s="305">
        <f t="shared" ref="K97" si="72">K96/K39</f>
        <v>0.29913306191837935</v>
      </c>
      <c r="L97" s="305">
        <f t="shared" ref="L97" si="73">L96/L39</f>
        <v>0.31928586214667604</v>
      </c>
      <c r="M97" s="305">
        <f t="shared" ref="M97" si="74">M96/M39</f>
        <v>0.29691565137381815</v>
      </c>
      <c r="N97" s="308">
        <f t="shared" ref="N97" si="75">N96/N39</f>
        <v>7.4186599877867659E-2</v>
      </c>
      <c r="P97" s="305">
        <f>P96/P39</f>
        <v>0.28395794270524294</v>
      </c>
      <c r="Q97" s="305">
        <f t="shared" ref="Q97" si="76">Q96/Q39</f>
        <v>0.26926335238102922</v>
      </c>
      <c r="R97" s="305">
        <f t="shared" ref="R97" si="77">R96/R39</f>
        <v>0.29319936487666115</v>
      </c>
      <c r="S97" s="305">
        <f t="shared" ref="S97" si="78">S96/S39</f>
        <v>0.2782594801559552</v>
      </c>
      <c r="T97" s="308">
        <f t="shared" ref="T97" si="79">T96/T39</f>
        <v>7.2802633799567612E-2</v>
      </c>
      <c r="U97" s="205"/>
      <c r="V97" s="305">
        <f>V96/V39</f>
        <v>0.31483399457549799</v>
      </c>
      <c r="W97" s="305">
        <f t="shared" ref="W97" si="80">W96/W39</f>
        <v>0.29995531053045482</v>
      </c>
      <c r="X97" s="316">
        <f>AVERAGE(R97,L97)</f>
        <v>0.30624261351166859</v>
      </c>
      <c r="Y97" s="316">
        <f t="shared" ref="Y97" si="81">AVERAGE(S97,M97)</f>
        <v>0.28758756576488664</v>
      </c>
      <c r="Z97" s="308">
        <f t="shared" ref="Z97" si="82">Z96/Z39</f>
        <v>7.7080111118216083E-2</v>
      </c>
      <c r="AB97" s="316">
        <v>0.3</v>
      </c>
      <c r="AC97" s="316">
        <v>0.3</v>
      </c>
      <c r="AD97" s="316">
        <v>0.3</v>
      </c>
      <c r="AE97" s="316">
        <v>0.3</v>
      </c>
      <c r="AF97" s="308">
        <f t="shared" ref="AF97" si="83">AF96/AF39</f>
        <v>8.0674794345866399E-2</v>
      </c>
      <c r="AH97" s="316">
        <v>0.08</v>
      </c>
      <c r="AJ97" s="316">
        <v>0.08</v>
      </c>
      <c r="AL97" s="316">
        <v>0.08</v>
      </c>
    </row>
    <row r="98" spans="2:38" ht="14.25" customHeight="1">
      <c r="U98" s="205"/>
    </row>
    <row r="99" spans="2:38" ht="14.25" customHeight="1">
      <c r="B99" s="161" t="s">
        <v>458</v>
      </c>
      <c r="C99" s="186"/>
      <c r="D99" s="359" t="s">
        <v>418</v>
      </c>
      <c r="E99" s="359" t="s">
        <v>419</v>
      </c>
      <c r="F99" s="359" t="s">
        <v>420</v>
      </c>
      <c r="G99" s="359" t="s">
        <v>421</v>
      </c>
      <c r="H99" s="359" t="s">
        <v>422</v>
      </c>
      <c r="I99" s="37"/>
      <c r="J99" s="359" t="s">
        <v>423</v>
      </c>
      <c r="K99" s="359" t="s">
        <v>424</v>
      </c>
      <c r="L99" s="359" t="s">
        <v>425</v>
      </c>
      <c r="M99" s="359" t="s">
        <v>426</v>
      </c>
      <c r="N99" s="359" t="s">
        <v>427</v>
      </c>
      <c r="O99" s="37"/>
      <c r="P99" s="359" t="s">
        <v>428</v>
      </c>
      <c r="Q99" s="359" t="s">
        <v>429</v>
      </c>
      <c r="R99" s="359" t="s">
        <v>430</v>
      </c>
      <c r="S99" s="359" t="s">
        <v>431</v>
      </c>
      <c r="T99" s="359" t="s">
        <v>432</v>
      </c>
      <c r="U99" s="37"/>
      <c r="V99" s="359" t="s">
        <v>433</v>
      </c>
      <c r="W99" s="359" t="s">
        <v>434</v>
      </c>
      <c r="X99" s="359" t="s">
        <v>435</v>
      </c>
      <c r="Y99" s="359" t="s">
        <v>436</v>
      </c>
      <c r="Z99" s="359" t="s">
        <v>437</v>
      </c>
      <c r="AA99" s="37"/>
      <c r="AB99" s="359" t="s">
        <v>438</v>
      </c>
      <c r="AC99" s="359" t="s">
        <v>439</v>
      </c>
      <c r="AD99" s="359" t="s">
        <v>440</v>
      </c>
      <c r="AE99" s="359" t="s">
        <v>441</v>
      </c>
      <c r="AF99" s="359" t="s">
        <v>442</v>
      </c>
      <c r="AG99" s="37"/>
      <c r="AH99" s="359" t="s">
        <v>443</v>
      </c>
      <c r="AI99" s="37"/>
      <c r="AJ99" s="359" t="s">
        <v>444</v>
      </c>
      <c r="AK99" s="359"/>
      <c r="AL99" s="359" t="s">
        <v>445</v>
      </c>
    </row>
    <row r="100" spans="2:38" ht="3.95" customHeight="1">
      <c r="B100" s="288"/>
      <c r="C100" s="36"/>
      <c r="D100" s="288"/>
      <c r="E100" s="288"/>
      <c r="F100" s="288"/>
      <c r="G100" s="288"/>
      <c r="H100" s="288"/>
      <c r="I100" s="36"/>
      <c r="J100" s="288"/>
      <c r="K100" s="288"/>
      <c r="L100" s="288"/>
      <c r="M100" s="288"/>
      <c r="N100" s="288"/>
      <c r="O100" s="36"/>
      <c r="P100" s="288"/>
      <c r="Q100" s="288"/>
      <c r="R100" s="288"/>
      <c r="S100" s="288"/>
      <c r="T100" s="288"/>
      <c r="U100" s="36"/>
      <c r="V100" s="288"/>
      <c r="W100" s="288"/>
      <c r="X100" s="288"/>
      <c r="Y100" s="288"/>
      <c r="Z100" s="288"/>
      <c r="AA100" s="36"/>
      <c r="AB100" s="288"/>
      <c r="AC100" s="288"/>
      <c r="AD100" s="288"/>
      <c r="AE100" s="288"/>
      <c r="AF100" s="288"/>
      <c r="AG100" s="36"/>
      <c r="AH100" s="288"/>
      <c r="AI100" s="36"/>
      <c r="AJ100" s="289"/>
      <c r="AK100" s="288"/>
      <c r="AL100" s="288"/>
    </row>
    <row r="101" spans="2:38" ht="3.95" customHeight="1">
      <c r="U101" s="205"/>
    </row>
    <row r="102" spans="2:38" ht="14.25" customHeight="1">
      <c r="B102" s="28" t="s">
        <v>407</v>
      </c>
      <c r="D102" s="50">
        <f>CF!P17</f>
        <v>46742</v>
      </c>
      <c r="E102" s="50">
        <f>CF!Q17</f>
        <v>29035</v>
      </c>
      <c r="F102" s="50">
        <f>CF!R17</f>
        <v>31140</v>
      </c>
      <c r="G102" s="50">
        <f>CF!S17</f>
        <v>31144</v>
      </c>
      <c r="H102" s="68">
        <f>CF!T17</f>
        <v>138061</v>
      </c>
      <c r="J102" s="50">
        <f>CF!V17</f>
        <v>34947</v>
      </c>
      <c r="K102" s="50">
        <f>CF!W17</f>
        <v>30830</v>
      </c>
      <c r="L102" s="50">
        <f>CF!X17</f>
        <v>33281</v>
      </c>
      <c r="M102" s="50">
        <f>CF!Y17</f>
        <v>33546</v>
      </c>
      <c r="N102" s="68">
        <f>CF!Z17</f>
        <v>132604</v>
      </c>
      <c r="P102" s="50">
        <f>CF!AB17</f>
        <v>32410</v>
      </c>
      <c r="Q102" s="50">
        <f>CF!AC17</f>
        <v>31646</v>
      </c>
      <c r="R102" s="50">
        <f>CF!AD17</f>
        <v>30780</v>
      </c>
      <c r="S102" s="50">
        <f>CF!AE17</f>
        <v>32338</v>
      </c>
      <c r="T102" s="68">
        <f>CF!AF17</f>
        <v>127174</v>
      </c>
      <c r="U102" s="205"/>
      <c r="V102" s="50">
        <f>CF!AH17</f>
        <v>32145</v>
      </c>
      <c r="W102" s="50">
        <f>CF!AI17</f>
        <v>32190</v>
      </c>
      <c r="X102" s="46">
        <f>X45+X57</f>
        <v>33797.553078141929</v>
      </c>
      <c r="Y102" s="46">
        <f>Y45+Y57</f>
        <v>32460.216871197343</v>
      </c>
      <c r="Z102" s="312">
        <f>SUM(V102:Y102)</f>
        <v>130592.76994933927</v>
      </c>
      <c r="AB102" s="46">
        <f t="shared" ref="AB102:AE102" si="84">AB45+AB57</f>
        <v>32539.462286277005</v>
      </c>
      <c r="AC102" s="46">
        <f t="shared" si="84"/>
        <v>29957.43608632675</v>
      </c>
      <c r="AD102" s="46">
        <f t="shared" si="84"/>
        <v>32912.663468501618</v>
      </c>
      <c r="AE102" s="46">
        <f t="shared" si="84"/>
        <v>31679.008479303222</v>
      </c>
      <c r="AF102" s="312">
        <f>SUM(AB102:AE102)</f>
        <v>127088.57032040859</v>
      </c>
      <c r="AH102" s="57">
        <f>AH45+AH57</f>
        <v>128747.26328553271</v>
      </c>
      <c r="AJ102" s="57">
        <f>AJ45+AJ57</f>
        <v>126491.34186242953</v>
      </c>
      <c r="AL102" s="57">
        <f>AL45+AL57</f>
        <v>125143.03165522389</v>
      </c>
    </row>
    <row r="103" spans="2:38" ht="14.25" customHeight="1">
      <c r="B103" s="31" t="s">
        <v>408</v>
      </c>
      <c r="D103" s="305">
        <f>D102/(D90+D87)</f>
        <v>1.0493981821986218E-2</v>
      </c>
      <c r="E103" s="305">
        <f>E102/(E90+E87)</f>
        <v>6.5337577106667107E-3</v>
      </c>
      <c r="F103" s="305">
        <f>F102/(F90+F87)</f>
        <v>6.9305220726222569E-3</v>
      </c>
      <c r="G103" s="305">
        <f>G102/(G90+G87)</f>
        <v>6.6982192423682583E-3</v>
      </c>
      <c r="H103" s="308">
        <f>H102/(H90+H87)</f>
        <v>2.9693130195883769E-2</v>
      </c>
      <c r="J103" s="305">
        <f>J102/(J90+J87)</f>
        <v>7.4641864502386504E-3</v>
      </c>
      <c r="K103" s="305">
        <f>K102/(K90+K87)</f>
        <v>6.5238998404681123E-3</v>
      </c>
      <c r="L103" s="305">
        <f>L102/(L90+L87)</f>
        <v>7.0408620057899199E-3</v>
      </c>
      <c r="M103" s="305">
        <f>M102/(M90+M87)</f>
        <v>7.1522321462836793E-3</v>
      </c>
      <c r="N103" s="308">
        <f>N102/(N90+N87)</f>
        <v>2.8272061990276067E-2</v>
      </c>
      <c r="P103" s="305">
        <f>P102/(P90+P87)</f>
        <v>6.9684912818605291E-3</v>
      </c>
      <c r="Q103" s="305">
        <f>Q102/(Q90+Q87)</f>
        <v>6.8389079098671443E-3</v>
      </c>
      <c r="R103" s="305">
        <f>R102/(R90+R87)</f>
        <v>6.5933684594074067E-3</v>
      </c>
      <c r="S103" s="305">
        <f>S102/(S90+S87)</f>
        <v>6.9466045028123242E-3</v>
      </c>
      <c r="T103" s="308">
        <f>T102/(T90+T87)</f>
        <v>2.7318556529180981E-2</v>
      </c>
      <c r="U103" s="205"/>
      <c r="V103" s="305">
        <f>V102/(V90+V87)</f>
        <v>6.8388233266742831E-3</v>
      </c>
      <c r="W103" s="305">
        <f>W102/(W90+W87)</f>
        <v>6.7388971488121828E-3</v>
      </c>
      <c r="X103" s="305">
        <f>X102/(X87+X90)</f>
        <v>7.0972772406842433E-3</v>
      </c>
      <c r="Y103" s="305">
        <f>Y102/(Y87+Y90)</f>
        <v>6.8331864723083589E-3</v>
      </c>
      <c r="Z103" s="328">
        <f>Z102/(Z87+Z90)</f>
        <v>2.7491028557819566E-2</v>
      </c>
      <c r="AB103" s="305">
        <f t="shared" ref="AB103:AL103" si="85">AB102/(AB87+AB90)</f>
        <v>6.8670299640296991E-3</v>
      </c>
      <c r="AC103" s="305">
        <f t="shared" si="85"/>
        <v>6.3323436646039993E-3</v>
      </c>
      <c r="AD103" s="305">
        <f t="shared" si="85"/>
        <v>6.9734056778144281E-3</v>
      </c>
      <c r="AE103" s="305">
        <f t="shared" si="85"/>
        <v>6.7232113163290278E-3</v>
      </c>
      <c r="AF103" s="328">
        <f t="shared" si="85"/>
        <v>2.6971908376251106E-2</v>
      </c>
      <c r="AH103" s="328">
        <f t="shared" si="85"/>
        <v>2.7486805043701788E-2</v>
      </c>
      <c r="AJ103" s="328">
        <f t="shared" si="85"/>
        <v>2.7079270608876507E-2</v>
      </c>
      <c r="AL103" s="328">
        <f t="shared" si="85"/>
        <v>2.6830492718151334E-2</v>
      </c>
    </row>
    <row r="104" spans="2:38" ht="14.25" customHeight="1">
      <c r="D104" s="46"/>
      <c r="E104" s="46"/>
      <c r="F104" s="46"/>
      <c r="G104" s="46"/>
      <c r="J104" s="46"/>
      <c r="K104" s="46"/>
      <c r="L104" s="46"/>
      <c r="M104" s="46"/>
      <c r="P104" s="46"/>
      <c r="Q104" s="46"/>
      <c r="R104" s="46"/>
      <c r="S104" s="46"/>
      <c r="U104" s="205"/>
      <c r="V104" s="46"/>
      <c r="W104" s="46"/>
      <c r="X104" s="46"/>
      <c r="Y104" s="46"/>
      <c r="AB104" s="46"/>
      <c r="AC104" s="46"/>
      <c r="AD104" s="46"/>
      <c r="AE104" s="46"/>
    </row>
    <row r="105" spans="2:38" ht="14.25" customHeight="1">
      <c r="B105" s="28" t="s">
        <v>459</v>
      </c>
      <c r="D105" s="50">
        <f>CF!P18</f>
        <v>13723</v>
      </c>
      <c r="E105" s="50">
        <f>CF!Q18</f>
        <v>13157</v>
      </c>
      <c r="F105" s="50">
        <f>CF!R18</f>
        <v>15761</v>
      </c>
      <c r="G105" s="50">
        <f>CF!S18</f>
        <v>15727</v>
      </c>
      <c r="H105" s="68">
        <f>CF!T18</f>
        <v>58368</v>
      </c>
      <c r="J105" s="50">
        <f>CF!V18</f>
        <v>12232</v>
      </c>
      <c r="K105" s="50">
        <f>CF!W18</f>
        <v>9898</v>
      </c>
      <c r="L105" s="50">
        <f>CF!X18</f>
        <v>13175</v>
      </c>
      <c r="M105" s="50">
        <f>CF!Y18</f>
        <v>15742</v>
      </c>
      <c r="N105" s="68">
        <f>CF!Z18</f>
        <v>51047</v>
      </c>
      <c r="P105" s="50">
        <f>CF!AB18</f>
        <v>13822</v>
      </c>
      <c r="Q105" s="50">
        <f>CF!AC18</f>
        <v>7648</v>
      </c>
      <c r="R105" s="50">
        <f>CF!AD18</f>
        <v>8669</v>
      </c>
      <c r="S105" s="50">
        <f>CF!AE18</f>
        <v>6012</v>
      </c>
      <c r="T105" s="68">
        <f>CF!AF18</f>
        <v>36151</v>
      </c>
      <c r="U105" s="205"/>
      <c r="V105" s="50">
        <f>CF!AH18</f>
        <v>2488</v>
      </c>
      <c r="W105" s="50">
        <f>CF!AI18</f>
        <v>6224</v>
      </c>
      <c r="X105" s="46">
        <f>X106*X51</f>
        <v>5408.9397149961605</v>
      </c>
      <c r="Y105" s="46">
        <f>Y106*Y51</f>
        <v>6631.4363195004817</v>
      </c>
      <c r="Z105" s="312">
        <f>SUM(V105:Y105)</f>
        <v>20752.376034496643</v>
      </c>
      <c r="AB105" s="46">
        <f t="shared" ref="AB105:AE105" si="86">AB106*AB51</f>
        <v>9029.6486726976345</v>
      </c>
      <c r="AC105" s="46">
        <f t="shared" si="86"/>
        <v>8155.4902845911038</v>
      </c>
      <c r="AD105" s="46">
        <f t="shared" si="86"/>
        <v>8879.3420827785776</v>
      </c>
      <c r="AE105" s="46">
        <f t="shared" si="86"/>
        <v>9520.3626816986416</v>
      </c>
      <c r="AF105" s="312">
        <f>SUM(AB105:AE105)</f>
        <v>35584.843721765959</v>
      </c>
      <c r="AH105" s="66">
        <f t="shared" ref="AH105:AL105" si="87">AH106*AH51</f>
        <v>34842.831531016018</v>
      </c>
      <c r="AJ105" s="66">
        <f t="shared" si="87"/>
        <v>33889.132666873207</v>
      </c>
      <c r="AL105" s="66">
        <f t="shared" si="87"/>
        <v>34530.816686993057</v>
      </c>
    </row>
    <row r="106" spans="2:38" ht="14.25" customHeight="1">
      <c r="B106" s="31" t="s">
        <v>460</v>
      </c>
      <c r="D106" s="305">
        <f>D105/D51</f>
        <v>8.6129957509304647E-2</v>
      </c>
      <c r="E106" s="305">
        <f>E105/E51</f>
        <v>8.2000112183781962E-2</v>
      </c>
      <c r="F106" s="305">
        <f>F105/F51</f>
        <v>9.2679054451370105E-2</v>
      </c>
      <c r="G106" s="305">
        <f>G105/G51</f>
        <v>9.2876167079069052E-2</v>
      </c>
      <c r="H106" s="308">
        <f>H105/H51</f>
        <v>8.8547316106697332E-2</v>
      </c>
      <c r="J106" s="305">
        <f>J105/J51</f>
        <v>6.7782334035243266E-2</v>
      </c>
      <c r="K106" s="305">
        <f>K105/K51</f>
        <v>5.7316246938172805E-2</v>
      </c>
      <c r="L106" s="305">
        <f>L105/L51</f>
        <v>8.0752917524762186E-2</v>
      </c>
      <c r="M106" s="305">
        <f>M105/M51</f>
        <v>9.960832452749005E-2</v>
      </c>
      <c r="N106" s="308">
        <f>N105/N51</f>
        <v>7.5698977670084322E-2</v>
      </c>
      <c r="P106" s="305">
        <f>P105/P51</f>
        <v>7.9602391181653784E-2</v>
      </c>
      <c r="Q106" s="305">
        <f>Q105/Q51</f>
        <v>4.5813415759144112E-2</v>
      </c>
      <c r="R106" s="305">
        <f>R105/R51</f>
        <v>5.830015602302685E-2</v>
      </c>
      <c r="S106" s="305">
        <f>S105/S51</f>
        <v>4.1162293914662869E-2</v>
      </c>
      <c r="T106" s="308">
        <f>T105/T51</f>
        <v>5.6901317114939058E-2</v>
      </c>
      <c r="U106" s="205"/>
      <c r="V106" s="305">
        <f>V105/V51</f>
        <v>1.4595713975630789E-2</v>
      </c>
      <c r="W106" s="305">
        <f>W105/W51</f>
        <v>3.4306943518115321E-2</v>
      </c>
      <c r="X106" s="316">
        <f>W106</f>
        <v>3.4306943518115321E-2</v>
      </c>
      <c r="Y106" s="316">
        <f>S106</f>
        <v>4.1162293914662869E-2</v>
      </c>
      <c r="Z106" s="328">
        <f>Z105/Z51</f>
        <v>3.0943686964590812E-2</v>
      </c>
      <c r="AB106" s="316">
        <f>AVERAGE(V106,P106,J106)</f>
        <v>5.399347973084262E-2</v>
      </c>
      <c r="AC106" s="316">
        <f t="shared" ref="AC106:AE106" si="88">AVERAGE(W106,Q106,K106)</f>
        <v>4.5812202071810748E-2</v>
      </c>
      <c r="AD106" s="316">
        <f t="shared" si="88"/>
        <v>5.7786672355301459E-2</v>
      </c>
      <c r="AE106" s="316">
        <f t="shared" si="88"/>
        <v>6.0644304118938598E-2</v>
      </c>
      <c r="AF106" s="338">
        <f>AF105/AF51</f>
        <v>5.4253447112851363E-2</v>
      </c>
      <c r="AH106" s="316">
        <f>AF106</f>
        <v>5.4253447112851363E-2</v>
      </c>
      <c r="AJ106" s="316">
        <f>AF106</f>
        <v>5.4253447112851363E-2</v>
      </c>
      <c r="AL106" s="316">
        <f>AF106</f>
        <v>5.4253447112851363E-2</v>
      </c>
    </row>
    <row r="107" spans="2:38" ht="14.25" customHeight="1">
      <c r="B107" s="31" t="s">
        <v>461</v>
      </c>
      <c r="D107" s="305"/>
      <c r="E107" s="305"/>
      <c r="F107" s="305"/>
      <c r="G107" s="305"/>
      <c r="H107" s="308"/>
      <c r="J107" s="305"/>
      <c r="K107" s="305"/>
      <c r="L107" s="305"/>
      <c r="M107" s="305"/>
      <c r="N107" s="308"/>
      <c r="P107" s="305"/>
      <c r="Q107" s="305"/>
      <c r="R107" s="305"/>
      <c r="S107" s="305"/>
      <c r="T107" s="308"/>
      <c r="U107" s="205"/>
      <c r="V107" s="305"/>
      <c r="W107" s="305"/>
      <c r="X107" s="329">
        <v>2</v>
      </c>
      <c r="Y107" s="329">
        <v>2</v>
      </c>
      <c r="Z107" s="336">
        <f>AVERAGE(V107:Y107)</f>
        <v>2</v>
      </c>
      <c r="AB107" s="329">
        <v>1.9</v>
      </c>
      <c r="AC107" s="329">
        <v>1.9</v>
      </c>
      <c r="AD107" s="329">
        <v>1.9</v>
      </c>
      <c r="AE107" s="329">
        <v>1.9</v>
      </c>
      <c r="AF107" s="336">
        <f>AVERAGE(AB107:AE107)</f>
        <v>1.9</v>
      </c>
      <c r="AH107" s="329">
        <v>1.8</v>
      </c>
      <c r="AJ107" s="329">
        <v>1.8</v>
      </c>
      <c r="AL107" s="329">
        <v>1.8</v>
      </c>
    </row>
    <row r="108" spans="2:38" ht="14.25" customHeight="1">
      <c r="B108" s="31" t="s">
        <v>462</v>
      </c>
      <c r="D108" s="46"/>
      <c r="E108" s="46"/>
      <c r="F108" s="46"/>
      <c r="G108" s="46"/>
      <c r="J108" s="46"/>
      <c r="K108" s="46"/>
      <c r="L108" s="46"/>
      <c r="M108" s="46"/>
      <c r="P108" s="46"/>
      <c r="Q108" s="46"/>
      <c r="R108" s="46"/>
      <c r="S108" s="46"/>
      <c r="U108" s="205"/>
      <c r="V108" s="46"/>
      <c r="W108" s="46"/>
      <c r="X108" s="533">
        <f>X107*(X39+W39+V39+S39)/W72</f>
        <v>146.46461130638025</v>
      </c>
      <c r="Y108" s="533">
        <f>Y107*(Y39+X39+W39+V39)/X72</f>
        <v>147.34075399205719</v>
      </c>
      <c r="Z108" s="337">
        <f>AVERAGE(V108:Y108)</f>
        <v>146.90268264921872</v>
      </c>
      <c r="AB108" s="533">
        <f>AB107*(AB39+Y39+X39+W39)/Y72</f>
        <v>141.03721063244888</v>
      </c>
      <c r="AC108" s="533">
        <f>AC107*(AC39+AB39+Y39+X39)/AB72</f>
        <v>142.17448165349879</v>
      </c>
      <c r="AD108" s="533">
        <f>AD107*(AD39+AC39+AB39+Y39)/AC72</f>
        <v>143.30531225364621</v>
      </c>
      <c r="AE108" s="533">
        <f>AE107*(AE39+AD39+AC39+AB39)/AD72</f>
        <v>144.69365106857384</v>
      </c>
      <c r="AF108" s="337">
        <f>AVERAGE(AB108:AE108)</f>
        <v>142.80266390204193</v>
      </c>
      <c r="AH108" s="336">
        <f>AH107*AH39/AE72</f>
        <v>142.82217466266914</v>
      </c>
      <c r="AJ108" s="336">
        <f>AJ107*AJ39/AH72</f>
        <v>147.95427004763033</v>
      </c>
      <c r="AL108" s="336">
        <f>AL107*AL39/AJ72</f>
        <v>154.16333355077808</v>
      </c>
    </row>
    <row r="109" spans="2:38" ht="14.25" customHeight="1">
      <c r="B109" s="31" t="s">
        <v>463</v>
      </c>
      <c r="D109" s="46"/>
      <c r="E109" s="46"/>
      <c r="F109" s="46"/>
      <c r="G109" s="46"/>
      <c r="J109" s="46"/>
      <c r="K109" s="46"/>
      <c r="L109" s="46"/>
      <c r="M109" s="46"/>
      <c r="P109" s="46"/>
      <c r="Q109" s="46"/>
      <c r="R109" s="46"/>
      <c r="S109" s="46"/>
      <c r="U109" s="205"/>
      <c r="V109" s="46"/>
      <c r="W109" s="46"/>
      <c r="X109" s="533">
        <f>X105/X108</f>
        <v>36.930011056947635</v>
      </c>
      <c r="Y109" s="533">
        <f>Y105/Y108</f>
        <v>45.007481907266254</v>
      </c>
      <c r="Z109" s="336">
        <f>AVERAGE(V109:Y109)</f>
        <v>40.968746482106944</v>
      </c>
      <c r="AB109" s="533">
        <f>AB105/AB108</f>
        <v>64.023165462548889</v>
      </c>
      <c r="AC109" s="533">
        <f>AC105/AC108</f>
        <v>57.362546286381374</v>
      </c>
      <c r="AD109" s="533">
        <f>AD105/AD108</f>
        <v>61.96101137592445</v>
      </c>
      <c r="AE109" s="533">
        <f>AE105/AE108</f>
        <v>65.796685696919141</v>
      </c>
      <c r="AF109" s="336">
        <f>AVERAGE(AB109:AE109)</f>
        <v>62.285852205443462</v>
      </c>
      <c r="AH109" s="336">
        <f>AH105/AH108</f>
        <v>243.95953648872171</v>
      </c>
      <c r="AJ109" s="336">
        <f>AJ105/AJ108</f>
        <v>229.05139984106856</v>
      </c>
      <c r="AL109" s="336">
        <f>AL105/AL108</f>
        <v>223.98851848659169</v>
      </c>
    </row>
    <row r="110" spans="2:38" ht="14.25" customHeight="1">
      <c r="D110" s="46"/>
      <c r="E110" s="46"/>
      <c r="F110" s="46"/>
      <c r="G110" s="46"/>
      <c r="J110" s="46"/>
      <c r="K110" s="46"/>
      <c r="L110" s="46"/>
      <c r="M110" s="46"/>
      <c r="P110" s="46"/>
      <c r="Q110" s="46"/>
      <c r="R110" s="46"/>
      <c r="S110" s="46"/>
      <c r="U110" s="205"/>
      <c r="V110" s="46"/>
      <c r="W110" s="46"/>
      <c r="X110" s="46"/>
      <c r="Y110" s="46"/>
      <c r="AB110" s="46"/>
      <c r="AC110" s="46"/>
      <c r="AD110" s="46"/>
      <c r="AE110" s="46"/>
    </row>
    <row r="111" spans="2:38" ht="14.25" customHeight="1">
      <c r="B111" s="28" t="s">
        <v>464</v>
      </c>
      <c r="D111" s="50">
        <f>SUM(CF!P21:P24)</f>
        <v>-152461</v>
      </c>
      <c r="E111" s="50">
        <f>SUM(CF!Q21:Q24)</f>
        <v>-28579</v>
      </c>
      <c r="F111" s="50">
        <f>SUM(CF!R21:R24)</f>
        <v>-51399</v>
      </c>
      <c r="G111" s="50">
        <f>SUM(CF!S21:S24)</f>
        <v>-6557</v>
      </c>
      <c r="H111" s="68">
        <f>SUM(CF!T21:T24)</f>
        <v>-238996</v>
      </c>
      <c r="J111" s="50">
        <f>SUM(CF!V21:V24)</f>
        <v>-58900</v>
      </c>
      <c r="K111" s="50">
        <f>SUM(CF!W21:W24)</f>
        <v>-84221</v>
      </c>
      <c r="L111" s="50">
        <f>SUM(CF!X21:X24)</f>
        <v>71438</v>
      </c>
      <c r="M111" s="50">
        <f>SUM(CF!Y21:Y24)</f>
        <v>47773</v>
      </c>
      <c r="N111" s="68">
        <f>SUM(CF!Z21:Z24)</f>
        <v>-23910</v>
      </c>
      <c r="P111" s="50">
        <f>SUM(CF!AB21:AB24)</f>
        <v>17397</v>
      </c>
      <c r="Q111" s="50">
        <f>SUM(CF!AC21:AC24)</f>
        <v>10562</v>
      </c>
      <c r="R111" s="50">
        <f>SUM(CF!AD21:AD24)</f>
        <v>-39057</v>
      </c>
      <c r="S111" s="50">
        <f>SUM(CF!AE21:AE24)</f>
        <v>47033</v>
      </c>
      <c r="T111" s="68">
        <f>SUM(CF!AF21:AF24)</f>
        <v>35935</v>
      </c>
      <c r="U111" s="205"/>
      <c r="V111" s="50">
        <f>SUM(CF!AH21:AH24)</f>
        <v>22205</v>
      </c>
      <c r="W111" s="50">
        <f>SUM(CF!AI21:AI24)</f>
        <v>-67824</v>
      </c>
      <c r="X111" s="46">
        <f>-((X78+X81+X84-X93-X96)-(W78+W81+W84-W93-W96))</f>
        <v>51515.474479689845</v>
      </c>
      <c r="Y111" s="46">
        <f>-((Y78+Y81+Y84-Y93-Y96)-(X78+X81+X84-X93-X96))</f>
        <v>91103.828344354755</v>
      </c>
      <c r="Z111" s="57">
        <f>SUM(V111:Y111)</f>
        <v>97000.3028240446</v>
      </c>
      <c r="AB111" s="46">
        <f>-((AB78+AB81+AB84-AB93-AB96)-(Y78+Y81+Y84-Y93-Y96))</f>
        <v>-14108.39729108545</v>
      </c>
      <c r="AC111" s="46">
        <f>-((AC78+AC81+AC84-AC93-AC96)-(AB78+AB81+AB84-AB93-AB96))</f>
        <v>-110559.76909092593</v>
      </c>
      <c r="AD111" s="46">
        <f>-((AD78+AD81+AD84-AD93-AD96)-(AC78+AC81+AC84-AC93-AC96))</f>
        <v>81064.617663502344</v>
      </c>
      <c r="AE111" s="46">
        <f>-((AE78+AE81+AE84-AE93-AE96)-(AD78+AD81+AD84-AD93-AD96))</f>
        <v>97288.694640352856</v>
      </c>
      <c r="AF111" s="57">
        <f>SUM(AB111:AE111)</f>
        <v>53685.145921843825</v>
      </c>
      <c r="AH111" s="312">
        <f>-((AH78+AH81+AH84-AH93-AH96)-(AF78+AF81+AF84-AF93-AF96))</f>
        <v>-30847.92275682278</v>
      </c>
      <c r="AJ111" s="312">
        <f>-((AJ78+AJ81+AJ84-AJ93-AJ96)-(AH78+AH81+AH84-AH93-AH96))</f>
        <v>-24461.493106824579</v>
      </c>
      <c r="AL111" s="312">
        <f>-((AL78+AL81+AL84-AL93-AL96)-(AJ78+AJ81+AJ84-AJ93-AJ96))</f>
        <v>-32379.241285579163</v>
      </c>
    </row>
    <row r="112" spans="2:38" ht="14.25" customHeight="1">
      <c r="B112" s="31" t="s">
        <v>465</v>
      </c>
      <c r="D112" s="305">
        <f>D111/(D39-IS!M18)</f>
        <v>-1.1886870419460471</v>
      </c>
      <c r="E112" s="305">
        <f>E111/(E39-D39)</f>
        <v>-1.5101188903566711</v>
      </c>
      <c r="F112" s="305">
        <f>F111/(F39-E39)</f>
        <v>2.4794500723589001</v>
      </c>
      <c r="G112" s="305">
        <f>G111/(G39-F39)</f>
        <v>-0.16884688674872533</v>
      </c>
      <c r="H112" s="308">
        <f>H111/IS!N18</f>
        <v>-7.351931467777699E-2</v>
      </c>
      <c r="J112" s="305">
        <f>J111/(J39-IS!S18)</f>
        <v>2.4229709161216011</v>
      </c>
      <c r="K112" s="305">
        <f>K111/(K39-J39)</f>
        <v>-2.5845761983673969</v>
      </c>
      <c r="L112" s="305">
        <f>L111/(L39-K39)</f>
        <v>-1.2040585865736293</v>
      </c>
      <c r="M112" s="305">
        <f>M111/(M39-L39)</f>
        <v>1.7107609668755595</v>
      </c>
      <c r="N112" s="308">
        <f>N111/IS!T18</f>
        <v>-5.9288052403596164E-3</v>
      </c>
      <c r="P112" s="305">
        <f>P111/(P39-IS!Y18)</f>
        <v>-0.21306797305572567</v>
      </c>
      <c r="Q112" s="305">
        <f>Q111/(Q39-P39)</f>
        <v>0.1634478489631693</v>
      </c>
      <c r="R112" s="305">
        <f>R111/(R39-Q39)</f>
        <v>0.80138293288466667</v>
      </c>
      <c r="S112" s="305">
        <f>S111/(S39-R39)</f>
        <v>0.66176553354344891</v>
      </c>
      <c r="T112" s="308">
        <f>T111/IS!Z18</f>
        <v>8.9022829828531644E-3</v>
      </c>
      <c r="U112" s="205"/>
      <c r="V112" s="305">
        <f>V111/(V39-IS!AE18)</f>
        <v>-0.20703190556995543</v>
      </c>
      <c r="W112" s="305">
        <f>W111/(W39-V39)</f>
        <v>-0.9521563342318059</v>
      </c>
      <c r="X112" s="305">
        <f>X111/(X39-W39)</f>
        <v>-2.2363994624042509</v>
      </c>
      <c r="Y112" s="305">
        <f>Y111/(Y39-X39)</f>
        <v>1.0739929155269641</v>
      </c>
      <c r="Z112" s="308">
        <f>Z111/(Z39-T39)</f>
        <v>25.53174464877803</v>
      </c>
      <c r="AB112" s="305">
        <f>AB111/(AB39-IS!AK18)</f>
        <v>-1.5017887491430407E-2</v>
      </c>
      <c r="AC112" s="305">
        <f>AC111/(AC39-AB39)</f>
        <v>-1.4789951127901078</v>
      </c>
      <c r="AD112" s="305">
        <f>AD111/(AD39-AC39)</f>
        <v>-3.4291590239879821</v>
      </c>
      <c r="AE112" s="305">
        <f>AE111/(AE39-AD39)</f>
        <v>1.0527700669755131</v>
      </c>
      <c r="AF112" s="308">
        <f>AF111/(AF39-Z39)</f>
        <v>0.36227393819130455</v>
      </c>
      <c r="AH112" s="308">
        <f>AH111/(AH39-AF39)</f>
        <v>-0.17731736705386023</v>
      </c>
      <c r="AJ112" s="308">
        <f>AJ111/(AJ39-AH39)</f>
        <v>-0.14303836331732334</v>
      </c>
      <c r="AL112" s="308">
        <f>AL111/(AL39-AJ39)</f>
        <v>-0.1859843733587199</v>
      </c>
    </row>
    <row r="113" spans="1:45" ht="14.25" customHeight="1">
      <c r="D113" s="46"/>
      <c r="E113" s="46"/>
      <c r="F113" s="46"/>
      <c r="G113" s="46"/>
      <c r="J113" s="46"/>
      <c r="K113" s="46"/>
      <c r="L113" s="46"/>
      <c r="M113" s="46"/>
      <c r="P113" s="46"/>
      <c r="Q113" s="46"/>
      <c r="R113" s="46"/>
      <c r="S113" s="46"/>
      <c r="U113" s="205"/>
      <c r="V113" s="46"/>
      <c r="W113" s="46"/>
      <c r="X113" s="46"/>
      <c r="Y113" s="46"/>
      <c r="AB113" s="46"/>
      <c r="AC113" s="46"/>
      <c r="AD113" s="46"/>
      <c r="AE113" s="46"/>
    </row>
    <row r="114" spans="1:45" ht="14.25" customHeight="1">
      <c r="B114" s="28" t="s">
        <v>466</v>
      </c>
      <c r="D114" s="50">
        <f>CF!P28</f>
        <v>-14737</v>
      </c>
      <c r="E114" s="50">
        <f>CF!Q28</f>
        <v>-17636</v>
      </c>
      <c r="F114" s="50">
        <f>CF!R28</f>
        <v>-19242</v>
      </c>
      <c r="G114" s="50">
        <f>CF!S28</f>
        <v>-17907</v>
      </c>
      <c r="H114" s="68">
        <f>CF!T28</f>
        <v>-69522</v>
      </c>
      <c r="J114" s="50">
        <f>CF!V28</f>
        <v>-27110</v>
      </c>
      <c r="K114" s="50">
        <f>CF!W28</f>
        <v>-23010</v>
      </c>
      <c r="L114" s="50">
        <f>CF!X28</f>
        <v>-21330</v>
      </c>
      <c r="M114" s="50">
        <f>CF!Y28</f>
        <v>-15534</v>
      </c>
      <c r="N114" s="68">
        <f>CF!Z28</f>
        <v>-86984</v>
      </c>
      <c r="P114" s="50">
        <f>CF!AB28</f>
        <v>-13823</v>
      </c>
      <c r="Q114" s="50">
        <f>CF!AC28</f>
        <v>-10937</v>
      </c>
      <c r="R114" s="50">
        <f>CF!AD28</f>
        <v>-11489</v>
      </c>
      <c r="S114" s="50">
        <f>CF!AE28</f>
        <v>-13141</v>
      </c>
      <c r="T114" s="68">
        <f>CF!AF28</f>
        <v>-49390</v>
      </c>
      <c r="U114" s="205"/>
      <c r="V114" s="50">
        <f>CF!AH28</f>
        <v>-34846</v>
      </c>
      <c r="W114" s="50">
        <f>CF!AI28</f>
        <v>-20919</v>
      </c>
      <c r="X114" s="46">
        <f>-X$39*(X115+Sensitivity!$U$38)</f>
        <v>-19096.479884965025</v>
      </c>
      <c r="Y114" s="46">
        <f>-Y$39*(Y115+Sensitivity!$U$38)</f>
        <v>-20793.024192236433</v>
      </c>
      <c r="Z114" s="57">
        <f>SUM(V114:Y114)</f>
        <v>-95654.504077201462</v>
      </c>
      <c r="AA114" s="71"/>
      <c r="AB114" s="46">
        <f>-AB$39*(AB115+Sensitivity!$U$38)</f>
        <v>-20667.669842445775</v>
      </c>
      <c r="AC114" s="46">
        <f>-AC$39*(AC115+Sensitivity!$U$38)</f>
        <v>-22312.242497869793</v>
      </c>
      <c r="AD114" s="46">
        <f>-AD$39*(AD115+Sensitivity!$U$38)</f>
        <v>-21792.166999439567</v>
      </c>
      <c r="AE114" s="46">
        <f>-AE$39*(AE115+Sensitivity!$U$38)</f>
        <v>-23825.233239854955</v>
      </c>
      <c r="AF114" s="57">
        <f>SUM(AB114:AE114)</f>
        <v>-88597.312579610094</v>
      </c>
      <c r="AG114" s="57"/>
      <c r="AH114" s="57">
        <f>-AH$39*(AH115+Sensitivity!$U$38)</f>
        <v>-100826.89648577801</v>
      </c>
      <c r="AI114" s="57"/>
      <c r="AJ114" s="57">
        <f>-AJ$39*(AJ115+Sensitivity!$U$38)</f>
        <v>-113675.48921616218</v>
      </c>
      <c r="AK114" s="57"/>
      <c r="AL114" s="57">
        <f>-AL$39*(AL115+Sensitivity!$U$38)</f>
        <v>-118202.00000963249</v>
      </c>
    </row>
    <row r="115" spans="1:45" ht="14.25" customHeight="1">
      <c r="B115" s="31" t="s">
        <v>400</v>
      </c>
      <c r="D115" s="305">
        <f>-D114/D39</f>
        <v>1.4815879743755755E-2</v>
      </c>
      <c r="E115" s="305">
        <f>-E114/E39</f>
        <v>1.7399351421318644E-2</v>
      </c>
      <c r="F115" s="305">
        <f>-F114/F39</f>
        <v>1.9380161168973613E-2</v>
      </c>
      <c r="G115" s="305">
        <f>-G114/G39</f>
        <v>1.7356705647447672E-2</v>
      </c>
      <c r="H115" s="308">
        <f>-H114/H39</f>
        <v>1.723891250189382E-2</v>
      </c>
      <c r="J115" s="305">
        <f>-J114/J39</f>
        <v>2.6910966491826453E-2</v>
      </c>
      <c r="K115" s="305">
        <f>-K114/K39</f>
        <v>2.2125382939320103E-2</v>
      </c>
      <c r="L115" s="305">
        <f>-L114/L39</f>
        <v>2.175085733864545E-2</v>
      </c>
      <c r="M115" s="305">
        <f>-M114/M39</f>
        <v>1.5401913192461451E-2</v>
      </c>
      <c r="N115" s="308">
        <f>-N114/N39</f>
        <v>2.15488015299986E-2</v>
      </c>
      <c r="P115" s="305">
        <f>-P114/P39</f>
        <v>1.4912733055281652E-2</v>
      </c>
      <c r="Q115" s="305">
        <f>-Q114/Q39</f>
        <v>1.1030249731227799E-2</v>
      </c>
      <c r="R115" s="305">
        <f>-R114/R39</f>
        <v>1.2185925251031756E-2</v>
      </c>
      <c r="S115" s="305">
        <f>-S114/S39</f>
        <v>1.2961087149280832E-2</v>
      </c>
      <c r="T115" s="308">
        <f>-T114/T39</f>
        <v>1.2745273616948143E-2</v>
      </c>
      <c r="U115" s="205"/>
      <c r="V115" s="305">
        <f>-V114/V39</f>
        <v>3.8434769756470963E-2</v>
      </c>
      <c r="W115" s="305">
        <f>-W114/W39</f>
        <v>2.1392654769245872E-2</v>
      </c>
      <c r="X115" s="316">
        <v>0.02</v>
      </c>
      <c r="Y115" s="316">
        <v>0.02</v>
      </c>
      <c r="Z115" s="306">
        <f>-Z114/Z$39</f>
        <v>2.4659824898999434E-2</v>
      </c>
      <c r="AB115" s="316">
        <v>2.1999999999999999E-2</v>
      </c>
      <c r="AC115" s="316">
        <v>2.1999999999999999E-2</v>
      </c>
      <c r="AD115" s="316">
        <v>2.1999999999999999E-2</v>
      </c>
      <c r="AE115" s="316">
        <v>2.1999999999999999E-2</v>
      </c>
      <c r="AF115" s="306">
        <f>-AF114/AF$39</f>
        <v>2.1999999999999999E-2</v>
      </c>
      <c r="AH115" s="316">
        <v>2.4E-2</v>
      </c>
      <c r="AJ115" s="316">
        <v>2.5999999999999999E-2</v>
      </c>
      <c r="AL115" s="316">
        <v>2.5999999999999999E-2</v>
      </c>
    </row>
    <row r="116" spans="1:45" ht="14.25" customHeight="1">
      <c r="D116" s="46"/>
      <c r="E116" s="46"/>
      <c r="F116" s="46"/>
      <c r="G116" s="46"/>
      <c r="J116" s="46"/>
      <c r="K116" s="46"/>
      <c r="L116" s="46"/>
      <c r="M116" s="46"/>
      <c r="P116" s="46"/>
      <c r="Q116" s="46"/>
      <c r="R116" s="46"/>
      <c r="S116" s="46"/>
      <c r="U116" s="205"/>
      <c r="V116" s="46"/>
      <c r="W116" s="46"/>
      <c r="X116" s="46"/>
      <c r="Y116" s="46"/>
      <c r="AB116" s="46"/>
      <c r="AC116" s="46"/>
      <c r="AD116" s="46"/>
      <c r="AE116" s="46"/>
    </row>
    <row r="117" spans="1:45" ht="14.25" customHeight="1">
      <c r="B117" s="28" t="s">
        <v>467</v>
      </c>
      <c r="C117" s="23" t="s">
        <v>384</v>
      </c>
      <c r="D117" s="50">
        <f>CF!P29</f>
        <v>0</v>
      </c>
      <c r="E117" s="50">
        <f>CF!Q29</f>
        <v>0</v>
      </c>
      <c r="F117" s="50">
        <f>CF!R29</f>
        <v>0</v>
      </c>
      <c r="G117" s="50">
        <f>CF!S29</f>
        <v>0</v>
      </c>
      <c r="H117" s="68">
        <f>CF!T29</f>
        <v>0</v>
      </c>
      <c r="J117" s="50">
        <f>CF!V29</f>
        <v>0</v>
      </c>
      <c r="K117" s="50">
        <f>CF!W29</f>
        <v>0</v>
      </c>
      <c r="L117" s="50">
        <f>CF!X29</f>
        <v>0</v>
      </c>
      <c r="M117" s="50">
        <f>CF!Y29</f>
        <v>0</v>
      </c>
      <c r="N117" s="68">
        <f>CF!Z29</f>
        <v>0</v>
      </c>
      <c r="P117" s="50">
        <f>CF!AB29</f>
        <v>0</v>
      </c>
      <c r="Q117" s="50">
        <f>CF!AC29</f>
        <v>0</v>
      </c>
      <c r="R117" s="50">
        <f>CF!AD29</f>
        <v>0</v>
      </c>
      <c r="S117" s="50">
        <f>CF!AE29</f>
        <v>2507</v>
      </c>
      <c r="T117" s="68">
        <f>CF!AF29</f>
        <v>2507</v>
      </c>
      <c r="U117" s="205"/>
      <c r="V117" s="50">
        <f>CF!AH29</f>
        <v>0</v>
      </c>
      <c r="W117" s="50">
        <f>CF!AI29</f>
        <v>0</v>
      </c>
      <c r="X117" s="46">
        <f>X118*X$114</f>
        <v>0</v>
      </c>
      <c r="Y117" s="46">
        <f>Y118*Y$114</f>
        <v>0</v>
      </c>
      <c r="Z117" s="57">
        <f>SUM(V117:Y117)</f>
        <v>0</v>
      </c>
      <c r="AB117" s="46">
        <f>AB118*AB$114</f>
        <v>0</v>
      </c>
      <c r="AC117" s="46">
        <f t="shared" ref="AC117:AE117" si="89">AC118*AC$114</f>
        <v>0</v>
      </c>
      <c r="AD117" s="46">
        <f t="shared" si="89"/>
        <v>0</v>
      </c>
      <c r="AE117" s="46">
        <f t="shared" si="89"/>
        <v>0</v>
      </c>
      <c r="AF117" s="57">
        <f>SUM(AB117:AE117)</f>
        <v>0</v>
      </c>
      <c r="AH117" s="57">
        <f>AH118*AH$114</f>
        <v>0</v>
      </c>
      <c r="AJ117" s="57">
        <f>AJ118*AJ$114</f>
        <v>0</v>
      </c>
      <c r="AL117" s="57">
        <f>AL118*AL$114</f>
        <v>0</v>
      </c>
    </row>
    <row r="118" spans="1:45" ht="14.25" customHeight="1">
      <c r="B118" s="31" t="s">
        <v>468</v>
      </c>
      <c r="D118" s="305">
        <f>-D117/D114</f>
        <v>0</v>
      </c>
      <c r="E118" s="305">
        <f t="shared" ref="E118:H118" si="90">-E117/E114</f>
        <v>0</v>
      </c>
      <c r="F118" s="305">
        <f t="shared" si="90"/>
        <v>0</v>
      </c>
      <c r="G118" s="305">
        <f t="shared" si="90"/>
        <v>0</v>
      </c>
      <c r="H118" s="308">
        <f t="shared" si="90"/>
        <v>0</v>
      </c>
      <c r="J118" s="305">
        <f>-J117/J114</f>
        <v>0</v>
      </c>
      <c r="K118" s="305">
        <f t="shared" ref="K118" si="91">-K117/K114</f>
        <v>0</v>
      </c>
      <c r="L118" s="305">
        <f t="shared" ref="L118" si="92">-L117/L114</f>
        <v>0</v>
      </c>
      <c r="M118" s="305">
        <f t="shared" ref="M118" si="93">-M117/M114</f>
        <v>0</v>
      </c>
      <c r="N118" s="308">
        <f t="shared" ref="N118" si="94">-N117/N114</f>
        <v>0</v>
      </c>
      <c r="P118" s="305">
        <f>-P117/P114</f>
        <v>0</v>
      </c>
      <c r="Q118" s="305">
        <f t="shared" ref="Q118" si="95">-Q117/Q114</f>
        <v>0</v>
      </c>
      <c r="R118" s="305">
        <f t="shared" ref="R118" si="96">-R117/R114</f>
        <v>0</v>
      </c>
      <c r="S118" s="305">
        <f t="shared" ref="S118" si="97">-S117/S114</f>
        <v>0.19077695761357583</v>
      </c>
      <c r="T118" s="308">
        <f t="shared" ref="T118" si="98">-T117/T114</f>
        <v>5.0759263008706215E-2</v>
      </c>
      <c r="U118" s="205"/>
      <c r="V118" s="305">
        <f>-V117/V114</f>
        <v>0</v>
      </c>
      <c r="W118" s="305">
        <f t="shared" ref="W118" si="99">-W117/W114</f>
        <v>0</v>
      </c>
      <c r="X118" s="316">
        <v>0</v>
      </c>
      <c r="Y118" s="316">
        <v>0</v>
      </c>
      <c r="Z118" s="306">
        <f>-Z117/Z$39</f>
        <v>0</v>
      </c>
      <c r="AB118" s="316">
        <v>0</v>
      </c>
      <c r="AC118" s="316">
        <v>0</v>
      </c>
      <c r="AD118" s="316">
        <v>0</v>
      </c>
      <c r="AE118" s="316">
        <v>0</v>
      </c>
      <c r="AF118" s="306">
        <f>-AF117/AF$39</f>
        <v>0</v>
      </c>
      <c r="AH118" s="316">
        <v>0</v>
      </c>
      <c r="AJ118" s="316">
        <v>0</v>
      </c>
      <c r="AL118" s="316">
        <v>0</v>
      </c>
    </row>
    <row r="119" spans="1:45" ht="14.25" customHeight="1">
      <c r="B119" s="31"/>
      <c r="D119" s="305"/>
      <c r="E119" s="305"/>
      <c r="F119" s="305"/>
      <c r="G119" s="305"/>
      <c r="H119" s="308"/>
      <c r="J119" s="305"/>
      <c r="K119" s="305"/>
      <c r="L119" s="305"/>
      <c r="M119" s="305"/>
      <c r="N119" s="308"/>
      <c r="P119" s="305"/>
      <c r="Q119" s="305"/>
      <c r="R119" s="305"/>
      <c r="S119" s="305"/>
      <c r="T119" s="308"/>
      <c r="U119" s="205"/>
      <c r="V119" s="305"/>
      <c r="W119" s="305"/>
      <c r="X119" s="305"/>
      <c r="Y119" s="305"/>
      <c r="Z119" s="306"/>
      <c r="AA119" s="306"/>
      <c r="AB119" s="305"/>
      <c r="AC119" s="305"/>
      <c r="AD119" s="305"/>
      <c r="AE119" s="305"/>
      <c r="AF119" s="306"/>
      <c r="AH119" s="615"/>
      <c r="AJ119" s="615"/>
      <c r="AL119" s="615"/>
    </row>
    <row r="120" spans="1:45" ht="14.25" customHeight="1">
      <c r="B120" s="28" t="s">
        <v>213</v>
      </c>
      <c r="D120" s="50">
        <f>CF!P39</f>
        <v>0</v>
      </c>
      <c r="E120" s="50">
        <f>CF!Q39</f>
        <v>0</v>
      </c>
      <c r="F120" s="50">
        <f>CF!R39</f>
        <v>0</v>
      </c>
      <c r="G120" s="50">
        <f>CF!S39</f>
        <v>0</v>
      </c>
      <c r="H120" s="68">
        <f>CF!T39</f>
        <v>0</v>
      </c>
      <c r="J120" s="50">
        <f>CF!V39</f>
        <v>0</v>
      </c>
      <c r="K120" s="50">
        <f>CF!W39</f>
        <v>0</v>
      </c>
      <c r="L120" s="50">
        <f>CF!X39</f>
        <v>0</v>
      </c>
      <c r="M120" s="50">
        <f>CF!Y39</f>
        <v>0</v>
      </c>
      <c r="N120" s="68">
        <f>CF!Z39</f>
        <v>0</v>
      </c>
      <c r="P120" s="50">
        <f>CF!AB39</f>
        <v>0</v>
      </c>
      <c r="Q120" s="50">
        <f>CF!AC39</f>
        <v>0</v>
      </c>
      <c r="R120" s="50">
        <f>CF!AD39</f>
        <v>0</v>
      </c>
      <c r="S120" s="50">
        <f>CF!AE39</f>
        <v>0</v>
      </c>
      <c r="T120" s="68">
        <f>CF!AF39</f>
        <v>0</v>
      </c>
      <c r="U120" s="205"/>
      <c r="V120" s="50">
        <f>CF!AH39</f>
        <v>0</v>
      </c>
      <c r="W120" s="50">
        <f>CF!AI39</f>
        <v>0</v>
      </c>
      <c r="X120" s="46">
        <f>-X121*X134</f>
        <v>0</v>
      </c>
      <c r="Y120" s="46">
        <f>-Y121*Y134</f>
        <v>0</v>
      </c>
      <c r="Z120" s="57">
        <f>SUM(V120:Y120)</f>
        <v>0</v>
      </c>
      <c r="AB120" s="46">
        <f>-AB121*AB134</f>
        <v>0</v>
      </c>
      <c r="AC120" s="46">
        <f>-AC121*AC134</f>
        <v>0</v>
      </c>
      <c r="AD120" s="46">
        <f>-AD121*AD134</f>
        <v>0</v>
      </c>
      <c r="AE120" s="46">
        <f>-AE121*AE134</f>
        <v>0</v>
      </c>
      <c r="AF120" s="57">
        <f>SUM(AB120:AE120)</f>
        <v>0</v>
      </c>
      <c r="AH120" s="57">
        <f>-AH121*AH134</f>
        <v>0</v>
      </c>
      <c r="AJ120" s="57">
        <f>-AJ121*AJ134</f>
        <v>0</v>
      </c>
      <c r="AL120" s="57">
        <f>-AL121*AL134</f>
        <v>0</v>
      </c>
    </row>
    <row r="121" spans="1:45" ht="14.25" customHeight="1">
      <c r="B121" s="31" t="s">
        <v>469</v>
      </c>
      <c r="D121" s="305">
        <f>-D120/D134</f>
        <v>0</v>
      </c>
      <c r="E121" s="305">
        <f>-E120/E134</f>
        <v>0</v>
      </c>
      <c r="F121" s="305">
        <f>-F120/F134</f>
        <v>0</v>
      </c>
      <c r="G121" s="305">
        <f>-G120/G134</f>
        <v>0</v>
      </c>
      <c r="H121" s="308">
        <f>-H120/H134</f>
        <v>0</v>
      </c>
      <c r="J121" s="305">
        <f>-J120/J134</f>
        <v>0</v>
      </c>
      <c r="K121" s="305">
        <f>-K120/K134</f>
        <v>0</v>
      </c>
      <c r="L121" s="305">
        <f>-L120/L134</f>
        <v>0</v>
      </c>
      <c r="M121" s="305">
        <f>-M120/M134</f>
        <v>0</v>
      </c>
      <c r="N121" s="308">
        <f>-N120/N134</f>
        <v>0</v>
      </c>
      <c r="P121" s="305">
        <f>-P120/P134</f>
        <v>0</v>
      </c>
      <c r="Q121" s="305">
        <f>-Q120/Q134</f>
        <v>0</v>
      </c>
      <c r="R121" s="305">
        <f>-R120/R134</f>
        <v>0</v>
      </c>
      <c r="S121" s="305">
        <f>-S120/S134</f>
        <v>0</v>
      </c>
      <c r="T121" s="308">
        <f>-T120/T134</f>
        <v>0</v>
      </c>
      <c r="U121" s="205"/>
      <c r="V121" s="305">
        <f>-V120/V134</f>
        <v>0</v>
      </c>
      <c r="W121" s="305">
        <f>-W120/W134</f>
        <v>0</v>
      </c>
      <c r="X121" s="316">
        <v>0</v>
      </c>
      <c r="Y121" s="316">
        <v>0</v>
      </c>
      <c r="Z121" s="306">
        <f>-Z120/Z134</f>
        <v>0</v>
      </c>
      <c r="AB121" s="316">
        <v>0</v>
      </c>
      <c r="AC121" s="316">
        <v>0</v>
      </c>
      <c r="AD121" s="316">
        <v>0</v>
      </c>
      <c r="AE121" s="316">
        <v>0</v>
      </c>
      <c r="AF121" s="306">
        <f>-AF120/AF134</f>
        <v>0</v>
      </c>
      <c r="AH121" s="316">
        <v>0</v>
      </c>
      <c r="AJ121" s="316">
        <v>0</v>
      </c>
      <c r="AL121" s="316">
        <v>0</v>
      </c>
    </row>
    <row r="122" spans="1:45" ht="14.25" customHeight="1">
      <c r="B122" s="31"/>
      <c r="D122" s="305"/>
      <c r="E122" s="305"/>
      <c r="F122" s="305"/>
      <c r="G122" s="305"/>
      <c r="H122" s="308"/>
      <c r="J122" s="305"/>
      <c r="K122" s="305"/>
      <c r="L122" s="305"/>
      <c r="M122" s="305"/>
      <c r="N122" s="308"/>
      <c r="P122" s="305"/>
      <c r="Q122" s="305"/>
      <c r="R122" s="305"/>
      <c r="S122" s="305"/>
      <c r="T122" s="308"/>
      <c r="U122" s="205"/>
      <c r="V122" s="305"/>
      <c r="W122" s="305"/>
      <c r="X122" s="305"/>
      <c r="Y122" s="305"/>
      <c r="Z122" s="306"/>
      <c r="AA122" s="306"/>
      <c r="AB122" s="305"/>
      <c r="AC122" s="305"/>
      <c r="AD122" s="305"/>
      <c r="AE122" s="305"/>
      <c r="AF122" s="306"/>
      <c r="AH122" s="615"/>
      <c r="AJ122" s="615"/>
      <c r="AL122" s="615"/>
    </row>
    <row r="123" spans="1:45" ht="14.25" customHeight="1">
      <c r="B123" s="28" t="s">
        <v>470</v>
      </c>
      <c r="D123" s="50">
        <f>CF!P40</f>
        <v>-170013</v>
      </c>
      <c r="E123" s="50">
        <f>CF!Q40</f>
        <v>-69596</v>
      </c>
      <c r="F123" s="50">
        <f>CF!R40</f>
        <v>-71</v>
      </c>
      <c r="G123" s="50">
        <f>CF!S40</f>
        <v>-25097</v>
      </c>
      <c r="H123" s="68">
        <f>CF!T40</f>
        <v>-264777</v>
      </c>
      <c r="J123" s="50">
        <f>CF!V40</f>
        <v>-67648</v>
      </c>
      <c r="K123" s="50">
        <f>CF!W40</f>
        <v>-6896</v>
      </c>
      <c r="L123" s="50">
        <f>CF!X40</f>
        <v>0</v>
      </c>
      <c r="M123" s="50">
        <f>CF!Y40</f>
        <v>-21</v>
      </c>
      <c r="N123" s="68">
        <f>CF!Z40</f>
        <v>-74565</v>
      </c>
      <c r="P123" s="50">
        <f>CF!AB40</f>
        <v>-16995</v>
      </c>
      <c r="Q123" s="50">
        <f>CF!AC40</f>
        <v>-976</v>
      </c>
      <c r="R123" s="50">
        <f>CF!AD40</f>
        <v>-287</v>
      </c>
      <c r="S123" s="50">
        <f>CF!AE40</f>
        <v>-16402</v>
      </c>
      <c r="T123" s="68">
        <f>CF!AF40</f>
        <v>-34660</v>
      </c>
      <c r="U123" s="205"/>
      <c r="V123" s="50">
        <f>CF!AH40</f>
        <v>-42778</v>
      </c>
      <c r="W123" s="50">
        <f>CF!AI40</f>
        <v>-322913</v>
      </c>
      <c r="X123" s="618">
        <f>AVERAGE(W123,V123,S123)</f>
        <v>-127364.33333333333</v>
      </c>
      <c r="Y123" s="618">
        <f>AVERAGE(S123,G123)</f>
        <v>-20749.5</v>
      </c>
      <c r="Z123" s="57">
        <f>SUM(V123:Y123)</f>
        <v>-513804.83333333331</v>
      </c>
      <c r="AB123" s="618">
        <f>AVERAGE(V123,P123,J123,D123)</f>
        <v>-74358.5</v>
      </c>
      <c r="AC123" s="618">
        <f>AVERAGE(Q123,K123,E123)</f>
        <v>-25822.666666666668</v>
      </c>
      <c r="AD123" s="618">
        <f>AVERAGE(R123,L123,F123)</f>
        <v>-119.33333333333333</v>
      </c>
      <c r="AE123" s="618">
        <f t="shared" ref="AE123" si="100">AVERAGE(S123,M123,G123)</f>
        <v>-13840</v>
      </c>
      <c r="AF123" s="57">
        <f>SUM(AB123:AE123)</f>
        <v>-114140.5</v>
      </c>
      <c r="AH123" s="618">
        <f>AVERAGE(T123,N123,AF123)</f>
        <v>-74455.166666666672</v>
      </c>
      <c r="AJ123" s="618">
        <f>AH123</f>
        <v>-74455.166666666672</v>
      </c>
      <c r="AL123" s="618">
        <f>AH123</f>
        <v>-74455.166666666672</v>
      </c>
    </row>
    <row r="124" spans="1:45" ht="14.25" customHeight="1">
      <c r="U124" s="205"/>
      <c r="AS124" s="312"/>
    </row>
    <row r="125" spans="1:45" s="41" customFormat="1" ht="15" customHeight="1">
      <c r="A125" s="30" t="s">
        <v>38</v>
      </c>
      <c r="B125" s="161" t="s">
        <v>471</v>
      </c>
      <c r="C125" s="18"/>
      <c r="D125" s="162"/>
      <c r="E125" s="162"/>
      <c r="F125" s="162"/>
      <c r="G125" s="162"/>
      <c r="H125" s="162"/>
      <c r="I125" s="18"/>
      <c r="J125" s="162"/>
      <c r="K125" s="162"/>
      <c r="L125" s="162"/>
      <c r="M125" s="162"/>
      <c r="N125" s="162"/>
      <c r="O125" s="18"/>
      <c r="P125" s="162"/>
      <c r="Q125" s="162"/>
      <c r="R125" s="162"/>
      <c r="S125" s="162"/>
      <c r="T125" s="162"/>
      <c r="U125" s="18"/>
      <c r="V125" s="162"/>
      <c r="W125" s="162"/>
      <c r="X125" s="162"/>
      <c r="Y125" s="162"/>
      <c r="Z125" s="162"/>
      <c r="AA125" s="18"/>
      <c r="AB125" s="162"/>
      <c r="AC125" s="162"/>
      <c r="AD125" s="162"/>
      <c r="AE125" s="162"/>
      <c r="AF125" s="162"/>
      <c r="AG125" s="18"/>
      <c r="AH125" s="162"/>
      <c r="AI125" s="18"/>
      <c r="AJ125" s="163"/>
      <c r="AK125" s="18"/>
      <c r="AL125" s="163"/>
    </row>
    <row r="126" spans="1:45" s="41" customFormat="1" ht="15" customHeight="1">
      <c r="B126" s="164"/>
      <c r="C126" s="18"/>
      <c r="D126" s="815">
        <f>D$8</f>
        <v>2022</v>
      </c>
      <c r="E126" s="815">
        <f>F126</f>
        <v>0</v>
      </c>
      <c r="F126" s="815">
        <f>F$8</f>
        <v>0</v>
      </c>
      <c r="G126" s="815">
        <f>F126</f>
        <v>0</v>
      </c>
      <c r="H126" s="815">
        <f>F126</f>
        <v>0</v>
      </c>
      <c r="I126" s="169"/>
      <c r="J126" s="815">
        <f>J$8</f>
        <v>2023</v>
      </c>
      <c r="K126" s="815">
        <f>L126</f>
        <v>0</v>
      </c>
      <c r="L126" s="815">
        <f>L$8</f>
        <v>0</v>
      </c>
      <c r="M126" s="815">
        <f>L126</f>
        <v>0</v>
      </c>
      <c r="N126" s="815">
        <f>L126</f>
        <v>0</v>
      </c>
      <c r="O126" s="169"/>
      <c r="P126" s="815">
        <f>P$8</f>
        <v>2024</v>
      </c>
      <c r="Q126" s="815">
        <f>R126</f>
        <v>0</v>
      </c>
      <c r="R126" s="815">
        <f>R$8</f>
        <v>0</v>
      </c>
      <c r="S126" s="815">
        <f>R126</f>
        <v>0</v>
      </c>
      <c r="T126" s="815">
        <f>R126</f>
        <v>0</v>
      </c>
      <c r="U126" s="169"/>
      <c r="V126" s="813">
        <f>V$8</f>
        <v>2025</v>
      </c>
      <c r="W126" s="813">
        <f>X126</f>
        <v>0</v>
      </c>
      <c r="X126" s="813">
        <f>X$8</f>
        <v>0</v>
      </c>
      <c r="Y126" s="813">
        <f>X126</f>
        <v>0</v>
      </c>
      <c r="Z126" s="813">
        <f>X126</f>
        <v>0</v>
      </c>
      <c r="AA126" s="169"/>
      <c r="AB126" s="813">
        <f>AB$8</f>
        <v>2026</v>
      </c>
      <c r="AC126" s="813">
        <f>AD126</f>
        <v>0</v>
      </c>
      <c r="AD126" s="813">
        <f>AD$8</f>
        <v>0</v>
      </c>
      <c r="AE126" s="813">
        <f>AD126</f>
        <v>0</v>
      </c>
      <c r="AF126" s="813">
        <f>AD126</f>
        <v>0</v>
      </c>
      <c r="AG126" s="171"/>
      <c r="AH126" s="166">
        <f>AH$8</f>
        <v>2027</v>
      </c>
      <c r="AI126" s="167"/>
      <c r="AJ126" s="166">
        <f>AJ$8</f>
        <v>2028</v>
      </c>
      <c r="AK126" s="167"/>
      <c r="AL126" s="166">
        <f>AL$8</f>
        <v>2029</v>
      </c>
    </row>
    <row r="127" spans="1:45" s="41" customFormat="1" ht="14.25" customHeight="1">
      <c r="B127" s="164"/>
      <c r="C127" s="18"/>
      <c r="D127" s="168" t="s">
        <v>191</v>
      </c>
      <c r="E127" s="168" t="s">
        <v>192</v>
      </c>
      <c r="F127" s="168" t="s">
        <v>193</v>
      </c>
      <c r="G127" s="168" t="s">
        <v>194</v>
      </c>
      <c r="H127" s="168" t="s">
        <v>195</v>
      </c>
      <c r="I127" s="165"/>
      <c r="J127" s="168" t="s">
        <v>191</v>
      </c>
      <c r="K127" s="168" t="s">
        <v>192</v>
      </c>
      <c r="L127" s="168" t="s">
        <v>193</v>
      </c>
      <c r="M127" s="168" t="s">
        <v>194</v>
      </c>
      <c r="N127" s="168" t="s">
        <v>195</v>
      </c>
      <c r="O127" s="165"/>
      <c r="P127" s="168" t="s">
        <v>191</v>
      </c>
      <c r="Q127" s="168" t="s">
        <v>192</v>
      </c>
      <c r="R127" s="168" t="s">
        <v>193</v>
      </c>
      <c r="S127" s="168" t="s">
        <v>194</v>
      </c>
      <c r="T127" s="168" t="s">
        <v>195</v>
      </c>
      <c r="U127" s="165"/>
      <c r="V127" s="168" t="s">
        <v>191</v>
      </c>
      <c r="W127" s="168" t="s">
        <v>192</v>
      </c>
      <c r="X127" s="168" t="s">
        <v>193</v>
      </c>
      <c r="Y127" s="168" t="s">
        <v>194</v>
      </c>
      <c r="Z127" s="168" t="s">
        <v>195</v>
      </c>
      <c r="AA127" s="165"/>
      <c r="AB127" s="168" t="s">
        <v>191</v>
      </c>
      <c r="AC127" s="168" t="s">
        <v>192</v>
      </c>
      <c r="AD127" s="168" t="s">
        <v>193</v>
      </c>
      <c r="AE127" s="168" t="s">
        <v>194</v>
      </c>
      <c r="AF127" s="168" t="s">
        <v>195</v>
      </c>
      <c r="AG127" s="165"/>
      <c r="AH127" s="168" t="s">
        <v>195</v>
      </c>
      <c r="AI127" s="165"/>
      <c r="AJ127" s="168" t="s">
        <v>195</v>
      </c>
      <c r="AK127" s="165"/>
      <c r="AL127" s="168" t="s">
        <v>195</v>
      </c>
    </row>
    <row r="128" spans="1:45" s="41" customFormat="1" ht="3.95" customHeight="1">
      <c r="B128" s="176"/>
      <c r="C128" s="35"/>
      <c r="D128" s="177"/>
      <c r="E128" s="177"/>
      <c r="F128" s="177"/>
      <c r="G128" s="177"/>
      <c r="H128" s="177"/>
      <c r="I128" s="178"/>
      <c r="J128" s="177"/>
      <c r="K128" s="177"/>
      <c r="L128" s="177"/>
      <c r="M128" s="177"/>
      <c r="N128" s="177"/>
      <c r="O128" s="178"/>
      <c r="P128" s="177"/>
      <c r="Q128" s="177"/>
      <c r="R128" s="177"/>
      <c r="S128" s="177"/>
      <c r="T128" s="177"/>
      <c r="U128" s="178"/>
      <c r="V128" s="177"/>
      <c r="W128" s="177"/>
      <c r="X128" s="177"/>
      <c r="Y128" s="177"/>
      <c r="Z128" s="179"/>
      <c r="AA128" s="180"/>
      <c r="AB128" s="179"/>
      <c r="AC128" s="179"/>
      <c r="AD128" s="179"/>
      <c r="AE128" s="179"/>
      <c r="AF128" s="179"/>
      <c r="AG128" s="180"/>
      <c r="AH128" s="179"/>
      <c r="AI128" s="180"/>
      <c r="AJ128" s="179"/>
      <c r="AK128" s="180"/>
      <c r="AL128" s="179"/>
    </row>
    <row r="129" spans="2:45" ht="3.95" customHeight="1">
      <c r="U129" s="205"/>
    </row>
    <row r="130" spans="2:45" ht="14.25" customHeight="1">
      <c r="B130" s="28" t="s">
        <v>414</v>
      </c>
      <c r="D130" s="300">
        <f>D69</f>
        <v>138689</v>
      </c>
      <c r="E130" s="300">
        <f>E69</f>
        <v>168976</v>
      </c>
      <c r="F130" s="300">
        <f>F69</f>
        <v>167221</v>
      </c>
      <c r="G130" s="300">
        <f>G69</f>
        <v>188455</v>
      </c>
      <c r="H130" s="311">
        <f>H69</f>
        <v>663341</v>
      </c>
      <c r="J130" s="300">
        <f>J69</f>
        <v>164632</v>
      </c>
      <c r="K130" s="300">
        <f>K69</f>
        <v>189439</v>
      </c>
      <c r="L130" s="300">
        <f>L69</f>
        <v>179000</v>
      </c>
      <c r="M130" s="300">
        <f>M69</f>
        <v>187690</v>
      </c>
      <c r="N130" s="311">
        <f>N69</f>
        <v>723880</v>
      </c>
      <c r="P130" s="300">
        <f>P69</f>
        <v>141340</v>
      </c>
      <c r="Q130" s="300">
        <f>Q69</f>
        <v>179893</v>
      </c>
      <c r="R130" s="300">
        <f>R69</f>
        <v>174789</v>
      </c>
      <c r="S130" s="300">
        <f>S69</f>
        <v>214587</v>
      </c>
      <c r="T130" s="311">
        <f>T69</f>
        <v>710097</v>
      </c>
      <c r="U130" s="205"/>
      <c r="V130" s="300">
        <f>V69</f>
        <v>149244</v>
      </c>
      <c r="W130" s="300">
        <f>W69</f>
        <v>163555</v>
      </c>
      <c r="X130" s="300">
        <f>X69</f>
        <v>137421.19389219119</v>
      </c>
      <c r="Y130" s="300">
        <f>Y69</f>
        <v>172048.10944029689</v>
      </c>
      <c r="Z130" s="311">
        <f>Z69</f>
        <v>622268.30333248805</v>
      </c>
      <c r="AB130" s="300">
        <f>AB69</f>
        <v>156924.27023798256</v>
      </c>
      <c r="AC130" s="300">
        <f>AC69</f>
        <v>159196.65657956639</v>
      </c>
      <c r="AD130" s="300">
        <f>AD69</f>
        <v>179651.91178885431</v>
      </c>
      <c r="AE130" s="300">
        <f>AE69</f>
        <v>214933.03358121528</v>
      </c>
      <c r="AF130" s="311">
        <f>AF69</f>
        <v>710705.87218761852</v>
      </c>
      <c r="AH130" s="311">
        <f>AH69</f>
        <v>827863.11762847123</v>
      </c>
      <c r="AJ130" s="311">
        <f>AJ69</f>
        <v>954753.26521799818</v>
      </c>
      <c r="AL130" s="311">
        <f>AL69</f>
        <v>1030295.8559239496</v>
      </c>
    </row>
    <row r="131" spans="2:45" ht="14.25" customHeight="1">
      <c r="B131" s="28"/>
      <c r="D131" s="46"/>
      <c r="E131" s="46"/>
      <c r="F131" s="46"/>
      <c r="G131" s="46"/>
      <c r="H131" s="312"/>
      <c r="J131" s="46"/>
      <c r="K131" s="46"/>
      <c r="L131" s="46"/>
      <c r="M131" s="46"/>
      <c r="N131" s="312"/>
      <c r="P131" s="46"/>
      <c r="Q131" s="46"/>
      <c r="R131" s="46"/>
      <c r="S131" s="46"/>
      <c r="T131" s="312"/>
      <c r="U131" s="205"/>
      <c r="V131" s="46"/>
      <c r="W131" s="46"/>
      <c r="X131" s="46"/>
      <c r="Y131" s="46"/>
      <c r="AB131" s="46"/>
      <c r="AC131" s="46"/>
      <c r="AD131" s="46"/>
      <c r="AE131" s="46"/>
      <c r="AS131" s="312"/>
    </row>
    <row r="132" spans="2:45" ht="14.25" customHeight="1">
      <c r="B132" s="28" t="s">
        <v>356</v>
      </c>
      <c r="D132" s="309">
        <f>IS!P45/IS!P42</f>
        <v>0.23684034321737099</v>
      </c>
      <c r="E132" s="309">
        <f>IS!Q45/IS!Q42</f>
        <v>0.2514022008756453</v>
      </c>
      <c r="F132" s="309">
        <f>IS!R45/IS!R42</f>
        <v>0.24941362671112066</v>
      </c>
      <c r="G132" s="309">
        <f>IS!S45/IS!S42</f>
        <v>0.17652723385350141</v>
      </c>
      <c r="H132" s="310">
        <f>IS!T45/IS!T42</f>
        <v>0.22679294710926226</v>
      </c>
      <c r="J132" s="309">
        <f>IS!V45/IS!V42</f>
        <v>0.24884635085777534</v>
      </c>
      <c r="K132" s="309">
        <f>IS!W45/IS!W42</f>
        <v>0.25165822487267658</v>
      </c>
      <c r="L132" s="309">
        <f>IS!X45/IS!X42</f>
        <v>0.2475565796805661</v>
      </c>
      <c r="M132" s="309">
        <f>IS!Y45/IS!Y42</f>
        <v>0.19006716921692168</v>
      </c>
      <c r="N132" s="310">
        <f>IS!Z45/IS!Z42</f>
        <v>0.23254132809546507</v>
      </c>
      <c r="P132" s="309">
        <f>IS!AB45/IS!AB42</f>
        <v>0.24616072292597696</v>
      </c>
      <c r="Q132" s="309">
        <f>IS!AC45/IS!AC42</f>
        <v>0.25279420109334994</v>
      </c>
      <c r="R132" s="309">
        <f>IS!AD45/IS!AD42</f>
        <v>0.26184792375678567</v>
      </c>
      <c r="S132" s="309">
        <f>IS!AE45/IS!AE42</f>
        <v>0.26610095898517516</v>
      </c>
      <c r="T132" s="310">
        <f>IS!AF45/IS!AF42</f>
        <v>0.25815397676595969</v>
      </c>
      <c r="U132" s="205"/>
      <c r="V132" s="309">
        <f>IS!AH45/IS!AH42</f>
        <v>0.23965626004012205</v>
      </c>
      <c r="W132" s="309">
        <f>IS!AI45/IS!AI42</f>
        <v>0.20571404818747921</v>
      </c>
      <c r="X132" s="316">
        <f>AVERAGE(R132,L132,F132)</f>
        <v>0.25293937671615746</v>
      </c>
      <c r="Y132" s="316">
        <f t="shared" ref="Y132" si="101">AVERAGE(S132,M132,G132)</f>
        <v>0.21089845401853277</v>
      </c>
      <c r="Z132" s="318">
        <f>AVERAGE(V132:Y132)</f>
        <v>0.22730203474057287</v>
      </c>
      <c r="AB132" s="316">
        <f t="shared" ref="AB132:AC132" si="102">AVERAGE(V132,P132,J132)</f>
        <v>0.24488777794129146</v>
      </c>
      <c r="AC132" s="316">
        <f t="shared" si="102"/>
        <v>0.23672215805116856</v>
      </c>
      <c r="AD132" s="316">
        <f>AVERAGE(X132,R132,L132)</f>
        <v>0.25411462671783641</v>
      </c>
      <c r="AE132" s="316">
        <f t="shared" ref="AE132" si="103">AVERAGE(Y132,S132,M132)</f>
        <v>0.22235552740687656</v>
      </c>
      <c r="AF132" s="318">
        <f>AVERAGE(AB132:AE132)</f>
        <v>0.23952002252929325</v>
      </c>
      <c r="AH132" s="316">
        <f>AVERAGE(AF132,Z132,T132,N132,H132)</f>
        <v>0.23686206184811062</v>
      </c>
      <c r="AJ132" s="316">
        <v>0.23699999999999999</v>
      </c>
      <c r="AL132" s="316">
        <v>0.23699999999999999</v>
      </c>
    </row>
    <row r="133" spans="2:45" ht="14.25" customHeight="1">
      <c r="B133" s="28"/>
      <c r="D133" s="46"/>
      <c r="E133" s="46"/>
      <c r="F133" s="46"/>
      <c r="G133" s="46"/>
      <c r="H133" s="312"/>
      <c r="J133" s="46"/>
      <c r="K133" s="46"/>
      <c r="L133" s="46"/>
      <c r="M133" s="46"/>
      <c r="N133" s="312"/>
      <c r="P133" s="46"/>
      <c r="Q133" s="46"/>
      <c r="R133" s="46"/>
      <c r="S133" s="46"/>
      <c r="T133" s="312"/>
      <c r="U133" s="205"/>
      <c r="V133" s="46"/>
      <c r="W133" s="46"/>
      <c r="X133" s="46"/>
      <c r="Y133" s="46"/>
      <c r="AB133" s="46"/>
      <c r="AC133" s="46"/>
      <c r="AD133" s="46"/>
      <c r="AE133" s="46"/>
    </row>
    <row r="134" spans="2:45" ht="14.25" customHeight="1">
      <c r="B134" s="28" t="s">
        <v>472</v>
      </c>
      <c r="D134" s="46">
        <f>D130*(1-D132)</f>
        <v>105841.84963952603</v>
      </c>
      <c r="E134" s="46">
        <f t="shared" ref="E134:H134" si="104">E130*(1-E132)</f>
        <v>126495.06170483695</v>
      </c>
      <c r="F134" s="46">
        <f t="shared" si="104"/>
        <v>125513.80392773969</v>
      </c>
      <c r="G134" s="46">
        <f t="shared" si="104"/>
        <v>155187.56014413838</v>
      </c>
      <c r="H134" s="313">
        <f t="shared" si="104"/>
        <v>512899.93967159488</v>
      </c>
      <c r="J134" s="46">
        <f>J130*(1-J132)</f>
        <v>123663.92756558272</v>
      </c>
      <c r="K134" s="46">
        <f t="shared" ref="K134:N134" si="105">K130*(1-K132)</f>
        <v>141765.11753834502</v>
      </c>
      <c r="L134" s="46">
        <f t="shared" si="105"/>
        <v>134687.37223717867</v>
      </c>
      <c r="M134" s="46">
        <f t="shared" si="105"/>
        <v>152016.29300967598</v>
      </c>
      <c r="N134" s="313">
        <f t="shared" si="105"/>
        <v>555547.98341825465</v>
      </c>
      <c r="P134" s="46">
        <f>P130*(1-P132)</f>
        <v>106547.64342164241</v>
      </c>
      <c r="Q134" s="46">
        <f t="shared" ref="Q134:T134" si="106">Q130*(1-Q132)</f>
        <v>134417.092782714</v>
      </c>
      <c r="R134" s="46">
        <f t="shared" si="106"/>
        <v>129020.86325447519</v>
      </c>
      <c r="S134" s="46">
        <f t="shared" si="106"/>
        <v>157485.19351424821</v>
      </c>
      <c r="T134" s="313">
        <f t="shared" si="106"/>
        <v>526782.63556042232</v>
      </c>
      <c r="U134" s="205"/>
      <c r="V134" s="46">
        <f>V130*(1-V132)</f>
        <v>113476.74112657201</v>
      </c>
      <c r="W134" s="46">
        <f t="shared" ref="W134" si="107">W130*(1-W132)</f>
        <v>129909.43884869684</v>
      </c>
      <c r="X134" s="46">
        <f>X130*(1-X132)</f>
        <v>102661.96276151013</v>
      </c>
      <c r="Y134" s="46">
        <f>Y130*(1-Y132)</f>
        <v>135763.42914252693</v>
      </c>
      <c r="Z134" s="313">
        <f>SUM(V134:Y134)</f>
        <v>481811.57187930588</v>
      </c>
      <c r="AB134" s="46">
        <f t="shared" ref="AB134:AE134" si="108">AB130*(1-AB132)</f>
        <v>118495.43439434428</v>
      </c>
      <c r="AC134" s="46">
        <f t="shared" si="108"/>
        <v>121511.28047952068</v>
      </c>
      <c r="AD134" s="46">
        <f t="shared" si="108"/>
        <v>133999.7332854839</v>
      </c>
      <c r="AE134" s="46">
        <f t="shared" si="108"/>
        <v>167141.48554210423</v>
      </c>
      <c r="AF134" s="313">
        <f>SUM(AB134:AE134)</f>
        <v>541147.93370145303</v>
      </c>
      <c r="AH134" s="313">
        <f>AH130*(1-AH132)</f>
        <v>631773.7526589866</v>
      </c>
      <c r="AJ134" s="313">
        <f>AJ130*(1-AJ132)</f>
        <v>728476.74136133259</v>
      </c>
      <c r="AL134" s="313">
        <f>AL130*(1-AL132)</f>
        <v>786115.73806997354</v>
      </c>
    </row>
    <row r="135" spans="2:45" ht="14.25" customHeight="1">
      <c r="D135" s="46"/>
      <c r="E135" s="46"/>
      <c r="F135" s="46"/>
      <c r="G135" s="46"/>
      <c r="H135" s="312"/>
      <c r="J135" s="46"/>
      <c r="K135" s="46"/>
      <c r="L135" s="46"/>
      <c r="M135" s="46"/>
      <c r="N135" s="312"/>
      <c r="P135" s="46"/>
      <c r="Q135" s="46"/>
      <c r="R135" s="46"/>
      <c r="S135" s="46"/>
      <c r="T135" s="312"/>
      <c r="U135" s="205"/>
      <c r="V135" s="46"/>
      <c r="W135" s="46"/>
      <c r="X135" s="46"/>
      <c r="Y135" s="46"/>
      <c r="AB135" s="46"/>
      <c r="AC135" s="46"/>
      <c r="AD135" s="46"/>
      <c r="AE135" s="46"/>
    </row>
    <row r="136" spans="2:45" ht="14.25" customHeight="1">
      <c r="B136" s="28" t="s">
        <v>407</v>
      </c>
      <c r="D136" s="300">
        <f>D102</f>
        <v>46742</v>
      </c>
      <c r="E136" s="300">
        <f>E102</f>
        <v>29035</v>
      </c>
      <c r="F136" s="300">
        <f>F102</f>
        <v>31140</v>
      </c>
      <c r="G136" s="300">
        <f>G102</f>
        <v>31144</v>
      </c>
      <c r="H136" s="311">
        <f>H102</f>
        <v>138061</v>
      </c>
      <c r="J136" s="300">
        <f>J102</f>
        <v>34947</v>
      </c>
      <c r="K136" s="300">
        <f>K102</f>
        <v>30830</v>
      </c>
      <c r="L136" s="300">
        <f>L102</f>
        <v>33281</v>
      </c>
      <c r="M136" s="300">
        <f>M102</f>
        <v>33546</v>
      </c>
      <c r="N136" s="311">
        <f>N102</f>
        <v>132604</v>
      </c>
      <c r="P136" s="300">
        <f>P102</f>
        <v>32410</v>
      </c>
      <c r="Q136" s="300">
        <f>Q102</f>
        <v>31646</v>
      </c>
      <c r="R136" s="300">
        <f>R102</f>
        <v>30780</v>
      </c>
      <c r="S136" s="300">
        <f>S102</f>
        <v>32338</v>
      </c>
      <c r="T136" s="311">
        <f>T102</f>
        <v>127174</v>
      </c>
      <c r="U136" s="205"/>
      <c r="V136" s="300">
        <f>V102</f>
        <v>32145</v>
      </c>
      <c r="W136" s="300">
        <f>W102</f>
        <v>32190</v>
      </c>
      <c r="X136" s="300">
        <f>X102</f>
        <v>33797.553078141929</v>
      </c>
      <c r="Y136" s="300">
        <f>Y102</f>
        <v>32460.216871197343</v>
      </c>
      <c r="Z136" s="311">
        <f>Z102</f>
        <v>130592.76994933927</v>
      </c>
      <c r="AB136" s="300">
        <f>AB102</f>
        <v>32539.462286277005</v>
      </c>
      <c r="AC136" s="300">
        <f>AC102</f>
        <v>29957.43608632675</v>
      </c>
      <c r="AD136" s="300">
        <f>AD102</f>
        <v>32912.663468501618</v>
      </c>
      <c r="AE136" s="300">
        <f>AE102</f>
        <v>31679.008479303222</v>
      </c>
      <c r="AF136" s="311">
        <f>AF102</f>
        <v>127088.57032040859</v>
      </c>
      <c r="AH136" s="311">
        <f>AH102</f>
        <v>128747.26328553271</v>
      </c>
      <c r="AJ136" s="311">
        <f>AJ102</f>
        <v>126491.34186242953</v>
      </c>
      <c r="AL136" s="311">
        <f>AL102</f>
        <v>125143.03165522389</v>
      </c>
    </row>
    <row r="137" spans="2:45" ht="14.25" customHeight="1">
      <c r="D137" s="46"/>
      <c r="E137" s="46"/>
      <c r="F137" s="46"/>
      <c r="G137" s="46"/>
      <c r="H137" s="312"/>
      <c r="J137" s="46"/>
      <c r="K137" s="46"/>
      <c r="L137" s="46"/>
      <c r="M137" s="46"/>
      <c r="N137" s="312"/>
      <c r="P137" s="46"/>
      <c r="Q137" s="46"/>
      <c r="R137" s="46"/>
      <c r="S137" s="46"/>
      <c r="T137" s="312"/>
      <c r="U137" s="205"/>
      <c r="V137" s="46"/>
      <c r="W137" s="46"/>
      <c r="X137" s="46"/>
      <c r="Y137" s="46"/>
      <c r="AB137" s="46"/>
      <c r="AC137" s="46"/>
      <c r="AD137" s="46"/>
      <c r="AE137" s="46"/>
    </row>
    <row r="138" spans="2:45" ht="14.25" customHeight="1">
      <c r="B138" s="28" t="s">
        <v>473</v>
      </c>
      <c r="D138" s="300">
        <f>D105</f>
        <v>13723</v>
      </c>
      <c r="E138" s="300">
        <f>E105</f>
        <v>13157</v>
      </c>
      <c r="F138" s="300">
        <f>F105</f>
        <v>15761</v>
      </c>
      <c r="G138" s="300">
        <f>G105</f>
        <v>15727</v>
      </c>
      <c r="H138" s="311">
        <f>H105</f>
        <v>58368</v>
      </c>
      <c r="J138" s="300">
        <f>J105</f>
        <v>12232</v>
      </c>
      <c r="K138" s="300">
        <f>K105</f>
        <v>9898</v>
      </c>
      <c r="L138" s="300">
        <f>L105</f>
        <v>13175</v>
      </c>
      <c r="M138" s="300">
        <f>M105</f>
        <v>15742</v>
      </c>
      <c r="N138" s="311">
        <f>N105</f>
        <v>51047</v>
      </c>
      <c r="P138" s="300">
        <f>P105</f>
        <v>13822</v>
      </c>
      <c r="Q138" s="300">
        <f>Q105</f>
        <v>7648</v>
      </c>
      <c r="R138" s="300">
        <f>R105</f>
        <v>8669</v>
      </c>
      <c r="S138" s="300">
        <f>S105</f>
        <v>6012</v>
      </c>
      <c r="T138" s="311">
        <f>T105</f>
        <v>36151</v>
      </c>
      <c r="U138" s="205"/>
      <c r="V138" s="300">
        <f>V105</f>
        <v>2488</v>
      </c>
      <c r="W138" s="300">
        <f>W105</f>
        <v>6224</v>
      </c>
      <c r="X138" s="300">
        <f>X105</f>
        <v>5408.9397149961605</v>
      </c>
      <c r="Y138" s="300">
        <f>Y105</f>
        <v>6631.4363195004817</v>
      </c>
      <c r="Z138" s="311">
        <f>Z105</f>
        <v>20752.376034496643</v>
      </c>
      <c r="AB138" s="300">
        <f>AB105</f>
        <v>9029.6486726976345</v>
      </c>
      <c r="AC138" s="300">
        <f>AC105</f>
        <v>8155.4902845911038</v>
      </c>
      <c r="AD138" s="300">
        <f>AD105</f>
        <v>8879.3420827785776</v>
      </c>
      <c r="AE138" s="300">
        <f>AE105</f>
        <v>9520.3626816986416</v>
      </c>
      <c r="AF138" s="311">
        <f>AF105</f>
        <v>35584.843721765959</v>
      </c>
      <c r="AH138" s="311">
        <f>AH105</f>
        <v>34842.831531016018</v>
      </c>
      <c r="AJ138" s="311">
        <f>AJ105</f>
        <v>33889.132666873207</v>
      </c>
      <c r="AL138" s="311">
        <f>AL105</f>
        <v>34530.816686993057</v>
      </c>
    </row>
    <row r="139" spans="2:45" ht="14.25" customHeight="1">
      <c r="D139" s="46"/>
      <c r="E139" s="46"/>
      <c r="F139" s="46"/>
      <c r="G139" s="46"/>
      <c r="H139" s="312"/>
      <c r="J139" s="46"/>
      <c r="K139" s="46"/>
      <c r="L139" s="46"/>
      <c r="M139" s="46"/>
      <c r="N139" s="312"/>
      <c r="P139" s="46"/>
      <c r="Q139" s="46"/>
      <c r="R139" s="46"/>
      <c r="S139" s="46"/>
      <c r="T139" s="312"/>
      <c r="U139" s="205"/>
      <c r="V139" s="46"/>
      <c r="W139" s="46"/>
      <c r="X139" s="46"/>
      <c r="Y139" s="46"/>
      <c r="AB139" s="46"/>
      <c r="AC139" s="46"/>
      <c r="AD139" s="46"/>
      <c r="AE139" s="46"/>
    </row>
    <row r="140" spans="2:45" ht="14.25" customHeight="1">
      <c r="B140" s="28" t="s">
        <v>464</v>
      </c>
      <c r="D140" s="300">
        <f>D111</f>
        <v>-152461</v>
      </c>
      <c r="E140" s="300">
        <f>E111</f>
        <v>-28579</v>
      </c>
      <c r="F140" s="300">
        <f>F111</f>
        <v>-51399</v>
      </c>
      <c r="G140" s="300">
        <f>G111</f>
        <v>-6557</v>
      </c>
      <c r="H140" s="311">
        <f>H111</f>
        <v>-238996</v>
      </c>
      <c r="J140" s="300">
        <f>J111</f>
        <v>-58900</v>
      </c>
      <c r="K140" s="300">
        <f>K111</f>
        <v>-84221</v>
      </c>
      <c r="L140" s="300">
        <f>L111</f>
        <v>71438</v>
      </c>
      <c r="M140" s="300">
        <f>M111</f>
        <v>47773</v>
      </c>
      <c r="N140" s="311">
        <f>N111</f>
        <v>-23910</v>
      </c>
      <c r="P140" s="300">
        <f>P111</f>
        <v>17397</v>
      </c>
      <c r="Q140" s="300">
        <f>Q111</f>
        <v>10562</v>
      </c>
      <c r="R140" s="300">
        <f>R111</f>
        <v>-39057</v>
      </c>
      <c r="S140" s="300">
        <f>S111</f>
        <v>47033</v>
      </c>
      <c r="T140" s="311">
        <f>T111</f>
        <v>35935</v>
      </c>
      <c r="U140" s="205"/>
      <c r="V140" s="300">
        <f>V111</f>
        <v>22205</v>
      </c>
      <c r="W140" s="300">
        <f>W111</f>
        <v>-67824</v>
      </c>
      <c r="X140" s="300">
        <f>X111</f>
        <v>51515.474479689845</v>
      </c>
      <c r="Y140" s="300">
        <f>Y111</f>
        <v>91103.828344354755</v>
      </c>
      <c r="Z140" s="311">
        <f>Z111</f>
        <v>97000.3028240446</v>
      </c>
      <c r="AB140" s="300">
        <f>AB111</f>
        <v>-14108.39729108545</v>
      </c>
      <c r="AC140" s="300">
        <f>AC111</f>
        <v>-110559.76909092593</v>
      </c>
      <c r="AD140" s="300">
        <f>AD111</f>
        <v>81064.617663502344</v>
      </c>
      <c r="AE140" s="300">
        <f>AE111</f>
        <v>97288.694640352856</v>
      </c>
      <c r="AF140" s="311">
        <f>AF111</f>
        <v>53685.145921843825</v>
      </c>
      <c r="AH140" s="311">
        <f>AH111</f>
        <v>-30847.92275682278</v>
      </c>
      <c r="AJ140" s="311">
        <f>AJ111</f>
        <v>-24461.493106824579</v>
      </c>
      <c r="AL140" s="311">
        <f>AL111</f>
        <v>-32379.241285579163</v>
      </c>
    </row>
    <row r="141" spans="2:45" ht="14.25" customHeight="1">
      <c r="D141" s="46"/>
      <c r="E141" s="46"/>
      <c r="F141" s="46"/>
      <c r="G141" s="46"/>
      <c r="H141" s="312"/>
      <c r="J141" s="46"/>
      <c r="K141" s="46"/>
      <c r="L141" s="46"/>
      <c r="M141" s="46"/>
      <c r="N141" s="312"/>
      <c r="P141" s="46"/>
      <c r="Q141" s="46"/>
      <c r="R141" s="46"/>
      <c r="S141" s="46"/>
      <c r="T141" s="312"/>
      <c r="U141" s="205"/>
      <c r="V141" s="46"/>
      <c r="W141" s="46"/>
      <c r="X141" s="46"/>
      <c r="Y141" s="46"/>
      <c r="AB141" s="46"/>
      <c r="AC141" s="46"/>
      <c r="AD141" s="46"/>
      <c r="AE141" s="46"/>
    </row>
    <row r="142" spans="2:45" ht="14.25" customHeight="1">
      <c r="B142" s="28" t="s">
        <v>474</v>
      </c>
      <c r="D142" s="46">
        <f>D114+D117</f>
        <v>-14737</v>
      </c>
      <c r="E142" s="46">
        <f>E114+E117</f>
        <v>-17636</v>
      </c>
      <c r="F142" s="46">
        <f>F114+F117</f>
        <v>-19242</v>
      </c>
      <c r="G142" s="46">
        <f>G114+G117</f>
        <v>-17907</v>
      </c>
      <c r="H142" s="66">
        <f>H114+H117</f>
        <v>-69522</v>
      </c>
      <c r="J142" s="46">
        <f>J114+J117</f>
        <v>-27110</v>
      </c>
      <c r="K142" s="46">
        <f>K114+K117</f>
        <v>-23010</v>
      </c>
      <c r="L142" s="46">
        <f>L114+L117</f>
        <v>-21330</v>
      </c>
      <c r="M142" s="46">
        <f>M114+M117</f>
        <v>-15534</v>
      </c>
      <c r="N142" s="66">
        <f>N114+N117</f>
        <v>-86984</v>
      </c>
      <c r="P142" s="46">
        <f>P114+P117</f>
        <v>-13823</v>
      </c>
      <c r="Q142" s="46">
        <f>Q114+Q117</f>
        <v>-10937</v>
      </c>
      <c r="R142" s="46">
        <f>R114+R117</f>
        <v>-11489</v>
      </c>
      <c r="S142" s="46">
        <f>S114+S117</f>
        <v>-10634</v>
      </c>
      <c r="T142" s="66">
        <f>T114+T117</f>
        <v>-46883</v>
      </c>
      <c r="U142" s="205"/>
      <c r="V142" s="46">
        <f>V114+V117</f>
        <v>-34846</v>
      </c>
      <c r="W142" s="46">
        <f>W114+W117</f>
        <v>-20919</v>
      </c>
      <c r="X142" s="46">
        <f>X114+X117</f>
        <v>-19096.479884965025</v>
      </c>
      <c r="Y142" s="46">
        <f>Y114+Y117</f>
        <v>-20793.024192236433</v>
      </c>
      <c r="Z142" s="66">
        <f>Z114+Z117</f>
        <v>-95654.504077201462</v>
      </c>
      <c r="AB142" s="46">
        <f>AB114+AB117</f>
        <v>-20667.669842445775</v>
      </c>
      <c r="AC142" s="46">
        <f>AC114+AC117</f>
        <v>-22312.242497869793</v>
      </c>
      <c r="AD142" s="46">
        <f>AD114+AD117</f>
        <v>-21792.166999439567</v>
      </c>
      <c r="AE142" s="46">
        <f>AE114+AE117</f>
        <v>-23825.233239854955</v>
      </c>
      <c r="AF142" s="66">
        <f>AF114+AF117</f>
        <v>-88597.312579610094</v>
      </c>
      <c r="AH142" s="66">
        <f>AH114+AH117</f>
        <v>-100826.89648577801</v>
      </c>
      <c r="AJ142" s="66">
        <f>AJ114+AJ117</f>
        <v>-113675.48921616218</v>
      </c>
      <c r="AL142" s="66">
        <f>AL114+AL117</f>
        <v>-118202.00000963249</v>
      </c>
    </row>
    <row r="143" spans="2:45" ht="14.25" customHeight="1">
      <c r="D143" s="314"/>
      <c r="E143" s="314"/>
      <c r="F143" s="314"/>
      <c r="G143" s="314"/>
      <c r="H143" s="312"/>
      <c r="J143" s="314"/>
      <c r="K143" s="314"/>
      <c r="L143" s="314"/>
      <c r="M143" s="314"/>
      <c r="N143" s="312"/>
      <c r="P143" s="314"/>
      <c r="Q143" s="314"/>
      <c r="R143" s="314"/>
      <c r="S143" s="314"/>
      <c r="T143" s="312"/>
      <c r="U143" s="339"/>
      <c r="V143" s="314"/>
      <c r="W143" s="314"/>
      <c r="X143" s="290"/>
      <c r="Y143" s="290"/>
      <c r="AB143" s="290"/>
      <c r="AC143" s="290"/>
      <c r="AD143" s="290"/>
      <c r="AE143" s="290"/>
    </row>
    <row r="144" spans="2:45" ht="14.25" customHeight="1">
      <c r="B144" s="292" t="s">
        <v>475</v>
      </c>
      <c r="C144" s="293"/>
      <c r="D144" s="315">
        <f>D134+D102+D105+D111+D142</f>
        <v>-891.15036047395552</v>
      </c>
      <c r="E144" s="315">
        <f>E134+E102+E105+E111+E142</f>
        <v>122472.06170483696</v>
      </c>
      <c r="F144" s="315">
        <f>F134+F102+F105+F111+F142</f>
        <v>101773.80392773967</v>
      </c>
      <c r="G144" s="315">
        <f>G134+G102+G105+G111+G142</f>
        <v>177594.56014413838</v>
      </c>
      <c r="H144" s="315">
        <f>H134+H102+H105+H111+H142</f>
        <v>400810.93967159488</v>
      </c>
      <c r="I144" s="293"/>
      <c r="J144" s="315">
        <f>J134+J102+J105+J111+J142</f>
        <v>84832.927565582737</v>
      </c>
      <c r="K144" s="315">
        <f>K134+K102+K105+K111+K142</f>
        <v>75262.117538345017</v>
      </c>
      <c r="L144" s="315">
        <f>L134+L102+L105+L111+L142</f>
        <v>231251.37223717867</v>
      </c>
      <c r="M144" s="315">
        <f>M134+M102+M105+M111+M142</f>
        <v>233543.29300967598</v>
      </c>
      <c r="N144" s="315">
        <f>N134+N102+N105+N111+N142</f>
        <v>628304.98341825465</v>
      </c>
      <c r="O144" s="293"/>
      <c r="P144" s="315">
        <f>P134+P102+P105+P111+P142</f>
        <v>156353.64342164242</v>
      </c>
      <c r="Q144" s="315">
        <f>Q134+Q102+Q105+Q111+Q142</f>
        <v>173336.092782714</v>
      </c>
      <c r="R144" s="315">
        <f>R134+R102+R105+R111+R142</f>
        <v>117923.86325447517</v>
      </c>
      <c r="S144" s="315">
        <f>S134+S102+S105+S111+S142</f>
        <v>232234.19351424821</v>
      </c>
      <c r="T144" s="315">
        <f>T134+T102+T105+T111+T142</f>
        <v>679159.63556042232</v>
      </c>
      <c r="U144" s="293"/>
      <c r="V144" s="315">
        <f>V134+V102+V105+V111+V142</f>
        <v>135468.74112657201</v>
      </c>
      <c r="W144" s="315">
        <f>W134+W102+W105+W111+W142</f>
        <v>79580.438848696824</v>
      </c>
      <c r="X144" s="315">
        <f t="shared" ref="X144:AH144" si="109">X134+X136+X138+X140+X142</f>
        <v>174287.45014937306</v>
      </c>
      <c r="Y144" s="315">
        <f t="shared" si="109"/>
        <v>245165.88648534304</v>
      </c>
      <c r="Z144" s="315">
        <f t="shared" si="109"/>
        <v>634502.51660998492</v>
      </c>
      <c r="AA144" s="315"/>
      <c r="AB144" s="315">
        <f t="shared" si="109"/>
        <v>125288.47821978769</v>
      </c>
      <c r="AC144" s="315">
        <f t="shared" si="109"/>
        <v>26752.195261642806</v>
      </c>
      <c r="AD144" s="315">
        <f t="shared" si="109"/>
        <v>235064.18950082688</v>
      </c>
      <c r="AE144" s="315">
        <f t="shared" si="109"/>
        <v>281804.31810360396</v>
      </c>
      <c r="AF144" s="315">
        <f t="shared" si="109"/>
        <v>668909.18108586129</v>
      </c>
      <c r="AG144" s="315"/>
      <c r="AH144" s="315">
        <f t="shared" si="109"/>
        <v>663689.02823293454</v>
      </c>
      <c r="AI144" s="315"/>
      <c r="AJ144" s="315">
        <f t="shared" ref="AJ144" si="110">AJ134+AJ136+AJ138+AJ140+AJ142</f>
        <v>750720.23356764857</v>
      </c>
      <c r="AK144" s="315"/>
      <c r="AL144" s="315">
        <f t="shared" ref="AL144" si="111">AL134+AL136+AL138+AL140+AL142</f>
        <v>795208.34511697874</v>
      </c>
    </row>
    <row r="146" spans="1:38" s="41" customFormat="1" ht="15" customHeight="1">
      <c r="A146" s="30" t="s">
        <v>38</v>
      </c>
      <c r="B146" s="161" t="s">
        <v>476</v>
      </c>
      <c r="C146" s="18"/>
      <c r="D146" s="162"/>
      <c r="E146" s="162"/>
      <c r="F146" s="162"/>
      <c r="G146" s="162"/>
      <c r="H146" s="162"/>
      <c r="I146" s="18"/>
      <c r="J146" s="162"/>
      <c r="K146" s="162"/>
      <c r="L146" s="162"/>
      <c r="M146" s="162"/>
      <c r="N146" s="162"/>
      <c r="O146" s="18"/>
      <c r="P146" s="162"/>
      <c r="Q146" s="162"/>
      <c r="R146" s="162"/>
      <c r="S146" s="162"/>
      <c r="T146" s="162"/>
      <c r="U146" s="18"/>
      <c r="V146" s="162"/>
      <c r="W146" s="162"/>
      <c r="X146" s="162"/>
      <c r="Y146" s="162"/>
      <c r="Z146" s="162"/>
      <c r="AA146" s="18"/>
      <c r="AB146" s="162"/>
      <c r="AC146" s="162"/>
      <c r="AD146" s="162"/>
      <c r="AE146" s="162"/>
      <c r="AF146" s="162"/>
      <c r="AG146" s="18"/>
      <c r="AH146" s="162"/>
      <c r="AI146" s="18"/>
      <c r="AJ146" s="163"/>
      <c r="AK146" s="18"/>
      <c r="AL146" s="163"/>
    </row>
    <row r="147" spans="1:38" s="41" customFormat="1" ht="15" customHeight="1">
      <c r="B147" s="164"/>
      <c r="C147" s="18"/>
      <c r="D147" s="165"/>
      <c r="E147" s="165"/>
      <c r="F147" s="165"/>
      <c r="G147" s="165"/>
      <c r="H147" s="165"/>
      <c r="I147" s="169"/>
      <c r="J147" s="165"/>
      <c r="K147" s="165"/>
      <c r="L147" s="165"/>
      <c r="M147" s="165"/>
      <c r="N147" s="165"/>
      <c r="O147" s="169"/>
      <c r="P147" s="165"/>
      <c r="Q147" s="165"/>
      <c r="R147" s="165"/>
      <c r="S147" s="165"/>
      <c r="T147" s="165"/>
      <c r="U147" s="169"/>
      <c r="V147" s="813">
        <f>V$8</f>
        <v>2025</v>
      </c>
      <c r="W147" s="813">
        <f>X147</f>
        <v>0</v>
      </c>
      <c r="X147" s="813">
        <f>X$8</f>
        <v>0</v>
      </c>
      <c r="Y147" s="813">
        <f>X147</f>
        <v>0</v>
      </c>
      <c r="Z147" s="813">
        <f>X147</f>
        <v>0</v>
      </c>
      <c r="AA147" s="169"/>
      <c r="AB147" s="813">
        <f>AB$8</f>
        <v>2026</v>
      </c>
      <c r="AC147" s="813">
        <f>AD147</f>
        <v>0</v>
      </c>
      <c r="AD147" s="813">
        <f>AD$8</f>
        <v>0</v>
      </c>
      <c r="AE147" s="813">
        <f>AD147</f>
        <v>0</v>
      </c>
      <c r="AF147" s="813">
        <f>AD147</f>
        <v>0</v>
      </c>
      <c r="AG147" s="171"/>
      <c r="AH147" s="166">
        <f>AH$8</f>
        <v>2027</v>
      </c>
      <c r="AI147" s="167"/>
      <c r="AJ147" s="166">
        <f>AJ$8</f>
        <v>2028</v>
      </c>
      <c r="AK147" s="167"/>
      <c r="AL147" s="166">
        <f>AL$8</f>
        <v>2029</v>
      </c>
    </row>
    <row r="148" spans="1:38" s="41" customFormat="1" ht="14.25" customHeight="1">
      <c r="B148" s="164"/>
      <c r="C148" s="18"/>
      <c r="D148" s="168"/>
      <c r="E148" s="168"/>
      <c r="F148" s="168"/>
      <c r="G148" s="168"/>
      <c r="H148" s="168"/>
      <c r="I148" s="165"/>
      <c r="J148" s="168"/>
      <c r="K148" s="168"/>
      <c r="L148" s="168"/>
      <c r="M148" s="168"/>
      <c r="N148" s="168"/>
      <c r="O148" s="165"/>
      <c r="P148" s="168"/>
      <c r="Q148" s="168"/>
      <c r="R148" s="168"/>
      <c r="S148" s="168"/>
      <c r="T148" s="168"/>
      <c r="U148" s="165"/>
      <c r="V148" s="168" t="s">
        <v>191</v>
      </c>
      <c r="W148" s="168" t="s">
        <v>192</v>
      </c>
      <c r="X148" s="168" t="s">
        <v>193</v>
      </c>
      <c r="Y148" s="168" t="s">
        <v>194</v>
      </c>
      <c r="Z148" s="168" t="s">
        <v>195</v>
      </c>
      <c r="AA148" s="165"/>
      <c r="AB148" s="168" t="s">
        <v>191</v>
      </c>
      <c r="AC148" s="168" t="s">
        <v>192</v>
      </c>
      <c r="AD148" s="168" t="s">
        <v>193</v>
      </c>
      <c r="AE148" s="168" t="s">
        <v>194</v>
      </c>
      <c r="AF148" s="168" t="s">
        <v>195</v>
      </c>
      <c r="AG148" s="165"/>
      <c r="AH148" s="168" t="s">
        <v>195</v>
      </c>
      <c r="AI148" s="165"/>
      <c r="AJ148" s="168" t="s">
        <v>195</v>
      </c>
      <c r="AK148" s="165"/>
      <c r="AL148" s="168" t="s">
        <v>195</v>
      </c>
    </row>
    <row r="149" spans="1:38" s="41" customFormat="1" ht="3.95" customHeight="1">
      <c r="A149" s="43"/>
      <c r="B149" s="176"/>
      <c r="C149" s="35"/>
      <c r="D149" s="177"/>
      <c r="E149" s="177"/>
      <c r="F149" s="177"/>
      <c r="G149" s="177"/>
      <c r="H149" s="177"/>
      <c r="I149" s="178"/>
      <c r="J149" s="177"/>
      <c r="K149" s="177"/>
      <c r="L149" s="177"/>
      <c r="M149" s="177"/>
      <c r="N149" s="177"/>
      <c r="O149" s="178"/>
      <c r="P149" s="177"/>
      <c r="Q149" s="177"/>
      <c r="R149" s="177"/>
      <c r="S149" s="177"/>
      <c r="T149" s="177"/>
      <c r="U149" s="178"/>
      <c r="V149" s="177"/>
      <c r="W149" s="177"/>
      <c r="X149" s="177"/>
      <c r="Y149" s="177"/>
      <c r="Z149" s="179"/>
      <c r="AA149" s="180"/>
      <c r="AB149" s="179"/>
      <c r="AC149" s="179"/>
      <c r="AD149" s="179"/>
      <c r="AE149" s="179"/>
      <c r="AF149" s="179"/>
      <c r="AG149" s="180"/>
      <c r="AH149" s="179"/>
      <c r="AI149" s="180"/>
      <c r="AJ149" s="179"/>
      <c r="AK149" s="180"/>
      <c r="AL149" s="179"/>
    </row>
    <row r="150" spans="1:38" ht="3.95" customHeight="1"/>
    <row r="151" spans="1:38" ht="14.25" customHeight="1">
      <c r="B151" s="161" t="s">
        <v>477</v>
      </c>
      <c r="C151" s="186"/>
      <c r="D151" s="286"/>
      <c r="E151" s="286"/>
      <c r="F151" s="286"/>
      <c r="G151" s="286"/>
      <c r="H151" s="286"/>
      <c r="I151" s="186"/>
      <c r="J151" s="286"/>
      <c r="K151" s="286"/>
      <c r="L151" s="286"/>
      <c r="M151" s="286"/>
      <c r="N151" s="286"/>
      <c r="O151" s="186"/>
      <c r="P151" s="286"/>
      <c r="Q151" s="286"/>
      <c r="R151" s="286"/>
      <c r="S151" s="286"/>
      <c r="T151" s="286"/>
      <c r="U151" s="186"/>
      <c r="V151" s="286"/>
      <c r="W151" s="286"/>
      <c r="X151" s="286"/>
      <c r="Y151" s="286"/>
      <c r="Z151" s="286"/>
      <c r="AA151" s="186"/>
      <c r="AB151" s="286"/>
      <c r="AC151" s="286"/>
      <c r="AD151" s="286"/>
      <c r="AE151" s="286"/>
      <c r="AF151" s="286"/>
      <c r="AG151" s="186"/>
      <c r="AH151" s="286"/>
      <c r="AI151" s="186"/>
      <c r="AJ151" s="287"/>
      <c r="AK151" s="286"/>
      <c r="AL151" s="286"/>
    </row>
    <row r="152" spans="1:38" ht="3.95" customHeight="1">
      <c r="B152" s="288"/>
      <c r="C152" s="36"/>
      <c r="D152" s="288"/>
      <c r="E152" s="288"/>
      <c r="F152" s="288"/>
      <c r="G152" s="288"/>
      <c r="H152" s="288"/>
      <c r="I152" s="36"/>
      <c r="J152" s="288"/>
      <c r="K152" s="288"/>
      <c r="L152" s="288"/>
      <c r="M152" s="288"/>
      <c r="N152" s="288"/>
      <c r="O152" s="36"/>
      <c r="P152" s="288"/>
      <c r="Q152" s="288"/>
      <c r="R152" s="288"/>
      <c r="S152" s="288"/>
      <c r="T152" s="288"/>
      <c r="U152" s="36"/>
      <c r="V152" s="288"/>
      <c r="W152" s="288"/>
      <c r="X152" s="288"/>
      <c r="Y152" s="288"/>
      <c r="Z152" s="288"/>
      <c r="AA152" s="36"/>
      <c r="AB152" s="288"/>
      <c r="AC152" s="288"/>
      <c r="AD152" s="288"/>
      <c r="AE152" s="288"/>
      <c r="AF152" s="288"/>
      <c r="AG152" s="36"/>
      <c r="AH152" s="288"/>
      <c r="AI152" s="36"/>
      <c r="AJ152" s="289"/>
      <c r="AK152" s="288"/>
      <c r="AL152" s="288"/>
    </row>
    <row r="154" spans="1:38" ht="14.25" customHeight="1">
      <c r="B154" s="97" t="s">
        <v>478</v>
      </c>
      <c r="V154" s="297"/>
      <c r="W154" s="297"/>
      <c r="X154" s="297">
        <f ca="1">YEARFRAC(TODAY(),Inputs!$D$18+92)</f>
        <v>5.5555555555555552E-2</v>
      </c>
      <c r="Y154" s="297">
        <f ca="1">YEARFRAC(TODAY(),Inputs!$D$18+184)</f>
        <v>0.19722222222222222</v>
      </c>
      <c r="Z154" s="297"/>
      <c r="AB154" s="297" t="e">
        <f ca="1">YEARFRAC(TODAY(),Inputs!$D$17+365+90)</f>
        <v>#NAME?</v>
      </c>
      <c r="AC154" s="297" t="e">
        <f ca="1">YEARFRAC(TODAY(),Inputs!$D$17+365+90+91)</f>
        <v>#NAME?</v>
      </c>
      <c r="AD154" s="297" t="e">
        <f ca="1">YEARFRAC(TODAY(),Inputs!$D$17+365+90+91+92)</f>
        <v>#NAME?</v>
      </c>
      <c r="AE154" s="297" t="e">
        <f ca="1">YEARFRAC(TODAY(),Inputs!$D$17+720)</f>
        <v>#NAME?</v>
      </c>
      <c r="AF154" s="297"/>
      <c r="AH154" s="297" t="e">
        <f ca="1">YEARFRAC(TODAY(),Inputs!$D$17+730+365)</f>
        <v>#NAME?</v>
      </c>
      <c r="AJ154" s="297" t="e">
        <f ca="1">YEARFRAC(TODAY(),Inputs!$D$17+730+731)</f>
        <v>#NAME?</v>
      </c>
      <c r="AL154" s="297" t="e">
        <f ca="1">YEARFRAC(TODAY(),Inputs!$D$17+730+731+365)</f>
        <v>#NAME?</v>
      </c>
    </row>
    <row r="155" spans="1:38" ht="14.25" customHeight="1">
      <c r="B155" s="97" t="s">
        <v>479</v>
      </c>
      <c r="X155" s="297">
        <f ca="1">X154/2</f>
        <v>2.7777777777777776E-2</v>
      </c>
      <c r="Y155" s="297">
        <f ca="1">X154+(Y154-X154)/2</f>
        <v>0.12638888888888888</v>
      </c>
      <c r="Z155" s="297"/>
      <c r="AB155" s="297" t="e">
        <f ca="1">Y154+(AB154-Y154)/2</f>
        <v>#NAME?</v>
      </c>
      <c r="AC155" s="297" t="e">
        <f ca="1">AB154+(AC154-AB154)/2</f>
        <v>#NAME?</v>
      </c>
      <c r="AD155" s="297" t="e">
        <f ca="1">AC154+(AD154-AC154)/2</f>
        <v>#NAME?</v>
      </c>
      <c r="AE155" s="297" t="e">
        <f ca="1">AD154+(AE154-AD154)/2</f>
        <v>#NAME?</v>
      </c>
      <c r="AF155" s="297"/>
      <c r="AH155" s="297" t="e">
        <f ca="1">AE154+(AH154-AE154)/2</f>
        <v>#NAME?</v>
      </c>
      <c r="AJ155" s="297" t="e">
        <f ca="1">AH154+(AJ154-AH154)/2</f>
        <v>#NAME?</v>
      </c>
      <c r="AL155" s="297" t="e">
        <f ca="1">AJ154+(AL154-AJ154)/2</f>
        <v>#NAME?</v>
      </c>
    </row>
    <row r="157" spans="1:38" ht="14.25" customHeight="1">
      <c r="B157" s="97" t="s">
        <v>480</v>
      </c>
      <c r="V157" s="295"/>
      <c r="W157" s="295"/>
      <c r="X157" s="296">
        <f ca="1">WACC!$D$39+Sensitivity!U41</f>
        <v>6.7762296670080824E-2</v>
      </c>
      <c r="Y157" s="296">
        <f ca="1">WACC!$D$39+Sensitivity!U41</f>
        <v>6.7762296670080824E-2</v>
      </c>
      <c r="Z157" s="296"/>
      <c r="AB157" s="294">
        <f ca="1">WACC!$E$39+Sensitivity!U41</f>
        <v>6.7762296670080824E-2</v>
      </c>
      <c r="AC157" s="294">
        <f ca="1">WACC!$E$39+Sensitivity!U41</f>
        <v>6.7762296670080824E-2</v>
      </c>
      <c r="AD157" s="294">
        <f ca="1">WACC!$E$39+Sensitivity!U41</f>
        <v>6.7762296670080824E-2</v>
      </c>
      <c r="AE157" s="294">
        <f ca="1">WACC!$E$39+Sensitivity!U41</f>
        <v>6.7762296670080824E-2</v>
      </c>
      <c r="AF157" s="294"/>
      <c r="AH157" s="294">
        <f ca="1">WACC!$F$39+Sensitivity!U41</f>
        <v>6.7762296670080824E-2</v>
      </c>
      <c r="AJ157" s="294">
        <f ca="1">WACC!$G$39+Sensitivity!U41</f>
        <v>6.7762296670080824E-2</v>
      </c>
      <c r="AL157" s="294">
        <f ca="1">WACC!$H$39+Sensitivity!U41</f>
        <v>6.7762296670080824E-2</v>
      </c>
    </row>
    <row r="158" spans="1:38" ht="14.25" customHeight="1">
      <c r="B158" s="97" t="s">
        <v>481</v>
      </c>
      <c r="V158" s="295"/>
      <c r="W158" s="295"/>
      <c r="X158" s="298">
        <f ca="1">(1+X157)^X155</f>
        <v>1.0018229135767702</v>
      </c>
      <c r="Y158" s="298">
        <f ca="1">((1+X157)^X155)*((1+Y157)^Y155)</f>
        <v>1.0101592181671633</v>
      </c>
      <c r="Z158" s="298"/>
      <c r="AB158" s="298" t="e">
        <f ca="1">((1+X157)^X155)*((1+Y157)^Y155)*((1+AB157)^AB155)</f>
        <v>#NAME?</v>
      </c>
      <c r="AC158" s="298" t="e">
        <f ca="1">((1+X157)^X155)*((1+Y157)^Y155)*((1+AB157)^AB155)*((1+AC157)^AC155)</f>
        <v>#NAME?</v>
      </c>
      <c r="AD158" s="298" t="e">
        <f ca="1">((1+X157)^X155)*((1+Y157)^Y155)*((1+AB157)^AB155)*((1+AC157)^AC155)*((1+AD157)^AD155)</f>
        <v>#NAME?</v>
      </c>
      <c r="AE158" s="298" t="e">
        <f ca="1">((1+X157)^X155)*((1+Y157)^Y155)*((1+AB157)^AB155)*((1+AC157)^AC155)*((1+AD157)^AD155)*((1+AE157)^AE155)</f>
        <v>#NAME?</v>
      </c>
      <c r="AF158" s="294"/>
      <c r="AH158" s="298" t="e">
        <f ca="1">((1+X157)^X155)*((1+Y157)^Y155)*((1+AB157)^AB155)*((1+AC157)^AC155)*((1+AD157)^AD155)*((1+AE157)^AE155)*((1+AH157)^AH155)</f>
        <v>#NAME?</v>
      </c>
      <c r="AI158" s="298"/>
      <c r="AJ158" s="298" t="e">
        <f ca="1">((1+X157)^X155)*((1+Y157)^Y155)*((1+AB157)^AB155)*((1+AC157)^AC155)*((1+AD157)^AD155)*((1+AE157)^AE155)*((1+AH157)^AH155)*((1+AJ157)^AJ155)</f>
        <v>#NAME?</v>
      </c>
      <c r="AK158" s="298"/>
      <c r="AL158" s="298" t="e">
        <f ca="1">((1+X157)^X155)*((1+Y157)^Y155)*((1+AB157)^AB155)*((1+AC157)^AC155)*((1+AD157)^AD155)*((1+AE157)^AE155)*((1+AH157)^AH155)*((1+AJ157)^AJ155)*((1+AL157)^AL155)</f>
        <v>#NAME?</v>
      </c>
    </row>
    <row r="159" spans="1:38" s="105" customFormat="1" ht="14.25" customHeight="1">
      <c r="C159" s="33"/>
      <c r="I159" s="33"/>
      <c r="O159" s="33"/>
      <c r="U159" s="33"/>
      <c r="AA159" s="33"/>
      <c r="AG159" s="33"/>
      <c r="AI159" s="33"/>
    </row>
    <row r="160" spans="1:38" ht="14.25" customHeight="1">
      <c r="B160" s="299" t="s">
        <v>482</v>
      </c>
      <c r="C160" s="293"/>
      <c r="D160" s="291"/>
      <c r="E160" s="291"/>
      <c r="F160" s="291"/>
      <c r="G160" s="291"/>
      <c r="H160" s="291"/>
      <c r="I160" s="293"/>
      <c r="J160" s="291"/>
      <c r="K160" s="291"/>
      <c r="L160" s="291"/>
      <c r="M160" s="291"/>
      <c r="N160" s="291"/>
      <c r="O160" s="293"/>
      <c r="P160" s="291"/>
      <c r="Q160" s="291"/>
      <c r="R160" s="291"/>
      <c r="S160" s="291"/>
      <c r="T160" s="291"/>
      <c r="U160" s="293"/>
      <c r="V160" s="291"/>
      <c r="W160" s="291"/>
      <c r="X160" s="315" t="e">
        <f ca="1">X144/X158*(Inputs!$D$17-92-TODAY())/92</f>
        <v>#NAME?</v>
      </c>
      <c r="Y160" s="315">
        <f ca="1">Y144/Y158</f>
        <v>242700.24177987798</v>
      </c>
      <c r="Z160" s="315"/>
      <c r="AA160" s="315"/>
      <c r="AB160" s="315" t="e">
        <f ca="1">AB144/AB158</f>
        <v>#NAME?</v>
      </c>
      <c r="AC160" s="315" t="e">
        <f ca="1">AC144/AC158</f>
        <v>#NAME?</v>
      </c>
      <c r="AD160" s="315" t="e">
        <f ca="1">AD144/AD158</f>
        <v>#NAME?</v>
      </c>
      <c r="AE160" s="315" t="e">
        <f ca="1">AE144/AE158</f>
        <v>#NAME?</v>
      </c>
      <c r="AF160" s="315"/>
      <c r="AG160" s="315"/>
      <c r="AH160" s="315" t="e">
        <f ca="1">AH144/AH158</f>
        <v>#NAME?</v>
      </c>
      <c r="AI160" s="315"/>
      <c r="AJ160" s="315" t="e">
        <f ca="1">AJ144/AJ158</f>
        <v>#NAME?</v>
      </c>
      <c r="AK160" s="315"/>
      <c r="AL160" s="315" t="e">
        <f ca="1">AL144/AL158</f>
        <v>#NAME?</v>
      </c>
    </row>
    <row r="162" spans="2:38" ht="14.25" customHeight="1">
      <c r="B162" s="161" t="s">
        <v>483</v>
      </c>
      <c r="C162" s="186"/>
      <c r="D162" s="286"/>
      <c r="E162" s="286"/>
      <c r="F162" s="286"/>
      <c r="G162" s="286"/>
      <c r="H162" s="286"/>
      <c r="I162" s="186"/>
      <c r="J162" s="286"/>
      <c r="K162" s="286"/>
      <c r="L162" s="286"/>
      <c r="M162" s="286"/>
      <c r="N162" s="286"/>
      <c r="O162" s="186"/>
      <c r="P162" s="286"/>
      <c r="Q162" s="286"/>
      <c r="R162" s="286"/>
      <c r="S162" s="286"/>
      <c r="T162" s="286"/>
      <c r="U162" s="186"/>
      <c r="V162" s="286"/>
      <c r="W162" s="286"/>
      <c r="X162" s="286"/>
      <c r="Y162" s="286"/>
      <c r="Z162" s="286"/>
      <c r="AA162" s="186"/>
      <c r="AB162" s="286"/>
      <c r="AC162" s="286"/>
      <c r="AD162" s="286"/>
      <c r="AE162" s="286"/>
      <c r="AF162" s="286"/>
      <c r="AG162" s="186"/>
      <c r="AH162" s="286"/>
      <c r="AI162" s="186"/>
      <c r="AJ162" s="287"/>
      <c r="AK162" s="286"/>
      <c r="AL162" s="286"/>
    </row>
    <row r="163" spans="2:38" ht="3.95" customHeight="1">
      <c r="B163" s="288"/>
      <c r="C163" s="36"/>
      <c r="D163" s="288"/>
      <c r="E163" s="288"/>
      <c r="F163" s="288"/>
      <c r="G163" s="288"/>
      <c r="H163" s="288"/>
      <c r="I163" s="36"/>
      <c r="J163" s="288"/>
      <c r="K163" s="288"/>
      <c r="L163" s="288"/>
      <c r="M163" s="288"/>
      <c r="N163" s="288"/>
      <c r="O163" s="36"/>
      <c r="P163" s="288"/>
      <c r="Q163" s="288"/>
      <c r="R163" s="288"/>
      <c r="S163" s="288"/>
      <c r="T163" s="288"/>
      <c r="U163" s="36"/>
      <c r="V163" s="288"/>
      <c r="W163" s="288"/>
      <c r="X163" s="288"/>
      <c r="Y163" s="288"/>
      <c r="Z163" s="288"/>
      <c r="AA163" s="36"/>
      <c r="AB163" s="288"/>
      <c r="AC163" s="288"/>
      <c r="AD163" s="288"/>
      <c r="AE163" s="288"/>
      <c r="AF163" s="288"/>
      <c r="AG163" s="36"/>
      <c r="AH163" s="288"/>
      <c r="AI163" s="36"/>
      <c r="AJ163" s="289"/>
      <c r="AK163" s="288"/>
      <c r="AL163" s="288"/>
    </row>
    <row r="164" spans="2:38" ht="14.25" customHeight="1">
      <c r="B164" s="295"/>
      <c r="C164" s="25"/>
      <c r="D164" s="295"/>
      <c r="E164" s="295"/>
      <c r="F164" s="295"/>
      <c r="G164" s="295"/>
      <c r="H164" s="295"/>
      <c r="I164" s="25"/>
      <c r="J164" s="295"/>
      <c r="K164" s="295"/>
      <c r="L164" s="295"/>
      <c r="M164" s="295"/>
      <c r="N164" s="295"/>
      <c r="O164" s="25"/>
      <c r="P164" s="295"/>
      <c r="Q164" s="295"/>
      <c r="R164" s="295"/>
      <c r="S164" s="295"/>
      <c r="T164" s="295"/>
    </row>
    <row r="165" spans="2:38" s="341" customFormat="1" ht="14.25" customHeight="1">
      <c r="B165" s="344"/>
      <c r="C165" s="345"/>
      <c r="D165" s="344"/>
      <c r="E165" s="344"/>
      <c r="F165" s="344"/>
      <c r="G165" s="344"/>
      <c r="H165" s="346"/>
      <c r="I165" s="345"/>
      <c r="J165" s="344"/>
      <c r="K165" s="344"/>
      <c r="L165" s="344"/>
      <c r="M165" s="344"/>
      <c r="N165" s="344"/>
      <c r="O165" s="345"/>
      <c r="P165" s="344"/>
      <c r="Q165" s="608" t="s">
        <v>484</v>
      </c>
      <c r="R165" s="609" t="s">
        <v>485</v>
      </c>
      <c r="S165" s="344"/>
      <c r="T165" s="344"/>
      <c r="U165" s="342"/>
      <c r="V165" s="343" t="s">
        <v>486</v>
      </c>
      <c r="W165" s="343"/>
      <c r="X165" s="343"/>
      <c r="Y165" s="343"/>
      <c r="Z165" s="343"/>
      <c r="AB165" s="343" t="s">
        <v>487</v>
      </c>
      <c r="AC165" s="343"/>
      <c r="AD165" s="343"/>
      <c r="AE165" s="343"/>
      <c r="AF165" s="343"/>
      <c r="AG165" s="342"/>
      <c r="AH165" s="343" t="s">
        <v>485</v>
      </c>
      <c r="AI165" s="343"/>
      <c r="AJ165" s="343"/>
      <c r="AK165" s="343"/>
      <c r="AL165" s="343"/>
    </row>
    <row r="166" spans="2:38" ht="3.95" customHeight="1">
      <c r="B166" s="295"/>
      <c r="C166" s="25"/>
      <c r="D166" s="295"/>
      <c r="E166" s="295"/>
      <c r="F166" s="295"/>
      <c r="G166" s="295"/>
      <c r="H166" s="295"/>
      <c r="I166" s="25"/>
      <c r="J166" s="295"/>
      <c r="K166" s="295"/>
      <c r="L166" s="295"/>
      <c r="M166" s="295"/>
      <c r="N166" s="295"/>
      <c r="O166" s="25"/>
      <c r="P166" s="295"/>
      <c r="Q166" s="295"/>
      <c r="R166" s="295"/>
      <c r="S166" s="295"/>
      <c r="T166" s="295"/>
      <c r="V166" s="288"/>
      <c r="W166" s="288"/>
      <c r="X166" s="288"/>
      <c r="Y166" s="288"/>
      <c r="Z166" s="288"/>
      <c r="AA166" s="97"/>
      <c r="AB166" s="288"/>
      <c r="AC166" s="288"/>
      <c r="AD166" s="288"/>
      <c r="AE166" s="288"/>
      <c r="AF166" s="288"/>
      <c r="AH166" s="288"/>
      <c r="AI166" s="288"/>
      <c r="AJ166" s="288"/>
      <c r="AK166" s="288"/>
      <c r="AL166" s="288"/>
    </row>
    <row r="167" spans="2:38" ht="14.25" customHeight="1">
      <c r="B167" s="295"/>
      <c r="C167" s="25"/>
      <c r="D167" s="295"/>
      <c r="E167" s="295"/>
      <c r="F167" s="295"/>
      <c r="G167" s="295"/>
      <c r="H167" s="295"/>
      <c r="I167" s="25"/>
      <c r="M167" s="295"/>
      <c r="N167" s="295"/>
      <c r="O167" s="25"/>
      <c r="P167" s="295"/>
      <c r="Q167" s="295"/>
      <c r="R167" s="295"/>
      <c r="S167" s="295"/>
      <c r="T167" s="295"/>
      <c r="V167" s="97" t="s">
        <v>488</v>
      </c>
      <c r="Z167" s="358">
        <f ca="1">Inputs!M14</f>
        <v>10.944508630832132</v>
      </c>
      <c r="AB167" s="97" t="s">
        <v>489</v>
      </c>
      <c r="AF167" s="358">
        <f ca="1">Inputs!M13</f>
        <v>2.3638257675201553</v>
      </c>
      <c r="AH167" s="97" t="s">
        <v>490</v>
      </c>
      <c r="AL167" s="328">
        <f>AL144/AJ144-1</f>
        <v>5.9260573460114818E-2</v>
      </c>
    </row>
    <row r="168" spans="2:38" ht="14.25" customHeight="1">
      <c r="B168" s="295"/>
      <c r="C168" s="25"/>
      <c r="D168" s="295"/>
      <c r="E168" s="295"/>
      <c r="F168" s="295"/>
      <c r="G168" s="295"/>
      <c r="H168" s="295"/>
      <c r="I168" s="25"/>
      <c r="M168" s="295"/>
      <c r="N168" s="295"/>
      <c r="O168" s="25"/>
      <c r="P168" s="295"/>
      <c r="Q168" s="295"/>
      <c r="R168" s="295"/>
      <c r="S168" s="295"/>
      <c r="T168" s="295"/>
      <c r="V168" s="97" t="s">
        <v>491</v>
      </c>
      <c r="Z168" s="347"/>
      <c r="AB168" s="97" t="s">
        <v>492</v>
      </c>
      <c r="AF168" s="347"/>
      <c r="AH168" s="97" t="s">
        <v>493</v>
      </c>
      <c r="AL168" s="316">
        <v>1.4999999999999999E-2</v>
      </c>
    </row>
    <row r="169" spans="2:38" ht="14.25" customHeight="1">
      <c r="B169" s="295"/>
      <c r="C169" s="25"/>
      <c r="D169" s="295"/>
      <c r="E169" s="295"/>
      <c r="F169" s="295"/>
      <c r="G169" s="295"/>
      <c r="H169" s="295"/>
      <c r="I169" s="25"/>
      <c r="M169" s="295"/>
      <c r="N169" s="295"/>
      <c r="O169" s="25"/>
      <c r="P169" s="295"/>
      <c r="Q169" s="295"/>
      <c r="R169" s="295" t="str">
        <f>R165</f>
        <v>Gordon's Growth Model</v>
      </c>
      <c r="S169" s="295"/>
      <c r="T169" s="295"/>
      <c r="V169" s="97" t="s">
        <v>483</v>
      </c>
      <c r="Z169" s="312">
        <f>(Z168+Sensitivity!U43)*(AL130+AL136)</f>
        <v>0</v>
      </c>
      <c r="AB169" s="97" t="s">
        <v>483</v>
      </c>
      <c r="AF169" s="312">
        <f>(AF168+Sensitivity!U44)*(AL39)</f>
        <v>0</v>
      </c>
      <c r="AH169" s="97" t="s">
        <v>483</v>
      </c>
      <c r="AL169" s="312">
        <f ca="1">AL144*(1+AL168+Sensitivity!U42)/(AL157-AL168-Sensitivity!U42)</f>
        <v>15297599.256164011</v>
      </c>
    </row>
    <row r="170" spans="2:38" ht="14.25" customHeight="1">
      <c r="B170" s="295"/>
      <c r="C170" s="25"/>
      <c r="D170" s="295"/>
      <c r="E170" s="295"/>
      <c r="F170" s="295"/>
      <c r="G170" s="295"/>
      <c r="H170" s="295"/>
      <c r="I170" s="25"/>
      <c r="M170" s="295"/>
      <c r="N170" s="295"/>
      <c r="O170" s="25"/>
      <c r="P170" s="295"/>
      <c r="Q170" s="295"/>
      <c r="R170" s="610" t="e">
        <f ca="1">IF($R$169="Revenue Exit",$AF$179,IF($R$169="EBITDA Exit",$Z$179,$AL$179))</f>
        <v>#NAME?</v>
      </c>
      <c r="S170" s="295"/>
      <c r="T170" s="295"/>
      <c r="V170" s="348" t="s">
        <v>494</v>
      </c>
      <c r="W170" s="348"/>
      <c r="X170" s="348"/>
      <c r="Y170" s="348"/>
      <c r="Z170" s="349" t="e">
        <f ca="1">Z169/AL158</f>
        <v>#NAME?</v>
      </c>
      <c r="AB170" s="348" t="s">
        <v>494</v>
      </c>
      <c r="AC170" s="348"/>
      <c r="AD170" s="348"/>
      <c r="AE170" s="348"/>
      <c r="AF170" s="349" t="e">
        <f ca="1">AF169/AL158</f>
        <v>#NAME?</v>
      </c>
      <c r="AH170" s="348" t="s">
        <v>494</v>
      </c>
      <c r="AI170" s="356"/>
      <c r="AJ170" s="357"/>
      <c r="AK170" s="348"/>
      <c r="AL170" s="349" t="e">
        <f ca="1">AL169/AL158</f>
        <v>#NAME?</v>
      </c>
    </row>
    <row r="171" spans="2:38" ht="14.25" customHeight="1">
      <c r="B171" s="295"/>
      <c r="C171" s="25"/>
      <c r="D171" s="295"/>
      <c r="E171" s="295"/>
      <c r="F171" s="295"/>
      <c r="G171" s="295"/>
      <c r="H171" s="295"/>
      <c r="I171" s="25"/>
      <c r="M171" s="295"/>
      <c r="N171" s="295"/>
      <c r="O171" s="25"/>
      <c r="P171" s="295"/>
      <c r="Q171" s="295"/>
      <c r="R171" s="610" t="e">
        <f ca="1">1-R170</f>
        <v>#NAME?</v>
      </c>
      <c r="S171" s="295"/>
      <c r="T171" s="295"/>
      <c r="V171" s="105" t="s">
        <v>495</v>
      </c>
      <c r="W171" s="105"/>
      <c r="X171" s="105"/>
      <c r="Y171" s="105"/>
      <c r="Z171" s="322" t="e">
        <f ca="1">Z170+SUM(V160:AL160)</f>
        <v>#NAME?</v>
      </c>
      <c r="AB171" s="105" t="s">
        <v>495</v>
      </c>
      <c r="AC171" s="105"/>
      <c r="AD171" s="105"/>
      <c r="AE171" s="105"/>
      <c r="AF171" s="322" t="e">
        <f ca="1">AF170+SUM(V160:AL160)</f>
        <v>#NAME?</v>
      </c>
      <c r="AH171" s="105" t="s">
        <v>495</v>
      </c>
      <c r="AI171" s="105"/>
      <c r="AK171" s="105"/>
      <c r="AL171" s="322" t="e">
        <f ca="1">AL170+SUM(V160:AL160)</f>
        <v>#NAME?</v>
      </c>
    </row>
    <row r="172" spans="2:38" ht="14.25" customHeight="1">
      <c r="B172" s="295"/>
      <c r="C172" s="25"/>
      <c r="D172" s="295"/>
      <c r="E172" s="295"/>
      <c r="F172" s="295"/>
      <c r="G172" s="295"/>
      <c r="H172" s="295"/>
      <c r="I172" s="25"/>
      <c r="M172" s="295"/>
      <c r="N172" s="295"/>
      <c r="O172" s="25"/>
      <c r="P172" s="295"/>
      <c r="Q172" s="295"/>
      <c r="R172" s="97" t="e">
        <f ca="1">IF(R170&gt;0,"Upside","Downside")</f>
        <v>#NAME?</v>
      </c>
      <c r="S172" s="295"/>
      <c r="T172" s="295"/>
      <c r="V172" s="97" t="s">
        <v>496</v>
      </c>
      <c r="Z172" s="68">
        <f>BS!AI45+BS!AI44+BS!AI39+BS!AI38-BS!AI15</f>
        <v>1891588</v>
      </c>
      <c r="AB172" s="97" t="s">
        <v>496</v>
      </c>
      <c r="AF172" s="68">
        <f>BS!AI45+BS!AI44+BS!AI39+BS!AI38-BS!AI15</f>
        <v>1891588</v>
      </c>
      <c r="AH172" s="97" t="s">
        <v>496</v>
      </c>
      <c r="AI172" s="97"/>
      <c r="AJ172" s="97"/>
      <c r="AL172" s="68">
        <f>BS!AI45+BS!AI44+BS!AI39+BS!AI38-BS!AI15</f>
        <v>1891588</v>
      </c>
    </row>
    <row r="173" spans="2:38" ht="14.25" customHeight="1">
      <c r="B173" s="295"/>
      <c r="C173" s="25"/>
      <c r="D173" s="295"/>
      <c r="E173" s="295"/>
      <c r="F173" s="295"/>
      <c r="G173" s="295"/>
      <c r="H173" s="295"/>
      <c r="I173" s="25"/>
      <c r="M173" s="295"/>
      <c r="N173" s="295"/>
      <c r="O173" s="25"/>
      <c r="P173" s="295"/>
      <c r="Q173" s="295"/>
      <c r="R173" s="295"/>
      <c r="S173" s="295"/>
      <c r="T173" s="295"/>
      <c r="V173" s="97" t="s">
        <v>497</v>
      </c>
      <c r="Z173" s="68">
        <f ca="1">Inputs!U63</f>
        <v>0</v>
      </c>
      <c r="AB173" s="97" t="s">
        <v>497</v>
      </c>
      <c r="AF173" s="68">
        <f ca="1">Inputs!U63</f>
        <v>0</v>
      </c>
      <c r="AH173" s="97" t="s">
        <v>497</v>
      </c>
      <c r="AI173" s="97"/>
      <c r="AJ173" s="97"/>
      <c r="AL173" s="68">
        <f ca="1">Inputs!U63</f>
        <v>0</v>
      </c>
    </row>
    <row r="174" spans="2:38" ht="14.25" customHeight="1">
      <c r="V174" s="348" t="s">
        <v>498</v>
      </c>
      <c r="W174" s="348"/>
      <c r="X174" s="348"/>
      <c r="Y174" s="348"/>
      <c r="Z174" s="75">
        <f>BS!AI53</f>
        <v>0</v>
      </c>
      <c r="AB174" s="348" t="s">
        <v>498</v>
      </c>
      <c r="AC174" s="348"/>
      <c r="AD174" s="348"/>
      <c r="AE174" s="348"/>
      <c r="AF174" s="75">
        <f>BS!AI53</f>
        <v>0</v>
      </c>
      <c r="AH174" s="348" t="s">
        <v>498</v>
      </c>
      <c r="AI174" s="348"/>
      <c r="AJ174" s="348"/>
      <c r="AK174" s="348"/>
      <c r="AL174" s="75">
        <f>BS!AI53</f>
        <v>0</v>
      </c>
    </row>
    <row r="175" spans="2:38" ht="14.25" customHeight="1">
      <c r="V175" s="105" t="s">
        <v>499</v>
      </c>
      <c r="W175" s="105"/>
      <c r="X175" s="105"/>
      <c r="Y175" s="105"/>
      <c r="Z175" s="322" t="e">
        <f ca="1">Z171-Z172-Z173-Z174</f>
        <v>#NAME?</v>
      </c>
      <c r="AB175" s="105" t="s">
        <v>499</v>
      </c>
      <c r="AC175" s="105"/>
      <c r="AD175" s="105"/>
      <c r="AE175" s="105"/>
      <c r="AF175" s="322" t="e">
        <f ca="1">AF171-AF172-AF173-AF174</f>
        <v>#NAME?</v>
      </c>
      <c r="AH175" s="105" t="s">
        <v>499</v>
      </c>
      <c r="AI175" s="105"/>
      <c r="AK175" s="105"/>
      <c r="AL175" s="322" t="e">
        <f ca="1">AL171-AL172-AL173-AL174</f>
        <v>#NAME?</v>
      </c>
    </row>
    <row r="176" spans="2:38" ht="14.25" customHeight="1">
      <c r="V176" s="348" t="s">
        <v>500</v>
      </c>
      <c r="W176" s="348"/>
      <c r="X176" s="348"/>
      <c r="Y176" s="348"/>
      <c r="Z176" s="350">
        <f>AL72</f>
        <v>53415.0289567613</v>
      </c>
      <c r="AB176" s="348" t="s">
        <v>500</v>
      </c>
      <c r="AC176" s="348"/>
      <c r="AD176" s="348"/>
      <c r="AE176" s="348"/>
      <c r="AF176" s="350">
        <f>AL72</f>
        <v>53415.0289567613</v>
      </c>
      <c r="AH176" s="348" t="s">
        <v>500</v>
      </c>
      <c r="AI176" s="348"/>
      <c r="AJ176" s="348"/>
      <c r="AK176" s="348"/>
      <c r="AL176" s="350">
        <f>AL72</f>
        <v>53415.0289567613</v>
      </c>
    </row>
    <row r="177" spans="22:44" ht="14.25" customHeight="1">
      <c r="V177" s="105" t="s">
        <v>501</v>
      </c>
      <c r="W177" s="105"/>
      <c r="X177" s="105"/>
      <c r="Y177" s="105"/>
      <c r="Z177" s="321" t="e">
        <f ca="1">Z175/Z176</f>
        <v>#NAME?</v>
      </c>
      <c r="AB177" s="105" t="s">
        <v>501</v>
      </c>
      <c r="AC177" s="105"/>
      <c r="AD177" s="105"/>
      <c r="AE177" s="105"/>
      <c r="AF177" s="321" t="e">
        <f ca="1">AF175/AF176</f>
        <v>#NAME?</v>
      </c>
      <c r="AH177" s="105" t="s">
        <v>501</v>
      </c>
      <c r="AI177" s="105"/>
      <c r="AK177" s="105"/>
      <c r="AL177" s="321" t="e">
        <f ca="1">AL175/AL176</f>
        <v>#NAME?</v>
      </c>
    </row>
    <row r="178" spans="22:44" ht="14.25" customHeight="1">
      <c r="V178" s="97" t="s">
        <v>502</v>
      </c>
      <c r="Z178" s="355">
        <f>'Stock Data'!AN4</f>
        <v>141.83000000000001</v>
      </c>
      <c r="AB178" s="97" t="s">
        <v>502</v>
      </c>
      <c r="AF178" s="355">
        <f>'Stock Data'!AN4</f>
        <v>141.83000000000001</v>
      </c>
      <c r="AH178" s="97" t="s">
        <v>502</v>
      </c>
      <c r="AI178" s="97"/>
      <c r="AJ178" s="97"/>
      <c r="AL178" s="355">
        <f>'Stock Data'!AN4</f>
        <v>141.83000000000001</v>
      </c>
      <c r="AR178" s="97">
        <f>AL1</f>
        <v>0</v>
      </c>
    </row>
    <row r="179" spans="22:44" ht="14.25" customHeight="1">
      <c r="V179" s="97" t="s">
        <v>503</v>
      </c>
      <c r="Z179" s="328" t="e">
        <f ca="1">Z177/Z178-1</f>
        <v>#NAME?</v>
      </c>
      <c r="AB179" s="97" t="s">
        <v>503</v>
      </c>
      <c r="AF179" s="328" t="e">
        <f ca="1">AF177/AF178-1</f>
        <v>#NAME?</v>
      </c>
      <c r="AH179" s="97" t="s">
        <v>503</v>
      </c>
      <c r="AI179" s="97"/>
      <c r="AJ179" s="97"/>
      <c r="AL179" s="328" t="e">
        <f ca="1">AL177/AL178-1</f>
        <v>#NAME?</v>
      </c>
    </row>
    <row r="184" spans="22:44" ht="14.25" customHeight="1">
      <c r="AB184" s="318"/>
    </row>
    <row r="185" spans="22:44" ht="14.25" customHeight="1">
      <c r="AB185" s="598"/>
      <c r="AC185" s="318"/>
    </row>
    <row r="186" spans="22:44" ht="14.25" customHeight="1">
      <c r="AB186" s="598"/>
      <c r="AC186" s="318"/>
    </row>
    <row r="189" spans="22:44" ht="14.25" customHeight="1">
      <c r="AF189" s="318"/>
    </row>
    <row r="190" spans="22:44" ht="14.25" customHeight="1">
      <c r="AE190" s="598"/>
      <c r="AF190" s="318"/>
    </row>
    <row r="191" spans="22:44" ht="14.25" customHeight="1">
      <c r="AE191" s="598"/>
      <c r="AF191" s="328"/>
    </row>
  </sheetData>
  <mergeCells count="17">
    <mergeCell ref="V147:Z147"/>
    <mergeCell ref="AB147:AF147"/>
    <mergeCell ref="D32:H32"/>
    <mergeCell ref="J32:N32"/>
    <mergeCell ref="P32:T32"/>
    <mergeCell ref="V32:Z32"/>
    <mergeCell ref="AB32:AF32"/>
    <mergeCell ref="D126:H126"/>
    <mergeCell ref="J126:N126"/>
    <mergeCell ref="P126:T126"/>
    <mergeCell ref="V126:Z126"/>
    <mergeCell ref="AB126:AF126"/>
    <mergeCell ref="D8:H8"/>
    <mergeCell ref="J8:N8"/>
    <mergeCell ref="P8:T8"/>
    <mergeCell ref="V8:Z8"/>
    <mergeCell ref="AB8:AF8"/>
  </mergeCells>
  <dataValidations count="2">
    <dataValidation type="list" allowBlank="1" showInputMessage="1" showErrorMessage="1" sqref="B90" xr:uid="{3068A702-6D91-4BC4-B8DA-FEBA02962F20}">
      <formula1>"Intangibles excl. Goodwill, Intangibles"</formula1>
    </dataValidation>
    <dataValidation type="list" allowBlank="1" showInputMessage="1" showErrorMessage="1" sqref="R165" xr:uid="{DD3EF530-1AED-43A6-B35C-1414A1C29D9A}">
      <formula1>"EBITDA Exit, Revenue Exit, Gordon's Growth Model"</formula1>
    </dataValidation>
  </dataValidations>
  <pageMargins left="0.7" right="0.7" top="0.75" bottom="0.75" header="0.3" footer="0.3"/>
  <pageSetup paperSize="9" orientation="portrait" r:id="rId1"/>
  <ignoredErrors>
    <ignoredError sqref="AH126 AJ126 AL126" unlockedFormula="1"/>
  </ignoredError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B1314"/>
  </sheetPr>
  <dimension ref="A1:M181"/>
  <sheetViews>
    <sheetView showGridLines="0" zoomScaleNormal="100" workbookViewId="0">
      <selection activeCell="B24" sqref="B24"/>
    </sheetView>
  </sheetViews>
  <sheetFormatPr defaultColWidth="9" defaultRowHeight="15" customHeight="1"/>
  <cols>
    <col min="1" max="1" width="3.5" style="384" customWidth="1"/>
    <col min="2" max="2" width="39" style="23" customWidth="1"/>
    <col min="3" max="3" width="13.5" style="23" customWidth="1"/>
    <col min="4" max="13" width="12.5" style="23" customWidth="1"/>
    <col min="14" max="17" width="12.5" style="25" customWidth="1"/>
    <col min="18" max="16384" width="9" style="25"/>
  </cols>
  <sheetData>
    <row r="1" spans="1:13" s="582" customFormat="1" ht="15" customHeight="1"/>
    <row r="2" spans="1:13" s="582" customFormat="1" ht="15" customHeight="1"/>
    <row r="3" spans="1:13" s="582" customFormat="1" ht="15" customHeight="1"/>
    <row r="4" spans="1:13" s="582" customFormat="1" ht="15" customHeight="1"/>
    <row r="5" spans="1:13" s="422" customFormat="1" ht="3.95" customHeight="1">
      <c r="A5" s="577"/>
      <c r="B5" s="36"/>
      <c r="C5" s="36"/>
      <c r="D5" s="36"/>
      <c r="E5" s="36"/>
      <c r="F5" s="36"/>
      <c r="G5" s="36"/>
      <c r="H5" s="36"/>
      <c r="I5" s="36"/>
      <c r="J5" s="36"/>
      <c r="K5" s="36"/>
      <c r="L5" s="36"/>
      <c r="M5" s="36"/>
    </row>
    <row r="7" spans="1:13" ht="15" customHeight="1">
      <c r="A7" s="384" t="s">
        <v>38</v>
      </c>
      <c r="B7" s="375" t="s">
        <v>504</v>
      </c>
      <c r="C7" s="32"/>
      <c r="D7" s="32"/>
      <c r="E7" s="32"/>
      <c r="F7" s="32"/>
      <c r="G7" s="32"/>
      <c r="H7" s="32"/>
      <c r="I7" s="32"/>
      <c r="J7" s="32"/>
      <c r="K7" s="32"/>
      <c r="L7" s="32"/>
    </row>
    <row r="8" spans="1:13" ht="3.95" customHeight="1">
      <c r="B8" s="424"/>
      <c r="C8" s="391"/>
      <c r="D8" s="391"/>
      <c r="E8" s="391"/>
      <c r="F8" s="391"/>
      <c r="G8" s="391"/>
      <c r="H8" s="391"/>
      <c r="I8" s="391"/>
      <c r="J8" s="391"/>
      <c r="K8" s="391"/>
      <c r="L8" s="391"/>
    </row>
    <row r="9" spans="1:13" ht="15" customHeight="1">
      <c r="B9" s="425"/>
      <c r="C9" s="25"/>
      <c r="D9" s="25"/>
      <c r="E9" s="425"/>
      <c r="F9" s="25"/>
      <c r="G9" s="25"/>
      <c r="H9" s="425"/>
      <c r="J9" s="25"/>
      <c r="K9" s="425"/>
      <c r="L9" s="25"/>
    </row>
    <row r="10" spans="1:13" ht="15" customHeight="1">
      <c r="B10" s="375" t="s">
        <v>505</v>
      </c>
      <c r="C10" s="32"/>
      <c r="D10" s="32"/>
      <c r="E10" s="32"/>
      <c r="G10" s="375" t="s">
        <v>506</v>
      </c>
      <c r="H10" s="375"/>
      <c r="I10" s="375"/>
      <c r="J10" s="375" t="s">
        <v>507</v>
      </c>
      <c r="K10" s="375" t="s">
        <v>508</v>
      </c>
      <c r="L10" s="375" t="s">
        <v>509</v>
      </c>
    </row>
    <row r="11" spans="1:13" ht="15" customHeight="1">
      <c r="B11" s="23" t="s">
        <v>510</v>
      </c>
      <c r="E11" s="426">
        <f>(G86+G77)</f>
        <v>837271</v>
      </c>
      <c r="G11" s="23" t="s">
        <v>511</v>
      </c>
      <c r="J11" s="682"/>
      <c r="K11" s="683"/>
      <c r="L11" s="48">
        <f>K11*$E$13</f>
        <v>0</v>
      </c>
    </row>
    <row r="12" spans="1:13" ht="15" customHeight="1">
      <c r="B12" s="356" t="s">
        <v>512</v>
      </c>
      <c r="C12" s="356"/>
      <c r="D12" s="356"/>
      <c r="E12" s="680"/>
      <c r="G12" s="23" t="s">
        <v>513</v>
      </c>
      <c r="J12" s="682"/>
      <c r="K12" s="683"/>
      <c r="L12" s="48">
        <f>K12*$E$13</f>
        <v>0</v>
      </c>
    </row>
    <row r="13" spans="1:13" ht="15" customHeight="1">
      <c r="B13" s="33" t="s">
        <v>514</v>
      </c>
      <c r="E13" s="427">
        <f>E11*E12</f>
        <v>0</v>
      </c>
      <c r="G13" s="23" t="s">
        <v>515</v>
      </c>
      <c r="J13" s="682"/>
      <c r="K13" s="683"/>
      <c r="L13" s="48">
        <f>K13*$E$13</f>
        <v>0</v>
      </c>
    </row>
    <row r="14" spans="1:13" ht="15" customHeight="1">
      <c r="B14" s="356" t="s">
        <v>516</v>
      </c>
      <c r="C14" s="356"/>
      <c r="D14" s="356"/>
      <c r="E14" s="428">
        <f>BS!AJ38+BS!AJ39+BS!AJ44+BS!AJ45-BS!AJ15</f>
        <v>0</v>
      </c>
      <c r="J14" s="429"/>
      <c r="L14" s="48"/>
    </row>
    <row r="15" spans="1:13" ht="15" customHeight="1">
      <c r="B15" s="33" t="s">
        <v>517</v>
      </c>
      <c r="E15" s="427">
        <f>E13-E14</f>
        <v>0</v>
      </c>
      <c r="G15" s="375" t="s">
        <v>518</v>
      </c>
      <c r="H15" s="375"/>
      <c r="I15" s="375"/>
      <c r="J15" s="375"/>
      <c r="K15" s="375"/>
      <c r="L15" s="375"/>
    </row>
    <row r="16" spans="1:13" ht="15" customHeight="1">
      <c r="G16" s="23" t="s">
        <v>519</v>
      </c>
      <c r="L16" s="430" t="e">
        <f>L180</f>
        <v>#DIV/0!</v>
      </c>
    </row>
    <row r="17" spans="1:12" ht="15" customHeight="1">
      <c r="B17" s="23" t="s">
        <v>520</v>
      </c>
      <c r="E17" s="48">
        <f>0.03*E13</f>
        <v>0</v>
      </c>
      <c r="G17" s="23" t="s">
        <v>521</v>
      </c>
      <c r="L17" s="430" t="e">
        <f>L181</f>
        <v>#DIV/0!</v>
      </c>
    </row>
    <row r="19" spans="1:12" ht="15" customHeight="1">
      <c r="B19" s="375" t="s">
        <v>522</v>
      </c>
      <c r="C19" s="32"/>
      <c r="D19" s="32"/>
      <c r="E19" s="32"/>
      <c r="I19" s="423"/>
    </row>
    <row r="20" spans="1:12" ht="15" customHeight="1">
      <c r="B20" s="23" t="s">
        <v>523</v>
      </c>
      <c r="E20" s="681"/>
      <c r="H20" s="431"/>
    </row>
    <row r="21" spans="1:12" ht="15" customHeight="1">
      <c r="C21" s="432"/>
    </row>
    <row r="22" spans="1:12" ht="15" customHeight="1">
      <c r="A22" s="384" t="s">
        <v>38</v>
      </c>
      <c r="B22" s="375" t="s">
        <v>524</v>
      </c>
      <c r="C22" s="32"/>
      <c r="D22" s="32"/>
      <c r="E22" s="32"/>
      <c r="F22" s="32"/>
      <c r="G22" s="32"/>
      <c r="H22" s="32"/>
      <c r="I22" s="32"/>
      <c r="J22" s="32"/>
      <c r="K22" s="32"/>
      <c r="L22" s="32"/>
    </row>
    <row r="23" spans="1:12" ht="3.95" customHeight="1">
      <c r="B23" s="424"/>
      <c r="C23" s="391"/>
      <c r="D23" s="391"/>
      <c r="E23" s="391"/>
      <c r="F23" s="391"/>
      <c r="G23" s="391"/>
      <c r="H23" s="391"/>
      <c r="I23" s="391"/>
      <c r="J23" s="391"/>
      <c r="K23" s="391"/>
      <c r="L23" s="391"/>
    </row>
    <row r="24" spans="1:12" ht="15" customHeight="1">
      <c r="C24" s="433"/>
    </row>
    <row r="25" spans="1:12" ht="15" customHeight="1">
      <c r="B25" s="375" t="s">
        <v>525</v>
      </c>
      <c r="C25" s="32"/>
      <c r="D25" s="32"/>
      <c r="E25" s="32"/>
      <c r="G25" s="375" t="s">
        <v>526</v>
      </c>
      <c r="H25" s="32"/>
      <c r="I25" s="32"/>
      <c r="J25" s="32"/>
      <c r="K25" s="32"/>
      <c r="L25" s="32"/>
    </row>
    <row r="26" spans="1:12" ht="15" customHeight="1">
      <c r="B26" s="345"/>
      <c r="C26" s="425" t="s">
        <v>509</v>
      </c>
      <c r="D26" s="425" t="s">
        <v>527</v>
      </c>
      <c r="E26" s="425" t="s">
        <v>528</v>
      </c>
      <c r="J26" s="425" t="s">
        <v>509</v>
      </c>
      <c r="K26" s="425" t="s">
        <v>527</v>
      </c>
      <c r="L26" s="425" t="s">
        <v>528</v>
      </c>
    </row>
    <row r="27" spans="1:12" ht="15" customHeight="1">
      <c r="B27" s="25" t="s">
        <v>511</v>
      </c>
      <c r="C27" s="426">
        <f>L11</f>
        <v>0</v>
      </c>
      <c r="D27" s="434">
        <f>C27/$E$11</f>
        <v>0</v>
      </c>
      <c r="E27" s="435" t="e">
        <f>C27/$C$34</f>
        <v>#DIV/0!</v>
      </c>
      <c r="G27" s="25" t="s">
        <v>529</v>
      </c>
      <c r="H27" s="25"/>
      <c r="I27" s="25"/>
      <c r="J27" s="426">
        <f>E14</f>
        <v>0</v>
      </c>
      <c r="K27" s="434">
        <f>J27/$E$11</f>
        <v>0</v>
      </c>
      <c r="L27" s="435" t="e">
        <f>J27/$J$34</f>
        <v>#DIV/0!</v>
      </c>
    </row>
    <row r="28" spans="1:12" ht="15" customHeight="1">
      <c r="B28" s="25" t="s">
        <v>513</v>
      </c>
      <c r="C28" s="426">
        <f>L12</f>
        <v>0</v>
      </c>
      <c r="D28" s="434">
        <f>C28/$E$11</f>
        <v>0</v>
      </c>
      <c r="E28" s="435" t="e">
        <f>C28/$C$34</f>
        <v>#DIV/0!</v>
      </c>
      <c r="G28" s="25" t="s">
        <v>530</v>
      </c>
      <c r="H28" s="25"/>
      <c r="I28" s="25"/>
      <c r="J28" s="426">
        <f>E15</f>
        <v>0</v>
      </c>
      <c r="K28" s="434">
        <f>J28/$E$11</f>
        <v>0</v>
      </c>
      <c r="L28" s="435" t="e">
        <f>J28/$J$34</f>
        <v>#DIV/0!</v>
      </c>
    </row>
    <row r="29" spans="1:12" ht="15" customHeight="1">
      <c r="B29" s="436" t="s">
        <v>515</v>
      </c>
      <c r="C29" s="437">
        <f>L13</f>
        <v>0</v>
      </c>
      <c r="D29" s="438">
        <f>C29/$E$11</f>
        <v>0</v>
      </c>
      <c r="E29" s="439" t="e">
        <f>C29/$C$34</f>
        <v>#DIV/0!</v>
      </c>
      <c r="G29" s="25"/>
      <c r="H29" s="25"/>
      <c r="I29" s="25"/>
      <c r="J29" s="440"/>
      <c r="K29" s="25"/>
      <c r="L29" s="423"/>
    </row>
    <row r="30" spans="1:12" ht="15" customHeight="1">
      <c r="B30" s="345" t="s">
        <v>358</v>
      </c>
      <c r="C30" s="441">
        <f>SUM(C27:C29)</f>
        <v>0</v>
      </c>
      <c r="D30" s="442">
        <f>C30/$E$11</f>
        <v>0</v>
      </c>
      <c r="E30" s="443" t="e">
        <f>C30/$C$34</f>
        <v>#DIV/0!</v>
      </c>
      <c r="G30" s="25" t="s">
        <v>520</v>
      </c>
      <c r="H30" s="25"/>
      <c r="I30" s="25"/>
      <c r="J30" s="426">
        <f>E17</f>
        <v>0</v>
      </c>
      <c r="K30" s="434">
        <f>J30/$E$11</f>
        <v>0</v>
      </c>
      <c r="L30" s="435" t="e">
        <f>J30/$J$34</f>
        <v>#DIV/0!</v>
      </c>
    </row>
    <row r="31" spans="1:12" ht="15" customHeight="1">
      <c r="B31" s="345"/>
      <c r="C31" s="25"/>
      <c r="D31" s="25"/>
      <c r="E31" s="435"/>
      <c r="G31" s="25"/>
      <c r="H31" s="25"/>
      <c r="I31" s="25"/>
      <c r="J31" s="423"/>
      <c r="K31" s="423"/>
      <c r="L31" s="423"/>
    </row>
    <row r="32" spans="1:12" ht="15" customHeight="1">
      <c r="B32" s="25" t="s">
        <v>531</v>
      </c>
      <c r="C32" s="48">
        <f>C34-C30</f>
        <v>0</v>
      </c>
      <c r="D32" s="434">
        <f>C32/$E$11</f>
        <v>0</v>
      </c>
      <c r="E32" s="435" t="e">
        <f>C32/$C$34</f>
        <v>#DIV/0!</v>
      </c>
      <c r="G32" s="25"/>
      <c r="H32" s="25"/>
      <c r="I32" s="25"/>
    </row>
    <row r="34" spans="1:12" ht="15" customHeight="1">
      <c r="B34" s="444" t="s">
        <v>532</v>
      </c>
      <c r="C34" s="445">
        <f>J34</f>
        <v>0</v>
      </c>
      <c r="D34" s="446">
        <f>C34/$E$11</f>
        <v>0</v>
      </c>
      <c r="E34" s="447" t="e">
        <f>C34/$C$34</f>
        <v>#DIV/0!</v>
      </c>
      <c r="G34" s="448" t="s">
        <v>533</v>
      </c>
      <c r="H34" s="449"/>
      <c r="I34" s="449"/>
      <c r="J34" s="450">
        <f>J27+J28+J30</f>
        <v>0</v>
      </c>
      <c r="K34" s="451">
        <f>J34/$E$11</f>
        <v>0</v>
      </c>
      <c r="L34" s="452" t="e">
        <f>J34/$J$34</f>
        <v>#DIV/0!</v>
      </c>
    </row>
    <row r="35" spans="1:12" ht="15" customHeight="1">
      <c r="C35" s="432"/>
    </row>
    <row r="36" spans="1:12" ht="15" customHeight="1">
      <c r="B36" s="375" t="s">
        <v>392</v>
      </c>
      <c r="C36" s="32"/>
      <c r="D36" s="32"/>
      <c r="E36" s="32"/>
      <c r="F36" s="32"/>
      <c r="G36" s="32"/>
      <c r="H36" s="32"/>
      <c r="I36" s="32"/>
      <c r="J36" s="32"/>
      <c r="K36" s="32"/>
      <c r="L36" s="32"/>
    </row>
    <row r="37" spans="1:12" ht="15" customHeight="1">
      <c r="B37" s="32"/>
      <c r="C37" s="32"/>
      <c r="D37" s="32"/>
      <c r="E37" s="32"/>
      <c r="F37" s="32"/>
      <c r="G37" s="32"/>
      <c r="H37" s="32"/>
      <c r="I37" s="32"/>
      <c r="J37" s="32"/>
      <c r="K37" s="32"/>
      <c r="L37" s="32"/>
    </row>
    <row r="38" spans="1:12" ht="15" customHeight="1">
      <c r="A38" s="384" t="s">
        <v>38</v>
      </c>
      <c r="B38" s="32"/>
      <c r="C38" s="32"/>
      <c r="D38" s="32"/>
      <c r="E38" s="453">
        <v>2022</v>
      </c>
      <c r="F38" s="453">
        <f t="shared" ref="F38:L38" si="0">+E38+1</f>
        <v>2023</v>
      </c>
      <c r="G38" s="453">
        <f t="shared" si="0"/>
        <v>2024</v>
      </c>
      <c r="H38" s="454">
        <f t="shared" si="0"/>
        <v>2025</v>
      </c>
      <c r="I38" s="454">
        <f t="shared" si="0"/>
        <v>2026</v>
      </c>
      <c r="J38" s="454">
        <f t="shared" si="0"/>
        <v>2027</v>
      </c>
      <c r="K38" s="454">
        <f t="shared" si="0"/>
        <v>2028</v>
      </c>
      <c r="L38" s="454">
        <f t="shared" si="0"/>
        <v>2029</v>
      </c>
    </row>
    <row r="50" spans="1:12" ht="15" customHeight="1">
      <c r="B50" s="292" t="s">
        <v>317</v>
      </c>
      <c r="C50" s="459"/>
      <c r="D50" s="460"/>
      <c r="E50" s="461"/>
      <c r="F50" s="461"/>
      <c r="G50" s="462"/>
      <c r="H50" s="315">
        <v>350000</v>
      </c>
      <c r="I50" s="315">
        <v>352000</v>
      </c>
      <c r="J50" s="315">
        <v>350000</v>
      </c>
      <c r="K50" s="315">
        <v>352000</v>
      </c>
      <c r="L50" s="525">
        <v>350000</v>
      </c>
    </row>
    <row r="51" spans="1:12" ht="15" customHeight="1">
      <c r="B51" s="455"/>
      <c r="C51" s="463"/>
      <c r="D51" s="25"/>
      <c r="E51" s="464"/>
      <c r="F51" s="464"/>
      <c r="G51" s="465"/>
      <c r="H51" s="466"/>
      <c r="I51" s="466"/>
      <c r="J51" s="466"/>
      <c r="K51" s="466"/>
      <c r="L51" s="466"/>
    </row>
    <row r="52" spans="1:12" ht="15" customHeight="1">
      <c r="B52" s="375" t="s">
        <v>396</v>
      </c>
      <c r="C52" s="32"/>
      <c r="D52" s="32"/>
      <c r="E52" s="32"/>
      <c r="F52" s="32"/>
      <c r="G52" s="32"/>
      <c r="H52" s="32"/>
      <c r="I52" s="32"/>
      <c r="J52" s="32"/>
      <c r="K52" s="32"/>
      <c r="L52" s="32"/>
    </row>
    <row r="53" spans="1:12" ht="15" customHeight="1">
      <c r="B53" s="32"/>
      <c r="C53" s="32"/>
      <c r="D53" s="32"/>
      <c r="E53" s="32"/>
      <c r="F53" s="32"/>
      <c r="G53" s="32"/>
      <c r="H53" s="32"/>
      <c r="I53" s="32"/>
      <c r="J53" s="32"/>
      <c r="K53" s="32"/>
      <c r="L53" s="32"/>
    </row>
    <row r="54" spans="1:12" ht="15" customHeight="1">
      <c r="B54" s="32"/>
      <c r="C54" s="32"/>
      <c r="D54" s="32"/>
      <c r="E54" s="32"/>
      <c r="F54" s="32"/>
      <c r="G54" s="32"/>
      <c r="H54" s="32"/>
      <c r="I54" s="32"/>
      <c r="J54" s="32"/>
      <c r="K54" s="32"/>
      <c r="L54" s="32"/>
    </row>
    <row r="55" spans="1:12" ht="3.95" customHeight="1">
      <c r="B55" s="468"/>
      <c r="C55" s="469"/>
      <c r="D55" s="422"/>
      <c r="E55" s="470"/>
      <c r="F55" s="470"/>
      <c r="G55" s="470"/>
      <c r="H55" s="471"/>
      <c r="I55" s="471"/>
      <c r="J55" s="471"/>
      <c r="K55" s="471"/>
      <c r="L55" s="471"/>
    </row>
    <row r="56" spans="1:12" ht="3.95" customHeight="1">
      <c r="B56" s="455"/>
      <c r="C56" s="456"/>
      <c r="D56" s="25"/>
      <c r="E56" s="464"/>
      <c r="F56" s="464"/>
      <c r="G56" s="464"/>
      <c r="H56" s="467"/>
      <c r="I56" s="467"/>
      <c r="J56" s="467"/>
      <c r="K56" s="467"/>
      <c r="L56" s="467"/>
    </row>
    <row r="57" spans="1:12" ht="15" customHeight="1">
      <c r="A57" s="384" t="s">
        <v>38</v>
      </c>
      <c r="B57" s="375" t="s">
        <v>397</v>
      </c>
      <c r="C57" s="32"/>
      <c r="D57" s="32"/>
      <c r="E57" s="453">
        <v>2022</v>
      </c>
      <c r="F57" s="453">
        <f t="shared" ref="F57:L57" si="1">+E57+1</f>
        <v>2023</v>
      </c>
      <c r="G57" s="453">
        <f t="shared" si="1"/>
        <v>2024</v>
      </c>
      <c r="H57" s="454">
        <f t="shared" si="1"/>
        <v>2025</v>
      </c>
      <c r="I57" s="454">
        <f t="shared" si="1"/>
        <v>2026</v>
      </c>
      <c r="J57" s="454">
        <f t="shared" si="1"/>
        <v>2027</v>
      </c>
      <c r="K57" s="454">
        <f t="shared" si="1"/>
        <v>2028</v>
      </c>
      <c r="L57" s="454">
        <f t="shared" si="1"/>
        <v>2029</v>
      </c>
    </row>
    <row r="58" spans="1:12" ht="3.95" customHeight="1">
      <c r="B58" s="36"/>
      <c r="C58" s="36"/>
      <c r="D58" s="36"/>
      <c r="E58" s="36"/>
      <c r="F58" s="36"/>
      <c r="G58" s="36"/>
      <c r="H58" s="36"/>
      <c r="I58" s="36"/>
      <c r="J58" s="36"/>
      <c r="K58" s="36"/>
      <c r="L58" s="36"/>
    </row>
    <row r="59" spans="1:12" ht="15" customHeight="1">
      <c r="B59" s="378" t="s">
        <v>395</v>
      </c>
      <c r="D59" s="472" t="e">
        <f>+_xlfn.XLOOKUP($B59,#REF!,#REF!)</f>
        <v>#REF!</v>
      </c>
      <c r="E59" s="58">
        <f>FCFF!H39</f>
        <v>4032853</v>
      </c>
      <c r="F59" s="58">
        <f>FCFF!N39</f>
        <v>4036605</v>
      </c>
      <c r="G59" s="413">
        <f>FCFF!T39</f>
        <v>3875162</v>
      </c>
      <c r="H59" s="473">
        <f>+H50</f>
        <v>350000</v>
      </c>
      <c r="I59" s="473">
        <f t="shared" ref="I59:L59" si="2">+I50</f>
        <v>352000</v>
      </c>
      <c r="J59" s="473">
        <f t="shared" si="2"/>
        <v>350000</v>
      </c>
      <c r="K59" s="473">
        <f t="shared" si="2"/>
        <v>352000</v>
      </c>
      <c r="L59" s="473">
        <f t="shared" si="2"/>
        <v>350000</v>
      </c>
    </row>
    <row r="60" spans="1:12" s="458" customFormat="1" ht="15" customHeight="1">
      <c r="A60" s="384"/>
      <c r="B60" s="31" t="s">
        <v>398</v>
      </c>
      <c r="C60" s="26"/>
      <c r="D60" s="26"/>
      <c r="E60" s="306">
        <f>E59/IS!N18-1</f>
        <v>0.24057552744069755</v>
      </c>
      <c r="F60" s="306">
        <f>F59/E59-1</f>
        <v>9.3035873115132617E-4</v>
      </c>
      <c r="G60" s="414">
        <f>G59/F59-1</f>
        <v>-3.9994748061799479E-2</v>
      </c>
      <c r="H60" s="306">
        <f t="shared" ref="H60:L60" si="3">H59/G59-1</f>
        <v>-0.9096811952635786</v>
      </c>
      <c r="I60" s="306">
        <f t="shared" si="3"/>
        <v>5.7142857142857828E-3</v>
      </c>
      <c r="J60" s="306">
        <f t="shared" si="3"/>
        <v>-5.6818181818182323E-3</v>
      </c>
      <c r="K60" s="306">
        <f t="shared" si="3"/>
        <v>5.7142857142857828E-3</v>
      </c>
      <c r="L60" s="306">
        <f t="shared" si="3"/>
        <v>-5.6818181818182323E-3</v>
      </c>
    </row>
    <row r="61" spans="1:12" ht="15" customHeight="1">
      <c r="B61" s="403"/>
      <c r="E61" s="57"/>
      <c r="F61" s="57"/>
      <c r="G61" s="415"/>
      <c r="H61" s="435"/>
      <c r="I61" s="435"/>
      <c r="J61" s="435"/>
      <c r="K61" s="435"/>
      <c r="L61" s="435"/>
    </row>
    <row r="62" spans="1:12" ht="15" customHeight="1">
      <c r="B62" s="378" t="s">
        <v>399</v>
      </c>
      <c r="E62" s="58">
        <f>FCFF!H42</f>
        <v>2537399</v>
      </c>
      <c r="F62" s="58">
        <f>FCFF!N42</f>
        <v>2449443</v>
      </c>
      <c r="G62" s="413">
        <f>FCFF!T42</f>
        <v>2347093</v>
      </c>
      <c r="H62" s="473">
        <f>H63*H$59</f>
        <v>0</v>
      </c>
      <c r="I62" s="473">
        <f>I63*I$59</f>
        <v>0</v>
      </c>
      <c r="J62" s="473">
        <f>J63*J$59</f>
        <v>0</v>
      </c>
      <c r="K62" s="473">
        <f>K63*K$59</f>
        <v>0</v>
      </c>
      <c r="L62" s="473">
        <f>L63*L$59</f>
        <v>0</v>
      </c>
    </row>
    <row r="63" spans="1:12" s="458" customFormat="1" ht="15" customHeight="1">
      <c r="A63" s="384"/>
      <c r="B63" s="31" t="s">
        <v>400</v>
      </c>
      <c r="C63" s="26"/>
      <c r="D63" s="26"/>
      <c r="E63" s="306">
        <f>E62/E59</f>
        <v>0.62918211995329365</v>
      </c>
      <c r="F63" s="306">
        <f t="shared" ref="F63:G63" si="4">F62/F59</f>
        <v>0.60680770102598591</v>
      </c>
      <c r="G63" s="414">
        <f t="shared" si="4"/>
        <v>0.60567609818634682</v>
      </c>
      <c r="H63" s="474"/>
      <c r="I63" s="474"/>
      <c r="J63" s="474"/>
      <c r="K63" s="474"/>
      <c r="L63" s="475"/>
    </row>
    <row r="64" spans="1:12" ht="15" customHeight="1">
      <c r="G64" s="205"/>
    </row>
    <row r="65" spans="2:12" ht="15" customHeight="1">
      <c r="B65" s="378" t="s">
        <v>401</v>
      </c>
      <c r="E65" s="58">
        <f>FCFF!H45</f>
        <v>0</v>
      </c>
      <c r="F65" s="58">
        <f>FCFF!N45</f>
        <v>0</v>
      </c>
      <c r="G65" s="413">
        <f>FCFF!T45</f>
        <v>0</v>
      </c>
      <c r="H65" s="473">
        <f>+H66*H62</f>
        <v>0</v>
      </c>
      <c r="I65" s="473">
        <f t="shared" ref="I65:L65" si="5">+I66*I62</f>
        <v>0</v>
      </c>
      <c r="J65" s="473">
        <f t="shared" si="5"/>
        <v>0</v>
      </c>
      <c r="K65" s="473">
        <f t="shared" si="5"/>
        <v>0</v>
      </c>
      <c r="L65" s="473">
        <f t="shared" si="5"/>
        <v>0</v>
      </c>
    </row>
    <row r="66" spans="2:12" s="458" customFormat="1" ht="15" customHeight="1">
      <c r="B66" s="31" t="s">
        <v>402</v>
      </c>
      <c r="C66" s="26"/>
      <c r="D66" s="26"/>
      <c r="E66" s="306">
        <f>E65/E62</f>
        <v>0</v>
      </c>
      <c r="F66" s="306">
        <f t="shared" ref="F66:G66" si="6">F65/F62</f>
        <v>0</v>
      </c>
      <c r="G66" s="414">
        <f t="shared" si="6"/>
        <v>0</v>
      </c>
      <c r="H66" s="474"/>
      <c r="I66" s="474"/>
      <c r="J66" s="474"/>
      <c r="K66" s="474"/>
      <c r="L66" s="474"/>
    </row>
    <row r="67" spans="2:12" ht="15" customHeight="1">
      <c r="B67" s="31"/>
      <c r="E67" s="181"/>
      <c r="F67" s="181"/>
      <c r="G67" s="416"/>
      <c r="H67" s="25"/>
      <c r="I67" s="25"/>
      <c r="J67" s="25"/>
      <c r="K67" s="25"/>
      <c r="L67" s="25"/>
    </row>
    <row r="68" spans="2:12" ht="15" customHeight="1">
      <c r="B68" s="378" t="s">
        <v>403</v>
      </c>
      <c r="E68" s="58">
        <f>FCFF!H48</f>
        <v>1495454</v>
      </c>
      <c r="F68" s="58">
        <f>FCFF!N48</f>
        <v>1587162</v>
      </c>
      <c r="G68" s="413">
        <f>FCFF!T48</f>
        <v>1528069</v>
      </c>
      <c r="H68" s="473">
        <f>+H59-H62-H65</f>
        <v>350000</v>
      </c>
      <c r="I68" s="473">
        <f t="shared" ref="I68:L68" si="7">+I59-I62-I65</f>
        <v>352000</v>
      </c>
      <c r="J68" s="473">
        <f t="shared" si="7"/>
        <v>350000</v>
      </c>
      <c r="K68" s="473">
        <f t="shared" si="7"/>
        <v>352000</v>
      </c>
      <c r="L68" s="473">
        <f t="shared" si="7"/>
        <v>350000</v>
      </c>
    </row>
    <row r="69" spans="2:12" s="458" customFormat="1" ht="15" customHeight="1">
      <c r="B69" s="31" t="s">
        <v>400</v>
      </c>
      <c r="C69" s="26"/>
      <c r="D69" s="26"/>
      <c r="E69" s="308">
        <f>E68/E59</f>
        <v>0.37081788004670641</v>
      </c>
      <c r="F69" s="308">
        <f t="shared" ref="F69:G69" si="8">F68/F59</f>
        <v>0.39319229897401403</v>
      </c>
      <c r="G69" s="417">
        <f t="shared" si="8"/>
        <v>0.39432390181365323</v>
      </c>
      <c r="H69" s="476">
        <f t="shared" ref="H69:L69" si="9">IFERROR(H68/H$59,"")</f>
        <v>1</v>
      </c>
      <c r="I69" s="476">
        <f t="shared" si="9"/>
        <v>1</v>
      </c>
      <c r="J69" s="476">
        <f t="shared" si="9"/>
        <v>1</v>
      </c>
      <c r="K69" s="476">
        <f t="shared" si="9"/>
        <v>1</v>
      </c>
      <c r="L69" s="476">
        <f t="shared" si="9"/>
        <v>1</v>
      </c>
    </row>
    <row r="70" spans="2:12" ht="15" customHeight="1">
      <c r="B70" s="378"/>
      <c r="E70" s="66"/>
      <c r="F70" s="66"/>
      <c r="G70" s="418"/>
      <c r="H70" s="435"/>
      <c r="I70" s="435"/>
      <c r="J70" s="435"/>
      <c r="K70" s="435"/>
      <c r="L70" s="435"/>
    </row>
    <row r="71" spans="2:12" ht="15" customHeight="1">
      <c r="B71" s="378" t="s">
        <v>404</v>
      </c>
      <c r="E71" s="68">
        <f>FCFF!H51</f>
        <v>659173</v>
      </c>
      <c r="F71" s="68">
        <f>FCFF!N51</f>
        <v>674342</v>
      </c>
      <c r="G71" s="419">
        <f>FCFF!T51</f>
        <v>635328</v>
      </c>
      <c r="H71" s="473">
        <f>+H72*H59</f>
        <v>0</v>
      </c>
      <c r="I71" s="473">
        <f t="shared" ref="I71:L71" si="10">+I72*I59</f>
        <v>0</v>
      </c>
      <c r="J71" s="473">
        <f t="shared" si="10"/>
        <v>0</v>
      </c>
      <c r="K71" s="473">
        <f t="shared" si="10"/>
        <v>0</v>
      </c>
      <c r="L71" s="473">
        <f t="shared" si="10"/>
        <v>0</v>
      </c>
    </row>
    <row r="72" spans="2:12" s="458" customFormat="1" ht="15" customHeight="1">
      <c r="B72" s="31" t="s">
        <v>400</v>
      </c>
      <c r="C72" s="26"/>
      <c r="D72" s="26"/>
      <c r="E72" s="308">
        <f>E71/E59</f>
        <v>0.16345078781696235</v>
      </c>
      <c r="F72" s="308">
        <f t="shared" ref="F72:G72" si="11">F71/F59</f>
        <v>0.16705672217123052</v>
      </c>
      <c r="G72" s="417">
        <f t="shared" si="11"/>
        <v>0.16394875878737455</v>
      </c>
      <c r="H72" s="474"/>
      <c r="I72" s="474"/>
      <c r="J72" s="474"/>
      <c r="K72" s="474"/>
      <c r="L72" s="475"/>
    </row>
    <row r="73" spans="2:12" s="479" customFormat="1" ht="15" customHeight="1">
      <c r="B73" s="403"/>
      <c r="C73" s="477"/>
      <c r="D73" s="477"/>
      <c r="E73" s="66"/>
      <c r="F73" s="66"/>
      <c r="G73" s="418"/>
      <c r="H73" s="478"/>
      <c r="I73" s="478"/>
      <c r="J73" s="478"/>
      <c r="K73" s="478"/>
      <c r="L73" s="478"/>
    </row>
    <row r="74" spans="2:12" ht="15" customHeight="1">
      <c r="B74" s="378" t="s">
        <v>405</v>
      </c>
      <c r="E74" s="68">
        <f>FCFF!H54</f>
        <v>48900</v>
      </c>
      <c r="F74" s="68">
        <f>FCFF!N54</f>
        <v>53100</v>
      </c>
      <c r="G74" s="419">
        <f>FCFF!T54</f>
        <v>57700</v>
      </c>
      <c r="H74" s="473">
        <f>+H75*H68</f>
        <v>0</v>
      </c>
      <c r="I74" s="473">
        <f t="shared" ref="I74:L74" si="12">+I75*I68</f>
        <v>0</v>
      </c>
      <c r="J74" s="473">
        <f t="shared" si="12"/>
        <v>0</v>
      </c>
      <c r="K74" s="473">
        <f t="shared" si="12"/>
        <v>0</v>
      </c>
      <c r="L74" s="473">
        <f t="shared" si="12"/>
        <v>0</v>
      </c>
    </row>
    <row r="75" spans="2:12" ht="15" customHeight="1">
      <c r="B75" s="31" t="s">
        <v>406</v>
      </c>
      <c r="E75" s="308">
        <f>E74/E68</f>
        <v>3.2699100072620085E-2</v>
      </c>
      <c r="F75" s="308">
        <f t="shared" ref="F75:G75" si="13">F74/F68</f>
        <v>3.3455942115549642E-2</v>
      </c>
      <c r="G75" s="417">
        <f t="shared" si="13"/>
        <v>3.7760074970436541E-2</v>
      </c>
      <c r="H75" s="474"/>
      <c r="I75" s="474"/>
      <c r="J75" s="474"/>
      <c r="K75" s="474"/>
      <c r="L75" s="474"/>
    </row>
    <row r="76" spans="2:12" ht="15" customHeight="1">
      <c r="B76" s="31"/>
      <c r="E76" s="66"/>
      <c r="F76" s="66"/>
      <c r="G76" s="418"/>
      <c r="H76" s="433"/>
      <c r="I76" s="433"/>
      <c r="J76" s="433"/>
      <c r="K76" s="433"/>
      <c r="L76" s="433"/>
    </row>
    <row r="77" spans="2:12" ht="15" customHeight="1">
      <c r="B77" s="378" t="s">
        <v>407</v>
      </c>
      <c r="E77" s="68">
        <f>FCFF!H57</f>
        <v>138061</v>
      </c>
      <c r="F77" s="68">
        <f>FCFF!N57</f>
        <v>132604</v>
      </c>
      <c r="G77" s="419">
        <f>FCFF!T57</f>
        <v>127174</v>
      </c>
      <c r="H77" s="473">
        <f>+H80+H83</f>
        <v>0</v>
      </c>
      <c r="I77" s="473">
        <f t="shared" ref="I77:L77" si="14">+I80+I83</f>
        <v>0</v>
      </c>
      <c r="J77" s="473">
        <f t="shared" si="14"/>
        <v>0</v>
      </c>
      <c r="K77" s="473">
        <f t="shared" si="14"/>
        <v>0</v>
      </c>
      <c r="L77" s="473">
        <f t="shared" si="14"/>
        <v>0</v>
      </c>
    </row>
    <row r="78" spans="2:12" s="458" customFormat="1" ht="15" customHeight="1">
      <c r="B78" s="31" t="s">
        <v>408</v>
      </c>
      <c r="C78" s="26"/>
      <c r="D78" s="26"/>
      <c r="E78" s="308">
        <f>E77/(E111+E114)</f>
        <v>2.9693130195883769E-2</v>
      </c>
      <c r="F78" s="308">
        <f>F77/(F111+F114)</f>
        <v>2.8272061990276067E-2</v>
      </c>
      <c r="G78" s="417">
        <f>G77/(G111+G114)</f>
        <v>2.7318556529180981E-2</v>
      </c>
      <c r="H78" s="308">
        <f t="shared" ref="H78:L78" si="15">H77/(H111+H114)</f>
        <v>0</v>
      </c>
      <c r="I78" s="308">
        <f t="shared" si="15"/>
        <v>0</v>
      </c>
      <c r="J78" s="308">
        <f t="shared" si="15"/>
        <v>0</v>
      </c>
      <c r="K78" s="308">
        <f t="shared" si="15"/>
        <v>0</v>
      </c>
      <c r="L78" s="308">
        <f t="shared" si="15"/>
        <v>0</v>
      </c>
    </row>
    <row r="79" spans="2:12" ht="15" customHeight="1">
      <c r="B79" s="31"/>
      <c r="E79" s="308"/>
      <c r="F79" s="308"/>
      <c r="G79" s="417"/>
      <c r="H79" s="480"/>
      <c r="I79" s="480"/>
      <c r="J79" s="480"/>
      <c r="K79" s="480"/>
      <c r="L79" s="480"/>
    </row>
    <row r="80" spans="2:12" ht="15" customHeight="1">
      <c r="B80" s="481" t="s">
        <v>409</v>
      </c>
      <c r="E80" s="68">
        <f>FCFF!H60</f>
        <v>44436</v>
      </c>
      <c r="F80" s="68">
        <f>FCFF!N60</f>
        <v>50112</v>
      </c>
      <c r="G80" s="419">
        <f>FCFF!T60</f>
        <v>55180</v>
      </c>
      <c r="H80" s="482">
        <f>H81*G111</f>
        <v>0</v>
      </c>
      <c r="I80" s="482">
        <f t="shared" ref="I80:L80" si="16">I81*H111</f>
        <v>0</v>
      </c>
      <c r="J80" s="482">
        <f t="shared" si="16"/>
        <v>0</v>
      </c>
      <c r="K80" s="482">
        <f t="shared" si="16"/>
        <v>0</v>
      </c>
      <c r="L80" s="482">
        <f t="shared" si="16"/>
        <v>0</v>
      </c>
    </row>
    <row r="81" spans="2:12" ht="15" customHeight="1">
      <c r="B81" s="302" t="s">
        <v>410</v>
      </c>
      <c r="E81" s="308">
        <f>E80/E111</f>
        <v>0.10018758680398983</v>
      </c>
      <c r="F81" s="308">
        <f>FCFF!N61</f>
        <v>9.808611503666094E-2</v>
      </c>
      <c r="G81" s="417">
        <f>FCFF!T61</f>
        <v>0.10491192379721084</v>
      </c>
      <c r="H81" s="474"/>
      <c r="I81" s="474"/>
      <c r="J81" s="474"/>
      <c r="K81" s="474"/>
      <c r="L81" s="474"/>
    </row>
    <row r="82" spans="2:12" ht="15" customHeight="1">
      <c r="B82" s="31"/>
      <c r="E82" s="308"/>
      <c r="F82" s="308"/>
      <c r="G82" s="417"/>
    </row>
    <row r="83" spans="2:12" ht="15" customHeight="1">
      <c r="B83" s="481" t="s">
        <v>411</v>
      </c>
      <c r="E83" s="68">
        <f>FCFF!H63</f>
        <v>88060</v>
      </c>
      <c r="F83" s="68">
        <f>FCFF!N63</f>
        <v>76828</v>
      </c>
      <c r="G83" s="419">
        <f>FCFF!T63</f>
        <v>66213</v>
      </c>
      <c r="H83" s="473">
        <f>H84*G114</f>
        <v>0</v>
      </c>
      <c r="I83" s="473">
        <f t="shared" ref="I83:L83" si="17">I84*H114</f>
        <v>0</v>
      </c>
      <c r="J83" s="473">
        <f t="shared" si="17"/>
        <v>0</v>
      </c>
      <c r="K83" s="473">
        <f t="shared" si="17"/>
        <v>0</v>
      </c>
      <c r="L83" s="473">
        <f t="shared" si="17"/>
        <v>0</v>
      </c>
    </row>
    <row r="84" spans="2:12" ht="15" customHeight="1">
      <c r="B84" s="302" t="s">
        <v>412</v>
      </c>
      <c r="C84" s="483"/>
      <c r="D84" s="483"/>
      <c r="E84" s="308">
        <f>E83/E114</f>
        <v>2.0936428482101803E-2</v>
      </c>
      <c r="F84" s="308">
        <f>F83/F114</f>
        <v>1.8382604526119388E-2</v>
      </c>
      <c r="G84" s="417">
        <f>G83/G114</f>
        <v>1.6035080386093487E-2</v>
      </c>
      <c r="H84" s="474"/>
      <c r="I84" s="474"/>
      <c r="J84" s="474"/>
      <c r="K84" s="474"/>
      <c r="L84" s="475"/>
    </row>
    <row r="85" spans="2:12" ht="15" customHeight="1">
      <c r="B85" s="484"/>
      <c r="C85" s="483"/>
      <c r="D85" s="483"/>
      <c r="E85" s="66"/>
      <c r="F85" s="66"/>
      <c r="G85" s="418"/>
      <c r="H85" s="476"/>
      <c r="I85" s="476"/>
      <c r="J85" s="476"/>
      <c r="K85" s="476"/>
      <c r="L85" s="476"/>
    </row>
    <row r="86" spans="2:12" ht="15" customHeight="1">
      <c r="B86" s="378" t="s">
        <v>414</v>
      </c>
      <c r="C86" s="483"/>
      <c r="D86" s="483"/>
      <c r="E86" s="68">
        <f>FCFF!H69</f>
        <v>663341</v>
      </c>
      <c r="F86" s="68">
        <f>FCFF!N69</f>
        <v>723880</v>
      </c>
      <c r="G86" s="419">
        <f>FCFF!T69</f>
        <v>710097</v>
      </c>
      <c r="H86" s="473">
        <f>H68-H71-H74-H77</f>
        <v>350000</v>
      </c>
      <c r="I86" s="473">
        <f t="shared" ref="I86:L86" si="18">I68-I71-I74-I77</f>
        <v>352000</v>
      </c>
      <c r="J86" s="473">
        <f t="shared" si="18"/>
        <v>350000</v>
      </c>
      <c r="K86" s="473">
        <f t="shared" si="18"/>
        <v>352000</v>
      </c>
      <c r="L86" s="473">
        <f t="shared" si="18"/>
        <v>350000</v>
      </c>
    </row>
    <row r="87" spans="2:12" ht="15" customHeight="1">
      <c r="B87" s="31" t="s">
        <v>400</v>
      </c>
      <c r="C87" s="483"/>
      <c r="D87" s="483"/>
      <c r="E87" s="308">
        <f t="shared" ref="E87:L87" si="19">E86/E59</f>
        <v>0.16448429932853986</v>
      </c>
      <c r="F87" s="308">
        <f t="shared" si="19"/>
        <v>0.17932891625512032</v>
      </c>
      <c r="G87" s="417">
        <f t="shared" si="19"/>
        <v>0.18324317796262454</v>
      </c>
      <c r="H87" s="308">
        <f t="shared" si="19"/>
        <v>1</v>
      </c>
      <c r="I87" s="308">
        <f t="shared" si="19"/>
        <v>1</v>
      </c>
      <c r="J87" s="308">
        <f t="shared" si="19"/>
        <v>1</v>
      </c>
      <c r="K87" s="308">
        <f t="shared" si="19"/>
        <v>1</v>
      </c>
      <c r="L87" s="308">
        <f t="shared" si="19"/>
        <v>1</v>
      </c>
    </row>
    <row r="88" spans="2:12" ht="15" customHeight="1">
      <c r="B88" s="31"/>
      <c r="C88" s="483"/>
      <c r="D88" s="483"/>
      <c r="E88" s="476"/>
      <c r="F88" s="476"/>
      <c r="G88" s="485"/>
      <c r="H88" s="476"/>
      <c r="I88" s="476"/>
      <c r="J88" s="476"/>
      <c r="K88" s="476"/>
      <c r="L88" s="476"/>
    </row>
    <row r="89" spans="2:12" ht="15" customHeight="1">
      <c r="B89" s="378" t="s">
        <v>534</v>
      </c>
      <c r="C89" s="483"/>
      <c r="D89" s="483"/>
      <c r="E89" s="68">
        <f>IS!T38</f>
        <v>88977</v>
      </c>
      <c r="F89" s="68">
        <f>IS!Z38</f>
        <v>120348</v>
      </c>
      <c r="G89" s="419">
        <f>IS!AF38</f>
        <v>92229</v>
      </c>
      <c r="H89" s="66">
        <f>+H164</f>
        <v>0</v>
      </c>
      <c r="I89" s="66">
        <f t="shared" ref="I89:L89" si="20">+I164</f>
        <v>0</v>
      </c>
      <c r="J89" s="66">
        <f t="shared" si="20"/>
        <v>0</v>
      </c>
      <c r="K89" s="66">
        <f t="shared" si="20"/>
        <v>0</v>
      </c>
      <c r="L89" s="66">
        <f t="shared" si="20"/>
        <v>0</v>
      </c>
    </row>
    <row r="90" spans="2:12" ht="15" customHeight="1">
      <c r="B90" s="378"/>
      <c r="C90" s="483"/>
      <c r="D90" s="483"/>
      <c r="E90" s="476"/>
      <c r="F90" s="476"/>
      <c r="G90" s="485"/>
      <c r="H90" s="476"/>
      <c r="I90" s="476"/>
      <c r="J90" s="476"/>
      <c r="K90" s="476"/>
      <c r="L90" s="476"/>
    </row>
    <row r="91" spans="2:12" ht="15" customHeight="1">
      <c r="B91" s="378" t="s">
        <v>535</v>
      </c>
      <c r="C91" s="483"/>
      <c r="D91" s="483"/>
      <c r="E91" s="68">
        <f>IS!T42</f>
        <v>588950</v>
      </c>
      <c r="F91" s="68">
        <f>IS!Z42</f>
        <v>608390</v>
      </c>
      <c r="G91" s="419">
        <f>IS!AF42</f>
        <v>631229</v>
      </c>
      <c r="H91" s="66">
        <f>+H86-H89</f>
        <v>350000</v>
      </c>
      <c r="I91" s="66">
        <f t="shared" ref="I91:L91" si="21">+I86-I89</f>
        <v>352000</v>
      </c>
      <c r="J91" s="66">
        <f t="shared" si="21"/>
        <v>350000</v>
      </c>
      <c r="K91" s="66">
        <f t="shared" si="21"/>
        <v>352000</v>
      </c>
      <c r="L91" s="66">
        <f t="shared" si="21"/>
        <v>350000</v>
      </c>
    </row>
    <row r="92" spans="2:12" ht="15" customHeight="1">
      <c r="B92" s="31" t="s">
        <v>400</v>
      </c>
      <c r="C92" s="483"/>
      <c r="D92" s="483"/>
      <c r="E92" s="476">
        <f t="shared" ref="E92:L92" si="22">E91/E59</f>
        <v>0.14603805296151384</v>
      </c>
      <c r="F92" s="476">
        <f t="shared" si="22"/>
        <v>0.15071823970886425</v>
      </c>
      <c r="G92" s="486">
        <f t="shared" si="22"/>
        <v>0.16289099655704717</v>
      </c>
      <c r="H92" s="476">
        <f t="shared" si="22"/>
        <v>1</v>
      </c>
      <c r="I92" s="476">
        <f t="shared" si="22"/>
        <v>1</v>
      </c>
      <c r="J92" s="476">
        <f t="shared" si="22"/>
        <v>1</v>
      </c>
      <c r="K92" s="476">
        <f t="shared" si="22"/>
        <v>1</v>
      </c>
      <c r="L92" s="476">
        <f t="shared" si="22"/>
        <v>1</v>
      </c>
    </row>
    <row r="93" spans="2:12" ht="15" customHeight="1">
      <c r="B93" s="76"/>
      <c r="C93" s="483"/>
      <c r="D93" s="483"/>
      <c r="E93" s="476"/>
      <c r="F93" s="476"/>
      <c r="G93" s="486"/>
      <c r="H93" s="476"/>
      <c r="I93" s="476"/>
      <c r="J93" s="476"/>
      <c r="K93" s="476"/>
      <c r="L93" s="476"/>
    </row>
    <row r="94" spans="2:12" ht="15" customHeight="1">
      <c r="B94" s="378" t="s">
        <v>536</v>
      </c>
      <c r="C94" s="483"/>
      <c r="D94" s="483"/>
      <c r="E94" s="68">
        <f>IS!T45</f>
        <v>133569.70620000002</v>
      </c>
      <c r="F94" s="68">
        <f>IS!Z45</f>
        <v>141475.8186</v>
      </c>
      <c r="G94" s="419">
        <f>IS!AF45</f>
        <v>162954.27659999998</v>
      </c>
      <c r="H94" s="66">
        <f>H95*H91</f>
        <v>0</v>
      </c>
      <c r="I94" s="66">
        <f t="shared" ref="I94:L94" si="23">I95*I91</f>
        <v>0</v>
      </c>
      <c r="J94" s="66">
        <f t="shared" si="23"/>
        <v>0</v>
      </c>
      <c r="K94" s="66">
        <f t="shared" si="23"/>
        <v>0</v>
      </c>
      <c r="L94" s="66">
        <f t="shared" si="23"/>
        <v>0</v>
      </c>
    </row>
    <row r="95" spans="2:12" ht="15" customHeight="1">
      <c r="B95" s="31" t="s">
        <v>537</v>
      </c>
      <c r="C95" s="483"/>
      <c r="D95" s="483"/>
      <c r="E95" s="476">
        <f>E94/E91</f>
        <v>0.22679294710926226</v>
      </c>
      <c r="F95" s="476">
        <f t="shared" ref="F95:G95" si="24">F94/F91</f>
        <v>0.23254132809546507</v>
      </c>
      <c r="G95" s="487">
        <f t="shared" si="24"/>
        <v>0.25815397676595969</v>
      </c>
      <c r="H95" s="474"/>
      <c r="I95" s="474"/>
      <c r="J95" s="474"/>
      <c r="K95" s="474"/>
      <c r="L95" s="475"/>
    </row>
    <row r="96" spans="2:12" ht="15" customHeight="1">
      <c r="G96" s="205"/>
    </row>
    <row r="97" spans="1:12" ht="15" customHeight="1">
      <c r="B97" s="378" t="s">
        <v>538</v>
      </c>
      <c r="C97" s="483"/>
      <c r="D97" s="483"/>
      <c r="E97" s="68">
        <f>IS!T47</f>
        <v>454970.16850000003</v>
      </c>
      <c r="F97" s="68">
        <f>IS!Z47</f>
        <v>466607.8824</v>
      </c>
      <c r="G97" s="419">
        <f>IS!AF47</f>
        <v>468433.41269999999</v>
      </c>
      <c r="H97" s="66">
        <f>H91-H94</f>
        <v>350000</v>
      </c>
      <c r="I97" s="66">
        <f t="shared" ref="I97:L97" si="25">I91-I94</f>
        <v>352000</v>
      </c>
      <c r="J97" s="66">
        <f t="shared" si="25"/>
        <v>350000</v>
      </c>
      <c r="K97" s="66">
        <f t="shared" si="25"/>
        <v>352000</v>
      </c>
      <c r="L97" s="66">
        <f t="shared" si="25"/>
        <v>350000</v>
      </c>
    </row>
    <row r="98" spans="1:12" ht="15" customHeight="1">
      <c r="B98" s="31" t="s">
        <v>400</v>
      </c>
      <c r="C98" s="483"/>
      <c r="D98" s="483"/>
      <c r="E98" s="476">
        <f t="shared" ref="E98:L98" si="26">E97/E59</f>
        <v>0.11281595647051852</v>
      </c>
      <c r="F98" s="476">
        <f t="shared" si="26"/>
        <v>0.11559413972880676</v>
      </c>
      <c r="G98" s="486">
        <f t="shared" si="26"/>
        <v>0.12088098838190506</v>
      </c>
      <c r="H98" s="476">
        <f t="shared" si="26"/>
        <v>1</v>
      </c>
      <c r="I98" s="476">
        <f t="shared" si="26"/>
        <v>1</v>
      </c>
      <c r="J98" s="476">
        <f t="shared" si="26"/>
        <v>1</v>
      </c>
      <c r="K98" s="476">
        <f t="shared" si="26"/>
        <v>1</v>
      </c>
      <c r="L98" s="476">
        <f t="shared" si="26"/>
        <v>1</v>
      </c>
    </row>
    <row r="99" spans="1:12" ht="15" customHeight="1">
      <c r="B99" s="31"/>
      <c r="C99" s="483"/>
      <c r="D99" s="483"/>
      <c r="E99" s="488"/>
      <c r="F99" s="488"/>
      <c r="G99" s="489"/>
      <c r="H99" s="476"/>
      <c r="I99" s="476"/>
      <c r="J99" s="476"/>
      <c r="K99" s="476"/>
      <c r="L99" s="476"/>
    </row>
    <row r="100" spans="1:12" ht="15" customHeight="1">
      <c r="A100" s="384" t="s">
        <v>38</v>
      </c>
      <c r="B100" s="375" t="s">
        <v>417</v>
      </c>
      <c r="C100" s="32"/>
      <c r="D100" s="32"/>
      <c r="E100" s="453">
        <f t="shared" ref="E100:L100" si="27">E57</f>
        <v>2022</v>
      </c>
      <c r="F100" s="453">
        <f t="shared" si="27"/>
        <v>2023</v>
      </c>
      <c r="G100" s="453">
        <f t="shared" si="27"/>
        <v>2024</v>
      </c>
      <c r="H100" s="454">
        <f t="shared" si="27"/>
        <v>2025</v>
      </c>
      <c r="I100" s="454">
        <f t="shared" si="27"/>
        <v>2026</v>
      </c>
      <c r="J100" s="454">
        <f t="shared" si="27"/>
        <v>2027</v>
      </c>
      <c r="K100" s="454">
        <f t="shared" si="27"/>
        <v>2028</v>
      </c>
      <c r="L100" s="454">
        <f t="shared" si="27"/>
        <v>2029</v>
      </c>
    </row>
    <row r="101" spans="1:12" ht="3.95" customHeight="1">
      <c r="B101" s="490"/>
      <c r="C101" s="36"/>
      <c r="D101" s="36"/>
      <c r="E101" s="36"/>
      <c r="F101" s="36"/>
      <c r="G101" s="36"/>
      <c r="H101" s="36"/>
      <c r="I101" s="36"/>
      <c r="J101" s="36"/>
      <c r="K101" s="36"/>
      <c r="L101" s="36"/>
    </row>
    <row r="102" spans="1:12" ht="15" customHeight="1">
      <c r="B102" s="378" t="s">
        <v>446</v>
      </c>
      <c r="E102" s="68">
        <f>FCFF!H78</f>
        <v>631134</v>
      </c>
      <c r="F102" s="68">
        <f>FCFF!N78</f>
        <v>644576</v>
      </c>
      <c r="G102" s="419">
        <f>FCFF!T78</f>
        <v>643355</v>
      </c>
      <c r="H102" s="491">
        <f>+H103*H59/365</f>
        <v>0</v>
      </c>
      <c r="I102" s="491">
        <f t="shared" ref="I102:L102" si="28">+I103*I59/365</f>
        <v>0</v>
      </c>
      <c r="J102" s="491">
        <f t="shared" si="28"/>
        <v>0</v>
      </c>
      <c r="K102" s="491">
        <f>+K103*K59/366</f>
        <v>0</v>
      </c>
      <c r="L102" s="491">
        <f t="shared" si="28"/>
        <v>0</v>
      </c>
    </row>
    <row r="103" spans="1:12" ht="15" customHeight="1">
      <c r="B103" s="31" t="s">
        <v>447</v>
      </c>
      <c r="E103" s="324">
        <f>FCFF!H79</f>
        <v>57.121821697939403</v>
      </c>
      <c r="F103" s="324">
        <f>FCFF!N79</f>
        <v>58.284186835224155</v>
      </c>
      <c r="G103" s="420">
        <f>FCFF!T79</f>
        <v>60.59735696210894</v>
      </c>
      <c r="H103" s="492"/>
      <c r="I103" s="492"/>
      <c r="J103" s="492"/>
      <c r="K103" s="492"/>
      <c r="L103" s="492"/>
    </row>
    <row r="104" spans="1:12" ht="15" customHeight="1">
      <c r="B104" s="378"/>
      <c r="E104" s="97"/>
      <c r="F104" s="97"/>
      <c r="G104" s="421"/>
      <c r="H104" s="491"/>
      <c r="I104" s="491"/>
      <c r="J104" s="491"/>
      <c r="K104" s="491"/>
      <c r="L104" s="491"/>
    </row>
    <row r="105" spans="1:12" ht="15" customHeight="1">
      <c r="B105" s="378" t="s">
        <v>448</v>
      </c>
      <c r="E105" s="68">
        <f>FCFF!H81</f>
        <v>1077729</v>
      </c>
      <c r="F105" s="68">
        <f>FCFF!N81</f>
        <v>935867</v>
      </c>
      <c r="G105" s="419">
        <f>FCFF!T81</f>
        <v>841567</v>
      </c>
      <c r="H105" s="491">
        <f>+H106*H62/365</f>
        <v>0</v>
      </c>
      <c r="I105" s="491">
        <f t="shared" ref="I105:L105" si="29">+I106*I62/365</f>
        <v>0</v>
      </c>
      <c r="J105" s="491">
        <f t="shared" si="29"/>
        <v>0</v>
      </c>
      <c r="K105" s="491">
        <f>+K106*K62/366</f>
        <v>0</v>
      </c>
      <c r="L105" s="491">
        <f t="shared" si="29"/>
        <v>0</v>
      </c>
    </row>
    <row r="106" spans="1:12" ht="15" customHeight="1">
      <c r="B106" s="31" t="s">
        <v>449</v>
      </c>
      <c r="E106" s="324">
        <f>FCFF!H82</f>
        <v>155.02925830742424</v>
      </c>
      <c r="F106" s="324">
        <f>FCFF!N82</f>
        <v>139.45678874748259</v>
      </c>
      <c r="G106" s="420">
        <f>FCFF!T82</f>
        <v>130.87336334776677</v>
      </c>
      <c r="H106" s="492"/>
      <c r="I106" s="492"/>
      <c r="J106" s="492"/>
      <c r="K106" s="492"/>
      <c r="L106" s="492"/>
    </row>
    <row r="107" spans="1:12" ht="15" customHeight="1">
      <c r="B107" s="378"/>
      <c r="E107" s="97"/>
      <c r="F107" s="97"/>
      <c r="G107" s="421"/>
    </row>
    <row r="108" spans="1:12" ht="15" customHeight="1">
      <c r="B108" s="378" t="s">
        <v>450</v>
      </c>
      <c r="E108" s="68">
        <f>FCFF!H84</f>
        <v>135132</v>
      </c>
      <c r="F108" s="68">
        <f>FCFF!N84</f>
        <v>137920</v>
      </c>
      <c r="G108" s="419">
        <f>FCFF!T84</f>
        <v>155588</v>
      </c>
      <c r="H108" s="491">
        <f>+H109*H59</f>
        <v>0</v>
      </c>
      <c r="I108" s="491">
        <f t="shared" ref="I108:L108" si="30">+I109*I59</f>
        <v>0</v>
      </c>
      <c r="J108" s="491">
        <f t="shared" si="30"/>
        <v>0</v>
      </c>
      <c r="K108" s="491">
        <f t="shared" si="30"/>
        <v>0</v>
      </c>
      <c r="L108" s="491">
        <f t="shared" si="30"/>
        <v>0</v>
      </c>
    </row>
    <row r="109" spans="1:12" s="458" customFormat="1" ht="15" customHeight="1">
      <c r="A109" s="384"/>
      <c r="B109" s="31" t="s">
        <v>400</v>
      </c>
      <c r="C109" s="26"/>
      <c r="D109" s="26"/>
      <c r="E109" s="308">
        <f>FCFF!H85</f>
        <v>3.3507792126318513E-2</v>
      </c>
      <c r="F109" s="308">
        <f>FCFF!N85</f>
        <v>3.4167326255603411E-2</v>
      </c>
      <c r="G109" s="417">
        <f>FCFF!T85</f>
        <v>4.0150063403800923E-2</v>
      </c>
      <c r="H109" s="474"/>
      <c r="I109" s="474"/>
      <c r="J109" s="474"/>
      <c r="K109" s="474"/>
      <c r="L109" s="474"/>
    </row>
    <row r="110" spans="1:12" ht="15" customHeight="1">
      <c r="B110" s="378"/>
      <c r="E110" s="97"/>
      <c r="F110" s="97"/>
      <c r="G110" s="421"/>
      <c r="H110" s="491"/>
      <c r="I110" s="491"/>
      <c r="J110" s="491"/>
      <c r="K110" s="491"/>
      <c r="L110" s="491"/>
    </row>
    <row r="111" spans="1:12" ht="15" customHeight="1">
      <c r="B111" s="378" t="s">
        <v>451</v>
      </c>
      <c r="E111" s="68">
        <f>FCFF!H87</f>
        <v>443528</v>
      </c>
      <c r="F111" s="68">
        <f>FCFF!N87</f>
        <v>510898</v>
      </c>
      <c r="G111" s="419">
        <f>FCFF!T87</f>
        <v>525965</v>
      </c>
      <c r="H111" s="66">
        <f>+G111-H112*H131-H80-H65</f>
        <v>525965</v>
      </c>
      <c r="I111" s="66">
        <f t="shared" ref="I111:L111" si="31">+H111-I112*I131-I80-I65</f>
        <v>525965</v>
      </c>
      <c r="J111" s="66">
        <f t="shared" si="31"/>
        <v>525965</v>
      </c>
      <c r="K111" s="66">
        <f t="shared" si="31"/>
        <v>525965</v>
      </c>
      <c r="L111" s="66">
        <f t="shared" si="31"/>
        <v>525965</v>
      </c>
    </row>
    <row r="112" spans="1:12" ht="15" customHeight="1">
      <c r="B112" s="31" t="s">
        <v>452</v>
      </c>
      <c r="E112" s="308">
        <f>FCFF!H88</f>
        <v>0.39374108630429311</v>
      </c>
      <c r="F112" s="308">
        <f>FCFF!N88</f>
        <v>0.39475841935707134</v>
      </c>
      <c r="G112" s="417">
        <f>FCFF!T88</f>
        <v>-0.1259561207231262</v>
      </c>
      <c r="H112" s="474"/>
      <c r="I112" s="474"/>
      <c r="J112" s="474"/>
      <c r="K112" s="474"/>
      <c r="L112" s="474"/>
    </row>
    <row r="113" spans="1:12" ht="15" customHeight="1">
      <c r="G113" s="205"/>
    </row>
    <row r="114" spans="1:12" ht="15" customHeight="1">
      <c r="B114" s="378" t="s">
        <v>539</v>
      </c>
      <c r="E114" s="68">
        <f>FCFF!H90</f>
        <v>4206066</v>
      </c>
      <c r="F114" s="68">
        <f>FCFF!N90</f>
        <v>4179386</v>
      </c>
      <c r="G114" s="419">
        <f>FCFF!T90</f>
        <v>4129259</v>
      </c>
      <c r="H114" s="66">
        <f>+G114+H115*H74-(1-H112)*H131-H83</f>
        <v>4129259</v>
      </c>
      <c r="I114" s="66">
        <f>+H114+I115*I74-(1-I112)*I131-I83</f>
        <v>4129259</v>
      </c>
      <c r="J114" s="66">
        <f>+I114+J115*J74-(1-J112)*J131-J83</f>
        <v>4129259</v>
      </c>
      <c r="K114" s="66">
        <f>+J114+K115*K74-(1-K112)*K131-K83</f>
        <v>4129259</v>
      </c>
      <c r="L114" s="66">
        <f>+K114+L115*L74-(1-L112)*L131-L83</f>
        <v>4129259</v>
      </c>
    </row>
    <row r="115" spans="1:12" ht="15" customHeight="1">
      <c r="B115" s="31" t="s">
        <v>540</v>
      </c>
      <c r="E115" s="308">
        <f>FCFF!H91</f>
        <v>0</v>
      </c>
      <c r="F115" s="308">
        <f>FCFF!N91</f>
        <v>0</v>
      </c>
      <c r="G115" s="417">
        <f>FCFF!T91</f>
        <v>0</v>
      </c>
      <c r="H115" s="474"/>
      <c r="I115" s="474"/>
      <c r="J115" s="474"/>
      <c r="K115" s="474"/>
      <c r="L115" s="474"/>
    </row>
    <row r="116" spans="1:12" s="458" customFormat="1" ht="15" customHeight="1">
      <c r="A116" s="384"/>
      <c r="B116" s="97"/>
      <c r="C116" s="22"/>
      <c r="D116" s="22"/>
      <c r="E116" s="97"/>
      <c r="F116" s="97"/>
      <c r="G116" s="421"/>
      <c r="H116" s="491"/>
      <c r="I116" s="491"/>
      <c r="J116" s="491"/>
      <c r="K116" s="491"/>
      <c r="L116" s="491"/>
    </row>
    <row r="117" spans="1:12" ht="15" customHeight="1">
      <c r="B117" s="378" t="s">
        <v>455</v>
      </c>
      <c r="E117" s="68">
        <f>FCFF!H93</f>
        <v>538060</v>
      </c>
      <c r="F117" s="68">
        <f>FCFF!N93</f>
        <v>480393</v>
      </c>
      <c r="G117" s="419">
        <f>FCFF!T93</f>
        <v>475313</v>
      </c>
      <c r="H117" s="66">
        <f>+H118*H62/365</f>
        <v>0</v>
      </c>
      <c r="I117" s="66">
        <f t="shared" ref="I117:L117" si="32">+I118*I62/365</f>
        <v>0</v>
      </c>
      <c r="J117" s="66">
        <f t="shared" si="32"/>
        <v>0</v>
      </c>
      <c r="K117" s="66">
        <f>+K118*K62/366</f>
        <v>0</v>
      </c>
      <c r="L117" s="66">
        <f t="shared" si="32"/>
        <v>0</v>
      </c>
    </row>
    <row r="118" spans="1:12" ht="15" customHeight="1">
      <c r="B118" s="31" t="s">
        <v>456</v>
      </c>
      <c r="E118" s="324">
        <f>FCFF!H94</f>
        <v>77.398903365217691</v>
      </c>
      <c r="F118" s="324">
        <f>FCFF!N94</f>
        <v>71.585027698133814</v>
      </c>
      <c r="G118" s="420">
        <f>FCFF!T94</f>
        <v>73.916647103459468</v>
      </c>
      <c r="H118" s="492"/>
      <c r="I118" s="492"/>
      <c r="J118" s="492"/>
      <c r="K118" s="492"/>
      <c r="L118" s="492"/>
    </row>
    <row r="119" spans="1:12" ht="15" customHeight="1">
      <c r="B119" s="378"/>
      <c r="E119" s="97"/>
      <c r="F119" s="97"/>
      <c r="G119" s="421"/>
      <c r="H119" s="493"/>
      <c r="I119" s="493"/>
      <c r="J119" s="493"/>
      <c r="K119" s="493"/>
      <c r="L119" s="493"/>
    </row>
    <row r="120" spans="1:12" ht="15" customHeight="1">
      <c r="B120" s="378" t="s">
        <v>457</v>
      </c>
      <c r="E120" s="68">
        <f>FCFF!H96</f>
        <v>379391</v>
      </c>
      <c r="F120" s="68">
        <f>FCFF!N96</f>
        <v>299462</v>
      </c>
      <c r="G120" s="419">
        <f>FCFF!T96</f>
        <v>282122</v>
      </c>
      <c r="H120" s="66">
        <f>+H121*H71</f>
        <v>0</v>
      </c>
      <c r="I120" s="66">
        <f t="shared" ref="I120:L120" si="33">+I121*I71</f>
        <v>0</v>
      </c>
      <c r="J120" s="66">
        <f t="shared" si="33"/>
        <v>0</v>
      </c>
      <c r="K120" s="66">
        <f t="shared" si="33"/>
        <v>0</v>
      </c>
      <c r="L120" s="66">
        <f t="shared" si="33"/>
        <v>0</v>
      </c>
    </row>
    <row r="121" spans="1:12" ht="15" customHeight="1">
      <c r="B121" s="31" t="s">
        <v>460</v>
      </c>
      <c r="E121" s="308">
        <f>FCFF!H97</f>
        <v>9.4075087785247813E-2</v>
      </c>
      <c r="F121" s="308">
        <f>FCFF!N97</f>
        <v>7.4186599877867659E-2</v>
      </c>
      <c r="G121" s="417">
        <f>FCFF!T97</f>
        <v>7.2802633799567612E-2</v>
      </c>
      <c r="H121" s="474"/>
      <c r="I121" s="474"/>
      <c r="J121" s="474"/>
      <c r="K121" s="474"/>
      <c r="L121" s="474"/>
    </row>
    <row r="122" spans="1:12" ht="15" customHeight="1">
      <c r="B122" s="378"/>
      <c r="C122" s="483"/>
      <c r="D122" s="483"/>
      <c r="E122" s="476"/>
      <c r="F122" s="476"/>
      <c r="G122" s="486"/>
      <c r="H122" s="494"/>
      <c r="I122" s="494"/>
      <c r="J122" s="494"/>
      <c r="K122" s="494"/>
      <c r="L122" s="494"/>
    </row>
    <row r="123" spans="1:12" ht="15" customHeight="1">
      <c r="A123" s="384" t="s">
        <v>38</v>
      </c>
      <c r="B123" s="375" t="s">
        <v>541</v>
      </c>
      <c r="C123" s="375"/>
      <c r="D123" s="375"/>
      <c r="E123" s="453">
        <f t="shared" ref="E123:L123" si="34">E57</f>
        <v>2022</v>
      </c>
      <c r="F123" s="453">
        <f t="shared" si="34"/>
        <v>2023</v>
      </c>
      <c r="G123" s="453">
        <f t="shared" si="34"/>
        <v>2024</v>
      </c>
      <c r="H123" s="454">
        <f t="shared" si="34"/>
        <v>2025</v>
      </c>
      <c r="I123" s="454">
        <f t="shared" si="34"/>
        <v>2026</v>
      </c>
      <c r="J123" s="454">
        <f t="shared" si="34"/>
        <v>2027</v>
      </c>
      <c r="K123" s="454">
        <f t="shared" si="34"/>
        <v>2028</v>
      </c>
      <c r="L123" s="454">
        <f t="shared" si="34"/>
        <v>2029</v>
      </c>
    </row>
    <row r="124" spans="1:12" ht="3.95" customHeight="1">
      <c r="B124" s="36"/>
      <c r="C124" s="36"/>
      <c r="D124" s="36"/>
      <c r="E124" s="495"/>
      <c r="F124" s="495"/>
      <c r="G124" s="495"/>
      <c r="H124" s="36"/>
      <c r="I124" s="36"/>
      <c r="J124" s="36"/>
      <c r="K124" s="36"/>
      <c r="L124" s="36"/>
    </row>
    <row r="125" spans="1:12" ht="15" customHeight="1">
      <c r="B125" s="378" t="s">
        <v>407</v>
      </c>
      <c r="E125" s="68">
        <f>FCFF!H102</f>
        <v>138061</v>
      </c>
      <c r="F125" s="68">
        <f>FCFF!N102</f>
        <v>132604</v>
      </c>
      <c r="G125" s="419">
        <f>FCFF!T102</f>
        <v>127174</v>
      </c>
      <c r="H125" s="496">
        <f>+H77+H65</f>
        <v>0</v>
      </c>
      <c r="I125" s="496">
        <f t="shared" ref="I125:L125" si="35">+I77+I65</f>
        <v>0</v>
      </c>
      <c r="J125" s="496">
        <f t="shared" si="35"/>
        <v>0</v>
      </c>
      <c r="K125" s="496">
        <f t="shared" si="35"/>
        <v>0</v>
      </c>
      <c r="L125" s="496">
        <f t="shared" si="35"/>
        <v>0</v>
      </c>
    </row>
    <row r="126" spans="1:12" ht="15" customHeight="1">
      <c r="B126" s="31" t="s">
        <v>408</v>
      </c>
      <c r="E126" s="308">
        <f>FCFF!H103</f>
        <v>2.9693130195883769E-2</v>
      </c>
      <c r="F126" s="308">
        <f>FCFF!N103</f>
        <v>2.8272061990276067E-2</v>
      </c>
      <c r="G126" s="417">
        <f>FCFF!T103</f>
        <v>2.7318556529180981E-2</v>
      </c>
      <c r="H126" s="497">
        <f>+H125/(H111+H114)</f>
        <v>0</v>
      </c>
      <c r="I126" s="497">
        <f>+I125/(I111+I114)</f>
        <v>0</v>
      </c>
      <c r="J126" s="497">
        <f>+J125/(J111+J114)</f>
        <v>0</v>
      </c>
      <c r="K126" s="497">
        <f>+K125/(K111+K114)</f>
        <v>0</v>
      </c>
      <c r="L126" s="497">
        <f>+L125/(L111+L114)</f>
        <v>0</v>
      </c>
    </row>
    <row r="127" spans="1:12" s="345" customFormat="1" ht="15" customHeight="1">
      <c r="A127" s="498"/>
      <c r="B127" s="97"/>
      <c r="C127" s="33"/>
      <c r="D127" s="33"/>
      <c r="E127" s="97"/>
      <c r="F127" s="97"/>
      <c r="G127" s="421"/>
      <c r="H127" s="33"/>
      <c r="I127" s="33"/>
      <c r="J127" s="33"/>
      <c r="K127" s="33"/>
      <c r="L127" s="33"/>
    </row>
    <row r="128" spans="1:12" ht="15" customHeight="1">
      <c r="B128" s="378" t="s">
        <v>464</v>
      </c>
      <c r="E128" s="68">
        <f>FCFF!H111</f>
        <v>-238996</v>
      </c>
      <c r="F128" s="68">
        <f>FCFF!N111</f>
        <v>-23910</v>
      </c>
      <c r="G128" s="419">
        <f>FCFF!T111</f>
        <v>35935</v>
      </c>
      <c r="H128" s="499">
        <f>-((H102+H105+H108-H117-H120)-(G102+G105+G108-G117-G120))</f>
        <v>883075</v>
      </c>
      <c r="I128" s="499">
        <f>-((I102+I105+I108-I117-I120)-(H102+H105+H108-H117-H120))</f>
        <v>0</v>
      </c>
      <c r="J128" s="499">
        <f>-((J102+J105+J108-J117-J120)-(I102+I105+I108-I117-I120))</f>
        <v>0</v>
      </c>
      <c r="K128" s="499">
        <f>-((K102+K105+K108-K117-K120)-(J102+J105+J108-J117-J120))</f>
        <v>0</v>
      </c>
      <c r="L128" s="499">
        <f>-((L102+L105+L108-L117-L120)-(K102+K105+K108-K117-K120))</f>
        <v>0</v>
      </c>
    </row>
    <row r="129" spans="1:12" ht="15" customHeight="1">
      <c r="B129" s="31" t="s">
        <v>465</v>
      </c>
      <c r="E129" s="308">
        <f>FCFF!H112</f>
        <v>-7.351931467777699E-2</v>
      </c>
      <c r="F129" s="308">
        <f>FCFF!N112</f>
        <v>-5.9288052403596164E-3</v>
      </c>
      <c r="G129" s="417">
        <f>FCFF!T112</f>
        <v>8.9022829828531644E-3</v>
      </c>
      <c r="H129" s="457">
        <f>H128/(H59-G59)</f>
        <v>-0.25050621787027094</v>
      </c>
      <c r="I129" s="457">
        <f>I128/(I59-H59)</f>
        <v>0</v>
      </c>
      <c r="J129" s="457">
        <f>J128/(J59-I59)</f>
        <v>0</v>
      </c>
      <c r="K129" s="457">
        <f>K128/(K59-J59)</f>
        <v>0</v>
      </c>
      <c r="L129" s="457">
        <f>L128/(L59-K59)</f>
        <v>0</v>
      </c>
    </row>
    <row r="130" spans="1:12" ht="15" customHeight="1">
      <c r="B130" s="97"/>
      <c r="E130" s="97"/>
      <c r="F130" s="97"/>
      <c r="G130" s="421"/>
      <c r="H130" s="500"/>
      <c r="I130" s="500"/>
      <c r="J130" s="500"/>
      <c r="K130" s="500"/>
      <c r="L130" s="500"/>
    </row>
    <row r="131" spans="1:12" ht="15" customHeight="1">
      <c r="B131" s="378" t="s">
        <v>474</v>
      </c>
      <c r="E131" s="68">
        <f>FCFF!H114+FCFF!H117</f>
        <v>-69522</v>
      </c>
      <c r="F131" s="68">
        <f>FCFF!N114+FCFF!N117</f>
        <v>-86984</v>
      </c>
      <c r="G131" s="419">
        <f>FCFF!T114+FCFF!T117</f>
        <v>-46883</v>
      </c>
      <c r="H131" s="491">
        <f>-H132*H59</f>
        <v>0</v>
      </c>
      <c r="I131" s="491">
        <f t="shared" ref="I131:L131" si="36">-I132*I59</f>
        <v>0</v>
      </c>
      <c r="J131" s="491">
        <f t="shared" si="36"/>
        <v>0</v>
      </c>
      <c r="K131" s="491">
        <f t="shared" si="36"/>
        <v>0</v>
      </c>
      <c r="L131" s="491">
        <f t="shared" si="36"/>
        <v>0</v>
      </c>
    </row>
    <row r="132" spans="1:12" ht="15" customHeight="1">
      <c r="B132" s="31" t="s">
        <v>400</v>
      </c>
      <c r="E132" s="308">
        <f>FCFF!H115</f>
        <v>1.723891250189382E-2</v>
      </c>
      <c r="F132" s="308">
        <f>FCFF!N115</f>
        <v>2.15488015299986E-2</v>
      </c>
      <c r="G132" s="417">
        <f>FCFF!T115</f>
        <v>1.2745273616948143E-2</v>
      </c>
      <c r="H132" s="474"/>
      <c r="I132" s="474"/>
      <c r="J132" s="474"/>
      <c r="K132" s="474"/>
      <c r="L132" s="474"/>
    </row>
    <row r="133" spans="1:12" ht="15" customHeight="1">
      <c r="B133" s="378"/>
      <c r="G133" s="501"/>
      <c r="H133" s="25"/>
      <c r="I133" s="25"/>
      <c r="J133" s="25"/>
      <c r="K133" s="25"/>
      <c r="L133" s="25"/>
    </row>
    <row r="134" spans="1:12" ht="15" customHeight="1">
      <c r="A134" s="384" t="s">
        <v>38</v>
      </c>
      <c r="B134" s="375" t="s">
        <v>542</v>
      </c>
      <c r="C134" s="375"/>
      <c r="D134" s="375"/>
      <c r="E134" s="453"/>
      <c r="F134" s="453"/>
      <c r="G134" s="502"/>
      <c r="H134" s="454">
        <f>H57</f>
        <v>2025</v>
      </c>
      <c r="I134" s="454">
        <f>I57</f>
        <v>2026</v>
      </c>
      <c r="J134" s="454">
        <f>J57</f>
        <v>2027</v>
      </c>
      <c r="K134" s="454">
        <f>K57</f>
        <v>2028</v>
      </c>
      <c r="L134" s="454">
        <f>L57</f>
        <v>2029</v>
      </c>
    </row>
    <row r="135" spans="1:12" ht="3.95" customHeight="1">
      <c r="B135" s="36"/>
      <c r="C135" s="36"/>
      <c r="D135" s="36"/>
      <c r="E135" s="36"/>
      <c r="F135" s="36"/>
      <c r="G135" s="503"/>
      <c r="H135" s="36"/>
      <c r="I135" s="36"/>
      <c r="J135" s="36"/>
      <c r="K135" s="36"/>
      <c r="L135" s="36"/>
    </row>
    <row r="136" spans="1:12" ht="15" customHeight="1">
      <c r="B136" s="378" t="s">
        <v>543</v>
      </c>
      <c r="G136" s="205"/>
      <c r="H136" s="496">
        <f>H97</f>
        <v>350000</v>
      </c>
      <c r="I136" s="496">
        <f t="shared" ref="I136:L136" si="37">I97</f>
        <v>352000</v>
      </c>
      <c r="J136" s="496">
        <f t="shared" si="37"/>
        <v>350000</v>
      </c>
      <c r="K136" s="496">
        <f t="shared" si="37"/>
        <v>352000</v>
      </c>
      <c r="L136" s="496">
        <f t="shared" si="37"/>
        <v>350000</v>
      </c>
    </row>
    <row r="137" spans="1:12" ht="15" customHeight="1">
      <c r="B137" s="378" t="s">
        <v>544</v>
      </c>
      <c r="E137" s="496"/>
      <c r="F137" s="496"/>
      <c r="G137" s="504"/>
      <c r="H137" s="496">
        <f>+H125</f>
        <v>0</v>
      </c>
      <c r="I137" s="496">
        <f>+I125</f>
        <v>0</v>
      </c>
      <c r="J137" s="496">
        <f>+J125</f>
        <v>0</v>
      </c>
      <c r="K137" s="496">
        <f>+K125</f>
        <v>0</v>
      </c>
      <c r="L137" s="496">
        <f>+L125</f>
        <v>0</v>
      </c>
    </row>
    <row r="138" spans="1:12" ht="15" customHeight="1">
      <c r="B138" s="378" t="s">
        <v>407</v>
      </c>
      <c r="E138" s="496"/>
      <c r="F138" s="496"/>
      <c r="G138" s="505"/>
      <c r="H138" s="496">
        <f>+H128</f>
        <v>883075</v>
      </c>
      <c r="I138" s="496">
        <f>+I128</f>
        <v>0</v>
      </c>
      <c r="J138" s="496">
        <f>+J128</f>
        <v>0</v>
      </c>
      <c r="K138" s="496">
        <f>+K128</f>
        <v>0</v>
      </c>
      <c r="L138" s="496">
        <f>+L128</f>
        <v>0</v>
      </c>
    </row>
    <row r="139" spans="1:12" ht="15" customHeight="1">
      <c r="B139" s="378" t="s">
        <v>474</v>
      </c>
      <c r="E139" s="473"/>
      <c r="F139" s="473"/>
      <c r="G139" s="506"/>
      <c r="H139" s="496">
        <f>+H131</f>
        <v>0</v>
      </c>
      <c r="I139" s="496">
        <f>+I131</f>
        <v>0</v>
      </c>
      <c r="J139" s="496">
        <f>+J131</f>
        <v>0</v>
      </c>
      <c r="K139" s="496">
        <f>+K131</f>
        <v>0</v>
      </c>
      <c r="L139" s="496">
        <f>+L131</f>
        <v>0</v>
      </c>
    </row>
    <row r="140" spans="1:12" ht="15" customHeight="1">
      <c r="B140" s="507" t="s">
        <v>545</v>
      </c>
      <c r="C140" s="508"/>
      <c r="D140" s="508"/>
      <c r="E140" s="509"/>
      <c r="F140" s="509"/>
      <c r="G140" s="510"/>
      <c r="H140" s="509">
        <f>H136+H137+H138+H139</f>
        <v>1233075</v>
      </c>
      <c r="I140" s="509">
        <f>I136+I137+I138+I139</f>
        <v>352000</v>
      </c>
      <c r="J140" s="509">
        <f>J136+J137+J138+J139</f>
        <v>350000</v>
      </c>
      <c r="K140" s="509">
        <f>K136+K137+K138+K139</f>
        <v>352000</v>
      </c>
      <c r="L140" s="511">
        <f>L136+L137+L138+L139</f>
        <v>350000</v>
      </c>
    </row>
    <row r="141" spans="1:12" ht="15" customHeight="1">
      <c r="G141" s="501"/>
    </row>
    <row r="142" spans="1:12" ht="15" customHeight="1">
      <c r="A142" s="384" t="s">
        <v>38</v>
      </c>
      <c r="B142" s="375" t="s">
        <v>546</v>
      </c>
      <c r="C142" s="375"/>
      <c r="D142" s="375"/>
      <c r="E142" s="453"/>
      <c r="F142" s="453"/>
      <c r="G142" s="502"/>
      <c r="H142" s="454">
        <f>H134</f>
        <v>2025</v>
      </c>
      <c r="I142" s="454">
        <f>I134</f>
        <v>2026</v>
      </c>
      <c r="J142" s="454">
        <f>J134</f>
        <v>2027</v>
      </c>
      <c r="K142" s="454">
        <f>K134</f>
        <v>2028</v>
      </c>
      <c r="L142" s="454">
        <f>L134</f>
        <v>2029</v>
      </c>
    </row>
    <row r="143" spans="1:12" ht="3.95" customHeight="1">
      <c r="B143" s="36"/>
      <c r="C143" s="36"/>
      <c r="D143" s="36"/>
      <c r="E143" s="36"/>
      <c r="F143" s="36"/>
      <c r="G143" s="503"/>
      <c r="H143" s="36"/>
      <c r="I143" s="36"/>
      <c r="J143" s="36"/>
      <c r="K143" s="36"/>
      <c r="L143" s="36"/>
    </row>
    <row r="144" spans="1:12" ht="15" customHeight="1">
      <c r="B144" s="376" t="s">
        <v>511</v>
      </c>
      <c r="C144" s="423"/>
      <c r="D144" s="423"/>
      <c r="E144" s="423"/>
      <c r="F144" s="423"/>
      <c r="G144" s="512"/>
    </row>
    <row r="145" spans="2:12" ht="15" customHeight="1">
      <c r="B145" s="513" t="s">
        <v>547</v>
      </c>
      <c r="C145" s="423"/>
      <c r="D145" s="423"/>
      <c r="E145" s="423"/>
      <c r="F145" s="423"/>
      <c r="G145" s="512"/>
      <c r="H145" s="491">
        <f>G148</f>
        <v>0</v>
      </c>
      <c r="I145" s="491">
        <f t="shared" ref="I145:L145" si="38">H148</f>
        <v>0</v>
      </c>
      <c r="J145" s="491">
        <f t="shared" si="38"/>
        <v>0</v>
      </c>
      <c r="K145" s="491">
        <f t="shared" si="38"/>
        <v>0</v>
      </c>
      <c r="L145" s="491">
        <f t="shared" si="38"/>
        <v>0</v>
      </c>
    </row>
    <row r="146" spans="2:12" ht="15" customHeight="1">
      <c r="B146" s="513" t="s">
        <v>507</v>
      </c>
      <c r="C146" s="423"/>
      <c r="D146" s="423"/>
      <c r="E146" s="423"/>
      <c r="F146" s="423"/>
      <c r="G146" s="512"/>
      <c r="H146" s="491">
        <f>H145*$J$11</f>
        <v>0</v>
      </c>
      <c r="I146" s="491">
        <f t="shared" ref="I146:L146" si="39">I145*$J$11</f>
        <v>0</v>
      </c>
      <c r="J146" s="491">
        <f t="shared" si="39"/>
        <v>0</v>
      </c>
      <c r="K146" s="491">
        <f t="shared" si="39"/>
        <v>0</v>
      </c>
      <c r="L146" s="491">
        <f t="shared" si="39"/>
        <v>0</v>
      </c>
    </row>
    <row r="147" spans="2:12" ht="15" customHeight="1">
      <c r="B147" s="513" t="s">
        <v>548</v>
      </c>
      <c r="C147" s="423"/>
      <c r="D147" s="423"/>
      <c r="E147" s="423"/>
      <c r="F147" s="423"/>
      <c r="G147" s="512"/>
      <c r="H147" s="491">
        <f>MIN(H140,H145)</f>
        <v>0</v>
      </c>
      <c r="I147" s="491">
        <f t="shared" ref="I147:L147" si="40">MIN(I140,I145)</f>
        <v>0</v>
      </c>
      <c r="J147" s="491">
        <f t="shared" si="40"/>
        <v>0</v>
      </c>
      <c r="K147" s="491">
        <f t="shared" si="40"/>
        <v>0</v>
      </c>
      <c r="L147" s="491">
        <f t="shared" si="40"/>
        <v>0</v>
      </c>
    </row>
    <row r="148" spans="2:12" ht="15" customHeight="1">
      <c r="B148" s="514" t="s">
        <v>549</v>
      </c>
      <c r="C148" s="508"/>
      <c r="D148" s="508"/>
      <c r="E148" s="509"/>
      <c r="F148" s="509"/>
      <c r="G148" s="510">
        <f>L11</f>
        <v>0</v>
      </c>
      <c r="H148" s="509">
        <f>H145-H147</f>
        <v>0</v>
      </c>
      <c r="I148" s="509">
        <f t="shared" ref="I148:L148" si="41">I145-I147</f>
        <v>0</v>
      </c>
      <c r="J148" s="509">
        <f t="shared" si="41"/>
        <v>0</v>
      </c>
      <c r="K148" s="509">
        <f t="shared" si="41"/>
        <v>0</v>
      </c>
      <c r="L148" s="511">
        <f t="shared" si="41"/>
        <v>0</v>
      </c>
    </row>
    <row r="149" spans="2:12" ht="15" customHeight="1">
      <c r="B149" s="515"/>
      <c r="E149" s="491"/>
      <c r="F149" s="491"/>
      <c r="G149" s="516"/>
      <c r="H149" s="491"/>
      <c r="I149" s="491"/>
      <c r="J149" s="491"/>
      <c r="K149" s="491"/>
      <c r="L149" s="491"/>
    </row>
    <row r="150" spans="2:12" ht="15" customHeight="1">
      <c r="B150" s="376" t="s">
        <v>513</v>
      </c>
      <c r="C150" s="423"/>
      <c r="D150" s="423"/>
      <c r="E150" s="423"/>
      <c r="F150" s="423"/>
      <c r="G150" s="512"/>
      <c r="H150" s="491"/>
    </row>
    <row r="151" spans="2:12" ht="15" customHeight="1">
      <c r="B151" s="513" t="s">
        <v>547</v>
      </c>
      <c r="C151" s="423"/>
      <c r="D151" s="423"/>
      <c r="E151" s="423"/>
      <c r="F151" s="423"/>
      <c r="G151" s="512"/>
      <c r="H151" s="491">
        <f>G154</f>
        <v>0</v>
      </c>
      <c r="I151" s="491">
        <f t="shared" ref="I151:L151" si="42">H154</f>
        <v>0</v>
      </c>
      <c r="J151" s="491">
        <f t="shared" si="42"/>
        <v>0</v>
      </c>
      <c r="K151" s="491">
        <f t="shared" si="42"/>
        <v>0</v>
      </c>
      <c r="L151" s="491">
        <f t="shared" si="42"/>
        <v>0</v>
      </c>
    </row>
    <row r="152" spans="2:12" ht="15" customHeight="1">
      <c r="B152" s="513" t="s">
        <v>507</v>
      </c>
      <c r="C152" s="423"/>
      <c r="D152" s="423"/>
      <c r="E152" s="423"/>
      <c r="F152" s="423"/>
      <c r="G152" s="512"/>
      <c r="H152" s="491">
        <f>H151*$J$12</f>
        <v>0</v>
      </c>
      <c r="I152" s="491">
        <f t="shared" ref="I152:L152" si="43">I151*$J$12</f>
        <v>0</v>
      </c>
      <c r="J152" s="491">
        <f t="shared" si="43"/>
        <v>0</v>
      </c>
      <c r="K152" s="491">
        <f t="shared" si="43"/>
        <v>0</v>
      </c>
      <c r="L152" s="491">
        <f t="shared" si="43"/>
        <v>0</v>
      </c>
    </row>
    <row r="153" spans="2:12" ht="15" customHeight="1">
      <c r="B153" s="513" t="s">
        <v>548</v>
      </c>
      <c r="C153" s="423"/>
      <c r="D153" s="423"/>
      <c r="E153" s="423"/>
      <c r="F153" s="423"/>
      <c r="G153" s="512"/>
      <c r="H153" s="491">
        <f>MIN(H151,H140-H147)</f>
        <v>0</v>
      </c>
      <c r="I153" s="491">
        <f>MIN(I151,I140-I147)</f>
        <v>0</v>
      </c>
      <c r="J153" s="491">
        <f t="shared" ref="J153:K153" si="44">MIN(J151,J140-J147)</f>
        <v>0</v>
      </c>
      <c r="K153" s="491">
        <f t="shared" si="44"/>
        <v>0</v>
      </c>
      <c r="L153" s="491">
        <f>MIN(L151,L140-L147)</f>
        <v>0</v>
      </c>
    </row>
    <row r="154" spans="2:12" ht="15" customHeight="1">
      <c r="B154" s="514" t="s">
        <v>549</v>
      </c>
      <c r="C154" s="508"/>
      <c r="D154" s="508"/>
      <c r="E154" s="509"/>
      <c r="F154" s="509"/>
      <c r="G154" s="510">
        <f>L12</f>
        <v>0</v>
      </c>
      <c r="H154" s="509">
        <f>H151-H153</f>
        <v>0</v>
      </c>
      <c r="I154" s="509">
        <f t="shared" ref="I154:L154" si="45">I151-I153</f>
        <v>0</v>
      </c>
      <c r="J154" s="509">
        <f t="shared" si="45"/>
        <v>0</v>
      </c>
      <c r="K154" s="509">
        <f t="shared" si="45"/>
        <v>0</v>
      </c>
      <c r="L154" s="511">
        <f t="shared" si="45"/>
        <v>0</v>
      </c>
    </row>
    <row r="155" spans="2:12" ht="15" customHeight="1">
      <c r="B155" s="515"/>
      <c r="E155" s="491"/>
      <c r="F155" s="491"/>
      <c r="G155" s="516"/>
      <c r="H155" s="491"/>
      <c r="I155" s="491"/>
      <c r="J155" s="491"/>
      <c r="K155" s="491"/>
      <c r="L155" s="491"/>
    </row>
    <row r="156" spans="2:12" ht="15" customHeight="1">
      <c r="B156" s="376" t="s">
        <v>550</v>
      </c>
      <c r="G156" s="501"/>
    </row>
    <row r="157" spans="2:12" ht="15" customHeight="1">
      <c r="B157" s="513" t="s">
        <v>547</v>
      </c>
      <c r="G157" s="501"/>
      <c r="H157" s="491">
        <f>G160</f>
        <v>0</v>
      </c>
      <c r="I157" s="491">
        <f t="shared" ref="I157:L157" si="46">H160</f>
        <v>0</v>
      </c>
      <c r="J157" s="491">
        <f t="shared" si="46"/>
        <v>0</v>
      </c>
      <c r="K157" s="491">
        <f t="shared" si="46"/>
        <v>0</v>
      </c>
      <c r="L157" s="491">
        <f t="shared" si="46"/>
        <v>0</v>
      </c>
    </row>
    <row r="158" spans="2:12" ht="15" customHeight="1">
      <c r="B158" s="513" t="s">
        <v>507</v>
      </c>
      <c r="G158" s="501"/>
      <c r="H158" s="491">
        <f>H157*$J$13</f>
        <v>0</v>
      </c>
      <c r="I158" s="491">
        <f t="shared" ref="I158:L158" si="47">I157*$J$13</f>
        <v>0</v>
      </c>
      <c r="J158" s="491">
        <f t="shared" si="47"/>
        <v>0</v>
      </c>
      <c r="K158" s="491">
        <f t="shared" si="47"/>
        <v>0</v>
      </c>
      <c r="L158" s="491">
        <f t="shared" si="47"/>
        <v>0</v>
      </c>
    </row>
    <row r="159" spans="2:12" ht="15" customHeight="1">
      <c r="B159" s="513" t="s">
        <v>548</v>
      </c>
      <c r="G159" s="501"/>
      <c r="H159" s="491">
        <f>MIN(H157,H140-H147-H153)</f>
        <v>0</v>
      </c>
      <c r="I159" s="491">
        <f t="shared" ref="I159:L159" si="48">MIN(I157,I140-I147-I153)</f>
        <v>0</v>
      </c>
      <c r="J159" s="491">
        <f t="shared" si="48"/>
        <v>0</v>
      </c>
      <c r="K159" s="491">
        <f t="shared" si="48"/>
        <v>0</v>
      </c>
      <c r="L159" s="491">
        <f t="shared" si="48"/>
        <v>0</v>
      </c>
    </row>
    <row r="160" spans="2:12" ht="15" customHeight="1">
      <c r="B160" s="514" t="s">
        <v>549</v>
      </c>
      <c r="C160" s="508"/>
      <c r="D160" s="508"/>
      <c r="E160" s="509"/>
      <c r="F160" s="509"/>
      <c r="G160" s="510">
        <f>L13</f>
        <v>0</v>
      </c>
      <c r="H160" s="509">
        <f>H157-H159</f>
        <v>0</v>
      </c>
      <c r="I160" s="509">
        <f t="shared" ref="I160:L160" si="49">I157-I159</f>
        <v>0</v>
      </c>
      <c r="J160" s="509">
        <f t="shared" si="49"/>
        <v>0</v>
      </c>
      <c r="K160" s="509">
        <f t="shared" si="49"/>
        <v>0</v>
      </c>
      <c r="L160" s="511">
        <f t="shared" si="49"/>
        <v>0</v>
      </c>
    </row>
    <row r="161" spans="1:12" ht="15" customHeight="1">
      <c r="G161" s="679"/>
    </row>
    <row r="162" spans="1:12" ht="15" customHeight="1">
      <c r="B162" s="376" t="s">
        <v>551</v>
      </c>
      <c r="G162" s="501"/>
    </row>
    <row r="163" spans="1:12" ht="15" customHeight="1">
      <c r="B163" s="513" t="s">
        <v>547</v>
      </c>
      <c r="G163" s="501"/>
      <c r="H163" s="491">
        <f>H145+H151+H157</f>
        <v>0</v>
      </c>
      <c r="I163" s="491">
        <f t="shared" ref="I163:L163" si="50">I145+I151+I157</f>
        <v>0</v>
      </c>
      <c r="J163" s="491">
        <f t="shared" si="50"/>
        <v>0</v>
      </c>
      <c r="K163" s="491">
        <f t="shared" si="50"/>
        <v>0</v>
      </c>
      <c r="L163" s="491">
        <f t="shared" si="50"/>
        <v>0</v>
      </c>
    </row>
    <row r="164" spans="1:12" ht="15" customHeight="1">
      <c r="B164" s="513" t="s">
        <v>507</v>
      </c>
      <c r="G164" s="501"/>
      <c r="H164" s="491">
        <f>H146+H152+H158</f>
        <v>0</v>
      </c>
      <c r="I164" s="491">
        <f t="shared" ref="I164:L164" si="51">I146+I152+I158</f>
        <v>0</v>
      </c>
      <c r="J164" s="491">
        <f t="shared" si="51"/>
        <v>0</v>
      </c>
      <c r="K164" s="491">
        <f t="shared" si="51"/>
        <v>0</v>
      </c>
      <c r="L164" s="491">
        <f t="shared" si="51"/>
        <v>0</v>
      </c>
    </row>
    <row r="165" spans="1:12" ht="15" customHeight="1">
      <c r="B165" s="513" t="s">
        <v>548</v>
      </c>
      <c r="G165" s="501"/>
      <c r="H165" s="491">
        <f>H147+H153+H159</f>
        <v>0</v>
      </c>
      <c r="I165" s="491">
        <f t="shared" ref="I165:L165" si="52">I147+I153+I159</f>
        <v>0</v>
      </c>
      <c r="J165" s="491">
        <f t="shared" si="52"/>
        <v>0</v>
      </c>
      <c r="K165" s="491">
        <f t="shared" si="52"/>
        <v>0</v>
      </c>
      <c r="L165" s="491">
        <f t="shared" si="52"/>
        <v>0</v>
      </c>
    </row>
    <row r="166" spans="1:12" ht="15" customHeight="1">
      <c r="B166" s="514" t="s">
        <v>549</v>
      </c>
      <c r="C166" s="508"/>
      <c r="D166" s="508"/>
      <c r="E166" s="509"/>
      <c r="F166" s="509"/>
      <c r="G166" s="510">
        <f>G148+G154+G160</f>
        <v>0</v>
      </c>
      <c r="H166" s="509">
        <f>H148+H154+H160</f>
        <v>0</v>
      </c>
      <c r="I166" s="509">
        <f t="shared" ref="I166:K166" si="53">I148+I154+I160</f>
        <v>0</v>
      </c>
      <c r="J166" s="509">
        <f t="shared" si="53"/>
        <v>0</v>
      </c>
      <c r="K166" s="509">
        <f t="shared" si="53"/>
        <v>0</v>
      </c>
      <c r="L166" s="511">
        <f>L148+L154+L160</f>
        <v>0</v>
      </c>
    </row>
    <row r="167" spans="1:12" s="345" customFormat="1" ht="15" customHeight="1">
      <c r="A167" s="498"/>
      <c r="B167" s="33"/>
      <c r="C167" s="33"/>
      <c r="D167" s="33"/>
      <c r="E167" s="33"/>
      <c r="F167" s="33"/>
      <c r="G167" s="33"/>
      <c r="H167" s="33"/>
      <c r="I167" s="33"/>
      <c r="J167" s="33"/>
      <c r="K167" s="33"/>
      <c r="L167" s="33"/>
    </row>
    <row r="168" spans="1:12" s="345" customFormat="1" ht="15" customHeight="1">
      <c r="A168" s="498"/>
      <c r="B168" s="375" t="s">
        <v>521</v>
      </c>
      <c r="C168" s="375"/>
      <c r="D168" s="375"/>
      <c r="E168" s="375"/>
      <c r="F168" s="375"/>
      <c r="G168" s="375"/>
      <c r="H168" s="375"/>
      <c r="I168" s="375"/>
      <c r="J168" s="375"/>
      <c r="K168" s="375"/>
      <c r="L168" s="375"/>
    </row>
    <row r="169" spans="1:12" s="345" customFormat="1" ht="15" customHeight="1">
      <c r="A169" s="498"/>
      <c r="B169" s="375"/>
      <c r="C169" s="375"/>
      <c r="D169" s="375"/>
      <c r="E169" s="375"/>
      <c r="F169" s="375"/>
      <c r="G169" s="375"/>
      <c r="H169" s="375"/>
      <c r="I169" s="375"/>
      <c r="J169" s="375"/>
      <c r="K169" s="375"/>
      <c r="L169" s="375"/>
    </row>
    <row r="170" spans="1:12" ht="15" customHeight="1">
      <c r="A170" s="384" t="s">
        <v>38</v>
      </c>
      <c r="B170" s="375"/>
      <c r="C170" s="375"/>
      <c r="D170" s="375"/>
      <c r="E170" s="453"/>
      <c r="F170" s="453"/>
      <c r="G170" s="453"/>
      <c r="H170" s="454"/>
      <c r="I170" s="454"/>
      <c r="J170" s="454"/>
      <c r="K170" s="454"/>
      <c r="L170" s="454"/>
    </row>
    <row r="171" spans="1:12" ht="3.95" customHeight="1">
      <c r="B171" s="36"/>
      <c r="C171" s="36"/>
      <c r="D171" s="36"/>
      <c r="E171" s="36"/>
      <c r="F171" s="36"/>
      <c r="G171" s="36"/>
      <c r="H171" s="36"/>
      <c r="I171" s="36"/>
      <c r="J171" s="36"/>
      <c r="K171" s="36"/>
      <c r="L171" s="36"/>
    </row>
    <row r="172" spans="1:12" ht="15" customHeight="1">
      <c r="B172" s="378" t="s">
        <v>552</v>
      </c>
      <c r="L172" s="426">
        <f>(L77+L86)</f>
        <v>350000</v>
      </c>
    </row>
    <row r="173" spans="1:12" ht="15" customHeight="1">
      <c r="B173" s="517" t="s">
        <v>523</v>
      </c>
      <c r="C173" s="356"/>
      <c r="D173" s="356"/>
      <c r="E173" s="356"/>
      <c r="F173" s="356"/>
      <c r="G173" s="356"/>
      <c r="H173" s="356"/>
      <c r="I173" s="356"/>
      <c r="J173" s="356"/>
      <c r="K173" s="356"/>
      <c r="L173" s="518">
        <f>E20</f>
        <v>0</v>
      </c>
    </row>
    <row r="174" spans="1:12" ht="15" customHeight="1">
      <c r="B174" s="378" t="s">
        <v>514</v>
      </c>
      <c r="L174" s="48">
        <f>L172*L173</f>
        <v>0</v>
      </c>
    </row>
    <row r="175" spans="1:12" ht="15" customHeight="1">
      <c r="B175" s="378" t="s">
        <v>553</v>
      </c>
      <c r="L175" s="426">
        <f>L166</f>
        <v>0</v>
      </c>
    </row>
    <row r="176" spans="1:12" ht="15" customHeight="1">
      <c r="B176" s="378" t="s">
        <v>554</v>
      </c>
      <c r="L176" s="24">
        <f>L174-L175</f>
        <v>0</v>
      </c>
    </row>
    <row r="178" spans="2:12" ht="15" customHeight="1">
      <c r="B178" s="378" t="s">
        <v>555</v>
      </c>
      <c r="L178" s="426">
        <f>C32</f>
        <v>0</v>
      </c>
    </row>
    <row r="179" spans="2:12" ht="15" customHeight="1">
      <c r="B179" s="378"/>
    </row>
    <row r="180" spans="2:12" ht="15" customHeight="1">
      <c r="B180" s="519" t="s">
        <v>519</v>
      </c>
      <c r="C180" s="520"/>
      <c r="D180" s="520"/>
      <c r="E180" s="520"/>
      <c r="F180" s="520"/>
      <c r="G180" s="520"/>
      <c r="H180" s="520"/>
      <c r="I180" s="520"/>
      <c r="J180" s="520"/>
      <c r="K180" s="520"/>
      <c r="L180" s="521" t="e">
        <f>L176/L178</f>
        <v>#DIV/0!</v>
      </c>
    </row>
    <row r="181" spans="2:12" ht="15" customHeight="1">
      <c r="B181" s="522" t="s">
        <v>521</v>
      </c>
      <c r="C181" s="523"/>
      <c r="D181" s="523"/>
      <c r="E181" s="523"/>
      <c r="F181" s="523"/>
      <c r="G181" s="523"/>
      <c r="H181" s="523"/>
      <c r="I181" s="523"/>
      <c r="J181" s="523"/>
      <c r="K181" s="523"/>
      <c r="L181" s="524" t="e">
        <f>L180^(1/5)-1</f>
        <v>#DIV/0!</v>
      </c>
    </row>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727BB-C727-4554-A9ED-A855205D46AF}">
  <sheetPr>
    <tabColor theme="4" tint="-0.249977111117893"/>
  </sheetPr>
  <dimension ref="B1:AQ84"/>
  <sheetViews>
    <sheetView showGridLines="0" topLeftCell="A11" zoomScale="66" zoomScaleNormal="100" workbookViewId="0">
      <selection activeCell="N16" sqref="N16"/>
    </sheetView>
  </sheetViews>
  <sheetFormatPr defaultColWidth="9" defaultRowHeight="15" customHeight="1"/>
  <cols>
    <col min="1" max="1" width="2" style="23" customWidth="1"/>
    <col min="2" max="2" width="9" style="23"/>
    <col min="3" max="3" width="18.875" style="23" customWidth="1"/>
    <col min="4" max="4" width="9" style="23"/>
    <col min="5" max="6" width="12" style="23" customWidth="1"/>
    <col min="7" max="12" width="9" style="23"/>
    <col min="13" max="13" width="10.5" style="23" customWidth="1"/>
    <col min="14" max="19" width="9" style="23"/>
    <col min="20" max="24" width="9" style="23" customWidth="1"/>
    <col min="25" max="16384" width="9" style="23"/>
  </cols>
  <sheetData>
    <row r="1" spans="2:43" s="582" customFormat="1" ht="15" customHeight="1"/>
    <row r="2" spans="2:43" s="582" customFormat="1" ht="15" customHeight="1"/>
    <row r="3" spans="2:43" s="582" customFormat="1" ht="15" customHeight="1"/>
    <row r="4" spans="2:43" s="582" customFormat="1" ht="15" customHeight="1"/>
    <row r="5" spans="2:43" s="36" customFormat="1" ht="3.95" customHeight="1"/>
    <row r="7" spans="2:43" ht="15" customHeight="1">
      <c r="B7" s="375" t="s">
        <v>556</v>
      </c>
      <c r="C7" s="186"/>
      <c r="D7" s="186"/>
      <c r="E7" s="186"/>
      <c r="F7" s="186"/>
      <c r="G7" s="186"/>
      <c r="H7" s="186"/>
      <c r="I7" s="186"/>
      <c r="J7" s="186"/>
      <c r="K7" s="186"/>
      <c r="L7" s="186"/>
      <c r="M7" s="186"/>
      <c r="N7" s="186"/>
      <c r="O7" s="186"/>
      <c r="P7" s="186"/>
      <c r="R7" s="375" t="s">
        <v>557</v>
      </c>
      <c r="S7" s="186"/>
      <c r="T7" s="186"/>
      <c r="U7" s="186"/>
      <c r="V7" s="186"/>
      <c r="W7" s="186"/>
      <c r="X7" s="186"/>
      <c r="Y7" s="186"/>
      <c r="Z7" s="186"/>
    </row>
    <row r="8" spans="2:43" ht="15" customHeight="1">
      <c r="B8" s="186"/>
      <c r="C8" s="186"/>
      <c r="D8" s="186"/>
      <c r="E8" s="186"/>
      <c r="F8" s="186"/>
      <c r="G8" s="186"/>
      <c r="H8" s="186"/>
      <c r="I8" s="186"/>
      <c r="J8" s="186"/>
      <c r="K8" s="186"/>
      <c r="L8" s="186"/>
      <c r="M8" s="186"/>
      <c r="N8" s="186"/>
      <c r="O8" s="186"/>
      <c r="P8" s="186"/>
      <c r="R8" s="186"/>
      <c r="S8" s="186"/>
      <c r="T8" s="186"/>
      <c r="U8" s="186"/>
      <c r="V8" s="186"/>
      <c r="W8" s="186"/>
      <c r="X8" s="186"/>
      <c r="Y8" s="186"/>
      <c r="Z8" s="186"/>
    </row>
    <row r="9" spans="2:43" ht="15" customHeight="1">
      <c r="B9" s="186"/>
      <c r="C9" s="186"/>
      <c r="D9" s="186"/>
      <c r="E9" s="186"/>
      <c r="F9" s="186"/>
      <c r="G9" s="186"/>
      <c r="H9" s="186"/>
      <c r="I9" s="186"/>
      <c r="J9" s="186"/>
      <c r="K9" s="186"/>
      <c r="L9" s="186"/>
      <c r="M9" s="186"/>
      <c r="N9" s="186"/>
      <c r="O9" s="186"/>
      <c r="P9" s="186"/>
      <c r="R9" s="186"/>
      <c r="S9" s="186"/>
      <c r="T9" s="186"/>
      <c r="U9" s="186"/>
      <c r="V9" s="186"/>
      <c r="W9" s="186"/>
      <c r="X9" s="186"/>
      <c r="Y9" s="186"/>
      <c r="Z9" s="186"/>
    </row>
    <row r="10" spans="2:43" ht="3.95" customHeight="1">
      <c r="B10" s="36"/>
      <c r="C10" s="36"/>
      <c r="D10" s="36"/>
      <c r="E10" s="36"/>
      <c r="F10" s="36"/>
      <c r="G10" s="36"/>
      <c r="H10" s="36"/>
      <c r="I10" s="36"/>
      <c r="J10" s="36"/>
      <c r="K10" s="36"/>
      <c r="L10" s="36"/>
      <c r="M10" s="36"/>
      <c r="N10" s="36"/>
      <c r="O10" s="36"/>
      <c r="P10" s="36"/>
      <c r="R10" s="36"/>
      <c r="S10" s="36"/>
      <c r="T10" s="36"/>
      <c r="U10" s="36"/>
      <c r="V10" s="36"/>
      <c r="W10" s="36"/>
      <c r="X10" s="36"/>
      <c r="Y10" s="36"/>
      <c r="Z10" s="36"/>
    </row>
    <row r="14" spans="2:43" ht="15" customHeight="1">
      <c r="AA14" s="25"/>
      <c r="AB14" s="25"/>
      <c r="AC14" s="25"/>
      <c r="AD14" s="25"/>
      <c r="AE14" s="25"/>
      <c r="AF14" s="25"/>
      <c r="AG14" s="25"/>
      <c r="AH14" s="25"/>
      <c r="AI14" s="25"/>
      <c r="AJ14" s="25"/>
      <c r="AK14" s="25"/>
      <c r="AL14" s="25"/>
      <c r="AM14" s="25"/>
      <c r="AN14" s="25"/>
      <c r="AO14" s="25"/>
      <c r="AP14" s="25"/>
      <c r="AQ14" s="25"/>
    </row>
    <row r="15" spans="2:43" ht="15" customHeight="1">
      <c r="AA15" s="25"/>
      <c r="AB15" s="25"/>
      <c r="AC15" s="25"/>
      <c r="AD15" s="25"/>
      <c r="AE15" s="25"/>
      <c r="AF15" s="25"/>
      <c r="AG15" s="25"/>
      <c r="AH15" s="25"/>
      <c r="AI15" s="25"/>
      <c r="AJ15" s="25"/>
      <c r="AK15" s="25"/>
      <c r="AL15" s="25"/>
      <c r="AM15" s="25"/>
      <c r="AN15" s="25"/>
      <c r="AO15" s="25"/>
      <c r="AP15" s="25"/>
      <c r="AQ15" s="25"/>
    </row>
    <row r="16" spans="2:43" ht="15" customHeight="1">
      <c r="AA16" s="25"/>
      <c r="AB16" s="25"/>
      <c r="AC16" s="25"/>
      <c r="AD16" s="25"/>
      <c r="AE16" s="25"/>
      <c r="AF16" s="25"/>
      <c r="AG16" s="25"/>
      <c r="AH16" s="25"/>
      <c r="AI16" s="25"/>
      <c r="AJ16" s="25"/>
      <c r="AK16" s="25"/>
      <c r="AL16" s="25"/>
      <c r="AM16" s="25"/>
      <c r="AN16" s="25"/>
      <c r="AO16" s="25"/>
      <c r="AP16" s="25"/>
      <c r="AQ16" s="25"/>
    </row>
    <row r="17" spans="18:43" ht="15" customHeight="1">
      <c r="AA17" s="25"/>
      <c r="AB17" s="25"/>
      <c r="AC17" s="25"/>
      <c r="AD17" s="25"/>
      <c r="AE17" s="25"/>
      <c r="AF17" s="25"/>
      <c r="AG17" s="25"/>
      <c r="AH17" s="25"/>
      <c r="AI17" s="25"/>
      <c r="AJ17" s="25"/>
      <c r="AK17" s="25"/>
      <c r="AL17" s="25"/>
      <c r="AM17" s="25"/>
      <c r="AN17" s="25"/>
      <c r="AO17" s="25"/>
      <c r="AP17" s="25"/>
      <c r="AQ17" s="25"/>
    </row>
    <row r="18" spans="18:43" ht="15" customHeight="1">
      <c r="AA18" s="25"/>
      <c r="AB18" s="25"/>
      <c r="AC18" s="25"/>
      <c r="AD18" s="25"/>
      <c r="AE18" s="25"/>
      <c r="AF18" s="25"/>
      <c r="AG18" s="25"/>
      <c r="AH18" s="25"/>
      <c r="AI18" s="25"/>
      <c r="AJ18" s="25"/>
      <c r="AK18" s="25"/>
      <c r="AL18" s="25"/>
      <c r="AM18" s="25"/>
      <c r="AN18" s="25"/>
      <c r="AO18" s="25"/>
      <c r="AP18" s="25"/>
      <c r="AQ18" s="25"/>
    </row>
    <row r="19" spans="18:43" ht="15" customHeight="1">
      <c r="AA19" s="25"/>
      <c r="AB19" s="25"/>
      <c r="AC19" s="25"/>
      <c r="AD19" s="25"/>
      <c r="AE19" s="25"/>
      <c r="AF19" s="25"/>
      <c r="AG19" s="25"/>
      <c r="AH19" s="25"/>
      <c r="AI19" s="25"/>
      <c r="AJ19" s="25"/>
      <c r="AK19" s="25"/>
      <c r="AL19" s="25"/>
      <c r="AM19" s="25"/>
      <c r="AN19" s="25"/>
      <c r="AO19" s="25"/>
      <c r="AP19" s="25"/>
      <c r="AQ19" s="25"/>
    </row>
    <row r="20" spans="18:43" ht="15" customHeight="1">
      <c r="AA20" s="25"/>
      <c r="AB20" s="25"/>
      <c r="AC20" s="25"/>
      <c r="AD20" s="25"/>
      <c r="AE20" s="25"/>
      <c r="AF20" s="25"/>
      <c r="AG20" s="25"/>
      <c r="AH20" s="25"/>
      <c r="AI20" s="25"/>
      <c r="AJ20" s="25"/>
      <c r="AK20" s="25"/>
      <c r="AL20" s="25"/>
      <c r="AM20" s="25"/>
      <c r="AN20" s="25"/>
      <c r="AO20" s="25"/>
      <c r="AP20" s="25"/>
      <c r="AQ20" s="25"/>
    </row>
    <row r="21" spans="18:43" ht="15" customHeight="1">
      <c r="AA21" s="25"/>
      <c r="AB21" s="25"/>
      <c r="AC21" s="25"/>
      <c r="AD21" s="25"/>
      <c r="AE21" s="25"/>
      <c r="AF21" s="25"/>
      <c r="AG21" s="25"/>
      <c r="AH21" s="25"/>
      <c r="AI21" s="25"/>
      <c r="AJ21" s="25"/>
      <c r="AK21" s="25"/>
      <c r="AL21" s="25"/>
      <c r="AM21" s="25"/>
      <c r="AN21" s="25"/>
      <c r="AO21" s="25"/>
      <c r="AP21" s="25"/>
      <c r="AQ21" s="25"/>
    </row>
    <row r="22" spans="18:43" ht="15" customHeight="1">
      <c r="AA22" s="25"/>
      <c r="AB22" s="25"/>
      <c r="AC22" s="25"/>
      <c r="AD22" s="25"/>
      <c r="AE22" s="25"/>
      <c r="AF22" s="25"/>
      <c r="AG22" s="25"/>
      <c r="AH22" s="25"/>
      <c r="AI22" s="25"/>
      <c r="AJ22" s="25"/>
      <c r="AK22" s="25"/>
      <c r="AL22" s="25"/>
      <c r="AM22" s="25"/>
      <c r="AN22" s="25"/>
      <c r="AO22" s="25"/>
      <c r="AP22" s="25"/>
      <c r="AQ22" s="25"/>
    </row>
    <row r="23" spans="18:43" ht="15" customHeight="1">
      <c r="AA23" s="25"/>
      <c r="AB23" s="25"/>
      <c r="AC23" s="25"/>
      <c r="AD23" s="25"/>
      <c r="AE23" s="25"/>
      <c r="AF23" s="25"/>
      <c r="AG23" s="25"/>
      <c r="AH23" s="25"/>
      <c r="AI23" s="25"/>
      <c r="AJ23" s="25"/>
      <c r="AK23" s="25"/>
      <c r="AL23" s="25"/>
      <c r="AM23" s="25"/>
      <c r="AN23" s="25"/>
      <c r="AO23" s="25"/>
      <c r="AP23" s="25"/>
      <c r="AQ23" s="25"/>
    </row>
    <row r="24" spans="18:43" ht="15" customHeight="1">
      <c r="AA24" s="25"/>
      <c r="AB24" s="25"/>
      <c r="AC24" s="25"/>
      <c r="AD24" s="25"/>
      <c r="AE24" s="25"/>
      <c r="AF24" s="25"/>
      <c r="AG24" s="25"/>
      <c r="AH24" s="25"/>
      <c r="AI24" s="25"/>
      <c r="AJ24" s="25"/>
      <c r="AK24" s="25"/>
      <c r="AL24" s="25"/>
      <c r="AM24" s="25"/>
      <c r="AN24" s="25"/>
      <c r="AO24" s="25"/>
      <c r="AP24" s="25"/>
      <c r="AQ24" s="25"/>
    </row>
    <row r="25" spans="18:43" ht="15" customHeight="1">
      <c r="AA25" s="25"/>
      <c r="AB25" s="25"/>
      <c r="AC25" s="25"/>
      <c r="AD25" s="25"/>
      <c r="AE25" s="25"/>
      <c r="AF25" s="25"/>
      <c r="AG25" s="25"/>
      <c r="AH25" s="25"/>
      <c r="AI25" s="25"/>
      <c r="AJ25" s="25"/>
      <c r="AK25" s="25"/>
      <c r="AL25" s="25"/>
      <c r="AM25" s="25"/>
      <c r="AN25" s="25"/>
      <c r="AO25" s="25"/>
      <c r="AP25" s="25"/>
      <c r="AQ25" s="25"/>
    </row>
    <row r="26" spans="18:43" ht="15" customHeight="1">
      <c r="AA26" s="25"/>
      <c r="AB26" s="25"/>
      <c r="AC26" s="25"/>
      <c r="AD26" s="25"/>
      <c r="AE26" s="25"/>
      <c r="AF26" s="25"/>
      <c r="AG26" s="25"/>
      <c r="AH26" s="25"/>
      <c r="AI26" s="25"/>
      <c r="AJ26" s="25"/>
      <c r="AK26" s="25"/>
      <c r="AL26" s="25"/>
      <c r="AM26" s="25"/>
      <c r="AN26" s="25"/>
      <c r="AO26" s="25"/>
      <c r="AP26" s="25"/>
      <c r="AQ26" s="25"/>
    </row>
    <row r="27" spans="18:43" ht="15" customHeight="1">
      <c r="AA27" s="25"/>
      <c r="AB27" s="25"/>
      <c r="AC27" s="25"/>
      <c r="AD27" s="25"/>
      <c r="AE27" s="25"/>
      <c r="AF27" s="25"/>
      <c r="AG27" s="25"/>
      <c r="AH27" s="25"/>
      <c r="AI27" s="25"/>
      <c r="AJ27" s="25"/>
      <c r="AK27" s="25"/>
      <c r="AL27" s="25"/>
      <c r="AM27" s="25"/>
      <c r="AN27" s="25"/>
      <c r="AO27" s="25"/>
      <c r="AP27" s="25"/>
      <c r="AQ27" s="25"/>
    </row>
    <row r="28" spans="18:43" ht="15" customHeight="1">
      <c r="AA28" s="25"/>
      <c r="AB28" s="25"/>
      <c r="AC28" s="25"/>
      <c r="AD28" s="25" t="str" cm="1">
        <f t="array" ref="AD28:AL34">_xlfn.SORTBY(R38:Z44,Z38:Z44,1)</f>
        <v>Capex Intensity</v>
      </c>
      <c r="AE28" s="25">
        <v>0</v>
      </c>
      <c r="AF28" s="25">
        <v>0.01</v>
      </c>
      <c r="AG28" s="25">
        <v>0</v>
      </c>
      <c r="AH28" s="25">
        <v>0</v>
      </c>
      <c r="AI28" s="25">
        <v>0</v>
      </c>
      <c r="AJ28" s="25">
        <v>0</v>
      </c>
      <c r="AK28" s="25">
        <v>0</v>
      </c>
      <c r="AL28" s="25">
        <v>0</v>
      </c>
      <c r="AM28" s="25"/>
      <c r="AN28" s="25"/>
      <c r="AO28" s="25"/>
      <c r="AP28" s="25"/>
      <c r="AQ28" s="25"/>
    </row>
    <row r="29" spans="18:43" ht="15" customHeight="1">
      <c r="AA29" s="25"/>
      <c r="AB29" s="25"/>
      <c r="AC29" s="25"/>
      <c r="AD29" s="25" t="str">
        <v>COGS Margin</v>
      </c>
      <c r="AE29" s="25">
        <v>0</v>
      </c>
      <c r="AF29" s="25">
        <v>0.02</v>
      </c>
      <c r="AG29" s="25">
        <v>0</v>
      </c>
      <c r="AH29" s="25">
        <v>0</v>
      </c>
      <c r="AI29" s="25">
        <v>0</v>
      </c>
      <c r="AJ29" s="25">
        <v>0</v>
      </c>
      <c r="AK29" s="25">
        <v>0</v>
      </c>
      <c r="AL29" s="25">
        <v>0</v>
      </c>
      <c r="AM29" s="25"/>
      <c r="AN29" s="25"/>
      <c r="AO29" s="25"/>
      <c r="AP29" s="25"/>
      <c r="AQ29" s="25"/>
    </row>
    <row r="30" spans="18:43" ht="15" customHeight="1">
      <c r="AA30" s="25"/>
      <c r="AB30" s="25"/>
      <c r="AC30" s="25"/>
      <c r="AD30" s="25" t="str">
        <v>SG&amp;A Margin</v>
      </c>
      <c r="AE30" s="25">
        <v>0</v>
      </c>
      <c r="AF30" s="25">
        <v>0.01</v>
      </c>
      <c r="AG30" s="25">
        <v>0</v>
      </c>
      <c r="AH30" s="25">
        <v>0</v>
      </c>
      <c r="AI30" s="25">
        <v>0</v>
      </c>
      <c r="AJ30" s="25">
        <v>0</v>
      </c>
      <c r="AK30" s="25">
        <v>0</v>
      </c>
      <c r="AL30" s="25">
        <v>0</v>
      </c>
      <c r="AM30" s="25"/>
      <c r="AN30" s="25"/>
      <c r="AO30" s="25"/>
      <c r="AP30" s="25"/>
      <c r="AQ30" s="25"/>
    </row>
    <row r="31" spans="18:43" ht="15" customHeight="1">
      <c r="AA31" s="25"/>
      <c r="AB31" s="25"/>
      <c r="AC31" s="25"/>
      <c r="AD31" s="25" t="str">
        <v>WACC</v>
      </c>
      <c r="AE31" s="25">
        <v>0</v>
      </c>
      <c r="AF31" s="25">
        <v>5.0000000000000001E-3</v>
      </c>
      <c r="AG31" s="25">
        <v>0</v>
      </c>
      <c r="AH31" s="25">
        <v>0</v>
      </c>
      <c r="AI31" s="25">
        <v>0</v>
      </c>
      <c r="AJ31" s="25">
        <v>0</v>
      </c>
      <c r="AK31" s="25">
        <v>0</v>
      </c>
      <c r="AL31" s="25">
        <v>0</v>
      </c>
      <c r="AM31" s="25"/>
      <c r="AN31" s="25"/>
      <c r="AO31" s="25"/>
      <c r="AP31" s="25"/>
      <c r="AQ31" s="25"/>
    </row>
    <row r="32" spans="18:43" ht="15" customHeight="1">
      <c r="R32" s="375" t="s">
        <v>558</v>
      </c>
      <c r="S32" s="32"/>
      <c r="T32" s="32"/>
      <c r="U32" s="32"/>
      <c r="V32" s="375" t="s">
        <v>559</v>
      </c>
      <c r="W32" s="32"/>
      <c r="X32" s="32"/>
      <c r="Y32" s="32"/>
      <c r="Z32" s="37" t="s">
        <v>560</v>
      </c>
      <c r="AA32" s="25"/>
      <c r="AB32" s="25"/>
      <c r="AC32" s="25"/>
      <c r="AD32" s="25" t="str">
        <v>Terminal g</v>
      </c>
      <c r="AE32" s="25">
        <v>0</v>
      </c>
      <c r="AF32" s="25">
        <v>5.0000000000000001E-3</v>
      </c>
      <c r="AG32" s="25">
        <v>0</v>
      </c>
      <c r="AH32" s="25">
        <v>0</v>
      </c>
      <c r="AI32" s="25">
        <v>0</v>
      </c>
      <c r="AJ32" s="25">
        <v>0</v>
      </c>
      <c r="AK32" s="25">
        <v>0</v>
      </c>
      <c r="AL32" s="25">
        <v>0</v>
      </c>
      <c r="AM32" s="25"/>
      <c r="AN32" s="25"/>
      <c r="AO32" s="25"/>
      <c r="AP32" s="25"/>
      <c r="AQ32" s="25"/>
    </row>
    <row r="33" spans="3:43" ht="15" customHeight="1">
      <c r="R33" s="33" t="s">
        <v>561</v>
      </c>
      <c r="T33" s="24" t="e">
        <f ca="1">+FCFF!AL177</f>
        <v>#NAME?</v>
      </c>
      <c r="V33" s="33" t="s">
        <v>562</v>
      </c>
      <c r="W33" s="97"/>
      <c r="X33" s="620"/>
      <c r="Z33" s="23" t="s">
        <v>310</v>
      </c>
      <c r="AA33" s="25"/>
      <c r="AB33" s="25"/>
      <c r="AC33" s="25"/>
      <c r="AD33" s="25" t="str">
        <v>EBITDA Exit</v>
      </c>
      <c r="AE33" s="25">
        <v>0</v>
      </c>
      <c r="AF33" s="25">
        <v>1.5</v>
      </c>
      <c r="AG33" s="25">
        <v>0</v>
      </c>
      <c r="AH33" s="25">
        <v>0</v>
      </c>
      <c r="AI33" s="25">
        <v>0</v>
      </c>
      <c r="AJ33" s="25">
        <v>0</v>
      </c>
      <c r="AK33" s="25">
        <v>0</v>
      </c>
      <c r="AL33" s="25">
        <v>0</v>
      </c>
      <c r="AM33" s="25"/>
      <c r="AN33" s="25"/>
      <c r="AO33" s="25"/>
      <c r="AP33" s="25"/>
      <c r="AQ33" s="25"/>
    </row>
    <row r="34" spans="3:43" ht="15" customHeight="1">
      <c r="D34" s="23" t="s">
        <v>563</v>
      </c>
      <c r="E34" s="23" t="s">
        <v>564</v>
      </c>
      <c r="R34" s="33" t="s">
        <v>565</v>
      </c>
      <c r="T34" s="599" t="e">
        <f ca="1">+FCFF!Z177</f>
        <v>#NAME?</v>
      </c>
      <c r="V34" s="105" t="s">
        <v>566</v>
      </c>
      <c r="W34" s="97"/>
      <c r="X34" s="620"/>
      <c r="AA34" s="25"/>
      <c r="AB34" s="25"/>
      <c r="AC34" s="25"/>
      <c r="AD34" s="25" t="str">
        <v>Revenue Exit</v>
      </c>
      <c r="AE34" s="25">
        <v>0</v>
      </c>
      <c r="AF34" s="25">
        <v>1</v>
      </c>
      <c r="AG34" s="25">
        <v>0</v>
      </c>
      <c r="AH34" s="25">
        <v>0</v>
      </c>
      <c r="AI34" s="25">
        <v>0</v>
      </c>
      <c r="AJ34" s="25">
        <v>0</v>
      </c>
      <c r="AK34" s="25">
        <v>0</v>
      </c>
      <c r="AL34" s="25">
        <v>0</v>
      </c>
      <c r="AM34" s="25"/>
      <c r="AN34" s="25"/>
      <c r="AO34" s="25"/>
      <c r="AP34" s="25"/>
      <c r="AQ34" s="25"/>
    </row>
    <row r="35" spans="3:43" ht="15" customHeight="1">
      <c r="C35" s="23" t="s">
        <v>567</v>
      </c>
      <c r="D35" s="554">
        <v>-0.59299999999999997</v>
      </c>
      <c r="E35" s="554">
        <v>1.2110000000000001</v>
      </c>
      <c r="R35" s="33" t="s">
        <v>568</v>
      </c>
      <c r="T35" s="599" t="e">
        <f ca="1">FCFF!AF177</f>
        <v>#NAME?</v>
      </c>
      <c r="V35" s="33" t="s">
        <v>569</v>
      </c>
      <c r="X35" s="621"/>
      <c r="AA35" s="25"/>
      <c r="AB35" s="25"/>
      <c r="AC35" s="25"/>
      <c r="AD35" s="25"/>
      <c r="AE35" s="25"/>
      <c r="AF35" s="25"/>
      <c r="AG35" s="25"/>
      <c r="AH35" s="25"/>
      <c r="AI35" s="25"/>
      <c r="AJ35" s="25"/>
      <c r="AK35" s="25"/>
      <c r="AL35" s="25"/>
      <c r="AM35" s="25"/>
      <c r="AN35" s="25"/>
      <c r="AO35" s="25"/>
      <c r="AP35" s="25"/>
      <c r="AQ35" s="25"/>
    </row>
    <row r="36" spans="3:43" ht="15" customHeight="1">
      <c r="C36" s="23" t="s">
        <v>570</v>
      </c>
      <c r="D36" s="554">
        <v>-0.68</v>
      </c>
      <c r="E36" s="554">
        <v>1.83</v>
      </c>
      <c r="AA36" s="25"/>
      <c r="AB36" s="25"/>
      <c r="AC36" s="25"/>
      <c r="AD36" s="25"/>
      <c r="AE36" s="25"/>
      <c r="AF36" s="25"/>
      <c r="AG36" s="25"/>
      <c r="AH36" s="25"/>
      <c r="AI36" s="25"/>
      <c r="AJ36" s="25"/>
      <c r="AK36" s="25"/>
      <c r="AL36" s="25"/>
      <c r="AM36" s="25"/>
      <c r="AN36" s="25"/>
      <c r="AO36" s="25"/>
      <c r="AP36" s="25"/>
      <c r="AQ36" s="25"/>
    </row>
    <row r="37" spans="3:43" ht="15" customHeight="1">
      <c r="R37" s="32"/>
      <c r="S37" s="32"/>
      <c r="T37" s="600" t="s">
        <v>571</v>
      </c>
      <c r="U37" s="600" t="s">
        <v>572</v>
      </c>
      <c r="V37" s="601" t="s">
        <v>573</v>
      </c>
      <c r="W37" s="601" t="s">
        <v>574</v>
      </c>
      <c r="X37" s="600" t="s">
        <v>575</v>
      </c>
      <c r="Y37" s="600" t="s">
        <v>576</v>
      </c>
      <c r="Z37" s="600" t="s">
        <v>577</v>
      </c>
      <c r="AA37" s="25"/>
      <c r="AB37" s="25"/>
      <c r="AC37" s="25"/>
      <c r="AD37" s="25"/>
      <c r="AE37" s="25"/>
      <c r="AF37" s="25"/>
      <c r="AG37" s="25"/>
      <c r="AH37" s="25"/>
      <c r="AI37" s="25"/>
      <c r="AJ37" s="25"/>
      <c r="AK37" s="25"/>
      <c r="AL37" s="25"/>
      <c r="AM37" s="25"/>
      <c r="AN37" s="25"/>
      <c r="AO37" s="25"/>
      <c r="AP37" s="25"/>
      <c r="AQ37" s="25"/>
    </row>
    <row r="38" spans="3:43" ht="15" customHeight="1">
      <c r="R38" s="97" t="s">
        <v>578</v>
      </c>
      <c r="S38" s="97"/>
      <c r="T38" s="604">
        <v>0.01</v>
      </c>
      <c r="U38" s="602"/>
      <c r="V38" s="620"/>
      <c r="W38" s="620"/>
      <c r="X38" s="23" cm="1">
        <f t="array" ref="X38">+V38-_xlfn.IFS($Z$33="EBITDA",$X$34,$Z$33="Revenue",$X$35,$Z$33="Gordon",$X$33)</f>
        <v>0</v>
      </c>
      <c r="Y38" s="23" cm="1">
        <f t="array" ref="Y38">+W38-_xlfn.IFS($Z$33="EBITDA",$X$34,$Z$33="Revenue",$X$35,$Z$33="Gordon",$X$33)</f>
        <v>0</v>
      </c>
      <c r="Z38" s="23">
        <f>MAX(ABS(X38),ABS(Y38))</f>
        <v>0</v>
      </c>
      <c r="AA38" s="25"/>
      <c r="AB38" s="25"/>
      <c r="AC38" s="25"/>
      <c r="AD38" s="25"/>
      <c r="AE38" s="25"/>
      <c r="AF38" s="25"/>
      <c r="AG38" s="25"/>
      <c r="AH38" s="25"/>
      <c r="AI38" s="25"/>
      <c r="AJ38" s="25"/>
      <c r="AK38" s="25"/>
      <c r="AL38" s="25"/>
      <c r="AM38" s="25"/>
      <c r="AN38" s="25"/>
      <c r="AO38" s="25"/>
      <c r="AP38" s="25"/>
      <c r="AQ38" s="25"/>
    </row>
    <row r="39" spans="3:43" ht="15" customHeight="1">
      <c r="R39" s="97" t="s">
        <v>579</v>
      </c>
      <c r="S39" s="341"/>
      <c r="T39" s="604">
        <v>0.02</v>
      </c>
      <c r="U39" s="602"/>
      <c r="V39" s="620"/>
      <c r="W39" s="620"/>
      <c r="X39" s="23" cm="1">
        <f t="array" ref="X39">+V39-_xlfn.IFS($Z$33="EBITDA",$X$34,$Z$33="Revenue",$X$35,$Z$33="Gordon",$X$33)</f>
        <v>0</v>
      </c>
      <c r="Y39" s="23" cm="1">
        <f t="array" ref="Y39">+W39-_xlfn.IFS($Z$33="EBITDA",$X$34,$Z$33="Revenue",$X$35,$Z$33="Gordon",$X$33)</f>
        <v>0</v>
      </c>
      <c r="Z39" s="23">
        <f>MAX(ABS(X39),ABS(Y39))</f>
        <v>0</v>
      </c>
      <c r="AA39" s="25"/>
      <c r="AB39" s="25"/>
      <c r="AC39" s="25"/>
      <c r="AD39" s="25"/>
      <c r="AE39" s="25"/>
      <c r="AF39" s="25"/>
      <c r="AG39" s="25"/>
      <c r="AH39" s="25"/>
      <c r="AI39" s="25"/>
      <c r="AJ39" s="25"/>
      <c r="AK39" s="25"/>
      <c r="AL39" s="25"/>
      <c r="AM39" s="25"/>
      <c r="AN39" s="25"/>
      <c r="AO39" s="25"/>
      <c r="AP39" s="25"/>
      <c r="AQ39" s="25"/>
    </row>
    <row r="40" spans="3:43" ht="15" customHeight="1">
      <c r="R40" s="97" t="s">
        <v>580</v>
      </c>
      <c r="S40" s="97"/>
      <c r="T40" s="604">
        <v>0.01</v>
      </c>
      <c r="U40" s="602"/>
      <c r="V40" s="621"/>
      <c r="W40" s="621"/>
      <c r="X40" s="23" cm="1">
        <f t="array" ref="X40">+V40-_xlfn.IFS($Z$33="EBITDA",$X$34,$Z$33="Revenue",$X$35,$Z$33="Gordon",$X$33)</f>
        <v>0</v>
      </c>
      <c r="Y40" s="23" cm="1">
        <f t="array" ref="Y40">+W40-_xlfn.IFS($Z$33="EBITDA",$X$34,$Z$33="Revenue",$X$35,$Z$33="Gordon",$X$33)</f>
        <v>0</v>
      </c>
      <c r="Z40" s="23">
        <f t="shared" ref="Z40:Z44" si="0">MAX(ABS(X40),ABS(Y40))</f>
        <v>0</v>
      </c>
      <c r="AA40" s="25"/>
      <c r="AB40" s="25"/>
      <c r="AC40" s="25"/>
      <c r="AD40" s="25"/>
      <c r="AE40" s="25"/>
      <c r="AF40" s="25"/>
      <c r="AG40" s="25"/>
      <c r="AH40" s="25"/>
      <c r="AI40" s="25"/>
      <c r="AJ40" s="25"/>
      <c r="AK40" s="25"/>
      <c r="AL40" s="25"/>
      <c r="AM40" s="25"/>
      <c r="AN40" s="25"/>
      <c r="AO40" s="25"/>
      <c r="AP40" s="25"/>
      <c r="AQ40" s="25"/>
    </row>
    <row r="41" spans="3:43" ht="15" customHeight="1">
      <c r="R41" s="97" t="s">
        <v>360</v>
      </c>
      <c r="S41" s="97"/>
      <c r="T41" s="604">
        <v>5.0000000000000001E-3</v>
      </c>
      <c r="U41" s="602"/>
      <c r="V41" s="620"/>
      <c r="W41" s="621"/>
      <c r="X41" s="23" cm="1">
        <f t="array" ref="X41">+V41-_xlfn.IFS($Z$33="EBITDA",$X$34,$Z$33="Revenue",$X$35,$Z$33="Gordon",$X$33)</f>
        <v>0</v>
      </c>
      <c r="Y41" s="23" cm="1">
        <f t="array" ref="Y41">+W41-_xlfn.IFS($Z$33="EBITDA",$X$34,$Z$33="Revenue",$X$35,$Z$33="Gordon",$X$33)</f>
        <v>0</v>
      </c>
      <c r="Z41" s="23">
        <f t="shared" si="0"/>
        <v>0</v>
      </c>
      <c r="AA41" s="25"/>
      <c r="AB41" s="25"/>
      <c r="AC41" s="25"/>
      <c r="AD41" s="25"/>
      <c r="AE41" s="25"/>
      <c r="AF41" s="25"/>
      <c r="AG41" s="25"/>
      <c r="AH41" s="25"/>
      <c r="AI41" s="25"/>
      <c r="AJ41" s="25"/>
      <c r="AK41" s="25"/>
      <c r="AL41" s="25"/>
      <c r="AM41" s="25"/>
      <c r="AN41" s="25"/>
      <c r="AO41" s="25"/>
      <c r="AP41" s="25"/>
      <c r="AQ41" s="25"/>
    </row>
    <row r="42" spans="3:43" ht="15" customHeight="1">
      <c r="R42" s="97" t="s">
        <v>581</v>
      </c>
      <c r="S42" s="97"/>
      <c r="T42" s="604">
        <v>5.0000000000000001E-3</v>
      </c>
      <c r="U42" s="602"/>
      <c r="V42" s="620"/>
      <c r="W42" s="621"/>
      <c r="X42" s="23" cm="1">
        <f t="array" ref="X42">+V42-_xlfn.IFS($Z$33="EBITDA",$X$34,$Z$33="Revenue",$X$35,$Z$33="Gordon",$X$33)</f>
        <v>0</v>
      </c>
      <c r="Y42" s="23" cm="1">
        <f t="array" ref="Y42">+W42-_xlfn.IFS($Z$33="EBITDA",$X$34,$Z$33="Revenue",$X$35,$Z$33="Gordon",$X$33)</f>
        <v>0</v>
      </c>
      <c r="Z42" s="23">
        <f t="shared" si="0"/>
        <v>0</v>
      </c>
      <c r="AA42" s="25"/>
      <c r="AB42" s="25"/>
      <c r="AC42" s="25"/>
      <c r="AD42" s="25"/>
      <c r="AE42" s="25"/>
      <c r="AF42" s="25"/>
      <c r="AG42" s="25"/>
      <c r="AH42" s="25"/>
      <c r="AI42" s="25"/>
      <c r="AJ42" s="25"/>
      <c r="AK42" s="25"/>
      <c r="AL42" s="25"/>
      <c r="AM42" s="25"/>
      <c r="AN42" s="25"/>
      <c r="AO42" s="25"/>
      <c r="AP42" s="25"/>
      <c r="AQ42" s="25"/>
    </row>
    <row r="43" spans="3:43" ht="15" customHeight="1">
      <c r="R43" s="97" t="s">
        <v>582</v>
      </c>
      <c r="S43" s="97"/>
      <c r="T43" s="605">
        <v>1.5</v>
      </c>
      <c r="U43" s="603"/>
      <c r="V43" s="621"/>
      <c r="W43" s="621"/>
      <c r="X43" s="23" cm="1">
        <f t="array" ref="X43">+V43-_xlfn.IFS($Z$33="EBITDA",$X$34,$Z$33="Revenue",$X$35,$Z$33="Gordon",$X$33)</f>
        <v>0</v>
      </c>
      <c r="Y43" s="23" cm="1">
        <f t="array" ref="Y43">+W43-_xlfn.IFS($Z$33="EBITDA",$X$34,$Z$33="Revenue",$X$35,$Z$33="Gordon",$X$33)</f>
        <v>0</v>
      </c>
      <c r="Z43" s="23">
        <f t="shared" si="0"/>
        <v>0</v>
      </c>
      <c r="AA43" s="25"/>
      <c r="AB43" s="25"/>
      <c r="AC43" s="25"/>
      <c r="AD43" s="25"/>
      <c r="AE43" s="25"/>
      <c r="AF43" s="25"/>
      <c r="AG43" s="25"/>
      <c r="AH43" s="25"/>
      <c r="AI43" s="25"/>
      <c r="AJ43" s="25"/>
      <c r="AK43" s="25"/>
      <c r="AL43" s="25"/>
      <c r="AM43" s="25"/>
      <c r="AN43" s="25"/>
      <c r="AO43" s="25"/>
      <c r="AP43" s="25"/>
      <c r="AQ43" s="25"/>
    </row>
    <row r="44" spans="3:43" ht="15" customHeight="1">
      <c r="R44" s="97" t="s">
        <v>583</v>
      </c>
      <c r="S44" s="97"/>
      <c r="T44" s="605">
        <v>1</v>
      </c>
      <c r="U44" s="603"/>
      <c r="V44" s="620"/>
      <c r="W44" s="621"/>
      <c r="X44" s="23" cm="1">
        <f t="array" ref="X44">+V44-_xlfn.IFS($Z$33="EBITDA",$X$34,$Z$33="Revenue",$X$35,$Z$33="Gordon",$X$33)</f>
        <v>0</v>
      </c>
      <c r="Y44" s="23" cm="1">
        <f t="array" ref="Y44">+W44-_xlfn.IFS($Z$33="EBITDA",$X$34,$Z$33="Revenue",$X$35,$Z$33="Gordon",$X$33)</f>
        <v>0</v>
      </c>
      <c r="Z44" s="23">
        <f t="shared" si="0"/>
        <v>0</v>
      </c>
      <c r="AA44" s="25"/>
      <c r="AB44" s="25"/>
      <c r="AC44" s="25"/>
      <c r="AD44" s="25"/>
      <c r="AE44" s="25"/>
      <c r="AF44" s="25"/>
      <c r="AG44" s="25"/>
      <c r="AH44" s="25"/>
      <c r="AI44" s="25"/>
      <c r="AJ44" s="25"/>
      <c r="AK44" s="25"/>
      <c r="AL44" s="25"/>
      <c r="AM44" s="25"/>
      <c r="AN44" s="25"/>
      <c r="AO44" s="25"/>
      <c r="AP44" s="25"/>
      <c r="AQ44" s="25"/>
    </row>
    <row r="45" spans="3:43" ht="15" customHeight="1">
      <c r="I45" s="773" t="s">
        <v>584</v>
      </c>
      <c r="J45" s="773">
        <v>130.32</v>
      </c>
      <c r="AA45" s="25"/>
      <c r="AB45" s="25"/>
      <c r="AC45" s="25"/>
      <c r="AD45" s="25"/>
      <c r="AE45" s="25"/>
      <c r="AF45" s="25"/>
      <c r="AG45" s="25"/>
      <c r="AH45" s="25"/>
      <c r="AI45" s="25"/>
      <c r="AJ45" s="25"/>
      <c r="AK45" s="25"/>
      <c r="AL45" s="25"/>
      <c r="AM45" s="25"/>
      <c r="AN45" s="25"/>
      <c r="AO45" s="25"/>
      <c r="AP45" s="25"/>
      <c r="AQ45" s="25"/>
    </row>
    <row r="46" spans="3:43" ht="15" customHeight="1">
      <c r="I46" s="773" t="s">
        <v>585</v>
      </c>
      <c r="J46" s="773">
        <v>136.72999999999999</v>
      </c>
      <c r="AA46" s="25"/>
      <c r="AB46" s="25"/>
      <c r="AC46" s="25"/>
      <c r="AD46" s="25"/>
      <c r="AE46" s="25"/>
      <c r="AF46" s="25"/>
      <c r="AG46" s="25"/>
      <c r="AH46" s="25"/>
      <c r="AI46" s="25"/>
      <c r="AJ46" s="25"/>
      <c r="AK46" s="25"/>
      <c r="AL46" s="25"/>
      <c r="AM46" s="25"/>
      <c r="AN46" s="25"/>
      <c r="AO46" s="25"/>
      <c r="AP46" s="25"/>
      <c r="AQ46" s="25"/>
    </row>
    <row r="47" spans="3:43" ht="15" customHeight="1">
      <c r="I47" s="23" t="s">
        <v>586</v>
      </c>
      <c r="AA47" s="25"/>
      <c r="AB47" s="25"/>
      <c r="AC47" s="25"/>
      <c r="AD47" s="25"/>
      <c r="AE47" s="25"/>
      <c r="AF47" s="25"/>
      <c r="AG47" s="25"/>
      <c r="AH47" s="25"/>
      <c r="AI47" s="25"/>
      <c r="AJ47" s="25"/>
      <c r="AK47" s="25"/>
      <c r="AL47" s="25"/>
      <c r="AM47" s="25"/>
      <c r="AN47" s="25"/>
      <c r="AO47" s="25"/>
      <c r="AP47" s="25"/>
      <c r="AQ47" s="25"/>
    </row>
    <row r="48" spans="3:43" ht="15" customHeight="1">
      <c r="AA48" s="25"/>
      <c r="AB48" s="25"/>
      <c r="AC48" s="25"/>
      <c r="AD48" s="25"/>
      <c r="AE48" s="25"/>
      <c r="AF48" s="25"/>
      <c r="AG48" s="25"/>
      <c r="AH48" s="25"/>
      <c r="AI48" s="25"/>
      <c r="AJ48" s="25"/>
      <c r="AK48" s="25"/>
      <c r="AL48" s="25"/>
      <c r="AM48" s="25"/>
      <c r="AN48" s="25"/>
      <c r="AO48" s="25"/>
      <c r="AP48" s="25"/>
      <c r="AQ48" s="25"/>
    </row>
    <row r="49" spans="2:43" ht="15" customHeight="1">
      <c r="AA49" s="25"/>
      <c r="AB49" s="25"/>
      <c r="AC49" s="25"/>
      <c r="AD49" s="25"/>
      <c r="AE49" s="25"/>
      <c r="AF49" s="25"/>
      <c r="AG49" s="25"/>
      <c r="AH49" s="25"/>
      <c r="AI49" s="25"/>
      <c r="AJ49" s="25"/>
      <c r="AK49" s="25"/>
      <c r="AL49" s="25"/>
      <c r="AM49" s="25"/>
      <c r="AN49" s="25"/>
      <c r="AO49" s="25"/>
      <c r="AP49" s="25"/>
      <c r="AQ49" s="25"/>
    </row>
    <row r="50" spans="2:43" ht="15" customHeight="1">
      <c r="AA50" s="25"/>
      <c r="AB50" s="25"/>
      <c r="AC50" s="25"/>
      <c r="AD50" s="25"/>
      <c r="AE50" s="25"/>
      <c r="AF50" s="25"/>
      <c r="AG50" s="25"/>
      <c r="AH50" s="25"/>
      <c r="AI50" s="25"/>
      <c r="AJ50" s="25"/>
      <c r="AK50" s="25"/>
      <c r="AL50" s="25"/>
      <c r="AM50" s="25"/>
      <c r="AN50" s="25"/>
      <c r="AO50" s="25"/>
      <c r="AP50" s="25"/>
      <c r="AQ50" s="25"/>
    </row>
    <row r="51" spans="2:43" ht="15" customHeight="1">
      <c r="B51" s="342"/>
      <c r="AA51" s="25"/>
      <c r="AB51" s="25"/>
      <c r="AC51" s="25"/>
      <c r="AD51" s="25"/>
      <c r="AE51" s="25"/>
      <c r="AF51" s="25"/>
      <c r="AG51" s="25"/>
      <c r="AH51" s="25"/>
      <c r="AI51" s="25"/>
      <c r="AJ51" s="25"/>
      <c r="AK51" s="25"/>
      <c r="AL51" s="25"/>
      <c r="AM51" s="25"/>
      <c r="AN51" s="25"/>
      <c r="AO51" s="25"/>
      <c r="AP51" s="25"/>
      <c r="AQ51" s="25"/>
    </row>
    <row r="52" spans="2:43" ht="15" customHeight="1">
      <c r="AA52" s="25"/>
      <c r="AB52" s="25"/>
      <c r="AC52" s="25"/>
      <c r="AD52" s="25"/>
      <c r="AE52" s="25"/>
      <c r="AF52" s="25"/>
      <c r="AG52" s="25"/>
      <c r="AH52" s="25"/>
      <c r="AI52" s="25"/>
      <c r="AJ52" s="25"/>
      <c r="AK52" s="25"/>
      <c r="AL52" s="25"/>
      <c r="AM52" s="25"/>
      <c r="AN52" s="25"/>
      <c r="AO52" s="25"/>
      <c r="AP52" s="25"/>
      <c r="AQ52" s="25"/>
    </row>
    <row r="53" spans="2:43" ht="15" customHeight="1">
      <c r="C53" s="423">
        <f>'Key Info'!H19</f>
        <v>141.83000000000001</v>
      </c>
      <c r="D53" s="554"/>
      <c r="E53" s="554"/>
      <c r="F53" s="554"/>
      <c r="G53" s="554"/>
      <c r="H53" s="554"/>
      <c r="AA53" s="25"/>
      <c r="AB53" s="25"/>
      <c r="AC53" s="25"/>
      <c r="AD53" s="25"/>
      <c r="AE53" s="25"/>
      <c r="AF53" s="25"/>
      <c r="AG53" s="25"/>
      <c r="AH53" s="25"/>
      <c r="AI53" s="25"/>
      <c r="AJ53" s="25"/>
      <c r="AK53" s="25"/>
      <c r="AL53" s="25"/>
      <c r="AM53" s="25"/>
      <c r="AN53" s="25"/>
      <c r="AO53" s="25"/>
      <c r="AP53" s="25"/>
      <c r="AQ53" s="25"/>
    </row>
    <row r="54" spans="2:43" ht="15" customHeight="1">
      <c r="C54" s="743"/>
      <c r="AA54" s="25"/>
      <c r="AB54" s="25"/>
      <c r="AC54" s="25"/>
      <c r="AD54" s="25"/>
      <c r="AE54" s="25"/>
      <c r="AF54" s="25"/>
      <c r="AG54" s="25"/>
      <c r="AH54" s="25"/>
      <c r="AI54" s="25"/>
      <c r="AJ54" s="25"/>
      <c r="AK54" s="25"/>
      <c r="AL54" s="25"/>
      <c r="AM54" s="25"/>
      <c r="AN54" s="25"/>
      <c r="AO54" s="25"/>
      <c r="AP54" s="25"/>
      <c r="AQ54" s="25"/>
    </row>
    <row r="55" spans="2:43" ht="15" customHeight="1">
      <c r="C55" s="743"/>
    </row>
    <row r="56" spans="2:43" ht="15" customHeight="1">
      <c r="C56" s="745"/>
    </row>
    <row r="57" spans="2:43" ht="15" customHeight="1">
      <c r="C57" s="743"/>
    </row>
    <row r="58" spans="2:43" ht="15" customHeight="1">
      <c r="C58" s="743"/>
    </row>
    <row r="71" spans="3:6" ht="15" customHeight="1">
      <c r="C71" s="739"/>
    </row>
    <row r="72" spans="3:6" ht="15" customHeight="1">
      <c r="D72" s="536"/>
      <c r="E72" s="536"/>
      <c r="F72" s="536"/>
    </row>
    <row r="73" spans="3:6" ht="15" customHeight="1">
      <c r="C73" s="644"/>
    </row>
    <row r="74" spans="3:6" ht="15" customHeight="1">
      <c r="C74" s="644"/>
    </row>
    <row r="75" spans="3:6" ht="15" customHeight="1">
      <c r="C75" s="644"/>
    </row>
    <row r="76" spans="3:6" ht="15" customHeight="1">
      <c r="C76" s="644"/>
    </row>
    <row r="77" spans="3:6" ht="15" customHeight="1">
      <c r="C77" s="644"/>
    </row>
    <row r="78" spans="3:6" ht="15" customHeight="1">
      <c r="C78" s="644"/>
    </row>
    <row r="79" spans="3:6" ht="15" customHeight="1">
      <c r="C79" s="644"/>
    </row>
    <row r="80" spans="3:6" ht="15" customHeight="1">
      <c r="C80" s="644"/>
    </row>
    <row r="81" spans="3:3" ht="15" customHeight="1">
      <c r="C81" s="644"/>
    </row>
    <row r="82" spans="3:3" ht="15" customHeight="1">
      <c r="C82" s="644"/>
    </row>
    <row r="83" spans="3:3" ht="15" customHeight="1">
      <c r="C83" s="644"/>
    </row>
    <row r="84" spans="3:3" ht="15" customHeight="1">
      <c r="C84" s="644"/>
    </row>
  </sheetData>
  <dataValidations count="1">
    <dataValidation type="list" allowBlank="1" showInputMessage="1" showErrorMessage="1" sqref="Z33" xr:uid="{CA918BB2-7643-46AD-A5C9-F8292C1ABE7A}">
      <formula1>"Gordon, EBITDA, Revenue"</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theme="4" tint="-0.249977111117893"/>
  </sheetPr>
  <dimension ref="A1:AX65"/>
  <sheetViews>
    <sheetView showGridLines="0" topLeftCell="A29" zoomScale="80" zoomScaleNormal="80" workbookViewId="0">
      <selection activeCell="AH36" sqref="AH36"/>
    </sheetView>
  </sheetViews>
  <sheetFormatPr defaultColWidth="9" defaultRowHeight="14.25" customHeight="1" outlineLevelCol="1"/>
  <cols>
    <col min="1" max="1" width="2" style="97" customWidth="1"/>
    <col min="2" max="2" width="50.5" style="97" customWidth="1"/>
    <col min="3" max="3" width="3.375" style="23" customWidth="1"/>
    <col min="4" max="7" width="9.5" style="97" customWidth="1" outlineLevel="1"/>
    <col min="8" max="8" width="11.5" style="97" customWidth="1"/>
    <col min="9" max="9" width="1.5" style="23" customWidth="1"/>
    <col min="10" max="13" width="9.5" style="97" customWidth="1" outlineLevel="1"/>
    <col min="14" max="14" width="11.5" style="97" customWidth="1"/>
    <col min="15" max="15" width="1.5" style="23" customWidth="1"/>
    <col min="16" max="19" width="9.5" style="97" customWidth="1" outlineLevel="1"/>
    <col min="20" max="20" width="11.5" style="97" customWidth="1"/>
    <col min="21" max="21" width="1.5" style="23" customWidth="1"/>
    <col min="22" max="25" width="9.5" style="97" customWidth="1" outlineLevel="1"/>
    <col min="26" max="26" width="11.5" style="97" customWidth="1"/>
    <col min="27" max="27" width="1.5" style="23" customWidth="1"/>
    <col min="28" max="31" width="9.5" style="97" customWidth="1" outlineLevel="1"/>
    <col min="32" max="32" width="11.5" style="97" customWidth="1"/>
    <col min="33" max="33" width="1.5" style="23" customWidth="1"/>
    <col min="34" max="37" width="9.5" style="97" customWidth="1" outlineLevel="1"/>
    <col min="38" max="38" width="11.5" style="97" customWidth="1"/>
    <col min="39" max="39" width="1.5" style="23" customWidth="1"/>
    <col min="40" max="43" width="9.5" style="97" customWidth="1" outlineLevel="1"/>
    <col min="44" max="44" width="11.5" style="97" customWidth="1"/>
    <col min="45" max="45" width="1.5" style="23" customWidth="1"/>
    <col min="46" max="46" width="11.5" style="97" customWidth="1"/>
    <col min="47" max="47" width="1.5" style="23" customWidth="1"/>
    <col min="48" max="48" width="11.5" style="105" customWidth="1"/>
    <col min="49" max="49" width="1.5" style="23" customWidth="1"/>
    <col min="50" max="50" width="11.5" style="97" customWidth="1"/>
    <col min="51" max="51" width="1.5" style="97" customWidth="1"/>
    <col min="52" max="16384" width="9" style="97"/>
  </cols>
  <sheetData>
    <row r="1" spans="2:50" s="582" customFormat="1" ht="15" customHeight="1"/>
    <row r="2" spans="2:50" s="582" customFormat="1" ht="15" customHeight="1"/>
    <row r="3" spans="2:50" s="582" customFormat="1" ht="15" customHeight="1"/>
    <row r="4" spans="2:50" s="582" customFormat="1" ht="15" customHeight="1"/>
    <row r="5" spans="2:50" s="288" customFormat="1" ht="3.95" customHeight="1">
      <c r="C5" s="36"/>
      <c r="I5" s="36"/>
      <c r="O5" s="36"/>
      <c r="U5" s="36"/>
      <c r="AA5" s="36"/>
      <c r="AG5" s="36"/>
      <c r="AM5" s="36"/>
      <c r="AS5" s="36"/>
      <c r="AU5" s="36"/>
      <c r="AV5" s="289"/>
      <c r="AW5" s="36"/>
    </row>
    <row r="7" spans="2:50" s="41" customFormat="1" ht="15" customHeight="1">
      <c r="B7" s="161" t="s">
        <v>397</v>
      </c>
      <c r="C7" s="18"/>
      <c r="D7" s="202">
        <v>2020</v>
      </c>
      <c r="E7" s="202">
        <v>2020</v>
      </c>
      <c r="F7" s="202">
        <v>2020</v>
      </c>
      <c r="G7" s="202">
        <v>2020</v>
      </c>
      <c r="H7" s="202">
        <v>2020</v>
      </c>
      <c r="I7" s="18"/>
      <c r="J7" s="202">
        <v>2021</v>
      </c>
      <c r="K7" s="202">
        <v>2021</v>
      </c>
      <c r="L7" s="202">
        <v>2021</v>
      </c>
      <c r="M7" s="202">
        <v>2021</v>
      </c>
      <c r="N7" s="202">
        <v>2021</v>
      </c>
      <c r="O7" s="169"/>
      <c r="P7" s="202">
        <v>2022</v>
      </c>
      <c r="Q7" s="202">
        <v>2022</v>
      </c>
      <c r="R7" s="202">
        <v>2022</v>
      </c>
      <c r="S7" s="202">
        <v>2022</v>
      </c>
      <c r="T7" s="202">
        <v>2022</v>
      </c>
      <c r="U7" s="169"/>
      <c r="V7" s="202">
        <v>2023</v>
      </c>
      <c r="W7" s="202">
        <v>2023</v>
      </c>
      <c r="X7" s="202">
        <v>2023</v>
      </c>
      <c r="Y7" s="202">
        <v>2023</v>
      </c>
      <c r="Z7" s="202">
        <v>2023</v>
      </c>
      <c r="AA7" s="170"/>
      <c r="AB7" s="202">
        <v>2024</v>
      </c>
      <c r="AC7" s="202">
        <v>2024</v>
      </c>
      <c r="AD7" s="202">
        <v>2024</v>
      </c>
      <c r="AE7" s="202">
        <v>2024</v>
      </c>
      <c r="AF7" s="202">
        <v>2024</v>
      </c>
      <c r="AG7" s="170"/>
      <c r="AH7" s="202">
        <v>2025</v>
      </c>
      <c r="AI7" s="202">
        <v>2025</v>
      </c>
      <c r="AJ7" s="203">
        <v>2025</v>
      </c>
      <c r="AK7" s="202">
        <v>2025</v>
      </c>
      <c r="AL7" s="202">
        <v>2025</v>
      </c>
      <c r="AM7" s="171"/>
      <c r="AN7" s="202">
        <v>2025</v>
      </c>
      <c r="AO7" s="202">
        <v>2025</v>
      </c>
      <c r="AP7" s="203">
        <v>2025</v>
      </c>
      <c r="AQ7" s="202">
        <v>2025</v>
      </c>
      <c r="AR7" s="202">
        <v>2025</v>
      </c>
      <c r="AS7" s="18"/>
      <c r="AT7" s="162"/>
      <c r="AU7" s="18"/>
      <c r="AV7" s="163"/>
      <c r="AW7" s="18"/>
      <c r="AX7" s="163"/>
    </row>
    <row r="8" spans="2:50" s="41" customFormat="1" ht="15" customHeight="1">
      <c r="B8" s="164"/>
      <c r="C8" s="18"/>
      <c r="D8" s="815">
        <v>2020</v>
      </c>
      <c r="E8" s="815"/>
      <c r="F8" s="815"/>
      <c r="G8" s="815"/>
      <c r="H8" s="815"/>
      <c r="I8" s="169"/>
      <c r="J8" s="815">
        <v>2021</v>
      </c>
      <c r="K8" s="815"/>
      <c r="L8" s="815"/>
      <c r="M8" s="815"/>
      <c r="N8" s="815"/>
      <c r="O8" s="169"/>
      <c r="P8" s="815">
        <v>2022</v>
      </c>
      <c r="Q8" s="815"/>
      <c r="R8" s="815"/>
      <c r="S8" s="815"/>
      <c r="T8" s="815"/>
      <c r="U8" s="169"/>
      <c r="V8" s="815">
        <v>2023</v>
      </c>
      <c r="W8" s="815"/>
      <c r="X8" s="815"/>
      <c r="Y8" s="815"/>
      <c r="Z8" s="815"/>
      <c r="AA8" s="169"/>
      <c r="AB8" s="815">
        <v>2024</v>
      </c>
      <c r="AC8" s="815"/>
      <c r="AD8" s="815"/>
      <c r="AE8" s="815"/>
      <c r="AF8" s="815"/>
      <c r="AG8" s="169"/>
      <c r="AH8" s="813">
        <v>2025</v>
      </c>
      <c r="AI8" s="813"/>
      <c r="AJ8" s="813"/>
      <c r="AK8" s="813"/>
      <c r="AL8" s="813"/>
      <c r="AM8" s="169"/>
      <c r="AN8" s="813">
        <v>2026</v>
      </c>
      <c r="AO8" s="813"/>
      <c r="AP8" s="813"/>
      <c r="AQ8" s="813"/>
      <c r="AR8" s="813"/>
      <c r="AS8" s="171"/>
      <c r="AT8" s="166">
        <v>2027</v>
      </c>
      <c r="AU8" s="167"/>
      <c r="AV8" s="166">
        <v>2028</v>
      </c>
      <c r="AW8" s="167"/>
      <c r="AX8" s="166">
        <v>2029</v>
      </c>
    </row>
    <row r="9" spans="2:50" s="41" customFormat="1" ht="14.25" customHeight="1">
      <c r="B9" s="164"/>
      <c r="C9" s="18"/>
      <c r="D9" s="168" t="s">
        <v>191</v>
      </c>
      <c r="E9" s="168" t="s">
        <v>192</v>
      </c>
      <c r="F9" s="168" t="s">
        <v>193</v>
      </c>
      <c r="G9" s="168" t="s">
        <v>194</v>
      </c>
      <c r="H9" s="168" t="s">
        <v>195</v>
      </c>
      <c r="I9" s="18"/>
      <c r="J9" s="168" t="s">
        <v>191</v>
      </c>
      <c r="K9" s="168" t="s">
        <v>192</v>
      </c>
      <c r="L9" s="168" t="s">
        <v>193</v>
      </c>
      <c r="M9" s="168" t="s">
        <v>194</v>
      </c>
      <c r="N9" s="168" t="s">
        <v>195</v>
      </c>
      <c r="O9" s="165"/>
      <c r="P9" s="168" t="s">
        <v>191</v>
      </c>
      <c r="Q9" s="168" t="s">
        <v>192</v>
      </c>
      <c r="R9" s="168" t="s">
        <v>193</v>
      </c>
      <c r="S9" s="168" t="s">
        <v>194</v>
      </c>
      <c r="T9" s="168" t="s">
        <v>195</v>
      </c>
      <c r="U9" s="165"/>
      <c r="V9" s="168" t="s">
        <v>191</v>
      </c>
      <c r="W9" s="168" t="s">
        <v>192</v>
      </c>
      <c r="X9" s="168" t="s">
        <v>193</v>
      </c>
      <c r="Y9" s="168" t="s">
        <v>194</v>
      </c>
      <c r="Z9" s="168" t="s">
        <v>195</v>
      </c>
      <c r="AA9" s="165"/>
      <c r="AB9" s="168" t="s">
        <v>191</v>
      </c>
      <c r="AC9" s="168" t="s">
        <v>192</v>
      </c>
      <c r="AD9" s="168" t="s">
        <v>193</v>
      </c>
      <c r="AE9" s="168" t="s">
        <v>194</v>
      </c>
      <c r="AF9" s="168" t="s">
        <v>195</v>
      </c>
      <c r="AG9" s="165"/>
      <c r="AH9" s="168" t="s">
        <v>191</v>
      </c>
      <c r="AI9" s="168" t="s">
        <v>192</v>
      </c>
      <c r="AJ9" s="168" t="s">
        <v>193</v>
      </c>
      <c r="AK9" s="168" t="s">
        <v>194</v>
      </c>
      <c r="AL9" s="168" t="s">
        <v>195</v>
      </c>
      <c r="AM9" s="165"/>
      <c r="AN9" s="168" t="s">
        <v>191</v>
      </c>
      <c r="AO9" s="168" t="s">
        <v>192</v>
      </c>
      <c r="AP9" s="168" t="s">
        <v>193</v>
      </c>
      <c r="AQ9" s="168" t="s">
        <v>194</v>
      </c>
      <c r="AR9" s="168" t="s">
        <v>195</v>
      </c>
      <c r="AS9" s="165"/>
      <c r="AT9" s="168" t="s">
        <v>195</v>
      </c>
      <c r="AU9" s="165"/>
      <c r="AV9" s="168" t="s">
        <v>195</v>
      </c>
      <c r="AW9" s="165"/>
      <c r="AX9" s="168" t="s">
        <v>195</v>
      </c>
    </row>
    <row r="10" spans="2:50" s="41" customFormat="1" ht="3.95" customHeight="1">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2:50" s="41" customFormat="1" ht="3.95" customHeight="1">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2:50" s="54" customFormat="1" ht="14.25" customHeight="1">
      <c r="B12" s="45" t="s">
        <v>587</v>
      </c>
      <c r="C12" s="23"/>
      <c r="D12" s="46"/>
      <c r="E12" s="46"/>
      <c r="F12" s="46"/>
      <c r="G12" s="46"/>
      <c r="H12" s="47"/>
      <c r="I12" s="48"/>
      <c r="J12" s="46"/>
      <c r="K12" s="46"/>
      <c r="L12" s="46"/>
      <c r="M12" s="46"/>
      <c r="N12" s="47"/>
      <c r="O12" s="47"/>
      <c r="P12" s="46"/>
      <c r="Q12" s="46"/>
      <c r="R12" s="46"/>
      <c r="S12" s="46"/>
      <c r="T12" s="47"/>
      <c r="U12" s="47"/>
      <c r="V12" s="46"/>
      <c r="W12" s="46"/>
      <c r="X12" s="46"/>
      <c r="Y12" s="46"/>
      <c r="Z12" s="47"/>
      <c r="AA12" s="47"/>
      <c r="AB12" s="46"/>
      <c r="AC12" s="46"/>
      <c r="AD12" s="46"/>
      <c r="AE12" s="46"/>
      <c r="AF12" s="47"/>
      <c r="AG12" s="49"/>
      <c r="AH12" s="46"/>
      <c r="AI12" s="46"/>
      <c r="AJ12" s="50"/>
      <c r="AK12" s="50"/>
      <c r="AL12" s="47"/>
      <c r="AM12" s="51"/>
      <c r="AN12" s="50"/>
      <c r="AO12" s="50"/>
      <c r="AP12" s="50"/>
      <c r="AQ12" s="50"/>
      <c r="AR12" s="47"/>
      <c r="AS12" s="51"/>
      <c r="AT12" s="52"/>
      <c r="AU12" s="53"/>
      <c r="AV12" s="52"/>
      <c r="AW12" s="53"/>
      <c r="AX12" s="52"/>
    </row>
    <row r="13" spans="2:50" s="54" customFormat="1" ht="14.25" customHeight="1">
      <c r="B13" s="56" t="s">
        <v>588</v>
      </c>
      <c r="C13" s="23"/>
      <c r="D13" s="50"/>
      <c r="E13" s="50"/>
      <c r="F13" s="50"/>
      <c r="G13" s="50"/>
      <c r="H13" s="52"/>
      <c r="I13" s="48"/>
      <c r="J13" s="50"/>
      <c r="K13" s="50"/>
      <c r="L13" s="50"/>
      <c r="M13" s="50"/>
      <c r="N13" s="52"/>
      <c r="O13" s="47"/>
      <c r="P13" s="50"/>
      <c r="Q13" s="50"/>
      <c r="R13" s="50"/>
      <c r="S13" s="50"/>
      <c r="T13" s="52"/>
      <c r="U13" s="47"/>
      <c r="V13" s="50"/>
      <c r="W13" s="50"/>
      <c r="X13" s="50"/>
      <c r="Y13" s="50"/>
      <c r="Z13" s="52"/>
      <c r="AA13" s="47"/>
      <c r="AB13" s="50"/>
      <c r="AC13" s="50"/>
      <c r="AD13" s="50"/>
      <c r="AE13" s="50"/>
      <c r="AF13" s="52"/>
      <c r="AG13" s="49"/>
      <c r="AH13" s="50"/>
      <c r="AI13" s="50"/>
      <c r="AJ13" s="50"/>
      <c r="AK13" s="50"/>
      <c r="AL13" s="52"/>
      <c r="AM13" s="51"/>
      <c r="AN13" s="50"/>
      <c r="AO13" s="50"/>
      <c r="AP13" s="50"/>
      <c r="AQ13" s="50"/>
      <c r="AR13" s="52"/>
      <c r="AS13" s="51"/>
      <c r="AT13" s="52"/>
      <c r="AU13" s="53"/>
      <c r="AV13" s="52"/>
      <c r="AW13" s="53"/>
      <c r="AX13" s="52"/>
    </row>
    <row r="14" spans="2:50" s="54" customFormat="1" ht="14.25" customHeight="1">
      <c r="B14" s="56" t="s">
        <v>589</v>
      </c>
      <c r="C14" s="23"/>
      <c r="D14" s="50"/>
      <c r="E14" s="50"/>
      <c r="F14" s="50"/>
      <c r="G14" s="50"/>
      <c r="H14" s="52"/>
      <c r="I14" s="48"/>
      <c r="J14" s="50"/>
      <c r="K14" s="50"/>
      <c r="L14" s="50"/>
      <c r="M14" s="50"/>
      <c r="N14" s="52"/>
      <c r="O14" s="47"/>
      <c r="P14" s="50"/>
      <c r="Q14" s="50"/>
      <c r="R14" s="50"/>
      <c r="S14" s="50"/>
      <c r="T14" s="52"/>
      <c r="U14" s="47"/>
      <c r="V14" s="50"/>
      <c r="W14" s="50"/>
      <c r="X14" s="50"/>
      <c r="Y14" s="50"/>
      <c r="Z14" s="52"/>
      <c r="AA14" s="47"/>
      <c r="AB14" s="50"/>
      <c r="AC14" s="50"/>
      <c r="AD14" s="50"/>
      <c r="AE14" s="50"/>
      <c r="AF14" s="52"/>
      <c r="AG14" s="49"/>
      <c r="AH14" s="50"/>
      <c r="AI14" s="50"/>
      <c r="AJ14" s="50"/>
      <c r="AK14" s="50"/>
      <c r="AL14" s="52"/>
      <c r="AM14" s="51"/>
      <c r="AN14" s="50"/>
      <c r="AO14" s="50"/>
      <c r="AP14" s="50"/>
      <c r="AQ14" s="50"/>
      <c r="AR14" s="52"/>
      <c r="AS14" s="51"/>
      <c r="AT14" s="52"/>
      <c r="AU14" s="53"/>
      <c r="AV14" s="52"/>
      <c r="AW14" s="53"/>
      <c r="AX14" s="52"/>
    </row>
    <row r="15" spans="2:50" s="54" customFormat="1" ht="14.25" customHeight="1">
      <c r="B15" s="56" t="s">
        <v>590</v>
      </c>
      <c r="C15" s="23"/>
      <c r="D15" s="50"/>
      <c r="E15" s="50"/>
      <c r="F15" s="50"/>
      <c r="G15" s="50"/>
      <c r="H15" s="52"/>
      <c r="I15" s="48"/>
      <c r="J15" s="50"/>
      <c r="K15" s="50"/>
      <c r="L15" s="50"/>
      <c r="M15" s="50"/>
      <c r="N15" s="52"/>
      <c r="O15" s="47"/>
      <c r="P15" s="50"/>
      <c r="Q15" s="50"/>
      <c r="R15" s="50"/>
      <c r="S15" s="50"/>
      <c r="T15" s="52"/>
      <c r="U15" s="47"/>
      <c r="V15" s="50"/>
      <c r="W15" s="50"/>
      <c r="X15" s="50"/>
      <c r="Y15" s="50"/>
      <c r="Z15" s="52"/>
      <c r="AA15" s="47"/>
      <c r="AB15" s="50"/>
      <c r="AC15" s="50"/>
      <c r="AD15" s="50"/>
      <c r="AE15" s="50"/>
      <c r="AF15" s="52"/>
      <c r="AG15" s="49"/>
      <c r="AH15" s="50"/>
      <c r="AI15" s="50"/>
      <c r="AJ15" s="50"/>
      <c r="AK15" s="50"/>
      <c r="AL15" s="52"/>
      <c r="AM15" s="51"/>
      <c r="AN15" s="50"/>
      <c r="AO15" s="50"/>
      <c r="AP15" s="50"/>
      <c r="AQ15" s="50"/>
      <c r="AR15" s="52"/>
      <c r="AS15" s="51"/>
      <c r="AT15" s="52"/>
      <c r="AU15" s="53"/>
      <c r="AV15" s="52"/>
      <c r="AW15" s="53"/>
      <c r="AX15" s="52"/>
    </row>
    <row r="16" spans="2:50" s="54" customFormat="1" ht="14.25" customHeight="1">
      <c r="B16" s="56" t="s">
        <v>591</v>
      </c>
      <c r="C16" s="23"/>
      <c r="D16" s="50"/>
      <c r="E16" s="50"/>
      <c r="F16" s="50"/>
      <c r="G16" s="50"/>
      <c r="H16" s="58"/>
      <c r="I16" s="48"/>
      <c r="J16" s="50"/>
      <c r="K16" s="50"/>
      <c r="L16" s="50"/>
      <c r="M16" s="50"/>
      <c r="N16" s="58"/>
      <c r="O16" s="57"/>
      <c r="P16" s="50"/>
      <c r="Q16" s="50"/>
      <c r="R16" s="50"/>
      <c r="S16" s="50"/>
      <c r="T16" s="58"/>
      <c r="U16" s="57"/>
      <c r="V16" s="50"/>
      <c r="W16" s="50"/>
      <c r="X16" s="50"/>
      <c r="Y16" s="50"/>
      <c r="Z16" s="58"/>
      <c r="AA16" s="57"/>
      <c r="AB16" s="50"/>
      <c r="AC16" s="50"/>
      <c r="AD16" s="50"/>
      <c r="AE16" s="50"/>
      <c r="AF16" s="58"/>
      <c r="AG16" s="49"/>
      <c r="AH16" s="50"/>
      <c r="AI16" s="50"/>
      <c r="AJ16" s="50"/>
      <c r="AK16" s="50"/>
      <c r="AL16" s="58"/>
      <c r="AM16" s="51"/>
      <c r="AN16" s="50"/>
      <c r="AO16" s="50"/>
      <c r="AP16" s="50"/>
      <c r="AQ16" s="50"/>
      <c r="AR16" s="58"/>
      <c r="AS16" s="51"/>
      <c r="AT16" s="58"/>
      <c r="AU16" s="53"/>
      <c r="AV16" s="58"/>
      <c r="AW16" s="53"/>
      <c r="AX16" s="58"/>
    </row>
    <row r="17" spans="1:50" s="54" customFormat="1" ht="14.25" customHeight="1">
      <c r="A17" s="55"/>
      <c r="B17" s="56" t="s">
        <v>592</v>
      </c>
      <c r="C17" s="23"/>
      <c r="D17" s="50"/>
      <c r="E17" s="50"/>
      <c r="F17" s="50"/>
      <c r="G17" s="50"/>
      <c r="H17" s="58"/>
      <c r="I17" s="48"/>
      <c r="J17" s="50"/>
      <c r="K17" s="50"/>
      <c r="L17" s="50"/>
      <c r="M17" s="50"/>
      <c r="N17" s="58"/>
      <c r="O17" s="57"/>
      <c r="P17" s="50"/>
      <c r="Q17" s="50"/>
      <c r="R17" s="50"/>
      <c r="S17" s="50"/>
      <c r="T17" s="58"/>
      <c r="U17" s="57"/>
      <c r="V17" s="50"/>
      <c r="W17" s="50"/>
      <c r="X17" s="50"/>
      <c r="Y17" s="50"/>
      <c r="Z17" s="58"/>
      <c r="AA17" s="57"/>
      <c r="AB17" s="50"/>
      <c r="AC17" s="50"/>
      <c r="AD17" s="50"/>
      <c r="AE17" s="50"/>
      <c r="AF17" s="58"/>
      <c r="AG17" s="49"/>
      <c r="AH17" s="50"/>
      <c r="AI17" s="50"/>
      <c r="AJ17" s="50"/>
      <c r="AK17" s="50"/>
      <c r="AL17" s="58"/>
      <c r="AM17" s="51"/>
      <c r="AN17" s="50"/>
      <c r="AO17" s="50"/>
      <c r="AP17" s="50"/>
      <c r="AQ17" s="50"/>
      <c r="AR17" s="58"/>
      <c r="AS17" s="51"/>
      <c r="AT17" s="58"/>
      <c r="AU17" s="53"/>
      <c r="AV17" s="58"/>
      <c r="AW17" s="53"/>
      <c r="AX17" s="58"/>
    </row>
    <row r="18" spans="1:50" s="54" customFormat="1" ht="14.25" customHeight="1">
      <c r="A18" s="55"/>
      <c r="B18" s="59" t="s">
        <v>200</v>
      </c>
      <c r="C18" s="23"/>
      <c r="D18" s="60">
        <v>677459</v>
      </c>
      <c r="E18" s="60">
        <v>471977</v>
      </c>
      <c r="F18" s="60">
        <v>634525</v>
      </c>
      <c r="G18" s="60">
        <v>729296</v>
      </c>
      <c r="H18" s="61">
        <v>2513257</v>
      </c>
      <c r="I18" s="48"/>
      <c r="J18" s="60">
        <v>758058</v>
      </c>
      <c r="K18" s="60">
        <v>808773</v>
      </c>
      <c r="L18" s="60">
        <v>817545</v>
      </c>
      <c r="M18" s="60">
        <v>866416</v>
      </c>
      <c r="N18" s="61">
        <v>3250792</v>
      </c>
      <c r="O18" s="47"/>
      <c r="P18" s="60">
        <v>994676</v>
      </c>
      <c r="Q18" s="60">
        <v>1013601</v>
      </c>
      <c r="R18" s="60">
        <v>992871</v>
      </c>
      <c r="S18" s="60">
        <v>1031705</v>
      </c>
      <c r="T18" s="61">
        <v>4032853</v>
      </c>
      <c r="U18" s="47"/>
      <c r="V18" s="60">
        <v>1007396</v>
      </c>
      <c r="W18" s="60">
        <v>1039982</v>
      </c>
      <c r="X18" s="60">
        <v>980651</v>
      </c>
      <c r="Y18" s="60">
        <v>1008576</v>
      </c>
      <c r="Z18" s="61">
        <v>4036605</v>
      </c>
      <c r="AA18" s="47"/>
      <c r="AB18" s="60">
        <v>926926</v>
      </c>
      <c r="AC18" s="60">
        <v>991546</v>
      </c>
      <c r="AD18" s="60">
        <v>942809</v>
      </c>
      <c r="AE18" s="60">
        <v>1013881</v>
      </c>
      <c r="AF18" s="61">
        <v>3875162</v>
      </c>
      <c r="AG18" s="49"/>
      <c r="AH18" s="60">
        <v>906627</v>
      </c>
      <c r="AI18" s="60">
        <v>977859</v>
      </c>
      <c r="AJ18" s="62"/>
      <c r="AK18" s="62"/>
      <c r="AL18" s="63"/>
      <c r="AM18" s="51"/>
      <c r="AN18" s="62"/>
      <c r="AO18" s="62"/>
      <c r="AP18" s="62"/>
      <c r="AQ18" s="62"/>
      <c r="AR18" s="63"/>
      <c r="AS18" s="51"/>
      <c r="AT18" s="63"/>
      <c r="AU18" s="53"/>
      <c r="AV18" s="63"/>
      <c r="AW18" s="53"/>
      <c r="AX18" s="63"/>
    </row>
    <row r="19" spans="1:50" s="54" customFormat="1" ht="14.25" customHeight="1">
      <c r="A19" s="55"/>
      <c r="B19" s="64"/>
      <c r="C19" s="23"/>
      <c r="D19" s="46"/>
      <c r="E19" s="46"/>
      <c r="F19" s="46"/>
      <c r="G19" s="46"/>
      <c r="H19" s="47"/>
      <c r="I19" s="48"/>
      <c r="J19" s="46"/>
      <c r="K19" s="46"/>
      <c r="L19" s="46"/>
      <c r="M19" s="46"/>
      <c r="N19" s="47"/>
      <c r="O19" s="47"/>
      <c r="P19" s="46"/>
      <c r="Q19" s="46"/>
      <c r="R19" s="46"/>
      <c r="S19" s="46"/>
      <c r="T19" s="47"/>
      <c r="U19" s="47"/>
      <c r="V19" s="46"/>
      <c r="W19" s="46"/>
      <c r="X19" s="46"/>
      <c r="Y19" s="46"/>
      <c r="Z19" s="47"/>
      <c r="AA19" s="47"/>
      <c r="AB19" s="46"/>
      <c r="AC19" s="46"/>
      <c r="AD19" s="46"/>
      <c r="AE19" s="46"/>
      <c r="AF19" s="47"/>
      <c r="AG19" s="49"/>
      <c r="AH19" s="572"/>
      <c r="AI19" s="46"/>
      <c r="AJ19" s="50"/>
      <c r="AK19" s="50"/>
      <c r="AL19" s="52"/>
      <c r="AM19" s="51"/>
      <c r="AN19" s="50"/>
      <c r="AO19" s="50"/>
      <c r="AP19" s="50"/>
      <c r="AQ19" s="50"/>
      <c r="AR19" s="52"/>
      <c r="AS19" s="51"/>
      <c r="AT19" s="52"/>
      <c r="AU19" s="53"/>
      <c r="AV19" s="52"/>
      <c r="AW19" s="53"/>
      <c r="AX19" s="52"/>
    </row>
    <row r="20" spans="1:50" s="54" customFormat="1" ht="14.25" customHeight="1">
      <c r="A20" s="44" t="s">
        <v>38</v>
      </c>
      <c r="B20" s="65" t="s">
        <v>593</v>
      </c>
      <c r="C20" s="21"/>
      <c r="D20" s="46"/>
      <c r="E20" s="46"/>
      <c r="F20" s="46"/>
      <c r="G20" s="46"/>
      <c r="H20" s="66"/>
      <c r="I20" s="48"/>
      <c r="J20" s="46"/>
      <c r="K20" s="46"/>
      <c r="L20" s="46"/>
      <c r="M20" s="46"/>
      <c r="N20" s="66"/>
      <c r="O20" s="48"/>
      <c r="P20" s="46"/>
      <c r="Q20" s="46"/>
      <c r="R20" s="46"/>
      <c r="S20" s="46"/>
      <c r="T20" s="66"/>
      <c r="U20" s="48"/>
      <c r="V20" s="46"/>
      <c r="W20" s="46"/>
      <c r="X20" s="46"/>
      <c r="Y20" s="46"/>
      <c r="Z20" s="66"/>
      <c r="AA20" s="51"/>
      <c r="AB20" s="46"/>
      <c r="AC20" s="46"/>
      <c r="AD20" s="46"/>
      <c r="AE20" s="46"/>
      <c r="AF20" s="66">
        <f>AF21+AF29</f>
        <v>2404793</v>
      </c>
      <c r="AG20" s="49"/>
      <c r="AH20" s="46"/>
      <c r="AI20" s="46"/>
      <c r="AJ20" s="50"/>
      <c r="AK20" s="50"/>
      <c r="AL20" s="68"/>
      <c r="AM20" s="67"/>
      <c r="AN20" s="50"/>
      <c r="AO20" s="50"/>
      <c r="AP20" s="50"/>
      <c r="AQ20" s="50"/>
      <c r="AR20" s="68"/>
      <c r="AS20" s="67"/>
      <c r="AT20" s="68"/>
      <c r="AU20" s="69"/>
      <c r="AV20" s="68"/>
      <c r="AW20" s="69"/>
      <c r="AX20" s="68"/>
    </row>
    <row r="21" spans="1:50" s="54" customFormat="1" ht="14.25" customHeight="1">
      <c r="A21" s="55"/>
      <c r="B21" s="70" t="s">
        <v>594</v>
      </c>
      <c r="C21" s="24"/>
      <c r="D21" s="60">
        <v>427269</v>
      </c>
      <c r="E21" s="60">
        <v>318851</v>
      </c>
      <c r="F21" s="60">
        <v>411776</v>
      </c>
      <c r="G21" s="60">
        <v>473313</v>
      </c>
      <c r="H21" s="66">
        <v>1595909</v>
      </c>
      <c r="I21" s="48"/>
      <c r="J21" s="60">
        <v>482184</v>
      </c>
      <c r="K21" s="60">
        <v>505047</v>
      </c>
      <c r="L21" s="60">
        <v>517918</v>
      </c>
      <c r="M21" s="60">
        <v>550783</v>
      </c>
      <c r="N21" s="66">
        <v>2014132</v>
      </c>
      <c r="O21" s="48"/>
      <c r="P21" s="60">
        <v>664166</v>
      </c>
      <c r="Q21" s="60">
        <v>652859</v>
      </c>
      <c r="R21" s="60">
        <v>627639</v>
      </c>
      <c r="S21" s="60">
        <v>641635</v>
      </c>
      <c r="T21" s="66">
        <v>2537399</v>
      </c>
      <c r="U21" s="48"/>
      <c r="V21" s="60">
        <v>628661</v>
      </c>
      <c r="W21" s="60">
        <v>646746</v>
      </c>
      <c r="X21" s="60">
        <v>605329</v>
      </c>
      <c r="Y21" s="60">
        <v>621807</v>
      </c>
      <c r="Z21" s="66">
        <v>2449443</v>
      </c>
      <c r="AA21" s="51"/>
      <c r="AB21" s="60">
        <v>580568</v>
      </c>
      <c r="AC21" s="60">
        <v>611904</v>
      </c>
      <c r="AD21" s="60">
        <v>587375</v>
      </c>
      <c r="AE21" s="60">
        <v>624946</v>
      </c>
      <c r="AF21" s="66">
        <v>2347093</v>
      </c>
      <c r="AG21" s="49"/>
      <c r="AH21" s="60">
        <v>560694</v>
      </c>
      <c r="AI21" s="60">
        <v>606568</v>
      </c>
      <c r="AJ21" s="50"/>
      <c r="AK21" s="50"/>
      <c r="AL21" s="68"/>
      <c r="AM21" s="71"/>
      <c r="AN21" s="50"/>
      <c r="AO21" s="50"/>
      <c r="AP21" s="50"/>
      <c r="AQ21" s="50"/>
      <c r="AR21" s="68"/>
      <c r="AS21" s="71"/>
      <c r="AT21" s="68"/>
      <c r="AU21" s="72"/>
      <c r="AV21" s="68"/>
      <c r="AW21" s="72"/>
      <c r="AX21" s="68"/>
    </row>
    <row r="22" spans="1:50" s="54" customFormat="1" ht="14.25" customHeight="1">
      <c r="A22" s="73"/>
      <c r="B22" s="70" t="s">
        <v>595</v>
      </c>
      <c r="C22" s="21"/>
      <c r="D22" s="60">
        <v>0</v>
      </c>
      <c r="E22" s="60">
        <v>0</v>
      </c>
      <c r="F22" s="60">
        <v>0</v>
      </c>
      <c r="G22" s="60">
        <v>0</v>
      </c>
      <c r="H22" s="74">
        <v>0</v>
      </c>
      <c r="I22" s="48"/>
      <c r="J22" s="60">
        <v>0</v>
      </c>
      <c r="K22" s="60">
        <v>0</v>
      </c>
      <c r="L22" s="60">
        <v>0</v>
      </c>
      <c r="M22" s="60">
        <v>0</v>
      </c>
      <c r="N22" s="74">
        <v>0</v>
      </c>
      <c r="O22" s="48"/>
      <c r="P22" s="60">
        <v>0</v>
      </c>
      <c r="Q22" s="60">
        <v>0</v>
      </c>
      <c r="R22" s="60">
        <v>0</v>
      </c>
      <c r="S22" s="60">
        <v>0</v>
      </c>
      <c r="T22" s="74">
        <v>0</v>
      </c>
      <c r="U22" s="48"/>
      <c r="V22" s="60">
        <v>0</v>
      </c>
      <c r="W22" s="60">
        <v>0</v>
      </c>
      <c r="X22" s="60">
        <v>0</v>
      </c>
      <c r="Y22" s="60">
        <v>0</v>
      </c>
      <c r="Z22" s="74">
        <v>0</v>
      </c>
      <c r="AA22" s="51"/>
      <c r="AB22" s="60">
        <v>0</v>
      </c>
      <c r="AC22" s="60">
        <v>0</v>
      </c>
      <c r="AD22" s="60">
        <v>0</v>
      </c>
      <c r="AE22" s="60">
        <v>0</v>
      </c>
      <c r="AF22" s="74">
        <v>0</v>
      </c>
      <c r="AG22" s="49"/>
      <c r="AH22" s="60">
        <v>0</v>
      </c>
      <c r="AI22" s="60">
        <v>0</v>
      </c>
      <c r="AJ22" s="50"/>
      <c r="AK22" s="50"/>
      <c r="AL22" s="75"/>
      <c r="AM22" s="71"/>
      <c r="AN22" s="50"/>
      <c r="AO22" s="50"/>
      <c r="AP22" s="50"/>
      <c r="AQ22" s="50"/>
      <c r="AR22" s="75"/>
      <c r="AS22" s="71"/>
      <c r="AT22" s="75"/>
      <c r="AU22" s="72"/>
      <c r="AV22" s="75"/>
      <c r="AW22" s="72"/>
      <c r="AX22" s="75"/>
    </row>
    <row r="23" spans="1:50" s="54" customFormat="1" ht="14.25" customHeight="1">
      <c r="A23" s="55"/>
      <c r="B23" s="76" t="s">
        <v>596</v>
      </c>
      <c r="C23" s="23"/>
      <c r="D23" s="46">
        <f>D21+D22</f>
        <v>427269</v>
      </c>
      <c r="E23" s="46">
        <f>E21+E22</f>
        <v>318851</v>
      </c>
      <c r="F23" s="46">
        <f>F21+F22</f>
        <v>411776</v>
      </c>
      <c r="G23" s="46">
        <f>G21+G22</f>
        <v>473313</v>
      </c>
      <c r="H23" s="77">
        <f>H21+H22</f>
        <v>1595909</v>
      </c>
      <c r="I23" s="48"/>
      <c r="J23" s="46">
        <v>482184</v>
      </c>
      <c r="K23" s="46">
        <v>505047</v>
      </c>
      <c r="L23" s="46">
        <v>517918</v>
      </c>
      <c r="M23" s="46">
        <v>550783</v>
      </c>
      <c r="N23" s="77">
        <v>2014132</v>
      </c>
      <c r="O23" s="48"/>
      <c r="P23" s="46">
        <v>664166</v>
      </c>
      <c r="Q23" s="46">
        <v>652859</v>
      </c>
      <c r="R23" s="46">
        <v>627639</v>
      </c>
      <c r="S23" s="46">
        <v>641635</v>
      </c>
      <c r="T23" s="77">
        <v>2537399</v>
      </c>
      <c r="U23" s="48"/>
      <c r="V23" s="46">
        <v>628661</v>
      </c>
      <c r="W23" s="46">
        <v>646746</v>
      </c>
      <c r="X23" s="46">
        <v>605329</v>
      </c>
      <c r="Y23" s="46">
        <v>621807</v>
      </c>
      <c r="Z23" s="77">
        <v>2449443</v>
      </c>
      <c r="AA23" s="51"/>
      <c r="AB23" s="46">
        <v>580568</v>
      </c>
      <c r="AC23" s="46">
        <v>611904</v>
      </c>
      <c r="AD23" s="46">
        <v>587375</v>
      </c>
      <c r="AE23" s="46">
        <v>624946</v>
      </c>
      <c r="AF23" s="77">
        <v>2347093</v>
      </c>
      <c r="AG23" s="49"/>
      <c r="AH23" s="46">
        <v>560694</v>
      </c>
      <c r="AI23" s="46">
        <v>606568</v>
      </c>
      <c r="AJ23" s="50"/>
      <c r="AK23" s="50"/>
      <c r="AL23" s="78"/>
      <c r="AM23" s="71"/>
      <c r="AN23" s="50"/>
      <c r="AO23" s="50"/>
      <c r="AP23" s="50"/>
      <c r="AQ23" s="50"/>
      <c r="AR23" s="78"/>
      <c r="AS23" s="71"/>
      <c r="AT23" s="78"/>
      <c r="AU23" s="72"/>
      <c r="AV23" s="78"/>
      <c r="AW23" s="72"/>
      <c r="AX23" s="78"/>
    </row>
    <row r="24" spans="1:50" s="54" customFormat="1" ht="14.25" customHeight="1">
      <c r="A24" s="73"/>
      <c r="B24" s="79" t="s">
        <v>244</v>
      </c>
      <c r="C24" s="21"/>
      <c r="D24" s="46">
        <f t="shared" ref="D24:F24" si="0">D18-D23</f>
        <v>250190</v>
      </c>
      <c r="E24" s="46">
        <f t="shared" si="0"/>
        <v>153126</v>
      </c>
      <c r="F24" s="46">
        <f t="shared" si="0"/>
        <v>222749</v>
      </c>
      <c r="G24" s="46">
        <f>G18-G23</f>
        <v>255983</v>
      </c>
      <c r="H24" s="77">
        <f>H18-H23</f>
        <v>917348</v>
      </c>
      <c r="I24" s="48"/>
      <c r="J24" s="46">
        <v>275874</v>
      </c>
      <c r="K24" s="46">
        <v>303726</v>
      </c>
      <c r="L24" s="46">
        <v>299627</v>
      </c>
      <c r="M24" s="46">
        <v>315633</v>
      </c>
      <c r="N24" s="77">
        <f>N18-N23</f>
        <v>1236660</v>
      </c>
      <c r="O24" s="48"/>
      <c r="P24" s="46">
        <v>330510</v>
      </c>
      <c r="Q24" s="46">
        <v>360742</v>
      </c>
      <c r="R24" s="46">
        <v>365232</v>
      </c>
      <c r="S24" s="46">
        <v>390070</v>
      </c>
      <c r="T24" s="77">
        <f>T18-T23</f>
        <v>1495454</v>
      </c>
      <c r="U24" s="48"/>
      <c r="V24" s="46">
        <v>378735</v>
      </c>
      <c r="W24" s="46">
        <v>393236</v>
      </c>
      <c r="X24" s="46">
        <v>375322</v>
      </c>
      <c r="Y24" s="46">
        <v>386769</v>
      </c>
      <c r="Z24" s="77">
        <f>Z18-Z23</f>
        <v>1587162</v>
      </c>
      <c r="AA24" s="51"/>
      <c r="AB24" s="46">
        <v>346358</v>
      </c>
      <c r="AC24" s="46">
        <v>379642</v>
      </c>
      <c r="AD24" s="46">
        <v>355434</v>
      </c>
      <c r="AE24" s="46">
        <v>388935</v>
      </c>
      <c r="AF24" s="77">
        <f>AF18-AF23</f>
        <v>1528069</v>
      </c>
      <c r="AG24" s="49"/>
      <c r="AH24" s="46">
        <v>345933</v>
      </c>
      <c r="AI24" s="46">
        <v>371291</v>
      </c>
      <c r="AJ24" s="50"/>
      <c r="AK24" s="50"/>
      <c r="AL24" s="78"/>
      <c r="AM24" s="71"/>
      <c r="AN24" s="50"/>
      <c r="AO24" s="50"/>
      <c r="AP24" s="50"/>
      <c r="AQ24" s="50"/>
      <c r="AR24" s="78"/>
      <c r="AS24" s="71"/>
      <c r="AT24" s="78"/>
      <c r="AU24" s="72"/>
      <c r="AV24" s="78"/>
      <c r="AW24" s="72"/>
      <c r="AX24" s="78"/>
    </row>
    <row r="25" spans="1:50" s="54" customFormat="1" ht="14.25" customHeight="1">
      <c r="A25" s="55"/>
      <c r="B25" s="80"/>
      <c r="C25" s="23"/>
      <c r="D25" s="46"/>
      <c r="E25" s="46"/>
      <c r="F25" s="46"/>
      <c r="G25" s="46"/>
      <c r="H25" s="692"/>
      <c r="I25" s="48"/>
      <c r="J25" s="46"/>
      <c r="K25" s="46"/>
      <c r="L25" s="46"/>
      <c r="M25" s="46"/>
      <c r="N25" s="66"/>
      <c r="O25" s="48"/>
      <c r="P25" s="46"/>
      <c r="Q25" s="46"/>
      <c r="R25" s="46"/>
      <c r="S25" s="46"/>
      <c r="T25" s="66"/>
      <c r="U25" s="48"/>
      <c r="V25" s="46"/>
      <c r="W25" s="46"/>
      <c r="X25" s="46"/>
      <c r="Y25" s="46"/>
      <c r="Z25" s="66"/>
      <c r="AA25" s="51"/>
      <c r="AB25" s="46"/>
      <c r="AC25" s="46"/>
      <c r="AD25" s="46"/>
      <c r="AE25" s="46"/>
      <c r="AF25" s="66"/>
      <c r="AG25" s="49"/>
      <c r="AH25" s="46"/>
      <c r="AI25" s="46"/>
      <c r="AJ25" s="50"/>
      <c r="AK25" s="50"/>
      <c r="AL25" s="68"/>
      <c r="AM25" s="71"/>
      <c r="AN25" s="50"/>
      <c r="AO25" s="50"/>
      <c r="AP25" s="50"/>
      <c r="AQ25" s="50"/>
      <c r="AR25" s="68"/>
      <c r="AS25" s="71"/>
      <c r="AT25" s="68"/>
      <c r="AU25" s="72"/>
      <c r="AV25" s="68"/>
      <c r="AW25" s="72"/>
      <c r="AX25" s="68"/>
    </row>
    <row r="26" spans="1:50" s="54" customFormat="1" ht="14.25" customHeight="1">
      <c r="A26" s="44" t="s">
        <v>38</v>
      </c>
      <c r="B26" s="65" t="s">
        <v>597</v>
      </c>
      <c r="C26" s="21"/>
      <c r="D26" s="46"/>
      <c r="E26" s="46"/>
      <c r="F26" s="46"/>
      <c r="G26" s="46"/>
      <c r="H26" s="66"/>
      <c r="I26" s="48"/>
      <c r="J26" s="46"/>
      <c r="K26" s="46"/>
      <c r="L26" s="46"/>
      <c r="M26" s="46"/>
      <c r="N26" s="66"/>
      <c r="O26" s="48"/>
      <c r="P26" s="46"/>
      <c r="Q26" s="46"/>
      <c r="R26" s="46"/>
      <c r="S26" s="46"/>
      <c r="T26" s="66"/>
      <c r="U26" s="48"/>
      <c r="V26" s="46"/>
      <c r="W26" s="46"/>
      <c r="X26" s="46"/>
      <c r="Y26" s="46"/>
      <c r="Z26" s="66"/>
      <c r="AA26" s="81"/>
      <c r="AB26" s="46"/>
      <c r="AC26" s="46"/>
      <c r="AD26" s="46"/>
      <c r="AE26" s="46"/>
      <c r="AF26" s="66"/>
      <c r="AG26" s="82"/>
      <c r="AH26" s="46"/>
      <c r="AI26" s="46"/>
      <c r="AJ26" s="50"/>
      <c r="AK26" s="50"/>
      <c r="AL26" s="68"/>
      <c r="AM26" s="81"/>
      <c r="AN26" s="50"/>
      <c r="AO26" s="50"/>
      <c r="AP26" s="50"/>
      <c r="AQ26" s="50"/>
      <c r="AR26" s="68"/>
      <c r="AS26" s="81"/>
      <c r="AT26" s="68"/>
      <c r="AU26" s="83"/>
      <c r="AV26" s="68"/>
      <c r="AW26" s="83"/>
      <c r="AX26" s="68"/>
    </row>
    <row r="27" spans="1:50" s="54" customFormat="1" ht="14.25" customHeight="1">
      <c r="A27" s="84"/>
      <c r="B27" s="70" t="s">
        <v>598</v>
      </c>
      <c r="C27" s="26"/>
      <c r="D27" s="46">
        <v>117343</v>
      </c>
      <c r="E27" s="46">
        <v>84213</v>
      </c>
      <c r="F27" s="46">
        <v>101430</v>
      </c>
      <c r="G27" s="46">
        <v>118379</v>
      </c>
      <c r="H27" s="66">
        <v>421365</v>
      </c>
      <c r="I27" s="48"/>
      <c r="J27" s="46">
        <v>124525</v>
      </c>
      <c r="K27" s="46">
        <v>136101</v>
      </c>
      <c r="L27" s="46">
        <v>144724</v>
      </c>
      <c r="M27" s="46">
        <v>137383</v>
      </c>
      <c r="N27" s="66">
        <v>542733</v>
      </c>
      <c r="O27" s="48"/>
      <c r="P27" s="46">
        <v>159329</v>
      </c>
      <c r="Q27" s="46">
        <v>160451</v>
      </c>
      <c r="R27" s="46">
        <v>170060</v>
      </c>
      <c r="S27" s="46">
        <v>169333</v>
      </c>
      <c r="T27" s="66">
        <v>659173</v>
      </c>
      <c r="U27" s="48"/>
      <c r="V27" s="46">
        <v>180460</v>
      </c>
      <c r="W27" s="46">
        <v>172691</v>
      </c>
      <c r="X27" s="46">
        <v>163152</v>
      </c>
      <c r="Y27" s="46">
        <v>158039</v>
      </c>
      <c r="Z27" s="66">
        <v>674342</v>
      </c>
      <c r="AA27" s="81"/>
      <c r="AB27" s="46">
        <v>173638</v>
      </c>
      <c r="AC27" s="46">
        <v>166938</v>
      </c>
      <c r="AD27" s="46">
        <v>148696</v>
      </c>
      <c r="AE27" s="46">
        <v>146056</v>
      </c>
      <c r="AF27" s="66">
        <v>635328</v>
      </c>
      <c r="AG27" s="82"/>
      <c r="AH27" s="46">
        <v>170461</v>
      </c>
      <c r="AI27" s="46">
        <v>181421</v>
      </c>
      <c r="AJ27" s="50"/>
      <c r="AK27" s="50"/>
      <c r="AL27" s="68"/>
      <c r="AM27" s="81"/>
      <c r="AN27" s="50"/>
      <c r="AO27" s="50"/>
      <c r="AP27" s="50"/>
      <c r="AQ27" s="50"/>
      <c r="AR27" s="68"/>
      <c r="AS27" s="81"/>
      <c r="AT27" s="68"/>
      <c r="AU27" s="83"/>
      <c r="AV27" s="68"/>
      <c r="AW27" s="83"/>
      <c r="AX27" s="68"/>
    </row>
    <row r="28" spans="1:50" s="54" customFormat="1" ht="14.25" customHeight="1">
      <c r="A28" s="55"/>
      <c r="B28" s="70" t="s">
        <v>599</v>
      </c>
      <c r="C28" s="23"/>
      <c r="D28" s="46">
        <v>26599</v>
      </c>
      <c r="E28" s="46">
        <v>27611</v>
      </c>
      <c r="F28" s="46">
        <v>27384</v>
      </c>
      <c r="G28" s="46">
        <v>28938</v>
      </c>
      <c r="H28" s="66">
        <f>SUM(D28:G28)</f>
        <v>110532</v>
      </c>
      <c r="I28" s="48"/>
      <c r="J28" s="46">
        <v>30432</v>
      </c>
      <c r="K28" s="46">
        <v>29610</v>
      </c>
      <c r="L28" s="46">
        <v>30630</v>
      </c>
      <c r="M28" s="46">
        <v>34571</v>
      </c>
      <c r="N28" s="66">
        <f>SUM(J28:M28)</f>
        <v>125243</v>
      </c>
      <c r="O28" s="48"/>
      <c r="P28" s="46">
        <v>46742</v>
      </c>
      <c r="Q28" s="46">
        <v>29035</v>
      </c>
      <c r="R28" s="46">
        <v>31140</v>
      </c>
      <c r="S28" s="46">
        <v>31144</v>
      </c>
      <c r="T28" s="66">
        <f>SUM(P28:S28)</f>
        <v>138061</v>
      </c>
      <c r="U28" s="48"/>
      <c r="V28" s="46">
        <v>34947</v>
      </c>
      <c r="W28" s="46">
        <v>30830</v>
      </c>
      <c r="X28" s="46">
        <v>33281</v>
      </c>
      <c r="Y28" s="46">
        <v>33546</v>
      </c>
      <c r="Z28" s="66">
        <f>SUM(V28:Y28)</f>
        <v>132604</v>
      </c>
      <c r="AA28" s="51"/>
      <c r="AB28" s="46">
        <v>32410</v>
      </c>
      <c r="AC28" s="46">
        <v>31646</v>
      </c>
      <c r="AD28" s="46">
        <v>30780</v>
      </c>
      <c r="AE28" s="46">
        <v>32338</v>
      </c>
      <c r="AF28" s="66">
        <f>SUM(AB28:AE28)</f>
        <v>127174</v>
      </c>
      <c r="AG28" s="49"/>
      <c r="AH28" s="46">
        <v>32145</v>
      </c>
      <c r="AI28" s="46">
        <v>32190</v>
      </c>
      <c r="AJ28" s="50"/>
      <c r="AK28" s="50"/>
      <c r="AL28" s="68"/>
      <c r="AM28" s="71"/>
      <c r="AN28" s="50"/>
      <c r="AO28" s="50"/>
      <c r="AP28" s="50"/>
      <c r="AQ28" s="50"/>
      <c r="AR28" s="68"/>
      <c r="AS28" s="71"/>
      <c r="AT28" s="68"/>
      <c r="AU28" s="72"/>
      <c r="AV28" s="68"/>
      <c r="AW28" s="72"/>
      <c r="AX28" s="68"/>
    </row>
    <row r="29" spans="1:50" s="54" customFormat="1" ht="14.25" customHeight="1">
      <c r="A29" s="73"/>
      <c r="B29" s="70" t="s">
        <v>600</v>
      </c>
      <c r="C29" s="21"/>
      <c r="D29" s="46">
        <v>0</v>
      </c>
      <c r="E29" s="46">
        <v>0</v>
      </c>
      <c r="F29" s="46">
        <v>0</v>
      </c>
      <c r="G29" s="46">
        <v>0</v>
      </c>
      <c r="H29" s="66">
        <v>35300</v>
      </c>
      <c r="I29" s="48"/>
      <c r="J29" s="46">
        <v>0</v>
      </c>
      <c r="K29" s="46">
        <v>0</v>
      </c>
      <c r="L29" s="46">
        <v>0</v>
      </c>
      <c r="M29" s="46">
        <v>0</v>
      </c>
      <c r="N29" s="66">
        <v>41800</v>
      </c>
      <c r="O29" s="48"/>
      <c r="P29" s="46">
        <v>0</v>
      </c>
      <c r="Q29" s="46">
        <v>0</v>
      </c>
      <c r="R29" s="46">
        <v>0</v>
      </c>
      <c r="S29" s="46">
        <v>0</v>
      </c>
      <c r="T29" s="66">
        <v>48900</v>
      </c>
      <c r="U29" s="48"/>
      <c r="V29" s="46">
        <v>0</v>
      </c>
      <c r="W29" s="46">
        <v>0</v>
      </c>
      <c r="X29" s="46">
        <v>0</v>
      </c>
      <c r="Y29" s="46">
        <v>0</v>
      </c>
      <c r="Z29" s="66">
        <v>53100</v>
      </c>
      <c r="AA29" s="81"/>
      <c r="AB29" s="46">
        <v>0</v>
      </c>
      <c r="AC29" s="46">
        <v>0</v>
      </c>
      <c r="AD29" s="46">
        <v>0</v>
      </c>
      <c r="AE29" s="46">
        <v>0</v>
      </c>
      <c r="AF29" s="66">
        <v>57700</v>
      </c>
      <c r="AG29" s="82"/>
      <c r="AH29" s="46">
        <v>0</v>
      </c>
      <c r="AI29" s="46">
        <v>0</v>
      </c>
      <c r="AJ29" s="50"/>
      <c r="AK29" s="50"/>
      <c r="AL29" s="68"/>
      <c r="AM29" s="81"/>
      <c r="AN29" s="50"/>
      <c r="AO29" s="50"/>
      <c r="AP29" s="50"/>
      <c r="AQ29" s="50"/>
      <c r="AR29" s="68"/>
      <c r="AS29" s="81"/>
      <c r="AT29" s="68"/>
      <c r="AU29" s="83"/>
      <c r="AV29" s="68"/>
      <c r="AW29" s="83"/>
      <c r="AX29" s="68"/>
    </row>
    <row r="30" spans="1:50" s="54" customFormat="1" ht="14.25" customHeight="1">
      <c r="A30" s="55"/>
      <c r="B30" s="70" t="s">
        <v>601</v>
      </c>
      <c r="C30" s="23"/>
      <c r="D30" s="46">
        <v>-1306</v>
      </c>
      <c r="E30" s="46">
        <v>-1074</v>
      </c>
      <c r="F30" s="46">
        <v>-574</v>
      </c>
      <c r="G30" s="46">
        <v>-3128</v>
      </c>
      <c r="H30" s="74">
        <v>-6082</v>
      </c>
      <c r="I30" s="48"/>
      <c r="J30" s="46">
        <v>-4761</v>
      </c>
      <c r="K30" s="46">
        <v>-10783</v>
      </c>
      <c r="L30" s="691">
        <f>-8636-90055</f>
        <v>-98691</v>
      </c>
      <c r="M30" s="46">
        <v>-944</v>
      </c>
      <c r="N30" s="74">
        <f>SUM(J30:M30)</f>
        <v>-115179</v>
      </c>
      <c r="O30" s="48"/>
      <c r="P30" s="46">
        <v>-14250</v>
      </c>
      <c r="Q30" s="46">
        <v>2280</v>
      </c>
      <c r="R30" s="46">
        <v>-3189</v>
      </c>
      <c r="S30" s="46">
        <v>1138</v>
      </c>
      <c r="T30" s="74">
        <f>SUM(P30:S30)</f>
        <v>-14021</v>
      </c>
      <c r="U30" s="48"/>
      <c r="V30" s="46">
        <v>-1304</v>
      </c>
      <c r="W30" s="46">
        <v>276</v>
      </c>
      <c r="X30" s="46">
        <v>-111</v>
      </c>
      <c r="Y30" s="46">
        <v>7494</v>
      </c>
      <c r="Z30" s="74">
        <v>3236</v>
      </c>
      <c r="AA30" s="51"/>
      <c r="AB30" s="46">
        <v>-1030</v>
      </c>
      <c r="AC30" s="46">
        <v>1165</v>
      </c>
      <c r="AD30" s="46">
        <v>1169</v>
      </c>
      <c r="AE30" s="46">
        <v>-4046</v>
      </c>
      <c r="AF30" s="74">
        <v>-2230</v>
      </c>
      <c r="AG30" s="49"/>
      <c r="AH30" s="46">
        <v>-5917</v>
      </c>
      <c r="AI30" s="46">
        <v>-5875</v>
      </c>
      <c r="AJ30" s="50"/>
      <c r="AK30" s="50"/>
      <c r="AL30" s="75"/>
      <c r="AM30" s="71"/>
      <c r="AN30" s="50"/>
      <c r="AO30" s="50"/>
      <c r="AP30" s="50"/>
      <c r="AQ30" s="50"/>
      <c r="AR30" s="75"/>
      <c r="AS30" s="71"/>
      <c r="AT30" s="75"/>
      <c r="AU30" s="72"/>
      <c r="AV30" s="75"/>
      <c r="AW30" s="72"/>
      <c r="AX30" s="75"/>
    </row>
    <row r="31" spans="1:50" s="54" customFormat="1" ht="14.25" customHeight="1">
      <c r="A31" s="73"/>
      <c r="B31" s="76" t="s">
        <v>602</v>
      </c>
      <c r="C31" s="21"/>
      <c r="D31" s="46">
        <v>142636</v>
      </c>
      <c r="E31" s="46">
        <v>110750</v>
      </c>
      <c r="F31" s="46">
        <v>128240</v>
      </c>
      <c r="G31" s="46">
        <v>144189</v>
      </c>
      <c r="H31" s="85">
        <f>SUM(H27:H30)</f>
        <v>561115</v>
      </c>
      <c r="I31" s="48"/>
      <c r="J31" s="46">
        <v>150196</v>
      </c>
      <c r="K31" s="46">
        <v>154928</v>
      </c>
      <c r="L31" s="46">
        <f>L27+L28+L30</f>
        <v>76663</v>
      </c>
      <c r="M31" s="46">
        <v>171010</v>
      </c>
      <c r="N31" s="85">
        <f>SUM(N27+N28+N29+N30)</f>
        <v>594597</v>
      </c>
      <c r="O31" s="48"/>
      <c r="P31" s="46">
        <v>191821</v>
      </c>
      <c r="Q31" s="46">
        <v>191766</v>
      </c>
      <c r="R31" s="46">
        <v>198011</v>
      </c>
      <c r="S31" s="46">
        <v>201615</v>
      </c>
      <c r="T31" s="85">
        <f>SUM(T27:T30)</f>
        <v>832113</v>
      </c>
      <c r="U31" s="48"/>
      <c r="V31" s="46">
        <v>214103</v>
      </c>
      <c r="W31" s="46">
        <v>203797</v>
      </c>
      <c r="X31" s="46">
        <v>196322</v>
      </c>
      <c r="Y31" s="46">
        <v>199079</v>
      </c>
      <c r="Z31" s="85">
        <f>SUM(Z27:Z30)</f>
        <v>863282</v>
      </c>
      <c r="AA31" s="81"/>
      <c r="AB31" s="46">
        <v>205018</v>
      </c>
      <c r="AC31" s="46">
        <v>199749</v>
      </c>
      <c r="AD31" s="46">
        <v>180645</v>
      </c>
      <c r="AE31" s="46">
        <v>174348</v>
      </c>
      <c r="AF31" s="85">
        <f>SUM(AF27:AF30)</f>
        <v>817972</v>
      </c>
      <c r="AG31" s="82"/>
      <c r="AH31" s="46">
        <v>196689</v>
      </c>
      <c r="AI31" s="46">
        <v>207736</v>
      </c>
      <c r="AJ31" s="46"/>
      <c r="AK31" s="46"/>
      <c r="AL31" s="361"/>
      <c r="AM31" s="81"/>
      <c r="AN31" s="46"/>
      <c r="AO31" s="46"/>
      <c r="AP31" s="46"/>
      <c r="AQ31" s="46"/>
      <c r="AR31" s="361"/>
      <c r="AS31" s="81"/>
      <c r="AT31" s="361"/>
      <c r="AU31" s="83"/>
      <c r="AV31" s="361"/>
      <c r="AW31" s="83"/>
      <c r="AX31" s="361"/>
    </row>
    <row r="32" spans="1:50" s="54" customFormat="1" ht="14.25" customHeight="1">
      <c r="A32" s="73"/>
      <c r="B32" s="76" t="s">
        <v>603</v>
      </c>
      <c r="C32" s="21"/>
      <c r="D32" s="46">
        <v>0</v>
      </c>
      <c r="E32" s="46">
        <v>0</v>
      </c>
      <c r="F32" s="46">
        <v>0</v>
      </c>
      <c r="G32" s="46">
        <v>0</v>
      </c>
      <c r="H32" s="74">
        <v>0</v>
      </c>
      <c r="I32" s="48"/>
      <c r="J32" s="46">
        <v>0</v>
      </c>
      <c r="K32" s="46">
        <v>0</v>
      </c>
      <c r="L32" s="46">
        <v>0</v>
      </c>
      <c r="M32" s="46">
        <v>0</v>
      </c>
      <c r="N32" s="74">
        <v>0</v>
      </c>
      <c r="O32" s="48"/>
      <c r="P32" s="46">
        <v>0</v>
      </c>
      <c r="Q32" s="46">
        <v>0</v>
      </c>
      <c r="R32" s="46">
        <v>0</v>
      </c>
      <c r="S32" s="46">
        <v>0</v>
      </c>
      <c r="T32" s="74">
        <v>0</v>
      </c>
      <c r="U32" s="48"/>
      <c r="V32" s="46">
        <v>0</v>
      </c>
      <c r="W32" s="46">
        <v>0</v>
      </c>
      <c r="X32" s="46">
        <v>0</v>
      </c>
      <c r="Y32" s="46">
        <v>0</v>
      </c>
      <c r="Z32" s="74">
        <v>0</v>
      </c>
      <c r="AA32" s="86"/>
      <c r="AB32" s="46">
        <v>0</v>
      </c>
      <c r="AC32" s="46">
        <v>0</v>
      </c>
      <c r="AD32" s="46">
        <v>0</v>
      </c>
      <c r="AE32" s="46">
        <v>0</v>
      </c>
      <c r="AF32" s="74">
        <v>0</v>
      </c>
      <c r="AG32" s="82"/>
      <c r="AH32" s="46">
        <v>0</v>
      </c>
      <c r="AI32" s="46">
        <v>0</v>
      </c>
      <c r="AJ32" s="50"/>
      <c r="AK32" s="50"/>
      <c r="AL32" s="75"/>
      <c r="AM32" s="86"/>
      <c r="AN32" s="50"/>
      <c r="AO32" s="50"/>
      <c r="AP32" s="50"/>
      <c r="AQ32" s="50"/>
      <c r="AR32" s="75"/>
      <c r="AS32" s="86"/>
      <c r="AT32" s="75"/>
      <c r="AU32" s="87"/>
      <c r="AV32" s="75"/>
      <c r="AW32" s="87"/>
      <c r="AX32" s="75"/>
    </row>
    <row r="33" spans="1:50" s="54" customFormat="1" ht="14.25" customHeight="1">
      <c r="A33" s="55"/>
      <c r="B33" s="79" t="s">
        <v>604</v>
      </c>
      <c r="C33" s="23"/>
      <c r="D33" s="46">
        <v>107554</v>
      </c>
      <c r="E33" s="46">
        <v>42376</v>
      </c>
      <c r="F33" s="46">
        <v>94509</v>
      </c>
      <c r="G33" s="46">
        <v>111794</v>
      </c>
      <c r="H33" s="74">
        <f>H24-H31</f>
        <v>356233</v>
      </c>
      <c r="I33" s="48"/>
      <c r="J33" s="46">
        <v>125678</v>
      </c>
      <c r="K33" s="46">
        <v>148798</v>
      </c>
      <c r="L33" s="46">
        <f>L24-L31</f>
        <v>222964</v>
      </c>
      <c r="M33" s="46">
        <v>144623</v>
      </c>
      <c r="N33" s="74">
        <f>N24-N31</f>
        <v>642063</v>
      </c>
      <c r="O33" s="48"/>
      <c r="P33" s="46">
        <v>138689</v>
      </c>
      <c r="Q33" s="46">
        <v>168976</v>
      </c>
      <c r="R33" s="46">
        <v>167221</v>
      </c>
      <c r="S33" s="46">
        <v>188455</v>
      </c>
      <c r="T33" s="74">
        <f>T24-T31</f>
        <v>663341</v>
      </c>
      <c r="U33" s="48"/>
      <c r="V33" s="46">
        <v>164632</v>
      </c>
      <c r="W33" s="46">
        <v>189439</v>
      </c>
      <c r="X33" s="46">
        <v>179000</v>
      </c>
      <c r="Y33" s="46">
        <v>187690</v>
      </c>
      <c r="Z33" s="74">
        <f>Z24-Z31</f>
        <v>723880</v>
      </c>
      <c r="AA33" s="51"/>
      <c r="AB33" s="46">
        <v>141340</v>
      </c>
      <c r="AC33" s="46">
        <v>179893</v>
      </c>
      <c r="AD33" s="46">
        <v>174789</v>
      </c>
      <c r="AE33" s="46">
        <v>214587</v>
      </c>
      <c r="AF33" s="74">
        <f>AF24-AF31</f>
        <v>710097</v>
      </c>
      <c r="AG33" s="49"/>
      <c r="AH33" s="46">
        <v>149244</v>
      </c>
      <c r="AI33" s="46">
        <v>163555</v>
      </c>
      <c r="AJ33" s="50"/>
      <c r="AK33" s="50"/>
      <c r="AL33" s="75"/>
      <c r="AM33" s="71"/>
      <c r="AN33" s="50"/>
      <c r="AO33" s="50"/>
      <c r="AP33" s="50"/>
      <c r="AQ33" s="50"/>
      <c r="AR33" s="75"/>
      <c r="AS33" s="71"/>
      <c r="AT33" s="75"/>
      <c r="AU33" s="72"/>
      <c r="AV33" s="75"/>
      <c r="AW33" s="72"/>
      <c r="AX33" s="75"/>
    </row>
    <row r="34" spans="1:50" s="54" customFormat="1" ht="14.25" customHeight="1">
      <c r="A34" s="73"/>
      <c r="B34" s="73"/>
      <c r="C34" s="21"/>
      <c r="D34" s="46"/>
      <c r="E34" s="46"/>
      <c r="F34" s="46"/>
      <c r="G34" s="46"/>
      <c r="H34" s="66"/>
      <c r="I34" s="48"/>
      <c r="J34" s="46"/>
      <c r="K34" s="46"/>
      <c r="L34" s="46"/>
      <c r="M34" s="46"/>
      <c r="N34" s="66"/>
      <c r="O34" s="48"/>
      <c r="P34" s="46"/>
      <c r="Q34" s="46"/>
      <c r="R34" s="46"/>
      <c r="S34" s="46"/>
      <c r="T34" s="66"/>
      <c r="U34" s="48"/>
      <c r="V34" s="46"/>
      <c r="W34" s="46"/>
      <c r="X34" s="46"/>
      <c r="Y34" s="46"/>
      <c r="Z34" s="66"/>
      <c r="AA34" s="81"/>
      <c r="AB34" s="46"/>
      <c r="AC34" s="46"/>
      <c r="AD34" s="46"/>
      <c r="AE34" s="46"/>
      <c r="AF34" s="66"/>
      <c r="AG34" s="82"/>
      <c r="AH34" s="46"/>
      <c r="AI34" s="46"/>
      <c r="AJ34" s="50"/>
      <c r="AK34" s="50"/>
      <c r="AL34" s="68"/>
      <c r="AM34" s="88"/>
      <c r="AN34" s="50"/>
      <c r="AO34" s="50"/>
      <c r="AP34" s="50"/>
      <c r="AQ34" s="50"/>
      <c r="AR34" s="68"/>
      <c r="AS34" s="88"/>
      <c r="AT34" s="68"/>
      <c r="AU34" s="89"/>
      <c r="AV34" s="68"/>
      <c r="AW34" s="89"/>
      <c r="AX34" s="68"/>
    </row>
    <row r="35" spans="1:50" s="54" customFormat="1" ht="14.25" customHeight="1">
      <c r="A35" s="44" t="s">
        <v>38</v>
      </c>
      <c r="B35" s="65" t="s">
        <v>605</v>
      </c>
      <c r="C35" s="23"/>
      <c r="D35" s="46"/>
      <c r="E35" s="46"/>
      <c r="F35" s="46"/>
      <c r="G35" s="46"/>
      <c r="H35" s="66"/>
      <c r="I35" s="48"/>
      <c r="J35" s="46"/>
      <c r="K35" s="46"/>
      <c r="L35" s="46"/>
      <c r="M35" s="46"/>
      <c r="N35" s="66"/>
      <c r="O35" s="48"/>
      <c r="P35" s="46"/>
      <c r="Q35" s="46"/>
      <c r="R35" s="46"/>
      <c r="S35" s="46"/>
      <c r="T35" s="66"/>
      <c r="U35" s="48"/>
      <c r="V35" s="46"/>
      <c r="W35" s="46"/>
      <c r="X35" s="46"/>
      <c r="Y35" s="46"/>
      <c r="Z35" s="66"/>
      <c r="AA35" s="51"/>
      <c r="AB35" s="46"/>
      <c r="AC35" s="46"/>
      <c r="AD35" s="46"/>
      <c r="AE35" s="46"/>
      <c r="AF35" s="66"/>
      <c r="AG35" s="49"/>
      <c r="AH35" s="46"/>
      <c r="AI35" s="46"/>
      <c r="AJ35" s="50"/>
      <c r="AK35" s="50"/>
      <c r="AL35" s="68"/>
      <c r="AM35" s="71"/>
      <c r="AN35" s="50"/>
      <c r="AO35" s="50"/>
      <c r="AP35" s="50"/>
      <c r="AQ35" s="50"/>
      <c r="AR35" s="68"/>
      <c r="AS35" s="71"/>
      <c r="AT35" s="68"/>
      <c r="AU35" s="72"/>
      <c r="AV35" s="68"/>
      <c r="AW35" s="72"/>
      <c r="AX35" s="68"/>
    </row>
    <row r="36" spans="1:50" s="54" customFormat="1" ht="14.25" customHeight="1">
      <c r="A36" s="44"/>
      <c r="B36" s="70" t="s">
        <v>606</v>
      </c>
      <c r="C36" s="23"/>
      <c r="D36" s="46">
        <v>15713</v>
      </c>
      <c r="E36" s="46">
        <v>21750</v>
      </c>
      <c r="F36" s="46">
        <v>18418</v>
      </c>
      <c r="G36" s="46">
        <v>22736</v>
      </c>
      <c r="H36" s="66">
        <v>78617</v>
      </c>
      <c r="I36" s="48"/>
      <c r="J36" s="46">
        <v>16067</v>
      </c>
      <c r="K36" s="46">
        <v>14222</v>
      </c>
      <c r="L36" s="46">
        <v>13192</v>
      </c>
      <c r="M36" s="46">
        <v>13676</v>
      </c>
      <c r="N36" s="66">
        <v>57157</v>
      </c>
      <c r="O36" s="48"/>
      <c r="P36" s="46">
        <v>17654</v>
      </c>
      <c r="Q36" s="46">
        <v>20842</v>
      </c>
      <c r="R36" s="46">
        <v>24067</v>
      </c>
      <c r="S36" s="46">
        <v>26414</v>
      </c>
      <c r="T36" s="66">
        <v>88977</v>
      </c>
      <c r="U36" s="48"/>
      <c r="V36" s="46">
        <v>29462</v>
      </c>
      <c r="W36" s="46">
        <v>31529</v>
      </c>
      <c r="X36" s="46">
        <v>31080</v>
      </c>
      <c r="Y36" s="46">
        <v>28277</v>
      </c>
      <c r="Z36" s="66">
        <v>120348</v>
      </c>
      <c r="AA36" s="51"/>
      <c r="AB36" s="46">
        <v>26274</v>
      </c>
      <c r="AC36" s="46">
        <v>24566</v>
      </c>
      <c r="AD36" s="46">
        <v>21399</v>
      </c>
      <c r="AE36" s="46">
        <v>19990</v>
      </c>
      <c r="AF36" s="66">
        <v>92229</v>
      </c>
      <c r="AG36" s="49"/>
      <c r="AH36" s="46">
        <v>18364</v>
      </c>
      <c r="AI36" s="46">
        <v>19844</v>
      </c>
      <c r="AJ36" s="50"/>
      <c r="AK36" s="50"/>
      <c r="AL36" s="68"/>
      <c r="AM36" s="71"/>
      <c r="AN36" s="50"/>
      <c r="AO36" s="50"/>
      <c r="AP36" s="50"/>
      <c r="AQ36" s="50"/>
      <c r="AR36" s="68"/>
      <c r="AS36" s="71"/>
      <c r="AT36" s="68"/>
      <c r="AU36" s="72"/>
      <c r="AV36" s="68"/>
      <c r="AW36" s="72"/>
      <c r="AX36" s="68"/>
    </row>
    <row r="37" spans="1:50" s="54" customFormat="1" ht="14.25" customHeight="1">
      <c r="A37" s="44"/>
      <c r="B37" s="70" t="s">
        <v>607</v>
      </c>
      <c r="C37" s="23"/>
      <c r="D37" s="46">
        <v>0</v>
      </c>
      <c r="E37" s="46">
        <v>0</v>
      </c>
      <c r="F37" s="46">
        <v>0</v>
      </c>
      <c r="G37" s="46">
        <v>0</v>
      </c>
      <c r="H37" s="66">
        <v>0</v>
      </c>
      <c r="I37" s="48"/>
      <c r="J37" s="46">
        <v>0</v>
      </c>
      <c r="K37" s="46">
        <v>0</v>
      </c>
      <c r="L37" s="46">
        <v>0</v>
      </c>
      <c r="M37" s="46">
        <v>0</v>
      </c>
      <c r="N37" s="66">
        <v>0</v>
      </c>
      <c r="O37" s="48"/>
      <c r="P37" s="46">
        <v>0</v>
      </c>
      <c r="Q37" s="46">
        <v>0</v>
      </c>
      <c r="R37" s="46">
        <v>0</v>
      </c>
      <c r="S37" s="46">
        <v>0</v>
      </c>
      <c r="T37" s="66">
        <v>0</v>
      </c>
      <c r="U37" s="48"/>
      <c r="V37" s="46">
        <v>0</v>
      </c>
      <c r="W37" s="46">
        <v>0</v>
      </c>
      <c r="X37" s="46">
        <v>0</v>
      </c>
      <c r="Y37" s="46">
        <v>0</v>
      </c>
      <c r="Z37" s="66">
        <v>0</v>
      </c>
      <c r="AA37" s="51"/>
      <c r="AB37" s="46">
        <v>0</v>
      </c>
      <c r="AC37" s="46">
        <v>0</v>
      </c>
      <c r="AD37" s="46">
        <v>0</v>
      </c>
      <c r="AE37" s="46">
        <v>0</v>
      </c>
      <c r="AF37" s="66">
        <v>0</v>
      </c>
      <c r="AG37" s="49"/>
      <c r="AH37" s="46">
        <v>0</v>
      </c>
      <c r="AI37" s="46">
        <v>0</v>
      </c>
      <c r="AJ37" s="50"/>
      <c r="AK37" s="50"/>
      <c r="AL37" s="68"/>
      <c r="AM37" s="71"/>
      <c r="AN37" s="50"/>
      <c r="AO37" s="50"/>
      <c r="AP37" s="50"/>
      <c r="AQ37" s="50"/>
      <c r="AR37" s="68"/>
      <c r="AS37" s="71"/>
      <c r="AT37" s="68"/>
      <c r="AU37" s="72"/>
      <c r="AV37" s="68"/>
      <c r="AW37" s="72"/>
      <c r="AX37" s="68"/>
    </row>
    <row r="38" spans="1:50" s="54" customFormat="1" ht="14.25" customHeight="1">
      <c r="A38" s="55" t="s">
        <v>38</v>
      </c>
      <c r="B38" s="76" t="s">
        <v>608</v>
      </c>
      <c r="C38" s="23"/>
      <c r="D38" s="46">
        <v>15713</v>
      </c>
      <c r="E38" s="46">
        <v>21750</v>
      </c>
      <c r="F38" s="46">
        <v>18418</v>
      </c>
      <c r="G38" s="46">
        <v>22736</v>
      </c>
      <c r="H38" s="66">
        <v>78617</v>
      </c>
      <c r="I38" s="48"/>
      <c r="J38" s="46">
        <v>16067</v>
      </c>
      <c r="K38" s="46">
        <v>14222</v>
      </c>
      <c r="L38" s="46">
        <v>13192</v>
      </c>
      <c r="M38" s="46">
        <v>13676</v>
      </c>
      <c r="N38" s="66">
        <v>57157</v>
      </c>
      <c r="O38" s="48"/>
      <c r="P38" s="46">
        <v>17654</v>
      </c>
      <c r="Q38" s="46">
        <v>20842</v>
      </c>
      <c r="R38" s="46">
        <v>24067</v>
      </c>
      <c r="S38" s="46">
        <v>26414</v>
      </c>
      <c r="T38" s="66">
        <v>88977</v>
      </c>
      <c r="U38" s="48"/>
      <c r="V38" s="46">
        <v>29462</v>
      </c>
      <c r="W38" s="46">
        <v>31529</v>
      </c>
      <c r="X38" s="46">
        <v>31080</v>
      </c>
      <c r="Y38" s="46">
        <v>28277</v>
      </c>
      <c r="Z38" s="66">
        <v>120348</v>
      </c>
      <c r="AA38" s="51"/>
      <c r="AB38" s="46">
        <v>26274</v>
      </c>
      <c r="AC38" s="46">
        <v>24566</v>
      </c>
      <c r="AD38" s="46">
        <v>21399</v>
      </c>
      <c r="AE38" s="46">
        <v>19990</v>
      </c>
      <c r="AF38" s="66">
        <v>92229</v>
      </c>
      <c r="AG38" s="49"/>
      <c r="AH38" s="46">
        <v>18364</v>
      </c>
      <c r="AI38" s="46">
        <v>19844</v>
      </c>
      <c r="AJ38" s="50"/>
      <c r="AK38" s="50"/>
      <c r="AL38" s="68"/>
      <c r="AM38" s="71"/>
      <c r="AN38" s="50"/>
      <c r="AO38" s="50"/>
      <c r="AP38" s="50"/>
      <c r="AQ38" s="50"/>
      <c r="AR38" s="68"/>
      <c r="AS38" s="71"/>
      <c r="AT38" s="68"/>
      <c r="AU38" s="72"/>
      <c r="AV38" s="68"/>
      <c r="AW38" s="72"/>
      <c r="AX38" s="68"/>
    </row>
    <row r="39" spans="1:50" s="54" customFormat="1" ht="14.25" customHeight="1">
      <c r="A39" s="73"/>
      <c r="B39" s="76" t="s">
        <v>609</v>
      </c>
      <c r="C39" s="21"/>
      <c r="D39" s="46">
        <v>0</v>
      </c>
      <c r="E39" s="46">
        <v>0</v>
      </c>
      <c r="F39" s="46">
        <v>0</v>
      </c>
      <c r="G39" s="46">
        <v>0</v>
      </c>
      <c r="H39" s="66">
        <v>2900</v>
      </c>
      <c r="I39" s="48"/>
      <c r="J39" s="46">
        <v>0</v>
      </c>
      <c r="K39" s="46">
        <v>0</v>
      </c>
      <c r="L39" s="46">
        <v>0</v>
      </c>
      <c r="M39" s="46">
        <v>0</v>
      </c>
      <c r="N39" s="66">
        <v>300</v>
      </c>
      <c r="O39" s="48"/>
      <c r="P39" s="46">
        <v>0</v>
      </c>
      <c r="Q39" s="46">
        <v>0</v>
      </c>
      <c r="R39" s="46">
        <v>0</v>
      </c>
      <c r="S39" s="46">
        <v>0</v>
      </c>
      <c r="T39" s="66">
        <v>28100</v>
      </c>
      <c r="U39" s="48"/>
      <c r="V39" s="46">
        <v>0</v>
      </c>
      <c r="W39" s="46">
        <v>0</v>
      </c>
      <c r="X39" s="46">
        <v>0</v>
      </c>
      <c r="Y39" s="46">
        <v>0</v>
      </c>
      <c r="Z39" s="66">
        <v>8700</v>
      </c>
      <c r="AA39" s="81"/>
      <c r="AB39" s="46">
        <v>0</v>
      </c>
      <c r="AC39" s="46">
        <v>0</v>
      </c>
      <c r="AD39" s="46">
        <v>0</v>
      </c>
      <c r="AE39" s="46">
        <v>0</v>
      </c>
      <c r="AF39" s="66">
        <v>1300</v>
      </c>
      <c r="AG39" s="82"/>
      <c r="AH39" s="46">
        <v>0</v>
      </c>
      <c r="AI39" s="46">
        <v>0</v>
      </c>
      <c r="AJ39" s="50"/>
      <c r="AK39" s="50"/>
      <c r="AL39" s="68"/>
      <c r="AM39" s="81"/>
      <c r="AN39" s="50"/>
      <c r="AO39" s="50"/>
      <c r="AP39" s="50"/>
      <c r="AQ39" s="50"/>
      <c r="AR39" s="68"/>
      <c r="AS39" s="81"/>
      <c r="AT39" s="68"/>
      <c r="AU39" s="83"/>
      <c r="AV39" s="68"/>
      <c r="AW39" s="83"/>
      <c r="AX39" s="68"/>
    </row>
    <row r="40" spans="1:50" s="54" customFormat="1" ht="14.25" customHeight="1">
      <c r="A40" s="55"/>
      <c r="B40" s="76" t="s">
        <v>610</v>
      </c>
      <c r="C40" s="23"/>
      <c r="D40" s="46">
        <v>-6763</v>
      </c>
      <c r="E40" s="46">
        <v>-9384</v>
      </c>
      <c r="F40" s="46">
        <v>-10443</v>
      </c>
      <c r="G40" s="46">
        <v>-10335</v>
      </c>
      <c r="H40" s="74">
        <v>-39825</v>
      </c>
      <c r="I40" s="48"/>
      <c r="J40" s="46">
        <v>-13064</v>
      </c>
      <c r="K40" s="46">
        <v>-12001</v>
      </c>
      <c r="L40" s="46">
        <v>-10569</v>
      </c>
      <c r="M40" s="46">
        <v>-11035</v>
      </c>
      <c r="N40" s="74">
        <v>-46969</v>
      </c>
      <c r="O40" s="48"/>
      <c r="P40" s="46">
        <v>-7455</v>
      </c>
      <c r="Q40" s="46">
        <v>-4896</v>
      </c>
      <c r="R40" s="46">
        <v>-1415</v>
      </c>
      <c r="S40" s="46">
        <v>-22</v>
      </c>
      <c r="T40" s="74">
        <v>-41888</v>
      </c>
      <c r="U40" s="48"/>
      <c r="V40" s="46">
        <v>-355</v>
      </c>
      <c r="W40" s="46">
        <v>-2901</v>
      </c>
      <c r="X40" s="46">
        <v>-1031</v>
      </c>
      <c r="Y40" s="46">
        <v>-571</v>
      </c>
      <c r="Z40" s="74">
        <v>-13558</v>
      </c>
      <c r="AA40" s="51"/>
      <c r="AB40" s="46">
        <v>-3978</v>
      </c>
      <c r="AC40" s="46">
        <v>-3634</v>
      </c>
      <c r="AD40" s="46">
        <v>-2637</v>
      </c>
      <c r="AE40" s="46">
        <v>-3112</v>
      </c>
      <c r="AF40" s="74">
        <v>-14661</v>
      </c>
      <c r="AG40" s="49"/>
      <c r="AH40" s="46">
        <v>777</v>
      </c>
      <c r="AI40" s="46">
        <v>2554</v>
      </c>
      <c r="AJ40" s="50"/>
      <c r="AK40" s="50"/>
      <c r="AL40" s="75"/>
      <c r="AM40" s="51"/>
      <c r="AN40" s="50"/>
      <c r="AO40" s="50"/>
      <c r="AP40" s="50"/>
      <c r="AQ40" s="50"/>
      <c r="AR40" s="75"/>
      <c r="AS40" s="51"/>
      <c r="AT40" s="75"/>
      <c r="AU40" s="53"/>
      <c r="AV40" s="75"/>
      <c r="AW40" s="53"/>
      <c r="AX40" s="75"/>
    </row>
    <row r="41" spans="1:50" s="54" customFormat="1" ht="14.25" customHeight="1">
      <c r="A41" s="73"/>
      <c r="B41" s="79" t="s">
        <v>611</v>
      </c>
      <c r="C41" s="21"/>
      <c r="D41" s="46">
        <v>8950</v>
      </c>
      <c r="E41" s="46">
        <v>12366</v>
      </c>
      <c r="F41" s="46">
        <v>7975</v>
      </c>
      <c r="G41" s="46">
        <v>12401</v>
      </c>
      <c r="H41" s="77">
        <v>41692</v>
      </c>
      <c r="I41" s="48"/>
      <c r="J41" s="46">
        <v>3003</v>
      </c>
      <c r="K41" s="46">
        <v>2221</v>
      </c>
      <c r="L41" s="46">
        <v>2623</v>
      </c>
      <c r="M41" s="46">
        <v>2641</v>
      </c>
      <c r="N41" s="77">
        <v>10488</v>
      </c>
      <c r="O41" s="48"/>
      <c r="P41" s="46">
        <v>10199</v>
      </c>
      <c r="Q41" s="46">
        <v>15946</v>
      </c>
      <c r="R41" s="46">
        <v>22652</v>
      </c>
      <c r="S41" s="46">
        <v>26392</v>
      </c>
      <c r="T41" s="77">
        <v>75189</v>
      </c>
      <c r="U41" s="48"/>
      <c r="V41" s="46">
        <v>29107</v>
      </c>
      <c r="W41" s="46">
        <v>28628</v>
      </c>
      <c r="X41" s="46">
        <v>30049</v>
      </c>
      <c r="Y41" s="46">
        <v>27706</v>
      </c>
      <c r="Z41" s="77">
        <v>115490</v>
      </c>
      <c r="AA41" s="86"/>
      <c r="AB41" s="46">
        <v>22296</v>
      </c>
      <c r="AC41" s="46">
        <v>20932</v>
      </c>
      <c r="AD41" s="46">
        <v>18762</v>
      </c>
      <c r="AE41" s="46">
        <v>16878</v>
      </c>
      <c r="AF41" s="77">
        <v>78868</v>
      </c>
      <c r="AG41" s="82"/>
      <c r="AH41" s="46">
        <v>19141</v>
      </c>
      <c r="AI41" s="46">
        <v>22398</v>
      </c>
      <c r="AJ41" s="50"/>
      <c r="AK41" s="50"/>
      <c r="AL41" s="78"/>
      <c r="AM41" s="81"/>
      <c r="AN41" s="50"/>
      <c r="AO41" s="50"/>
      <c r="AP41" s="50"/>
      <c r="AQ41" s="50"/>
      <c r="AR41" s="78"/>
      <c r="AS41" s="81"/>
      <c r="AT41" s="78"/>
      <c r="AU41" s="83"/>
      <c r="AV41" s="78"/>
      <c r="AW41" s="83"/>
      <c r="AX41" s="78"/>
    </row>
    <row r="42" spans="1:50" s="54" customFormat="1" ht="14.25" customHeight="1">
      <c r="A42" s="84"/>
      <c r="B42" s="90" t="s">
        <v>535</v>
      </c>
      <c r="C42" s="22"/>
      <c r="D42" s="46">
        <v>98604</v>
      </c>
      <c r="E42" s="46">
        <v>30010</v>
      </c>
      <c r="F42" s="46">
        <v>86534</v>
      </c>
      <c r="G42" s="46">
        <v>99393</v>
      </c>
      <c r="H42" s="77">
        <v>314541</v>
      </c>
      <c r="I42" s="48"/>
      <c r="J42" s="46">
        <v>122675</v>
      </c>
      <c r="K42" s="46">
        <v>146577</v>
      </c>
      <c r="L42" s="46">
        <f>L33-L41</f>
        <v>220341</v>
      </c>
      <c r="M42" s="46">
        <v>141982</v>
      </c>
      <c r="N42" s="77">
        <v>631575</v>
      </c>
      <c r="O42" s="48"/>
      <c r="P42" s="46">
        <v>128490</v>
      </c>
      <c r="Q42" s="46">
        <v>153030</v>
      </c>
      <c r="R42" s="46">
        <v>144569</v>
      </c>
      <c r="S42" s="46">
        <v>162063</v>
      </c>
      <c r="T42" s="77">
        <v>588950</v>
      </c>
      <c r="U42" s="48"/>
      <c r="V42" s="46">
        <v>135525</v>
      </c>
      <c r="W42" s="46">
        <v>160811</v>
      </c>
      <c r="X42" s="46">
        <v>148951</v>
      </c>
      <c r="Y42" s="46">
        <v>159984</v>
      </c>
      <c r="Z42" s="77">
        <v>608390</v>
      </c>
      <c r="AA42" s="51"/>
      <c r="AB42" s="46">
        <v>119044</v>
      </c>
      <c r="AC42" s="46">
        <v>158961</v>
      </c>
      <c r="AD42" s="46">
        <v>156027</v>
      </c>
      <c r="AE42" s="46">
        <v>197709</v>
      </c>
      <c r="AF42" s="77">
        <v>631229</v>
      </c>
      <c r="AG42" s="49"/>
      <c r="AH42" s="46">
        <v>130103</v>
      </c>
      <c r="AI42" s="46">
        <v>141157</v>
      </c>
      <c r="AJ42" s="50"/>
      <c r="AK42" s="50"/>
      <c r="AL42" s="78"/>
      <c r="AM42" s="51"/>
      <c r="AN42" s="50"/>
      <c r="AO42" s="50"/>
      <c r="AP42" s="50"/>
      <c r="AQ42" s="50"/>
      <c r="AR42" s="78"/>
      <c r="AS42" s="51"/>
      <c r="AT42" s="78"/>
      <c r="AU42" s="53"/>
      <c r="AV42" s="78"/>
      <c r="AW42" s="53"/>
      <c r="AX42" s="78"/>
    </row>
    <row r="43" spans="1:50" s="54" customFormat="1" ht="14.25" customHeight="1">
      <c r="A43" s="73"/>
      <c r="B43" s="76"/>
      <c r="C43" s="21"/>
      <c r="D43" s="46"/>
      <c r="E43" s="46"/>
      <c r="F43" s="46"/>
      <c r="G43" s="46"/>
      <c r="H43" s="66"/>
      <c r="I43" s="48"/>
      <c r="J43" s="46"/>
      <c r="K43" s="46"/>
      <c r="L43" s="46"/>
      <c r="M43" s="46"/>
      <c r="N43" s="66"/>
      <c r="O43" s="48"/>
      <c r="P43" s="46"/>
      <c r="Q43" s="46"/>
      <c r="R43" s="46"/>
      <c r="S43" s="46"/>
      <c r="T43" s="66"/>
      <c r="U43" s="48"/>
      <c r="V43" s="46"/>
      <c r="W43" s="46"/>
      <c r="X43" s="46"/>
      <c r="Y43" s="46"/>
      <c r="Z43" s="66"/>
      <c r="AA43" s="51"/>
      <c r="AB43" s="46"/>
      <c r="AC43" s="46"/>
      <c r="AD43" s="46"/>
      <c r="AE43" s="46"/>
      <c r="AF43" s="66"/>
      <c r="AG43" s="49"/>
      <c r="AH43" s="46"/>
      <c r="AI43" s="46"/>
      <c r="AJ43" s="50"/>
      <c r="AK43" s="50"/>
      <c r="AL43" s="68"/>
      <c r="AM43" s="51"/>
      <c r="AN43" s="50"/>
      <c r="AO43" s="50"/>
      <c r="AP43" s="50"/>
      <c r="AQ43" s="50"/>
      <c r="AR43" s="68"/>
      <c r="AS43" s="51"/>
      <c r="AT43" s="68"/>
      <c r="AU43" s="53"/>
      <c r="AV43" s="68"/>
      <c r="AW43" s="53"/>
      <c r="AX43" s="68"/>
    </row>
    <row r="44" spans="1:50" s="54" customFormat="1" ht="14.25" customHeight="1">
      <c r="A44" s="44" t="s">
        <v>38</v>
      </c>
      <c r="B44" s="65" t="s">
        <v>612</v>
      </c>
      <c r="C44" s="21"/>
      <c r="D44" s="46"/>
      <c r="E44" s="46"/>
      <c r="F44" s="46"/>
      <c r="G44" s="46"/>
      <c r="H44" s="66"/>
      <c r="I44" s="48"/>
      <c r="J44" s="46"/>
      <c r="K44" s="46"/>
      <c r="L44" s="46"/>
      <c r="M44" s="46"/>
      <c r="N44" s="66"/>
      <c r="O44" s="48"/>
      <c r="P44" s="46"/>
      <c r="Q44" s="46"/>
      <c r="R44" s="46"/>
      <c r="S44" s="46"/>
      <c r="T44" s="66"/>
      <c r="U44" s="48"/>
      <c r="V44" s="46"/>
      <c r="W44" s="46"/>
      <c r="X44" s="46"/>
      <c r="Y44" s="46"/>
      <c r="Z44" s="66"/>
      <c r="AA44" s="51"/>
      <c r="AB44" s="46"/>
      <c r="AC44" s="46"/>
      <c r="AD44" s="46"/>
      <c r="AE44" s="46"/>
      <c r="AF44" s="66"/>
      <c r="AG44" s="49"/>
      <c r="AH44" s="46"/>
      <c r="AI44" s="46"/>
      <c r="AJ44" s="50"/>
      <c r="AK44" s="50"/>
      <c r="AL44" s="68"/>
      <c r="AM44" s="51"/>
      <c r="AN44" s="50"/>
      <c r="AO44" s="50"/>
      <c r="AP44" s="50"/>
      <c r="AQ44" s="50"/>
      <c r="AR44" s="68"/>
      <c r="AS44" s="51"/>
      <c r="AT44" s="68"/>
      <c r="AU44" s="53"/>
      <c r="AV44" s="68"/>
      <c r="AW44" s="53"/>
      <c r="AX44" s="68"/>
    </row>
    <row r="45" spans="1:50" s="54" customFormat="1" ht="14.25" customHeight="1">
      <c r="A45" s="84"/>
      <c r="B45" s="70" t="s">
        <v>536</v>
      </c>
      <c r="C45" s="22"/>
      <c r="D45" s="46">
        <v>23187.968199999999</v>
      </c>
      <c r="E45" s="46">
        <v>6271.0018</v>
      </c>
      <c r="F45" s="46">
        <v>19991.478999999999</v>
      </c>
      <c r="G45" s="46">
        <v>21488.890500000001</v>
      </c>
      <c r="H45" s="66">
        <v>70939.339500000002</v>
      </c>
      <c r="I45" s="48"/>
      <c r="J45" s="46">
        <v>29767.346799999999</v>
      </c>
      <c r="K45" s="46">
        <v>35770.820800000001</v>
      </c>
      <c r="L45" s="46">
        <v>30253.258699999998</v>
      </c>
      <c r="M45" s="46">
        <v>34798.3298</v>
      </c>
      <c r="N45" s="66">
        <v>130589.7561</v>
      </c>
      <c r="O45" s="48"/>
      <c r="P45" s="46">
        <v>30431.615699999998</v>
      </c>
      <c r="Q45" s="46">
        <v>38472.078800000003</v>
      </c>
      <c r="R45" s="46">
        <v>36057.478600000002</v>
      </c>
      <c r="S45" s="46">
        <v>28608.533100000001</v>
      </c>
      <c r="T45" s="66">
        <v>133569.70620000002</v>
      </c>
      <c r="U45" s="48"/>
      <c r="V45" s="46">
        <v>33724.901700000002</v>
      </c>
      <c r="W45" s="46">
        <v>40469.410799999998</v>
      </c>
      <c r="X45" s="46">
        <v>36873.8001</v>
      </c>
      <c r="Y45" s="46">
        <v>30407.705999999998</v>
      </c>
      <c r="Z45" s="66">
        <v>141475.8186</v>
      </c>
      <c r="AA45" s="71"/>
      <c r="AB45" s="46">
        <v>29303.9571</v>
      </c>
      <c r="AC45" s="46">
        <v>40184.419000000002</v>
      </c>
      <c r="AD45" s="46">
        <v>40855.345999999998</v>
      </c>
      <c r="AE45" s="46">
        <v>52610.554499999998</v>
      </c>
      <c r="AF45" s="66">
        <v>162954.27659999998</v>
      </c>
      <c r="AG45" s="49"/>
      <c r="AH45" s="46">
        <v>31179.9984</v>
      </c>
      <c r="AI45" s="46">
        <v>29037.977900000002</v>
      </c>
      <c r="AJ45" s="50"/>
      <c r="AK45" s="50"/>
      <c r="AL45" s="68"/>
      <c r="AM45" s="91"/>
      <c r="AN45" s="50"/>
      <c r="AO45" s="50"/>
      <c r="AP45" s="50"/>
      <c r="AQ45" s="50"/>
      <c r="AR45" s="68"/>
      <c r="AS45" s="71"/>
      <c r="AT45" s="68"/>
      <c r="AU45" s="72"/>
      <c r="AV45" s="68"/>
      <c r="AW45" s="72"/>
      <c r="AX45" s="68"/>
    </row>
    <row r="46" spans="1:50" s="54" customFormat="1" ht="14.25" customHeight="1">
      <c r="A46" s="84"/>
      <c r="B46" s="70" t="s">
        <v>613</v>
      </c>
      <c r="C46" s="22"/>
      <c r="D46" s="46">
        <v>0</v>
      </c>
      <c r="E46" s="46">
        <v>0</v>
      </c>
      <c r="F46" s="46">
        <v>0</v>
      </c>
      <c r="G46" s="46">
        <v>0</v>
      </c>
      <c r="H46" s="66">
        <v>0</v>
      </c>
      <c r="I46" s="48"/>
      <c r="J46" s="46">
        <v>0</v>
      </c>
      <c r="K46" s="46">
        <v>0</v>
      </c>
      <c r="L46" s="46">
        <v>-76500</v>
      </c>
      <c r="M46" s="46">
        <v>0</v>
      </c>
      <c r="N46" s="66">
        <f>SUM(J46:M46)</f>
        <v>-76500</v>
      </c>
      <c r="O46" s="48"/>
      <c r="P46" s="46">
        <v>0</v>
      </c>
      <c r="Q46" s="46">
        <v>0</v>
      </c>
      <c r="R46" s="46">
        <v>0</v>
      </c>
      <c r="S46" s="46">
        <v>0</v>
      </c>
      <c r="T46" s="66">
        <v>0</v>
      </c>
      <c r="U46" s="48"/>
      <c r="V46" s="46">
        <v>0</v>
      </c>
      <c r="W46" s="46">
        <v>0</v>
      </c>
      <c r="X46" s="46">
        <v>0</v>
      </c>
      <c r="Y46" s="46">
        <v>0</v>
      </c>
      <c r="Z46" s="66">
        <v>0</v>
      </c>
      <c r="AA46" s="51"/>
      <c r="AB46" s="46">
        <v>0</v>
      </c>
      <c r="AC46" s="46">
        <v>0</v>
      </c>
      <c r="AD46" s="46">
        <v>0</v>
      </c>
      <c r="AE46" s="46">
        <v>0</v>
      </c>
      <c r="AF46" s="66">
        <v>0</v>
      </c>
      <c r="AG46" s="49"/>
      <c r="AH46" s="46">
        <v>0</v>
      </c>
      <c r="AI46" s="46">
        <v>0</v>
      </c>
      <c r="AJ46" s="50"/>
      <c r="AK46" s="50"/>
      <c r="AL46" s="68"/>
      <c r="AM46" s="92"/>
      <c r="AN46" s="50"/>
      <c r="AO46" s="50"/>
      <c r="AP46" s="50"/>
      <c r="AQ46" s="50"/>
      <c r="AR46" s="68"/>
      <c r="AS46" s="51"/>
      <c r="AT46" s="68"/>
      <c r="AU46" s="53"/>
      <c r="AV46" s="68"/>
      <c r="AW46" s="53"/>
      <c r="AX46" s="68"/>
    </row>
    <row r="47" spans="1:50" s="54" customFormat="1" ht="14.25" customHeight="1" thickBot="1">
      <c r="A47" s="73"/>
      <c r="B47" s="70" t="s">
        <v>614</v>
      </c>
      <c r="C47" s="21"/>
      <c r="D47" s="46">
        <v>75416.031799999997</v>
      </c>
      <c r="E47" s="46">
        <v>23738.998200000002</v>
      </c>
      <c r="F47" s="46">
        <v>66542.520999999993</v>
      </c>
      <c r="G47" s="46">
        <v>77904.109500000006</v>
      </c>
      <c r="H47" s="93">
        <f>SUM(D47:G47)</f>
        <v>243601.6605</v>
      </c>
      <c r="I47" s="48"/>
      <c r="J47" s="46">
        <v>92907.653200000001</v>
      </c>
      <c r="K47" s="46">
        <v>110806.1792</v>
      </c>
      <c r="L47" s="46">
        <f>L42-L45+L46</f>
        <v>113587.74129999999</v>
      </c>
      <c r="M47" s="46">
        <v>107183.67019999999</v>
      </c>
      <c r="N47" s="93">
        <f>SUM(J47:M47)</f>
        <v>424485.2439</v>
      </c>
      <c r="O47" s="48"/>
      <c r="P47" s="46">
        <v>98058.384300000005</v>
      </c>
      <c r="Q47" s="46">
        <v>114557.9212</v>
      </c>
      <c r="R47" s="46">
        <v>108511.5214</v>
      </c>
      <c r="S47" s="46">
        <v>133454.4669</v>
      </c>
      <c r="T47" s="93">
        <v>454970.16850000003</v>
      </c>
      <c r="U47" s="48"/>
      <c r="V47" s="46">
        <v>101800.0983</v>
      </c>
      <c r="W47" s="46">
        <v>120341.5892</v>
      </c>
      <c r="X47" s="46">
        <v>112077.19990000001</v>
      </c>
      <c r="Y47" s="46">
        <v>129576.29399999999</v>
      </c>
      <c r="Z47" s="93">
        <v>466607.8824</v>
      </c>
      <c r="AA47" s="51"/>
      <c r="AB47" s="46">
        <v>89740.0429</v>
      </c>
      <c r="AC47" s="46">
        <v>118776.58100000001</v>
      </c>
      <c r="AD47" s="46">
        <v>115171.65399999999</v>
      </c>
      <c r="AE47" s="46">
        <v>145098.4455</v>
      </c>
      <c r="AF47" s="93">
        <v>468433.41269999999</v>
      </c>
      <c r="AG47" s="49"/>
      <c r="AH47" s="46">
        <v>98923.001600000003</v>
      </c>
      <c r="AI47" s="46">
        <v>112119.0221</v>
      </c>
      <c r="AJ47" s="50"/>
      <c r="AK47" s="50"/>
      <c r="AL47" s="94"/>
      <c r="AM47" s="92"/>
      <c r="AN47" s="50"/>
      <c r="AO47" s="50"/>
      <c r="AP47" s="50"/>
      <c r="AQ47" s="50"/>
      <c r="AR47" s="94"/>
      <c r="AS47" s="51"/>
      <c r="AT47" s="94"/>
      <c r="AU47" s="53"/>
      <c r="AV47" s="94"/>
      <c r="AW47" s="53"/>
      <c r="AX47" s="94"/>
    </row>
    <row r="48" spans="1:50" ht="14.25" customHeight="1">
      <c r="H48" s="312"/>
      <c r="J48" s="312"/>
      <c r="N48" s="312"/>
    </row>
    <row r="49" spans="1:50" s="54" customFormat="1" ht="14.25" customHeight="1">
      <c r="A49" s="44" t="s">
        <v>38</v>
      </c>
      <c r="B49" s="65" t="s">
        <v>615</v>
      </c>
      <c r="C49" s="23"/>
      <c r="D49" s="46"/>
      <c r="E49" s="46"/>
      <c r="F49" s="46"/>
      <c r="G49" s="46"/>
      <c r="H49" s="66"/>
      <c r="I49" s="48"/>
      <c r="J49" s="46"/>
      <c r="K49" s="46"/>
      <c r="L49" s="46"/>
      <c r="M49" s="46"/>
      <c r="N49" s="66"/>
      <c r="O49" s="48"/>
      <c r="P49" s="46"/>
      <c r="Q49" s="46"/>
      <c r="R49" s="46"/>
      <c r="S49" s="46"/>
      <c r="T49" s="66"/>
      <c r="U49" s="48"/>
      <c r="V49" s="46"/>
      <c r="W49" s="46"/>
      <c r="X49" s="46"/>
      <c r="Y49" s="46"/>
      <c r="Z49" s="66"/>
      <c r="AA49" s="48"/>
      <c r="AB49" s="46"/>
      <c r="AC49" s="46"/>
      <c r="AD49" s="46"/>
      <c r="AE49" s="46"/>
      <c r="AF49" s="66"/>
      <c r="AG49" s="95"/>
      <c r="AH49" s="46"/>
      <c r="AI49" s="46"/>
      <c r="AJ49" s="50"/>
      <c r="AK49" s="50"/>
      <c r="AL49" s="68"/>
      <c r="AM49" s="48"/>
      <c r="AN49" s="50"/>
      <c r="AO49" s="50"/>
      <c r="AP49" s="50"/>
      <c r="AQ49" s="50"/>
      <c r="AR49" s="68"/>
      <c r="AS49" s="48"/>
      <c r="AT49" s="68"/>
      <c r="AU49" s="96"/>
      <c r="AV49" s="68"/>
      <c r="AW49" s="96"/>
      <c r="AX49" s="68"/>
    </row>
    <row r="50" spans="1:50" s="54" customFormat="1" ht="14.25" customHeight="1">
      <c r="A50" s="73"/>
      <c r="B50" s="70" t="s">
        <v>616</v>
      </c>
      <c r="C50" s="21"/>
      <c r="D50" s="46">
        <v>0</v>
      </c>
      <c r="E50" s="46">
        <v>0</v>
      </c>
      <c r="F50" s="46">
        <v>0</v>
      </c>
      <c r="G50" s="46">
        <v>0</v>
      </c>
      <c r="H50" s="66">
        <v>0</v>
      </c>
      <c r="I50" s="48"/>
      <c r="J50" s="46">
        <v>0</v>
      </c>
      <c r="K50" s="46">
        <v>0</v>
      </c>
      <c r="L50" s="46">
        <v>0</v>
      </c>
      <c r="M50" s="46">
        <v>0</v>
      </c>
      <c r="N50" s="66">
        <v>0</v>
      </c>
      <c r="O50" s="48"/>
      <c r="P50" s="46">
        <v>0</v>
      </c>
      <c r="Q50" s="46">
        <v>0</v>
      </c>
      <c r="R50" s="46">
        <v>0</v>
      </c>
      <c r="S50" s="46">
        <v>0</v>
      </c>
      <c r="T50" s="66">
        <v>0</v>
      </c>
      <c r="U50" s="48"/>
      <c r="V50" s="46">
        <v>0</v>
      </c>
      <c r="W50" s="46">
        <v>0</v>
      </c>
      <c r="X50" s="46">
        <v>0</v>
      </c>
      <c r="Y50" s="46">
        <v>0</v>
      </c>
      <c r="Z50" s="66">
        <v>0</v>
      </c>
      <c r="AA50" s="81"/>
      <c r="AB50" s="46">
        <v>0</v>
      </c>
      <c r="AC50" s="46">
        <v>0</v>
      </c>
      <c r="AD50" s="46">
        <v>0</v>
      </c>
      <c r="AE50" s="46">
        <v>0</v>
      </c>
      <c r="AF50" s="66">
        <v>0</v>
      </c>
      <c r="AG50" s="82"/>
      <c r="AH50" s="46">
        <v>0</v>
      </c>
      <c r="AI50" s="46">
        <v>0</v>
      </c>
      <c r="AJ50" s="50"/>
      <c r="AK50" s="50"/>
      <c r="AL50" s="68"/>
      <c r="AM50" s="81"/>
      <c r="AN50" s="50"/>
      <c r="AO50" s="50"/>
      <c r="AP50" s="50"/>
      <c r="AQ50" s="50"/>
      <c r="AR50" s="68"/>
      <c r="AS50" s="81"/>
      <c r="AT50" s="68"/>
      <c r="AU50" s="83"/>
      <c r="AV50" s="68"/>
      <c r="AW50" s="83"/>
      <c r="AX50" s="68"/>
    </row>
    <row r="51" spans="1:50" s="54" customFormat="1" ht="14.25" customHeight="1">
      <c r="A51" s="55"/>
      <c r="B51" s="70" t="s">
        <v>617</v>
      </c>
      <c r="C51" s="23"/>
      <c r="D51" s="46">
        <v>0</v>
      </c>
      <c r="E51" s="46">
        <v>0</v>
      </c>
      <c r="F51" s="46">
        <v>0</v>
      </c>
      <c r="G51" s="46">
        <v>0</v>
      </c>
      <c r="H51" s="74">
        <v>0</v>
      </c>
      <c r="I51" s="48"/>
      <c r="J51" s="46">
        <v>0</v>
      </c>
      <c r="K51" s="46">
        <v>0</v>
      </c>
      <c r="L51" s="46">
        <v>0</v>
      </c>
      <c r="M51" s="46">
        <v>0</v>
      </c>
      <c r="N51" s="74">
        <v>0</v>
      </c>
      <c r="O51" s="48"/>
      <c r="P51" s="46">
        <v>0</v>
      </c>
      <c r="Q51" s="46">
        <v>0</v>
      </c>
      <c r="R51" s="46">
        <v>0</v>
      </c>
      <c r="S51" s="46">
        <v>0</v>
      </c>
      <c r="T51" s="74">
        <v>0</v>
      </c>
      <c r="U51" s="48"/>
      <c r="V51" s="46">
        <v>0</v>
      </c>
      <c r="W51" s="46">
        <v>0</v>
      </c>
      <c r="X51" s="46">
        <v>0</v>
      </c>
      <c r="Y51" s="46">
        <v>0</v>
      </c>
      <c r="Z51" s="74">
        <v>0</v>
      </c>
      <c r="AA51" s="48"/>
      <c r="AB51" s="46">
        <v>0</v>
      </c>
      <c r="AC51" s="46">
        <v>0</v>
      </c>
      <c r="AD51" s="46">
        <v>0</v>
      </c>
      <c r="AE51" s="46">
        <v>0</v>
      </c>
      <c r="AF51" s="74">
        <v>0</v>
      </c>
      <c r="AG51" s="95"/>
      <c r="AH51" s="46">
        <v>0</v>
      </c>
      <c r="AI51" s="46">
        <v>0</v>
      </c>
      <c r="AJ51" s="50"/>
      <c r="AK51" s="50"/>
      <c r="AL51" s="75"/>
      <c r="AM51" s="48"/>
      <c r="AN51" s="50"/>
      <c r="AO51" s="50"/>
      <c r="AP51" s="50"/>
      <c r="AQ51" s="50"/>
      <c r="AR51" s="75"/>
      <c r="AS51" s="48"/>
      <c r="AT51" s="75"/>
      <c r="AU51" s="96"/>
      <c r="AV51" s="75"/>
      <c r="AW51" s="96"/>
      <c r="AX51" s="75"/>
    </row>
    <row r="52" spans="1:50" s="54" customFormat="1" ht="14.25" customHeight="1" thickBot="1">
      <c r="A52" s="73"/>
      <c r="B52" s="76" t="s">
        <v>618</v>
      </c>
      <c r="C52" s="21"/>
      <c r="D52" s="46">
        <v>75416.031799999997</v>
      </c>
      <c r="E52" s="46">
        <v>23738.998200000002</v>
      </c>
      <c r="F52" s="46">
        <v>66542.520999999993</v>
      </c>
      <c r="G52" s="46">
        <v>77904.109500000006</v>
      </c>
      <c r="H52" s="93">
        <v>243226.36739999999</v>
      </c>
      <c r="I52" s="48"/>
      <c r="J52" s="46">
        <v>92907.653200000001</v>
      </c>
      <c r="K52" s="46">
        <v>110806.1792</v>
      </c>
      <c r="L52" s="46">
        <v>113588</v>
      </c>
      <c r="M52" s="46">
        <v>107183.67019999999</v>
      </c>
      <c r="N52" s="93">
        <f>SUM(J52:M52)</f>
        <v>424485.50260000001</v>
      </c>
      <c r="O52" s="48"/>
      <c r="P52" s="46">
        <v>98058.384300000005</v>
      </c>
      <c r="Q52" s="46">
        <v>114557.9212</v>
      </c>
      <c r="R52" s="46">
        <v>108511.5214</v>
      </c>
      <c r="S52" s="46">
        <v>133454.4669</v>
      </c>
      <c r="T52" s="93">
        <v>454970.16850000003</v>
      </c>
      <c r="U52" s="48"/>
      <c r="V52" s="46">
        <v>101800.0983</v>
      </c>
      <c r="W52" s="46">
        <v>120341.5892</v>
      </c>
      <c r="X52" s="46">
        <v>112077.19990000001</v>
      </c>
      <c r="Y52" s="46">
        <v>129576.29399999999</v>
      </c>
      <c r="Z52" s="93">
        <v>466607.8824</v>
      </c>
      <c r="AA52" s="48"/>
      <c r="AB52" s="46">
        <v>89740.0429</v>
      </c>
      <c r="AC52" s="46">
        <v>118776.58100000001</v>
      </c>
      <c r="AD52" s="46">
        <v>115171.65399999999</v>
      </c>
      <c r="AE52" s="46">
        <v>145098.4455</v>
      </c>
      <c r="AF52" s="93">
        <v>468433.41269999999</v>
      </c>
      <c r="AG52" s="95"/>
      <c r="AH52" s="46">
        <v>98923.001600000003</v>
      </c>
      <c r="AI52" s="46">
        <v>112119.0221</v>
      </c>
      <c r="AJ52" s="50"/>
      <c r="AK52" s="50"/>
      <c r="AL52" s="94"/>
      <c r="AM52" s="48"/>
      <c r="AN52" s="50"/>
      <c r="AO52" s="50"/>
      <c r="AP52" s="50"/>
      <c r="AQ52" s="50"/>
      <c r="AR52" s="94"/>
      <c r="AS52" s="48"/>
      <c r="AT52" s="94"/>
      <c r="AU52" s="96"/>
      <c r="AV52" s="94"/>
      <c r="AW52" s="96"/>
      <c r="AX52" s="94"/>
    </row>
    <row r="53" spans="1:50" s="54" customFormat="1" ht="14.25" customHeight="1" thickTop="1">
      <c r="A53" s="55"/>
      <c r="B53" s="97"/>
      <c r="C53" s="23"/>
      <c r="D53" s="46"/>
      <c r="E53" s="46"/>
      <c r="F53" s="46"/>
      <c r="G53" s="46"/>
      <c r="H53" s="66"/>
      <c r="I53" s="48"/>
      <c r="J53" s="46"/>
      <c r="K53" s="46"/>
      <c r="L53" s="46"/>
      <c r="M53" s="46"/>
      <c r="N53" s="66"/>
      <c r="O53" s="48"/>
      <c r="P53" s="46"/>
      <c r="Q53" s="46"/>
      <c r="R53" s="46"/>
      <c r="S53" s="46"/>
      <c r="T53" s="66"/>
      <c r="U53" s="48"/>
      <c r="V53" s="46"/>
      <c r="W53" s="46"/>
      <c r="X53" s="46"/>
      <c r="Y53" s="46"/>
      <c r="Z53" s="66"/>
      <c r="AA53" s="48"/>
      <c r="AB53" s="46"/>
      <c r="AC53" s="46"/>
      <c r="AD53" s="46"/>
      <c r="AE53" s="46"/>
      <c r="AF53" s="66"/>
      <c r="AG53" s="95"/>
      <c r="AH53" s="46"/>
      <c r="AI53" s="46"/>
      <c r="AJ53" s="50"/>
      <c r="AK53" s="50"/>
      <c r="AL53" s="68"/>
      <c r="AM53" s="48"/>
      <c r="AN53" s="50"/>
      <c r="AO53" s="50"/>
      <c r="AP53" s="50"/>
      <c r="AQ53" s="50"/>
      <c r="AR53" s="68"/>
      <c r="AS53" s="48"/>
      <c r="AT53" s="68"/>
      <c r="AU53" s="96"/>
      <c r="AV53" s="68"/>
      <c r="AW53" s="96"/>
      <c r="AX53" s="68"/>
    </row>
    <row r="54" spans="1:50" s="54" customFormat="1" ht="14.25" customHeight="1">
      <c r="A54" s="44" t="s">
        <v>38</v>
      </c>
      <c r="B54" s="65" t="s">
        <v>619</v>
      </c>
      <c r="C54" s="21"/>
      <c r="D54" s="46"/>
      <c r="E54" s="46"/>
      <c r="F54" s="46"/>
      <c r="G54" s="46"/>
      <c r="H54" s="66"/>
      <c r="I54" s="48"/>
      <c r="J54" s="46"/>
      <c r="K54" s="46"/>
      <c r="L54" s="46"/>
      <c r="M54" s="46"/>
      <c r="N54" s="66"/>
      <c r="O54" s="48"/>
      <c r="P54" s="46"/>
      <c r="Q54" s="46"/>
      <c r="R54" s="46"/>
      <c r="S54" s="46"/>
      <c r="T54" s="66"/>
      <c r="U54" s="48"/>
      <c r="V54" s="46"/>
      <c r="W54" s="46"/>
      <c r="X54" s="46"/>
      <c r="Y54" s="46"/>
      <c r="Z54" s="66"/>
      <c r="AA54" s="48"/>
      <c r="AB54" s="46"/>
      <c r="AC54" s="46"/>
      <c r="AD54" s="46"/>
      <c r="AE54" s="46"/>
      <c r="AF54" s="66"/>
      <c r="AG54" s="95"/>
      <c r="AH54" s="46"/>
      <c r="AI54" s="46"/>
      <c r="AJ54" s="50"/>
      <c r="AK54" s="50"/>
      <c r="AL54" s="68"/>
      <c r="AM54" s="48"/>
      <c r="AN54" s="50"/>
      <c r="AO54" s="50"/>
      <c r="AP54" s="50"/>
      <c r="AQ54" s="50"/>
      <c r="AR54" s="68"/>
      <c r="AS54" s="48"/>
      <c r="AT54" s="68"/>
      <c r="AU54" s="96"/>
      <c r="AV54" s="68"/>
      <c r="AW54" s="96"/>
      <c r="AX54" s="68"/>
    </row>
    <row r="55" spans="1:50" s="54" customFormat="1" ht="14.25" customHeight="1">
      <c r="A55" s="55"/>
      <c r="B55" s="76" t="s">
        <v>620</v>
      </c>
      <c r="C55" s="23"/>
      <c r="D55" s="98">
        <v>1.3613999999999999</v>
      </c>
      <c r="E55" s="98">
        <v>0.43209999999999998</v>
      </c>
      <c r="F55" s="98">
        <v>1.2102999999999999</v>
      </c>
      <c r="G55" s="98">
        <v>1.4149</v>
      </c>
      <c r="H55" s="99">
        <v>4.4147999999999996</v>
      </c>
      <c r="I55" s="100"/>
      <c r="J55" s="98">
        <v>1.6827000000000001</v>
      </c>
      <c r="K55" s="98">
        <v>2.0063</v>
      </c>
      <c r="L55" s="98">
        <v>1.8110999999999999</v>
      </c>
      <c r="M55" s="98">
        <v>1.9420999999999999</v>
      </c>
      <c r="N55" s="99">
        <v>9.2996999999999996</v>
      </c>
      <c r="O55" s="100"/>
      <c r="P55" s="98">
        <v>1.7937000000000001</v>
      </c>
      <c r="Q55" s="98">
        <v>2.1200999999999999</v>
      </c>
      <c r="R55" s="98">
        <v>2.0144000000000002</v>
      </c>
      <c r="S55" s="98">
        <v>2.4802</v>
      </c>
      <c r="T55" s="99">
        <v>8.4106000000000005</v>
      </c>
      <c r="U55" s="100"/>
      <c r="V55" s="98">
        <v>1.8995</v>
      </c>
      <c r="W55" s="98">
        <v>2.2482000000000002</v>
      </c>
      <c r="X55" s="98">
        <v>2.0914999999999999</v>
      </c>
      <c r="Y55" s="98">
        <v>2.4174000000000002</v>
      </c>
      <c r="Z55" s="99">
        <v>8.7090999999999994</v>
      </c>
      <c r="AA55" s="100"/>
      <c r="AB55" s="98">
        <v>1.6726000000000001</v>
      </c>
      <c r="AC55" s="98">
        <v>2.2092000000000001</v>
      </c>
      <c r="AD55" s="98">
        <v>2.1419000000000001</v>
      </c>
      <c r="AE55" s="98">
        <v>2.6987999999999999</v>
      </c>
      <c r="AF55" s="99">
        <v>8.7170000000000005</v>
      </c>
      <c r="AG55" s="101"/>
      <c r="AH55" s="98">
        <v>1.8458000000000001</v>
      </c>
      <c r="AI55" s="98">
        <v>2.1309</v>
      </c>
      <c r="AJ55" s="102"/>
      <c r="AK55" s="102"/>
      <c r="AL55" s="103"/>
      <c r="AM55" s="100"/>
      <c r="AN55" s="102"/>
      <c r="AO55" s="102"/>
      <c r="AP55" s="102"/>
      <c r="AQ55" s="102"/>
      <c r="AR55" s="103"/>
      <c r="AS55" s="100"/>
      <c r="AT55" s="103"/>
      <c r="AU55" s="104"/>
      <c r="AV55" s="103"/>
      <c r="AW55" s="104"/>
      <c r="AX55" s="103"/>
    </row>
    <row r="56" spans="1:50" s="54" customFormat="1" ht="14.25" customHeight="1">
      <c r="A56" s="73"/>
      <c r="B56" s="76" t="s">
        <v>621</v>
      </c>
      <c r="C56" s="21"/>
      <c r="D56" s="98">
        <v>1.3595999999999999</v>
      </c>
      <c r="E56" s="98">
        <v>0.43209999999999998</v>
      </c>
      <c r="F56" s="98">
        <v>1.2094</v>
      </c>
      <c r="G56" s="98">
        <v>1.4132</v>
      </c>
      <c r="H56" s="99">
        <v>4.4116999999999997</v>
      </c>
      <c r="I56" s="100"/>
      <c r="J56" s="98">
        <v>1.6551</v>
      </c>
      <c r="K56" s="98">
        <v>1.9575</v>
      </c>
      <c r="L56" s="98">
        <v>1.7564</v>
      </c>
      <c r="M56" s="98">
        <v>1.8789</v>
      </c>
      <c r="N56" s="99">
        <v>9.0611999999999995</v>
      </c>
      <c r="O56" s="100"/>
      <c r="P56" s="98">
        <v>1.7383</v>
      </c>
      <c r="Q56" s="98">
        <v>2.0939999999999999</v>
      </c>
      <c r="R56" s="98">
        <v>1.9962</v>
      </c>
      <c r="S56" s="98">
        <v>2.4546999999999999</v>
      </c>
      <c r="T56" s="99">
        <v>8.2849000000000004</v>
      </c>
      <c r="U56" s="100"/>
      <c r="V56" s="98">
        <v>1.8698999999999999</v>
      </c>
      <c r="W56" s="98">
        <v>2.2246000000000001</v>
      </c>
      <c r="X56" s="98">
        <v>2.0733000000000001</v>
      </c>
      <c r="Y56" s="98">
        <v>2.411</v>
      </c>
      <c r="Z56" s="99">
        <v>8.6251999999999995</v>
      </c>
      <c r="AA56" s="100"/>
      <c r="AB56" s="98">
        <v>1.6483000000000001</v>
      </c>
      <c r="AC56" s="98">
        <v>2.1924999999999999</v>
      </c>
      <c r="AD56" s="98">
        <v>2.1286</v>
      </c>
      <c r="AE56" s="98">
        <v>2.6736</v>
      </c>
      <c r="AF56" s="99">
        <v>8.6379000000000001</v>
      </c>
      <c r="AG56" s="101"/>
      <c r="AH56" s="98">
        <v>1.8103</v>
      </c>
      <c r="AI56" s="98">
        <v>2.1059000000000001</v>
      </c>
      <c r="AJ56" s="102"/>
      <c r="AK56" s="102"/>
      <c r="AL56" s="103"/>
      <c r="AM56" s="100"/>
      <c r="AN56" s="102"/>
      <c r="AO56" s="102"/>
      <c r="AP56" s="102"/>
      <c r="AQ56" s="102"/>
      <c r="AR56" s="103"/>
      <c r="AS56" s="100"/>
      <c r="AT56" s="103"/>
      <c r="AU56" s="104"/>
      <c r="AV56" s="103"/>
      <c r="AW56" s="104"/>
      <c r="AX56" s="103"/>
    </row>
    <row r="57" spans="1:50" s="54" customFormat="1" ht="14.25" customHeight="1">
      <c r="A57" s="55"/>
      <c r="B57" s="97"/>
      <c r="C57" s="23"/>
      <c r="D57" s="46"/>
      <c r="E57" s="46"/>
      <c r="F57" s="46"/>
      <c r="G57" s="46"/>
      <c r="H57" s="66"/>
      <c r="I57" s="48"/>
      <c r="J57" s="46"/>
      <c r="K57" s="46"/>
      <c r="L57" s="46"/>
      <c r="M57" s="46"/>
      <c r="N57" s="66"/>
      <c r="O57" s="48"/>
      <c r="P57" s="46"/>
      <c r="Q57" s="46"/>
      <c r="R57" s="46"/>
      <c r="S57" s="46"/>
      <c r="T57" s="66"/>
      <c r="U57" s="48"/>
      <c r="V57" s="46"/>
      <c r="W57" s="46"/>
      <c r="X57" s="46"/>
      <c r="Y57" s="46"/>
      <c r="Z57" s="66"/>
      <c r="AA57" s="48"/>
      <c r="AB57" s="46"/>
      <c r="AC57" s="46"/>
      <c r="AD57" s="46"/>
      <c r="AE57" s="46"/>
      <c r="AF57" s="66"/>
      <c r="AG57" s="95"/>
      <c r="AH57" s="46"/>
      <c r="AI57" s="46"/>
      <c r="AJ57" s="50"/>
      <c r="AK57" s="50"/>
      <c r="AL57" s="68"/>
      <c r="AM57" s="48"/>
      <c r="AN57" s="50"/>
      <c r="AO57" s="50"/>
      <c r="AP57" s="50"/>
      <c r="AQ57" s="50"/>
      <c r="AR57" s="68"/>
      <c r="AS57" s="48"/>
      <c r="AT57" s="68"/>
      <c r="AU57" s="96"/>
      <c r="AV57" s="68"/>
      <c r="AW57" s="96"/>
      <c r="AX57" s="68"/>
    </row>
    <row r="58" spans="1:50" s="54" customFormat="1" ht="14.25" customHeight="1">
      <c r="A58" s="44" t="s">
        <v>38</v>
      </c>
      <c r="B58" s="65" t="s">
        <v>622</v>
      </c>
      <c r="C58" s="21"/>
      <c r="D58" s="46"/>
      <c r="E58" s="46"/>
      <c r="F58" s="46"/>
      <c r="G58" s="46"/>
      <c r="H58" s="66"/>
      <c r="I58" s="48"/>
      <c r="J58" s="46"/>
      <c r="K58" s="46"/>
      <c r="L58" s="46"/>
      <c r="M58" s="46"/>
      <c r="N58" s="66"/>
      <c r="O58" s="48"/>
      <c r="P58" s="46"/>
      <c r="Q58" s="46"/>
      <c r="R58" s="46"/>
      <c r="S58" s="46"/>
      <c r="T58" s="66"/>
      <c r="U58" s="48"/>
      <c r="V58" s="46"/>
      <c r="W58" s="46"/>
      <c r="X58" s="46"/>
      <c r="Y58" s="46"/>
      <c r="Z58" s="66"/>
      <c r="AA58" s="48"/>
      <c r="AB58" s="46"/>
      <c r="AC58" s="46"/>
      <c r="AD58" s="46"/>
      <c r="AE58" s="46"/>
      <c r="AF58" s="66"/>
      <c r="AG58" s="95"/>
      <c r="AH58" s="46"/>
      <c r="AI58" s="46"/>
      <c r="AJ58" s="50"/>
      <c r="AK58" s="50"/>
      <c r="AL58" s="68"/>
      <c r="AM58" s="48"/>
      <c r="AN58" s="50"/>
      <c r="AO58" s="50"/>
      <c r="AP58" s="50"/>
      <c r="AQ58" s="50"/>
      <c r="AR58" s="68"/>
      <c r="AS58" s="48"/>
      <c r="AT58" s="68"/>
      <c r="AU58" s="96"/>
      <c r="AV58" s="68"/>
      <c r="AW58" s="96"/>
      <c r="AX58" s="68"/>
    </row>
    <row r="59" spans="1:50" s="54" customFormat="1" ht="14.25" customHeight="1">
      <c r="A59" s="97"/>
      <c r="B59" s="70" t="s">
        <v>623</v>
      </c>
      <c r="C59" s="23"/>
      <c r="D59" s="320">
        <v>55396</v>
      </c>
      <c r="E59" s="320">
        <v>54935</v>
      </c>
      <c r="F59" s="320">
        <v>54982</v>
      </c>
      <c r="G59" s="320">
        <v>55061</v>
      </c>
      <c r="H59" s="330">
        <v>55093</v>
      </c>
      <c r="I59" s="331"/>
      <c r="J59" s="320">
        <v>55213</v>
      </c>
      <c r="K59" s="320">
        <v>55230</v>
      </c>
      <c r="L59" s="320">
        <v>55232</v>
      </c>
      <c r="M59" s="320">
        <v>55190</v>
      </c>
      <c r="N59" s="330">
        <v>55216</v>
      </c>
      <c r="O59" s="331"/>
      <c r="P59" s="320">
        <v>54669</v>
      </c>
      <c r="Q59" s="320">
        <v>54033</v>
      </c>
      <c r="R59" s="320">
        <v>53867</v>
      </c>
      <c r="S59" s="320">
        <v>53809</v>
      </c>
      <c r="T59" s="330">
        <v>54095</v>
      </c>
      <c r="U59" s="331"/>
      <c r="V59" s="320">
        <v>53594</v>
      </c>
      <c r="W59" s="320">
        <v>53527</v>
      </c>
      <c r="X59" s="320">
        <v>53588</v>
      </c>
      <c r="Y59" s="320">
        <v>53601</v>
      </c>
      <c r="Z59" s="330">
        <v>53577</v>
      </c>
      <c r="AA59" s="331"/>
      <c r="AB59" s="320">
        <v>53654</v>
      </c>
      <c r="AC59" s="320">
        <v>53765</v>
      </c>
      <c r="AD59" s="320">
        <v>53770</v>
      </c>
      <c r="AE59" s="320">
        <v>53764</v>
      </c>
      <c r="AF59" s="330">
        <v>53738</v>
      </c>
      <c r="AG59" s="332"/>
      <c r="AH59" s="320">
        <v>53594</v>
      </c>
      <c r="AI59" s="320">
        <v>52616</v>
      </c>
      <c r="AJ59" s="333"/>
      <c r="AK59" s="333"/>
      <c r="AL59" s="360"/>
      <c r="AM59" s="331"/>
      <c r="AN59" s="333"/>
      <c r="AO59" s="333"/>
      <c r="AP59" s="333"/>
      <c r="AQ59" s="333"/>
      <c r="AR59" s="360"/>
      <c r="AS59" s="48"/>
      <c r="AT59" s="360"/>
      <c r="AU59" s="96"/>
      <c r="AV59" s="360"/>
      <c r="AW59" s="96"/>
      <c r="AX59" s="360"/>
    </row>
    <row r="60" spans="1:50" s="54" customFormat="1" ht="14.25" customHeight="1">
      <c r="A60" s="97"/>
      <c r="B60" s="70" t="s">
        <v>624</v>
      </c>
      <c r="C60" s="23"/>
      <c r="D60" s="320">
        <v>55398</v>
      </c>
      <c r="E60" s="320">
        <v>54957</v>
      </c>
      <c r="F60" s="320">
        <v>55100</v>
      </c>
      <c r="G60" s="320">
        <v>55087</v>
      </c>
      <c r="H60" s="330">
        <v>55136</v>
      </c>
      <c r="I60" s="331"/>
      <c r="J60" s="320">
        <v>55966</v>
      </c>
      <c r="K60" s="320">
        <v>56673</v>
      </c>
      <c r="L60" s="320">
        <v>56939</v>
      </c>
      <c r="M60" s="320">
        <v>57084</v>
      </c>
      <c r="N60" s="330">
        <v>56665</v>
      </c>
      <c r="O60" s="331"/>
      <c r="P60" s="320">
        <v>56363</v>
      </c>
      <c r="Q60" s="320">
        <v>54654</v>
      </c>
      <c r="R60" s="320">
        <v>54384</v>
      </c>
      <c r="S60" s="320">
        <v>54388</v>
      </c>
      <c r="T60" s="330">
        <v>54947</v>
      </c>
      <c r="U60" s="331"/>
      <c r="V60" s="320">
        <v>54377</v>
      </c>
      <c r="W60" s="320">
        <v>54042</v>
      </c>
      <c r="X60" s="320">
        <v>54157</v>
      </c>
      <c r="Y60" s="320">
        <v>53768</v>
      </c>
      <c r="Z60" s="330">
        <v>54086</v>
      </c>
      <c r="AA60" s="331"/>
      <c r="AB60" s="320">
        <v>54394</v>
      </c>
      <c r="AC60" s="320">
        <v>54072</v>
      </c>
      <c r="AD60" s="320">
        <v>54037</v>
      </c>
      <c r="AE60" s="320">
        <v>54334</v>
      </c>
      <c r="AF60" s="330">
        <v>54209</v>
      </c>
      <c r="AG60" s="332"/>
      <c r="AH60" s="320">
        <v>54621</v>
      </c>
      <c r="AI60" s="320">
        <v>53154</v>
      </c>
      <c r="AJ60" s="333"/>
      <c r="AK60" s="333"/>
      <c r="AL60" s="360"/>
      <c r="AM60" s="331"/>
      <c r="AN60" s="333"/>
      <c r="AO60" s="333"/>
      <c r="AP60" s="333"/>
      <c r="AQ60" s="333"/>
      <c r="AR60" s="360"/>
      <c r="AS60" s="48"/>
      <c r="AT60" s="360"/>
      <c r="AU60" s="96"/>
      <c r="AV60" s="360"/>
      <c r="AW60" s="96"/>
      <c r="AX60" s="360"/>
    </row>
    <row r="61" spans="1:50" ht="14.25" customHeight="1">
      <c r="AG61" s="205"/>
    </row>
    <row r="62" spans="1:50" ht="14.25" customHeight="1">
      <c r="B62" s="64" t="s">
        <v>625</v>
      </c>
      <c r="C62" s="115"/>
      <c r="D62" s="113"/>
      <c r="E62" s="113"/>
      <c r="F62" s="113"/>
      <c r="G62" s="113"/>
      <c r="H62" s="113"/>
      <c r="I62" s="115"/>
      <c r="J62" s="113"/>
      <c r="K62" s="113"/>
      <c r="L62" s="113"/>
      <c r="M62" s="113"/>
      <c r="N62" s="113"/>
      <c r="O62" s="115"/>
      <c r="P62" s="113"/>
      <c r="Q62" s="113"/>
      <c r="R62" s="113"/>
      <c r="S62" s="113"/>
      <c r="T62" s="113"/>
      <c r="U62" s="115"/>
      <c r="V62" s="113"/>
      <c r="W62" s="113"/>
      <c r="X62" s="113"/>
      <c r="Y62" s="113"/>
      <c r="Z62" s="113"/>
      <c r="AA62" s="115"/>
      <c r="AB62" s="113"/>
      <c r="AC62" s="113"/>
      <c r="AD62" s="113"/>
      <c r="AE62" s="113"/>
      <c r="AF62" s="113"/>
      <c r="AG62" s="362"/>
      <c r="AH62" s="113"/>
      <c r="AI62" s="113"/>
      <c r="AJ62" s="113"/>
      <c r="AK62" s="113"/>
      <c r="AL62" s="113"/>
      <c r="AM62" s="115"/>
      <c r="AN62" s="113"/>
      <c r="AO62" s="113"/>
      <c r="AP62" s="113"/>
      <c r="AQ62" s="113"/>
    </row>
    <row r="63" spans="1:50" ht="14.25" customHeight="1">
      <c r="B63" s="64"/>
      <c r="C63" s="115"/>
      <c r="D63" s="113"/>
      <c r="E63" s="113"/>
      <c r="F63" s="113"/>
      <c r="G63" s="113"/>
      <c r="H63" s="113"/>
      <c r="I63" s="115"/>
      <c r="J63" s="113"/>
      <c r="K63" s="113"/>
      <c r="L63" s="113"/>
      <c r="M63" s="113"/>
      <c r="N63" s="113"/>
      <c r="O63" s="115"/>
      <c r="P63" s="113"/>
      <c r="Q63" s="113"/>
      <c r="R63" s="113"/>
      <c r="S63" s="113"/>
      <c r="T63" s="113"/>
      <c r="U63" s="115"/>
      <c r="V63" s="113"/>
      <c r="W63" s="113"/>
      <c r="X63" s="113"/>
      <c r="Y63" s="113"/>
      <c r="Z63" s="113"/>
      <c r="AA63" s="115"/>
      <c r="AB63" s="113"/>
      <c r="AC63" s="113"/>
      <c r="AD63" s="113"/>
      <c r="AE63" s="113"/>
      <c r="AF63" s="113"/>
      <c r="AG63" s="362"/>
      <c r="AH63" s="113"/>
      <c r="AI63" s="113"/>
      <c r="AJ63" s="113"/>
      <c r="AK63" s="113"/>
      <c r="AL63" s="113"/>
      <c r="AM63" s="115"/>
      <c r="AN63" s="113"/>
      <c r="AO63" s="113"/>
      <c r="AP63" s="113"/>
      <c r="AQ63" s="113"/>
    </row>
    <row r="64" spans="1:50" ht="14.25" customHeight="1">
      <c r="B64" s="114" t="s">
        <v>626</v>
      </c>
      <c r="C64" s="17"/>
      <c r="D64" s="60">
        <v>9230</v>
      </c>
      <c r="E64" s="60">
        <v>9468</v>
      </c>
      <c r="F64" s="60">
        <v>9805</v>
      </c>
      <c r="G64" s="60">
        <v>10478</v>
      </c>
      <c r="H64" s="66">
        <v>38981</v>
      </c>
      <c r="I64" s="20"/>
      <c r="J64" s="60">
        <v>10137</v>
      </c>
      <c r="K64" s="60">
        <v>10167</v>
      </c>
      <c r="L64" s="60">
        <v>10876</v>
      </c>
      <c r="M64" s="60">
        <v>11366</v>
      </c>
      <c r="N64" s="66">
        <v>42546</v>
      </c>
      <c r="O64" s="20"/>
      <c r="P64" s="60">
        <v>11372</v>
      </c>
      <c r="Q64" s="60">
        <v>10574</v>
      </c>
      <c r="R64" s="60">
        <v>9479</v>
      </c>
      <c r="S64" s="60">
        <v>13011</v>
      </c>
      <c r="T64" s="66">
        <v>44436</v>
      </c>
      <c r="U64" s="20"/>
      <c r="V64" s="60">
        <v>11977</v>
      </c>
      <c r="W64" s="60">
        <v>12219</v>
      </c>
      <c r="X64" s="60">
        <v>12588</v>
      </c>
      <c r="Y64" s="60">
        <v>13328</v>
      </c>
      <c r="Z64" s="66">
        <v>50112</v>
      </c>
      <c r="AA64" s="20"/>
      <c r="AB64" s="60">
        <v>13273</v>
      </c>
      <c r="AC64" s="60">
        <v>13151</v>
      </c>
      <c r="AD64" s="60">
        <v>13975</v>
      </c>
      <c r="AE64" s="60">
        <v>14781</v>
      </c>
      <c r="AF64" s="66">
        <v>55180</v>
      </c>
      <c r="AG64" s="150"/>
      <c r="AH64" s="60">
        <v>14356</v>
      </c>
      <c r="AI64" s="60">
        <v>14300</v>
      </c>
      <c r="AJ64" s="46"/>
      <c r="AK64" s="46"/>
      <c r="AL64" s="66"/>
      <c r="AM64" s="20"/>
      <c r="AN64" s="46"/>
      <c r="AO64" s="46"/>
      <c r="AP64" s="46"/>
      <c r="AQ64" s="46"/>
    </row>
    <row r="65" spans="2:35" ht="14.25" customHeight="1">
      <c r="B65" s="114" t="s">
        <v>627</v>
      </c>
      <c r="D65" s="97">
        <v>16860</v>
      </c>
      <c r="E65" s="97">
        <v>17631</v>
      </c>
      <c r="F65" s="97">
        <v>16887</v>
      </c>
      <c r="G65" s="97">
        <v>10056</v>
      </c>
      <c r="H65" s="97">
        <v>61434</v>
      </c>
      <c r="J65" s="97">
        <v>20295</v>
      </c>
      <c r="K65" s="97">
        <v>17864</v>
      </c>
      <c r="L65" s="97">
        <v>19754</v>
      </c>
      <c r="M65" s="97">
        <v>20918</v>
      </c>
      <c r="N65" s="97">
        <v>78831</v>
      </c>
      <c r="P65" s="97">
        <v>33565</v>
      </c>
      <c r="Q65" s="97">
        <v>16488</v>
      </c>
      <c r="R65" s="97">
        <v>21661</v>
      </c>
      <c r="S65" s="97">
        <v>16346</v>
      </c>
      <c r="T65" s="97">
        <v>88060</v>
      </c>
      <c r="V65" s="97">
        <v>21183</v>
      </c>
      <c r="W65" s="97">
        <v>16520</v>
      </c>
      <c r="X65" s="97">
        <v>20693</v>
      </c>
      <c r="Y65" s="97">
        <v>18432</v>
      </c>
      <c r="Z65" s="97">
        <v>76828</v>
      </c>
      <c r="AB65" s="97">
        <v>17350</v>
      </c>
      <c r="AC65" s="97">
        <v>16288</v>
      </c>
      <c r="AD65" s="97">
        <v>16805</v>
      </c>
      <c r="AE65" s="97">
        <v>15770</v>
      </c>
      <c r="AF65" s="97">
        <v>66213</v>
      </c>
      <c r="AH65" s="97">
        <v>15992</v>
      </c>
      <c r="AI65" s="97">
        <v>15416</v>
      </c>
    </row>
  </sheetData>
  <mergeCells count="7">
    <mergeCell ref="AN8:AR8"/>
    <mergeCell ref="D8:H8"/>
    <mergeCell ref="J8:N8"/>
    <mergeCell ref="P8:T8"/>
    <mergeCell ref="V8:Z8"/>
    <mergeCell ref="AB8:AF8"/>
    <mergeCell ref="AH8:AL8"/>
  </mergeCells>
  <pageMargins left="0.7" right="0.7" top="0.75" bottom="0.75" header="0.3" footer="0.3"/>
  <pageSetup paperSize="9" orientation="portrait" r:id="rId1"/>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tabColor theme="4" tint="-0.249977111117893"/>
  </sheetPr>
  <dimension ref="A1:AX58"/>
  <sheetViews>
    <sheetView showGridLines="0" topLeftCell="A16" zoomScale="75" zoomScaleNormal="75" workbookViewId="0">
      <selection activeCell="R40" sqref="R40"/>
    </sheetView>
  </sheetViews>
  <sheetFormatPr defaultColWidth="9" defaultRowHeight="15" customHeight="1" outlineLevelCol="1"/>
  <cols>
    <col min="1" max="1" width="2" style="41" customWidth="1"/>
    <col min="2" max="2" width="50.5" style="41" customWidth="1"/>
    <col min="3" max="3" width="3.375" style="17" customWidth="1"/>
    <col min="4" max="7" width="9.5" style="41" customWidth="1" outlineLevel="1"/>
    <col min="8" max="8" width="11.5" style="41" customWidth="1"/>
    <col min="9" max="9" width="1.5" style="17" customWidth="1"/>
    <col min="10" max="13" width="9.5" style="41" customWidth="1" outlineLevel="1"/>
    <col min="14" max="14" width="11.5" style="41" customWidth="1"/>
    <col min="15" max="15" width="1.5" style="17" customWidth="1"/>
    <col min="16" max="19" width="9.5" style="41" customWidth="1" outlineLevel="1"/>
    <col min="20" max="20" width="11.5" style="41" customWidth="1"/>
    <col min="21" max="21" width="1.5" style="17" customWidth="1"/>
    <col min="22" max="25" width="9.5" style="41" customWidth="1" outlineLevel="1"/>
    <col min="26" max="26" width="11.5" style="41" customWidth="1"/>
    <col min="27" max="27" width="1.5" style="17" customWidth="1"/>
    <col min="28" max="31" width="9.5" style="41" customWidth="1" outlineLevel="1"/>
    <col min="32" max="32" width="11.5" style="41" customWidth="1"/>
    <col min="33" max="33" width="1.5" style="17" customWidth="1"/>
    <col min="34" max="37" width="9.5" style="41" customWidth="1" outlineLevel="1"/>
    <col min="38" max="38" width="11.5" style="41" customWidth="1"/>
    <col min="39" max="39" width="1.5" style="17" customWidth="1"/>
    <col min="40" max="43" width="9.5" style="41" customWidth="1" outlineLevel="1"/>
    <col min="44" max="44" width="11.5" style="41" customWidth="1"/>
    <col min="45" max="45" width="1.5" style="17" customWidth="1"/>
    <col min="46" max="46" width="11.5" style="41" customWidth="1"/>
    <col min="47" max="47" width="1.5" style="17" customWidth="1"/>
    <col min="48" max="48" width="11.5" style="42" customWidth="1"/>
    <col min="49" max="49" width="1.5" style="41" customWidth="1"/>
    <col min="50" max="50" width="11.5" style="41" customWidth="1"/>
    <col min="51" max="16384" width="9" style="41"/>
  </cols>
  <sheetData>
    <row r="1" spans="1:50" s="582" customFormat="1" ht="15" customHeight="1">
      <c r="AH1" s="582">
        <v>0</v>
      </c>
    </row>
    <row r="2" spans="1:50" s="582" customFormat="1" ht="15" customHeight="1"/>
    <row r="3" spans="1:50" s="582" customFormat="1" ht="15" customHeight="1"/>
    <row r="4" spans="1:50" s="582" customFormat="1" ht="15" customHeight="1"/>
    <row r="5" spans="1:50" s="578" customFormat="1" ht="3.95" customHeight="1">
      <c r="C5" s="579"/>
      <c r="I5" s="579"/>
      <c r="O5" s="579"/>
      <c r="U5" s="579"/>
      <c r="AA5" s="579"/>
      <c r="AG5" s="579"/>
      <c r="AM5" s="579"/>
      <c r="AS5" s="579"/>
      <c r="AU5" s="579"/>
      <c r="AV5" s="580"/>
    </row>
    <row r="7" spans="1:50" ht="15" customHeight="1">
      <c r="B7" s="161" t="s">
        <v>417</v>
      </c>
      <c r="C7" s="18"/>
      <c r="D7" s="202">
        <v>2020</v>
      </c>
      <c r="E7" s="202">
        <v>2020</v>
      </c>
      <c r="F7" s="168">
        <v>2020</v>
      </c>
      <c r="G7" s="202">
        <v>2020</v>
      </c>
      <c r="H7" s="202">
        <v>2020</v>
      </c>
      <c r="I7" s="18"/>
      <c r="J7" s="202">
        <v>2021</v>
      </c>
      <c r="K7" s="202">
        <v>2021</v>
      </c>
      <c r="L7" s="202">
        <v>2021</v>
      </c>
      <c r="M7" s="202">
        <v>2021</v>
      </c>
      <c r="N7" s="202">
        <v>2021</v>
      </c>
      <c r="O7" s="169"/>
      <c r="P7" s="202">
        <v>2022</v>
      </c>
      <c r="Q7" s="202">
        <v>2022</v>
      </c>
      <c r="R7" s="202">
        <v>2022</v>
      </c>
      <c r="S7" s="202">
        <v>2022</v>
      </c>
      <c r="T7" s="202">
        <v>2022</v>
      </c>
      <c r="U7" s="169"/>
      <c r="V7" s="202">
        <v>2023</v>
      </c>
      <c r="W7" s="202">
        <v>2023</v>
      </c>
      <c r="X7" s="202">
        <v>2023</v>
      </c>
      <c r="Y7" s="202">
        <v>2023</v>
      </c>
      <c r="Z7" s="202">
        <v>2023</v>
      </c>
      <c r="AA7" s="170"/>
      <c r="AB7" s="202">
        <v>2024</v>
      </c>
      <c r="AC7" s="202">
        <v>2024</v>
      </c>
      <c r="AD7" s="202">
        <v>2024</v>
      </c>
      <c r="AE7" s="202">
        <v>2024</v>
      </c>
      <c r="AF7" s="202">
        <v>2024</v>
      </c>
      <c r="AG7" s="170"/>
      <c r="AH7" s="202">
        <v>2025</v>
      </c>
      <c r="AI7" s="202">
        <v>2025</v>
      </c>
      <c r="AJ7" s="203">
        <v>2025</v>
      </c>
      <c r="AK7" s="202">
        <v>2025</v>
      </c>
      <c r="AL7" s="202">
        <v>2025</v>
      </c>
      <c r="AM7" s="171"/>
      <c r="AN7" s="202">
        <v>2025</v>
      </c>
      <c r="AO7" s="202">
        <v>2025</v>
      </c>
      <c r="AP7" s="203">
        <v>2025</v>
      </c>
      <c r="AQ7" s="202">
        <v>2025</v>
      </c>
      <c r="AR7" s="202">
        <v>2025</v>
      </c>
      <c r="AS7" s="18"/>
      <c r="AT7" s="162"/>
      <c r="AU7" s="18"/>
      <c r="AV7" s="163"/>
      <c r="AW7" s="18"/>
      <c r="AX7" s="163"/>
    </row>
    <row r="8" spans="1:50" ht="15" customHeight="1">
      <c r="B8" s="164"/>
      <c r="C8" s="18"/>
      <c r="D8" s="815">
        <v>2020</v>
      </c>
      <c r="E8" s="815"/>
      <c r="F8" s="815"/>
      <c r="G8" s="815"/>
      <c r="H8" s="815"/>
      <c r="I8" s="169"/>
      <c r="J8" s="815">
        <v>2021</v>
      </c>
      <c r="K8" s="815"/>
      <c r="L8" s="815"/>
      <c r="M8" s="815"/>
      <c r="N8" s="815"/>
      <c r="O8" s="169"/>
      <c r="P8" s="815">
        <v>2022</v>
      </c>
      <c r="Q8" s="815"/>
      <c r="R8" s="815"/>
      <c r="S8" s="815"/>
      <c r="T8" s="815"/>
      <c r="U8" s="169"/>
      <c r="V8" s="815">
        <v>2023</v>
      </c>
      <c r="W8" s="815"/>
      <c r="X8" s="815"/>
      <c r="Y8" s="815"/>
      <c r="Z8" s="815"/>
      <c r="AA8" s="169"/>
      <c r="AB8" s="815">
        <v>2024</v>
      </c>
      <c r="AC8" s="815"/>
      <c r="AD8" s="815"/>
      <c r="AE8" s="815"/>
      <c r="AF8" s="815"/>
      <c r="AG8" s="169"/>
      <c r="AH8" s="813">
        <v>2025</v>
      </c>
      <c r="AI8" s="813"/>
      <c r="AJ8" s="813"/>
      <c r="AK8" s="813"/>
      <c r="AL8" s="813"/>
      <c r="AM8" s="169"/>
      <c r="AN8" s="813">
        <v>2026</v>
      </c>
      <c r="AO8" s="813"/>
      <c r="AP8" s="813"/>
      <c r="AQ8" s="813"/>
      <c r="AR8" s="813"/>
      <c r="AS8" s="171"/>
      <c r="AT8" s="166">
        <v>2027</v>
      </c>
      <c r="AU8" s="167"/>
      <c r="AV8" s="166">
        <v>2028</v>
      </c>
      <c r="AW8" s="167"/>
      <c r="AX8" s="166">
        <v>2029</v>
      </c>
    </row>
    <row r="9" spans="1:50" ht="15" customHeight="1">
      <c r="B9" s="164"/>
      <c r="C9" s="18"/>
      <c r="D9" s="168" t="s">
        <v>191</v>
      </c>
      <c r="E9" s="168" t="s">
        <v>192</v>
      </c>
      <c r="F9" s="168" t="s">
        <v>193</v>
      </c>
      <c r="G9" s="168" t="s">
        <v>194</v>
      </c>
      <c r="H9" s="168" t="s">
        <v>195</v>
      </c>
      <c r="I9" s="18"/>
      <c r="J9" s="168" t="s">
        <v>191</v>
      </c>
      <c r="K9" s="168" t="s">
        <v>192</v>
      </c>
      <c r="L9" s="168" t="s">
        <v>193</v>
      </c>
      <c r="M9" s="168" t="s">
        <v>194</v>
      </c>
      <c r="N9" s="168" t="s">
        <v>195</v>
      </c>
      <c r="O9" s="165"/>
      <c r="P9" s="168" t="s">
        <v>191</v>
      </c>
      <c r="Q9" s="168" t="s">
        <v>192</v>
      </c>
      <c r="R9" s="168" t="s">
        <v>193</v>
      </c>
      <c r="S9" s="168" t="s">
        <v>194</v>
      </c>
      <c r="T9" s="168" t="s">
        <v>195</v>
      </c>
      <c r="U9" s="165"/>
      <c r="V9" s="168" t="s">
        <v>191</v>
      </c>
      <c r="W9" s="168" t="s">
        <v>192</v>
      </c>
      <c r="X9" s="168" t="s">
        <v>193</v>
      </c>
      <c r="Y9" s="168" t="s">
        <v>194</v>
      </c>
      <c r="Z9" s="168" t="s">
        <v>195</v>
      </c>
      <c r="AA9" s="165"/>
      <c r="AB9" s="168" t="s">
        <v>191</v>
      </c>
      <c r="AC9" s="168" t="s">
        <v>192</v>
      </c>
      <c r="AD9" s="168" t="s">
        <v>193</v>
      </c>
      <c r="AE9" s="168" t="s">
        <v>194</v>
      </c>
      <c r="AF9" s="168" t="s">
        <v>195</v>
      </c>
      <c r="AG9" s="165"/>
      <c r="AH9" s="168" t="s">
        <v>191</v>
      </c>
      <c r="AI9" s="168" t="s">
        <v>192</v>
      </c>
      <c r="AJ9" s="168" t="s">
        <v>193</v>
      </c>
      <c r="AK9" s="168" t="s">
        <v>194</v>
      </c>
      <c r="AL9" s="168" t="s">
        <v>195</v>
      </c>
      <c r="AM9" s="165"/>
      <c r="AN9" s="168" t="s">
        <v>191</v>
      </c>
      <c r="AO9" s="168" t="s">
        <v>192</v>
      </c>
      <c r="AP9" s="168" t="s">
        <v>193</v>
      </c>
      <c r="AQ9" s="168" t="s">
        <v>194</v>
      </c>
      <c r="AR9" s="168" t="s">
        <v>195</v>
      </c>
      <c r="AS9" s="165"/>
      <c r="AT9" s="168" t="s">
        <v>195</v>
      </c>
      <c r="AU9" s="165"/>
      <c r="AV9" s="168" t="s">
        <v>195</v>
      </c>
      <c r="AW9" s="165"/>
      <c r="AX9" s="168" t="s">
        <v>195</v>
      </c>
    </row>
    <row r="10" spans="1:50" ht="3.95"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ht="3.95"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0" ht="15" customHeight="1">
      <c r="A12" s="44"/>
      <c r="B12" s="106" t="s">
        <v>628</v>
      </c>
      <c r="D12" s="46"/>
      <c r="E12" s="46"/>
      <c r="F12" s="46"/>
      <c r="G12" s="46"/>
      <c r="H12" s="57"/>
      <c r="I12" s="20"/>
      <c r="J12" s="107"/>
      <c r="K12" s="107"/>
      <c r="L12" s="107"/>
      <c r="M12" s="107"/>
      <c r="N12" s="108"/>
      <c r="O12" s="108"/>
      <c r="P12" s="107"/>
      <c r="Q12" s="107"/>
      <c r="R12" s="107"/>
      <c r="S12" s="107"/>
      <c r="T12" s="108"/>
      <c r="U12" s="108"/>
      <c r="V12" s="107"/>
      <c r="W12" s="107"/>
      <c r="X12" s="107"/>
      <c r="Y12" s="107"/>
      <c r="Z12" s="108"/>
      <c r="AA12" s="108"/>
      <c r="AB12" s="109"/>
      <c r="AC12" s="109"/>
      <c r="AD12" s="109"/>
      <c r="AE12" s="109"/>
      <c r="AF12" s="108"/>
      <c r="AG12" s="110"/>
      <c r="AH12" s="111"/>
      <c r="AI12" s="111"/>
      <c r="AJ12" s="111"/>
      <c r="AK12" s="111"/>
      <c r="AL12" s="108"/>
      <c r="AM12" s="112"/>
      <c r="AN12" s="111"/>
      <c r="AO12" s="111"/>
      <c r="AP12" s="111"/>
      <c r="AQ12" s="111"/>
      <c r="AR12" s="108"/>
      <c r="AS12" s="112"/>
      <c r="AT12" s="108"/>
      <c r="AU12" s="112"/>
      <c r="AV12" s="108"/>
    </row>
    <row r="13" spans="1:50" s="113" customFormat="1" ht="15" customHeight="1">
      <c r="B13" s="114"/>
      <c r="C13" s="115"/>
      <c r="D13" s="46"/>
      <c r="E13" s="46"/>
      <c r="F13" s="46"/>
      <c r="G13" s="46"/>
      <c r="H13" s="57"/>
      <c r="I13" s="116"/>
      <c r="J13" s="107"/>
      <c r="K13" s="107"/>
      <c r="L13" s="107"/>
      <c r="M13" s="107"/>
      <c r="N13" s="108"/>
      <c r="O13" s="116"/>
      <c r="P13" s="107"/>
      <c r="Q13" s="107"/>
      <c r="R13" s="107"/>
      <c r="S13" s="107"/>
      <c r="T13" s="108"/>
      <c r="U13" s="116"/>
      <c r="V13" s="107"/>
      <c r="W13" s="107"/>
      <c r="X13" s="107"/>
      <c r="Y13" s="107"/>
      <c r="Z13" s="108"/>
      <c r="AA13" s="117"/>
      <c r="AB13" s="109"/>
      <c r="AC13" s="109"/>
      <c r="AD13" s="109"/>
      <c r="AE13" s="109"/>
      <c r="AF13" s="108"/>
      <c r="AG13" s="118"/>
      <c r="AH13" s="119"/>
      <c r="AI13" s="119"/>
      <c r="AJ13" s="119"/>
      <c r="AK13" s="119"/>
      <c r="AL13" s="108"/>
      <c r="AM13" s="120"/>
      <c r="AN13" s="119"/>
      <c r="AO13" s="119"/>
      <c r="AP13" s="119"/>
      <c r="AQ13" s="119"/>
      <c r="AR13" s="108"/>
      <c r="AS13" s="120"/>
      <c r="AT13" s="108"/>
      <c r="AU13" s="120"/>
      <c r="AV13" s="108"/>
    </row>
    <row r="14" spans="1:50" ht="15" customHeight="1">
      <c r="A14" s="44" t="s">
        <v>38</v>
      </c>
      <c r="B14" s="114" t="s">
        <v>629</v>
      </c>
      <c r="D14" s="46"/>
      <c r="E14" s="46"/>
      <c r="F14" s="46"/>
      <c r="G14" s="46"/>
      <c r="H14" s="66"/>
      <c r="I14" s="20"/>
      <c r="J14" s="121"/>
      <c r="K14" s="121"/>
      <c r="L14" s="121"/>
      <c r="M14" s="121"/>
      <c r="N14" s="108"/>
      <c r="O14" s="20"/>
      <c r="P14" s="121"/>
      <c r="Q14" s="121"/>
      <c r="R14" s="121"/>
      <c r="S14" s="121"/>
      <c r="T14" s="108"/>
      <c r="U14" s="20"/>
      <c r="V14" s="121"/>
      <c r="W14" s="121"/>
      <c r="X14" s="121"/>
      <c r="Y14" s="121"/>
      <c r="Z14" s="108"/>
      <c r="AA14" s="122"/>
      <c r="AB14" s="123"/>
      <c r="AC14" s="123"/>
      <c r="AD14" s="123"/>
      <c r="AE14" s="123"/>
      <c r="AF14" s="108"/>
      <c r="AG14" s="124"/>
      <c r="AH14" s="125"/>
      <c r="AI14" s="125"/>
      <c r="AJ14" s="125"/>
      <c r="AK14" s="125"/>
      <c r="AL14" s="108"/>
      <c r="AM14" s="126"/>
      <c r="AN14" s="125"/>
      <c r="AO14" s="125"/>
      <c r="AP14" s="125"/>
      <c r="AQ14" s="125"/>
      <c r="AR14" s="108"/>
      <c r="AS14" s="126"/>
      <c r="AT14" s="108"/>
      <c r="AU14" s="126"/>
      <c r="AV14" s="108"/>
    </row>
    <row r="15" spans="1:50" ht="15" customHeight="1">
      <c r="A15" s="44"/>
      <c r="B15" s="127" t="s">
        <v>630</v>
      </c>
      <c r="D15" s="60">
        <v>381043</v>
      </c>
      <c r="E15" s="60">
        <v>649720</v>
      </c>
      <c r="F15" s="60">
        <v>220310</v>
      </c>
      <c r="G15" s="60">
        <v>268103</v>
      </c>
      <c r="H15" s="57">
        <v>268103</v>
      </c>
      <c r="I15" s="116"/>
      <c r="J15" s="60">
        <v>309331</v>
      </c>
      <c r="K15" s="60">
        <v>395562</v>
      </c>
      <c r="L15" s="60">
        <v>251476</v>
      </c>
      <c r="M15" s="60">
        <v>180362</v>
      </c>
      <c r="N15" s="57">
        <v>180362</v>
      </c>
      <c r="O15" s="116"/>
      <c r="P15" s="60">
        <v>146676</v>
      </c>
      <c r="Q15" s="60">
        <v>166589</v>
      </c>
      <c r="R15" s="60">
        <v>144918</v>
      </c>
      <c r="S15" s="60">
        <v>162001</v>
      </c>
      <c r="T15" s="57">
        <v>162001</v>
      </c>
      <c r="U15" s="116"/>
      <c r="V15" s="60">
        <v>156524</v>
      </c>
      <c r="W15" s="60">
        <v>157279</v>
      </c>
      <c r="X15" s="60">
        <v>167189</v>
      </c>
      <c r="Y15" s="60">
        <v>247496</v>
      </c>
      <c r="Z15" s="57">
        <v>247496</v>
      </c>
      <c r="AA15" s="117"/>
      <c r="AB15" s="60">
        <v>341018</v>
      </c>
      <c r="AC15" s="60">
        <v>459457</v>
      </c>
      <c r="AD15" s="60">
        <v>606004</v>
      </c>
      <c r="AE15" s="60">
        <v>689533</v>
      </c>
      <c r="AF15" s="57">
        <v>689533</v>
      </c>
      <c r="AG15" s="118"/>
      <c r="AH15" s="60">
        <v>745143</v>
      </c>
      <c r="AI15" s="60">
        <v>511499</v>
      </c>
      <c r="AJ15" s="125"/>
      <c r="AK15" s="125"/>
      <c r="AL15" s="108"/>
      <c r="AM15" s="126"/>
      <c r="AN15" s="125"/>
      <c r="AO15" s="125"/>
      <c r="AP15" s="125"/>
      <c r="AQ15" s="125"/>
      <c r="AR15" s="108"/>
      <c r="AS15" s="126"/>
      <c r="AT15" s="108"/>
      <c r="AU15" s="126"/>
      <c r="AV15" s="108"/>
    </row>
    <row r="16" spans="1:50" ht="15" customHeight="1">
      <c r="A16" s="44"/>
      <c r="B16" s="138" t="s">
        <v>631</v>
      </c>
      <c r="D16" s="60">
        <v>381043</v>
      </c>
      <c r="E16" s="60">
        <v>649720</v>
      </c>
      <c r="F16" s="60">
        <v>220310</v>
      </c>
      <c r="G16" s="60">
        <v>268103</v>
      </c>
      <c r="H16" s="57">
        <v>268103</v>
      </c>
      <c r="I16" s="20"/>
      <c r="J16" s="60">
        <v>309331</v>
      </c>
      <c r="K16" s="60">
        <v>395562</v>
      </c>
      <c r="L16" s="60">
        <v>251476</v>
      </c>
      <c r="M16" s="60">
        <v>180362</v>
      </c>
      <c r="N16" s="57">
        <v>180362</v>
      </c>
      <c r="O16" s="20"/>
      <c r="P16" s="60">
        <v>146676</v>
      </c>
      <c r="Q16" s="60">
        <v>166589</v>
      </c>
      <c r="R16" s="60">
        <v>144918</v>
      </c>
      <c r="S16" s="60">
        <v>162001</v>
      </c>
      <c r="T16" s="57">
        <v>162001</v>
      </c>
      <c r="U16" s="20"/>
      <c r="V16" s="60">
        <v>156524</v>
      </c>
      <c r="W16" s="60">
        <v>157279</v>
      </c>
      <c r="X16" s="60">
        <v>167189</v>
      </c>
      <c r="Y16" s="60">
        <v>247496</v>
      </c>
      <c r="Z16" s="57">
        <v>247496</v>
      </c>
      <c r="AA16" s="122"/>
      <c r="AB16" s="60">
        <v>341018</v>
      </c>
      <c r="AC16" s="60">
        <v>459457</v>
      </c>
      <c r="AD16" s="60">
        <v>606004</v>
      </c>
      <c r="AE16" s="60">
        <v>689533</v>
      </c>
      <c r="AF16" s="57">
        <v>689533</v>
      </c>
      <c r="AG16" s="124"/>
      <c r="AH16" s="60">
        <v>745143</v>
      </c>
      <c r="AI16" s="60">
        <v>511499</v>
      </c>
      <c r="AJ16" s="125"/>
      <c r="AK16" s="125"/>
      <c r="AL16" s="108"/>
      <c r="AM16" s="126"/>
      <c r="AN16" s="125"/>
      <c r="AO16" s="125"/>
      <c r="AP16" s="125"/>
      <c r="AQ16" s="125"/>
      <c r="AR16" s="108"/>
      <c r="AS16" s="126"/>
      <c r="AT16" s="108"/>
      <c r="AU16" s="126"/>
      <c r="AV16" s="108"/>
    </row>
    <row r="17" spans="1:48" s="113" customFormat="1" ht="15" customHeight="1">
      <c r="B17" s="138" t="s">
        <v>632</v>
      </c>
      <c r="C17" s="115"/>
      <c r="D17" s="60">
        <v>0</v>
      </c>
      <c r="E17" s="60">
        <v>0</v>
      </c>
      <c r="F17" s="60">
        <v>0</v>
      </c>
      <c r="G17" s="60">
        <v>0</v>
      </c>
      <c r="H17" s="57">
        <v>0</v>
      </c>
      <c r="I17" s="20"/>
      <c r="J17" s="60">
        <v>0</v>
      </c>
      <c r="K17" s="60">
        <v>0</v>
      </c>
      <c r="L17" s="60">
        <v>0</v>
      </c>
      <c r="M17" s="60">
        <v>0</v>
      </c>
      <c r="N17" s="57">
        <v>0</v>
      </c>
      <c r="O17" s="20"/>
      <c r="P17" s="60">
        <v>0</v>
      </c>
      <c r="Q17" s="60">
        <v>0</v>
      </c>
      <c r="R17" s="60">
        <v>0</v>
      </c>
      <c r="S17" s="60">
        <v>0</v>
      </c>
      <c r="T17" s="57">
        <v>0</v>
      </c>
      <c r="U17" s="20"/>
      <c r="V17" s="60">
        <v>0</v>
      </c>
      <c r="W17" s="60">
        <v>0</v>
      </c>
      <c r="X17" s="60">
        <v>0</v>
      </c>
      <c r="Y17" s="60">
        <v>0</v>
      </c>
      <c r="Z17" s="57">
        <v>0</v>
      </c>
      <c r="AA17" s="122"/>
      <c r="AB17" s="60">
        <v>0</v>
      </c>
      <c r="AC17" s="60">
        <v>0</v>
      </c>
      <c r="AD17" s="60">
        <v>0</v>
      </c>
      <c r="AE17" s="60">
        <v>0</v>
      </c>
      <c r="AF17" s="57">
        <v>0</v>
      </c>
      <c r="AG17" s="124"/>
      <c r="AH17" s="60">
        <v>0</v>
      </c>
      <c r="AI17" s="60">
        <v>0</v>
      </c>
      <c r="AJ17" s="125"/>
      <c r="AK17" s="125"/>
      <c r="AL17" s="57"/>
      <c r="AM17" s="128"/>
      <c r="AN17" s="46"/>
      <c r="AO17" s="46"/>
      <c r="AP17" s="46"/>
      <c r="AQ17" s="46"/>
      <c r="AR17" s="57"/>
      <c r="AS17" s="128"/>
      <c r="AT17" s="57"/>
      <c r="AU17" s="128"/>
      <c r="AV17" s="57"/>
    </row>
    <row r="18" spans="1:48" s="113" customFormat="1" ht="15" customHeight="1">
      <c r="B18" s="127" t="s">
        <v>633</v>
      </c>
      <c r="C18" s="115"/>
      <c r="D18" s="60">
        <v>425577</v>
      </c>
      <c r="E18" s="60">
        <v>313084</v>
      </c>
      <c r="F18" s="60">
        <v>381273</v>
      </c>
      <c r="G18" s="60">
        <v>363361</v>
      </c>
      <c r="H18" s="57">
        <v>363361</v>
      </c>
      <c r="I18" s="116"/>
      <c r="J18" s="60">
        <v>427935</v>
      </c>
      <c r="K18" s="60">
        <v>422409</v>
      </c>
      <c r="L18" s="60">
        <v>466487</v>
      </c>
      <c r="M18" s="60">
        <v>577142</v>
      </c>
      <c r="N18" s="57">
        <v>577142</v>
      </c>
      <c r="O18" s="116"/>
      <c r="P18" s="60">
        <v>629855</v>
      </c>
      <c r="Q18" s="60">
        <v>627276</v>
      </c>
      <c r="R18" s="60">
        <v>593514</v>
      </c>
      <c r="S18" s="60">
        <v>631134</v>
      </c>
      <c r="T18" s="57">
        <v>631134</v>
      </c>
      <c r="U18" s="116"/>
      <c r="V18" s="60">
        <v>652949</v>
      </c>
      <c r="W18" s="60">
        <v>643405</v>
      </c>
      <c r="X18" s="60">
        <v>633169</v>
      </c>
      <c r="Y18" s="60">
        <v>644576</v>
      </c>
      <c r="Z18" s="57">
        <v>644576</v>
      </c>
      <c r="AA18" s="117"/>
      <c r="AB18" s="60">
        <v>605180</v>
      </c>
      <c r="AC18" s="60">
        <v>624622</v>
      </c>
      <c r="AD18" s="60">
        <v>614976</v>
      </c>
      <c r="AE18" s="60">
        <v>643355</v>
      </c>
      <c r="AF18" s="57">
        <v>643355</v>
      </c>
      <c r="AG18" s="118"/>
      <c r="AH18" s="60">
        <v>645511</v>
      </c>
      <c r="AI18" s="60">
        <v>665833</v>
      </c>
      <c r="AJ18" s="50"/>
      <c r="AK18" s="50"/>
      <c r="AL18" s="58"/>
      <c r="AM18" s="128"/>
      <c r="AN18" s="50"/>
      <c r="AO18" s="50"/>
      <c r="AP18" s="50"/>
      <c r="AQ18" s="50"/>
      <c r="AR18" s="58"/>
      <c r="AS18" s="128"/>
      <c r="AT18" s="58"/>
      <c r="AU18" s="128"/>
      <c r="AV18" s="58"/>
    </row>
    <row r="19" spans="1:48" ht="15" customHeight="1">
      <c r="A19" s="43"/>
      <c r="B19" s="127" t="s">
        <v>448</v>
      </c>
      <c r="D19" s="60">
        <v>623822</v>
      </c>
      <c r="E19" s="60">
        <v>608484</v>
      </c>
      <c r="F19" s="60">
        <v>557512</v>
      </c>
      <c r="G19" s="60">
        <v>540198</v>
      </c>
      <c r="H19" s="57">
        <v>540198</v>
      </c>
      <c r="I19" s="20"/>
      <c r="J19" s="60">
        <v>574277</v>
      </c>
      <c r="K19" s="60">
        <v>608570</v>
      </c>
      <c r="L19" s="60">
        <v>686043</v>
      </c>
      <c r="M19" s="60">
        <v>837418</v>
      </c>
      <c r="N19" s="57">
        <v>837418</v>
      </c>
      <c r="O19" s="20"/>
      <c r="P19" s="60">
        <v>924763</v>
      </c>
      <c r="Q19" s="60">
        <v>1008920</v>
      </c>
      <c r="R19" s="60">
        <v>1062634</v>
      </c>
      <c r="S19" s="60">
        <v>1077729</v>
      </c>
      <c r="T19" s="57">
        <v>1077729</v>
      </c>
      <c r="U19" s="20"/>
      <c r="V19" s="60">
        <v>1116364</v>
      </c>
      <c r="W19" s="60">
        <v>1082523</v>
      </c>
      <c r="X19" s="60">
        <v>1015047</v>
      </c>
      <c r="Y19" s="60">
        <v>935867</v>
      </c>
      <c r="Z19" s="57">
        <v>935867</v>
      </c>
      <c r="AA19" s="122"/>
      <c r="AB19" s="60">
        <v>943679</v>
      </c>
      <c r="AC19" s="60">
        <v>920096</v>
      </c>
      <c r="AD19" s="60">
        <v>905865</v>
      </c>
      <c r="AE19" s="60">
        <v>841567</v>
      </c>
      <c r="AF19" s="57">
        <v>841567</v>
      </c>
      <c r="AG19" s="124"/>
      <c r="AH19" s="60">
        <v>877729</v>
      </c>
      <c r="AI19" s="60">
        <v>888670</v>
      </c>
      <c r="AJ19" s="50"/>
      <c r="AK19" s="50"/>
      <c r="AL19" s="58"/>
      <c r="AM19" s="126"/>
      <c r="AN19" s="50"/>
      <c r="AO19" s="50"/>
      <c r="AP19" s="50"/>
      <c r="AQ19" s="50"/>
      <c r="AR19" s="58"/>
      <c r="AS19" s="126"/>
      <c r="AT19" s="58"/>
      <c r="AU19" s="126"/>
      <c r="AV19" s="58"/>
    </row>
    <row r="20" spans="1:48" s="113" customFormat="1" ht="15" customHeight="1">
      <c r="B20" s="127" t="s">
        <v>634</v>
      </c>
      <c r="C20" s="115"/>
      <c r="D20" s="46">
        <v>77220</v>
      </c>
      <c r="E20" s="46">
        <v>79978</v>
      </c>
      <c r="F20" s="46">
        <v>82087</v>
      </c>
      <c r="G20" s="46">
        <v>98831</v>
      </c>
      <c r="H20" s="74">
        <v>98831</v>
      </c>
      <c r="I20" s="116"/>
      <c r="J20" s="46">
        <v>81567</v>
      </c>
      <c r="K20" s="46">
        <v>99384</v>
      </c>
      <c r="L20" s="46">
        <v>103731</v>
      </c>
      <c r="M20" s="46">
        <v>112163</v>
      </c>
      <c r="N20" s="74">
        <v>112163</v>
      </c>
      <c r="O20" s="116"/>
      <c r="P20" s="46">
        <v>122526</v>
      </c>
      <c r="Q20" s="46">
        <v>132475</v>
      </c>
      <c r="R20" s="46">
        <v>149472</v>
      </c>
      <c r="S20" s="46">
        <v>135132</v>
      </c>
      <c r="T20" s="74">
        <v>135132</v>
      </c>
      <c r="U20" s="116"/>
      <c r="V20" s="46">
        <v>134682</v>
      </c>
      <c r="W20" s="46">
        <v>152997</v>
      </c>
      <c r="X20" s="46">
        <v>145452</v>
      </c>
      <c r="Y20" s="46">
        <v>137920</v>
      </c>
      <c r="Z20" s="74">
        <v>137920</v>
      </c>
      <c r="AA20" s="129"/>
      <c r="AB20" s="46">
        <v>132046</v>
      </c>
      <c r="AC20" s="46">
        <v>139164</v>
      </c>
      <c r="AD20" s="46">
        <v>164765</v>
      </c>
      <c r="AE20" s="46">
        <v>155588</v>
      </c>
      <c r="AF20" s="74">
        <v>155588</v>
      </c>
      <c r="AG20" s="130"/>
      <c r="AH20" s="46">
        <v>145380</v>
      </c>
      <c r="AI20" s="46">
        <v>193588</v>
      </c>
      <c r="AJ20" s="50"/>
      <c r="AK20" s="50"/>
      <c r="AL20" s="75"/>
      <c r="AM20" s="129"/>
      <c r="AN20" s="50"/>
      <c r="AO20" s="50"/>
      <c r="AP20" s="50"/>
      <c r="AQ20" s="50"/>
      <c r="AR20" s="75"/>
      <c r="AS20" s="129"/>
      <c r="AT20" s="75"/>
      <c r="AU20" s="129"/>
      <c r="AV20" s="75"/>
    </row>
    <row r="21" spans="1:48" s="135" customFormat="1" ht="15" customHeight="1">
      <c r="A21" s="84"/>
      <c r="B21" s="59" t="s">
        <v>635</v>
      </c>
      <c r="C21" s="26"/>
      <c r="D21" s="60">
        <v>1507662</v>
      </c>
      <c r="E21" s="60">
        <v>1651266</v>
      </c>
      <c r="F21" s="60">
        <v>1241182</v>
      </c>
      <c r="G21" s="60">
        <v>1270493</v>
      </c>
      <c r="H21" s="77">
        <v>1270493</v>
      </c>
      <c r="I21" s="131"/>
      <c r="J21" s="60">
        <v>1393110</v>
      </c>
      <c r="K21" s="60">
        <v>1525925</v>
      </c>
      <c r="L21" s="60">
        <v>1507737</v>
      </c>
      <c r="M21" s="60">
        <v>1707085</v>
      </c>
      <c r="N21" s="77">
        <v>1707085</v>
      </c>
      <c r="O21" s="131"/>
      <c r="P21" s="60">
        <v>1823820</v>
      </c>
      <c r="Q21" s="60">
        <v>1935260</v>
      </c>
      <c r="R21" s="60">
        <v>1950538</v>
      </c>
      <c r="S21" s="60">
        <v>2005996</v>
      </c>
      <c r="T21" s="77">
        <v>2005996</v>
      </c>
      <c r="U21" s="131"/>
      <c r="V21" s="60">
        <v>2060519</v>
      </c>
      <c r="W21" s="60">
        <v>2036204</v>
      </c>
      <c r="X21" s="60">
        <v>1960857</v>
      </c>
      <c r="Y21" s="60">
        <v>1965859</v>
      </c>
      <c r="Z21" s="77">
        <v>1965859</v>
      </c>
      <c r="AA21" s="132"/>
      <c r="AB21" s="60">
        <v>2021923</v>
      </c>
      <c r="AC21" s="60">
        <v>2143339</v>
      </c>
      <c r="AD21" s="60">
        <v>2291610</v>
      </c>
      <c r="AE21" s="60">
        <v>2330043</v>
      </c>
      <c r="AF21" s="77">
        <v>2330043</v>
      </c>
      <c r="AG21" s="133"/>
      <c r="AH21" s="60">
        <v>2413763</v>
      </c>
      <c r="AI21" s="60">
        <v>2259590</v>
      </c>
      <c r="AJ21" s="50"/>
      <c r="AK21" s="50"/>
      <c r="AL21" s="78"/>
      <c r="AM21" s="134"/>
      <c r="AN21" s="50"/>
      <c r="AO21" s="50"/>
      <c r="AP21" s="50"/>
      <c r="AQ21" s="50"/>
      <c r="AR21" s="78"/>
      <c r="AS21" s="134"/>
      <c r="AT21" s="78"/>
      <c r="AU21" s="134"/>
      <c r="AV21" s="78"/>
    </row>
    <row r="22" spans="1:48" ht="15" customHeight="1">
      <c r="A22" s="43"/>
      <c r="B22" s="136"/>
      <c r="D22" s="46"/>
      <c r="E22" s="46"/>
      <c r="F22" s="46"/>
      <c r="G22" s="46"/>
      <c r="H22" s="66"/>
      <c r="I22" s="20"/>
      <c r="J22" s="46"/>
      <c r="K22" s="46"/>
      <c r="L22" s="46"/>
      <c r="M22" s="46"/>
      <c r="N22" s="66"/>
      <c r="O22" s="20"/>
      <c r="P22" s="46"/>
      <c r="Q22" s="46"/>
      <c r="R22" s="46"/>
      <c r="S22" s="46"/>
      <c r="T22" s="66"/>
      <c r="U22" s="20"/>
      <c r="V22" s="46"/>
      <c r="W22" s="46"/>
      <c r="X22" s="46"/>
      <c r="Y22" s="46"/>
      <c r="Z22" s="66"/>
      <c r="AA22" s="122"/>
      <c r="AB22" s="46"/>
      <c r="AC22" s="46"/>
      <c r="AD22" s="46"/>
      <c r="AE22" s="46"/>
      <c r="AF22" s="66"/>
      <c r="AG22" s="124"/>
      <c r="AH22" s="46"/>
      <c r="AI22" s="46"/>
      <c r="AJ22" s="50"/>
      <c r="AK22" s="50"/>
      <c r="AL22" s="68"/>
      <c r="AM22" s="126"/>
      <c r="AN22" s="50"/>
      <c r="AO22" s="50"/>
      <c r="AP22" s="50"/>
      <c r="AQ22" s="50"/>
      <c r="AR22" s="68"/>
      <c r="AS22" s="126"/>
      <c r="AT22" s="68"/>
      <c r="AU22" s="126"/>
      <c r="AV22" s="68"/>
    </row>
    <row r="23" spans="1:48" s="113" customFormat="1" ht="15" customHeight="1">
      <c r="A23" s="44" t="s">
        <v>38</v>
      </c>
      <c r="B23" s="45" t="s">
        <v>636</v>
      </c>
      <c r="C23" s="115"/>
      <c r="D23" s="46"/>
      <c r="E23" s="46"/>
      <c r="F23" s="46"/>
      <c r="G23" s="46"/>
      <c r="H23" s="66"/>
      <c r="I23" s="116"/>
      <c r="J23" s="46"/>
      <c r="K23" s="46"/>
      <c r="L23" s="46"/>
      <c r="M23" s="46"/>
      <c r="N23" s="66"/>
      <c r="O23" s="116"/>
      <c r="P23" s="46"/>
      <c r="Q23" s="46"/>
      <c r="R23" s="46"/>
      <c r="S23" s="46"/>
      <c r="T23" s="66"/>
      <c r="U23" s="116"/>
      <c r="V23" s="46"/>
      <c r="W23" s="46"/>
      <c r="X23" s="46"/>
      <c r="Y23" s="46"/>
      <c r="Z23" s="66"/>
      <c r="AA23" s="129"/>
      <c r="AB23" s="46"/>
      <c r="AC23" s="46"/>
      <c r="AD23" s="46"/>
      <c r="AE23" s="46"/>
      <c r="AF23" s="66"/>
      <c r="AG23" s="130"/>
      <c r="AH23" s="46"/>
      <c r="AI23" s="46"/>
      <c r="AJ23" s="50"/>
      <c r="AK23" s="50"/>
      <c r="AL23" s="68"/>
      <c r="AM23" s="129"/>
      <c r="AN23" s="50"/>
      <c r="AO23" s="50"/>
      <c r="AP23" s="50"/>
      <c r="AQ23" s="50"/>
      <c r="AR23" s="68"/>
      <c r="AS23" s="129"/>
      <c r="AT23" s="68"/>
      <c r="AU23" s="129"/>
      <c r="AV23" s="68"/>
    </row>
    <row r="24" spans="1:48" ht="15" customHeight="1">
      <c r="A24" s="43"/>
      <c r="B24" s="127" t="s">
        <v>451</v>
      </c>
      <c r="D24" s="60">
        <v>345824</v>
      </c>
      <c r="E24" s="60">
        <v>343369</v>
      </c>
      <c r="F24" s="60">
        <v>343860</v>
      </c>
      <c r="G24" s="60">
        <f>G25-G26</f>
        <v>344482</v>
      </c>
      <c r="H24" s="57">
        <f>G24</f>
        <v>344482</v>
      </c>
      <c r="I24" s="20"/>
      <c r="J24" s="60">
        <v>336257</v>
      </c>
      <c r="K24" s="60">
        <v>336924</v>
      </c>
      <c r="L24" s="60">
        <v>370266</v>
      </c>
      <c r="M24" s="60">
        <f>M25-M26</f>
        <v>380980</v>
      </c>
      <c r="N24" s="57">
        <f>M24</f>
        <v>380980</v>
      </c>
      <c r="O24" s="20"/>
      <c r="P24" s="60">
        <v>382574</v>
      </c>
      <c r="Q24" s="60">
        <v>417688</v>
      </c>
      <c r="R24" s="60">
        <v>423947</v>
      </c>
      <c r="S24" s="60">
        <f>S25-S26</f>
        <v>443528</v>
      </c>
      <c r="T24" s="57">
        <f>S24</f>
        <v>443528</v>
      </c>
      <c r="U24" s="20"/>
      <c r="V24" s="60">
        <v>461728</v>
      </c>
      <c r="W24" s="60">
        <v>483064</v>
      </c>
      <c r="X24" s="60">
        <v>498871</v>
      </c>
      <c r="Y24" s="60">
        <f>Y25-Y26</f>
        <v>510898</v>
      </c>
      <c r="Z24" s="57">
        <f>Y24</f>
        <v>510898</v>
      </c>
      <c r="AA24" s="122"/>
      <c r="AB24" s="60">
        <v>508140</v>
      </c>
      <c r="AC24" s="60">
        <v>504661</v>
      </c>
      <c r="AD24" s="60">
        <v>510555</v>
      </c>
      <c r="AE24" s="60">
        <f>AE25-AE26</f>
        <v>525965</v>
      </c>
      <c r="AF24" s="57">
        <f>AE24</f>
        <v>525965</v>
      </c>
      <c r="AG24" s="124"/>
      <c r="AH24" s="60">
        <v>550736</v>
      </c>
      <c r="AI24" s="60">
        <v>570414</v>
      </c>
      <c r="AJ24" s="50"/>
      <c r="AK24" s="50"/>
      <c r="AL24" s="58"/>
      <c r="AM24" s="126"/>
      <c r="AN24" s="50"/>
      <c r="AO24" s="50"/>
      <c r="AP24" s="50"/>
      <c r="AQ24" s="50"/>
      <c r="AR24" s="58"/>
      <c r="AS24" s="126"/>
      <c r="AT24" s="58"/>
      <c r="AU24" s="126"/>
      <c r="AV24" s="58"/>
    </row>
    <row r="25" spans="1:48" s="113" customFormat="1" ht="15" customHeight="1">
      <c r="B25" s="138" t="s">
        <v>637</v>
      </c>
      <c r="C25" s="115"/>
      <c r="D25" s="60">
        <v>548687</v>
      </c>
      <c r="E25" s="60">
        <v>556292</v>
      </c>
      <c r="F25" s="60">
        <v>567704</v>
      </c>
      <c r="G25" s="60">
        <f>671546-97193</f>
        <v>574353</v>
      </c>
      <c r="H25" s="57">
        <f>G25</f>
        <v>574353</v>
      </c>
      <c r="I25" s="116"/>
      <c r="J25" s="60">
        <v>574132</v>
      </c>
      <c r="K25" s="60">
        <v>584421</v>
      </c>
      <c r="L25" s="60">
        <v>626967</v>
      </c>
      <c r="M25" s="60">
        <f>740571-93388</f>
        <v>647183</v>
      </c>
      <c r="N25" s="57">
        <f>M25</f>
        <v>647183</v>
      </c>
      <c r="O25" s="116"/>
      <c r="P25" s="60">
        <v>655299</v>
      </c>
      <c r="Q25" s="60">
        <v>0</v>
      </c>
      <c r="R25" s="60">
        <v>706889</v>
      </c>
      <c r="S25" s="60">
        <f>845414-102314</f>
        <v>743100</v>
      </c>
      <c r="T25" s="57">
        <f>S25</f>
        <v>743100</v>
      </c>
      <c r="U25" s="116"/>
      <c r="V25" s="60">
        <v>769390</v>
      </c>
      <c r="W25" s="60">
        <v>0</v>
      </c>
      <c r="X25" s="60">
        <v>0</v>
      </c>
      <c r="Y25" s="60">
        <f>959799-109373</f>
        <v>850426</v>
      </c>
      <c r="Z25" s="57">
        <f>Y25</f>
        <v>850426</v>
      </c>
      <c r="AA25" s="129"/>
      <c r="AB25" s="60">
        <v>857813</v>
      </c>
      <c r="AC25" s="60">
        <v>516602</v>
      </c>
      <c r="AD25" s="60">
        <v>888103</v>
      </c>
      <c r="AE25" s="60">
        <f>1024541-121168</f>
        <v>903373</v>
      </c>
      <c r="AF25" s="57">
        <f>AE25</f>
        <v>903373</v>
      </c>
      <c r="AG25" s="130"/>
      <c r="AH25" s="60">
        <v>943823</v>
      </c>
      <c r="AI25" s="60">
        <v>983460</v>
      </c>
      <c r="AJ25" s="50"/>
      <c r="AK25" s="50"/>
      <c r="AL25" s="58"/>
      <c r="AM25" s="129"/>
      <c r="AN25" s="50"/>
      <c r="AO25" s="50"/>
      <c r="AP25" s="50"/>
      <c r="AQ25" s="50"/>
      <c r="AR25" s="58"/>
      <c r="AS25" s="129"/>
      <c r="AT25" s="58"/>
      <c r="AU25" s="129"/>
      <c r="AV25" s="58"/>
    </row>
    <row r="26" spans="1:48" ht="15" customHeight="1">
      <c r="A26" s="43"/>
      <c r="B26" s="138" t="s">
        <v>638</v>
      </c>
      <c r="D26" s="60">
        <v>202863</v>
      </c>
      <c r="E26" s="60">
        <v>212923</v>
      </c>
      <c r="F26" s="60">
        <v>223844</v>
      </c>
      <c r="G26" s="60">
        <v>229871</v>
      </c>
      <c r="H26" s="57">
        <v>229871</v>
      </c>
      <c r="I26" s="20"/>
      <c r="J26" s="60">
        <v>237875</v>
      </c>
      <c r="K26" s="60">
        <v>247497</v>
      </c>
      <c r="L26" s="60">
        <v>256701</v>
      </c>
      <c r="M26" s="60">
        <v>266203</v>
      </c>
      <c r="N26" s="57">
        <v>266203</v>
      </c>
      <c r="O26" s="20"/>
      <c r="P26" s="60">
        <v>272725</v>
      </c>
      <c r="Q26" s="60">
        <v>0</v>
      </c>
      <c r="R26" s="60">
        <v>282942</v>
      </c>
      <c r="S26" s="60">
        <v>299572</v>
      </c>
      <c r="T26" s="57">
        <v>299572</v>
      </c>
      <c r="U26" s="20"/>
      <c r="V26" s="60">
        <v>307662</v>
      </c>
      <c r="W26" s="60">
        <v>0</v>
      </c>
      <c r="X26" s="60">
        <v>0</v>
      </c>
      <c r="Y26" s="60">
        <v>339528</v>
      </c>
      <c r="Z26" s="57">
        <v>339528</v>
      </c>
      <c r="AA26" s="122"/>
      <c r="AB26" s="60">
        <v>349673</v>
      </c>
      <c r="AC26" s="60">
        <v>11941</v>
      </c>
      <c r="AD26" s="60">
        <v>377548</v>
      </c>
      <c r="AE26" s="60">
        <v>377408</v>
      </c>
      <c r="AF26" s="57">
        <v>377408</v>
      </c>
      <c r="AG26" s="124"/>
      <c r="AH26" s="60">
        <v>393087</v>
      </c>
      <c r="AI26" s="60">
        <v>413046</v>
      </c>
      <c r="AJ26" s="50"/>
      <c r="AK26" s="50"/>
      <c r="AL26" s="58"/>
      <c r="AM26" s="126"/>
      <c r="AN26" s="50"/>
      <c r="AO26" s="50"/>
      <c r="AP26" s="50"/>
      <c r="AQ26" s="50"/>
      <c r="AR26" s="58"/>
      <c r="AS26" s="126"/>
      <c r="AT26" s="58"/>
      <c r="AU26" s="126"/>
      <c r="AV26" s="58"/>
    </row>
    <row r="27" spans="1:48" ht="15" customHeight="1">
      <c r="A27" s="43"/>
      <c r="B27" s="127" t="s">
        <v>453</v>
      </c>
      <c r="D27" s="60">
        <v>3269926</v>
      </c>
      <c r="E27" s="60">
        <v>3271486</v>
      </c>
      <c r="F27" s="60">
        <v>3275961</v>
      </c>
      <c r="G27" s="60">
        <v>3384642</v>
      </c>
      <c r="H27" s="57">
        <v>3384642</v>
      </c>
      <c r="I27" s="20"/>
      <c r="J27" s="60">
        <v>3356938</v>
      </c>
      <c r="K27" s="60">
        <v>3338801</v>
      </c>
      <c r="L27" s="60">
        <v>3680783</v>
      </c>
      <c r="M27" s="60">
        <v>4118846</v>
      </c>
      <c r="N27" s="57">
        <v>4118846</v>
      </c>
      <c r="O27" s="20"/>
      <c r="P27" s="60">
        <v>4071598</v>
      </c>
      <c r="Q27" s="60">
        <v>4026156</v>
      </c>
      <c r="R27" s="60">
        <v>4069221</v>
      </c>
      <c r="S27" s="60">
        <v>4206066</v>
      </c>
      <c r="T27" s="57">
        <v>4206066</v>
      </c>
      <c r="U27" s="20"/>
      <c r="V27" s="60">
        <v>4220229</v>
      </c>
      <c r="W27" s="60">
        <v>4242637</v>
      </c>
      <c r="X27" s="60">
        <v>4227965</v>
      </c>
      <c r="Y27" s="60">
        <v>4179386</v>
      </c>
      <c r="Z27" s="57">
        <v>4179386</v>
      </c>
      <c r="AA27" s="122"/>
      <c r="AB27" s="60">
        <v>4142795</v>
      </c>
      <c r="AC27" s="60">
        <v>4122686</v>
      </c>
      <c r="AD27" s="60">
        <v>4157772</v>
      </c>
      <c r="AE27" s="60">
        <v>4129259</v>
      </c>
      <c r="AF27" s="57">
        <v>4129259</v>
      </c>
      <c r="AG27" s="124"/>
      <c r="AH27" s="60">
        <v>4149634</v>
      </c>
      <c r="AI27" s="60">
        <v>4206332</v>
      </c>
      <c r="AJ27" s="50"/>
      <c r="AK27" s="50"/>
      <c r="AL27" s="58"/>
      <c r="AM27" s="126"/>
      <c r="AN27" s="50"/>
      <c r="AO27" s="50"/>
      <c r="AP27" s="50"/>
      <c r="AQ27" s="50"/>
      <c r="AR27" s="58"/>
      <c r="AS27" s="126"/>
      <c r="AT27" s="58"/>
      <c r="AU27" s="126"/>
      <c r="AV27" s="58"/>
    </row>
    <row r="28" spans="1:48" ht="15" customHeight="1">
      <c r="A28" s="43"/>
      <c r="B28" s="127" t="s">
        <v>639</v>
      </c>
      <c r="D28" s="60">
        <v>1835787</v>
      </c>
      <c r="E28" s="60">
        <v>1841684</v>
      </c>
      <c r="F28" s="60">
        <v>1855361</v>
      </c>
      <c r="G28" s="60">
        <v>1934261</v>
      </c>
      <c r="H28" s="57">
        <v>1934261</v>
      </c>
      <c r="I28" s="20"/>
      <c r="J28" s="60">
        <v>1928644</v>
      </c>
      <c r="K28" s="60">
        <v>1932172</v>
      </c>
      <c r="L28" s="60">
        <v>2106182</v>
      </c>
      <c r="M28" s="60">
        <v>2243469</v>
      </c>
      <c r="N28" s="57">
        <v>2243469</v>
      </c>
      <c r="O28" s="20"/>
      <c r="P28" s="60">
        <v>2236441</v>
      </c>
      <c r="Q28" s="60">
        <v>2221120</v>
      </c>
      <c r="R28" s="60">
        <v>2287420</v>
      </c>
      <c r="S28" s="60">
        <v>2411834</v>
      </c>
      <c r="T28" s="57">
        <v>2411834</v>
      </c>
      <c r="U28" s="20"/>
      <c r="V28" s="60">
        <v>2429167</v>
      </c>
      <c r="W28" s="60">
        <v>2451866</v>
      </c>
      <c r="X28" s="60">
        <v>2452419</v>
      </c>
      <c r="Y28" s="60">
        <v>2486310</v>
      </c>
      <c r="Z28" s="57">
        <v>2486310</v>
      </c>
      <c r="AA28" s="122"/>
      <c r="AB28" s="60">
        <v>2473323</v>
      </c>
      <c r="AC28" s="60">
        <v>2471721</v>
      </c>
      <c r="AD28" s="60">
        <v>2506810</v>
      </c>
      <c r="AE28" s="60">
        <v>2518222</v>
      </c>
      <c r="AF28" s="57">
        <v>2518222</v>
      </c>
      <c r="AG28" s="124"/>
      <c r="AH28" s="60">
        <v>2543430</v>
      </c>
      <c r="AI28" s="60">
        <v>2592312</v>
      </c>
      <c r="AJ28" s="50"/>
      <c r="AK28" s="50"/>
      <c r="AL28" s="58"/>
      <c r="AM28" s="137"/>
      <c r="AN28" s="50"/>
      <c r="AO28" s="50"/>
      <c r="AP28" s="50"/>
      <c r="AQ28" s="50"/>
      <c r="AR28" s="58"/>
      <c r="AS28" s="137"/>
      <c r="AT28" s="58"/>
      <c r="AU28" s="137"/>
      <c r="AV28" s="58"/>
    </row>
    <row r="29" spans="1:48" ht="15" customHeight="1">
      <c r="A29" s="43"/>
      <c r="B29" s="127" t="s">
        <v>539</v>
      </c>
      <c r="D29" s="60">
        <v>1434139</v>
      </c>
      <c r="E29" s="60">
        <v>1429802</v>
      </c>
      <c r="F29" s="60">
        <v>1420600</v>
      </c>
      <c r="G29" s="60">
        <v>1450381</v>
      </c>
      <c r="H29" s="57">
        <v>1450381</v>
      </c>
      <c r="I29" s="20"/>
      <c r="J29" s="60">
        <v>1428294</v>
      </c>
      <c r="K29" s="60">
        <v>1406629</v>
      </c>
      <c r="L29" s="60">
        <v>1574601</v>
      </c>
      <c r="M29" s="60">
        <v>1875377</v>
      </c>
      <c r="N29" s="57">
        <v>1875377</v>
      </c>
      <c r="O29" s="20"/>
      <c r="P29" s="60">
        <v>1835157</v>
      </c>
      <c r="Q29" s="60">
        <v>1805036</v>
      </c>
      <c r="R29" s="60">
        <v>1781801</v>
      </c>
      <c r="S29" s="60">
        <v>1794232</v>
      </c>
      <c r="T29" s="57">
        <v>1794232</v>
      </c>
      <c r="U29" s="20"/>
      <c r="V29" s="60">
        <v>1791062</v>
      </c>
      <c r="W29" s="60">
        <v>1790771</v>
      </c>
      <c r="X29" s="60">
        <v>1775546</v>
      </c>
      <c r="Y29" s="60">
        <v>1693076</v>
      </c>
      <c r="Z29" s="57">
        <v>1693076</v>
      </c>
      <c r="AA29" s="122"/>
      <c r="AB29" s="60">
        <v>1669472</v>
      </c>
      <c r="AC29" s="60">
        <v>1650965</v>
      </c>
      <c r="AD29" s="60">
        <v>1650962</v>
      </c>
      <c r="AE29" s="60">
        <v>1611037</v>
      </c>
      <c r="AF29" s="57">
        <v>1611037</v>
      </c>
      <c r="AG29" s="124"/>
      <c r="AH29" s="60">
        <v>1606204</v>
      </c>
      <c r="AI29" s="60">
        <v>1614020</v>
      </c>
      <c r="AJ29" s="50"/>
      <c r="AK29" s="50"/>
      <c r="AL29" s="58"/>
      <c r="AM29" s="126"/>
      <c r="AN29" s="50"/>
      <c r="AO29" s="50"/>
      <c r="AP29" s="50"/>
      <c r="AQ29" s="50"/>
      <c r="AR29" s="58"/>
      <c r="AS29" s="126"/>
      <c r="AT29" s="58"/>
      <c r="AU29" s="126"/>
      <c r="AV29" s="58"/>
    </row>
    <row r="30" spans="1:48" s="113" customFormat="1" ht="15" customHeight="1">
      <c r="B30" s="127" t="s">
        <v>640</v>
      </c>
      <c r="C30" s="115"/>
      <c r="D30" s="60">
        <v>154567</v>
      </c>
      <c r="E30" s="60">
        <v>148580</v>
      </c>
      <c r="F30" s="60">
        <v>159181</v>
      </c>
      <c r="G30" s="60">
        <f>105664+97193</f>
        <v>202857</v>
      </c>
      <c r="H30" s="74">
        <f>G30</f>
        <v>202857</v>
      </c>
      <c r="I30" s="116"/>
      <c r="J30" s="60">
        <v>203608</v>
      </c>
      <c r="K30" s="60">
        <v>221133</v>
      </c>
      <c r="L30" s="60">
        <v>214065</v>
      </c>
      <c r="M30" s="60">
        <f>83299+93388</f>
        <v>176687</v>
      </c>
      <c r="N30" s="74">
        <f>M30</f>
        <v>176687</v>
      </c>
      <c r="O30" s="116"/>
      <c r="P30" s="60">
        <v>196173</v>
      </c>
      <c r="Q30" s="60">
        <v>200269</v>
      </c>
      <c r="R30" s="60">
        <v>228155</v>
      </c>
      <c r="S30" s="60">
        <f>116962+102314</f>
        <v>219276</v>
      </c>
      <c r="T30" s="74">
        <f>S30</f>
        <v>219276</v>
      </c>
      <c r="U30" s="116"/>
      <c r="V30" s="60">
        <v>213661</v>
      </c>
      <c r="W30" s="60">
        <v>222853</v>
      </c>
      <c r="X30" s="60">
        <v>234915</v>
      </c>
      <c r="Y30" s="60">
        <f>141176+109373</f>
        <v>250549</v>
      </c>
      <c r="Z30" s="74">
        <f>Y30</f>
        <v>250549</v>
      </c>
      <c r="AA30" s="129"/>
      <c r="AB30" s="60">
        <v>257547</v>
      </c>
      <c r="AC30" s="60">
        <v>255097</v>
      </c>
      <c r="AD30" s="60">
        <v>241144</v>
      </c>
      <c r="AE30" s="60">
        <f>176716+121168</f>
        <v>297884</v>
      </c>
      <c r="AF30" s="74">
        <f>AE30</f>
        <v>297884</v>
      </c>
      <c r="AG30" s="130"/>
      <c r="AH30" s="60">
        <v>287248</v>
      </c>
      <c r="AI30" s="60">
        <v>299547</v>
      </c>
      <c r="AJ30" s="50"/>
      <c r="AK30" s="50"/>
      <c r="AL30" s="75"/>
      <c r="AM30" s="129"/>
      <c r="AN30" s="50"/>
      <c r="AO30" s="50"/>
      <c r="AP30" s="50"/>
      <c r="AQ30" s="50"/>
      <c r="AR30" s="75"/>
      <c r="AS30" s="129"/>
      <c r="AT30" s="75"/>
      <c r="AU30" s="129"/>
      <c r="AV30" s="75"/>
    </row>
    <row r="31" spans="1:48" ht="15" customHeight="1">
      <c r="A31" s="43"/>
      <c r="B31" s="138" t="s">
        <v>641</v>
      </c>
      <c r="D31" s="60">
        <v>3770317</v>
      </c>
      <c r="E31" s="60">
        <v>3763435</v>
      </c>
      <c r="F31" s="60">
        <v>3779002</v>
      </c>
      <c r="G31" s="60">
        <v>3931981</v>
      </c>
      <c r="H31" s="74">
        <v>3931981</v>
      </c>
      <c r="I31" s="20"/>
      <c r="J31" s="60">
        <v>3896803</v>
      </c>
      <c r="K31" s="60">
        <v>3896858</v>
      </c>
      <c r="L31" s="60">
        <v>4265114</v>
      </c>
      <c r="M31" s="60">
        <v>4676513</v>
      </c>
      <c r="N31" s="74">
        <v>4676513</v>
      </c>
      <c r="O31" s="20"/>
      <c r="P31" s="60">
        <v>4650345</v>
      </c>
      <c r="Q31" s="60">
        <v>4644113</v>
      </c>
      <c r="R31" s="60">
        <v>4721323</v>
      </c>
      <c r="S31" s="60">
        <v>4868870</v>
      </c>
      <c r="T31" s="74">
        <v>4868870</v>
      </c>
      <c r="U31" s="20"/>
      <c r="V31" s="60">
        <v>4895618</v>
      </c>
      <c r="W31" s="60">
        <v>4948554</v>
      </c>
      <c r="X31" s="60">
        <v>4961751</v>
      </c>
      <c r="Y31" s="60">
        <v>4940833</v>
      </c>
      <c r="Z31" s="74">
        <v>4940833</v>
      </c>
      <c r="AA31" s="122"/>
      <c r="AB31" s="60">
        <v>4908482</v>
      </c>
      <c r="AC31" s="60">
        <v>4882444</v>
      </c>
      <c r="AD31" s="60">
        <v>4909471</v>
      </c>
      <c r="AE31" s="60">
        <v>4953108</v>
      </c>
      <c r="AF31" s="74">
        <v>4953108</v>
      </c>
      <c r="AG31" s="124"/>
      <c r="AH31" s="60">
        <v>4987618</v>
      </c>
      <c r="AI31" s="60">
        <v>5076293</v>
      </c>
      <c r="AJ31" s="50"/>
      <c r="AK31" s="50"/>
      <c r="AL31" s="75"/>
      <c r="AM31" s="139"/>
      <c r="AN31" s="50"/>
      <c r="AO31" s="50"/>
      <c r="AP31" s="50"/>
      <c r="AQ31" s="50"/>
      <c r="AR31" s="75"/>
      <c r="AS31" s="139"/>
      <c r="AT31" s="75"/>
      <c r="AU31" s="139"/>
      <c r="AV31" s="75"/>
    </row>
    <row r="32" spans="1:48" s="113" customFormat="1" ht="15" customHeight="1" thickBot="1">
      <c r="B32" s="140" t="s">
        <v>642</v>
      </c>
      <c r="C32" s="115"/>
      <c r="D32" s="60">
        <v>5277979</v>
      </c>
      <c r="E32" s="60">
        <v>5414701</v>
      </c>
      <c r="F32" s="60">
        <v>5020184</v>
      </c>
      <c r="G32" s="60">
        <v>5202474</v>
      </c>
      <c r="H32" s="93">
        <v>5202474</v>
      </c>
      <c r="I32" s="116"/>
      <c r="J32" s="60">
        <v>5289913</v>
      </c>
      <c r="K32" s="60">
        <v>5422783</v>
      </c>
      <c r="L32" s="60">
        <v>5772851</v>
      </c>
      <c r="M32" s="60">
        <v>6383598</v>
      </c>
      <c r="N32" s="93">
        <v>6383598</v>
      </c>
      <c r="O32" s="116"/>
      <c r="P32" s="60">
        <v>6474165</v>
      </c>
      <c r="Q32" s="60">
        <v>6579373</v>
      </c>
      <c r="R32" s="60">
        <v>6671861</v>
      </c>
      <c r="S32" s="60">
        <v>6874866</v>
      </c>
      <c r="T32" s="93">
        <v>6874866</v>
      </c>
      <c r="U32" s="116"/>
      <c r="V32" s="60">
        <v>6956137</v>
      </c>
      <c r="W32" s="60">
        <v>6984758</v>
      </c>
      <c r="X32" s="60">
        <v>6922608</v>
      </c>
      <c r="Y32" s="60">
        <v>6906692</v>
      </c>
      <c r="Z32" s="93">
        <v>6906692</v>
      </c>
      <c r="AA32" s="141"/>
      <c r="AB32" s="60">
        <v>6930405</v>
      </c>
      <c r="AC32" s="60">
        <v>7025783</v>
      </c>
      <c r="AD32" s="60">
        <v>7201081</v>
      </c>
      <c r="AE32" s="60">
        <v>7283151</v>
      </c>
      <c r="AF32" s="93">
        <v>7283151</v>
      </c>
      <c r="AG32" s="130"/>
      <c r="AH32" s="60">
        <v>7401381</v>
      </c>
      <c r="AI32" s="60">
        <v>7335883</v>
      </c>
      <c r="AJ32" s="50"/>
      <c r="AK32" s="50"/>
      <c r="AL32" s="94"/>
      <c r="AM32" s="129"/>
      <c r="AN32" s="50"/>
      <c r="AO32" s="50"/>
      <c r="AP32" s="50"/>
      <c r="AQ32" s="50"/>
      <c r="AR32" s="94"/>
      <c r="AS32" s="129"/>
      <c r="AT32" s="94"/>
      <c r="AU32" s="129"/>
      <c r="AV32" s="94"/>
    </row>
    <row r="34" spans="1:48" s="113" customFormat="1" ht="15" customHeight="1">
      <c r="A34" s="44"/>
      <c r="B34" s="64" t="s">
        <v>643</v>
      </c>
      <c r="C34" s="115"/>
      <c r="D34" s="46"/>
      <c r="E34" s="46"/>
      <c r="F34" s="46"/>
      <c r="G34" s="46"/>
      <c r="H34" s="66"/>
      <c r="I34" s="116"/>
      <c r="J34" s="46"/>
      <c r="K34" s="46"/>
      <c r="L34" s="46"/>
      <c r="M34" s="46"/>
      <c r="N34" s="66"/>
      <c r="O34" s="116"/>
      <c r="P34" s="46"/>
      <c r="Q34" s="46"/>
      <c r="R34" s="46"/>
      <c r="S34" s="46"/>
      <c r="T34" s="66"/>
      <c r="U34" s="116"/>
      <c r="V34" s="46"/>
      <c r="W34" s="46"/>
      <c r="X34" s="46"/>
      <c r="Y34" s="46"/>
      <c r="Z34" s="66"/>
      <c r="AA34" s="117"/>
      <c r="AB34" s="46"/>
      <c r="AC34" s="46"/>
      <c r="AD34" s="46"/>
      <c r="AE34" s="46"/>
      <c r="AF34" s="66"/>
      <c r="AG34" s="118"/>
      <c r="AH34" s="46"/>
      <c r="AI34" s="46"/>
      <c r="AJ34" s="50"/>
      <c r="AK34" s="50"/>
      <c r="AL34" s="68"/>
      <c r="AM34" s="117"/>
      <c r="AN34" s="50"/>
      <c r="AO34" s="50"/>
      <c r="AP34" s="50"/>
      <c r="AQ34" s="50"/>
      <c r="AR34" s="68"/>
      <c r="AS34" s="117"/>
      <c r="AT34" s="68"/>
      <c r="AU34" s="117"/>
      <c r="AV34" s="68"/>
    </row>
    <row r="35" spans="1:48" s="147" customFormat="1" ht="15" customHeight="1">
      <c r="A35" s="142"/>
      <c r="B35" s="143"/>
      <c r="C35" s="27"/>
      <c r="D35" s="46"/>
      <c r="E35" s="46"/>
      <c r="F35" s="46"/>
      <c r="G35" s="46"/>
      <c r="H35" s="66"/>
      <c r="I35" s="144"/>
      <c r="J35" s="46"/>
      <c r="K35" s="46"/>
      <c r="L35" s="46"/>
      <c r="M35" s="46"/>
      <c r="N35" s="66"/>
      <c r="O35" s="144"/>
      <c r="P35" s="46"/>
      <c r="Q35" s="46"/>
      <c r="R35" s="46"/>
      <c r="S35" s="46"/>
      <c r="T35" s="66"/>
      <c r="U35" s="144"/>
      <c r="V35" s="46"/>
      <c r="W35" s="46"/>
      <c r="X35" s="46"/>
      <c r="Y35" s="46"/>
      <c r="Z35" s="66"/>
      <c r="AA35" s="145"/>
      <c r="AB35" s="46"/>
      <c r="AC35" s="46"/>
      <c r="AD35" s="46"/>
      <c r="AE35" s="46"/>
      <c r="AF35" s="66"/>
      <c r="AG35" s="146"/>
      <c r="AH35" s="46"/>
      <c r="AI35" s="46"/>
      <c r="AJ35" s="50"/>
      <c r="AK35" s="50"/>
      <c r="AL35" s="68"/>
      <c r="AM35" s="148"/>
      <c r="AN35" s="50"/>
      <c r="AO35" s="50"/>
      <c r="AP35" s="50"/>
      <c r="AQ35" s="50"/>
      <c r="AR35" s="68"/>
      <c r="AS35" s="139"/>
      <c r="AT35" s="68"/>
      <c r="AU35" s="139"/>
      <c r="AV35" s="68"/>
    </row>
    <row r="36" spans="1:48" s="113" customFormat="1" ht="15" customHeight="1">
      <c r="A36" s="44" t="s">
        <v>38</v>
      </c>
      <c r="B36" s="114" t="s">
        <v>644</v>
      </c>
      <c r="C36" s="115"/>
      <c r="D36" s="46"/>
      <c r="E36" s="46"/>
      <c r="F36" s="46"/>
      <c r="G36" s="46"/>
      <c r="H36" s="66"/>
      <c r="I36" s="116"/>
      <c r="J36" s="46"/>
      <c r="K36" s="46"/>
      <c r="L36" s="46"/>
      <c r="M36" s="46"/>
      <c r="N36" s="66"/>
      <c r="O36" s="116"/>
      <c r="P36" s="46"/>
      <c r="Q36" s="46"/>
      <c r="R36" s="46"/>
      <c r="S36" s="46"/>
      <c r="T36" s="66"/>
      <c r="U36" s="116"/>
      <c r="V36" s="46"/>
      <c r="W36" s="46"/>
      <c r="X36" s="46"/>
      <c r="Y36" s="46"/>
      <c r="Z36" s="66"/>
      <c r="AA36" s="117"/>
      <c r="AB36" s="46"/>
      <c r="AC36" s="46"/>
      <c r="AD36" s="46"/>
      <c r="AE36" s="46"/>
      <c r="AF36" s="66"/>
      <c r="AG36" s="118"/>
      <c r="AH36" s="46"/>
      <c r="AI36" s="46"/>
      <c r="AJ36" s="50"/>
      <c r="AK36" s="50"/>
      <c r="AL36" s="68"/>
      <c r="AM36" s="149"/>
      <c r="AN36" s="50"/>
      <c r="AO36" s="50"/>
      <c r="AP36" s="50"/>
      <c r="AQ36" s="50"/>
      <c r="AR36" s="68"/>
      <c r="AS36" s="117"/>
      <c r="AT36" s="68"/>
      <c r="AU36" s="117"/>
      <c r="AV36" s="68"/>
    </row>
    <row r="37" spans="1:48" ht="15" customHeight="1">
      <c r="A37" s="43"/>
      <c r="B37" s="127" t="s">
        <v>645</v>
      </c>
      <c r="D37" s="60">
        <v>364237</v>
      </c>
      <c r="E37" s="60">
        <v>296269</v>
      </c>
      <c r="F37" s="60">
        <v>359498</v>
      </c>
      <c r="G37" s="60">
        <v>546875</v>
      </c>
      <c r="H37" s="57">
        <v>546875</v>
      </c>
      <c r="I37" s="20"/>
      <c r="J37" s="60">
        <v>426822</v>
      </c>
      <c r="K37" s="60">
        <v>440149</v>
      </c>
      <c r="L37" s="60">
        <v>479654</v>
      </c>
      <c r="M37" s="60">
        <v>730356</v>
      </c>
      <c r="N37" s="57">
        <v>730356</v>
      </c>
      <c r="O37" s="20"/>
      <c r="P37" s="60">
        <v>556304</v>
      </c>
      <c r="Q37" s="60">
        <v>555919</v>
      </c>
      <c r="R37" s="60">
        <v>506211</v>
      </c>
      <c r="S37" s="60">
        <v>538060</v>
      </c>
      <c r="T37" s="57">
        <v>538060</v>
      </c>
      <c r="U37" s="20"/>
      <c r="V37" s="60">
        <v>751157</v>
      </c>
      <c r="W37" s="60">
        <v>496222</v>
      </c>
      <c r="X37" s="60">
        <v>480175</v>
      </c>
      <c r="Y37" s="60">
        <v>480393</v>
      </c>
      <c r="Z37" s="57">
        <v>480393</v>
      </c>
      <c r="AA37" s="20"/>
      <c r="AB37" s="60">
        <v>507054</v>
      </c>
      <c r="AC37" s="60">
        <v>520258</v>
      </c>
      <c r="AD37" s="60">
        <v>469035</v>
      </c>
      <c r="AE37" s="60">
        <v>475313</v>
      </c>
      <c r="AF37" s="57">
        <v>475313</v>
      </c>
      <c r="AG37" s="150"/>
      <c r="AH37" s="60">
        <v>529098</v>
      </c>
      <c r="AI37" s="60">
        <v>516153</v>
      </c>
      <c r="AJ37" s="50"/>
      <c r="AK37" s="50"/>
      <c r="AL37" s="58"/>
      <c r="AM37" s="20"/>
      <c r="AN37" s="50"/>
      <c r="AO37" s="50"/>
      <c r="AP37" s="50"/>
      <c r="AQ37" s="50"/>
      <c r="AR37" s="58"/>
      <c r="AS37" s="20"/>
      <c r="AT37" s="58"/>
      <c r="AU37" s="20"/>
      <c r="AV37" s="58"/>
    </row>
    <row r="38" spans="1:48" ht="15" customHeight="1">
      <c r="A38" s="43"/>
      <c r="B38" s="127" t="s">
        <v>646</v>
      </c>
      <c r="D38" s="60">
        <v>21933</v>
      </c>
      <c r="E38" s="60">
        <v>23971</v>
      </c>
      <c r="F38" s="60">
        <v>23152</v>
      </c>
      <c r="G38" s="60">
        <v>22944</v>
      </c>
      <c r="H38" s="57">
        <v>22944</v>
      </c>
      <c r="I38" s="20"/>
      <c r="J38" s="60">
        <v>21093</v>
      </c>
      <c r="K38" s="60">
        <v>23260</v>
      </c>
      <c r="L38" s="60">
        <v>21553</v>
      </c>
      <c r="M38" s="60">
        <v>27293</v>
      </c>
      <c r="N38" s="57">
        <v>27293</v>
      </c>
      <c r="O38" s="20"/>
      <c r="P38" s="60">
        <v>27693</v>
      </c>
      <c r="Q38" s="60">
        <v>49076</v>
      </c>
      <c r="R38" s="60">
        <v>44664</v>
      </c>
      <c r="S38" s="60">
        <v>45583</v>
      </c>
      <c r="T38" s="57">
        <v>45583</v>
      </c>
      <c r="U38" s="20"/>
      <c r="V38" s="60">
        <v>44247</v>
      </c>
      <c r="W38" s="60">
        <v>44250</v>
      </c>
      <c r="X38" s="60">
        <v>44330</v>
      </c>
      <c r="Y38" s="60">
        <v>44822</v>
      </c>
      <c r="Z38" s="57">
        <v>44822</v>
      </c>
      <c r="AA38" s="122"/>
      <c r="AB38" s="60">
        <v>44543</v>
      </c>
      <c r="AC38" s="60">
        <v>44250</v>
      </c>
      <c r="AD38" s="60">
        <v>44058</v>
      </c>
      <c r="AE38" s="60">
        <v>43949</v>
      </c>
      <c r="AF38" s="57">
        <v>43949</v>
      </c>
      <c r="AG38" s="124"/>
      <c r="AH38" s="60">
        <v>43878</v>
      </c>
      <c r="AI38" s="60">
        <v>44010</v>
      </c>
      <c r="AJ38" s="50"/>
      <c r="AK38" s="50"/>
      <c r="AL38" s="58"/>
      <c r="AM38" s="151"/>
      <c r="AN38" s="50"/>
      <c r="AO38" s="50"/>
      <c r="AP38" s="50"/>
      <c r="AQ38" s="50"/>
      <c r="AR38" s="58"/>
      <c r="AS38" s="151"/>
      <c r="AT38" s="58"/>
      <c r="AU38" s="151"/>
      <c r="AV38" s="58"/>
    </row>
    <row r="39" spans="1:48" s="113" customFormat="1" ht="15" customHeight="1">
      <c r="B39" s="127" t="s">
        <v>647</v>
      </c>
      <c r="C39" s="115"/>
      <c r="D39" s="60">
        <v>23274</v>
      </c>
      <c r="E39" s="60">
        <v>22830</v>
      </c>
      <c r="F39" s="60">
        <v>23297</v>
      </c>
      <c r="G39" s="60">
        <v>22493</v>
      </c>
      <c r="H39" s="57">
        <v>22493</v>
      </c>
      <c r="I39" s="116"/>
      <c r="J39" s="60">
        <v>22041</v>
      </c>
      <c r="K39" s="60">
        <v>22249</v>
      </c>
      <c r="L39" s="60">
        <v>21987</v>
      </c>
      <c r="M39" s="60">
        <v>22753</v>
      </c>
      <c r="N39" s="57">
        <v>22753</v>
      </c>
      <c r="O39" s="116"/>
      <c r="P39" s="60">
        <v>22007</v>
      </c>
      <c r="Q39" s="60">
        <v>23372</v>
      </c>
      <c r="R39" s="60">
        <v>23916</v>
      </c>
      <c r="S39" s="60">
        <v>25250</v>
      </c>
      <c r="T39" s="57">
        <v>25250</v>
      </c>
      <c r="U39" s="116"/>
      <c r="V39" s="60">
        <v>25882</v>
      </c>
      <c r="W39" s="60">
        <v>26840</v>
      </c>
      <c r="X39" s="60">
        <v>26634</v>
      </c>
      <c r="Y39" s="60">
        <v>26417</v>
      </c>
      <c r="Z39" s="57">
        <v>26417</v>
      </c>
      <c r="AA39" s="129"/>
      <c r="AB39" s="60">
        <v>26078</v>
      </c>
      <c r="AC39" s="60">
        <v>25368</v>
      </c>
      <c r="AD39" s="60">
        <v>25188</v>
      </c>
      <c r="AE39" s="60">
        <v>27938</v>
      </c>
      <c r="AF39" s="57">
        <v>27938</v>
      </c>
      <c r="AG39" s="130"/>
      <c r="AH39" s="60">
        <v>27410</v>
      </c>
      <c r="AI39" s="60">
        <v>27305</v>
      </c>
      <c r="AJ39" s="50"/>
      <c r="AK39" s="50"/>
      <c r="AL39" s="58"/>
      <c r="AM39" s="129"/>
      <c r="AN39" s="50"/>
      <c r="AO39" s="50"/>
      <c r="AP39" s="50"/>
      <c r="AQ39" s="50"/>
      <c r="AR39" s="58"/>
      <c r="AS39" s="129"/>
      <c r="AT39" s="58"/>
      <c r="AU39" s="129"/>
      <c r="AV39" s="58"/>
    </row>
    <row r="40" spans="1:48" ht="15" customHeight="1">
      <c r="A40" s="43"/>
      <c r="B40" s="127" t="s">
        <v>648</v>
      </c>
      <c r="D40" s="60">
        <v>197788</v>
      </c>
      <c r="E40" s="60">
        <v>161483</v>
      </c>
      <c r="F40" s="60">
        <v>191047</v>
      </c>
      <c r="G40" s="60">
        <v>107946</v>
      </c>
      <c r="H40" s="57">
        <v>107946</v>
      </c>
      <c r="I40" s="20"/>
      <c r="J40" s="60">
        <v>244481</v>
      </c>
      <c r="K40" s="60">
        <v>246179</v>
      </c>
      <c r="L40" s="60">
        <v>299642</v>
      </c>
      <c r="M40" s="60">
        <v>134486</v>
      </c>
      <c r="N40" s="57">
        <v>134486</v>
      </c>
      <c r="O40" s="20"/>
      <c r="P40" s="60">
        <v>312397</v>
      </c>
      <c r="Q40" s="60">
        <v>348047</v>
      </c>
      <c r="R40" s="60">
        <v>362987</v>
      </c>
      <c r="S40" s="60">
        <v>379391</v>
      </c>
      <c r="T40" s="57">
        <v>379391</v>
      </c>
      <c r="U40" s="20"/>
      <c r="V40" s="60">
        <v>169023</v>
      </c>
      <c r="W40" s="60">
        <v>311093</v>
      </c>
      <c r="X40" s="60">
        <v>313108</v>
      </c>
      <c r="Y40" s="60">
        <v>299462</v>
      </c>
      <c r="Z40" s="57">
        <v>299462</v>
      </c>
      <c r="AA40" s="20"/>
      <c r="AB40" s="60">
        <v>263208</v>
      </c>
      <c r="AC40" s="60">
        <v>266987</v>
      </c>
      <c r="AD40" s="60">
        <v>276431</v>
      </c>
      <c r="AE40" s="60">
        <v>282122</v>
      </c>
      <c r="AF40" s="57">
        <v>282122</v>
      </c>
      <c r="AG40" s="150"/>
      <c r="AH40" s="60">
        <v>285437</v>
      </c>
      <c r="AI40" s="60">
        <v>293314</v>
      </c>
      <c r="AJ40" s="50"/>
      <c r="AK40" s="50"/>
      <c r="AL40" s="58"/>
      <c r="AM40" s="20"/>
      <c r="AN40" s="50"/>
      <c r="AO40" s="50"/>
      <c r="AP40" s="50"/>
      <c r="AQ40" s="50"/>
      <c r="AR40" s="58"/>
      <c r="AS40" s="20"/>
      <c r="AT40" s="58"/>
      <c r="AU40" s="20"/>
      <c r="AV40" s="58"/>
    </row>
    <row r="41" spans="1:48" s="113" customFormat="1" ht="15" customHeight="1">
      <c r="B41" s="138" t="s">
        <v>649</v>
      </c>
      <c r="C41" s="115"/>
      <c r="D41" s="60">
        <v>607232</v>
      </c>
      <c r="E41" s="60">
        <v>504553</v>
      </c>
      <c r="F41" s="60">
        <v>596994</v>
      </c>
      <c r="G41" s="60">
        <v>700258</v>
      </c>
      <c r="H41" s="77">
        <v>700258</v>
      </c>
      <c r="I41" s="116"/>
      <c r="J41" s="60">
        <v>714437</v>
      </c>
      <c r="K41" s="60">
        <v>731837</v>
      </c>
      <c r="L41" s="60">
        <v>822836</v>
      </c>
      <c r="M41" s="60">
        <v>914888</v>
      </c>
      <c r="N41" s="77">
        <v>914888</v>
      </c>
      <c r="O41" s="116"/>
      <c r="P41" s="60">
        <v>918401</v>
      </c>
      <c r="Q41" s="60">
        <v>976414</v>
      </c>
      <c r="R41" s="60">
        <v>937778</v>
      </c>
      <c r="S41" s="60">
        <v>988284</v>
      </c>
      <c r="T41" s="77">
        <v>988284</v>
      </c>
      <c r="U41" s="116"/>
      <c r="V41" s="60">
        <v>990309</v>
      </c>
      <c r="W41" s="60">
        <v>878405</v>
      </c>
      <c r="X41" s="60">
        <v>864247</v>
      </c>
      <c r="Y41" s="60">
        <v>851094</v>
      </c>
      <c r="Z41" s="77">
        <v>851094</v>
      </c>
      <c r="AA41" s="129"/>
      <c r="AB41" s="60">
        <v>840883</v>
      </c>
      <c r="AC41" s="60">
        <v>856863</v>
      </c>
      <c r="AD41" s="60">
        <v>814712</v>
      </c>
      <c r="AE41" s="60">
        <v>829322</v>
      </c>
      <c r="AF41" s="77">
        <v>829322</v>
      </c>
      <c r="AG41" s="130"/>
      <c r="AH41" s="60">
        <v>885823</v>
      </c>
      <c r="AI41" s="60">
        <v>880782</v>
      </c>
      <c r="AJ41" s="46"/>
      <c r="AK41" s="46"/>
      <c r="AL41" s="77"/>
      <c r="AM41" s="129"/>
      <c r="AN41" s="46"/>
      <c r="AO41" s="46"/>
      <c r="AP41" s="46"/>
      <c r="AQ41" s="46"/>
      <c r="AR41" s="77"/>
      <c r="AS41" s="129"/>
      <c r="AT41" s="77"/>
      <c r="AU41" s="129"/>
      <c r="AV41" s="77"/>
    </row>
    <row r="42" spans="1:48" ht="15" customHeight="1">
      <c r="A42" s="43"/>
      <c r="B42" s="152"/>
      <c r="D42" s="46"/>
      <c r="E42" s="46"/>
      <c r="F42" s="46"/>
      <c r="G42" s="46"/>
      <c r="H42" s="66"/>
      <c r="I42" s="20"/>
      <c r="J42" s="46"/>
      <c r="K42" s="46"/>
      <c r="L42" s="46"/>
      <c r="M42" s="46"/>
      <c r="N42" s="66"/>
      <c r="O42" s="20"/>
      <c r="P42" s="46"/>
      <c r="Q42" s="46"/>
      <c r="R42" s="46"/>
      <c r="S42" s="46"/>
      <c r="T42" s="66"/>
      <c r="U42" s="20"/>
      <c r="V42" s="46"/>
      <c r="W42" s="46"/>
      <c r="X42" s="46"/>
      <c r="Y42" s="46"/>
      <c r="Z42" s="66"/>
      <c r="AA42" s="20"/>
      <c r="AB42" s="46"/>
      <c r="AC42" s="46"/>
      <c r="AD42" s="46"/>
      <c r="AE42" s="46"/>
      <c r="AF42" s="66"/>
      <c r="AG42" s="150"/>
      <c r="AH42" s="46"/>
      <c r="AI42" s="46"/>
      <c r="AJ42" s="46"/>
      <c r="AK42" s="46"/>
      <c r="AL42" s="66"/>
      <c r="AM42" s="20"/>
      <c r="AN42" s="46"/>
      <c r="AO42" s="46"/>
      <c r="AP42" s="46"/>
      <c r="AQ42" s="46"/>
      <c r="AR42" s="66"/>
      <c r="AS42" s="20"/>
      <c r="AT42" s="66"/>
      <c r="AU42" s="20"/>
      <c r="AV42" s="66"/>
    </row>
    <row r="43" spans="1:48" s="113" customFormat="1" ht="15" customHeight="1">
      <c r="A43" s="44" t="s">
        <v>38</v>
      </c>
      <c r="B43" s="114" t="s">
        <v>650</v>
      </c>
      <c r="C43" s="115"/>
      <c r="D43" s="46"/>
      <c r="E43" s="46"/>
      <c r="F43" s="46"/>
      <c r="G43" s="46"/>
      <c r="H43" s="66"/>
      <c r="I43" s="116"/>
      <c r="J43" s="46"/>
      <c r="K43" s="46"/>
      <c r="L43" s="46"/>
      <c r="M43" s="46"/>
      <c r="N43" s="66"/>
      <c r="O43" s="116"/>
      <c r="P43" s="46"/>
      <c r="Q43" s="46"/>
      <c r="R43" s="46"/>
      <c r="S43" s="46"/>
      <c r="T43" s="66"/>
      <c r="U43" s="116"/>
      <c r="V43" s="46"/>
      <c r="W43" s="46"/>
      <c r="X43" s="46"/>
      <c r="Y43" s="46"/>
      <c r="Z43" s="66"/>
      <c r="AA43" s="116"/>
      <c r="AB43" s="46"/>
      <c r="AC43" s="46"/>
      <c r="AD43" s="46"/>
      <c r="AE43" s="46"/>
      <c r="AF43" s="66"/>
      <c r="AG43" s="153"/>
      <c r="AH43" s="46"/>
      <c r="AI43" s="46"/>
      <c r="AJ43" s="46"/>
      <c r="AK43" s="46"/>
      <c r="AL43" s="66"/>
      <c r="AM43" s="116"/>
      <c r="AN43" s="46"/>
      <c r="AO43" s="46"/>
      <c r="AP43" s="46"/>
      <c r="AQ43" s="46"/>
      <c r="AR43" s="66"/>
      <c r="AS43" s="116"/>
      <c r="AT43" s="66"/>
      <c r="AU43" s="116"/>
      <c r="AV43" s="66"/>
    </row>
    <row r="44" spans="1:48" ht="15" customHeight="1">
      <c r="A44" s="43"/>
      <c r="B44" s="127" t="s">
        <v>651</v>
      </c>
      <c r="D44" s="60">
        <v>2177154</v>
      </c>
      <c r="E44" s="60">
        <v>2372945</v>
      </c>
      <c r="F44" s="60">
        <v>1808973</v>
      </c>
      <c r="G44" s="60">
        <v>1706652</v>
      </c>
      <c r="H44" s="66">
        <v>1706652</v>
      </c>
      <c r="I44" s="20"/>
      <c r="J44" s="60">
        <v>1801040</v>
      </c>
      <c r="K44" s="60">
        <v>1795593</v>
      </c>
      <c r="L44" s="60">
        <v>1866022</v>
      </c>
      <c r="M44" s="60">
        <v>2387001</v>
      </c>
      <c r="N44" s="66">
        <v>2387001</v>
      </c>
      <c r="O44" s="20"/>
      <c r="P44" s="60">
        <v>2570132</v>
      </c>
      <c r="Q44" s="60">
        <v>2647313</v>
      </c>
      <c r="R44" s="60">
        <v>2693325</v>
      </c>
      <c r="S44" s="60">
        <v>2676741</v>
      </c>
      <c r="T44" s="66">
        <v>2676741</v>
      </c>
      <c r="U44" s="20"/>
      <c r="V44" s="60">
        <v>2688417</v>
      </c>
      <c r="W44" s="60">
        <v>2687544</v>
      </c>
      <c r="X44" s="60">
        <v>2535896</v>
      </c>
      <c r="Y44" s="60">
        <v>2380373</v>
      </c>
      <c r="Z44" s="66">
        <v>2380373</v>
      </c>
      <c r="AA44" s="20"/>
      <c r="AB44" s="60">
        <v>2370107</v>
      </c>
      <c r="AC44" s="60">
        <v>2359996</v>
      </c>
      <c r="AD44" s="60">
        <v>2361252</v>
      </c>
      <c r="AE44" s="60">
        <v>2351118</v>
      </c>
      <c r="AF44" s="66">
        <v>2351118</v>
      </c>
      <c r="AG44" s="150"/>
      <c r="AH44" s="60">
        <v>2341295</v>
      </c>
      <c r="AI44" s="60">
        <v>2331772</v>
      </c>
      <c r="AJ44" s="46"/>
      <c r="AK44" s="46"/>
      <c r="AL44" s="66"/>
      <c r="AM44" s="20"/>
      <c r="AN44" s="46"/>
      <c r="AO44" s="46"/>
      <c r="AP44" s="46"/>
      <c r="AQ44" s="46"/>
      <c r="AR44" s="66"/>
      <c r="AS44" s="20"/>
      <c r="AT44" s="66"/>
      <c r="AU44" s="20"/>
      <c r="AV44" s="66"/>
    </row>
    <row r="45" spans="1:48" s="113" customFormat="1" ht="15" customHeight="1">
      <c r="B45" s="127" t="s">
        <v>652</v>
      </c>
      <c r="C45" s="115"/>
      <c r="D45" s="60">
        <v>0</v>
      </c>
      <c r="E45" s="60">
        <v>0</v>
      </c>
      <c r="F45" s="60">
        <v>0</v>
      </c>
      <c r="G45" s="60">
        <v>76529</v>
      </c>
      <c r="H45" s="66">
        <v>76529</v>
      </c>
      <c r="I45" s="116"/>
      <c r="J45" s="60">
        <v>0</v>
      </c>
      <c r="K45" s="60">
        <v>0</v>
      </c>
      <c r="L45" s="60">
        <v>0</v>
      </c>
      <c r="M45" s="60">
        <v>74202</v>
      </c>
      <c r="N45" s="66">
        <v>74202</v>
      </c>
      <c r="O45" s="116"/>
      <c r="P45" s="60">
        <v>0</v>
      </c>
      <c r="Q45" s="60">
        <v>0</v>
      </c>
      <c r="R45" s="60">
        <v>0</v>
      </c>
      <c r="S45" s="60">
        <v>80242</v>
      </c>
      <c r="T45" s="66">
        <v>80242</v>
      </c>
      <c r="U45" s="116"/>
      <c r="V45" s="60">
        <v>0</v>
      </c>
      <c r="W45" s="60">
        <v>0</v>
      </c>
      <c r="X45" s="60">
        <v>0</v>
      </c>
      <c r="Y45" s="60">
        <v>87550</v>
      </c>
      <c r="Z45" s="66">
        <v>87550</v>
      </c>
      <c r="AA45" s="116"/>
      <c r="AB45" s="60">
        <v>0</v>
      </c>
      <c r="AC45" s="60">
        <v>0</v>
      </c>
      <c r="AD45" s="60">
        <v>0</v>
      </c>
      <c r="AE45" s="60">
        <v>98042</v>
      </c>
      <c r="AF45" s="66">
        <v>98042</v>
      </c>
      <c r="AG45" s="153"/>
      <c r="AH45" s="60">
        <v>0</v>
      </c>
      <c r="AI45" s="60">
        <v>0</v>
      </c>
      <c r="AJ45" s="46"/>
      <c r="AK45" s="46"/>
      <c r="AL45" s="66"/>
      <c r="AM45" s="116"/>
      <c r="AN45" s="46"/>
      <c r="AO45" s="46"/>
      <c r="AP45" s="46"/>
      <c r="AQ45" s="46"/>
      <c r="AR45" s="66"/>
      <c r="AS45" s="116"/>
      <c r="AT45" s="66"/>
      <c r="AU45" s="116"/>
      <c r="AV45" s="66"/>
    </row>
    <row r="46" spans="1:48" ht="15" customHeight="1">
      <c r="A46" s="43"/>
      <c r="B46" s="127" t="s">
        <v>653</v>
      </c>
      <c r="D46" s="60">
        <v>598887</v>
      </c>
      <c r="E46" s="60">
        <v>597686</v>
      </c>
      <c r="F46" s="60">
        <v>582895</v>
      </c>
      <c r="G46" s="60">
        <v>742386</v>
      </c>
      <c r="H46" s="66">
        <v>742386</v>
      </c>
      <c r="I46" s="20"/>
      <c r="J46" s="60">
        <v>779224</v>
      </c>
      <c r="K46" s="60">
        <v>769477</v>
      </c>
      <c r="L46" s="60">
        <v>785023</v>
      </c>
      <c r="M46" s="60">
        <v>513231</v>
      </c>
      <c r="N46" s="66">
        <v>513231</v>
      </c>
      <c r="O46" s="20"/>
      <c r="P46" s="60">
        <v>557665</v>
      </c>
      <c r="Q46" s="60">
        <v>537676</v>
      </c>
      <c r="R46" s="60">
        <v>542215</v>
      </c>
      <c r="S46" s="60">
        <v>331852</v>
      </c>
      <c r="T46" s="66">
        <v>331852</v>
      </c>
      <c r="U46" s="20"/>
      <c r="V46" s="60">
        <v>415212</v>
      </c>
      <c r="W46" s="60">
        <v>419283</v>
      </c>
      <c r="X46" s="60">
        <v>427250</v>
      </c>
      <c r="Y46" s="60">
        <v>337786</v>
      </c>
      <c r="Z46" s="66">
        <v>337786</v>
      </c>
      <c r="AA46" s="20"/>
      <c r="AB46" s="60">
        <v>408176</v>
      </c>
      <c r="AC46" s="60">
        <v>387013</v>
      </c>
      <c r="AD46" s="60">
        <v>432176</v>
      </c>
      <c r="AE46" s="60">
        <v>366238</v>
      </c>
      <c r="AF46" s="66">
        <v>366238</v>
      </c>
      <c r="AG46" s="150"/>
      <c r="AH46" s="60">
        <v>444342</v>
      </c>
      <c r="AI46" s="60">
        <v>500774</v>
      </c>
      <c r="AJ46" s="46"/>
      <c r="AK46" s="46"/>
      <c r="AL46" s="66"/>
      <c r="AM46" s="20"/>
      <c r="AN46" s="46"/>
      <c r="AO46" s="46"/>
      <c r="AP46" s="46"/>
      <c r="AQ46" s="46"/>
      <c r="AR46" s="66"/>
      <c r="AS46" s="20"/>
      <c r="AT46" s="66"/>
      <c r="AU46" s="20"/>
      <c r="AV46" s="66"/>
    </row>
    <row r="47" spans="1:48" s="113" customFormat="1" ht="15" customHeight="1">
      <c r="B47" s="138" t="s">
        <v>654</v>
      </c>
      <c r="C47" s="115"/>
      <c r="D47" s="60">
        <v>2776041</v>
      </c>
      <c r="E47" s="60">
        <v>2970631</v>
      </c>
      <c r="F47" s="60">
        <v>2391868</v>
      </c>
      <c r="G47" s="60">
        <v>2525567</v>
      </c>
      <c r="H47" s="66">
        <v>2525567</v>
      </c>
      <c r="I47" s="116"/>
      <c r="J47" s="60">
        <v>2580264</v>
      </c>
      <c r="K47" s="60">
        <v>2565070</v>
      </c>
      <c r="L47" s="60">
        <v>2651045</v>
      </c>
      <c r="M47" s="60">
        <v>2974434</v>
      </c>
      <c r="N47" s="66">
        <v>2974434</v>
      </c>
      <c r="O47" s="116"/>
      <c r="P47" s="60">
        <v>3127797</v>
      </c>
      <c r="Q47" s="60">
        <v>3184989</v>
      </c>
      <c r="R47" s="60">
        <v>3235540</v>
      </c>
      <c r="S47" s="60">
        <v>3088835</v>
      </c>
      <c r="T47" s="66">
        <v>3088835</v>
      </c>
      <c r="U47" s="116"/>
      <c r="V47" s="60">
        <v>3103629</v>
      </c>
      <c r="W47" s="60">
        <v>3106827</v>
      </c>
      <c r="X47" s="60">
        <v>2963146</v>
      </c>
      <c r="Y47" s="60">
        <v>2805709</v>
      </c>
      <c r="Z47" s="66">
        <v>2805709</v>
      </c>
      <c r="AA47" s="116"/>
      <c r="AB47" s="60">
        <v>2778283</v>
      </c>
      <c r="AC47" s="60">
        <v>2747009</v>
      </c>
      <c r="AD47" s="60">
        <v>2793428</v>
      </c>
      <c r="AE47" s="60">
        <v>2815398</v>
      </c>
      <c r="AF47" s="66">
        <v>2815398</v>
      </c>
      <c r="AG47" s="153"/>
      <c r="AH47" s="60">
        <v>2785637</v>
      </c>
      <c r="AI47" s="60">
        <v>2832546</v>
      </c>
      <c r="AJ47" s="46"/>
      <c r="AK47" s="46"/>
      <c r="AL47" s="66"/>
      <c r="AM47" s="116"/>
      <c r="AN47" s="46"/>
      <c r="AO47" s="46"/>
      <c r="AP47" s="46"/>
      <c r="AQ47" s="46"/>
      <c r="AR47" s="66"/>
      <c r="AS47" s="116"/>
      <c r="AT47" s="66"/>
      <c r="AU47" s="116"/>
      <c r="AV47" s="66"/>
    </row>
    <row r="48" spans="1:48" ht="15" customHeight="1">
      <c r="A48" s="43"/>
      <c r="B48" s="140" t="s">
        <v>655</v>
      </c>
      <c r="D48" s="60">
        <v>3383273</v>
      </c>
      <c r="E48" s="60">
        <v>3475184</v>
      </c>
      <c r="F48" s="60">
        <v>2988862</v>
      </c>
      <c r="G48" s="60">
        <v>3225825</v>
      </c>
      <c r="H48" s="77">
        <v>3225825</v>
      </c>
      <c r="I48" s="20"/>
      <c r="J48" s="60">
        <v>3294701</v>
      </c>
      <c r="K48" s="60">
        <v>3296907</v>
      </c>
      <c r="L48" s="60">
        <v>3473881</v>
      </c>
      <c r="M48" s="60">
        <v>3889322</v>
      </c>
      <c r="N48" s="77">
        <v>3889322</v>
      </c>
      <c r="O48" s="20"/>
      <c r="P48" s="60">
        <v>4046198</v>
      </c>
      <c r="Q48" s="60">
        <v>4161403</v>
      </c>
      <c r="R48" s="60">
        <v>4173318</v>
      </c>
      <c r="S48" s="60">
        <v>4077119</v>
      </c>
      <c r="T48" s="77">
        <v>4077119</v>
      </c>
      <c r="U48" s="20"/>
      <c r="V48" s="60">
        <v>4093938</v>
      </c>
      <c r="W48" s="60">
        <v>3985232</v>
      </c>
      <c r="X48" s="60">
        <v>3827393</v>
      </c>
      <c r="Y48" s="60">
        <v>3656803</v>
      </c>
      <c r="Z48" s="77">
        <v>3656803</v>
      </c>
      <c r="AA48" s="20"/>
      <c r="AB48" s="60">
        <v>3619166</v>
      </c>
      <c r="AC48" s="60">
        <v>3603872</v>
      </c>
      <c r="AD48" s="60">
        <v>3608140</v>
      </c>
      <c r="AE48" s="60">
        <v>3644720</v>
      </c>
      <c r="AF48" s="77">
        <v>3644720</v>
      </c>
      <c r="AG48" s="150"/>
      <c r="AH48" s="60">
        <v>3671460</v>
      </c>
      <c r="AI48" s="60">
        <v>3713328</v>
      </c>
      <c r="AJ48" s="46"/>
      <c r="AK48" s="46"/>
      <c r="AL48" s="77"/>
      <c r="AM48" s="20"/>
      <c r="AN48" s="46"/>
      <c r="AO48" s="46"/>
      <c r="AP48" s="46"/>
      <c r="AQ48" s="46"/>
      <c r="AR48" s="77"/>
      <c r="AS48" s="20"/>
      <c r="AT48" s="77"/>
      <c r="AU48" s="20"/>
      <c r="AV48" s="77"/>
    </row>
    <row r="50" spans="1:35" ht="15" customHeight="1">
      <c r="A50" s="44" t="s">
        <v>38</v>
      </c>
      <c r="B50" s="114" t="s">
        <v>656</v>
      </c>
      <c r="D50" s="46"/>
      <c r="E50" s="46"/>
      <c r="F50" s="46"/>
      <c r="G50" s="46"/>
      <c r="H50" s="66"/>
      <c r="I50" s="20"/>
      <c r="J50" s="46"/>
      <c r="K50" s="46"/>
      <c r="L50" s="46"/>
      <c r="M50" s="46"/>
      <c r="N50" s="66"/>
      <c r="O50" s="20"/>
      <c r="P50" s="46"/>
      <c r="Q50" s="46"/>
      <c r="R50" s="46"/>
      <c r="S50" s="46"/>
      <c r="T50" s="66"/>
      <c r="U50" s="20"/>
      <c r="V50" s="46"/>
      <c r="W50" s="46"/>
      <c r="X50" s="46"/>
      <c r="Y50" s="46"/>
      <c r="Z50" s="66"/>
      <c r="AA50" s="20"/>
      <c r="AB50" s="46"/>
      <c r="AC50" s="46"/>
      <c r="AD50" s="46"/>
      <c r="AE50" s="46"/>
      <c r="AF50" s="66"/>
      <c r="AG50" s="150"/>
      <c r="AH50" s="46"/>
      <c r="AI50" s="46"/>
    </row>
    <row r="51" spans="1:35" ht="15" customHeight="1">
      <c r="A51" s="43"/>
      <c r="B51" s="127" t="s">
        <v>657</v>
      </c>
      <c r="D51" s="60">
        <v>1894706</v>
      </c>
      <c r="E51" s="60">
        <v>1939517</v>
      </c>
      <c r="F51" s="60">
        <v>2031322</v>
      </c>
      <c r="G51" s="60">
        <v>1976649</v>
      </c>
      <c r="H51" s="66">
        <v>1976649</v>
      </c>
      <c r="I51" s="20"/>
      <c r="J51" s="60">
        <v>1995212</v>
      </c>
      <c r="K51" s="60">
        <v>2125876</v>
      </c>
      <c r="L51" s="60">
        <v>2298970</v>
      </c>
      <c r="M51" s="60">
        <v>2494276</v>
      </c>
      <c r="N51" s="66">
        <v>2494276</v>
      </c>
      <c r="O51" s="20"/>
      <c r="P51" s="60">
        <v>2427967</v>
      </c>
      <c r="Q51" s="60">
        <v>2417970</v>
      </c>
      <c r="R51" s="60">
        <v>2498543</v>
      </c>
      <c r="S51" s="60">
        <v>2797747</v>
      </c>
      <c r="T51" s="66">
        <v>2797747</v>
      </c>
      <c r="U51" s="20"/>
      <c r="V51" s="60">
        <v>2862199</v>
      </c>
      <c r="W51" s="60">
        <v>2999526</v>
      </c>
      <c r="X51" s="60">
        <v>3095215</v>
      </c>
      <c r="Y51" s="60">
        <v>3249889</v>
      </c>
      <c r="Z51" s="66">
        <v>3249889</v>
      </c>
      <c r="AA51" s="20"/>
      <c r="AB51" s="60">
        <v>3311239</v>
      </c>
      <c r="AC51" s="60">
        <v>3421911</v>
      </c>
      <c r="AD51" s="60">
        <v>3592941</v>
      </c>
      <c r="AE51" s="60">
        <v>3638431</v>
      </c>
      <c r="AF51" s="66">
        <v>3638431</v>
      </c>
      <c r="AG51" s="150"/>
      <c r="AH51" s="60">
        <v>3729921</v>
      </c>
      <c r="AI51" s="60">
        <v>3622555</v>
      </c>
    </row>
    <row r="52" spans="1:35" s="113" customFormat="1" ht="15" customHeight="1">
      <c r="B52" s="127" t="s">
        <v>658</v>
      </c>
      <c r="C52" s="115"/>
      <c r="D52" s="60">
        <v>0</v>
      </c>
      <c r="E52" s="60">
        <v>0</v>
      </c>
      <c r="F52" s="60">
        <v>0</v>
      </c>
      <c r="G52" s="60">
        <v>0</v>
      </c>
      <c r="H52" s="66">
        <v>0</v>
      </c>
      <c r="I52" s="116"/>
      <c r="J52" s="60">
        <v>0</v>
      </c>
      <c r="K52" s="60">
        <v>0</v>
      </c>
      <c r="L52" s="60">
        <v>0</v>
      </c>
      <c r="M52" s="60">
        <v>0</v>
      </c>
      <c r="N52" s="66">
        <v>0</v>
      </c>
      <c r="O52" s="116"/>
      <c r="P52" s="60">
        <v>0</v>
      </c>
      <c r="Q52" s="60">
        <v>0</v>
      </c>
      <c r="R52" s="60">
        <v>0</v>
      </c>
      <c r="S52" s="60">
        <v>0</v>
      </c>
      <c r="T52" s="66">
        <v>0</v>
      </c>
      <c r="U52" s="116"/>
      <c r="V52" s="60">
        <v>0</v>
      </c>
      <c r="W52" s="60">
        <v>0</v>
      </c>
      <c r="X52" s="60">
        <v>0</v>
      </c>
      <c r="Y52" s="60">
        <v>0</v>
      </c>
      <c r="Z52" s="66">
        <v>0</v>
      </c>
      <c r="AA52" s="116"/>
      <c r="AB52" s="60">
        <v>0</v>
      </c>
      <c r="AC52" s="60">
        <v>0</v>
      </c>
      <c r="AD52" s="60">
        <v>0</v>
      </c>
      <c r="AE52" s="60">
        <v>0</v>
      </c>
      <c r="AF52" s="66">
        <v>0</v>
      </c>
      <c r="AG52" s="153"/>
      <c r="AH52" s="60">
        <v>0</v>
      </c>
      <c r="AI52" s="60">
        <v>0</v>
      </c>
    </row>
    <row r="53" spans="1:35" ht="15" customHeight="1">
      <c r="A53" s="43"/>
      <c r="B53" s="127" t="s">
        <v>659</v>
      </c>
      <c r="D53" s="60">
        <v>0</v>
      </c>
      <c r="E53" s="60">
        <v>0</v>
      </c>
      <c r="F53" s="60">
        <v>0</v>
      </c>
      <c r="G53" s="60">
        <v>0</v>
      </c>
      <c r="H53" s="66">
        <v>0</v>
      </c>
      <c r="I53" s="20"/>
      <c r="J53" s="60">
        <v>0</v>
      </c>
      <c r="K53" s="60">
        <v>0</v>
      </c>
      <c r="L53" s="60">
        <v>0</v>
      </c>
      <c r="M53" s="60">
        <v>0</v>
      </c>
      <c r="N53" s="66">
        <v>0</v>
      </c>
      <c r="O53" s="20"/>
      <c r="P53" s="60">
        <v>0</v>
      </c>
      <c r="Q53" s="60">
        <v>0</v>
      </c>
      <c r="R53" s="60">
        <v>0</v>
      </c>
      <c r="S53" s="60">
        <v>0</v>
      </c>
      <c r="T53" s="66">
        <v>0</v>
      </c>
      <c r="U53" s="20"/>
      <c r="V53" s="60">
        <v>0</v>
      </c>
      <c r="W53" s="60">
        <v>0</v>
      </c>
      <c r="X53" s="60">
        <v>0</v>
      </c>
      <c r="Y53" s="60">
        <v>0</v>
      </c>
      <c r="Z53" s="66">
        <v>0</v>
      </c>
      <c r="AA53" s="20"/>
      <c r="AB53" s="60">
        <v>0</v>
      </c>
      <c r="AC53" s="60">
        <v>0</v>
      </c>
      <c r="AD53" s="60">
        <v>0</v>
      </c>
      <c r="AE53" s="60">
        <v>0</v>
      </c>
      <c r="AF53" s="66">
        <v>0</v>
      </c>
      <c r="AG53" s="150"/>
      <c r="AH53" s="60">
        <v>0</v>
      </c>
      <c r="AI53" s="60">
        <v>0</v>
      </c>
    </row>
    <row r="54" spans="1:35" s="113" customFormat="1" ht="15" customHeight="1">
      <c r="B54" s="138" t="s">
        <v>660</v>
      </c>
      <c r="C54" s="115"/>
      <c r="D54" s="60">
        <v>1894706</v>
      </c>
      <c r="E54" s="60">
        <v>1939517</v>
      </c>
      <c r="F54" s="60">
        <v>2031322</v>
      </c>
      <c r="G54" s="60">
        <v>1976649</v>
      </c>
      <c r="H54" s="77">
        <v>1976649</v>
      </c>
      <c r="I54" s="116"/>
      <c r="J54" s="60">
        <v>1995212</v>
      </c>
      <c r="K54" s="60">
        <v>2125876</v>
      </c>
      <c r="L54" s="60">
        <v>2298970</v>
      </c>
      <c r="M54" s="60">
        <v>2494276</v>
      </c>
      <c r="N54" s="77">
        <v>2494276</v>
      </c>
      <c r="O54" s="116"/>
      <c r="P54" s="60">
        <v>2427967</v>
      </c>
      <c r="Q54" s="60">
        <v>2417970</v>
      </c>
      <c r="R54" s="60">
        <v>2498543</v>
      </c>
      <c r="S54" s="60">
        <v>2797747</v>
      </c>
      <c r="T54" s="77">
        <v>2797747</v>
      </c>
      <c r="U54" s="116"/>
      <c r="V54" s="60">
        <v>2862199</v>
      </c>
      <c r="W54" s="60">
        <v>2999526</v>
      </c>
      <c r="X54" s="60">
        <v>3095215</v>
      </c>
      <c r="Y54" s="60">
        <v>3249889</v>
      </c>
      <c r="Z54" s="77">
        <v>3249889</v>
      </c>
      <c r="AA54" s="116"/>
      <c r="AB54" s="60">
        <v>3311239</v>
      </c>
      <c r="AC54" s="60">
        <v>3421911</v>
      </c>
      <c r="AD54" s="60">
        <v>3592941</v>
      </c>
      <c r="AE54" s="60">
        <v>3638431</v>
      </c>
      <c r="AF54" s="77">
        <v>3638431</v>
      </c>
      <c r="AG54" s="153"/>
      <c r="AH54" s="60">
        <v>3729921</v>
      </c>
      <c r="AI54" s="60">
        <v>3622555</v>
      </c>
    </row>
    <row r="55" spans="1:35" ht="15" customHeight="1" thickBot="1">
      <c r="A55" s="43"/>
      <c r="B55" s="140" t="s">
        <v>661</v>
      </c>
      <c r="D55" s="60">
        <v>5277979</v>
      </c>
      <c r="E55" s="60">
        <v>5414701</v>
      </c>
      <c r="F55" s="60">
        <v>5020184</v>
      </c>
      <c r="G55" s="60">
        <v>5202474</v>
      </c>
      <c r="H55" s="93">
        <v>5202474</v>
      </c>
      <c r="I55" s="20"/>
      <c r="J55" s="60">
        <v>5289913</v>
      </c>
      <c r="K55" s="60">
        <v>5422783</v>
      </c>
      <c r="L55" s="60">
        <v>5772851</v>
      </c>
      <c r="M55" s="60">
        <v>6383598</v>
      </c>
      <c r="N55" s="93">
        <v>6383598</v>
      </c>
      <c r="O55" s="20"/>
      <c r="P55" s="60">
        <v>6474165</v>
      </c>
      <c r="Q55" s="60">
        <v>6579373</v>
      </c>
      <c r="R55" s="60">
        <v>6671861</v>
      </c>
      <c r="S55" s="60">
        <v>6874866</v>
      </c>
      <c r="T55" s="93">
        <v>6874866</v>
      </c>
      <c r="U55" s="20"/>
      <c r="V55" s="60">
        <v>6956137</v>
      </c>
      <c r="W55" s="60">
        <v>6984758</v>
      </c>
      <c r="X55" s="60">
        <v>6922608</v>
      </c>
      <c r="Y55" s="60">
        <v>6906692</v>
      </c>
      <c r="Z55" s="93">
        <v>6906692</v>
      </c>
      <c r="AA55" s="20"/>
      <c r="AB55" s="60">
        <v>6930405</v>
      </c>
      <c r="AC55" s="60">
        <v>7025783</v>
      </c>
      <c r="AD55" s="60">
        <v>7201081</v>
      </c>
      <c r="AE55" s="60">
        <v>7283151</v>
      </c>
      <c r="AF55" s="93">
        <v>7283151</v>
      </c>
      <c r="AG55" s="150"/>
      <c r="AH55" s="60">
        <v>7401381</v>
      </c>
      <c r="AI55" s="60">
        <v>7335883</v>
      </c>
    </row>
    <row r="56" spans="1:35" ht="15" customHeight="1" thickTop="1"/>
    <row r="57" spans="1:35" ht="15" customHeight="1" thickBot="1">
      <c r="B57" s="114" t="s">
        <v>662</v>
      </c>
      <c r="D57" s="60">
        <v>0</v>
      </c>
      <c r="E57" s="60">
        <v>0</v>
      </c>
      <c r="F57" s="60">
        <v>0</v>
      </c>
      <c r="G57" s="60">
        <v>0</v>
      </c>
      <c r="H57" s="93">
        <v>0</v>
      </c>
      <c r="I57" s="20"/>
      <c r="J57" s="60">
        <v>0</v>
      </c>
      <c r="K57" s="60">
        <v>0</v>
      </c>
      <c r="L57" s="60">
        <v>0</v>
      </c>
      <c r="M57" s="60">
        <v>0</v>
      </c>
      <c r="N57" s="93">
        <v>0</v>
      </c>
      <c r="O57" s="20"/>
      <c r="P57" s="60">
        <v>0</v>
      </c>
      <c r="Q57" s="60">
        <v>0</v>
      </c>
      <c r="R57" s="60">
        <v>0</v>
      </c>
      <c r="S57" s="60">
        <v>0</v>
      </c>
      <c r="T57" s="93">
        <v>0</v>
      </c>
      <c r="U57" s="20"/>
      <c r="V57" s="60">
        <v>0</v>
      </c>
      <c r="W57" s="60">
        <v>0</v>
      </c>
      <c r="X57" s="60">
        <v>0</v>
      </c>
      <c r="Y57" s="60">
        <v>0</v>
      </c>
      <c r="Z57" s="93">
        <v>0</v>
      </c>
      <c r="AA57" s="20"/>
      <c r="AB57" s="60">
        <v>0</v>
      </c>
      <c r="AC57" s="60">
        <v>0</v>
      </c>
      <c r="AD57" s="60">
        <v>0</v>
      </c>
      <c r="AE57" s="60">
        <v>0</v>
      </c>
      <c r="AF57" s="93">
        <v>0</v>
      </c>
      <c r="AG57" s="150"/>
      <c r="AH57" s="60">
        <v>0</v>
      </c>
      <c r="AI57" s="60">
        <v>0</v>
      </c>
    </row>
    <row r="58" spans="1:35" ht="15" customHeight="1" thickTop="1"/>
  </sheetData>
  <mergeCells count="7">
    <mergeCell ref="AN8:AR8"/>
    <mergeCell ref="AH8:AL8"/>
    <mergeCell ref="D8:H8"/>
    <mergeCell ref="J8:N8"/>
    <mergeCell ref="P8:T8"/>
    <mergeCell ref="V8:Z8"/>
    <mergeCell ref="AB8:AF8"/>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tabColor theme="4" tint="-0.249977111117893"/>
    <pageSetUpPr autoPageBreaks="0"/>
  </sheetPr>
  <dimension ref="A1:AX50"/>
  <sheetViews>
    <sheetView showGridLines="0" topLeftCell="F12" zoomScaleNormal="100" workbookViewId="0">
      <selection activeCell="Y30" sqref="Y30"/>
    </sheetView>
  </sheetViews>
  <sheetFormatPr defaultColWidth="9" defaultRowHeight="15" customHeight="1" outlineLevelCol="1"/>
  <cols>
    <col min="1" max="1" width="2" style="41" customWidth="1"/>
    <col min="2" max="2" width="50.5" style="41" customWidth="1"/>
    <col min="3" max="3" width="3.375" style="17" customWidth="1"/>
    <col min="4" max="7" width="9.5" style="41" customWidth="1" outlineLevel="1"/>
    <col min="8" max="8" width="10" style="41" customWidth="1"/>
    <col min="9" max="9" width="2.5" style="17" customWidth="1"/>
    <col min="10" max="10" width="10.375" style="41" customWidth="1" outlineLevel="1"/>
    <col min="11" max="11" width="10" style="41" customWidth="1" outlineLevel="1"/>
    <col min="12" max="12" width="9.5" style="41" customWidth="1" outlineLevel="1"/>
    <col min="13" max="13" width="10.5" style="41" customWidth="1" outlineLevel="1"/>
    <col min="14" max="14" width="9.5" style="41" customWidth="1"/>
    <col min="15" max="15" width="2.375" style="17" customWidth="1"/>
    <col min="16" max="16" width="10" style="41" customWidth="1" outlineLevel="1"/>
    <col min="17" max="17" width="9" style="41" customWidth="1" outlineLevel="1"/>
    <col min="18" max="18" width="8.5" style="41" customWidth="1" outlineLevel="1"/>
    <col min="19" max="19" width="9.875" style="41" customWidth="1" outlineLevel="1"/>
    <col min="20" max="20" width="11.5" style="41" customWidth="1"/>
    <col min="21" max="21" width="2" style="17" customWidth="1"/>
    <col min="22" max="22" width="8" style="41" customWidth="1" outlineLevel="1"/>
    <col min="23" max="23" width="7.875" style="41" customWidth="1" outlineLevel="1"/>
    <col min="24" max="24" width="8.875" style="41" customWidth="1" outlineLevel="1"/>
    <col min="25" max="25" width="10" style="41" customWidth="1" outlineLevel="1"/>
    <col min="26" max="26" width="11.5" style="41" customWidth="1"/>
    <col min="27" max="27" width="2.5" style="17" customWidth="1"/>
    <col min="28" max="29" width="10" style="41" customWidth="1" outlineLevel="1"/>
    <col min="30" max="30" width="9.875" style="41" customWidth="1" outlineLevel="1"/>
    <col min="31" max="31" width="11" style="41" customWidth="1" outlineLevel="1"/>
    <col min="32" max="32" width="11.5" style="41" customWidth="1"/>
    <col min="33" max="33" width="1.5" style="17" customWidth="1"/>
    <col min="34" max="37" width="9.5" style="41" customWidth="1" outlineLevel="1"/>
    <col min="38" max="38" width="11.5" style="41" customWidth="1"/>
    <col min="39" max="39" width="1.5" style="17" customWidth="1"/>
    <col min="40" max="43" width="9.5" style="41" customWidth="1" outlineLevel="1"/>
    <col min="44" max="44" width="11.5" style="41" customWidth="1"/>
    <col min="45" max="45" width="1.5" style="17" customWidth="1"/>
    <col min="46" max="46" width="11.5" style="41" customWidth="1"/>
    <col min="47" max="47" width="1.5" style="17" customWidth="1"/>
    <col min="48" max="48" width="11.5" style="42" customWidth="1"/>
    <col min="49" max="49" width="1.5" style="41" customWidth="1"/>
    <col min="50" max="50" width="11.5" style="41" customWidth="1"/>
    <col min="51" max="51" width="1.5" style="41" customWidth="1"/>
    <col min="52" max="16384" width="9" style="41"/>
  </cols>
  <sheetData>
    <row r="1" spans="1:50" s="582" customFormat="1" ht="15" customHeight="1"/>
    <row r="2" spans="1:50" s="582" customFormat="1" ht="15" customHeight="1"/>
    <row r="3" spans="1:50" s="582" customFormat="1" ht="15" customHeight="1"/>
    <row r="4" spans="1:50" s="582" customFormat="1" ht="15" customHeight="1"/>
    <row r="5" spans="1:50" s="578" customFormat="1" ht="3.95" customHeight="1">
      <c r="C5" s="579"/>
      <c r="I5" s="579"/>
      <c r="O5" s="579"/>
      <c r="U5" s="579"/>
      <c r="AA5" s="579"/>
      <c r="AG5" s="579"/>
      <c r="AM5" s="579"/>
      <c r="AS5" s="579"/>
      <c r="AU5" s="579"/>
      <c r="AV5" s="580"/>
    </row>
    <row r="7" spans="1:50" ht="15" customHeight="1">
      <c r="A7" s="44" t="s">
        <v>38</v>
      </c>
      <c r="B7" s="161" t="s">
        <v>458</v>
      </c>
      <c r="C7" s="18"/>
      <c r="D7" s="202">
        <v>2020</v>
      </c>
      <c r="E7" s="202">
        <v>2020</v>
      </c>
      <c r="F7" s="202">
        <v>2020</v>
      </c>
      <c r="G7" s="202">
        <v>2020</v>
      </c>
      <c r="H7" s="202">
        <v>2020</v>
      </c>
      <c r="I7" s="18"/>
      <c r="J7" s="202">
        <v>2021</v>
      </c>
      <c r="K7" s="202">
        <v>2021</v>
      </c>
      <c r="L7" s="202">
        <v>2021</v>
      </c>
      <c r="M7" s="202">
        <v>2021</v>
      </c>
      <c r="N7" s="202">
        <v>2021</v>
      </c>
      <c r="O7" s="169"/>
      <c r="P7" s="202">
        <v>2022</v>
      </c>
      <c r="Q7" s="202">
        <v>2022</v>
      </c>
      <c r="R7" s="202">
        <v>2022</v>
      </c>
      <c r="S7" s="202">
        <v>2022</v>
      </c>
      <c r="T7" s="202">
        <v>2022</v>
      </c>
      <c r="U7" s="169"/>
      <c r="V7" s="202">
        <v>2023</v>
      </c>
      <c r="W7" s="202">
        <v>2023</v>
      </c>
      <c r="X7" s="202">
        <v>2023</v>
      </c>
      <c r="Y7" s="202">
        <v>2023</v>
      </c>
      <c r="Z7" s="202">
        <v>2023</v>
      </c>
      <c r="AA7" s="170"/>
      <c r="AB7" s="202">
        <v>2024</v>
      </c>
      <c r="AC7" s="202">
        <v>2024</v>
      </c>
      <c r="AD7" s="202">
        <v>2024</v>
      </c>
      <c r="AE7" s="202">
        <v>2024</v>
      </c>
      <c r="AF7" s="202">
        <v>2024</v>
      </c>
      <c r="AG7" s="170"/>
      <c r="AH7" s="202">
        <v>2025</v>
      </c>
      <c r="AI7" s="202">
        <v>2025</v>
      </c>
      <c r="AJ7" s="203">
        <v>2025</v>
      </c>
      <c r="AK7" s="202">
        <v>2025</v>
      </c>
      <c r="AL7" s="202">
        <v>2025</v>
      </c>
      <c r="AM7" s="171"/>
      <c r="AN7" s="202">
        <v>2025</v>
      </c>
      <c r="AO7" s="202">
        <v>2025</v>
      </c>
      <c r="AP7" s="203">
        <v>2025</v>
      </c>
      <c r="AQ7" s="202">
        <v>2025</v>
      </c>
      <c r="AR7" s="202">
        <v>2025</v>
      </c>
      <c r="AS7" s="18"/>
      <c r="AT7" s="162"/>
      <c r="AU7" s="18"/>
      <c r="AV7" s="163"/>
      <c r="AW7" s="18"/>
      <c r="AX7" s="163"/>
    </row>
    <row r="8" spans="1:50" ht="15" customHeight="1">
      <c r="B8" s="164"/>
      <c r="C8" s="18"/>
      <c r="D8" s="815">
        <v>2020</v>
      </c>
      <c r="E8" s="815"/>
      <c r="F8" s="815"/>
      <c r="G8" s="815"/>
      <c r="H8" s="815"/>
      <c r="I8" s="169"/>
      <c r="J8" s="815">
        <v>2021</v>
      </c>
      <c r="K8" s="815"/>
      <c r="L8" s="815"/>
      <c r="M8" s="815"/>
      <c r="N8" s="815"/>
      <c r="O8" s="169"/>
      <c r="P8" s="815">
        <v>2022</v>
      </c>
      <c r="Q8" s="815"/>
      <c r="R8" s="815"/>
      <c r="S8" s="815"/>
      <c r="T8" s="815"/>
      <c r="U8" s="169"/>
      <c r="V8" s="815">
        <v>2023</v>
      </c>
      <c r="W8" s="815"/>
      <c r="X8" s="815"/>
      <c r="Y8" s="815"/>
      <c r="Z8" s="815"/>
      <c r="AA8" s="169"/>
      <c r="AB8" s="815">
        <v>2024</v>
      </c>
      <c r="AC8" s="815"/>
      <c r="AD8" s="815"/>
      <c r="AE8" s="815"/>
      <c r="AF8" s="815"/>
      <c r="AG8" s="169"/>
      <c r="AH8" s="813">
        <v>2025</v>
      </c>
      <c r="AI8" s="813"/>
      <c r="AJ8" s="813"/>
      <c r="AK8" s="813"/>
      <c r="AL8" s="813"/>
      <c r="AM8" s="169"/>
      <c r="AN8" s="813">
        <v>2026</v>
      </c>
      <c r="AO8" s="813"/>
      <c r="AP8" s="813"/>
      <c r="AQ8" s="813"/>
      <c r="AR8" s="813"/>
      <c r="AS8" s="171"/>
      <c r="AT8" s="166">
        <v>2027</v>
      </c>
      <c r="AU8" s="167"/>
      <c r="AV8" s="166">
        <v>2028</v>
      </c>
      <c r="AW8" s="167"/>
      <c r="AX8" s="166">
        <v>2029</v>
      </c>
    </row>
    <row r="9" spans="1:50" ht="15" customHeight="1">
      <c r="B9" s="164"/>
      <c r="C9" s="18"/>
      <c r="D9" s="168" t="s">
        <v>191</v>
      </c>
      <c r="E9" s="168" t="s">
        <v>192</v>
      </c>
      <c r="F9" s="168" t="s">
        <v>193</v>
      </c>
      <c r="G9" s="168" t="s">
        <v>194</v>
      </c>
      <c r="H9" s="168" t="s">
        <v>195</v>
      </c>
      <c r="I9" s="18"/>
      <c r="J9" s="168" t="s">
        <v>191</v>
      </c>
      <c r="K9" s="168" t="s">
        <v>192</v>
      </c>
      <c r="L9" s="168" t="s">
        <v>193</v>
      </c>
      <c r="M9" s="168" t="s">
        <v>194</v>
      </c>
      <c r="N9" s="168" t="s">
        <v>195</v>
      </c>
      <c r="O9" s="165"/>
      <c r="P9" s="168" t="s">
        <v>191</v>
      </c>
      <c r="Q9" s="168" t="s">
        <v>192</v>
      </c>
      <c r="R9" s="168" t="s">
        <v>193</v>
      </c>
      <c r="S9" s="168" t="s">
        <v>194</v>
      </c>
      <c r="T9" s="168" t="s">
        <v>195</v>
      </c>
      <c r="U9" s="165"/>
      <c r="V9" s="168" t="s">
        <v>191</v>
      </c>
      <c r="W9" s="168" t="s">
        <v>192</v>
      </c>
      <c r="X9" s="168" t="s">
        <v>193</v>
      </c>
      <c r="Y9" s="168" t="s">
        <v>194</v>
      </c>
      <c r="Z9" s="168" t="s">
        <v>195</v>
      </c>
      <c r="AA9" s="165"/>
      <c r="AB9" s="168" t="s">
        <v>191</v>
      </c>
      <c r="AC9" s="168" t="s">
        <v>192</v>
      </c>
      <c r="AD9" s="168" t="s">
        <v>193</v>
      </c>
      <c r="AE9" s="168" t="s">
        <v>194</v>
      </c>
      <c r="AF9" s="168" t="s">
        <v>195</v>
      </c>
      <c r="AG9" s="165"/>
      <c r="AH9" s="168" t="s">
        <v>191</v>
      </c>
      <c r="AI9" s="168" t="s">
        <v>192</v>
      </c>
      <c r="AJ9" s="168" t="s">
        <v>193</v>
      </c>
      <c r="AK9" s="168" t="s">
        <v>194</v>
      </c>
      <c r="AL9" s="168" t="s">
        <v>195</v>
      </c>
      <c r="AM9" s="165"/>
      <c r="AN9" s="168" t="s">
        <v>191</v>
      </c>
      <c r="AO9" s="168" t="s">
        <v>192</v>
      </c>
      <c r="AP9" s="168" t="s">
        <v>193</v>
      </c>
      <c r="AQ9" s="168" t="s">
        <v>194</v>
      </c>
      <c r="AR9" s="168" t="s">
        <v>195</v>
      </c>
      <c r="AS9" s="165"/>
      <c r="AT9" s="168" t="s">
        <v>195</v>
      </c>
      <c r="AU9" s="165"/>
      <c r="AV9" s="168" t="s">
        <v>195</v>
      </c>
      <c r="AW9" s="165"/>
      <c r="AX9" s="168" t="s">
        <v>195</v>
      </c>
    </row>
    <row r="10" spans="1:50" ht="3.95"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ht="3.95"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0" s="54" customFormat="1" ht="15" customHeight="1">
      <c r="B12" s="154" t="s">
        <v>663</v>
      </c>
      <c r="C12" s="17"/>
      <c r="D12" s="60">
        <v>94500</v>
      </c>
      <c r="E12" s="46">
        <v>381043</v>
      </c>
      <c r="F12" s="46">
        <v>649720</v>
      </c>
      <c r="G12" s="46">
        <v>220310</v>
      </c>
      <c r="H12" s="57">
        <v>268103</v>
      </c>
      <c r="I12" s="48"/>
      <c r="J12" s="46">
        <v>268103</v>
      </c>
      <c r="K12" s="46">
        <v>309331</v>
      </c>
      <c r="L12" s="46">
        <v>395562</v>
      </c>
      <c r="M12" s="46">
        <v>251476</v>
      </c>
      <c r="N12" s="57">
        <v>180362</v>
      </c>
      <c r="O12" s="47"/>
      <c r="P12" s="46">
        <v>180362</v>
      </c>
      <c r="Q12" s="46">
        <v>146676</v>
      </c>
      <c r="R12" s="46">
        <v>166589</v>
      </c>
      <c r="S12" s="46">
        <v>144918</v>
      </c>
      <c r="T12" s="57">
        <v>162001</v>
      </c>
      <c r="U12" s="47"/>
      <c r="V12" s="46">
        <v>162001</v>
      </c>
      <c r="W12" s="46">
        <v>156524</v>
      </c>
      <c r="X12" s="46">
        <v>157279</v>
      </c>
      <c r="Y12" s="46">
        <v>167189</v>
      </c>
      <c r="Z12" s="57">
        <v>247496</v>
      </c>
      <c r="AA12" s="47"/>
      <c r="AB12" s="46">
        <v>247496</v>
      </c>
      <c r="AC12" s="46">
        <v>341018</v>
      </c>
      <c r="AD12" s="46">
        <v>459457</v>
      </c>
      <c r="AE12" s="46">
        <v>606004</v>
      </c>
      <c r="AF12" s="57">
        <v>689533</v>
      </c>
      <c r="AG12" s="49"/>
      <c r="AH12" s="46">
        <v>689533</v>
      </c>
      <c r="AI12" s="46">
        <v>745143</v>
      </c>
      <c r="AJ12" s="46"/>
      <c r="AK12" s="46"/>
      <c r="AL12" s="58"/>
      <c r="AM12" s="53"/>
      <c r="AN12" s="50"/>
      <c r="AO12" s="50"/>
      <c r="AP12" s="50"/>
      <c r="AQ12" s="50"/>
      <c r="AR12" s="58"/>
      <c r="AS12" s="53"/>
      <c r="AT12" s="58"/>
      <c r="AU12" s="53"/>
      <c r="AV12" s="58"/>
      <c r="AX12" s="58"/>
    </row>
    <row r="13" spans="1:50" s="54" customFormat="1" ht="15" customHeight="1">
      <c r="A13" s="43"/>
      <c r="B13" s="154"/>
      <c r="C13" s="17"/>
      <c r="D13" s="46"/>
      <c r="E13" s="46"/>
      <c r="F13" s="46"/>
      <c r="G13" s="46"/>
      <c r="H13" s="57"/>
      <c r="I13" s="48"/>
      <c r="J13" s="46"/>
      <c r="K13" s="46"/>
      <c r="L13" s="46"/>
      <c r="M13" s="46"/>
      <c r="N13" s="57"/>
      <c r="O13" s="47"/>
      <c r="P13" s="46"/>
      <c r="Q13" s="46"/>
      <c r="R13" s="46"/>
      <c r="S13" s="46"/>
      <c r="T13" s="57"/>
      <c r="U13" s="47"/>
      <c r="V13" s="46"/>
      <c r="W13" s="46"/>
      <c r="X13" s="46"/>
      <c r="Y13" s="46"/>
      <c r="Z13" s="57"/>
      <c r="AA13" s="47"/>
      <c r="AB13" s="46"/>
      <c r="AC13" s="46"/>
      <c r="AD13" s="46"/>
      <c r="AE13" s="46"/>
      <c r="AF13" s="57"/>
      <c r="AG13" s="49"/>
      <c r="AH13" s="46"/>
      <c r="AI13" s="46"/>
      <c r="AJ13" s="50"/>
      <c r="AK13" s="50"/>
      <c r="AL13" s="58"/>
      <c r="AM13" s="53"/>
      <c r="AN13" s="50"/>
      <c r="AO13" s="50"/>
      <c r="AP13" s="50"/>
      <c r="AQ13" s="50"/>
      <c r="AR13" s="58"/>
      <c r="AS13" s="53"/>
      <c r="AT13" s="58"/>
      <c r="AU13" s="53"/>
      <c r="AV13" s="58"/>
      <c r="AX13" s="58"/>
    </row>
    <row r="14" spans="1:50" s="54" customFormat="1" ht="15" customHeight="1">
      <c r="A14" s="44" t="s">
        <v>38</v>
      </c>
      <c r="B14" s="154" t="s">
        <v>664</v>
      </c>
      <c r="C14" s="17"/>
      <c r="D14" s="46"/>
      <c r="E14" s="46"/>
      <c r="F14" s="46"/>
      <c r="G14" s="46"/>
      <c r="H14" s="66"/>
      <c r="I14" s="48"/>
      <c r="J14" s="46"/>
      <c r="K14" s="46"/>
      <c r="L14" s="46"/>
      <c r="M14" s="46"/>
      <c r="N14" s="66"/>
      <c r="O14" s="47"/>
      <c r="P14" s="46"/>
      <c r="Q14" s="46"/>
      <c r="R14" s="46"/>
      <c r="S14" s="46"/>
      <c r="T14" s="66"/>
      <c r="U14" s="47"/>
      <c r="V14" s="46"/>
      <c r="W14" s="46"/>
      <c r="X14" s="46"/>
      <c r="Y14" s="46"/>
      <c r="Z14" s="66"/>
      <c r="AA14" s="47"/>
      <c r="AB14" s="46"/>
      <c r="AC14" s="46"/>
      <c r="AD14" s="46"/>
      <c r="AE14" s="46"/>
      <c r="AF14" s="66"/>
      <c r="AG14" s="49"/>
      <c r="AH14" s="46"/>
      <c r="AI14" s="46"/>
      <c r="AJ14" s="50"/>
      <c r="AK14" s="50"/>
      <c r="AL14" s="68"/>
      <c r="AM14" s="53"/>
      <c r="AN14" s="50"/>
      <c r="AO14" s="50"/>
      <c r="AP14" s="50"/>
      <c r="AQ14" s="50"/>
      <c r="AR14" s="68"/>
      <c r="AS14" s="53"/>
      <c r="AT14" s="68"/>
      <c r="AU14" s="53"/>
      <c r="AV14" s="68"/>
      <c r="AX14" s="68"/>
    </row>
    <row r="15" spans="1:50" s="54" customFormat="1" ht="15" customHeight="1">
      <c r="A15" s="43"/>
      <c r="B15" s="155" t="s">
        <v>538</v>
      </c>
      <c r="C15" s="17"/>
      <c r="D15" s="60">
        <v>73779</v>
      </c>
      <c r="E15" s="60">
        <v>21162</v>
      </c>
      <c r="F15" s="60">
        <v>60516</v>
      </c>
      <c r="G15" s="60">
        <v>51837</v>
      </c>
      <c r="H15" s="57">
        <v>207294</v>
      </c>
      <c r="I15" s="48"/>
      <c r="J15" s="60">
        <v>89263</v>
      </c>
      <c r="K15" s="60">
        <v>120585</v>
      </c>
      <c r="L15" s="60">
        <v>175966</v>
      </c>
      <c r="M15" s="60">
        <v>102678</v>
      </c>
      <c r="N15" s="57">
        <v>488492</v>
      </c>
      <c r="O15" s="47"/>
      <c r="P15" s="60">
        <v>85755</v>
      </c>
      <c r="Q15" s="60">
        <v>113248</v>
      </c>
      <c r="R15" s="60">
        <v>104369</v>
      </c>
      <c r="S15" s="60">
        <v>133197</v>
      </c>
      <c r="T15" s="57">
        <v>436569</v>
      </c>
      <c r="U15" s="47"/>
      <c r="V15" s="60">
        <v>99089</v>
      </c>
      <c r="W15" s="60">
        <v>116850</v>
      </c>
      <c r="X15" s="60">
        <v>108650</v>
      </c>
      <c r="Y15" s="60">
        <v>76293</v>
      </c>
      <c r="Z15" s="57">
        <v>400882</v>
      </c>
      <c r="AA15" s="47"/>
      <c r="AB15" s="60">
        <v>86568</v>
      </c>
      <c r="AC15" s="60">
        <v>115395</v>
      </c>
      <c r="AD15" s="60">
        <v>114166</v>
      </c>
      <c r="AE15" s="60">
        <v>112304</v>
      </c>
      <c r="AF15" s="57">
        <v>428433</v>
      </c>
      <c r="AG15" s="49"/>
      <c r="AH15" s="60">
        <v>92352</v>
      </c>
      <c r="AI15" s="60">
        <v>105956</v>
      </c>
      <c r="AJ15" s="50"/>
      <c r="AK15" s="50"/>
      <c r="AL15" s="58"/>
      <c r="AM15" s="53"/>
      <c r="AN15" s="50"/>
      <c r="AO15" s="50"/>
      <c r="AP15" s="50"/>
      <c r="AQ15" s="50"/>
      <c r="AR15" s="58"/>
      <c r="AS15" s="53"/>
      <c r="AT15" s="58"/>
      <c r="AU15" s="53"/>
      <c r="AV15" s="58"/>
      <c r="AX15" s="58"/>
    </row>
    <row r="16" spans="1:50" s="54" customFormat="1" ht="15" customHeight="1">
      <c r="A16" s="43"/>
      <c r="B16" s="155" t="s">
        <v>665</v>
      </c>
      <c r="C16" s="17"/>
      <c r="D16" s="46"/>
      <c r="E16" s="46"/>
      <c r="F16" s="46"/>
      <c r="G16" s="46"/>
      <c r="H16" s="57"/>
      <c r="I16" s="48"/>
      <c r="J16" s="46"/>
      <c r="K16" s="46"/>
      <c r="L16" s="46"/>
      <c r="M16" s="46"/>
      <c r="N16" s="57"/>
      <c r="O16" s="57"/>
      <c r="P16" s="46"/>
      <c r="Q16" s="46"/>
      <c r="R16" s="46"/>
      <c r="S16" s="46"/>
      <c r="T16" s="57"/>
      <c r="U16" s="57"/>
      <c r="V16" s="46"/>
      <c r="W16" s="46"/>
      <c r="X16" s="46"/>
      <c r="Y16" s="46"/>
      <c r="Z16" s="57"/>
      <c r="AA16" s="57"/>
      <c r="AB16" s="46"/>
      <c r="AC16" s="46"/>
      <c r="AD16" s="46"/>
      <c r="AE16" s="46"/>
      <c r="AF16" s="57"/>
      <c r="AG16" s="49"/>
      <c r="AH16" s="46"/>
      <c r="AI16" s="46"/>
      <c r="AJ16" s="50"/>
      <c r="AK16" s="50"/>
      <c r="AL16" s="58"/>
      <c r="AM16" s="53"/>
      <c r="AN16" s="50"/>
      <c r="AO16" s="50"/>
      <c r="AP16" s="50"/>
      <c r="AQ16" s="50"/>
      <c r="AR16" s="58"/>
      <c r="AS16" s="53"/>
      <c r="AT16" s="58"/>
      <c r="AU16" s="53"/>
      <c r="AV16" s="58"/>
      <c r="AX16" s="58"/>
    </row>
    <row r="17" spans="1:50" s="54" customFormat="1" ht="15" customHeight="1">
      <c r="A17" s="43"/>
      <c r="B17" s="156" t="s">
        <v>599</v>
      </c>
      <c r="C17" s="17"/>
      <c r="D17" s="60">
        <v>26599</v>
      </c>
      <c r="E17" s="60">
        <v>27611</v>
      </c>
      <c r="F17" s="60">
        <v>27384</v>
      </c>
      <c r="G17" s="60">
        <v>28938</v>
      </c>
      <c r="H17" s="57">
        <v>110532</v>
      </c>
      <c r="I17" s="48"/>
      <c r="J17" s="60">
        <v>30432</v>
      </c>
      <c r="K17" s="60">
        <v>29610</v>
      </c>
      <c r="L17" s="60">
        <v>30630</v>
      </c>
      <c r="M17" s="60">
        <v>34571</v>
      </c>
      <c r="N17" s="57">
        <v>125243</v>
      </c>
      <c r="O17" s="47"/>
      <c r="P17" s="60">
        <v>46742</v>
      </c>
      <c r="Q17" s="60">
        <v>29035</v>
      </c>
      <c r="R17" s="60">
        <v>31140</v>
      </c>
      <c r="S17" s="60">
        <v>31144</v>
      </c>
      <c r="T17" s="57">
        <v>138061</v>
      </c>
      <c r="U17" s="47"/>
      <c r="V17" s="60">
        <v>34947</v>
      </c>
      <c r="W17" s="60">
        <v>30830</v>
      </c>
      <c r="X17" s="60">
        <v>33281</v>
      </c>
      <c r="Y17" s="60">
        <v>33546</v>
      </c>
      <c r="Z17" s="57">
        <v>132604</v>
      </c>
      <c r="AA17" s="47"/>
      <c r="AB17" s="60">
        <v>32410</v>
      </c>
      <c r="AC17" s="60">
        <v>31646</v>
      </c>
      <c r="AD17" s="60">
        <v>30780</v>
      </c>
      <c r="AE17" s="60">
        <v>32338</v>
      </c>
      <c r="AF17" s="57">
        <v>127174</v>
      </c>
      <c r="AG17" s="49"/>
      <c r="AH17" s="60">
        <v>32145</v>
      </c>
      <c r="AI17" s="60">
        <v>32190</v>
      </c>
      <c r="AJ17" s="50"/>
      <c r="AK17" s="50"/>
      <c r="AL17" s="57"/>
      <c r="AM17" s="53"/>
      <c r="AN17" s="50"/>
      <c r="AO17" s="50"/>
      <c r="AP17" s="50"/>
      <c r="AQ17" s="50"/>
      <c r="AR17" s="57"/>
      <c r="AS17" s="53"/>
      <c r="AT17" s="58"/>
      <c r="AU17" s="53"/>
      <c r="AV17" s="58"/>
      <c r="AX17" s="58"/>
    </row>
    <row r="18" spans="1:50" s="54" customFormat="1" ht="15" customHeight="1">
      <c r="A18" s="43"/>
      <c r="B18" s="156" t="s">
        <v>666</v>
      </c>
      <c r="C18" s="17"/>
      <c r="D18" s="60">
        <v>4159</v>
      </c>
      <c r="E18" s="60">
        <v>4963</v>
      </c>
      <c r="F18" s="60">
        <v>5300</v>
      </c>
      <c r="G18" s="60">
        <v>5191</v>
      </c>
      <c r="H18" s="57">
        <v>19613</v>
      </c>
      <c r="I18" s="48"/>
      <c r="J18" s="60">
        <v>7609</v>
      </c>
      <c r="K18" s="60">
        <v>9329</v>
      </c>
      <c r="L18" s="60">
        <v>10198</v>
      </c>
      <c r="M18" s="60">
        <v>15194</v>
      </c>
      <c r="N18" s="57">
        <v>42330</v>
      </c>
      <c r="O18" s="47"/>
      <c r="P18" s="60">
        <v>13723</v>
      </c>
      <c r="Q18" s="60">
        <v>13157</v>
      </c>
      <c r="R18" s="60">
        <v>15761</v>
      </c>
      <c r="S18" s="60">
        <v>15727</v>
      </c>
      <c r="T18" s="57">
        <v>58368</v>
      </c>
      <c r="U18" s="47"/>
      <c r="V18" s="60">
        <v>12232</v>
      </c>
      <c r="W18" s="60">
        <v>9898</v>
      </c>
      <c r="X18" s="60">
        <v>13175</v>
      </c>
      <c r="Y18" s="60">
        <v>15742</v>
      </c>
      <c r="Z18" s="57">
        <v>51047</v>
      </c>
      <c r="AA18" s="47"/>
      <c r="AB18" s="60">
        <v>13822</v>
      </c>
      <c r="AC18" s="60">
        <v>7648</v>
      </c>
      <c r="AD18" s="60">
        <v>8669</v>
      </c>
      <c r="AE18" s="60">
        <v>6012</v>
      </c>
      <c r="AF18" s="57">
        <v>36151</v>
      </c>
      <c r="AG18" s="49"/>
      <c r="AH18" s="60">
        <v>2488</v>
      </c>
      <c r="AI18" s="60">
        <v>6224</v>
      </c>
      <c r="AJ18" s="50"/>
      <c r="AK18" s="50"/>
      <c r="AL18" s="57"/>
      <c r="AM18" s="53"/>
      <c r="AN18" s="50"/>
      <c r="AO18" s="50"/>
      <c r="AP18" s="50"/>
      <c r="AQ18" s="50"/>
      <c r="AR18" s="57"/>
      <c r="AS18" s="53"/>
      <c r="AT18" s="58"/>
      <c r="AU18" s="53"/>
      <c r="AV18" s="58"/>
      <c r="AX18" s="58"/>
    </row>
    <row r="19" spans="1:50" s="54" customFormat="1" ht="15" customHeight="1">
      <c r="A19" s="113"/>
      <c r="B19" s="156" t="s">
        <v>113</v>
      </c>
      <c r="C19" s="115"/>
      <c r="D19" s="60">
        <v>2742</v>
      </c>
      <c r="E19" s="60">
        <v>-1500</v>
      </c>
      <c r="F19" s="60">
        <v>-2998</v>
      </c>
      <c r="G19" s="60">
        <v>33792</v>
      </c>
      <c r="H19" s="57">
        <v>32036</v>
      </c>
      <c r="I19" s="48"/>
      <c r="J19" s="60">
        <v>-2901</v>
      </c>
      <c r="K19" s="60">
        <v>-9826</v>
      </c>
      <c r="L19" s="60">
        <v>-872</v>
      </c>
      <c r="M19" s="60">
        <v>18887</v>
      </c>
      <c r="N19" s="57">
        <v>5288</v>
      </c>
      <c r="O19" s="48"/>
      <c r="P19" s="60">
        <v>4620</v>
      </c>
      <c r="Q19" s="60">
        <v>-8902</v>
      </c>
      <c r="R19" s="60">
        <v>-119</v>
      </c>
      <c r="S19" s="60">
        <v>1319</v>
      </c>
      <c r="T19" s="57">
        <v>-3082</v>
      </c>
      <c r="U19" s="48"/>
      <c r="V19" s="60">
        <v>16866</v>
      </c>
      <c r="W19" s="60">
        <v>-1511</v>
      </c>
      <c r="X19" s="60">
        <v>5784</v>
      </c>
      <c r="Y19" s="60">
        <v>98075</v>
      </c>
      <c r="Z19" s="57">
        <v>119214</v>
      </c>
      <c r="AA19" s="51"/>
      <c r="AB19" s="60">
        <v>4526</v>
      </c>
      <c r="AC19" s="60">
        <v>-8087</v>
      </c>
      <c r="AD19" s="60">
        <v>50776</v>
      </c>
      <c r="AE19" s="60">
        <v>48059</v>
      </c>
      <c r="AF19" s="57">
        <v>95274</v>
      </c>
      <c r="AG19" s="49"/>
      <c r="AH19" s="60">
        <v>-5568</v>
      </c>
      <c r="AI19" s="60">
        <v>51681</v>
      </c>
      <c r="AJ19" s="50"/>
      <c r="AK19" s="50"/>
      <c r="AL19" s="58"/>
      <c r="AM19" s="69"/>
      <c r="AN19" s="50"/>
      <c r="AO19" s="50"/>
      <c r="AP19" s="50"/>
      <c r="AQ19" s="50"/>
      <c r="AR19" s="58"/>
      <c r="AS19" s="69"/>
      <c r="AT19" s="58"/>
      <c r="AU19" s="69"/>
      <c r="AV19" s="58"/>
      <c r="AX19" s="58"/>
    </row>
    <row r="20" spans="1:50" s="54" customFormat="1" ht="15" customHeight="1">
      <c r="A20" s="43"/>
      <c r="B20" s="155" t="s">
        <v>667</v>
      </c>
      <c r="C20" s="17"/>
      <c r="D20" s="46"/>
      <c r="E20" s="46"/>
      <c r="F20" s="46"/>
      <c r="G20" s="46"/>
      <c r="H20" s="66"/>
      <c r="I20" s="48"/>
      <c r="J20" s="46"/>
      <c r="K20" s="46"/>
      <c r="L20" s="46"/>
      <c r="M20" s="46"/>
      <c r="N20" s="66"/>
      <c r="O20" s="48"/>
      <c r="P20" s="46"/>
      <c r="Q20" s="46"/>
      <c r="R20" s="46"/>
      <c r="S20" s="46"/>
      <c r="T20" s="66"/>
      <c r="U20" s="48"/>
      <c r="V20" s="46"/>
      <c r="W20" s="46"/>
      <c r="X20" s="46"/>
      <c r="Y20" s="46"/>
      <c r="Z20" s="66"/>
      <c r="AA20" s="51"/>
      <c r="AB20" s="46"/>
      <c r="AC20" s="46"/>
      <c r="AD20" s="46"/>
      <c r="AE20" s="46"/>
      <c r="AF20" s="66"/>
      <c r="AG20" s="49"/>
      <c r="AH20" s="46"/>
      <c r="AI20" s="46"/>
      <c r="AJ20" s="50"/>
      <c r="AK20" s="50"/>
      <c r="AL20" s="68"/>
      <c r="AM20" s="72"/>
      <c r="AN20" s="50"/>
      <c r="AO20" s="50"/>
      <c r="AP20" s="50"/>
      <c r="AQ20" s="50"/>
      <c r="AR20" s="68"/>
      <c r="AS20" s="72"/>
      <c r="AT20" s="68"/>
      <c r="AU20" s="72"/>
      <c r="AV20" s="68"/>
      <c r="AX20" s="68"/>
    </row>
    <row r="21" spans="1:50" s="54" customFormat="1" ht="15" customHeight="1">
      <c r="A21" s="113"/>
      <c r="B21" s="156" t="s">
        <v>633</v>
      </c>
      <c r="C21" s="115"/>
      <c r="D21" s="60">
        <v>33408</v>
      </c>
      <c r="E21" s="60">
        <v>103800</v>
      </c>
      <c r="F21" s="60">
        <v>-68032</v>
      </c>
      <c r="G21" s="60">
        <v>21223</v>
      </c>
      <c r="H21" s="66">
        <v>90399</v>
      </c>
      <c r="I21" s="48"/>
      <c r="J21" s="60">
        <v>-66666</v>
      </c>
      <c r="K21" s="60">
        <v>3164</v>
      </c>
      <c r="L21" s="60">
        <v>-33853</v>
      </c>
      <c r="M21" s="60">
        <v>-2535</v>
      </c>
      <c r="N21" s="66">
        <v>-99890</v>
      </c>
      <c r="O21" s="48"/>
      <c r="P21" s="60">
        <v>-55305</v>
      </c>
      <c r="Q21" s="60">
        <v>5109</v>
      </c>
      <c r="R21" s="60">
        <v>39022</v>
      </c>
      <c r="S21" s="60">
        <v>-17218</v>
      </c>
      <c r="T21" s="66">
        <v>-28392</v>
      </c>
      <c r="U21" s="48"/>
      <c r="V21" s="60">
        <v>-17625</v>
      </c>
      <c r="W21" s="60">
        <v>9796</v>
      </c>
      <c r="X21" s="60">
        <v>7399</v>
      </c>
      <c r="Y21" s="60">
        <v>-4194</v>
      </c>
      <c r="Z21" s="66">
        <v>-4624</v>
      </c>
      <c r="AA21" s="51"/>
      <c r="AB21" s="60">
        <v>36316</v>
      </c>
      <c r="AC21" s="60">
        <v>-21523</v>
      </c>
      <c r="AD21" s="60">
        <v>16561</v>
      </c>
      <c r="AE21" s="60">
        <v>-19378</v>
      </c>
      <c r="AF21" s="66">
        <v>11976</v>
      </c>
      <c r="AG21" s="49"/>
      <c r="AH21" s="60">
        <v>1444</v>
      </c>
      <c r="AI21" s="60">
        <v>-7052</v>
      </c>
      <c r="AJ21" s="50"/>
      <c r="AK21" s="50"/>
      <c r="AL21" s="66"/>
      <c r="AM21" s="72"/>
      <c r="AN21" s="50"/>
      <c r="AO21" s="50"/>
      <c r="AP21" s="50"/>
      <c r="AQ21" s="50"/>
      <c r="AR21" s="66"/>
      <c r="AS21" s="72"/>
      <c r="AT21" s="68"/>
      <c r="AU21" s="72"/>
      <c r="AV21" s="68"/>
      <c r="AX21" s="68"/>
    </row>
    <row r="22" spans="1:50" s="54" customFormat="1" ht="15" customHeight="1">
      <c r="A22" s="43"/>
      <c r="B22" s="156" t="s">
        <v>668</v>
      </c>
      <c r="C22" s="17"/>
      <c r="D22" s="60">
        <v>-28094</v>
      </c>
      <c r="E22" s="60">
        <v>16696</v>
      </c>
      <c r="F22" s="60">
        <v>54586</v>
      </c>
      <c r="G22" s="60">
        <v>23502</v>
      </c>
      <c r="H22" s="66">
        <v>66690</v>
      </c>
      <c r="I22" s="48"/>
      <c r="J22" s="60">
        <v>-33266</v>
      </c>
      <c r="K22" s="60">
        <v>-34783</v>
      </c>
      <c r="L22" s="60">
        <v>-66474</v>
      </c>
      <c r="M22" s="60">
        <v>-69644</v>
      </c>
      <c r="N22" s="66">
        <v>-204167</v>
      </c>
      <c r="O22" s="48"/>
      <c r="P22" s="60">
        <v>-88474</v>
      </c>
      <c r="Q22" s="60">
        <v>-83425</v>
      </c>
      <c r="R22" s="60">
        <v>-42118</v>
      </c>
      <c r="S22" s="60">
        <v>17704</v>
      </c>
      <c r="T22" s="66">
        <v>-196313</v>
      </c>
      <c r="U22" s="48"/>
      <c r="V22" s="60">
        <v>-30825</v>
      </c>
      <c r="W22" s="60">
        <v>38345</v>
      </c>
      <c r="X22" s="60">
        <v>59453</v>
      </c>
      <c r="Y22" s="60">
        <v>90895</v>
      </c>
      <c r="Z22" s="66">
        <v>157868</v>
      </c>
      <c r="AA22" s="51"/>
      <c r="AB22" s="60">
        <v>-12965</v>
      </c>
      <c r="AC22" s="60">
        <v>20652</v>
      </c>
      <c r="AD22" s="60">
        <v>25358</v>
      </c>
      <c r="AE22" s="60">
        <v>62362</v>
      </c>
      <c r="AF22" s="66">
        <v>95407</v>
      </c>
      <c r="AG22" s="49"/>
      <c r="AH22" s="60">
        <v>-28742</v>
      </c>
      <c r="AI22" s="60">
        <v>7330</v>
      </c>
      <c r="AJ22" s="50"/>
      <c r="AK22" s="50"/>
      <c r="AL22" s="66"/>
      <c r="AM22" s="72"/>
      <c r="AN22" s="50"/>
      <c r="AO22" s="50"/>
      <c r="AP22" s="50"/>
      <c r="AQ22" s="50"/>
      <c r="AR22" s="66"/>
      <c r="AS22" s="72"/>
      <c r="AT22" s="68"/>
      <c r="AU22" s="72"/>
      <c r="AV22" s="68"/>
      <c r="AX22" s="68"/>
    </row>
    <row r="23" spans="1:50" s="54" customFormat="1" ht="15" customHeight="1">
      <c r="A23" s="113"/>
      <c r="B23" s="156" t="s">
        <v>645</v>
      </c>
      <c r="C23" s="115"/>
      <c r="D23" s="60">
        <v>15001</v>
      </c>
      <c r="E23" s="60">
        <v>-69170</v>
      </c>
      <c r="F23" s="60">
        <v>25998</v>
      </c>
      <c r="G23" s="60">
        <v>25156</v>
      </c>
      <c r="H23" s="66">
        <v>-3015</v>
      </c>
      <c r="I23" s="48"/>
      <c r="J23" s="60">
        <v>31662</v>
      </c>
      <c r="K23" s="60">
        <v>9859</v>
      </c>
      <c r="L23" s="60">
        <v>19765</v>
      </c>
      <c r="M23" s="60">
        <v>50</v>
      </c>
      <c r="N23" s="66">
        <v>61336</v>
      </c>
      <c r="O23" s="48"/>
      <c r="P23" s="60">
        <v>1235</v>
      </c>
      <c r="Q23" s="60">
        <v>18295</v>
      </c>
      <c r="R23" s="60">
        <v>-66792</v>
      </c>
      <c r="S23" s="60">
        <v>-480</v>
      </c>
      <c r="T23" s="66">
        <v>-47742</v>
      </c>
      <c r="U23" s="48"/>
      <c r="V23" s="60">
        <v>8557</v>
      </c>
      <c r="W23" s="60">
        <v>-50380</v>
      </c>
      <c r="X23" s="60">
        <v>-7365</v>
      </c>
      <c r="Y23" s="60">
        <v>-181</v>
      </c>
      <c r="Z23" s="66">
        <v>-49369</v>
      </c>
      <c r="AA23" s="51"/>
      <c r="AB23" s="60">
        <v>7804</v>
      </c>
      <c r="AC23" s="60">
        <v>5924</v>
      </c>
      <c r="AD23" s="60">
        <v>-27434</v>
      </c>
      <c r="AE23" s="60">
        <v>-8229</v>
      </c>
      <c r="AF23" s="66">
        <v>-21935</v>
      </c>
      <c r="AG23" s="49"/>
      <c r="AH23" s="60">
        <v>19062</v>
      </c>
      <c r="AI23" s="60">
        <v>-1400</v>
      </c>
      <c r="AJ23" s="50"/>
      <c r="AK23" s="50"/>
      <c r="AL23" s="66"/>
      <c r="AM23" s="72"/>
      <c r="AN23" s="50"/>
      <c r="AO23" s="50"/>
      <c r="AP23" s="50"/>
      <c r="AQ23" s="50"/>
      <c r="AR23" s="66"/>
      <c r="AS23" s="72"/>
      <c r="AT23" s="68"/>
      <c r="AU23" s="72"/>
      <c r="AV23" s="68"/>
      <c r="AX23" s="68"/>
    </row>
    <row r="24" spans="1:50" s="54" customFormat="1" ht="15" customHeight="1">
      <c r="A24" s="113"/>
      <c r="B24" s="156" t="s">
        <v>113</v>
      </c>
      <c r="C24" s="115"/>
      <c r="D24" s="60">
        <v>-36298</v>
      </c>
      <c r="E24" s="60">
        <v>-20976</v>
      </c>
      <c r="F24" s="60">
        <v>53968</v>
      </c>
      <c r="G24" s="60">
        <v>24155</v>
      </c>
      <c r="H24" s="74">
        <v>20849</v>
      </c>
      <c r="I24" s="48"/>
      <c r="J24" s="60">
        <v>11171</v>
      </c>
      <c r="K24" s="60">
        <v>-5923</v>
      </c>
      <c r="L24" s="60">
        <v>48497</v>
      </c>
      <c r="M24" s="60">
        <v>-6648</v>
      </c>
      <c r="N24" s="74">
        <v>47097</v>
      </c>
      <c r="O24" s="48"/>
      <c r="P24" s="60">
        <v>-9917</v>
      </c>
      <c r="Q24" s="60">
        <v>31442</v>
      </c>
      <c r="R24" s="60">
        <v>18489</v>
      </c>
      <c r="S24" s="60">
        <v>-6563</v>
      </c>
      <c r="T24" s="74">
        <v>33451</v>
      </c>
      <c r="U24" s="48"/>
      <c r="V24" s="60">
        <v>-19007</v>
      </c>
      <c r="W24" s="60">
        <v>-81982</v>
      </c>
      <c r="X24" s="60">
        <v>11951</v>
      </c>
      <c r="Y24" s="60">
        <v>-38747</v>
      </c>
      <c r="Z24" s="74">
        <v>-127785</v>
      </c>
      <c r="AA24" s="81"/>
      <c r="AB24" s="60">
        <v>-13758</v>
      </c>
      <c r="AC24" s="60">
        <v>5509</v>
      </c>
      <c r="AD24" s="60">
        <v>-53542</v>
      </c>
      <c r="AE24" s="60">
        <v>12278</v>
      </c>
      <c r="AF24" s="74">
        <v>-49513</v>
      </c>
      <c r="AG24" s="82"/>
      <c r="AH24" s="60">
        <v>30441</v>
      </c>
      <c r="AI24" s="60">
        <v>-66702</v>
      </c>
      <c r="AJ24" s="50"/>
      <c r="AK24" s="50"/>
      <c r="AL24" s="74"/>
      <c r="AM24" s="83"/>
      <c r="AN24" s="50"/>
      <c r="AO24" s="50"/>
      <c r="AP24" s="50"/>
      <c r="AQ24" s="50"/>
      <c r="AR24" s="74"/>
      <c r="AS24" s="83"/>
      <c r="AT24" s="75"/>
      <c r="AU24" s="83"/>
      <c r="AV24" s="75"/>
      <c r="AX24" s="75"/>
    </row>
    <row r="25" spans="1:50" s="54" customFormat="1" ht="15" customHeight="1" thickBot="1">
      <c r="A25" s="84"/>
      <c r="B25" s="157" t="s">
        <v>669</v>
      </c>
      <c r="C25" s="26"/>
      <c r="D25" s="60">
        <v>87137</v>
      </c>
      <c r="E25" s="60">
        <v>77623</v>
      </c>
      <c r="F25" s="60">
        <v>151422</v>
      </c>
      <c r="G25" s="60">
        <v>208603</v>
      </c>
      <c r="H25" s="93">
        <v>524785</v>
      </c>
      <c r="I25" s="48"/>
      <c r="J25" s="60">
        <v>59695</v>
      </c>
      <c r="K25" s="60">
        <v>112686</v>
      </c>
      <c r="L25" s="60">
        <v>173659</v>
      </c>
      <c r="M25" s="60">
        <v>77359</v>
      </c>
      <c r="N25" s="93">
        <v>423399</v>
      </c>
      <c r="O25" s="48"/>
      <c r="P25" s="60">
        <v>-15344</v>
      </c>
      <c r="Q25" s="60">
        <v>104802</v>
      </c>
      <c r="R25" s="60">
        <v>83991</v>
      </c>
      <c r="S25" s="60">
        <v>159103</v>
      </c>
      <c r="T25" s="93">
        <v>332552</v>
      </c>
      <c r="U25" s="48"/>
      <c r="V25" s="60">
        <v>92002</v>
      </c>
      <c r="W25" s="60">
        <v>61948</v>
      </c>
      <c r="X25" s="60">
        <v>219153</v>
      </c>
      <c r="Y25" s="60">
        <v>255687</v>
      </c>
      <c r="Z25" s="93">
        <v>628790</v>
      </c>
      <c r="AA25" s="81"/>
      <c r="AB25" s="60">
        <v>140901</v>
      </c>
      <c r="AC25" s="60">
        <v>149516</v>
      </c>
      <c r="AD25" s="60">
        <v>156665</v>
      </c>
      <c r="AE25" s="60">
        <v>239734</v>
      </c>
      <c r="AF25" s="93">
        <v>686816</v>
      </c>
      <c r="AG25" s="82"/>
      <c r="AH25" s="60">
        <v>141134</v>
      </c>
      <c r="AI25" s="60">
        <v>122003</v>
      </c>
      <c r="AJ25" s="50"/>
      <c r="AK25" s="50"/>
      <c r="AL25" s="94"/>
      <c r="AM25" s="83"/>
      <c r="AN25" s="50"/>
      <c r="AO25" s="50"/>
      <c r="AP25" s="50"/>
      <c r="AQ25" s="50"/>
      <c r="AR25" s="94"/>
      <c r="AS25" s="83"/>
      <c r="AT25" s="94"/>
      <c r="AU25" s="83"/>
      <c r="AV25" s="94"/>
      <c r="AX25" s="94"/>
    </row>
    <row r="26" spans="1:50" s="54" customFormat="1" ht="15" customHeight="1" thickTop="1">
      <c r="A26" s="43"/>
      <c r="B26" s="154"/>
      <c r="C26" s="17"/>
      <c r="D26" s="46"/>
      <c r="E26" s="46"/>
      <c r="F26" s="46"/>
      <c r="G26" s="46"/>
      <c r="H26" s="66"/>
      <c r="I26" s="48"/>
      <c r="J26" s="46"/>
      <c r="K26" s="46"/>
      <c r="L26" s="46"/>
      <c r="M26" s="46"/>
      <c r="N26" s="66"/>
      <c r="O26" s="48"/>
      <c r="P26" s="46"/>
      <c r="Q26" s="46"/>
      <c r="R26" s="46"/>
      <c r="S26" s="46"/>
      <c r="T26" s="66"/>
      <c r="U26" s="48"/>
      <c r="V26" s="46"/>
      <c r="W26" s="46"/>
      <c r="X26" s="46"/>
      <c r="Y26" s="46"/>
      <c r="Z26" s="66"/>
      <c r="AA26" s="51"/>
      <c r="AB26" s="46"/>
      <c r="AC26" s="46"/>
      <c r="AD26" s="46"/>
      <c r="AE26" s="46"/>
      <c r="AF26" s="66"/>
      <c r="AG26" s="49"/>
      <c r="AH26" s="46"/>
      <c r="AI26" s="46"/>
      <c r="AJ26" s="50"/>
      <c r="AK26" s="50"/>
      <c r="AL26" s="68"/>
      <c r="AM26" s="72"/>
      <c r="AN26" s="50"/>
      <c r="AO26" s="50"/>
      <c r="AP26" s="50"/>
      <c r="AQ26" s="50"/>
      <c r="AR26" s="68"/>
      <c r="AS26" s="72"/>
      <c r="AT26" s="68"/>
      <c r="AU26" s="72"/>
      <c r="AV26" s="68"/>
      <c r="AX26" s="68"/>
    </row>
    <row r="27" spans="1:50" s="54" customFormat="1" ht="15" customHeight="1">
      <c r="A27" s="44" t="s">
        <v>38</v>
      </c>
      <c r="B27" s="158" t="s">
        <v>670</v>
      </c>
      <c r="C27" s="115"/>
      <c r="D27" s="46"/>
      <c r="E27" s="46"/>
      <c r="F27" s="46"/>
      <c r="G27" s="46"/>
      <c r="H27" s="66"/>
      <c r="I27" s="48"/>
      <c r="J27" s="46"/>
      <c r="K27" s="46"/>
      <c r="L27" s="46"/>
      <c r="M27" s="46"/>
      <c r="N27" s="66"/>
      <c r="O27" s="48"/>
      <c r="P27" s="46"/>
      <c r="Q27" s="46"/>
      <c r="R27" s="46"/>
      <c r="S27" s="46"/>
      <c r="T27" s="66"/>
      <c r="U27" s="48"/>
      <c r="V27" s="46"/>
      <c r="W27" s="46"/>
      <c r="X27" s="46"/>
      <c r="Y27" s="46"/>
      <c r="Z27" s="66"/>
      <c r="AA27" s="81"/>
      <c r="AB27" s="46"/>
      <c r="AC27" s="46"/>
      <c r="AD27" s="46"/>
      <c r="AE27" s="46"/>
      <c r="AF27" s="66"/>
      <c r="AG27" s="82"/>
      <c r="AH27" s="46"/>
      <c r="AI27" s="46"/>
      <c r="AJ27" s="50"/>
      <c r="AK27" s="50"/>
      <c r="AL27" s="68"/>
      <c r="AM27" s="83"/>
      <c r="AN27" s="50"/>
      <c r="AO27" s="50"/>
      <c r="AP27" s="50"/>
      <c r="AQ27" s="50"/>
      <c r="AR27" s="68"/>
      <c r="AS27" s="83"/>
      <c r="AT27" s="68"/>
      <c r="AU27" s="83"/>
      <c r="AV27" s="68"/>
      <c r="AX27" s="68"/>
    </row>
    <row r="28" spans="1:50" s="54" customFormat="1" ht="15" customHeight="1">
      <c r="A28" s="43"/>
      <c r="B28" s="159" t="s">
        <v>671</v>
      </c>
      <c r="C28" s="17"/>
      <c r="D28" s="60">
        <v>-9181</v>
      </c>
      <c r="E28" s="60">
        <v>-13531</v>
      </c>
      <c r="F28" s="60">
        <v>-7064</v>
      </c>
      <c r="G28" s="60">
        <v>-5073</v>
      </c>
      <c r="H28" s="66">
        <v>-41901</v>
      </c>
      <c r="I28" s="48"/>
      <c r="J28" s="60">
        <v>-8725</v>
      </c>
      <c r="K28" s="60">
        <v>-10586</v>
      </c>
      <c r="L28" s="60">
        <v>-10421</v>
      </c>
      <c r="M28" s="60">
        <v>-21819</v>
      </c>
      <c r="N28" s="66">
        <v>-51551</v>
      </c>
      <c r="O28" s="48"/>
      <c r="P28" s="60">
        <v>-14737</v>
      </c>
      <c r="Q28" s="60">
        <v>-17636</v>
      </c>
      <c r="R28" s="60">
        <v>-19242</v>
      </c>
      <c r="S28" s="60">
        <v>-17907</v>
      </c>
      <c r="T28" s="66">
        <v>-69522</v>
      </c>
      <c r="U28" s="48"/>
      <c r="V28" s="60">
        <v>-27110</v>
      </c>
      <c r="W28" s="60">
        <v>-23010</v>
      </c>
      <c r="X28" s="60">
        <v>-21330</v>
      </c>
      <c r="Y28" s="60">
        <v>-15534</v>
      </c>
      <c r="Z28" s="66">
        <v>-86984</v>
      </c>
      <c r="AA28" s="51"/>
      <c r="AB28" s="60">
        <v>-13823</v>
      </c>
      <c r="AC28" s="60">
        <v>-10937</v>
      </c>
      <c r="AD28" s="60">
        <v>-11489</v>
      </c>
      <c r="AE28" s="60">
        <v>-13141</v>
      </c>
      <c r="AF28" s="66">
        <v>-49390</v>
      </c>
      <c r="AG28" s="49"/>
      <c r="AH28" s="60">
        <v>-34846</v>
      </c>
      <c r="AI28" s="60">
        <v>-20919</v>
      </c>
      <c r="AJ28" s="50"/>
      <c r="AK28" s="50"/>
      <c r="AL28" s="68"/>
      <c r="AM28" s="72"/>
      <c r="AN28" s="50"/>
      <c r="AO28" s="50"/>
      <c r="AP28" s="50"/>
      <c r="AQ28" s="50"/>
      <c r="AR28" s="68"/>
      <c r="AS28" s="72"/>
      <c r="AT28" s="68"/>
      <c r="AU28" s="72"/>
      <c r="AV28" s="68"/>
      <c r="AW28" s="363"/>
      <c r="AX28" s="68"/>
    </row>
    <row r="29" spans="1:50" s="54" customFormat="1" ht="15" customHeight="1">
      <c r="A29" s="113"/>
      <c r="B29" s="159" t="s">
        <v>672</v>
      </c>
      <c r="C29" s="115"/>
      <c r="D29" s="60">
        <v>0</v>
      </c>
      <c r="E29" s="60">
        <v>9381</v>
      </c>
      <c r="F29" s="60">
        <v>0</v>
      </c>
      <c r="G29" s="60">
        <v>4766</v>
      </c>
      <c r="H29" s="66">
        <v>14147</v>
      </c>
      <c r="I29" s="48"/>
      <c r="J29" s="60">
        <v>3354</v>
      </c>
      <c r="K29" s="60">
        <v>2594</v>
      </c>
      <c r="L29" s="60">
        <v>114</v>
      </c>
      <c r="M29" s="60">
        <v>228</v>
      </c>
      <c r="N29" s="66">
        <v>6290</v>
      </c>
      <c r="O29" s="48"/>
      <c r="P29" s="60">
        <v>0</v>
      </c>
      <c r="Q29" s="60">
        <v>0</v>
      </c>
      <c r="R29" s="60">
        <v>0</v>
      </c>
      <c r="S29" s="60">
        <v>0</v>
      </c>
      <c r="T29" s="66">
        <v>0</v>
      </c>
      <c r="U29" s="48"/>
      <c r="V29" s="60">
        <v>0</v>
      </c>
      <c r="W29" s="60">
        <v>0</v>
      </c>
      <c r="X29" s="60">
        <v>0</v>
      </c>
      <c r="Y29" s="60">
        <v>0</v>
      </c>
      <c r="Z29" s="66">
        <v>0</v>
      </c>
      <c r="AA29" s="81"/>
      <c r="AB29" s="60">
        <v>0</v>
      </c>
      <c r="AC29" s="60">
        <v>0</v>
      </c>
      <c r="AD29" s="60">
        <v>0</v>
      </c>
      <c r="AE29" s="60">
        <v>2507</v>
      </c>
      <c r="AF29" s="66">
        <v>2507</v>
      </c>
      <c r="AG29" s="82"/>
      <c r="AH29" s="60">
        <v>0</v>
      </c>
      <c r="AI29" s="60">
        <v>0</v>
      </c>
      <c r="AJ29" s="50"/>
      <c r="AK29" s="50"/>
      <c r="AL29" s="68"/>
      <c r="AM29" s="83"/>
      <c r="AN29" s="50"/>
      <c r="AO29" s="50"/>
      <c r="AP29" s="50"/>
      <c r="AQ29" s="50"/>
      <c r="AR29" s="68"/>
      <c r="AS29" s="83"/>
      <c r="AT29" s="68"/>
      <c r="AU29" s="83"/>
      <c r="AV29" s="68"/>
      <c r="AX29" s="68"/>
    </row>
    <row r="30" spans="1:50" s="54" customFormat="1" ht="15" customHeight="1">
      <c r="A30" s="43"/>
      <c r="B30" s="159" t="s">
        <v>673</v>
      </c>
      <c r="C30" s="17"/>
      <c r="D30" s="60">
        <v>-30041</v>
      </c>
      <c r="E30" s="60">
        <v>191</v>
      </c>
      <c r="F30" s="60">
        <v>-3294</v>
      </c>
      <c r="G30" s="60">
        <v>-45859</v>
      </c>
      <c r="H30" s="66">
        <v>-79003</v>
      </c>
      <c r="I30" s="48"/>
      <c r="J30" s="60">
        <v>-1667</v>
      </c>
      <c r="K30" s="60">
        <v>-9192</v>
      </c>
      <c r="L30" s="60">
        <v>-378150</v>
      </c>
      <c r="M30" s="60">
        <v>-574591</v>
      </c>
      <c r="N30" s="66">
        <v>-963600</v>
      </c>
      <c r="O30" s="48"/>
      <c r="P30" s="60">
        <v>-9389</v>
      </c>
      <c r="Q30" s="60">
        <v>-65497</v>
      </c>
      <c r="R30" s="60">
        <v>-131367</v>
      </c>
      <c r="S30" s="60">
        <v>-72544</v>
      </c>
      <c r="T30" s="66">
        <v>-278797</v>
      </c>
      <c r="U30" s="48"/>
      <c r="V30" s="60">
        <v>-9340</v>
      </c>
      <c r="W30" s="60">
        <v>-25806</v>
      </c>
      <c r="X30" s="60">
        <v>-32628</v>
      </c>
      <c r="Y30" s="60">
        <v>-984</v>
      </c>
      <c r="Z30" s="66">
        <v>-68758</v>
      </c>
      <c r="AA30" s="51"/>
      <c r="AB30" s="60">
        <v>-2266</v>
      </c>
      <c r="AC30" s="60">
        <v>-3291</v>
      </c>
      <c r="AD30" s="60">
        <v>-2193</v>
      </c>
      <c r="AE30" s="60">
        <v>-103902</v>
      </c>
      <c r="AF30" s="66">
        <v>-111652</v>
      </c>
      <c r="AG30" s="49"/>
      <c r="AH30" s="60">
        <v>9</v>
      </c>
      <c r="AI30" s="60">
        <v>-3500</v>
      </c>
      <c r="AJ30" s="50"/>
      <c r="AK30" s="50"/>
      <c r="AL30" s="68"/>
      <c r="AM30" s="72"/>
      <c r="AN30" s="50"/>
      <c r="AO30" s="50"/>
      <c r="AP30" s="50"/>
      <c r="AQ30" s="50"/>
      <c r="AR30" s="68"/>
      <c r="AS30" s="72"/>
      <c r="AT30" s="68"/>
      <c r="AU30" s="72"/>
      <c r="AV30" s="68"/>
      <c r="AX30" s="68"/>
    </row>
    <row r="31" spans="1:50" s="54" customFormat="1" ht="15" customHeight="1">
      <c r="A31" s="113"/>
      <c r="B31" s="159" t="s">
        <v>674</v>
      </c>
      <c r="C31" s="115"/>
      <c r="D31" s="60">
        <v>0</v>
      </c>
      <c r="E31" s="60">
        <v>0</v>
      </c>
      <c r="F31" s="60">
        <v>0</v>
      </c>
      <c r="G31" s="60">
        <v>0</v>
      </c>
      <c r="H31" s="66">
        <v>0</v>
      </c>
      <c r="I31" s="48"/>
      <c r="J31" s="60">
        <v>0</v>
      </c>
      <c r="K31" s="60">
        <v>0</v>
      </c>
      <c r="L31" s="60">
        <v>0</v>
      </c>
      <c r="M31" s="60">
        <v>0</v>
      </c>
      <c r="N31" s="66">
        <v>0</v>
      </c>
      <c r="O31" s="48"/>
      <c r="P31" s="60">
        <v>0</v>
      </c>
      <c r="Q31" s="60">
        <v>0</v>
      </c>
      <c r="R31" s="60">
        <v>0</v>
      </c>
      <c r="S31" s="60">
        <v>0</v>
      </c>
      <c r="T31" s="66">
        <v>0</v>
      </c>
      <c r="U31" s="48"/>
      <c r="V31" s="60">
        <v>0</v>
      </c>
      <c r="W31" s="60">
        <v>0</v>
      </c>
      <c r="X31" s="60">
        <v>0</v>
      </c>
      <c r="Y31" s="60">
        <v>0</v>
      </c>
      <c r="Z31" s="66">
        <v>0</v>
      </c>
      <c r="AA31" s="81"/>
      <c r="AB31" s="60">
        <v>0</v>
      </c>
      <c r="AC31" s="60">
        <v>0</v>
      </c>
      <c r="AD31" s="60">
        <v>0</v>
      </c>
      <c r="AE31" s="60">
        <v>0</v>
      </c>
      <c r="AF31" s="66">
        <v>0</v>
      </c>
      <c r="AG31" s="82"/>
      <c r="AH31" s="60">
        <v>0</v>
      </c>
      <c r="AI31" s="60">
        <v>0</v>
      </c>
      <c r="AJ31" s="50"/>
      <c r="AK31" s="50"/>
      <c r="AL31" s="68"/>
      <c r="AM31" s="89"/>
      <c r="AN31" s="50"/>
      <c r="AO31" s="50"/>
      <c r="AP31" s="50"/>
      <c r="AQ31" s="50"/>
      <c r="AR31" s="68"/>
      <c r="AS31" s="89"/>
      <c r="AT31" s="68"/>
      <c r="AU31" s="89"/>
      <c r="AV31" s="68"/>
      <c r="AX31" s="68"/>
    </row>
    <row r="32" spans="1:50" s="54" customFormat="1" ht="15" customHeight="1">
      <c r="A32" s="113"/>
      <c r="B32" s="159" t="s">
        <v>675</v>
      </c>
      <c r="C32" s="115"/>
      <c r="D32" s="60">
        <v>0</v>
      </c>
      <c r="E32" s="60">
        <v>0</v>
      </c>
      <c r="F32" s="60">
        <v>0</v>
      </c>
      <c r="G32" s="60">
        <v>0</v>
      </c>
      <c r="H32" s="66">
        <v>0</v>
      </c>
      <c r="I32" s="48"/>
      <c r="J32" s="60">
        <v>0</v>
      </c>
      <c r="K32" s="60">
        <v>0</v>
      </c>
      <c r="L32" s="60">
        <v>0</v>
      </c>
      <c r="M32" s="60">
        <v>0</v>
      </c>
      <c r="N32" s="66">
        <v>0</v>
      </c>
      <c r="O32" s="48"/>
      <c r="P32" s="60">
        <v>0</v>
      </c>
      <c r="Q32" s="60">
        <v>0</v>
      </c>
      <c r="R32" s="60">
        <v>0</v>
      </c>
      <c r="S32" s="60">
        <v>0</v>
      </c>
      <c r="T32" s="66">
        <v>0</v>
      </c>
      <c r="U32" s="48"/>
      <c r="V32" s="60">
        <v>0</v>
      </c>
      <c r="W32" s="60">
        <v>0</v>
      </c>
      <c r="X32" s="60">
        <v>0</v>
      </c>
      <c r="Y32" s="60">
        <v>0</v>
      </c>
      <c r="Z32" s="66">
        <v>0</v>
      </c>
      <c r="AA32" s="81"/>
      <c r="AB32" s="60">
        <v>0</v>
      </c>
      <c r="AC32" s="60">
        <v>0</v>
      </c>
      <c r="AD32" s="60">
        <v>0</v>
      </c>
      <c r="AE32" s="60">
        <v>0</v>
      </c>
      <c r="AF32" s="66">
        <v>0</v>
      </c>
      <c r="AG32" s="82"/>
      <c r="AH32" s="60">
        <v>0</v>
      </c>
      <c r="AI32" s="60">
        <v>0</v>
      </c>
      <c r="AJ32" s="50"/>
      <c r="AK32" s="50"/>
      <c r="AL32" s="68"/>
      <c r="AM32" s="89"/>
      <c r="AN32" s="50"/>
      <c r="AO32" s="50"/>
      <c r="AP32" s="50"/>
      <c r="AQ32" s="50"/>
      <c r="AR32" s="68"/>
      <c r="AS32" s="89"/>
      <c r="AT32" s="68"/>
      <c r="AU32" s="89"/>
      <c r="AV32" s="68"/>
      <c r="AX32" s="68"/>
    </row>
    <row r="33" spans="1:38" s="54" customFormat="1" ht="15" customHeight="1">
      <c r="A33" s="113"/>
      <c r="B33" s="159" t="s">
        <v>676</v>
      </c>
      <c r="C33" s="17"/>
      <c r="D33" s="60">
        <v>0</v>
      </c>
      <c r="E33" s="60">
        <v>0</v>
      </c>
      <c r="F33" s="60">
        <v>0</v>
      </c>
      <c r="G33" s="60">
        <v>0</v>
      </c>
      <c r="H33" s="66">
        <v>0</v>
      </c>
      <c r="I33" s="48"/>
      <c r="J33" s="60">
        <v>0</v>
      </c>
      <c r="K33" s="60">
        <v>0</v>
      </c>
      <c r="L33" s="60">
        <v>0</v>
      </c>
      <c r="M33" s="60">
        <v>0</v>
      </c>
      <c r="N33" s="66">
        <v>0</v>
      </c>
      <c r="O33" s="48"/>
      <c r="P33" s="60">
        <v>0</v>
      </c>
      <c r="Q33" s="60">
        <v>0</v>
      </c>
      <c r="R33" s="60">
        <v>0</v>
      </c>
      <c r="S33" s="60">
        <v>0</v>
      </c>
      <c r="T33" s="66">
        <v>0</v>
      </c>
      <c r="U33" s="48"/>
      <c r="V33" s="60">
        <v>0</v>
      </c>
      <c r="W33" s="60">
        <v>0</v>
      </c>
      <c r="X33" s="60">
        <v>0</v>
      </c>
      <c r="Y33" s="60">
        <v>0</v>
      </c>
      <c r="Z33" s="66">
        <v>0</v>
      </c>
      <c r="AA33" s="51"/>
      <c r="AB33" s="60">
        <v>0</v>
      </c>
      <c r="AC33" s="60">
        <v>0</v>
      </c>
      <c r="AD33" s="60">
        <v>0</v>
      </c>
      <c r="AE33" s="60">
        <v>0</v>
      </c>
      <c r="AF33" s="66">
        <v>0</v>
      </c>
      <c r="AG33" s="49"/>
      <c r="AH33" s="60">
        <v>0</v>
      </c>
      <c r="AI33" s="60">
        <v>0</v>
      </c>
      <c r="AJ33" s="50"/>
      <c r="AK33" s="50"/>
      <c r="AL33" s="68"/>
    </row>
    <row r="34" spans="1:38" s="54" customFormat="1" ht="15" customHeight="1">
      <c r="A34" s="43"/>
      <c r="B34" s="159" t="s">
        <v>677</v>
      </c>
      <c r="C34" s="17"/>
      <c r="D34" s="60">
        <v>0</v>
      </c>
      <c r="E34" s="60">
        <v>0</v>
      </c>
      <c r="F34" s="60">
        <v>0</v>
      </c>
      <c r="G34" s="60">
        <v>0</v>
      </c>
      <c r="H34" s="66">
        <v>0</v>
      </c>
      <c r="I34" s="48"/>
      <c r="J34" s="60">
        <v>0</v>
      </c>
      <c r="K34" s="60">
        <v>0</v>
      </c>
      <c r="L34" s="60">
        <v>0</v>
      </c>
      <c r="M34" s="60">
        <v>0</v>
      </c>
      <c r="N34" s="66">
        <v>0</v>
      </c>
      <c r="O34" s="48"/>
      <c r="P34" s="60">
        <v>0</v>
      </c>
      <c r="Q34" s="60">
        <v>0</v>
      </c>
      <c r="R34" s="60">
        <v>0</v>
      </c>
      <c r="S34" s="60">
        <v>0</v>
      </c>
      <c r="T34" s="66">
        <v>0</v>
      </c>
      <c r="U34" s="48"/>
      <c r="V34" s="60">
        <v>0</v>
      </c>
      <c r="W34" s="60">
        <v>0</v>
      </c>
      <c r="X34" s="60">
        <v>0</v>
      </c>
      <c r="Y34" s="60">
        <v>0</v>
      </c>
      <c r="Z34" s="66">
        <v>0</v>
      </c>
      <c r="AA34" s="51"/>
      <c r="AB34" s="60">
        <v>0</v>
      </c>
      <c r="AC34" s="60">
        <v>0</v>
      </c>
      <c r="AD34" s="60">
        <v>0</v>
      </c>
      <c r="AE34" s="60">
        <v>0</v>
      </c>
      <c r="AF34" s="66">
        <v>0</v>
      </c>
      <c r="AG34" s="49"/>
      <c r="AH34" s="60">
        <v>0</v>
      </c>
      <c r="AI34" s="60">
        <v>0</v>
      </c>
      <c r="AJ34" s="50"/>
      <c r="AK34" s="50"/>
      <c r="AL34" s="68"/>
    </row>
    <row r="35" spans="1:38" s="54" customFormat="1" ht="15" customHeight="1">
      <c r="B35" s="159" t="s">
        <v>678</v>
      </c>
      <c r="C35" s="115"/>
      <c r="D35" s="60">
        <v>0</v>
      </c>
      <c r="E35" s="60">
        <v>0</v>
      </c>
      <c r="F35" s="60">
        <v>0</v>
      </c>
      <c r="G35" s="60">
        <v>-7052</v>
      </c>
      <c r="H35" s="74">
        <v>0</v>
      </c>
      <c r="I35" s="48"/>
      <c r="J35" s="60">
        <v>0</v>
      </c>
      <c r="K35" s="60">
        <v>0</v>
      </c>
      <c r="L35" s="60">
        <v>0</v>
      </c>
      <c r="M35" s="60">
        <v>0</v>
      </c>
      <c r="N35" s="74">
        <v>0</v>
      </c>
      <c r="O35" s="48"/>
      <c r="P35" s="60">
        <v>0</v>
      </c>
      <c r="Q35" s="60">
        <v>0</v>
      </c>
      <c r="R35" s="60">
        <v>0</v>
      </c>
      <c r="S35" s="60">
        <v>0</v>
      </c>
      <c r="T35" s="74">
        <v>0</v>
      </c>
      <c r="U35" s="48"/>
      <c r="V35" s="60">
        <v>0</v>
      </c>
      <c r="W35" s="60">
        <v>0</v>
      </c>
      <c r="X35" s="60">
        <v>0</v>
      </c>
      <c r="Y35" s="60">
        <v>0</v>
      </c>
      <c r="Z35" s="74">
        <v>0</v>
      </c>
      <c r="AA35" s="81"/>
      <c r="AB35" s="60">
        <v>0</v>
      </c>
      <c r="AC35" s="60">
        <v>0</v>
      </c>
      <c r="AD35" s="60">
        <v>0</v>
      </c>
      <c r="AE35" s="60">
        <v>0</v>
      </c>
      <c r="AF35" s="74">
        <v>0</v>
      </c>
      <c r="AG35" s="82"/>
      <c r="AH35" s="60">
        <v>0</v>
      </c>
      <c r="AI35" s="60">
        <v>0</v>
      </c>
      <c r="AJ35" s="50"/>
      <c r="AK35" s="50"/>
      <c r="AL35" s="75"/>
    </row>
    <row r="36" spans="1:38" s="54" customFormat="1" ht="15" customHeight="1" thickBot="1">
      <c r="A36" s="113"/>
      <c r="B36" s="160" t="s">
        <v>679</v>
      </c>
      <c r="C36" s="17"/>
      <c r="D36" s="60">
        <v>-39222</v>
      </c>
      <c r="E36" s="60">
        <v>-3959</v>
      </c>
      <c r="F36" s="60">
        <v>-10358</v>
      </c>
      <c r="G36" s="60">
        <v>-53218</v>
      </c>
      <c r="H36" s="93">
        <v>-106757</v>
      </c>
      <c r="I36" s="48"/>
      <c r="J36" s="60">
        <v>-7038</v>
      </c>
      <c r="K36" s="60">
        <v>-17184</v>
      </c>
      <c r="L36" s="60">
        <v>-388457</v>
      </c>
      <c r="M36" s="60">
        <v>-596182</v>
      </c>
      <c r="N36" s="93">
        <v>-1008861</v>
      </c>
      <c r="O36" s="48"/>
      <c r="P36" s="60">
        <v>-24126</v>
      </c>
      <c r="Q36" s="60">
        <v>-83133</v>
      </c>
      <c r="R36" s="60">
        <v>-150609</v>
      </c>
      <c r="S36" s="60">
        <v>-90451</v>
      </c>
      <c r="T36" s="93">
        <v>-348319</v>
      </c>
      <c r="U36" s="48"/>
      <c r="V36" s="60">
        <v>-36450</v>
      </c>
      <c r="W36" s="60">
        <v>-48816</v>
      </c>
      <c r="X36" s="60">
        <v>-53958</v>
      </c>
      <c r="Y36" s="60">
        <v>-16518</v>
      </c>
      <c r="Z36" s="93">
        <v>-155742</v>
      </c>
      <c r="AA36" s="51"/>
      <c r="AB36" s="60">
        <v>-16089</v>
      </c>
      <c r="AC36" s="60">
        <v>-14228</v>
      </c>
      <c r="AD36" s="60">
        <v>-13682</v>
      </c>
      <c r="AE36" s="60">
        <v>-114536</v>
      </c>
      <c r="AF36" s="93">
        <v>-158535</v>
      </c>
      <c r="AG36" s="49"/>
      <c r="AH36" s="60">
        <v>-34837</v>
      </c>
      <c r="AI36" s="60">
        <v>-24419</v>
      </c>
      <c r="AJ36" s="50"/>
      <c r="AK36" s="50"/>
      <c r="AL36" s="94"/>
    </row>
    <row r="37" spans="1:38" s="54" customFormat="1" ht="15" customHeight="1" thickTop="1">
      <c r="A37" s="43"/>
      <c r="B37" s="154"/>
      <c r="C37" s="115"/>
      <c r="D37" s="46"/>
      <c r="E37" s="46"/>
      <c r="F37" s="46"/>
      <c r="G37" s="46"/>
      <c r="H37" s="66"/>
      <c r="I37" s="48"/>
      <c r="J37" s="46"/>
      <c r="K37" s="46"/>
      <c r="L37" s="46"/>
      <c r="M37" s="46"/>
      <c r="N37" s="66"/>
      <c r="O37" s="48"/>
      <c r="P37" s="46"/>
      <c r="Q37" s="46"/>
      <c r="R37" s="46"/>
      <c r="S37" s="46"/>
      <c r="T37" s="66"/>
      <c r="U37" s="48"/>
      <c r="V37" s="46"/>
      <c r="W37" s="46"/>
      <c r="X37" s="46"/>
      <c r="Y37" s="46"/>
      <c r="Z37" s="66"/>
      <c r="AA37" s="86"/>
      <c r="AB37" s="46"/>
      <c r="AC37" s="46"/>
      <c r="AD37" s="46"/>
      <c r="AE37" s="46"/>
      <c r="AF37" s="66"/>
      <c r="AG37" s="82"/>
      <c r="AH37" s="46"/>
      <c r="AI37" s="46"/>
      <c r="AJ37" s="50"/>
      <c r="AK37" s="50"/>
      <c r="AL37" s="68"/>
    </row>
    <row r="38" spans="1:38" s="54" customFormat="1" ht="15" customHeight="1">
      <c r="A38" s="44" t="s">
        <v>38</v>
      </c>
      <c r="B38" s="158" t="s">
        <v>680</v>
      </c>
      <c r="C38" s="27"/>
      <c r="D38" s="46"/>
      <c r="E38" s="46"/>
      <c r="F38" s="46"/>
      <c r="G38" s="46"/>
      <c r="H38" s="66"/>
      <c r="I38" s="48"/>
      <c r="J38" s="46"/>
      <c r="K38" s="46"/>
      <c r="L38" s="46"/>
      <c r="M38" s="46"/>
      <c r="N38" s="66"/>
      <c r="O38" s="48"/>
      <c r="P38" s="46"/>
      <c r="Q38" s="46"/>
      <c r="R38" s="46"/>
      <c r="S38" s="46"/>
      <c r="T38" s="66"/>
      <c r="U38" s="48"/>
      <c r="V38" s="46"/>
      <c r="W38" s="46"/>
      <c r="X38" s="46"/>
      <c r="Y38" s="46"/>
      <c r="Z38" s="66"/>
      <c r="AA38" s="51"/>
      <c r="AB38" s="46"/>
      <c r="AC38" s="46"/>
      <c r="AD38" s="46"/>
      <c r="AE38" s="46"/>
      <c r="AF38" s="66"/>
      <c r="AG38" s="49"/>
      <c r="AH38" s="46"/>
      <c r="AI38" s="46"/>
      <c r="AJ38" s="50"/>
      <c r="AK38" s="50"/>
      <c r="AL38" s="68"/>
    </row>
    <row r="39" spans="1:38" s="54" customFormat="1" ht="15" customHeight="1">
      <c r="A39" s="113"/>
      <c r="B39" s="159" t="s">
        <v>681</v>
      </c>
      <c r="C39" s="115"/>
      <c r="D39" s="60">
        <v>0</v>
      </c>
      <c r="E39" s="60">
        <v>0</v>
      </c>
      <c r="F39" s="60">
        <v>0</v>
      </c>
      <c r="G39" s="60">
        <v>0</v>
      </c>
      <c r="H39" s="66">
        <v>0</v>
      </c>
      <c r="I39" s="48"/>
      <c r="J39" s="60">
        <v>0</v>
      </c>
      <c r="K39" s="60">
        <v>0</v>
      </c>
      <c r="L39" s="60">
        <v>0</v>
      </c>
      <c r="M39" s="60">
        <v>0</v>
      </c>
      <c r="N39" s="66">
        <v>0</v>
      </c>
      <c r="O39" s="48"/>
      <c r="P39" s="60">
        <v>0</v>
      </c>
      <c r="Q39" s="60">
        <v>0</v>
      </c>
      <c r="R39" s="60">
        <v>0</v>
      </c>
      <c r="S39" s="60">
        <v>0</v>
      </c>
      <c r="T39" s="66">
        <v>0</v>
      </c>
      <c r="U39" s="48"/>
      <c r="V39" s="60">
        <v>0</v>
      </c>
      <c r="W39" s="60">
        <v>0</v>
      </c>
      <c r="X39" s="60">
        <v>0</v>
      </c>
      <c r="Y39" s="60">
        <v>0</v>
      </c>
      <c r="Z39" s="66">
        <v>0</v>
      </c>
      <c r="AA39" s="51"/>
      <c r="AB39" s="60">
        <v>0</v>
      </c>
      <c r="AC39" s="60">
        <v>0</v>
      </c>
      <c r="AD39" s="60">
        <v>0</v>
      </c>
      <c r="AE39" s="60">
        <v>0</v>
      </c>
      <c r="AF39" s="66">
        <v>0</v>
      </c>
      <c r="AG39" s="49"/>
      <c r="AH39" s="60">
        <v>0</v>
      </c>
      <c r="AI39" s="60">
        <v>0</v>
      </c>
      <c r="AJ39" s="50"/>
      <c r="AK39" s="50"/>
      <c r="AL39" s="68"/>
    </row>
    <row r="40" spans="1:38" s="54" customFormat="1" ht="15" customHeight="1">
      <c r="A40" s="113"/>
      <c r="B40" s="159" t="s">
        <v>682</v>
      </c>
      <c r="C40" s="115"/>
      <c r="D40" s="60">
        <v>-74600</v>
      </c>
      <c r="E40" s="60">
        <v>-2249</v>
      </c>
      <c r="F40" s="60">
        <v>729538</v>
      </c>
      <c r="G40" s="60">
        <v>-738561</v>
      </c>
      <c r="H40" s="66">
        <v>-85872</v>
      </c>
      <c r="I40" s="48"/>
      <c r="J40" s="60">
        <v>-1762</v>
      </c>
      <c r="K40" s="60">
        <v>-600</v>
      </c>
      <c r="L40" s="60">
        <v>-115</v>
      </c>
      <c r="M40" s="60">
        <v>-26788</v>
      </c>
      <c r="N40" s="66">
        <v>-29265</v>
      </c>
      <c r="O40" s="48"/>
      <c r="P40" s="60">
        <v>-170013</v>
      </c>
      <c r="Q40" s="60">
        <v>-69596</v>
      </c>
      <c r="R40" s="60">
        <v>-71</v>
      </c>
      <c r="S40" s="60">
        <v>-25097</v>
      </c>
      <c r="T40" s="66">
        <v>-264777</v>
      </c>
      <c r="U40" s="48"/>
      <c r="V40" s="60">
        <v>-67648</v>
      </c>
      <c r="W40" s="60">
        <v>-6896</v>
      </c>
      <c r="X40" s="60">
        <v>0</v>
      </c>
      <c r="Y40" s="60">
        <v>-21</v>
      </c>
      <c r="Z40" s="66">
        <v>-74565</v>
      </c>
      <c r="AA40" s="51"/>
      <c r="AB40" s="60">
        <v>-16995</v>
      </c>
      <c r="AC40" s="60">
        <v>-976</v>
      </c>
      <c r="AD40" s="60">
        <v>-287</v>
      </c>
      <c r="AE40" s="60">
        <v>-16402</v>
      </c>
      <c r="AF40" s="66">
        <v>-34660</v>
      </c>
      <c r="AG40" s="49"/>
      <c r="AH40" s="60">
        <v>-42778</v>
      </c>
      <c r="AI40" s="60">
        <v>-322913</v>
      </c>
      <c r="AJ40" s="50"/>
      <c r="AK40" s="50"/>
      <c r="AL40" s="68"/>
    </row>
    <row r="41" spans="1:38" s="54" customFormat="1" ht="15" customHeight="1">
      <c r="A41" s="113"/>
      <c r="B41" s="159" t="s">
        <v>683</v>
      </c>
      <c r="C41" s="115"/>
      <c r="D41" s="60">
        <v>0</v>
      </c>
      <c r="E41" s="60">
        <v>0</v>
      </c>
      <c r="F41" s="60">
        <v>0</v>
      </c>
      <c r="G41" s="60">
        <v>0</v>
      </c>
      <c r="H41" s="66">
        <v>0</v>
      </c>
      <c r="I41" s="48"/>
      <c r="J41" s="60">
        <v>0</v>
      </c>
      <c r="K41" s="60">
        <v>0</v>
      </c>
      <c r="L41" s="60">
        <v>0</v>
      </c>
      <c r="M41" s="60">
        <v>0</v>
      </c>
      <c r="N41" s="66">
        <v>0</v>
      </c>
      <c r="O41" s="48"/>
      <c r="P41" s="60">
        <v>0</v>
      </c>
      <c r="Q41" s="60">
        <v>0</v>
      </c>
      <c r="R41" s="60">
        <v>0</v>
      </c>
      <c r="S41" s="60">
        <v>0</v>
      </c>
      <c r="T41" s="66">
        <v>0</v>
      </c>
      <c r="U41" s="48"/>
      <c r="V41" s="60">
        <v>0</v>
      </c>
      <c r="W41" s="60">
        <v>0</v>
      </c>
      <c r="X41" s="60">
        <v>0</v>
      </c>
      <c r="Y41" s="60">
        <v>0</v>
      </c>
      <c r="Z41" s="66">
        <v>0</v>
      </c>
      <c r="AA41" s="51"/>
      <c r="AB41" s="60">
        <v>0</v>
      </c>
      <c r="AC41" s="60">
        <v>0</v>
      </c>
      <c r="AD41" s="60">
        <v>0</v>
      </c>
      <c r="AE41" s="60">
        <v>0</v>
      </c>
      <c r="AF41" s="66">
        <v>0</v>
      </c>
      <c r="AG41" s="49"/>
      <c r="AH41" s="60">
        <v>0</v>
      </c>
      <c r="AI41" s="60">
        <v>0</v>
      </c>
      <c r="AJ41" s="50"/>
      <c r="AK41" s="50"/>
      <c r="AL41" s="68"/>
    </row>
    <row r="42" spans="1:38" s="54" customFormat="1" ht="15" customHeight="1">
      <c r="A42" s="142"/>
      <c r="B42" s="159" t="s">
        <v>684</v>
      </c>
      <c r="C42" s="27"/>
      <c r="D42" s="60">
        <v>2303953</v>
      </c>
      <c r="E42" s="60">
        <v>246342</v>
      </c>
      <c r="F42" s="60">
        <v>0</v>
      </c>
      <c r="G42" s="60">
        <v>748248</v>
      </c>
      <c r="H42" s="66">
        <v>3298543</v>
      </c>
      <c r="I42" s="48"/>
      <c r="J42" s="60">
        <v>18995</v>
      </c>
      <c r="K42" s="60">
        <v>169</v>
      </c>
      <c r="L42" s="60">
        <v>466812</v>
      </c>
      <c r="M42" s="60">
        <v>1251095</v>
      </c>
      <c r="N42" s="66">
        <v>1737071</v>
      </c>
      <c r="O42" s="48"/>
      <c r="P42" s="60">
        <v>365000</v>
      </c>
      <c r="Q42" s="60">
        <v>335693</v>
      </c>
      <c r="R42" s="60">
        <v>1014307</v>
      </c>
      <c r="S42" s="60">
        <v>130530</v>
      </c>
      <c r="T42" s="66">
        <v>1845530</v>
      </c>
      <c r="U42" s="48"/>
      <c r="V42" s="60">
        <v>195197</v>
      </c>
      <c r="W42" s="60">
        <v>194585</v>
      </c>
      <c r="X42" s="60">
        <v>175418</v>
      </c>
      <c r="Y42" s="60">
        <v>74834</v>
      </c>
      <c r="Z42" s="66">
        <v>640034</v>
      </c>
      <c r="AA42" s="51"/>
      <c r="AB42" s="60">
        <v>0</v>
      </c>
      <c r="AC42" s="60">
        <v>0</v>
      </c>
      <c r="AD42" s="60">
        <v>0</v>
      </c>
      <c r="AE42" s="60">
        <v>0</v>
      </c>
      <c r="AF42" s="66">
        <v>0</v>
      </c>
      <c r="AG42" s="49"/>
      <c r="AH42" s="60">
        <v>0</v>
      </c>
      <c r="AI42" s="60">
        <v>0</v>
      </c>
      <c r="AJ42" s="50"/>
      <c r="AK42" s="50"/>
      <c r="AL42" s="68"/>
    </row>
    <row r="43" spans="1:38" s="54" customFormat="1" ht="15" customHeight="1">
      <c r="A43" s="113"/>
      <c r="B43" s="159" t="s">
        <v>685</v>
      </c>
      <c r="C43" s="115"/>
      <c r="D43" s="60">
        <v>-1976678</v>
      </c>
      <c r="E43" s="60">
        <v>-48700</v>
      </c>
      <c r="F43" s="60">
        <v>-1196820</v>
      </c>
      <c r="G43" s="60">
        <v>-123617</v>
      </c>
      <c r="H43" s="66">
        <v>-3345815</v>
      </c>
      <c r="I43" s="48"/>
      <c r="J43" s="60">
        <v>-25518</v>
      </c>
      <c r="K43" s="60">
        <v>-4500</v>
      </c>
      <c r="L43" s="60">
        <v>-399120</v>
      </c>
      <c r="M43" s="60">
        <v>-706223</v>
      </c>
      <c r="N43" s="66">
        <v>-1135361</v>
      </c>
      <c r="O43" s="48"/>
      <c r="P43" s="60">
        <v>-176611</v>
      </c>
      <c r="Q43" s="60">
        <v>-249889</v>
      </c>
      <c r="R43" s="60">
        <v>-958406</v>
      </c>
      <c r="S43" s="60">
        <v>-170631</v>
      </c>
      <c r="T43" s="66">
        <v>-1555537</v>
      </c>
      <c r="U43" s="48"/>
      <c r="V43" s="60">
        <v>-190875</v>
      </c>
      <c r="W43" s="60">
        <v>-196437</v>
      </c>
      <c r="X43" s="60">
        <v>-324875</v>
      </c>
      <c r="Y43" s="60">
        <v>-236520</v>
      </c>
      <c r="Z43" s="66">
        <v>-948707</v>
      </c>
      <c r="AA43" s="51"/>
      <c r="AB43" s="60">
        <v>-11508</v>
      </c>
      <c r="AC43" s="60">
        <v>-10367</v>
      </c>
      <c r="AD43" s="60">
        <v>-1611</v>
      </c>
      <c r="AE43" s="60">
        <v>-11744</v>
      </c>
      <c r="AF43" s="66">
        <v>-33037</v>
      </c>
      <c r="AG43" s="49"/>
      <c r="AH43" s="60">
        <v>-14256</v>
      </c>
      <c r="AI43" s="60">
        <v>-7619</v>
      </c>
      <c r="AJ43" s="50"/>
      <c r="AK43" s="50"/>
      <c r="AL43" s="68"/>
    </row>
    <row r="44" spans="1:38" s="54" customFormat="1" ht="15" customHeight="1">
      <c r="A44" s="113"/>
      <c r="B44" s="159" t="s">
        <v>686</v>
      </c>
      <c r="C44" s="115"/>
      <c r="D44" s="60">
        <v>-7576.9999999998836</v>
      </c>
      <c r="E44" s="60">
        <v>-2160</v>
      </c>
      <c r="F44" s="60">
        <v>-105887</v>
      </c>
      <c r="G44" s="60">
        <v>-3700.0000000001164</v>
      </c>
      <c r="H44" s="74">
        <v>-119324.00000000006</v>
      </c>
      <c r="I44" s="48"/>
      <c r="J44" s="60">
        <v>0</v>
      </c>
      <c r="K44" s="60">
        <v>-5515</v>
      </c>
      <c r="L44" s="60">
        <v>5515</v>
      </c>
      <c r="M44" s="60">
        <v>-69656.000000000116</v>
      </c>
      <c r="N44" s="74">
        <v>-69655.999999999767</v>
      </c>
      <c r="O44" s="48"/>
      <c r="P44" s="60">
        <v>-9655</v>
      </c>
      <c r="Q44" s="60">
        <v>-7190.9999999999709</v>
      </c>
      <c r="R44" s="60">
        <v>-974.00000000006548</v>
      </c>
      <c r="S44" s="60">
        <v>235</v>
      </c>
      <c r="T44" s="74">
        <v>-17584.999999999942</v>
      </c>
      <c r="U44" s="48"/>
      <c r="V44" s="60">
        <v>-51.000000000002728</v>
      </c>
      <c r="W44" s="60">
        <v>-3109.9999999999964</v>
      </c>
      <c r="X44" s="60">
        <v>-1076</v>
      </c>
      <c r="Y44" s="60">
        <v>-3464</v>
      </c>
      <c r="Z44" s="74">
        <v>-7701</v>
      </c>
      <c r="AA44" s="81"/>
      <c r="AB44" s="60">
        <v>-55</v>
      </c>
      <c r="AC44" s="60">
        <v>-2774</v>
      </c>
      <c r="AD44" s="60">
        <v>-1216</v>
      </c>
      <c r="AE44" s="60">
        <v>167</v>
      </c>
      <c r="AF44" s="74">
        <v>-6071</v>
      </c>
      <c r="AG44" s="82"/>
      <c r="AH44" s="60">
        <v>-57</v>
      </c>
      <c r="AI44" s="60">
        <v>-15836</v>
      </c>
      <c r="AJ44" s="50"/>
      <c r="AK44" s="50"/>
      <c r="AL44" s="75"/>
    </row>
    <row r="45" spans="1:38" s="54" customFormat="1" ht="15" customHeight="1" thickBot="1">
      <c r="A45" s="113"/>
      <c r="B45" s="160" t="s">
        <v>687</v>
      </c>
      <c r="C45" s="17"/>
      <c r="D45" s="60">
        <v>245098</v>
      </c>
      <c r="E45" s="60">
        <v>193233</v>
      </c>
      <c r="F45" s="60">
        <v>-573169</v>
      </c>
      <c r="G45" s="60">
        <v>-117630</v>
      </c>
      <c r="H45" s="93">
        <v>-252468</v>
      </c>
      <c r="I45" s="48"/>
      <c r="J45" s="60">
        <v>-8285</v>
      </c>
      <c r="K45" s="60">
        <v>-10446</v>
      </c>
      <c r="L45" s="60">
        <v>73092</v>
      </c>
      <c r="M45" s="60">
        <v>448428</v>
      </c>
      <c r="N45" s="93">
        <v>502789</v>
      </c>
      <c r="O45" s="48"/>
      <c r="P45" s="60">
        <v>8721</v>
      </c>
      <c r="Q45" s="60">
        <v>9017</v>
      </c>
      <c r="R45" s="60">
        <v>54856</v>
      </c>
      <c r="S45" s="60">
        <v>-64963</v>
      </c>
      <c r="T45" s="93">
        <v>7631</v>
      </c>
      <c r="U45" s="48"/>
      <c r="V45" s="60">
        <v>-63377</v>
      </c>
      <c r="W45" s="60">
        <v>-11858</v>
      </c>
      <c r="X45" s="60">
        <v>-150533</v>
      </c>
      <c r="Y45" s="60">
        <v>-165171</v>
      </c>
      <c r="Z45" s="93">
        <v>-390939</v>
      </c>
      <c r="AA45" s="48"/>
      <c r="AB45" s="60">
        <v>-28558</v>
      </c>
      <c r="AC45" s="60">
        <v>-14117</v>
      </c>
      <c r="AD45" s="60">
        <v>-3114</v>
      </c>
      <c r="AE45" s="60">
        <v>-27979</v>
      </c>
      <c r="AF45" s="93">
        <v>-73768</v>
      </c>
      <c r="AG45" s="95"/>
      <c r="AH45" s="60">
        <v>-57091</v>
      </c>
      <c r="AI45" s="60">
        <v>-346368</v>
      </c>
      <c r="AJ45" s="50"/>
      <c r="AK45" s="50"/>
      <c r="AL45" s="94"/>
    </row>
    <row r="46" spans="1:38" s="54" customFormat="1" ht="15" customHeight="1" thickTop="1">
      <c r="A46" s="113"/>
      <c r="B46" s="9"/>
      <c r="C46" s="115"/>
      <c r="D46" s="46"/>
      <c r="E46" s="46"/>
      <c r="F46" s="46"/>
      <c r="G46" s="46"/>
      <c r="H46" s="66"/>
      <c r="I46" s="48"/>
      <c r="J46" s="46"/>
      <c r="K46" s="46"/>
      <c r="L46" s="46"/>
      <c r="M46" s="46"/>
      <c r="N46" s="66"/>
      <c r="O46" s="48"/>
      <c r="P46" s="46"/>
      <c r="Q46" s="46"/>
      <c r="R46" s="46"/>
      <c r="S46" s="46"/>
      <c r="T46" s="66"/>
      <c r="U46" s="48"/>
      <c r="V46" s="46"/>
      <c r="W46" s="46"/>
      <c r="X46" s="46"/>
      <c r="Y46" s="46"/>
      <c r="Z46" s="66"/>
      <c r="AA46" s="81"/>
      <c r="AB46" s="46"/>
      <c r="AC46" s="46"/>
      <c r="AD46" s="46"/>
      <c r="AE46" s="46"/>
      <c r="AF46" s="66"/>
      <c r="AG46" s="82"/>
      <c r="AH46" s="46"/>
      <c r="AI46" s="46"/>
      <c r="AJ46" s="50"/>
      <c r="AK46" s="50"/>
      <c r="AL46" s="68"/>
    </row>
    <row r="47" spans="1:38" s="54" customFormat="1" ht="15" customHeight="1">
      <c r="A47" s="44" t="s">
        <v>38</v>
      </c>
      <c r="B47" s="158" t="s">
        <v>688</v>
      </c>
      <c r="C47" s="17"/>
      <c r="D47" s="60">
        <v>-6470</v>
      </c>
      <c r="E47" s="60">
        <v>1780</v>
      </c>
      <c r="F47" s="60">
        <v>2695</v>
      </c>
      <c r="G47" s="60">
        <v>10038</v>
      </c>
      <c r="H47" s="66">
        <v>8043</v>
      </c>
      <c r="I47" s="48"/>
      <c r="J47" s="60">
        <v>-3144</v>
      </c>
      <c r="K47" s="60">
        <v>1175</v>
      </c>
      <c r="L47" s="60">
        <v>-2380</v>
      </c>
      <c r="M47" s="60">
        <v>-719</v>
      </c>
      <c r="N47" s="66">
        <v>-5068</v>
      </c>
      <c r="O47" s="48"/>
      <c r="P47" s="60">
        <v>-2937</v>
      </c>
      <c r="Q47" s="60">
        <v>-10773</v>
      </c>
      <c r="R47" s="60">
        <v>-9909</v>
      </c>
      <c r="S47" s="60">
        <v>13394</v>
      </c>
      <c r="T47" s="66">
        <v>-10225</v>
      </c>
      <c r="U47" s="48"/>
      <c r="V47" s="60">
        <v>2348</v>
      </c>
      <c r="W47" s="60">
        <v>-519</v>
      </c>
      <c r="X47" s="60">
        <v>-4752</v>
      </c>
      <c r="Y47" s="60">
        <v>6309</v>
      </c>
      <c r="Z47" s="66">
        <v>3386</v>
      </c>
      <c r="AA47" s="48"/>
      <c r="AB47" s="60">
        <v>-2732</v>
      </c>
      <c r="AC47" s="60">
        <v>-2732</v>
      </c>
      <c r="AD47" s="60">
        <v>6678</v>
      </c>
      <c r="AE47" s="60">
        <v>-13690</v>
      </c>
      <c r="AF47" s="66">
        <v>-12476</v>
      </c>
      <c r="AG47" s="95"/>
      <c r="AH47" s="60">
        <v>6404</v>
      </c>
      <c r="AI47" s="60">
        <v>15140</v>
      </c>
      <c r="AJ47" s="50"/>
      <c r="AK47" s="50"/>
      <c r="AL47" s="68"/>
    </row>
    <row r="48" spans="1:38" ht="15" customHeight="1">
      <c r="D48" s="685"/>
      <c r="E48" s="685"/>
      <c r="F48" s="685"/>
      <c r="G48" s="685"/>
    </row>
    <row r="49" spans="1:35" s="54" customFormat="1" ht="15" customHeight="1">
      <c r="A49" s="44" t="s">
        <v>38</v>
      </c>
      <c r="B49" s="158" t="s">
        <v>689</v>
      </c>
      <c r="C49" s="17"/>
      <c r="D49" s="60">
        <v>286543</v>
      </c>
      <c r="E49" s="60">
        <v>268677</v>
      </c>
      <c r="F49" s="60">
        <v>-429410</v>
      </c>
      <c r="G49" s="60">
        <v>47793</v>
      </c>
      <c r="H49" s="74">
        <v>173603</v>
      </c>
      <c r="I49" s="48"/>
      <c r="J49" s="60">
        <v>41228</v>
      </c>
      <c r="K49" s="60">
        <v>86231</v>
      </c>
      <c r="L49" s="60">
        <v>-144086</v>
      </c>
      <c r="M49" s="60">
        <v>-71114</v>
      </c>
      <c r="N49" s="74">
        <v>-87741</v>
      </c>
      <c r="O49" s="48"/>
      <c r="P49" s="60">
        <v>-33686</v>
      </c>
      <c r="Q49" s="60">
        <v>19913</v>
      </c>
      <c r="R49" s="60">
        <v>-21671</v>
      </c>
      <c r="S49" s="60">
        <v>17083</v>
      </c>
      <c r="T49" s="74">
        <v>-18361</v>
      </c>
      <c r="U49" s="48"/>
      <c r="V49" s="60">
        <v>-5477</v>
      </c>
      <c r="W49" s="60">
        <v>755</v>
      </c>
      <c r="X49" s="60">
        <v>9910</v>
      </c>
      <c r="Y49" s="60">
        <v>80307</v>
      </c>
      <c r="Z49" s="74">
        <v>85495</v>
      </c>
      <c r="AA49" s="48"/>
      <c r="AB49" s="60">
        <v>93522</v>
      </c>
      <c r="AC49" s="60">
        <v>118439</v>
      </c>
      <c r="AD49" s="60">
        <v>146547</v>
      </c>
      <c r="AE49" s="60">
        <v>83529</v>
      </c>
      <c r="AF49" s="74">
        <v>442037</v>
      </c>
      <c r="AG49" s="95"/>
      <c r="AH49" s="60">
        <v>55610</v>
      </c>
      <c r="AI49" s="60">
        <v>-233644</v>
      </c>
    </row>
    <row r="50" spans="1:35" s="54" customFormat="1" ht="15" customHeight="1" thickBot="1">
      <c r="B50" s="158" t="s">
        <v>690</v>
      </c>
      <c r="C50" s="115"/>
      <c r="D50" s="60">
        <v>381043</v>
      </c>
      <c r="E50" s="60">
        <v>649720</v>
      </c>
      <c r="F50" s="60">
        <v>220310</v>
      </c>
      <c r="G50" s="60">
        <v>268103</v>
      </c>
      <c r="H50" s="93">
        <v>268103</v>
      </c>
      <c r="I50" s="48"/>
      <c r="J50" s="60">
        <v>309331</v>
      </c>
      <c r="K50" s="60">
        <v>395562</v>
      </c>
      <c r="L50" s="60">
        <v>251476</v>
      </c>
      <c r="M50" s="60">
        <v>180362</v>
      </c>
      <c r="N50" s="93">
        <v>180362</v>
      </c>
      <c r="O50" s="48"/>
      <c r="P50" s="60">
        <v>146676</v>
      </c>
      <c r="Q50" s="60">
        <v>166589</v>
      </c>
      <c r="R50" s="60">
        <v>144918</v>
      </c>
      <c r="S50" s="60">
        <v>162001</v>
      </c>
      <c r="T50" s="93">
        <v>162001</v>
      </c>
      <c r="U50" s="48"/>
      <c r="V50" s="60">
        <v>156524</v>
      </c>
      <c r="W50" s="60">
        <v>157279</v>
      </c>
      <c r="X50" s="60">
        <v>167189</v>
      </c>
      <c r="Y50" s="60">
        <v>247496</v>
      </c>
      <c r="Z50" s="93">
        <v>247496</v>
      </c>
      <c r="AA50" s="48"/>
      <c r="AB50" s="60">
        <v>341018</v>
      </c>
      <c r="AC50" s="60">
        <v>459457</v>
      </c>
      <c r="AD50" s="60">
        <v>606004</v>
      </c>
      <c r="AE50" s="60">
        <v>689533</v>
      </c>
      <c r="AF50" s="93">
        <v>689533</v>
      </c>
      <c r="AG50" s="95"/>
      <c r="AH50" s="60">
        <v>745143</v>
      </c>
      <c r="AI50" s="60">
        <v>511499</v>
      </c>
    </row>
  </sheetData>
  <mergeCells count="7">
    <mergeCell ref="AN8:AR8"/>
    <mergeCell ref="AH8:AL8"/>
    <mergeCell ref="D8:H8"/>
    <mergeCell ref="J8:N8"/>
    <mergeCell ref="P8:T8"/>
    <mergeCell ref="V8:Z8"/>
    <mergeCell ref="AB8:AF8"/>
  </mergeCells>
  <conditionalFormatting sqref="D62:AV62">
    <cfRule type="containsText" dxfId="0" priority="1" operator="containsText" text="ERROR">
      <formula>NOT(ISERROR(SEARCH("ERROR",D62)))</formula>
    </cfRule>
  </conditionalFormatting>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499984740745262"/>
  </sheetPr>
  <dimension ref="A1:AX177"/>
  <sheetViews>
    <sheetView showGridLines="0" topLeftCell="A3" zoomScaleNormal="100" workbookViewId="0">
      <selection activeCell="T30" sqref="T30"/>
    </sheetView>
  </sheetViews>
  <sheetFormatPr defaultColWidth="9" defaultRowHeight="14.25" customHeight="1" outlineLevelCol="1"/>
  <cols>
    <col min="1" max="1" width="2" style="97" customWidth="1"/>
    <col min="2" max="2" width="50.5" style="97" customWidth="1"/>
    <col min="3" max="3" width="3.375" style="23" customWidth="1"/>
    <col min="4" max="7" width="9.5" style="97" customWidth="1" outlineLevel="1"/>
    <col min="8" max="8" width="11.5" style="97" customWidth="1"/>
    <col min="9" max="9" width="1.5" style="23" customWidth="1"/>
    <col min="10" max="13" width="9.5" style="97" customWidth="1" outlineLevel="1"/>
    <col min="14" max="14" width="11.5" style="97" customWidth="1"/>
    <col min="15" max="15" width="1.5" style="23" customWidth="1"/>
    <col min="16" max="19" width="9.5" style="97" customWidth="1" outlineLevel="1"/>
    <col min="20" max="20" width="11.5" style="97" customWidth="1"/>
    <col min="21" max="21" width="1.5" style="23" customWidth="1"/>
    <col min="22" max="25" width="9.5" style="97" customWidth="1" outlineLevel="1"/>
    <col min="26" max="26" width="11.5" style="97" customWidth="1"/>
    <col min="27" max="27" width="1.5" style="23" customWidth="1"/>
    <col min="28" max="31" width="9.5" style="97" customWidth="1" outlineLevel="1"/>
    <col min="32" max="32" width="11.5" style="97" customWidth="1"/>
    <col min="33" max="33" width="1.5" style="23" customWidth="1"/>
    <col min="34" max="37" width="9.5" style="97" customWidth="1" outlineLevel="1"/>
    <col min="38" max="38" width="11.5" style="97" customWidth="1"/>
    <col min="39" max="39" width="1.5" style="23" customWidth="1"/>
    <col min="40" max="43" width="9.5" style="97" customWidth="1" outlineLevel="1"/>
    <col min="44" max="44" width="11.5" style="97" customWidth="1"/>
    <col min="45" max="45" width="1.5" style="23" customWidth="1"/>
    <col min="46" max="46" width="11.5" style="97" customWidth="1"/>
    <col min="47" max="47" width="1.5" style="23" customWidth="1"/>
    <col min="48" max="48" width="11.5" style="105" customWidth="1"/>
    <col min="49" max="49" width="1.5" style="23" customWidth="1"/>
    <col min="50" max="50" width="11.5" style="97" customWidth="1"/>
    <col min="51" max="51" width="1.5" style="97" customWidth="1"/>
    <col min="52" max="16384" width="9" style="97"/>
  </cols>
  <sheetData>
    <row r="1" spans="1:50" s="582" customFormat="1" ht="15" customHeight="1"/>
    <row r="2" spans="1:50" s="582" customFormat="1" ht="15" customHeight="1"/>
    <row r="3" spans="1:50" s="582" customFormat="1" ht="15" customHeight="1"/>
    <row r="4" spans="1:50" s="582" customFormat="1" ht="15" customHeight="1"/>
    <row r="5" spans="1:50" s="288" customFormat="1" ht="3.95" customHeight="1">
      <c r="C5" s="36"/>
      <c r="I5" s="36"/>
      <c r="O5" s="36"/>
      <c r="U5" s="36"/>
      <c r="AA5" s="36"/>
      <c r="AG5" s="36"/>
      <c r="AM5" s="36"/>
      <c r="AS5" s="36"/>
      <c r="AU5" s="36"/>
      <c r="AV5" s="289"/>
      <c r="AW5" s="36"/>
    </row>
    <row r="7" spans="1:50" s="41" customFormat="1" ht="15" customHeight="1">
      <c r="B7" s="161" t="s">
        <v>691</v>
      </c>
      <c r="C7" s="18"/>
      <c r="D7" s="202">
        <f>F7</f>
        <v>2020</v>
      </c>
      <c r="E7" s="202">
        <f>F7</f>
        <v>2020</v>
      </c>
      <c r="F7" s="202">
        <v>2020</v>
      </c>
      <c r="G7" s="202">
        <f>F7</f>
        <v>2020</v>
      </c>
      <c r="H7" s="202">
        <f>F7</f>
        <v>2020</v>
      </c>
      <c r="I7" s="18"/>
      <c r="J7" s="202">
        <f>L7</f>
        <v>2021</v>
      </c>
      <c r="K7" s="202">
        <f>L7</f>
        <v>2021</v>
      </c>
      <c r="L7" s="202">
        <v>2021</v>
      </c>
      <c r="M7" s="202">
        <f>L7</f>
        <v>2021</v>
      </c>
      <c r="N7" s="202">
        <f>L7</f>
        <v>2021</v>
      </c>
      <c r="O7" s="169"/>
      <c r="P7" s="202">
        <f>R7</f>
        <v>2022</v>
      </c>
      <c r="Q7" s="202">
        <f>R7</f>
        <v>2022</v>
      </c>
      <c r="R7" s="202">
        <v>2022</v>
      </c>
      <c r="S7" s="202">
        <f>R7</f>
        <v>2022</v>
      </c>
      <c r="T7" s="202">
        <f>R7</f>
        <v>2022</v>
      </c>
      <c r="U7" s="169"/>
      <c r="V7" s="202">
        <f>X7</f>
        <v>2023</v>
      </c>
      <c r="W7" s="202">
        <f>X7</f>
        <v>2023</v>
      </c>
      <c r="X7" s="202">
        <v>2023</v>
      </c>
      <c r="Y7" s="202">
        <f>X7</f>
        <v>2023</v>
      </c>
      <c r="Z7" s="202">
        <f>X7</f>
        <v>2023</v>
      </c>
      <c r="AA7" s="170"/>
      <c r="AB7" s="202">
        <f>AD7</f>
        <v>2024</v>
      </c>
      <c r="AC7" s="202">
        <f>AD7</f>
        <v>2024</v>
      </c>
      <c r="AD7" s="202">
        <v>2024</v>
      </c>
      <c r="AE7" s="202">
        <f>AD7</f>
        <v>2024</v>
      </c>
      <c r="AF7" s="202">
        <f>AD7</f>
        <v>2024</v>
      </c>
      <c r="AG7" s="170"/>
      <c r="AH7" s="202">
        <f>AJ7</f>
        <v>2025</v>
      </c>
      <c r="AI7" s="202">
        <f>AJ7</f>
        <v>2025</v>
      </c>
      <c r="AJ7" s="203">
        <v>2025</v>
      </c>
      <c r="AK7" s="202">
        <f>AJ7</f>
        <v>2025</v>
      </c>
      <c r="AL7" s="202">
        <f>AJ7</f>
        <v>2025</v>
      </c>
      <c r="AM7" s="171"/>
      <c r="AN7" s="202">
        <f>AP7</f>
        <v>2025</v>
      </c>
      <c r="AO7" s="202">
        <f>AP7</f>
        <v>2025</v>
      </c>
      <c r="AP7" s="203">
        <v>2025</v>
      </c>
      <c r="AQ7" s="202">
        <f>AP7</f>
        <v>2025</v>
      </c>
      <c r="AR7" s="202">
        <f>AP7</f>
        <v>2025</v>
      </c>
      <c r="AS7" s="18"/>
      <c r="AT7" s="162"/>
      <c r="AU7" s="18"/>
      <c r="AV7" s="163"/>
      <c r="AW7" s="18"/>
      <c r="AX7" s="163"/>
    </row>
    <row r="8" spans="1:50" s="41" customFormat="1" ht="15" customHeight="1">
      <c r="B8" s="164"/>
      <c r="C8" s="18"/>
      <c r="D8" s="815">
        <v>2020</v>
      </c>
      <c r="E8" s="815"/>
      <c r="F8" s="815"/>
      <c r="G8" s="815"/>
      <c r="H8" s="815"/>
      <c r="I8" s="169"/>
      <c r="J8" s="815">
        <f>D8+1</f>
        <v>2021</v>
      </c>
      <c r="K8" s="815"/>
      <c r="L8" s="815"/>
      <c r="M8" s="815"/>
      <c r="N8" s="815"/>
      <c r="O8" s="169"/>
      <c r="P8" s="815">
        <f>J8+1</f>
        <v>2022</v>
      </c>
      <c r="Q8" s="815"/>
      <c r="R8" s="815"/>
      <c r="S8" s="815"/>
      <c r="T8" s="815"/>
      <c r="U8" s="169"/>
      <c r="V8" s="815">
        <f>P8+1</f>
        <v>2023</v>
      </c>
      <c r="W8" s="815"/>
      <c r="X8" s="815"/>
      <c r="Y8" s="815"/>
      <c r="Z8" s="815"/>
      <c r="AA8" s="169"/>
      <c r="AB8" s="815">
        <f>V8+1</f>
        <v>2024</v>
      </c>
      <c r="AC8" s="815"/>
      <c r="AD8" s="815"/>
      <c r="AE8" s="815"/>
      <c r="AF8" s="815"/>
      <c r="AG8" s="169"/>
      <c r="AH8" s="813">
        <f>AB8+1</f>
        <v>2025</v>
      </c>
      <c r="AI8" s="813"/>
      <c r="AJ8" s="813"/>
      <c r="AK8" s="813"/>
      <c r="AL8" s="813"/>
      <c r="AM8" s="169"/>
      <c r="AN8" s="813">
        <f>AH8+1</f>
        <v>2026</v>
      </c>
      <c r="AO8" s="813"/>
      <c r="AP8" s="813"/>
      <c r="AQ8" s="813"/>
      <c r="AR8" s="813"/>
      <c r="AS8" s="171"/>
      <c r="AT8" s="166">
        <f>AN8+1</f>
        <v>2027</v>
      </c>
      <c r="AU8" s="167"/>
      <c r="AV8" s="166">
        <f>+AT8+1</f>
        <v>2028</v>
      </c>
      <c r="AW8" s="167"/>
      <c r="AX8" s="166">
        <f>+AV8+1</f>
        <v>2029</v>
      </c>
    </row>
    <row r="9" spans="1:50" s="41" customFormat="1" ht="14.25" customHeight="1">
      <c r="B9" s="164"/>
      <c r="C9" s="18"/>
      <c r="D9" s="168" t="s">
        <v>191</v>
      </c>
      <c r="E9" s="168" t="s">
        <v>192</v>
      </c>
      <c r="F9" s="168" t="s">
        <v>193</v>
      </c>
      <c r="G9" s="168" t="s">
        <v>194</v>
      </c>
      <c r="H9" s="168" t="s">
        <v>195</v>
      </c>
      <c r="I9" s="18"/>
      <c r="J9" s="168" t="s">
        <v>191</v>
      </c>
      <c r="K9" s="168" t="s">
        <v>192</v>
      </c>
      <c r="L9" s="168" t="s">
        <v>193</v>
      </c>
      <c r="M9" s="168" t="s">
        <v>194</v>
      </c>
      <c r="N9" s="168" t="s">
        <v>195</v>
      </c>
      <c r="O9" s="165"/>
      <c r="P9" s="168" t="s">
        <v>191</v>
      </c>
      <c r="Q9" s="168" t="s">
        <v>192</v>
      </c>
      <c r="R9" s="168" t="s">
        <v>193</v>
      </c>
      <c r="S9" s="168" t="s">
        <v>194</v>
      </c>
      <c r="T9" s="168" t="s">
        <v>195</v>
      </c>
      <c r="U9" s="165"/>
      <c r="V9" s="168" t="s">
        <v>191</v>
      </c>
      <c r="W9" s="168" t="s">
        <v>192</v>
      </c>
      <c r="X9" s="168" t="s">
        <v>193</v>
      </c>
      <c r="Y9" s="168" t="s">
        <v>194</v>
      </c>
      <c r="Z9" s="168" t="s">
        <v>195</v>
      </c>
      <c r="AA9" s="165"/>
      <c r="AB9" s="168" t="s">
        <v>191</v>
      </c>
      <c r="AC9" s="168" t="s">
        <v>192</v>
      </c>
      <c r="AD9" s="168" t="s">
        <v>193</v>
      </c>
      <c r="AE9" s="168" t="s">
        <v>194</v>
      </c>
      <c r="AF9" s="168" t="s">
        <v>195</v>
      </c>
      <c r="AG9" s="165"/>
      <c r="AH9" s="168" t="s">
        <v>191</v>
      </c>
      <c r="AI9" s="168" t="s">
        <v>192</v>
      </c>
      <c r="AJ9" s="168" t="s">
        <v>193</v>
      </c>
      <c r="AK9" s="168" t="s">
        <v>194</v>
      </c>
      <c r="AL9" s="168" t="s">
        <v>195</v>
      </c>
      <c r="AM9" s="165"/>
      <c r="AN9" s="168" t="s">
        <v>191</v>
      </c>
      <c r="AO9" s="168" t="s">
        <v>192</v>
      </c>
      <c r="AP9" s="168" t="s">
        <v>193</v>
      </c>
      <c r="AQ9" s="168" t="s">
        <v>194</v>
      </c>
      <c r="AR9" s="168" t="s">
        <v>195</v>
      </c>
      <c r="AS9" s="165"/>
      <c r="AT9" s="168" t="s">
        <v>195</v>
      </c>
      <c r="AU9" s="165"/>
      <c r="AV9" s="168" t="s">
        <v>195</v>
      </c>
      <c r="AW9" s="165"/>
      <c r="AX9" s="168" t="s">
        <v>195</v>
      </c>
    </row>
    <row r="10" spans="1:50" s="41" customFormat="1" ht="3.95"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s="41" customFormat="1" ht="3.95"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0" ht="14.25" customHeight="1">
      <c r="A12" s="44" t="s">
        <v>38</v>
      </c>
      <c r="B12" s="65" t="s">
        <v>587</v>
      </c>
      <c r="D12" s="208"/>
      <c r="E12" s="208"/>
      <c r="F12" s="208"/>
      <c r="G12" s="208"/>
      <c r="H12" s="209"/>
      <c r="I12" s="210"/>
      <c r="J12" s="208"/>
      <c r="K12" s="208"/>
      <c r="L12" s="208"/>
      <c r="M12" s="208"/>
      <c r="N12" s="209"/>
      <c r="O12" s="209"/>
      <c r="P12" s="208"/>
      <c r="Q12" s="208"/>
      <c r="R12" s="208"/>
      <c r="S12" s="208"/>
      <c r="T12" s="209"/>
      <c r="U12" s="209"/>
      <c r="V12" s="208"/>
      <c r="W12" s="208"/>
      <c r="X12" s="208"/>
      <c r="Y12" s="208"/>
      <c r="Z12" s="209"/>
      <c r="AA12" s="209"/>
      <c r="AB12" s="208"/>
      <c r="AC12" s="208"/>
      <c r="AD12" s="208"/>
      <c r="AE12" s="208"/>
      <c r="AF12" s="209"/>
      <c r="AG12" s="211"/>
      <c r="AH12" s="208"/>
      <c r="AI12" s="208"/>
      <c r="AJ12" s="212"/>
      <c r="AK12" s="212"/>
      <c r="AL12" s="209"/>
      <c r="AM12" s="213"/>
      <c r="AN12" s="212"/>
      <c r="AO12" s="212"/>
      <c r="AP12" s="212"/>
      <c r="AQ12" s="212"/>
      <c r="AR12" s="209"/>
      <c r="AS12" s="213"/>
      <c r="AT12" s="214"/>
      <c r="AU12" s="215"/>
      <c r="AV12" s="214"/>
      <c r="AW12" s="215"/>
      <c r="AX12" s="214"/>
    </row>
    <row r="13" spans="1:50" ht="14.25" customHeight="1">
      <c r="A13" s="55"/>
      <c r="B13" s="70" t="s">
        <v>588</v>
      </c>
      <c r="D13" s="208"/>
      <c r="E13" s="208"/>
      <c r="F13" s="208"/>
      <c r="G13" s="208"/>
      <c r="H13" s="209" t="str">
        <f>IF(ROUND(SUM(IS!D13:G13),1)=ROUND(IS!H13,1),"OK","ERROR")</f>
        <v>OK</v>
      </c>
      <c r="I13" s="210"/>
      <c r="J13" s="208"/>
      <c r="K13" s="208"/>
      <c r="L13" s="208"/>
      <c r="M13" s="208"/>
      <c r="N13" s="209" t="str">
        <f>IF(ROUND(SUM(IS!J13:M13),1)=ROUND(IS!N13,1),"OK","ERROR")</f>
        <v>OK</v>
      </c>
      <c r="O13" s="209"/>
      <c r="P13" s="208"/>
      <c r="Q13" s="208"/>
      <c r="R13" s="208"/>
      <c r="S13" s="208"/>
      <c r="T13" s="209" t="str">
        <f>IF(ROUND(SUM(IS!P13:S13),1)=ROUND(IS!T13,1),"OK","ERROR")</f>
        <v>OK</v>
      </c>
      <c r="U13" s="209"/>
      <c r="V13" s="208"/>
      <c r="W13" s="208"/>
      <c r="X13" s="208"/>
      <c r="Y13" s="208"/>
      <c r="Z13" s="209" t="str">
        <f>IF(ROUND(SUM(IS!V13:Y13),1)=ROUND(IS!Z13,1),"OK","ERROR")</f>
        <v>OK</v>
      </c>
      <c r="AA13" s="209"/>
      <c r="AB13" s="208"/>
      <c r="AC13" s="208"/>
      <c r="AD13" s="208"/>
      <c r="AE13" s="208"/>
      <c r="AF13" s="209" t="str">
        <f>IF(ROUND(SUM(IS!AB13:AE13),1)=ROUND(IS!AF13,1),"OK","ERROR")</f>
        <v>OK</v>
      </c>
      <c r="AG13" s="211"/>
      <c r="AH13" s="208"/>
      <c r="AI13" s="208"/>
      <c r="AJ13" s="212"/>
      <c r="AK13" s="212"/>
      <c r="AL13" s="209" t="str">
        <f>IF(ROUND(SUM(IS!AH13:AK13),1)=ROUND(IS!AL13,1),"OK","ERROR")</f>
        <v>OK</v>
      </c>
      <c r="AM13" s="213"/>
      <c r="AN13" s="212"/>
      <c r="AO13" s="212"/>
      <c r="AP13" s="212"/>
      <c r="AQ13" s="212"/>
      <c r="AR13" s="209" t="str">
        <f>IF(ROUND(SUM(IS!AN13:AQ13),1)=ROUND(IS!AR13,1),"OK","ERROR")</f>
        <v>OK</v>
      </c>
      <c r="AS13" s="213"/>
      <c r="AT13" s="209"/>
      <c r="AU13" s="215"/>
      <c r="AV13" s="209"/>
      <c r="AW13" s="215"/>
      <c r="AX13" s="209"/>
    </row>
    <row r="14" spans="1:50" ht="14.25" customHeight="1">
      <c r="A14" s="55"/>
      <c r="B14" s="70" t="s">
        <v>589</v>
      </c>
      <c r="D14" s="208"/>
      <c r="E14" s="208"/>
      <c r="F14" s="208"/>
      <c r="G14" s="208"/>
      <c r="H14" s="209" t="str">
        <f>IF(ROUND(SUM(IS!D14:G14),1)=ROUND(IS!H14,1),"OK","ERROR")</f>
        <v>OK</v>
      </c>
      <c r="I14" s="210"/>
      <c r="J14" s="208"/>
      <c r="K14" s="208"/>
      <c r="L14" s="208"/>
      <c r="M14" s="208"/>
      <c r="N14" s="209" t="str">
        <f>IF(ROUND(SUM(IS!J14:M14),1)=ROUND(IS!N14,1),"OK","ERROR")</f>
        <v>OK</v>
      </c>
      <c r="O14" s="209"/>
      <c r="P14" s="208"/>
      <c r="Q14" s="208"/>
      <c r="R14" s="208"/>
      <c r="S14" s="208"/>
      <c r="T14" s="209" t="str">
        <f>IF(ROUND(SUM(IS!P14:S14),1)=ROUND(IS!T14,1),"OK","ERROR")</f>
        <v>OK</v>
      </c>
      <c r="U14" s="209"/>
      <c r="V14" s="208"/>
      <c r="W14" s="208"/>
      <c r="X14" s="208"/>
      <c r="Y14" s="208"/>
      <c r="Z14" s="209" t="str">
        <f>IF(ROUND(SUM(IS!V14:Y14),1)=ROUND(IS!Z14,1),"OK","ERROR")</f>
        <v>OK</v>
      </c>
      <c r="AA14" s="209"/>
      <c r="AB14" s="208"/>
      <c r="AC14" s="208"/>
      <c r="AD14" s="208"/>
      <c r="AE14" s="208"/>
      <c r="AF14" s="209" t="str">
        <f>IF(ROUND(SUM(IS!AB14:AE14),1)=ROUND(IS!AF14,1),"OK","ERROR")</f>
        <v>OK</v>
      </c>
      <c r="AG14" s="211"/>
      <c r="AH14" s="208"/>
      <c r="AI14" s="208"/>
      <c r="AJ14" s="212"/>
      <c r="AK14" s="212"/>
      <c r="AL14" s="209" t="str">
        <f>IF(ROUND(SUM(IS!AH14:AK14),1)=ROUND(IS!AL14,1),"OK","ERROR")</f>
        <v>OK</v>
      </c>
      <c r="AM14" s="213"/>
      <c r="AN14" s="212"/>
      <c r="AO14" s="212"/>
      <c r="AP14" s="212"/>
      <c r="AQ14" s="212"/>
      <c r="AR14" s="209" t="str">
        <f>IF(ROUND(SUM(IS!AN14:AQ14),1)=ROUND(IS!AR14,1),"OK","ERROR")</f>
        <v>OK</v>
      </c>
      <c r="AS14" s="213"/>
      <c r="AT14" s="209"/>
      <c r="AU14" s="215"/>
      <c r="AV14" s="209"/>
      <c r="AW14" s="215"/>
      <c r="AX14" s="209"/>
    </row>
    <row r="15" spans="1:50" ht="14.25" customHeight="1">
      <c r="A15" s="55"/>
      <c r="B15" s="70" t="s">
        <v>590</v>
      </c>
      <c r="D15" s="208"/>
      <c r="E15" s="208"/>
      <c r="F15" s="208"/>
      <c r="G15" s="208"/>
      <c r="H15" s="209" t="str">
        <f>IF(ROUND(SUM(IS!D15:G15),1)=ROUND(IS!H15,1),"OK","ERROR")</f>
        <v>OK</v>
      </c>
      <c r="I15" s="210"/>
      <c r="J15" s="208"/>
      <c r="K15" s="208"/>
      <c r="L15" s="208"/>
      <c r="M15" s="208"/>
      <c r="N15" s="209" t="str">
        <f>IF(ROUND(SUM(IS!J15:M15),1)=ROUND(IS!N15,1),"OK","ERROR")</f>
        <v>OK</v>
      </c>
      <c r="O15" s="209"/>
      <c r="P15" s="208"/>
      <c r="Q15" s="208"/>
      <c r="R15" s="208"/>
      <c r="S15" s="208"/>
      <c r="T15" s="209" t="str">
        <f>IF(ROUND(SUM(IS!P15:S15),1)=ROUND(IS!T15,1),"OK","ERROR")</f>
        <v>OK</v>
      </c>
      <c r="U15" s="209"/>
      <c r="V15" s="208"/>
      <c r="W15" s="208"/>
      <c r="X15" s="208"/>
      <c r="Y15" s="208"/>
      <c r="Z15" s="209" t="str">
        <f>IF(ROUND(SUM(IS!V15:Y15),1)=ROUND(IS!Z15,1),"OK","ERROR")</f>
        <v>OK</v>
      </c>
      <c r="AA15" s="209"/>
      <c r="AB15" s="208"/>
      <c r="AC15" s="208"/>
      <c r="AD15" s="208"/>
      <c r="AE15" s="208"/>
      <c r="AF15" s="209" t="str">
        <f>IF(ROUND(SUM(IS!AB15:AE15),1)=ROUND(IS!AF15,1),"OK","ERROR")</f>
        <v>OK</v>
      </c>
      <c r="AG15" s="211"/>
      <c r="AH15" s="208"/>
      <c r="AI15" s="208"/>
      <c r="AJ15" s="212"/>
      <c r="AK15" s="212"/>
      <c r="AL15" s="209" t="str">
        <f>IF(ROUND(SUM(IS!AH15:AK15),1)=ROUND(IS!AL15,1),"OK","ERROR")</f>
        <v>OK</v>
      </c>
      <c r="AM15" s="213"/>
      <c r="AN15" s="212"/>
      <c r="AO15" s="212"/>
      <c r="AP15" s="212"/>
      <c r="AQ15" s="212"/>
      <c r="AR15" s="209" t="str">
        <f>IF(ROUND(SUM(IS!AN15:AQ15),1)=ROUND(IS!AR15,1),"OK","ERROR")</f>
        <v>OK</v>
      </c>
      <c r="AS15" s="213"/>
      <c r="AT15" s="209"/>
      <c r="AU15" s="215"/>
      <c r="AV15" s="209"/>
      <c r="AW15" s="215"/>
      <c r="AX15" s="209"/>
    </row>
    <row r="16" spans="1:50" ht="14.25" customHeight="1">
      <c r="A16" s="55"/>
      <c r="B16" s="70" t="s">
        <v>591</v>
      </c>
      <c r="D16" s="208"/>
      <c r="E16" s="208"/>
      <c r="F16" s="208"/>
      <c r="G16" s="208"/>
      <c r="H16" s="216" t="str">
        <f>IF(ROUND(SUM(IS!D16:G16),1)=ROUND(IS!H16,1),"OK","ERROR")</f>
        <v>OK</v>
      </c>
      <c r="I16" s="210"/>
      <c r="J16" s="208"/>
      <c r="K16" s="208"/>
      <c r="L16" s="208"/>
      <c r="M16" s="208"/>
      <c r="N16" s="216" t="str">
        <f>IF(ROUND(SUM(IS!J16:M16),1)=ROUND(IS!N16,1),"OK","ERROR")</f>
        <v>OK</v>
      </c>
      <c r="O16" s="216"/>
      <c r="P16" s="208"/>
      <c r="Q16" s="208"/>
      <c r="R16" s="208"/>
      <c r="S16" s="208"/>
      <c r="T16" s="216" t="str">
        <f>IF(ROUND(SUM(IS!P16:S16),1)=ROUND(IS!T16,1),"OK","ERROR")</f>
        <v>OK</v>
      </c>
      <c r="U16" s="216"/>
      <c r="V16" s="208"/>
      <c r="W16" s="208"/>
      <c r="X16" s="208"/>
      <c r="Y16" s="208"/>
      <c r="Z16" s="216" t="str">
        <f>IF(ROUND(SUM(IS!V16:Y16),1)=ROUND(IS!Z16,1),"OK","ERROR")</f>
        <v>OK</v>
      </c>
      <c r="AA16" s="216"/>
      <c r="AB16" s="208"/>
      <c r="AC16" s="208"/>
      <c r="AD16" s="208"/>
      <c r="AE16" s="208"/>
      <c r="AF16" s="216" t="str">
        <f>IF(ROUND(SUM(IS!AB16:AE16),1)=ROUND(IS!AF16,1),"OK","ERROR")</f>
        <v>OK</v>
      </c>
      <c r="AG16" s="211"/>
      <c r="AH16" s="208"/>
      <c r="AI16" s="208"/>
      <c r="AJ16" s="212"/>
      <c r="AK16" s="212"/>
      <c r="AL16" s="216" t="str">
        <f>IF(ROUND(SUM(IS!AH16:AK16),1)=ROUND(IS!AL16,1),"OK","ERROR")</f>
        <v>OK</v>
      </c>
      <c r="AM16" s="213"/>
      <c r="AN16" s="212"/>
      <c r="AO16" s="212"/>
      <c r="AP16" s="212"/>
      <c r="AQ16" s="212"/>
      <c r="AR16" s="216" t="str">
        <f>IF(ROUND(SUM(IS!AN16:AQ16),1)=ROUND(IS!AR16,1),"OK","ERROR")</f>
        <v>OK</v>
      </c>
      <c r="AS16" s="213"/>
      <c r="AT16" s="216"/>
      <c r="AU16" s="215"/>
      <c r="AV16" s="216"/>
      <c r="AW16" s="215"/>
      <c r="AX16" s="216"/>
    </row>
    <row r="17" spans="1:44" ht="14.25" customHeight="1">
      <c r="A17" s="55"/>
      <c r="B17" s="70" t="s">
        <v>592</v>
      </c>
      <c r="D17" s="208"/>
      <c r="E17" s="208"/>
      <c r="F17" s="208"/>
      <c r="G17" s="208"/>
      <c r="H17" s="216" t="str">
        <f>IF(ROUND(SUM(IS!D17:G17),1)=ROUND(IS!H17,1),"OK","ERROR")</f>
        <v>OK</v>
      </c>
      <c r="I17" s="210"/>
      <c r="J17" s="208"/>
      <c r="K17" s="208"/>
      <c r="L17" s="208"/>
      <c r="M17" s="208"/>
      <c r="N17" s="216" t="str">
        <f>IF(ROUND(SUM(IS!J17:M17),1)=ROUND(IS!N17,1),"OK","ERROR")</f>
        <v>OK</v>
      </c>
      <c r="O17" s="216"/>
      <c r="P17" s="208"/>
      <c r="Q17" s="208"/>
      <c r="R17" s="208"/>
      <c r="S17" s="208"/>
      <c r="T17" s="216" t="str">
        <f>IF(ROUND(SUM(IS!P17:S17),1)=ROUND(IS!T17,1),"OK","ERROR")</f>
        <v>OK</v>
      </c>
      <c r="U17" s="216"/>
      <c r="V17" s="208"/>
      <c r="W17" s="208"/>
      <c r="X17" s="208"/>
      <c r="Y17" s="208"/>
      <c r="Z17" s="216" t="str">
        <f>IF(ROUND(SUM(IS!V17:Y17),1)=ROUND(IS!Z17,1),"OK","ERROR")</f>
        <v>OK</v>
      </c>
      <c r="AA17" s="216"/>
      <c r="AB17" s="208"/>
      <c r="AC17" s="208"/>
      <c r="AD17" s="208"/>
      <c r="AE17" s="208"/>
      <c r="AF17" s="216" t="str">
        <f>IF(ROUND(SUM(IS!AB17:AE17),1)=ROUND(IS!AF17,1),"OK","ERROR")</f>
        <v>OK</v>
      </c>
      <c r="AG17" s="211"/>
      <c r="AH17" s="208"/>
      <c r="AI17" s="208"/>
      <c r="AJ17" s="212"/>
      <c r="AK17" s="212"/>
      <c r="AL17" s="216" t="str">
        <f>IF(ROUND(SUM(IS!AH17:AK17),1)=ROUND(IS!AL17,1),"OK","ERROR")</f>
        <v>OK</v>
      </c>
      <c r="AM17" s="213"/>
      <c r="AN17" s="212"/>
      <c r="AO17" s="212"/>
      <c r="AP17" s="212"/>
      <c r="AQ17" s="212"/>
      <c r="AR17" s="216" t="str">
        <f>IF(ROUND(SUM(IS!AN17:AQ17),1)=ROUND(IS!AR17,1),"OK","ERROR")</f>
        <v>OK</v>
      </c>
    </row>
    <row r="18" spans="1:44" ht="14.25" customHeight="1">
      <c r="A18" s="55"/>
      <c r="B18" s="76" t="s">
        <v>200</v>
      </c>
      <c r="D18" s="217"/>
      <c r="E18" s="217"/>
      <c r="F18" s="217" t="s">
        <v>384</v>
      </c>
      <c r="G18" s="217"/>
      <c r="H18" s="218" t="str">
        <f>IF(ROUND(SUM(IS!D18:G18),1)=ROUND(IS!H18,1),"OK","ERROR")</f>
        <v>OK</v>
      </c>
      <c r="I18" s="210"/>
      <c r="J18" s="217"/>
      <c r="K18" s="217"/>
      <c r="L18" s="217"/>
      <c r="M18" s="217"/>
      <c r="N18" s="218" t="str">
        <f>IF(ROUND(SUM(IS!J18:M18),1)=ROUND(IS!N18,1),"OK","ERROR")</f>
        <v>OK</v>
      </c>
      <c r="O18" s="209"/>
      <c r="P18" s="217"/>
      <c r="Q18" s="217"/>
      <c r="R18" s="217"/>
      <c r="S18" s="217"/>
      <c r="T18" s="218" t="str">
        <f>IF(ROUND(SUM(IS!P18:S18),1)=ROUND(IS!T18,1),"OK","ERROR")</f>
        <v>OK</v>
      </c>
      <c r="U18" s="209"/>
      <c r="V18" s="217"/>
      <c r="W18" s="217"/>
      <c r="X18" s="217"/>
      <c r="Y18" s="217"/>
      <c r="Z18" s="218" t="str">
        <f>IF(ROUND(SUM(IS!V18:Y18),1)=ROUND(IS!Z18,1),"OK","ERROR")</f>
        <v>OK</v>
      </c>
      <c r="AA18" s="209"/>
      <c r="AB18" s="217"/>
      <c r="AC18" s="217"/>
      <c r="AD18" s="217"/>
      <c r="AE18" s="217"/>
      <c r="AF18" s="218" t="str">
        <f>IF(ROUND(SUM(IS!AB18:AE18),1)=ROUND(IS!AF18,1),"OK","ERROR")</f>
        <v>OK</v>
      </c>
      <c r="AG18" s="211"/>
      <c r="AH18" s="217"/>
      <c r="AI18" s="217"/>
      <c r="AJ18" s="219"/>
      <c r="AK18" s="219"/>
      <c r="AL18" s="218" t="str">
        <f>IF(ROUND(SUM(IS!AH18:AK18),1)=ROUND(IS!AL18,1),"OK","ERROR")</f>
        <v>ERROR</v>
      </c>
      <c r="AM18" s="213"/>
      <c r="AN18" s="219"/>
      <c r="AO18" s="219"/>
      <c r="AP18" s="219"/>
      <c r="AQ18" s="219"/>
      <c r="AR18" s="218" t="str">
        <f>IF(ROUND(SUM(IS!AN18:AQ18),1)=ROUND(IS!AR18,1),"OK","ERROR")</f>
        <v>OK</v>
      </c>
    </row>
    <row r="19" spans="1:44" ht="14.25" customHeight="1">
      <c r="A19" s="55"/>
      <c r="B19" s="64"/>
      <c r="D19" s="208"/>
      <c r="E19" s="208"/>
      <c r="F19" s="208"/>
      <c r="G19" s="208"/>
      <c r="H19" s="209"/>
      <c r="I19" s="210"/>
      <c r="J19" s="208"/>
      <c r="K19" s="208"/>
      <c r="L19" s="208"/>
      <c r="M19" s="208"/>
      <c r="N19" s="209"/>
      <c r="O19" s="209"/>
      <c r="P19" s="208"/>
      <c r="Q19" s="208"/>
      <c r="R19" s="208"/>
      <c r="S19" s="208"/>
      <c r="T19" s="209"/>
      <c r="U19" s="209"/>
      <c r="V19" s="208"/>
      <c r="W19" s="208"/>
      <c r="X19" s="208"/>
      <c r="Y19" s="208"/>
      <c r="Z19" s="209"/>
      <c r="AA19" s="209"/>
      <c r="AB19" s="208"/>
      <c r="AC19" s="208"/>
      <c r="AD19" s="208"/>
      <c r="AE19" s="208"/>
      <c r="AF19" s="209"/>
      <c r="AG19" s="211"/>
      <c r="AH19" s="208"/>
      <c r="AI19" s="208"/>
      <c r="AJ19" s="212"/>
      <c r="AK19" s="212"/>
      <c r="AL19" s="209"/>
      <c r="AM19" s="213"/>
      <c r="AN19" s="212"/>
      <c r="AO19" s="212"/>
      <c r="AP19" s="212"/>
      <c r="AQ19" s="212"/>
      <c r="AR19" s="209"/>
    </row>
    <row r="20" spans="1:44" ht="14.25" customHeight="1">
      <c r="A20" s="44" t="s">
        <v>38</v>
      </c>
      <c r="B20" s="65" t="s">
        <v>593</v>
      </c>
      <c r="D20" s="208"/>
      <c r="E20" s="208"/>
      <c r="F20" s="208"/>
      <c r="G20" s="208"/>
      <c r="H20" s="220"/>
      <c r="I20" s="210"/>
      <c r="J20" s="208"/>
      <c r="K20" s="208"/>
      <c r="L20" s="208"/>
      <c r="M20" s="208"/>
      <c r="N20" s="220"/>
      <c r="O20" s="210"/>
      <c r="P20" s="208"/>
      <c r="Q20" s="208"/>
      <c r="R20" s="208"/>
      <c r="S20" s="208"/>
      <c r="T20" s="220"/>
      <c r="U20" s="210"/>
      <c r="V20" s="208"/>
      <c r="W20" s="208"/>
      <c r="X20" s="208"/>
      <c r="Y20" s="208"/>
      <c r="Z20" s="220"/>
      <c r="AA20" s="213"/>
      <c r="AB20" s="208"/>
      <c r="AC20" s="208"/>
      <c r="AD20" s="208"/>
      <c r="AE20" s="208"/>
      <c r="AF20" s="220"/>
      <c r="AG20" s="211"/>
      <c r="AH20" s="208"/>
      <c r="AI20" s="208"/>
      <c r="AJ20" s="212"/>
      <c r="AK20" s="212"/>
      <c r="AL20" s="220"/>
      <c r="AM20" s="221"/>
      <c r="AN20" s="212"/>
      <c r="AO20" s="212"/>
      <c r="AP20" s="212"/>
      <c r="AQ20" s="212"/>
      <c r="AR20" s="220"/>
    </row>
    <row r="21" spans="1:44" ht="14.25" customHeight="1">
      <c r="A21" s="55"/>
      <c r="B21" s="70" t="s">
        <v>594</v>
      </c>
      <c r="D21" s="217"/>
      <c r="E21" s="217"/>
      <c r="F21" s="217"/>
      <c r="G21" s="217"/>
      <c r="H21" s="220" t="str">
        <f>IF(ROUND(SUM(IS!D21:G21),1)=ROUND(IS!H21,1),"OK","ERROR")</f>
        <v>ERROR</v>
      </c>
      <c r="I21" s="210"/>
      <c r="J21" s="217"/>
      <c r="K21" s="217"/>
      <c r="L21" s="217"/>
      <c r="M21" s="217"/>
      <c r="N21" s="220" t="str">
        <f>IF(ROUND(SUM(IS!J21:M21),1)=ROUND(IS!N21,1),"OK","ERROR")</f>
        <v>ERROR</v>
      </c>
      <c r="O21" s="210"/>
      <c r="P21" s="217"/>
      <c r="Q21" s="217"/>
      <c r="R21" s="217"/>
      <c r="S21" s="217"/>
      <c r="T21" s="220" t="str">
        <f>IF(ROUND(SUM(IS!P21:S21),1)=ROUND(IS!T21,1),"OK","ERROR")</f>
        <v>ERROR</v>
      </c>
      <c r="U21" s="210"/>
      <c r="V21" s="217"/>
      <c r="W21" s="217"/>
      <c r="X21" s="217"/>
      <c r="Y21" s="217"/>
      <c r="Z21" s="220" t="str">
        <f>IF(ROUND(SUM(IS!V21:Y21),1)=ROUND(IS!Z21,1),"OK","ERROR")</f>
        <v>ERROR</v>
      </c>
      <c r="AA21" s="213"/>
      <c r="AB21" s="217"/>
      <c r="AC21" s="217"/>
      <c r="AD21" s="217"/>
      <c r="AE21" s="217"/>
      <c r="AF21" s="220" t="str">
        <f>IF(ROUND(SUM(IS!AB21:AE21),1)=ROUND(IS!AF21,1),"OK","ERROR")</f>
        <v>ERROR</v>
      </c>
      <c r="AG21" s="211"/>
      <c r="AH21" s="217"/>
      <c r="AI21" s="217"/>
      <c r="AJ21" s="212"/>
      <c r="AK21" s="212"/>
      <c r="AL21" s="220" t="str">
        <f>IF(ROUND(SUM(IS!AH21:AK21),1)=ROUND(IS!AL21,1),"OK","ERROR")</f>
        <v>ERROR</v>
      </c>
      <c r="AM21" s="224"/>
      <c r="AN21" s="212"/>
      <c r="AO21" s="212"/>
      <c r="AP21" s="212"/>
      <c r="AQ21" s="212"/>
      <c r="AR21" s="220" t="str">
        <f>IF(ROUND(SUM(IS!AN21:AQ21),1)=ROUND(IS!AR21,1),"OK","ERROR")</f>
        <v>OK</v>
      </c>
    </row>
    <row r="22" spans="1:44" ht="14.25" customHeight="1">
      <c r="A22" s="73"/>
      <c r="B22" s="70" t="s">
        <v>595</v>
      </c>
      <c r="D22" s="217"/>
      <c r="E22" s="208"/>
      <c r="F22" s="208"/>
      <c r="G22" s="208"/>
      <c r="H22" s="226" t="str">
        <f>IF(ROUND(SUM(IS!D22:G22),1)=ROUND(IS!H22,1),"OK","ERROR")</f>
        <v>OK</v>
      </c>
      <c r="I22" s="210"/>
      <c r="J22" s="217"/>
      <c r="K22" s="217"/>
      <c r="L22" s="217"/>
      <c r="M22" s="217"/>
      <c r="N22" s="226" t="str">
        <f>IF(ROUND(SUM(IS!J22:M22),1)=ROUND(IS!N22,1),"OK","ERROR")</f>
        <v>OK</v>
      </c>
      <c r="O22" s="210"/>
      <c r="P22" s="217"/>
      <c r="Q22" s="217"/>
      <c r="R22" s="217"/>
      <c r="S22" s="217"/>
      <c r="T22" s="226" t="str">
        <f>IF(ROUND(SUM(IS!P22:S22),1)=ROUND(IS!T22,1),"OK","ERROR")</f>
        <v>OK</v>
      </c>
      <c r="U22" s="210"/>
      <c r="V22" s="217"/>
      <c r="W22" s="217"/>
      <c r="X22" s="217"/>
      <c r="Y22" s="217"/>
      <c r="Z22" s="226" t="str">
        <f>IF(ROUND(SUM(IS!V22:Y22),1)=ROUND(IS!Z22,1),"OK","ERROR")</f>
        <v>OK</v>
      </c>
      <c r="AA22" s="213"/>
      <c r="AB22" s="217"/>
      <c r="AC22" s="217"/>
      <c r="AD22" s="217"/>
      <c r="AE22" s="217"/>
      <c r="AF22" s="226" t="str">
        <f>IF(ROUND(SUM(IS!AB22:AE22),1)=ROUND(IS!AF22,1),"OK","ERROR")</f>
        <v>OK</v>
      </c>
      <c r="AG22" s="211"/>
      <c r="AH22" s="217"/>
      <c r="AI22" s="217"/>
      <c r="AJ22" s="212"/>
      <c r="AK22" s="212"/>
      <c r="AL22" s="226" t="str">
        <f>IF(ROUND(SUM(IS!AH22:AK22),1)=ROUND(IS!AL22,1),"OK","ERROR")</f>
        <v>OK</v>
      </c>
      <c r="AM22" s="224"/>
      <c r="AN22" s="212"/>
      <c r="AO22" s="212"/>
      <c r="AP22" s="212"/>
      <c r="AQ22" s="212"/>
      <c r="AR22" s="226" t="str">
        <f>IF(ROUND(SUM(IS!AN22:AQ22),1)=ROUND(IS!AR22,1),"OK","ERROR")</f>
        <v>OK</v>
      </c>
    </row>
    <row r="23" spans="1:44" ht="14.25" customHeight="1">
      <c r="A23" s="55"/>
      <c r="B23" s="76" t="s">
        <v>596</v>
      </c>
      <c r="D23" s="208"/>
      <c r="E23" s="208"/>
      <c r="F23" s="208"/>
      <c r="G23" s="208"/>
      <c r="H23" s="227" t="str">
        <f>IF(ROUND(SUM(IS!D23:G23),1)=ROUND(IS!H23,1),"OK","ERROR")</f>
        <v>ERROR</v>
      </c>
      <c r="I23" s="210"/>
      <c r="J23" s="208"/>
      <c r="K23" s="208"/>
      <c r="L23" s="208"/>
      <c r="M23" s="208"/>
      <c r="N23" s="227" t="str">
        <f>IF(ROUND(SUM(IS!J23:M23),1)=ROUND(IS!N23,1),"OK","ERROR")</f>
        <v>ERROR</v>
      </c>
      <c r="O23" s="210"/>
      <c r="P23" s="208"/>
      <c r="Q23" s="208"/>
      <c r="R23" s="208"/>
      <c r="S23" s="208"/>
      <c r="T23" s="227" t="str">
        <f>IF(ROUND(SUM(IS!P23:S23),1)=ROUND(IS!T23,1),"OK","ERROR")</f>
        <v>ERROR</v>
      </c>
      <c r="U23" s="210"/>
      <c r="V23" s="208"/>
      <c r="W23" s="208"/>
      <c r="X23" s="208"/>
      <c r="Y23" s="208"/>
      <c r="Z23" s="227" t="str">
        <f>IF(ROUND(SUM(IS!V23:Y23),1)=ROUND(IS!Z23,1),"OK","ERROR")</f>
        <v>ERROR</v>
      </c>
      <c r="AA23" s="213"/>
      <c r="AB23" s="208"/>
      <c r="AC23" s="208"/>
      <c r="AD23" s="208"/>
      <c r="AE23" s="208"/>
      <c r="AF23" s="227" t="str">
        <f>IF(ROUND(SUM(IS!AB23:AE23),1)=ROUND(IS!AF23,1),"OK","ERROR")</f>
        <v>ERROR</v>
      </c>
      <c r="AG23" s="211"/>
      <c r="AH23" s="208"/>
      <c r="AI23" s="208"/>
      <c r="AJ23" s="212"/>
      <c r="AK23" s="212"/>
      <c r="AL23" s="227" t="str">
        <f>IF(ROUND(SUM(IS!AH23:AK23),1)=ROUND(IS!AL23,1),"OK","ERROR")</f>
        <v>ERROR</v>
      </c>
      <c r="AM23" s="224"/>
      <c r="AN23" s="212"/>
      <c r="AO23" s="212"/>
      <c r="AP23" s="212"/>
      <c r="AQ23" s="212"/>
      <c r="AR23" s="227" t="str">
        <f>IF(ROUND(SUM(IS!AN23:AQ23),1)=ROUND(IS!AR23,1),"OK","ERROR")</f>
        <v>OK</v>
      </c>
    </row>
    <row r="24" spans="1:44" ht="14.25" customHeight="1">
      <c r="A24" s="73"/>
      <c r="B24" s="79" t="s">
        <v>244</v>
      </c>
      <c r="D24" s="208"/>
      <c r="E24" s="208"/>
      <c r="F24" s="208"/>
      <c r="G24" s="208"/>
      <c r="H24" s="227" t="str">
        <f>IF(ROUND(SUM(IS!D24:G24),1)=ROUND(IS!H24,1),"OK","ERROR")</f>
        <v>ERROR</v>
      </c>
      <c r="I24" s="210"/>
      <c r="J24" s="208"/>
      <c r="K24" s="208"/>
      <c r="L24" s="208"/>
      <c r="M24" s="208"/>
      <c r="N24" s="227" t="str">
        <f>IF(ROUND(SUM(IS!J24:M24),1)=ROUND(IS!N24,1),"OK","ERROR")</f>
        <v>ERROR</v>
      </c>
      <c r="O24" s="210"/>
      <c r="P24" s="208"/>
      <c r="Q24" s="208"/>
      <c r="R24" s="208"/>
      <c r="S24" s="208"/>
      <c r="T24" s="227" t="str">
        <f>IF(ROUND(SUM(IS!P24:S24),1)=ROUND(IS!T24,1),"OK","ERROR")</f>
        <v>ERROR</v>
      </c>
      <c r="U24" s="210"/>
      <c r="V24" s="208"/>
      <c r="W24" s="208"/>
      <c r="X24" s="208"/>
      <c r="Y24" s="208"/>
      <c r="Z24" s="227" t="str">
        <f>IF(ROUND(SUM(IS!V24:Y24),1)=ROUND(IS!Z24,1),"OK","ERROR")</f>
        <v>ERROR</v>
      </c>
      <c r="AA24" s="213"/>
      <c r="AB24" s="208"/>
      <c r="AC24" s="208"/>
      <c r="AD24" s="208"/>
      <c r="AE24" s="208"/>
      <c r="AF24" s="227" t="str">
        <f>IF(ROUND(SUM(IS!AB24:AE24),1)=ROUND(IS!AF24,1),"OK","ERROR")</f>
        <v>ERROR</v>
      </c>
      <c r="AG24" s="211"/>
      <c r="AH24" s="208"/>
      <c r="AI24" s="208"/>
      <c r="AJ24" s="212"/>
      <c r="AK24" s="212"/>
      <c r="AL24" s="227" t="str">
        <f>IF(ROUND(SUM(IS!AH24:AK24),1)=ROUND(IS!AL24,1),"OK","ERROR")</f>
        <v>ERROR</v>
      </c>
      <c r="AM24" s="224"/>
      <c r="AN24" s="212"/>
      <c r="AO24" s="212"/>
      <c r="AP24" s="212"/>
      <c r="AQ24" s="212"/>
      <c r="AR24" s="227" t="str">
        <f>IF(ROUND(SUM(IS!AN24:AQ24),1)=ROUND(IS!AR24,1),"OK","ERROR")</f>
        <v>OK</v>
      </c>
    </row>
    <row r="25" spans="1:44" ht="14.25" customHeight="1">
      <c r="A25" s="55"/>
      <c r="B25" s="80"/>
      <c r="D25" s="208"/>
      <c r="E25" s="208"/>
      <c r="F25" s="208"/>
      <c r="G25" s="208"/>
      <c r="H25" s="220"/>
      <c r="I25" s="210"/>
      <c r="J25" s="208"/>
      <c r="K25" s="208"/>
      <c r="L25" s="208"/>
      <c r="M25" s="208"/>
      <c r="N25" s="220"/>
      <c r="O25" s="210"/>
      <c r="P25" s="208"/>
      <c r="Q25" s="208"/>
      <c r="R25" s="208"/>
      <c r="S25" s="208"/>
      <c r="T25" s="220"/>
      <c r="U25" s="210"/>
      <c r="V25" s="208"/>
      <c r="W25" s="208"/>
      <c r="X25" s="208"/>
      <c r="Y25" s="208"/>
      <c r="Z25" s="220"/>
      <c r="AA25" s="213"/>
      <c r="AB25" s="208"/>
      <c r="AC25" s="208"/>
      <c r="AD25" s="208"/>
      <c r="AE25" s="208"/>
      <c r="AF25" s="220"/>
      <c r="AG25" s="211"/>
      <c r="AH25" s="208"/>
      <c r="AI25" s="208"/>
      <c r="AJ25" s="212"/>
      <c r="AK25" s="212"/>
      <c r="AL25" s="220"/>
      <c r="AM25" s="224"/>
      <c r="AN25" s="212"/>
      <c r="AO25" s="212"/>
      <c r="AP25" s="212"/>
      <c r="AQ25" s="212"/>
      <c r="AR25" s="220"/>
    </row>
    <row r="26" spans="1:44" ht="14.25" customHeight="1">
      <c r="A26" s="44" t="s">
        <v>38</v>
      </c>
      <c r="B26" s="65" t="s">
        <v>597</v>
      </c>
      <c r="D26" s="208"/>
      <c r="E26" s="208"/>
      <c r="F26" s="208"/>
      <c r="G26" s="208"/>
      <c r="H26" s="220"/>
      <c r="I26" s="210"/>
      <c r="J26" s="208"/>
      <c r="K26" s="208"/>
      <c r="L26" s="208"/>
      <c r="M26" s="208"/>
      <c r="N26" s="220"/>
      <c r="O26" s="210"/>
      <c r="P26" s="208"/>
      <c r="Q26" s="208"/>
      <c r="R26" s="208"/>
      <c r="S26" s="208"/>
      <c r="T26" s="220"/>
      <c r="U26" s="210"/>
      <c r="V26" s="208"/>
      <c r="W26" s="208"/>
      <c r="X26" s="208"/>
      <c r="Y26" s="208"/>
      <c r="Z26" s="220"/>
      <c r="AA26" s="228"/>
      <c r="AB26" s="208"/>
      <c r="AC26" s="208"/>
      <c r="AD26" s="208"/>
      <c r="AE26" s="208"/>
      <c r="AF26" s="220"/>
      <c r="AG26" s="229"/>
      <c r="AH26" s="208"/>
      <c r="AI26" s="208"/>
      <c r="AJ26" s="212"/>
      <c r="AK26" s="212"/>
      <c r="AL26" s="220"/>
      <c r="AM26" s="228"/>
      <c r="AN26" s="212"/>
      <c r="AO26" s="212"/>
      <c r="AP26" s="212"/>
      <c r="AQ26" s="212"/>
      <c r="AR26" s="220"/>
    </row>
    <row r="27" spans="1:44" ht="14.25" customHeight="1">
      <c r="A27" s="84"/>
      <c r="B27" s="70" t="s">
        <v>598</v>
      </c>
      <c r="D27" s="208"/>
      <c r="E27" s="208"/>
      <c r="F27" s="208"/>
      <c r="G27" s="208"/>
      <c r="H27" s="220" t="str">
        <f>IF(ROUND(SUM(IS!D27:G27),1)=ROUND(IS!H27,1),"OK","ERROR")</f>
        <v>OK</v>
      </c>
      <c r="I27" s="210"/>
      <c r="J27" s="208"/>
      <c r="K27" s="208"/>
      <c r="L27" s="208"/>
      <c r="M27" s="208"/>
      <c r="N27" s="220" t="str">
        <f>IF(ROUND(SUM(IS!J27:M27),1)=ROUND(IS!N27,1),"OK","ERROR")</f>
        <v>OK</v>
      </c>
      <c r="O27" s="210"/>
      <c r="P27" s="208"/>
      <c r="Q27" s="208"/>
      <c r="R27" s="208"/>
      <c r="S27" s="208"/>
      <c r="T27" s="220" t="str">
        <f>IF(ROUND(SUM(IS!P27:S27),1)=ROUND(IS!T27,1),"OK","ERROR")</f>
        <v>OK</v>
      </c>
      <c r="U27" s="210"/>
      <c r="V27" s="208"/>
      <c r="W27" s="208"/>
      <c r="X27" s="208"/>
      <c r="Y27" s="208"/>
      <c r="Z27" s="220" t="str">
        <f>IF(ROUND(SUM(IS!V27:Y27),1)=ROUND(IS!Z27,1),"OK","ERROR")</f>
        <v>OK</v>
      </c>
      <c r="AA27" s="228"/>
      <c r="AB27" s="208"/>
      <c r="AC27" s="208"/>
      <c r="AD27" s="208"/>
      <c r="AE27" s="208"/>
      <c r="AF27" s="220" t="str">
        <f>IF(ROUND(SUM(IS!AB27:AE27),1)=ROUND(IS!AF27,1),"OK","ERROR")</f>
        <v>OK</v>
      </c>
      <c r="AG27" s="229"/>
      <c r="AH27" s="208"/>
      <c r="AI27" s="208"/>
      <c r="AJ27" s="212"/>
      <c r="AK27" s="212"/>
      <c r="AL27" s="220" t="str">
        <f>IF(ROUND(SUM(IS!AH27:AK27),1)=ROUND(IS!AL27,1),"OK","ERROR")</f>
        <v>ERROR</v>
      </c>
      <c r="AM27" s="228"/>
      <c r="AN27" s="212"/>
      <c r="AO27" s="212"/>
      <c r="AP27" s="212"/>
      <c r="AQ27" s="212"/>
      <c r="AR27" s="220" t="str">
        <f>IF(ROUND(SUM(IS!AN27:AQ27),1)=ROUND(IS!AR27,1),"OK","ERROR")</f>
        <v>OK</v>
      </c>
    </row>
    <row r="28" spans="1:44" ht="14.25" customHeight="1">
      <c r="A28" s="55"/>
      <c r="B28" s="70" t="s">
        <v>599</v>
      </c>
      <c r="D28" s="208"/>
      <c r="E28" s="208"/>
      <c r="F28" s="208"/>
      <c r="G28" s="208"/>
      <c r="H28" s="220" t="str">
        <f>IF(ROUND(SUM(IS!D28:G28),1)=ROUND(IS!H28,1),"OK","ERROR")</f>
        <v>OK</v>
      </c>
      <c r="I28" s="210"/>
      <c r="J28" s="208"/>
      <c r="K28" s="208"/>
      <c r="L28" s="208"/>
      <c r="M28" s="208"/>
      <c r="N28" s="220" t="str">
        <f>IF(ROUND(SUM(IS!J28:M28),1)=ROUND(IS!N28,1),"OK","ERROR")</f>
        <v>OK</v>
      </c>
      <c r="O28" s="210"/>
      <c r="P28" s="208"/>
      <c r="Q28" s="208"/>
      <c r="R28" s="208"/>
      <c r="S28" s="208"/>
      <c r="T28" s="220" t="str">
        <f>IF(ROUND(SUM(IS!P28:S28),1)=ROUND(IS!T28,1),"OK","ERROR")</f>
        <v>OK</v>
      </c>
      <c r="U28" s="210"/>
      <c r="V28" s="208"/>
      <c r="W28" s="208"/>
      <c r="X28" s="208"/>
      <c r="Y28" s="208"/>
      <c r="Z28" s="220" t="str">
        <f>IF(ROUND(SUM(IS!V28:Y28),1)=ROUND(IS!Z28,1),"OK","ERROR")</f>
        <v>OK</v>
      </c>
      <c r="AA28" s="213"/>
      <c r="AB28" s="208"/>
      <c r="AC28" s="208"/>
      <c r="AD28" s="208"/>
      <c r="AE28" s="208"/>
      <c r="AF28" s="220" t="str">
        <f>IF(ROUND(SUM(IS!AB28:AE28),1)=ROUND(IS!AF28,1),"OK","ERROR")</f>
        <v>OK</v>
      </c>
      <c r="AG28" s="211"/>
      <c r="AH28" s="208"/>
      <c r="AI28" s="208"/>
      <c r="AJ28" s="212"/>
      <c r="AK28" s="212"/>
      <c r="AL28" s="220" t="str">
        <f>IF(ROUND(SUM(IS!AH28:AK28),1)=ROUND(IS!AL28,1),"OK","ERROR")</f>
        <v>ERROR</v>
      </c>
      <c r="AM28" s="224"/>
      <c r="AN28" s="212"/>
      <c r="AO28" s="212"/>
      <c r="AP28" s="212"/>
      <c r="AQ28" s="212"/>
      <c r="AR28" s="220" t="str">
        <f>IF(ROUND(SUM(IS!AN28:AQ28),1)=ROUND(IS!AR28,1),"OK","ERROR")</f>
        <v>OK</v>
      </c>
    </row>
    <row r="29" spans="1:44" ht="14.25" customHeight="1">
      <c r="A29" s="73"/>
      <c r="B29" s="70" t="s">
        <v>600</v>
      </c>
      <c r="D29" s="208"/>
      <c r="E29" s="208"/>
      <c r="F29" s="208"/>
      <c r="G29" s="208"/>
      <c r="H29" s="220" t="str">
        <f>IF(ROUND(SUM(IS!D29:G29),1)=ROUND(IS!H29,1),"OK","ERROR")</f>
        <v>ERROR</v>
      </c>
      <c r="I29" s="210"/>
      <c r="J29" s="208"/>
      <c r="K29" s="208"/>
      <c r="L29" s="208"/>
      <c r="M29" s="208"/>
      <c r="N29" s="220" t="str">
        <f>IF(ROUND(SUM(IS!J29:M29),1)=ROUND(IS!N29,1),"OK","ERROR")</f>
        <v>ERROR</v>
      </c>
      <c r="O29" s="210"/>
      <c r="P29" s="208"/>
      <c r="Q29" s="208"/>
      <c r="R29" s="208"/>
      <c r="S29" s="208"/>
      <c r="T29" s="220" t="str">
        <f>IF(ROUND(SUM(IS!P29:S29),1)=ROUND(IS!T29,1),"OK","ERROR")</f>
        <v>ERROR</v>
      </c>
      <c r="U29" s="210"/>
      <c r="V29" s="208"/>
      <c r="W29" s="208"/>
      <c r="X29" s="208"/>
      <c r="Y29" s="208"/>
      <c r="Z29" s="220" t="str">
        <f>IF(ROUND(SUM(IS!V29:Y29),1)=ROUND(IS!Z29,1),"OK","ERROR")</f>
        <v>ERROR</v>
      </c>
      <c r="AA29" s="228"/>
      <c r="AB29" s="208"/>
      <c r="AC29" s="208"/>
      <c r="AD29" s="208"/>
      <c r="AE29" s="208"/>
      <c r="AF29" s="220" t="str">
        <f>IF(ROUND(SUM(IS!AB29:AE29),1)=ROUND(IS!AF29,1),"OK","ERROR")</f>
        <v>ERROR</v>
      </c>
      <c r="AG29" s="229"/>
      <c r="AH29" s="208"/>
      <c r="AI29" s="208"/>
      <c r="AJ29" s="212"/>
      <c r="AK29" s="212"/>
      <c r="AL29" s="220" t="str">
        <f>IF(ROUND(SUM(IS!AH29:AK29),1)=ROUND(IS!AL29,1),"OK","ERROR")</f>
        <v>OK</v>
      </c>
      <c r="AM29" s="228"/>
      <c r="AN29" s="212"/>
      <c r="AO29" s="212"/>
      <c r="AP29" s="212"/>
      <c r="AQ29" s="212"/>
      <c r="AR29" s="220" t="str">
        <f>IF(ROUND(SUM(IS!AN29:AQ29),1)=ROUND(IS!AR29,1),"OK","ERROR")</f>
        <v>OK</v>
      </c>
    </row>
    <row r="30" spans="1:44" ht="14.25" customHeight="1">
      <c r="A30" s="55"/>
      <c r="B30" s="70" t="s">
        <v>601</v>
      </c>
      <c r="D30" s="208"/>
      <c r="E30" s="208"/>
      <c r="F30" s="208"/>
      <c r="G30" s="208"/>
      <c r="H30" s="226" t="str">
        <f>IF(ROUND(SUM(IS!D30:G30),1)=ROUND(IS!H30,1),"OK","ERROR")</f>
        <v>OK</v>
      </c>
      <c r="I30" s="210"/>
      <c r="J30" s="208"/>
      <c r="K30" s="208"/>
      <c r="L30" s="208"/>
      <c r="M30" s="208"/>
      <c r="N30" s="226" t="str">
        <f>IF(ROUND(SUM(IS!J30:M30),1)=ROUND(IS!N30,1),"OK","ERROR")</f>
        <v>OK</v>
      </c>
      <c r="O30" s="210"/>
      <c r="P30" s="208"/>
      <c r="Q30" s="208"/>
      <c r="R30" s="208"/>
      <c r="S30" s="208"/>
      <c r="T30" s="226" t="str">
        <f>IF(ROUND(SUM(IS!P30:S30),1)=ROUND(IS!T30,1),"OK","ERROR")</f>
        <v>OK</v>
      </c>
      <c r="U30" s="210"/>
      <c r="V30" s="208"/>
      <c r="W30" s="208"/>
      <c r="X30" s="208"/>
      <c r="Y30" s="208"/>
      <c r="Z30" s="226" t="str">
        <f>IF(ROUND(SUM(IS!V30:Y30),1)=ROUND(IS!Z30,1),"OK","ERROR")</f>
        <v>ERROR</v>
      </c>
      <c r="AA30" s="213"/>
      <c r="AB30" s="208"/>
      <c r="AC30" s="208"/>
      <c r="AD30" s="208"/>
      <c r="AE30" s="208"/>
      <c r="AF30" s="226" t="str">
        <f>IF(ROUND(SUM(IS!AB30:AE30),1)=ROUND(IS!AF30,1),"OK","ERROR")</f>
        <v>ERROR</v>
      </c>
      <c r="AG30" s="211"/>
      <c r="AH30" s="208"/>
      <c r="AI30" s="208"/>
      <c r="AJ30" s="212"/>
      <c r="AK30" s="212"/>
      <c r="AL30" s="226" t="str">
        <f>IF(ROUND(SUM(IS!AH30:AK30),1)=ROUND(IS!AL30,1),"OK","ERROR")</f>
        <v>ERROR</v>
      </c>
      <c r="AM30" s="224"/>
      <c r="AN30" s="212"/>
      <c r="AO30" s="212"/>
      <c r="AP30" s="212"/>
      <c r="AQ30" s="212"/>
      <c r="AR30" s="226" t="str">
        <f>IF(ROUND(SUM(IS!AN30:AQ30),1)=ROUND(IS!AR30,1),"OK","ERROR")</f>
        <v>OK</v>
      </c>
    </row>
    <row r="31" spans="1:44" ht="14.25" customHeight="1">
      <c r="A31" s="73"/>
      <c r="B31" s="76" t="s">
        <v>602</v>
      </c>
      <c r="D31" s="208"/>
      <c r="E31" s="208"/>
      <c r="F31" s="208"/>
      <c r="G31" s="208"/>
      <c r="H31" s="231" t="str">
        <f>IF(ROUND(SUM(IS!D31:G31),1)=ROUND(IS!H31,1),"OK","ERROR")</f>
        <v>ERROR</v>
      </c>
      <c r="I31" s="210"/>
      <c r="J31" s="208"/>
      <c r="K31" s="208"/>
      <c r="L31" s="208"/>
      <c r="M31" s="208"/>
      <c r="N31" s="231" t="str">
        <f>IF(ROUND(SUM(IS!J31:M31),1)=ROUND(IS!N31,1),"OK","ERROR")</f>
        <v>ERROR</v>
      </c>
      <c r="O31" s="210"/>
      <c r="P31" s="208"/>
      <c r="Q31" s="208"/>
      <c r="R31" s="208"/>
      <c r="S31" s="208"/>
      <c r="T31" s="231" t="str">
        <f>IF(ROUND(SUM(IS!P31:S31),1)=ROUND(IS!T31,1),"OK","ERROR")</f>
        <v>ERROR</v>
      </c>
      <c r="U31" s="210"/>
      <c r="V31" s="208"/>
      <c r="W31" s="208"/>
      <c r="X31" s="208"/>
      <c r="Y31" s="208"/>
      <c r="Z31" s="231" t="str">
        <f>IF(ROUND(SUM(IS!V31:Y31),1)=ROUND(IS!Z31,1),"OK","ERROR")</f>
        <v>ERROR</v>
      </c>
      <c r="AA31" s="228"/>
      <c r="AB31" s="208"/>
      <c r="AC31" s="208"/>
      <c r="AD31" s="208"/>
      <c r="AE31" s="208"/>
      <c r="AF31" s="231" t="str">
        <f>IF(ROUND(SUM(IS!AB31:AE31),1)=ROUND(IS!AF31,1),"OK","ERROR")</f>
        <v>ERROR</v>
      </c>
      <c r="AG31" s="229"/>
      <c r="AH31" s="208"/>
      <c r="AI31" s="208"/>
      <c r="AJ31" s="212"/>
      <c r="AK31" s="212"/>
      <c r="AL31" s="231" t="str">
        <f>IF(ROUND(SUM(IS!AH31:AK31),1)=ROUND(IS!AL31,1),"OK","ERROR")</f>
        <v>ERROR</v>
      </c>
      <c r="AM31" s="228"/>
      <c r="AN31" s="212"/>
      <c r="AO31" s="212"/>
      <c r="AP31" s="212"/>
      <c r="AQ31" s="212"/>
      <c r="AR31" s="231" t="str">
        <f>IF(ROUND(SUM(IS!AN31:AQ31),1)=ROUND(IS!AR31,1),"OK","ERROR")</f>
        <v>OK</v>
      </c>
    </row>
    <row r="32" spans="1:44" ht="14.25" customHeight="1">
      <c r="A32" s="73"/>
      <c r="B32" s="76" t="s">
        <v>603</v>
      </c>
      <c r="D32" s="208"/>
      <c r="E32" s="208"/>
      <c r="F32" s="208"/>
      <c r="G32" s="208"/>
      <c r="H32" s="226" t="str">
        <f>IF(ROUND(SUM(IS!D32:G32),1)=ROUND(IS!H32,1),"OK","ERROR")</f>
        <v>OK</v>
      </c>
      <c r="I32" s="210"/>
      <c r="J32" s="208"/>
      <c r="K32" s="208"/>
      <c r="L32" s="208"/>
      <c r="M32" s="208"/>
      <c r="N32" s="226" t="str">
        <f>IF(ROUND(SUM(IS!J32:M32),1)=ROUND(IS!N32,1),"OK","ERROR")</f>
        <v>OK</v>
      </c>
      <c r="O32" s="210"/>
      <c r="P32" s="208"/>
      <c r="Q32" s="208"/>
      <c r="R32" s="208"/>
      <c r="S32" s="208"/>
      <c r="T32" s="226" t="str">
        <f>IF(ROUND(SUM(IS!P32:S32),1)=ROUND(IS!T32,1),"OK","ERROR")</f>
        <v>OK</v>
      </c>
      <c r="U32" s="210"/>
      <c r="V32" s="208"/>
      <c r="W32" s="208"/>
      <c r="X32" s="208"/>
      <c r="Y32" s="208"/>
      <c r="Z32" s="226" t="str">
        <f>IF(ROUND(SUM(IS!V32:Y32),1)=ROUND(IS!Z32,1),"OK","ERROR")</f>
        <v>OK</v>
      </c>
      <c r="AA32" s="232"/>
      <c r="AB32" s="208"/>
      <c r="AC32" s="208"/>
      <c r="AD32" s="208"/>
      <c r="AE32" s="208"/>
      <c r="AF32" s="226" t="str">
        <f>IF(ROUND(SUM(IS!AB32:AE32),1)=ROUND(IS!AF32,1),"OK","ERROR")</f>
        <v>OK</v>
      </c>
      <c r="AG32" s="229"/>
      <c r="AH32" s="208"/>
      <c r="AI32" s="208"/>
      <c r="AJ32" s="212"/>
      <c r="AK32" s="212"/>
      <c r="AL32" s="226" t="str">
        <f>IF(ROUND(SUM(IS!AH32:AK32),1)=ROUND(IS!AL32,1),"OK","ERROR")</f>
        <v>OK</v>
      </c>
      <c r="AM32" s="232"/>
      <c r="AN32" s="212"/>
      <c r="AO32" s="212"/>
      <c r="AP32" s="212"/>
      <c r="AQ32" s="212"/>
      <c r="AR32" s="226" t="str">
        <f>IF(ROUND(SUM(IS!AN32:AQ32),1)=ROUND(IS!AR32,1),"OK","ERROR")</f>
        <v>OK</v>
      </c>
    </row>
    <row r="33" spans="1:44" ht="14.25" customHeight="1">
      <c r="A33" s="55"/>
      <c r="B33" s="79" t="s">
        <v>604</v>
      </c>
      <c r="D33" s="208"/>
      <c r="E33" s="208"/>
      <c r="F33" s="208"/>
      <c r="G33" s="208"/>
      <c r="H33" s="226" t="str">
        <f>IF(ROUND(SUM(IS!D33:G33),1)=ROUND(IS!H33,1),"OK","ERROR")</f>
        <v>OK</v>
      </c>
      <c r="I33" s="210"/>
      <c r="J33" s="208"/>
      <c r="K33" s="208"/>
      <c r="L33" s="208"/>
      <c r="M33" s="208"/>
      <c r="N33" s="226" t="str">
        <f>IF(ROUND(SUM(IS!J33:M33),1)=ROUND(IS!N33,1),"OK","ERROR")</f>
        <v>OK</v>
      </c>
      <c r="O33" s="210"/>
      <c r="P33" s="208"/>
      <c r="Q33" s="208"/>
      <c r="R33" s="208"/>
      <c r="S33" s="208"/>
      <c r="T33" s="226" t="str">
        <f>IF(ROUND(SUM(IS!P33:S33),1)=ROUND(IS!T33,1),"OK","ERROR")</f>
        <v>OK</v>
      </c>
      <c r="U33" s="210"/>
      <c r="V33" s="208"/>
      <c r="W33" s="208"/>
      <c r="X33" s="208"/>
      <c r="Y33" s="208"/>
      <c r="Z33" s="226" t="str">
        <f>IF(ROUND(SUM(IS!V33:Y33),1)=ROUND(IS!Z33,1),"OK","ERROR")</f>
        <v>ERROR</v>
      </c>
      <c r="AA33" s="213"/>
      <c r="AB33" s="208"/>
      <c r="AC33" s="208"/>
      <c r="AD33" s="208"/>
      <c r="AE33" s="208"/>
      <c r="AF33" s="226" t="str">
        <f>IF(ROUND(SUM(IS!AB33:AE33),1)=ROUND(IS!AF33,1),"OK","ERROR")</f>
        <v>ERROR</v>
      </c>
      <c r="AG33" s="211"/>
      <c r="AH33" s="208"/>
      <c r="AI33" s="208"/>
      <c r="AJ33" s="212"/>
      <c r="AK33" s="212"/>
      <c r="AL33" s="226" t="str">
        <f>IF(ROUND(SUM(IS!AH33:AK33),1)=ROUND(IS!AL33,1),"OK","ERROR")</f>
        <v>ERROR</v>
      </c>
      <c r="AM33" s="224"/>
      <c r="AN33" s="212"/>
      <c r="AO33" s="212"/>
      <c r="AP33" s="212"/>
      <c r="AQ33" s="212"/>
      <c r="AR33" s="226" t="str">
        <f>IF(ROUND(SUM(IS!AN33:AQ33),1)=ROUND(IS!AR33,1),"OK","ERROR")</f>
        <v>OK</v>
      </c>
    </row>
    <row r="34" spans="1:44" ht="14.25" customHeight="1">
      <c r="A34" s="73"/>
      <c r="B34" s="206"/>
      <c r="D34" s="208"/>
      <c r="E34" s="208"/>
      <c r="F34" s="208"/>
      <c r="G34" s="208"/>
      <c r="H34" s="220"/>
      <c r="I34" s="210"/>
      <c r="J34" s="208"/>
      <c r="K34" s="208"/>
      <c r="L34" s="208"/>
      <c r="M34" s="208"/>
      <c r="N34" s="220"/>
      <c r="O34" s="210"/>
      <c r="P34" s="208"/>
      <c r="Q34" s="208"/>
      <c r="R34" s="208"/>
      <c r="S34" s="208"/>
      <c r="T34" s="220"/>
      <c r="U34" s="210"/>
      <c r="V34" s="208"/>
      <c r="W34" s="208"/>
      <c r="X34" s="208"/>
      <c r="Y34" s="208"/>
      <c r="Z34" s="220"/>
      <c r="AA34" s="228"/>
      <c r="AB34" s="208"/>
      <c r="AC34" s="208"/>
      <c r="AD34" s="208"/>
      <c r="AE34" s="208"/>
      <c r="AF34" s="220"/>
      <c r="AG34" s="229"/>
      <c r="AH34" s="208"/>
      <c r="AI34" s="208"/>
      <c r="AJ34" s="212"/>
      <c r="AK34" s="212"/>
      <c r="AL34" s="220"/>
      <c r="AM34" s="233"/>
      <c r="AN34" s="212"/>
      <c r="AO34" s="212"/>
      <c r="AP34" s="212"/>
      <c r="AQ34" s="212"/>
      <c r="AR34" s="220"/>
    </row>
    <row r="35" spans="1:44" ht="14.25" customHeight="1">
      <c r="A35" s="44" t="s">
        <v>38</v>
      </c>
      <c r="B35" s="65" t="s">
        <v>605</v>
      </c>
      <c r="D35" s="208"/>
      <c r="E35" s="208"/>
      <c r="F35" s="208"/>
      <c r="G35" s="208"/>
      <c r="H35" s="220"/>
      <c r="I35" s="210"/>
      <c r="J35" s="208"/>
      <c r="K35" s="208"/>
      <c r="L35" s="208"/>
      <c r="M35" s="208"/>
      <c r="N35" s="220"/>
      <c r="O35" s="210"/>
      <c r="P35" s="208"/>
      <c r="Q35" s="208"/>
      <c r="R35" s="208"/>
      <c r="S35" s="208"/>
      <c r="T35" s="220"/>
      <c r="U35" s="210"/>
      <c r="V35" s="208"/>
      <c r="W35" s="208"/>
      <c r="X35" s="208"/>
      <c r="Y35" s="208"/>
      <c r="Z35" s="220"/>
      <c r="AA35" s="213"/>
      <c r="AB35" s="208"/>
      <c r="AC35" s="208"/>
      <c r="AD35" s="208"/>
      <c r="AE35" s="208"/>
      <c r="AF35" s="220"/>
      <c r="AG35" s="211"/>
      <c r="AH35" s="208"/>
      <c r="AI35" s="208"/>
      <c r="AJ35" s="212"/>
      <c r="AK35" s="212"/>
      <c r="AL35" s="220"/>
      <c r="AM35" s="224"/>
      <c r="AN35" s="212"/>
      <c r="AO35" s="212"/>
      <c r="AP35" s="212"/>
      <c r="AQ35" s="212"/>
      <c r="AR35" s="220"/>
    </row>
    <row r="36" spans="1:44" ht="14.25" customHeight="1">
      <c r="A36" s="44"/>
      <c r="B36" s="70" t="s">
        <v>606</v>
      </c>
      <c r="D36" s="208"/>
      <c r="E36" s="208"/>
      <c r="F36" s="208"/>
      <c r="G36" s="208"/>
      <c r="H36" s="220" t="str">
        <f>IF(ROUND(SUM(IS!D36:G36),1)=ROUND(IS!H36,1),"OK","ERROR")</f>
        <v>OK</v>
      </c>
      <c r="I36" s="210"/>
      <c r="J36" s="208"/>
      <c r="K36" s="208"/>
      <c r="L36" s="208"/>
      <c r="M36" s="208"/>
      <c r="N36" s="220" t="str">
        <f>IF(ROUND(SUM(IS!J36:M36),1)=ROUND(IS!N36,1),"OK","ERROR")</f>
        <v>OK</v>
      </c>
      <c r="O36" s="210"/>
      <c r="P36" s="208"/>
      <c r="Q36" s="208"/>
      <c r="R36" s="208"/>
      <c r="S36" s="208"/>
      <c r="T36" s="220" t="str">
        <f>IF(ROUND(SUM(IS!P36:S36),1)=ROUND(IS!T36,1),"OK","ERROR")</f>
        <v>OK</v>
      </c>
      <c r="U36" s="210"/>
      <c r="V36" s="208"/>
      <c r="W36" s="208"/>
      <c r="X36" s="208"/>
      <c r="Y36" s="208"/>
      <c r="Z36" s="220" t="str">
        <f>IF(ROUND(SUM(IS!V36:Y36),1)=ROUND(IS!Z36,1),"OK","ERROR")</f>
        <v>OK</v>
      </c>
      <c r="AA36" s="213"/>
      <c r="AB36" s="208"/>
      <c r="AC36" s="208"/>
      <c r="AD36" s="208"/>
      <c r="AE36" s="208"/>
      <c r="AF36" s="220" t="str">
        <f>IF(ROUND(SUM(IS!AB36:AE36),1)=ROUND(IS!AF36,1),"OK","ERROR")</f>
        <v>OK</v>
      </c>
      <c r="AG36" s="211"/>
      <c r="AH36" s="208"/>
      <c r="AI36" s="208"/>
      <c r="AJ36" s="212"/>
      <c r="AK36" s="212"/>
      <c r="AL36" s="220" t="str">
        <f>IF(ROUND(SUM(IS!AH36:AK36),1)=ROUND(IS!AL36,1),"OK","ERROR")</f>
        <v>ERROR</v>
      </c>
      <c r="AM36" s="224"/>
      <c r="AN36" s="212"/>
      <c r="AO36" s="212"/>
      <c r="AP36" s="212"/>
      <c r="AQ36" s="212"/>
      <c r="AR36" s="220" t="str">
        <f>IF(ROUND(SUM(IS!AN36:AQ36),1)=ROUND(IS!AR36,1),"OK","ERROR")</f>
        <v>OK</v>
      </c>
    </row>
    <row r="37" spans="1:44" ht="14.25" customHeight="1">
      <c r="A37" s="44"/>
      <c r="B37" s="70" t="s">
        <v>607</v>
      </c>
      <c r="D37" s="208"/>
      <c r="E37" s="208"/>
      <c r="F37" s="208"/>
      <c r="G37" s="208"/>
      <c r="H37" s="220" t="str">
        <f>IF(ROUND(SUM(IS!D37:G37),1)=ROUND(IS!H37,1),"OK","ERROR")</f>
        <v>OK</v>
      </c>
      <c r="I37" s="210"/>
      <c r="J37" s="208"/>
      <c r="K37" s="208"/>
      <c r="L37" s="208"/>
      <c r="M37" s="208"/>
      <c r="N37" s="220" t="str">
        <f>IF(ROUND(SUM(IS!J37:M37),1)=ROUND(IS!N37,1),"OK","ERROR")</f>
        <v>OK</v>
      </c>
      <c r="O37" s="210"/>
      <c r="P37" s="208"/>
      <c r="Q37" s="208"/>
      <c r="R37" s="208"/>
      <c r="S37" s="208"/>
      <c r="T37" s="220" t="str">
        <f>IF(ROUND(SUM(IS!P37:S37),1)=ROUND(IS!T37,1),"OK","ERROR")</f>
        <v>OK</v>
      </c>
      <c r="U37" s="210"/>
      <c r="V37" s="208"/>
      <c r="W37" s="208"/>
      <c r="X37" s="208"/>
      <c r="Y37" s="208"/>
      <c r="Z37" s="220" t="str">
        <f>IF(ROUND(SUM(IS!V37:Y37),1)=ROUND(IS!Z37,1),"OK","ERROR")</f>
        <v>OK</v>
      </c>
      <c r="AA37" s="213"/>
      <c r="AB37" s="208"/>
      <c r="AC37" s="208"/>
      <c r="AD37" s="208"/>
      <c r="AE37" s="208"/>
      <c r="AF37" s="220" t="str">
        <f>IF(ROUND(SUM(IS!AB37:AE37),1)=ROUND(IS!AF37,1),"OK","ERROR")</f>
        <v>OK</v>
      </c>
      <c r="AG37" s="211"/>
      <c r="AH37" s="208"/>
      <c r="AI37" s="208"/>
      <c r="AJ37" s="212"/>
      <c r="AK37" s="212"/>
      <c r="AL37" s="220" t="str">
        <f>IF(ROUND(SUM(IS!AH37:AK37),1)=ROUND(IS!AL37,1),"OK","ERROR")</f>
        <v>OK</v>
      </c>
      <c r="AM37" s="224"/>
      <c r="AN37" s="212"/>
      <c r="AO37" s="212"/>
      <c r="AP37" s="212"/>
      <c r="AQ37" s="212"/>
      <c r="AR37" s="220" t="str">
        <f>IF(ROUND(SUM(IS!AN37:AQ37),1)=ROUND(IS!AR37,1),"OK","ERROR")</f>
        <v>OK</v>
      </c>
    </row>
    <row r="38" spans="1:44" ht="14.25" customHeight="1">
      <c r="A38" s="55" t="s">
        <v>38</v>
      </c>
      <c r="B38" s="76" t="s">
        <v>608</v>
      </c>
      <c r="D38" s="208"/>
      <c r="E38" s="208"/>
      <c r="F38" s="208"/>
      <c r="G38" s="208"/>
      <c r="H38" s="220" t="str">
        <f>IF(ROUND(SUM(IS!D38:G38),1)=ROUND(IS!H38,1),"OK","ERROR")</f>
        <v>OK</v>
      </c>
      <c r="I38" s="210"/>
      <c r="J38" s="208"/>
      <c r="K38" s="208"/>
      <c r="L38" s="208"/>
      <c r="M38" s="208"/>
      <c r="N38" s="220" t="str">
        <f>IF(ROUND(SUM(IS!J38:M38),1)=ROUND(IS!N38,1),"OK","ERROR")</f>
        <v>OK</v>
      </c>
      <c r="O38" s="210"/>
      <c r="P38" s="208"/>
      <c r="Q38" s="208"/>
      <c r="R38" s="208"/>
      <c r="S38" s="208"/>
      <c r="T38" s="220" t="str">
        <f>IF(ROUND(SUM(IS!P38:S38),1)=ROUND(IS!T38,1),"OK","ERROR")</f>
        <v>OK</v>
      </c>
      <c r="U38" s="210"/>
      <c r="V38" s="208"/>
      <c r="W38" s="208"/>
      <c r="X38" s="208"/>
      <c r="Y38" s="208"/>
      <c r="Z38" s="220" t="str">
        <f>IF(ROUND(SUM(IS!V38:Y38),1)=ROUND(IS!Z38,1),"OK","ERROR")</f>
        <v>OK</v>
      </c>
      <c r="AA38" s="213"/>
      <c r="AB38" s="208"/>
      <c r="AC38" s="208"/>
      <c r="AD38" s="208"/>
      <c r="AE38" s="208"/>
      <c r="AF38" s="220" t="str">
        <f>IF(ROUND(SUM(IS!AB38:AE38),1)=ROUND(IS!AF38,1),"OK","ERROR")</f>
        <v>OK</v>
      </c>
      <c r="AG38" s="211"/>
      <c r="AH38" s="208"/>
      <c r="AI38" s="208"/>
      <c r="AJ38" s="212"/>
      <c r="AK38" s="212"/>
      <c r="AL38" s="220" t="str">
        <f>IF(ROUND(SUM(IS!AH38:AK38),1)=ROUND(IS!AL38,1),"OK","ERROR")</f>
        <v>ERROR</v>
      </c>
      <c r="AM38" s="224"/>
      <c r="AN38" s="212"/>
      <c r="AO38" s="212"/>
      <c r="AP38" s="212"/>
      <c r="AQ38" s="212"/>
      <c r="AR38" s="220" t="str">
        <f>IF(ROUND(SUM(IS!AN38:AQ38),1)=ROUND(IS!AR38,1),"OK","ERROR")</f>
        <v>OK</v>
      </c>
    </row>
    <row r="39" spans="1:44" ht="14.25" customHeight="1">
      <c r="A39" s="73"/>
      <c r="B39" s="76" t="s">
        <v>609</v>
      </c>
      <c r="D39" s="208"/>
      <c r="E39" s="208"/>
      <c r="F39" s="208"/>
      <c r="G39" s="208"/>
      <c r="H39" s="220" t="str">
        <f>IF(ROUND(SUM(IS!D39:G39),1)=ROUND(IS!H39,1),"OK","ERROR")</f>
        <v>ERROR</v>
      </c>
      <c r="I39" s="210"/>
      <c r="J39" s="208"/>
      <c r="K39" s="208"/>
      <c r="L39" s="208"/>
      <c r="M39" s="208"/>
      <c r="N39" s="220" t="str">
        <f>IF(ROUND(SUM(IS!J39:M39),1)=ROUND(IS!N39,1),"OK","ERROR")</f>
        <v>ERROR</v>
      </c>
      <c r="O39" s="210"/>
      <c r="P39" s="208"/>
      <c r="Q39" s="208"/>
      <c r="R39" s="208"/>
      <c r="S39" s="208"/>
      <c r="T39" s="220" t="str">
        <f>IF(ROUND(SUM(IS!P39:S39),1)=ROUND(IS!T39,1),"OK","ERROR")</f>
        <v>ERROR</v>
      </c>
      <c r="U39" s="210"/>
      <c r="V39" s="208"/>
      <c r="W39" s="208"/>
      <c r="X39" s="208"/>
      <c r="Y39" s="208"/>
      <c r="Z39" s="220" t="str">
        <f>IF(ROUND(SUM(IS!V39:Y39),1)=ROUND(IS!Z39,1),"OK","ERROR")</f>
        <v>ERROR</v>
      </c>
      <c r="AA39" s="228"/>
      <c r="AB39" s="208"/>
      <c r="AC39" s="208"/>
      <c r="AD39" s="208"/>
      <c r="AE39" s="208"/>
      <c r="AF39" s="220" t="str">
        <f>IF(ROUND(SUM(IS!AB39:AE39),1)=ROUND(IS!AF39,1),"OK","ERROR")</f>
        <v>ERROR</v>
      </c>
      <c r="AG39" s="229"/>
      <c r="AH39" s="208"/>
      <c r="AI39" s="208"/>
      <c r="AJ39" s="212"/>
      <c r="AK39" s="212"/>
      <c r="AL39" s="220" t="str">
        <f>IF(ROUND(SUM(IS!AH39:AK39),1)=ROUND(IS!AL39,1),"OK","ERROR")</f>
        <v>OK</v>
      </c>
      <c r="AM39" s="228"/>
      <c r="AN39" s="212"/>
      <c r="AO39" s="212"/>
      <c r="AP39" s="212"/>
      <c r="AQ39" s="212"/>
      <c r="AR39" s="220" t="str">
        <f>IF(ROUND(SUM(IS!AN39:AQ39),1)=ROUND(IS!AR39,1),"OK","ERROR")</f>
        <v>OK</v>
      </c>
    </row>
    <row r="40" spans="1:44" ht="14.25" customHeight="1">
      <c r="A40" s="55"/>
      <c r="B40" s="76" t="s">
        <v>610</v>
      </c>
      <c r="D40" s="208"/>
      <c r="E40" s="208"/>
      <c r="F40" s="208"/>
      <c r="G40" s="208"/>
      <c r="H40" s="226" t="str">
        <f>IF(ROUND(SUM(IS!D40:G40),1)=ROUND(IS!H40,1),"OK","ERROR")</f>
        <v>ERROR</v>
      </c>
      <c r="I40" s="210"/>
      <c r="J40" s="208"/>
      <c r="K40" s="208"/>
      <c r="L40" s="208"/>
      <c r="M40" s="208"/>
      <c r="N40" s="226" t="str">
        <f>IF(ROUND(SUM(IS!J40:M40),1)=ROUND(IS!N40,1),"OK","ERROR")</f>
        <v>ERROR</v>
      </c>
      <c r="O40" s="210"/>
      <c r="P40" s="208"/>
      <c r="Q40" s="208"/>
      <c r="R40" s="208"/>
      <c r="S40" s="208"/>
      <c r="T40" s="226" t="str">
        <f>IF(ROUND(SUM(IS!P40:S40),1)=ROUND(IS!T40,1),"OK","ERROR")</f>
        <v>ERROR</v>
      </c>
      <c r="U40" s="210"/>
      <c r="V40" s="208"/>
      <c r="W40" s="208"/>
      <c r="X40" s="208"/>
      <c r="Y40" s="208"/>
      <c r="Z40" s="226" t="str">
        <f>IF(ROUND(SUM(IS!V40:Y40),1)=ROUND(IS!Z40,1),"OK","ERROR")</f>
        <v>ERROR</v>
      </c>
      <c r="AA40" s="213"/>
      <c r="AB40" s="208"/>
      <c r="AC40" s="208"/>
      <c r="AD40" s="208"/>
      <c r="AE40" s="208"/>
      <c r="AF40" s="226" t="str">
        <f>IF(ROUND(SUM(IS!AB40:AE40),1)=ROUND(IS!AF40,1),"OK","ERROR")</f>
        <v>ERROR</v>
      </c>
      <c r="AG40" s="211"/>
      <c r="AH40" s="208"/>
      <c r="AI40" s="208"/>
      <c r="AJ40" s="212"/>
      <c r="AK40" s="212"/>
      <c r="AL40" s="226" t="str">
        <f>IF(ROUND(SUM(IS!AH40:AK40),1)=ROUND(IS!AL40,1),"OK","ERROR")</f>
        <v>ERROR</v>
      </c>
      <c r="AM40" s="213"/>
      <c r="AN40" s="212"/>
      <c r="AO40" s="212"/>
      <c r="AP40" s="212"/>
      <c r="AQ40" s="212"/>
      <c r="AR40" s="226" t="str">
        <f>IF(ROUND(SUM(IS!AN40:AQ40),1)=ROUND(IS!AR40,1),"OK","ERROR")</f>
        <v>OK</v>
      </c>
    </row>
    <row r="41" spans="1:44" ht="14.25" customHeight="1">
      <c r="A41" s="73"/>
      <c r="B41" s="79" t="s">
        <v>611</v>
      </c>
      <c r="D41" s="208"/>
      <c r="E41" s="208"/>
      <c r="F41" s="208"/>
      <c r="G41" s="208"/>
      <c r="H41" s="227" t="str">
        <f>IF(ROUND(SUM(IS!D41:G41),1)=ROUND(IS!H41,1),"OK","ERROR")</f>
        <v>OK</v>
      </c>
      <c r="I41" s="210"/>
      <c r="J41" s="208"/>
      <c r="K41" s="208"/>
      <c r="L41" s="208"/>
      <c r="M41" s="208"/>
      <c r="N41" s="227" t="str">
        <f>IF(ROUND(SUM(IS!J41:M41),1)=ROUND(IS!N41,1),"OK","ERROR")</f>
        <v>OK</v>
      </c>
      <c r="O41" s="210"/>
      <c r="P41" s="208"/>
      <c r="Q41" s="208"/>
      <c r="R41" s="208"/>
      <c r="S41" s="208"/>
      <c r="T41" s="227" t="str">
        <f>IF(ROUND(SUM(IS!P41:S41),1)=ROUND(IS!T41,1),"OK","ERROR")</f>
        <v>OK</v>
      </c>
      <c r="U41" s="210"/>
      <c r="V41" s="208"/>
      <c r="W41" s="208"/>
      <c r="X41" s="208"/>
      <c r="Y41" s="208"/>
      <c r="Z41" s="227" t="str">
        <f>IF(ROUND(SUM(IS!V41:Y41),1)=ROUND(IS!Z41,1),"OK","ERROR")</f>
        <v>OK</v>
      </c>
      <c r="AA41" s="232"/>
      <c r="AB41" s="208"/>
      <c r="AC41" s="208"/>
      <c r="AD41" s="208"/>
      <c r="AE41" s="208"/>
      <c r="AF41" s="227" t="str">
        <f>IF(ROUND(SUM(IS!AB41:AE41),1)=ROUND(IS!AF41,1),"OK","ERROR")</f>
        <v>OK</v>
      </c>
      <c r="AG41" s="229"/>
      <c r="AH41" s="208"/>
      <c r="AI41" s="208"/>
      <c r="AJ41" s="212"/>
      <c r="AK41" s="212"/>
      <c r="AL41" s="227" t="str">
        <f>IF(ROUND(SUM(IS!AH41:AK41),1)=ROUND(IS!AL41,1),"OK","ERROR")</f>
        <v>ERROR</v>
      </c>
      <c r="AM41" s="228"/>
      <c r="AN41" s="212"/>
      <c r="AO41" s="212"/>
      <c r="AP41" s="212"/>
      <c r="AQ41" s="212"/>
      <c r="AR41" s="227" t="str">
        <f>IF(ROUND(SUM(IS!AN41:AQ41),1)=ROUND(IS!AR41,1),"OK","ERROR")</f>
        <v>OK</v>
      </c>
    </row>
    <row r="42" spans="1:44" ht="14.25" customHeight="1">
      <c r="A42" s="84"/>
      <c r="B42" s="90" t="s">
        <v>535</v>
      </c>
      <c r="D42" s="208"/>
      <c r="E42" s="208"/>
      <c r="F42" s="208"/>
      <c r="G42" s="208"/>
      <c r="H42" s="227" t="str">
        <f>IF(ROUND(SUM(IS!D42:G42),1)=ROUND(IS!H42,1),"OK","ERROR")</f>
        <v>OK</v>
      </c>
      <c r="I42" s="210"/>
      <c r="J42" s="208"/>
      <c r="K42" s="208"/>
      <c r="L42" s="208"/>
      <c r="M42" s="208"/>
      <c r="N42" s="227" t="str">
        <f>IF(ROUND(SUM(IS!J42:M42),1)=ROUND(IS!N42,1),"OK","ERROR")</f>
        <v>OK</v>
      </c>
      <c r="O42" s="210"/>
      <c r="P42" s="208"/>
      <c r="Q42" s="208"/>
      <c r="R42" s="208"/>
      <c r="S42" s="208"/>
      <c r="T42" s="227" t="str">
        <f>IF(ROUND(SUM(IS!P42:S42),1)=ROUND(IS!T42,1),"OK","ERROR")</f>
        <v>ERROR</v>
      </c>
      <c r="U42" s="210"/>
      <c r="V42" s="208"/>
      <c r="W42" s="208"/>
      <c r="X42" s="208"/>
      <c r="Y42" s="208"/>
      <c r="Z42" s="227" t="str">
        <f>IF(ROUND(SUM(IS!V42:Y42),1)=ROUND(IS!Z42,1),"OK","ERROR")</f>
        <v>ERROR</v>
      </c>
      <c r="AA42" s="213"/>
      <c r="AB42" s="208"/>
      <c r="AC42" s="208"/>
      <c r="AD42" s="208"/>
      <c r="AE42" s="208"/>
      <c r="AF42" s="227" t="str">
        <f>IF(ROUND(SUM(IS!AB42:AE42),1)=ROUND(IS!AF42,1),"OK","ERROR")</f>
        <v>ERROR</v>
      </c>
      <c r="AG42" s="211"/>
      <c r="AH42" s="208"/>
      <c r="AI42" s="208"/>
      <c r="AJ42" s="212"/>
      <c r="AK42" s="212"/>
      <c r="AL42" s="227" t="str">
        <f>IF(ROUND(SUM(IS!AH42:AK42),1)=ROUND(IS!AL42,1),"OK","ERROR")</f>
        <v>ERROR</v>
      </c>
      <c r="AM42" s="213"/>
      <c r="AN42" s="212"/>
      <c r="AO42" s="212"/>
      <c r="AP42" s="212"/>
      <c r="AQ42" s="212"/>
      <c r="AR42" s="227" t="str">
        <f>IF(ROUND(SUM(IS!AN42:AQ42),1)=ROUND(IS!AR42,1),"OK","ERROR")</f>
        <v>OK</v>
      </c>
    </row>
    <row r="43" spans="1:44" ht="14.25" customHeight="1">
      <c r="A43" s="73"/>
      <c r="B43" s="76"/>
      <c r="D43" s="208"/>
      <c r="E43" s="208"/>
      <c r="F43" s="208"/>
      <c r="G43" s="208"/>
      <c r="H43" s="220"/>
      <c r="I43" s="210"/>
      <c r="J43" s="208"/>
      <c r="K43" s="208"/>
      <c r="L43" s="208"/>
      <c r="M43" s="208"/>
      <c r="N43" s="220"/>
      <c r="O43" s="210"/>
      <c r="P43" s="208"/>
      <c r="Q43" s="208"/>
      <c r="R43" s="208"/>
      <c r="S43" s="208"/>
      <c r="T43" s="220"/>
      <c r="U43" s="210"/>
      <c r="V43" s="208"/>
      <c r="W43" s="208"/>
      <c r="X43" s="208"/>
      <c r="Y43" s="208"/>
      <c r="Z43" s="220"/>
      <c r="AA43" s="213"/>
      <c r="AB43" s="208"/>
      <c r="AC43" s="208"/>
      <c r="AD43" s="208"/>
      <c r="AE43" s="208"/>
      <c r="AF43" s="220"/>
      <c r="AG43" s="211"/>
      <c r="AH43" s="208"/>
      <c r="AI43" s="208"/>
      <c r="AJ43" s="212"/>
      <c r="AK43" s="212"/>
      <c r="AL43" s="220"/>
      <c r="AM43" s="213"/>
      <c r="AN43" s="212"/>
      <c r="AO43" s="212"/>
      <c r="AP43" s="212"/>
      <c r="AQ43" s="212"/>
      <c r="AR43" s="220"/>
    </row>
    <row r="44" spans="1:44" ht="14.25" customHeight="1">
      <c r="A44" s="44" t="s">
        <v>38</v>
      </c>
      <c r="B44" s="65" t="s">
        <v>612</v>
      </c>
      <c r="D44" s="208"/>
      <c r="E44" s="208"/>
      <c r="F44" s="208"/>
      <c r="G44" s="208"/>
      <c r="H44" s="220"/>
      <c r="I44" s="210"/>
      <c r="J44" s="208"/>
      <c r="K44" s="208"/>
      <c r="L44" s="208"/>
      <c r="M44" s="208"/>
      <c r="N44" s="220"/>
      <c r="O44" s="210"/>
      <c r="P44" s="208"/>
      <c r="Q44" s="208"/>
      <c r="R44" s="208"/>
      <c r="S44" s="208"/>
      <c r="T44" s="220"/>
      <c r="U44" s="210"/>
      <c r="V44" s="208"/>
      <c r="W44" s="208"/>
      <c r="X44" s="208"/>
      <c r="Y44" s="208"/>
      <c r="Z44" s="220"/>
      <c r="AA44" s="213"/>
      <c r="AB44" s="208"/>
      <c r="AC44" s="208"/>
      <c r="AD44" s="208"/>
      <c r="AE44" s="208"/>
      <c r="AF44" s="220"/>
      <c r="AG44" s="211"/>
      <c r="AH44" s="208"/>
      <c r="AI44" s="208"/>
      <c r="AJ44" s="212"/>
      <c r="AK44" s="212"/>
      <c r="AL44" s="220"/>
      <c r="AM44" s="213"/>
      <c r="AN44" s="212"/>
      <c r="AO44" s="212"/>
      <c r="AP44" s="212"/>
      <c r="AQ44" s="212"/>
      <c r="AR44" s="220"/>
    </row>
    <row r="45" spans="1:44" ht="14.25" customHeight="1">
      <c r="A45" s="84"/>
      <c r="B45" s="70" t="s">
        <v>536</v>
      </c>
      <c r="D45" s="208"/>
      <c r="E45" s="208"/>
      <c r="F45" s="208"/>
      <c r="G45" s="208"/>
      <c r="H45" s="220" t="str">
        <f>IF(ROUND(SUM(IS!D45:G45),1)=ROUND(IS!H45,1),"OK","ERROR")</f>
        <v>OK</v>
      </c>
      <c r="I45" s="210"/>
      <c r="J45" s="208"/>
      <c r="K45" s="208"/>
      <c r="L45" s="208"/>
      <c r="M45" s="208"/>
      <c r="N45" s="220" t="str">
        <f>IF(ROUND(SUM(IS!J45:M45),1)=ROUND(IS!N45,1),"OK","ERROR")</f>
        <v>OK</v>
      </c>
      <c r="O45" s="210"/>
      <c r="P45" s="208"/>
      <c r="Q45" s="208"/>
      <c r="R45" s="208"/>
      <c r="S45" s="208"/>
      <c r="T45" s="220" t="str">
        <f>IF(ROUND(SUM(IS!P45:S45),1)=ROUND(IS!T45,1),"OK","ERROR")</f>
        <v>OK</v>
      </c>
      <c r="U45" s="210"/>
      <c r="V45" s="208"/>
      <c r="W45" s="208"/>
      <c r="X45" s="208"/>
      <c r="Y45" s="208"/>
      <c r="Z45" s="220" t="str">
        <f>IF(ROUND(SUM(IS!V45:Y45),1)=ROUND(IS!Z45,1),"OK","ERROR")</f>
        <v>OK</v>
      </c>
      <c r="AA45" s="224"/>
      <c r="AB45" s="208"/>
      <c r="AC45" s="208"/>
      <c r="AD45" s="208"/>
      <c r="AE45" s="208"/>
      <c r="AF45" s="220" t="str">
        <f>IF(ROUND(SUM(IS!AB45:AE45),1)=ROUND(IS!AF45,1),"OK","ERROR")</f>
        <v>OK</v>
      </c>
      <c r="AG45" s="211"/>
      <c r="AH45" s="208"/>
      <c r="AI45" s="208"/>
      <c r="AJ45" s="212"/>
      <c r="AK45" s="212"/>
      <c r="AL45" s="220" t="str">
        <f>IF(ROUND(SUM(IS!AH45:AK45),1)=ROUND(IS!AL45,1),"OK","ERROR")</f>
        <v>ERROR</v>
      </c>
      <c r="AM45" s="235"/>
      <c r="AN45" s="212"/>
      <c r="AO45" s="212"/>
      <c r="AP45" s="212"/>
      <c r="AQ45" s="212"/>
      <c r="AR45" s="220" t="str">
        <f>IF(ROUND(SUM(IS!AN45:AQ45),1)=ROUND(IS!AR45,1),"OK","ERROR")</f>
        <v>OK</v>
      </c>
    </row>
    <row r="46" spans="1:44" ht="14.25" customHeight="1">
      <c r="A46" s="84"/>
      <c r="B46" s="70" t="s">
        <v>613</v>
      </c>
      <c r="D46" s="208"/>
      <c r="E46" s="208"/>
      <c r="F46" s="208"/>
      <c r="G46" s="208"/>
      <c r="H46" s="220" t="str">
        <f>IF(ROUND(SUM(IS!D46:G46),1)=ROUND(IS!H46,1),"OK","ERROR")</f>
        <v>OK</v>
      </c>
      <c r="I46" s="210"/>
      <c r="J46" s="208"/>
      <c r="K46" s="208"/>
      <c r="L46" s="208"/>
      <c r="M46" s="208"/>
      <c r="N46" s="220" t="str">
        <f>IF(ROUND(SUM(IS!J46:M46),1)=ROUND(IS!N46,1),"OK","ERROR")</f>
        <v>OK</v>
      </c>
      <c r="O46" s="210"/>
      <c r="P46" s="208"/>
      <c r="Q46" s="208"/>
      <c r="R46" s="208"/>
      <c r="S46" s="208"/>
      <c r="T46" s="220" t="str">
        <f>IF(ROUND(SUM(IS!P46:S46),1)=ROUND(IS!T46,1),"OK","ERROR")</f>
        <v>OK</v>
      </c>
      <c r="U46" s="210"/>
      <c r="V46" s="208"/>
      <c r="W46" s="208"/>
      <c r="X46" s="208"/>
      <c r="Y46" s="208"/>
      <c r="Z46" s="220" t="str">
        <f>IF(ROUND(SUM(IS!V46:Y46),1)=ROUND(IS!Z46,1),"OK","ERROR")</f>
        <v>OK</v>
      </c>
      <c r="AA46" s="213"/>
      <c r="AB46" s="208"/>
      <c r="AC46" s="208"/>
      <c r="AD46" s="208"/>
      <c r="AE46" s="208"/>
      <c r="AF46" s="220" t="str">
        <f>IF(ROUND(SUM(IS!AB46:AE46),1)=ROUND(IS!AF46,1),"OK","ERROR")</f>
        <v>OK</v>
      </c>
      <c r="AG46" s="211"/>
      <c r="AH46" s="208"/>
      <c r="AI46" s="208"/>
      <c r="AJ46" s="212"/>
      <c r="AK46" s="212"/>
      <c r="AL46" s="220" t="str">
        <f>IF(ROUND(SUM(IS!AH46:AK46),1)=ROUND(IS!AL46,1),"OK","ERROR")</f>
        <v>OK</v>
      </c>
      <c r="AM46" s="236"/>
      <c r="AN46" s="212"/>
      <c r="AO46" s="212"/>
      <c r="AP46" s="212"/>
      <c r="AQ46" s="212"/>
      <c r="AR46" s="220" t="str">
        <f>IF(ROUND(SUM(IS!AN46:AQ46),1)=ROUND(IS!AR46,1),"OK","ERROR")</f>
        <v>OK</v>
      </c>
    </row>
    <row r="47" spans="1:44" ht="14.25" customHeight="1" thickBot="1">
      <c r="A47" s="73"/>
      <c r="B47" s="70" t="s">
        <v>614</v>
      </c>
      <c r="D47" s="208"/>
      <c r="E47" s="208"/>
      <c r="F47" s="208"/>
      <c r="G47" s="208"/>
      <c r="H47" s="237" t="str">
        <f>IF(ROUND(SUM(IS!D47:G47),1)=ROUND(IS!H47,1),"OK","ERROR")</f>
        <v>OK</v>
      </c>
      <c r="I47" s="210"/>
      <c r="J47" s="208"/>
      <c r="K47" s="208"/>
      <c r="L47" s="208"/>
      <c r="M47" s="208"/>
      <c r="N47" s="237" t="str">
        <f>IF(ROUND(SUM(IS!J47:M47),1)=ROUND(IS!N47,1),"OK","ERROR")</f>
        <v>OK</v>
      </c>
      <c r="O47" s="210"/>
      <c r="P47" s="208"/>
      <c r="Q47" s="208"/>
      <c r="R47" s="208"/>
      <c r="S47" s="208"/>
      <c r="T47" s="237" t="str">
        <f>IF(ROUND(SUM(IS!P47:S47),1)=ROUND(IS!T47,1),"OK","ERROR")</f>
        <v>ERROR</v>
      </c>
      <c r="U47" s="210"/>
      <c r="V47" s="208"/>
      <c r="W47" s="208"/>
      <c r="X47" s="208"/>
      <c r="Y47" s="208"/>
      <c r="Z47" s="237" t="str">
        <f>IF(ROUND(SUM(IS!V47:Y47),1)=ROUND(IS!Z47,1),"OK","ERROR")</f>
        <v>ERROR</v>
      </c>
      <c r="AA47" s="213"/>
      <c r="AB47" s="208"/>
      <c r="AC47" s="208"/>
      <c r="AD47" s="208"/>
      <c r="AE47" s="208"/>
      <c r="AF47" s="237" t="str">
        <f>IF(ROUND(SUM(IS!AB47:AE47),1)=ROUND(IS!AF47,1),"OK","ERROR")</f>
        <v>ERROR</v>
      </c>
      <c r="AG47" s="211"/>
      <c r="AH47" s="208"/>
      <c r="AI47" s="208"/>
      <c r="AJ47" s="212"/>
      <c r="AK47" s="212"/>
      <c r="AL47" s="237" t="str">
        <f>IF(ROUND(SUM(IS!AH47:AK47),1)=ROUND(IS!AL47,1),"OK","ERROR")</f>
        <v>ERROR</v>
      </c>
      <c r="AM47" s="236"/>
      <c r="AN47" s="212"/>
      <c r="AO47" s="212"/>
      <c r="AP47" s="212"/>
      <c r="AQ47" s="212"/>
      <c r="AR47" s="237" t="str">
        <f>IF(ROUND(SUM(IS!AN47:AQ47),1)=ROUND(IS!AR47,1),"OK","ERROR")</f>
        <v>OK</v>
      </c>
    </row>
    <row r="49" spans="1:50" ht="14.25" customHeight="1">
      <c r="A49" s="44" t="s">
        <v>38</v>
      </c>
      <c r="B49" s="65" t="s">
        <v>615</v>
      </c>
      <c r="D49" s="208"/>
      <c r="E49" s="208"/>
      <c r="F49" s="208"/>
      <c r="G49" s="208"/>
      <c r="H49" s="220"/>
      <c r="I49" s="210"/>
      <c r="J49" s="208"/>
      <c r="K49" s="208"/>
      <c r="L49" s="208"/>
      <c r="M49" s="208"/>
      <c r="N49" s="220"/>
      <c r="O49" s="210"/>
      <c r="P49" s="208"/>
      <c r="Q49" s="208"/>
      <c r="R49" s="208"/>
      <c r="S49" s="208"/>
      <c r="T49" s="220"/>
      <c r="U49" s="210"/>
      <c r="V49" s="208"/>
      <c r="W49" s="208"/>
      <c r="X49" s="208"/>
      <c r="Y49" s="208"/>
      <c r="Z49" s="220"/>
      <c r="AA49" s="210"/>
      <c r="AB49" s="208"/>
      <c r="AC49" s="208"/>
      <c r="AD49" s="208"/>
      <c r="AE49" s="208"/>
      <c r="AF49" s="220"/>
      <c r="AG49" s="238"/>
      <c r="AH49" s="208"/>
      <c r="AI49" s="208"/>
      <c r="AJ49" s="212"/>
      <c r="AK49" s="212"/>
      <c r="AL49" s="220"/>
      <c r="AM49" s="210"/>
      <c r="AN49" s="212"/>
      <c r="AO49" s="212"/>
      <c r="AP49" s="212"/>
      <c r="AQ49" s="212"/>
      <c r="AR49" s="220"/>
      <c r="AS49" s="210"/>
      <c r="AT49" s="220"/>
      <c r="AU49" s="239"/>
      <c r="AV49" s="220"/>
      <c r="AW49" s="239"/>
      <c r="AX49" s="220"/>
    </row>
    <row r="50" spans="1:50" ht="14.25" customHeight="1">
      <c r="A50" s="73"/>
      <c r="B50" s="70" t="s">
        <v>616</v>
      </c>
      <c r="D50" s="208"/>
      <c r="E50" s="208"/>
      <c r="F50" s="208"/>
      <c r="G50" s="208"/>
      <c r="H50" s="220" t="str">
        <f>IF(ROUND(SUM(IS!D50:G50),1)=ROUND(IS!H50,1),"OK","ERROR")</f>
        <v>OK</v>
      </c>
      <c r="I50" s="210"/>
      <c r="J50" s="208"/>
      <c r="K50" s="208"/>
      <c r="L50" s="208"/>
      <c r="M50" s="208"/>
      <c r="N50" s="220" t="str">
        <f>IF(ROUND(SUM(IS!J50:M50),1)=ROUND(IS!N50,1),"OK","ERROR")</f>
        <v>OK</v>
      </c>
      <c r="O50" s="210"/>
      <c r="P50" s="208"/>
      <c r="Q50" s="208"/>
      <c r="R50" s="208"/>
      <c r="S50" s="208"/>
      <c r="T50" s="220" t="str">
        <f>IF(ROUND(SUM(IS!P50:S50),1)=ROUND(IS!T50,1),"OK","ERROR")</f>
        <v>OK</v>
      </c>
      <c r="U50" s="210"/>
      <c r="V50" s="208"/>
      <c r="W50" s="208"/>
      <c r="X50" s="208"/>
      <c r="Y50" s="208"/>
      <c r="Z50" s="220" t="str">
        <f>IF(ROUND(SUM(IS!V50:Y50),1)=ROUND(IS!Z50,1),"OK","ERROR")</f>
        <v>OK</v>
      </c>
      <c r="AA50" s="228"/>
      <c r="AB50" s="208"/>
      <c r="AC50" s="208"/>
      <c r="AD50" s="208"/>
      <c r="AE50" s="208"/>
      <c r="AF50" s="220" t="str">
        <f>IF(ROUND(SUM(IS!AB50:AE50),1)=ROUND(IS!AF50,1),"OK","ERROR")</f>
        <v>OK</v>
      </c>
      <c r="AG50" s="229"/>
      <c r="AH50" s="208"/>
      <c r="AI50" s="208"/>
      <c r="AJ50" s="212"/>
      <c r="AK50" s="212"/>
      <c r="AL50" s="220" t="str">
        <f>IF(ROUND(SUM(IS!AH50:AK50),1)=ROUND(IS!AL50,1),"OK","ERROR")</f>
        <v>OK</v>
      </c>
      <c r="AM50" s="228"/>
      <c r="AN50" s="212"/>
      <c r="AO50" s="212"/>
      <c r="AP50" s="212"/>
      <c r="AQ50" s="212"/>
      <c r="AR50" s="220" t="str">
        <f>IF(ROUND(SUM(IS!AN50:AQ50),1)=ROUND(IS!AR50,1),"OK","ERROR")</f>
        <v>OK</v>
      </c>
      <c r="AS50" s="228"/>
      <c r="AT50" s="220"/>
      <c r="AU50" s="230"/>
      <c r="AV50" s="220"/>
      <c r="AW50" s="230"/>
      <c r="AX50" s="220"/>
    </row>
    <row r="51" spans="1:50" ht="14.25" customHeight="1">
      <c r="A51" s="55"/>
      <c r="B51" s="70" t="s">
        <v>617</v>
      </c>
      <c r="D51" s="208"/>
      <c r="E51" s="208"/>
      <c r="F51" s="208"/>
      <c r="G51" s="208"/>
      <c r="H51" s="226" t="str">
        <f>IF(ROUND(SUM(IS!D51:G51),1)=ROUND(IS!H51,1),"OK","ERROR")</f>
        <v>OK</v>
      </c>
      <c r="I51" s="210"/>
      <c r="J51" s="208"/>
      <c r="K51" s="208"/>
      <c r="L51" s="208"/>
      <c r="M51" s="208"/>
      <c r="N51" s="226" t="str">
        <f>IF(ROUND(SUM(IS!J51:M51),1)=ROUND(IS!N51,1),"OK","ERROR")</f>
        <v>OK</v>
      </c>
      <c r="O51" s="210"/>
      <c r="P51" s="208"/>
      <c r="Q51" s="208"/>
      <c r="R51" s="208"/>
      <c r="S51" s="208"/>
      <c r="T51" s="226" t="str">
        <f>IF(ROUND(SUM(IS!P51:S51),1)=ROUND(IS!T51,1),"OK","ERROR")</f>
        <v>OK</v>
      </c>
      <c r="U51" s="210"/>
      <c r="V51" s="208"/>
      <c r="W51" s="208"/>
      <c r="X51" s="208"/>
      <c r="Y51" s="208"/>
      <c r="Z51" s="226" t="str">
        <f>IF(ROUND(SUM(IS!V51:Y51),1)=ROUND(IS!Z51,1),"OK","ERROR")</f>
        <v>OK</v>
      </c>
      <c r="AA51" s="210"/>
      <c r="AB51" s="208"/>
      <c r="AC51" s="208"/>
      <c r="AD51" s="208"/>
      <c r="AE51" s="208"/>
      <c r="AF51" s="226" t="str">
        <f>IF(ROUND(SUM(IS!AB51:AE51),1)=ROUND(IS!AF51,1),"OK","ERROR")</f>
        <v>OK</v>
      </c>
      <c r="AG51" s="238"/>
      <c r="AH51" s="208"/>
      <c r="AI51" s="208"/>
      <c r="AJ51" s="212"/>
      <c r="AK51" s="212"/>
      <c r="AL51" s="226" t="str">
        <f>IF(ROUND(SUM(IS!AH51:AK51),1)=ROUND(IS!AL51,1),"OK","ERROR")</f>
        <v>OK</v>
      </c>
      <c r="AM51" s="210"/>
      <c r="AN51" s="212"/>
      <c r="AO51" s="212"/>
      <c r="AP51" s="212"/>
      <c r="AQ51" s="212"/>
      <c r="AR51" s="226" t="str">
        <f>IF(ROUND(SUM(IS!AN51:AQ51),1)=ROUND(IS!AR51,1),"OK","ERROR")</f>
        <v>OK</v>
      </c>
      <c r="AS51" s="210"/>
      <c r="AT51" s="226"/>
      <c r="AU51" s="239"/>
      <c r="AV51" s="226"/>
      <c r="AW51" s="239"/>
      <c r="AX51" s="226"/>
    </row>
    <row r="52" spans="1:50" ht="14.25" customHeight="1" thickBot="1">
      <c r="A52" s="73"/>
      <c r="B52" s="76" t="s">
        <v>618</v>
      </c>
      <c r="D52" s="208"/>
      <c r="E52" s="208"/>
      <c r="F52" s="208"/>
      <c r="G52" s="208"/>
      <c r="H52" s="237" t="str">
        <f>IF(ROUND(SUM(IS!D52:G52),1)=ROUND(IS!H52,1),"OK","ERROR")</f>
        <v>ERROR</v>
      </c>
      <c r="I52" s="210"/>
      <c r="J52" s="208"/>
      <c r="K52" s="208"/>
      <c r="L52" s="208"/>
      <c r="M52" s="208"/>
      <c r="N52" s="237" t="str">
        <f>IF(ROUND(SUM(IS!J52:M52),1)=ROUND(IS!N52,1),"OK","ERROR")</f>
        <v>OK</v>
      </c>
      <c r="O52" s="210"/>
      <c r="P52" s="208"/>
      <c r="Q52" s="208"/>
      <c r="R52" s="208"/>
      <c r="S52" s="208"/>
      <c r="T52" s="237" t="str">
        <f>IF(ROUND(SUM(IS!P52:S52),1)=ROUND(IS!T52,1),"OK","ERROR")</f>
        <v>ERROR</v>
      </c>
      <c r="U52" s="210"/>
      <c r="V52" s="208"/>
      <c r="W52" s="208"/>
      <c r="X52" s="208"/>
      <c r="Y52" s="208"/>
      <c r="Z52" s="237" t="str">
        <f>IF(ROUND(SUM(IS!V52:Y52),1)=ROUND(IS!Z52,1),"OK","ERROR")</f>
        <v>ERROR</v>
      </c>
      <c r="AA52" s="210"/>
      <c r="AB52" s="208"/>
      <c r="AC52" s="208"/>
      <c r="AD52" s="208"/>
      <c r="AE52" s="208"/>
      <c r="AF52" s="237" t="str">
        <f>IF(ROUND(SUM(IS!AB52:AE52),1)=ROUND(IS!AF52,1),"OK","ERROR")</f>
        <v>ERROR</v>
      </c>
      <c r="AG52" s="238"/>
      <c r="AH52" s="208"/>
      <c r="AI52" s="208"/>
      <c r="AJ52" s="212"/>
      <c r="AK52" s="212"/>
      <c r="AL52" s="237" t="str">
        <f>IF(ROUND(SUM(IS!AH52:AK52),1)=ROUND(IS!AL52,1),"OK","ERROR")</f>
        <v>ERROR</v>
      </c>
      <c r="AM52" s="210"/>
      <c r="AN52" s="212"/>
      <c r="AO52" s="212"/>
      <c r="AP52" s="212"/>
      <c r="AQ52" s="212"/>
      <c r="AR52" s="237" t="str">
        <f>IF(ROUND(SUM(IS!AN52:AQ52),1)=ROUND(IS!AR52,1),"OK","ERROR")</f>
        <v>OK</v>
      </c>
      <c r="AS52" s="210"/>
      <c r="AT52" s="237"/>
      <c r="AU52" s="239"/>
      <c r="AV52" s="237"/>
      <c r="AW52" s="239"/>
      <c r="AX52" s="237"/>
    </row>
    <row r="53" spans="1:50" ht="14.25" customHeight="1" thickTop="1">
      <c r="A53" s="55"/>
      <c r="B53" s="207"/>
      <c r="D53" s="208"/>
      <c r="E53" s="208"/>
      <c r="F53" s="208"/>
      <c r="G53" s="208"/>
      <c r="H53" s="220"/>
      <c r="I53" s="210"/>
      <c r="J53" s="208"/>
      <c r="K53" s="208"/>
      <c r="L53" s="208"/>
      <c r="M53" s="208"/>
      <c r="N53" s="220"/>
      <c r="O53" s="210"/>
      <c r="P53" s="208"/>
      <c r="Q53" s="208"/>
      <c r="R53" s="208"/>
      <c r="S53" s="208"/>
      <c r="T53" s="220"/>
      <c r="U53" s="210"/>
      <c r="V53" s="208"/>
      <c r="W53" s="208"/>
      <c r="X53" s="208"/>
      <c r="Y53" s="208"/>
      <c r="Z53" s="220"/>
      <c r="AA53" s="210"/>
      <c r="AB53" s="208"/>
      <c r="AC53" s="208"/>
      <c r="AD53" s="208"/>
      <c r="AE53" s="208"/>
      <c r="AF53" s="220"/>
      <c r="AG53" s="238"/>
      <c r="AH53" s="208"/>
      <c r="AI53" s="208"/>
      <c r="AJ53" s="212"/>
      <c r="AK53" s="212"/>
      <c r="AL53" s="220"/>
      <c r="AM53" s="210"/>
      <c r="AN53" s="212"/>
      <c r="AO53" s="212"/>
      <c r="AP53" s="212"/>
      <c r="AQ53" s="212"/>
      <c r="AR53" s="220"/>
      <c r="AS53" s="210"/>
      <c r="AT53" s="220"/>
      <c r="AU53" s="239"/>
      <c r="AV53" s="220"/>
      <c r="AW53" s="239"/>
      <c r="AX53" s="220"/>
    </row>
    <row r="54" spans="1:50" ht="14.25" customHeight="1">
      <c r="A54" s="44" t="s">
        <v>38</v>
      </c>
      <c r="B54" s="65" t="s">
        <v>619</v>
      </c>
      <c r="D54" s="208"/>
      <c r="E54" s="208"/>
      <c r="F54" s="208"/>
      <c r="G54" s="208"/>
      <c r="H54" s="220"/>
      <c r="I54" s="210"/>
      <c r="J54" s="208"/>
      <c r="K54" s="208"/>
      <c r="L54" s="208"/>
      <c r="M54" s="208"/>
      <c r="N54" s="220"/>
      <c r="O54" s="210"/>
      <c r="P54" s="208"/>
      <c r="Q54" s="208"/>
      <c r="R54" s="208"/>
      <c r="S54" s="208"/>
      <c r="T54" s="220"/>
      <c r="U54" s="210"/>
      <c r="V54" s="208"/>
      <c r="W54" s="208"/>
      <c r="X54" s="208"/>
      <c r="Y54" s="208"/>
      <c r="Z54" s="220"/>
      <c r="AA54" s="210"/>
      <c r="AB54" s="208"/>
      <c r="AC54" s="208"/>
      <c r="AD54" s="208"/>
      <c r="AE54" s="208"/>
      <c r="AF54" s="220"/>
      <c r="AG54" s="238"/>
      <c r="AH54" s="208"/>
      <c r="AI54" s="208"/>
      <c r="AJ54" s="212"/>
      <c r="AK54" s="212"/>
      <c r="AL54" s="220"/>
      <c r="AM54" s="210"/>
      <c r="AN54" s="212"/>
      <c r="AO54" s="212"/>
      <c r="AP54" s="212"/>
      <c r="AQ54" s="212"/>
      <c r="AR54" s="220"/>
      <c r="AS54" s="210"/>
      <c r="AT54" s="220"/>
      <c r="AU54" s="239"/>
      <c r="AV54" s="220"/>
      <c r="AW54" s="239"/>
      <c r="AX54" s="220"/>
    </row>
    <row r="55" spans="1:50" ht="14.25" customHeight="1">
      <c r="A55" s="55"/>
      <c r="B55" s="76" t="s">
        <v>620</v>
      </c>
      <c r="D55" s="240"/>
      <c r="E55" s="240"/>
      <c r="F55" s="240"/>
      <c r="G55" s="240"/>
      <c r="H55" s="241" t="str">
        <f>IF(ROUND(AVERAGE(IS!D55:G55),0)-ROUND(IS!H55,0)&lt;0.01*ROUND(IS!H55,0),"OK","ERROR")</f>
        <v>OK</v>
      </c>
      <c r="I55" s="242"/>
      <c r="J55" s="240"/>
      <c r="K55" s="240"/>
      <c r="L55" s="240"/>
      <c r="M55" s="240"/>
      <c r="N55" s="241" t="str">
        <f>IF(ROUND(AVERAGE(IS!J55:M55),0)-ROUND(IS!N55,0)&lt;0.01*ROUND(IS!N55,0),"OK","ERROR")</f>
        <v>OK</v>
      </c>
      <c r="O55" s="242"/>
      <c r="P55" s="240"/>
      <c r="Q55" s="240"/>
      <c r="R55" s="240"/>
      <c r="S55" s="240"/>
      <c r="T55" s="241" t="str">
        <f>IF(ROUND(AVERAGE(IS!P55:S55),0)-ROUND(IS!T55,0)&lt;0.01*ROUND(IS!T55,0),"OK","ERROR")</f>
        <v>OK</v>
      </c>
      <c r="U55" s="242"/>
      <c r="V55" s="240"/>
      <c r="W55" s="240"/>
      <c r="X55" s="240"/>
      <c r="Y55" s="240"/>
      <c r="Z55" s="241" t="str">
        <f>IF(ROUND(AVERAGE(IS!V55:Y55),0)-ROUND(IS!Z55,0)&lt;0.01*ROUND(IS!Z55,0),"OK","ERROR")</f>
        <v>OK</v>
      </c>
      <c r="AA55" s="242"/>
      <c r="AB55" s="240"/>
      <c r="AC55" s="240"/>
      <c r="AD55" s="240"/>
      <c r="AE55" s="240"/>
      <c r="AF55" s="241" t="str">
        <f>IF(ROUND(AVERAGE(IS!AB55:AE55),0)-ROUND(IS!AF55,0)&lt;0.01*ROUND(IS!AF55,0),"OK","ERROR")</f>
        <v>OK</v>
      </c>
      <c r="AG55" s="243"/>
      <c r="AH55" s="240"/>
      <c r="AI55" s="240"/>
      <c r="AJ55" s="244"/>
      <c r="AK55" s="244"/>
      <c r="AL55" s="241" t="str">
        <f>IF(ROUND(AVERAGE(IS!AH55:AK55),0)-ROUND(IS!AL55,0)&lt;0.01*ROUND(IS!AL55,0),"OK","ERROR")</f>
        <v>ERROR</v>
      </c>
      <c r="AM55" s="242"/>
      <c r="AN55" s="244"/>
      <c r="AO55" s="244"/>
      <c r="AP55" s="244"/>
      <c r="AQ55" s="244"/>
      <c r="AR55" s="241" t="e">
        <f>IF(ROUND(AVERAGE(IS!AN55:AQ55),0)-ROUND(IS!AR55,0)&lt;0.01*ROUND(IS!AR55,0),"OK","ERROR")</f>
        <v>#DIV/0!</v>
      </c>
      <c r="AS55" s="242"/>
      <c r="AT55" s="241"/>
      <c r="AU55" s="245"/>
      <c r="AV55" s="241"/>
      <c r="AW55" s="245"/>
      <c r="AX55" s="241"/>
    </row>
    <row r="56" spans="1:50" ht="14.25" customHeight="1">
      <c r="A56" s="73"/>
      <c r="B56" s="76" t="s">
        <v>621</v>
      </c>
      <c r="D56" s="240"/>
      <c r="E56" s="240"/>
      <c r="F56" s="240"/>
      <c r="G56" s="240"/>
      <c r="H56" s="241" t="str">
        <f>IF(ROUND(AVERAGE(IS!D56:G56),0)-ROUND(IS!H56,0)&lt;0.01*ROUND(IS!H56,0),"OK","ERROR")</f>
        <v>OK</v>
      </c>
      <c r="I56" s="242"/>
      <c r="J56" s="240"/>
      <c r="K56" s="240"/>
      <c r="L56" s="240"/>
      <c r="M56" s="240"/>
      <c r="N56" s="241" t="str">
        <f>IF(ROUND(AVERAGE(IS!J56:M56),0)-ROUND(IS!N56,0)&lt;0.01*ROUND(IS!N56,0),"OK","ERROR")</f>
        <v>OK</v>
      </c>
      <c r="O56" s="242"/>
      <c r="P56" s="240"/>
      <c r="Q56" s="240"/>
      <c r="R56" s="240"/>
      <c r="S56" s="240"/>
      <c r="T56" s="241" t="str">
        <f>IF(ROUND(AVERAGE(IS!P56:S56),0)-ROUND(IS!T56,0)&lt;0.01*ROUND(IS!T56,0),"OK","ERROR")</f>
        <v>OK</v>
      </c>
      <c r="U56" s="242"/>
      <c r="V56" s="240"/>
      <c r="W56" s="240"/>
      <c r="X56" s="240"/>
      <c r="Y56" s="240"/>
      <c r="Z56" s="241" t="str">
        <f>IF(ROUND(AVERAGE(IS!V56:Y56),0)-ROUND(IS!Z56,0)&lt;0.01*ROUND(IS!Z56,0),"OK","ERROR")</f>
        <v>OK</v>
      </c>
      <c r="AA56" s="242"/>
      <c r="AB56" s="240"/>
      <c r="AC56" s="240"/>
      <c r="AD56" s="240"/>
      <c r="AE56" s="240"/>
      <c r="AF56" s="241" t="str">
        <f>IF(ROUND(AVERAGE(IS!AB56:AE56),0)-ROUND(IS!AF56,0)&lt;0.01*ROUND(IS!AF56,0),"OK","ERROR")</f>
        <v>OK</v>
      </c>
      <c r="AG56" s="243"/>
      <c r="AH56" s="240"/>
      <c r="AI56" s="240"/>
      <c r="AJ56" s="244"/>
      <c r="AK56" s="244"/>
      <c r="AL56" s="241" t="str">
        <f>IF(ROUND(AVERAGE(IS!AH56:AK56),0)-ROUND(IS!AL56,0)&lt;0.01*ROUND(IS!AL56,0),"OK","ERROR")</f>
        <v>ERROR</v>
      </c>
      <c r="AM56" s="242"/>
      <c r="AN56" s="244"/>
      <c r="AO56" s="244"/>
      <c r="AP56" s="244"/>
      <c r="AQ56" s="244"/>
      <c r="AR56" s="241" t="e">
        <f>IF(ROUND(AVERAGE(IS!AN56:AQ56),0)-ROUND(IS!AR56,0)&lt;0.01*ROUND(IS!AR56,0),"OK","ERROR")</f>
        <v>#DIV/0!</v>
      </c>
      <c r="AS56" s="242"/>
      <c r="AT56" s="241"/>
      <c r="AU56" s="245"/>
      <c r="AV56" s="241"/>
      <c r="AW56" s="245"/>
      <c r="AX56" s="241"/>
    </row>
    <row r="57" spans="1:50" ht="14.25" customHeight="1">
      <c r="A57" s="55"/>
      <c r="B57" s="207"/>
      <c r="D57" s="208"/>
      <c r="E57" s="208"/>
      <c r="F57" s="208"/>
      <c r="G57" s="208"/>
      <c r="H57" s="220"/>
      <c r="I57" s="210"/>
      <c r="J57" s="208"/>
      <c r="K57" s="208"/>
      <c r="L57" s="208"/>
      <c r="M57" s="208"/>
      <c r="N57" s="220"/>
      <c r="O57" s="210"/>
      <c r="P57" s="208"/>
      <c r="Q57" s="208"/>
      <c r="R57" s="208"/>
      <c r="S57" s="208"/>
      <c r="T57" s="220"/>
      <c r="U57" s="210"/>
      <c r="V57" s="208"/>
      <c r="W57" s="208"/>
      <c r="X57" s="208"/>
      <c r="Y57" s="208"/>
      <c r="Z57" s="220"/>
      <c r="AA57" s="210"/>
      <c r="AB57" s="208"/>
      <c r="AC57" s="208"/>
      <c r="AD57" s="208"/>
      <c r="AE57" s="208"/>
      <c r="AF57" s="220"/>
      <c r="AG57" s="238"/>
      <c r="AH57" s="208"/>
      <c r="AI57" s="208"/>
      <c r="AJ57" s="212"/>
      <c r="AK57" s="212"/>
      <c r="AL57" s="220"/>
      <c r="AM57" s="210"/>
      <c r="AN57" s="212"/>
      <c r="AO57" s="212"/>
      <c r="AP57" s="212"/>
      <c r="AQ57" s="212"/>
      <c r="AR57" s="220"/>
      <c r="AS57" s="210"/>
      <c r="AT57" s="220"/>
      <c r="AU57" s="239"/>
      <c r="AV57" s="220"/>
      <c r="AW57" s="239"/>
      <c r="AX57" s="220"/>
    </row>
    <row r="58" spans="1:50" ht="14.25" customHeight="1">
      <c r="A58" s="44" t="s">
        <v>38</v>
      </c>
      <c r="B58" s="65" t="s">
        <v>622</v>
      </c>
      <c r="D58" s="208"/>
      <c r="E58" s="208"/>
      <c r="F58" s="208"/>
      <c r="G58" s="208"/>
      <c r="H58" s="220"/>
      <c r="I58" s="210"/>
      <c r="J58" s="208"/>
      <c r="K58" s="208"/>
      <c r="L58" s="208"/>
      <c r="M58" s="208"/>
      <c r="N58" s="220"/>
      <c r="O58" s="210"/>
      <c r="P58" s="208"/>
      <c r="Q58" s="208"/>
      <c r="R58" s="208"/>
      <c r="S58" s="208"/>
      <c r="T58" s="220"/>
      <c r="U58" s="210"/>
      <c r="V58" s="208"/>
      <c r="W58" s="208"/>
      <c r="X58" s="208"/>
      <c r="Y58" s="208"/>
      <c r="Z58" s="220"/>
      <c r="AA58" s="210"/>
      <c r="AB58" s="208"/>
      <c r="AC58" s="208"/>
      <c r="AD58" s="208"/>
      <c r="AE58" s="208"/>
      <c r="AF58" s="220"/>
      <c r="AG58" s="238"/>
      <c r="AH58" s="208"/>
      <c r="AI58" s="208"/>
      <c r="AJ58" s="212"/>
      <c r="AK58" s="212"/>
      <c r="AL58" s="220"/>
      <c r="AM58" s="210"/>
      <c r="AN58" s="212"/>
      <c r="AO58" s="212"/>
      <c r="AP58" s="212"/>
      <c r="AQ58" s="212"/>
      <c r="AR58" s="220"/>
      <c r="AS58" s="210"/>
      <c r="AT58" s="220"/>
      <c r="AU58" s="239"/>
      <c r="AV58" s="220"/>
      <c r="AW58" s="239"/>
      <c r="AX58" s="220"/>
    </row>
    <row r="59" spans="1:50" ht="14.25" customHeight="1">
      <c r="B59" s="70" t="s">
        <v>623</v>
      </c>
      <c r="D59" s="208"/>
      <c r="E59" s="208"/>
      <c r="F59" s="208"/>
      <c r="G59" s="208"/>
      <c r="H59" s="220" t="str">
        <f>IF(ROUND(AVERAGE(IS!D59:G59),0)-ROUND(IS!H59,0)&lt;0.01*ROUND(IS!H59,0),"OK","ERROR")</f>
        <v>OK</v>
      </c>
      <c r="I59" s="210"/>
      <c r="J59" s="208"/>
      <c r="K59" s="208"/>
      <c r="L59" s="208"/>
      <c r="M59" s="208"/>
      <c r="N59" s="220" t="str">
        <f>IF(ROUND(AVERAGE(IS!J59:M59),0)-ROUND(IS!N59,0)&lt;0.01*ROUND(IS!N59,0),"OK","ERROR")</f>
        <v>OK</v>
      </c>
      <c r="O59" s="210"/>
      <c r="P59" s="208"/>
      <c r="Q59" s="208"/>
      <c r="R59" s="208"/>
      <c r="S59" s="208"/>
      <c r="T59" s="220" t="str">
        <f>IF(ROUND(AVERAGE(IS!P59:S59),0)-ROUND(IS!T59,0)&lt;0.01*ROUND(IS!T59,0),"OK","ERROR")</f>
        <v>OK</v>
      </c>
      <c r="U59" s="210"/>
      <c r="V59" s="208"/>
      <c r="W59" s="208"/>
      <c r="X59" s="208"/>
      <c r="Y59" s="208"/>
      <c r="Z59" s="220" t="str">
        <f>IF(ROUND(AVERAGE(IS!V59:Y59),0)-ROUND(IS!Z59,0)&lt;0.01*ROUND(IS!Z59,0),"OK","ERROR")</f>
        <v>OK</v>
      </c>
      <c r="AA59" s="210"/>
      <c r="AB59" s="208"/>
      <c r="AC59" s="208"/>
      <c r="AD59" s="208"/>
      <c r="AE59" s="208"/>
      <c r="AF59" s="220" t="str">
        <f>IF(ROUND(AVERAGE(IS!AB59:AE59),0)-ROUND(IS!AF59,0)&lt;0.01*ROUND(IS!AF59,0),"OK","ERROR")</f>
        <v>OK</v>
      </c>
      <c r="AG59" s="238"/>
      <c r="AH59" s="208"/>
      <c r="AI59" s="208"/>
      <c r="AJ59" s="212"/>
      <c r="AK59" s="212"/>
      <c r="AL59" s="220" t="str">
        <f>IF(ROUND(AVERAGE(IS!AH59:AK59),0)-ROUND(IS!AL59,0)&lt;0.01*ROUND(IS!AL59,0),"OK","ERROR")</f>
        <v>ERROR</v>
      </c>
      <c r="AM59" s="210"/>
      <c r="AN59" s="212"/>
      <c r="AO59" s="212"/>
      <c r="AP59" s="212"/>
      <c r="AQ59" s="212"/>
      <c r="AR59" s="220" t="e">
        <f>IF(ROUND(AVERAGE(IS!AN59:AQ59),0)-ROUND(IS!AR59,0)&lt;0.01*ROUND(IS!AR59,0),"OK","ERROR")</f>
        <v>#DIV/0!</v>
      </c>
      <c r="AS59" s="210"/>
      <c r="AT59" s="220"/>
      <c r="AU59" s="239"/>
      <c r="AV59" s="220"/>
      <c r="AW59" s="239"/>
      <c r="AX59" s="220"/>
    </row>
    <row r="60" spans="1:50" ht="14.25" customHeight="1">
      <c r="B60" s="70" t="s">
        <v>624</v>
      </c>
      <c r="D60" s="208"/>
      <c r="E60" s="208"/>
      <c r="F60" s="208"/>
      <c r="G60" s="208"/>
      <c r="H60" s="220" t="str">
        <f>IF(ROUND(AVERAGE(IS!D60:G60),0)-ROUND(IS!H60,0)&lt;0.01*ROUND(IS!H60,0),"OK","ERROR")</f>
        <v>OK</v>
      </c>
      <c r="I60" s="210"/>
      <c r="J60" s="208"/>
      <c r="K60" s="208"/>
      <c r="L60" s="208"/>
      <c r="M60" s="208"/>
      <c r="N60" s="220" t="str">
        <f>IF(ROUND(AVERAGE(IS!J60:M60),0)-ROUND(IS!N60,0)&lt;0.01*ROUND(IS!N60,0),"OK","ERROR")</f>
        <v>OK</v>
      </c>
      <c r="O60" s="210"/>
      <c r="P60" s="208"/>
      <c r="Q60" s="208"/>
      <c r="R60" s="208"/>
      <c r="S60" s="208"/>
      <c r="T60" s="220" t="str">
        <f>IF(ROUND(AVERAGE(IS!P60:S60),0)-ROUND(IS!T60,0)&lt;0.01*ROUND(IS!T60,0),"OK","ERROR")</f>
        <v>OK</v>
      </c>
      <c r="U60" s="210"/>
      <c r="V60" s="208"/>
      <c r="W60" s="208"/>
      <c r="X60" s="208"/>
      <c r="Y60" s="208"/>
      <c r="Z60" s="220" t="str">
        <f>IF(ROUND(AVERAGE(IS!V60:Y60),0)-ROUND(IS!Z60,0)&lt;0.01*ROUND(IS!Z60,0),"OK","ERROR")</f>
        <v>OK</v>
      </c>
      <c r="AA60" s="210"/>
      <c r="AB60" s="208"/>
      <c r="AC60" s="208"/>
      <c r="AD60" s="208"/>
      <c r="AE60" s="208"/>
      <c r="AF60" s="220" t="str">
        <f>IF(ROUND(AVERAGE(IS!AB60:AE60),0)-ROUND(IS!AF60,0)&lt;0.01*ROUND(IS!AF60,0),"OK","ERROR")</f>
        <v>OK</v>
      </c>
      <c r="AG60" s="238"/>
      <c r="AH60" s="208"/>
      <c r="AI60" s="208"/>
      <c r="AJ60" s="212"/>
      <c r="AK60" s="212"/>
      <c r="AL60" s="220" t="str">
        <f>IF(ROUND(AVERAGE(IS!AH60:AK60),0)-ROUND(IS!AL60,0)&lt;0.01*ROUND(IS!AL60,0),"OK","ERROR")</f>
        <v>ERROR</v>
      </c>
      <c r="AM60" s="210"/>
      <c r="AN60" s="212"/>
      <c r="AO60" s="212"/>
      <c r="AP60" s="212"/>
      <c r="AQ60" s="212"/>
      <c r="AR60" s="220" t="e">
        <f>IF(ROUND(AVERAGE(IS!AN60:AQ60),0)-ROUND(IS!AR60,0)&lt;0.01*ROUND(IS!AR60,0),"OK","ERROR")</f>
        <v>#DIV/0!</v>
      </c>
      <c r="AS60" s="210"/>
      <c r="AT60" s="220"/>
      <c r="AU60" s="239"/>
      <c r="AV60" s="220"/>
      <c r="AW60" s="239"/>
      <c r="AX60" s="220"/>
    </row>
    <row r="62" spans="1:50" s="41" customFormat="1" ht="15" customHeight="1">
      <c r="B62" s="161" t="s">
        <v>692</v>
      </c>
      <c r="C62" s="18"/>
      <c r="D62" s="202">
        <f>F62</f>
        <v>2020</v>
      </c>
      <c r="E62" s="202">
        <f>F62</f>
        <v>2020</v>
      </c>
      <c r="F62" s="202">
        <v>2020</v>
      </c>
      <c r="G62" s="202">
        <f>F62</f>
        <v>2020</v>
      </c>
      <c r="H62" s="202">
        <f>F62</f>
        <v>2020</v>
      </c>
      <c r="I62" s="18"/>
      <c r="J62" s="202">
        <f>L62</f>
        <v>2021</v>
      </c>
      <c r="K62" s="202">
        <f>L62</f>
        <v>2021</v>
      </c>
      <c r="L62" s="202">
        <v>2021</v>
      </c>
      <c r="M62" s="202">
        <f>L62</f>
        <v>2021</v>
      </c>
      <c r="N62" s="202">
        <f>L62</f>
        <v>2021</v>
      </c>
      <c r="O62" s="169"/>
      <c r="P62" s="202">
        <f>R62</f>
        <v>2022</v>
      </c>
      <c r="Q62" s="202">
        <f>R62</f>
        <v>2022</v>
      </c>
      <c r="R62" s="202">
        <v>2022</v>
      </c>
      <c r="S62" s="202">
        <f>R62</f>
        <v>2022</v>
      </c>
      <c r="T62" s="202">
        <f>R62</f>
        <v>2022</v>
      </c>
      <c r="U62" s="169"/>
      <c r="V62" s="202">
        <f>X62</f>
        <v>2023</v>
      </c>
      <c r="W62" s="202">
        <f>X62</f>
        <v>2023</v>
      </c>
      <c r="X62" s="202">
        <v>2023</v>
      </c>
      <c r="Y62" s="202">
        <f>X62</f>
        <v>2023</v>
      </c>
      <c r="Z62" s="202">
        <f>X62</f>
        <v>2023</v>
      </c>
      <c r="AA62" s="170"/>
      <c r="AB62" s="202">
        <f>AD62</f>
        <v>2024</v>
      </c>
      <c r="AC62" s="202">
        <f>AD62</f>
        <v>2024</v>
      </c>
      <c r="AD62" s="202">
        <v>2024</v>
      </c>
      <c r="AE62" s="202">
        <f>AD62</f>
        <v>2024</v>
      </c>
      <c r="AF62" s="202">
        <f>AD62</f>
        <v>2024</v>
      </c>
      <c r="AG62" s="170"/>
      <c r="AH62" s="202">
        <f>AJ62</f>
        <v>2025</v>
      </c>
      <c r="AI62" s="202">
        <f>AJ62</f>
        <v>2025</v>
      </c>
      <c r="AJ62" s="203">
        <v>2025</v>
      </c>
      <c r="AK62" s="202">
        <f>AJ62</f>
        <v>2025</v>
      </c>
      <c r="AL62" s="202">
        <f>AJ62</f>
        <v>2025</v>
      </c>
      <c r="AM62" s="171"/>
      <c r="AN62" s="202">
        <f>AP62</f>
        <v>2025</v>
      </c>
      <c r="AO62" s="202">
        <f>AP62</f>
        <v>2025</v>
      </c>
      <c r="AP62" s="203">
        <v>2025</v>
      </c>
      <c r="AQ62" s="202">
        <f>AP62</f>
        <v>2025</v>
      </c>
      <c r="AR62" s="202">
        <f>AP62</f>
        <v>2025</v>
      </c>
      <c r="AS62" s="18"/>
      <c r="AT62" s="162"/>
      <c r="AU62" s="18"/>
      <c r="AV62" s="163"/>
      <c r="AW62" s="18"/>
      <c r="AX62" s="163"/>
    </row>
    <row r="63" spans="1:50" s="41" customFormat="1" ht="15" customHeight="1">
      <c r="B63" s="164"/>
      <c r="C63" s="18"/>
      <c r="D63" s="815">
        <v>2020</v>
      </c>
      <c r="E63" s="815"/>
      <c r="F63" s="815"/>
      <c r="G63" s="815"/>
      <c r="H63" s="815"/>
      <c r="I63" s="169"/>
      <c r="J63" s="815">
        <f>D63+1</f>
        <v>2021</v>
      </c>
      <c r="K63" s="815"/>
      <c r="L63" s="815"/>
      <c r="M63" s="815"/>
      <c r="N63" s="815"/>
      <c r="O63" s="169"/>
      <c r="P63" s="815">
        <f>J63+1</f>
        <v>2022</v>
      </c>
      <c r="Q63" s="815"/>
      <c r="R63" s="815"/>
      <c r="S63" s="815"/>
      <c r="T63" s="815"/>
      <c r="U63" s="169"/>
      <c r="V63" s="815">
        <f>P63+1</f>
        <v>2023</v>
      </c>
      <c r="W63" s="815"/>
      <c r="X63" s="815"/>
      <c r="Y63" s="815"/>
      <c r="Z63" s="815"/>
      <c r="AA63" s="169"/>
      <c r="AB63" s="815">
        <f>V63+1</f>
        <v>2024</v>
      </c>
      <c r="AC63" s="815"/>
      <c r="AD63" s="815"/>
      <c r="AE63" s="815"/>
      <c r="AF63" s="815"/>
      <c r="AG63" s="169"/>
      <c r="AH63" s="813">
        <f>AB63+1</f>
        <v>2025</v>
      </c>
      <c r="AI63" s="813"/>
      <c r="AJ63" s="813"/>
      <c r="AK63" s="813"/>
      <c r="AL63" s="813"/>
      <c r="AM63" s="169"/>
      <c r="AN63" s="813">
        <f>AH63+1</f>
        <v>2026</v>
      </c>
      <c r="AO63" s="813"/>
      <c r="AP63" s="813"/>
      <c r="AQ63" s="813"/>
      <c r="AR63" s="813"/>
      <c r="AS63" s="171"/>
      <c r="AT63" s="166">
        <f>AN63+1</f>
        <v>2027</v>
      </c>
      <c r="AU63" s="167"/>
      <c r="AV63" s="166">
        <f>+AT63+1</f>
        <v>2028</v>
      </c>
      <c r="AW63" s="167"/>
      <c r="AX63" s="166">
        <f>+AV63+1</f>
        <v>2029</v>
      </c>
    </row>
    <row r="64" spans="1:50" s="41" customFormat="1" ht="14.25" customHeight="1">
      <c r="B64" s="164"/>
      <c r="C64" s="18"/>
      <c r="D64" s="168" t="s">
        <v>191</v>
      </c>
      <c r="E64" s="168" t="s">
        <v>192</v>
      </c>
      <c r="F64" s="168" t="s">
        <v>193</v>
      </c>
      <c r="G64" s="168" t="s">
        <v>194</v>
      </c>
      <c r="H64" s="168" t="s">
        <v>195</v>
      </c>
      <c r="I64" s="18"/>
      <c r="J64" s="168" t="s">
        <v>191</v>
      </c>
      <c r="K64" s="168" t="s">
        <v>192</v>
      </c>
      <c r="L64" s="168" t="s">
        <v>193</v>
      </c>
      <c r="M64" s="168" t="s">
        <v>194</v>
      </c>
      <c r="N64" s="168" t="s">
        <v>195</v>
      </c>
      <c r="O64" s="165"/>
      <c r="P64" s="168" t="s">
        <v>191</v>
      </c>
      <c r="Q64" s="168" t="s">
        <v>192</v>
      </c>
      <c r="R64" s="168" t="s">
        <v>193</v>
      </c>
      <c r="S64" s="168" t="s">
        <v>194</v>
      </c>
      <c r="T64" s="168" t="s">
        <v>195</v>
      </c>
      <c r="U64" s="165"/>
      <c r="V64" s="168" t="s">
        <v>191</v>
      </c>
      <c r="W64" s="168" t="s">
        <v>192</v>
      </c>
      <c r="X64" s="168" t="s">
        <v>193</v>
      </c>
      <c r="Y64" s="168" t="s">
        <v>194</v>
      </c>
      <c r="Z64" s="168" t="s">
        <v>195</v>
      </c>
      <c r="AA64" s="165"/>
      <c r="AB64" s="168" t="s">
        <v>191</v>
      </c>
      <c r="AC64" s="168" t="s">
        <v>192</v>
      </c>
      <c r="AD64" s="168" t="s">
        <v>193</v>
      </c>
      <c r="AE64" s="168" t="s">
        <v>194</v>
      </c>
      <c r="AF64" s="168" t="s">
        <v>195</v>
      </c>
      <c r="AG64" s="165"/>
      <c r="AH64" s="168" t="s">
        <v>191</v>
      </c>
      <c r="AI64" s="168" t="s">
        <v>192</v>
      </c>
      <c r="AJ64" s="168" t="s">
        <v>193</v>
      </c>
      <c r="AK64" s="168" t="s">
        <v>194</v>
      </c>
      <c r="AL64" s="168" t="s">
        <v>195</v>
      </c>
      <c r="AM64" s="165"/>
      <c r="AN64" s="168" t="s">
        <v>191</v>
      </c>
      <c r="AO64" s="168" t="s">
        <v>192</v>
      </c>
      <c r="AP64" s="168" t="s">
        <v>193</v>
      </c>
      <c r="AQ64" s="168" t="s">
        <v>194</v>
      </c>
      <c r="AR64" s="168" t="s">
        <v>195</v>
      </c>
      <c r="AS64" s="165"/>
      <c r="AT64" s="168" t="s">
        <v>195</v>
      </c>
      <c r="AU64" s="165"/>
      <c r="AV64" s="168" t="s">
        <v>195</v>
      </c>
      <c r="AW64" s="165"/>
      <c r="AX64" s="168" t="s">
        <v>195</v>
      </c>
    </row>
    <row r="67" spans="1:50" ht="14.25" customHeight="1">
      <c r="A67" s="44" t="s">
        <v>38</v>
      </c>
      <c r="B67" s="65" t="s">
        <v>587</v>
      </c>
      <c r="D67" s="46"/>
      <c r="E67" s="46"/>
      <c r="F67" s="46"/>
      <c r="G67" s="46"/>
      <c r="H67" s="47"/>
      <c r="I67" s="48"/>
      <c r="J67" s="46"/>
      <c r="K67" s="46"/>
      <c r="L67" s="46"/>
      <c r="M67" s="46"/>
      <c r="N67" s="47"/>
      <c r="O67" s="47"/>
      <c r="P67" s="46"/>
      <c r="Q67" s="46"/>
      <c r="R67" s="46"/>
      <c r="S67" s="46"/>
      <c r="T67" s="47"/>
      <c r="U67" s="47"/>
      <c r="V67" s="46"/>
      <c r="W67" s="46"/>
      <c r="X67" s="46"/>
      <c r="Y67" s="46"/>
      <c r="Z67" s="47"/>
      <c r="AA67" s="47"/>
      <c r="AB67" s="46"/>
      <c r="AC67" s="46"/>
      <c r="AD67" s="46"/>
      <c r="AE67" s="46"/>
      <c r="AF67" s="47"/>
      <c r="AG67" s="49"/>
      <c r="AH67" s="46"/>
      <c r="AI67" s="46"/>
      <c r="AJ67" s="50"/>
      <c r="AK67" s="50"/>
      <c r="AL67" s="47"/>
      <c r="AM67" s="51"/>
      <c r="AN67" s="50"/>
      <c r="AO67" s="50"/>
      <c r="AP67" s="50"/>
      <c r="AQ67" s="50"/>
      <c r="AR67" s="47"/>
      <c r="AS67" s="51"/>
      <c r="AT67" s="52"/>
      <c r="AU67" s="53"/>
      <c r="AV67" s="52"/>
      <c r="AW67" s="53"/>
      <c r="AX67" s="52"/>
    </row>
    <row r="68" spans="1:50" ht="14.25" customHeight="1">
      <c r="A68" s="55"/>
      <c r="B68" s="76" t="s">
        <v>200</v>
      </c>
      <c r="D68" s="217" t="str">
        <f>IF(ROUND(SUM(IS!D13:D17),0)=IS!D18,"OK","ERROR")</f>
        <v>ERROR</v>
      </c>
      <c r="E68" s="217" t="str">
        <f>IF(ROUND(SUM(IS!E13:E17),0)=IS!E18,"OK","ERROR")</f>
        <v>ERROR</v>
      </c>
      <c r="F68" s="217" t="str">
        <f>IF(ROUND(SUM(IS!F13:F17),0)=IS!F18,"OK","ERROR")</f>
        <v>ERROR</v>
      </c>
      <c r="G68" s="217" t="str">
        <f>IF(ROUND(SUM(IS!G13:G17),0)=IS!G18,"OK","ERROR")</f>
        <v>ERROR</v>
      </c>
      <c r="H68" s="218" t="str">
        <f>IF(ROUND(SUM(IS!H13:H17),0)=IS!H18,"OK","ERROR")</f>
        <v>ERROR</v>
      </c>
      <c r="I68" s="210"/>
      <c r="J68" s="217" t="str">
        <f>IF(ROUND(SUM(IS!J13:J17),0)=IS!J18,"OK","ERROR")</f>
        <v>ERROR</v>
      </c>
      <c r="K68" s="217" t="str">
        <f>IF(ROUND(SUM(IS!K13:K17),0)=IS!K18,"OK","ERROR")</f>
        <v>ERROR</v>
      </c>
      <c r="L68" s="217" t="str">
        <f>IF(ROUND(SUM(IS!L13:L17),0)=IS!L18,"OK","ERROR")</f>
        <v>ERROR</v>
      </c>
      <c r="M68" s="217" t="str">
        <f>IF(ROUND(SUM(IS!M13:M17),0)=IS!M18,"OK","ERROR")</f>
        <v>ERROR</v>
      </c>
      <c r="N68" s="218" t="str">
        <f>IF(ROUND(SUM(IS!N13:N17),0)=IS!N18,"OK","ERROR")</f>
        <v>ERROR</v>
      </c>
      <c r="O68" s="209"/>
      <c r="P68" s="217" t="str">
        <f>IF(ROUND(SUM(IS!P13:P17),0)=IS!P18,"OK","ERROR")</f>
        <v>ERROR</v>
      </c>
      <c r="Q68" s="217" t="str">
        <f>IF(ROUND(SUM(IS!Q13:Q17),0)=IS!Q18,"OK","ERROR")</f>
        <v>ERROR</v>
      </c>
      <c r="R68" s="217" t="str">
        <f>IF(ROUND(SUM(IS!R13:R17),0)=IS!R18,"OK","ERROR")</f>
        <v>ERROR</v>
      </c>
      <c r="S68" s="217" t="str">
        <f>IF(ROUND(SUM(IS!S13:S17),0)=IS!S18,"OK","ERROR")</f>
        <v>ERROR</v>
      </c>
      <c r="T68" s="218" t="str">
        <f>IF(ROUND(SUM(IS!T13:T17),0)=IS!T18,"OK","ERROR")</f>
        <v>ERROR</v>
      </c>
      <c r="U68" s="209"/>
      <c r="V68" s="217" t="str">
        <f>IF(ROUND(SUM(IS!V13:V17),0)=IS!V18,"OK","ERROR")</f>
        <v>ERROR</v>
      </c>
      <c r="W68" s="217" t="str">
        <f>IF(ROUND(SUM(IS!W13:W17),0)=IS!W18,"OK","ERROR")</f>
        <v>ERROR</v>
      </c>
      <c r="X68" s="217" t="str">
        <f>IF(ROUND(SUM(IS!X13:X17),0)=IS!X18,"OK","ERROR")</f>
        <v>ERROR</v>
      </c>
      <c r="Y68" s="217" t="str">
        <f>IF(ROUND(SUM(IS!Y13:Y17),0)=IS!Y18,"OK","ERROR")</f>
        <v>ERROR</v>
      </c>
      <c r="Z68" s="218" t="str">
        <f>IF(ROUND(SUM(IS!Z13:Z17),0)=IS!Z18,"OK","ERROR")</f>
        <v>ERROR</v>
      </c>
      <c r="AA68" s="209"/>
      <c r="AB68" s="217" t="str">
        <f>IF(ROUND(SUM(IS!AB13:AB17),0)=IS!AB18,"OK","ERROR")</f>
        <v>ERROR</v>
      </c>
      <c r="AC68" s="217" t="str">
        <f>IF(ROUND(SUM(IS!AC13:AC17),0)=IS!AC18,"OK","ERROR")</f>
        <v>ERROR</v>
      </c>
      <c r="AD68" s="217" t="str">
        <f>IF(ROUND(SUM(IS!AD13:AD17),0)=IS!AD18,"OK","ERROR")</f>
        <v>ERROR</v>
      </c>
      <c r="AE68" s="217" t="str">
        <f>IF(ROUND(SUM(IS!AE13:AE17),0)=IS!AE18,"OK","ERROR")</f>
        <v>ERROR</v>
      </c>
      <c r="AF68" s="218" t="str">
        <f>IF(ROUND(SUM(IS!AF13:AF17),0)=IS!AF18,"OK","ERROR")</f>
        <v>ERROR</v>
      </c>
      <c r="AG68" s="211"/>
      <c r="AH68" s="217" t="str">
        <f>IF(ROUND(SUM(IS!AH13:AH17),0)=IS!AH18,"OK","ERROR")</f>
        <v>ERROR</v>
      </c>
      <c r="AI68" s="217" t="str">
        <f>IF(ROUND(SUM(IS!AI13:AI17),0)=IS!AI18,"OK","ERROR")</f>
        <v>ERROR</v>
      </c>
      <c r="AJ68" s="217" t="str">
        <f>IF(ROUND(SUM(IS!AJ13:AJ17),0)=IS!AJ18,"OK","ERROR")</f>
        <v>OK</v>
      </c>
      <c r="AK68" s="217" t="str">
        <f>IF(ROUND(SUM(IS!AK13:AK17),0)=IS!AK18,"OK","ERROR")</f>
        <v>OK</v>
      </c>
      <c r="AL68" s="218" t="str">
        <f>IF(ROUND(SUM(IS!AL13:AL17),0)=IS!AL18,"OK","ERROR")</f>
        <v>OK</v>
      </c>
      <c r="AM68" s="213"/>
      <c r="AN68" s="217" t="str">
        <f>IF(ROUND(SUM(IS!AN13:AN17),0)=IS!AN18,"OK","ERROR")</f>
        <v>OK</v>
      </c>
      <c r="AO68" s="217" t="str">
        <f>IF(ROUND(SUM(IS!AO13:AO17),0)=IS!AO18,"OK","ERROR")</f>
        <v>OK</v>
      </c>
      <c r="AP68" s="217" t="str">
        <f>IF(ROUND(SUM(IS!AP13:AP17),0)=IS!AP18,"OK","ERROR")</f>
        <v>OK</v>
      </c>
      <c r="AQ68" s="217" t="str">
        <f>IF(ROUND(SUM(IS!AQ13:AQ17),0)=IS!AQ18,"OK","ERROR")</f>
        <v>OK</v>
      </c>
      <c r="AR68" s="218" t="str">
        <f>IF(ROUND(SUM(IS!AR13:AR17),0)=IS!AR18,"OK","ERROR")</f>
        <v>OK</v>
      </c>
      <c r="AS68" s="213"/>
      <c r="AT68" s="218" t="str">
        <f>IF(ROUND(SUM(IS!AT13:AT17),0)=IS!AT18,"OK","ERROR")</f>
        <v>OK</v>
      </c>
      <c r="AU68" s="215"/>
      <c r="AV68" s="218" t="str">
        <f>IF(ROUND(SUM(IS!AV13:AV17),0)=IS!AV18,"OK","ERROR")</f>
        <v>OK</v>
      </c>
      <c r="AW68" s="215"/>
      <c r="AX68" s="218" t="str">
        <f>IF(ROUND(SUM(IS!AX13:AX17),0)=IS!AX18,"OK","ERROR")</f>
        <v>OK</v>
      </c>
    </row>
    <row r="69" spans="1:50" ht="14.25" customHeight="1">
      <c r="A69" s="55"/>
      <c r="B69" s="64"/>
      <c r="D69" s="208"/>
      <c r="E69" s="208"/>
      <c r="F69" s="208"/>
      <c r="G69" s="208"/>
      <c r="H69" s="209"/>
      <c r="I69" s="210"/>
      <c r="J69" s="208"/>
      <c r="K69" s="208"/>
      <c r="L69" s="208"/>
      <c r="M69" s="208"/>
      <c r="N69" s="209"/>
      <c r="O69" s="209"/>
      <c r="P69" s="208"/>
      <c r="Q69" s="208"/>
      <c r="R69" s="208"/>
      <c r="S69" s="208"/>
      <c r="T69" s="209"/>
      <c r="U69" s="209"/>
      <c r="V69" s="208"/>
      <c r="W69" s="208"/>
      <c r="X69" s="208"/>
      <c r="Y69" s="208"/>
      <c r="Z69" s="209"/>
      <c r="AA69" s="209"/>
      <c r="AB69" s="208"/>
      <c r="AC69" s="208"/>
      <c r="AD69" s="208"/>
      <c r="AE69" s="208"/>
      <c r="AF69" s="209"/>
      <c r="AG69" s="211"/>
      <c r="AH69" s="208"/>
      <c r="AI69" s="208"/>
      <c r="AJ69" s="208"/>
      <c r="AK69" s="208"/>
      <c r="AL69" s="209"/>
      <c r="AM69" s="213"/>
      <c r="AN69" s="208"/>
      <c r="AO69" s="208"/>
      <c r="AP69" s="208"/>
      <c r="AQ69" s="208"/>
      <c r="AR69" s="209"/>
      <c r="AS69" s="213"/>
      <c r="AT69" s="209"/>
      <c r="AU69" s="215"/>
      <c r="AV69" s="209"/>
      <c r="AW69" s="215"/>
      <c r="AX69" s="209"/>
    </row>
    <row r="70" spans="1:50" ht="14.25" customHeight="1">
      <c r="A70" s="44" t="s">
        <v>38</v>
      </c>
      <c r="B70" s="65" t="s">
        <v>593</v>
      </c>
      <c r="D70" s="208"/>
      <c r="E70" s="208"/>
      <c r="F70" s="208"/>
      <c r="G70" s="208"/>
      <c r="H70" s="220"/>
      <c r="I70" s="210"/>
      <c r="J70" s="208"/>
      <c r="K70" s="208"/>
      <c r="L70" s="208"/>
      <c r="M70" s="208"/>
      <c r="N70" s="220"/>
      <c r="O70" s="210"/>
      <c r="P70" s="208"/>
      <c r="Q70" s="208"/>
      <c r="R70" s="208"/>
      <c r="S70" s="208"/>
      <c r="T70" s="220"/>
      <c r="U70" s="210"/>
      <c r="V70" s="208"/>
      <c r="W70" s="208"/>
      <c r="X70" s="208"/>
      <c r="Y70" s="208"/>
      <c r="Z70" s="220"/>
      <c r="AA70" s="213"/>
      <c r="AB70" s="208"/>
      <c r="AC70" s="208"/>
      <c r="AD70" s="208"/>
      <c r="AE70" s="208"/>
      <c r="AF70" s="220"/>
      <c r="AG70" s="211"/>
      <c r="AH70" s="208"/>
      <c r="AI70" s="208"/>
      <c r="AJ70" s="208"/>
      <c r="AK70" s="208"/>
      <c r="AL70" s="220"/>
      <c r="AM70" s="221"/>
      <c r="AN70" s="208"/>
      <c r="AO70" s="208"/>
      <c r="AP70" s="208"/>
      <c r="AQ70" s="208"/>
      <c r="AR70" s="220"/>
      <c r="AS70" s="221"/>
      <c r="AT70" s="220"/>
      <c r="AU70" s="223"/>
      <c r="AV70" s="220"/>
      <c r="AW70" s="223"/>
      <c r="AX70" s="220"/>
    </row>
    <row r="71" spans="1:50" ht="14.25" customHeight="1">
      <c r="A71" s="73"/>
      <c r="B71" s="79" t="s">
        <v>244</v>
      </c>
      <c r="D71" s="208" t="str">
        <f>IF(ROUND(IS!D18,0)-ROUND(SUM(IS!D21:D22),0)=ROUND(IS!D24,0),"OK","ERROR")</f>
        <v>OK</v>
      </c>
      <c r="E71" s="208" t="str">
        <f>IF(ROUND(IS!E18,0)-ROUND(SUM(IS!E21:E22),0)=ROUND(IS!E24,0),"OK","ERROR")</f>
        <v>OK</v>
      </c>
      <c r="F71" s="208" t="str">
        <f>IF(ROUND(IS!F18,0)-ROUND(SUM(IS!F21:F22),0)=ROUND(IS!F24,0),"OK","ERROR")</f>
        <v>OK</v>
      </c>
      <c r="G71" s="208" t="str">
        <f>IF(ROUND(IS!G18,0)-ROUND(SUM(IS!G21:G22),0)=ROUND(IS!G24,0),"OK","ERROR")</f>
        <v>OK</v>
      </c>
      <c r="H71" s="227" t="str">
        <f>IF(ROUND(IS!H18,0)-ROUND(SUM(IS!H21:H22),0)=ROUND(IS!H24,0),"OK","ERROR")</f>
        <v>OK</v>
      </c>
      <c r="I71" s="210"/>
      <c r="J71" s="208" t="str">
        <f>IF(ROUND(IS!J18,0)-ROUND(SUM(IS!J21:J22),0)=ROUND(IS!J24,0),"OK","ERROR")</f>
        <v>OK</v>
      </c>
      <c r="K71" s="208" t="str">
        <f>IF(ROUND(IS!K18,0)-ROUND(SUM(IS!K21:K22),0)=ROUND(IS!K24,0),"OK","ERROR")</f>
        <v>OK</v>
      </c>
      <c r="L71" s="208" t="str">
        <f>IF(ROUND(IS!L18,0)-ROUND(SUM(IS!L21:L22),0)=ROUND(IS!L24,0),"OK","ERROR")</f>
        <v>OK</v>
      </c>
      <c r="M71" s="208" t="str">
        <f>IF(ROUND(IS!M18,0)-ROUND(SUM(IS!M21:M22),0)=ROUND(IS!M24,0),"OK","ERROR")</f>
        <v>OK</v>
      </c>
      <c r="N71" s="227" t="str">
        <f>IF(ROUND(IS!N18,0)-ROUND(SUM(IS!N21:N22),0)=ROUND(IS!N24,0),"OK","ERROR")</f>
        <v>OK</v>
      </c>
      <c r="O71" s="210"/>
      <c r="P71" s="208" t="str">
        <f>IF(ROUND(IS!P18,0)-ROUND(SUM(IS!P21:P22),0)=ROUND(IS!P24,0),"OK","ERROR")</f>
        <v>OK</v>
      </c>
      <c r="Q71" s="208" t="str">
        <f>IF(ROUND(IS!Q18,0)-ROUND(SUM(IS!Q21:Q22),0)=ROUND(IS!Q24,0),"OK","ERROR")</f>
        <v>OK</v>
      </c>
      <c r="R71" s="208" t="str">
        <f>IF(ROUND(IS!R18,0)-ROUND(SUM(IS!R21:R22),0)=ROUND(IS!R24,0),"OK","ERROR")</f>
        <v>OK</v>
      </c>
      <c r="S71" s="208" t="str">
        <f>IF(ROUND(IS!S18,0)-ROUND(SUM(IS!S21:S22),0)=ROUND(IS!S24,0),"OK","ERROR")</f>
        <v>OK</v>
      </c>
      <c r="T71" s="227" t="str">
        <f>IF(ROUND(IS!T18,0)-ROUND(SUM(IS!T21:T22),0)=ROUND(IS!T24,0),"OK","ERROR")</f>
        <v>OK</v>
      </c>
      <c r="U71" s="210"/>
      <c r="V71" s="208" t="str">
        <f>IF(ROUND(IS!V18,0)-ROUND(SUM(IS!V21:V22),0)=ROUND(IS!V24,0),"OK","ERROR")</f>
        <v>OK</v>
      </c>
      <c r="W71" s="208" t="str">
        <f>IF(ROUND(IS!W18,0)-ROUND(SUM(IS!W21:W22),0)=ROUND(IS!W24,0),"OK","ERROR")</f>
        <v>OK</v>
      </c>
      <c r="X71" s="208" t="str">
        <f>IF(ROUND(IS!X18,0)-ROUND(SUM(IS!X21:X22),0)=ROUND(IS!X24,0),"OK","ERROR")</f>
        <v>OK</v>
      </c>
      <c r="Y71" s="208" t="str">
        <f>IF(ROUND(IS!Y18,0)-ROUND(SUM(IS!Y21:Y22),0)=ROUND(IS!Y24,0),"OK","ERROR")</f>
        <v>OK</v>
      </c>
      <c r="Z71" s="227" t="str">
        <f>IF(ROUND(IS!Z18,0)-ROUND(SUM(IS!Z21:Z22),0)=ROUND(IS!Z24,0),"OK","ERROR")</f>
        <v>OK</v>
      </c>
      <c r="AA71" s="213"/>
      <c r="AB71" s="208" t="str">
        <f>IF(ROUND(IS!AB18,0)-ROUND(SUM(IS!AB21:AB22),0)=ROUND(IS!AB24,0),"OK","ERROR")</f>
        <v>OK</v>
      </c>
      <c r="AC71" s="208" t="str">
        <f>IF(ROUND(IS!AC18,0)-ROUND(SUM(IS!AC21:AC22),0)=ROUND(IS!AC24,0),"OK","ERROR")</f>
        <v>OK</v>
      </c>
      <c r="AD71" s="208" t="str">
        <f>IF(ROUND(IS!AD18,0)-ROUND(SUM(IS!AD21:AD22),0)=ROUND(IS!AD24,0),"OK","ERROR")</f>
        <v>OK</v>
      </c>
      <c r="AE71" s="208" t="str">
        <f>IF(ROUND(IS!AE18,0)-ROUND(SUM(IS!AE21:AE22),0)=ROUND(IS!AE24,0),"OK","ERROR")</f>
        <v>OK</v>
      </c>
      <c r="AF71" s="227" t="str">
        <f>IF(ROUND(IS!AF18,0)-ROUND(SUM(IS!AF21:AF22),0)=ROUND(IS!AF24,0),"OK","ERROR")</f>
        <v>OK</v>
      </c>
      <c r="AG71" s="211"/>
      <c r="AH71" s="208" t="str">
        <f>IF(ROUND(IS!AH18,0)-ROUND(SUM(IS!AH21:AH22),0)=ROUND(IS!AH24,0),"OK","ERROR")</f>
        <v>OK</v>
      </c>
      <c r="AI71" s="208" t="str">
        <f>IF(ROUND(IS!AI18,0)-ROUND(SUM(IS!AI21:AI22),0)=ROUND(IS!AI24,0),"OK","ERROR")</f>
        <v>OK</v>
      </c>
      <c r="AJ71" s="208" t="str">
        <f>IF(ROUND(IS!AJ18,0)-ROUND(SUM(IS!AJ21:AJ22),0)=ROUND(IS!AJ24,0),"OK","ERROR")</f>
        <v>OK</v>
      </c>
      <c r="AK71" s="208" t="str">
        <f>IF(ROUND(IS!AK18,0)-ROUND(SUM(IS!AK21:AK22),0)=ROUND(IS!AK24,0),"OK","ERROR")</f>
        <v>OK</v>
      </c>
      <c r="AL71" s="227" t="str">
        <f>IF(ROUND(IS!AL18,0)-ROUND(SUM(IS!AL21:AL22),0)=ROUND(IS!AL24,0),"OK","ERROR")</f>
        <v>OK</v>
      </c>
      <c r="AM71" s="224"/>
      <c r="AN71" s="208" t="str">
        <f>IF(ROUND(IS!AN18,0)-ROUND(SUM(IS!AN21:AN22),0)=ROUND(IS!AN24,0),"OK","ERROR")</f>
        <v>OK</v>
      </c>
      <c r="AO71" s="208" t="str">
        <f>IF(ROUND(IS!AO18,0)-ROUND(SUM(IS!AO21:AO22),0)=ROUND(IS!AO24,0),"OK","ERROR")</f>
        <v>OK</v>
      </c>
      <c r="AP71" s="208" t="str">
        <f>IF(ROUND(IS!AP18,0)-ROUND(SUM(IS!AP21:AP22),0)=ROUND(IS!AP24,0),"OK","ERROR")</f>
        <v>OK</v>
      </c>
      <c r="AQ71" s="208" t="str">
        <f>IF(ROUND(IS!AQ18,0)-ROUND(SUM(IS!AQ21:AQ22),0)=ROUND(IS!AQ24,0),"OK","ERROR")</f>
        <v>OK</v>
      </c>
      <c r="AR71" s="227" t="str">
        <f>IF(ROUND(IS!AR18,0)-ROUND(SUM(IS!AR21:AR22),0)=ROUND(IS!AR24,0),"OK","ERROR")</f>
        <v>OK</v>
      </c>
      <c r="AS71" s="224"/>
      <c r="AT71" s="227" t="str">
        <f>IF(ROUND(IS!AT18,0)-ROUND(SUM(IS!AT21:AT22),0)=ROUND(IS!AT24,0),"OK","ERROR")</f>
        <v>OK</v>
      </c>
      <c r="AU71" s="225"/>
      <c r="AV71" s="227" t="str">
        <f>IF(ROUND(IS!AV18,0)-ROUND(SUM(IS!AV21:AV22),0)=ROUND(IS!AV24,0),"OK","ERROR")</f>
        <v>OK</v>
      </c>
      <c r="AW71" s="225"/>
      <c r="AX71" s="227" t="str">
        <f>IF(ROUND(IS!AX18,0)-ROUND(SUM(IS!AX21:AX22),0)=ROUND(IS!AX24,0),"OK","ERROR")</f>
        <v>OK</v>
      </c>
    </row>
    <row r="72" spans="1:50" ht="14.25" customHeight="1">
      <c r="A72" s="55"/>
      <c r="B72" s="80"/>
      <c r="D72" s="208"/>
      <c r="E72" s="208"/>
      <c r="F72" s="208"/>
      <c r="G72" s="208"/>
      <c r="H72" s="220"/>
      <c r="I72" s="210"/>
      <c r="J72" s="208"/>
      <c r="K72" s="208"/>
      <c r="L72" s="208"/>
      <c r="M72" s="208"/>
      <c r="N72" s="220"/>
      <c r="O72" s="210"/>
      <c r="P72" s="208"/>
      <c r="Q72" s="208"/>
      <c r="R72" s="208"/>
      <c r="S72" s="208"/>
      <c r="T72" s="220"/>
      <c r="U72" s="210"/>
      <c r="V72" s="208"/>
      <c r="W72" s="208"/>
      <c r="X72" s="208"/>
      <c r="Y72" s="208"/>
      <c r="Z72" s="220"/>
      <c r="AA72" s="213"/>
      <c r="AB72" s="208"/>
      <c r="AC72" s="208"/>
      <c r="AD72" s="208"/>
      <c r="AE72" s="208"/>
      <c r="AF72" s="220"/>
      <c r="AG72" s="211"/>
      <c r="AH72" s="208"/>
      <c r="AI72" s="208"/>
      <c r="AJ72" s="208"/>
      <c r="AK72" s="208"/>
      <c r="AL72" s="220"/>
      <c r="AM72" s="224"/>
      <c r="AN72" s="208"/>
      <c r="AO72" s="208"/>
      <c r="AP72" s="208"/>
      <c r="AQ72" s="208"/>
      <c r="AR72" s="220"/>
      <c r="AS72" s="224"/>
      <c r="AT72" s="220"/>
      <c r="AU72" s="225"/>
      <c r="AV72" s="220"/>
      <c r="AW72" s="225"/>
      <c r="AX72" s="220"/>
    </row>
    <row r="73" spans="1:50" ht="14.25" customHeight="1">
      <c r="A73" s="44" t="s">
        <v>38</v>
      </c>
      <c r="B73" s="65" t="s">
        <v>597</v>
      </c>
      <c r="D73" s="208"/>
      <c r="E73" s="208"/>
      <c r="F73" s="208"/>
      <c r="G73" s="208"/>
      <c r="H73" s="220"/>
      <c r="I73" s="210"/>
      <c r="J73" s="208"/>
      <c r="K73" s="208"/>
      <c r="L73" s="208"/>
      <c r="M73" s="208"/>
      <c r="N73" s="220"/>
      <c r="O73" s="210"/>
      <c r="P73" s="208"/>
      <c r="Q73" s="208"/>
      <c r="R73" s="208"/>
      <c r="S73" s="208"/>
      <c r="T73" s="220"/>
      <c r="U73" s="210"/>
      <c r="V73" s="208"/>
      <c r="W73" s="208"/>
      <c r="X73" s="208"/>
      <c r="Y73" s="208"/>
      <c r="Z73" s="220"/>
      <c r="AA73" s="228"/>
      <c r="AB73" s="208"/>
      <c r="AC73" s="208"/>
      <c r="AD73" s="208"/>
      <c r="AE73" s="208"/>
      <c r="AF73" s="220"/>
      <c r="AG73" s="229"/>
      <c r="AH73" s="208"/>
      <c r="AI73" s="208"/>
      <c r="AJ73" s="208"/>
      <c r="AK73" s="208"/>
      <c r="AL73" s="220"/>
      <c r="AM73" s="228"/>
      <c r="AN73" s="208"/>
      <c r="AO73" s="208"/>
      <c r="AP73" s="208"/>
      <c r="AQ73" s="208"/>
      <c r="AR73" s="220"/>
      <c r="AS73" s="228"/>
      <c r="AT73" s="220"/>
      <c r="AU73" s="230"/>
      <c r="AV73" s="220"/>
      <c r="AW73" s="230"/>
      <c r="AX73" s="220"/>
    </row>
    <row r="74" spans="1:50" ht="14.25" customHeight="1">
      <c r="A74" s="55"/>
      <c r="B74" s="79" t="s">
        <v>604</v>
      </c>
      <c r="D74" s="208" t="str">
        <f>IF(ROUND(IS!D24,0)-ROUND(SUM(IS!D31:D32),0)=ROUND(IS!D33,0),"OK","ERROR")</f>
        <v>OK</v>
      </c>
      <c r="E74" s="208" t="str">
        <f>IF(ROUND(IS!E24,0)-ROUND(SUM(IS!E31:E32),0)=ROUND(IS!E33,0),"OK","ERROR")</f>
        <v>OK</v>
      </c>
      <c r="F74" s="208" t="str">
        <f>IF(ROUND(IS!F24,0)-ROUND(SUM(IS!F31:F32),0)=ROUND(IS!F33,0),"OK","ERROR")</f>
        <v>OK</v>
      </c>
      <c r="G74" s="208" t="str">
        <f>IF(ROUND(IS!G24,0)-ROUND(SUM(IS!G31:G32),0)=ROUND(IS!G33,0),"OK","ERROR")</f>
        <v>OK</v>
      </c>
      <c r="H74" s="226" t="str">
        <f>IF(ROUND(IS!H24,0)-ROUND(SUM(IS!H31:H32),0)=ROUND(IS!H33,0),"OK","ERROR")</f>
        <v>OK</v>
      </c>
      <c r="I74" s="210"/>
      <c r="J74" s="208" t="str">
        <f>IF(ROUND(IS!J24,0)-ROUND(SUM(IS!J31:J32),0)=ROUND(IS!J33,0),"OK","ERROR")</f>
        <v>OK</v>
      </c>
      <c r="K74" s="208" t="str">
        <f>IF(ROUND(IS!K24,0)-ROUND(SUM(IS!K31:K32),0)=ROUND(IS!K33,0),"OK","ERROR")</f>
        <v>OK</v>
      </c>
      <c r="L74" s="208" t="str">
        <f>IF(ROUND(IS!L24,0)-ROUND(SUM(IS!L31:L32),0)=ROUND(IS!L33,0),"OK","ERROR")</f>
        <v>OK</v>
      </c>
      <c r="M74" s="208" t="str">
        <f>IF(ROUND(IS!M24,0)-ROUND(SUM(IS!M31:M32),0)=ROUND(IS!M33,0),"OK","ERROR")</f>
        <v>OK</v>
      </c>
      <c r="N74" s="226" t="str">
        <f>IF(ROUND(IS!N24,0)-ROUND(SUM(IS!N31:N32),0)=ROUND(IS!N33,0),"OK","ERROR")</f>
        <v>OK</v>
      </c>
      <c r="O74" s="210"/>
      <c r="P74" s="208" t="str">
        <f>IF(ROUND(IS!P24,0)-ROUND(SUM(IS!P31:P32),0)=ROUND(IS!P33,0),"OK","ERROR")</f>
        <v>OK</v>
      </c>
      <c r="Q74" s="208" t="str">
        <f>IF(ROUND(IS!Q24,0)-ROUND(SUM(IS!Q31:Q32),0)=ROUND(IS!Q33,0),"OK","ERROR")</f>
        <v>OK</v>
      </c>
      <c r="R74" s="208" t="str">
        <f>IF(ROUND(IS!R24,0)-ROUND(SUM(IS!R31:R32),0)=ROUND(IS!R33,0),"OK","ERROR")</f>
        <v>OK</v>
      </c>
      <c r="S74" s="208" t="str">
        <f>IF(ROUND(IS!S24,0)-ROUND(SUM(IS!S31:S32),0)=ROUND(IS!S33,0),"OK","ERROR")</f>
        <v>OK</v>
      </c>
      <c r="T74" s="226" t="str">
        <f>IF(ROUND(IS!T24,0)-ROUND(SUM(IS!T31:T32),0)=ROUND(IS!T33,0),"OK","ERROR")</f>
        <v>OK</v>
      </c>
      <c r="U74" s="210"/>
      <c r="V74" s="208" t="str">
        <f>IF(ROUND(IS!V24,0)-ROUND(SUM(IS!V31:V32),0)=ROUND(IS!V33,0),"OK","ERROR")</f>
        <v>OK</v>
      </c>
      <c r="W74" s="208" t="str">
        <f>IF(ROUND(IS!W24,0)-ROUND(SUM(IS!W31:W32),0)=ROUND(IS!W33,0),"OK","ERROR")</f>
        <v>OK</v>
      </c>
      <c r="X74" s="208" t="str">
        <f>IF(ROUND(IS!X24,0)-ROUND(SUM(IS!X31:X32),0)=ROUND(IS!X33,0),"OK","ERROR")</f>
        <v>OK</v>
      </c>
      <c r="Y74" s="208" t="str">
        <f>IF(ROUND(IS!Y24,0)-ROUND(SUM(IS!Y31:Y32),0)=ROUND(IS!Y33,0),"OK","ERROR")</f>
        <v>OK</v>
      </c>
      <c r="Z74" s="226" t="str">
        <f>IF(ROUND(IS!Z24,0)-ROUND(SUM(IS!Z31:Z32),0)=ROUND(IS!Z33,0),"OK","ERROR")</f>
        <v>OK</v>
      </c>
      <c r="AA74" s="213"/>
      <c r="AB74" s="208" t="str">
        <f>IF(ROUND(IS!AB24,0)-ROUND(SUM(IS!AB31:AB32),0)=ROUND(IS!AB33,0),"OK","ERROR")</f>
        <v>OK</v>
      </c>
      <c r="AC74" s="208" t="str">
        <f>IF(ROUND(IS!AC24,0)-ROUND(SUM(IS!AC31:AC32),0)=ROUND(IS!AC33,0),"OK","ERROR")</f>
        <v>OK</v>
      </c>
      <c r="AD74" s="208" t="str">
        <f>IF(ROUND(IS!AD24,0)-ROUND(SUM(IS!AD31:AD32),0)=ROUND(IS!AD33,0),"OK","ERROR")</f>
        <v>OK</v>
      </c>
      <c r="AE74" s="208" t="str">
        <f>IF(ROUND(IS!AE24,0)-ROUND(SUM(IS!AE31:AE32),0)=ROUND(IS!AE33,0),"OK","ERROR")</f>
        <v>OK</v>
      </c>
      <c r="AF74" s="226" t="str">
        <f>IF(ROUND(IS!AF24,0)-ROUND(SUM(IS!AF31:AF32),0)=ROUND(IS!AF33,0),"OK","ERROR")</f>
        <v>OK</v>
      </c>
      <c r="AG74" s="211"/>
      <c r="AH74" s="208" t="str">
        <f>IF(ROUND(IS!AH24,0)-ROUND(SUM(IS!AH31:AH32),0)=ROUND(IS!AH33,0),"OK","ERROR")</f>
        <v>OK</v>
      </c>
      <c r="AI74" s="208" t="str">
        <f>IF(ROUND(IS!AI24,0)-ROUND(SUM(IS!AI31:AI32),0)=ROUND(IS!AI33,0),"OK","ERROR")</f>
        <v>OK</v>
      </c>
      <c r="AJ74" s="208" t="str">
        <f>IF(ROUND(IS!AJ24,0)-ROUND(SUM(IS!AJ31:AJ32),0)=ROUND(IS!AJ33,0),"OK","ERROR")</f>
        <v>OK</v>
      </c>
      <c r="AK74" s="208" t="str">
        <f>IF(ROUND(IS!AK24,0)-ROUND(SUM(IS!AK31:AK32),0)=ROUND(IS!AK33,0),"OK","ERROR")</f>
        <v>OK</v>
      </c>
      <c r="AL74" s="226" t="str">
        <f>IF(ROUND(IS!AL24,0)-ROUND(SUM(IS!AL31:AL32),0)=ROUND(IS!AL33,0),"OK","ERROR")</f>
        <v>OK</v>
      </c>
      <c r="AM74" s="224"/>
      <c r="AN74" s="208" t="str">
        <f>IF(ROUND(IS!AN24,0)-ROUND(SUM(IS!AN31:AN32),0)=ROUND(IS!AN33,0),"OK","ERROR")</f>
        <v>OK</v>
      </c>
      <c r="AO74" s="208" t="str">
        <f>IF(ROUND(IS!AO24,0)-ROUND(SUM(IS!AO31:AO32),0)=ROUND(IS!AO33,0),"OK","ERROR")</f>
        <v>OK</v>
      </c>
      <c r="AP74" s="208" t="str">
        <f>IF(ROUND(IS!AP24,0)-ROUND(SUM(IS!AP31:AP32),0)=ROUND(IS!AP33,0),"OK","ERROR")</f>
        <v>OK</v>
      </c>
      <c r="AQ74" s="208" t="str">
        <f>IF(ROUND(IS!AQ24,0)-ROUND(SUM(IS!AQ31:AQ32),0)=ROUND(IS!AQ33,0),"OK","ERROR")</f>
        <v>OK</v>
      </c>
      <c r="AR74" s="226" t="str">
        <f>IF(ROUND(IS!AR24,0)-ROUND(SUM(IS!AR31:AR32),0)=ROUND(IS!AR33,0),"OK","ERROR")</f>
        <v>OK</v>
      </c>
      <c r="AS74" s="224"/>
      <c r="AT74" s="226" t="str">
        <f>IF(ROUND(IS!AT24,0)-ROUND(SUM(IS!AT31:AT32),0)=ROUND(IS!AT33,0),"OK","ERROR")</f>
        <v>OK</v>
      </c>
      <c r="AU74" s="225"/>
      <c r="AV74" s="226" t="str">
        <f>IF(ROUND(IS!AV24,0)-ROUND(SUM(IS!AV31:AV32),0)=ROUND(IS!AV33,0),"OK","ERROR")</f>
        <v>OK</v>
      </c>
      <c r="AW74" s="225"/>
      <c r="AX74" s="226" t="str">
        <f>IF(ROUND(IS!AX24,0)-ROUND(SUM(IS!AX31:AX32),0)=ROUND(IS!AX33,0),"OK","ERROR")</f>
        <v>OK</v>
      </c>
    </row>
    <row r="75" spans="1:50" ht="14.25" customHeight="1">
      <c r="A75" s="73"/>
      <c r="B75" s="73"/>
      <c r="D75" s="208"/>
      <c r="E75" s="208"/>
      <c r="F75" s="208"/>
      <c r="G75" s="208"/>
      <c r="H75" s="220"/>
      <c r="I75" s="210"/>
      <c r="J75" s="208"/>
      <c r="K75" s="208"/>
      <c r="L75" s="208"/>
      <c r="M75" s="208"/>
      <c r="N75" s="220"/>
      <c r="O75" s="210"/>
      <c r="P75" s="208"/>
      <c r="Q75" s="208"/>
      <c r="R75" s="208"/>
      <c r="S75" s="208"/>
      <c r="T75" s="220"/>
      <c r="U75" s="210"/>
      <c r="V75" s="208"/>
      <c r="W75" s="208"/>
      <c r="X75" s="208"/>
      <c r="Y75" s="208"/>
      <c r="Z75" s="220"/>
      <c r="AA75" s="228"/>
      <c r="AB75" s="208"/>
      <c r="AC75" s="208"/>
      <c r="AD75" s="208"/>
      <c r="AE75" s="208"/>
      <c r="AF75" s="220"/>
      <c r="AG75" s="229"/>
      <c r="AH75" s="208"/>
      <c r="AI75" s="208"/>
      <c r="AJ75" s="208"/>
      <c r="AK75" s="208"/>
      <c r="AL75" s="220"/>
      <c r="AM75" s="233"/>
      <c r="AN75" s="208"/>
      <c r="AO75" s="208"/>
      <c r="AP75" s="208"/>
      <c r="AQ75" s="208"/>
      <c r="AR75" s="220"/>
      <c r="AS75" s="233"/>
      <c r="AT75" s="220"/>
      <c r="AU75" s="234"/>
      <c r="AV75" s="220"/>
      <c r="AW75" s="234"/>
      <c r="AX75" s="220"/>
    </row>
    <row r="76" spans="1:50" ht="14.25" customHeight="1">
      <c r="A76" s="44" t="s">
        <v>38</v>
      </c>
      <c r="B76" s="65" t="s">
        <v>605</v>
      </c>
      <c r="D76" s="208"/>
      <c r="E76" s="208"/>
      <c r="F76" s="208"/>
      <c r="G76" s="208"/>
      <c r="H76" s="220"/>
      <c r="I76" s="210"/>
      <c r="J76" s="208"/>
      <c r="K76" s="208"/>
      <c r="L76" s="208"/>
      <c r="M76" s="208"/>
      <c r="N76" s="220"/>
      <c r="O76" s="210"/>
      <c r="P76" s="208"/>
      <c r="Q76" s="208"/>
      <c r="R76" s="208"/>
      <c r="S76" s="208"/>
      <c r="T76" s="220"/>
      <c r="U76" s="210"/>
      <c r="V76" s="208"/>
      <c r="W76" s="208"/>
      <c r="X76" s="208"/>
      <c r="Y76" s="208"/>
      <c r="Z76" s="220"/>
      <c r="AA76" s="213"/>
      <c r="AB76" s="208"/>
      <c r="AC76" s="208"/>
      <c r="AD76" s="208"/>
      <c r="AE76" s="208"/>
      <c r="AF76" s="220"/>
      <c r="AG76" s="211"/>
      <c r="AH76" s="208"/>
      <c r="AI76" s="208"/>
      <c r="AJ76" s="208"/>
      <c r="AK76" s="208"/>
      <c r="AL76" s="220"/>
      <c r="AM76" s="224"/>
      <c r="AN76" s="208"/>
      <c r="AO76" s="208"/>
      <c r="AP76" s="208"/>
      <c r="AQ76" s="208"/>
      <c r="AR76" s="220"/>
      <c r="AS76" s="224"/>
      <c r="AT76" s="220"/>
      <c r="AU76" s="225"/>
      <c r="AV76" s="220"/>
      <c r="AW76" s="225"/>
      <c r="AX76" s="220"/>
    </row>
    <row r="77" spans="1:50" ht="14.25" customHeight="1">
      <c r="A77" s="84"/>
      <c r="B77" s="90" t="s">
        <v>535</v>
      </c>
      <c r="D77" s="208" t="str">
        <f>IF(ROUND(IS!D33,0)-ROUND(IS!D41,0)=ROUND(IS!D42,0),"OK","ERROR")</f>
        <v>OK</v>
      </c>
      <c r="E77" s="208" t="str">
        <f>IF(ROUND(IS!E33,0)-ROUND(IS!E41,0)=ROUND(IS!E42,0),"OK","ERROR")</f>
        <v>OK</v>
      </c>
      <c r="F77" s="208" t="str">
        <f>IF(ROUND(IS!F33,0)-ROUND(IS!F41,0)=ROUND(IS!F42,0),"OK","ERROR")</f>
        <v>OK</v>
      </c>
      <c r="G77" s="208" t="str">
        <f>IF(ROUND(IS!G33,0)-ROUND(IS!G41,0)=ROUND(IS!G42,0),"OK","ERROR")</f>
        <v>OK</v>
      </c>
      <c r="H77" s="227" t="str">
        <f>IF(ROUND(IS!H33,0)-ROUND(IS!H41,0)=ROUND(IS!H42,0),"OK","ERROR")</f>
        <v>OK</v>
      </c>
      <c r="I77" s="210"/>
      <c r="J77" s="208" t="str">
        <f>IF(ROUND(IS!J33,0)-ROUND(IS!J41,0)=ROUND(IS!J42,0),"OK","ERROR")</f>
        <v>OK</v>
      </c>
      <c r="K77" s="208" t="str">
        <f>IF(ROUND(IS!K33,0)-ROUND(IS!K41,0)=ROUND(IS!K42,0),"OK","ERROR")</f>
        <v>OK</v>
      </c>
      <c r="L77" s="208" t="str">
        <f>IF(ROUND(IS!L33,0)-ROUND(IS!L41,0)=ROUND(IS!L42,0),"OK","ERROR")</f>
        <v>OK</v>
      </c>
      <c r="M77" s="208" t="str">
        <f>IF(ROUND(IS!M33,0)-ROUND(IS!M41,0)=ROUND(IS!M42,0),"OK","ERROR")</f>
        <v>OK</v>
      </c>
      <c r="N77" s="227" t="str">
        <f>IF(ROUND(IS!N33,0)-ROUND(IS!N41,0)=ROUND(IS!N42,0),"OK","ERROR")</f>
        <v>OK</v>
      </c>
      <c r="O77" s="210"/>
      <c r="P77" s="208" t="str">
        <f>IF(ROUND(IS!P33,0)-ROUND(IS!P41,0)=ROUND(IS!P42,0),"OK","ERROR")</f>
        <v>OK</v>
      </c>
      <c r="Q77" s="208" t="str">
        <f>IF(ROUND(IS!Q33,0)-ROUND(IS!Q41,0)=ROUND(IS!Q42,0),"OK","ERROR")</f>
        <v>OK</v>
      </c>
      <c r="R77" s="208" t="str">
        <f>IF(ROUND(IS!R33,0)-ROUND(IS!R41,0)=ROUND(IS!R42,0),"OK","ERROR")</f>
        <v>OK</v>
      </c>
      <c r="S77" s="208" t="str">
        <f>IF(ROUND(IS!S33,0)-ROUND(IS!S41,0)=ROUND(IS!S42,0),"OK","ERROR")</f>
        <v>OK</v>
      </c>
      <c r="T77" s="227" t="str">
        <f>IF(ROUND(IS!T33,0)-ROUND(IS!T41,0)=ROUND(IS!T42,0),"OK","ERROR")</f>
        <v>ERROR</v>
      </c>
      <c r="U77" s="210"/>
      <c r="V77" s="208" t="str">
        <f>IF(ROUND(IS!V33,0)-ROUND(IS!V41,0)=ROUND(IS!V42,0),"OK","ERROR")</f>
        <v>OK</v>
      </c>
      <c r="W77" s="208" t="str">
        <f>IF(ROUND(IS!W33,0)-ROUND(IS!W41,0)=ROUND(IS!W42,0),"OK","ERROR")</f>
        <v>OK</v>
      </c>
      <c r="X77" s="208" t="str">
        <f>IF(ROUND(IS!X33,0)-ROUND(IS!X41,0)=ROUND(IS!X42,0),"OK","ERROR")</f>
        <v>OK</v>
      </c>
      <c r="Y77" s="208" t="str">
        <f>IF(ROUND(IS!Y33,0)-ROUND(IS!Y41,0)=ROUND(IS!Y42,0),"OK","ERROR")</f>
        <v>OK</v>
      </c>
      <c r="Z77" s="227" t="str">
        <f>IF(ROUND(IS!Z33,0)-ROUND(IS!Z41,0)=ROUND(IS!Z42,0),"OK","ERROR")</f>
        <v>OK</v>
      </c>
      <c r="AA77" s="213"/>
      <c r="AB77" s="208" t="str">
        <f>IF(ROUND(IS!AB33,0)-ROUND(IS!AB41,0)=ROUND(IS!AB42,0),"OK","ERROR")</f>
        <v>OK</v>
      </c>
      <c r="AC77" s="208" t="str">
        <f>IF(ROUND(IS!AC33,0)-ROUND(IS!AC41,0)=ROUND(IS!AC42,0),"OK","ERROR")</f>
        <v>OK</v>
      </c>
      <c r="AD77" s="208" t="str">
        <f>IF(ROUND(IS!AD33,0)-ROUND(IS!AD41,0)=ROUND(IS!AD42,0),"OK","ERROR")</f>
        <v>OK</v>
      </c>
      <c r="AE77" s="208" t="str">
        <f>IF(ROUND(IS!AE33,0)-ROUND(IS!AE41,0)=ROUND(IS!AE42,0),"OK","ERROR")</f>
        <v>OK</v>
      </c>
      <c r="AF77" s="227" t="str">
        <f>IF(ROUND(IS!AF33,0)-ROUND(IS!AF41,0)=ROUND(IS!AF42,0),"OK","ERROR")</f>
        <v>OK</v>
      </c>
      <c r="AG77" s="211"/>
      <c r="AH77" s="208" t="str">
        <f>IF(ROUND(IS!AH33,0)-ROUND(IS!AH41,0)=ROUND(IS!AH42,0),"OK","ERROR")</f>
        <v>OK</v>
      </c>
      <c r="AI77" s="208" t="str">
        <f>IF(ROUND(IS!AI33,0)-ROUND(IS!AI41,0)=ROUND(IS!AI42,0),"OK","ERROR")</f>
        <v>OK</v>
      </c>
      <c r="AJ77" s="208" t="str">
        <f>IF(ROUND(IS!AJ33,0)-ROUND(IS!AJ41,0)=ROUND(IS!AJ42,0),"OK","ERROR")</f>
        <v>OK</v>
      </c>
      <c r="AK77" s="208" t="str">
        <f>IF(ROUND(IS!AK33,0)-ROUND(IS!AK41,0)=ROUND(IS!AK42,0),"OK","ERROR")</f>
        <v>OK</v>
      </c>
      <c r="AL77" s="227" t="str">
        <f>IF(ROUND(IS!AL33,0)-ROUND(IS!AL41,0)=ROUND(IS!AL42,0),"OK","ERROR")</f>
        <v>OK</v>
      </c>
      <c r="AM77" s="213"/>
      <c r="AN77" s="208" t="str">
        <f>IF(ROUND(IS!AN33,0)-ROUND(IS!AN41,0)=ROUND(IS!AN42,0),"OK","ERROR")</f>
        <v>OK</v>
      </c>
      <c r="AO77" s="208" t="str">
        <f>IF(ROUND(IS!AO33,0)-ROUND(IS!AO41,0)=ROUND(IS!AO42,0),"OK","ERROR")</f>
        <v>OK</v>
      </c>
      <c r="AP77" s="208" t="str">
        <f>IF(ROUND(IS!AP33,0)-ROUND(IS!AP41,0)=ROUND(IS!AP42,0),"OK","ERROR")</f>
        <v>OK</v>
      </c>
      <c r="AQ77" s="208" t="str">
        <f>IF(ROUND(IS!AQ33,0)-ROUND(IS!AQ41,0)=ROUND(IS!AQ42,0),"OK","ERROR")</f>
        <v>OK</v>
      </c>
      <c r="AR77" s="227" t="str">
        <f>IF(ROUND(IS!AR33,0)-ROUND(IS!AR41,0)=ROUND(IS!AR42,0),"OK","ERROR")</f>
        <v>OK</v>
      </c>
      <c r="AS77" s="213"/>
      <c r="AT77" s="227" t="str">
        <f>IF(ROUND(IS!AT33,0)-ROUND(IS!AT41,0)=ROUND(IS!AT42,0),"OK","ERROR")</f>
        <v>OK</v>
      </c>
      <c r="AU77" s="215"/>
      <c r="AV77" s="227" t="str">
        <f>IF(ROUND(IS!AV33,0)-ROUND(IS!AV41,0)=ROUND(IS!AV42,0),"OK","ERROR")</f>
        <v>OK</v>
      </c>
      <c r="AW77" s="215"/>
      <c r="AX77" s="227" t="str">
        <f>IF(ROUND(IS!AX33,0)-ROUND(IS!AX41,0)=ROUND(IS!AX42,0),"OK","ERROR")</f>
        <v>OK</v>
      </c>
    </row>
    <row r="78" spans="1:50" ht="14.25" customHeight="1">
      <c r="A78" s="73"/>
      <c r="B78" s="76"/>
      <c r="D78" s="208"/>
      <c r="E78" s="208"/>
      <c r="F78" s="208"/>
      <c r="G78" s="208"/>
      <c r="H78" s="220"/>
      <c r="I78" s="210"/>
      <c r="J78" s="208"/>
      <c r="K78" s="208"/>
      <c r="L78" s="208"/>
      <c r="M78" s="208"/>
      <c r="N78" s="220"/>
      <c r="O78" s="210"/>
      <c r="P78" s="208"/>
      <c r="Q78" s="208"/>
      <c r="R78" s="208"/>
      <c r="S78" s="208"/>
      <c r="T78" s="220"/>
      <c r="U78" s="210"/>
      <c r="V78" s="208"/>
      <c r="W78" s="208"/>
      <c r="X78" s="208"/>
      <c r="Y78" s="208"/>
      <c r="Z78" s="220"/>
      <c r="AA78" s="213"/>
      <c r="AB78" s="208"/>
      <c r="AC78" s="208"/>
      <c r="AD78" s="208"/>
      <c r="AE78" s="208"/>
      <c r="AF78" s="220"/>
      <c r="AG78" s="211"/>
      <c r="AH78" s="208"/>
      <c r="AI78" s="208"/>
      <c r="AJ78" s="208"/>
      <c r="AK78" s="208"/>
      <c r="AL78" s="220"/>
      <c r="AM78" s="213"/>
      <c r="AN78" s="208"/>
      <c r="AO78" s="208"/>
      <c r="AP78" s="208"/>
      <c r="AQ78" s="208"/>
      <c r="AR78" s="220"/>
      <c r="AS78" s="213"/>
      <c r="AT78" s="220"/>
      <c r="AU78" s="215"/>
      <c r="AV78" s="220"/>
      <c r="AW78" s="215"/>
      <c r="AX78" s="220"/>
    </row>
    <row r="79" spans="1:50" ht="14.25" customHeight="1">
      <c r="A79" s="44" t="s">
        <v>38</v>
      </c>
      <c r="B79" s="65" t="s">
        <v>612</v>
      </c>
      <c r="D79" s="208"/>
      <c r="E79" s="208"/>
      <c r="F79" s="208"/>
      <c r="G79" s="208"/>
      <c r="H79" s="220"/>
      <c r="I79" s="210"/>
      <c r="J79" s="208"/>
      <c r="K79" s="208"/>
      <c r="L79" s="208"/>
      <c r="M79" s="208"/>
      <c r="N79" s="220"/>
      <c r="O79" s="210"/>
      <c r="P79" s="208"/>
      <c r="Q79" s="208"/>
      <c r="R79" s="208"/>
      <c r="S79" s="208"/>
      <c r="T79" s="220"/>
      <c r="U79" s="210"/>
      <c r="V79" s="208"/>
      <c r="W79" s="208"/>
      <c r="X79" s="208"/>
      <c r="Y79" s="208"/>
      <c r="Z79" s="220"/>
      <c r="AA79" s="213"/>
      <c r="AB79" s="208"/>
      <c r="AC79" s="208"/>
      <c r="AD79" s="208"/>
      <c r="AE79" s="208"/>
      <c r="AF79" s="220"/>
      <c r="AG79" s="211"/>
      <c r="AH79" s="208"/>
      <c r="AI79" s="208"/>
      <c r="AJ79" s="208"/>
      <c r="AK79" s="208"/>
      <c r="AL79" s="220"/>
      <c r="AM79" s="213"/>
      <c r="AN79" s="208"/>
      <c r="AO79" s="208"/>
      <c r="AP79" s="208"/>
      <c r="AQ79" s="208"/>
      <c r="AR79" s="220"/>
      <c r="AS79" s="213"/>
      <c r="AT79" s="220"/>
      <c r="AU79" s="215"/>
      <c r="AV79" s="220"/>
      <c r="AW79" s="215"/>
      <c r="AX79" s="220"/>
    </row>
    <row r="80" spans="1:50" ht="14.25" customHeight="1" thickBot="1">
      <c r="A80" s="73"/>
      <c r="B80" s="70" t="s">
        <v>614</v>
      </c>
      <c r="D80" s="208" t="str">
        <f>IF(ROUND(IS!D42,0)-ROUND(SUM(IS!D45:D46),0)=ROUND(IS!D47,0),"OK","ERROR")</f>
        <v>OK</v>
      </c>
      <c r="E80" s="208" t="str">
        <f>IF(ROUND(IS!E42,0)-ROUND(SUM(IS!E45:E46),0)=ROUND(IS!E47,0),"OK","ERROR")</f>
        <v>OK</v>
      </c>
      <c r="F80" s="208" t="str">
        <f>IF(ROUND(IS!F42,0)-ROUND(SUM(IS!F45:F46),0)=ROUND(IS!F47,0),"OK","ERROR")</f>
        <v>OK</v>
      </c>
      <c r="G80" s="208" t="str">
        <f>IF(ROUND(IS!G42,0)-ROUND(SUM(IS!G45:G46),0)=ROUND(IS!G47,0),"OK","ERROR")</f>
        <v>OK</v>
      </c>
      <c r="H80" s="237" t="str">
        <f>IF(ROUND(IS!H42,0)-ROUND(SUM(IS!H45:H46),0)=ROUND(IS!H47,0),"OK","ERROR")</f>
        <v>OK</v>
      </c>
      <c r="I80" s="210"/>
      <c r="J80" s="208" t="str">
        <f>IF(ROUND(IS!J42,0)-ROUND(SUM(IS!J45:J46),0)=ROUND(IS!J47,0),"OK","ERROR")</f>
        <v>OK</v>
      </c>
      <c r="K80" s="208" t="str">
        <f>IF(ROUND(IS!K42,0)-ROUND(SUM(IS!K45:K46),0)=ROUND(IS!K47,0),"OK","ERROR")</f>
        <v>OK</v>
      </c>
      <c r="L80" s="208" t="str">
        <f>IF(ROUND(IS!L42,0)-ROUND(SUM(IS!L45:L46),0)=ROUND(IS!L47,0),"OK","ERROR")</f>
        <v>ERROR</v>
      </c>
      <c r="M80" s="208" t="str">
        <f>IF(ROUND(IS!M42,0)-ROUND(SUM(IS!M45:M46),0)=ROUND(IS!M47,0),"OK","ERROR")</f>
        <v>OK</v>
      </c>
      <c r="N80" s="237" t="str">
        <f>IF(ROUND(IS!N42,0)-ROUND(SUM(IS!N45:N46),0)=ROUND(IS!N47,0),"OK","ERROR")</f>
        <v>ERROR</v>
      </c>
      <c r="O80" s="210"/>
      <c r="P80" s="208" t="str">
        <f>IF(ROUND(IS!P42,0)-ROUND(SUM(IS!P45:P46),0)=ROUND(IS!P47,0),"OK","ERROR")</f>
        <v>OK</v>
      </c>
      <c r="Q80" s="208" t="str">
        <f>IF(ROUND(IS!Q42,0)-ROUND(SUM(IS!Q45:Q46),0)=ROUND(IS!Q47,0),"OK","ERROR")</f>
        <v>OK</v>
      </c>
      <c r="R80" s="208" t="str">
        <f>IF(ROUND(IS!R42,0)-ROUND(SUM(IS!R45:R46),0)=ROUND(IS!R47,0),"OK","ERROR")</f>
        <v>OK</v>
      </c>
      <c r="S80" s="208" t="str">
        <f>IF(ROUND(IS!S42,0)-ROUND(SUM(IS!S45:S46),0)=ROUND(IS!S47,0),"OK","ERROR")</f>
        <v>OK</v>
      </c>
      <c r="T80" s="237" t="str">
        <f>IF(ROUND(IS!T42,0)-ROUND(SUM(IS!T45:T46),0)=ROUND(IS!T47,0),"OK","ERROR")</f>
        <v>ERROR</v>
      </c>
      <c r="U80" s="210"/>
      <c r="V80" s="208" t="str">
        <f>IF(ROUND(IS!V42,0)-ROUND(SUM(IS!V45:V46),0)=ROUND(IS!V47,0),"OK","ERROR")</f>
        <v>OK</v>
      </c>
      <c r="W80" s="208" t="str">
        <f>IF(ROUND(IS!W42,0)-ROUND(SUM(IS!W45:W46),0)=ROUND(IS!W47,0),"OK","ERROR")</f>
        <v>OK</v>
      </c>
      <c r="X80" s="208" t="str">
        <f>IF(ROUND(IS!X42,0)-ROUND(SUM(IS!X45:X46),0)=ROUND(IS!X47,0),"OK","ERROR")</f>
        <v>OK</v>
      </c>
      <c r="Y80" s="208" t="str">
        <f>IF(ROUND(IS!Y42,0)-ROUND(SUM(IS!Y45:Y46),0)=ROUND(IS!Y47,0),"OK","ERROR")</f>
        <v>OK</v>
      </c>
      <c r="Z80" s="237" t="str">
        <f>IF(ROUND(IS!Z42,0)-ROUND(SUM(IS!Z45:Z46),0)=ROUND(IS!Z47,0),"OK","ERROR")</f>
        <v>ERROR</v>
      </c>
      <c r="AA80" s="213"/>
      <c r="AB80" s="208" t="str">
        <f>IF(ROUND(IS!AB42,0)-ROUND(SUM(IS!AB45:AB46),0)=ROUND(IS!AB47,0),"OK","ERROR")</f>
        <v>OK</v>
      </c>
      <c r="AC80" s="208" t="str">
        <f>IF(ROUND(IS!AC42,0)-ROUND(SUM(IS!AC45:AC46),0)=ROUND(IS!AC47,0),"OK","ERROR")</f>
        <v>OK</v>
      </c>
      <c r="AD80" s="208" t="str">
        <f>IF(ROUND(IS!AD42,0)-ROUND(SUM(IS!AD45:AD46),0)=ROUND(IS!AD47,0),"OK","ERROR")</f>
        <v>OK</v>
      </c>
      <c r="AE80" s="208" t="str">
        <f>IF(ROUND(IS!AE42,0)-ROUND(SUM(IS!AE45:AE46),0)=ROUND(IS!AE47,0),"OK","ERROR")</f>
        <v>OK</v>
      </c>
      <c r="AF80" s="237" t="str">
        <f>IF(ROUND(IS!AF42,0)-ROUND(SUM(IS!AF45:AF46),0)=ROUND(IS!AF47,0),"OK","ERROR")</f>
        <v>ERROR</v>
      </c>
      <c r="AG80" s="211"/>
      <c r="AH80" s="208" t="str">
        <f>IF(ROUND(IS!AH42,0)-ROUND(SUM(IS!AH45:AH46),0)=ROUND(IS!AH47,0),"OK","ERROR")</f>
        <v>OK</v>
      </c>
      <c r="AI80" s="208" t="str">
        <f>IF(ROUND(IS!AI42,0)-ROUND(SUM(IS!AI45:AI46),0)=ROUND(IS!AI47,0),"OK","ERROR")</f>
        <v>OK</v>
      </c>
      <c r="AJ80" s="208" t="str">
        <f>IF(ROUND(IS!AJ42,0)-ROUND(SUM(IS!AJ45:AJ46),0)=ROUND(IS!AJ47,0),"OK","ERROR")</f>
        <v>OK</v>
      </c>
      <c r="AK80" s="208" t="str">
        <f>IF(ROUND(IS!AK42,0)-ROUND(SUM(IS!AK45:AK46),0)=ROUND(IS!AK47,0),"OK","ERROR")</f>
        <v>OK</v>
      </c>
      <c r="AL80" s="237" t="str">
        <f>IF(ROUND(IS!AL42,0)-ROUND(SUM(IS!AL45:AL46),0)=ROUND(IS!AL47,0),"OK","ERROR")</f>
        <v>OK</v>
      </c>
      <c r="AM80" s="236"/>
      <c r="AN80" s="208" t="str">
        <f>IF(ROUND(IS!AN42,0)-ROUND(SUM(IS!AN45:AN46),0)=ROUND(IS!AN47,0),"OK","ERROR")</f>
        <v>OK</v>
      </c>
      <c r="AO80" s="208" t="str">
        <f>IF(ROUND(IS!AO42,0)-ROUND(SUM(IS!AO45:AO46),0)=ROUND(IS!AO47,0),"OK","ERROR")</f>
        <v>OK</v>
      </c>
      <c r="AP80" s="208" t="str">
        <f>IF(ROUND(IS!AP42,0)-ROUND(SUM(IS!AP45:AP46),0)=ROUND(IS!AP47,0),"OK","ERROR")</f>
        <v>OK</v>
      </c>
      <c r="AQ80" s="208" t="str">
        <f>IF(ROUND(IS!AQ42,0)-ROUND(SUM(IS!AQ45:AQ46),0)=ROUND(IS!AQ47,0),"OK","ERROR")</f>
        <v>OK</v>
      </c>
      <c r="AR80" s="237" t="str">
        <f>IF(ROUND(IS!AR42,0)-ROUND(SUM(IS!AR45:AR46),0)=ROUND(IS!AR47,0),"OK","ERROR")</f>
        <v>OK</v>
      </c>
      <c r="AS80" s="213"/>
      <c r="AT80" s="237" t="str">
        <f>IF(ROUND(IS!AT42,0)-ROUND(SUM(IS!AT45:AT46),0)=ROUND(IS!AT47,0),"OK","ERROR")</f>
        <v>OK</v>
      </c>
      <c r="AU80" s="215"/>
      <c r="AV80" s="237" t="str">
        <f>IF(ROUND(IS!AV42,0)-ROUND(SUM(IS!AV45:AV46),0)=ROUND(IS!AV47,0),"OK","ERROR")</f>
        <v>OK</v>
      </c>
      <c r="AW80" s="215"/>
      <c r="AX80" s="237" t="str">
        <f>IF(ROUND(IS!AX42,0)-ROUND(SUM(IS!AX45:AX46),0)=ROUND(IS!AX47,0),"OK","ERROR")</f>
        <v>OK</v>
      </c>
    </row>
    <row r="82" spans="1:50" ht="14.25" customHeight="1">
      <c r="A82" s="44" t="s">
        <v>38</v>
      </c>
      <c r="B82" s="65" t="s">
        <v>615</v>
      </c>
      <c r="D82" s="208"/>
      <c r="E82" s="208"/>
      <c r="F82" s="208"/>
      <c r="G82" s="208"/>
      <c r="H82" s="220"/>
      <c r="I82" s="210"/>
      <c r="J82" s="208"/>
      <c r="K82" s="208"/>
      <c r="L82" s="208"/>
      <c r="M82" s="208"/>
      <c r="N82" s="220"/>
      <c r="O82" s="210"/>
      <c r="P82" s="208"/>
      <c r="Q82" s="208"/>
      <c r="R82" s="208"/>
      <c r="S82" s="208"/>
      <c r="T82" s="220"/>
      <c r="U82" s="210"/>
      <c r="V82" s="208"/>
      <c r="W82" s="208"/>
      <c r="X82" s="208"/>
      <c r="Y82" s="208"/>
      <c r="Z82" s="220"/>
      <c r="AA82" s="210"/>
      <c r="AB82" s="208"/>
      <c r="AC82" s="208"/>
      <c r="AD82" s="208"/>
      <c r="AE82" s="208"/>
      <c r="AF82" s="220"/>
      <c r="AG82" s="238"/>
      <c r="AH82" s="208"/>
      <c r="AI82" s="208"/>
      <c r="AJ82" s="208"/>
      <c r="AK82" s="208"/>
      <c r="AL82" s="220"/>
      <c r="AM82" s="210"/>
      <c r="AN82" s="208"/>
      <c r="AO82" s="208"/>
      <c r="AP82" s="208"/>
      <c r="AQ82" s="208"/>
      <c r="AR82" s="220"/>
      <c r="AS82" s="210"/>
      <c r="AT82" s="220"/>
      <c r="AU82" s="239"/>
      <c r="AV82" s="220"/>
      <c r="AW82" s="239"/>
      <c r="AX82" s="220"/>
    </row>
    <row r="83" spans="1:50" ht="14.25" customHeight="1" thickBot="1">
      <c r="A83" s="73"/>
      <c r="B83" s="76" t="s">
        <v>618</v>
      </c>
      <c r="D83" s="208" t="str">
        <f>IF(ROUND(IS!D47,0)-ROUND(SUM(IS!D50:D51),0)=ROUND(IS!D52,0),"OK","ERROR")</f>
        <v>OK</v>
      </c>
      <c r="E83" s="208" t="str">
        <f>IF(ROUND(IS!E47,0)-ROUND(SUM(IS!E50:E51),0)=ROUND(IS!E52,0),"OK","ERROR")</f>
        <v>OK</v>
      </c>
      <c r="F83" s="208" t="str">
        <f>IF(ROUND(IS!F47,0)-ROUND(SUM(IS!F50:F51),0)=ROUND(IS!F52,0),"OK","ERROR")</f>
        <v>OK</v>
      </c>
      <c r="G83" s="208" t="str">
        <f>IF(ROUND(IS!G47,0)-ROUND(SUM(IS!G50:G51),0)=ROUND(IS!G52,0),"OK","ERROR")</f>
        <v>OK</v>
      </c>
      <c r="H83" s="237" t="str">
        <f>IF(ROUND(IS!H47,0)-ROUND(SUM(IS!H50:H51),0)=ROUND(IS!H52,0),"OK","ERROR")</f>
        <v>ERROR</v>
      </c>
      <c r="I83" s="210"/>
      <c r="J83" s="208" t="str">
        <f>IF(ROUND(IS!J47,0)-ROUND(SUM(IS!J50:J51),0)=ROUND(IS!J52,0),"OK","ERROR")</f>
        <v>OK</v>
      </c>
      <c r="K83" s="208" t="str">
        <f>IF(ROUND(IS!K47,0)-ROUND(SUM(IS!K50:K51),0)=ROUND(IS!K52,0),"OK","ERROR")</f>
        <v>OK</v>
      </c>
      <c r="L83" s="208" t="str">
        <f>IF(ROUND(IS!L47,0)-ROUND(SUM(IS!L50:L51),0)=ROUND(IS!L52,0),"OK","ERROR")</f>
        <v>OK</v>
      </c>
      <c r="M83" s="208" t="str">
        <f>IF(ROUND(IS!M47,0)-ROUND(SUM(IS!M50:M51),0)=ROUND(IS!M52,0),"OK","ERROR")</f>
        <v>OK</v>
      </c>
      <c r="N83" s="237" t="str">
        <f>IF(ROUND(IS!N47,0)-ROUND(SUM(IS!N50:N51),0)=ROUND(IS!N52,0),"OK","ERROR")</f>
        <v>ERROR</v>
      </c>
      <c r="O83" s="210"/>
      <c r="P83" s="208" t="str">
        <f>IF(ROUND(IS!P47,0)-ROUND(SUM(IS!P50:P51),0)=ROUND(IS!P52,0),"OK","ERROR")</f>
        <v>OK</v>
      </c>
      <c r="Q83" s="208" t="str">
        <f>IF(ROUND(IS!Q47,0)-ROUND(SUM(IS!Q50:Q51),0)=ROUND(IS!Q52,0),"OK","ERROR")</f>
        <v>OK</v>
      </c>
      <c r="R83" s="208" t="str">
        <f>IF(ROUND(IS!R47,0)-ROUND(SUM(IS!R50:R51),0)=ROUND(IS!R52,0),"OK","ERROR")</f>
        <v>OK</v>
      </c>
      <c r="S83" s="208" t="str">
        <f>IF(ROUND(IS!S47,0)-ROUND(SUM(IS!S50:S51),0)=ROUND(IS!S52,0),"OK","ERROR")</f>
        <v>OK</v>
      </c>
      <c r="T83" s="237" t="str">
        <f>IF(ROUND(IS!T47,0)-ROUND(SUM(IS!T50:T51),0)=ROUND(IS!T52,0),"OK","ERROR")</f>
        <v>OK</v>
      </c>
      <c r="U83" s="210"/>
      <c r="V83" s="208" t="str">
        <f>IF(ROUND(IS!V47,0)-ROUND(SUM(IS!V50:V51),0)=ROUND(IS!V52,0),"OK","ERROR")</f>
        <v>OK</v>
      </c>
      <c r="W83" s="208" t="str">
        <f>IF(ROUND(IS!W47,0)-ROUND(SUM(IS!W50:W51),0)=ROUND(IS!W52,0),"OK","ERROR")</f>
        <v>OK</v>
      </c>
      <c r="X83" s="208" t="str">
        <f>IF(ROUND(IS!X47,0)-ROUND(SUM(IS!X50:X51),0)=ROUND(IS!X52,0),"OK","ERROR")</f>
        <v>OK</v>
      </c>
      <c r="Y83" s="208" t="str">
        <f>IF(ROUND(IS!Y47,0)-ROUND(SUM(IS!Y50:Y51),0)=ROUND(IS!Y52,0),"OK","ERROR")</f>
        <v>OK</v>
      </c>
      <c r="Z83" s="237" t="str">
        <f>IF(ROUND(IS!Z47,0)-ROUND(SUM(IS!Z50:Z51),0)=ROUND(IS!Z52,0),"OK","ERROR")</f>
        <v>OK</v>
      </c>
      <c r="AA83" s="210"/>
      <c r="AB83" s="208" t="str">
        <f>IF(ROUND(IS!AB47,0)-ROUND(SUM(IS!AB50:AB51),0)=ROUND(IS!AB52,0),"OK","ERROR")</f>
        <v>OK</v>
      </c>
      <c r="AC83" s="208" t="str">
        <f>IF(ROUND(IS!AC47,0)-ROUND(SUM(IS!AC50:AC51),0)=ROUND(IS!AC52,0),"OK","ERROR")</f>
        <v>OK</v>
      </c>
      <c r="AD83" s="208" t="str">
        <f>IF(ROUND(IS!AD47,0)-ROUND(SUM(IS!AD50:AD51),0)=ROUND(IS!AD52,0),"OK","ERROR")</f>
        <v>OK</v>
      </c>
      <c r="AE83" s="208" t="str">
        <f>IF(ROUND(IS!AE47,0)-ROUND(SUM(IS!AE50:AE51),0)=ROUND(IS!AE52,0),"OK","ERROR")</f>
        <v>OK</v>
      </c>
      <c r="AF83" s="237" t="str">
        <f>IF(ROUND(IS!AF47,0)-ROUND(SUM(IS!AF50:AF51),0)=ROUND(IS!AF52,0),"OK","ERROR")</f>
        <v>OK</v>
      </c>
      <c r="AG83" s="238"/>
      <c r="AH83" s="208" t="str">
        <f>IF(ROUND(IS!AH47,0)-ROUND(SUM(IS!AH50:AH51),0)=ROUND(IS!AH52,0),"OK","ERROR")</f>
        <v>OK</v>
      </c>
      <c r="AI83" s="208" t="str">
        <f>IF(ROUND(IS!AI47,0)-ROUND(SUM(IS!AI50:AI51),0)=ROUND(IS!AI52,0),"OK","ERROR")</f>
        <v>OK</v>
      </c>
      <c r="AJ83" s="208" t="str">
        <f>IF(ROUND(IS!AJ47,0)-ROUND(SUM(IS!AJ50:AJ51),0)=ROUND(IS!AJ52,0),"OK","ERROR")</f>
        <v>OK</v>
      </c>
      <c r="AK83" s="208" t="str">
        <f>IF(ROUND(IS!AK47,0)-ROUND(SUM(IS!AK50:AK51),0)=ROUND(IS!AK52,0),"OK","ERROR")</f>
        <v>OK</v>
      </c>
      <c r="AL83" s="237" t="str">
        <f>IF(ROUND(IS!AL47,0)-ROUND(SUM(IS!AL50:AL51),0)=ROUND(IS!AL52,0),"OK","ERROR")</f>
        <v>OK</v>
      </c>
      <c r="AM83" s="210"/>
      <c r="AN83" s="208" t="str">
        <f>IF(ROUND(IS!AN47,0)-ROUND(SUM(IS!AN50:AN51),0)=ROUND(IS!AN52,0),"OK","ERROR")</f>
        <v>OK</v>
      </c>
      <c r="AO83" s="208" t="str">
        <f>IF(ROUND(IS!AO47,0)-ROUND(SUM(IS!AO50:AO51),0)=ROUND(IS!AO52,0),"OK","ERROR")</f>
        <v>OK</v>
      </c>
      <c r="AP83" s="208" t="str">
        <f>IF(ROUND(IS!AP47,0)-ROUND(SUM(IS!AP50:AP51),0)=ROUND(IS!AP52,0),"OK","ERROR")</f>
        <v>OK</v>
      </c>
      <c r="AQ83" s="208" t="str">
        <f>IF(ROUND(IS!AQ47,0)-ROUND(SUM(IS!AQ50:AQ51),0)=ROUND(IS!AQ52,0),"OK","ERROR")</f>
        <v>OK</v>
      </c>
      <c r="AR83" s="237" t="str">
        <f>IF(ROUND(IS!AR47,0)-ROUND(SUM(IS!AR50:AR51),0)=ROUND(IS!AR52,0),"OK","ERROR")</f>
        <v>OK</v>
      </c>
      <c r="AS83" s="210"/>
      <c r="AT83" s="237" t="str">
        <f>IF(ROUND(IS!AT47,0)-ROUND(SUM(IS!AT50:AT51),0)=ROUND(IS!AT52,0),"OK","ERROR")</f>
        <v>OK</v>
      </c>
      <c r="AU83" s="239"/>
      <c r="AV83" s="237" t="str">
        <f>IF(ROUND(IS!AV47,0)-ROUND(SUM(IS!AV50:AV51),0)=ROUND(IS!AV52,0),"OK","ERROR")</f>
        <v>OK</v>
      </c>
      <c r="AW83" s="239"/>
      <c r="AX83" s="237" t="str">
        <f>IF(ROUND(IS!AX47,0)-ROUND(SUM(IS!AX50:AX51),0)=ROUND(IS!AX52,0),"OK","ERROR")</f>
        <v>OK</v>
      </c>
    </row>
    <row r="84" spans="1:50" ht="14.25" customHeight="1" thickTop="1">
      <c r="A84" s="55"/>
      <c r="D84" s="208"/>
      <c r="E84" s="208"/>
      <c r="F84" s="208"/>
      <c r="G84" s="208"/>
      <c r="H84" s="220"/>
      <c r="I84" s="210"/>
      <c r="J84" s="208"/>
      <c r="K84" s="208"/>
      <c r="L84" s="208"/>
      <c r="M84" s="208"/>
      <c r="N84" s="220"/>
      <c r="O84" s="210"/>
      <c r="P84" s="208"/>
      <c r="Q84" s="208"/>
      <c r="R84" s="208"/>
      <c r="S84" s="208"/>
      <c r="T84" s="220"/>
      <c r="U84" s="210"/>
      <c r="V84" s="208"/>
      <c r="W84" s="208"/>
      <c r="X84" s="208"/>
      <c r="Y84" s="208"/>
      <c r="Z84" s="220"/>
      <c r="AA84" s="210"/>
      <c r="AB84" s="208"/>
      <c r="AC84" s="208"/>
      <c r="AD84" s="208"/>
      <c r="AE84" s="208"/>
      <c r="AF84" s="220"/>
      <c r="AG84" s="238"/>
      <c r="AH84" s="208"/>
      <c r="AI84" s="208"/>
      <c r="AJ84" s="208"/>
      <c r="AK84" s="208"/>
      <c r="AL84" s="220"/>
      <c r="AM84" s="210"/>
      <c r="AN84" s="208"/>
      <c r="AO84" s="208"/>
      <c r="AP84" s="208"/>
      <c r="AQ84" s="208"/>
      <c r="AR84" s="220"/>
      <c r="AS84" s="210"/>
      <c r="AT84" s="220"/>
      <c r="AU84" s="239"/>
      <c r="AV84" s="220"/>
      <c r="AW84" s="239"/>
      <c r="AX84" s="220"/>
    </row>
    <row r="85" spans="1:50" ht="14.25" customHeight="1">
      <c r="A85" s="44" t="s">
        <v>38</v>
      </c>
      <c r="B85" s="65" t="s">
        <v>619</v>
      </c>
      <c r="D85" s="208"/>
      <c r="E85" s="208"/>
      <c r="F85" s="208"/>
      <c r="G85" s="208"/>
      <c r="H85" s="220"/>
      <c r="I85" s="210"/>
      <c r="J85" s="208"/>
      <c r="K85" s="208"/>
      <c r="L85" s="208"/>
      <c r="M85" s="208"/>
      <c r="N85" s="220"/>
      <c r="O85" s="210"/>
      <c r="P85" s="208"/>
      <c r="Q85" s="208"/>
      <c r="R85" s="208"/>
      <c r="S85" s="208"/>
      <c r="T85" s="220"/>
      <c r="U85" s="210"/>
      <c r="V85" s="208"/>
      <c r="W85" s="208"/>
      <c r="X85" s="208"/>
      <c r="Y85" s="208"/>
      <c r="Z85" s="220"/>
      <c r="AA85" s="210"/>
      <c r="AB85" s="208"/>
      <c r="AC85" s="208"/>
      <c r="AD85" s="208"/>
      <c r="AE85" s="208"/>
      <c r="AF85" s="220"/>
      <c r="AG85" s="238"/>
      <c r="AH85" s="208"/>
      <c r="AI85" s="208"/>
      <c r="AJ85" s="208"/>
      <c r="AK85" s="208"/>
      <c r="AL85" s="220"/>
      <c r="AM85" s="210"/>
      <c r="AN85" s="208"/>
      <c r="AO85" s="208"/>
      <c r="AP85" s="208"/>
      <c r="AQ85" s="208"/>
      <c r="AR85" s="220"/>
      <c r="AS85" s="210"/>
      <c r="AT85" s="220"/>
      <c r="AU85" s="239"/>
      <c r="AV85" s="220"/>
      <c r="AW85" s="239"/>
      <c r="AX85" s="220"/>
    </row>
    <row r="86" spans="1:50" ht="14.25" customHeight="1">
      <c r="A86" s="55"/>
      <c r="B86" s="76" t="s">
        <v>620</v>
      </c>
      <c r="D86" s="240" t="str">
        <f>IF(ROUND(IS!D52/IS!D59,1)=ROUND(IS!D55,1),"OK","ERROR")</f>
        <v>OK</v>
      </c>
      <c r="E86" s="240" t="str">
        <f>IF(ROUND(IS!E52/IS!E59,1)=ROUND(IS!E55,1),"OK","ERROR")</f>
        <v>OK</v>
      </c>
      <c r="F86" s="240" t="str">
        <f>IF(ROUND(IS!F52/IS!F59,1)=ROUND(IS!F55,1),"OK","ERROR")</f>
        <v>OK</v>
      </c>
      <c r="G86" s="240" t="str">
        <f>IF(ROUND(IS!G52/IS!G59,1)=ROUND(IS!G55,1),"OK","ERROR")</f>
        <v>OK</v>
      </c>
      <c r="H86" s="241" t="str">
        <f>IF(ROUND(IS!H52/IS!H59,1)=ROUND(IS!H55,1),"OK","ERROR")</f>
        <v>OK</v>
      </c>
      <c r="I86" s="242"/>
      <c r="J86" s="240" t="str">
        <f>IF(ROUND(IS!J52/IS!J59,1)=ROUND(IS!J55,1),"OK","ERROR")</f>
        <v>OK</v>
      </c>
      <c r="K86" s="240" t="str">
        <f>IF(ROUND(IS!K52/IS!K59,1)=ROUND(IS!K55,1),"OK","ERROR")</f>
        <v>OK</v>
      </c>
      <c r="L86" s="240" t="str">
        <f>IF(ROUND(IS!L52/IS!L59,1)=ROUND(IS!L55,1),"OK","ERROR")</f>
        <v>ERROR</v>
      </c>
      <c r="M86" s="240" t="str">
        <f>IF(ROUND(IS!M52/IS!M59,1)=ROUND(IS!M55,1),"OK","ERROR")</f>
        <v>OK</v>
      </c>
      <c r="N86" s="241" t="str">
        <f>IF(ROUND(IS!N52/IS!N59,1)=ROUND(IS!N55,1),"OK","ERROR")</f>
        <v>ERROR</v>
      </c>
      <c r="O86" s="242"/>
      <c r="P86" s="240" t="str">
        <f>IF(ROUND(IS!P52/IS!P59,1)=ROUND(IS!P55,1),"OK","ERROR")</f>
        <v>OK</v>
      </c>
      <c r="Q86" s="240" t="str">
        <f>IF(ROUND(IS!Q52/IS!Q59,1)=ROUND(IS!Q55,1),"OK","ERROR")</f>
        <v>OK</v>
      </c>
      <c r="R86" s="240" t="str">
        <f>IF(ROUND(IS!R52/IS!R59,1)=ROUND(IS!R55,1),"OK","ERROR")</f>
        <v>OK</v>
      </c>
      <c r="S86" s="240" t="str">
        <f>IF(ROUND(IS!S52/IS!S59,1)=ROUND(IS!S55,1),"OK","ERROR")</f>
        <v>OK</v>
      </c>
      <c r="T86" s="241" t="str">
        <f>IF(ROUND(IS!T52/IS!T59,1)=ROUND(IS!T55,1),"OK","ERROR")</f>
        <v>OK</v>
      </c>
      <c r="U86" s="242"/>
      <c r="V86" s="240" t="str">
        <f>IF(ROUND(IS!V52/IS!V59,1)=ROUND(IS!V55,1),"OK","ERROR")</f>
        <v>OK</v>
      </c>
      <c r="W86" s="240" t="str">
        <f>IF(ROUND(IS!W52/IS!W59,1)=ROUND(IS!W55,1),"OK","ERROR")</f>
        <v>OK</v>
      </c>
      <c r="X86" s="240" t="str">
        <f>IF(ROUND(IS!X52/IS!X59,1)=ROUND(IS!X55,1),"OK","ERROR")</f>
        <v>OK</v>
      </c>
      <c r="Y86" s="240" t="str">
        <f>IF(ROUND(IS!Y52/IS!Y59,1)=ROUND(IS!Y55,1),"OK","ERROR")</f>
        <v>OK</v>
      </c>
      <c r="Z86" s="241" t="str">
        <f>IF(ROUND(IS!Z52/IS!Z59,1)=ROUND(IS!Z55,1),"OK","ERROR")</f>
        <v>OK</v>
      </c>
      <c r="AA86" s="242"/>
      <c r="AB86" s="240" t="str">
        <f>IF(ROUND(IS!AB52/IS!AB59,1)=ROUND(IS!AB55,1),"OK","ERROR")</f>
        <v>OK</v>
      </c>
      <c r="AC86" s="240" t="str">
        <f>IF(ROUND(IS!AC52/IS!AC59,1)=ROUND(IS!AC55,1),"OK","ERROR")</f>
        <v>OK</v>
      </c>
      <c r="AD86" s="240" t="str">
        <f>IF(ROUND(IS!AD52/IS!AD59,1)=ROUND(IS!AD55,1),"OK","ERROR")</f>
        <v>OK</v>
      </c>
      <c r="AE86" s="240" t="str">
        <f>IF(ROUND(IS!AE52/IS!AE59,1)=ROUND(IS!AE55,1),"OK","ERROR")</f>
        <v>OK</v>
      </c>
      <c r="AF86" s="241" t="str">
        <f>IF(ROUND(IS!AF52/IS!AF59,1)=ROUND(IS!AF55,1),"OK","ERROR")</f>
        <v>OK</v>
      </c>
      <c r="AG86" s="243"/>
      <c r="AH86" s="240" t="str">
        <f>IF(ROUND(IS!AH52/IS!AH59,1)=ROUND(IS!AH55,1),"OK","ERROR")</f>
        <v>OK</v>
      </c>
      <c r="AI86" s="240" t="str">
        <f>IF(ROUND(IS!AI52/IS!AI59,1)=ROUND(IS!AI55,1),"OK","ERROR")</f>
        <v>OK</v>
      </c>
      <c r="AJ86" s="240" t="e">
        <f>IF(ROUND(IS!AJ52/IS!AJ59,1)=ROUND(IS!AJ55,1),"OK","ERROR")</f>
        <v>#DIV/0!</v>
      </c>
      <c r="AK86" s="240" t="e">
        <f>IF(ROUND(IS!AK52/IS!AK59,1)=ROUND(IS!AK55,1),"OK","ERROR")</f>
        <v>#DIV/0!</v>
      </c>
      <c r="AL86" s="241" t="e">
        <f>IF(ROUND(IS!AL52/IS!AL59,1)=ROUND(IS!AL55,1),"OK","ERROR")</f>
        <v>#DIV/0!</v>
      </c>
      <c r="AM86" s="242"/>
      <c r="AN86" s="240" t="e">
        <f>IF(ROUND(IS!AN52/IS!AN59,1)=ROUND(IS!AN55,1),"OK","ERROR")</f>
        <v>#DIV/0!</v>
      </c>
      <c r="AO86" s="240" t="e">
        <f>IF(ROUND(IS!AO52/IS!AO59,1)=ROUND(IS!AO55,1),"OK","ERROR")</f>
        <v>#DIV/0!</v>
      </c>
      <c r="AP86" s="240" t="e">
        <f>IF(ROUND(IS!AP52/IS!AP59,1)=ROUND(IS!AP55,1),"OK","ERROR")</f>
        <v>#DIV/0!</v>
      </c>
      <c r="AQ86" s="240" t="e">
        <f>IF(ROUND(IS!AQ52/IS!AQ59,1)=ROUND(IS!AQ55,1),"OK","ERROR")</f>
        <v>#DIV/0!</v>
      </c>
      <c r="AR86" s="241" t="e">
        <f>IF(ROUND(IS!AR52/IS!AR59,1)=ROUND(IS!AR55,1),"OK","ERROR")</f>
        <v>#DIV/0!</v>
      </c>
      <c r="AS86" s="242"/>
      <c r="AT86" s="241" t="e">
        <f>IF(ROUND(IS!AT52/IS!AT59,1)=ROUND(IS!AT55,1),"OK","ERROR")</f>
        <v>#DIV/0!</v>
      </c>
      <c r="AU86" s="245"/>
      <c r="AV86" s="241" t="e">
        <f>IF(ROUND(IS!AV52/IS!AV59,1)=ROUND(IS!AV55,1),"OK","ERROR")</f>
        <v>#DIV/0!</v>
      </c>
      <c r="AW86" s="245"/>
      <c r="AX86" s="241" t="e">
        <f>IF(ROUND(IS!AX52/IS!AX59,1)=ROUND(IS!AX55,1),"OK","ERROR")</f>
        <v>#DIV/0!</v>
      </c>
    </row>
    <row r="87" spans="1:50" ht="14.25" customHeight="1">
      <c r="A87" s="73"/>
      <c r="B87" s="76" t="s">
        <v>621</v>
      </c>
      <c r="D87" s="240" t="str">
        <f>IF(ROUND(IS!D52/IS!D60,1)=ROUND(IS!D56,1),"OK","ERROR")</f>
        <v>OK</v>
      </c>
      <c r="E87" s="240" t="str">
        <f>IF(ROUND(IS!E52/IS!E60,1)=ROUND(IS!E56,1),"OK","ERROR")</f>
        <v>OK</v>
      </c>
      <c r="F87" s="240" t="str">
        <f>IF(ROUND(IS!F52/IS!F60,1)=ROUND(IS!F56,1),"OK","ERROR")</f>
        <v>OK</v>
      </c>
      <c r="G87" s="240" t="str">
        <f>IF(ROUND(IS!G52/IS!G60,1)=ROUND(IS!G56,1),"OK","ERROR")</f>
        <v>OK</v>
      </c>
      <c r="H87" s="241" t="str">
        <f>IF(ROUND(IS!H52/IS!H60,1)=ROUND(IS!H56,1),"OK","ERROR")</f>
        <v>OK</v>
      </c>
      <c r="I87" s="242"/>
      <c r="J87" s="240" t="str">
        <f>IF(ROUND(IS!J52/IS!J60,1)=ROUND(IS!J56,1),"OK","ERROR")</f>
        <v>OK</v>
      </c>
      <c r="K87" s="240" t="str">
        <f>IF(ROUND(IS!K52/IS!K60,1)=ROUND(IS!K56,1),"OK","ERROR")</f>
        <v>OK</v>
      </c>
      <c r="L87" s="240" t="str">
        <f>IF(ROUND(IS!L52/IS!L60,1)=ROUND(IS!L56,1),"OK","ERROR")</f>
        <v>ERROR</v>
      </c>
      <c r="M87" s="240" t="str">
        <f>IF(ROUND(IS!M52/IS!M60,1)=ROUND(IS!M56,1),"OK","ERROR")</f>
        <v>OK</v>
      </c>
      <c r="N87" s="241" t="str">
        <f>IF(ROUND(IS!N52/IS!N60,1)=ROUND(IS!N56,1),"OK","ERROR")</f>
        <v>ERROR</v>
      </c>
      <c r="O87" s="242"/>
      <c r="P87" s="240" t="str">
        <f>IF(ROUND(IS!P52/IS!P60,1)=ROUND(IS!P56,1),"OK","ERROR")</f>
        <v>OK</v>
      </c>
      <c r="Q87" s="240" t="str">
        <f>IF(ROUND(IS!Q52/IS!Q60,1)=ROUND(IS!Q56,1),"OK","ERROR")</f>
        <v>OK</v>
      </c>
      <c r="R87" s="240" t="str">
        <f>IF(ROUND(IS!R52/IS!R60,1)=ROUND(IS!R56,1),"OK","ERROR")</f>
        <v>OK</v>
      </c>
      <c r="S87" s="240" t="str">
        <f>IF(ROUND(IS!S52/IS!S60,1)=ROUND(IS!S56,1),"OK","ERROR")</f>
        <v>OK</v>
      </c>
      <c r="T87" s="241" t="str">
        <f>IF(ROUND(IS!T52/IS!T60,1)=ROUND(IS!T56,1),"OK","ERROR")</f>
        <v>OK</v>
      </c>
      <c r="U87" s="242"/>
      <c r="V87" s="240" t="str">
        <f>IF(ROUND(IS!V52/IS!V60,1)=ROUND(IS!V56,1),"OK","ERROR")</f>
        <v>OK</v>
      </c>
      <c r="W87" s="240" t="str">
        <f>IF(ROUND(IS!W52/IS!W60,1)=ROUND(IS!W56,1),"OK","ERROR")</f>
        <v>OK</v>
      </c>
      <c r="X87" s="240" t="str">
        <f>IF(ROUND(IS!X52/IS!X60,1)=ROUND(IS!X56,1),"OK","ERROR")</f>
        <v>OK</v>
      </c>
      <c r="Y87" s="240" t="str">
        <f>IF(ROUND(IS!Y52/IS!Y60,1)=ROUND(IS!Y56,1),"OK","ERROR")</f>
        <v>OK</v>
      </c>
      <c r="Z87" s="241" t="str">
        <f>IF(ROUND(IS!Z52/IS!Z60,1)=ROUND(IS!Z56,1),"OK","ERROR")</f>
        <v>OK</v>
      </c>
      <c r="AA87" s="242"/>
      <c r="AB87" s="240" t="str">
        <f>IF(ROUND(IS!AB52/IS!AB60,1)=ROUND(IS!AB56,1),"OK","ERROR")</f>
        <v>OK</v>
      </c>
      <c r="AC87" s="240" t="str">
        <f>IF(ROUND(IS!AC52/IS!AC60,1)=ROUND(IS!AC56,1),"OK","ERROR")</f>
        <v>OK</v>
      </c>
      <c r="AD87" s="240" t="str">
        <f>IF(ROUND(IS!AD52/IS!AD60,1)=ROUND(IS!AD56,1),"OK","ERROR")</f>
        <v>OK</v>
      </c>
      <c r="AE87" s="240" t="str">
        <f>IF(ROUND(IS!AE52/IS!AE60,1)=ROUND(IS!AE56,1),"OK","ERROR")</f>
        <v>OK</v>
      </c>
      <c r="AF87" s="241" t="str">
        <f>IF(ROUND(IS!AF52/IS!AF60,1)=ROUND(IS!AF56,1),"OK","ERROR")</f>
        <v>OK</v>
      </c>
      <c r="AG87" s="243"/>
      <c r="AH87" s="240" t="str">
        <f>IF(ROUND(IS!AH52/IS!AH60,1)=ROUND(IS!AH56,1),"OK","ERROR")</f>
        <v>OK</v>
      </c>
      <c r="AI87" s="240" t="str">
        <f>IF(ROUND(IS!AI52/IS!AI60,1)=ROUND(IS!AI56,1),"OK","ERROR")</f>
        <v>OK</v>
      </c>
      <c r="AJ87" s="240" t="e">
        <f>IF(ROUND(IS!AJ52/IS!AJ60,1)=ROUND(IS!AJ56,1),"OK","ERROR")</f>
        <v>#DIV/0!</v>
      </c>
      <c r="AK87" s="240" t="e">
        <f>IF(ROUND(IS!AK52/IS!AK60,1)=ROUND(IS!AK56,1),"OK","ERROR")</f>
        <v>#DIV/0!</v>
      </c>
      <c r="AL87" s="241" t="e">
        <f>IF(ROUND(IS!AL52/IS!AL60,1)=ROUND(IS!AL56,1),"OK","ERROR")</f>
        <v>#DIV/0!</v>
      </c>
      <c r="AM87" s="242"/>
      <c r="AN87" s="240" t="e">
        <f>IF(ROUND(IS!AN52/IS!AN60,1)=ROUND(IS!AN56,1),"OK","ERROR")</f>
        <v>#DIV/0!</v>
      </c>
      <c r="AO87" s="240" t="e">
        <f>IF(ROUND(IS!AO52/IS!AO60,1)=ROUND(IS!AO56,1),"OK","ERROR")</f>
        <v>#DIV/0!</v>
      </c>
      <c r="AP87" s="240" t="e">
        <f>IF(ROUND(IS!AP52/IS!AP60,1)=ROUND(IS!AP56,1),"OK","ERROR")</f>
        <v>#DIV/0!</v>
      </c>
      <c r="AQ87" s="240" t="e">
        <f>IF(ROUND(IS!AQ52/IS!AQ60,1)=ROUND(IS!AQ56,1),"OK","ERROR")</f>
        <v>#DIV/0!</v>
      </c>
      <c r="AR87" s="241" t="e">
        <f>IF(ROUND(IS!AR52/IS!AR60,1)=ROUND(IS!AR56,1),"OK","ERROR")</f>
        <v>#DIV/0!</v>
      </c>
      <c r="AS87" s="242"/>
      <c r="AT87" s="241" t="e">
        <f>IF(ROUND(IS!AT52/IS!AT60,1)=ROUND(IS!AT56,1),"OK","ERROR")</f>
        <v>#DIV/0!</v>
      </c>
      <c r="AU87" s="245"/>
      <c r="AV87" s="241" t="e">
        <f>IF(ROUND(IS!AV52/IS!AV60,1)=ROUND(IS!AV56,1),"OK","ERROR")</f>
        <v>#DIV/0!</v>
      </c>
      <c r="AW87" s="245"/>
      <c r="AX87" s="241" t="e">
        <f>IF(ROUND(IS!AX52/IS!AX60,1)=ROUND(IS!AX56,1),"OK","ERROR")</f>
        <v>#DIV/0!</v>
      </c>
    </row>
    <row r="89" spans="1:50" s="41" customFormat="1" ht="15" customHeight="1">
      <c r="B89" s="161" t="s">
        <v>693</v>
      </c>
      <c r="C89" s="18"/>
      <c r="D89" s="202">
        <f>F89</f>
        <v>2020</v>
      </c>
      <c r="E89" s="202">
        <f>F89</f>
        <v>2020</v>
      </c>
      <c r="F89" s="202">
        <v>2020</v>
      </c>
      <c r="G89" s="202">
        <f>F89</f>
        <v>2020</v>
      </c>
      <c r="H89" s="202">
        <f>F89</f>
        <v>2020</v>
      </c>
      <c r="I89" s="18"/>
      <c r="J89" s="202">
        <f>L89</f>
        <v>2021</v>
      </c>
      <c r="K89" s="202">
        <f>L89</f>
        <v>2021</v>
      </c>
      <c r="L89" s="202">
        <v>2021</v>
      </c>
      <c r="M89" s="202">
        <f>L89</f>
        <v>2021</v>
      </c>
      <c r="N89" s="202">
        <f>L89</f>
        <v>2021</v>
      </c>
      <c r="O89" s="169"/>
      <c r="P89" s="202">
        <f>R89</f>
        <v>2022</v>
      </c>
      <c r="Q89" s="202">
        <f>R89</f>
        <v>2022</v>
      </c>
      <c r="R89" s="202">
        <v>2022</v>
      </c>
      <c r="S89" s="202">
        <f>R89</f>
        <v>2022</v>
      </c>
      <c r="T89" s="202">
        <f>R89</f>
        <v>2022</v>
      </c>
      <c r="U89" s="169"/>
      <c r="V89" s="202">
        <f>X89</f>
        <v>2023</v>
      </c>
      <c r="W89" s="202">
        <f>X89</f>
        <v>2023</v>
      </c>
      <c r="X89" s="202">
        <v>2023</v>
      </c>
      <c r="Y89" s="202">
        <f>X89</f>
        <v>2023</v>
      </c>
      <c r="Z89" s="202">
        <f>X89</f>
        <v>2023</v>
      </c>
      <c r="AA89" s="170"/>
      <c r="AB89" s="202">
        <f>AD89</f>
        <v>2024</v>
      </c>
      <c r="AC89" s="202">
        <f>AD89</f>
        <v>2024</v>
      </c>
      <c r="AD89" s="202">
        <v>2024</v>
      </c>
      <c r="AE89" s="202">
        <f>AD89</f>
        <v>2024</v>
      </c>
      <c r="AF89" s="202">
        <f>AD89</f>
        <v>2024</v>
      </c>
      <c r="AG89" s="170"/>
      <c r="AH89" s="202">
        <f>AJ89</f>
        <v>2025</v>
      </c>
      <c r="AI89" s="202">
        <f>AJ89</f>
        <v>2025</v>
      </c>
      <c r="AJ89" s="203">
        <v>2025</v>
      </c>
      <c r="AK89" s="202">
        <f>AJ89</f>
        <v>2025</v>
      </c>
      <c r="AL89" s="202">
        <f>AJ89</f>
        <v>2025</v>
      </c>
      <c r="AM89" s="171"/>
      <c r="AN89" s="202">
        <f>AP89</f>
        <v>2025</v>
      </c>
      <c r="AO89" s="202">
        <f>AP89</f>
        <v>2025</v>
      </c>
      <c r="AP89" s="203">
        <v>2025</v>
      </c>
      <c r="AQ89" s="202">
        <f>AP89</f>
        <v>2025</v>
      </c>
      <c r="AR89" s="202">
        <f>AP89</f>
        <v>2025</v>
      </c>
      <c r="AS89" s="18"/>
      <c r="AT89" s="162"/>
      <c r="AU89" s="18"/>
      <c r="AV89" s="163"/>
      <c r="AW89" s="18"/>
      <c r="AX89" s="163"/>
    </row>
    <row r="90" spans="1:50" s="41" customFormat="1" ht="15" customHeight="1">
      <c r="B90" s="164"/>
      <c r="C90" s="18"/>
      <c r="D90" s="815">
        <v>2020</v>
      </c>
      <c r="E90" s="815"/>
      <c r="F90" s="815"/>
      <c r="G90" s="815"/>
      <c r="H90" s="815"/>
      <c r="I90" s="169"/>
      <c r="J90" s="815">
        <f>D90+1</f>
        <v>2021</v>
      </c>
      <c r="K90" s="815"/>
      <c r="L90" s="815"/>
      <c r="M90" s="815"/>
      <c r="N90" s="815"/>
      <c r="O90" s="169"/>
      <c r="P90" s="815">
        <f>J90+1</f>
        <v>2022</v>
      </c>
      <c r="Q90" s="815"/>
      <c r="R90" s="815"/>
      <c r="S90" s="815"/>
      <c r="T90" s="815"/>
      <c r="U90" s="169"/>
      <c r="V90" s="815">
        <f>P90+1</f>
        <v>2023</v>
      </c>
      <c r="W90" s="815"/>
      <c r="X90" s="815"/>
      <c r="Y90" s="815"/>
      <c r="Z90" s="815"/>
      <c r="AA90" s="169"/>
      <c r="AB90" s="815">
        <f>V90+1</f>
        <v>2024</v>
      </c>
      <c r="AC90" s="815"/>
      <c r="AD90" s="815"/>
      <c r="AE90" s="815"/>
      <c r="AF90" s="815"/>
      <c r="AG90" s="169"/>
      <c r="AH90" s="813">
        <f>AB90+1</f>
        <v>2025</v>
      </c>
      <c r="AI90" s="813"/>
      <c r="AJ90" s="813"/>
      <c r="AK90" s="813"/>
      <c r="AL90" s="813"/>
      <c r="AM90" s="169"/>
      <c r="AN90" s="813">
        <f>AH90+1</f>
        <v>2026</v>
      </c>
      <c r="AO90" s="813"/>
      <c r="AP90" s="813"/>
      <c r="AQ90" s="813"/>
      <c r="AR90" s="813"/>
      <c r="AS90" s="171"/>
      <c r="AT90" s="166">
        <f>AN90+1</f>
        <v>2027</v>
      </c>
      <c r="AU90" s="167"/>
      <c r="AV90" s="166">
        <f>+AT90+1</f>
        <v>2028</v>
      </c>
      <c r="AW90" s="167"/>
      <c r="AX90" s="166">
        <f>+AV90+1</f>
        <v>2029</v>
      </c>
    </row>
    <row r="91" spans="1:50" s="41" customFormat="1" ht="15" customHeight="1">
      <c r="B91" s="164"/>
      <c r="C91" s="18"/>
      <c r="D91" s="168" t="s">
        <v>191</v>
      </c>
      <c r="E91" s="168" t="s">
        <v>192</v>
      </c>
      <c r="F91" s="168" t="s">
        <v>193</v>
      </c>
      <c r="G91" s="168" t="s">
        <v>194</v>
      </c>
      <c r="H91" s="168" t="s">
        <v>195</v>
      </c>
      <c r="I91" s="18"/>
      <c r="J91" s="168" t="s">
        <v>191</v>
      </c>
      <c r="K91" s="168" t="s">
        <v>192</v>
      </c>
      <c r="L91" s="168" t="s">
        <v>193</v>
      </c>
      <c r="M91" s="168" t="s">
        <v>194</v>
      </c>
      <c r="N91" s="168" t="s">
        <v>195</v>
      </c>
      <c r="O91" s="165"/>
      <c r="P91" s="168" t="s">
        <v>191</v>
      </c>
      <c r="Q91" s="168" t="s">
        <v>192</v>
      </c>
      <c r="R91" s="168" t="s">
        <v>193</v>
      </c>
      <c r="S91" s="168" t="s">
        <v>194</v>
      </c>
      <c r="T91" s="168" t="s">
        <v>195</v>
      </c>
      <c r="U91" s="165"/>
      <c r="V91" s="168" t="s">
        <v>191</v>
      </c>
      <c r="W91" s="168" t="s">
        <v>192</v>
      </c>
      <c r="X91" s="168" t="s">
        <v>193</v>
      </c>
      <c r="Y91" s="168" t="s">
        <v>194</v>
      </c>
      <c r="Z91" s="168" t="s">
        <v>195</v>
      </c>
      <c r="AA91" s="165"/>
      <c r="AB91" s="168" t="s">
        <v>191</v>
      </c>
      <c r="AC91" s="168" t="s">
        <v>192</v>
      </c>
      <c r="AD91" s="168" t="s">
        <v>193</v>
      </c>
      <c r="AE91" s="168" t="s">
        <v>194</v>
      </c>
      <c r="AF91" s="168" t="s">
        <v>195</v>
      </c>
      <c r="AG91" s="165"/>
      <c r="AH91" s="168" t="s">
        <v>191</v>
      </c>
      <c r="AI91" s="168" t="s">
        <v>192</v>
      </c>
      <c r="AJ91" s="168" t="s">
        <v>193</v>
      </c>
      <c r="AK91" s="168" t="s">
        <v>194</v>
      </c>
      <c r="AL91" s="168" t="s">
        <v>195</v>
      </c>
      <c r="AM91" s="165"/>
      <c r="AN91" s="168" t="s">
        <v>191</v>
      </c>
      <c r="AO91" s="168" t="s">
        <v>192</v>
      </c>
      <c r="AP91" s="168" t="s">
        <v>193</v>
      </c>
      <c r="AQ91" s="168" t="s">
        <v>194</v>
      </c>
      <c r="AR91" s="168" t="s">
        <v>195</v>
      </c>
      <c r="AS91" s="165"/>
      <c r="AT91" s="168" t="s">
        <v>195</v>
      </c>
      <c r="AU91" s="165"/>
      <c r="AV91" s="168" t="s">
        <v>195</v>
      </c>
      <c r="AW91" s="165"/>
      <c r="AX91" s="168" t="s">
        <v>195</v>
      </c>
    </row>
    <row r="92" spans="1:50" s="41" customFormat="1" ht="3.95" customHeight="1">
      <c r="A92" s="43"/>
      <c r="B92" s="176"/>
      <c r="C92" s="35"/>
      <c r="D92" s="177"/>
      <c r="E92" s="177"/>
      <c r="F92" s="177"/>
      <c r="G92" s="177"/>
      <c r="H92" s="177"/>
      <c r="I92" s="35"/>
      <c r="J92" s="177"/>
      <c r="K92" s="177"/>
      <c r="L92" s="177"/>
      <c r="M92" s="177"/>
      <c r="N92" s="177"/>
      <c r="O92" s="178"/>
      <c r="P92" s="177"/>
      <c r="Q92" s="177"/>
      <c r="R92" s="177"/>
      <c r="S92" s="177"/>
      <c r="T92" s="177"/>
      <c r="U92" s="178"/>
      <c r="V92" s="177"/>
      <c r="W92" s="177"/>
      <c r="X92" s="177"/>
      <c r="Y92" s="177"/>
      <c r="Z92" s="177"/>
      <c r="AA92" s="178"/>
      <c r="AB92" s="177"/>
      <c r="AC92" s="177"/>
      <c r="AD92" s="177"/>
      <c r="AE92" s="177"/>
      <c r="AF92" s="177"/>
      <c r="AG92" s="178"/>
      <c r="AH92" s="177"/>
      <c r="AI92" s="177"/>
      <c r="AJ92" s="177"/>
      <c r="AK92" s="177"/>
      <c r="AL92" s="179"/>
      <c r="AM92" s="180"/>
      <c r="AN92" s="179"/>
      <c r="AO92" s="179"/>
      <c r="AP92" s="179"/>
      <c r="AQ92" s="179"/>
      <c r="AR92" s="179"/>
      <c r="AS92" s="180"/>
      <c r="AT92" s="179"/>
      <c r="AU92" s="180"/>
      <c r="AV92" s="179"/>
      <c r="AW92" s="180"/>
      <c r="AX92" s="179"/>
    </row>
    <row r="93" spans="1:50" s="41" customFormat="1" ht="3.95" customHeight="1">
      <c r="A93" s="43"/>
      <c r="B93" s="172"/>
      <c r="C93" s="19"/>
      <c r="D93" s="173"/>
      <c r="E93" s="173"/>
      <c r="F93" s="173"/>
      <c r="G93" s="173"/>
      <c r="H93" s="173"/>
      <c r="I93" s="19"/>
      <c r="J93" s="173"/>
      <c r="K93" s="173"/>
      <c r="L93" s="173"/>
      <c r="M93" s="173"/>
      <c r="N93" s="173"/>
      <c r="O93" s="174"/>
      <c r="P93" s="173"/>
      <c r="Q93" s="173"/>
      <c r="R93" s="173"/>
      <c r="S93" s="173"/>
      <c r="T93" s="173"/>
      <c r="U93" s="174"/>
      <c r="V93" s="173"/>
      <c r="W93" s="173"/>
      <c r="X93" s="173"/>
      <c r="Y93" s="173"/>
      <c r="Z93" s="173"/>
      <c r="AA93" s="174"/>
      <c r="AB93" s="173"/>
      <c r="AC93" s="173"/>
      <c r="AD93" s="173"/>
      <c r="AE93" s="173"/>
      <c r="AF93" s="173"/>
      <c r="AG93" s="204"/>
      <c r="AH93" s="173"/>
      <c r="AI93" s="173"/>
      <c r="AJ93" s="173"/>
      <c r="AK93" s="173"/>
      <c r="AL93" s="175"/>
      <c r="AM93" s="34"/>
      <c r="AN93" s="175"/>
      <c r="AO93" s="175"/>
      <c r="AP93" s="175"/>
      <c r="AQ93" s="175"/>
      <c r="AR93" s="175"/>
      <c r="AS93" s="34"/>
      <c r="AT93" s="175"/>
      <c r="AU93" s="34"/>
      <c r="AV93" s="175"/>
      <c r="AW93" s="34"/>
      <c r="AX93" s="175"/>
    </row>
    <row r="94" spans="1:50" s="41" customFormat="1" ht="15" customHeight="1">
      <c r="A94" s="44"/>
      <c r="B94" s="106" t="s">
        <v>628</v>
      </c>
      <c r="C94" s="17"/>
      <c r="D94" s="208"/>
      <c r="E94" s="208"/>
      <c r="F94" s="208"/>
      <c r="G94" s="208"/>
      <c r="H94" s="216"/>
      <c r="I94" s="248"/>
      <c r="J94" s="249"/>
      <c r="K94" s="249"/>
      <c r="L94" s="249"/>
      <c r="M94" s="249"/>
      <c r="N94" s="250"/>
      <c r="O94" s="250"/>
      <c r="P94" s="249"/>
      <c r="Q94" s="249"/>
      <c r="R94" s="249"/>
      <c r="S94" s="249"/>
      <c r="T94" s="250"/>
      <c r="U94" s="250"/>
      <c r="V94" s="249"/>
      <c r="W94" s="249"/>
      <c r="X94" s="249"/>
      <c r="Y94" s="249"/>
      <c r="Z94" s="250"/>
      <c r="AA94" s="250"/>
      <c r="AB94" s="251"/>
      <c r="AC94" s="251"/>
      <c r="AD94" s="251"/>
      <c r="AE94" s="251"/>
      <c r="AF94" s="250"/>
      <c r="AG94" s="252"/>
      <c r="AH94" s="253"/>
      <c r="AI94" s="253"/>
      <c r="AJ94" s="253"/>
      <c r="AK94" s="253"/>
      <c r="AL94" s="250"/>
      <c r="AM94" s="254"/>
      <c r="AN94" s="253"/>
      <c r="AO94" s="253"/>
      <c r="AP94" s="253"/>
      <c r="AQ94" s="253"/>
      <c r="AR94" s="250"/>
      <c r="AS94" s="254"/>
      <c r="AT94" s="250"/>
      <c r="AU94" s="254"/>
      <c r="AV94" s="250"/>
      <c r="AW94" s="255"/>
      <c r="AX94" s="255"/>
    </row>
    <row r="95" spans="1:50" s="113" customFormat="1" ht="15" customHeight="1">
      <c r="B95" s="114"/>
      <c r="C95" s="115"/>
      <c r="D95" s="208"/>
      <c r="E95" s="208"/>
      <c r="F95" s="208"/>
      <c r="G95" s="208"/>
      <c r="H95" s="216"/>
      <c r="I95" s="256"/>
      <c r="J95" s="249"/>
      <c r="K95" s="249"/>
      <c r="L95" s="249"/>
      <c r="M95" s="249"/>
      <c r="N95" s="250"/>
      <c r="O95" s="256"/>
      <c r="P95" s="249"/>
      <c r="Q95" s="249"/>
      <c r="R95" s="249"/>
      <c r="S95" s="249"/>
      <c r="T95" s="250"/>
      <c r="U95" s="256"/>
      <c r="V95" s="249"/>
      <c r="W95" s="249"/>
      <c r="X95" s="249"/>
      <c r="Y95" s="249"/>
      <c r="Z95" s="250"/>
      <c r="AA95" s="257"/>
      <c r="AB95" s="251"/>
      <c r="AC95" s="251"/>
      <c r="AD95" s="251"/>
      <c r="AE95" s="251"/>
      <c r="AF95" s="250"/>
      <c r="AG95" s="258"/>
      <c r="AH95" s="259"/>
      <c r="AI95" s="259"/>
      <c r="AJ95" s="259"/>
      <c r="AK95" s="259"/>
      <c r="AL95" s="250"/>
      <c r="AM95" s="260"/>
      <c r="AN95" s="259"/>
      <c r="AO95" s="259"/>
      <c r="AP95" s="259"/>
      <c r="AQ95" s="259"/>
      <c r="AR95" s="250"/>
      <c r="AS95" s="260"/>
      <c r="AT95" s="250"/>
      <c r="AU95" s="260"/>
      <c r="AV95" s="250"/>
      <c r="AW95" s="261"/>
      <c r="AX95" s="261"/>
    </row>
    <row r="96" spans="1:50" s="41" customFormat="1" ht="15" customHeight="1">
      <c r="A96" s="44" t="s">
        <v>38</v>
      </c>
      <c r="B96" s="114" t="s">
        <v>629</v>
      </c>
      <c r="C96" s="17"/>
      <c r="D96" s="208"/>
      <c r="E96" s="208"/>
      <c r="F96" s="208"/>
      <c r="G96" s="208"/>
      <c r="H96" s="220"/>
      <c r="I96" s="248"/>
      <c r="J96" s="262"/>
      <c r="K96" s="262"/>
      <c r="L96" s="262"/>
      <c r="M96" s="262"/>
      <c r="N96" s="250"/>
      <c r="O96" s="248"/>
      <c r="P96" s="262"/>
      <c r="Q96" s="262"/>
      <c r="R96" s="262"/>
      <c r="S96" s="262"/>
      <c r="T96" s="250"/>
      <c r="U96" s="248"/>
      <c r="V96" s="262"/>
      <c r="W96" s="262"/>
      <c r="X96" s="262"/>
      <c r="Y96" s="262"/>
      <c r="Z96" s="250"/>
      <c r="AA96" s="263"/>
      <c r="AB96" s="264"/>
      <c r="AC96" s="264"/>
      <c r="AD96" s="264"/>
      <c r="AE96" s="264"/>
      <c r="AF96" s="250"/>
      <c r="AG96" s="265"/>
      <c r="AH96" s="266"/>
      <c r="AI96" s="266"/>
      <c r="AJ96" s="266"/>
      <c r="AK96" s="266"/>
      <c r="AL96" s="250"/>
      <c r="AM96" s="267"/>
      <c r="AN96" s="266"/>
      <c r="AO96" s="266"/>
      <c r="AP96" s="266"/>
      <c r="AQ96" s="266"/>
      <c r="AR96" s="250"/>
      <c r="AS96" s="267"/>
      <c r="AT96" s="250"/>
      <c r="AU96" s="267"/>
      <c r="AV96" s="250"/>
      <c r="AW96" s="255"/>
      <c r="AX96" s="255"/>
    </row>
    <row r="97" spans="1:50" s="41" customFormat="1" ht="15" customHeight="1">
      <c r="A97" s="44"/>
      <c r="B97" s="127" t="s">
        <v>630</v>
      </c>
      <c r="C97" s="17"/>
      <c r="D97" s="208" t="str">
        <f>IF(ROUND(BS!D15,0)=ROUND(SUM(BS!D16:D17),0),"OK","ERROR")</f>
        <v>OK</v>
      </c>
      <c r="E97" s="208" t="str">
        <f>IF(ROUND(BS!E15,0)=ROUND(SUM(BS!E16:E17),0),"OK","ERROR")</f>
        <v>OK</v>
      </c>
      <c r="F97" s="208" t="str">
        <f>IF(ROUND(BS!F15,0)=ROUND(SUM(BS!F16:F17),0),"OK","ERROR")</f>
        <v>OK</v>
      </c>
      <c r="G97" s="208" t="str">
        <f>IF(ROUND(BS!G15,0)=ROUND(SUM(BS!G16:G17),0),"OK","ERROR")</f>
        <v>OK</v>
      </c>
      <c r="H97" s="220" t="str">
        <f>IF(ROUND(BS!H15,0)=ROUND(SUM(BS!H16:H17),0),"OK","ERROR")</f>
        <v>OK</v>
      </c>
      <c r="I97" s="248"/>
      <c r="J97" s="208" t="str">
        <f>IF(ROUND(BS!J15,0)=ROUND(SUM(BS!J16:J17),0),"OK","ERROR")</f>
        <v>OK</v>
      </c>
      <c r="K97" s="208" t="str">
        <f>IF(ROUND(BS!K15,0)=ROUND(SUM(BS!K16:K17),0),"OK","ERROR")</f>
        <v>OK</v>
      </c>
      <c r="L97" s="208" t="str">
        <f>IF(ROUND(BS!L15,0)=ROUND(SUM(BS!L16:L17),0),"OK","ERROR")</f>
        <v>OK</v>
      </c>
      <c r="M97" s="208" t="str">
        <f>IF(ROUND(BS!M15,0)=ROUND(SUM(BS!M16:M17),0),"OK","ERROR")</f>
        <v>OK</v>
      </c>
      <c r="N97" s="220" t="str">
        <f>IF(ROUND(BS!N15,0)=ROUND(SUM(BS!N16:N17),0),"OK","ERROR")</f>
        <v>OK</v>
      </c>
      <c r="O97" s="248"/>
      <c r="P97" s="208" t="str">
        <f>IF(ROUND(BS!P15,0)=ROUND(SUM(BS!P16:P17),0),"OK","ERROR")</f>
        <v>OK</v>
      </c>
      <c r="Q97" s="208" t="str">
        <f>IF(ROUND(BS!Q15,0)=ROUND(SUM(BS!Q16:Q17),0),"OK","ERROR")</f>
        <v>OK</v>
      </c>
      <c r="R97" s="208" t="str">
        <f>IF(ROUND(BS!R15,0)=ROUND(SUM(BS!R16:R17),0),"OK","ERROR")</f>
        <v>OK</v>
      </c>
      <c r="S97" s="208" t="str">
        <f>IF(ROUND(BS!S15,0)=ROUND(SUM(BS!S16:S17),0),"OK","ERROR")</f>
        <v>OK</v>
      </c>
      <c r="T97" s="220" t="str">
        <f>IF(ROUND(BS!T15,0)=ROUND(SUM(BS!T16:T17),0),"OK","ERROR")</f>
        <v>OK</v>
      </c>
      <c r="U97" s="248"/>
      <c r="V97" s="208" t="str">
        <f>IF(ROUND(BS!V15,0)=ROUND(SUM(BS!V16:V17),0),"OK","ERROR")</f>
        <v>OK</v>
      </c>
      <c r="W97" s="208" t="str">
        <f>IF(ROUND(BS!W15,0)=ROUND(SUM(BS!W16:W17),0),"OK","ERROR")</f>
        <v>OK</v>
      </c>
      <c r="X97" s="208" t="str">
        <f>IF(ROUND(BS!X15,0)=ROUND(SUM(BS!X16:X17),0),"OK","ERROR")</f>
        <v>OK</v>
      </c>
      <c r="Y97" s="208" t="str">
        <f>IF(ROUND(BS!Y15,0)=ROUND(SUM(BS!Y16:Y17),0),"OK","ERROR")</f>
        <v>OK</v>
      </c>
      <c r="Z97" s="220" t="str">
        <f>IF(ROUND(BS!Z15,0)=ROUND(SUM(BS!Z16:Z17),0),"OK","ERROR")</f>
        <v>OK</v>
      </c>
      <c r="AA97" s="263"/>
      <c r="AB97" s="208" t="str">
        <f>IF(ROUND(BS!AB15,0)=ROUND(SUM(BS!AB16:AB17),0),"OK","ERROR")</f>
        <v>OK</v>
      </c>
      <c r="AC97" s="208" t="str">
        <f>IF(ROUND(BS!AC15,0)=ROUND(SUM(BS!AC16:AC17),0),"OK","ERROR")</f>
        <v>OK</v>
      </c>
      <c r="AD97" s="208" t="str">
        <f>IF(ROUND(BS!AD15,0)=ROUND(SUM(BS!AD16:AD17),0),"OK","ERROR")</f>
        <v>OK</v>
      </c>
      <c r="AE97" s="208" t="str">
        <f>IF(ROUND(BS!AE15,0)=ROUND(SUM(BS!AE16:AE17),0),"OK","ERROR")</f>
        <v>OK</v>
      </c>
      <c r="AF97" s="220" t="str">
        <f>IF(ROUND(BS!AF15,0)=ROUND(SUM(BS!AF16:AF17),0),"OK","ERROR")</f>
        <v>OK</v>
      </c>
      <c r="AG97" s="265"/>
      <c r="AH97" s="208" t="str">
        <f>IF(ROUND(BS!AH15,0)=ROUND(SUM(BS!AH16:AH17),0),"OK","ERROR")</f>
        <v>OK</v>
      </c>
      <c r="AI97" s="208" t="str">
        <f>IF(ROUND(BS!AI15,0)=ROUND(SUM(BS!AI16:AI17),0),"OK","ERROR")</f>
        <v>OK</v>
      </c>
      <c r="AJ97" s="208" t="str">
        <f>IF(ROUND(BS!AJ15,0)=ROUND(SUM(BS!AJ16:AJ17),0),"OK","ERROR")</f>
        <v>OK</v>
      </c>
      <c r="AK97" s="208" t="str">
        <f>IF(ROUND(BS!AK15,0)=ROUND(SUM(BS!AK16:AK17),0),"OK","ERROR")</f>
        <v>OK</v>
      </c>
      <c r="AL97" s="220" t="str">
        <f>IF(ROUND(BS!AL15,0)=ROUND(SUM(BS!AL16:AL17),0),"OK","ERROR")</f>
        <v>OK</v>
      </c>
      <c r="AM97" s="267"/>
      <c r="AN97" s="208" t="str">
        <f>IF(ROUND(BS!AN15,0)=ROUND(SUM(BS!AN16:AN17),0),"OK","ERROR")</f>
        <v>OK</v>
      </c>
      <c r="AO97" s="208" t="str">
        <f>IF(ROUND(BS!AO15,0)=ROUND(SUM(BS!AO16:AO17),0),"OK","ERROR")</f>
        <v>OK</v>
      </c>
      <c r="AP97" s="208" t="str">
        <f>IF(ROUND(BS!AP15,0)=ROUND(SUM(BS!AP16:AP17),0),"OK","ERROR")</f>
        <v>OK</v>
      </c>
      <c r="AQ97" s="208" t="str">
        <f>IF(ROUND(BS!AQ15,0)=ROUND(SUM(BS!AQ16:AQ17),0),"OK","ERROR")</f>
        <v>OK</v>
      </c>
      <c r="AR97" s="220" t="str">
        <f>IF(ROUND(BS!AR15,0)=ROUND(SUM(BS!AR16:AR17),0),"OK","ERROR")</f>
        <v>OK</v>
      </c>
      <c r="AS97" s="267"/>
      <c r="AT97" s="220" t="str">
        <f>IF(ROUND(BS!AT15,0)=ROUND(SUM(BS!AT16:AT17),0),"OK","ERROR")</f>
        <v>OK</v>
      </c>
      <c r="AU97" s="267"/>
      <c r="AV97" s="220" t="str">
        <f>IF(ROUND(BS!AV15,0)=ROUND(SUM(BS!AV16:AV17),0),"OK","ERROR")</f>
        <v>OK</v>
      </c>
      <c r="AW97" s="255"/>
      <c r="AX97" s="220" t="str">
        <f>IF(ROUND(BS!AX15,0)=ROUND(SUM(BS!AX16:AX17),0),"OK","ERROR")</f>
        <v>OK</v>
      </c>
    </row>
    <row r="98" spans="1:50" s="135" customFormat="1" ht="15" customHeight="1">
      <c r="A98" s="84"/>
      <c r="B98" s="59" t="s">
        <v>635</v>
      </c>
      <c r="C98" s="26"/>
      <c r="D98" s="217" t="str">
        <f>IF(ROUND(BS!D21,0)=ROUND(SUM(BS!D16:D20),0),"OK","ERROR")</f>
        <v>OK</v>
      </c>
      <c r="E98" s="217" t="str">
        <f>IF(ROUND(BS!E21,0)=ROUND(SUM(BS!E16:E20),0),"OK","ERROR")</f>
        <v>OK</v>
      </c>
      <c r="F98" s="217" t="str">
        <f>IF(ROUND(BS!F21,0)=ROUND(SUM(BS!F16:F20),0),"OK","ERROR")</f>
        <v>OK</v>
      </c>
      <c r="G98" s="217" t="str">
        <f>IF(ROUND(BS!G21,0)=ROUND(SUM(BS!G16:G20),0),"OK","ERROR")</f>
        <v>OK</v>
      </c>
      <c r="H98" s="227" t="str">
        <f>IF(ROUND(BS!H21,0)=ROUND(SUM(BS!H16:H20),0),"OK","ERROR")</f>
        <v>OK</v>
      </c>
      <c r="I98" s="268"/>
      <c r="J98" s="217" t="str">
        <f>IF(ROUND(BS!J21,0)=ROUND(SUM(BS!J16:J20),0),"OK","ERROR")</f>
        <v>OK</v>
      </c>
      <c r="K98" s="217" t="str">
        <f>IF(ROUND(BS!K21,0)=ROUND(SUM(BS!K16:K20),0),"OK","ERROR")</f>
        <v>OK</v>
      </c>
      <c r="L98" s="217" t="str">
        <f>IF(ROUND(BS!L21,0)=ROUND(SUM(BS!L16:L20),0),"OK","ERROR")</f>
        <v>OK</v>
      </c>
      <c r="M98" s="217" t="str">
        <f>IF(ROUND(BS!M21,0)=ROUND(SUM(BS!M16:M20),0),"OK","ERROR")</f>
        <v>OK</v>
      </c>
      <c r="N98" s="227" t="str">
        <f>IF(ROUND(BS!N21,0)=ROUND(SUM(BS!N16:N20),0),"OK","ERROR")</f>
        <v>OK</v>
      </c>
      <c r="O98" s="268"/>
      <c r="P98" s="217" t="str">
        <f>IF(ROUND(BS!P21,0)=ROUND(SUM(BS!P16:P20),0),"OK","ERROR")</f>
        <v>OK</v>
      </c>
      <c r="Q98" s="217" t="str">
        <f>IF(ROUND(BS!Q21,0)=ROUND(SUM(BS!Q16:Q20),0),"OK","ERROR")</f>
        <v>OK</v>
      </c>
      <c r="R98" s="217" t="str">
        <f>IF(ROUND(BS!R21,0)=ROUND(SUM(BS!R16:R20),0),"OK","ERROR")</f>
        <v>OK</v>
      </c>
      <c r="S98" s="217" t="str">
        <f>IF(ROUND(BS!S21,0)=ROUND(SUM(BS!S16:S20),0),"OK","ERROR")</f>
        <v>OK</v>
      </c>
      <c r="T98" s="227" t="str">
        <f>IF(ROUND(BS!T21,0)=ROUND(SUM(BS!T16:T20),0),"OK","ERROR")</f>
        <v>OK</v>
      </c>
      <c r="U98" s="268"/>
      <c r="V98" s="217" t="str">
        <f>IF(ROUND(BS!V21,0)=ROUND(SUM(BS!V16:V20),0),"OK","ERROR")</f>
        <v>OK</v>
      </c>
      <c r="W98" s="217" t="str">
        <f>IF(ROUND(BS!W21,0)=ROUND(SUM(BS!W16:W20),0),"OK","ERROR")</f>
        <v>OK</v>
      </c>
      <c r="X98" s="217" t="str">
        <f>IF(ROUND(BS!X21,0)=ROUND(SUM(BS!X16:X20),0),"OK","ERROR")</f>
        <v>OK</v>
      </c>
      <c r="Y98" s="217" t="str">
        <f>IF(ROUND(BS!Y21,0)=ROUND(SUM(BS!Y16:Y20),0),"OK","ERROR")</f>
        <v>OK</v>
      </c>
      <c r="Z98" s="227" t="str">
        <f>IF(ROUND(BS!Z21,0)=ROUND(SUM(BS!Z16:Z20),0),"OK","ERROR")</f>
        <v>OK</v>
      </c>
      <c r="AA98" s="269"/>
      <c r="AB98" s="217" t="str">
        <f>IF(ROUND(BS!AB21,0)=ROUND(SUM(BS!AB16:AB20),0),"OK","ERROR")</f>
        <v>OK</v>
      </c>
      <c r="AC98" s="217" t="str">
        <f>IF(ROUND(BS!AC21,0)=ROUND(SUM(BS!AC16:AC20),0),"OK","ERROR")</f>
        <v>OK</v>
      </c>
      <c r="AD98" s="217" t="str">
        <f>IF(ROUND(BS!AD21,0)=ROUND(SUM(BS!AD16:AD20),0),"OK","ERROR")</f>
        <v>OK</v>
      </c>
      <c r="AE98" s="217" t="str">
        <f>IF(ROUND(BS!AE21,0)=ROUND(SUM(BS!AE16:AE20),0),"OK","ERROR")</f>
        <v>OK</v>
      </c>
      <c r="AF98" s="227" t="str">
        <f>IF(ROUND(BS!AF21,0)=ROUND(SUM(BS!AF16:AF20),0),"OK","ERROR")</f>
        <v>OK</v>
      </c>
      <c r="AG98" s="270"/>
      <c r="AH98" s="217" t="str">
        <f>IF(ROUND(BS!AH21,0)=ROUND(SUM(BS!AH16:AH20),0),"OK","ERROR")</f>
        <v>OK</v>
      </c>
      <c r="AI98" s="217" t="str">
        <f>IF(ROUND(BS!AI21,0)=ROUND(SUM(BS!AI16:AI20),0),"OK","ERROR")</f>
        <v>OK</v>
      </c>
      <c r="AJ98" s="217" t="str">
        <f>IF(ROUND(BS!AJ21,0)=ROUND(SUM(BS!AJ16:AJ20),0),"OK","ERROR")</f>
        <v>OK</v>
      </c>
      <c r="AK98" s="217" t="str">
        <f>IF(ROUND(BS!AK21,0)=ROUND(SUM(BS!AK16:AK20),0),"OK","ERROR")</f>
        <v>OK</v>
      </c>
      <c r="AL98" s="227" t="str">
        <f>IF(ROUND(BS!AL21,0)=ROUND(SUM(BS!AL16:AL20),0),"OK","ERROR")</f>
        <v>OK</v>
      </c>
      <c r="AM98" s="271"/>
      <c r="AN98" s="217" t="str">
        <f>IF(ROUND(BS!AN21,0)=ROUND(SUM(BS!AN16:AN20),0),"OK","ERROR")</f>
        <v>OK</v>
      </c>
      <c r="AO98" s="217" t="str">
        <f>IF(ROUND(BS!AO21,0)=ROUND(SUM(BS!AO16:AO20),0),"OK","ERROR")</f>
        <v>OK</v>
      </c>
      <c r="AP98" s="217" t="str">
        <f>IF(ROUND(BS!AP21,0)=ROUND(SUM(BS!AP16:AP20),0),"OK","ERROR")</f>
        <v>OK</v>
      </c>
      <c r="AQ98" s="217" t="str">
        <f>IF(ROUND(BS!AQ21,0)=ROUND(SUM(BS!AQ16:AQ20),0),"OK","ERROR")</f>
        <v>OK</v>
      </c>
      <c r="AR98" s="227" t="str">
        <f>IF(ROUND(BS!AR21,0)=ROUND(SUM(BS!AR16:AR20),0),"OK","ERROR")</f>
        <v>OK</v>
      </c>
      <c r="AS98" s="271"/>
      <c r="AT98" s="227" t="str">
        <f>IF(ROUND(BS!AT21,0)=ROUND(SUM(BS!AT16:AT20),0),"OK","ERROR")</f>
        <v>OK</v>
      </c>
      <c r="AU98" s="271"/>
      <c r="AV98" s="227" t="str">
        <f>IF(ROUND(BS!AV21,0)=ROUND(SUM(BS!AV16:AV20),0),"OK","ERROR")</f>
        <v>OK</v>
      </c>
      <c r="AW98" s="272"/>
      <c r="AX98" s="227" t="str">
        <f>IF(ROUND(BS!AX21,0)=ROUND(SUM(BS!AX16:AX20),0),"OK","ERROR")</f>
        <v>OK</v>
      </c>
    </row>
    <row r="99" spans="1:50" s="41" customFormat="1" ht="15" customHeight="1">
      <c r="A99" s="43"/>
      <c r="B99" s="136"/>
      <c r="C99" s="17"/>
      <c r="D99" s="208"/>
      <c r="E99" s="208"/>
      <c r="F99" s="208"/>
      <c r="G99" s="208"/>
      <c r="H99" s="220"/>
      <c r="I99" s="248"/>
      <c r="J99" s="208"/>
      <c r="K99" s="208"/>
      <c r="L99" s="208"/>
      <c r="M99" s="208"/>
      <c r="N99" s="220"/>
      <c r="O99" s="248"/>
      <c r="P99" s="208"/>
      <c r="Q99" s="208"/>
      <c r="R99" s="208"/>
      <c r="S99" s="208"/>
      <c r="T99" s="220"/>
      <c r="U99" s="248"/>
      <c r="V99" s="208"/>
      <c r="W99" s="208"/>
      <c r="X99" s="208"/>
      <c r="Y99" s="208"/>
      <c r="Z99" s="220"/>
      <c r="AA99" s="263"/>
      <c r="AB99" s="208"/>
      <c r="AC99" s="208"/>
      <c r="AD99" s="208"/>
      <c r="AE99" s="208"/>
      <c r="AF99" s="220"/>
      <c r="AG99" s="265"/>
      <c r="AH99" s="208"/>
      <c r="AI99" s="208"/>
      <c r="AJ99" s="208"/>
      <c r="AK99" s="208"/>
      <c r="AL99" s="220"/>
      <c r="AM99" s="267"/>
      <c r="AN99" s="208"/>
      <c r="AO99" s="208"/>
      <c r="AP99" s="208"/>
      <c r="AQ99" s="208"/>
      <c r="AR99" s="220"/>
      <c r="AS99" s="267"/>
      <c r="AT99" s="220"/>
      <c r="AU99" s="267"/>
      <c r="AV99" s="220"/>
      <c r="AW99" s="255"/>
      <c r="AX99" s="220"/>
    </row>
    <row r="100" spans="1:50" s="113" customFormat="1" ht="15" customHeight="1">
      <c r="A100" s="44" t="s">
        <v>38</v>
      </c>
      <c r="B100" s="45" t="s">
        <v>636</v>
      </c>
      <c r="C100" s="115"/>
      <c r="D100" s="208"/>
      <c r="E100" s="208"/>
      <c r="F100" s="208"/>
      <c r="G100" s="208"/>
      <c r="H100" s="220"/>
      <c r="I100" s="256"/>
      <c r="J100" s="208"/>
      <c r="K100" s="208"/>
      <c r="L100" s="208"/>
      <c r="M100" s="208"/>
      <c r="N100" s="220"/>
      <c r="O100" s="256"/>
      <c r="P100" s="208"/>
      <c r="Q100" s="208"/>
      <c r="R100" s="208"/>
      <c r="S100" s="208"/>
      <c r="T100" s="220"/>
      <c r="U100" s="256"/>
      <c r="V100" s="208"/>
      <c r="W100" s="208"/>
      <c r="X100" s="208"/>
      <c r="Y100" s="208"/>
      <c r="Z100" s="220"/>
      <c r="AA100" s="273"/>
      <c r="AB100" s="208"/>
      <c r="AC100" s="208"/>
      <c r="AD100" s="208"/>
      <c r="AE100" s="208"/>
      <c r="AF100" s="220"/>
      <c r="AG100" s="274"/>
      <c r="AH100" s="208"/>
      <c r="AI100" s="208"/>
      <c r="AJ100" s="208"/>
      <c r="AK100" s="208"/>
      <c r="AL100" s="220"/>
      <c r="AM100" s="273"/>
      <c r="AN100" s="208"/>
      <c r="AO100" s="208"/>
      <c r="AP100" s="208"/>
      <c r="AQ100" s="208"/>
      <c r="AR100" s="220"/>
      <c r="AS100" s="273"/>
      <c r="AT100" s="220"/>
      <c r="AU100" s="273"/>
      <c r="AV100" s="220"/>
      <c r="AW100" s="261"/>
      <c r="AX100" s="220"/>
    </row>
    <row r="101" spans="1:50" s="113" customFormat="1" ht="15" customHeight="1">
      <c r="A101" s="44"/>
      <c r="B101" s="127" t="s">
        <v>451</v>
      </c>
      <c r="C101" s="115"/>
      <c r="D101" s="208" t="str">
        <f>IF(ROUND(BS!D24,0)=ROUND(BS!D25-BS!D26,0),"OK","ERROR")</f>
        <v>OK</v>
      </c>
      <c r="E101" s="208" t="str">
        <f>IF(ROUND(BS!E24,0)=ROUND(BS!E25-BS!E26,0),"OK","ERROR")</f>
        <v>OK</v>
      </c>
      <c r="F101" s="208" t="str">
        <f>IF(ROUND(BS!F24,0)=ROUND(BS!F25-BS!F26,0),"OK","ERROR")</f>
        <v>OK</v>
      </c>
      <c r="G101" s="208" t="str">
        <f>IF(ROUND(BS!G24,0)=ROUND(BS!G25-BS!G26,0),"OK","ERROR")</f>
        <v>OK</v>
      </c>
      <c r="H101" s="220" t="str">
        <f>IF(ROUND(BS!H24,0)=ROUND(BS!H25-BS!H26,0),"OK","ERROR")</f>
        <v>OK</v>
      </c>
      <c r="I101" s="256"/>
      <c r="J101" s="208" t="str">
        <f>IF(ROUND(BS!J24,0)=ROUND(BS!J25-BS!J26,0),"OK","ERROR")</f>
        <v>OK</v>
      </c>
      <c r="K101" s="208" t="str">
        <f>IF(ROUND(BS!K24,0)=ROUND(BS!K25-BS!K26,0),"OK","ERROR")</f>
        <v>OK</v>
      </c>
      <c r="L101" s="208" t="str">
        <f>IF(ROUND(BS!L24,0)=ROUND(BS!L25-BS!L26,0),"OK","ERROR")</f>
        <v>OK</v>
      </c>
      <c r="M101" s="208" t="str">
        <f>IF(ROUND(BS!M24,0)=ROUND(BS!M25-BS!M26,0),"OK","ERROR")</f>
        <v>OK</v>
      </c>
      <c r="N101" s="220" t="str">
        <f>IF(ROUND(BS!N24,0)=ROUND(BS!N25-BS!N26,0),"OK","ERROR")</f>
        <v>OK</v>
      </c>
      <c r="O101" s="256"/>
      <c r="P101" s="208" t="str">
        <f>IF(ROUND(BS!P24,0)=ROUND(BS!P25-BS!P26,0),"OK","ERROR")</f>
        <v>OK</v>
      </c>
      <c r="Q101" s="208" t="str">
        <f>IF(ROUND(BS!Q24,0)=ROUND(BS!Q25-BS!Q26,0),"OK","ERROR")</f>
        <v>ERROR</v>
      </c>
      <c r="R101" s="208" t="str">
        <f>IF(ROUND(BS!R24,0)=ROUND(BS!R25-BS!R26,0),"OK","ERROR")</f>
        <v>OK</v>
      </c>
      <c r="S101" s="208" t="str">
        <f>IF(ROUND(BS!S24,0)=ROUND(BS!S25-BS!S26,0),"OK","ERROR")</f>
        <v>OK</v>
      </c>
      <c r="T101" s="220" t="str">
        <f>IF(ROUND(BS!T24,0)=ROUND(BS!T25-BS!T26,0),"OK","ERROR")</f>
        <v>OK</v>
      </c>
      <c r="U101" s="256"/>
      <c r="V101" s="208" t="str">
        <f>IF(ROUND(BS!V24,0)=ROUND(BS!V25-BS!V26,0),"OK","ERROR")</f>
        <v>OK</v>
      </c>
      <c r="W101" s="208" t="str">
        <f>IF(ROUND(BS!W24,0)=ROUND(BS!W25-BS!W26,0),"OK","ERROR")</f>
        <v>ERROR</v>
      </c>
      <c r="X101" s="208" t="str">
        <f>IF(ROUND(BS!X24,0)=ROUND(BS!X25-BS!X26,0),"OK","ERROR")</f>
        <v>ERROR</v>
      </c>
      <c r="Y101" s="208" t="str">
        <f>IF(ROUND(BS!Y24,0)=ROUND(BS!Y25-BS!Y26,0),"OK","ERROR")</f>
        <v>OK</v>
      </c>
      <c r="Z101" s="220" t="str">
        <f>IF(ROUND(BS!Z24,0)=ROUND(BS!Z25-BS!Z26,0),"OK","ERROR")</f>
        <v>OK</v>
      </c>
      <c r="AA101" s="273"/>
      <c r="AB101" s="208" t="str">
        <f>IF(ROUND(BS!AB24,0)=ROUND(BS!AB25-BS!AB26,0),"OK","ERROR")</f>
        <v>OK</v>
      </c>
      <c r="AC101" s="208" t="str">
        <f>IF(ROUND(BS!AC24,0)=ROUND(BS!AC25-BS!AC26,0),"OK","ERROR")</f>
        <v>OK</v>
      </c>
      <c r="AD101" s="208" t="str">
        <f>IF(ROUND(BS!AD24,0)=ROUND(BS!AD25-BS!AD26,0),"OK","ERROR")</f>
        <v>OK</v>
      </c>
      <c r="AE101" s="208" t="str">
        <f>IF(ROUND(BS!AE24,0)=ROUND(BS!AE25-BS!AE26,0),"OK","ERROR")</f>
        <v>OK</v>
      </c>
      <c r="AF101" s="220" t="str">
        <f>IF(ROUND(BS!AF24,0)=ROUND(BS!AF25-BS!AF26,0),"OK","ERROR")</f>
        <v>OK</v>
      </c>
      <c r="AG101" s="274"/>
      <c r="AH101" s="208" t="str">
        <f>IF(ROUND(BS!AH24,0)=ROUND(BS!AH25-BS!AH26,0),"OK","ERROR")</f>
        <v>OK</v>
      </c>
      <c r="AI101" s="208" t="str">
        <f>IF(ROUND(BS!AI24,0)=ROUND(BS!AI25-BS!AI26,0),"OK","ERROR")</f>
        <v>OK</v>
      </c>
      <c r="AJ101" s="208" t="str">
        <f>IF(ROUND(BS!AJ24,0)=ROUND(BS!AJ25-BS!AJ26,0),"OK","ERROR")</f>
        <v>OK</v>
      </c>
      <c r="AK101" s="208" t="str">
        <f>IF(ROUND(BS!AK24,0)=ROUND(BS!AK25-BS!AK26,0),"OK","ERROR")</f>
        <v>OK</v>
      </c>
      <c r="AL101" s="220" t="str">
        <f>IF(ROUND(BS!AL24,0)=ROUND(BS!AL25-BS!AL26,0),"OK","ERROR")</f>
        <v>OK</v>
      </c>
      <c r="AM101" s="273"/>
      <c r="AN101" s="208" t="str">
        <f>IF(ROUND(BS!AN24,0)=ROUND(BS!AN25-BS!AN26,0),"OK","ERROR")</f>
        <v>OK</v>
      </c>
      <c r="AO101" s="208" t="str">
        <f>IF(ROUND(BS!AO24,0)=ROUND(BS!AO25-BS!AO26,0),"OK","ERROR")</f>
        <v>OK</v>
      </c>
      <c r="AP101" s="208" t="str">
        <f>IF(ROUND(BS!AP24,0)=ROUND(BS!AP25-BS!AP26,0),"OK","ERROR")</f>
        <v>OK</v>
      </c>
      <c r="AQ101" s="208" t="str">
        <f>IF(ROUND(BS!AQ24,0)=ROUND(BS!AQ25-BS!AQ26,0),"OK","ERROR")</f>
        <v>OK</v>
      </c>
      <c r="AR101" s="220" t="str">
        <f>IF(ROUND(BS!AR24,0)=ROUND(BS!AR25-BS!AR26,0),"OK","ERROR")</f>
        <v>OK</v>
      </c>
      <c r="AS101" s="273"/>
      <c r="AT101" s="220" t="str">
        <f>IF(ROUND(BS!AT24,0)=ROUND(BS!AT25-BS!AT26,0),"OK","ERROR")</f>
        <v>OK</v>
      </c>
      <c r="AU101" s="273"/>
      <c r="AV101" s="220" t="str">
        <f>IF(ROUND(BS!AV24,0)=ROUND(BS!AV25-BS!AV26,0),"OK","ERROR")</f>
        <v>OK</v>
      </c>
      <c r="AW101" s="261"/>
      <c r="AX101" s="220" t="str">
        <f>IF(ROUND(BS!AX24,0)=ROUND(BS!AX25-BS!AX26,0),"OK","ERROR")</f>
        <v>OK</v>
      </c>
    </row>
    <row r="102" spans="1:50" s="113" customFormat="1" ht="15" customHeight="1">
      <c r="A102" s="44"/>
      <c r="B102" s="127" t="s">
        <v>453</v>
      </c>
      <c r="C102" s="115"/>
      <c r="D102" s="208" t="str">
        <f>IF(ROUND(BS!D27,0)=ROUND(SUM(BS!D27:D29),0),"OK","ERROR")</f>
        <v>ERROR</v>
      </c>
      <c r="E102" s="208" t="str">
        <f>IF(ROUND(BS!E27,0)=ROUND(SUM(BS!E27:E29),0),"OK","ERROR")</f>
        <v>ERROR</v>
      </c>
      <c r="F102" s="208" t="str">
        <f>IF(ROUND(BS!F27,0)=ROUND(SUM(BS!F27:F29),0),"OK","ERROR")</f>
        <v>ERROR</v>
      </c>
      <c r="G102" s="208" t="str">
        <f>IF(ROUND(BS!G27,0)=ROUND(SUM(BS!G27:G29),0),"OK","ERROR")</f>
        <v>ERROR</v>
      </c>
      <c r="H102" s="220" t="str">
        <f>IF(ROUND(BS!H27,0)=ROUND(SUM(BS!H27:H29),0),"OK","ERROR")</f>
        <v>ERROR</v>
      </c>
      <c r="I102" s="256"/>
      <c r="J102" s="208" t="str">
        <f>IF(ROUND(BS!J27,0)=ROUND(SUM(BS!J27:J29),0),"OK","ERROR")</f>
        <v>ERROR</v>
      </c>
      <c r="K102" s="208" t="str">
        <f>IF(ROUND(BS!K27,0)=ROUND(SUM(BS!K27:K29),0),"OK","ERROR")</f>
        <v>ERROR</v>
      </c>
      <c r="L102" s="208" t="str">
        <f>IF(ROUND(BS!L27,0)=ROUND(SUM(BS!L27:L29),0),"OK","ERROR")</f>
        <v>ERROR</v>
      </c>
      <c r="M102" s="208" t="str">
        <f>IF(ROUND(BS!M27,0)=ROUND(SUM(BS!M27:M29),0),"OK","ERROR")</f>
        <v>ERROR</v>
      </c>
      <c r="N102" s="220" t="str">
        <f>IF(ROUND(BS!N27,0)=ROUND(SUM(BS!N27:N29),0),"OK","ERROR")</f>
        <v>ERROR</v>
      </c>
      <c r="O102" s="256"/>
      <c r="P102" s="208" t="str">
        <f>IF(ROUND(BS!P27,0)=ROUND(SUM(BS!P27:P29),0),"OK","ERROR")</f>
        <v>ERROR</v>
      </c>
      <c r="Q102" s="208" t="str">
        <f>IF(ROUND(BS!Q27,0)=ROUND(SUM(BS!Q27:Q29),0),"OK","ERROR")</f>
        <v>ERROR</v>
      </c>
      <c r="R102" s="208" t="str">
        <f>IF(ROUND(BS!R27,0)=ROUND(SUM(BS!R27:R29),0),"OK","ERROR")</f>
        <v>ERROR</v>
      </c>
      <c r="S102" s="208" t="str">
        <f>IF(ROUND(BS!S27,0)=ROUND(SUM(BS!S27:S29),0),"OK","ERROR")</f>
        <v>ERROR</v>
      </c>
      <c r="T102" s="220" t="str">
        <f>IF(ROUND(BS!T27,0)=ROUND(SUM(BS!T27:T29),0),"OK","ERROR")</f>
        <v>ERROR</v>
      </c>
      <c r="U102" s="256"/>
      <c r="V102" s="208" t="str">
        <f>IF(ROUND(BS!V27,0)=ROUND(SUM(BS!V27:V29),0),"OK","ERROR")</f>
        <v>ERROR</v>
      </c>
      <c r="W102" s="208" t="str">
        <f>IF(ROUND(BS!W27,0)=ROUND(SUM(BS!W27:W29),0),"OK","ERROR")</f>
        <v>ERROR</v>
      </c>
      <c r="X102" s="208" t="str">
        <f>IF(ROUND(BS!X27,0)=ROUND(SUM(BS!X27:X29),0),"OK","ERROR")</f>
        <v>ERROR</v>
      </c>
      <c r="Y102" s="208" t="str">
        <f>IF(ROUND(BS!Y27,0)=ROUND(SUM(BS!Y27:Y29),0),"OK","ERROR")</f>
        <v>ERROR</v>
      </c>
      <c r="Z102" s="220" t="str">
        <f>IF(ROUND(BS!Z27,0)=ROUND(SUM(BS!Z27:Z29),0),"OK","ERROR")</f>
        <v>ERROR</v>
      </c>
      <c r="AA102" s="273"/>
      <c r="AB102" s="208" t="str">
        <f>IF(ROUND(BS!AB27,0)=ROUND(SUM(BS!AB27:AB29),0),"OK","ERROR")</f>
        <v>ERROR</v>
      </c>
      <c r="AC102" s="208" t="str">
        <f>IF(ROUND(BS!AC27,0)=ROUND(SUM(BS!AC27:AC29),0),"OK","ERROR")</f>
        <v>ERROR</v>
      </c>
      <c r="AD102" s="208" t="str">
        <f>IF(ROUND(BS!AD27,0)=ROUND(SUM(BS!AD27:AD29),0),"OK","ERROR")</f>
        <v>ERROR</v>
      </c>
      <c r="AE102" s="208" t="str">
        <f>IF(ROUND(BS!AE27,0)=ROUND(SUM(BS!AE27:AE29),0),"OK","ERROR")</f>
        <v>ERROR</v>
      </c>
      <c r="AF102" s="220" t="str">
        <f>IF(ROUND(BS!AF27,0)=ROUND(SUM(BS!AF27:AF29),0),"OK","ERROR")</f>
        <v>ERROR</v>
      </c>
      <c r="AG102" s="274"/>
      <c r="AH102" s="208" t="str">
        <f>IF(ROUND(BS!AH27,0)=ROUND(SUM(BS!AH27:AH29),0),"OK","ERROR")</f>
        <v>ERROR</v>
      </c>
      <c r="AI102" s="208" t="str">
        <f>IF(ROUND(BS!AI27,0)=ROUND(SUM(BS!AI27:AI29),0),"OK","ERROR")</f>
        <v>ERROR</v>
      </c>
      <c r="AJ102" s="208" t="str">
        <f>IF(ROUND(BS!AJ27,0)=ROUND(SUM(BS!AJ27:AJ29),0),"OK","ERROR")</f>
        <v>OK</v>
      </c>
      <c r="AK102" s="208" t="str">
        <f>IF(ROUND(BS!AK27,0)=ROUND(SUM(BS!AK27:AK29),0),"OK","ERROR")</f>
        <v>OK</v>
      </c>
      <c r="AL102" s="220" t="str">
        <f>IF(ROUND(BS!AL27,0)=ROUND(SUM(BS!AL27:AL29),0),"OK","ERROR")</f>
        <v>OK</v>
      </c>
      <c r="AM102" s="273"/>
      <c r="AN102" s="208" t="str">
        <f>IF(ROUND(BS!AN27,0)=ROUND(SUM(BS!AN27:AN29),0),"OK","ERROR")</f>
        <v>OK</v>
      </c>
      <c r="AO102" s="208" t="str">
        <f>IF(ROUND(BS!AO27,0)=ROUND(SUM(BS!AO27:AO29),0),"OK","ERROR")</f>
        <v>OK</v>
      </c>
      <c r="AP102" s="208" t="str">
        <f>IF(ROUND(BS!AP27,0)=ROUND(SUM(BS!AP27:AP29),0),"OK","ERROR")</f>
        <v>OK</v>
      </c>
      <c r="AQ102" s="208" t="str">
        <f>IF(ROUND(BS!AQ27,0)=ROUND(SUM(BS!AQ27:AQ29),0),"OK","ERROR")</f>
        <v>OK</v>
      </c>
      <c r="AR102" s="220" t="str">
        <f>IF(ROUND(BS!AR27,0)=ROUND(SUM(BS!AR27:AR29),0),"OK","ERROR")</f>
        <v>OK</v>
      </c>
      <c r="AS102" s="273"/>
      <c r="AT102" s="220" t="str">
        <f>IF(ROUND(BS!AT27,0)=ROUND(SUM(BS!AT27:AT29),0),"OK","ERROR")</f>
        <v>OK</v>
      </c>
      <c r="AU102" s="273"/>
      <c r="AV102" s="220" t="str">
        <f>IF(ROUND(BS!AV27,0)=ROUND(SUM(BS!AV27:AV29),0),"OK","ERROR")</f>
        <v>OK</v>
      </c>
      <c r="AW102" s="261"/>
      <c r="AX102" s="220" t="str">
        <f>IF(ROUND(BS!AX27,0)=ROUND(SUM(BS!AX27:AX29),0),"OK","ERROR")</f>
        <v>OK</v>
      </c>
    </row>
    <row r="103" spans="1:50" s="41" customFormat="1" ht="15" customHeight="1">
      <c r="A103" s="43"/>
      <c r="B103" s="138" t="s">
        <v>641</v>
      </c>
      <c r="C103" s="17"/>
      <c r="D103" s="217" t="str">
        <f>IF(ROUND(BS!D31,0)=ROUND(SUM(BS!D24,BS!D27,BS!D30),0),"OK","ERROR")</f>
        <v>OK</v>
      </c>
      <c r="E103" s="217" t="str">
        <f>IF(ROUND(BS!E31,0)=ROUND(SUM(BS!E24,BS!E27,BS!E30),0),"OK","ERROR")</f>
        <v>OK</v>
      </c>
      <c r="F103" s="217" t="str">
        <f>IF(ROUND(BS!F31,0)=ROUND(SUM(BS!F24,BS!F27,BS!F30),0),"OK","ERROR")</f>
        <v>OK</v>
      </c>
      <c r="G103" s="217" t="str">
        <f>IF(ROUND(BS!G31,0)=ROUND(SUM(BS!G24,BS!G27,BS!G30),0),"OK","ERROR")</f>
        <v>OK</v>
      </c>
      <c r="H103" s="226" t="str">
        <f>IF(ROUND(BS!H31,0)=ROUND(SUM(BS!H24,BS!H27,BS!H30),0),"OK","ERROR")</f>
        <v>OK</v>
      </c>
      <c r="I103" s="248"/>
      <c r="J103" s="217" t="str">
        <f>IF(ROUND(BS!J31,0)=ROUND(SUM(BS!J24,BS!J27,BS!J30),0),"OK","ERROR")</f>
        <v>OK</v>
      </c>
      <c r="K103" s="217" t="str">
        <f>IF(ROUND(BS!K31,0)=ROUND(SUM(BS!K24,BS!K27,BS!K30),0),"OK","ERROR")</f>
        <v>OK</v>
      </c>
      <c r="L103" s="217" t="str">
        <f>IF(ROUND(BS!L31,0)=ROUND(SUM(BS!L24,BS!L27,BS!L30),0),"OK","ERROR")</f>
        <v>OK</v>
      </c>
      <c r="M103" s="217" t="str">
        <f>IF(ROUND(BS!M31,0)=ROUND(SUM(BS!M24,BS!M27,BS!M30),0),"OK","ERROR")</f>
        <v>OK</v>
      </c>
      <c r="N103" s="226" t="str">
        <f>IF(ROUND(BS!N31,0)=ROUND(SUM(BS!N24,BS!N27,BS!N30),0),"OK","ERROR")</f>
        <v>OK</v>
      </c>
      <c r="O103" s="248"/>
      <c r="P103" s="217" t="str">
        <f>IF(ROUND(BS!P31,0)=ROUND(SUM(BS!P24,BS!P27,BS!P30),0),"OK","ERROR")</f>
        <v>OK</v>
      </c>
      <c r="Q103" s="217" t="str">
        <f>IF(ROUND(BS!Q31,0)=ROUND(SUM(BS!Q24,BS!Q27,BS!Q30),0),"OK","ERROR")</f>
        <v>OK</v>
      </c>
      <c r="R103" s="217" t="str">
        <f>IF(ROUND(BS!R31,0)=ROUND(SUM(BS!R24,BS!R27,BS!R30),0),"OK","ERROR")</f>
        <v>OK</v>
      </c>
      <c r="S103" s="217" t="str">
        <f>IF(ROUND(BS!S31,0)=ROUND(SUM(BS!S24,BS!S27,BS!S30),0),"OK","ERROR")</f>
        <v>OK</v>
      </c>
      <c r="T103" s="226" t="str">
        <f>IF(ROUND(BS!T31,0)=ROUND(SUM(BS!T24,BS!T27,BS!T30),0),"OK","ERROR")</f>
        <v>OK</v>
      </c>
      <c r="U103" s="248"/>
      <c r="V103" s="217" t="str">
        <f>IF(ROUND(BS!V31,0)=ROUND(SUM(BS!V24,BS!V27,BS!V30),0),"OK","ERROR")</f>
        <v>OK</v>
      </c>
      <c r="W103" s="217" t="str">
        <f>IF(ROUND(BS!W31,0)=ROUND(SUM(BS!W24,BS!W27,BS!W30),0),"OK","ERROR")</f>
        <v>OK</v>
      </c>
      <c r="X103" s="217" t="str">
        <f>IF(ROUND(BS!X31,0)=ROUND(SUM(BS!X24,BS!X27,BS!X30),0),"OK","ERROR")</f>
        <v>OK</v>
      </c>
      <c r="Y103" s="217" t="str">
        <f>IF(ROUND(BS!Y31,0)=ROUND(SUM(BS!Y24,BS!Y27,BS!Y30),0),"OK","ERROR")</f>
        <v>OK</v>
      </c>
      <c r="Z103" s="226" t="str">
        <f>IF(ROUND(BS!Z31,0)=ROUND(SUM(BS!Z24,BS!Z27,BS!Z30),0),"OK","ERROR")</f>
        <v>OK</v>
      </c>
      <c r="AA103" s="263"/>
      <c r="AB103" s="217" t="str">
        <f>IF(ROUND(BS!AB31,0)=ROUND(SUM(BS!AB24,BS!AB27,BS!AB30),0),"OK","ERROR")</f>
        <v>OK</v>
      </c>
      <c r="AC103" s="217" t="str">
        <f>IF(ROUND(BS!AC31,0)=ROUND(SUM(BS!AC24,BS!AC27,BS!AC30),0),"OK","ERROR")</f>
        <v>OK</v>
      </c>
      <c r="AD103" s="217" t="str">
        <f>IF(ROUND(BS!AD31,0)=ROUND(SUM(BS!AD24,BS!AD27,BS!AD30),0),"OK","ERROR")</f>
        <v>OK</v>
      </c>
      <c r="AE103" s="217" t="str">
        <f>IF(ROUND(BS!AE31,0)=ROUND(SUM(BS!AE24,BS!AE27,BS!AE30),0),"OK","ERROR")</f>
        <v>OK</v>
      </c>
      <c r="AF103" s="226" t="str">
        <f>IF(ROUND(BS!AF31,0)=ROUND(SUM(BS!AF24,BS!AF27,BS!AF30),0),"OK","ERROR")</f>
        <v>OK</v>
      </c>
      <c r="AG103" s="265"/>
      <c r="AH103" s="217" t="str">
        <f>IF(ROUND(BS!AH31,0)=ROUND(SUM(BS!AH24,BS!AH27,BS!AH30),0),"OK","ERROR")</f>
        <v>OK</v>
      </c>
      <c r="AI103" s="217" t="str">
        <f>IF(ROUND(BS!AI31,0)=ROUND(SUM(BS!AI24,BS!AI27,BS!AI30),0),"OK","ERROR")</f>
        <v>OK</v>
      </c>
      <c r="AJ103" s="217" t="str">
        <f>IF(ROUND(BS!AJ31,0)=ROUND(SUM(BS!AJ24,BS!AJ27,BS!AJ30),0),"OK","ERROR")</f>
        <v>OK</v>
      </c>
      <c r="AK103" s="217" t="str">
        <f>IF(ROUND(BS!AK31,0)=ROUND(SUM(BS!AK24,BS!AK27,BS!AK30),0),"OK","ERROR")</f>
        <v>OK</v>
      </c>
      <c r="AL103" s="226" t="str">
        <f>IF(ROUND(BS!AL31,0)=ROUND(SUM(BS!AL24,BS!AL27,BS!AL30),0),"OK","ERROR")</f>
        <v>OK</v>
      </c>
      <c r="AM103" s="275"/>
      <c r="AN103" s="217" t="str">
        <f>IF(ROUND(BS!AN31,0)=ROUND(SUM(BS!AN24,BS!AN27,BS!AN30),0),"OK","ERROR")</f>
        <v>OK</v>
      </c>
      <c r="AO103" s="217" t="str">
        <f>IF(ROUND(BS!AO31,0)=ROUND(SUM(BS!AO24,BS!AO27,BS!AO30),0),"OK","ERROR")</f>
        <v>OK</v>
      </c>
      <c r="AP103" s="217" t="str">
        <f>IF(ROUND(BS!AP31,0)=ROUND(SUM(BS!AP24,BS!AP27,BS!AP30),0),"OK","ERROR")</f>
        <v>OK</v>
      </c>
      <c r="AQ103" s="217" t="str">
        <f>IF(ROUND(BS!AQ31,0)=ROUND(SUM(BS!AQ24,BS!AQ27,BS!AQ30),0),"OK","ERROR")</f>
        <v>OK</v>
      </c>
      <c r="AR103" s="226" t="str">
        <f>IF(ROUND(BS!AR31,0)=ROUND(SUM(BS!AR24,BS!AR27,BS!AR30),0),"OK","ERROR")</f>
        <v>OK</v>
      </c>
      <c r="AS103" s="275"/>
      <c r="AT103" s="226" t="str">
        <f>IF(ROUND(BS!AT31,0)=ROUND(SUM(BS!AT24,BS!AT27,BS!AT30),0),"OK","ERROR")</f>
        <v>OK</v>
      </c>
      <c r="AU103" s="275"/>
      <c r="AV103" s="226" t="str">
        <f>IF(ROUND(BS!AV31,0)=ROUND(SUM(BS!AV24,BS!AV27,BS!AV30),0),"OK","ERROR")</f>
        <v>OK</v>
      </c>
      <c r="AW103" s="255"/>
      <c r="AX103" s="226" t="str">
        <f>IF(ROUND(BS!AX31,0)=ROUND(SUM(BS!AX24,BS!AX27,BS!AX30),0),"OK","ERROR")</f>
        <v>OK</v>
      </c>
    </row>
    <row r="104" spans="1:50" s="113" customFormat="1" ht="15" customHeight="1" thickBot="1">
      <c r="B104" s="140" t="s">
        <v>642</v>
      </c>
      <c r="C104" s="115"/>
      <c r="D104" s="217" t="str">
        <f>IF(ROUND(SUM(BS!D21,BS!D31),0)=ROUND(BS!D32,0),"OK","ERROR")</f>
        <v>OK</v>
      </c>
      <c r="E104" s="217" t="str">
        <f>IF(ROUND(SUM(BS!E21,BS!E31),0)=ROUND(BS!E32,0),"OK","ERROR")</f>
        <v>OK</v>
      </c>
      <c r="F104" s="217" t="str">
        <f>IF(ROUND(SUM(BS!F21,BS!F31),0)=ROUND(BS!F32,0),"OK","ERROR")</f>
        <v>OK</v>
      </c>
      <c r="G104" s="217" t="str">
        <f>IF(ROUND(SUM(BS!G21,BS!G31),0)=ROUND(BS!G32,0),"OK","ERROR")</f>
        <v>OK</v>
      </c>
      <c r="H104" s="237" t="str">
        <f>IF(ROUND(SUM(BS!H21,BS!H31),0)=ROUND(BS!H32,0),"OK","ERROR")</f>
        <v>OK</v>
      </c>
      <c r="I104" s="256"/>
      <c r="J104" s="217" t="str">
        <f>IF(ROUND(SUM(BS!J21,BS!J31),0)=ROUND(BS!J32,0),"OK","ERROR")</f>
        <v>OK</v>
      </c>
      <c r="K104" s="217" t="str">
        <f>IF(ROUND(SUM(BS!K21,BS!K31),0)=ROUND(BS!K32,0),"OK","ERROR")</f>
        <v>OK</v>
      </c>
      <c r="L104" s="217" t="str">
        <f>IF(ROUND(SUM(BS!L21,BS!L31),0)=ROUND(BS!L32,0),"OK","ERROR")</f>
        <v>OK</v>
      </c>
      <c r="M104" s="217" t="str">
        <f>IF(ROUND(SUM(BS!M21,BS!M31),0)=ROUND(BS!M32,0),"OK","ERROR")</f>
        <v>OK</v>
      </c>
      <c r="N104" s="237" t="str">
        <f>IF(ROUND(SUM(BS!N21,BS!N31),0)=ROUND(BS!N32,0),"OK","ERROR")</f>
        <v>OK</v>
      </c>
      <c r="O104" s="256"/>
      <c r="P104" s="217" t="str">
        <f>IF(ROUND(SUM(BS!P21,BS!P31),0)=ROUND(BS!P32,0),"OK","ERROR")</f>
        <v>OK</v>
      </c>
      <c r="Q104" s="217" t="str">
        <f>IF(ROUND(SUM(BS!Q21,BS!Q31),0)=ROUND(BS!Q32,0),"OK","ERROR")</f>
        <v>OK</v>
      </c>
      <c r="R104" s="217" t="str">
        <f>IF(ROUND(SUM(BS!R21,BS!R31),0)=ROUND(BS!R32,0),"OK","ERROR")</f>
        <v>OK</v>
      </c>
      <c r="S104" s="217" t="str">
        <f>IF(ROUND(SUM(BS!S21,BS!S31),0)=ROUND(BS!S32,0),"OK","ERROR")</f>
        <v>OK</v>
      </c>
      <c r="T104" s="237" t="str">
        <f>IF(ROUND(SUM(BS!T21,BS!T31),0)=ROUND(BS!T32,0),"OK","ERROR")</f>
        <v>OK</v>
      </c>
      <c r="U104" s="256"/>
      <c r="V104" s="217" t="str">
        <f>IF(ROUND(SUM(BS!V21,BS!V31),0)=ROUND(BS!V32,0),"OK","ERROR")</f>
        <v>OK</v>
      </c>
      <c r="W104" s="217" t="str">
        <f>IF(ROUND(SUM(BS!W21,BS!W31),0)=ROUND(BS!W32,0),"OK","ERROR")</f>
        <v>OK</v>
      </c>
      <c r="X104" s="217" t="str">
        <f>IF(ROUND(SUM(BS!X21,BS!X31),0)=ROUND(BS!X32,0),"OK","ERROR")</f>
        <v>OK</v>
      </c>
      <c r="Y104" s="217" t="str">
        <f>IF(ROUND(SUM(BS!Y21,BS!Y31),0)=ROUND(BS!Y32,0),"OK","ERROR")</f>
        <v>OK</v>
      </c>
      <c r="Z104" s="237" t="str">
        <f>IF(ROUND(SUM(BS!Z21,BS!Z31),0)=ROUND(BS!Z32,0),"OK","ERROR")</f>
        <v>OK</v>
      </c>
      <c r="AA104" s="276"/>
      <c r="AB104" s="217" t="str">
        <f>IF(ROUND(SUM(BS!AB21,BS!AB31),0)=ROUND(BS!AB32,0),"OK","ERROR")</f>
        <v>OK</v>
      </c>
      <c r="AC104" s="217" t="str">
        <f>IF(ROUND(SUM(BS!AC21,BS!AC31),0)=ROUND(BS!AC32,0),"OK","ERROR")</f>
        <v>OK</v>
      </c>
      <c r="AD104" s="217" t="str">
        <f>IF(ROUND(SUM(BS!AD21,BS!AD31),0)=ROUND(BS!AD32,0),"OK","ERROR")</f>
        <v>OK</v>
      </c>
      <c r="AE104" s="217" t="str">
        <f>IF(ROUND(SUM(BS!AE21,BS!AE31),0)=ROUND(BS!AE32,0),"OK","ERROR")</f>
        <v>OK</v>
      </c>
      <c r="AF104" s="237" t="str">
        <f>IF(ROUND(SUM(BS!AF21,BS!AF31),0)=ROUND(BS!AF32,0),"OK","ERROR")</f>
        <v>OK</v>
      </c>
      <c r="AG104" s="274"/>
      <c r="AH104" s="217" t="str">
        <f>IF(ROUND(SUM(BS!AH21,BS!AH31),0)=ROUND(BS!AH32,0),"OK","ERROR")</f>
        <v>OK</v>
      </c>
      <c r="AI104" s="217" t="str">
        <f>IF(ROUND(SUM(BS!AI21,BS!AI31),0)=ROUND(BS!AI32,0),"OK","ERROR")</f>
        <v>OK</v>
      </c>
      <c r="AJ104" s="217" t="str">
        <f>IF(ROUND(SUM(BS!AJ21,BS!AJ31),0)=ROUND(BS!AJ32,0),"OK","ERROR")</f>
        <v>OK</v>
      </c>
      <c r="AK104" s="217" t="str">
        <f>IF(ROUND(SUM(BS!AK21,BS!AK31),0)=ROUND(BS!AK32,0),"OK","ERROR")</f>
        <v>OK</v>
      </c>
      <c r="AL104" s="237" t="str">
        <f>IF(ROUND(SUM(BS!AL21,BS!AL31),0)=ROUND(BS!AL32,0),"OK","ERROR")</f>
        <v>OK</v>
      </c>
      <c r="AM104" s="273"/>
      <c r="AN104" s="217" t="str">
        <f>IF(ROUND(SUM(BS!AN21,BS!AN31),0)=ROUND(BS!AN32,0),"OK","ERROR")</f>
        <v>OK</v>
      </c>
      <c r="AO104" s="217" t="str">
        <f>IF(ROUND(SUM(BS!AO21,BS!AO31),0)=ROUND(BS!AO32,0),"OK","ERROR")</f>
        <v>OK</v>
      </c>
      <c r="AP104" s="217" t="str">
        <f>IF(ROUND(SUM(BS!AP21,BS!AP31),0)=ROUND(BS!AP32,0),"OK","ERROR")</f>
        <v>OK</v>
      </c>
      <c r="AQ104" s="217" t="str">
        <f>IF(ROUND(SUM(BS!AQ21,BS!AQ31),0)=ROUND(BS!AQ32,0),"OK","ERROR")</f>
        <v>OK</v>
      </c>
      <c r="AR104" s="237" t="str">
        <f>IF(ROUND(SUM(BS!AR21,BS!AR31),0)=ROUND(BS!AR32,0),"OK","ERROR")</f>
        <v>OK</v>
      </c>
      <c r="AS104" s="273"/>
      <c r="AT104" s="237" t="str">
        <f>IF(ROUND(SUM(BS!AT21,BS!AT31),0)=ROUND(BS!AT32,0),"OK","ERROR")</f>
        <v>OK</v>
      </c>
      <c r="AU104" s="273"/>
      <c r="AV104" s="237" t="str">
        <f>IF(ROUND(SUM(BS!AV21,BS!AV31),0)=ROUND(BS!AV32,0),"OK","ERROR")</f>
        <v>OK</v>
      </c>
      <c r="AW104" s="261"/>
      <c r="AX104" s="237" t="str">
        <f>IF(ROUND(SUM(BS!AX21,BS!AX31),0)=ROUND(BS!AX32,0),"OK","ERROR")</f>
        <v>OK</v>
      </c>
    </row>
    <row r="105" spans="1:50" s="147" customFormat="1" ht="15" customHeight="1" thickTop="1">
      <c r="A105" s="142"/>
      <c r="B105" s="143"/>
      <c r="C105" s="27"/>
      <c r="D105" s="208"/>
      <c r="E105" s="208"/>
      <c r="F105" s="208"/>
      <c r="G105" s="208"/>
      <c r="H105" s="220"/>
      <c r="I105" s="277"/>
      <c r="J105" s="208"/>
      <c r="K105" s="208"/>
      <c r="L105" s="208"/>
      <c r="M105" s="208"/>
      <c r="N105" s="220"/>
      <c r="O105" s="277"/>
      <c r="P105" s="208"/>
      <c r="Q105" s="208"/>
      <c r="R105" s="208"/>
      <c r="S105" s="208"/>
      <c r="T105" s="220"/>
      <c r="U105" s="277"/>
      <c r="V105" s="208"/>
      <c r="W105" s="208"/>
      <c r="X105" s="208"/>
      <c r="Y105" s="208"/>
      <c r="Z105" s="220"/>
      <c r="AA105" s="278"/>
      <c r="AB105" s="208"/>
      <c r="AC105" s="208"/>
      <c r="AD105" s="208"/>
      <c r="AE105" s="208"/>
      <c r="AF105" s="220"/>
      <c r="AG105" s="279"/>
      <c r="AH105" s="208"/>
      <c r="AI105" s="208"/>
      <c r="AJ105" s="208"/>
      <c r="AK105" s="208"/>
      <c r="AL105" s="220"/>
      <c r="AM105" s="280"/>
      <c r="AN105" s="208"/>
      <c r="AO105" s="208"/>
      <c r="AP105" s="208"/>
      <c r="AQ105" s="208"/>
      <c r="AR105" s="220"/>
      <c r="AS105" s="280"/>
      <c r="AT105" s="220"/>
      <c r="AU105" s="280"/>
      <c r="AV105" s="220"/>
      <c r="AW105" s="281"/>
      <c r="AX105" s="220"/>
    </row>
    <row r="106" spans="1:50" s="113" customFormat="1" ht="15" customHeight="1">
      <c r="A106" s="44"/>
      <c r="B106" s="64" t="s">
        <v>643</v>
      </c>
      <c r="C106" s="115"/>
      <c r="D106" s="208"/>
      <c r="E106" s="208"/>
      <c r="F106" s="208"/>
      <c r="G106" s="208"/>
      <c r="H106" s="220"/>
      <c r="I106" s="256"/>
      <c r="J106" s="208"/>
      <c r="K106" s="208"/>
      <c r="L106" s="208"/>
      <c r="M106" s="208"/>
      <c r="N106" s="220"/>
      <c r="O106" s="256"/>
      <c r="P106" s="208"/>
      <c r="Q106" s="208"/>
      <c r="R106" s="208"/>
      <c r="S106" s="208"/>
      <c r="T106" s="220"/>
      <c r="U106" s="256"/>
      <c r="V106" s="208"/>
      <c r="W106" s="208"/>
      <c r="X106" s="208"/>
      <c r="Y106" s="208"/>
      <c r="Z106" s="220"/>
      <c r="AA106" s="257"/>
      <c r="AB106" s="208"/>
      <c r="AC106" s="208"/>
      <c r="AD106" s="208"/>
      <c r="AE106" s="208"/>
      <c r="AF106" s="220"/>
      <c r="AG106" s="258"/>
      <c r="AH106" s="208"/>
      <c r="AI106" s="208"/>
      <c r="AJ106" s="208"/>
      <c r="AK106" s="208"/>
      <c r="AL106" s="220"/>
      <c r="AM106" s="257"/>
      <c r="AN106" s="208"/>
      <c r="AO106" s="208"/>
      <c r="AP106" s="208"/>
      <c r="AQ106" s="208"/>
      <c r="AR106" s="220"/>
      <c r="AS106" s="257"/>
      <c r="AT106" s="220"/>
      <c r="AU106" s="257"/>
      <c r="AV106" s="220"/>
      <c r="AW106" s="261"/>
      <c r="AX106" s="220"/>
    </row>
    <row r="107" spans="1:50" s="147" customFormat="1" ht="15" customHeight="1">
      <c r="A107" s="142"/>
      <c r="B107" s="143"/>
      <c r="C107" s="27"/>
      <c r="D107" s="208"/>
      <c r="E107" s="208"/>
      <c r="F107" s="208"/>
      <c r="G107" s="208"/>
      <c r="H107" s="220"/>
      <c r="I107" s="277"/>
      <c r="J107" s="208"/>
      <c r="K107" s="208"/>
      <c r="L107" s="208"/>
      <c r="M107" s="208"/>
      <c r="N107" s="220"/>
      <c r="O107" s="277"/>
      <c r="P107" s="208"/>
      <c r="Q107" s="208"/>
      <c r="R107" s="208"/>
      <c r="S107" s="208"/>
      <c r="T107" s="220"/>
      <c r="U107" s="277"/>
      <c r="V107" s="208"/>
      <c r="W107" s="208"/>
      <c r="X107" s="208"/>
      <c r="Y107" s="208"/>
      <c r="Z107" s="220"/>
      <c r="AA107" s="278"/>
      <c r="AB107" s="208"/>
      <c r="AC107" s="208"/>
      <c r="AD107" s="208"/>
      <c r="AE107" s="208"/>
      <c r="AF107" s="220"/>
      <c r="AG107" s="279"/>
      <c r="AH107" s="208"/>
      <c r="AI107" s="208"/>
      <c r="AJ107" s="208"/>
      <c r="AK107" s="208"/>
      <c r="AL107" s="220"/>
      <c r="AM107" s="282"/>
      <c r="AN107" s="208"/>
      <c r="AO107" s="208"/>
      <c r="AP107" s="208"/>
      <c r="AQ107" s="208"/>
      <c r="AR107" s="220"/>
      <c r="AS107" s="275"/>
      <c r="AT107" s="220"/>
      <c r="AU107" s="275"/>
      <c r="AV107" s="220"/>
      <c r="AW107" s="281"/>
      <c r="AX107" s="220"/>
    </row>
    <row r="108" spans="1:50" s="113" customFormat="1" ht="15" customHeight="1">
      <c r="A108" s="44" t="s">
        <v>38</v>
      </c>
      <c r="B108" s="114" t="s">
        <v>644</v>
      </c>
      <c r="C108" s="115"/>
      <c r="D108" s="208"/>
      <c r="E108" s="208"/>
      <c r="F108" s="208"/>
      <c r="G108" s="208"/>
      <c r="H108" s="220"/>
      <c r="I108" s="256"/>
      <c r="J108" s="208"/>
      <c r="K108" s="208"/>
      <c r="L108" s="208"/>
      <c r="M108" s="208"/>
      <c r="N108" s="220"/>
      <c r="O108" s="256"/>
      <c r="P108" s="208"/>
      <c r="Q108" s="208"/>
      <c r="R108" s="208"/>
      <c r="S108" s="208"/>
      <c r="T108" s="220"/>
      <c r="U108" s="256"/>
      <c r="V108" s="208"/>
      <c r="W108" s="208"/>
      <c r="X108" s="208"/>
      <c r="Y108" s="208"/>
      <c r="Z108" s="220"/>
      <c r="AA108" s="257"/>
      <c r="AB108" s="208"/>
      <c r="AC108" s="208"/>
      <c r="AD108" s="208"/>
      <c r="AE108" s="208"/>
      <c r="AF108" s="220"/>
      <c r="AG108" s="258"/>
      <c r="AH108" s="208"/>
      <c r="AI108" s="208"/>
      <c r="AJ108" s="208"/>
      <c r="AK108" s="208"/>
      <c r="AL108" s="220"/>
      <c r="AM108" s="283"/>
      <c r="AN108" s="208"/>
      <c r="AO108" s="208"/>
      <c r="AP108" s="208"/>
      <c r="AQ108" s="208"/>
      <c r="AR108" s="220"/>
      <c r="AS108" s="257"/>
      <c r="AT108" s="220"/>
      <c r="AU108" s="257"/>
      <c r="AV108" s="220"/>
      <c r="AW108" s="261"/>
      <c r="AX108" s="220"/>
    </row>
    <row r="109" spans="1:50" s="113" customFormat="1" ht="15" customHeight="1">
      <c r="B109" s="138" t="s">
        <v>649</v>
      </c>
      <c r="C109" s="115"/>
      <c r="D109" s="217" t="str">
        <f>IF(ROUND(BS!D41,0)=ROUND(SUM(BS!D37:D40),0),"OK","ERROR")</f>
        <v>OK</v>
      </c>
      <c r="E109" s="217" t="str">
        <f>IF(ROUND(BS!E41,0)=ROUND(SUM(BS!E37:E40),0),"OK","ERROR")</f>
        <v>OK</v>
      </c>
      <c r="F109" s="217" t="str">
        <f>IF(ROUND(BS!F41,0)=ROUND(SUM(BS!F37:F40),0),"OK","ERROR")</f>
        <v>OK</v>
      </c>
      <c r="G109" s="217" t="str">
        <f>IF(ROUND(BS!G41,0)=ROUND(SUM(BS!G37:G40),0),"OK","ERROR")</f>
        <v>OK</v>
      </c>
      <c r="H109" s="227" t="str">
        <f>IF(ROUND(BS!H41,0)=ROUND(SUM(BS!H37:H40),0),"OK","ERROR")</f>
        <v>OK</v>
      </c>
      <c r="I109" s="256"/>
      <c r="J109" s="217" t="str">
        <f>IF(ROUND(BS!J41,0)=ROUND(SUM(BS!J37:J40),0),"OK","ERROR")</f>
        <v>OK</v>
      </c>
      <c r="K109" s="217" t="str">
        <f>IF(ROUND(BS!K41,0)=ROUND(SUM(BS!K37:K40),0),"OK","ERROR")</f>
        <v>OK</v>
      </c>
      <c r="L109" s="217" t="str">
        <f>IF(ROUND(BS!L41,0)=ROUND(SUM(BS!L37:L40),0),"OK","ERROR")</f>
        <v>OK</v>
      </c>
      <c r="M109" s="217" t="str">
        <f>IF(ROUND(BS!M41,0)=ROUND(SUM(BS!M37:M40),0),"OK","ERROR")</f>
        <v>OK</v>
      </c>
      <c r="N109" s="227" t="str">
        <f>IF(ROUND(BS!N41,0)=ROUND(SUM(BS!N37:N40),0),"OK","ERROR")</f>
        <v>OK</v>
      </c>
      <c r="O109" s="256"/>
      <c r="P109" s="217" t="str">
        <f>IF(ROUND(BS!P41,0)=ROUND(SUM(BS!P37:P40),0),"OK","ERROR")</f>
        <v>OK</v>
      </c>
      <c r="Q109" s="217" t="str">
        <f>IF(ROUND(BS!Q41,0)=ROUND(SUM(BS!Q37:Q40),0),"OK","ERROR")</f>
        <v>OK</v>
      </c>
      <c r="R109" s="217" t="str">
        <f>IF(ROUND(BS!R41,0)=ROUND(SUM(BS!R37:R40),0),"OK","ERROR")</f>
        <v>OK</v>
      </c>
      <c r="S109" s="217" t="str">
        <f>IF(ROUND(BS!S41,0)=ROUND(SUM(BS!S37:S40),0),"OK","ERROR")</f>
        <v>OK</v>
      </c>
      <c r="T109" s="227" t="str">
        <f>IF(ROUND(BS!T41,0)=ROUND(SUM(BS!T37:T40),0),"OK","ERROR")</f>
        <v>OK</v>
      </c>
      <c r="U109" s="256"/>
      <c r="V109" s="217" t="str">
        <f>IF(ROUND(BS!V41,0)=ROUND(SUM(BS!V37:V40),0),"OK","ERROR")</f>
        <v>OK</v>
      </c>
      <c r="W109" s="217" t="str">
        <f>IF(ROUND(BS!W41,0)=ROUND(SUM(BS!W37:W40),0),"OK","ERROR")</f>
        <v>OK</v>
      </c>
      <c r="X109" s="217" t="str">
        <f>IF(ROUND(BS!X41,0)=ROUND(SUM(BS!X37:X40),0),"OK","ERROR")</f>
        <v>OK</v>
      </c>
      <c r="Y109" s="217" t="str">
        <f>IF(ROUND(BS!Y41,0)=ROUND(SUM(BS!Y37:Y40),0),"OK","ERROR")</f>
        <v>OK</v>
      </c>
      <c r="Z109" s="227" t="str">
        <f>IF(ROUND(BS!Z41,0)=ROUND(SUM(BS!Z37:Z40),0),"OK","ERROR")</f>
        <v>OK</v>
      </c>
      <c r="AA109" s="273"/>
      <c r="AB109" s="217" t="str">
        <f>IF(ROUND(BS!AB41,0)=ROUND(SUM(BS!AB37:AB40),0),"OK","ERROR")</f>
        <v>OK</v>
      </c>
      <c r="AC109" s="217" t="str">
        <f>IF(ROUND(BS!AC41,0)=ROUND(SUM(BS!AC37:AC40),0),"OK","ERROR")</f>
        <v>OK</v>
      </c>
      <c r="AD109" s="217" t="str">
        <f>IF(ROUND(BS!AD41,0)=ROUND(SUM(BS!AD37:AD40),0),"OK","ERROR")</f>
        <v>OK</v>
      </c>
      <c r="AE109" s="217" t="str">
        <f>IF(ROUND(BS!AE41,0)=ROUND(SUM(BS!AE37:AE40),0),"OK","ERROR")</f>
        <v>OK</v>
      </c>
      <c r="AF109" s="227" t="str">
        <f>IF(ROUND(BS!AF41,0)=ROUND(SUM(BS!AF37:AF40),0),"OK","ERROR")</f>
        <v>OK</v>
      </c>
      <c r="AG109" s="274"/>
      <c r="AH109" s="217" t="str">
        <f>IF(ROUND(BS!AH41,0)=ROUND(SUM(BS!AH37:AH40),0),"OK","ERROR")</f>
        <v>OK</v>
      </c>
      <c r="AI109" s="217" t="str">
        <f>IF(ROUND(BS!AI41,0)=ROUND(SUM(BS!AI37:AI40),0),"OK","ERROR")</f>
        <v>OK</v>
      </c>
      <c r="AJ109" s="217" t="str">
        <f>IF(ROUND(BS!AJ41,0)=ROUND(SUM(BS!AJ37:AJ40),0),"OK","ERROR")</f>
        <v>OK</v>
      </c>
      <c r="AK109" s="217" t="str">
        <f>IF(ROUND(BS!AK41,0)=ROUND(SUM(BS!AK37:AK40),0),"OK","ERROR")</f>
        <v>OK</v>
      </c>
      <c r="AL109" s="227" t="str">
        <f>IF(ROUND(BS!AL41,0)=ROUND(SUM(BS!AL37:AL40),0),"OK","ERROR")</f>
        <v>OK</v>
      </c>
      <c r="AM109" s="273"/>
      <c r="AN109" s="217" t="str">
        <f>IF(ROUND(BS!AN41,0)=ROUND(SUM(BS!AN37:AN40),0),"OK","ERROR")</f>
        <v>OK</v>
      </c>
      <c r="AO109" s="217" t="str">
        <f>IF(ROUND(BS!AO41,0)=ROUND(SUM(BS!AO37:AO40),0),"OK","ERROR")</f>
        <v>OK</v>
      </c>
      <c r="AP109" s="217" t="str">
        <f>IF(ROUND(BS!AP41,0)=ROUND(SUM(BS!AP37:AP40),0),"OK","ERROR")</f>
        <v>OK</v>
      </c>
      <c r="AQ109" s="217" t="str">
        <f>IF(ROUND(BS!AQ41,0)=ROUND(SUM(BS!AQ37:AQ40),0),"OK","ERROR")</f>
        <v>OK</v>
      </c>
      <c r="AR109" s="227" t="str">
        <f>IF(ROUND(BS!AR41,0)=ROUND(SUM(BS!AR37:AR40),0),"OK","ERROR")</f>
        <v>OK</v>
      </c>
      <c r="AS109" s="273"/>
      <c r="AT109" s="227" t="str">
        <f>IF(ROUND(BS!AT41,0)=ROUND(SUM(BS!AT37:AT40),0),"OK","ERROR")</f>
        <v>OK</v>
      </c>
      <c r="AU109" s="273"/>
      <c r="AV109" s="227" t="str">
        <f>IF(ROUND(BS!AV41,0)=ROUND(SUM(BS!AV37:AV40),0),"OK","ERROR")</f>
        <v>OK</v>
      </c>
      <c r="AW109" s="261"/>
      <c r="AX109" s="227" t="str">
        <f>IF(ROUND(BS!AX41,0)=ROUND(SUM(BS!AX37:AX40),0),"OK","ERROR")</f>
        <v>OK</v>
      </c>
    </row>
    <row r="110" spans="1:50" s="41" customFormat="1" ht="15" customHeight="1">
      <c r="A110" s="43"/>
      <c r="B110" s="152"/>
      <c r="C110" s="17"/>
      <c r="D110" s="208"/>
      <c r="E110" s="208"/>
      <c r="F110" s="208"/>
      <c r="G110" s="208"/>
      <c r="H110" s="220"/>
      <c r="I110" s="248"/>
      <c r="J110" s="208"/>
      <c r="K110" s="208"/>
      <c r="L110" s="208"/>
      <c r="M110" s="208"/>
      <c r="N110" s="220"/>
      <c r="O110" s="248"/>
      <c r="P110" s="208"/>
      <c r="Q110" s="208"/>
      <c r="R110" s="208"/>
      <c r="S110" s="208"/>
      <c r="T110" s="220"/>
      <c r="U110" s="248"/>
      <c r="V110" s="208"/>
      <c r="W110" s="208"/>
      <c r="X110" s="208"/>
      <c r="Y110" s="208"/>
      <c r="Z110" s="220"/>
      <c r="AA110" s="248"/>
      <c r="AB110" s="208"/>
      <c r="AC110" s="208"/>
      <c r="AD110" s="208"/>
      <c r="AE110" s="208"/>
      <c r="AF110" s="220"/>
      <c r="AG110" s="284"/>
      <c r="AH110" s="208"/>
      <c r="AI110" s="208"/>
      <c r="AJ110" s="208"/>
      <c r="AK110" s="208"/>
      <c r="AL110" s="220"/>
      <c r="AM110" s="248"/>
      <c r="AN110" s="208"/>
      <c r="AO110" s="208"/>
      <c r="AP110" s="208"/>
      <c r="AQ110" s="208"/>
      <c r="AR110" s="220"/>
      <c r="AS110" s="248"/>
      <c r="AT110" s="220"/>
      <c r="AU110" s="248"/>
      <c r="AV110" s="220"/>
      <c r="AW110" s="255"/>
      <c r="AX110" s="220"/>
    </row>
    <row r="111" spans="1:50" s="113" customFormat="1" ht="15" customHeight="1">
      <c r="A111" s="44" t="s">
        <v>38</v>
      </c>
      <c r="B111" s="114" t="s">
        <v>650</v>
      </c>
      <c r="C111" s="115"/>
      <c r="D111" s="208"/>
      <c r="E111" s="208"/>
      <c r="F111" s="208"/>
      <c r="G111" s="208"/>
      <c r="H111" s="220"/>
      <c r="I111" s="256"/>
      <c r="J111" s="208"/>
      <c r="K111" s="208"/>
      <c r="L111" s="208"/>
      <c r="M111" s="208"/>
      <c r="N111" s="220"/>
      <c r="O111" s="256"/>
      <c r="P111" s="208"/>
      <c r="Q111" s="208"/>
      <c r="R111" s="208"/>
      <c r="S111" s="208"/>
      <c r="T111" s="220"/>
      <c r="U111" s="256"/>
      <c r="V111" s="208"/>
      <c r="W111" s="208"/>
      <c r="X111" s="208"/>
      <c r="Y111" s="208"/>
      <c r="Z111" s="220"/>
      <c r="AA111" s="256"/>
      <c r="AB111" s="208"/>
      <c r="AC111" s="208"/>
      <c r="AD111" s="208"/>
      <c r="AE111" s="208"/>
      <c r="AF111" s="220"/>
      <c r="AG111" s="285"/>
      <c r="AH111" s="208"/>
      <c r="AI111" s="208"/>
      <c r="AJ111" s="208"/>
      <c r="AK111" s="208"/>
      <c r="AL111" s="220"/>
      <c r="AM111" s="256"/>
      <c r="AN111" s="208"/>
      <c r="AO111" s="208"/>
      <c r="AP111" s="208"/>
      <c r="AQ111" s="208"/>
      <c r="AR111" s="220"/>
      <c r="AS111" s="256"/>
      <c r="AT111" s="220"/>
      <c r="AU111" s="256"/>
      <c r="AV111" s="220"/>
      <c r="AW111" s="261"/>
      <c r="AX111" s="220"/>
    </row>
    <row r="112" spans="1:50" s="113" customFormat="1" ht="15" customHeight="1">
      <c r="B112" s="138" t="s">
        <v>654</v>
      </c>
      <c r="C112" s="115"/>
      <c r="D112" s="217" t="str">
        <f>IF(ROUND(BS!D47,0)=ROUND(SUM(BS!D44:D46),0),"OK","ERROR")</f>
        <v>OK</v>
      </c>
      <c r="E112" s="217" t="str">
        <f>IF(ROUND(BS!E47,0)=ROUND(SUM(BS!E44:E46),0),"OK","ERROR")</f>
        <v>OK</v>
      </c>
      <c r="F112" s="217" t="str">
        <f>IF(ROUND(BS!F47,0)=ROUND(SUM(BS!F44:F46),0),"OK","ERROR")</f>
        <v>OK</v>
      </c>
      <c r="G112" s="217" t="str">
        <f>IF(ROUND(BS!G47,0)=ROUND(SUM(BS!G44:G46),0),"OK","ERROR")</f>
        <v>OK</v>
      </c>
      <c r="H112" s="220" t="str">
        <f>IF(ROUND(BS!H47,0)=ROUND(SUM(BS!H44:H46),0),"OK","ERROR")</f>
        <v>OK</v>
      </c>
      <c r="I112" s="256"/>
      <c r="J112" s="217" t="str">
        <f>IF(ROUND(BS!J47,0)=ROUND(SUM(BS!J44:J46),0),"OK","ERROR")</f>
        <v>OK</v>
      </c>
      <c r="K112" s="217" t="str">
        <f>IF(ROUND(BS!K47,0)=ROUND(SUM(BS!K44:K46),0),"OK","ERROR")</f>
        <v>OK</v>
      </c>
      <c r="L112" s="217" t="str">
        <f>IF(ROUND(BS!L47,0)=ROUND(SUM(BS!L44:L46),0),"OK","ERROR")</f>
        <v>OK</v>
      </c>
      <c r="M112" s="217" t="str">
        <f>IF(ROUND(BS!M47,0)=ROUND(SUM(BS!M44:M46),0),"OK","ERROR")</f>
        <v>OK</v>
      </c>
      <c r="N112" s="220" t="str">
        <f>IF(ROUND(BS!N47,0)=ROUND(SUM(BS!N44:N46),0),"OK","ERROR")</f>
        <v>OK</v>
      </c>
      <c r="O112" s="256"/>
      <c r="P112" s="217" t="str">
        <f>IF(ROUND(BS!P47,0)=ROUND(SUM(BS!P44:P46),0),"OK","ERROR")</f>
        <v>OK</v>
      </c>
      <c r="Q112" s="217" t="str">
        <f>IF(ROUND(BS!Q47,0)=ROUND(SUM(BS!Q44:Q46),0),"OK","ERROR")</f>
        <v>OK</v>
      </c>
      <c r="R112" s="217" t="str">
        <f>IF(ROUND(BS!R47,0)=ROUND(SUM(BS!R44:R46),0),"OK","ERROR")</f>
        <v>OK</v>
      </c>
      <c r="S112" s="217" t="str">
        <f>IF(ROUND(BS!S47,0)=ROUND(SUM(BS!S44:S46),0),"OK","ERROR")</f>
        <v>OK</v>
      </c>
      <c r="T112" s="220" t="str">
        <f>IF(ROUND(BS!T47,0)=ROUND(SUM(BS!T44:T46),0),"OK","ERROR")</f>
        <v>OK</v>
      </c>
      <c r="U112" s="256"/>
      <c r="V112" s="217" t="str">
        <f>IF(ROUND(BS!V47,0)=ROUND(SUM(BS!V44:V46),0),"OK","ERROR")</f>
        <v>OK</v>
      </c>
      <c r="W112" s="217" t="str">
        <f>IF(ROUND(BS!W47,0)=ROUND(SUM(BS!W44:W46),0),"OK","ERROR")</f>
        <v>OK</v>
      </c>
      <c r="X112" s="217" t="str">
        <f>IF(ROUND(BS!X47,0)=ROUND(SUM(BS!X44:X46),0),"OK","ERROR")</f>
        <v>OK</v>
      </c>
      <c r="Y112" s="217" t="str">
        <f>IF(ROUND(BS!Y47,0)=ROUND(SUM(BS!Y44:Y46),0),"OK","ERROR")</f>
        <v>OK</v>
      </c>
      <c r="Z112" s="220" t="str">
        <f>IF(ROUND(BS!Z47,0)=ROUND(SUM(BS!Z44:Z46),0),"OK","ERROR")</f>
        <v>OK</v>
      </c>
      <c r="AA112" s="256"/>
      <c r="AB112" s="217" t="str">
        <f>IF(ROUND(BS!AB47,0)=ROUND(SUM(BS!AB44:AB46),0),"OK","ERROR")</f>
        <v>OK</v>
      </c>
      <c r="AC112" s="217" t="str">
        <f>IF(ROUND(BS!AC47,0)=ROUND(SUM(BS!AC44:AC46),0),"OK","ERROR")</f>
        <v>OK</v>
      </c>
      <c r="AD112" s="217" t="str">
        <f>IF(ROUND(BS!AD47,0)=ROUND(SUM(BS!AD44:AD46),0),"OK","ERROR")</f>
        <v>OK</v>
      </c>
      <c r="AE112" s="217" t="str">
        <f>IF(ROUND(BS!AE47,0)=ROUND(SUM(BS!AE44:AE46),0),"OK","ERROR")</f>
        <v>OK</v>
      </c>
      <c r="AF112" s="220" t="str">
        <f>IF(ROUND(BS!AF47,0)=ROUND(SUM(BS!AF44:AF46),0),"OK","ERROR")</f>
        <v>OK</v>
      </c>
      <c r="AG112" s="285"/>
      <c r="AH112" s="217" t="str">
        <f>IF(ROUND(BS!AH47,0)=ROUND(SUM(BS!AH44:AH46),0),"OK","ERROR")</f>
        <v>OK</v>
      </c>
      <c r="AI112" s="217" t="str">
        <f>IF(ROUND(BS!AI47,0)=ROUND(SUM(BS!AI44:AI46),0),"OK","ERROR")</f>
        <v>OK</v>
      </c>
      <c r="AJ112" s="217" t="str">
        <f>IF(ROUND(BS!AJ47,0)=ROUND(SUM(BS!AJ44:AJ46),0),"OK","ERROR")</f>
        <v>OK</v>
      </c>
      <c r="AK112" s="217" t="str">
        <f>IF(ROUND(BS!AK47,0)=ROUND(SUM(BS!AK44:AK46),0),"OK","ERROR")</f>
        <v>OK</v>
      </c>
      <c r="AL112" s="220" t="str">
        <f>IF(ROUND(BS!AL47,0)=ROUND(SUM(BS!AL44:AL46),0),"OK","ERROR")</f>
        <v>OK</v>
      </c>
      <c r="AM112" s="256"/>
      <c r="AN112" s="217" t="str">
        <f>IF(ROUND(BS!AN47,0)=ROUND(SUM(BS!AN44:AN46),0),"OK","ERROR")</f>
        <v>OK</v>
      </c>
      <c r="AO112" s="217" t="str">
        <f>IF(ROUND(BS!AO47,0)=ROUND(SUM(BS!AO44:AO46),0),"OK","ERROR")</f>
        <v>OK</v>
      </c>
      <c r="AP112" s="217" t="str">
        <f>IF(ROUND(BS!AP47,0)=ROUND(SUM(BS!AP44:AP46),0),"OK","ERROR")</f>
        <v>OK</v>
      </c>
      <c r="AQ112" s="217" t="str">
        <f>IF(ROUND(BS!AQ47,0)=ROUND(SUM(BS!AQ44:AQ46),0),"OK","ERROR")</f>
        <v>OK</v>
      </c>
      <c r="AR112" s="220" t="str">
        <f>IF(ROUND(BS!AR47,0)=ROUND(SUM(BS!AR44:AR46),0),"OK","ERROR")</f>
        <v>OK</v>
      </c>
      <c r="AS112" s="256"/>
      <c r="AT112" s="220" t="str">
        <f>IF(ROUND(BS!AT47,0)=ROUND(SUM(BS!AT44:AT46),0),"OK","ERROR")</f>
        <v>OK</v>
      </c>
      <c r="AU112" s="256"/>
      <c r="AV112" s="220" t="str">
        <f>IF(ROUND(BS!AV47,0)=ROUND(SUM(BS!AV44:AV46),0),"OK","ERROR")</f>
        <v>OK</v>
      </c>
      <c r="AW112" s="261"/>
      <c r="AX112" s="220" t="str">
        <f>IF(ROUND(BS!AX47,0)=ROUND(SUM(BS!AX44:AX46),0),"OK","ERROR")</f>
        <v>OK</v>
      </c>
    </row>
    <row r="113" spans="1:50" s="41" customFormat="1" ht="15" customHeight="1">
      <c r="A113" s="43"/>
      <c r="B113" s="140" t="s">
        <v>655</v>
      </c>
      <c r="C113" s="17"/>
      <c r="D113" s="217" t="str">
        <f>IF(ROUND(BS!D48,0)=ROUND(SUM(BS!D41,BS!D47),0),"OK","ERROR")</f>
        <v>OK</v>
      </c>
      <c r="E113" s="217" t="str">
        <f>IF(ROUND(BS!E48,0)=ROUND(SUM(BS!E41,BS!E47),0),"OK","ERROR")</f>
        <v>OK</v>
      </c>
      <c r="F113" s="217" t="str">
        <f>IF(ROUND(BS!F48,0)=ROUND(SUM(BS!F41,BS!F47),0),"OK","ERROR")</f>
        <v>OK</v>
      </c>
      <c r="G113" s="217" t="str">
        <f>IF(ROUND(BS!G48,0)=ROUND(SUM(BS!G41,BS!G47),0),"OK","ERROR")</f>
        <v>OK</v>
      </c>
      <c r="H113" s="227" t="str">
        <f>IF(ROUND(BS!H48,0)=ROUND(SUM(BS!H41,BS!H47),0),"OK","ERROR")</f>
        <v>OK</v>
      </c>
      <c r="I113" s="248"/>
      <c r="J113" s="217" t="str">
        <f>IF(ROUND(BS!J48,0)=ROUND(SUM(BS!J41,BS!J47),0),"OK","ERROR")</f>
        <v>OK</v>
      </c>
      <c r="K113" s="217" t="str">
        <f>IF(ROUND(BS!K48,0)=ROUND(SUM(BS!K41,BS!K47),0),"OK","ERROR")</f>
        <v>OK</v>
      </c>
      <c r="L113" s="217" t="str">
        <f>IF(ROUND(BS!L48,0)=ROUND(SUM(BS!L41,BS!L47),0),"OK","ERROR")</f>
        <v>OK</v>
      </c>
      <c r="M113" s="217" t="str">
        <f>IF(ROUND(BS!M48,0)=ROUND(SUM(BS!M41,BS!M47),0),"OK","ERROR")</f>
        <v>OK</v>
      </c>
      <c r="N113" s="227" t="str">
        <f>IF(ROUND(BS!N48,0)=ROUND(SUM(BS!N41,BS!N47),0),"OK","ERROR")</f>
        <v>OK</v>
      </c>
      <c r="O113" s="248"/>
      <c r="P113" s="217" t="str">
        <f>IF(ROUND(BS!P48,0)=ROUND(SUM(BS!P41,BS!P47),0),"OK","ERROR")</f>
        <v>OK</v>
      </c>
      <c r="Q113" s="217" t="str">
        <f>IF(ROUND(BS!Q48,0)=ROUND(SUM(BS!Q41,BS!Q47),0),"OK","ERROR")</f>
        <v>OK</v>
      </c>
      <c r="R113" s="217" t="str">
        <f>IF(ROUND(BS!R48,0)=ROUND(SUM(BS!R41,BS!R47),0),"OK","ERROR")</f>
        <v>OK</v>
      </c>
      <c r="S113" s="217" t="str">
        <f>IF(ROUND(BS!S48,0)=ROUND(SUM(BS!S41,BS!S47),0),"OK","ERROR")</f>
        <v>OK</v>
      </c>
      <c r="T113" s="227" t="str">
        <f>IF(ROUND(BS!T48,0)=ROUND(SUM(BS!T41,BS!T47),0),"OK","ERROR")</f>
        <v>OK</v>
      </c>
      <c r="U113" s="248"/>
      <c r="V113" s="217" t="str">
        <f>IF(ROUND(BS!V48,0)=ROUND(SUM(BS!V41,BS!V47),0),"OK","ERROR")</f>
        <v>OK</v>
      </c>
      <c r="W113" s="217" t="str">
        <f>IF(ROUND(BS!W48,0)=ROUND(SUM(BS!W41,BS!W47),0),"OK","ERROR")</f>
        <v>OK</v>
      </c>
      <c r="X113" s="217" t="str">
        <f>IF(ROUND(BS!X48,0)=ROUND(SUM(BS!X41,BS!X47),0),"OK","ERROR")</f>
        <v>OK</v>
      </c>
      <c r="Y113" s="217" t="str">
        <f>IF(ROUND(BS!Y48,0)=ROUND(SUM(BS!Y41,BS!Y47),0),"OK","ERROR")</f>
        <v>OK</v>
      </c>
      <c r="Z113" s="227" t="str">
        <f>IF(ROUND(BS!Z48,0)=ROUND(SUM(BS!Z41,BS!Z47),0),"OK","ERROR")</f>
        <v>OK</v>
      </c>
      <c r="AA113" s="248"/>
      <c r="AB113" s="217" t="str">
        <f>IF(ROUND(BS!AB48,0)=ROUND(SUM(BS!AB41,BS!AB47),0),"OK","ERROR")</f>
        <v>OK</v>
      </c>
      <c r="AC113" s="217" t="str">
        <f>IF(ROUND(BS!AC48,0)=ROUND(SUM(BS!AC41,BS!AC47),0),"OK","ERROR")</f>
        <v>OK</v>
      </c>
      <c r="AD113" s="217" t="str">
        <f>IF(ROUND(BS!AD48,0)=ROUND(SUM(BS!AD41,BS!AD47),0),"OK","ERROR")</f>
        <v>OK</v>
      </c>
      <c r="AE113" s="217" t="str">
        <f>IF(ROUND(BS!AE48,0)=ROUND(SUM(BS!AE41,BS!AE47),0),"OK","ERROR")</f>
        <v>OK</v>
      </c>
      <c r="AF113" s="227" t="str">
        <f>IF(ROUND(BS!AF48,0)=ROUND(SUM(BS!AF41,BS!AF47),0),"OK","ERROR")</f>
        <v>OK</v>
      </c>
      <c r="AG113" s="284"/>
      <c r="AH113" s="217" t="str">
        <f>IF(ROUND(BS!AH48,0)=ROUND(SUM(BS!AH41,BS!AH47),0),"OK","ERROR")</f>
        <v>OK</v>
      </c>
      <c r="AI113" s="217" t="str">
        <f>IF(ROUND(BS!AI48,0)=ROUND(SUM(BS!AI41,BS!AI47),0),"OK","ERROR")</f>
        <v>OK</v>
      </c>
      <c r="AJ113" s="217" t="str">
        <f>IF(ROUND(BS!AJ48,0)=ROUND(SUM(BS!AJ41,BS!AJ47),0),"OK","ERROR")</f>
        <v>OK</v>
      </c>
      <c r="AK113" s="217" t="str">
        <f>IF(ROUND(BS!AK48,0)=ROUND(SUM(BS!AK41,BS!AK47),0),"OK","ERROR")</f>
        <v>OK</v>
      </c>
      <c r="AL113" s="227" t="str">
        <f>IF(ROUND(BS!AL48,0)=ROUND(SUM(BS!AL41,BS!AL47),0),"OK","ERROR")</f>
        <v>OK</v>
      </c>
      <c r="AM113" s="248"/>
      <c r="AN113" s="217" t="str">
        <f>IF(ROUND(BS!AN48,0)=ROUND(SUM(BS!AN41,BS!AN47),0),"OK","ERROR")</f>
        <v>OK</v>
      </c>
      <c r="AO113" s="217" t="str">
        <f>IF(ROUND(BS!AO48,0)=ROUND(SUM(BS!AO41,BS!AO47),0),"OK","ERROR")</f>
        <v>OK</v>
      </c>
      <c r="AP113" s="217" t="str">
        <f>IF(ROUND(BS!AP48,0)=ROUND(SUM(BS!AP41,BS!AP47),0),"OK","ERROR")</f>
        <v>OK</v>
      </c>
      <c r="AQ113" s="217" t="str">
        <f>IF(ROUND(BS!AQ48,0)=ROUND(SUM(BS!AQ41,BS!AQ47),0),"OK","ERROR")</f>
        <v>OK</v>
      </c>
      <c r="AR113" s="227" t="str">
        <f>IF(ROUND(BS!AR48,0)=ROUND(SUM(BS!AR41,BS!AR47),0),"OK","ERROR")</f>
        <v>OK</v>
      </c>
      <c r="AS113" s="248"/>
      <c r="AT113" s="227" t="str">
        <f>IF(ROUND(BS!AT48,0)=ROUND(SUM(BS!AT41,BS!AT47),0),"OK","ERROR")</f>
        <v>OK</v>
      </c>
      <c r="AU113" s="248"/>
      <c r="AV113" s="227" t="str">
        <f>IF(ROUND(BS!AV48,0)=ROUND(SUM(BS!AV41,BS!AV47),0),"OK","ERROR")</f>
        <v>OK</v>
      </c>
      <c r="AW113" s="255"/>
      <c r="AX113" s="227" t="str">
        <f>IF(ROUND(BS!AX48,0)=ROUND(SUM(BS!AX41,BS!AX47),0),"OK","ERROR")</f>
        <v>OK</v>
      </c>
    </row>
    <row r="114" spans="1:50" s="113" customFormat="1" ht="15" customHeight="1">
      <c r="B114" s="143"/>
      <c r="C114" s="115"/>
      <c r="D114" s="208"/>
      <c r="E114" s="208"/>
      <c r="F114" s="208"/>
      <c r="G114" s="208"/>
      <c r="H114" s="220"/>
      <c r="I114" s="256"/>
      <c r="J114" s="208"/>
      <c r="K114" s="208"/>
      <c r="L114" s="208"/>
      <c r="M114" s="208"/>
      <c r="N114" s="220"/>
      <c r="O114" s="256"/>
      <c r="P114" s="208"/>
      <c r="Q114" s="208"/>
      <c r="R114" s="208"/>
      <c r="S114" s="208"/>
      <c r="T114" s="220"/>
      <c r="U114" s="256"/>
      <c r="V114" s="208"/>
      <c r="W114" s="208"/>
      <c r="X114" s="208"/>
      <c r="Y114" s="208"/>
      <c r="Z114" s="220"/>
      <c r="AA114" s="256"/>
      <c r="AB114" s="208"/>
      <c r="AC114" s="208"/>
      <c r="AD114" s="208"/>
      <c r="AE114" s="208"/>
      <c r="AF114" s="220"/>
      <c r="AG114" s="285"/>
      <c r="AH114" s="208"/>
      <c r="AI114" s="208"/>
      <c r="AJ114" s="208"/>
      <c r="AK114" s="208"/>
      <c r="AL114" s="220"/>
      <c r="AM114" s="256"/>
      <c r="AN114" s="208"/>
      <c r="AO114" s="208"/>
      <c r="AP114" s="208"/>
      <c r="AQ114" s="208"/>
      <c r="AR114" s="220"/>
      <c r="AS114" s="256"/>
      <c r="AT114" s="220"/>
      <c r="AU114" s="256"/>
      <c r="AV114" s="220"/>
      <c r="AW114" s="261"/>
      <c r="AX114" s="220"/>
    </row>
    <row r="115" spans="1:50" s="41" customFormat="1" ht="15" customHeight="1">
      <c r="A115" s="44" t="s">
        <v>38</v>
      </c>
      <c r="B115" s="114" t="s">
        <v>656</v>
      </c>
      <c r="C115" s="17"/>
      <c r="D115" s="208"/>
      <c r="E115" s="208"/>
      <c r="F115" s="208"/>
      <c r="G115" s="208"/>
      <c r="H115" s="220"/>
      <c r="I115" s="248"/>
      <c r="J115" s="208"/>
      <c r="K115" s="208"/>
      <c r="L115" s="208"/>
      <c r="M115" s="208"/>
      <c r="N115" s="220"/>
      <c r="O115" s="248"/>
      <c r="P115" s="208"/>
      <c r="Q115" s="208"/>
      <c r="R115" s="208"/>
      <c r="S115" s="208"/>
      <c r="T115" s="220"/>
      <c r="U115" s="248"/>
      <c r="V115" s="208"/>
      <c r="W115" s="208"/>
      <c r="X115" s="208"/>
      <c r="Y115" s="208"/>
      <c r="Z115" s="220"/>
      <c r="AA115" s="248"/>
      <c r="AB115" s="208"/>
      <c r="AC115" s="208"/>
      <c r="AD115" s="208"/>
      <c r="AE115" s="208"/>
      <c r="AF115" s="220"/>
      <c r="AG115" s="284"/>
      <c r="AH115" s="208"/>
      <c r="AI115" s="208"/>
      <c r="AJ115" s="208"/>
      <c r="AK115" s="208"/>
      <c r="AL115" s="220"/>
      <c r="AM115" s="248"/>
      <c r="AN115" s="208"/>
      <c r="AO115" s="208"/>
      <c r="AP115" s="208"/>
      <c r="AQ115" s="208"/>
      <c r="AR115" s="220"/>
      <c r="AS115" s="248"/>
      <c r="AT115" s="220"/>
      <c r="AU115" s="248"/>
      <c r="AV115" s="220"/>
      <c r="AW115" s="255"/>
      <c r="AX115" s="220"/>
    </row>
    <row r="116" spans="1:50" s="113" customFormat="1" ht="15" customHeight="1">
      <c r="B116" s="138" t="s">
        <v>660</v>
      </c>
      <c r="C116" s="115"/>
      <c r="D116" s="217" t="str">
        <f>IF(ROUND(BS!D54,0)=ROUND(SUM(BS!D51:D53),0),"OK","ERROR")</f>
        <v>OK</v>
      </c>
      <c r="E116" s="217" t="str">
        <f>IF(ROUND(BS!E54,0)=ROUND(SUM(BS!E51:E53),0),"OK","ERROR")</f>
        <v>OK</v>
      </c>
      <c r="F116" s="217" t="str">
        <f>IF(ROUND(BS!F54,0)=ROUND(SUM(BS!F51:F53),0),"OK","ERROR")</f>
        <v>OK</v>
      </c>
      <c r="G116" s="217" t="str">
        <f>IF(ROUND(BS!G54,0)=ROUND(SUM(BS!G51:G53),0),"OK","ERROR")</f>
        <v>OK</v>
      </c>
      <c r="H116" s="227" t="str">
        <f>IF(ROUND(BS!H54,0)=ROUND(SUM(BS!H51:H53),0),"OK","ERROR")</f>
        <v>OK</v>
      </c>
      <c r="I116" s="256"/>
      <c r="J116" s="217" t="str">
        <f>IF(ROUND(BS!J54,0)=ROUND(SUM(BS!J51:J53),0),"OK","ERROR")</f>
        <v>OK</v>
      </c>
      <c r="K116" s="217" t="str">
        <f>IF(ROUND(BS!K54,0)=ROUND(SUM(BS!K51:K53),0),"OK","ERROR")</f>
        <v>OK</v>
      </c>
      <c r="L116" s="217" t="str">
        <f>IF(ROUND(BS!L54,0)=ROUND(SUM(BS!L51:L53),0),"OK","ERROR")</f>
        <v>OK</v>
      </c>
      <c r="M116" s="217" t="str">
        <f>IF(ROUND(BS!M54,0)=ROUND(SUM(BS!M51:M53),0),"OK","ERROR")</f>
        <v>OK</v>
      </c>
      <c r="N116" s="227" t="str">
        <f>IF(ROUND(BS!N54,0)=ROUND(SUM(BS!N51:N53),0),"OK","ERROR")</f>
        <v>OK</v>
      </c>
      <c r="O116" s="256"/>
      <c r="P116" s="217" t="str">
        <f>IF(ROUND(BS!P54,0)=ROUND(SUM(BS!P51:P53),0),"OK","ERROR")</f>
        <v>OK</v>
      </c>
      <c r="Q116" s="217" t="str">
        <f>IF(ROUND(BS!Q54,0)=ROUND(SUM(BS!Q51:Q53),0),"OK","ERROR")</f>
        <v>OK</v>
      </c>
      <c r="R116" s="217" t="str">
        <f>IF(ROUND(BS!R54,0)=ROUND(SUM(BS!R51:R53),0),"OK","ERROR")</f>
        <v>OK</v>
      </c>
      <c r="S116" s="217" t="str">
        <f>IF(ROUND(BS!S54,0)=ROUND(SUM(BS!S51:S53),0),"OK","ERROR")</f>
        <v>OK</v>
      </c>
      <c r="T116" s="227" t="str">
        <f>IF(ROUND(BS!T54,0)=ROUND(SUM(BS!T51:T53),0),"OK","ERROR")</f>
        <v>OK</v>
      </c>
      <c r="U116" s="256"/>
      <c r="V116" s="217" t="str">
        <f>IF(ROUND(BS!V54,0)=ROUND(SUM(BS!V51:V53),0),"OK","ERROR")</f>
        <v>OK</v>
      </c>
      <c r="W116" s="217" t="str">
        <f>IF(ROUND(BS!W54,0)=ROUND(SUM(BS!W51:W53),0),"OK","ERROR")</f>
        <v>OK</v>
      </c>
      <c r="X116" s="217" t="str">
        <f>IF(ROUND(BS!X54,0)=ROUND(SUM(BS!X51:X53),0),"OK","ERROR")</f>
        <v>OK</v>
      </c>
      <c r="Y116" s="217" t="str">
        <f>IF(ROUND(BS!Y54,0)=ROUND(SUM(BS!Y51:Y53),0),"OK","ERROR")</f>
        <v>OK</v>
      </c>
      <c r="Z116" s="227" t="str">
        <f>IF(ROUND(BS!Z54,0)=ROUND(SUM(BS!Z51:Z53),0),"OK","ERROR")</f>
        <v>OK</v>
      </c>
      <c r="AA116" s="256"/>
      <c r="AB116" s="217" t="str">
        <f>IF(ROUND(BS!AB54,0)=ROUND(SUM(BS!AB51:AB53),0),"OK","ERROR")</f>
        <v>OK</v>
      </c>
      <c r="AC116" s="217" t="str">
        <f>IF(ROUND(BS!AC54,0)=ROUND(SUM(BS!AC51:AC53),0),"OK","ERROR")</f>
        <v>OK</v>
      </c>
      <c r="AD116" s="217" t="str">
        <f>IF(ROUND(BS!AD54,0)=ROUND(SUM(BS!AD51:AD53),0),"OK","ERROR")</f>
        <v>OK</v>
      </c>
      <c r="AE116" s="217" t="str">
        <f>IF(ROUND(BS!AE54,0)=ROUND(SUM(BS!AE51:AE53),0),"OK","ERROR")</f>
        <v>OK</v>
      </c>
      <c r="AF116" s="227" t="str">
        <f>IF(ROUND(BS!AF54,0)=ROUND(SUM(BS!AF51:AF53),0),"OK","ERROR")</f>
        <v>OK</v>
      </c>
      <c r="AG116" s="285"/>
      <c r="AH116" s="217" t="str">
        <f>IF(ROUND(BS!AH54,0)=ROUND(SUM(BS!AH51:AH53),0),"OK","ERROR")</f>
        <v>OK</v>
      </c>
      <c r="AI116" s="217" t="str">
        <f>IF(ROUND(BS!AI54,0)=ROUND(SUM(BS!AI51:AI53),0),"OK","ERROR")</f>
        <v>OK</v>
      </c>
      <c r="AJ116" s="217" t="str">
        <f>IF(ROUND(BS!AJ54,0)=ROUND(SUM(BS!AJ51:AJ53),0),"OK","ERROR")</f>
        <v>OK</v>
      </c>
      <c r="AK116" s="217" t="str">
        <f>IF(ROUND(BS!AK54,0)=ROUND(SUM(BS!AK51:AK53),0),"OK","ERROR")</f>
        <v>OK</v>
      </c>
      <c r="AL116" s="227" t="str">
        <f>IF(ROUND(BS!AL54,0)=ROUND(SUM(BS!AL51:AL53),0),"OK","ERROR")</f>
        <v>OK</v>
      </c>
      <c r="AM116" s="256"/>
      <c r="AN116" s="217" t="str">
        <f>IF(ROUND(BS!AN54,0)=ROUND(SUM(BS!AN51:AN53),0),"OK","ERROR")</f>
        <v>OK</v>
      </c>
      <c r="AO116" s="217" t="str">
        <f>IF(ROUND(BS!AO54,0)=ROUND(SUM(BS!AO51:AO53),0),"OK","ERROR")</f>
        <v>OK</v>
      </c>
      <c r="AP116" s="217" t="str">
        <f>IF(ROUND(BS!AP54,0)=ROUND(SUM(BS!AP51:AP53),0),"OK","ERROR")</f>
        <v>OK</v>
      </c>
      <c r="AQ116" s="217" t="str">
        <f>IF(ROUND(BS!AQ54,0)=ROUND(SUM(BS!AQ51:AQ53),0),"OK","ERROR")</f>
        <v>OK</v>
      </c>
      <c r="AR116" s="227" t="str">
        <f>IF(ROUND(BS!AR54,0)=ROUND(SUM(BS!AR51:AR53),0),"OK","ERROR")</f>
        <v>OK</v>
      </c>
      <c r="AS116" s="256"/>
      <c r="AT116" s="227" t="str">
        <f>IF(ROUND(BS!AT54,0)=ROUND(SUM(BS!AT51:AT53),0),"OK","ERROR")</f>
        <v>OK</v>
      </c>
      <c r="AU116" s="256"/>
      <c r="AV116" s="227" t="str">
        <f>IF(ROUND(BS!AV54,0)=ROUND(SUM(BS!AV51:AV53),0),"OK","ERROR")</f>
        <v>OK</v>
      </c>
      <c r="AW116" s="261"/>
      <c r="AX116" s="227" t="str">
        <f>IF(ROUND(BS!AX54,0)=ROUND(SUM(BS!AX51:AX53),0),"OK","ERROR")</f>
        <v>OK</v>
      </c>
    </row>
    <row r="117" spans="1:50" s="41" customFormat="1" ht="15" customHeight="1" thickBot="1">
      <c r="A117" s="43"/>
      <c r="B117" s="140" t="s">
        <v>661</v>
      </c>
      <c r="C117" s="17"/>
      <c r="D117" s="217" t="str">
        <f>IF(ROUND(BS!D55,0)=ROUND(SUM(BS!D54,BS!D48),0),"OK","ERROR")</f>
        <v>OK</v>
      </c>
      <c r="E117" s="217" t="str">
        <f>IF(ROUND(BS!E55,0)=ROUND(SUM(BS!E54,BS!E48),0),"OK","ERROR")</f>
        <v>OK</v>
      </c>
      <c r="F117" s="217" t="str">
        <f>IF(ROUND(BS!F55,0)=ROUND(SUM(BS!F54,BS!F48),0),"OK","ERROR")</f>
        <v>OK</v>
      </c>
      <c r="G117" s="217" t="str">
        <f>IF(ROUND(BS!G55,0)=ROUND(SUM(BS!G54,BS!G48),0),"OK","ERROR")</f>
        <v>OK</v>
      </c>
      <c r="H117" s="237" t="str">
        <f>IF(ROUND(BS!H55,0)=ROUND(SUM(BS!H54,BS!H48),0),"OK","ERROR")</f>
        <v>OK</v>
      </c>
      <c r="I117" s="248"/>
      <c r="J117" s="217" t="str">
        <f>IF(ROUND(BS!J55,0)=ROUND(SUM(BS!J54,BS!J48),0),"OK","ERROR")</f>
        <v>OK</v>
      </c>
      <c r="K117" s="217" t="str">
        <f>IF(ROUND(BS!K55,0)=ROUND(SUM(BS!K54,BS!K48),0),"OK","ERROR")</f>
        <v>OK</v>
      </c>
      <c r="L117" s="217" t="str">
        <f>IF(ROUND(BS!L55,0)=ROUND(SUM(BS!L54,BS!L48),0),"OK","ERROR")</f>
        <v>OK</v>
      </c>
      <c r="M117" s="217" t="str">
        <f>IF(ROUND(BS!M55,0)=ROUND(SUM(BS!M54,BS!M48),0),"OK","ERROR")</f>
        <v>OK</v>
      </c>
      <c r="N117" s="237" t="str">
        <f>IF(ROUND(BS!N55,0)=ROUND(SUM(BS!N54,BS!N48),0),"OK","ERROR")</f>
        <v>OK</v>
      </c>
      <c r="O117" s="248"/>
      <c r="P117" s="217" t="str">
        <f>IF(ROUND(BS!P55,0)=ROUND(SUM(BS!P54,BS!P48),0),"OK","ERROR")</f>
        <v>OK</v>
      </c>
      <c r="Q117" s="217" t="str">
        <f>IF(ROUND(BS!Q55,0)=ROUND(SUM(BS!Q54,BS!Q48),0),"OK","ERROR")</f>
        <v>OK</v>
      </c>
      <c r="R117" s="217" t="str">
        <f>IF(ROUND(BS!R55,0)=ROUND(SUM(BS!R54,BS!R48),0),"OK","ERROR")</f>
        <v>OK</v>
      </c>
      <c r="S117" s="217" t="str">
        <f>IF(ROUND(BS!S55,0)=ROUND(SUM(BS!S54,BS!S48),0),"OK","ERROR")</f>
        <v>OK</v>
      </c>
      <c r="T117" s="237" t="str">
        <f>IF(ROUND(BS!T55,0)=ROUND(SUM(BS!T54,BS!T48),0),"OK","ERROR")</f>
        <v>OK</v>
      </c>
      <c r="U117" s="248"/>
      <c r="V117" s="217" t="str">
        <f>IF(ROUND(BS!V55,0)=ROUND(SUM(BS!V54,BS!V48),0),"OK","ERROR")</f>
        <v>OK</v>
      </c>
      <c r="W117" s="217" t="str">
        <f>IF(ROUND(BS!W55,0)=ROUND(SUM(BS!W54,BS!W48),0),"OK","ERROR")</f>
        <v>OK</v>
      </c>
      <c r="X117" s="217" t="str">
        <f>IF(ROUND(BS!X55,0)=ROUND(SUM(BS!X54,BS!X48),0),"OK","ERROR")</f>
        <v>OK</v>
      </c>
      <c r="Y117" s="217" t="str">
        <f>IF(ROUND(BS!Y55,0)=ROUND(SUM(BS!Y54,BS!Y48),0),"OK","ERROR")</f>
        <v>OK</v>
      </c>
      <c r="Z117" s="237" t="str">
        <f>IF(ROUND(BS!Z55,0)=ROUND(SUM(BS!Z54,BS!Z48),0),"OK","ERROR")</f>
        <v>OK</v>
      </c>
      <c r="AA117" s="248"/>
      <c r="AB117" s="217" t="str">
        <f>IF(ROUND(BS!AB55,0)=ROUND(SUM(BS!AB54,BS!AB48),0),"OK","ERROR")</f>
        <v>OK</v>
      </c>
      <c r="AC117" s="217" t="str">
        <f>IF(ROUND(BS!AC55,0)=ROUND(SUM(BS!AC54,BS!AC48),0),"OK","ERROR")</f>
        <v>OK</v>
      </c>
      <c r="AD117" s="217" t="str">
        <f>IF(ROUND(BS!AD55,0)=ROUND(SUM(BS!AD54,BS!AD48),0),"OK","ERROR")</f>
        <v>OK</v>
      </c>
      <c r="AE117" s="217" t="str">
        <f>IF(ROUND(BS!AE55,0)=ROUND(SUM(BS!AE54,BS!AE48),0),"OK","ERROR")</f>
        <v>OK</v>
      </c>
      <c r="AF117" s="237" t="str">
        <f>IF(ROUND(BS!AF55,0)=ROUND(SUM(BS!AF54,BS!AF48),0),"OK","ERROR")</f>
        <v>OK</v>
      </c>
      <c r="AG117" s="284"/>
      <c r="AH117" s="217" t="str">
        <f>IF(ROUND(BS!AH55,0)=ROUND(SUM(BS!AH54,BS!AH48),0),"OK","ERROR")</f>
        <v>OK</v>
      </c>
      <c r="AI117" s="217" t="str">
        <f>IF(ROUND(BS!AI55,0)=ROUND(SUM(BS!AI54,BS!AI48),0),"OK","ERROR")</f>
        <v>OK</v>
      </c>
      <c r="AJ117" s="217" t="str">
        <f>IF(ROUND(BS!AJ55,0)=ROUND(SUM(BS!AJ54,BS!AJ48),0),"OK","ERROR")</f>
        <v>OK</v>
      </c>
      <c r="AK117" s="217" t="str">
        <f>IF(ROUND(BS!AK55,0)=ROUND(SUM(BS!AK54,BS!AK48),0),"OK","ERROR")</f>
        <v>OK</v>
      </c>
      <c r="AL117" s="237" t="str">
        <f>IF(ROUND(BS!AL55,0)=ROUND(SUM(BS!AL54,BS!AL48),0),"OK","ERROR")</f>
        <v>OK</v>
      </c>
      <c r="AM117" s="248"/>
      <c r="AN117" s="217" t="str">
        <f>IF(ROUND(BS!AN55,0)=ROUND(SUM(BS!AN54,BS!AN48),0),"OK","ERROR")</f>
        <v>OK</v>
      </c>
      <c r="AO117" s="217" t="str">
        <f>IF(ROUND(BS!AO55,0)=ROUND(SUM(BS!AO54,BS!AO48),0),"OK","ERROR")</f>
        <v>OK</v>
      </c>
      <c r="AP117" s="217" t="str">
        <f>IF(ROUND(BS!AP55,0)=ROUND(SUM(BS!AP54,BS!AP48),0),"OK","ERROR")</f>
        <v>OK</v>
      </c>
      <c r="AQ117" s="217" t="str">
        <f>IF(ROUND(BS!AQ55,0)=ROUND(SUM(BS!AQ54,BS!AQ48),0),"OK","ERROR")</f>
        <v>OK</v>
      </c>
      <c r="AR117" s="237" t="str">
        <f>IF(ROUND(BS!AR55,0)=ROUND(SUM(BS!AR54,BS!AR48),0),"OK","ERROR")</f>
        <v>OK</v>
      </c>
      <c r="AS117" s="248"/>
      <c r="AT117" s="237" t="str">
        <f>IF(ROUND(BS!AT55,0)=ROUND(SUM(BS!AT54,BS!AT48),0),"OK","ERROR")</f>
        <v>OK</v>
      </c>
      <c r="AU117" s="248"/>
      <c r="AV117" s="237" t="str">
        <f>IF(ROUND(BS!AV55,0)=ROUND(SUM(BS!AV54,BS!AV48),0),"OK","ERROR")</f>
        <v>OK</v>
      </c>
      <c r="AW117" s="255"/>
      <c r="AX117" s="237" t="str">
        <f>IF(ROUND(BS!AX55,0)=ROUND(SUM(BS!AX54,BS!AX48),0),"OK","ERROR")</f>
        <v>OK</v>
      </c>
    </row>
    <row r="118" spans="1:50" ht="14.25" customHeight="1" thickTop="1"/>
    <row r="119" spans="1:50" s="41" customFormat="1" ht="15" customHeight="1">
      <c r="A119" s="44" t="s">
        <v>38</v>
      </c>
      <c r="B119" s="161" t="s">
        <v>694</v>
      </c>
      <c r="C119" s="18"/>
      <c r="D119" s="202">
        <f>F119</f>
        <v>2020</v>
      </c>
      <c r="E119" s="202">
        <f>F119</f>
        <v>2020</v>
      </c>
      <c r="F119" s="202">
        <v>2020</v>
      </c>
      <c r="G119" s="202">
        <f>F119</f>
        <v>2020</v>
      </c>
      <c r="H119" s="202">
        <f>F119</f>
        <v>2020</v>
      </c>
      <c r="I119" s="18"/>
      <c r="J119" s="202">
        <f>L119</f>
        <v>2021</v>
      </c>
      <c r="K119" s="202">
        <f>L119</f>
        <v>2021</v>
      </c>
      <c r="L119" s="202">
        <v>2021</v>
      </c>
      <c r="M119" s="202">
        <f>L119</f>
        <v>2021</v>
      </c>
      <c r="N119" s="202">
        <f>L119</f>
        <v>2021</v>
      </c>
      <c r="O119" s="169"/>
      <c r="P119" s="202">
        <f>R119</f>
        <v>2022</v>
      </c>
      <c r="Q119" s="202">
        <f>R119</f>
        <v>2022</v>
      </c>
      <c r="R119" s="202">
        <v>2022</v>
      </c>
      <c r="S119" s="202">
        <f>R119</f>
        <v>2022</v>
      </c>
      <c r="T119" s="202">
        <f>R119</f>
        <v>2022</v>
      </c>
      <c r="U119" s="169"/>
      <c r="V119" s="202">
        <f>X119</f>
        <v>2023</v>
      </c>
      <c r="W119" s="202">
        <f>X119</f>
        <v>2023</v>
      </c>
      <c r="X119" s="202">
        <v>2023</v>
      </c>
      <c r="Y119" s="202">
        <f>X119</f>
        <v>2023</v>
      </c>
      <c r="Z119" s="202">
        <f>X119</f>
        <v>2023</v>
      </c>
      <c r="AA119" s="170"/>
      <c r="AB119" s="202">
        <f>AD119</f>
        <v>2024</v>
      </c>
      <c r="AC119" s="202">
        <f>AD119</f>
        <v>2024</v>
      </c>
      <c r="AD119" s="202">
        <v>2024</v>
      </c>
      <c r="AE119" s="202">
        <f>AD119</f>
        <v>2024</v>
      </c>
      <c r="AF119" s="202">
        <f>AD119</f>
        <v>2024</v>
      </c>
      <c r="AG119" s="170"/>
      <c r="AH119" s="202">
        <f>AJ119</f>
        <v>2025</v>
      </c>
      <c r="AI119" s="202">
        <f>AJ119</f>
        <v>2025</v>
      </c>
      <c r="AJ119" s="203">
        <v>2025</v>
      </c>
      <c r="AK119" s="202">
        <f>AJ119</f>
        <v>2025</v>
      </c>
      <c r="AL119" s="202">
        <f>AJ119</f>
        <v>2025</v>
      </c>
      <c r="AM119" s="171"/>
      <c r="AN119" s="202">
        <f>AP119</f>
        <v>2025</v>
      </c>
      <c r="AO119" s="202">
        <f>AP119</f>
        <v>2025</v>
      </c>
      <c r="AP119" s="203">
        <v>2025</v>
      </c>
      <c r="AQ119" s="202">
        <f>AP119</f>
        <v>2025</v>
      </c>
      <c r="AR119" s="202">
        <f>AP119</f>
        <v>2025</v>
      </c>
      <c r="AS119" s="18"/>
      <c r="AT119" s="162"/>
      <c r="AU119" s="18"/>
      <c r="AV119" s="163"/>
      <c r="AW119" s="18"/>
      <c r="AX119" s="163"/>
    </row>
    <row r="120" spans="1:50" s="41" customFormat="1" ht="15" customHeight="1">
      <c r="B120" s="164"/>
      <c r="C120" s="18"/>
      <c r="D120" s="815">
        <v>2020</v>
      </c>
      <c r="E120" s="815"/>
      <c r="F120" s="815"/>
      <c r="G120" s="815"/>
      <c r="H120" s="815"/>
      <c r="I120" s="169"/>
      <c r="J120" s="815">
        <f>D120+1</f>
        <v>2021</v>
      </c>
      <c r="K120" s="815"/>
      <c r="L120" s="815"/>
      <c r="M120" s="815"/>
      <c r="N120" s="815"/>
      <c r="O120" s="169"/>
      <c r="P120" s="815">
        <f>J120+1</f>
        <v>2022</v>
      </c>
      <c r="Q120" s="815"/>
      <c r="R120" s="815"/>
      <c r="S120" s="815"/>
      <c r="T120" s="815"/>
      <c r="U120" s="169"/>
      <c r="V120" s="815">
        <f>P120+1</f>
        <v>2023</v>
      </c>
      <c r="W120" s="815"/>
      <c r="X120" s="815"/>
      <c r="Y120" s="815"/>
      <c r="Z120" s="815"/>
      <c r="AA120" s="169"/>
      <c r="AB120" s="815">
        <f>V120+1</f>
        <v>2024</v>
      </c>
      <c r="AC120" s="815"/>
      <c r="AD120" s="815"/>
      <c r="AE120" s="815"/>
      <c r="AF120" s="815"/>
      <c r="AG120" s="169"/>
      <c r="AH120" s="813">
        <f>AB120+1</f>
        <v>2025</v>
      </c>
      <c r="AI120" s="813"/>
      <c r="AJ120" s="813"/>
      <c r="AK120" s="813"/>
      <c r="AL120" s="813"/>
      <c r="AM120" s="169"/>
      <c r="AN120" s="813">
        <f>AH120+1</f>
        <v>2026</v>
      </c>
      <c r="AO120" s="813"/>
      <c r="AP120" s="813"/>
      <c r="AQ120" s="813"/>
      <c r="AR120" s="813"/>
      <c r="AS120" s="171"/>
      <c r="AT120" s="166">
        <f>AN120+1</f>
        <v>2027</v>
      </c>
      <c r="AU120" s="167"/>
      <c r="AV120" s="166">
        <f>+AT120+1</f>
        <v>2028</v>
      </c>
      <c r="AW120" s="167"/>
      <c r="AX120" s="166">
        <f>+AV120+1</f>
        <v>2029</v>
      </c>
    </row>
    <row r="121" spans="1:50" s="41" customFormat="1" ht="15" customHeight="1">
      <c r="B121" s="164"/>
      <c r="C121" s="18"/>
      <c r="D121" s="168" t="s">
        <v>191</v>
      </c>
      <c r="E121" s="168" t="s">
        <v>192</v>
      </c>
      <c r="F121" s="168" t="s">
        <v>193</v>
      </c>
      <c r="G121" s="168" t="s">
        <v>194</v>
      </c>
      <c r="H121" s="168" t="s">
        <v>195</v>
      </c>
      <c r="I121" s="18"/>
      <c r="J121" s="168" t="s">
        <v>191</v>
      </c>
      <c r="K121" s="168" t="s">
        <v>192</v>
      </c>
      <c r="L121" s="168" t="s">
        <v>193</v>
      </c>
      <c r="M121" s="168" t="s">
        <v>194</v>
      </c>
      <c r="N121" s="168" t="s">
        <v>195</v>
      </c>
      <c r="O121" s="165"/>
      <c r="P121" s="168" t="s">
        <v>191</v>
      </c>
      <c r="Q121" s="168" t="s">
        <v>192</v>
      </c>
      <c r="R121" s="168" t="s">
        <v>193</v>
      </c>
      <c r="S121" s="168" t="s">
        <v>194</v>
      </c>
      <c r="T121" s="168" t="s">
        <v>195</v>
      </c>
      <c r="U121" s="165"/>
      <c r="V121" s="168" t="s">
        <v>191</v>
      </c>
      <c r="W121" s="168" t="s">
        <v>192</v>
      </c>
      <c r="X121" s="168" t="s">
        <v>193</v>
      </c>
      <c r="Y121" s="168" t="s">
        <v>194</v>
      </c>
      <c r="Z121" s="168" t="s">
        <v>195</v>
      </c>
      <c r="AA121" s="165"/>
      <c r="AB121" s="168" t="s">
        <v>191</v>
      </c>
      <c r="AC121" s="168" t="s">
        <v>192</v>
      </c>
      <c r="AD121" s="168" t="s">
        <v>193</v>
      </c>
      <c r="AE121" s="168" t="s">
        <v>194</v>
      </c>
      <c r="AF121" s="168" t="s">
        <v>195</v>
      </c>
      <c r="AG121" s="165"/>
      <c r="AH121" s="168" t="s">
        <v>191</v>
      </c>
      <c r="AI121" s="168" t="s">
        <v>192</v>
      </c>
      <c r="AJ121" s="168" t="s">
        <v>193</v>
      </c>
      <c r="AK121" s="168" t="s">
        <v>194</v>
      </c>
      <c r="AL121" s="168" t="s">
        <v>195</v>
      </c>
      <c r="AM121" s="165"/>
      <c r="AN121" s="168" t="s">
        <v>191</v>
      </c>
      <c r="AO121" s="168" t="s">
        <v>192</v>
      </c>
      <c r="AP121" s="168" t="s">
        <v>193</v>
      </c>
      <c r="AQ121" s="168" t="s">
        <v>194</v>
      </c>
      <c r="AR121" s="168" t="s">
        <v>195</v>
      </c>
      <c r="AS121" s="165"/>
      <c r="AT121" s="168" t="s">
        <v>195</v>
      </c>
      <c r="AU121" s="165"/>
      <c r="AV121" s="168" t="s">
        <v>195</v>
      </c>
      <c r="AW121" s="165"/>
      <c r="AX121" s="168" t="s">
        <v>195</v>
      </c>
    </row>
    <row r="122" spans="1:50" s="41" customFormat="1" ht="3.95" customHeight="1">
      <c r="A122" s="43"/>
      <c r="B122" s="176"/>
      <c r="C122" s="35"/>
      <c r="D122" s="177"/>
      <c r="E122" s="177"/>
      <c r="F122" s="177"/>
      <c r="G122" s="177"/>
      <c r="H122" s="177"/>
      <c r="I122" s="35"/>
      <c r="J122" s="177"/>
      <c r="K122" s="177"/>
      <c r="L122" s="177"/>
      <c r="M122" s="177"/>
      <c r="N122" s="177"/>
      <c r="O122" s="178"/>
      <c r="P122" s="177"/>
      <c r="Q122" s="177"/>
      <c r="R122" s="177"/>
      <c r="S122" s="177"/>
      <c r="T122" s="177"/>
      <c r="U122" s="178"/>
      <c r="V122" s="177"/>
      <c r="W122" s="177"/>
      <c r="X122" s="177"/>
      <c r="Y122" s="177"/>
      <c r="Z122" s="177"/>
      <c r="AA122" s="178"/>
      <c r="AB122" s="177"/>
      <c r="AC122" s="177"/>
      <c r="AD122" s="177"/>
      <c r="AE122" s="177"/>
      <c r="AF122" s="177"/>
      <c r="AG122" s="178"/>
      <c r="AH122" s="177"/>
      <c r="AI122" s="177"/>
      <c r="AJ122" s="177"/>
      <c r="AK122" s="177"/>
      <c r="AL122" s="179"/>
      <c r="AM122" s="180"/>
      <c r="AN122" s="179"/>
      <c r="AO122" s="179"/>
      <c r="AP122" s="179"/>
      <c r="AQ122" s="179"/>
      <c r="AR122" s="179"/>
      <c r="AS122" s="180"/>
      <c r="AT122" s="179"/>
      <c r="AU122" s="180"/>
      <c r="AV122" s="179"/>
      <c r="AW122" s="180"/>
      <c r="AX122" s="179"/>
    </row>
    <row r="123" spans="1:50" s="41" customFormat="1" ht="3.95" customHeight="1">
      <c r="A123" s="43"/>
      <c r="B123" s="172"/>
      <c r="C123" s="19"/>
      <c r="D123" s="173"/>
      <c r="E123" s="173"/>
      <c r="F123" s="173"/>
      <c r="G123" s="173"/>
      <c r="H123" s="173"/>
      <c r="I123" s="19"/>
      <c r="J123" s="173"/>
      <c r="K123" s="173"/>
      <c r="L123" s="173"/>
      <c r="M123" s="173"/>
      <c r="N123" s="173"/>
      <c r="O123" s="174"/>
      <c r="P123" s="173"/>
      <c r="Q123" s="173"/>
      <c r="R123" s="173"/>
      <c r="S123" s="173"/>
      <c r="T123" s="173"/>
      <c r="U123" s="174"/>
      <c r="V123" s="173"/>
      <c r="W123" s="173"/>
      <c r="X123" s="173"/>
      <c r="Y123" s="173"/>
      <c r="Z123" s="173"/>
      <c r="AA123" s="174"/>
      <c r="AB123" s="173"/>
      <c r="AC123" s="173"/>
      <c r="AD123" s="173"/>
      <c r="AE123" s="173"/>
      <c r="AF123" s="173"/>
      <c r="AG123" s="204"/>
      <c r="AH123" s="173"/>
      <c r="AI123" s="173"/>
      <c r="AJ123" s="173"/>
      <c r="AK123" s="173"/>
      <c r="AL123" s="175"/>
      <c r="AM123" s="34"/>
      <c r="AN123" s="175"/>
      <c r="AO123" s="175"/>
      <c r="AP123" s="175"/>
      <c r="AQ123" s="175"/>
      <c r="AR123" s="175"/>
      <c r="AS123" s="34"/>
      <c r="AT123" s="175"/>
      <c r="AU123" s="34"/>
      <c r="AV123" s="175"/>
      <c r="AW123" s="34"/>
      <c r="AX123" s="175"/>
    </row>
    <row r="124" spans="1:50" s="54" customFormat="1" ht="15" customHeight="1">
      <c r="A124" s="44" t="s">
        <v>38</v>
      </c>
      <c r="B124" s="154" t="s">
        <v>664</v>
      </c>
      <c r="C124" s="17"/>
      <c r="D124" s="208"/>
      <c r="E124" s="208"/>
      <c r="F124" s="208"/>
      <c r="G124" s="208"/>
      <c r="H124" s="220"/>
      <c r="I124" s="210"/>
      <c r="J124" s="208"/>
      <c r="K124" s="208"/>
      <c r="L124" s="208"/>
      <c r="M124" s="208"/>
      <c r="N124" s="220"/>
      <c r="O124" s="209"/>
      <c r="P124" s="208"/>
      <c r="Q124" s="208"/>
      <c r="R124" s="208"/>
      <c r="S124" s="208"/>
      <c r="T124" s="220"/>
      <c r="U124" s="209"/>
      <c r="V124" s="208"/>
      <c r="W124" s="208"/>
      <c r="X124" s="208"/>
      <c r="Y124" s="208"/>
      <c r="Z124" s="220"/>
      <c r="AA124" s="209"/>
      <c r="AB124" s="208"/>
      <c r="AC124" s="208"/>
      <c r="AD124" s="208"/>
      <c r="AE124" s="208"/>
      <c r="AF124" s="220"/>
      <c r="AG124" s="211"/>
      <c r="AH124" s="208"/>
      <c r="AI124" s="208"/>
      <c r="AJ124" s="212"/>
      <c r="AK124" s="212"/>
      <c r="AL124" s="222"/>
      <c r="AM124" s="215"/>
      <c r="AN124" s="212"/>
      <c r="AO124" s="212"/>
      <c r="AP124" s="212"/>
      <c r="AQ124" s="212"/>
      <c r="AR124" s="222"/>
      <c r="AS124" s="215"/>
      <c r="AT124" s="222"/>
      <c r="AU124" s="215"/>
      <c r="AV124" s="222"/>
      <c r="AW124" s="246"/>
      <c r="AX124" s="246"/>
    </row>
    <row r="125" spans="1:50" s="54" customFormat="1" ht="15" customHeight="1">
      <c r="A125" s="43"/>
      <c r="B125" s="155" t="s">
        <v>538</v>
      </c>
      <c r="C125" s="17"/>
      <c r="D125" s="217"/>
      <c r="E125" s="217"/>
      <c r="F125" s="217"/>
      <c r="G125" s="217"/>
      <c r="H125" s="216" t="str">
        <f>IF(ROUND(CF!H15,0)=ROUND(SUM(CF!D15:G15),0),"OK","ERROR")</f>
        <v>OK</v>
      </c>
      <c r="I125" s="210"/>
      <c r="J125" s="217"/>
      <c r="K125" s="217"/>
      <c r="L125" s="217"/>
      <c r="M125" s="217"/>
      <c r="N125" s="216" t="str">
        <f>IF(ROUND(CF!N15,0)=ROUND(SUM(CF!J15:M15),0),"OK","ERROR")</f>
        <v>OK</v>
      </c>
      <c r="O125" s="209"/>
      <c r="P125" s="217"/>
      <c r="Q125" s="217"/>
      <c r="R125" s="217"/>
      <c r="S125" s="217"/>
      <c r="T125" s="216" t="str">
        <f>IF(ROUND(CF!T15,0)=ROUND(SUM(CF!P15:S15),0),"OK","ERROR")</f>
        <v>OK</v>
      </c>
      <c r="U125" s="209"/>
      <c r="V125" s="217"/>
      <c r="W125" s="217"/>
      <c r="X125" s="217"/>
      <c r="Y125" s="217"/>
      <c r="Z125" s="216" t="str">
        <f>IF(ROUND(CF!Z15,0)=ROUND(SUM(CF!V15:Y15),0),"OK","ERROR")</f>
        <v>OK</v>
      </c>
      <c r="AA125" s="209"/>
      <c r="AB125" s="217"/>
      <c r="AC125" s="217"/>
      <c r="AD125" s="217"/>
      <c r="AE125" s="217"/>
      <c r="AF125" s="216" t="str">
        <f>IF(ROUND(CF!AF15,0)=ROUND(SUM(CF!AB15:AE15),0),"OK","ERROR")</f>
        <v>OK</v>
      </c>
      <c r="AG125" s="211"/>
      <c r="AH125" s="217"/>
      <c r="AI125" s="217"/>
      <c r="AJ125" s="212"/>
      <c r="AK125" s="212"/>
      <c r="AL125" s="216" t="str">
        <f>IF(ROUND(CF!AL15,0)=ROUND(SUM(CF!AH15:AK15),0),"OK","ERROR")</f>
        <v>ERROR</v>
      </c>
      <c r="AM125" s="215"/>
      <c r="AN125" s="212"/>
      <c r="AO125" s="212"/>
      <c r="AP125" s="212"/>
      <c r="AQ125" s="212"/>
      <c r="AR125" s="216" t="str">
        <f>IF(ROUND(CF!AR15,0)=ROUND(SUM(CF!AN15:AQ15),0),"OK","ERROR")</f>
        <v>OK</v>
      </c>
      <c r="AS125" s="215"/>
      <c r="AT125" s="216" t="str">
        <f>IF(ROUND(CF!AT15,0)=ROUND(SUM(CF!AP15:AS15),0),"OK","ERROR")</f>
        <v>OK</v>
      </c>
      <c r="AU125" s="215"/>
      <c r="AV125" s="216" t="str">
        <f>IF(ROUND(CF!AV15,0)=ROUND(SUM(CF!AR15:AU15),0),"OK","ERROR")</f>
        <v>OK</v>
      </c>
      <c r="AW125" s="246"/>
      <c r="AX125" s="216" t="str">
        <f>IF(ROUND(CF!AX15,0)=ROUND(SUM(CF!AT15:AW15),0),"OK","ERROR")</f>
        <v>OK</v>
      </c>
    </row>
    <row r="126" spans="1:50" s="54" customFormat="1" ht="15" customHeight="1">
      <c r="A126" s="43"/>
      <c r="B126" s="155" t="s">
        <v>665</v>
      </c>
      <c r="C126" s="17"/>
      <c r="D126" s="208"/>
      <c r="E126" s="208"/>
      <c r="F126" s="208"/>
      <c r="G126" s="208"/>
      <c r="H126" s="216"/>
      <c r="I126" s="210"/>
      <c r="J126" s="208"/>
      <c r="K126" s="208"/>
      <c r="L126" s="208"/>
      <c r="M126" s="208"/>
      <c r="N126" s="216"/>
      <c r="O126" s="216"/>
      <c r="P126" s="208"/>
      <c r="Q126" s="208"/>
      <c r="R126" s="208"/>
      <c r="S126" s="208"/>
      <c r="T126" s="216"/>
      <c r="U126" s="216"/>
      <c r="V126" s="208"/>
      <c r="W126" s="208"/>
      <c r="X126" s="208"/>
      <c r="Y126" s="208"/>
      <c r="Z126" s="216"/>
      <c r="AA126" s="216"/>
      <c r="AB126" s="208"/>
      <c r="AC126" s="208"/>
      <c r="AD126" s="208"/>
      <c r="AE126" s="208"/>
      <c r="AF126" s="216"/>
      <c r="AG126" s="211"/>
      <c r="AH126" s="208"/>
      <c r="AI126" s="208"/>
      <c r="AJ126" s="212"/>
      <c r="AK126" s="212"/>
      <c r="AL126" s="216"/>
      <c r="AM126" s="215"/>
      <c r="AN126" s="212"/>
      <c r="AO126" s="212"/>
      <c r="AP126" s="212"/>
      <c r="AQ126" s="212"/>
      <c r="AR126" s="216"/>
      <c r="AS126" s="215"/>
      <c r="AT126" s="216"/>
      <c r="AU126" s="215"/>
      <c r="AV126" s="216"/>
      <c r="AW126" s="246"/>
      <c r="AX126" s="216"/>
    </row>
    <row r="127" spans="1:50" s="54" customFormat="1" ht="15" customHeight="1">
      <c r="A127" s="43"/>
      <c r="B127" s="156" t="s">
        <v>599</v>
      </c>
      <c r="C127" s="17"/>
      <c r="D127" s="217"/>
      <c r="E127" s="217"/>
      <c r="F127" s="217"/>
      <c r="G127" s="217"/>
      <c r="H127" s="216" t="str">
        <f>IF(ROUND(CF!H17,0)=ROUND(SUM(CF!D17:G17),0),"OK","ERROR")</f>
        <v>OK</v>
      </c>
      <c r="I127" s="210"/>
      <c r="J127" s="217"/>
      <c r="K127" s="217"/>
      <c r="L127" s="217"/>
      <c r="M127" s="217"/>
      <c r="N127" s="216" t="str">
        <f>IF(ROUND(CF!N17,0)=ROUND(SUM(CF!J17:M17),0),"OK","ERROR")</f>
        <v>OK</v>
      </c>
      <c r="O127" s="209"/>
      <c r="P127" s="217"/>
      <c r="Q127" s="217"/>
      <c r="R127" s="217"/>
      <c r="S127" s="217"/>
      <c r="T127" s="216" t="str">
        <f>IF(ROUND(CF!T17,0)=ROUND(SUM(CF!P17:S17),0),"OK","ERROR")</f>
        <v>OK</v>
      </c>
      <c r="U127" s="209"/>
      <c r="V127" s="217"/>
      <c r="W127" s="217"/>
      <c r="X127" s="217"/>
      <c r="Y127" s="217"/>
      <c r="Z127" s="216" t="str">
        <f>IF(ROUND(CF!Z17,0)=ROUND(SUM(CF!V17:Y17),0),"OK","ERROR")</f>
        <v>OK</v>
      </c>
      <c r="AA127" s="209"/>
      <c r="AB127" s="217"/>
      <c r="AC127" s="217"/>
      <c r="AD127" s="217"/>
      <c r="AE127" s="217"/>
      <c r="AF127" s="216" t="str">
        <f>IF(ROUND(CF!AF17,0)=ROUND(SUM(CF!AB17:AE17),0),"OK","ERROR")</f>
        <v>OK</v>
      </c>
      <c r="AG127" s="211"/>
      <c r="AH127" s="217"/>
      <c r="AI127" s="217"/>
      <c r="AJ127" s="212"/>
      <c r="AK127" s="212"/>
      <c r="AL127" s="216" t="str">
        <f>IF(ROUND(CF!AL17,0)=ROUND(SUM(CF!AH17:AK17),0),"OK","ERROR")</f>
        <v>ERROR</v>
      </c>
      <c r="AM127" s="215"/>
      <c r="AN127" s="212"/>
      <c r="AO127" s="212"/>
      <c r="AP127" s="212"/>
      <c r="AQ127" s="212"/>
      <c r="AR127" s="216" t="str">
        <f>IF(ROUND(CF!AR17,0)=ROUND(SUM(CF!AN17:AQ17),0),"OK","ERROR")</f>
        <v>OK</v>
      </c>
      <c r="AS127" s="215"/>
      <c r="AT127" s="216" t="str">
        <f>IF(ROUND(CF!AT17,0)=ROUND(SUM(CF!AP17:AS17),0),"OK","ERROR")</f>
        <v>OK</v>
      </c>
      <c r="AU127" s="215"/>
      <c r="AV127" s="216" t="str">
        <f>IF(ROUND(CF!AV17,0)=ROUND(SUM(CF!AR17:AU17),0),"OK","ERROR")</f>
        <v>OK</v>
      </c>
      <c r="AW127" s="246"/>
      <c r="AX127" s="216" t="str">
        <f>IF(ROUND(CF!AX17,0)=ROUND(SUM(CF!AT17:AW17),0),"OK","ERROR")</f>
        <v>OK</v>
      </c>
    </row>
    <row r="128" spans="1:50" s="54" customFormat="1" ht="15" customHeight="1">
      <c r="A128" s="43"/>
      <c r="B128" s="156" t="s">
        <v>695</v>
      </c>
      <c r="C128" s="17"/>
      <c r="D128" s="217"/>
      <c r="E128" s="217"/>
      <c r="F128" s="217"/>
      <c r="G128" s="217"/>
      <c r="H128" s="216" t="str">
        <f>IF(ROUND(CF!H18,0)=ROUND(SUM(CF!D18:G18),0),"OK","ERROR")</f>
        <v>OK</v>
      </c>
      <c r="I128" s="210"/>
      <c r="J128" s="217"/>
      <c r="K128" s="217"/>
      <c r="L128" s="217"/>
      <c r="M128" s="217"/>
      <c r="N128" s="216" t="str">
        <f>IF(ROUND(CF!N18,0)=ROUND(SUM(CF!J18:M18),0),"OK","ERROR")</f>
        <v>OK</v>
      </c>
      <c r="O128" s="209"/>
      <c r="P128" s="217"/>
      <c r="Q128" s="217"/>
      <c r="R128" s="217"/>
      <c r="S128" s="217"/>
      <c r="T128" s="216" t="str">
        <f>IF(ROUND(CF!T18,0)=ROUND(SUM(CF!P18:S18),0),"OK","ERROR")</f>
        <v>OK</v>
      </c>
      <c r="U128" s="209"/>
      <c r="V128" s="217"/>
      <c r="W128" s="217"/>
      <c r="X128" s="217"/>
      <c r="Y128" s="217"/>
      <c r="Z128" s="216" t="str">
        <f>IF(ROUND(CF!Z18,0)=ROUND(SUM(CF!V18:Y18),0),"OK","ERROR")</f>
        <v>OK</v>
      </c>
      <c r="AA128" s="209"/>
      <c r="AB128" s="217"/>
      <c r="AC128" s="217"/>
      <c r="AD128" s="217"/>
      <c r="AE128" s="217"/>
      <c r="AF128" s="216" t="str">
        <f>IF(ROUND(CF!AF18,0)=ROUND(SUM(CF!AB18:AE18),0),"OK","ERROR")</f>
        <v>OK</v>
      </c>
      <c r="AG128" s="211"/>
      <c r="AH128" s="217"/>
      <c r="AI128" s="217"/>
      <c r="AJ128" s="212"/>
      <c r="AK128" s="212"/>
      <c r="AL128" s="216" t="str">
        <f>IF(ROUND(CF!AL18,0)=ROUND(SUM(CF!AH18:AK18),0),"OK","ERROR")</f>
        <v>ERROR</v>
      </c>
      <c r="AM128" s="215"/>
      <c r="AN128" s="212"/>
      <c r="AO128" s="212"/>
      <c r="AP128" s="212"/>
      <c r="AQ128" s="212"/>
      <c r="AR128" s="216" t="str">
        <f>IF(ROUND(CF!AR18,0)=ROUND(SUM(CF!AN18:AQ18),0),"OK","ERROR")</f>
        <v>OK</v>
      </c>
      <c r="AS128" s="215"/>
      <c r="AT128" s="216" t="str">
        <f>IF(ROUND(CF!AT18,0)=ROUND(SUM(CF!AP18:AS18),0),"OK","ERROR")</f>
        <v>OK</v>
      </c>
      <c r="AU128" s="215"/>
      <c r="AV128" s="216" t="str">
        <f>IF(ROUND(CF!AV18,0)=ROUND(SUM(CF!AR18:AU18),0),"OK","ERROR")</f>
        <v>OK</v>
      </c>
      <c r="AW128" s="246"/>
      <c r="AX128" s="216" t="str">
        <f>IF(ROUND(CF!AX18,0)=ROUND(SUM(CF!AT18:AW18),0),"OK","ERROR")</f>
        <v>OK</v>
      </c>
    </row>
    <row r="129" spans="1:50" s="54" customFormat="1" ht="15" customHeight="1">
      <c r="A129" s="113"/>
      <c r="B129" s="156" t="s">
        <v>113</v>
      </c>
      <c r="C129" s="115"/>
      <c r="D129" s="217"/>
      <c r="E129" s="217"/>
      <c r="F129" s="217"/>
      <c r="G129" s="217"/>
      <c r="H129" s="216" t="str">
        <f>IF(ROUND(CF!H19,0)=ROUND(SUM(CF!D19:G19),0),"OK","ERROR")</f>
        <v>OK</v>
      </c>
      <c r="I129" s="210"/>
      <c r="J129" s="217"/>
      <c r="K129" s="217"/>
      <c r="L129" s="217"/>
      <c r="M129" s="217"/>
      <c r="N129" s="216" t="str">
        <f>IF(ROUND(CF!N19,0)=ROUND(SUM(CF!J19:M19),0),"OK","ERROR")</f>
        <v>OK</v>
      </c>
      <c r="O129" s="210"/>
      <c r="P129" s="217"/>
      <c r="Q129" s="217"/>
      <c r="R129" s="217"/>
      <c r="S129" s="217"/>
      <c r="T129" s="216" t="str">
        <f>IF(ROUND(CF!T19,0)=ROUND(SUM(CF!P19:S19),0),"OK","ERROR")</f>
        <v>OK</v>
      </c>
      <c r="U129" s="210"/>
      <c r="V129" s="217"/>
      <c r="W129" s="217"/>
      <c r="X129" s="217"/>
      <c r="Y129" s="217"/>
      <c r="Z129" s="216" t="str">
        <f>IF(ROUND(CF!Z19,0)=ROUND(SUM(CF!V19:Y19),0),"OK","ERROR")</f>
        <v>OK</v>
      </c>
      <c r="AA129" s="213"/>
      <c r="AB129" s="217"/>
      <c r="AC129" s="217"/>
      <c r="AD129" s="217"/>
      <c r="AE129" s="217"/>
      <c r="AF129" s="216" t="str">
        <f>IF(ROUND(CF!AF19,0)=ROUND(SUM(CF!AB19:AE19),0),"OK","ERROR")</f>
        <v>OK</v>
      </c>
      <c r="AG129" s="211"/>
      <c r="AH129" s="217"/>
      <c r="AI129" s="217"/>
      <c r="AJ129" s="212"/>
      <c r="AK129" s="212"/>
      <c r="AL129" s="216" t="str">
        <f>IF(ROUND(CF!AL19,0)=ROUND(SUM(CF!AH19:AK19),0),"OK","ERROR")</f>
        <v>ERROR</v>
      </c>
      <c r="AM129" s="223"/>
      <c r="AN129" s="212"/>
      <c r="AO129" s="212"/>
      <c r="AP129" s="212"/>
      <c r="AQ129" s="212"/>
      <c r="AR129" s="216" t="str">
        <f>IF(ROUND(CF!AR19,0)=ROUND(SUM(CF!AN19:AQ19),0),"OK","ERROR")</f>
        <v>OK</v>
      </c>
      <c r="AS129" s="223"/>
      <c r="AT129" s="216" t="str">
        <f>IF(ROUND(CF!AT19,0)=ROUND(SUM(CF!AP19:AS19),0),"OK","ERROR")</f>
        <v>OK</v>
      </c>
      <c r="AU129" s="223"/>
      <c r="AV129" s="216" t="str">
        <f>IF(ROUND(CF!AV19,0)=ROUND(SUM(CF!AR19:AU19),0),"OK","ERROR")</f>
        <v>OK</v>
      </c>
      <c r="AW129" s="246"/>
      <c r="AX129" s="216" t="str">
        <f>IF(ROUND(CF!AX19,0)=ROUND(SUM(CF!AT19:AW19),0),"OK","ERROR")</f>
        <v>OK</v>
      </c>
    </row>
    <row r="130" spans="1:50" s="54" customFormat="1" ht="15" customHeight="1">
      <c r="A130" s="43"/>
      <c r="B130" s="155" t="s">
        <v>667</v>
      </c>
      <c r="C130" s="17"/>
      <c r="D130" s="208"/>
      <c r="E130" s="208"/>
      <c r="F130" s="208"/>
      <c r="G130" s="208"/>
      <c r="H130" s="220"/>
      <c r="I130" s="210"/>
      <c r="J130" s="208"/>
      <c r="K130" s="208"/>
      <c r="L130" s="208"/>
      <c r="M130" s="208"/>
      <c r="N130" s="220"/>
      <c r="O130" s="210"/>
      <c r="P130" s="208"/>
      <c r="Q130" s="208"/>
      <c r="R130" s="208"/>
      <c r="S130" s="208"/>
      <c r="T130" s="220"/>
      <c r="U130" s="210"/>
      <c r="V130" s="208"/>
      <c r="W130" s="208"/>
      <c r="X130" s="208"/>
      <c r="Y130" s="208"/>
      <c r="Z130" s="220"/>
      <c r="AA130" s="213"/>
      <c r="AB130" s="208"/>
      <c r="AC130" s="208"/>
      <c r="AD130" s="208"/>
      <c r="AE130" s="208"/>
      <c r="AF130" s="220"/>
      <c r="AG130" s="211"/>
      <c r="AH130" s="208"/>
      <c r="AI130" s="208"/>
      <c r="AJ130" s="212"/>
      <c r="AK130" s="212"/>
      <c r="AL130" s="220"/>
      <c r="AM130" s="225"/>
      <c r="AN130" s="212"/>
      <c r="AO130" s="212"/>
      <c r="AP130" s="212"/>
      <c r="AQ130" s="212"/>
      <c r="AR130" s="220"/>
      <c r="AS130" s="225"/>
      <c r="AT130" s="220"/>
      <c r="AU130" s="225"/>
      <c r="AV130" s="220"/>
      <c r="AW130" s="246"/>
      <c r="AX130" s="220"/>
    </row>
    <row r="131" spans="1:50" s="54" customFormat="1" ht="15" customHeight="1">
      <c r="A131" s="113"/>
      <c r="B131" s="156" t="s">
        <v>633</v>
      </c>
      <c r="C131" s="115"/>
      <c r="D131" s="217"/>
      <c r="E131" s="217"/>
      <c r="F131" s="217"/>
      <c r="G131" s="217"/>
      <c r="H131" s="220" t="str">
        <f>IF(ROUND(CF!H21,0)=ROUND(SUM(CF!D21:G21),0),"OK","ERROR")</f>
        <v>OK</v>
      </c>
      <c r="I131" s="210"/>
      <c r="J131" s="217"/>
      <c r="K131" s="217"/>
      <c r="L131" s="217"/>
      <c r="M131" s="217"/>
      <c r="N131" s="220" t="str">
        <f>IF(ROUND(CF!N21,0)=ROUND(SUM(CF!J21:M21),0),"OK","ERROR")</f>
        <v>OK</v>
      </c>
      <c r="O131" s="210"/>
      <c r="P131" s="217"/>
      <c r="Q131" s="217"/>
      <c r="R131" s="217"/>
      <c r="S131" s="217"/>
      <c r="T131" s="220" t="str">
        <f>IF(ROUND(CF!T21,0)=ROUND(SUM(CF!P21:S21),0),"OK","ERROR")</f>
        <v>OK</v>
      </c>
      <c r="U131" s="210"/>
      <c r="V131" s="217"/>
      <c r="W131" s="217"/>
      <c r="X131" s="217"/>
      <c r="Y131" s="217"/>
      <c r="Z131" s="220" t="str">
        <f>IF(ROUND(CF!Z21,0)=ROUND(SUM(CF!V21:Y21),0),"OK","ERROR")</f>
        <v>OK</v>
      </c>
      <c r="AA131" s="213"/>
      <c r="AB131" s="217"/>
      <c r="AC131" s="217"/>
      <c r="AD131" s="217"/>
      <c r="AE131" s="217"/>
      <c r="AF131" s="220" t="str">
        <f>IF(ROUND(CF!AF21,0)=ROUND(SUM(CF!AB21:AE21),0),"OK","ERROR")</f>
        <v>OK</v>
      </c>
      <c r="AG131" s="211"/>
      <c r="AH131" s="217"/>
      <c r="AI131" s="217"/>
      <c r="AJ131" s="212"/>
      <c r="AK131" s="212"/>
      <c r="AL131" s="220" t="str">
        <f>IF(ROUND(CF!AL21,0)=ROUND(SUM(CF!AH21:AK21),0),"OK","ERROR")</f>
        <v>ERROR</v>
      </c>
      <c r="AM131" s="225"/>
      <c r="AN131" s="212"/>
      <c r="AO131" s="212"/>
      <c r="AP131" s="212"/>
      <c r="AQ131" s="212"/>
      <c r="AR131" s="220" t="str">
        <f>IF(ROUND(CF!AR21,0)=ROUND(SUM(CF!AN21:AQ21),0),"OK","ERROR")</f>
        <v>OK</v>
      </c>
      <c r="AS131" s="225"/>
      <c r="AT131" s="220" t="str">
        <f>IF(ROUND(CF!AT21,0)=ROUND(SUM(CF!AP21:AS21),0),"OK","ERROR")</f>
        <v>OK</v>
      </c>
      <c r="AU131" s="225"/>
      <c r="AV131" s="220" t="str">
        <f>IF(ROUND(CF!AV21,0)=ROUND(SUM(CF!AR21:AU21),0),"OK","ERROR")</f>
        <v>OK</v>
      </c>
      <c r="AW131" s="246"/>
      <c r="AX131" s="220" t="str">
        <f>IF(ROUND(CF!AX21,0)=ROUND(SUM(CF!AT21:AW21),0),"OK","ERROR")</f>
        <v>OK</v>
      </c>
    </row>
    <row r="132" spans="1:50" s="54" customFormat="1" ht="15" customHeight="1">
      <c r="A132" s="43"/>
      <c r="B132" s="156" t="s">
        <v>668</v>
      </c>
      <c r="C132" s="17"/>
      <c r="D132" s="217"/>
      <c r="E132" s="217"/>
      <c r="F132" s="217"/>
      <c r="G132" s="217"/>
      <c r="H132" s="220" t="str">
        <f>IF(ROUND(CF!H22,0)=ROUND(SUM(CF!D22:G22),0),"OK","ERROR")</f>
        <v>OK</v>
      </c>
      <c r="I132" s="210"/>
      <c r="J132" s="217"/>
      <c r="K132" s="217"/>
      <c r="L132" s="217"/>
      <c r="M132" s="217"/>
      <c r="N132" s="220" t="str">
        <f>IF(ROUND(CF!N22,0)=ROUND(SUM(CF!J22:M22),0),"OK","ERROR")</f>
        <v>OK</v>
      </c>
      <c r="O132" s="210"/>
      <c r="P132" s="217"/>
      <c r="Q132" s="217"/>
      <c r="R132" s="217"/>
      <c r="S132" s="217"/>
      <c r="T132" s="220" t="str">
        <f>IF(ROUND(CF!T22,0)=ROUND(SUM(CF!P22:S22),0),"OK","ERROR")</f>
        <v>OK</v>
      </c>
      <c r="U132" s="210"/>
      <c r="V132" s="217"/>
      <c r="W132" s="217"/>
      <c r="X132" s="217"/>
      <c r="Y132" s="217"/>
      <c r="Z132" s="220" t="str">
        <f>IF(ROUND(CF!Z22,0)=ROUND(SUM(CF!V22:Y22),0),"OK","ERROR")</f>
        <v>OK</v>
      </c>
      <c r="AA132" s="213"/>
      <c r="AB132" s="217"/>
      <c r="AC132" s="217"/>
      <c r="AD132" s="217"/>
      <c r="AE132" s="217"/>
      <c r="AF132" s="220" t="str">
        <f>IF(ROUND(CF!AF22,0)=ROUND(SUM(CF!AB22:AE22),0),"OK","ERROR")</f>
        <v>OK</v>
      </c>
      <c r="AG132" s="211"/>
      <c r="AH132" s="217"/>
      <c r="AI132" s="217"/>
      <c r="AJ132" s="212"/>
      <c r="AK132" s="212"/>
      <c r="AL132" s="220" t="str">
        <f>IF(ROUND(CF!AL22,0)=ROUND(SUM(CF!AH22:AK22),0),"OK","ERROR")</f>
        <v>ERROR</v>
      </c>
      <c r="AM132" s="225"/>
      <c r="AN132" s="212"/>
      <c r="AO132" s="212"/>
      <c r="AP132" s="212"/>
      <c r="AQ132" s="212"/>
      <c r="AR132" s="220" t="str">
        <f>IF(ROUND(CF!AR22,0)=ROUND(SUM(CF!AN22:AQ22),0),"OK","ERROR")</f>
        <v>OK</v>
      </c>
      <c r="AS132" s="225"/>
      <c r="AT132" s="220" t="str">
        <f>IF(ROUND(CF!AT22,0)=ROUND(SUM(CF!AP22:AS22),0),"OK","ERROR")</f>
        <v>OK</v>
      </c>
      <c r="AU132" s="225"/>
      <c r="AV132" s="220" t="str">
        <f>IF(ROUND(CF!AV22,0)=ROUND(SUM(CF!AR22:AU22),0),"OK","ERROR")</f>
        <v>OK</v>
      </c>
      <c r="AW132" s="246"/>
      <c r="AX132" s="220" t="str">
        <f>IF(ROUND(CF!AX22,0)=ROUND(SUM(CF!AT22:AW22),0),"OK","ERROR")</f>
        <v>OK</v>
      </c>
    </row>
    <row r="133" spans="1:50" s="54" customFormat="1" ht="15" customHeight="1">
      <c r="A133" s="113"/>
      <c r="B133" s="156" t="s">
        <v>645</v>
      </c>
      <c r="C133" s="115"/>
      <c r="D133" s="217"/>
      <c r="E133" s="217"/>
      <c r="F133" s="217"/>
      <c r="G133" s="217"/>
      <c r="H133" s="220" t="str">
        <f>IF(ROUND(CF!H23,0)=ROUND(SUM(CF!D23:G23),0),"OK","ERROR")</f>
        <v>OK</v>
      </c>
      <c r="I133" s="210"/>
      <c r="J133" s="217"/>
      <c r="K133" s="217"/>
      <c r="L133" s="217"/>
      <c r="M133" s="217"/>
      <c r="N133" s="220" t="str">
        <f>IF(ROUND(CF!N23,0)=ROUND(SUM(CF!J23:M23),0),"OK","ERROR")</f>
        <v>OK</v>
      </c>
      <c r="O133" s="210"/>
      <c r="P133" s="217"/>
      <c r="Q133" s="217"/>
      <c r="R133" s="217"/>
      <c r="S133" s="217"/>
      <c r="T133" s="220" t="str">
        <f>IF(ROUND(CF!T23,0)=ROUND(SUM(CF!P23:S23),0),"OK","ERROR")</f>
        <v>OK</v>
      </c>
      <c r="U133" s="210"/>
      <c r="V133" s="217"/>
      <c r="W133" s="217"/>
      <c r="X133" s="217"/>
      <c r="Y133" s="217"/>
      <c r="Z133" s="220" t="str">
        <f>IF(ROUND(CF!Z23,0)=ROUND(SUM(CF!V23:Y23),0),"OK","ERROR")</f>
        <v>OK</v>
      </c>
      <c r="AA133" s="213"/>
      <c r="AB133" s="217"/>
      <c r="AC133" s="217"/>
      <c r="AD133" s="217"/>
      <c r="AE133" s="217"/>
      <c r="AF133" s="220" t="str">
        <f>IF(ROUND(CF!AF23,0)=ROUND(SUM(CF!AB23:AE23),0),"OK","ERROR")</f>
        <v>OK</v>
      </c>
      <c r="AG133" s="211"/>
      <c r="AH133" s="217"/>
      <c r="AI133" s="217"/>
      <c r="AJ133" s="212"/>
      <c r="AK133" s="212"/>
      <c r="AL133" s="220" t="str">
        <f>IF(ROUND(CF!AL23,0)=ROUND(SUM(CF!AH23:AK23),0),"OK","ERROR")</f>
        <v>ERROR</v>
      </c>
      <c r="AM133" s="225"/>
      <c r="AN133" s="212"/>
      <c r="AO133" s="212"/>
      <c r="AP133" s="212"/>
      <c r="AQ133" s="212"/>
      <c r="AR133" s="220" t="str">
        <f>IF(ROUND(CF!AR23,0)=ROUND(SUM(CF!AN23:AQ23),0),"OK","ERROR")</f>
        <v>OK</v>
      </c>
      <c r="AS133" s="225"/>
      <c r="AT133" s="220" t="str">
        <f>IF(ROUND(CF!AT23,0)=ROUND(SUM(CF!AP23:AS23),0),"OK","ERROR")</f>
        <v>OK</v>
      </c>
      <c r="AU133" s="225"/>
      <c r="AV133" s="220" t="str">
        <f>IF(ROUND(CF!AV23,0)=ROUND(SUM(CF!AR23:AU23),0),"OK","ERROR")</f>
        <v>OK</v>
      </c>
      <c r="AW133" s="246"/>
      <c r="AX133" s="220" t="str">
        <f>IF(ROUND(CF!AX23,0)=ROUND(SUM(CF!AT23:AW23),0),"OK","ERROR")</f>
        <v>OK</v>
      </c>
    </row>
    <row r="134" spans="1:50" s="54" customFormat="1" ht="15" customHeight="1">
      <c r="A134" s="113"/>
      <c r="B134" s="156" t="s">
        <v>113</v>
      </c>
      <c r="C134" s="115"/>
      <c r="D134" s="217"/>
      <c r="E134" s="217"/>
      <c r="F134" s="217"/>
      <c r="G134" s="217"/>
      <c r="H134" s="226" t="str">
        <f>IF(ROUND(CF!H24,0)=ROUND(SUM(CF!D24:G24),0),"OK","ERROR")</f>
        <v>OK</v>
      </c>
      <c r="I134" s="210"/>
      <c r="J134" s="217"/>
      <c r="K134" s="217"/>
      <c r="L134" s="217"/>
      <c r="M134" s="217"/>
      <c r="N134" s="226" t="str">
        <f>IF(ROUND(CF!N24,0)=ROUND(SUM(CF!J24:M24),0),"OK","ERROR")</f>
        <v>OK</v>
      </c>
      <c r="O134" s="210"/>
      <c r="P134" s="217"/>
      <c r="Q134" s="217"/>
      <c r="R134" s="217"/>
      <c r="S134" s="217"/>
      <c r="T134" s="226" t="str">
        <f>IF(ROUND(CF!T24,0)=ROUND(SUM(CF!P24:S24),0),"OK","ERROR")</f>
        <v>OK</v>
      </c>
      <c r="U134" s="210"/>
      <c r="V134" s="217"/>
      <c r="W134" s="217"/>
      <c r="X134" s="217"/>
      <c r="Y134" s="217"/>
      <c r="Z134" s="226" t="str">
        <f>IF(ROUND(CF!Z24,0)=ROUND(SUM(CF!V24:Y24),0),"OK","ERROR")</f>
        <v>OK</v>
      </c>
      <c r="AA134" s="228"/>
      <c r="AB134" s="217"/>
      <c r="AC134" s="217"/>
      <c r="AD134" s="217"/>
      <c r="AE134" s="217"/>
      <c r="AF134" s="226" t="str">
        <f>IF(ROUND(CF!AF24,0)=ROUND(SUM(CF!AB24:AE24),0),"OK","ERROR")</f>
        <v>OK</v>
      </c>
      <c r="AG134" s="229"/>
      <c r="AH134" s="217"/>
      <c r="AI134" s="217"/>
      <c r="AJ134" s="212"/>
      <c r="AK134" s="212"/>
      <c r="AL134" s="226" t="str">
        <f>IF(ROUND(CF!AL24,0)=ROUND(SUM(CF!AH24:AK24),0),"OK","ERROR")</f>
        <v>ERROR</v>
      </c>
      <c r="AM134" s="230"/>
      <c r="AN134" s="212"/>
      <c r="AO134" s="212"/>
      <c r="AP134" s="212"/>
      <c r="AQ134" s="212"/>
      <c r="AR134" s="226" t="str">
        <f>IF(ROUND(CF!AR24,0)=ROUND(SUM(CF!AN24:AQ24),0),"OK","ERROR")</f>
        <v>OK</v>
      </c>
      <c r="AS134" s="230"/>
      <c r="AT134" s="226" t="str">
        <f>IF(ROUND(CF!AT24,0)=ROUND(SUM(CF!AP24:AS24),0),"OK","ERROR")</f>
        <v>OK</v>
      </c>
      <c r="AU134" s="230"/>
      <c r="AV134" s="226" t="str">
        <f>IF(ROUND(CF!AV24,0)=ROUND(SUM(CF!AR24:AU24),0),"OK","ERROR")</f>
        <v>OK</v>
      </c>
      <c r="AW134" s="246"/>
      <c r="AX134" s="226" t="str">
        <f>IF(ROUND(CF!AX24,0)=ROUND(SUM(CF!AT24:AW24),0),"OK","ERROR")</f>
        <v>OK</v>
      </c>
    </row>
    <row r="135" spans="1:50" s="54" customFormat="1" ht="15" customHeight="1" thickBot="1">
      <c r="A135" s="84"/>
      <c r="B135" s="157" t="s">
        <v>669</v>
      </c>
      <c r="C135" s="26"/>
      <c r="D135" s="217"/>
      <c r="E135" s="217"/>
      <c r="F135" s="217"/>
      <c r="G135" s="217"/>
      <c r="H135" s="237" t="str">
        <f>IF(ROUND(CF!H25,0)=ROUND(SUM(CF!D25:G25),0),"OK","ERROR")</f>
        <v>OK</v>
      </c>
      <c r="I135" s="210"/>
      <c r="J135" s="217"/>
      <c r="K135" s="217"/>
      <c r="L135" s="217"/>
      <c r="M135" s="217"/>
      <c r="N135" s="237" t="str">
        <f>IF(ROUND(CF!N25,0)=ROUND(SUM(CF!J25:M25),0),"OK","ERROR")</f>
        <v>OK</v>
      </c>
      <c r="O135" s="210"/>
      <c r="P135" s="217"/>
      <c r="Q135" s="217"/>
      <c r="R135" s="217"/>
      <c r="S135" s="217"/>
      <c r="T135" s="237" t="str">
        <f>IF(ROUND(CF!T25,0)=ROUND(SUM(CF!P25:S25),0),"OK","ERROR")</f>
        <v>OK</v>
      </c>
      <c r="U135" s="210"/>
      <c r="V135" s="217"/>
      <c r="W135" s="217"/>
      <c r="X135" s="217"/>
      <c r="Y135" s="217"/>
      <c r="Z135" s="237" t="str">
        <f>IF(ROUND(CF!Z25,0)=ROUND(SUM(CF!V25:Y25),0),"OK","ERROR")</f>
        <v>OK</v>
      </c>
      <c r="AA135" s="228"/>
      <c r="AB135" s="217"/>
      <c r="AC135" s="217"/>
      <c r="AD135" s="217"/>
      <c r="AE135" s="217"/>
      <c r="AF135" s="237" t="str">
        <f>IF(ROUND(CF!AF25,0)=ROUND(SUM(CF!AB25:AE25),0),"OK","ERROR")</f>
        <v>OK</v>
      </c>
      <c r="AG135" s="229"/>
      <c r="AH135" s="217"/>
      <c r="AI135" s="217"/>
      <c r="AJ135" s="212"/>
      <c r="AK135" s="212"/>
      <c r="AL135" s="237" t="str">
        <f>IF(ROUND(CF!AL25,0)=ROUND(SUM(CF!AH25:AK25),0),"OK","ERROR")</f>
        <v>ERROR</v>
      </c>
      <c r="AM135" s="230"/>
      <c r="AN135" s="212"/>
      <c r="AO135" s="212"/>
      <c r="AP135" s="212"/>
      <c r="AQ135" s="212"/>
      <c r="AR135" s="237" t="str">
        <f>IF(ROUND(CF!AR25,0)=ROUND(SUM(CF!AN25:AQ25),0),"OK","ERROR")</f>
        <v>OK</v>
      </c>
      <c r="AS135" s="230"/>
      <c r="AT135" s="237" t="str">
        <f>IF(ROUND(CF!AT25,0)=ROUND(SUM(CF!AP25:AS25),0),"OK","ERROR")</f>
        <v>OK</v>
      </c>
      <c r="AU135" s="230"/>
      <c r="AV135" s="237" t="str">
        <f>IF(ROUND(CF!AV25,0)=ROUND(SUM(CF!AR25:AU25),0),"OK","ERROR")</f>
        <v>OK</v>
      </c>
      <c r="AW135" s="246"/>
      <c r="AX135" s="237" t="str">
        <f>IF(ROUND(CF!AX25,0)=ROUND(SUM(CF!AT25:AW25),0),"OK","ERROR")</f>
        <v>OK</v>
      </c>
    </row>
    <row r="136" spans="1:50" s="54" customFormat="1" ht="15" customHeight="1" thickTop="1">
      <c r="A136" s="43"/>
      <c r="B136" s="154"/>
      <c r="C136" s="17"/>
      <c r="D136" s="208"/>
      <c r="E136" s="208"/>
      <c r="F136" s="208"/>
      <c r="G136" s="208"/>
      <c r="H136" s="220"/>
      <c r="I136" s="210"/>
      <c r="J136" s="208"/>
      <c r="K136" s="208"/>
      <c r="L136" s="208"/>
      <c r="M136" s="208"/>
      <c r="N136" s="220"/>
      <c r="O136" s="210"/>
      <c r="P136" s="208"/>
      <c r="Q136" s="208"/>
      <c r="R136" s="208"/>
      <c r="S136" s="208"/>
      <c r="T136" s="220"/>
      <c r="U136" s="210"/>
      <c r="V136" s="208"/>
      <c r="W136" s="208"/>
      <c r="X136" s="208"/>
      <c r="Y136" s="208"/>
      <c r="Z136" s="220"/>
      <c r="AA136" s="213"/>
      <c r="AB136" s="208"/>
      <c r="AC136" s="208"/>
      <c r="AD136" s="208"/>
      <c r="AE136" s="208"/>
      <c r="AF136" s="220"/>
      <c r="AG136" s="211"/>
      <c r="AH136" s="208"/>
      <c r="AI136" s="208"/>
      <c r="AJ136" s="212"/>
      <c r="AK136" s="212"/>
      <c r="AL136" s="220"/>
      <c r="AM136" s="225"/>
      <c r="AN136" s="212"/>
      <c r="AO136" s="212"/>
      <c r="AP136" s="212"/>
      <c r="AQ136" s="212"/>
      <c r="AR136" s="220"/>
      <c r="AS136" s="225"/>
      <c r="AT136" s="220"/>
      <c r="AU136" s="225"/>
      <c r="AV136" s="220"/>
      <c r="AW136" s="246"/>
      <c r="AX136" s="220"/>
    </row>
    <row r="137" spans="1:50" s="54" customFormat="1" ht="15" customHeight="1">
      <c r="A137" s="44" t="s">
        <v>38</v>
      </c>
      <c r="B137" s="158" t="s">
        <v>670</v>
      </c>
      <c r="C137" s="115"/>
      <c r="D137" s="208"/>
      <c r="E137" s="208"/>
      <c r="F137" s="208"/>
      <c r="G137" s="208"/>
      <c r="H137" s="220"/>
      <c r="I137" s="210"/>
      <c r="J137" s="208"/>
      <c r="K137" s="208"/>
      <c r="L137" s="208"/>
      <c r="M137" s="208"/>
      <c r="N137" s="220"/>
      <c r="O137" s="210"/>
      <c r="P137" s="208"/>
      <c r="Q137" s="208"/>
      <c r="R137" s="208"/>
      <c r="S137" s="208"/>
      <c r="T137" s="220"/>
      <c r="U137" s="210"/>
      <c r="V137" s="208"/>
      <c r="W137" s="208"/>
      <c r="X137" s="208"/>
      <c r="Y137" s="208"/>
      <c r="Z137" s="220"/>
      <c r="AA137" s="228"/>
      <c r="AB137" s="208"/>
      <c r="AC137" s="208"/>
      <c r="AD137" s="208"/>
      <c r="AE137" s="208"/>
      <c r="AF137" s="220"/>
      <c r="AG137" s="229"/>
      <c r="AH137" s="208"/>
      <c r="AI137" s="208"/>
      <c r="AJ137" s="212"/>
      <c r="AK137" s="212"/>
      <c r="AL137" s="220"/>
      <c r="AM137" s="230"/>
      <c r="AN137" s="212"/>
      <c r="AO137" s="212"/>
      <c r="AP137" s="212"/>
      <c r="AQ137" s="212"/>
      <c r="AR137" s="220"/>
      <c r="AS137" s="230"/>
      <c r="AT137" s="220"/>
      <c r="AU137" s="230"/>
      <c r="AV137" s="220"/>
      <c r="AW137" s="246"/>
      <c r="AX137" s="220"/>
    </row>
    <row r="138" spans="1:50" s="54" customFormat="1" ht="15" customHeight="1">
      <c r="A138" s="43"/>
      <c r="B138" s="159" t="s">
        <v>671</v>
      </c>
      <c r="C138" s="17"/>
      <c r="D138" s="217"/>
      <c r="E138" s="217"/>
      <c r="F138" s="217"/>
      <c r="G138" s="217"/>
      <c r="H138" s="220" t="str">
        <f>IF(ROUND(CF!H28,0)=ROUND(SUM(CF!D28:G28),0),"OK","ERROR")</f>
        <v>ERROR</v>
      </c>
      <c r="I138" s="210"/>
      <c r="J138" s="217"/>
      <c r="K138" s="217"/>
      <c r="L138" s="217"/>
      <c r="M138" s="217"/>
      <c r="N138" s="220" t="str">
        <f>IF(ROUND(CF!N28,0)=ROUND(SUM(CF!J28:M28),0),"OK","ERROR")</f>
        <v>OK</v>
      </c>
      <c r="O138" s="210"/>
      <c r="P138" s="217"/>
      <c r="Q138" s="217"/>
      <c r="R138" s="217"/>
      <c r="S138" s="217"/>
      <c r="T138" s="220" t="str">
        <f>IF(ROUND(CF!T28,0)=ROUND(SUM(CF!P28:S28),0),"OK","ERROR")</f>
        <v>OK</v>
      </c>
      <c r="U138" s="210"/>
      <c r="V138" s="217"/>
      <c r="W138" s="217"/>
      <c r="X138" s="217"/>
      <c r="Y138" s="217"/>
      <c r="Z138" s="220" t="str">
        <f>IF(ROUND(CF!Z28,0)=ROUND(SUM(CF!V28:Y28),0),"OK","ERROR")</f>
        <v>OK</v>
      </c>
      <c r="AA138" s="213"/>
      <c r="AB138" s="217"/>
      <c r="AC138" s="217"/>
      <c r="AD138" s="217"/>
      <c r="AE138" s="217"/>
      <c r="AF138" s="220" t="str">
        <f>IF(ROUND(CF!AF28,0)=ROUND(SUM(CF!AB28:AE28),0),"OK","ERROR")</f>
        <v>OK</v>
      </c>
      <c r="AG138" s="211"/>
      <c r="AH138" s="217"/>
      <c r="AI138" s="217"/>
      <c r="AJ138" s="212"/>
      <c r="AK138" s="212"/>
      <c r="AL138" s="220" t="str">
        <f>IF(ROUND(CF!AL28,0)=ROUND(SUM(CF!AH28:AK28),0),"OK","ERROR")</f>
        <v>ERROR</v>
      </c>
      <c r="AM138" s="225"/>
      <c r="AN138" s="212"/>
      <c r="AO138" s="212"/>
      <c r="AP138" s="212"/>
      <c r="AQ138" s="212"/>
      <c r="AR138" s="220" t="str">
        <f>IF(ROUND(CF!AR28,0)=ROUND(SUM(CF!AN28:AQ28),0),"OK","ERROR")</f>
        <v>OK</v>
      </c>
      <c r="AS138" s="225"/>
      <c r="AT138" s="220" t="str">
        <f>IF(ROUND(CF!AT28,0)=ROUND(SUM(CF!AP28:AS28),0),"OK","ERROR")</f>
        <v>OK</v>
      </c>
      <c r="AU138" s="225"/>
      <c r="AV138" s="220" t="str">
        <f>IF(ROUND(CF!AV28,0)=ROUND(SUM(CF!AR28:AU28),0),"OK","ERROR")</f>
        <v>OK</v>
      </c>
      <c r="AW138" s="246"/>
      <c r="AX138" s="220" t="str">
        <f>IF(ROUND(CF!AX28,0)=ROUND(SUM(CF!AT28:AW28),0),"OK","ERROR")</f>
        <v>OK</v>
      </c>
    </row>
    <row r="139" spans="1:50" s="54" customFormat="1" ht="15" customHeight="1">
      <c r="A139" s="113"/>
      <c r="B139" s="159" t="s">
        <v>672</v>
      </c>
      <c r="C139" s="115"/>
      <c r="D139" s="217"/>
      <c r="E139" s="217"/>
      <c r="F139" s="217"/>
      <c r="G139" s="217"/>
      <c r="H139" s="220" t="str">
        <f>IF(ROUND(CF!H29,0)=ROUND(SUM(CF!D29:G29),0),"OK","ERROR")</f>
        <v>OK</v>
      </c>
      <c r="I139" s="210"/>
      <c r="J139" s="217"/>
      <c r="K139" s="217"/>
      <c r="L139" s="217"/>
      <c r="M139" s="217"/>
      <c r="N139" s="220" t="str">
        <f>IF(ROUND(CF!N29,0)=ROUND(SUM(CF!J29:M29),0),"OK","ERROR")</f>
        <v>OK</v>
      </c>
      <c r="O139" s="210"/>
      <c r="P139" s="217"/>
      <c r="Q139" s="217"/>
      <c r="R139" s="217"/>
      <c r="S139" s="217"/>
      <c r="T139" s="220" t="str">
        <f>IF(ROUND(CF!T29,0)=ROUND(SUM(CF!P29:S29),0),"OK","ERROR")</f>
        <v>OK</v>
      </c>
      <c r="U139" s="210"/>
      <c r="V139" s="217"/>
      <c r="W139" s="217"/>
      <c r="X139" s="217"/>
      <c r="Y139" s="217"/>
      <c r="Z139" s="220" t="str">
        <f>IF(ROUND(CF!Z29,0)=ROUND(SUM(CF!V29:Y29),0),"OK","ERROR")</f>
        <v>OK</v>
      </c>
      <c r="AA139" s="228"/>
      <c r="AB139" s="217"/>
      <c r="AC139" s="217"/>
      <c r="AD139" s="217"/>
      <c r="AE139" s="217"/>
      <c r="AF139" s="220" t="str">
        <f>IF(ROUND(CF!AF29,0)=ROUND(SUM(CF!AB29:AE29),0),"OK","ERROR")</f>
        <v>OK</v>
      </c>
      <c r="AG139" s="229"/>
      <c r="AH139" s="217"/>
      <c r="AI139" s="217"/>
      <c r="AJ139" s="212"/>
      <c r="AK139" s="212"/>
      <c r="AL139" s="220" t="str">
        <f>IF(ROUND(CF!AL29,0)=ROUND(SUM(CF!AH29:AK29),0),"OK","ERROR")</f>
        <v>OK</v>
      </c>
      <c r="AM139" s="230"/>
      <c r="AN139" s="212"/>
      <c r="AO139" s="212"/>
      <c r="AP139" s="212"/>
      <c r="AQ139" s="212"/>
      <c r="AR139" s="220" t="str">
        <f>IF(ROUND(CF!AR29,0)=ROUND(SUM(CF!AN29:AQ29),0),"OK","ERROR")</f>
        <v>OK</v>
      </c>
      <c r="AS139" s="230"/>
      <c r="AT139" s="220" t="str">
        <f>IF(ROUND(CF!AT29,0)=ROUND(SUM(CF!AP29:AS29),0),"OK","ERROR")</f>
        <v>OK</v>
      </c>
      <c r="AU139" s="230"/>
      <c r="AV139" s="220" t="str">
        <f>IF(ROUND(CF!AV29,0)=ROUND(SUM(CF!AR29:AU29),0),"OK","ERROR")</f>
        <v>OK</v>
      </c>
      <c r="AW139" s="246"/>
      <c r="AX139" s="220" t="str">
        <f>IF(ROUND(CF!AX29,0)=ROUND(SUM(CF!AT29:AW29),0),"OK","ERROR")</f>
        <v>OK</v>
      </c>
    </row>
    <row r="140" spans="1:50" s="54" customFormat="1" ht="15" customHeight="1">
      <c r="A140" s="43"/>
      <c r="B140" s="159" t="s">
        <v>673</v>
      </c>
      <c r="C140" s="17"/>
      <c r="D140" s="217"/>
      <c r="E140" s="217"/>
      <c r="F140" s="217"/>
      <c r="G140" s="217"/>
      <c r="H140" s="220" t="str">
        <f>IF(ROUND(CF!H30,0)=ROUND(SUM(CF!D30:G30),0),"OK","ERROR")</f>
        <v>OK</v>
      </c>
      <c r="I140" s="210"/>
      <c r="J140" s="217"/>
      <c r="K140" s="217"/>
      <c r="L140" s="217"/>
      <c r="M140" s="217"/>
      <c r="N140" s="220" t="str">
        <f>IF(ROUND(CF!N30,0)=ROUND(SUM(CF!J30:M30),0),"OK","ERROR")</f>
        <v>OK</v>
      </c>
      <c r="O140" s="210"/>
      <c r="P140" s="217"/>
      <c r="Q140" s="217"/>
      <c r="R140" s="217"/>
      <c r="S140" s="217"/>
      <c r="T140" s="220" t="str">
        <f>IF(ROUND(CF!T30,0)=ROUND(SUM(CF!P30:S30),0),"OK","ERROR")</f>
        <v>OK</v>
      </c>
      <c r="U140" s="210"/>
      <c r="V140" s="217"/>
      <c r="W140" s="217"/>
      <c r="X140" s="217"/>
      <c r="Y140" s="217"/>
      <c r="Z140" s="220" t="str">
        <f>IF(ROUND(CF!Z30,0)=ROUND(SUM(CF!V30:Y30),0),"OK","ERROR")</f>
        <v>OK</v>
      </c>
      <c r="AA140" s="213"/>
      <c r="AB140" s="217"/>
      <c r="AC140" s="217"/>
      <c r="AD140" s="217"/>
      <c r="AE140" s="217"/>
      <c r="AF140" s="220" t="str">
        <f>IF(ROUND(CF!AF30,0)=ROUND(SUM(CF!AB30:AE30),0),"OK","ERROR")</f>
        <v>OK</v>
      </c>
      <c r="AG140" s="211"/>
      <c r="AH140" s="217"/>
      <c r="AI140" s="217"/>
      <c r="AJ140" s="212"/>
      <c r="AK140" s="212"/>
      <c r="AL140" s="220" t="str">
        <f>IF(ROUND(CF!AL30,0)=ROUND(SUM(CF!AH30:AK30),0),"OK","ERROR")</f>
        <v>ERROR</v>
      </c>
      <c r="AM140" s="225"/>
      <c r="AN140" s="212"/>
      <c r="AO140" s="212"/>
      <c r="AP140" s="212"/>
      <c r="AQ140" s="212"/>
      <c r="AR140" s="220" t="str">
        <f>IF(ROUND(CF!AR30,0)=ROUND(SUM(CF!AN30:AQ30),0),"OK","ERROR")</f>
        <v>OK</v>
      </c>
      <c r="AS140" s="225"/>
      <c r="AT140" s="220" t="str">
        <f>IF(ROUND(CF!AT30,0)=ROUND(SUM(CF!AP30:AS30),0),"OK","ERROR")</f>
        <v>OK</v>
      </c>
      <c r="AU140" s="225"/>
      <c r="AV140" s="220" t="str">
        <f>IF(ROUND(CF!AV30,0)=ROUND(SUM(CF!AR30:AU30),0),"OK","ERROR")</f>
        <v>OK</v>
      </c>
      <c r="AW140" s="246"/>
      <c r="AX140" s="220" t="str">
        <f>IF(ROUND(CF!AX30,0)=ROUND(SUM(CF!AT30:AW30),0),"OK","ERROR")</f>
        <v>OK</v>
      </c>
    </row>
    <row r="141" spans="1:50" s="54" customFormat="1" ht="15" customHeight="1">
      <c r="A141" s="113"/>
      <c r="B141" s="159" t="s">
        <v>674</v>
      </c>
      <c r="C141" s="115"/>
      <c r="D141" s="217"/>
      <c r="E141" s="217"/>
      <c r="F141" s="217"/>
      <c r="G141" s="217"/>
      <c r="H141" s="220" t="str">
        <f>IF(ROUND(CF!H31,0)=ROUND(SUM(CF!D31:G31),0),"OK","ERROR")</f>
        <v>OK</v>
      </c>
      <c r="I141" s="210"/>
      <c r="J141" s="217"/>
      <c r="K141" s="217"/>
      <c r="L141" s="217"/>
      <c r="M141" s="217"/>
      <c r="N141" s="220" t="str">
        <f>IF(ROUND(CF!N31,0)=ROUND(SUM(CF!J31:M31),0),"OK","ERROR")</f>
        <v>OK</v>
      </c>
      <c r="O141" s="210"/>
      <c r="P141" s="217"/>
      <c r="Q141" s="217"/>
      <c r="R141" s="217"/>
      <c r="S141" s="217"/>
      <c r="T141" s="220" t="str">
        <f>IF(ROUND(CF!T31,0)=ROUND(SUM(CF!P31:S31),0),"OK","ERROR")</f>
        <v>OK</v>
      </c>
      <c r="U141" s="210"/>
      <c r="V141" s="217"/>
      <c r="W141" s="217"/>
      <c r="X141" s="217"/>
      <c r="Y141" s="217"/>
      <c r="Z141" s="220" t="str">
        <f>IF(ROUND(CF!Z31,0)=ROUND(SUM(CF!V31:Y31),0),"OK","ERROR")</f>
        <v>OK</v>
      </c>
      <c r="AA141" s="228"/>
      <c r="AB141" s="217"/>
      <c r="AC141" s="217"/>
      <c r="AD141" s="217"/>
      <c r="AE141" s="217"/>
      <c r="AF141" s="220" t="str">
        <f>IF(ROUND(CF!AF31,0)=ROUND(SUM(CF!AB31:AE31),0),"OK","ERROR")</f>
        <v>OK</v>
      </c>
      <c r="AG141" s="229"/>
      <c r="AH141" s="217"/>
      <c r="AI141" s="217"/>
      <c r="AJ141" s="212"/>
      <c r="AK141" s="212"/>
      <c r="AL141" s="220" t="str">
        <f>IF(ROUND(CF!AL31,0)=ROUND(SUM(CF!AH31:AK31),0),"OK","ERROR")</f>
        <v>OK</v>
      </c>
      <c r="AM141" s="234"/>
      <c r="AN141" s="212"/>
      <c r="AO141" s="212"/>
      <c r="AP141" s="212"/>
      <c r="AQ141" s="212"/>
      <c r="AR141" s="220" t="str">
        <f>IF(ROUND(CF!AR31,0)=ROUND(SUM(CF!AN31:AQ31),0),"OK","ERROR")</f>
        <v>OK</v>
      </c>
      <c r="AS141" s="234"/>
      <c r="AT141" s="220" t="str">
        <f>IF(ROUND(CF!AT31,0)=ROUND(SUM(CF!AP31:AS31),0),"OK","ERROR")</f>
        <v>OK</v>
      </c>
      <c r="AU141" s="234"/>
      <c r="AV141" s="220" t="str">
        <f>IF(ROUND(CF!AV31,0)=ROUND(SUM(CF!AR31:AU31),0),"OK","ERROR")</f>
        <v>OK</v>
      </c>
      <c r="AW141" s="246"/>
      <c r="AX141" s="220" t="str">
        <f>IF(ROUND(CF!AX31,0)=ROUND(SUM(CF!AT31:AW31),0),"OK","ERROR")</f>
        <v>OK</v>
      </c>
    </row>
    <row r="142" spans="1:50" s="54" customFormat="1" ht="15" customHeight="1">
      <c r="A142" s="113"/>
      <c r="B142" s="159" t="s">
        <v>675</v>
      </c>
      <c r="C142" s="115"/>
      <c r="D142" s="217"/>
      <c r="E142" s="217"/>
      <c r="F142" s="217"/>
      <c r="G142" s="217"/>
      <c r="H142" s="220" t="str">
        <f>IF(ROUND(CF!H32,0)=ROUND(SUM(CF!D32:G32),0),"OK","ERROR")</f>
        <v>OK</v>
      </c>
      <c r="I142" s="210"/>
      <c r="J142" s="217"/>
      <c r="K142" s="217"/>
      <c r="L142" s="217"/>
      <c r="M142" s="217"/>
      <c r="N142" s="220" t="str">
        <f>IF(ROUND(CF!N32,0)=ROUND(SUM(CF!J32:M32),0),"OK","ERROR")</f>
        <v>OK</v>
      </c>
      <c r="O142" s="210"/>
      <c r="P142" s="217"/>
      <c r="Q142" s="217"/>
      <c r="R142" s="217"/>
      <c r="S142" s="217"/>
      <c r="T142" s="220" t="str">
        <f>IF(ROUND(CF!T32,0)=ROUND(SUM(CF!P32:S32),0),"OK","ERROR")</f>
        <v>OK</v>
      </c>
      <c r="U142" s="210"/>
      <c r="V142" s="217"/>
      <c r="W142" s="217"/>
      <c r="X142" s="217"/>
      <c r="Y142" s="217"/>
      <c r="Z142" s="220" t="str">
        <f>IF(ROUND(CF!Z32,0)=ROUND(SUM(CF!V32:Y32),0),"OK","ERROR")</f>
        <v>OK</v>
      </c>
      <c r="AA142" s="228"/>
      <c r="AB142" s="217"/>
      <c r="AC142" s="217"/>
      <c r="AD142" s="217"/>
      <c r="AE142" s="217"/>
      <c r="AF142" s="220" t="str">
        <f>IF(ROUND(CF!AF32,0)=ROUND(SUM(CF!AB32:AE32),0),"OK","ERROR")</f>
        <v>OK</v>
      </c>
      <c r="AG142" s="229"/>
      <c r="AH142" s="217"/>
      <c r="AI142" s="217"/>
      <c r="AJ142" s="212"/>
      <c r="AK142" s="212"/>
      <c r="AL142" s="220" t="str">
        <f>IF(ROUND(CF!AL32,0)=ROUND(SUM(CF!AH32:AK32),0),"OK","ERROR")</f>
        <v>OK</v>
      </c>
      <c r="AM142" s="234"/>
      <c r="AN142" s="212"/>
      <c r="AO142" s="212"/>
      <c r="AP142" s="212"/>
      <c r="AQ142" s="212"/>
      <c r="AR142" s="220" t="str">
        <f>IF(ROUND(CF!AR32,0)=ROUND(SUM(CF!AN32:AQ32),0),"OK","ERROR")</f>
        <v>OK</v>
      </c>
      <c r="AS142" s="234"/>
      <c r="AT142" s="220" t="str">
        <f>IF(ROUND(CF!AT32,0)=ROUND(SUM(CF!AP32:AS32),0),"OK","ERROR")</f>
        <v>OK</v>
      </c>
      <c r="AU142" s="234"/>
      <c r="AV142" s="220" t="str">
        <f>IF(ROUND(CF!AV32,0)=ROUND(SUM(CF!AR32:AU32),0),"OK","ERROR")</f>
        <v>OK</v>
      </c>
      <c r="AW142" s="246"/>
      <c r="AX142" s="220" t="str">
        <f>IF(ROUND(CF!AX32,0)=ROUND(SUM(CF!AT32:AW32),0),"OK","ERROR")</f>
        <v>OK</v>
      </c>
    </row>
    <row r="143" spans="1:50" s="54" customFormat="1" ht="15" customHeight="1">
      <c r="A143" s="113"/>
      <c r="B143" s="159" t="s">
        <v>676</v>
      </c>
      <c r="C143" s="17"/>
      <c r="D143" s="217"/>
      <c r="E143" s="217"/>
      <c r="F143" s="217"/>
      <c r="G143" s="217"/>
      <c r="H143" s="220" t="str">
        <f>IF(ROUND(CF!H33,0)=ROUND(SUM(CF!D33:G33),0),"OK","ERROR")</f>
        <v>OK</v>
      </c>
      <c r="I143" s="210"/>
      <c r="J143" s="217"/>
      <c r="K143" s="217"/>
      <c r="L143" s="217"/>
      <c r="M143" s="217"/>
      <c r="N143" s="220" t="str">
        <f>IF(ROUND(CF!N33,0)=ROUND(SUM(CF!J33:M33),0),"OK","ERROR")</f>
        <v>OK</v>
      </c>
      <c r="O143" s="210"/>
      <c r="P143" s="217"/>
      <c r="Q143" s="217"/>
      <c r="R143" s="217"/>
      <c r="S143" s="217"/>
      <c r="T143" s="220" t="str">
        <f>IF(ROUND(CF!T33,0)=ROUND(SUM(CF!P33:S33),0),"OK","ERROR")</f>
        <v>OK</v>
      </c>
      <c r="U143" s="210"/>
      <c r="V143" s="217"/>
      <c r="W143" s="217"/>
      <c r="X143" s="217"/>
      <c r="Y143" s="217"/>
      <c r="Z143" s="220" t="str">
        <f>IF(ROUND(CF!Z33,0)=ROUND(SUM(CF!V33:Y33),0),"OK","ERROR")</f>
        <v>OK</v>
      </c>
      <c r="AA143" s="213"/>
      <c r="AB143" s="217"/>
      <c r="AC143" s="217"/>
      <c r="AD143" s="217"/>
      <c r="AE143" s="217"/>
      <c r="AF143" s="220" t="str">
        <f>IF(ROUND(CF!AF33,0)=ROUND(SUM(CF!AB33:AE33),0),"OK","ERROR")</f>
        <v>OK</v>
      </c>
      <c r="AG143" s="211"/>
      <c r="AH143" s="217"/>
      <c r="AI143" s="217"/>
      <c r="AJ143" s="212"/>
      <c r="AK143" s="212"/>
      <c r="AL143" s="220" t="str">
        <f>IF(ROUND(CF!AL33,0)=ROUND(SUM(CF!AH33:AK33),0),"OK","ERROR")</f>
        <v>OK</v>
      </c>
      <c r="AM143" s="225"/>
      <c r="AN143" s="212"/>
      <c r="AO143" s="212"/>
      <c r="AP143" s="212"/>
      <c r="AQ143" s="212"/>
      <c r="AR143" s="220" t="str">
        <f>IF(ROUND(CF!AR33,0)=ROUND(SUM(CF!AN33:AQ33),0),"OK","ERROR")</f>
        <v>OK</v>
      </c>
      <c r="AS143" s="225"/>
      <c r="AT143" s="220" t="str">
        <f>IF(ROUND(CF!AT33,0)=ROUND(SUM(CF!AP33:AS33),0),"OK","ERROR")</f>
        <v>OK</v>
      </c>
      <c r="AU143" s="225"/>
      <c r="AV143" s="220" t="str">
        <f>IF(ROUND(CF!AV33,0)=ROUND(SUM(CF!AR33:AU33),0),"OK","ERROR")</f>
        <v>OK</v>
      </c>
      <c r="AW143" s="246"/>
      <c r="AX143" s="220" t="str">
        <f>IF(ROUND(CF!AX33,0)=ROUND(SUM(CF!AT33:AW33),0),"OK","ERROR")</f>
        <v>OK</v>
      </c>
    </row>
    <row r="144" spans="1:50" s="54" customFormat="1" ht="15" customHeight="1">
      <c r="A144" s="43"/>
      <c r="B144" s="159" t="s">
        <v>677</v>
      </c>
      <c r="C144" s="17"/>
      <c r="D144" s="217"/>
      <c r="E144" s="217"/>
      <c r="F144" s="217"/>
      <c r="G144" s="217"/>
      <c r="H144" s="220" t="str">
        <f>IF(ROUND(CF!H34,0)=ROUND(SUM(CF!D34:G34),0),"OK","ERROR")</f>
        <v>OK</v>
      </c>
      <c r="I144" s="210"/>
      <c r="J144" s="217"/>
      <c r="K144" s="217"/>
      <c r="L144" s="217"/>
      <c r="M144" s="217"/>
      <c r="N144" s="220" t="str">
        <f>IF(ROUND(CF!N34,0)=ROUND(SUM(CF!J34:M34),0),"OK","ERROR")</f>
        <v>OK</v>
      </c>
      <c r="O144" s="210"/>
      <c r="P144" s="217"/>
      <c r="Q144" s="217"/>
      <c r="R144" s="217"/>
      <c r="S144" s="217"/>
      <c r="T144" s="220" t="str">
        <f>IF(ROUND(CF!T34,0)=ROUND(SUM(CF!P34:S34),0),"OK","ERROR")</f>
        <v>OK</v>
      </c>
      <c r="U144" s="210"/>
      <c r="V144" s="217"/>
      <c r="W144" s="217"/>
      <c r="X144" s="217"/>
      <c r="Y144" s="217"/>
      <c r="Z144" s="220" t="str">
        <f>IF(ROUND(CF!Z34,0)=ROUND(SUM(CF!V34:Y34),0),"OK","ERROR")</f>
        <v>OK</v>
      </c>
      <c r="AA144" s="213"/>
      <c r="AB144" s="217"/>
      <c r="AC144" s="217"/>
      <c r="AD144" s="217"/>
      <c r="AE144" s="217"/>
      <c r="AF144" s="220" t="str">
        <f>IF(ROUND(CF!AF34,0)=ROUND(SUM(CF!AB34:AE34),0),"OK","ERROR")</f>
        <v>OK</v>
      </c>
      <c r="AG144" s="211"/>
      <c r="AH144" s="217"/>
      <c r="AI144" s="217"/>
      <c r="AJ144" s="212"/>
      <c r="AK144" s="212"/>
      <c r="AL144" s="220" t="str">
        <f>IF(ROUND(CF!AL34,0)=ROUND(SUM(CF!AH34:AK34),0),"OK","ERROR")</f>
        <v>OK</v>
      </c>
      <c r="AM144" s="225"/>
      <c r="AN144" s="212"/>
      <c r="AO144" s="212"/>
      <c r="AP144" s="212"/>
      <c r="AQ144" s="212"/>
      <c r="AR144" s="220" t="str">
        <f>IF(ROUND(CF!AR34,0)=ROUND(SUM(CF!AN34:AQ34),0),"OK","ERROR")</f>
        <v>OK</v>
      </c>
      <c r="AS144" s="225"/>
      <c r="AT144" s="220" t="str">
        <f>IF(ROUND(CF!AT34,0)=ROUND(SUM(CF!AP34:AS34),0),"OK","ERROR")</f>
        <v>OK</v>
      </c>
      <c r="AU144" s="225"/>
      <c r="AV144" s="220" t="str">
        <f>IF(ROUND(CF!AV34,0)=ROUND(SUM(CF!AR34:AU34),0),"OK","ERROR")</f>
        <v>OK</v>
      </c>
      <c r="AW144" s="246"/>
      <c r="AX144" s="220" t="str">
        <f>IF(ROUND(CF!AX34,0)=ROUND(SUM(CF!AT34:AW34),0),"OK","ERROR")</f>
        <v>OK</v>
      </c>
    </row>
    <row r="145" spans="1:50" s="54" customFormat="1" ht="15" customHeight="1">
      <c r="B145" s="159" t="s">
        <v>678</v>
      </c>
      <c r="C145" s="115"/>
      <c r="D145" s="217"/>
      <c r="E145" s="217"/>
      <c r="F145" s="217"/>
      <c r="G145" s="217"/>
      <c r="H145" s="226" t="str">
        <f>IF(ROUND(CF!H35,0)=ROUND(SUM(CF!D35:G35),0),"OK","ERROR")</f>
        <v>ERROR</v>
      </c>
      <c r="I145" s="210"/>
      <c r="J145" s="217"/>
      <c r="K145" s="217"/>
      <c r="L145" s="217"/>
      <c r="M145" s="217"/>
      <c r="N145" s="226" t="str">
        <f>IF(ROUND(CF!N35,0)=ROUND(SUM(CF!J35:M35),0),"OK","ERROR")</f>
        <v>OK</v>
      </c>
      <c r="O145" s="210"/>
      <c r="P145" s="217"/>
      <c r="Q145" s="217"/>
      <c r="R145" s="217"/>
      <c r="S145" s="217"/>
      <c r="T145" s="226" t="str">
        <f>IF(ROUND(CF!T35,0)=ROUND(SUM(CF!P35:S35),0),"OK","ERROR")</f>
        <v>OK</v>
      </c>
      <c r="U145" s="210"/>
      <c r="V145" s="217"/>
      <c r="W145" s="217"/>
      <c r="X145" s="217"/>
      <c r="Y145" s="217"/>
      <c r="Z145" s="226" t="str">
        <f>IF(ROUND(CF!Z35,0)=ROUND(SUM(CF!V35:Y35),0),"OK","ERROR")</f>
        <v>OK</v>
      </c>
      <c r="AA145" s="228"/>
      <c r="AB145" s="217"/>
      <c r="AC145" s="217"/>
      <c r="AD145" s="217"/>
      <c r="AE145" s="217"/>
      <c r="AF145" s="226" t="str">
        <f>IF(ROUND(CF!AF35,0)=ROUND(SUM(CF!AB35:AE35),0),"OK","ERROR")</f>
        <v>OK</v>
      </c>
      <c r="AG145" s="229"/>
      <c r="AH145" s="217"/>
      <c r="AI145" s="217"/>
      <c r="AJ145" s="212"/>
      <c r="AK145" s="212"/>
      <c r="AL145" s="226" t="str">
        <f>IF(ROUND(CF!AL35,0)=ROUND(SUM(CF!AH35:AK35),0),"OK","ERROR")</f>
        <v>OK</v>
      </c>
      <c r="AM145" s="230"/>
      <c r="AN145" s="212"/>
      <c r="AO145" s="212"/>
      <c r="AP145" s="212"/>
      <c r="AQ145" s="212"/>
      <c r="AR145" s="226" t="str">
        <f>IF(ROUND(CF!AR35,0)=ROUND(SUM(CF!AN35:AQ35),0),"OK","ERROR")</f>
        <v>OK</v>
      </c>
      <c r="AS145" s="230"/>
      <c r="AT145" s="226" t="str">
        <f>IF(ROUND(CF!AT35,0)=ROUND(SUM(CF!AP35:AS35),0),"OK","ERROR")</f>
        <v>OK</v>
      </c>
      <c r="AU145" s="230"/>
      <c r="AV145" s="226" t="str">
        <f>IF(ROUND(CF!AV35,0)=ROUND(SUM(CF!AR35:AU35),0),"OK","ERROR")</f>
        <v>OK</v>
      </c>
      <c r="AW145" s="246"/>
      <c r="AX145" s="226" t="str">
        <f>IF(ROUND(CF!AX35,0)=ROUND(SUM(CF!AT35:AW35),0),"OK","ERROR")</f>
        <v>OK</v>
      </c>
    </row>
    <row r="146" spans="1:50" s="54" customFormat="1" ht="15" customHeight="1" thickBot="1">
      <c r="A146" s="113"/>
      <c r="B146" s="160" t="s">
        <v>679</v>
      </c>
      <c r="C146" s="17"/>
      <c r="D146" s="217"/>
      <c r="E146" s="217"/>
      <c r="F146" s="217"/>
      <c r="G146" s="217"/>
      <c r="H146" s="237" t="str">
        <f>IF(ROUND(CF!H36,0)=ROUND(SUM(CF!D36:G36),0),"OK","ERROR")</f>
        <v>OK</v>
      </c>
      <c r="I146" s="210"/>
      <c r="J146" s="217"/>
      <c r="K146" s="217"/>
      <c r="L146" s="217"/>
      <c r="M146" s="217"/>
      <c r="N146" s="237" t="str">
        <f>IF(ROUND(CF!N36,0)=ROUND(SUM(CF!J36:M36),0),"OK","ERROR")</f>
        <v>OK</v>
      </c>
      <c r="O146" s="210"/>
      <c r="P146" s="217"/>
      <c r="Q146" s="217"/>
      <c r="R146" s="217"/>
      <c r="S146" s="217"/>
      <c r="T146" s="237" t="str">
        <f>IF(ROUND(CF!T36,0)=ROUND(SUM(CF!P36:S36),0),"OK","ERROR")</f>
        <v>OK</v>
      </c>
      <c r="U146" s="210"/>
      <c r="V146" s="217"/>
      <c r="W146" s="217"/>
      <c r="X146" s="217"/>
      <c r="Y146" s="217"/>
      <c r="Z146" s="237" t="str">
        <f>IF(ROUND(CF!Z36,0)=ROUND(SUM(CF!V36:Y36),0),"OK","ERROR")</f>
        <v>OK</v>
      </c>
      <c r="AA146" s="213"/>
      <c r="AB146" s="217"/>
      <c r="AC146" s="217"/>
      <c r="AD146" s="217"/>
      <c r="AE146" s="217"/>
      <c r="AF146" s="237" t="str">
        <f>IF(ROUND(CF!AF36,0)=ROUND(SUM(CF!AB36:AE36),0),"OK","ERROR")</f>
        <v>OK</v>
      </c>
      <c r="AG146" s="211"/>
      <c r="AH146" s="217"/>
      <c r="AI146" s="217"/>
      <c r="AJ146" s="212"/>
      <c r="AK146" s="212"/>
      <c r="AL146" s="237" t="str">
        <f>IF(ROUND(CF!AL36,0)=ROUND(SUM(CF!AH36:AK36),0),"OK","ERROR")</f>
        <v>ERROR</v>
      </c>
      <c r="AM146" s="215"/>
      <c r="AN146" s="212"/>
      <c r="AO146" s="212"/>
      <c r="AP146" s="212"/>
      <c r="AQ146" s="212"/>
      <c r="AR146" s="237" t="str">
        <f>IF(ROUND(CF!AR36,0)=ROUND(SUM(CF!AN36:AQ36),0),"OK","ERROR")</f>
        <v>OK</v>
      </c>
      <c r="AS146" s="215"/>
      <c r="AT146" s="237" t="str">
        <f>IF(ROUND(CF!AT36,0)=ROUND(SUM(CF!AP36:AS36),0),"OK","ERROR")</f>
        <v>OK</v>
      </c>
      <c r="AU146" s="215"/>
      <c r="AV146" s="237" t="str">
        <f>IF(ROUND(CF!AV36,0)=ROUND(SUM(CF!AR36:AU36),0),"OK","ERROR")</f>
        <v>OK</v>
      </c>
      <c r="AW146" s="246"/>
      <c r="AX146" s="237" t="str">
        <f>IF(ROUND(CF!AX36,0)=ROUND(SUM(CF!AT36:AW36),0),"OK","ERROR")</f>
        <v>OK</v>
      </c>
    </row>
    <row r="147" spans="1:50" s="54" customFormat="1" ht="15" customHeight="1" thickTop="1">
      <c r="A147" s="43"/>
      <c r="B147" s="154"/>
      <c r="C147" s="115"/>
      <c r="D147" s="208"/>
      <c r="E147" s="208"/>
      <c r="F147" s="208"/>
      <c r="G147" s="208"/>
      <c r="H147" s="220"/>
      <c r="I147" s="210"/>
      <c r="J147" s="208"/>
      <c r="K147" s="208"/>
      <c r="L147" s="208"/>
      <c r="M147" s="208"/>
      <c r="N147" s="220"/>
      <c r="O147" s="210"/>
      <c r="P147" s="208"/>
      <c r="Q147" s="208"/>
      <c r="R147" s="208"/>
      <c r="S147" s="208"/>
      <c r="T147" s="220"/>
      <c r="U147" s="210"/>
      <c r="V147" s="208"/>
      <c r="W147" s="208"/>
      <c r="X147" s="208"/>
      <c r="Y147" s="208"/>
      <c r="Z147" s="220"/>
      <c r="AA147" s="232"/>
      <c r="AB147" s="208"/>
      <c r="AC147" s="208"/>
      <c r="AD147" s="208"/>
      <c r="AE147" s="208"/>
      <c r="AF147" s="220"/>
      <c r="AG147" s="229"/>
      <c r="AH147" s="208"/>
      <c r="AI147" s="208"/>
      <c r="AJ147" s="212"/>
      <c r="AK147" s="212"/>
      <c r="AL147" s="220"/>
      <c r="AM147" s="230"/>
      <c r="AN147" s="212"/>
      <c r="AO147" s="212"/>
      <c r="AP147" s="212"/>
      <c r="AQ147" s="212"/>
      <c r="AR147" s="220"/>
      <c r="AS147" s="230"/>
      <c r="AT147" s="220"/>
      <c r="AU147" s="230"/>
      <c r="AV147" s="220"/>
      <c r="AW147" s="246"/>
      <c r="AX147" s="220"/>
    </row>
    <row r="148" spans="1:50" s="54" customFormat="1" ht="15" customHeight="1">
      <c r="A148" s="44" t="s">
        <v>38</v>
      </c>
      <c r="B148" s="158" t="s">
        <v>680</v>
      </c>
      <c r="C148" s="27"/>
      <c r="D148" s="208"/>
      <c r="E148" s="208"/>
      <c r="F148" s="208"/>
      <c r="G148" s="208"/>
      <c r="H148" s="220"/>
      <c r="I148" s="210"/>
      <c r="J148" s="208"/>
      <c r="K148" s="208"/>
      <c r="L148" s="208"/>
      <c r="M148" s="208"/>
      <c r="N148" s="220"/>
      <c r="O148" s="210"/>
      <c r="P148" s="208"/>
      <c r="Q148" s="208"/>
      <c r="R148" s="208"/>
      <c r="S148" s="208"/>
      <c r="T148" s="220"/>
      <c r="U148" s="210"/>
      <c r="V148" s="208"/>
      <c r="W148" s="208"/>
      <c r="X148" s="208"/>
      <c r="Y148" s="208"/>
      <c r="Z148" s="220"/>
      <c r="AA148" s="213"/>
      <c r="AB148" s="208"/>
      <c r="AC148" s="208"/>
      <c r="AD148" s="208"/>
      <c r="AE148" s="208"/>
      <c r="AF148" s="220"/>
      <c r="AG148" s="211"/>
      <c r="AH148" s="208"/>
      <c r="AI148" s="208"/>
      <c r="AJ148" s="212"/>
      <c r="AK148" s="212"/>
      <c r="AL148" s="220"/>
      <c r="AM148" s="215"/>
      <c r="AN148" s="212"/>
      <c r="AO148" s="212"/>
      <c r="AP148" s="212"/>
      <c r="AQ148" s="212"/>
      <c r="AR148" s="220"/>
      <c r="AS148" s="215"/>
      <c r="AT148" s="220"/>
      <c r="AU148" s="215"/>
      <c r="AV148" s="220"/>
      <c r="AW148" s="246"/>
      <c r="AX148" s="220"/>
    </row>
    <row r="149" spans="1:50" s="54" customFormat="1" ht="15" customHeight="1">
      <c r="A149" s="113"/>
      <c r="B149" s="159" t="s">
        <v>681</v>
      </c>
      <c r="C149" s="115"/>
      <c r="D149" s="217"/>
      <c r="E149" s="217"/>
      <c r="F149" s="217"/>
      <c r="G149" s="217"/>
      <c r="H149" s="220" t="str">
        <f>IF(ROUND(CF!H39,0)=ROUND(SUM(CF!D39:G39),0),"OK","ERROR")</f>
        <v>OK</v>
      </c>
      <c r="I149" s="210"/>
      <c r="J149" s="217"/>
      <c r="K149" s="217"/>
      <c r="L149" s="217"/>
      <c r="M149" s="217"/>
      <c r="N149" s="220" t="str">
        <f>IF(ROUND(CF!N39,0)=ROUND(SUM(CF!J39:M39),0),"OK","ERROR")</f>
        <v>OK</v>
      </c>
      <c r="O149" s="210"/>
      <c r="P149" s="217"/>
      <c r="Q149" s="217"/>
      <c r="R149" s="217"/>
      <c r="S149" s="217"/>
      <c r="T149" s="220" t="str">
        <f>IF(ROUND(CF!T39,0)=ROUND(SUM(CF!P39:S39),0),"OK","ERROR")</f>
        <v>OK</v>
      </c>
      <c r="U149" s="210"/>
      <c r="V149" s="217"/>
      <c r="W149" s="217"/>
      <c r="X149" s="217"/>
      <c r="Y149" s="217"/>
      <c r="Z149" s="220" t="str">
        <f>IF(ROUND(CF!Z39,0)=ROUND(SUM(CF!V39:Y39),0),"OK","ERROR")</f>
        <v>OK</v>
      </c>
      <c r="AA149" s="213"/>
      <c r="AB149" s="217"/>
      <c r="AC149" s="217"/>
      <c r="AD149" s="217"/>
      <c r="AE149" s="217"/>
      <c r="AF149" s="220" t="str">
        <f>IF(ROUND(CF!AF39,0)=ROUND(SUM(CF!AB39:AE39),0),"OK","ERROR")</f>
        <v>OK</v>
      </c>
      <c r="AG149" s="211"/>
      <c r="AH149" s="217"/>
      <c r="AI149" s="217"/>
      <c r="AJ149" s="212"/>
      <c r="AK149" s="212"/>
      <c r="AL149" s="220" t="str">
        <f>IF(ROUND(CF!AL39,0)=ROUND(SUM(CF!AH39:AK39),0),"OK","ERROR")</f>
        <v>OK</v>
      </c>
      <c r="AM149" s="215"/>
      <c r="AN149" s="212"/>
      <c r="AO149" s="212"/>
      <c r="AP149" s="212"/>
      <c r="AQ149" s="212"/>
      <c r="AR149" s="220" t="str">
        <f>IF(ROUND(CF!AR39,0)=ROUND(SUM(CF!AN39:AQ39),0),"OK","ERROR")</f>
        <v>OK</v>
      </c>
      <c r="AS149" s="215"/>
      <c r="AT149" s="220" t="str">
        <f>IF(ROUND(CF!AT39,0)=ROUND(SUM(CF!AP39:AS39),0),"OK","ERROR")</f>
        <v>OK</v>
      </c>
      <c r="AU149" s="215"/>
      <c r="AV149" s="220" t="str">
        <f>IF(ROUND(CF!AV39,0)=ROUND(SUM(CF!AR39:AU39),0),"OK","ERROR")</f>
        <v>OK</v>
      </c>
      <c r="AW149" s="246"/>
      <c r="AX149" s="220" t="str">
        <f>IF(ROUND(CF!AX39,0)=ROUND(SUM(CF!AT39:AW39),0),"OK","ERROR")</f>
        <v>OK</v>
      </c>
    </row>
    <row r="150" spans="1:50" s="54" customFormat="1" ht="15" customHeight="1">
      <c r="A150" s="113"/>
      <c r="B150" s="159" t="s">
        <v>682</v>
      </c>
      <c r="C150" s="115"/>
      <c r="D150" s="217"/>
      <c r="E150" s="217"/>
      <c r="F150" s="217"/>
      <c r="G150" s="217"/>
      <c r="H150" s="220" t="str">
        <f>IF(ROUND(CF!H40,0)=ROUND(SUM(CF!D40:G40),0),"OK","ERROR")</f>
        <v>OK</v>
      </c>
      <c r="I150" s="210"/>
      <c r="J150" s="217"/>
      <c r="K150" s="217"/>
      <c r="L150" s="217"/>
      <c r="M150" s="217"/>
      <c r="N150" s="220" t="str">
        <f>IF(ROUND(CF!N40,0)=ROUND(SUM(CF!J40:M40),0),"OK","ERROR")</f>
        <v>OK</v>
      </c>
      <c r="O150" s="210"/>
      <c r="P150" s="217"/>
      <c r="Q150" s="217"/>
      <c r="R150" s="217"/>
      <c r="S150" s="217"/>
      <c r="T150" s="220" t="str">
        <f>IF(ROUND(CF!T40,0)=ROUND(SUM(CF!P40:S40),0),"OK","ERROR")</f>
        <v>OK</v>
      </c>
      <c r="U150" s="210"/>
      <c r="V150" s="217"/>
      <c r="W150" s="217"/>
      <c r="X150" s="217"/>
      <c r="Y150" s="217"/>
      <c r="Z150" s="220" t="str">
        <f>IF(ROUND(CF!Z40,0)=ROUND(SUM(CF!V40:Y40),0),"OK","ERROR")</f>
        <v>OK</v>
      </c>
      <c r="AA150" s="213"/>
      <c r="AB150" s="217"/>
      <c r="AC150" s="217"/>
      <c r="AD150" s="217"/>
      <c r="AE150" s="217"/>
      <c r="AF150" s="220" t="str">
        <f>IF(ROUND(CF!AF40,0)=ROUND(SUM(CF!AB40:AE40),0),"OK","ERROR")</f>
        <v>OK</v>
      </c>
      <c r="AG150" s="211"/>
      <c r="AH150" s="217"/>
      <c r="AI150" s="217"/>
      <c r="AJ150" s="212"/>
      <c r="AK150" s="212"/>
      <c r="AL150" s="220" t="str">
        <f>IF(ROUND(CF!AL40,0)=ROUND(SUM(CF!AH40:AK40),0),"OK","ERROR")</f>
        <v>ERROR</v>
      </c>
      <c r="AM150" s="215"/>
      <c r="AN150" s="212"/>
      <c r="AO150" s="212"/>
      <c r="AP150" s="212"/>
      <c r="AQ150" s="212"/>
      <c r="AR150" s="220" t="str">
        <f>IF(ROUND(CF!AR40,0)=ROUND(SUM(CF!AN40:AQ40),0),"OK","ERROR")</f>
        <v>OK</v>
      </c>
      <c r="AS150" s="215"/>
      <c r="AT150" s="220" t="str">
        <f>IF(ROUND(CF!AT40,0)=ROUND(SUM(CF!AP40:AS40),0),"OK","ERROR")</f>
        <v>OK</v>
      </c>
      <c r="AU150" s="215"/>
      <c r="AV150" s="220" t="str">
        <f>IF(ROUND(CF!AV40,0)=ROUND(SUM(CF!AR40:AU40),0),"OK","ERROR")</f>
        <v>OK</v>
      </c>
      <c r="AW150" s="246"/>
      <c r="AX150" s="220" t="str">
        <f>IF(ROUND(CF!AX40,0)=ROUND(SUM(CF!AT40:AW40),0),"OK","ERROR")</f>
        <v>OK</v>
      </c>
    </row>
    <row r="151" spans="1:50" s="54" customFormat="1" ht="15" customHeight="1">
      <c r="A151" s="113"/>
      <c r="B151" s="159" t="s">
        <v>683</v>
      </c>
      <c r="C151" s="115"/>
      <c r="D151" s="217"/>
      <c r="E151" s="217"/>
      <c r="F151" s="217"/>
      <c r="G151" s="217"/>
      <c r="H151" s="220" t="str">
        <f>IF(ROUND(CF!H41,0)=ROUND(SUM(CF!D41:G41),0),"OK","ERROR")</f>
        <v>OK</v>
      </c>
      <c r="I151" s="210"/>
      <c r="J151" s="217"/>
      <c r="K151" s="217"/>
      <c r="L151" s="217"/>
      <c r="M151" s="217"/>
      <c r="N151" s="220" t="str">
        <f>IF(ROUND(CF!N41,0)=ROUND(SUM(CF!J41:M41),0),"OK","ERROR")</f>
        <v>OK</v>
      </c>
      <c r="O151" s="210"/>
      <c r="P151" s="217"/>
      <c r="Q151" s="217"/>
      <c r="R151" s="217"/>
      <c r="S151" s="217"/>
      <c r="T151" s="220" t="str">
        <f>IF(ROUND(CF!T41,0)=ROUND(SUM(CF!P41:S41),0),"OK","ERROR")</f>
        <v>OK</v>
      </c>
      <c r="U151" s="210"/>
      <c r="V151" s="217"/>
      <c r="W151" s="217"/>
      <c r="X151" s="217"/>
      <c r="Y151" s="217"/>
      <c r="Z151" s="220" t="str">
        <f>IF(ROUND(CF!Z41,0)=ROUND(SUM(CF!V41:Y41),0),"OK","ERROR")</f>
        <v>OK</v>
      </c>
      <c r="AA151" s="213"/>
      <c r="AB151" s="217"/>
      <c r="AC151" s="217"/>
      <c r="AD151" s="217"/>
      <c r="AE151" s="217"/>
      <c r="AF151" s="220" t="str">
        <f>IF(ROUND(CF!AF41,0)=ROUND(SUM(CF!AB41:AE41),0),"OK","ERROR")</f>
        <v>OK</v>
      </c>
      <c r="AG151" s="211"/>
      <c r="AH151" s="217"/>
      <c r="AI151" s="217"/>
      <c r="AJ151" s="212"/>
      <c r="AK151" s="212"/>
      <c r="AL151" s="220" t="str">
        <f>IF(ROUND(CF!AL41,0)=ROUND(SUM(CF!AH41:AK41),0),"OK","ERROR")</f>
        <v>OK</v>
      </c>
      <c r="AM151" s="215"/>
      <c r="AN151" s="212"/>
      <c r="AO151" s="212"/>
      <c r="AP151" s="212"/>
      <c r="AQ151" s="212"/>
      <c r="AR151" s="220" t="str">
        <f>IF(ROUND(CF!AR41,0)=ROUND(SUM(CF!AN41:AQ41),0),"OK","ERROR")</f>
        <v>OK</v>
      </c>
      <c r="AS151" s="215"/>
      <c r="AT151" s="220" t="str">
        <f>IF(ROUND(CF!AT41,0)=ROUND(SUM(CF!AP41:AS41),0),"OK","ERROR")</f>
        <v>OK</v>
      </c>
      <c r="AU151" s="215"/>
      <c r="AV151" s="220" t="str">
        <f>IF(ROUND(CF!AV41,0)=ROUND(SUM(CF!AR41:AU41),0),"OK","ERROR")</f>
        <v>OK</v>
      </c>
      <c r="AW151" s="246"/>
      <c r="AX151" s="220" t="str">
        <f>IF(ROUND(CF!AX41,0)=ROUND(SUM(CF!AT41:AW41),0),"OK","ERROR")</f>
        <v>OK</v>
      </c>
    </row>
    <row r="152" spans="1:50" s="54" customFormat="1" ht="15" customHeight="1">
      <c r="A152" s="142"/>
      <c r="B152" s="159" t="s">
        <v>684</v>
      </c>
      <c r="C152" s="27"/>
      <c r="D152" s="217"/>
      <c r="E152" s="217"/>
      <c r="F152" s="217"/>
      <c r="G152" s="217"/>
      <c r="H152" s="220" t="str">
        <f>IF(ROUND(CF!H42,0)=ROUND(SUM(CF!D42:G42),0),"OK","ERROR")</f>
        <v>OK</v>
      </c>
      <c r="I152" s="210"/>
      <c r="J152" s="217"/>
      <c r="K152" s="217"/>
      <c r="L152" s="217"/>
      <c r="M152" s="217"/>
      <c r="N152" s="220" t="str">
        <f>IF(ROUND(CF!N42,0)=ROUND(SUM(CF!J42:M42),0),"OK","ERROR")</f>
        <v>OK</v>
      </c>
      <c r="O152" s="210"/>
      <c r="P152" s="217"/>
      <c r="Q152" s="217"/>
      <c r="R152" s="217"/>
      <c r="S152" s="217"/>
      <c r="T152" s="220" t="str">
        <f>IF(ROUND(CF!T42,0)=ROUND(SUM(CF!P42:S42),0),"OK","ERROR")</f>
        <v>OK</v>
      </c>
      <c r="U152" s="210"/>
      <c r="V152" s="217"/>
      <c r="W152" s="217"/>
      <c r="X152" s="217"/>
      <c r="Y152" s="217"/>
      <c r="Z152" s="220" t="str">
        <f>IF(ROUND(CF!Z42,0)=ROUND(SUM(CF!V42:Y42),0),"OK","ERROR")</f>
        <v>OK</v>
      </c>
      <c r="AA152" s="213"/>
      <c r="AB152" s="217"/>
      <c r="AC152" s="217"/>
      <c r="AD152" s="217"/>
      <c r="AE152" s="217"/>
      <c r="AF152" s="220" t="str">
        <f>IF(ROUND(CF!AF42,0)=ROUND(SUM(CF!AB42:AE42),0),"OK","ERROR")</f>
        <v>OK</v>
      </c>
      <c r="AG152" s="211"/>
      <c r="AH152" s="217"/>
      <c r="AI152" s="217"/>
      <c r="AJ152" s="212"/>
      <c r="AK152" s="212"/>
      <c r="AL152" s="220" t="str">
        <f>IF(ROUND(CF!AL42,0)=ROUND(SUM(CF!AH42:AK42),0),"OK","ERROR")</f>
        <v>OK</v>
      </c>
      <c r="AM152" s="247"/>
      <c r="AN152" s="212"/>
      <c r="AO152" s="212"/>
      <c r="AP152" s="212"/>
      <c r="AQ152" s="212"/>
      <c r="AR152" s="220" t="str">
        <f>IF(ROUND(CF!AR42,0)=ROUND(SUM(CF!AN42:AQ42),0),"OK","ERROR")</f>
        <v>OK</v>
      </c>
      <c r="AS152" s="215"/>
      <c r="AT152" s="220" t="str">
        <f>IF(ROUND(CF!AT42,0)=ROUND(SUM(CF!AP42:AS42),0),"OK","ERROR")</f>
        <v>OK</v>
      </c>
      <c r="AU152" s="215"/>
      <c r="AV152" s="220" t="str">
        <f>IF(ROUND(CF!AV42,0)=ROUND(SUM(CF!AR42:AU42),0),"OK","ERROR")</f>
        <v>OK</v>
      </c>
      <c r="AW152" s="246"/>
      <c r="AX152" s="220" t="str">
        <f>IF(ROUND(CF!AX42,0)=ROUND(SUM(CF!AT42:AW42),0),"OK","ERROR")</f>
        <v>OK</v>
      </c>
    </row>
    <row r="153" spans="1:50" s="54" customFormat="1" ht="15" customHeight="1">
      <c r="A153" s="113"/>
      <c r="B153" s="159" t="s">
        <v>685</v>
      </c>
      <c r="C153" s="115"/>
      <c r="D153" s="217"/>
      <c r="E153" s="217"/>
      <c r="F153" s="217"/>
      <c r="G153" s="217"/>
      <c r="H153" s="220" t="str">
        <f>IF(ROUND(CF!H43,0)=ROUND(SUM(CF!D43:G43),0),"OK","ERROR")</f>
        <v>OK</v>
      </c>
      <c r="I153" s="210"/>
      <c r="J153" s="217"/>
      <c r="K153" s="217"/>
      <c r="L153" s="217"/>
      <c r="M153" s="217"/>
      <c r="N153" s="220" t="str">
        <f>IF(ROUND(CF!N43,0)=ROUND(SUM(CF!J43:M43),0),"OK","ERROR")</f>
        <v>OK</v>
      </c>
      <c r="O153" s="210"/>
      <c r="P153" s="217"/>
      <c r="Q153" s="217"/>
      <c r="R153" s="217"/>
      <c r="S153" s="217"/>
      <c r="T153" s="220" t="str">
        <f>IF(ROUND(CF!T43,0)=ROUND(SUM(CF!P43:S43),0),"OK","ERROR")</f>
        <v>OK</v>
      </c>
      <c r="U153" s="210"/>
      <c r="V153" s="217"/>
      <c r="W153" s="217"/>
      <c r="X153" s="217"/>
      <c r="Y153" s="217"/>
      <c r="Z153" s="220" t="str">
        <f>IF(ROUND(CF!Z43,0)=ROUND(SUM(CF!V43:Y43),0),"OK","ERROR")</f>
        <v>OK</v>
      </c>
      <c r="AA153" s="213"/>
      <c r="AB153" s="217"/>
      <c r="AC153" s="217"/>
      <c r="AD153" s="217"/>
      <c r="AE153" s="217"/>
      <c r="AF153" s="220" t="str">
        <f>IF(ROUND(CF!AF43,0)=ROUND(SUM(CF!AB43:AE43),0),"OK","ERROR")</f>
        <v>ERROR</v>
      </c>
      <c r="AG153" s="211"/>
      <c r="AH153" s="217"/>
      <c r="AI153" s="217"/>
      <c r="AJ153" s="212"/>
      <c r="AK153" s="212"/>
      <c r="AL153" s="220" t="str">
        <f>IF(ROUND(CF!AL43,0)=ROUND(SUM(CF!AH43:AK43),0),"OK","ERROR")</f>
        <v>ERROR</v>
      </c>
      <c r="AM153" s="247"/>
      <c r="AN153" s="212"/>
      <c r="AO153" s="212"/>
      <c r="AP153" s="212"/>
      <c r="AQ153" s="212"/>
      <c r="AR153" s="220" t="str">
        <f>IF(ROUND(CF!AR43,0)=ROUND(SUM(CF!AN43:AQ43),0),"OK","ERROR")</f>
        <v>OK</v>
      </c>
      <c r="AS153" s="215"/>
      <c r="AT153" s="220" t="str">
        <f>IF(ROUND(CF!AT43,0)=ROUND(SUM(CF!AP43:AS43),0),"OK","ERROR")</f>
        <v>OK</v>
      </c>
      <c r="AU153" s="215"/>
      <c r="AV153" s="220" t="str">
        <f>IF(ROUND(CF!AV43,0)=ROUND(SUM(CF!AR43:AU43),0),"OK","ERROR")</f>
        <v>OK</v>
      </c>
      <c r="AW153" s="246"/>
      <c r="AX153" s="220" t="str">
        <f>IF(ROUND(CF!AX43,0)=ROUND(SUM(CF!AT43:AW43),0),"OK","ERROR")</f>
        <v>OK</v>
      </c>
    </row>
    <row r="154" spans="1:50" s="54" customFormat="1" ht="15" customHeight="1">
      <c r="A154" s="113"/>
      <c r="B154" s="159" t="s">
        <v>686</v>
      </c>
      <c r="C154" s="115"/>
      <c r="D154" s="217"/>
      <c r="E154" s="217"/>
      <c r="F154" s="217"/>
      <c r="G154" s="217"/>
      <c r="H154" s="226" t="str">
        <f>IF(ROUND(CF!H44,0)=ROUND(SUM(CF!D44:G44),0),"OK","ERROR")</f>
        <v>OK</v>
      </c>
      <c r="I154" s="210"/>
      <c r="J154" s="217"/>
      <c r="K154" s="217"/>
      <c r="L154" s="217"/>
      <c r="M154" s="217"/>
      <c r="N154" s="226" t="str">
        <f>IF(ROUND(CF!N44,0)=ROUND(SUM(CF!J44:M44),0),"OK","ERROR")</f>
        <v>OK</v>
      </c>
      <c r="O154" s="210"/>
      <c r="P154" s="217"/>
      <c r="Q154" s="217"/>
      <c r="R154" s="217"/>
      <c r="S154" s="217"/>
      <c r="T154" s="226" t="str">
        <f>IF(ROUND(CF!T44,0)=ROUND(SUM(CF!P44:S44),0),"OK","ERROR")</f>
        <v>OK</v>
      </c>
      <c r="U154" s="210"/>
      <c r="V154" s="217"/>
      <c r="W154" s="217"/>
      <c r="X154" s="217"/>
      <c r="Y154" s="217"/>
      <c r="Z154" s="226" t="str">
        <f>IF(ROUND(CF!Z44,0)=ROUND(SUM(CF!V44:Y44),0),"OK","ERROR")</f>
        <v>OK</v>
      </c>
      <c r="AA154" s="228"/>
      <c r="AB154" s="217"/>
      <c r="AC154" s="217"/>
      <c r="AD154" s="217"/>
      <c r="AE154" s="217"/>
      <c r="AF154" s="226" t="str">
        <f>IF(ROUND(CF!AF44,0)=ROUND(SUM(CF!AB44:AE44),0),"OK","ERROR")</f>
        <v>ERROR</v>
      </c>
      <c r="AG154" s="229"/>
      <c r="AH154" s="217"/>
      <c r="AI154" s="217"/>
      <c r="AJ154" s="212"/>
      <c r="AK154" s="212"/>
      <c r="AL154" s="226" t="str">
        <f>IF(ROUND(CF!AL44,0)=ROUND(SUM(CF!AH44:AK44),0),"OK","ERROR")</f>
        <v>ERROR</v>
      </c>
      <c r="AM154" s="230"/>
      <c r="AN154" s="212"/>
      <c r="AO154" s="212"/>
      <c r="AP154" s="212"/>
      <c r="AQ154" s="212"/>
      <c r="AR154" s="226" t="str">
        <f>IF(ROUND(CF!AR44,0)=ROUND(SUM(CF!AN44:AQ44),0),"OK","ERROR")</f>
        <v>OK</v>
      </c>
      <c r="AS154" s="230"/>
      <c r="AT154" s="226" t="str">
        <f>IF(ROUND(CF!AT44,0)=ROUND(SUM(CF!AP44:AS44),0),"OK","ERROR")</f>
        <v>OK</v>
      </c>
      <c r="AU154" s="230"/>
      <c r="AV154" s="226" t="str">
        <f>IF(ROUND(CF!AV44,0)=ROUND(SUM(CF!AR44:AU44),0),"OK","ERROR")</f>
        <v>OK</v>
      </c>
      <c r="AW154" s="246"/>
      <c r="AX154" s="226" t="str">
        <f>IF(ROUND(CF!AX44,0)=ROUND(SUM(CF!AT44:AW44),0),"OK","ERROR")</f>
        <v>OK</v>
      </c>
    </row>
    <row r="155" spans="1:50" s="54" customFormat="1" ht="15" customHeight="1" thickBot="1">
      <c r="A155" s="113"/>
      <c r="B155" s="160" t="s">
        <v>687</v>
      </c>
      <c r="C155" s="17"/>
      <c r="D155" s="217"/>
      <c r="E155" s="217"/>
      <c r="F155" s="217"/>
      <c r="G155" s="217"/>
      <c r="H155" s="237" t="str">
        <f>IF(ROUND(CF!H45,0)=ROUND(SUM(CF!D45:G45),0),"OK","ERROR")</f>
        <v>OK</v>
      </c>
      <c r="I155" s="210"/>
      <c r="J155" s="217"/>
      <c r="K155" s="217"/>
      <c r="L155" s="217"/>
      <c r="M155" s="217"/>
      <c r="N155" s="237" t="str">
        <f>IF(ROUND(CF!N45,0)=ROUND(SUM(CF!J45:M45),0),"OK","ERROR")</f>
        <v>OK</v>
      </c>
      <c r="O155" s="210"/>
      <c r="P155" s="217"/>
      <c r="Q155" s="217"/>
      <c r="R155" s="217"/>
      <c r="S155" s="217"/>
      <c r="T155" s="237" t="str">
        <f>IF(ROUND(CF!T45,0)=ROUND(SUM(CF!P45:S45),0),"OK","ERROR")</f>
        <v>OK</v>
      </c>
      <c r="U155" s="210"/>
      <c r="V155" s="217"/>
      <c r="W155" s="217"/>
      <c r="X155" s="217"/>
      <c r="Y155" s="217"/>
      <c r="Z155" s="237" t="str">
        <f>IF(ROUND(CF!Z45,0)=ROUND(SUM(CF!V45:Y45),0),"OK","ERROR")</f>
        <v>OK</v>
      </c>
      <c r="AA155" s="210"/>
      <c r="AB155" s="217"/>
      <c r="AC155" s="217"/>
      <c r="AD155" s="217"/>
      <c r="AE155" s="217"/>
      <c r="AF155" s="237" t="str">
        <f>IF(ROUND(CF!AF45,0)=ROUND(SUM(CF!AB45:AE45),0),"OK","ERROR")</f>
        <v>OK</v>
      </c>
      <c r="AG155" s="238"/>
      <c r="AH155" s="217"/>
      <c r="AI155" s="217"/>
      <c r="AJ155" s="212"/>
      <c r="AK155" s="212"/>
      <c r="AL155" s="237" t="str">
        <f>IF(ROUND(CF!AL45,0)=ROUND(SUM(CF!AH45:AK45),0),"OK","ERROR")</f>
        <v>ERROR</v>
      </c>
      <c r="AM155" s="239"/>
      <c r="AN155" s="212"/>
      <c r="AO155" s="212"/>
      <c r="AP155" s="212"/>
      <c r="AQ155" s="212"/>
      <c r="AR155" s="237" t="str">
        <f>IF(ROUND(CF!AR45,0)=ROUND(SUM(CF!AN45:AQ45),0),"OK","ERROR")</f>
        <v>OK</v>
      </c>
      <c r="AS155" s="239"/>
      <c r="AT155" s="237" t="str">
        <f>IF(ROUND(CF!AT45,0)=ROUND(SUM(CF!AP45:AS45),0),"OK","ERROR")</f>
        <v>OK</v>
      </c>
      <c r="AU155" s="239"/>
      <c r="AV155" s="237" t="str">
        <f>IF(ROUND(CF!AV45,0)=ROUND(SUM(CF!AR45:AU45),0),"OK","ERROR")</f>
        <v>OK</v>
      </c>
      <c r="AW155" s="246"/>
      <c r="AX155" s="237" t="str">
        <f>IF(ROUND(CF!AX45,0)=ROUND(SUM(CF!AT45:AW45),0),"OK","ERROR")</f>
        <v>OK</v>
      </c>
    </row>
    <row r="156" spans="1:50" s="54" customFormat="1" ht="15" customHeight="1" thickTop="1">
      <c r="A156" s="113"/>
      <c r="B156" s="9"/>
      <c r="C156" s="115"/>
      <c r="D156" s="208"/>
      <c r="E156" s="208"/>
      <c r="F156" s="208"/>
      <c r="G156" s="208"/>
      <c r="H156" s="220"/>
      <c r="I156" s="210"/>
      <c r="J156" s="208"/>
      <c r="K156" s="208"/>
      <c r="L156" s="208"/>
      <c r="M156" s="208"/>
      <c r="N156" s="220"/>
      <c r="O156" s="210"/>
      <c r="P156" s="208"/>
      <c r="Q156" s="208"/>
      <c r="R156" s="208"/>
      <c r="S156" s="208"/>
      <c r="T156" s="220"/>
      <c r="U156" s="210"/>
      <c r="V156" s="208"/>
      <c r="W156" s="208"/>
      <c r="X156" s="208"/>
      <c r="Y156" s="208"/>
      <c r="Z156" s="220"/>
      <c r="AA156" s="228"/>
      <c r="AB156" s="208"/>
      <c r="AC156" s="208"/>
      <c r="AD156" s="208"/>
      <c r="AE156" s="208"/>
      <c r="AF156" s="220"/>
      <c r="AG156" s="229"/>
      <c r="AH156" s="208"/>
      <c r="AI156" s="208"/>
      <c r="AJ156" s="212"/>
      <c r="AK156" s="212"/>
      <c r="AL156" s="220"/>
      <c r="AM156" s="230"/>
      <c r="AN156" s="212"/>
      <c r="AO156" s="212"/>
      <c r="AP156" s="212"/>
      <c r="AQ156" s="212"/>
      <c r="AR156" s="220"/>
      <c r="AS156" s="230"/>
      <c r="AT156" s="220"/>
      <c r="AU156" s="230"/>
      <c r="AV156" s="220"/>
      <c r="AW156" s="246"/>
      <c r="AX156" s="220"/>
    </row>
    <row r="157" spans="1:50" s="54" customFormat="1" ht="15" customHeight="1">
      <c r="A157" s="44" t="s">
        <v>38</v>
      </c>
      <c r="B157" s="158" t="s">
        <v>688</v>
      </c>
      <c r="C157" s="17"/>
      <c r="D157" s="217"/>
      <c r="E157" s="217"/>
      <c r="F157" s="217"/>
      <c r="G157" s="217"/>
      <c r="H157" s="220" t="str">
        <f>IF(ROUND(CF!H47,0)=ROUND(SUM(CF!D47:G47),0),"OK","ERROR")</f>
        <v>OK</v>
      </c>
      <c r="I157" s="210"/>
      <c r="J157" s="217"/>
      <c r="K157" s="217"/>
      <c r="L157" s="217"/>
      <c r="M157" s="217"/>
      <c r="N157" s="220" t="str">
        <f>IF(ROUND(CF!N47,0)=ROUND(SUM(CF!J47:M47),0),"OK","ERROR")</f>
        <v>OK</v>
      </c>
      <c r="O157" s="210"/>
      <c r="P157" s="217"/>
      <c r="Q157" s="217"/>
      <c r="R157" s="217"/>
      <c r="S157" s="217"/>
      <c r="T157" s="220" t="str">
        <f>IF(ROUND(CF!T47,0)=ROUND(SUM(CF!P47:S47),0),"OK","ERROR")</f>
        <v>OK</v>
      </c>
      <c r="U157" s="210"/>
      <c r="V157" s="217"/>
      <c r="W157" s="217"/>
      <c r="X157" s="217"/>
      <c r="Y157" s="217"/>
      <c r="Z157" s="220" t="str">
        <f>IF(ROUND(CF!Z47,0)=ROUND(SUM(CF!V47:Y47),0),"OK","ERROR")</f>
        <v>OK</v>
      </c>
      <c r="AA157" s="210"/>
      <c r="AB157" s="217"/>
      <c r="AC157" s="217"/>
      <c r="AD157" s="217"/>
      <c r="AE157" s="217"/>
      <c r="AF157" s="220" t="str">
        <f>IF(ROUND(CF!AF47,0)=ROUND(SUM(CF!AB47:AE47),0),"OK","ERROR")</f>
        <v>OK</v>
      </c>
      <c r="AG157" s="238"/>
      <c r="AH157" s="217"/>
      <c r="AI157" s="217"/>
      <c r="AJ157" s="212"/>
      <c r="AK157" s="212"/>
      <c r="AL157" s="220" t="str">
        <f>IF(ROUND(CF!AL47,0)=ROUND(SUM(CF!AH47:AK47),0),"OK","ERROR")</f>
        <v>ERROR</v>
      </c>
      <c r="AM157" s="225"/>
      <c r="AN157" s="212"/>
      <c r="AO157" s="212"/>
      <c r="AP157" s="212"/>
      <c r="AQ157" s="212"/>
      <c r="AR157" s="220" t="str">
        <f>IF(ROUND(CF!AR47,0)=ROUND(SUM(CF!AN47:AQ47),0),"OK","ERROR")</f>
        <v>OK</v>
      </c>
      <c r="AS157" s="225"/>
      <c r="AT157" s="220" t="str">
        <f>IF(ROUND(CF!AT47,0)=ROUND(SUM(CF!AP47:AS47),0),"OK","ERROR")</f>
        <v>OK</v>
      </c>
      <c r="AU157" s="225"/>
      <c r="AV157" s="220" t="str">
        <f>IF(ROUND(CF!AV47,0)=ROUND(SUM(CF!AR47:AU47),0),"OK","ERROR")</f>
        <v>OK</v>
      </c>
      <c r="AW157" s="246"/>
      <c r="AX157" s="220" t="str">
        <f>IF(ROUND(CF!AX47,0)=ROUND(SUM(CF!AT47:AW47),0),"OK","ERROR")</f>
        <v>OK</v>
      </c>
    </row>
    <row r="158" spans="1:50" s="54" customFormat="1" ht="15" customHeight="1">
      <c r="A158" s="113"/>
      <c r="C158" s="115"/>
      <c r="D158" s="208"/>
      <c r="E158" s="208"/>
      <c r="F158" s="208"/>
      <c r="G158" s="208"/>
      <c r="H158" s="220"/>
      <c r="I158" s="210"/>
      <c r="J158" s="208"/>
      <c r="K158" s="208"/>
      <c r="L158" s="208"/>
      <c r="M158" s="208"/>
      <c r="N158" s="220"/>
      <c r="O158" s="210"/>
      <c r="P158" s="208"/>
      <c r="Q158" s="208"/>
      <c r="R158" s="208"/>
      <c r="S158" s="208"/>
      <c r="T158" s="220"/>
      <c r="U158" s="210"/>
      <c r="V158" s="208"/>
      <c r="W158" s="208"/>
      <c r="X158" s="208"/>
      <c r="Y158" s="208"/>
      <c r="Z158" s="220"/>
      <c r="AA158" s="210"/>
      <c r="AB158" s="208"/>
      <c r="AC158" s="208"/>
      <c r="AD158" s="208"/>
      <c r="AE158" s="208"/>
      <c r="AF158" s="220"/>
      <c r="AG158" s="238"/>
      <c r="AH158" s="208"/>
      <c r="AI158" s="208"/>
      <c r="AJ158" s="212"/>
      <c r="AK158" s="212"/>
      <c r="AL158" s="220"/>
      <c r="AM158" s="239"/>
      <c r="AN158" s="212"/>
      <c r="AO158" s="212"/>
      <c r="AP158" s="212"/>
      <c r="AQ158" s="212"/>
      <c r="AR158" s="220"/>
      <c r="AS158" s="239"/>
      <c r="AT158" s="220"/>
      <c r="AU158" s="239"/>
      <c r="AV158" s="220"/>
      <c r="AW158" s="246"/>
      <c r="AX158" s="220"/>
    </row>
    <row r="159" spans="1:50" s="54" customFormat="1" ht="15" customHeight="1">
      <c r="A159" s="44" t="s">
        <v>38</v>
      </c>
      <c r="B159" s="158" t="s">
        <v>689</v>
      </c>
      <c r="C159" s="17"/>
      <c r="D159" s="217"/>
      <c r="E159" s="217"/>
      <c r="F159" s="217"/>
      <c r="G159" s="217"/>
      <c r="H159" s="226" t="str">
        <f>IF(ROUND(CF!H49,0)=ROUND(SUM(CF!D49:G49),0),"OK","ERROR")</f>
        <v>OK</v>
      </c>
      <c r="I159" s="210"/>
      <c r="J159" s="217"/>
      <c r="K159" s="217"/>
      <c r="L159" s="217"/>
      <c r="M159" s="217"/>
      <c r="N159" s="226" t="str">
        <f>IF(ROUND(CF!N49,0)=ROUND(SUM(CF!J49:M49),0),"OK","ERROR")</f>
        <v>OK</v>
      </c>
      <c r="O159" s="210"/>
      <c r="P159" s="217"/>
      <c r="Q159" s="217"/>
      <c r="R159" s="217"/>
      <c r="S159" s="217"/>
      <c r="T159" s="226" t="str">
        <f>IF(ROUND(CF!T49,0)=ROUND(SUM(CF!P49:S49),0),"OK","ERROR")</f>
        <v>OK</v>
      </c>
      <c r="U159" s="210"/>
      <c r="V159" s="217"/>
      <c r="W159" s="217"/>
      <c r="X159" s="217"/>
      <c r="Y159" s="217"/>
      <c r="Z159" s="226" t="str">
        <f>IF(ROUND(CF!Z49,0)=ROUND(SUM(CF!V49:Y49),0),"OK","ERROR")</f>
        <v>OK</v>
      </c>
      <c r="AA159" s="210"/>
      <c r="AB159" s="217"/>
      <c r="AC159" s="217"/>
      <c r="AD159" s="217"/>
      <c r="AE159" s="217"/>
      <c r="AF159" s="226" t="str">
        <f>IF(ROUND(CF!AF49,0)=ROUND(SUM(CF!AB49:AE49),0),"OK","ERROR")</f>
        <v>OK</v>
      </c>
      <c r="AG159" s="238"/>
      <c r="AH159" s="217"/>
      <c r="AI159" s="217"/>
      <c r="AJ159" s="212"/>
      <c r="AK159" s="212"/>
      <c r="AL159" s="226" t="str">
        <f>IF(ROUND(CF!AL49,0)=ROUND(SUM(CF!AH49:AK49),0),"OK","ERROR")</f>
        <v>ERROR</v>
      </c>
      <c r="AM159" s="239"/>
      <c r="AN159" s="212"/>
      <c r="AO159" s="212"/>
      <c r="AP159" s="212"/>
      <c r="AQ159" s="212"/>
      <c r="AR159" s="226" t="str">
        <f>IF(ROUND(CF!AR49,0)=ROUND(SUM(CF!AN49:AQ49),0),"OK","ERROR")</f>
        <v>OK</v>
      </c>
      <c r="AS159" s="239"/>
      <c r="AT159" s="226" t="str">
        <f>IF(ROUND(CF!AT49,0)=ROUND(SUM(CF!AP49:AS49),0),"OK","ERROR")</f>
        <v>OK</v>
      </c>
      <c r="AU159" s="239"/>
      <c r="AV159" s="226" t="str">
        <f>IF(ROUND(CF!AV49,0)=ROUND(SUM(CF!AR49:AU49),0),"OK","ERROR")</f>
        <v>OK</v>
      </c>
      <c r="AW159" s="246"/>
      <c r="AX159" s="226" t="str">
        <f>IF(ROUND(CF!AX49,0)=ROUND(SUM(CF!AT49:AW49),0),"OK","ERROR")</f>
        <v>OK</v>
      </c>
    </row>
    <row r="161" spans="1:50" s="41" customFormat="1" ht="15" customHeight="1">
      <c r="A161" s="44" t="s">
        <v>38</v>
      </c>
      <c r="B161" s="161" t="s">
        <v>696</v>
      </c>
      <c r="C161" s="18"/>
      <c r="D161" s="202"/>
      <c r="E161" s="202">
        <f>F161</f>
        <v>2020</v>
      </c>
      <c r="F161" s="202">
        <v>2020</v>
      </c>
      <c r="G161" s="202">
        <f>F161</f>
        <v>2020</v>
      </c>
      <c r="H161" s="202">
        <f>F161</f>
        <v>2020</v>
      </c>
      <c r="I161" s="18"/>
      <c r="J161" s="202">
        <f>L161</f>
        <v>2021</v>
      </c>
      <c r="K161" s="202">
        <f>L161</f>
        <v>2021</v>
      </c>
      <c r="L161" s="202">
        <v>2021</v>
      </c>
      <c r="M161" s="202">
        <f>L161</f>
        <v>2021</v>
      </c>
      <c r="N161" s="202">
        <f>L161</f>
        <v>2021</v>
      </c>
      <c r="O161" s="169"/>
      <c r="P161" s="202">
        <f>R161</f>
        <v>2022</v>
      </c>
      <c r="Q161" s="202">
        <f>R161</f>
        <v>2022</v>
      </c>
      <c r="R161" s="202">
        <v>2022</v>
      </c>
      <c r="S161" s="202">
        <f>R161</f>
        <v>2022</v>
      </c>
      <c r="T161" s="202">
        <f>R161</f>
        <v>2022</v>
      </c>
      <c r="U161" s="169"/>
      <c r="V161" s="202">
        <f>X161</f>
        <v>2023</v>
      </c>
      <c r="W161" s="202">
        <f>X161</f>
        <v>2023</v>
      </c>
      <c r="X161" s="202">
        <v>2023</v>
      </c>
      <c r="Y161" s="202">
        <f>X161</f>
        <v>2023</v>
      </c>
      <c r="Z161" s="202">
        <f>X161</f>
        <v>2023</v>
      </c>
      <c r="AA161" s="170"/>
      <c r="AB161" s="202">
        <f>AD161</f>
        <v>2024</v>
      </c>
      <c r="AC161" s="202">
        <f>AD161</f>
        <v>2024</v>
      </c>
      <c r="AD161" s="202">
        <v>2024</v>
      </c>
      <c r="AE161" s="202">
        <f>AD161</f>
        <v>2024</v>
      </c>
      <c r="AF161" s="202">
        <f>AD161</f>
        <v>2024</v>
      </c>
      <c r="AG161" s="170"/>
      <c r="AH161" s="202">
        <f>AJ161</f>
        <v>2025</v>
      </c>
      <c r="AI161" s="202">
        <f>AJ161</f>
        <v>2025</v>
      </c>
      <c r="AJ161" s="203">
        <v>2025</v>
      </c>
      <c r="AK161" s="202">
        <f>AJ161</f>
        <v>2025</v>
      </c>
      <c r="AL161" s="202">
        <f>AJ161</f>
        <v>2025</v>
      </c>
      <c r="AM161" s="171"/>
      <c r="AN161" s="202">
        <f>AP161</f>
        <v>2025</v>
      </c>
      <c r="AO161" s="202">
        <f>AP161</f>
        <v>2025</v>
      </c>
      <c r="AP161" s="203">
        <v>2025</v>
      </c>
      <c r="AQ161" s="202">
        <f>AP161</f>
        <v>2025</v>
      </c>
      <c r="AR161" s="202">
        <f>AP161</f>
        <v>2025</v>
      </c>
      <c r="AS161" s="18"/>
      <c r="AT161" s="162"/>
      <c r="AU161" s="18"/>
      <c r="AV161" s="163"/>
      <c r="AW161" s="18"/>
      <c r="AX161" s="163"/>
    </row>
    <row r="162" spans="1:50" s="41" customFormat="1" ht="15" customHeight="1">
      <c r="B162" s="164"/>
      <c r="C162" s="18"/>
      <c r="D162" s="815">
        <v>2020</v>
      </c>
      <c r="E162" s="815"/>
      <c r="F162" s="815"/>
      <c r="G162" s="815"/>
      <c r="H162" s="815"/>
      <c r="I162" s="169"/>
      <c r="J162" s="815">
        <f>D162+1</f>
        <v>2021</v>
      </c>
      <c r="K162" s="815"/>
      <c r="L162" s="815"/>
      <c r="M162" s="815"/>
      <c r="N162" s="815"/>
      <c r="O162" s="169"/>
      <c r="P162" s="815">
        <f>J162+1</f>
        <v>2022</v>
      </c>
      <c r="Q162" s="815"/>
      <c r="R162" s="815"/>
      <c r="S162" s="815"/>
      <c r="T162" s="815"/>
      <c r="U162" s="169"/>
      <c r="V162" s="815">
        <f>P162+1</f>
        <v>2023</v>
      </c>
      <c r="W162" s="815"/>
      <c r="X162" s="815"/>
      <c r="Y162" s="815"/>
      <c r="Z162" s="815"/>
      <c r="AA162" s="169"/>
      <c r="AB162" s="815">
        <f>V162+1</f>
        <v>2024</v>
      </c>
      <c r="AC162" s="815"/>
      <c r="AD162" s="815"/>
      <c r="AE162" s="815"/>
      <c r="AF162" s="815"/>
      <c r="AG162" s="169"/>
      <c r="AH162" s="813">
        <f>AB162+1</f>
        <v>2025</v>
      </c>
      <c r="AI162" s="813"/>
      <c r="AJ162" s="813"/>
      <c r="AK162" s="813"/>
      <c r="AL162" s="813"/>
      <c r="AM162" s="169"/>
      <c r="AN162" s="813">
        <f>AH162+1</f>
        <v>2026</v>
      </c>
      <c r="AO162" s="813"/>
      <c r="AP162" s="813"/>
      <c r="AQ162" s="813"/>
      <c r="AR162" s="813"/>
      <c r="AS162" s="171"/>
      <c r="AT162" s="166">
        <f>AN162+1</f>
        <v>2027</v>
      </c>
      <c r="AU162" s="167"/>
      <c r="AV162" s="166">
        <f>+AT162+1</f>
        <v>2028</v>
      </c>
      <c r="AW162" s="167"/>
      <c r="AX162" s="166">
        <f>+AV162+1</f>
        <v>2029</v>
      </c>
    </row>
    <row r="163" spans="1:50" s="41" customFormat="1" ht="15" customHeight="1">
      <c r="B163" s="164"/>
      <c r="C163" s="18"/>
      <c r="D163" s="168" t="s">
        <v>191</v>
      </c>
      <c r="E163" s="168" t="s">
        <v>192</v>
      </c>
      <c r="F163" s="168" t="s">
        <v>193</v>
      </c>
      <c r="G163" s="168" t="s">
        <v>194</v>
      </c>
      <c r="H163" s="168" t="s">
        <v>195</v>
      </c>
      <c r="I163" s="18"/>
      <c r="J163" s="168" t="s">
        <v>191</v>
      </c>
      <c r="K163" s="168" t="s">
        <v>192</v>
      </c>
      <c r="L163" s="168" t="s">
        <v>193</v>
      </c>
      <c r="M163" s="168" t="s">
        <v>194</v>
      </c>
      <c r="N163" s="168" t="s">
        <v>195</v>
      </c>
      <c r="O163" s="165"/>
      <c r="P163" s="168" t="s">
        <v>191</v>
      </c>
      <c r="Q163" s="168" t="s">
        <v>192</v>
      </c>
      <c r="R163" s="168" t="s">
        <v>193</v>
      </c>
      <c r="S163" s="168" t="s">
        <v>194</v>
      </c>
      <c r="T163" s="168" t="s">
        <v>195</v>
      </c>
      <c r="U163" s="165"/>
      <c r="V163" s="168" t="s">
        <v>191</v>
      </c>
      <c r="W163" s="168" t="s">
        <v>192</v>
      </c>
      <c r="X163" s="168" t="s">
        <v>193</v>
      </c>
      <c r="Y163" s="168" t="s">
        <v>194</v>
      </c>
      <c r="Z163" s="168" t="s">
        <v>195</v>
      </c>
      <c r="AA163" s="165"/>
      <c r="AB163" s="168" t="s">
        <v>191</v>
      </c>
      <c r="AC163" s="168" t="s">
        <v>192</v>
      </c>
      <c r="AD163" s="168" t="s">
        <v>193</v>
      </c>
      <c r="AE163" s="168" t="s">
        <v>194</v>
      </c>
      <c r="AF163" s="168" t="s">
        <v>195</v>
      </c>
      <c r="AG163" s="165"/>
      <c r="AH163" s="168" t="s">
        <v>191</v>
      </c>
      <c r="AI163" s="168" t="s">
        <v>192</v>
      </c>
      <c r="AJ163" s="168" t="s">
        <v>193</v>
      </c>
      <c r="AK163" s="168" t="s">
        <v>194</v>
      </c>
      <c r="AL163" s="168" t="s">
        <v>195</v>
      </c>
      <c r="AM163" s="165"/>
      <c r="AN163" s="168" t="s">
        <v>191</v>
      </c>
      <c r="AO163" s="168" t="s">
        <v>192</v>
      </c>
      <c r="AP163" s="168" t="s">
        <v>193</v>
      </c>
      <c r="AQ163" s="168" t="s">
        <v>194</v>
      </c>
      <c r="AR163" s="168" t="s">
        <v>195</v>
      </c>
      <c r="AS163" s="165"/>
      <c r="AT163" s="168" t="s">
        <v>195</v>
      </c>
      <c r="AU163" s="165"/>
      <c r="AV163" s="168" t="s">
        <v>195</v>
      </c>
      <c r="AW163" s="165"/>
      <c r="AX163" s="168" t="s">
        <v>195</v>
      </c>
    </row>
    <row r="164" spans="1:50" s="41" customFormat="1" ht="3.95" customHeight="1">
      <c r="A164" s="43"/>
      <c r="B164" s="176"/>
      <c r="C164" s="35"/>
      <c r="D164" s="177"/>
      <c r="E164" s="177"/>
      <c r="F164" s="177"/>
      <c r="G164" s="177"/>
      <c r="H164" s="177"/>
      <c r="I164" s="35"/>
      <c r="J164" s="177"/>
      <c r="K164" s="177"/>
      <c r="L164" s="177"/>
      <c r="M164" s="177"/>
      <c r="N164" s="177"/>
      <c r="O164" s="178"/>
      <c r="P164" s="177"/>
      <c r="Q164" s="177"/>
      <c r="R164" s="177"/>
      <c r="S164" s="177"/>
      <c r="T164" s="177"/>
      <c r="U164" s="178"/>
      <c r="V164" s="177"/>
      <c r="W164" s="177"/>
      <c r="X164" s="177"/>
      <c r="Y164" s="177"/>
      <c r="Z164" s="177"/>
      <c r="AA164" s="178"/>
      <c r="AB164" s="177"/>
      <c r="AC164" s="177"/>
      <c r="AD164" s="177"/>
      <c r="AE164" s="177"/>
      <c r="AF164" s="177"/>
      <c r="AG164" s="178"/>
      <c r="AH164" s="177"/>
      <c r="AI164" s="177"/>
      <c r="AJ164" s="177"/>
      <c r="AK164" s="177"/>
      <c r="AL164" s="179"/>
      <c r="AM164" s="180"/>
      <c r="AN164" s="179"/>
      <c r="AO164" s="179"/>
      <c r="AP164" s="179"/>
      <c r="AQ164" s="179"/>
      <c r="AR164" s="179"/>
      <c r="AS164" s="180"/>
      <c r="AT164" s="179"/>
      <c r="AU164" s="180"/>
      <c r="AV164" s="179"/>
      <c r="AW164" s="180"/>
      <c r="AX164" s="179"/>
    </row>
    <row r="165" spans="1:50" s="41" customFormat="1" ht="3.95" customHeight="1">
      <c r="A165" s="43"/>
      <c r="B165" s="172"/>
      <c r="C165" s="19"/>
      <c r="D165" s="173"/>
      <c r="E165" s="173"/>
      <c r="F165" s="173"/>
      <c r="G165" s="173"/>
      <c r="H165" s="173"/>
      <c r="I165" s="19"/>
      <c r="J165" s="173"/>
      <c r="K165" s="173"/>
      <c r="L165" s="173"/>
      <c r="M165" s="173"/>
      <c r="N165" s="173"/>
      <c r="O165" s="174"/>
      <c r="P165" s="173"/>
      <c r="Q165" s="173"/>
      <c r="R165" s="173"/>
      <c r="S165" s="173"/>
      <c r="T165" s="173"/>
      <c r="U165" s="174"/>
      <c r="V165" s="173"/>
      <c r="W165" s="173"/>
      <c r="X165" s="173"/>
      <c r="Y165" s="173"/>
      <c r="Z165" s="173"/>
      <c r="AA165" s="174"/>
      <c r="AB165" s="173"/>
      <c r="AC165" s="173"/>
      <c r="AD165" s="173"/>
      <c r="AE165" s="173"/>
      <c r="AF165" s="173"/>
      <c r="AG165" s="204"/>
      <c r="AH165" s="173"/>
      <c r="AI165" s="173"/>
      <c r="AJ165" s="173"/>
      <c r="AK165" s="173"/>
      <c r="AL165" s="175"/>
      <c r="AM165" s="34"/>
      <c r="AN165" s="175"/>
      <c r="AO165" s="175"/>
      <c r="AP165" s="175"/>
      <c r="AQ165" s="175"/>
      <c r="AR165" s="175"/>
      <c r="AS165" s="34"/>
      <c r="AT165" s="175"/>
      <c r="AU165" s="34"/>
      <c r="AV165" s="175"/>
      <c r="AW165" s="34"/>
      <c r="AX165" s="175"/>
    </row>
    <row r="166" spans="1:50" s="54" customFormat="1" ht="15" customHeight="1">
      <c r="A166" s="43"/>
      <c r="B166" s="154"/>
      <c r="C166" s="17"/>
      <c r="D166" s="46"/>
      <c r="E166" s="46"/>
      <c r="F166" s="46"/>
      <c r="G166" s="46"/>
      <c r="H166" s="57"/>
      <c r="I166" s="48"/>
      <c r="J166" s="46"/>
      <c r="K166" s="46"/>
      <c r="L166" s="46"/>
      <c r="M166" s="46"/>
      <c r="N166" s="57"/>
      <c r="O166" s="47"/>
      <c r="P166" s="46"/>
      <c r="Q166" s="46"/>
      <c r="R166" s="46"/>
      <c r="S166" s="46"/>
      <c r="T166" s="57"/>
      <c r="U166" s="47"/>
      <c r="V166" s="46"/>
      <c r="W166" s="46"/>
      <c r="X166" s="46"/>
      <c r="Y166" s="46"/>
      <c r="Z166" s="57"/>
      <c r="AA166" s="47"/>
      <c r="AB166" s="46"/>
      <c r="AC166" s="46"/>
      <c r="AD166" s="46"/>
      <c r="AE166" s="46"/>
      <c r="AF166" s="57"/>
      <c r="AG166" s="49"/>
      <c r="AH166" s="46"/>
      <c r="AI166" s="46"/>
      <c r="AJ166" s="50"/>
      <c r="AK166" s="50"/>
      <c r="AL166" s="58"/>
      <c r="AM166" s="53"/>
      <c r="AN166" s="50"/>
      <c r="AO166" s="50"/>
      <c r="AP166" s="50"/>
      <c r="AQ166" s="50"/>
      <c r="AR166" s="58"/>
      <c r="AS166" s="53"/>
      <c r="AT166" s="58"/>
      <c r="AU166" s="53"/>
      <c r="AV166" s="58"/>
      <c r="AX166" s="58"/>
    </row>
    <row r="167" spans="1:50" s="54" customFormat="1" ht="15" customHeight="1">
      <c r="A167" s="44" t="s">
        <v>38</v>
      </c>
      <c r="B167" s="154" t="s">
        <v>664</v>
      </c>
      <c r="C167" s="17"/>
      <c r="D167" s="208"/>
      <c r="E167" s="208"/>
      <c r="F167" s="208"/>
      <c r="G167" s="208"/>
      <c r="H167" s="220"/>
      <c r="I167" s="210"/>
      <c r="J167" s="208"/>
      <c r="K167" s="208"/>
      <c r="L167" s="208"/>
      <c r="M167" s="208"/>
      <c r="N167" s="220"/>
      <c r="O167" s="209"/>
      <c r="P167" s="208"/>
      <c r="Q167" s="208"/>
      <c r="R167" s="208"/>
      <c r="S167" s="208"/>
      <c r="T167" s="220"/>
      <c r="U167" s="209"/>
      <c r="V167" s="208"/>
      <c r="W167" s="208"/>
      <c r="X167" s="208"/>
      <c r="Y167" s="208"/>
      <c r="Z167" s="220"/>
      <c r="AA167" s="209"/>
      <c r="AB167" s="208"/>
      <c r="AC167" s="208"/>
      <c r="AD167" s="208"/>
      <c r="AE167" s="208"/>
      <c r="AF167" s="220"/>
      <c r="AG167" s="211"/>
      <c r="AH167" s="208"/>
      <c r="AI167" s="208"/>
      <c r="AJ167" s="212"/>
      <c r="AK167" s="212"/>
      <c r="AL167" s="222"/>
      <c r="AM167" s="215"/>
      <c r="AN167" s="212"/>
      <c r="AO167" s="212"/>
      <c r="AP167" s="212"/>
      <c r="AQ167" s="212"/>
      <c r="AR167" s="222"/>
      <c r="AS167" s="215"/>
      <c r="AT167" s="222"/>
      <c r="AU167" s="215"/>
      <c r="AV167" s="222"/>
      <c r="AW167" s="246"/>
      <c r="AX167" s="222"/>
    </row>
    <row r="168" spans="1:50" s="54" customFormat="1" ht="15" customHeight="1" thickBot="1">
      <c r="A168" s="84"/>
      <c r="B168" s="157" t="s">
        <v>669</v>
      </c>
      <c r="C168" s="26"/>
      <c r="D168" s="217" t="str">
        <f>IF(ROUND(CF!D25,0)=ROUND(SUM(CF!D15,CF!D17:D19,CF!D21:D24),0),"OK","ERROR")</f>
        <v>ERROR</v>
      </c>
      <c r="E168" s="217" t="str">
        <f>IF(ROUND(CF!E25,0)=ROUND(SUM(CF!E15,CF!E17:E19,CF!E21:E24),0),"OK","ERROR")</f>
        <v>ERROR</v>
      </c>
      <c r="F168" s="217" t="str">
        <f>IF(ROUND(CF!F25,0)=ROUND(SUM(CF!F15,CF!F17:F19,CF!F21:F24),0),"OK","ERROR")</f>
        <v>ERROR</v>
      </c>
      <c r="G168" s="217" t="str">
        <f>IF(ROUND(CF!G25,0)=ROUND(SUM(CF!G15,CF!G17:G19,CF!G21:G24),0),"OK","ERROR")</f>
        <v>ERROR</v>
      </c>
      <c r="H168" s="237" t="str">
        <f>IF(ROUND(CF!H25,0)=ROUND(SUM(CF!H15,CF!H17:H19,CF!H21:H24),0),"OK","ERROR")</f>
        <v>ERROR</v>
      </c>
      <c r="I168" s="210"/>
      <c r="J168" s="217" t="str">
        <f>IF(ROUND(CF!J25,0)=ROUND(SUM(CF!J15,CF!J17:J19,CF!J21:J24),0),"OK","ERROR")</f>
        <v>ERROR</v>
      </c>
      <c r="K168" s="217" t="str">
        <f>IF(ROUND(CF!K25,0)=ROUND(SUM(CF!K15,CF!K17:K19,CF!K21:K24),0),"OK","ERROR")</f>
        <v>ERROR</v>
      </c>
      <c r="L168" s="217" t="str">
        <f>IF(ROUND(CF!L25,0)=ROUND(SUM(CF!L15,CF!L17:L19,CF!L21:L24),0),"OK","ERROR")</f>
        <v>ERROR</v>
      </c>
      <c r="M168" s="217" t="str">
        <f>IF(ROUND(CF!M25,0)=ROUND(SUM(CF!M15,CF!M17:M19,CF!M21:M24),0),"OK","ERROR")</f>
        <v>ERROR</v>
      </c>
      <c r="N168" s="237" t="str">
        <f>IF(ROUND(CF!N25,0)=ROUND(SUM(CF!N15,CF!N17:N19,CF!N21:N24),0),"OK","ERROR")</f>
        <v>ERROR</v>
      </c>
      <c r="O168" s="210"/>
      <c r="P168" s="217" t="str">
        <f>IF(ROUND(CF!P25,0)=ROUND(SUM(CF!P15,CF!P17:P19,CF!P21:P24),0),"OK","ERROR")</f>
        <v>ERROR</v>
      </c>
      <c r="Q168" s="217" t="str">
        <f>IF(ROUND(CF!Q25,0)=ROUND(SUM(CF!Q15,CF!Q17:Q19,CF!Q21:Q24),0),"OK","ERROR")</f>
        <v>ERROR</v>
      </c>
      <c r="R168" s="217" t="str">
        <f>IF(ROUND(CF!R25,0)=ROUND(SUM(CF!R15,CF!R17:R19,CF!R21:R24),0),"OK","ERROR")</f>
        <v>ERROR</v>
      </c>
      <c r="S168" s="217" t="str">
        <f>IF(ROUND(CF!S25,0)=ROUND(SUM(CF!S15,CF!S17:S19,CF!S21:S24),0),"OK","ERROR")</f>
        <v>ERROR</v>
      </c>
      <c r="T168" s="237" t="str">
        <f>IF(ROUND(CF!T25,0)=ROUND(SUM(CF!T15,CF!T17:T19,CF!T21:T24),0),"OK","ERROR")</f>
        <v>ERROR</v>
      </c>
      <c r="U168" s="210"/>
      <c r="V168" s="217" t="str">
        <f>IF(ROUND(CF!V25,0)=ROUND(SUM(CF!V15,CF!V17:V19,CF!V21:V24),0),"OK","ERROR")</f>
        <v>ERROR</v>
      </c>
      <c r="W168" s="217" t="str">
        <f>IF(ROUND(CF!W25,0)=ROUND(SUM(CF!W15,CF!W17:W19,CF!W21:W24),0),"OK","ERROR")</f>
        <v>ERROR</v>
      </c>
      <c r="X168" s="217" t="str">
        <f>IF(ROUND(CF!X25,0)=ROUND(SUM(CF!X15,CF!X17:X19,CF!X21:X24),0),"OK","ERROR")</f>
        <v>ERROR</v>
      </c>
      <c r="Y168" s="217" t="str">
        <f>IF(ROUND(CF!Y25,0)=ROUND(SUM(CF!Y15,CF!Y17:Y19,CF!Y21:Y24),0),"OK","ERROR")</f>
        <v>ERROR</v>
      </c>
      <c r="Z168" s="237" t="str">
        <f>IF(ROUND(CF!Z25,0)=ROUND(SUM(CF!Z15,CF!Z17:Z19,CF!Z21:Z24),0),"OK","ERROR")</f>
        <v>ERROR</v>
      </c>
      <c r="AA168" s="228"/>
      <c r="AB168" s="217" t="str">
        <f>IF(ROUND(CF!AB25,0)=ROUND(SUM(CF!AB15,CF!AB17:AB19,CF!AB21:AB24),0),"OK","ERROR")</f>
        <v>ERROR</v>
      </c>
      <c r="AC168" s="217" t="str">
        <f>IF(ROUND(CF!AC25,0)=ROUND(SUM(CF!AC15,CF!AC17:AC19,CF!AC21:AC24),0),"OK","ERROR")</f>
        <v>ERROR</v>
      </c>
      <c r="AD168" s="217" t="str">
        <f>IF(ROUND(CF!AD25,0)=ROUND(SUM(CF!AD15,CF!AD17:AD19,CF!AD21:AD24),0),"OK","ERROR")</f>
        <v>ERROR</v>
      </c>
      <c r="AE168" s="217" t="str">
        <f>IF(ROUND(CF!AE25,0)=ROUND(SUM(CF!AE15,CF!AE17:AE19,CF!AE21:AE24),0),"OK","ERROR")</f>
        <v>ERROR</v>
      </c>
      <c r="AF168" s="237" t="str">
        <f>IF(ROUND(CF!AF25,0)=ROUND(SUM(CF!AF15,CF!AF17:AF19,CF!AF21:AF24),0),"OK","ERROR")</f>
        <v>ERROR</v>
      </c>
      <c r="AG168" s="229"/>
      <c r="AH168" s="217" t="str">
        <f>IF(ROUND(CF!AH25,0)=ROUND(SUM(CF!AH15,CF!AH17:AH19,CF!AH21:AH24),0),"OK","ERROR")</f>
        <v>ERROR</v>
      </c>
      <c r="AI168" s="217" t="str">
        <f>IF(ROUND(CF!AI25,0)=ROUND(SUM(CF!AI15,CF!AI17:AI19,CF!AI21:AI24),0),"OK","ERROR")</f>
        <v>ERROR</v>
      </c>
      <c r="AJ168" s="217" t="str">
        <f>IF(ROUND(CF!AJ24,0)=ROUND(SUM(CF!AJ15,CF!AJ17:AJ19,CF!AJ21:AJ24),0),"OK","ERROR")</f>
        <v>OK</v>
      </c>
      <c r="AK168" s="217" t="str">
        <f>IF(ROUND(CF!AK25,0)=ROUND(SUM(CF!AK15,CF!AK17:AK19,CF!AK21:AK24),0),"OK","ERROR")</f>
        <v>OK</v>
      </c>
      <c r="AL168" s="237" t="str">
        <f>IF(ROUND(CF!AL25,0)=ROUND(SUM(CF!AL15,CF!AL17:AL19,CF!AL21:AL24),0),"OK","ERROR")</f>
        <v>OK</v>
      </c>
      <c r="AM168" s="230"/>
      <c r="AN168" s="217" t="str">
        <f>IF(ROUND(CF!AN25,0)=ROUND(SUM(CF!AN15,CF!AN17:AN19,CF!AN21:AN24),0),"OK","ERROR")</f>
        <v>OK</v>
      </c>
      <c r="AO168" s="217" t="str">
        <f>IF(ROUND(CF!AO25,0)=ROUND(SUM(CF!AO15,CF!AO17:AO19,CF!AO21:AO24),0),"OK","ERROR")</f>
        <v>OK</v>
      </c>
      <c r="AP168" s="217" t="str">
        <f>IF(ROUND(CF!AP25,0)=ROUND(SUM(CF!AP15,CF!AP17:AP19,CF!AP21:AP24),0),"OK","ERROR")</f>
        <v>OK</v>
      </c>
      <c r="AQ168" s="217" t="str">
        <f>IF(ROUND(CF!AQ25,0)=ROUND(SUM(CF!AQ15,CF!AQ17:AQ19,CF!AQ21:AQ24),0),"OK","ERROR")</f>
        <v>OK</v>
      </c>
      <c r="AR168" s="237" t="str">
        <f>IF(ROUND(CF!AR25,0)=ROUND(SUM(CF!AR15,CF!AR17:AR19,CF!AR21:AR24),0),"OK","ERROR")</f>
        <v>OK</v>
      </c>
      <c r="AS168" s="230"/>
      <c r="AT168" s="237" t="str">
        <f>IF(ROUND(CF!AT25,0)=ROUND(SUM(CF!AT15,CF!AT17:AT19,CF!AT21:AT24),0),"OK","ERROR")</f>
        <v>OK</v>
      </c>
      <c r="AU168" s="230"/>
      <c r="AV168" s="237" t="str">
        <f>IF(ROUND(CF!AV25,0)=ROUND(SUM(CF!AV15,CF!AV17:AV19,CF!AV21:AV24),0),"OK","ERROR")</f>
        <v>OK</v>
      </c>
      <c r="AW168" s="246"/>
      <c r="AX168" s="237" t="str">
        <f>IF(ROUND(CF!AX25,0)=ROUND(SUM(CF!AX15,CF!AX17:AX19,CF!AX21:AX24),0),"OK","ERROR")</f>
        <v>OK</v>
      </c>
    </row>
    <row r="169" spans="1:50" s="54" customFormat="1" ht="15" customHeight="1" thickTop="1">
      <c r="A169" s="43"/>
      <c r="B169" s="154"/>
      <c r="C169" s="17"/>
      <c r="D169" s="208"/>
      <c r="E169" s="208"/>
      <c r="F169" s="208"/>
      <c r="G169" s="208"/>
      <c r="H169" s="220"/>
      <c r="I169" s="210"/>
      <c r="J169" s="208"/>
      <c r="K169" s="208"/>
      <c r="L169" s="208"/>
      <c r="M169" s="208"/>
      <c r="N169" s="220"/>
      <c r="O169" s="210"/>
      <c r="P169" s="208"/>
      <c r="Q169" s="208"/>
      <c r="R169" s="208"/>
      <c r="S169" s="208"/>
      <c r="T169" s="220"/>
      <c r="U169" s="210"/>
      <c r="V169" s="208"/>
      <c r="W169" s="208"/>
      <c r="X169" s="208"/>
      <c r="Y169" s="208"/>
      <c r="Z169" s="220"/>
      <c r="AA169" s="213"/>
      <c r="AB169" s="208"/>
      <c r="AC169" s="208"/>
      <c r="AD169" s="208"/>
      <c r="AE169" s="208"/>
      <c r="AF169" s="220"/>
      <c r="AG169" s="211"/>
      <c r="AH169" s="208"/>
      <c r="AI169" s="208"/>
      <c r="AJ169" s="208"/>
      <c r="AK169" s="208"/>
      <c r="AL169" s="220"/>
      <c r="AM169" s="225"/>
      <c r="AN169" s="208"/>
      <c r="AO169" s="208"/>
      <c r="AP169" s="208"/>
      <c r="AQ169" s="208"/>
      <c r="AR169" s="220"/>
      <c r="AS169" s="225"/>
      <c r="AT169" s="220"/>
      <c r="AU169" s="225"/>
      <c r="AV169" s="220"/>
      <c r="AW169" s="246"/>
      <c r="AX169" s="220"/>
    </row>
    <row r="170" spans="1:50" s="54" customFormat="1" ht="15" customHeight="1">
      <c r="A170" s="44" t="s">
        <v>38</v>
      </c>
      <c r="B170" s="158" t="s">
        <v>670</v>
      </c>
      <c r="C170" s="115"/>
      <c r="D170" s="208"/>
      <c r="E170" s="208"/>
      <c r="F170" s="208"/>
      <c r="G170" s="208"/>
      <c r="H170" s="220"/>
      <c r="I170" s="210"/>
      <c r="J170" s="208"/>
      <c r="K170" s="208"/>
      <c r="L170" s="208"/>
      <c r="M170" s="208"/>
      <c r="N170" s="220"/>
      <c r="O170" s="210"/>
      <c r="P170" s="208"/>
      <c r="Q170" s="208"/>
      <c r="R170" s="208"/>
      <c r="S170" s="208"/>
      <c r="T170" s="220"/>
      <c r="U170" s="210"/>
      <c r="V170" s="208"/>
      <c r="W170" s="208"/>
      <c r="X170" s="208"/>
      <c r="Y170" s="208"/>
      <c r="Z170" s="220"/>
      <c r="AA170" s="228"/>
      <c r="AB170" s="208"/>
      <c r="AC170" s="208"/>
      <c r="AD170" s="208"/>
      <c r="AE170" s="208"/>
      <c r="AF170" s="220"/>
      <c r="AG170" s="229"/>
      <c r="AH170" s="208"/>
      <c r="AI170" s="208"/>
      <c r="AJ170" s="208"/>
      <c r="AK170" s="208"/>
      <c r="AL170" s="220"/>
      <c r="AM170" s="230"/>
      <c r="AN170" s="208"/>
      <c r="AO170" s="208"/>
      <c r="AP170" s="208"/>
      <c r="AQ170" s="208"/>
      <c r="AR170" s="220"/>
      <c r="AS170" s="230"/>
      <c r="AT170" s="220"/>
      <c r="AU170" s="230"/>
      <c r="AV170" s="220"/>
      <c r="AW170" s="246"/>
      <c r="AX170" s="220"/>
    </row>
    <row r="171" spans="1:50" s="54" customFormat="1" ht="15" customHeight="1" thickBot="1">
      <c r="A171" s="113"/>
      <c r="B171" s="160" t="s">
        <v>679</v>
      </c>
      <c r="C171" s="17"/>
      <c r="D171" s="217" t="str">
        <f>IF(ROUND(CF!D36,0)=ROUND(SUM(CF!D28:D35),0),"OK","ERROR")</f>
        <v>OK</v>
      </c>
      <c r="E171" s="217" t="str">
        <f>IF(ROUND(CF!E36,0)=ROUND(SUM(CF!E28:E35),0),"OK","ERROR")</f>
        <v>OK</v>
      </c>
      <c r="F171" s="217" t="str">
        <f>IF(ROUND(CF!F36,0)=ROUND(SUM(CF!F28:F35),0),"OK","ERROR")</f>
        <v>OK</v>
      </c>
      <c r="G171" s="217" t="str">
        <f>IF(ROUND(CF!G36,0)=ROUND(SUM(CF!G28:G35),0),"OK","ERROR")</f>
        <v>OK</v>
      </c>
      <c r="H171" s="237" t="str">
        <f>IF(ROUND(CF!H36,0)=ROUND(SUM(CF!H28:H35),0),"OK","ERROR")</f>
        <v>OK</v>
      </c>
      <c r="I171" s="210"/>
      <c r="J171" s="217" t="str">
        <f>IF(ROUND(CF!J36,0)=ROUND(SUM(CF!J28:J35),0),"OK","ERROR")</f>
        <v>OK</v>
      </c>
      <c r="K171" s="217" t="str">
        <f>IF(ROUND(CF!K36,0)=ROUND(SUM(CF!K28:K35),0),"OK","ERROR")</f>
        <v>OK</v>
      </c>
      <c r="L171" s="217" t="str">
        <f>IF(ROUND(CF!L36,0)=ROUND(SUM(CF!L28:L35),0),"OK","ERROR")</f>
        <v>OK</v>
      </c>
      <c r="M171" s="217" t="str">
        <f>IF(ROUND(CF!M36,0)=ROUND(SUM(CF!M28:M35),0),"OK","ERROR")</f>
        <v>OK</v>
      </c>
      <c r="N171" s="237" t="str">
        <f>IF(ROUND(CF!N36,0)=ROUND(SUM(CF!N28:N35),0),"OK","ERROR")</f>
        <v>OK</v>
      </c>
      <c r="O171" s="210"/>
      <c r="P171" s="217" t="str">
        <f>IF(ROUND(CF!P36,0)=ROUND(SUM(CF!P28:P35),0),"OK","ERROR")</f>
        <v>OK</v>
      </c>
      <c r="Q171" s="217" t="str">
        <f>IF(ROUND(CF!Q36,0)=ROUND(SUM(CF!Q28:Q35),0),"OK","ERROR")</f>
        <v>OK</v>
      </c>
      <c r="R171" s="217" t="str">
        <f>IF(ROUND(CF!R36,0)=ROUND(SUM(CF!R28:R35),0),"OK","ERROR")</f>
        <v>OK</v>
      </c>
      <c r="S171" s="217" t="str">
        <f>IF(ROUND(CF!S36,0)=ROUND(SUM(CF!S28:S35),0),"OK","ERROR")</f>
        <v>OK</v>
      </c>
      <c r="T171" s="237" t="str">
        <f>IF(ROUND(CF!T36,0)=ROUND(SUM(CF!T28:T35),0),"OK","ERROR")</f>
        <v>OK</v>
      </c>
      <c r="U171" s="210"/>
      <c r="V171" s="217" t="str">
        <f>IF(ROUND(CF!V36,0)=ROUND(SUM(CF!V28:V35),0),"OK","ERROR")</f>
        <v>OK</v>
      </c>
      <c r="W171" s="217" t="str">
        <f>IF(ROUND(CF!W36,0)=ROUND(SUM(CF!W28:W35),0),"OK","ERROR")</f>
        <v>OK</v>
      </c>
      <c r="X171" s="217" t="str">
        <f>IF(ROUND(CF!X36,0)=ROUND(SUM(CF!X28:X35),0),"OK","ERROR")</f>
        <v>OK</v>
      </c>
      <c r="Y171" s="217" t="str">
        <f>IF(ROUND(CF!Y36,0)=ROUND(SUM(CF!Y28:Y35),0),"OK","ERROR")</f>
        <v>OK</v>
      </c>
      <c r="Z171" s="237" t="str">
        <f>IF(ROUND(CF!Z36,0)=ROUND(SUM(CF!Z28:Z35),0),"OK","ERROR")</f>
        <v>OK</v>
      </c>
      <c r="AA171" s="213"/>
      <c r="AB171" s="217" t="str">
        <f>IF(ROUND(CF!AB36,0)=ROUND(SUM(CF!AB28:AB35),0),"OK","ERROR")</f>
        <v>OK</v>
      </c>
      <c r="AC171" s="217" t="str">
        <f>IF(ROUND(CF!AC36,0)=ROUND(SUM(CF!AC28:AC35),0),"OK","ERROR")</f>
        <v>OK</v>
      </c>
      <c r="AD171" s="217" t="str">
        <f>IF(ROUND(CF!AD36,0)=ROUND(SUM(CF!AD28:AD35),0),"OK","ERROR")</f>
        <v>OK</v>
      </c>
      <c r="AE171" s="217" t="str">
        <f>IF(ROUND(CF!AE36,0)=ROUND(SUM(CF!AE28:AE35),0),"OK","ERROR")</f>
        <v>OK</v>
      </c>
      <c r="AF171" s="237" t="str">
        <f>IF(ROUND(CF!AF36,0)=ROUND(SUM(CF!AF28:AF35),0),"OK","ERROR")</f>
        <v>OK</v>
      </c>
      <c r="AG171" s="211"/>
      <c r="AH171" s="217" t="str">
        <f>IF(ROUND(CF!AH36,0)=ROUND(SUM(CF!AH28:AH35),0),"OK","ERROR")</f>
        <v>OK</v>
      </c>
      <c r="AI171" s="217" t="str">
        <f>IF(ROUND(CF!AI36,0)=ROUND(SUM(CF!AI28:AI35),0),"OK","ERROR")</f>
        <v>OK</v>
      </c>
      <c r="AJ171" s="217" t="str">
        <f>IF(ROUND(CF!AJ36,0)=ROUND(SUM(CF!AJ28:AJ35),0),"OK","ERROR")</f>
        <v>OK</v>
      </c>
      <c r="AK171" s="217" t="str">
        <f>IF(ROUND(CF!AK36,0)=ROUND(SUM(CF!AK28:AK35),0),"OK","ERROR")</f>
        <v>OK</v>
      </c>
      <c r="AL171" s="237" t="str">
        <f>IF(ROUND(CF!AL36,0)=ROUND(SUM(CF!AL28:AL35),0),"OK","ERROR")</f>
        <v>OK</v>
      </c>
      <c r="AM171" s="215"/>
      <c r="AN171" s="217" t="str">
        <f>IF(ROUND(CF!AN36,0)=ROUND(SUM(CF!AN28:AN35),0),"OK","ERROR")</f>
        <v>OK</v>
      </c>
      <c r="AO171" s="217" t="str">
        <f>IF(ROUND(CF!AO36,0)=ROUND(SUM(CF!AO28:AO35),0),"OK","ERROR")</f>
        <v>OK</v>
      </c>
      <c r="AP171" s="217" t="str">
        <f>IF(ROUND(CF!AP36,0)=ROUND(SUM(CF!AP28:AP35),0),"OK","ERROR")</f>
        <v>OK</v>
      </c>
      <c r="AQ171" s="217" t="str">
        <f>IF(ROUND(CF!AQ36,0)=ROUND(SUM(CF!AQ28:AQ35),0),"OK","ERROR")</f>
        <v>OK</v>
      </c>
      <c r="AR171" s="237" t="str">
        <f>IF(ROUND(CF!AR36,0)=ROUND(SUM(CF!AR28:AR35),0),"OK","ERROR")</f>
        <v>OK</v>
      </c>
      <c r="AS171" s="215"/>
      <c r="AT171" s="237" t="str">
        <f>IF(ROUND(CF!AT36,0)=ROUND(SUM(CF!AT28:AT35),0),"OK","ERROR")</f>
        <v>OK</v>
      </c>
      <c r="AU171" s="215"/>
      <c r="AV171" s="237" t="str">
        <f>IF(ROUND(CF!AV36,0)=ROUND(SUM(CF!AV28:AV35),0),"OK","ERROR")</f>
        <v>OK</v>
      </c>
      <c r="AW171" s="246"/>
      <c r="AX171" s="237" t="str">
        <f>IF(ROUND(CF!AX36,0)=ROUND(SUM(CF!AX28:AX35),0),"OK","ERROR")</f>
        <v>OK</v>
      </c>
    </row>
    <row r="172" spans="1:50" s="54" customFormat="1" ht="15" customHeight="1" thickTop="1">
      <c r="A172" s="43"/>
      <c r="B172" s="154"/>
      <c r="C172" s="115"/>
      <c r="D172" s="208"/>
      <c r="E172" s="208"/>
      <c r="F172" s="208"/>
      <c r="G172" s="208"/>
      <c r="H172" s="220"/>
      <c r="I172" s="210"/>
      <c r="J172" s="208"/>
      <c r="K172" s="208"/>
      <c r="L172" s="208"/>
      <c r="M172" s="208"/>
      <c r="N172" s="220"/>
      <c r="O172" s="210"/>
      <c r="P172" s="208"/>
      <c r="Q172" s="208"/>
      <c r="R172" s="208"/>
      <c r="S172" s="208"/>
      <c r="T172" s="220"/>
      <c r="U172" s="210"/>
      <c r="V172" s="208"/>
      <c r="W172" s="208"/>
      <c r="X172" s="208"/>
      <c r="Y172" s="208"/>
      <c r="Z172" s="220"/>
      <c r="AA172" s="232"/>
      <c r="AB172" s="208"/>
      <c r="AC172" s="208"/>
      <c r="AD172" s="208"/>
      <c r="AE172" s="208"/>
      <c r="AF172" s="220"/>
      <c r="AG172" s="229"/>
      <c r="AH172" s="208"/>
      <c r="AI172" s="208"/>
      <c r="AJ172" s="208"/>
      <c r="AK172" s="208"/>
      <c r="AL172" s="220"/>
      <c r="AM172" s="230"/>
      <c r="AN172" s="208"/>
      <c r="AO172" s="208"/>
      <c r="AP172" s="208"/>
      <c r="AQ172" s="208"/>
      <c r="AR172" s="220"/>
      <c r="AS172" s="230"/>
      <c r="AT172" s="220"/>
      <c r="AU172" s="230"/>
      <c r="AV172" s="220"/>
      <c r="AW172" s="246"/>
      <c r="AX172" s="220"/>
    </row>
    <row r="173" spans="1:50" s="54" customFormat="1" ht="15" customHeight="1">
      <c r="A173" s="44" t="s">
        <v>38</v>
      </c>
      <c r="B173" s="158" t="s">
        <v>680</v>
      </c>
      <c r="C173" s="27"/>
      <c r="D173" s="208"/>
      <c r="E173" s="208"/>
      <c r="F173" s="208"/>
      <c r="G173" s="208"/>
      <c r="H173" s="220"/>
      <c r="I173" s="210"/>
      <c r="J173" s="208"/>
      <c r="K173" s="208"/>
      <c r="L173" s="208"/>
      <c r="M173" s="208"/>
      <c r="N173" s="220"/>
      <c r="O173" s="210"/>
      <c r="P173" s="208"/>
      <c r="Q173" s="208"/>
      <c r="R173" s="208"/>
      <c r="S173" s="208"/>
      <c r="T173" s="220"/>
      <c r="U173" s="210"/>
      <c r="V173" s="208"/>
      <c r="W173" s="208"/>
      <c r="X173" s="208"/>
      <c r="Y173" s="208"/>
      <c r="Z173" s="220"/>
      <c r="AA173" s="213"/>
      <c r="AB173" s="208"/>
      <c r="AC173" s="208"/>
      <c r="AD173" s="208"/>
      <c r="AE173" s="208"/>
      <c r="AF173" s="220"/>
      <c r="AG173" s="211"/>
      <c r="AH173" s="208"/>
      <c r="AI173" s="208"/>
      <c r="AJ173" s="208"/>
      <c r="AK173" s="208"/>
      <c r="AL173" s="220"/>
      <c r="AM173" s="215"/>
      <c r="AN173" s="208"/>
      <c r="AO173" s="208"/>
      <c r="AP173" s="208"/>
      <c r="AQ173" s="208"/>
      <c r="AR173" s="220"/>
      <c r="AS173" s="215"/>
      <c r="AT173" s="220"/>
      <c r="AU173" s="215"/>
      <c r="AV173" s="220"/>
      <c r="AW173" s="246"/>
      <c r="AX173" s="220"/>
    </row>
    <row r="174" spans="1:50" s="54" customFormat="1" ht="15" customHeight="1" thickBot="1">
      <c r="A174" s="113"/>
      <c r="B174" s="160" t="s">
        <v>687</v>
      </c>
      <c r="C174" s="17"/>
      <c r="D174" s="217" t="str">
        <f>IF(ROUND(CF!D45,0)=ROUND(SUM(CF!D39:D44),0),"OK","ERROR")</f>
        <v>OK</v>
      </c>
      <c r="E174" s="217" t="str">
        <f>IF(ROUND(CF!E45,0)=ROUND(SUM(CF!E39:E44),0),"OK","ERROR")</f>
        <v>OK</v>
      </c>
      <c r="F174" s="217" t="str">
        <f>IF(ROUND(CF!F45,0)=ROUND(SUM(CF!F39:F44),0),"OK","ERROR")</f>
        <v>OK</v>
      </c>
      <c r="G174" s="217" t="str">
        <f>IF(ROUND(CF!G45,0)=ROUND(SUM(CF!G39:G44),0),"OK","ERROR")</f>
        <v>OK</v>
      </c>
      <c r="H174" s="237" t="str">
        <f>IF(ROUND(CF!H45,0)=ROUND(SUM(CF!H39:H44),0),"OK","ERROR")</f>
        <v>OK</v>
      </c>
      <c r="I174" s="210"/>
      <c r="J174" s="217" t="str">
        <f>IF(ROUND(CF!J45,0)=ROUND(SUM(CF!J39:J44),0),"OK","ERROR")</f>
        <v>OK</v>
      </c>
      <c r="K174" s="217" t="str">
        <f>IF(ROUND(CF!K45,0)=ROUND(SUM(CF!K39:K44),0),"OK","ERROR")</f>
        <v>OK</v>
      </c>
      <c r="L174" s="217" t="str">
        <f>IF(ROUND(CF!L45,0)=ROUND(SUM(CF!L39:L44),0),"OK","ERROR")</f>
        <v>OK</v>
      </c>
      <c r="M174" s="217" t="str">
        <f>IF(ROUND(CF!M45,0)=ROUND(SUM(CF!M39:M44),0),"OK","ERROR")</f>
        <v>OK</v>
      </c>
      <c r="N174" s="237" t="str">
        <f>IF(ROUND(CF!N45,0)=ROUND(SUM(CF!N39:N44),0),"OK","ERROR")</f>
        <v>OK</v>
      </c>
      <c r="O174" s="210"/>
      <c r="P174" s="217" t="str">
        <f>IF(ROUND(CF!P45,0)=ROUND(SUM(CF!P39:P44),0),"OK","ERROR")</f>
        <v>OK</v>
      </c>
      <c r="Q174" s="217" t="str">
        <f>IF(ROUND(CF!Q45,0)=ROUND(SUM(CF!Q39:Q44),0),"OK","ERROR")</f>
        <v>OK</v>
      </c>
      <c r="R174" s="217" t="str">
        <f>IF(ROUND(CF!R45,0)=ROUND(SUM(CF!R39:R44),0),"OK","ERROR")</f>
        <v>OK</v>
      </c>
      <c r="S174" s="217" t="str">
        <f>IF(ROUND(CF!S45,0)=ROUND(SUM(CF!S39:S44),0),"OK","ERROR")</f>
        <v>OK</v>
      </c>
      <c r="T174" s="237" t="str">
        <f>IF(ROUND(CF!T45,0)=ROUND(SUM(CF!T39:T44),0),"OK","ERROR")</f>
        <v>OK</v>
      </c>
      <c r="U174" s="210"/>
      <c r="V174" s="217" t="str">
        <f>IF(ROUND(CF!V45,0)=ROUND(SUM(CF!V39:V44),0),"OK","ERROR")</f>
        <v>OK</v>
      </c>
      <c r="W174" s="217" t="str">
        <f>IF(ROUND(CF!W45,0)=ROUND(SUM(CF!W39:W44),0),"OK","ERROR")</f>
        <v>OK</v>
      </c>
      <c r="X174" s="217" t="str">
        <f>IF(ROUND(CF!X45,0)=ROUND(SUM(CF!X39:X44),0),"OK","ERROR")</f>
        <v>OK</v>
      </c>
      <c r="Y174" s="217" t="str">
        <f>IF(ROUND(CF!Y45,0)=ROUND(SUM(CF!Y39:Y44),0),"OK","ERROR")</f>
        <v>OK</v>
      </c>
      <c r="Z174" s="237" t="str">
        <f>IF(ROUND(CF!Z45,0)=ROUND(SUM(CF!Z39:Z44),0),"OK","ERROR")</f>
        <v>OK</v>
      </c>
      <c r="AA174" s="210"/>
      <c r="AB174" s="217" t="str">
        <f>IF(ROUND(CF!AB45,0)=ROUND(SUM(CF!AB39:AB44),0),"OK","ERROR")</f>
        <v>OK</v>
      </c>
      <c r="AC174" s="217" t="str">
        <f>IF(ROUND(CF!AC45,0)=ROUND(SUM(CF!AC39:AC44),0),"OK","ERROR")</f>
        <v>OK</v>
      </c>
      <c r="AD174" s="217" t="str">
        <f>IF(ROUND(CF!AD45,0)=ROUND(SUM(CF!AD39:AD44),0),"OK","ERROR")</f>
        <v>OK</v>
      </c>
      <c r="AE174" s="217" t="str">
        <f>IF(ROUND(CF!AE45,0)=ROUND(SUM(CF!AE39:AE44),0),"OK","ERROR")</f>
        <v>OK</v>
      </c>
      <c r="AF174" s="237" t="str">
        <f>IF(ROUND(CF!AF45,0)=ROUND(SUM(CF!AF39:AF44),0),"OK","ERROR")</f>
        <v>OK</v>
      </c>
      <c r="AG174" s="238"/>
      <c r="AH174" s="217" t="str">
        <f>IF(ROUND(CF!AH45,0)=ROUND(SUM(CF!AH39:AH44),0),"OK","ERROR")</f>
        <v>OK</v>
      </c>
      <c r="AI174" s="217" t="str">
        <f>IF(ROUND(CF!AI45,0)=ROUND(SUM(CF!AI39:AI44),0),"OK","ERROR")</f>
        <v>OK</v>
      </c>
      <c r="AJ174" s="217" t="str">
        <f>IF(ROUND(CF!AJ45,0)=ROUND(SUM(CF!AJ39:AJ44),0),"OK","ERROR")</f>
        <v>OK</v>
      </c>
      <c r="AK174" s="217" t="str">
        <f>IF(ROUND(CF!AK45,0)=ROUND(SUM(CF!AK39:AK44),0),"OK","ERROR")</f>
        <v>OK</v>
      </c>
      <c r="AL174" s="237" t="str">
        <f>IF(ROUND(CF!AL45,0)=ROUND(SUM(CF!AL39:AL44),0),"OK","ERROR")</f>
        <v>OK</v>
      </c>
      <c r="AM174" s="239"/>
      <c r="AN174" s="217" t="str">
        <f>IF(ROUND(CF!AN45,0)=ROUND(SUM(CF!AN39:AN44),0),"OK","ERROR")</f>
        <v>OK</v>
      </c>
      <c r="AO174" s="217" t="str">
        <f>IF(ROUND(CF!AO45,0)=ROUND(SUM(CF!AO39:AO44),0),"OK","ERROR")</f>
        <v>OK</v>
      </c>
      <c r="AP174" s="217" t="str">
        <f>IF(ROUND(CF!AP45,0)=ROUND(SUM(CF!AP39:AP44),0),"OK","ERROR")</f>
        <v>OK</v>
      </c>
      <c r="AQ174" s="217" t="str">
        <f>IF(ROUND(CF!AQ45,0)=ROUND(SUM(CF!AQ39:AQ44),0),"OK","ERROR")</f>
        <v>OK</v>
      </c>
      <c r="AR174" s="237" t="str">
        <f>IF(ROUND(CF!AR45,0)=ROUND(SUM(CF!AR39:AR44),0),"OK","ERROR")</f>
        <v>OK</v>
      </c>
      <c r="AS174" s="239"/>
      <c r="AT174" s="237" t="str">
        <f>IF(ROUND(CF!AT45,0)=ROUND(SUM(CF!AT39:AT44),0),"OK","ERROR")</f>
        <v>OK</v>
      </c>
      <c r="AU174" s="239"/>
      <c r="AV174" s="237" t="str">
        <f>IF(ROUND(CF!AV45,0)=ROUND(SUM(CF!AV39:AV44),0),"OK","ERROR")</f>
        <v>OK</v>
      </c>
      <c r="AW174" s="246"/>
      <c r="AX174" s="237" t="str">
        <f>IF(ROUND(CF!AX45,0)=ROUND(SUM(CF!AX39:AX44),0),"OK","ERROR")</f>
        <v>OK</v>
      </c>
    </row>
    <row r="175" spans="1:50" s="54" customFormat="1" ht="15" customHeight="1" thickTop="1">
      <c r="A175" s="113"/>
      <c r="B175" s="9"/>
      <c r="C175" s="115"/>
      <c r="D175" s="208"/>
      <c r="E175" s="208"/>
      <c r="F175" s="208"/>
      <c r="G175" s="208"/>
      <c r="H175" s="220"/>
      <c r="I175" s="210"/>
      <c r="J175" s="208"/>
      <c r="K175" s="208"/>
      <c r="L175" s="208"/>
      <c r="M175" s="208"/>
      <c r="N175" s="220"/>
      <c r="O175" s="210"/>
      <c r="P175" s="208"/>
      <c r="Q175" s="208"/>
      <c r="R175" s="208"/>
      <c r="S175" s="208"/>
      <c r="T175" s="220"/>
      <c r="U175" s="210"/>
      <c r="V175" s="208"/>
      <c r="W175" s="208"/>
      <c r="X175" s="208"/>
      <c r="Y175" s="208"/>
      <c r="Z175" s="220"/>
      <c r="AA175" s="228"/>
      <c r="AB175" s="208"/>
      <c r="AC175" s="208"/>
      <c r="AD175" s="208"/>
      <c r="AE175" s="208"/>
      <c r="AF175" s="220"/>
      <c r="AG175" s="229"/>
      <c r="AH175" s="208"/>
      <c r="AI175" s="208"/>
      <c r="AJ175" s="208"/>
      <c r="AK175" s="208"/>
      <c r="AL175" s="220"/>
      <c r="AM175" s="230"/>
      <c r="AN175" s="208"/>
      <c r="AO175" s="208"/>
      <c r="AP175" s="208"/>
      <c r="AQ175" s="208"/>
      <c r="AR175" s="220"/>
      <c r="AS175" s="230"/>
      <c r="AT175" s="220"/>
      <c r="AU175" s="230"/>
      <c r="AV175" s="220"/>
      <c r="AW175" s="246"/>
      <c r="AX175" s="220"/>
    </row>
    <row r="176" spans="1:50" s="54" customFormat="1" ht="15" customHeight="1">
      <c r="A176" s="44" t="s">
        <v>38</v>
      </c>
      <c r="B176" s="158" t="s">
        <v>689</v>
      </c>
      <c r="C176" s="17"/>
      <c r="D176" s="217" t="str">
        <f>IF(ROUND(CF!D49,0)=ROUND(SUM(CF!D25,CF!D36,CF!D45,CF!D47),0),"OK","ERROR")</f>
        <v>OK</v>
      </c>
      <c r="E176" s="217" t="str">
        <f>IF(ROUND(CF!E49,0)=ROUND(SUM(CF!E25,CF!E36,CF!E45,CF!E47),0),"OK","ERROR")</f>
        <v>OK</v>
      </c>
      <c r="F176" s="217" t="str">
        <f>IF(ROUND(CF!F49,0)=ROUND(SUM(CF!F25,CF!F36,CF!F45,CF!F47),0),"OK","ERROR")</f>
        <v>OK</v>
      </c>
      <c r="G176" s="217" t="str">
        <f>IF(ROUND(CF!G49,0)=ROUND(SUM(CF!G25,CF!G36,CF!G45,CF!G47),0),"OK","ERROR")</f>
        <v>OK</v>
      </c>
      <c r="H176" s="226" t="str">
        <f>IF(ROUND(CF!H49,0)=ROUND(SUM(CF!H25,CF!H36,CF!H45,CF!H47),0),"OK","ERROR")</f>
        <v>OK</v>
      </c>
      <c r="I176" s="210"/>
      <c r="J176" s="217" t="str">
        <f>IF(ROUND(CF!J49,0)=ROUND(SUM(CF!J25,CF!J36,CF!J45,CF!J47),0),"OK","ERROR")</f>
        <v>OK</v>
      </c>
      <c r="K176" s="217" t="str">
        <f>IF(ROUND(CF!K49,0)=ROUND(SUM(CF!K25,CF!K36,CF!K45,CF!K47),0),"OK","ERROR")</f>
        <v>OK</v>
      </c>
      <c r="L176" s="217" t="str">
        <f>IF(ROUND(CF!L49,0)=ROUND(SUM(CF!L25,CF!L36,CF!L45,CF!L47),0),"OK","ERROR")</f>
        <v>OK</v>
      </c>
      <c r="M176" s="217" t="str">
        <f>IF(ROUND(CF!M49,0)=ROUND(SUM(CF!M25,CF!M36,CF!M45,CF!M47),0),"OK","ERROR")</f>
        <v>OK</v>
      </c>
      <c r="N176" s="226" t="str">
        <f>IF(ROUND(CF!N49,0)=ROUND(SUM(CF!N25,CF!N36,CF!N45,CF!N47),0),"OK","ERROR")</f>
        <v>OK</v>
      </c>
      <c r="O176" s="210"/>
      <c r="P176" s="217" t="str">
        <f>IF(ROUND(CF!P49,0)=ROUND(SUM(CF!P25,CF!P36,CF!P45,CF!P47),0),"OK","ERROR")</f>
        <v>OK</v>
      </c>
      <c r="Q176" s="217" t="str">
        <f>IF(ROUND(CF!Q49,0)=ROUND(SUM(CF!Q25,CF!Q36,CF!Q45,CF!Q47),0),"OK","ERROR")</f>
        <v>OK</v>
      </c>
      <c r="R176" s="217" t="str">
        <f>IF(ROUND(CF!R49,0)=ROUND(SUM(CF!R25,CF!R36,CF!R45,CF!R47),0),"OK","ERROR")</f>
        <v>OK</v>
      </c>
      <c r="S176" s="217" t="str">
        <f>IF(ROUND(CF!S49,0)=ROUND(SUM(CF!S25,CF!S36,CF!S45,CF!S47),0),"OK","ERROR")</f>
        <v>OK</v>
      </c>
      <c r="T176" s="226" t="str">
        <f>IF(ROUND(CF!T49,0)=ROUND(SUM(CF!T25,CF!T36,CF!T45,CF!T47),0),"OK","ERROR")</f>
        <v>OK</v>
      </c>
      <c r="U176" s="210"/>
      <c r="V176" s="217" t="str">
        <f>IF(ROUND(CF!V49,0)=ROUND(SUM(CF!V25,CF!V36,CF!V45,CF!V47),0),"OK","ERROR")</f>
        <v>OK</v>
      </c>
      <c r="W176" s="217" t="str">
        <f>IF(ROUND(CF!W49,0)=ROUND(SUM(CF!W25,CF!W36,CF!W45,CF!W47),0),"OK","ERROR")</f>
        <v>OK</v>
      </c>
      <c r="X176" s="217" t="str">
        <f>IF(ROUND(CF!X49,0)=ROUND(SUM(CF!X25,CF!X36,CF!X45,CF!X47),0),"OK","ERROR")</f>
        <v>OK</v>
      </c>
      <c r="Y176" s="217" t="str">
        <f>IF(ROUND(CF!Y49,0)=ROUND(SUM(CF!Y25,CF!Y36,CF!Y45,CF!Y47),0),"OK","ERROR")</f>
        <v>OK</v>
      </c>
      <c r="Z176" s="226" t="str">
        <f>IF(ROUND(CF!Z49,0)=ROUND(SUM(CF!Z25,CF!Z36,CF!Z45,CF!Z47),0),"OK","ERROR")</f>
        <v>OK</v>
      </c>
      <c r="AA176" s="210"/>
      <c r="AB176" s="217" t="str">
        <f>IF(ROUND(CF!AB49,0)=ROUND(SUM(CF!AB25,CF!AB36,CF!AB45,CF!AB47),0),"OK","ERROR")</f>
        <v>OK</v>
      </c>
      <c r="AC176" s="217" t="str">
        <f>IF(ROUND(CF!AC49,0)=ROUND(SUM(CF!AC25,CF!AC36,CF!AC45,CF!AC47),0),"OK","ERROR")</f>
        <v>OK</v>
      </c>
      <c r="AD176" s="217" t="str">
        <f>IF(ROUND(CF!AD49,0)=ROUND(SUM(CF!AD25,CF!AD36,CF!AD45,CF!AD47),0),"OK","ERROR")</f>
        <v>OK</v>
      </c>
      <c r="AE176" s="217" t="str">
        <f>IF(ROUND(CF!AE49,0)=ROUND(SUM(CF!AE25,CF!AE36,CF!AE45,CF!AE47),0),"OK","ERROR")</f>
        <v>OK</v>
      </c>
      <c r="AF176" s="226" t="str">
        <f>IF(ROUND(CF!AF49,0)=ROUND(SUM(CF!AF25,CF!AF36,CF!AF45,CF!AF47),0),"OK","ERROR")</f>
        <v>OK</v>
      </c>
      <c r="AG176" s="238"/>
      <c r="AH176" s="217" t="str">
        <f>IF(ROUND(CF!AH49,0)=ROUND(SUM(CF!AH25,CF!AH36,CF!AH45,CF!AH47),0),"OK","ERROR")</f>
        <v>OK</v>
      </c>
      <c r="AI176" s="217" t="str">
        <f>IF(ROUND(CF!AI49,0)=ROUND(SUM(CF!AI25,CF!AI36,CF!AI45,CF!AI47),0),"OK","ERROR")</f>
        <v>OK</v>
      </c>
      <c r="AJ176" s="217" t="str">
        <f>IF(ROUND(CF!AJ49,0)=ROUND(SUM(CF!AJ24,CF!AJ36,CF!AJ45,CF!AJ47),0),"OK","ERROR")</f>
        <v>OK</v>
      </c>
      <c r="AK176" s="217" t="str">
        <f>IF(ROUND(CF!AK49,0)=ROUND(SUM(CF!AK25,CF!AK36,CF!AK45,CF!AK47),0),"OK","ERROR")</f>
        <v>OK</v>
      </c>
      <c r="AL176" s="226" t="str">
        <f>IF(ROUND(CF!AL49,0)=ROUND(SUM(CF!AL25,CF!AL36,CF!AL45,CF!AL47),0),"OK","ERROR")</f>
        <v>OK</v>
      </c>
      <c r="AM176" s="239"/>
      <c r="AN176" s="217" t="str">
        <f>IF(ROUND(CF!AN49,0)=ROUND(SUM(CF!AN25,CF!AN36,CF!AN45,CF!AN47),0),"OK","ERROR")</f>
        <v>OK</v>
      </c>
      <c r="AO176" s="217" t="str">
        <f>IF(ROUND(CF!AO49,0)=ROUND(SUM(CF!AO25,CF!AO36,CF!AO45,CF!AO47),0),"OK","ERROR")</f>
        <v>OK</v>
      </c>
      <c r="AP176" s="217" t="str">
        <f>IF(ROUND(CF!AP49,0)=ROUND(SUM(CF!AP25,CF!AP36,CF!AP45,CF!AP47),0),"OK","ERROR")</f>
        <v>OK</v>
      </c>
      <c r="AQ176" s="217" t="str">
        <f>IF(ROUND(CF!AQ49,0)=ROUND(SUM(CF!AQ25,CF!AQ36,CF!AQ45,CF!AQ47),0),"OK","ERROR")</f>
        <v>OK</v>
      </c>
      <c r="AR176" s="226" t="str">
        <f>IF(ROUND(CF!AR49,0)=ROUND(SUM(CF!AR25,CF!AR36,CF!AR45,CF!AR47),0),"OK","ERROR")</f>
        <v>OK</v>
      </c>
      <c r="AS176" s="239"/>
      <c r="AT176" s="226" t="str">
        <f>IF(ROUND(CF!AT49,0)=ROUND(SUM(CF!AT25,CF!AT36,CF!AT45,CF!AT47),0),"OK","ERROR")</f>
        <v>OK</v>
      </c>
      <c r="AU176" s="239"/>
      <c r="AV176" s="226" t="str">
        <f>IF(ROUND(CF!AV49,0)=ROUND(SUM(CF!AV25,CF!AV36,CF!AV45,CF!AV47),0),"OK","ERROR")</f>
        <v>OK</v>
      </c>
      <c r="AW176" s="246"/>
      <c r="AX176" s="226" t="str">
        <f>IF(ROUND(CF!AX49,0)=ROUND(SUM(CF!AX25,CF!AX36,CF!AX45,CF!AX47),0),"OK","ERROR")</f>
        <v>OK</v>
      </c>
    </row>
    <row r="177" spans="2:50" s="54" customFormat="1" ht="15" customHeight="1" thickBot="1">
      <c r="B177" s="158" t="s">
        <v>690</v>
      </c>
      <c r="C177" s="115"/>
      <c r="D177" s="208" t="str">
        <f>IF(ROUND(CF!D50,0)=ROUND(SUM(CF!D49,CF!D12),0),"OK","ERROR")</f>
        <v>OK</v>
      </c>
      <c r="E177" s="208" t="str">
        <f>IF(ROUND(CF!E50,0)=ROUND(SUM(CF!E49,CF!E12),0),"OK","ERROR")</f>
        <v>OK</v>
      </c>
      <c r="F177" s="208" t="str">
        <f>IF(ROUND(CF!F50,0)=ROUND(SUM(CF!F49,CF!F12),0),"OK","ERROR")</f>
        <v>OK</v>
      </c>
      <c r="G177" s="208" t="str">
        <f>IF(ROUND(CF!G50,0)=ROUND(SUM(CF!G49,CF!G12),0),"OK","ERROR")</f>
        <v>OK</v>
      </c>
      <c r="H177" s="237" t="str">
        <f>IF(ROUND(CF!H50,0)=ROUND(SUM(CF!H49,CF!H12),0),"OK","ERROR")</f>
        <v>ERROR</v>
      </c>
      <c r="I177" s="210"/>
      <c r="J177" s="208" t="str">
        <f>IF(ROUND(CF!J50,0)=ROUND(SUM(CF!J49,CF!J12),0),"OK","ERROR")</f>
        <v>OK</v>
      </c>
      <c r="K177" s="208" t="str">
        <f>IF(ROUND(CF!K50,0)=ROUND(SUM(CF!K49,CF!K12),0),"OK","ERROR")</f>
        <v>OK</v>
      </c>
      <c r="L177" s="208" t="str">
        <f>IF(ROUND(CF!L50,0)=ROUND(SUM(CF!L49,CF!L12),0),"OK","ERROR")</f>
        <v>OK</v>
      </c>
      <c r="M177" s="208" t="str">
        <f>IF(ROUND(CF!M50,0)=ROUND(SUM(CF!M49,CF!M12),0),"OK","ERROR")</f>
        <v>OK</v>
      </c>
      <c r="N177" s="237" t="str">
        <f>IF(ROUND(CF!N50,0)=ROUND(SUM(CF!N49,CF!N12),0),"OK","ERROR")</f>
        <v>ERROR</v>
      </c>
      <c r="O177" s="210"/>
      <c r="P177" s="208" t="str">
        <f>IF(ROUND(CF!P50,0)=ROUND(SUM(CF!P49,CF!P12),0),"OK","ERROR")</f>
        <v>OK</v>
      </c>
      <c r="Q177" s="208" t="str">
        <f>IF(ROUND(CF!Q50,0)=ROUND(SUM(CF!Q49,CF!Q12),0),"OK","ERROR")</f>
        <v>OK</v>
      </c>
      <c r="R177" s="208" t="str">
        <f>IF(ROUND(CF!R50,0)=ROUND(SUM(CF!R49,CF!R12),0),"OK","ERROR")</f>
        <v>OK</v>
      </c>
      <c r="S177" s="208" t="str">
        <f>IF(ROUND(CF!S50,0)=ROUND(SUM(CF!S49,CF!S12),0),"OK","ERROR")</f>
        <v>OK</v>
      </c>
      <c r="T177" s="237" t="str">
        <f>IF(ROUND(CF!T50,0)=ROUND(SUM(CF!T49,CF!T12),0),"OK","ERROR")</f>
        <v>ERROR</v>
      </c>
      <c r="U177" s="210"/>
      <c r="V177" s="208" t="str">
        <f>IF(ROUND(CF!V50,0)=ROUND(SUM(CF!V49,CF!V12),0),"OK","ERROR")</f>
        <v>OK</v>
      </c>
      <c r="W177" s="208" t="str">
        <f>IF(ROUND(CF!W50,0)=ROUND(SUM(CF!W49,CF!W12),0),"OK","ERROR")</f>
        <v>OK</v>
      </c>
      <c r="X177" s="208" t="str">
        <f>IF(ROUND(CF!X50,0)=ROUND(SUM(CF!X49,CF!X12),0),"OK","ERROR")</f>
        <v>OK</v>
      </c>
      <c r="Y177" s="208" t="str">
        <f>IF(ROUND(CF!Y50,0)=ROUND(SUM(CF!Y49,CF!Y12),0),"OK","ERROR")</f>
        <v>OK</v>
      </c>
      <c r="Z177" s="237" t="str">
        <f>IF(ROUND(CF!Z50,0)=ROUND(SUM(CF!Z49,CF!Z12),0),"OK","ERROR")</f>
        <v>ERROR</v>
      </c>
      <c r="AA177" s="210"/>
      <c r="AB177" s="208" t="str">
        <f>IF(ROUND(CF!AB50,0)=ROUND(SUM(CF!AB49,CF!AB12),0),"OK","ERROR")</f>
        <v>OK</v>
      </c>
      <c r="AC177" s="208" t="str">
        <f>IF(ROUND(CF!AC50,0)=ROUND(SUM(CF!AC49,CF!AC12),0),"OK","ERROR")</f>
        <v>OK</v>
      </c>
      <c r="AD177" s="208" t="str">
        <f>IF(ROUND(CF!AD50,0)=ROUND(SUM(CF!AD49,CF!AD12),0),"OK","ERROR")</f>
        <v>OK</v>
      </c>
      <c r="AE177" s="208" t="str">
        <f>IF(ROUND(CF!AE50,0)=ROUND(SUM(CF!AE49,CF!AE12),0),"OK","ERROR")</f>
        <v>OK</v>
      </c>
      <c r="AF177" s="237" t="str">
        <f>IF(ROUND(CF!AF50,0)=ROUND(SUM(CF!AF49,CF!AF12),0),"OK","ERROR")</f>
        <v>ERROR</v>
      </c>
      <c r="AG177" s="238"/>
      <c r="AH177" s="208" t="str">
        <f>IF(ROUND(CF!AH50,0)=ROUND(SUM(CF!AH49,CF!AH12),0),"OK","ERROR")</f>
        <v>OK</v>
      </c>
      <c r="AI177" s="208" t="str">
        <f>IF(ROUND(CF!AI50,0)=ROUND(SUM(CF!AI49,CF!AI12),0),"OK","ERROR")</f>
        <v>OK</v>
      </c>
      <c r="AJ177" s="208" t="str">
        <f>IF(ROUND(CF!AJ50,0)=ROUND(SUM(CF!AJ49,CF!AJ12),0),"OK","ERROR")</f>
        <v>OK</v>
      </c>
      <c r="AK177" s="208" t="str">
        <f>IF(ROUND(CF!AK50,0)=ROUND(SUM(CF!AK49,CF!AK12),0),"OK","ERROR")</f>
        <v>OK</v>
      </c>
      <c r="AL177" s="237" t="str">
        <f>IF(ROUND(CF!AL50,0)=ROUND(SUM(CF!AL49,CF!AL12),0),"OK","ERROR")</f>
        <v>OK</v>
      </c>
      <c r="AM177" s="239"/>
      <c r="AN177" s="208" t="str">
        <f>IF(ROUND(CF!AN50,0)=ROUND(SUM(CF!AN49,CF!AN12),0),"OK","ERROR")</f>
        <v>OK</v>
      </c>
      <c r="AO177" s="208" t="str">
        <f>IF(ROUND(CF!AO50,0)=ROUND(SUM(CF!AO49,CF!AO12),0),"OK","ERROR")</f>
        <v>OK</v>
      </c>
      <c r="AP177" s="208" t="str">
        <f>IF(ROUND(CF!AP50,0)=ROUND(SUM(CF!AP49,CF!AP12),0),"OK","ERROR")</f>
        <v>OK</v>
      </c>
      <c r="AQ177" s="208" t="str">
        <f>IF(ROUND(CF!AQ50,0)=ROUND(SUM(CF!AQ49,CF!AQ12),0),"OK","ERROR")</f>
        <v>OK</v>
      </c>
      <c r="AR177" s="237" t="str">
        <f>IF(ROUND(CF!AR50,0)=ROUND(SUM(CF!AR49,CF!AR12),0),"OK","ERROR")</f>
        <v>OK</v>
      </c>
      <c r="AS177" s="239"/>
      <c r="AT177" s="237" t="str">
        <f>IF(ROUND(CF!AT50,0)=ROUND(SUM(CF!AT49,CF!AT12),0),"OK","ERROR")</f>
        <v>OK</v>
      </c>
      <c r="AU177" s="239"/>
      <c r="AV177" s="237" t="str">
        <f>IF(ROUND(CF!AV50,0)=ROUND(SUM(CF!AV49,CF!AV12),0),"OK","ERROR")</f>
        <v>OK</v>
      </c>
      <c r="AW177" s="246"/>
      <c r="AX177" s="237" t="str">
        <f>IF(ROUND(CF!AX50,0)=ROUND(SUM(CF!AX49,CF!AX12),0),"OK","ERROR")</f>
        <v>OK</v>
      </c>
    </row>
  </sheetData>
  <mergeCells count="35">
    <mergeCell ref="AN162:AR162"/>
    <mergeCell ref="D162:H162"/>
    <mergeCell ref="J162:N162"/>
    <mergeCell ref="P162:T162"/>
    <mergeCell ref="V162:Z162"/>
    <mergeCell ref="AB162:AF162"/>
    <mergeCell ref="AH162:AL162"/>
    <mergeCell ref="AN90:AR90"/>
    <mergeCell ref="D120:H120"/>
    <mergeCell ref="J120:N120"/>
    <mergeCell ref="P120:T120"/>
    <mergeCell ref="V120:Z120"/>
    <mergeCell ref="AB120:AF120"/>
    <mergeCell ref="AH120:AL120"/>
    <mergeCell ref="AN120:AR120"/>
    <mergeCell ref="D90:H90"/>
    <mergeCell ref="J90:N90"/>
    <mergeCell ref="P90:T90"/>
    <mergeCell ref="V90:Z90"/>
    <mergeCell ref="AB90:AF90"/>
    <mergeCell ref="AH90:AL90"/>
    <mergeCell ref="AN8:AR8"/>
    <mergeCell ref="D63:H63"/>
    <mergeCell ref="J63:N63"/>
    <mergeCell ref="P63:T63"/>
    <mergeCell ref="V63:Z63"/>
    <mergeCell ref="AB63:AF63"/>
    <mergeCell ref="AH63:AL63"/>
    <mergeCell ref="AN63:AR63"/>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499984740745262"/>
    <pageSetUpPr autoPageBreaks="0"/>
  </sheetPr>
  <dimension ref="A1:W176"/>
  <sheetViews>
    <sheetView showGridLines="0" topLeftCell="L53" zoomScale="85" zoomScaleNormal="85" workbookViewId="0">
      <selection activeCell="U63" sqref="U63"/>
    </sheetView>
  </sheetViews>
  <sheetFormatPr defaultColWidth="9" defaultRowHeight="15" customHeight="1"/>
  <cols>
    <col min="1" max="1" width="2" customWidth="1"/>
    <col min="2" max="2" width="12.5" customWidth="1"/>
    <col min="3" max="3" width="9.5" bestFit="1" customWidth="1"/>
    <col min="4" max="4" width="18" customWidth="1"/>
    <col min="5" max="5" width="15.5" bestFit="1" customWidth="1"/>
    <col min="6" max="6" width="11.875" customWidth="1"/>
    <col min="7" max="7" width="10" bestFit="1" customWidth="1"/>
    <col min="8" max="8" width="8.875" bestFit="1" customWidth="1"/>
    <col min="9" max="9" width="8.875"/>
    <col min="10" max="10" width="10.375" customWidth="1"/>
    <col min="11" max="11" width="8.875"/>
    <col min="12" max="12" width="14" customWidth="1"/>
    <col min="13" max="13" width="8.875"/>
    <col min="14" max="14" width="18.625" bestFit="1" customWidth="1"/>
    <col min="15" max="15" width="8.875"/>
    <col min="16" max="16" width="10" customWidth="1"/>
    <col min="17" max="17" width="13.5" bestFit="1" customWidth="1"/>
    <col min="18" max="18" width="12.5" customWidth="1"/>
    <col min="19" max="20" width="8.875"/>
    <col min="21" max="21" width="12.375" customWidth="1"/>
    <col min="22" max="23" width="8.875" customWidth="1"/>
    <col min="24" max="16384" width="9" style="4"/>
  </cols>
  <sheetData>
    <row r="1" spans="1:23" s="582" customFormat="1" ht="15" customHeight="1"/>
    <row r="2" spans="1:23" s="582" customFormat="1" ht="15" customHeight="1"/>
    <row r="3" spans="1:23" s="582" customFormat="1" ht="15" customHeight="1"/>
    <row r="4" spans="1:23" s="582" customFormat="1" ht="15" customHeight="1"/>
    <row r="5" spans="1:23" s="581" customFormat="1" ht="3.95" customHeight="1">
      <c r="A5" s="38"/>
      <c r="B5" s="38"/>
      <c r="C5" s="38"/>
      <c r="D5" s="38"/>
      <c r="E5" s="38"/>
      <c r="F5" s="38"/>
      <c r="G5" s="38"/>
      <c r="H5" s="38"/>
      <c r="I5" s="38"/>
      <c r="J5" s="38"/>
      <c r="K5" s="38"/>
      <c r="L5" s="38"/>
      <c r="M5" s="38"/>
      <c r="N5" s="38"/>
      <c r="O5" s="38"/>
      <c r="P5" s="38"/>
      <c r="Q5" s="38"/>
      <c r="R5" s="38"/>
      <c r="S5" s="38"/>
      <c r="T5" s="38"/>
      <c r="U5" s="38"/>
      <c r="V5" s="38"/>
      <c r="W5" s="38"/>
    </row>
    <row r="7" spans="1:23" s="566" customFormat="1" ht="15" customHeight="1">
      <c r="B7" s="2" t="s">
        <v>697</v>
      </c>
      <c r="C7" s="2"/>
      <c r="D7" s="2"/>
      <c r="E7" s="2"/>
      <c r="F7" s="2"/>
      <c r="G7" s="2"/>
      <c r="H7" s="2"/>
      <c r="I7" s="2"/>
      <c r="J7" s="2"/>
      <c r="K7" s="2"/>
      <c r="L7" s="2"/>
      <c r="M7" s="2"/>
      <c r="N7" s="2"/>
      <c r="O7" s="2"/>
      <c r="P7" s="2"/>
      <c r="Q7" s="2"/>
      <c r="R7" s="2"/>
      <c r="S7" s="13" t="str">
        <f>+_xll.BDP(D15,"SHORT_NAME")</f>
        <v>MIDDLEBY CORP</v>
      </c>
    </row>
    <row r="8" spans="1:23" s="566" customFormat="1" ht="15" customHeight="1">
      <c r="B8" s="2"/>
      <c r="C8" s="2"/>
      <c r="D8" s="2"/>
      <c r="E8" s="2"/>
      <c r="F8" s="2"/>
      <c r="G8" s="2"/>
      <c r="H8" s="2"/>
      <c r="I8" s="2"/>
      <c r="J8" s="2"/>
      <c r="K8" s="2"/>
      <c r="L8" s="2"/>
      <c r="M8" s="2"/>
      <c r="N8" s="2"/>
      <c r="O8" s="2"/>
      <c r="P8" s="2"/>
      <c r="Q8" s="2"/>
      <c r="R8" s="2"/>
    </row>
    <row r="9" spans="1:23" s="566" customFormat="1" ht="15" customHeight="1">
      <c r="B9" s="2"/>
      <c r="C9" s="2"/>
      <c r="D9" s="2"/>
      <c r="E9" s="2"/>
      <c r="F9" s="2"/>
      <c r="G9" s="2"/>
      <c r="H9" s="2"/>
      <c r="I9" s="2"/>
      <c r="J9" s="2"/>
      <c r="K9" s="2"/>
      <c r="L9" s="2"/>
      <c r="M9" s="2"/>
      <c r="N9" s="2"/>
      <c r="O9" s="2"/>
      <c r="P9" s="2"/>
      <c r="Q9" s="2"/>
      <c r="R9" s="2"/>
    </row>
    <row r="10" spans="1:23" ht="3.95" customHeight="1">
      <c r="B10" s="38"/>
      <c r="C10" s="38"/>
      <c r="D10" s="38"/>
      <c r="E10" s="38"/>
      <c r="F10" s="38"/>
      <c r="G10" s="38"/>
      <c r="H10" s="38"/>
      <c r="I10" s="38"/>
      <c r="J10" s="38"/>
      <c r="K10" s="38"/>
      <c r="L10" s="38"/>
      <c r="M10" s="38"/>
      <c r="N10" s="38"/>
      <c r="O10" s="38"/>
      <c r="P10" s="38"/>
      <c r="Q10" s="38"/>
      <c r="R10" s="38"/>
    </row>
    <row r="11" spans="1:23" ht="3.95" customHeight="1"/>
    <row r="12" spans="1:23" ht="15" customHeight="1" thickBot="1">
      <c r="B12" s="408" t="s">
        <v>82</v>
      </c>
      <c r="C12" s="409"/>
      <c r="D12" s="409"/>
      <c r="F12" s="410" t="s">
        <v>698</v>
      </c>
      <c r="G12" s="409"/>
      <c r="H12" s="409"/>
      <c r="I12" s="409"/>
      <c r="J12" s="409"/>
      <c r="L12" s="410" t="s">
        <v>699</v>
      </c>
      <c r="M12" s="409"/>
      <c r="O12" s="410" t="s">
        <v>700</v>
      </c>
      <c r="P12" s="409"/>
      <c r="Q12" s="409"/>
      <c r="R12" s="409"/>
    </row>
    <row r="13" spans="1:23" ht="15" customHeight="1">
      <c r="B13" s="1" t="s">
        <v>701</v>
      </c>
      <c r="D13" s="407" t="s">
        <v>702</v>
      </c>
      <c r="F13" s="6" t="s">
        <v>703</v>
      </c>
      <c r="J13" s="351">
        <f>'Stock Data'!AQ4</f>
        <v>7188282.8063800009</v>
      </c>
      <c r="L13" s="1" t="s">
        <v>704</v>
      </c>
      <c r="M13" s="354">
        <f ca="1">J18/(IS!AI18+IS!AH18+IS!AE18+IS!AD18)</f>
        <v>2.3638257675201553</v>
      </c>
      <c r="O13" s="10" t="str">
        <f>+_xll.BDP(R13,"SHORT_NAME")</f>
        <v>S&amp;P 500 INDEX</v>
      </c>
      <c r="R13" s="365" t="s">
        <v>705</v>
      </c>
    </row>
    <row r="14" spans="1:23" ht="15" customHeight="1">
      <c r="B14" s="1" t="s">
        <v>706</v>
      </c>
      <c r="D14" s="365" t="s">
        <v>707</v>
      </c>
      <c r="F14" s="6" t="s">
        <v>708</v>
      </c>
      <c r="J14" s="351">
        <f ca="1">Inputs!U63</f>
        <v>0</v>
      </c>
      <c r="L14" s="1" t="s">
        <v>709</v>
      </c>
      <c r="M14" s="354">
        <f ca="1">J18/(IS!AI33+IS!AH33+IS!AE33+IS!AD33+IS!AI28+IS!AH28+IS!AE28+IS!AD28)</f>
        <v>10.944508630832132</v>
      </c>
      <c r="O14" s="10" t="str">
        <f>+_xll.BDP(R14,"SHORT_NAME")</f>
        <v>DJ US IndustMach</v>
      </c>
      <c r="R14" s="365" t="s">
        <v>710</v>
      </c>
    </row>
    <row r="15" spans="1:23" ht="15" customHeight="1">
      <c r="B15" s="1" t="s">
        <v>711</v>
      </c>
      <c r="D15" s="364" t="s">
        <v>712</v>
      </c>
      <c r="F15" s="6" t="s">
        <v>713</v>
      </c>
      <c r="J15" s="352">
        <f>BS!AI53</f>
        <v>0</v>
      </c>
      <c r="L15" s="1" t="s">
        <v>714</v>
      </c>
      <c r="M15" s="354">
        <f>J13/(IS!AI52+IS!AH52+IS!AE52+IS!AD52)</f>
        <v>15.251639948437466</v>
      </c>
    </row>
    <row r="16" spans="1:23" ht="15" customHeight="1" thickBot="1">
      <c r="B16" s="370" t="s">
        <v>715</v>
      </c>
      <c r="D16" s="364"/>
      <c r="F16" s="6" t="s">
        <v>716</v>
      </c>
      <c r="J16" s="352">
        <f>BS!AI38+BS!AI39+BS!AI44+BS!AI45</f>
        <v>2403087</v>
      </c>
      <c r="L16" s="1" t="s">
        <v>717</v>
      </c>
      <c r="M16" s="354">
        <f ca="1">W63</f>
        <v>0</v>
      </c>
      <c r="O16" s="410" t="s">
        <v>718</v>
      </c>
      <c r="P16" s="409"/>
      <c r="Q16" s="409"/>
      <c r="R16" s="409"/>
    </row>
    <row r="17" spans="1:23" ht="15" customHeight="1">
      <c r="B17" t="s">
        <v>719</v>
      </c>
      <c r="C17" s="10"/>
      <c r="D17" s="15" t="e">
        <f ca="1">_xll.BDP(D15,"EQY_FISCAL_YR_END")</f>
        <v>#NAME?</v>
      </c>
      <c r="F17" s="16" t="s">
        <v>720</v>
      </c>
      <c r="G17" s="7"/>
      <c r="H17" s="7"/>
      <c r="I17" s="7"/>
      <c r="J17" s="353">
        <f>BS!AI15</f>
        <v>511499</v>
      </c>
      <c r="O17" s="1" t="s">
        <v>701</v>
      </c>
      <c r="R17" s="407" t="s">
        <v>702</v>
      </c>
    </row>
    <row r="18" spans="1:23" ht="15" customHeight="1">
      <c r="B18" t="s">
        <v>721</v>
      </c>
      <c r="C18" s="10"/>
      <c r="D18" t="str">
        <f>_xll.BDP(D15,"EQY_RECENT_QT_END_DT")</f>
        <v>06/25</v>
      </c>
      <c r="F18" s="5" t="s">
        <v>514</v>
      </c>
      <c r="G18" s="1"/>
      <c r="H18" s="1"/>
      <c r="I18" s="1"/>
      <c r="J18" s="8">
        <f ca="1">J13+J14-J17+J16+J15</f>
        <v>9079870.80638</v>
      </c>
      <c r="L18" s="1" t="s">
        <v>21</v>
      </c>
      <c r="M18" s="40">
        <f>+_xll.BDP(D15,"EQY_BETA")</f>
        <v>0.98372155427932739</v>
      </c>
      <c r="O18" s="1" t="s">
        <v>706</v>
      </c>
      <c r="Q18" s="4"/>
      <c r="R18" s="365" t="s">
        <v>707</v>
      </c>
      <c r="S18" s="4"/>
    </row>
    <row r="19" spans="1:23" ht="15" customHeight="1">
      <c r="C19" s="10"/>
      <c r="F19" s="5"/>
      <c r="G19" s="1"/>
      <c r="H19" s="1"/>
      <c r="I19" s="1"/>
      <c r="J19" s="8"/>
      <c r="O19" s="10"/>
    </row>
    <row r="20" spans="1:23" ht="15" customHeight="1" thickBot="1">
      <c r="B20" s="410" t="s">
        <v>722</v>
      </c>
      <c r="C20" s="409"/>
      <c r="D20" s="409"/>
      <c r="E20" s="409"/>
      <c r="F20" s="409"/>
      <c r="G20" s="1"/>
      <c r="H20" s="410" t="s">
        <v>722</v>
      </c>
      <c r="I20" s="409"/>
      <c r="J20" s="409"/>
      <c r="K20" s="409"/>
      <c r="L20" s="409"/>
      <c r="N20" s="410" t="s">
        <v>722</v>
      </c>
      <c r="O20" s="409"/>
      <c r="P20" s="409"/>
      <c r="Q20" s="409"/>
      <c r="R20" s="409"/>
    </row>
    <row r="21" spans="1:23" ht="15" customHeight="1">
      <c r="B21" s="10" t="str">
        <f>+_xll.BDP(E21,"SHORT_NAME")</f>
        <v>NORDSON CORP</v>
      </c>
      <c r="C21" s="10"/>
      <c r="E21" s="371" t="s">
        <v>723</v>
      </c>
      <c r="F21" s="372"/>
      <c r="G21" s="1"/>
      <c r="H21" s="10" t="str">
        <f>+_xll.BDP(K21,"SHORT_NAME")</f>
        <v>JBT MAREL CORP</v>
      </c>
      <c r="I21" s="10"/>
      <c r="K21" s="371" t="s">
        <v>724</v>
      </c>
      <c r="L21" s="372"/>
      <c r="N21" s="10" t="str">
        <f>+_xll.BDP(Q21,"SHORT_NAME")</f>
        <v>FED SIGNAL CORP</v>
      </c>
      <c r="O21" s="10"/>
      <c r="Q21" s="371" t="s">
        <v>725</v>
      </c>
      <c r="R21" s="372"/>
    </row>
    <row r="22" spans="1:23" ht="15" customHeight="1">
      <c r="B22" s="10" t="str">
        <f>+_xll.BDP(E22,"SHORT_NAME")</f>
        <v>STANLEY BLACK &amp;</v>
      </c>
      <c r="C22" s="10"/>
      <c r="E22" s="373" t="s">
        <v>726</v>
      </c>
      <c r="F22" s="374"/>
      <c r="G22" s="1"/>
      <c r="H22" s="10" t="str">
        <f>+_xll.BDP(K22,"SHORT_NAME")</f>
        <v>MSA SAFETY INC</v>
      </c>
      <c r="I22" s="10"/>
      <c r="K22" s="373" t="s">
        <v>727</v>
      </c>
      <c r="L22" s="374"/>
      <c r="N22" s="10" t="str">
        <f>+_xll.BDP(Q22,"SHORT_NAME")</f>
        <v>DOUGLAS DYNAMICS</v>
      </c>
      <c r="O22" s="10"/>
      <c r="Q22" s="373" t="s">
        <v>728</v>
      </c>
      <c r="R22" s="374"/>
    </row>
    <row r="23" spans="1:23" ht="15" customHeight="1">
      <c r="B23" s="10" t="str">
        <f>+_xll.BDP(E23,"SHORT_NAME")</f>
        <v>HILLENBRAND INC</v>
      </c>
      <c r="C23" s="10"/>
      <c r="E23" s="373" t="s">
        <v>729</v>
      </c>
      <c r="F23" s="374"/>
      <c r="G23" s="1"/>
      <c r="H23" s="10" t="str">
        <f>+_xll.BDP(K23,"SHORT_NAME")</f>
        <v>ENERPAC TOOL GRO</v>
      </c>
      <c r="I23" s="10"/>
      <c r="K23" s="373" t="s">
        <v>730</v>
      </c>
      <c r="L23" s="374"/>
      <c r="N23" s="10" t="str">
        <f>+_xll.BDP(Q23,"SHORT_NAME")</f>
        <v>ESAB CORP</v>
      </c>
      <c r="O23" s="10"/>
      <c r="Q23" s="373" t="s">
        <v>731</v>
      </c>
      <c r="R23" s="374"/>
    </row>
    <row r="24" spans="1:23" ht="15" customHeight="1">
      <c r="B24" s="10" t="str">
        <f>+_xll.BDP(E24,"SHORT_NAME")</f>
        <v>TENNANT CO</v>
      </c>
      <c r="C24" s="10"/>
      <c r="E24" s="373" t="s">
        <v>732</v>
      </c>
      <c r="F24" s="374"/>
      <c r="G24" s="1"/>
      <c r="H24" s="10" t="str">
        <f>+_xll.BDP(K24,"SHORT_NAME")</f>
        <v>SNAP-ON INC</v>
      </c>
      <c r="I24" s="10"/>
      <c r="K24" s="373" t="s">
        <v>733</v>
      </c>
      <c r="L24" s="374"/>
      <c r="N24" s="10" t="s">
        <v>734</v>
      </c>
      <c r="O24" s="10"/>
      <c r="Q24" s="373" t="s">
        <v>735</v>
      </c>
      <c r="R24" s="374"/>
    </row>
    <row r="25" spans="1:23" ht="15" customHeight="1">
      <c r="B25" s="10" t="str">
        <f>+_xll.BDP(E25,"SHORT_NAME")</f>
        <v>KADANT INC</v>
      </c>
      <c r="C25" s="10"/>
      <c r="E25" s="371" t="s">
        <v>736</v>
      </c>
      <c r="F25" s="372"/>
      <c r="G25" s="1"/>
      <c r="H25" s="10" t="str">
        <f>+_xll.BDP(K25,"SHORT_NAME")</f>
        <v>THERMON GROUP HO</v>
      </c>
      <c r="I25" s="10"/>
      <c r="K25" s="371" t="s">
        <v>737</v>
      </c>
      <c r="L25" s="372"/>
      <c r="N25" s="10" t="s">
        <v>236</v>
      </c>
      <c r="O25" s="10"/>
      <c r="Q25" s="371" t="s">
        <v>738</v>
      </c>
      <c r="R25" s="372"/>
    </row>
    <row r="26" spans="1:23" ht="15" customHeight="1">
      <c r="A26" s="4"/>
      <c r="B26" s="4"/>
      <c r="C26" s="4"/>
      <c r="D26" s="4"/>
      <c r="E26" s="4"/>
      <c r="F26" s="4"/>
      <c r="G26" s="4"/>
      <c r="H26" s="4"/>
      <c r="I26" s="4"/>
      <c r="J26" s="4"/>
      <c r="K26" s="4"/>
      <c r="L26" s="4"/>
      <c r="M26" s="4"/>
      <c r="N26" s="4"/>
      <c r="O26" s="4"/>
      <c r="P26" s="4"/>
      <c r="Q26" s="4"/>
      <c r="R26" s="4"/>
      <c r="S26" s="4"/>
      <c r="T26" s="4"/>
      <c r="U26" s="4"/>
      <c r="V26" s="4"/>
      <c r="W26" s="4"/>
    </row>
    <row r="27" spans="1:23" s="566" customFormat="1" ht="15" customHeight="1">
      <c r="B27" s="2" t="s">
        <v>3</v>
      </c>
      <c r="C27" s="2"/>
      <c r="D27" s="2"/>
      <c r="E27" s="2"/>
      <c r="F27" s="2"/>
      <c r="G27" s="2"/>
      <c r="H27" s="2"/>
      <c r="I27" s="2"/>
      <c r="J27" s="2"/>
      <c r="K27" s="2"/>
      <c r="L27" s="2"/>
      <c r="M27" s="2"/>
      <c r="N27" s="2"/>
      <c r="O27" s="2"/>
      <c r="P27" s="2"/>
      <c r="Q27" s="2"/>
      <c r="R27" s="2"/>
      <c r="S27" s="2"/>
      <c r="T27" s="2"/>
      <c r="U27" s="2"/>
    </row>
    <row r="28" spans="1:23" ht="3.95" customHeight="1">
      <c r="B28" s="38"/>
      <c r="C28" s="38"/>
      <c r="D28" s="38"/>
      <c r="E28" s="38"/>
      <c r="F28" s="38"/>
      <c r="G28" s="38"/>
      <c r="H28" s="38"/>
      <c r="I28" s="38"/>
      <c r="J28" s="38"/>
      <c r="K28" s="38"/>
      <c r="L28" s="38"/>
      <c r="M28" s="38"/>
      <c r="N28" s="38"/>
      <c r="O28" s="38"/>
      <c r="P28" s="38"/>
      <c r="Q28" s="38"/>
      <c r="R28" s="38"/>
      <c r="S28" s="38"/>
      <c r="T28" s="38"/>
      <c r="U28" s="38"/>
    </row>
    <row r="30" spans="1:23" ht="15" customHeight="1">
      <c r="B30" s="2" t="str">
        <f>S7&amp;" vs "&amp;R13</f>
        <v>MIDDLEBY CORP vs SPX Index</v>
      </c>
      <c r="C30" s="2"/>
      <c r="D30" s="2"/>
      <c r="E30" s="2"/>
      <c r="F30" s="2"/>
      <c r="G30" s="2"/>
      <c r="H30" s="2"/>
      <c r="I30" s="2"/>
      <c r="J30" s="2"/>
      <c r="L30" s="2" t="s">
        <v>739</v>
      </c>
      <c r="M30" s="2"/>
      <c r="N30" s="2"/>
      <c r="O30" s="2"/>
      <c r="P30" s="2"/>
      <c r="Q30" s="2"/>
      <c r="R30" s="2"/>
      <c r="S30" s="2"/>
      <c r="T30" s="2"/>
      <c r="U30" s="2"/>
    </row>
    <row r="56" spans="1:23" s="566" customFormat="1" ht="15" customHeight="1">
      <c r="A56" s="12"/>
      <c r="B56" s="2" t="s">
        <v>697</v>
      </c>
      <c r="C56" s="2"/>
      <c r="D56" s="2"/>
      <c r="E56" s="2"/>
      <c r="F56" s="2"/>
      <c r="G56" s="2"/>
      <c r="H56" s="2"/>
      <c r="I56" s="2"/>
      <c r="J56" s="2"/>
      <c r="K56" s="2"/>
      <c r="L56" s="2"/>
      <c r="M56" s="2"/>
      <c r="N56" s="2"/>
      <c r="O56" s="2"/>
      <c r="P56" s="2"/>
      <c r="Q56" s="2"/>
      <c r="R56" s="2"/>
      <c r="S56" s="2"/>
      <c r="T56" s="2"/>
      <c r="U56" s="2"/>
      <c r="V56" s="2"/>
      <c r="W56" s="2"/>
    </row>
    <row r="57" spans="1:23" s="566" customFormat="1" ht="15" customHeight="1">
      <c r="A57" s="12"/>
      <c r="B57" s="2"/>
      <c r="C57" s="2"/>
      <c r="D57" s="2"/>
      <c r="E57" s="2"/>
      <c r="F57" s="2"/>
      <c r="G57" s="2"/>
      <c r="H57" s="2"/>
      <c r="I57" s="2"/>
      <c r="J57" s="2"/>
      <c r="K57" s="2"/>
      <c r="L57" s="2"/>
      <c r="M57" s="2"/>
      <c r="N57" s="2"/>
      <c r="O57" s="2"/>
      <c r="P57" s="2"/>
      <c r="Q57" s="2"/>
      <c r="R57" s="2"/>
      <c r="S57" s="2"/>
      <c r="T57" s="2"/>
      <c r="U57" s="2"/>
      <c r="V57" s="2"/>
      <c r="W57" s="2"/>
    </row>
    <row r="58" spans="1:23" s="566" customFormat="1" ht="15" customHeight="1">
      <c r="A58" s="12"/>
      <c r="B58" s="2"/>
      <c r="C58" s="2"/>
      <c r="D58" s="2"/>
      <c r="E58" s="2"/>
      <c r="F58" s="2"/>
      <c r="G58" s="2"/>
      <c r="H58" s="2"/>
      <c r="I58" s="2"/>
      <c r="J58" s="2"/>
      <c r="K58" s="2"/>
      <c r="L58" s="2"/>
      <c r="M58" s="2"/>
      <c r="N58" s="2"/>
      <c r="O58" s="2"/>
      <c r="P58" s="2"/>
      <c r="Q58" s="2"/>
      <c r="R58" s="2"/>
      <c r="S58" s="2"/>
      <c r="T58" s="2"/>
      <c r="U58" s="2"/>
      <c r="V58" s="2"/>
      <c r="W58" s="2"/>
    </row>
    <row r="59" spans="1:23" ht="3.95" customHeight="1">
      <c r="B59" s="38"/>
      <c r="C59" s="38"/>
      <c r="D59" s="38"/>
      <c r="E59" s="38"/>
      <c r="F59" s="38"/>
      <c r="G59" s="38"/>
      <c r="H59" s="38"/>
      <c r="I59" s="38"/>
      <c r="J59" s="38"/>
      <c r="K59" s="38"/>
      <c r="L59" s="38"/>
      <c r="M59" s="38"/>
      <c r="N59" s="38"/>
      <c r="O59" s="38"/>
      <c r="P59" s="38"/>
      <c r="Q59" s="38"/>
      <c r="R59" s="38"/>
      <c r="S59" s="38"/>
      <c r="T59" s="38"/>
      <c r="U59" s="38"/>
      <c r="V59" s="38"/>
      <c r="W59" s="38"/>
    </row>
    <row r="60" spans="1:23" ht="3.95" customHeight="1"/>
    <row r="61" spans="1:23" ht="15" customHeight="1">
      <c r="A61" s="13" t="str">
        <f>D13</f>
        <v>USD</v>
      </c>
      <c r="B61" s="10"/>
      <c r="C61" s="10"/>
      <c r="D61" s="10"/>
      <c r="E61" s="10"/>
      <c r="F61" s="10"/>
      <c r="G61" s="10"/>
      <c r="H61" s="10"/>
      <c r="I61" s="10"/>
      <c r="J61" s="10"/>
      <c r="K61" s="10"/>
      <c r="L61" s="10"/>
      <c r="M61" s="10"/>
      <c r="N61" s="10"/>
      <c r="O61" s="10"/>
      <c r="P61" s="10"/>
      <c r="Q61" s="10"/>
      <c r="R61" s="10"/>
      <c r="S61" s="10"/>
      <c r="T61" s="10"/>
      <c r="U61" s="10"/>
      <c r="V61" s="10"/>
      <c r="W61" s="10"/>
    </row>
    <row r="62" spans="1:23" ht="15" customHeight="1">
      <c r="A62" s="10" t="s">
        <v>38</v>
      </c>
      <c r="B62" s="368" t="str">
        <f>$D$15</f>
        <v>MIDD US Equity</v>
      </c>
      <c r="C62" s="369"/>
      <c r="D62" s="369"/>
      <c r="E62" s="366">
        <v>2015</v>
      </c>
      <c r="F62" s="366">
        <f t="shared" ref="F62:N62" si="0">+E62+1</f>
        <v>2016</v>
      </c>
      <c r="G62" s="366">
        <f t="shared" si="0"/>
        <v>2017</v>
      </c>
      <c r="H62" s="366">
        <f t="shared" si="0"/>
        <v>2018</v>
      </c>
      <c r="I62" s="366">
        <f t="shared" si="0"/>
        <v>2019</v>
      </c>
      <c r="J62" s="366">
        <f t="shared" si="0"/>
        <v>2020</v>
      </c>
      <c r="K62" s="366">
        <f t="shared" si="0"/>
        <v>2021</v>
      </c>
      <c r="L62" s="366">
        <f t="shared" si="0"/>
        <v>2022</v>
      </c>
      <c r="M62" s="366">
        <f t="shared" si="0"/>
        <v>2023</v>
      </c>
      <c r="N62" s="366">
        <f t="shared" si="0"/>
        <v>2024</v>
      </c>
      <c r="O62" s="10"/>
      <c r="P62" s="3"/>
      <c r="Q62" s="3"/>
      <c r="R62" s="412" t="s">
        <v>314</v>
      </c>
      <c r="S62" s="567" t="s">
        <v>740</v>
      </c>
      <c r="T62" s="3"/>
      <c r="U62" s="412" t="s">
        <v>340</v>
      </c>
      <c r="V62" s="3"/>
      <c r="W62" s="412" t="s">
        <v>741</v>
      </c>
    </row>
    <row r="63" spans="1:23" ht="15" customHeight="1">
      <c r="A63" s="10"/>
      <c r="B63" s="10" t="s">
        <v>395</v>
      </c>
      <c r="C63" s="10"/>
      <c r="D63" s="10"/>
      <c r="E63" s="11">
        <v>1826598</v>
      </c>
      <c r="F63" s="11">
        <v>2267852</v>
      </c>
      <c r="G63" s="11">
        <v>2335542</v>
      </c>
      <c r="H63" s="11">
        <v>2722931</v>
      </c>
      <c r="I63" s="11">
        <v>2959446</v>
      </c>
      <c r="J63" s="11">
        <v>2513257</v>
      </c>
      <c r="K63" s="11">
        <v>3250792</v>
      </c>
      <c r="L63" s="11">
        <v>4032853</v>
      </c>
      <c r="M63" s="11">
        <v>4036605</v>
      </c>
      <c r="N63" s="11">
        <v>3875162</v>
      </c>
      <c r="O63" s="10"/>
      <c r="P63" s="10"/>
      <c r="Q63" s="15">
        <f ca="1">TODAY()</f>
        <v>45945</v>
      </c>
      <c r="R63" s="304">
        <f ca="1">IFERROR(VALUE(_xll.BDH(Inputs!$D$16, "PX_OFFICIAL_CLOSE", $Q63, $Q63)),R64)</f>
        <v>0</v>
      </c>
      <c r="S63" s="304">
        <f ca="1">IFERROR(VALUE(_xll.BDH(Inputs!$D$15, "EQY_SH_OUT", $Q63, $Q63,"SCALING_FORMAT="&amp;Inputs!$R$18)),S64)</f>
        <v>0</v>
      </c>
      <c r="U63" s="411">
        <f t="shared" ref="U63:U70" ca="1" si="1">R63*S63</f>
        <v>0</v>
      </c>
      <c r="W63" s="354">
        <f ca="1">IFERROR(VALUE(_xll.BDH(Inputs!$D$15, "PX_TO_SALES_RATIO", $Q63, $Q63)),W64)</f>
        <v>0</v>
      </c>
    </row>
    <row r="64" spans="1:23" ht="15" customHeight="1">
      <c r="A64" s="10"/>
      <c r="B64" s="10" t="s">
        <v>742</v>
      </c>
      <c r="C64" s="10"/>
      <c r="D64" s="10"/>
      <c r="E64" s="11">
        <v>338703</v>
      </c>
      <c r="F64" s="11">
        <v>456749</v>
      </c>
      <c r="G64" s="11">
        <v>476250</v>
      </c>
      <c r="H64" s="11">
        <v>471121</v>
      </c>
      <c r="I64" s="11">
        <v>528245</v>
      </c>
      <c r="J64" s="11">
        <v>356233</v>
      </c>
      <c r="K64" s="11">
        <v>642063</v>
      </c>
      <c r="L64" s="11">
        <v>664139</v>
      </c>
      <c r="M64" s="11">
        <v>723880</v>
      </c>
      <c r="N64" s="11">
        <v>710097</v>
      </c>
      <c r="O64" s="10"/>
      <c r="P64" s="10"/>
      <c r="Q64" s="303">
        <f t="shared" ref="Q64:Q70" ca="1" si="2">Q63-1</f>
        <v>45944</v>
      </c>
      <c r="R64" s="304">
        <f ca="1">IFERROR(VALUE(_xll.BDH(Inputs!$D$16, "PX_OFFICIAL_CLOSE", $Q64, $Q64)),R65)</f>
        <v>0</v>
      </c>
      <c r="S64" s="304">
        <f ca="1">IFERROR(VALUE(_xll.BDH(Inputs!$D$15, "EQY_SH_OUT", $Q64, $Q64,"SCALING_FORMAT="&amp;Inputs!$R$18)),S65)</f>
        <v>0</v>
      </c>
      <c r="U64" s="411">
        <f t="shared" ca="1" si="1"/>
        <v>0</v>
      </c>
      <c r="W64" s="354">
        <f ca="1">IFERROR(VALUE(_xll.BDH(Inputs!$D$15, "PX_TO_SALES_RATIO", $Q64, $Q64)),W65)</f>
        <v>0</v>
      </c>
    </row>
    <row r="65" spans="1:23" ht="15" customHeight="1">
      <c r="A65" s="10"/>
      <c r="B65" s="10" t="s">
        <v>251</v>
      </c>
      <c r="C65" s="10"/>
      <c r="D65" s="10"/>
      <c r="E65" s="14">
        <v>0.10785287828363765</v>
      </c>
      <c r="F65" s="14">
        <v>0.1378923066281581</v>
      </c>
      <c r="G65" s="14">
        <v>0.13110037903805</v>
      </c>
      <c r="H65" s="14">
        <v>9.6377916110726339E-2</v>
      </c>
      <c r="I65" s="14">
        <v>9.3919293983105931E-2</v>
      </c>
      <c r="J65" s="14">
        <v>5.6635848408817059E-2</v>
      </c>
      <c r="K65" s="14">
        <v>9.9073371687443568E-2</v>
      </c>
      <c r="L65" s="14">
        <v>8.1566637123796817E-2</v>
      </c>
      <c r="M65" s="14">
        <v>8.0638130381444781E-2</v>
      </c>
      <c r="N65" s="14">
        <v>7.5555924955549719E-2</v>
      </c>
      <c r="O65" s="10"/>
      <c r="P65" s="10"/>
      <c r="Q65" s="303">
        <f t="shared" ca="1" si="2"/>
        <v>45943</v>
      </c>
      <c r="R65" s="304">
        <f ca="1">IFERROR(VALUE(_xll.BDH(Inputs!$D$16, "PX_OFFICIAL_CLOSE", $Q65, $Q65)),R66)</f>
        <v>0</v>
      </c>
      <c r="S65" s="304">
        <f ca="1">IFERROR(VALUE(_xll.BDH(Inputs!$D$15, "EQY_SH_OUT", $Q65, $Q65,"SCALING_FORMAT="&amp;Inputs!$R$18)),S66)</f>
        <v>0</v>
      </c>
      <c r="U65" s="411">
        <f t="shared" ca="1" si="1"/>
        <v>0</v>
      </c>
      <c r="W65" s="354">
        <f ca="1">IFERROR(VALUE(_xll.BDH(Inputs!$D$15, "PX_TO_SALES_RATIO", $Q65, $Q65)),W66)</f>
        <v>0</v>
      </c>
    </row>
    <row r="66" spans="1:23" ht="15" customHeight="1">
      <c r="A66" s="10"/>
      <c r="B66" s="10" t="s">
        <v>360</v>
      </c>
      <c r="C66" s="10"/>
      <c r="D66" s="10"/>
      <c r="E66" s="14">
        <v>9.5360278407069593E-2</v>
      </c>
      <c r="F66" s="14">
        <v>0.10244237877584</v>
      </c>
      <c r="G66" s="14">
        <v>0.11448474971995605</v>
      </c>
      <c r="H66" s="14">
        <v>8.3193562676584384E-2</v>
      </c>
      <c r="I66" s="14">
        <v>6.6381074691976766E-2</v>
      </c>
      <c r="J66" s="14">
        <v>0.10846536900284601</v>
      </c>
      <c r="K66" s="14">
        <v>0.12280836988740354</v>
      </c>
      <c r="L66" s="14">
        <v>7.5513939287354684E-2</v>
      </c>
      <c r="M66" s="14">
        <v>9.9557375980147092E-2</v>
      </c>
      <c r="N66" s="14">
        <v>9.2860586913481272E-2</v>
      </c>
      <c r="O66" s="10"/>
      <c r="P66" s="10"/>
      <c r="Q66" s="303">
        <f t="shared" ca="1" si="2"/>
        <v>45942</v>
      </c>
      <c r="R66" s="304">
        <f ca="1">IFERROR(VALUE(_xll.BDH(Inputs!$D$16, "PX_OFFICIAL_CLOSE", $Q66, $Q66)),R67)</f>
        <v>0</v>
      </c>
      <c r="S66" s="304">
        <f ca="1">IFERROR(VALUE(_xll.BDH(Inputs!$D$15, "EQY_SH_OUT", $Q66, $Q66,"SCALING_FORMAT="&amp;Inputs!$R$18)),S67)</f>
        <v>0</v>
      </c>
      <c r="U66" s="411">
        <f t="shared" ca="1" si="1"/>
        <v>0</v>
      </c>
      <c r="W66" s="354">
        <f ca="1">IFERROR(VALUE(_xll.BDH(Inputs!$D$15, "PX_TO_SALES_RATIO", $Q66, $Q66)),W67)</f>
        <v>0</v>
      </c>
    </row>
    <row r="67" spans="1:23" ht="15" customHeight="1">
      <c r="A67" s="10"/>
      <c r="B67" s="10" t="s">
        <v>743</v>
      </c>
      <c r="C67" s="10"/>
      <c r="D67" s="10"/>
      <c r="E67" s="11">
        <v>-22362</v>
      </c>
      <c r="F67" s="11">
        <v>-24817</v>
      </c>
      <c r="G67" s="11">
        <v>-54493</v>
      </c>
      <c r="H67" s="11">
        <v>-41439</v>
      </c>
      <c r="I67" s="11">
        <v>-46609</v>
      </c>
      <c r="J67" s="11">
        <v>-41901</v>
      </c>
      <c r="K67" s="11">
        <v>-51551</v>
      </c>
      <c r="L67" s="11">
        <v>-69522</v>
      </c>
      <c r="M67" s="11">
        <v>-86984</v>
      </c>
      <c r="N67" s="11">
        <v>-49390</v>
      </c>
      <c r="O67" s="10"/>
      <c r="P67" s="10"/>
      <c r="Q67" s="303">
        <f t="shared" ca="1" si="2"/>
        <v>45941</v>
      </c>
      <c r="R67" s="304">
        <f ca="1">IFERROR(VALUE(_xll.BDH(Inputs!$D$16, "PX_OFFICIAL_CLOSE", $Q67, $Q67)),R68)</f>
        <v>0</v>
      </c>
      <c r="S67" s="304">
        <f ca="1">IFERROR(VALUE(_xll.BDH(Inputs!$D$15, "EQY_SH_OUT", $Q67, $Q67,"SCALING_FORMAT="&amp;Inputs!$R$18)),S68)</f>
        <v>0</v>
      </c>
      <c r="U67" s="411">
        <f t="shared" ca="1" si="1"/>
        <v>0</v>
      </c>
      <c r="W67" s="354">
        <f ca="1">IFERROR(VALUE(_xll.BDH(Inputs!$D$15, "PX_TO_SALES_RATIO", $Q67, $Q67)),W68)</f>
        <v>0</v>
      </c>
    </row>
    <row r="68" spans="1:23" ht="15" customHeight="1">
      <c r="A68" s="10"/>
      <c r="B68" s="10" t="s">
        <v>744</v>
      </c>
      <c r="C68" s="10"/>
      <c r="D68" s="10"/>
      <c r="E68" s="14">
        <v>0.656532</v>
      </c>
      <c r="F68" s="14">
        <v>0.471918</v>
      </c>
      <c r="G68" s="14">
        <v>0.75589200000000001</v>
      </c>
      <c r="H68" s="14">
        <v>1.136261</v>
      </c>
      <c r="I68" s="14">
        <v>1.0119020000000001</v>
      </c>
      <c r="J68" s="14">
        <v>0.92510999999999999</v>
      </c>
      <c r="K68" s="14">
        <v>1.0068049999999999</v>
      </c>
      <c r="L68" s="14">
        <v>1.010748</v>
      </c>
      <c r="M68" s="14">
        <v>0.78130700000000008</v>
      </c>
      <c r="N68" s="14">
        <v>0.69289400000000001</v>
      </c>
      <c r="O68" s="10"/>
      <c r="P68" s="10"/>
      <c r="Q68" s="303">
        <f t="shared" ca="1" si="2"/>
        <v>45940</v>
      </c>
      <c r="R68" s="304">
        <f ca="1">IFERROR(VALUE(_xll.BDH(Inputs!$D$16, "PX_OFFICIAL_CLOSE", $Q68, $Q68)),R69)</f>
        <v>0</v>
      </c>
      <c r="S68" s="304">
        <f ca="1">IFERROR(VALUE(_xll.BDH(Inputs!$D$15, "EQY_SH_OUT", $Q68, $Q68,"SCALING_FORMAT="&amp;Inputs!$R$18)),S69)</f>
        <v>0</v>
      </c>
      <c r="U68" s="411">
        <f t="shared" ca="1" si="1"/>
        <v>0</v>
      </c>
      <c r="W68" s="354">
        <f ca="1">IFERROR(VALUE(_xll.BDH(Inputs!$D$15, "PX_TO_SALES_RATIO", $Q68, $Q68)),W69)</f>
        <v>0</v>
      </c>
    </row>
    <row r="69" spans="1:23" ht="15" customHeight="1">
      <c r="A69" s="10"/>
      <c r="B69" s="10" t="s">
        <v>745</v>
      </c>
      <c r="C69" s="10"/>
      <c r="D69" s="10"/>
      <c r="E69" s="14">
        <v>0.18542832084563762</v>
      </c>
      <c r="F69" s="14">
        <v>0.20140159057998494</v>
      </c>
      <c r="G69" s="14">
        <v>0.20391412357388564</v>
      </c>
      <c r="H69" s="14">
        <v>0.17301980843436723</v>
      </c>
      <c r="I69" s="14">
        <v>0.17849455607569795</v>
      </c>
      <c r="J69" s="14">
        <v>0.14174157278782074</v>
      </c>
      <c r="K69" s="14">
        <v>0.19750971455571442</v>
      </c>
      <c r="L69" s="14">
        <v>0.16468217413329966</v>
      </c>
      <c r="M69" s="14">
        <v>0.17932891625512032</v>
      </c>
      <c r="N69" s="14">
        <v>0.18324317796262454</v>
      </c>
      <c r="O69" s="10"/>
      <c r="P69" s="10"/>
      <c r="Q69" s="303">
        <f t="shared" ca="1" si="2"/>
        <v>45939</v>
      </c>
      <c r="R69" s="304">
        <f ca="1">IFERROR(VALUE(_xll.BDH(Inputs!$D$16, "PX_OFFICIAL_CLOSE", $Q69, $Q69)),R70)</f>
        <v>0</v>
      </c>
      <c r="S69" s="304">
        <f ca="1">IFERROR(VALUE(_xll.BDH(Inputs!$D$15, "EQY_SH_OUT", $Q69, $Q69,"SCALING_FORMAT="&amp;Inputs!$R$18)),S70)</f>
        <v>0</v>
      </c>
      <c r="U69" s="411">
        <f t="shared" ca="1" si="1"/>
        <v>0</v>
      </c>
      <c r="W69" s="354">
        <f ca="1">IFERROR(VALUE(_xll.BDH(Inputs!$D$15, "PX_TO_SALES_RATIO", $Q69, $Q69)),W70)</f>
        <v>0</v>
      </c>
    </row>
    <row r="70" spans="1:23" ht="15" customHeight="1">
      <c r="A70" s="10"/>
      <c r="B70" s="10" t="s">
        <v>746</v>
      </c>
      <c r="C70" s="10"/>
      <c r="D70" s="10"/>
      <c r="E70" s="367">
        <v>1.1310042303278545</v>
      </c>
      <c r="F70" s="367">
        <v>1.3460474881190343</v>
      </c>
      <c r="G70" s="367">
        <v>1.1451339969623713</v>
      </c>
      <c r="H70" s="367">
        <v>1.1584780481801966</v>
      </c>
      <c r="I70" s="367">
        <v>1.4148504587928523</v>
      </c>
      <c r="J70" s="367">
        <v>0.52215604786566483</v>
      </c>
      <c r="K70" s="367">
        <v>0.8067314286337216</v>
      </c>
      <c r="L70" s="367">
        <v>1.0801533848394491</v>
      </c>
      <c r="M70" s="367">
        <v>0.8099664096965048</v>
      </c>
      <c r="N70" s="367">
        <v>0.81364901371930376</v>
      </c>
      <c r="O70" s="10"/>
      <c r="P70" s="10"/>
      <c r="Q70" s="303">
        <f t="shared" ca="1" si="2"/>
        <v>45938</v>
      </c>
      <c r="R70" s="304">
        <f ca="1">IFERROR(VALUE(_xll.BDH(Inputs!$D$16, "PX_OFFICIAL_CLOSE", $Q70, $Q70)),R71)</f>
        <v>0</v>
      </c>
      <c r="S70" s="304">
        <f ca="1">IFERROR(VALUE(_xll.BDH(Inputs!$D$15, "EQY_SH_OUT", $Q70, $Q70,"SCALING_FORMAT="&amp;Inputs!$R$18)),S71)</f>
        <v>0</v>
      </c>
      <c r="U70" s="411">
        <f t="shared" ca="1" si="1"/>
        <v>0</v>
      </c>
      <c r="W70" s="354">
        <f ca="1">IFERROR(VALUE(_xll.BDH(Inputs!$D$15, "PX_TO_SALES_RATIO", $Q70, $Q70)),W71)</f>
        <v>0</v>
      </c>
    </row>
    <row r="71" spans="1:23" ht="15" customHeight="1">
      <c r="A71" s="10"/>
      <c r="B71" s="10" t="s">
        <v>747</v>
      </c>
      <c r="C71" s="10"/>
      <c r="D71" s="10"/>
      <c r="E71" s="14">
        <v>1.2242431011092753E-2</v>
      </c>
      <c r="F71" s="14">
        <v>1.0942953949375885E-2</v>
      </c>
      <c r="G71" s="14">
        <v>2.3332057398239896E-2</v>
      </c>
      <c r="H71" s="14">
        <v>1.5218527388317957E-2</v>
      </c>
      <c r="I71" s="14">
        <v>1.5749231443993233E-2</v>
      </c>
      <c r="J71" s="14">
        <v>1.6671991762084021E-2</v>
      </c>
      <c r="K71" s="14">
        <v>1.5857981685693825E-2</v>
      </c>
      <c r="L71" s="14">
        <v>1.723891250189382E-2</v>
      </c>
      <c r="M71" s="14">
        <v>2.15488015299986E-2</v>
      </c>
      <c r="N71" s="14">
        <v>1.2745273616948143E-2</v>
      </c>
      <c r="O71" s="10"/>
      <c r="P71" s="10"/>
      <c r="Q71" s="10"/>
      <c r="R71" s="304"/>
      <c r="S71" s="304"/>
      <c r="U71" s="411"/>
      <c r="W71" s="354"/>
    </row>
    <row r="72" spans="1:23" ht="15" customHeight="1">
      <c r="A72" s="10"/>
      <c r="B72" s="10"/>
      <c r="C72" s="10"/>
      <c r="D72" s="10"/>
      <c r="E72" s="10"/>
      <c r="F72" s="10"/>
      <c r="G72" s="10"/>
      <c r="H72" s="10"/>
      <c r="I72" s="10"/>
      <c r="J72" s="10"/>
      <c r="K72" s="10"/>
      <c r="L72" s="10"/>
      <c r="M72" s="10"/>
      <c r="N72" s="10"/>
      <c r="O72" s="10"/>
      <c r="P72" s="10"/>
      <c r="Q72" s="10"/>
      <c r="R72" s="10"/>
      <c r="S72" s="10"/>
      <c r="T72" s="10"/>
      <c r="U72" s="10"/>
      <c r="V72" s="10"/>
      <c r="W72" s="10"/>
    </row>
    <row r="73" spans="1:23" ht="15" customHeight="1">
      <c r="A73" s="10" t="s">
        <v>38</v>
      </c>
      <c r="B73" s="368" t="str">
        <f>E21</f>
        <v>NDSN US Equity</v>
      </c>
      <c r="C73" s="369"/>
      <c r="D73" s="369"/>
      <c r="E73" s="366">
        <v>2015</v>
      </c>
      <c r="F73" s="366">
        <v>2016</v>
      </c>
      <c r="G73" s="366">
        <v>2017</v>
      </c>
      <c r="H73" s="366">
        <v>2018</v>
      </c>
      <c r="I73" s="366">
        <v>2019</v>
      </c>
      <c r="J73" s="366">
        <v>2020</v>
      </c>
      <c r="K73" s="366">
        <v>2021</v>
      </c>
      <c r="L73" s="366">
        <v>2022</v>
      </c>
      <c r="M73" s="366">
        <v>2023</v>
      </c>
      <c r="N73" s="366">
        <v>2024</v>
      </c>
      <c r="O73" s="10"/>
      <c r="P73" s="10"/>
      <c r="Q73" s="10"/>
      <c r="R73" s="10"/>
      <c r="S73" s="10"/>
      <c r="T73" s="10"/>
      <c r="U73" s="10"/>
      <c r="V73" s="10"/>
      <c r="W73" s="10"/>
    </row>
    <row r="74" spans="1:23" ht="15" customHeight="1">
      <c r="A74" s="10"/>
      <c r="B74" s="10" t="s">
        <v>395</v>
      </c>
      <c r="C74" s="10"/>
      <c r="D74" s="10"/>
      <c r="E74" s="11">
        <v>1688666</v>
      </c>
      <c r="F74" s="11">
        <v>1808994</v>
      </c>
      <c r="G74" s="11">
        <v>2066982</v>
      </c>
      <c r="H74" s="11">
        <v>2254668</v>
      </c>
      <c r="I74" s="11">
        <v>2194226</v>
      </c>
      <c r="J74" s="11">
        <v>2121100</v>
      </c>
      <c r="K74" s="11">
        <v>2362209</v>
      </c>
      <c r="L74" s="11">
        <v>2590278</v>
      </c>
      <c r="M74" s="11">
        <v>2628632</v>
      </c>
      <c r="N74" s="11">
        <v>2689921</v>
      </c>
      <c r="O74" s="10"/>
      <c r="S74" s="10"/>
      <c r="T74" s="10"/>
      <c r="U74" s="10"/>
      <c r="V74" s="10"/>
      <c r="W74" s="10"/>
    </row>
    <row r="75" spans="1:23" ht="15" customHeight="1">
      <c r="A75" s="10"/>
      <c r="B75" s="10" t="s">
        <v>742</v>
      </c>
      <c r="C75" s="10"/>
      <c r="D75" s="10"/>
      <c r="E75" s="11">
        <v>328501.43079999997</v>
      </c>
      <c r="F75" s="11">
        <v>397343</v>
      </c>
      <c r="G75" s="11">
        <v>480027.81540000002</v>
      </c>
      <c r="H75" s="11">
        <v>506483.15029999998</v>
      </c>
      <c r="I75" s="11">
        <v>487326.67090000003</v>
      </c>
      <c r="J75" s="11">
        <v>451108</v>
      </c>
      <c r="K75" s="11">
        <v>615716</v>
      </c>
      <c r="L75" s="11">
        <v>701779</v>
      </c>
      <c r="M75" s="11">
        <v>699306</v>
      </c>
      <c r="N75" s="11">
        <v>707354</v>
      </c>
      <c r="O75" s="10"/>
      <c r="S75" s="10"/>
      <c r="T75" s="10"/>
      <c r="U75" s="10"/>
      <c r="V75" s="10"/>
      <c r="W75" s="10"/>
    </row>
    <row r="76" spans="1:23" ht="15" customHeight="1">
      <c r="A76" s="10"/>
      <c r="B76" s="10" t="s">
        <v>251</v>
      </c>
      <c r="C76" s="10"/>
      <c r="D76" s="10"/>
      <c r="E76" s="14">
        <v>0.12568537806920035</v>
      </c>
      <c r="F76" s="14">
        <v>0.15226353305209281</v>
      </c>
      <c r="G76" s="14">
        <v>0.13529373728008401</v>
      </c>
      <c r="H76" s="14">
        <v>0.14470133585829065</v>
      </c>
      <c r="I76" s="14">
        <v>0.13067664202659843</v>
      </c>
      <c r="J76" s="14">
        <v>9.946400860224365E-2</v>
      </c>
      <c r="K76" s="14">
        <v>0.15670432772685106</v>
      </c>
      <c r="L76" s="14">
        <v>0.18177886975753935</v>
      </c>
      <c r="M76" s="14">
        <v>0.13111472110465913</v>
      </c>
      <c r="N76" s="14">
        <v>0.10423190749249597</v>
      </c>
      <c r="O76" s="10"/>
      <c r="S76" s="10"/>
      <c r="T76" s="10"/>
      <c r="U76" s="10"/>
      <c r="V76" s="10"/>
      <c r="W76" s="10"/>
    </row>
    <row r="77" spans="1:23" ht="15" customHeight="1">
      <c r="A77" s="10"/>
      <c r="B77" s="10" t="s">
        <v>360</v>
      </c>
      <c r="C77" s="10"/>
      <c r="D77" s="10"/>
      <c r="E77" s="14">
        <v>9.3194700287567697E-2</v>
      </c>
      <c r="F77" s="14">
        <v>0.10787357661205906</v>
      </c>
      <c r="G77" s="14">
        <v>0.10612604475141764</v>
      </c>
      <c r="H77" s="14">
        <v>9.5422676668299539E-2</v>
      </c>
      <c r="I77" s="14">
        <v>7.8408796260123578E-2</v>
      </c>
      <c r="J77" s="14">
        <v>9.6797711649203588E-2</v>
      </c>
      <c r="K77" s="14">
        <v>0.10857410700824509</v>
      </c>
      <c r="L77" s="14">
        <v>8.3928283464943298E-2</v>
      </c>
      <c r="M77" s="14">
        <v>0.10148452793155421</v>
      </c>
      <c r="N77" s="14">
        <v>9.4316507390408158E-2</v>
      </c>
      <c r="O77" s="10"/>
      <c r="S77" s="10"/>
      <c r="T77" s="10"/>
      <c r="U77" s="10"/>
      <c r="V77" s="10"/>
      <c r="W77" s="10"/>
    </row>
    <row r="78" spans="1:23" ht="15" customHeight="1">
      <c r="A78" s="10"/>
      <c r="B78" s="10" t="s">
        <v>743</v>
      </c>
      <c r="C78" s="10"/>
      <c r="D78" s="10"/>
      <c r="E78" s="11">
        <v>-62087</v>
      </c>
      <c r="F78" s="11">
        <v>-60851</v>
      </c>
      <c r="G78" s="11">
        <v>-71558</v>
      </c>
      <c r="H78" s="11">
        <v>-89790</v>
      </c>
      <c r="I78" s="11">
        <v>-64244</v>
      </c>
      <c r="J78" s="11">
        <v>-50535</v>
      </c>
      <c r="K78" s="11">
        <v>-38303</v>
      </c>
      <c r="L78" s="11">
        <v>-51428</v>
      </c>
      <c r="M78" s="11">
        <v>-34583</v>
      </c>
      <c r="N78" s="11">
        <v>-64410</v>
      </c>
      <c r="O78" s="10"/>
      <c r="S78" s="10"/>
      <c r="T78" s="10"/>
      <c r="U78" s="10"/>
      <c r="V78" s="10"/>
      <c r="W78" s="10"/>
    </row>
    <row r="79" spans="1:23" ht="15" customHeight="1">
      <c r="A79" s="10"/>
      <c r="B79" s="10" t="s">
        <v>744</v>
      </c>
      <c r="C79" s="10"/>
      <c r="D79" s="10"/>
      <c r="E79" s="14">
        <v>1.7138599999999999</v>
      </c>
      <c r="F79" s="14">
        <v>1.173017</v>
      </c>
      <c r="G79" s="14">
        <v>1.3825180000000001</v>
      </c>
      <c r="H79" s="14">
        <v>0.91504699999999994</v>
      </c>
      <c r="I79" s="14">
        <v>0.79632000000000003</v>
      </c>
      <c r="J79" s="14">
        <v>0.70988699999999993</v>
      </c>
      <c r="K79" s="14">
        <v>0.44070900000000002</v>
      </c>
      <c r="L79" s="14">
        <v>0.37502800000000003</v>
      </c>
      <c r="M79" s="14">
        <v>0.71703800000000006</v>
      </c>
      <c r="N79" s="14">
        <v>0.79133700000000007</v>
      </c>
      <c r="O79" s="10"/>
      <c r="S79" s="10"/>
      <c r="T79" s="10"/>
      <c r="U79" s="10"/>
      <c r="V79" s="10"/>
      <c r="W79" s="10"/>
    </row>
    <row r="80" spans="1:23" ht="15" customHeight="1">
      <c r="A80" s="10"/>
      <c r="B80" s="10" t="s">
        <v>745</v>
      </c>
      <c r="C80" s="10"/>
      <c r="D80" s="10"/>
      <c r="E80" s="14">
        <v>0.1945330993814052</v>
      </c>
      <c r="F80" s="14">
        <v>0.21964860027175326</v>
      </c>
      <c r="G80" s="14">
        <v>0.23223608884837896</v>
      </c>
      <c r="H80" s="14">
        <v>0.22463757426814057</v>
      </c>
      <c r="I80" s="14">
        <v>0.22209502161582262</v>
      </c>
      <c r="J80" s="14">
        <v>0.21267644146904907</v>
      </c>
      <c r="K80" s="14">
        <v>0.26065263488539753</v>
      </c>
      <c r="L80" s="14">
        <v>0.27092806254772656</v>
      </c>
      <c r="M80" s="14">
        <v>0.26603419573375048</v>
      </c>
      <c r="N80" s="14">
        <v>0.26296460007561562</v>
      </c>
      <c r="O80" s="10"/>
      <c r="S80" s="10"/>
      <c r="T80" s="10"/>
      <c r="U80" s="10"/>
      <c r="V80" s="10"/>
      <c r="W80" s="10"/>
    </row>
    <row r="81" spans="1:23" ht="15" customHeight="1">
      <c r="A81" s="10"/>
      <c r="B81" s="10" t="s">
        <v>746</v>
      </c>
      <c r="C81" s="10"/>
      <c r="D81" s="10"/>
      <c r="E81" s="367">
        <v>1.3486322471275436</v>
      </c>
      <c r="F81" s="367">
        <v>1.4114998114846176</v>
      </c>
      <c r="G81" s="367">
        <v>1.2748400978947889</v>
      </c>
      <c r="H81" s="367">
        <v>1.5164250355425424</v>
      </c>
      <c r="I81" s="367">
        <v>1.6666069147787281</v>
      </c>
      <c r="J81" s="367">
        <v>1.0275450411751754</v>
      </c>
      <c r="K81" s="367">
        <v>1.4432937285401848</v>
      </c>
      <c r="L81" s="367">
        <v>2.1658833262504178</v>
      </c>
      <c r="M81" s="367">
        <v>1.2919675912873032</v>
      </c>
      <c r="N81" s="367">
        <v>1.1051289999643923</v>
      </c>
      <c r="O81" s="10"/>
      <c r="S81" s="10"/>
      <c r="T81" s="10"/>
      <c r="U81" s="10"/>
      <c r="V81" s="10"/>
      <c r="W81" s="10"/>
    </row>
    <row r="82" spans="1:23" ht="15" customHeight="1">
      <c r="A82" s="10"/>
      <c r="B82" s="10" t="s">
        <v>747</v>
      </c>
      <c r="C82" s="10"/>
      <c r="D82" s="10"/>
      <c r="E82" s="14">
        <v>3.6766891735843563E-2</v>
      </c>
      <c r="F82" s="14">
        <v>3.3638033072525393E-2</v>
      </c>
      <c r="G82" s="14">
        <v>3.4619556435421306E-2</v>
      </c>
      <c r="H82" s="14">
        <v>3.9824045047874013E-2</v>
      </c>
      <c r="I82" s="14">
        <v>2.9278661359404181E-2</v>
      </c>
      <c r="J82" s="14">
        <v>2.3824902173400594E-2</v>
      </c>
      <c r="K82" s="14">
        <v>1.6214907317684421E-2</v>
      </c>
      <c r="L82" s="14">
        <v>1.9854239583550492E-2</v>
      </c>
      <c r="M82" s="14">
        <v>1.315627292066748E-2</v>
      </c>
      <c r="N82" s="14">
        <v>2.3944941133958952E-2</v>
      </c>
      <c r="O82" s="10"/>
      <c r="S82" s="10"/>
      <c r="T82" s="10"/>
      <c r="U82" s="10"/>
      <c r="V82" s="10"/>
      <c r="W82" s="10"/>
    </row>
    <row r="83" spans="1:23" ht="15" customHeight="1">
      <c r="A83" s="10"/>
      <c r="B83" s="10"/>
      <c r="C83" s="10"/>
      <c r="D83" s="10"/>
      <c r="E83" s="10"/>
      <c r="F83" s="10"/>
      <c r="G83" s="10"/>
      <c r="H83" s="10"/>
      <c r="I83" s="10"/>
      <c r="J83" s="10"/>
      <c r="K83" s="10"/>
      <c r="L83" s="10"/>
      <c r="M83" s="10"/>
      <c r="N83" s="10"/>
      <c r="O83" s="10"/>
      <c r="S83" s="10"/>
      <c r="T83" s="10"/>
      <c r="U83" s="10"/>
      <c r="V83" s="10"/>
      <c r="W83" s="10"/>
    </row>
    <row r="84" spans="1:23" ht="15" customHeight="1">
      <c r="A84" s="10" t="s">
        <v>38</v>
      </c>
      <c r="B84" s="368" t="str">
        <f>+E22</f>
        <v>SWK US EQUITY</v>
      </c>
      <c r="C84" s="369"/>
      <c r="D84" s="369"/>
      <c r="E84" s="366">
        <v>2015</v>
      </c>
      <c r="F84" s="366">
        <v>2016</v>
      </c>
      <c r="G84" s="366">
        <v>2017</v>
      </c>
      <c r="H84" s="366">
        <v>2018</v>
      </c>
      <c r="I84" s="366">
        <v>2019</v>
      </c>
      <c r="J84" s="366">
        <v>2020</v>
      </c>
      <c r="K84" s="366">
        <v>2021</v>
      </c>
      <c r="L84" s="366">
        <v>2022</v>
      </c>
      <c r="M84" s="366">
        <v>2023</v>
      </c>
      <c r="N84" s="366">
        <v>2024</v>
      </c>
      <c r="O84" s="10"/>
      <c r="S84" s="10"/>
      <c r="T84" s="10"/>
      <c r="U84" s="10"/>
      <c r="V84" s="10"/>
      <c r="W84" s="10"/>
    </row>
    <row r="85" spans="1:23" ht="15" customHeight="1">
      <c r="A85" s="10"/>
      <c r="B85" s="10" t="s">
        <v>395</v>
      </c>
      <c r="C85" s="10"/>
      <c r="D85" s="10"/>
      <c r="E85" s="11">
        <v>11171800</v>
      </c>
      <c r="F85" s="11">
        <v>11593500</v>
      </c>
      <c r="G85" s="11">
        <v>12966600</v>
      </c>
      <c r="H85" s="11">
        <v>13982400</v>
      </c>
      <c r="I85" s="11">
        <v>12912900</v>
      </c>
      <c r="J85" s="11">
        <v>12750000</v>
      </c>
      <c r="K85" s="11">
        <v>15281300</v>
      </c>
      <c r="L85" s="11">
        <v>16947400</v>
      </c>
      <c r="M85" s="11">
        <v>15781100</v>
      </c>
      <c r="N85" s="11">
        <v>15365700</v>
      </c>
      <c r="O85" s="10"/>
      <c r="S85" s="10"/>
      <c r="T85" s="10"/>
      <c r="U85" s="10"/>
      <c r="V85" s="10"/>
      <c r="W85" s="10"/>
    </row>
    <row r="86" spans="1:23" ht="15" customHeight="1">
      <c r="A86" s="10"/>
      <c r="B86" s="10" t="s">
        <v>742</v>
      </c>
      <c r="C86" s="10"/>
      <c r="D86" s="10"/>
      <c r="E86" s="11">
        <v>1363600</v>
      </c>
      <c r="F86" s="11">
        <v>1460300</v>
      </c>
      <c r="G86" s="11">
        <v>1614700</v>
      </c>
      <c r="H86" s="11">
        <v>1681200</v>
      </c>
      <c r="I86" s="11">
        <v>1684400</v>
      </c>
      <c r="J86" s="11">
        <v>1702400</v>
      </c>
      <c r="K86" s="11">
        <v>1956400</v>
      </c>
      <c r="L86" s="11">
        <v>963900</v>
      </c>
      <c r="M86" s="11">
        <v>888000</v>
      </c>
      <c r="N86" s="11">
        <v>1026600</v>
      </c>
    </row>
    <row r="87" spans="1:23" ht="15" customHeight="1">
      <c r="A87" s="10"/>
      <c r="B87" s="10" t="s">
        <v>251</v>
      </c>
      <c r="C87" s="10"/>
      <c r="D87" s="10"/>
      <c r="E87" s="14">
        <v>0.1039428827718881</v>
      </c>
      <c r="F87" s="14">
        <v>0.11141589422210597</v>
      </c>
      <c r="G87" s="14">
        <v>0.12328033940841471</v>
      </c>
      <c r="H87" s="14">
        <v>6.0056878066454315E-2</v>
      </c>
      <c r="I87" s="14">
        <v>9.2297167578193284E-2</v>
      </c>
      <c r="J87" s="14">
        <v>9.2651663138276844E-2</v>
      </c>
      <c r="K87" s="14">
        <v>9.7216147449360121E-2</v>
      </c>
      <c r="L87" s="14">
        <v>2.0907332888965693E-2</v>
      </c>
      <c r="M87" s="14">
        <v>1.7069886635104046E-3</v>
      </c>
      <c r="N87" s="14">
        <v>3.5101317374191386E-2</v>
      </c>
    </row>
    <row r="88" spans="1:23" ht="15" customHeight="1">
      <c r="A88" s="10"/>
      <c r="B88" s="10" t="s">
        <v>360</v>
      </c>
      <c r="C88" s="10"/>
      <c r="D88" s="10"/>
      <c r="E88" s="14">
        <v>8.0802769465520577E-2</v>
      </c>
      <c r="F88" s="14">
        <v>7.7320533109575179E-2</v>
      </c>
      <c r="G88" s="14">
        <v>8.689179136050823E-2</v>
      </c>
      <c r="H88" s="14">
        <v>9.2154510924154789E-2</v>
      </c>
      <c r="I88" s="14">
        <v>8.3015350181535899E-2</v>
      </c>
      <c r="J88" s="14">
        <v>9.9458768453122293E-2</v>
      </c>
      <c r="K88" s="14">
        <v>0.10442564482334425</v>
      </c>
      <c r="L88" s="14">
        <v>6.9650230191901891E-2</v>
      </c>
      <c r="M88" s="14">
        <v>9.5310244385471352E-2</v>
      </c>
      <c r="N88" s="14">
        <v>9.4927564176758586E-2</v>
      </c>
    </row>
    <row r="89" spans="1:23" ht="15" customHeight="1">
      <c r="A89" s="10"/>
      <c r="B89" s="10" t="s">
        <v>743</v>
      </c>
      <c r="C89" s="10"/>
      <c r="D89" s="10"/>
      <c r="E89" s="11">
        <v>-311400</v>
      </c>
      <c r="F89" s="11">
        <v>-347000</v>
      </c>
      <c r="G89" s="11">
        <v>-442400</v>
      </c>
      <c r="H89" s="11">
        <v>-492100</v>
      </c>
      <c r="I89" s="11">
        <v>-424700</v>
      </c>
      <c r="J89" s="11">
        <v>-348100</v>
      </c>
      <c r="K89" s="11">
        <v>-519100</v>
      </c>
      <c r="L89" s="11">
        <v>-530400</v>
      </c>
      <c r="M89" s="11">
        <v>-338700</v>
      </c>
      <c r="N89" s="11">
        <v>-353900</v>
      </c>
    </row>
    <row r="90" spans="1:23" ht="15" customHeight="1">
      <c r="A90" s="10"/>
      <c r="B90" s="10" t="s">
        <v>744</v>
      </c>
      <c r="C90" s="10"/>
      <c r="D90" s="10"/>
      <c r="E90" s="14">
        <v>0.64850200000000002</v>
      </c>
      <c r="F90" s="14">
        <v>0.60050800000000004</v>
      </c>
      <c r="G90" s="14">
        <v>0.45887999999999995</v>
      </c>
      <c r="H90" s="14">
        <v>0.53551700000000002</v>
      </c>
      <c r="I90" s="14">
        <v>0.44340499999999999</v>
      </c>
      <c r="J90" s="14">
        <v>0.432056</v>
      </c>
      <c r="K90" s="14">
        <v>0.60750999999999999</v>
      </c>
      <c r="L90" s="14">
        <v>0.81298500000000007</v>
      </c>
      <c r="M90" s="14">
        <v>0.84843400000000002</v>
      </c>
      <c r="N90" s="14">
        <v>0.75629299999999999</v>
      </c>
    </row>
    <row r="91" spans="1:23" ht="15" customHeight="1">
      <c r="A91" s="10"/>
      <c r="B91" s="10" t="s">
        <v>745</v>
      </c>
      <c r="C91" s="10"/>
      <c r="D91" s="10"/>
      <c r="E91" s="14">
        <v>0.1220573229023076</v>
      </c>
      <c r="F91" s="14">
        <v>0.12595851123474361</v>
      </c>
      <c r="G91" s="14">
        <v>0.12452763253281508</v>
      </c>
      <c r="H91" s="14">
        <v>0.12023686920700309</v>
      </c>
      <c r="I91" s="14">
        <v>0.13044320021064207</v>
      </c>
      <c r="J91" s="14">
        <v>0.13352156862745099</v>
      </c>
      <c r="K91" s="14">
        <v>0.12802575697093835</v>
      </c>
      <c r="L91" s="14">
        <v>5.6875980976432962E-2</v>
      </c>
      <c r="M91" s="14">
        <v>5.626984177275348E-2</v>
      </c>
      <c r="N91" s="14">
        <v>6.6811144301919215E-2</v>
      </c>
    </row>
    <row r="92" spans="1:23" ht="15" customHeight="1">
      <c r="A92" s="10"/>
      <c r="B92" s="10" t="s">
        <v>746</v>
      </c>
      <c r="C92" s="10"/>
      <c r="D92" s="10"/>
      <c r="E92" s="367">
        <v>1.2863777251625226</v>
      </c>
      <c r="F92" s="367">
        <v>1.4409612782184569</v>
      </c>
      <c r="G92" s="367">
        <v>1.4187800421438295</v>
      </c>
      <c r="H92" s="367">
        <v>0.65169764848388656</v>
      </c>
      <c r="I92" s="367">
        <v>1.1118084471891059</v>
      </c>
      <c r="J92" s="367">
        <v>0.93155851997047567</v>
      </c>
      <c r="K92" s="367">
        <v>0.93096047061830112</v>
      </c>
      <c r="L92" s="367">
        <v>0.30017607739933289</v>
      </c>
      <c r="M92" s="367">
        <v>1.790981310053812E-2</v>
      </c>
      <c r="N92" s="367">
        <v>0.36976949402000303</v>
      </c>
    </row>
    <row r="93" spans="1:23" ht="15" customHeight="1">
      <c r="A93" s="10"/>
      <c r="B93" s="10" t="s">
        <v>747</v>
      </c>
      <c r="C93" s="10"/>
      <c r="D93" s="10"/>
      <c r="E93" s="14">
        <v>2.7873753558065845E-2</v>
      </c>
      <c r="F93" s="14">
        <v>2.9930564540475265E-2</v>
      </c>
      <c r="G93" s="14">
        <v>3.4118427344099457E-2</v>
      </c>
      <c r="H93" s="14">
        <v>3.5194244192699391E-2</v>
      </c>
      <c r="I93" s="14">
        <v>3.2889591029125913E-2</v>
      </c>
      <c r="J93" s="14">
        <v>2.7301960784313725E-2</v>
      </c>
      <c r="K93" s="14">
        <v>3.3969623003278514E-2</v>
      </c>
      <c r="L93" s="14">
        <v>3.1296836092851998E-2</v>
      </c>
      <c r="M93" s="14">
        <v>2.1462382216702259E-2</v>
      </c>
      <c r="N93" s="14">
        <v>2.3031817619763501E-2</v>
      </c>
    </row>
    <row r="94" spans="1:23" ht="15" customHeight="1">
      <c r="A94" s="10"/>
      <c r="B94" s="10"/>
      <c r="C94" s="10"/>
      <c r="D94" s="10"/>
      <c r="E94" s="10"/>
      <c r="F94" s="10"/>
      <c r="G94" s="10"/>
      <c r="H94" s="10"/>
      <c r="I94" s="10"/>
      <c r="J94" s="10"/>
      <c r="K94" s="10"/>
      <c r="L94" s="10"/>
      <c r="M94" s="10"/>
      <c r="N94" s="10"/>
    </row>
    <row r="95" spans="1:23" ht="15" customHeight="1">
      <c r="A95" s="10" t="s">
        <v>38</v>
      </c>
      <c r="B95" s="368" t="str">
        <f>+E23</f>
        <v>HI US Equity</v>
      </c>
      <c r="C95" s="369"/>
      <c r="D95" s="369"/>
      <c r="E95" s="366">
        <v>2015</v>
      </c>
      <c r="F95" s="366">
        <v>2016</v>
      </c>
      <c r="G95" s="366">
        <v>2017</v>
      </c>
      <c r="H95" s="366">
        <v>2018</v>
      </c>
      <c r="I95" s="366">
        <v>2019</v>
      </c>
      <c r="J95" s="366">
        <v>2020</v>
      </c>
      <c r="K95" s="366">
        <v>2021</v>
      </c>
      <c r="L95" s="366">
        <v>2022</v>
      </c>
      <c r="M95" s="366">
        <v>2023</v>
      </c>
      <c r="N95" s="366">
        <v>2024</v>
      </c>
    </row>
    <row r="96" spans="1:23" ht="15" customHeight="1">
      <c r="A96" s="10"/>
      <c r="B96" s="10" t="s">
        <v>395</v>
      </c>
      <c r="C96" s="10"/>
      <c r="D96" s="10"/>
      <c r="E96" s="11">
        <v>1596800</v>
      </c>
      <c r="F96" s="11">
        <v>1538400</v>
      </c>
      <c r="G96" s="11">
        <v>1590200</v>
      </c>
      <c r="H96" s="11">
        <v>1770100</v>
      </c>
      <c r="I96" s="11">
        <v>1807300</v>
      </c>
      <c r="J96" s="11">
        <v>2517000</v>
      </c>
      <c r="K96" s="11">
        <v>2241400</v>
      </c>
      <c r="L96" s="11">
        <v>2315300</v>
      </c>
      <c r="M96" s="11">
        <v>2826000</v>
      </c>
      <c r="N96" s="11">
        <v>3182800</v>
      </c>
    </row>
    <row r="97" spans="1:14" ht="15" customHeight="1">
      <c r="A97" s="10"/>
      <c r="B97" s="10" t="s">
        <v>742</v>
      </c>
      <c r="C97" s="10"/>
      <c r="D97" s="10"/>
      <c r="E97" s="11">
        <v>220800</v>
      </c>
      <c r="F97" s="11">
        <v>210100</v>
      </c>
      <c r="G97" s="11">
        <v>231100</v>
      </c>
      <c r="H97" s="11">
        <v>239000</v>
      </c>
      <c r="I97" s="11">
        <v>238000</v>
      </c>
      <c r="J97" s="11">
        <v>333900</v>
      </c>
      <c r="K97" s="11">
        <v>332500</v>
      </c>
      <c r="L97" s="11">
        <v>368600</v>
      </c>
      <c r="M97" s="11">
        <v>456400</v>
      </c>
      <c r="N97" s="11">
        <v>524068.35440000001</v>
      </c>
    </row>
    <row r="98" spans="1:14" ht="15" customHeight="1">
      <c r="A98" s="10"/>
      <c r="B98" s="10" t="s">
        <v>251</v>
      </c>
      <c r="C98" s="10"/>
      <c r="D98" s="10"/>
      <c r="E98" s="14">
        <v>0.14785153382071548</v>
      </c>
      <c r="F98" s="14">
        <v>0.12686501611247755</v>
      </c>
      <c r="G98" s="14">
        <v>0.12651442164528273</v>
      </c>
      <c r="H98" s="14">
        <v>8.1814522391323627E-2</v>
      </c>
      <c r="I98" s="14">
        <v>0.12159353185222942</v>
      </c>
      <c r="J98" s="14">
        <v>5.1521541189437923E-3</v>
      </c>
      <c r="K98" s="14">
        <v>6.4632445086961046E-2</v>
      </c>
      <c r="L98" s="14">
        <v>6.1252631218153837E-2</v>
      </c>
      <c r="M98" s="14">
        <v>4.9730059471629229E-2</v>
      </c>
      <c r="N98" s="14">
        <v>-3.0071478358321149E-2</v>
      </c>
    </row>
    <row r="99" spans="1:14" ht="15" customHeight="1">
      <c r="A99" s="10"/>
      <c r="B99" s="10" t="s">
        <v>360</v>
      </c>
      <c r="C99" s="10"/>
      <c r="D99" s="10"/>
      <c r="E99" s="14">
        <v>7.9518675889173815E-2</v>
      </c>
      <c r="F99" s="14">
        <v>7.7635844938426499E-2</v>
      </c>
      <c r="G99" s="14">
        <v>0.10729452452550077</v>
      </c>
      <c r="H99" s="14">
        <v>9.9684119398253584E-2</v>
      </c>
      <c r="I99" s="14">
        <v>7.4975916883639193E-2</v>
      </c>
      <c r="J99" s="14">
        <v>6.2277909615277773E-2</v>
      </c>
      <c r="K99" s="14">
        <v>9.1803303748170251E-2</v>
      </c>
      <c r="L99" s="14">
        <v>7.4511720220563196E-2</v>
      </c>
      <c r="M99" s="14">
        <v>8.179981382744192E-2</v>
      </c>
      <c r="N99" s="14">
        <v>8.5172597085517859E-2</v>
      </c>
    </row>
    <row r="100" spans="1:14" ht="15" customHeight="1">
      <c r="A100" s="10"/>
      <c r="B100" s="10" t="s">
        <v>743</v>
      </c>
      <c r="C100" s="10"/>
      <c r="D100" s="10"/>
      <c r="E100" s="11">
        <v>-31000</v>
      </c>
      <c r="F100" s="11">
        <v>-21200</v>
      </c>
      <c r="G100" s="11">
        <v>-22000</v>
      </c>
      <c r="H100" s="11">
        <v>-27000</v>
      </c>
      <c r="I100" s="11">
        <v>-25500</v>
      </c>
      <c r="J100" s="11">
        <v>-35900</v>
      </c>
      <c r="K100" s="11">
        <v>-28200</v>
      </c>
      <c r="L100" s="11">
        <v>-38300</v>
      </c>
      <c r="M100" s="11">
        <v>-69300</v>
      </c>
      <c r="N100" s="11">
        <v>-54200</v>
      </c>
    </row>
    <row r="101" spans="1:14" ht="15" customHeight="1">
      <c r="A101" s="10"/>
      <c r="B101" s="10" t="s">
        <v>744</v>
      </c>
      <c r="C101" s="10"/>
      <c r="D101" s="10"/>
      <c r="E101" s="14">
        <v>0.87174000000000007</v>
      </c>
      <c r="F101" s="14">
        <v>0.94227800000000006</v>
      </c>
      <c r="G101" s="14">
        <v>0.608043</v>
      </c>
      <c r="H101" s="14">
        <v>0.46311000000000002</v>
      </c>
      <c r="I101" s="14">
        <v>0.80475399999999997</v>
      </c>
      <c r="J101" s="14">
        <v>1.5793029999999999</v>
      </c>
      <c r="K101" s="14">
        <v>1.0949519999999999</v>
      </c>
      <c r="L101" s="14">
        <v>1.180776</v>
      </c>
      <c r="M101" s="14">
        <v>1.2729569999999999</v>
      </c>
      <c r="N101" s="14">
        <v>1.4108000000000001</v>
      </c>
    </row>
    <row r="102" spans="1:14" ht="15" customHeight="1">
      <c r="A102" s="10"/>
      <c r="B102" s="10" t="s">
        <v>745</v>
      </c>
      <c r="C102" s="10"/>
      <c r="D102" s="10"/>
      <c r="E102" s="14">
        <v>0.13827655310621242</v>
      </c>
      <c r="F102" s="14">
        <v>0.13657046281851273</v>
      </c>
      <c r="G102" s="14">
        <v>0.14532763174443467</v>
      </c>
      <c r="H102" s="14">
        <v>0.13502062030393763</v>
      </c>
      <c r="I102" s="14">
        <v>0.13168815359929176</v>
      </c>
      <c r="J102" s="14">
        <v>0.13265792610250299</v>
      </c>
      <c r="K102" s="14">
        <v>0.14834478450968144</v>
      </c>
      <c r="L102" s="14">
        <v>0.15920183129616033</v>
      </c>
      <c r="M102" s="14">
        <v>0.16150035385704176</v>
      </c>
      <c r="N102" s="14">
        <v>0.16465638884001507</v>
      </c>
    </row>
    <row r="103" spans="1:14" ht="15" customHeight="1">
      <c r="A103" s="10"/>
      <c r="B103" s="10" t="s">
        <v>746</v>
      </c>
      <c r="C103" s="10"/>
      <c r="D103" s="10"/>
      <c r="E103" s="367">
        <v>1.859330932858817</v>
      </c>
      <c r="F103" s="367">
        <v>1.6341036310366048</v>
      </c>
      <c r="G103" s="367">
        <v>1.1791321337671239</v>
      </c>
      <c r="H103" s="367">
        <v>0.82073777533673009</v>
      </c>
      <c r="I103" s="367">
        <v>1.6217678543490122</v>
      </c>
      <c r="J103" s="367">
        <v>8.2728436949333406E-2</v>
      </c>
      <c r="K103" s="367">
        <v>0.70403179894546275</v>
      </c>
      <c r="L103" s="367">
        <v>0.82205364520962687</v>
      </c>
      <c r="M103" s="367">
        <v>0.60794832096483276</v>
      </c>
      <c r="N103" s="367">
        <v>-0.35306518043740959</v>
      </c>
    </row>
    <row r="104" spans="1:14" ht="15" customHeight="1">
      <c r="A104" s="10"/>
      <c r="B104" s="10" t="s">
        <v>747</v>
      </c>
      <c r="C104" s="10"/>
      <c r="D104" s="10"/>
      <c r="E104" s="14">
        <v>1.941382765531062E-2</v>
      </c>
      <c r="F104" s="14">
        <v>1.3780551222048881E-2</v>
      </c>
      <c r="G104" s="14">
        <v>1.3834737768834109E-2</v>
      </c>
      <c r="H104" s="14">
        <v>1.5253375515507598E-2</v>
      </c>
      <c r="I104" s="14">
        <v>1.4109445028495546E-2</v>
      </c>
      <c r="J104" s="14">
        <v>1.4263011521652762E-2</v>
      </c>
      <c r="K104" s="14">
        <v>1.2581422325332381E-2</v>
      </c>
      <c r="L104" s="14">
        <v>1.6542132768971624E-2</v>
      </c>
      <c r="M104" s="14">
        <v>2.4522292993630575E-2</v>
      </c>
      <c r="N104" s="14">
        <v>1.7029031041849944E-2</v>
      </c>
    </row>
    <row r="105" spans="1:14" ht="15" customHeight="1">
      <c r="A105" s="10"/>
      <c r="B105" s="10"/>
      <c r="C105" s="10"/>
      <c r="D105" s="10"/>
      <c r="E105" s="10"/>
      <c r="F105" s="10"/>
      <c r="G105" s="10"/>
      <c r="H105" s="10"/>
      <c r="I105" s="10"/>
      <c r="J105" s="10"/>
      <c r="K105" s="10"/>
      <c r="L105" s="10"/>
      <c r="M105" s="10"/>
      <c r="N105" s="10"/>
    </row>
    <row r="106" spans="1:14" ht="15" customHeight="1">
      <c r="A106" s="10" t="s">
        <v>38</v>
      </c>
      <c r="B106" s="368" t="str">
        <f>+E24</f>
        <v>TNC US Equity</v>
      </c>
      <c r="C106" s="369"/>
      <c r="D106" s="369"/>
      <c r="E106" s="366">
        <v>2015</v>
      </c>
      <c r="F106" s="366">
        <v>2016</v>
      </c>
      <c r="G106" s="366">
        <v>2017</v>
      </c>
      <c r="H106" s="366">
        <v>2018</v>
      </c>
      <c r="I106" s="366">
        <v>2019</v>
      </c>
      <c r="J106" s="366">
        <v>2020</v>
      </c>
      <c r="K106" s="366">
        <v>2021</v>
      </c>
      <c r="L106" s="366">
        <v>2022</v>
      </c>
      <c r="M106" s="366">
        <v>2023</v>
      </c>
      <c r="N106" s="366">
        <v>2024</v>
      </c>
    </row>
    <row r="107" spans="1:14" ht="15" customHeight="1">
      <c r="A107" s="10"/>
      <c r="B107" s="10" t="s">
        <v>395</v>
      </c>
      <c r="C107" s="10"/>
      <c r="D107" s="10"/>
      <c r="E107" s="11">
        <v>811799</v>
      </c>
      <c r="F107" s="11">
        <v>808572</v>
      </c>
      <c r="G107" s="11">
        <v>1003066</v>
      </c>
      <c r="H107" s="11">
        <v>1123511</v>
      </c>
      <c r="I107" s="11">
        <v>1137600</v>
      </c>
      <c r="J107" s="11">
        <v>1001000</v>
      </c>
      <c r="K107" s="11">
        <v>1090800</v>
      </c>
      <c r="L107" s="11">
        <v>1092200</v>
      </c>
      <c r="M107" s="11">
        <v>1243600</v>
      </c>
      <c r="N107" s="11">
        <v>1286700</v>
      </c>
    </row>
    <row r="108" spans="1:14" ht="15" customHeight="1">
      <c r="A108" s="10"/>
      <c r="B108" s="10" t="s">
        <v>742</v>
      </c>
      <c r="C108" s="10"/>
      <c r="D108" s="10"/>
      <c r="E108" s="11">
        <v>68119</v>
      </c>
      <c r="F108" s="11">
        <v>68647</v>
      </c>
      <c r="G108" s="11">
        <v>68527</v>
      </c>
      <c r="H108" s="11">
        <v>66500</v>
      </c>
      <c r="I108" s="11">
        <v>75500</v>
      </c>
      <c r="J108" s="11">
        <v>69500</v>
      </c>
      <c r="K108" s="11">
        <v>88100</v>
      </c>
      <c r="L108" s="11">
        <v>85600</v>
      </c>
      <c r="M108" s="11">
        <v>141500</v>
      </c>
      <c r="N108" s="11">
        <v>154100</v>
      </c>
    </row>
    <row r="109" spans="1:14" ht="15" customHeight="1">
      <c r="A109" s="10"/>
      <c r="B109" s="10" t="s">
        <v>251</v>
      </c>
      <c r="C109" s="10"/>
      <c r="D109" s="10"/>
      <c r="E109" s="14">
        <v>0.11710575317827382</v>
      </c>
      <c r="F109" s="14">
        <v>0.16434107544628745</v>
      </c>
      <c r="G109" s="14">
        <v>2.9761997189462819E-2</v>
      </c>
      <c r="H109" s="14">
        <v>7.5930726139200155E-2</v>
      </c>
      <c r="I109" s="14">
        <v>8.3153653045027379E-2</v>
      </c>
      <c r="J109" s="14">
        <v>6.7916130606994363E-2</v>
      </c>
      <c r="K109" s="14">
        <v>0.10667514665874732</v>
      </c>
      <c r="L109" s="14">
        <v>9.1480932745458515E-2</v>
      </c>
      <c r="M109" s="14">
        <v>0.14761043768522183</v>
      </c>
      <c r="N109" s="14">
        <v>0.10518182873638131</v>
      </c>
    </row>
    <row r="110" spans="1:14" ht="15" customHeight="1">
      <c r="A110" s="10"/>
      <c r="B110" s="10" t="s">
        <v>360</v>
      </c>
      <c r="C110" s="10"/>
      <c r="D110" s="10"/>
      <c r="E110" s="14">
        <v>9.0431181391768062E-2</v>
      </c>
      <c r="F110" s="14">
        <v>8.9596754653494343E-2</v>
      </c>
      <c r="G110" s="14">
        <v>9.0006444090672225E-2</v>
      </c>
      <c r="H110" s="14">
        <v>8.8947672846088927E-2</v>
      </c>
      <c r="I110" s="14">
        <v>6.7885840134682032E-2</v>
      </c>
      <c r="J110" s="14">
        <v>7.4479309809136404E-2</v>
      </c>
      <c r="K110" s="14">
        <v>9.2766929261387798E-2</v>
      </c>
      <c r="L110" s="14">
        <v>7.5462216036988508E-2</v>
      </c>
      <c r="M110" s="14">
        <v>9.9163285428785775E-2</v>
      </c>
      <c r="N110" s="14">
        <v>9.8477841849921449E-2</v>
      </c>
    </row>
    <row r="111" spans="1:14" ht="15" customHeight="1">
      <c r="A111" s="10"/>
      <c r="B111" s="10" t="s">
        <v>743</v>
      </c>
      <c r="C111" s="10"/>
      <c r="D111" s="10"/>
      <c r="E111" s="11">
        <v>-24780</v>
      </c>
      <c r="F111" s="11">
        <v>-26526</v>
      </c>
      <c r="G111" s="11">
        <v>-22937</v>
      </c>
      <c r="H111" s="11">
        <v>-21555</v>
      </c>
      <c r="I111" s="11">
        <v>-38900</v>
      </c>
      <c r="J111" s="11">
        <v>-30000</v>
      </c>
      <c r="K111" s="11">
        <v>-19500</v>
      </c>
      <c r="L111" s="11">
        <v>-25000</v>
      </c>
      <c r="M111" s="11">
        <v>-22800</v>
      </c>
      <c r="N111" s="11">
        <v>-20900</v>
      </c>
    </row>
    <row r="112" spans="1:14" ht="15" customHeight="1">
      <c r="A112" s="10"/>
      <c r="B112" s="10" t="s">
        <v>744</v>
      </c>
      <c r="C112" s="10"/>
      <c r="D112" s="10"/>
      <c r="E112" s="14">
        <v>9.7749000000000003E-2</v>
      </c>
      <c r="F112" s="14">
        <v>0.12994</v>
      </c>
      <c r="G112" s="14">
        <v>1.2625520000000001</v>
      </c>
      <c r="H112" s="14">
        <v>1.1223730000000001</v>
      </c>
      <c r="I112" s="14">
        <v>1.0683639999999999</v>
      </c>
      <c r="J112" s="14">
        <v>0.87072100000000008</v>
      </c>
      <c r="K112" s="14">
        <v>0.71133099999999994</v>
      </c>
      <c r="L112" s="14">
        <v>0.70430000000000004</v>
      </c>
      <c r="M112" s="14">
        <v>0.41915999999999998</v>
      </c>
      <c r="N112" s="14">
        <v>0.40877699999999995</v>
      </c>
    </row>
    <row r="113" spans="1:23" ht="15" customHeight="1">
      <c r="A113" s="10"/>
      <c r="B113" s="10" t="s">
        <v>745</v>
      </c>
      <c r="C113" s="10"/>
      <c r="D113" s="10"/>
      <c r="E113" s="14">
        <v>8.3911165202223706E-2</v>
      </c>
      <c r="F113" s="14">
        <v>8.4899056608440562E-2</v>
      </c>
      <c r="G113" s="14">
        <v>6.8317538427182259E-2</v>
      </c>
      <c r="H113" s="14">
        <v>5.9189451638657742E-2</v>
      </c>
      <c r="I113" s="14">
        <v>6.636779184247539E-2</v>
      </c>
      <c r="J113" s="14">
        <v>6.9430569430569425E-2</v>
      </c>
      <c r="K113" s="14">
        <v>8.0766409974330766E-2</v>
      </c>
      <c r="L113" s="14">
        <v>7.8373924189708843E-2</v>
      </c>
      <c r="M113" s="14">
        <v>0.11378256674171759</v>
      </c>
      <c r="N113" s="14">
        <v>0.11976373669075931</v>
      </c>
    </row>
    <row r="114" spans="1:23" ht="15" customHeight="1">
      <c r="A114" s="10"/>
      <c r="B114" s="10" t="s">
        <v>746</v>
      </c>
      <c r="C114" s="10"/>
      <c r="D114" s="10"/>
      <c r="E114" s="367">
        <v>1.2949709533368314</v>
      </c>
      <c r="F114" s="367">
        <v>1.834230224988155</v>
      </c>
      <c r="G114" s="367">
        <v>0.33066518170055326</v>
      </c>
      <c r="H114" s="367">
        <v>0.85365612960540616</v>
      </c>
      <c r="I114" s="367">
        <v>1.2249042345215848</v>
      </c>
      <c r="J114" s="367">
        <v>0.91187916189125406</v>
      </c>
      <c r="K114" s="367">
        <v>1.1499264609500071</v>
      </c>
      <c r="L114" s="367">
        <v>1.2122746660476851</v>
      </c>
      <c r="M114" s="367">
        <v>1.4885593700022015</v>
      </c>
      <c r="N114" s="367">
        <v>1.0680760946881493</v>
      </c>
    </row>
    <row r="115" spans="1:23" ht="15" customHeight="1">
      <c r="A115" s="10"/>
      <c r="B115" s="10" t="s">
        <v>747</v>
      </c>
      <c r="C115" s="10"/>
      <c r="D115" s="10"/>
      <c r="E115" s="14">
        <v>3.0524797394428916E-2</v>
      </c>
      <c r="F115" s="14">
        <v>3.2805983882696906E-2</v>
      </c>
      <c r="G115" s="14">
        <v>2.2866890114907692E-2</v>
      </c>
      <c r="H115" s="14">
        <v>1.9185392933402521E-2</v>
      </c>
      <c r="I115" s="14">
        <v>3.4194796061884671E-2</v>
      </c>
      <c r="J115" s="14">
        <v>2.9970029970029972E-2</v>
      </c>
      <c r="K115" s="14">
        <v>1.7876787678767877E-2</v>
      </c>
      <c r="L115" s="14">
        <v>2.2889580662882256E-2</v>
      </c>
      <c r="M115" s="14">
        <v>1.8333869411386299E-2</v>
      </c>
      <c r="N115" s="14">
        <v>1.6243102510297661E-2</v>
      </c>
    </row>
    <row r="116" spans="1:23" ht="15" customHeight="1">
      <c r="A116" s="10"/>
      <c r="B116" s="10"/>
      <c r="C116" s="10"/>
      <c r="D116" s="10"/>
      <c r="E116" s="10"/>
      <c r="F116" s="10"/>
      <c r="G116" s="10"/>
      <c r="H116" s="10"/>
      <c r="I116" s="10"/>
      <c r="J116" s="10"/>
      <c r="K116" s="10"/>
      <c r="L116" s="10"/>
      <c r="M116" s="10"/>
      <c r="N116" s="10"/>
    </row>
    <row r="117" spans="1:23" ht="15" customHeight="1">
      <c r="A117" s="10" t="s">
        <v>38</v>
      </c>
      <c r="B117" s="368" t="str">
        <f>+E25</f>
        <v>KAI US EQUITY</v>
      </c>
      <c r="C117" s="369"/>
      <c r="D117" s="369"/>
      <c r="E117" s="366">
        <v>2015</v>
      </c>
      <c r="F117" s="366">
        <v>2016</v>
      </c>
      <c r="G117" s="366">
        <v>2017</v>
      </c>
      <c r="H117" s="366">
        <v>2018</v>
      </c>
      <c r="I117" s="366">
        <v>2019</v>
      </c>
      <c r="J117" s="366">
        <v>2020</v>
      </c>
      <c r="K117" s="366">
        <v>2021</v>
      </c>
      <c r="L117" s="366">
        <v>2022</v>
      </c>
      <c r="M117" s="366">
        <v>2023</v>
      </c>
      <c r="N117" s="366">
        <v>2024</v>
      </c>
    </row>
    <row r="118" spans="1:23" ht="15" customHeight="1">
      <c r="A118" s="10"/>
      <c r="B118" s="10" t="s">
        <v>395</v>
      </c>
      <c r="C118" s="10"/>
      <c r="D118" s="10"/>
      <c r="E118" s="11">
        <v>390107</v>
      </c>
      <c r="F118" s="11">
        <v>414126</v>
      </c>
      <c r="G118" s="11">
        <v>515033</v>
      </c>
      <c r="H118" s="11">
        <v>633786</v>
      </c>
      <c r="I118" s="11">
        <v>704644</v>
      </c>
      <c r="J118" s="11">
        <v>635028</v>
      </c>
      <c r="K118" s="11">
        <v>786579</v>
      </c>
      <c r="L118" s="11">
        <v>904739</v>
      </c>
      <c r="M118" s="11">
        <v>957672</v>
      </c>
      <c r="N118" s="11">
        <v>1053384</v>
      </c>
      <c r="O118" s="10"/>
      <c r="P118" s="10"/>
      <c r="Q118" s="10"/>
      <c r="R118" s="10"/>
      <c r="S118" s="10"/>
      <c r="T118" s="10"/>
      <c r="U118" s="10"/>
      <c r="V118" s="10"/>
      <c r="W118" s="10"/>
    </row>
    <row r="119" spans="1:23" ht="15" customHeight="1">
      <c r="A119" s="10"/>
      <c r="B119" s="10" t="s">
        <v>742</v>
      </c>
      <c r="C119" s="10"/>
      <c r="D119" s="10"/>
      <c r="E119" s="11">
        <v>50638</v>
      </c>
      <c r="F119" s="11">
        <v>48157</v>
      </c>
      <c r="G119" s="11">
        <v>67203</v>
      </c>
      <c r="H119" s="11">
        <v>91636</v>
      </c>
      <c r="I119" s="11">
        <v>99276.316500000001</v>
      </c>
      <c r="J119" s="11">
        <v>84588</v>
      </c>
      <c r="K119" s="11">
        <v>123344</v>
      </c>
      <c r="L119" s="11">
        <v>154428</v>
      </c>
      <c r="M119" s="11">
        <v>167958</v>
      </c>
      <c r="N119" s="11">
        <v>174782</v>
      </c>
      <c r="O119" s="10"/>
      <c r="P119" s="10"/>
      <c r="Q119" s="10"/>
      <c r="R119" s="10"/>
      <c r="S119" s="10"/>
      <c r="T119" s="10"/>
      <c r="U119" s="10"/>
      <c r="V119" s="10"/>
      <c r="W119" s="10"/>
    </row>
    <row r="120" spans="1:23" ht="15" customHeight="1">
      <c r="A120" s="10"/>
      <c r="B120" s="10" t="s">
        <v>251</v>
      </c>
      <c r="C120" s="10"/>
      <c r="D120" s="10"/>
      <c r="E120" s="14">
        <v>0.11623552717040277</v>
      </c>
      <c r="F120" s="14">
        <v>0.10461443679685592</v>
      </c>
      <c r="G120" s="14">
        <v>7.3486310005959787E-2</v>
      </c>
      <c r="H120" s="14">
        <v>0.12332530393138284</v>
      </c>
      <c r="I120" s="14">
        <v>0.11131513311297166</v>
      </c>
      <c r="J120" s="14">
        <v>8.0849813939450996E-2</v>
      </c>
      <c r="K120" s="14">
        <v>0.108868842447976</v>
      </c>
      <c r="L120" s="14">
        <v>0.14412033589151152</v>
      </c>
      <c r="M120" s="14">
        <v>0.13524794124428183</v>
      </c>
      <c r="N120" s="14">
        <v>0.11973457726654274</v>
      </c>
      <c r="O120" s="10"/>
      <c r="P120" s="10"/>
      <c r="Q120" s="10"/>
      <c r="R120" s="10"/>
      <c r="S120" s="10"/>
      <c r="T120" s="10"/>
      <c r="U120" s="10"/>
      <c r="V120" s="10"/>
      <c r="W120" s="10"/>
    </row>
    <row r="121" spans="1:23" ht="15" customHeight="1">
      <c r="A121" s="10"/>
      <c r="B121" s="10" t="s">
        <v>360</v>
      </c>
      <c r="C121" s="10"/>
      <c r="D121" s="10"/>
      <c r="E121" s="14">
        <v>8.6897638204403091E-2</v>
      </c>
      <c r="F121" s="14">
        <v>8.4723746679850165E-2</v>
      </c>
      <c r="G121" s="14">
        <v>8.7943949071185509E-2</v>
      </c>
      <c r="H121" s="14">
        <v>9.804444904057219E-2</v>
      </c>
      <c r="I121" s="14">
        <v>7.2560815546597976E-2</v>
      </c>
      <c r="J121" s="14">
        <v>8.3591178227871404E-2</v>
      </c>
      <c r="K121" s="14">
        <v>9.6697711913401457E-2</v>
      </c>
      <c r="L121" s="14">
        <v>7.1105565088203967E-2</v>
      </c>
      <c r="M121" s="14">
        <v>9.732700388144376E-2</v>
      </c>
      <c r="N121" s="14">
        <v>0.11496112917296214</v>
      </c>
      <c r="O121" s="10"/>
      <c r="P121" s="10"/>
      <c r="Q121" s="10"/>
      <c r="R121" s="10"/>
      <c r="S121" s="10"/>
      <c r="T121" s="10"/>
      <c r="U121" s="10"/>
      <c r="V121" s="10"/>
      <c r="W121" s="10"/>
    </row>
    <row r="122" spans="1:23" ht="15" customHeight="1">
      <c r="A122" s="10"/>
      <c r="B122" s="10" t="s">
        <v>743</v>
      </c>
      <c r="C122" s="10"/>
      <c r="D122" s="10"/>
      <c r="E122" s="11">
        <v>-5479</v>
      </c>
      <c r="F122" s="11">
        <v>-5804</v>
      </c>
      <c r="G122" s="11">
        <v>-17281</v>
      </c>
      <c r="H122" s="11">
        <v>-16559</v>
      </c>
      <c r="I122" s="11">
        <v>-9957</v>
      </c>
      <c r="J122" s="11">
        <v>-7595</v>
      </c>
      <c r="K122" s="11">
        <v>-12771</v>
      </c>
      <c r="L122" s="11">
        <v>-28199</v>
      </c>
      <c r="M122" s="11">
        <v>-31850</v>
      </c>
      <c r="N122" s="11">
        <v>-21005</v>
      </c>
      <c r="O122" s="10"/>
      <c r="P122" s="10"/>
      <c r="Q122" s="10"/>
      <c r="R122" s="10"/>
      <c r="S122" s="10"/>
      <c r="T122" s="10"/>
      <c r="U122" s="10"/>
      <c r="V122" s="10"/>
      <c r="W122" s="10"/>
    </row>
    <row r="123" spans="1:23" ht="15" customHeight="1">
      <c r="A123" s="10"/>
      <c r="B123" s="10" t="s">
        <v>744</v>
      </c>
      <c r="C123" s="10"/>
      <c r="D123" s="10"/>
      <c r="E123" s="14">
        <v>0.11662800000000001</v>
      </c>
      <c r="F123" s="14">
        <v>0.23361200000000001</v>
      </c>
      <c r="G123" s="14">
        <v>0.728051</v>
      </c>
      <c r="H123" s="14">
        <v>0.469393</v>
      </c>
      <c r="I123" s="14">
        <v>0.77441400000000005</v>
      </c>
      <c r="J123" s="14">
        <v>0.52521700000000004</v>
      </c>
      <c r="K123" s="14">
        <v>0.52143300000000004</v>
      </c>
      <c r="L123" s="14">
        <v>0.34232300000000004</v>
      </c>
      <c r="M123" s="14">
        <v>0.17597300000000002</v>
      </c>
      <c r="N123" s="14">
        <v>0.37746999999999997</v>
      </c>
      <c r="O123" s="10"/>
      <c r="P123" s="10"/>
      <c r="Q123" s="10"/>
      <c r="R123" s="10"/>
      <c r="S123" s="10"/>
      <c r="T123" s="10"/>
      <c r="U123" s="10"/>
      <c r="V123" s="10"/>
      <c r="W123" s="10"/>
    </row>
    <row r="124" spans="1:23" ht="15" customHeight="1">
      <c r="A124" s="10"/>
      <c r="B124" s="10" t="s">
        <v>745</v>
      </c>
      <c r="C124" s="10"/>
      <c r="D124" s="10"/>
      <c r="E124" s="14">
        <v>0.12980541236122398</v>
      </c>
      <c r="F124" s="14">
        <v>0.11628586468852475</v>
      </c>
      <c r="G124" s="14">
        <v>0.13048290109565794</v>
      </c>
      <c r="H124" s="14">
        <v>0.1445850807685875</v>
      </c>
      <c r="I124" s="14">
        <v>0.14088861396676905</v>
      </c>
      <c r="J124" s="14">
        <v>0.13320357527542093</v>
      </c>
      <c r="K124" s="14">
        <v>0.15681069542919401</v>
      </c>
      <c r="L124" s="14">
        <v>0.17068790004631171</v>
      </c>
      <c r="M124" s="14">
        <v>0.17538155025937899</v>
      </c>
      <c r="N124" s="14">
        <v>0.16592429731228117</v>
      </c>
      <c r="O124" s="10"/>
      <c r="P124" s="10"/>
      <c r="Q124" s="10"/>
      <c r="R124" s="10"/>
      <c r="S124" s="10"/>
      <c r="T124" s="10"/>
      <c r="U124" s="10"/>
      <c r="V124" s="10"/>
      <c r="W124" s="10"/>
    </row>
    <row r="125" spans="1:23" ht="15" customHeight="1">
      <c r="A125" s="10"/>
      <c r="B125" s="10" t="s">
        <v>746</v>
      </c>
      <c r="C125" s="10"/>
      <c r="D125" s="10"/>
      <c r="E125" s="367">
        <v>1.3376143422562332</v>
      </c>
      <c r="F125" s="367">
        <v>1.2347711343806322</v>
      </c>
      <c r="G125" s="367">
        <v>0.83560393616707951</v>
      </c>
      <c r="H125" s="367">
        <v>1.2578509557471129</v>
      </c>
      <c r="I125" s="367">
        <v>1.5340942942060232</v>
      </c>
      <c r="J125" s="367">
        <v>0.96720510050776665</v>
      </c>
      <c r="K125" s="367">
        <v>1.1258678234855704</v>
      </c>
      <c r="L125" s="367">
        <v>2.0268502994489288</v>
      </c>
      <c r="M125" s="367">
        <v>1.3896240082457529</v>
      </c>
      <c r="N125" s="367">
        <v>1.0415222791209611</v>
      </c>
      <c r="O125" s="10"/>
      <c r="P125" s="10"/>
      <c r="Q125" s="10"/>
      <c r="R125" s="10"/>
      <c r="S125" s="10"/>
      <c r="T125" s="10"/>
      <c r="U125" s="10"/>
      <c r="V125" s="10"/>
      <c r="W125" s="10"/>
    </row>
    <row r="126" spans="1:23" ht="15" customHeight="1">
      <c r="A126" s="10"/>
      <c r="B126" s="10" t="s">
        <v>747</v>
      </c>
      <c r="C126" s="10"/>
      <c r="D126" s="10"/>
      <c r="E126" s="14">
        <v>1.4044864614067423E-2</v>
      </c>
      <c r="F126" s="14">
        <v>1.4015058218996151E-2</v>
      </c>
      <c r="G126" s="14">
        <v>3.3553189795605329E-2</v>
      </c>
      <c r="H126" s="14">
        <v>2.6127115461685807E-2</v>
      </c>
      <c r="I126" s="14">
        <v>1.4130539676772951E-2</v>
      </c>
      <c r="J126" s="14">
        <v>1.196010254665936E-2</v>
      </c>
      <c r="K126" s="14">
        <v>1.6236131399388998E-2</v>
      </c>
      <c r="L126" s="14">
        <v>3.1168104834653973E-2</v>
      </c>
      <c r="M126" s="14">
        <v>3.3257733336674769E-2</v>
      </c>
      <c r="N126" s="14">
        <v>1.9940496533078157E-2</v>
      </c>
      <c r="O126" s="10"/>
      <c r="P126" s="10"/>
      <c r="Q126" s="10"/>
      <c r="R126" s="10"/>
      <c r="S126" s="10"/>
      <c r="T126" s="10"/>
      <c r="U126" s="10"/>
      <c r="V126" s="10"/>
      <c r="W126" s="10"/>
    </row>
    <row r="127" spans="1:23" ht="1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row>
    <row r="128" spans="1:23" ht="15" customHeight="1">
      <c r="A128" s="10"/>
      <c r="B128" s="385" t="s">
        <v>748</v>
      </c>
      <c r="C128" s="385"/>
      <c r="D128" s="385"/>
      <c r="E128" s="32"/>
      <c r="F128" s="340"/>
      <c r="G128" s="340"/>
      <c r="H128" s="340"/>
      <c r="I128" s="340"/>
      <c r="J128" s="340"/>
      <c r="K128" s="32"/>
      <c r="L128" s="340"/>
      <c r="M128" s="340"/>
      <c r="N128" s="340"/>
      <c r="O128" s="340"/>
      <c r="P128" s="340"/>
      <c r="Q128" s="32"/>
      <c r="R128" s="340"/>
      <c r="S128" s="340"/>
      <c r="T128" s="340"/>
      <c r="U128" s="340"/>
      <c r="V128" s="32"/>
      <c r="W128" s="340"/>
    </row>
    <row r="129" spans="1:23" ht="15" customHeight="1">
      <c r="A129" s="10"/>
      <c r="B129" s="386"/>
      <c r="C129" s="386"/>
      <c r="D129" s="386"/>
      <c r="E129" s="32"/>
      <c r="F129" s="387"/>
      <c r="G129" s="387"/>
      <c r="H129" s="387"/>
      <c r="I129" s="387"/>
      <c r="J129" s="387"/>
      <c r="K129" s="388"/>
      <c r="L129" s="387"/>
      <c r="M129" s="387"/>
      <c r="N129" s="387"/>
      <c r="O129" s="387"/>
      <c r="P129" s="387"/>
      <c r="Q129" s="388"/>
      <c r="R129" s="387"/>
      <c r="S129" s="387"/>
      <c r="T129" s="387"/>
      <c r="U129" s="387"/>
      <c r="V129" s="388"/>
      <c r="W129" s="534"/>
    </row>
    <row r="130" spans="1:23" ht="15" customHeight="1">
      <c r="A130" s="10"/>
      <c r="B130" s="386"/>
      <c r="C130" s="386"/>
      <c r="D130" s="386"/>
      <c r="E130" s="32"/>
      <c r="F130" s="389"/>
      <c r="G130" s="389"/>
      <c r="H130" s="389"/>
      <c r="I130" s="389"/>
      <c r="J130" s="389"/>
      <c r="K130" s="387"/>
      <c r="L130" s="389"/>
      <c r="M130" s="389"/>
      <c r="N130" s="389"/>
      <c r="O130" s="389"/>
      <c r="P130" s="389"/>
      <c r="Q130" s="387"/>
      <c r="R130" s="389"/>
      <c r="S130" s="389"/>
      <c r="T130" s="389"/>
      <c r="U130" s="389"/>
      <c r="V130" s="387"/>
      <c r="W130" s="389"/>
    </row>
    <row r="131" spans="1:23" ht="3.95" customHeight="1">
      <c r="A131" s="10"/>
      <c r="B131" s="390"/>
      <c r="C131" s="390"/>
      <c r="D131" s="390"/>
      <c r="E131" s="391"/>
      <c r="F131" s="392"/>
      <c r="G131" s="392"/>
      <c r="H131" s="392"/>
      <c r="I131" s="392"/>
      <c r="J131" s="392"/>
      <c r="K131" s="393"/>
      <c r="L131" s="392"/>
      <c r="M131" s="392"/>
      <c r="N131" s="392"/>
      <c r="O131" s="392"/>
      <c r="P131" s="392"/>
      <c r="Q131" s="393"/>
      <c r="R131" s="392"/>
      <c r="S131" s="392"/>
      <c r="T131" s="392"/>
      <c r="U131" s="392"/>
      <c r="V131" s="393"/>
      <c r="W131" s="392"/>
    </row>
    <row r="132" spans="1:23" ht="3.95" customHeight="1">
      <c r="A132" s="10"/>
      <c r="B132" s="381"/>
      <c r="C132" s="381"/>
      <c r="D132" s="381"/>
      <c r="E132" s="382"/>
      <c r="F132" s="381"/>
      <c r="G132" s="381"/>
      <c r="H132" s="381"/>
      <c r="I132" s="381"/>
      <c r="J132" s="381"/>
      <c r="K132" s="381"/>
      <c r="L132" s="381"/>
      <c r="M132" s="381"/>
      <c r="N132" s="381"/>
      <c r="O132" s="381"/>
      <c r="P132" s="381"/>
      <c r="Q132" s="381"/>
      <c r="R132" s="381"/>
      <c r="S132" s="381"/>
      <c r="T132" s="381"/>
      <c r="U132" s="381"/>
      <c r="V132" s="381"/>
      <c r="W132" s="381"/>
    </row>
    <row r="133" spans="1:23" ht="15" customHeight="1">
      <c r="A133" s="10"/>
      <c r="B133" s="385" t="s">
        <v>90</v>
      </c>
      <c r="C133" s="539" t="s">
        <v>749</v>
      </c>
      <c r="D133" s="386"/>
      <c r="E133" s="32"/>
      <c r="F133" s="389"/>
      <c r="G133" s="389">
        <v>2017</v>
      </c>
      <c r="H133" s="389">
        <f t="shared" ref="H133:N133" si="3">+G133+1</f>
        <v>2018</v>
      </c>
      <c r="I133" s="389">
        <f t="shared" si="3"/>
        <v>2019</v>
      </c>
      <c r="J133" s="389">
        <f t="shared" si="3"/>
        <v>2020</v>
      </c>
      <c r="K133" s="389">
        <f t="shared" si="3"/>
        <v>2021</v>
      </c>
      <c r="L133" s="389">
        <f t="shared" si="3"/>
        <v>2022</v>
      </c>
      <c r="M133" s="389">
        <f t="shared" si="3"/>
        <v>2023</v>
      </c>
      <c r="N133" s="389">
        <f t="shared" si="3"/>
        <v>2024</v>
      </c>
      <c r="O133" s="381"/>
      <c r="P133" s="389">
        <v>2017</v>
      </c>
      <c r="Q133" s="389">
        <f t="shared" ref="Q133:W133" si="4">+P133+1</f>
        <v>2018</v>
      </c>
      <c r="R133" s="389">
        <f t="shared" si="4"/>
        <v>2019</v>
      </c>
      <c r="S133" s="389">
        <f t="shared" si="4"/>
        <v>2020</v>
      </c>
      <c r="T133" s="389">
        <f t="shared" si="4"/>
        <v>2021</v>
      </c>
      <c r="U133" s="389">
        <f t="shared" si="4"/>
        <v>2022</v>
      </c>
      <c r="V133" s="389">
        <f t="shared" si="4"/>
        <v>2023</v>
      </c>
      <c r="W133" s="389">
        <f t="shared" si="4"/>
        <v>2024</v>
      </c>
    </row>
    <row r="135" spans="1:23" ht="15" customHeight="1">
      <c r="B135" s="381" t="str">
        <f>+_xll.BDP(C135,"SHORT_NAME")</f>
        <v>MIDDLEBY CORP</v>
      </c>
      <c r="C135" s="538" t="str">
        <f>Inputs!$D$15</f>
        <v>MIDD US Equity</v>
      </c>
      <c r="D135" s="381"/>
      <c r="E135" s="382"/>
      <c r="F135" s="381"/>
      <c r="G135" s="381" t="s">
        <v>750</v>
      </c>
      <c r="H135" s="381">
        <v>9.6660000000000004</v>
      </c>
      <c r="I135" s="381">
        <v>4.9349999999999996</v>
      </c>
      <c r="J135" s="381">
        <v>16.565000000000001</v>
      </c>
      <c r="K135" s="381">
        <v>17.748000000000001</v>
      </c>
      <c r="L135" s="381">
        <v>75.23</v>
      </c>
      <c r="M135" s="381">
        <v>89.986000000000004</v>
      </c>
      <c r="N135" s="381"/>
      <c r="O135" s="381"/>
      <c r="P135" s="381" t="e">
        <v>#VALUE!</v>
      </c>
      <c r="Q135" s="381">
        <v>3.5498512448534319E-3</v>
      </c>
      <c r="R135" s="381">
        <v>1.6675418304642152E-3</v>
      </c>
      <c r="S135" s="381">
        <v>6.5910489854400095E-3</v>
      </c>
      <c r="T135" s="381">
        <v>5.4595926161993755E-3</v>
      </c>
      <c r="U135" s="381">
        <v>1.8654287671779755E-2</v>
      </c>
      <c r="V135" s="381">
        <v>2.2292495797830107E-2</v>
      </c>
      <c r="W135" s="381" t="e">
        <v>#VALUE!</v>
      </c>
    </row>
    <row r="136" spans="1:23" ht="15" customHeight="1">
      <c r="B136" s="381" t="str">
        <f>+_xll.BDP(C136,"SHORT_NAME")</f>
        <v>NORDSON CORP</v>
      </c>
      <c r="C136" s="538" t="str">
        <f>+Inputs!$E$21</f>
        <v>NDSN US Equity</v>
      </c>
      <c r="D136" s="381"/>
      <c r="E136" s="382"/>
      <c r="F136" s="381"/>
      <c r="G136" s="381" t="s">
        <v>750</v>
      </c>
      <c r="H136" s="381" t="s">
        <v>750</v>
      </c>
      <c r="I136" s="381" t="s">
        <v>750</v>
      </c>
      <c r="J136" s="381">
        <v>4.1390000000000002</v>
      </c>
      <c r="K136" s="381">
        <v>6.2569999999999997</v>
      </c>
      <c r="L136" s="381">
        <v>6.3879999999999999</v>
      </c>
      <c r="M136" s="381">
        <v>5.875</v>
      </c>
      <c r="N136" s="381" t="s">
        <v>750</v>
      </c>
      <c r="O136" s="381"/>
      <c r="P136" s="381" t="e">
        <v>#VALUE!</v>
      </c>
      <c r="Q136" s="381" t="e">
        <v>#VALUE!</v>
      </c>
      <c r="R136" s="381" t="e">
        <v>#VALUE!</v>
      </c>
      <c r="S136" s="381">
        <v>1.951345999717128E-3</v>
      </c>
      <c r="T136" s="381">
        <v>2.6487918723533776E-3</v>
      </c>
      <c r="U136" s="381">
        <v>2.4661445605452391E-3</v>
      </c>
      <c r="V136" s="381">
        <v>2.2350028455866019E-3</v>
      </c>
      <c r="W136" s="381" t="e">
        <v>#VALUE!</v>
      </c>
    </row>
    <row r="137" spans="1:23" ht="15" customHeight="1">
      <c r="B137" s="381" t="str">
        <f>+_xll.BDP(C137,"SHORT_NAME")</f>
        <v>STANLEY BLACK &amp;</v>
      </c>
      <c r="C137" s="538" t="str">
        <f>+Inputs!$E$22</f>
        <v>SWK US EQUITY</v>
      </c>
      <c r="D137" s="381"/>
      <c r="E137" s="382"/>
      <c r="F137" s="381"/>
      <c r="G137" s="381">
        <v>109.84</v>
      </c>
      <c r="H137" s="381">
        <v>109.15900000000001</v>
      </c>
      <c r="I137" s="381">
        <v>119</v>
      </c>
      <c r="J137" s="381">
        <v>99.558000000000007</v>
      </c>
      <c r="K137" s="381">
        <v>110.288</v>
      </c>
      <c r="L137" s="381">
        <v>116.846</v>
      </c>
      <c r="M137" s="381">
        <v>104.121</v>
      </c>
      <c r="N137" s="381">
        <v>101.044</v>
      </c>
      <c r="O137" s="381"/>
      <c r="P137" s="381">
        <v>8.4709947094843679E-3</v>
      </c>
      <c r="Q137" s="381">
        <v>7.8068857992905369E-3</v>
      </c>
      <c r="R137" s="381">
        <v>9.2155906109394493E-3</v>
      </c>
      <c r="S137" s="381">
        <v>7.8084705882352943E-3</v>
      </c>
      <c r="T137" s="381">
        <v>7.2171870194289757E-3</v>
      </c>
      <c r="U137" s="381">
        <v>6.8946269044219168E-3</v>
      </c>
      <c r="V137" s="381">
        <v>6.5978290486721457E-3</v>
      </c>
      <c r="W137" s="381">
        <v>6.5759451245306095E-3</v>
      </c>
    </row>
    <row r="138" spans="1:23" ht="15" customHeight="1">
      <c r="B138" s="381" t="str">
        <f>+_xll.BDP(C138,"SHORT_NAME")</f>
        <v>HILLENBRAND INC</v>
      </c>
      <c r="C138" s="538" t="str">
        <f>+Inputs!$E$23</f>
        <v>HI US Equity</v>
      </c>
      <c r="D138" s="381"/>
      <c r="E138" s="382"/>
      <c r="F138" s="381"/>
      <c r="G138" s="381" t="s">
        <v>750</v>
      </c>
      <c r="H138" s="381" t="s">
        <v>750</v>
      </c>
      <c r="I138" s="381" t="s">
        <v>750</v>
      </c>
      <c r="J138" s="381">
        <v>15.085000000000001</v>
      </c>
      <c r="K138" s="381">
        <v>14.702</v>
      </c>
      <c r="L138" s="381">
        <v>8.3800000000000008</v>
      </c>
      <c r="M138" s="381">
        <v>8.4420000000000002</v>
      </c>
      <c r="N138" s="381">
        <v>7.9379999999999997</v>
      </c>
      <c r="O138" s="381"/>
      <c r="P138" s="381" t="e">
        <v>#VALUE!</v>
      </c>
      <c r="Q138" s="381" t="e">
        <v>#VALUE!</v>
      </c>
      <c r="R138" s="381" t="e">
        <v>#VALUE!</v>
      </c>
      <c r="S138" s="381">
        <v>5.9932459276916964E-3</v>
      </c>
      <c r="T138" s="381">
        <v>6.5592932988310874E-3</v>
      </c>
      <c r="U138" s="381">
        <v>3.6194013734721204E-3</v>
      </c>
      <c r="V138" s="381">
        <v>2.9872611464968153E-3</v>
      </c>
      <c r="W138" s="381">
        <v>2.4940304134724138E-3</v>
      </c>
    </row>
    <row r="139" spans="1:23" ht="15" customHeight="1">
      <c r="B139" s="381" t="str">
        <f>+_xll.BDP(C139,"SHORT_NAME")</f>
        <v>TENNANT CO</v>
      </c>
      <c r="C139" s="538" t="str">
        <f>+Inputs!$E$24</f>
        <v>TNC US Equity</v>
      </c>
      <c r="D139" s="381"/>
      <c r="E139" s="382"/>
      <c r="F139" s="381"/>
      <c r="G139" s="381">
        <v>22.420999999999999</v>
      </c>
      <c r="H139" s="381">
        <v>27.402999999999999</v>
      </c>
      <c r="I139" s="381">
        <v>26.686</v>
      </c>
      <c r="J139" s="381">
        <v>22.582000000000001</v>
      </c>
      <c r="K139" s="381">
        <v>24.106000000000002</v>
      </c>
      <c r="L139" s="381">
        <v>23.236999999999998</v>
      </c>
      <c r="M139" s="381">
        <v>21.802</v>
      </c>
      <c r="N139" s="381">
        <v>23.937000000000001</v>
      </c>
      <c r="O139" s="381"/>
      <c r="P139" s="381">
        <v>2.2352467335150429E-2</v>
      </c>
      <c r="Q139" s="381">
        <v>2.4390504409836665E-2</v>
      </c>
      <c r="R139" s="381">
        <v>2.3458157524613221E-2</v>
      </c>
      <c r="S139" s="381">
        <v>2.255944055944056E-2</v>
      </c>
      <c r="T139" s="381">
        <v>2.2099376604327103E-2</v>
      </c>
      <c r="U139" s="381">
        <v>2.1275407434535796E-2</v>
      </c>
      <c r="V139" s="381">
        <v>1.7531360566098424E-2</v>
      </c>
      <c r="W139" s="381">
        <v>1.8603404056889719E-2</v>
      </c>
    </row>
    <row r="140" spans="1:23" ht="15" customHeight="1">
      <c r="B140" s="381" t="str">
        <f>+_xll.BDP(C140,"SHORT_NAME")</f>
        <v>KADANT INC</v>
      </c>
      <c r="C140" s="538" t="str">
        <f>+Inputs!$E$25</f>
        <v>KAI US EQUITY</v>
      </c>
      <c r="D140" s="381"/>
      <c r="E140" s="382"/>
      <c r="F140" s="381"/>
      <c r="G140" s="381" t="s">
        <v>750</v>
      </c>
      <c r="H140" s="381" t="s">
        <v>750</v>
      </c>
      <c r="I140" s="381">
        <v>27.687000000000001</v>
      </c>
      <c r="J140" s="381">
        <v>28.975999999999999</v>
      </c>
      <c r="K140" s="381">
        <v>29.704000000000001</v>
      </c>
      <c r="L140" s="381">
        <v>27.661999999999999</v>
      </c>
      <c r="M140" s="381">
        <v>23.765000000000001</v>
      </c>
      <c r="N140" s="381">
        <v>30.384</v>
      </c>
      <c r="O140" s="381"/>
      <c r="P140" s="381" t="e">
        <v>#VALUE!</v>
      </c>
      <c r="Q140" s="381" t="e">
        <v>#VALUE!</v>
      </c>
      <c r="R140" s="381">
        <v>3.9292181583892007E-2</v>
      </c>
      <c r="S140" s="381">
        <v>4.5629484054246425E-2</v>
      </c>
      <c r="T140" s="381">
        <v>3.7763530427331521E-2</v>
      </c>
      <c r="U140" s="381">
        <v>3.0574563492896844E-2</v>
      </c>
      <c r="V140" s="381">
        <v>2.4815385643518865E-2</v>
      </c>
      <c r="W140" s="381">
        <v>2.8844182178578752E-2</v>
      </c>
    </row>
    <row r="141" spans="1:23" ht="15" customHeight="1">
      <c r="B141" s="381"/>
      <c r="C141" s="381"/>
      <c r="D141" s="381"/>
      <c r="E141" s="382"/>
      <c r="F141" s="381"/>
      <c r="G141" s="381"/>
      <c r="H141" s="381"/>
      <c r="I141" s="381"/>
      <c r="J141" s="381"/>
      <c r="K141" s="381"/>
      <c r="L141" s="381"/>
      <c r="M141" s="381"/>
      <c r="N141" s="381"/>
      <c r="O141" s="381"/>
      <c r="P141" s="381"/>
      <c r="Q141" s="381"/>
      <c r="R141" s="381"/>
      <c r="S141" s="381"/>
      <c r="T141" s="381"/>
      <c r="U141" s="381"/>
      <c r="V141" s="381"/>
      <c r="W141" s="381"/>
    </row>
    <row r="142" spans="1:23" ht="15" customHeight="1">
      <c r="B142" s="385" t="s">
        <v>102</v>
      </c>
      <c r="C142" s="539" t="s">
        <v>751</v>
      </c>
      <c r="D142" s="386"/>
      <c r="E142" s="32"/>
      <c r="F142" s="389"/>
      <c r="G142" s="389">
        <v>2017</v>
      </c>
      <c r="H142" s="389">
        <v>2018</v>
      </c>
      <c r="I142" s="389">
        <v>2019</v>
      </c>
      <c r="J142" s="389">
        <v>2020</v>
      </c>
      <c r="K142" s="389">
        <v>2021</v>
      </c>
      <c r="L142" s="389">
        <v>2022</v>
      </c>
      <c r="M142" s="389">
        <v>2023</v>
      </c>
      <c r="N142" s="389">
        <v>2024</v>
      </c>
      <c r="O142" s="381"/>
      <c r="P142" s="389">
        <v>2017</v>
      </c>
      <c r="Q142" s="389">
        <v>2018</v>
      </c>
      <c r="R142" s="389">
        <v>2019</v>
      </c>
      <c r="S142" s="389">
        <v>2020</v>
      </c>
      <c r="T142" s="389">
        <v>2021</v>
      </c>
      <c r="U142" s="389">
        <v>2022</v>
      </c>
      <c r="V142" s="389">
        <v>2023</v>
      </c>
      <c r="W142" s="389">
        <v>2024</v>
      </c>
    </row>
    <row r="143" spans="1:23" ht="3.95" customHeight="1">
      <c r="B143" s="390"/>
      <c r="C143" s="390"/>
      <c r="D143" s="390"/>
      <c r="E143" s="391"/>
      <c r="F143" s="392"/>
      <c r="G143" s="392"/>
      <c r="H143" s="392"/>
      <c r="I143" s="392"/>
      <c r="J143" s="392"/>
      <c r="K143" s="392"/>
      <c r="L143" s="392"/>
      <c r="M143" s="392"/>
      <c r="N143" s="392"/>
      <c r="O143" s="381"/>
      <c r="P143" s="392"/>
      <c r="Q143" s="392"/>
      <c r="R143" s="392"/>
      <c r="S143" s="392"/>
      <c r="T143" s="392"/>
      <c r="U143" s="392"/>
      <c r="V143" s="392"/>
      <c r="W143" s="392"/>
    </row>
    <row r="144" spans="1:23" ht="15" customHeight="1">
      <c r="B144" s="381" t="str">
        <f>+_xll.BDP(C144,"SHORT_NAME")</f>
        <v>MIDDLEBY CORP</v>
      </c>
      <c r="C144" s="538" t="str">
        <f>Inputs!$D$15</f>
        <v>MIDD US Equity</v>
      </c>
      <c r="D144" s="381"/>
      <c r="E144" s="382"/>
      <c r="F144" s="381"/>
      <c r="G144" s="381" t="s">
        <v>750</v>
      </c>
      <c r="H144" s="381">
        <v>113.611</v>
      </c>
      <c r="I144" s="381">
        <v>50.832999999999998</v>
      </c>
      <c r="J144" s="381">
        <v>144.36199999999999</v>
      </c>
      <c r="K144" s="381">
        <v>169.464</v>
      </c>
      <c r="L144" s="381">
        <v>144.71700000000001</v>
      </c>
      <c r="M144" s="381">
        <v>130.88399999999999</v>
      </c>
      <c r="N144" s="381" t="s">
        <v>750</v>
      </c>
      <c r="O144" s="381"/>
      <c r="P144" s="381" t="e">
        <v>#VALUE!</v>
      </c>
      <c r="Q144" s="381">
        <v>4.1723789548835426E-2</v>
      </c>
      <c r="R144" s="381">
        <v>1.7176525606481755E-2</v>
      </c>
      <c r="S144" s="381">
        <v>5.74402060752243E-2</v>
      </c>
      <c r="T144" s="381">
        <v>5.2130065534798903E-2</v>
      </c>
      <c r="U144" s="381">
        <v>3.5884521454166568E-2</v>
      </c>
      <c r="V144" s="381">
        <v>3.2424277332064939E-2</v>
      </c>
      <c r="W144" s="381" t="e">
        <v>#VALUE!</v>
      </c>
    </row>
    <row r="145" spans="2:23" ht="15" customHeight="1">
      <c r="B145" s="381" t="str">
        <f>+_xll.BDP(C145,"SHORT_NAME")</f>
        <v>NORDSON CORP</v>
      </c>
      <c r="C145" s="538" t="str">
        <f>+Inputs!$E$21</f>
        <v>NDSN US Equity</v>
      </c>
      <c r="D145" s="381"/>
      <c r="E145" s="382"/>
      <c r="F145" s="381"/>
      <c r="G145" s="381" t="s">
        <v>750</v>
      </c>
      <c r="H145" s="381" t="s">
        <v>750</v>
      </c>
      <c r="I145" s="381" t="s">
        <v>750</v>
      </c>
      <c r="J145" s="381">
        <v>92.521000000000001</v>
      </c>
      <c r="K145" s="381">
        <v>113.992</v>
      </c>
      <c r="L145" s="381">
        <v>115.623</v>
      </c>
      <c r="M145" s="381">
        <v>106.282</v>
      </c>
      <c r="N145" s="381" t="s">
        <v>750</v>
      </c>
      <c r="O145" s="381"/>
      <c r="P145" s="381" t="e">
        <v>#VALUE!</v>
      </c>
      <c r="Q145" s="381" t="e">
        <v>#VALUE!</v>
      </c>
      <c r="R145" s="381" t="e">
        <v>#VALUE!</v>
      </c>
      <c r="S145" s="381">
        <v>4.3619348451275283E-2</v>
      </c>
      <c r="T145" s="381">
        <v>4.8256525989021297E-2</v>
      </c>
      <c r="U145" s="381">
        <v>4.4637293757658451E-2</v>
      </c>
      <c r="V145" s="381">
        <v>4.0432437861214497E-2</v>
      </c>
      <c r="W145" s="381" t="e">
        <v>#VALUE!</v>
      </c>
    </row>
    <row r="146" spans="2:23" ht="15" customHeight="1">
      <c r="B146" s="381" t="str">
        <f>+_xll.BDP(C146,"SHORT_NAME")</f>
        <v>STANLEY BLACK &amp;</v>
      </c>
      <c r="C146" s="538" t="str">
        <f>+Inputs!$E$22</f>
        <v>SWK US EQUITY</v>
      </c>
      <c r="D146" s="381"/>
      <c r="E146" s="382"/>
      <c r="F146" s="381"/>
      <c r="G146" s="381">
        <v>1118.73</v>
      </c>
      <c r="H146" s="381">
        <v>1251.1500000000001</v>
      </c>
      <c r="I146" s="381" t="s">
        <v>750</v>
      </c>
      <c r="J146" s="381">
        <v>1147.03</v>
      </c>
      <c r="K146" s="381">
        <v>1240.17</v>
      </c>
      <c r="L146" s="381">
        <v>1388.69</v>
      </c>
      <c r="M146" s="381">
        <v>1286.23</v>
      </c>
      <c r="N146" s="381">
        <v>1259.42</v>
      </c>
      <c r="O146" s="381"/>
      <c r="P146" s="381">
        <v>8.6277821479801953E-2</v>
      </c>
      <c r="Q146" s="381">
        <v>8.9480346721592871E-2</v>
      </c>
      <c r="R146" s="381" t="e">
        <v>#VALUE!</v>
      </c>
      <c r="S146" s="381">
        <v>8.9963137254901959E-2</v>
      </c>
      <c r="T146" s="381">
        <v>8.115605347712565E-2</v>
      </c>
      <c r="U146" s="381">
        <v>8.1941182718293065E-2</v>
      </c>
      <c r="V146" s="381">
        <v>8.1504457864153959E-2</v>
      </c>
      <c r="W146" s="381">
        <v>8.1963073598989952E-2</v>
      </c>
    </row>
    <row r="147" spans="2:23" ht="15" customHeight="1">
      <c r="B147" s="381" t="str">
        <f>+_xll.BDP(C147,"SHORT_NAME")</f>
        <v>HILLENBRAND INC</v>
      </c>
      <c r="C147" s="538" t="str">
        <f>+Inputs!$E$23</f>
        <v>HI US Equity</v>
      </c>
      <c r="D147" s="381"/>
      <c r="E147" s="382"/>
      <c r="F147" s="381"/>
      <c r="G147" s="381" t="s">
        <v>750</v>
      </c>
      <c r="H147" s="381" t="s">
        <v>750</v>
      </c>
      <c r="I147" s="381" t="s">
        <v>750</v>
      </c>
      <c r="J147" s="381">
        <v>221.91300000000001</v>
      </c>
      <c r="K147" s="381">
        <v>225.58199999999999</v>
      </c>
      <c r="L147" s="381">
        <v>116.626</v>
      </c>
      <c r="M147" s="381">
        <v>118.517</v>
      </c>
      <c r="N147" s="381">
        <v>113.506</v>
      </c>
      <c r="O147" s="381"/>
      <c r="P147" s="381" t="e">
        <v>#VALUE!</v>
      </c>
      <c r="Q147" s="381" t="e">
        <v>#VALUE!</v>
      </c>
      <c r="R147" s="381" t="e">
        <v>#VALUE!</v>
      </c>
      <c r="S147" s="381">
        <v>8.8165673420738985E-2</v>
      </c>
      <c r="T147" s="381">
        <v>0.10064334790755777</v>
      </c>
      <c r="U147" s="381">
        <v>5.0371874055198031E-2</v>
      </c>
      <c r="V147" s="381">
        <v>4.1938075017692852E-2</v>
      </c>
      <c r="W147" s="381">
        <v>3.5662309915797406E-2</v>
      </c>
    </row>
    <row r="148" spans="2:23" ht="15" customHeight="1">
      <c r="B148" s="381" t="str">
        <f>+_xll.BDP(C148,"SHORT_NAME")</f>
        <v>TENNANT CO</v>
      </c>
      <c r="C148" s="538" t="str">
        <f>+Inputs!$E$24</f>
        <v>TNC US Equity</v>
      </c>
      <c r="D148" s="381"/>
      <c r="E148" s="382"/>
      <c r="F148" s="381"/>
      <c r="G148" s="381">
        <v>118.148</v>
      </c>
      <c r="H148" s="381">
        <v>119.714</v>
      </c>
      <c r="I148" s="381">
        <v>131.864</v>
      </c>
      <c r="J148" s="381">
        <v>117.79600000000001</v>
      </c>
      <c r="K148" s="381">
        <v>131.52500000000001</v>
      </c>
      <c r="L148" s="381">
        <v>136.26300000000001</v>
      </c>
      <c r="M148" s="381">
        <v>185.94200000000001</v>
      </c>
      <c r="N148" s="381" t="s">
        <v>750</v>
      </c>
      <c r="O148" s="381"/>
      <c r="P148" s="381">
        <v>0.11778686547046754</v>
      </c>
      <c r="Q148" s="381">
        <v>0.10655347388677103</v>
      </c>
      <c r="R148" s="381">
        <v>0.1159142053445851</v>
      </c>
      <c r="S148" s="381">
        <v>0.11767832167832168</v>
      </c>
      <c r="T148" s="381">
        <v>0.12057664099743309</v>
      </c>
      <c r="U148" s="381">
        <v>0.12476011719465299</v>
      </c>
      <c r="V148" s="381">
        <v>0.14951913798649086</v>
      </c>
      <c r="W148" s="381" t="e">
        <v>#VALUE!</v>
      </c>
    </row>
    <row r="149" spans="2:23" ht="15" customHeight="1">
      <c r="B149" s="381" t="str">
        <f>+_xll.BDP(C149,"SHORT_NAME")</f>
        <v>KADANT INC</v>
      </c>
      <c r="C149" s="538" t="str">
        <f>+Inputs!$E$25</f>
        <v>KAI US EQUITY</v>
      </c>
      <c r="D149" s="381"/>
      <c r="E149" s="382"/>
      <c r="F149" s="381"/>
      <c r="G149" s="381" t="s">
        <v>750</v>
      </c>
      <c r="H149" s="381" t="s">
        <v>750</v>
      </c>
      <c r="I149" s="381">
        <v>183.37</v>
      </c>
      <c r="J149" s="381">
        <v>191.11099999999999</v>
      </c>
      <c r="K149" s="381">
        <v>198.94499999999999</v>
      </c>
      <c r="L149" s="381">
        <v>187.13300000000001</v>
      </c>
      <c r="M149" s="381">
        <v>163.53399999999999</v>
      </c>
      <c r="N149" s="381">
        <v>185.81100000000001</v>
      </c>
      <c r="O149" s="381"/>
      <c r="P149" s="381" t="e">
        <v>#VALUE!</v>
      </c>
      <c r="Q149" s="381" t="e">
        <v>#VALUE!</v>
      </c>
      <c r="R149" s="381">
        <v>0.26023069805462051</v>
      </c>
      <c r="S149" s="381">
        <v>0.30094893453517008</v>
      </c>
      <c r="T149" s="381">
        <v>0.252924372504224</v>
      </c>
      <c r="U149" s="381">
        <v>0.2068364467542573</v>
      </c>
      <c r="V149" s="381">
        <v>0.17076201455195514</v>
      </c>
      <c r="W149" s="381">
        <v>0.17639436330910666</v>
      </c>
    </row>
    <row r="151" spans="2:23" ht="15" customHeight="1">
      <c r="B151" s="385" t="s">
        <v>97</v>
      </c>
      <c r="C151" s="539" t="s">
        <v>752</v>
      </c>
      <c r="D151" s="386"/>
      <c r="E151" s="32"/>
      <c r="F151" s="389"/>
      <c r="G151" s="389">
        <v>2017</v>
      </c>
      <c r="H151" s="389">
        <v>2018</v>
      </c>
      <c r="I151" s="389">
        <v>2019</v>
      </c>
      <c r="J151" s="389">
        <v>2020</v>
      </c>
      <c r="K151" s="389">
        <v>2021</v>
      </c>
      <c r="L151" s="389">
        <v>2022</v>
      </c>
      <c r="M151" s="389">
        <v>2023</v>
      </c>
      <c r="N151" s="389">
        <v>2024</v>
      </c>
      <c r="O151" s="381"/>
      <c r="P151" s="389">
        <v>2017</v>
      </c>
      <c r="Q151" s="389">
        <v>2018</v>
      </c>
      <c r="R151" s="389">
        <v>2019</v>
      </c>
      <c r="S151" s="389">
        <v>2020</v>
      </c>
      <c r="T151" s="389">
        <v>2021</v>
      </c>
      <c r="U151" s="389">
        <v>2022</v>
      </c>
      <c r="V151" s="389">
        <v>2023</v>
      </c>
      <c r="W151" s="389">
        <v>2024</v>
      </c>
    </row>
    <row r="152" spans="2:23" ht="3.95" customHeight="1">
      <c r="B152" s="390"/>
      <c r="C152" s="390"/>
      <c r="D152" s="390"/>
      <c r="E152" s="391"/>
      <c r="F152" s="392"/>
      <c r="G152" s="392"/>
      <c r="H152" s="392"/>
      <c r="I152" s="392"/>
      <c r="J152" s="392"/>
      <c r="K152" s="392"/>
      <c r="L152" s="392"/>
      <c r="M152" s="392"/>
      <c r="N152" s="392"/>
      <c r="O152" s="381"/>
      <c r="P152" s="392"/>
      <c r="Q152" s="392"/>
      <c r="R152" s="392"/>
      <c r="S152" s="392"/>
      <c r="T152" s="392"/>
      <c r="U152" s="392"/>
      <c r="V152" s="392"/>
      <c r="W152" s="392"/>
    </row>
    <row r="153" spans="2:23" ht="15" customHeight="1">
      <c r="B153" s="381" t="str">
        <f>+_xll.BDP(C153,"SHORT_NAME")</f>
        <v>MIDDLEBY CORP</v>
      </c>
      <c r="C153" s="538" t="str">
        <f>Inputs!$D$15</f>
        <v>MIDD US Equity</v>
      </c>
      <c r="D153" s="381"/>
      <c r="E153" s="382"/>
      <c r="F153" s="381"/>
      <c r="G153" s="381" t="s">
        <v>750</v>
      </c>
      <c r="H153" s="381" t="s">
        <v>750</v>
      </c>
      <c r="I153" s="381">
        <v>46</v>
      </c>
      <c r="J153" s="381">
        <v>2</v>
      </c>
      <c r="K153" s="381">
        <v>8</v>
      </c>
      <c r="L153" s="381">
        <v>297</v>
      </c>
      <c r="M153" s="381">
        <v>272</v>
      </c>
      <c r="N153" s="381" t="s">
        <v>750</v>
      </c>
      <c r="O153" s="381"/>
      <c r="P153" s="381" t="e">
        <v>#VALUE!</v>
      </c>
      <c r="Q153" s="381" t="e">
        <v>#VALUE!</v>
      </c>
      <c r="R153" s="381">
        <v>1.5543449686191268E-2</v>
      </c>
      <c r="S153" s="381">
        <v>7.9578013708904416E-4</v>
      </c>
      <c r="T153" s="381">
        <v>2.4609387496954587E-3</v>
      </c>
      <c r="U153" s="381">
        <v>7.3645134102334003E-2</v>
      </c>
      <c r="V153" s="381">
        <v>6.7383358044693503E-2</v>
      </c>
      <c r="W153" s="381" t="e">
        <v>#VALUE!</v>
      </c>
    </row>
    <row r="154" spans="2:23" ht="15" customHeight="1">
      <c r="B154" s="381" t="str">
        <f>+_xll.BDP(C154,"SHORT_NAME")</f>
        <v>NORDSON CORP</v>
      </c>
      <c r="C154" s="538" t="str">
        <f>+Inputs!$E$21</f>
        <v>NDSN US Equity</v>
      </c>
      <c r="D154" s="381"/>
      <c r="E154" s="382"/>
      <c r="F154" s="381"/>
      <c r="G154" s="381" t="s">
        <v>750</v>
      </c>
      <c r="H154" s="381" t="s">
        <v>750</v>
      </c>
      <c r="I154" s="381" t="s">
        <v>750</v>
      </c>
      <c r="J154" s="381" t="s">
        <v>750</v>
      </c>
      <c r="K154" s="381" t="s">
        <v>750</v>
      </c>
      <c r="L154" s="381" t="s">
        <v>750</v>
      </c>
      <c r="M154" s="381" t="s">
        <v>750</v>
      </c>
      <c r="N154" s="381" t="s">
        <v>750</v>
      </c>
      <c r="O154" s="381"/>
      <c r="P154" s="381" t="e">
        <v>#VALUE!</v>
      </c>
      <c r="Q154" s="381" t="e">
        <v>#VALUE!</v>
      </c>
      <c r="R154" s="381" t="e">
        <v>#VALUE!</v>
      </c>
      <c r="S154" s="381" t="e">
        <v>#VALUE!</v>
      </c>
      <c r="T154" s="381" t="e">
        <v>#VALUE!</v>
      </c>
      <c r="U154" s="381" t="e">
        <v>#VALUE!</v>
      </c>
      <c r="V154" s="381" t="e">
        <v>#VALUE!</v>
      </c>
      <c r="W154" s="381" t="e">
        <v>#VALUE!</v>
      </c>
    </row>
    <row r="155" spans="2:23" ht="15" customHeight="1">
      <c r="B155" s="381" t="str">
        <f>+_xll.BDP(C155,"SHORT_NAME")</f>
        <v>STANLEY BLACK &amp;</v>
      </c>
      <c r="C155" s="538" t="str">
        <f>+Inputs!$E$22</f>
        <v>SWK US EQUITY</v>
      </c>
      <c r="D155" s="381"/>
      <c r="E155" s="382"/>
      <c r="F155" s="381"/>
      <c r="G155" s="381" t="s">
        <v>750</v>
      </c>
      <c r="H155" s="381" t="s">
        <v>750</v>
      </c>
      <c r="I155" s="381" t="s">
        <v>750</v>
      </c>
      <c r="J155" s="381" t="s">
        <v>750</v>
      </c>
      <c r="K155" s="381" t="s">
        <v>750</v>
      </c>
      <c r="L155" s="381" t="s">
        <v>750</v>
      </c>
      <c r="M155" s="381" t="s">
        <v>750</v>
      </c>
      <c r="N155" s="381" t="s">
        <v>750</v>
      </c>
      <c r="O155" s="381"/>
      <c r="P155" s="381" t="e">
        <v>#VALUE!</v>
      </c>
      <c r="Q155" s="381" t="e">
        <v>#VALUE!</v>
      </c>
      <c r="R155" s="381" t="e">
        <v>#VALUE!</v>
      </c>
      <c r="S155" s="381" t="e">
        <v>#VALUE!</v>
      </c>
      <c r="T155" s="381" t="e">
        <v>#VALUE!</v>
      </c>
      <c r="U155" s="381" t="e">
        <v>#VALUE!</v>
      </c>
      <c r="V155" s="381" t="e">
        <v>#VALUE!</v>
      </c>
      <c r="W155" s="381" t="e">
        <v>#VALUE!</v>
      </c>
    </row>
    <row r="156" spans="2:23" ht="15" customHeight="1">
      <c r="B156" s="381" t="str">
        <f>+_xll.BDP(C156,"SHORT_NAME")</f>
        <v>HILLENBRAND INC</v>
      </c>
      <c r="C156" s="538" t="str">
        <f>+Inputs!$E$23</f>
        <v>HI US Equity</v>
      </c>
      <c r="D156" s="381"/>
      <c r="E156" s="382"/>
      <c r="F156" s="381"/>
      <c r="G156" s="381" t="s">
        <v>750</v>
      </c>
      <c r="H156" s="381" t="s">
        <v>750</v>
      </c>
      <c r="I156" s="381" t="s">
        <v>750</v>
      </c>
      <c r="J156" s="381" t="s">
        <v>750</v>
      </c>
      <c r="K156" s="381" t="s">
        <v>750</v>
      </c>
      <c r="L156" s="381" t="s">
        <v>750</v>
      </c>
      <c r="M156" s="381">
        <v>8.2989999999999995</v>
      </c>
      <c r="N156" s="381">
        <v>7.4740000000000002</v>
      </c>
      <c r="O156" s="381"/>
      <c r="P156" s="381" t="e">
        <v>#VALUE!</v>
      </c>
      <c r="Q156" s="381" t="e">
        <v>#VALUE!</v>
      </c>
      <c r="R156" s="381" t="e">
        <v>#VALUE!</v>
      </c>
      <c r="S156" s="381" t="e">
        <v>#VALUE!</v>
      </c>
      <c r="T156" s="381" t="e">
        <v>#VALUE!</v>
      </c>
      <c r="U156" s="381" t="e">
        <v>#VALUE!</v>
      </c>
      <c r="V156" s="381">
        <v>2.9366595895258312E-3</v>
      </c>
      <c r="W156" s="381">
        <v>2.3482468266934776E-3</v>
      </c>
    </row>
    <row r="157" spans="2:23" ht="15" customHeight="1">
      <c r="B157" s="381" t="str">
        <f>+_xll.BDP(C157,"SHORT_NAME")</f>
        <v>TENNANT CO</v>
      </c>
      <c r="C157" s="538" t="str">
        <f>+Inputs!$E$24</f>
        <v>TNC US Equity</v>
      </c>
      <c r="D157" s="381"/>
      <c r="E157" s="382"/>
      <c r="F157" s="381"/>
      <c r="G157" s="381" t="s">
        <v>750</v>
      </c>
      <c r="H157" s="381" t="s">
        <v>750</v>
      </c>
      <c r="I157" s="381" t="s">
        <v>750</v>
      </c>
      <c r="J157" s="381" t="s">
        <v>750</v>
      </c>
      <c r="K157" s="381" t="s">
        <v>750</v>
      </c>
      <c r="L157" s="381" t="s">
        <v>750</v>
      </c>
      <c r="M157" s="381" t="s">
        <v>750</v>
      </c>
      <c r="N157" s="381" t="s">
        <v>750</v>
      </c>
      <c r="O157" s="381"/>
      <c r="P157" s="381" t="e">
        <v>#VALUE!</v>
      </c>
      <c r="Q157" s="381" t="e">
        <v>#VALUE!</v>
      </c>
      <c r="R157" s="381" t="e">
        <v>#VALUE!</v>
      </c>
      <c r="S157" s="381" t="e">
        <v>#VALUE!</v>
      </c>
      <c r="T157" s="381" t="e">
        <v>#VALUE!</v>
      </c>
      <c r="U157" s="381" t="e">
        <v>#VALUE!</v>
      </c>
      <c r="V157" s="381" t="e">
        <v>#VALUE!</v>
      </c>
      <c r="W157" s="381" t="e">
        <v>#VALUE!</v>
      </c>
    </row>
    <row r="158" spans="2:23" ht="15" customHeight="1">
      <c r="B158" s="381" t="str">
        <f>+_xll.BDP(C158,"SHORT_NAME")</f>
        <v>KADANT INC</v>
      </c>
      <c r="C158" s="538" t="str">
        <f>+Inputs!$E$25</f>
        <v>KAI US EQUITY</v>
      </c>
      <c r="D158" s="381"/>
      <c r="E158" s="382"/>
      <c r="F158" s="381"/>
      <c r="G158" s="381" t="s">
        <v>750</v>
      </c>
      <c r="H158" s="381" t="s">
        <v>750</v>
      </c>
      <c r="I158" s="381" t="s">
        <v>750</v>
      </c>
      <c r="J158" s="381" t="s">
        <v>750</v>
      </c>
      <c r="K158" s="381" t="s">
        <v>750</v>
      </c>
      <c r="L158" s="381" t="s">
        <v>750</v>
      </c>
      <c r="M158" s="381">
        <v>693</v>
      </c>
      <c r="N158" s="381">
        <v>10</v>
      </c>
      <c r="O158" s="381"/>
      <c r="P158" s="381" t="e">
        <v>#VALUE!</v>
      </c>
      <c r="Q158" s="381" t="e">
        <v>#VALUE!</v>
      </c>
      <c r="R158" s="381" t="e">
        <v>#VALUE!</v>
      </c>
      <c r="S158" s="381" t="e">
        <v>#VALUE!</v>
      </c>
      <c r="T158" s="381" t="e">
        <v>#VALUE!</v>
      </c>
      <c r="U158" s="381" t="e">
        <v>#VALUE!</v>
      </c>
      <c r="V158" s="381">
        <v>0.723629802270506</v>
      </c>
      <c r="W158" s="381">
        <v>9.4932142504537756E-3</v>
      </c>
    </row>
    <row r="159" spans="2:23" ht="15" customHeight="1">
      <c r="B159" s="381"/>
      <c r="C159" s="381"/>
      <c r="D159" s="381"/>
      <c r="E159" s="382"/>
      <c r="F159" s="381"/>
      <c r="G159" s="381"/>
      <c r="H159" s="381"/>
      <c r="I159" s="381"/>
      <c r="J159" s="381"/>
      <c r="K159" s="381"/>
      <c r="L159" s="381"/>
      <c r="M159" s="381"/>
      <c r="N159" s="381"/>
      <c r="O159" s="381"/>
      <c r="P159" s="381"/>
      <c r="Q159" s="381"/>
      <c r="R159" s="381"/>
      <c r="S159" s="381"/>
      <c r="T159" s="381"/>
      <c r="U159" s="381"/>
      <c r="V159" s="381"/>
      <c r="W159" s="381"/>
    </row>
    <row r="160" spans="2:23" ht="15" customHeight="1">
      <c r="B160" s="385" t="s">
        <v>753</v>
      </c>
      <c r="C160" s="539" t="s">
        <v>754</v>
      </c>
      <c r="D160" s="386"/>
      <c r="E160" s="32"/>
      <c r="F160" s="389"/>
      <c r="G160" s="389">
        <v>2017</v>
      </c>
      <c r="H160" s="389">
        <v>2018</v>
      </c>
      <c r="I160" s="389">
        <v>2019</v>
      </c>
      <c r="J160" s="389">
        <v>2020</v>
      </c>
      <c r="K160" s="389">
        <v>2021</v>
      </c>
      <c r="L160" s="389">
        <v>2022</v>
      </c>
      <c r="M160" s="389">
        <v>2023</v>
      </c>
      <c r="N160" s="389">
        <v>2024</v>
      </c>
      <c r="O160" s="381"/>
      <c r="P160" s="389">
        <v>2017</v>
      </c>
      <c r="Q160" s="389">
        <v>2018</v>
      </c>
      <c r="R160" s="389">
        <v>2019</v>
      </c>
      <c r="S160" s="389">
        <v>2020</v>
      </c>
      <c r="T160" s="389">
        <v>2021</v>
      </c>
      <c r="U160" s="389">
        <v>2022</v>
      </c>
      <c r="V160" s="389">
        <v>2023</v>
      </c>
      <c r="W160" s="389">
        <v>2024</v>
      </c>
    </row>
    <row r="161" spans="2:23" ht="3.95" customHeight="1">
      <c r="B161" s="390"/>
      <c r="C161" s="390"/>
      <c r="D161" s="390"/>
      <c r="E161" s="391"/>
      <c r="F161" s="392"/>
      <c r="G161" s="392"/>
      <c r="H161" s="392"/>
      <c r="I161" s="392"/>
      <c r="J161" s="392"/>
      <c r="K161" s="392"/>
      <c r="L161" s="392"/>
      <c r="M161" s="392"/>
      <c r="N161" s="392"/>
      <c r="O161" s="381"/>
      <c r="P161" s="392"/>
      <c r="Q161" s="392"/>
      <c r="R161" s="392"/>
      <c r="S161" s="392"/>
      <c r="T161" s="392"/>
      <c r="U161" s="392"/>
      <c r="V161" s="392"/>
      <c r="W161" s="392"/>
    </row>
    <row r="162" spans="2:23" ht="15" customHeight="1">
      <c r="B162" s="381" t="str">
        <f>+_xll.BDP(C162,"SHORT_NAME")</f>
        <v>MIDDLEBY CORP</v>
      </c>
      <c r="C162" s="538" t="str">
        <f>Inputs!$D$15</f>
        <v>MIDD US Equity</v>
      </c>
      <c r="D162" s="381"/>
      <c r="E162" s="382"/>
      <c r="F162" s="381"/>
      <c r="G162" s="381" t="s">
        <v>750</v>
      </c>
      <c r="H162" s="381" t="s">
        <v>750</v>
      </c>
      <c r="I162" s="381">
        <v>12.707000000000001</v>
      </c>
      <c r="J162" s="381">
        <v>39.18</v>
      </c>
      <c r="K162" s="381">
        <v>38.411999999999999</v>
      </c>
      <c r="L162" s="381">
        <v>37.987000000000002</v>
      </c>
      <c r="M162" s="381">
        <v>39.831000000000003</v>
      </c>
      <c r="N162" s="381" t="s">
        <v>750</v>
      </c>
      <c r="O162" s="381"/>
      <c r="P162" s="381" t="e">
        <v>#VALUE!</v>
      </c>
      <c r="Q162" s="381" t="e">
        <v>#VALUE!</v>
      </c>
      <c r="R162" s="381">
        <v>4.2937090252702708E-3</v>
      </c>
      <c r="S162" s="381">
        <v>1.5589332885574375E-2</v>
      </c>
      <c r="T162" s="381">
        <v>1.1816197406662746E-2</v>
      </c>
      <c r="U162" s="381">
        <v>9.4193862260786593E-3</v>
      </c>
      <c r="V162" s="381">
        <v>9.8674504936698045E-3</v>
      </c>
      <c r="W162" s="381" t="e">
        <v>#VALUE!</v>
      </c>
    </row>
    <row r="163" spans="2:23" ht="15" customHeight="1">
      <c r="B163" s="381" t="str">
        <f>+_xll.BDP(C163,"SHORT_NAME")</f>
        <v>NORDSON CORP</v>
      </c>
      <c r="C163" s="538" t="str">
        <f>+Inputs!$E$21</f>
        <v>NDSN US Equity</v>
      </c>
      <c r="D163" s="381"/>
      <c r="E163" s="382"/>
      <c r="F163" s="381"/>
      <c r="G163" s="381" t="s">
        <v>750</v>
      </c>
      <c r="H163" s="381" t="s">
        <v>750</v>
      </c>
      <c r="I163" s="381" t="s">
        <v>750</v>
      </c>
      <c r="J163" s="381" t="s">
        <v>750</v>
      </c>
      <c r="K163" s="381" t="s">
        <v>750</v>
      </c>
      <c r="L163" s="381" t="s">
        <v>750</v>
      </c>
      <c r="M163" s="381" t="s">
        <v>750</v>
      </c>
      <c r="N163" s="381" t="s">
        <v>750</v>
      </c>
      <c r="O163" s="381"/>
      <c r="P163" s="381" t="e">
        <v>#VALUE!</v>
      </c>
      <c r="Q163" s="381" t="e">
        <v>#VALUE!</v>
      </c>
      <c r="R163" s="381" t="e">
        <v>#VALUE!</v>
      </c>
      <c r="S163" s="381" t="e">
        <v>#VALUE!</v>
      </c>
      <c r="T163" s="381" t="e">
        <v>#VALUE!</v>
      </c>
      <c r="U163" s="381" t="e">
        <v>#VALUE!</v>
      </c>
      <c r="V163" s="381" t="e">
        <v>#VALUE!</v>
      </c>
      <c r="W163" s="381" t="e">
        <v>#VALUE!</v>
      </c>
    </row>
    <row r="164" spans="2:23" ht="15" customHeight="1">
      <c r="B164" s="381" t="str">
        <f>+_xll.BDP(C164,"SHORT_NAME")</f>
        <v>STANLEY BLACK &amp;</v>
      </c>
      <c r="C164" s="538" t="str">
        <f>+Inputs!$E$22</f>
        <v>SWK US EQUITY</v>
      </c>
      <c r="D164" s="381"/>
      <c r="E164" s="382"/>
      <c r="F164" s="381"/>
      <c r="G164" s="381" t="s">
        <v>750</v>
      </c>
      <c r="H164" s="381" t="s">
        <v>750</v>
      </c>
      <c r="I164" s="381">
        <v>16.850000000000001</v>
      </c>
      <c r="J164" s="381">
        <v>15.04</v>
      </c>
      <c r="K164" s="381">
        <v>113.06</v>
      </c>
      <c r="L164" s="381">
        <v>147.91900000000001</v>
      </c>
      <c r="M164" s="381">
        <v>147.38499999999999</v>
      </c>
      <c r="N164" s="381">
        <v>130.61000000000001</v>
      </c>
      <c r="O164" s="381"/>
      <c r="P164" s="381" t="e">
        <v>#VALUE!</v>
      </c>
      <c r="Q164" s="381" t="e">
        <v>#VALUE!</v>
      </c>
      <c r="R164" s="381">
        <v>1.3048966537338631E-3</v>
      </c>
      <c r="S164" s="381">
        <v>1.1796078431372549E-3</v>
      </c>
      <c r="T164" s="381">
        <v>7.3985851989032351E-3</v>
      </c>
      <c r="U164" s="381">
        <v>8.7281234879686559E-3</v>
      </c>
      <c r="V164" s="381">
        <v>9.3393362946816126E-3</v>
      </c>
      <c r="W164" s="381">
        <v>8.5001008740246131E-3</v>
      </c>
    </row>
    <row r="165" spans="2:23" ht="15" customHeight="1">
      <c r="B165" s="381" t="str">
        <f>+_xll.BDP(C165,"SHORT_NAME")</f>
        <v>HILLENBRAND INC</v>
      </c>
      <c r="C165" s="538" t="str">
        <f>+Inputs!$E$23</f>
        <v>HI US Equity</v>
      </c>
      <c r="D165" s="381"/>
      <c r="E165" s="382"/>
      <c r="F165" s="381"/>
      <c r="G165" s="381" t="s">
        <v>750</v>
      </c>
      <c r="H165" s="381" t="s">
        <v>750</v>
      </c>
      <c r="I165" s="381" t="s">
        <v>750</v>
      </c>
      <c r="J165" s="381" t="s">
        <v>750</v>
      </c>
      <c r="K165" s="381" t="s">
        <v>750</v>
      </c>
      <c r="L165" s="381" t="s">
        <v>750</v>
      </c>
      <c r="M165" s="381" t="s">
        <v>750</v>
      </c>
      <c r="N165" s="381" t="s">
        <v>750</v>
      </c>
      <c r="O165" s="381"/>
      <c r="P165" s="381" t="e">
        <v>#VALUE!</v>
      </c>
      <c r="Q165" s="381" t="e">
        <v>#VALUE!</v>
      </c>
      <c r="R165" s="381" t="e">
        <v>#VALUE!</v>
      </c>
      <c r="S165" s="381" t="e">
        <v>#VALUE!</v>
      </c>
      <c r="T165" s="381" t="e">
        <v>#VALUE!</v>
      </c>
      <c r="U165" s="381" t="e">
        <v>#VALUE!</v>
      </c>
      <c r="V165" s="381" t="e">
        <v>#VALUE!</v>
      </c>
      <c r="W165" s="381" t="e">
        <v>#VALUE!</v>
      </c>
    </row>
    <row r="166" spans="2:23" ht="15" customHeight="1">
      <c r="B166" s="381" t="str">
        <f>+_xll.BDP(C166,"SHORT_NAME")</f>
        <v>TENNANT CO</v>
      </c>
      <c r="C166" s="538" t="str">
        <f>+Inputs!$E$24</f>
        <v>TNC US Equity</v>
      </c>
      <c r="D166" s="381"/>
      <c r="E166" s="382"/>
      <c r="F166" s="381"/>
      <c r="G166" s="381" t="s">
        <v>750</v>
      </c>
      <c r="H166" s="381" t="s">
        <v>750</v>
      </c>
      <c r="I166" s="381" t="s">
        <v>750</v>
      </c>
      <c r="J166" s="381" t="s">
        <v>750</v>
      </c>
      <c r="K166" s="381" t="s">
        <v>750</v>
      </c>
      <c r="L166" s="381">
        <v>1.893</v>
      </c>
      <c r="M166" s="381">
        <v>2.0110000000000001</v>
      </c>
      <c r="N166" s="381" t="s">
        <v>750</v>
      </c>
      <c r="O166" s="381"/>
      <c r="P166" s="381" t="e">
        <v>#VALUE!</v>
      </c>
      <c r="Q166" s="381" t="e">
        <v>#VALUE!</v>
      </c>
      <c r="R166" s="381" t="e">
        <v>#VALUE!</v>
      </c>
      <c r="S166" s="381" t="e">
        <v>#VALUE!</v>
      </c>
      <c r="T166" s="381" t="e">
        <v>#VALUE!</v>
      </c>
      <c r="U166" s="381">
        <v>1.7331990477934443E-3</v>
      </c>
      <c r="V166" s="381">
        <v>1.6170794467674496E-3</v>
      </c>
      <c r="W166" s="381" t="e">
        <v>#VALUE!</v>
      </c>
    </row>
    <row r="167" spans="2:23" ht="15" customHeight="1">
      <c r="B167" s="381" t="str">
        <f>+_xll.BDP(C167,"SHORT_NAME")</f>
        <v>KADANT INC</v>
      </c>
      <c r="C167" s="538" t="str">
        <f>+Inputs!$E$25</f>
        <v>KAI US EQUITY</v>
      </c>
      <c r="D167" s="381"/>
      <c r="E167" s="382"/>
      <c r="F167" s="381"/>
      <c r="G167" s="381" t="s">
        <v>750</v>
      </c>
      <c r="H167" s="381" t="s">
        <v>750</v>
      </c>
      <c r="I167" s="381" t="s">
        <v>750</v>
      </c>
      <c r="J167" s="381" t="s">
        <v>750</v>
      </c>
      <c r="K167" s="381" t="s">
        <v>750</v>
      </c>
      <c r="L167" s="381">
        <v>3.968</v>
      </c>
      <c r="M167" s="381">
        <v>3.85</v>
      </c>
      <c r="N167" s="381" t="s">
        <v>750</v>
      </c>
      <c r="O167" s="381"/>
      <c r="P167" s="381" t="e">
        <v>#VALUE!</v>
      </c>
      <c r="Q167" s="381" t="e">
        <v>#VALUE!</v>
      </c>
      <c r="R167" s="381" t="e">
        <v>#VALUE!</v>
      </c>
      <c r="S167" s="381" t="e">
        <v>#VALUE!</v>
      </c>
      <c r="T167" s="381" t="e">
        <v>#VALUE!</v>
      </c>
      <c r="U167" s="381">
        <v>4.3857952403952962E-3</v>
      </c>
      <c r="V167" s="381">
        <v>4.0201655681694776E-3</v>
      </c>
      <c r="W167" s="381" t="e">
        <v>#VALUE!</v>
      </c>
    </row>
    <row r="168" spans="2:23" ht="15" customHeight="1">
      <c r="B168" s="381"/>
      <c r="C168" s="381"/>
      <c r="D168" s="381"/>
      <c r="E168" s="382"/>
      <c r="F168" s="381"/>
      <c r="G168" s="381"/>
      <c r="H168" s="381"/>
      <c r="I168" s="381"/>
      <c r="J168" s="381"/>
      <c r="K168" s="381"/>
      <c r="L168" s="381"/>
      <c r="M168" s="381"/>
      <c r="N168" s="381"/>
      <c r="O168" s="381"/>
      <c r="P168" s="381"/>
      <c r="Q168" s="381"/>
      <c r="R168" s="381"/>
      <c r="S168" s="381"/>
      <c r="T168" s="381"/>
      <c r="U168" s="381"/>
      <c r="V168" s="381"/>
      <c r="W168" s="381"/>
    </row>
    <row r="169" spans="2:23" ht="15" customHeight="1">
      <c r="B169" s="385" t="s">
        <v>317</v>
      </c>
      <c r="C169" s="539" t="s">
        <v>755</v>
      </c>
      <c r="D169" s="386"/>
      <c r="E169" s="32"/>
      <c r="F169" s="389"/>
      <c r="G169" s="389">
        <v>2017</v>
      </c>
      <c r="H169" s="389">
        <v>2018</v>
      </c>
      <c r="I169" s="389">
        <v>2019</v>
      </c>
      <c r="J169" s="389">
        <v>2020</v>
      </c>
      <c r="K169" s="389">
        <v>2021</v>
      </c>
      <c r="L169" s="389">
        <v>2022</v>
      </c>
      <c r="M169" s="389">
        <v>2023</v>
      </c>
      <c r="N169" s="389">
        <v>2024</v>
      </c>
      <c r="O169" s="381"/>
      <c r="P169" s="381"/>
      <c r="Q169" s="381"/>
      <c r="R169" s="381"/>
      <c r="S169" s="381"/>
      <c r="T169" s="381"/>
      <c r="U169" s="381"/>
      <c r="V169" s="381"/>
      <c r="W169" s="381"/>
    </row>
    <row r="170" spans="2:23" ht="3.95" customHeight="1">
      <c r="B170" s="390"/>
      <c r="C170" s="390"/>
      <c r="D170" s="390"/>
      <c r="E170" s="391"/>
      <c r="F170" s="392"/>
      <c r="G170" s="392"/>
      <c r="H170" s="392"/>
      <c r="I170" s="392"/>
      <c r="J170" s="392"/>
      <c r="K170" s="392"/>
      <c r="L170" s="392"/>
      <c r="M170" s="392"/>
      <c r="N170" s="392"/>
      <c r="O170" s="381"/>
      <c r="P170" s="381"/>
      <c r="Q170" s="381"/>
      <c r="R170" s="381"/>
      <c r="S170" s="381"/>
      <c r="T170" s="381"/>
      <c r="U170" s="381"/>
      <c r="V170" s="381"/>
      <c r="W170" s="381"/>
    </row>
    <row r="171" spans="2:23" ht="15" customHeight="1">
      <c r="B171" s="381" t="str">
        <f>+_xll.BDP(C171,"SHORT_NAME")</f>
        <v>MIDDLEBY CORP</v>
      </c>
      <c r="C171" s="538" t="str">
        <f>Inputs!$D$15</f>
        <v>MIDD US Equity</v>
      </c>
      <c r="D171" s="381"/>
      <c r="E171" s="382"/>
      <c r="F171" s="381"/>
      <c r="G171" s="381">
        <v>2335.5419999999999</v>
      </c>
      <c r="H171" s="381">
        <v>2722.931</v>
      </c>
      <c r="I171" s="381">
        <v>2959.4459999999999</v>
      </c>
      <c r="J171" s="381">
        <v>2513.2570000000001</v>
      </c>
      <c r="K171" s="381">
        <v>3250.7919999999999</v>
      </c>
      <c r="L171" s="381">
        <v>4032.8530000000001</v>
      </c>
      <c r="M171" s="381">
        <v>4036.605</v>
      </c>
      <c r="N171" s="381">
        <v>3875.1619999999998</v>
      </c>
      <c r="O171" s="381"/>
      <c r="P171" s="381"/>
      <c r="Q171" s="381"/>
      <c r="R171" s="381"/>
      <c r="S171" s="381"/>
      <c r="T171" s="381"/>
      <c r="U171" s="381"/>
      <c r="V171" s="381"/>
      <c r="W171" s="381"/>
    </row>
    <row r="172" spans="2:23" ht="15" customHeight="1">
      <c r="B172" s="381" t="str">
        <f>+_xll.BDP(C172,"SHORT_NAME")</f>
        <v>NORDSON CORP</v>
      </c>
      <c r="C172" s="538" t="str">
        <f>+Inputs!$E$21</f>
        <v>NDSN US Equity</v>
      </c>
      <c r="D172" s="381"/>
      <c r="E172" s="382"/>
      <c r="F172" s="381"/>
      <c r="G172" s="381">
        <v>2066.982</v>
      </c>
      <c r="H172" s="381">
        <v>2254.6680000000001</v>
      </c>
      <c r="I172" s="381">
        <v>2194.2260000000001</v>
      </c>
      <c r="J172" s="381">
        <v>2121.1</v>
      </c>
      <c r="K172" s="381">
        <v>2362.2089999999998</v>
      </c>
      <c r="L172" s="381">
        <v>2590.2779999999998</v>
      </c>
      <c r="M172" s="381">
        <v>2628.6320000000001</v>
      </c>
      <c r="N172" s="381">
        <v>2689.9209999999998</v>
      </c>
      <c r="O172" s="381"/>
      <c r="P172" s="381"/>
      <c r="Q172" s="381"/>
      <c r="R172" s="381"/>
      <c r="S172" s="381"/>
      <c r="T172" s="381"/>
      <c r="U172" s="381"/>
      <c r="V172" s="381"/>
      <c r="W172" s="381"/>
    </row>
    <row r="173" spans="2:23" ht="15" customHeight="1">
      <c r="B173" s="381" t="str">
        <f>+_xll.BDP(C173,"SHORT_NAME")</f>
        <v>STANLEY BLACK &amp;</v>
      </c>
      <c r="C173" s="538" t="str">
        <f>+Inputs!$E$22</f>
        <v>SWK US EQUITY</v>
      </c>
      <c r="D173" s="381"/>
      <c r="E173" s="382"/>
      <c r="F173" s="381"/>
      <c r="G173" s="381">
        <v>12966.6</v>
      </c>
      <c r="H173" s="381">
        <v>13982.4</v>
      </c>
      <c r="I173" s="381">
        <v>12912.9</v>
      </c>
      <c r="J173" s="381">
        <v>12750</v>
      </c>
      <c r="K173" s="381">
        <v>15281.3</v>
      </c>
      <c r="L173" s="381">
        <v>16947.400000000001</v>
      </c>
      <c r="M173" s="381">
        <v>15781.1</v>
      </c>
      <c r="N173" s="381">
        <v>15365.7</v>
      </c>
      <c r="O173" s="381"/>
      <c r="P173" s="381"/>
      <c r="Q173" s="381"/>
      <c r="R173" s="381"/>
      <c r="S173" s="381"/>
      <c r="T173" s="381"/>
      <c r="U173" s="381"/>
      <c r="V173" s="381"/>
      <c r="W173" s="381"/>
    </row>
    <row r="174" spans="2:23" ht="15" customHeight="1">
      <c r="B174" s="381" t="str">
        <f>+_xll.BDP(C174,"SHORT_NAME")</f>
        <v>HILLENBRAND INC</v>
      </c>
      <c r="C174" s="538" t="str">
        <f>+Inputs!$E$23</f>
        <v>HI US Equity</v>
      </c>
      <c r="D174" s="381"/>
      <c r="E174" s="382"/>
      <c r="F174" s="381"/>
      <c r="G174" s="381">
        <v>1590.2</v>
      </c>
      <c r="H174" s="381">
        <v>1770.1</v>
      </c>
      <c r="I174" s="381">
        <v>1807.3</v>
      </c>
      <c r="J174" s="381">
        <v>2517</v>
      </c>
      <c r="K174" s="381">
        <v>2241.4</v>
      </c>
      <c r="L174" s="381">
        <v>2315.3000000000002</v>
      </c>
      <c r="M174" s="381">
        <v>2826</v>
      </c>
      <c r="N174" s="381">
        <v>3182.8</v>
      </c>
      <c r="O174" s="381"/>
      <c r="P174" s="381"/>
      <c r="Q174" s="381"/>
      <c r="R174" s="381"/>
      <c r="S174" s="381"/>
      <c r="T174" s="381"/>
      <c r="U174" s="381"/>
      <c r="V174" s="381"/>
      <c r="W174" s="381"/>
    </row>
    <row r="175" spans="2:23" ht="15" customHeight="1">
      <c r="B175" s="381" t="str">
        <f>+_xll.BDP(C175,"SHORT_NAME")</f>
        <v>TENNANT CO</v>
      </c>
      <c r="C175" s="538" t="str">
        <f>+Inputs!$E$24</f>
        <v>TNC US Equity</v>
      </c>
      <c r="D175" s="381"/>
      <c r="E175" s="382"/>
      <c r="F175" s="381"/>
      <c r="G175" s="381">
        <v>1003.066</v>
      </c>
      <c r="H175" s="381">
        <v>1123.511</v>
      </c>
      <c r="I175" s="381">
        <v>1137.5999999999999</v>
      </c>
      <c r="J175" s="381">
        <v>1001</v>
      </c>
      <c r="K175" s="381">
        <v>1090.8</v>
      </c>
      <c r="L175" s="381">
        <v>1092.2</v>
      </c>
      <c r="M175" s="381">
        <v>1243.5999999999999</v>
      </c>
      <c r="N175" s="381">
        <v>1286.7</v>
      </c>
      <c r="O175" s="381"/>
      <c r="P175" s="381"/>
      <c r="Q175" s="381"/>
      <c r="R175" s="381"/>
      <c r="S175" s="381"/>
      <c r="T175" s="381"/>
      <c r="U175" s="381"/>
      <c r="V175" s="381"/>
      <c r="W175" s="381"/>
    </row>
    <row r="176" spans="2:23" ht="15" customHeight="1">
      <c r="B176" s="381" t="str">
        <f>+_xll.BDP(C176,"SHORT_NAME")</f>
        <v>KADANT INC</v>
      </c>
      <c r="C176" s="538" t="str">
        <f>+Inputs!$E$25</f>
        <v>KAI US EQUITY</v>
      </c>
      <c r="D176" s="381"/>
      <c r="E176" s="382"/>
      <c r="F176" s="381"/>
      <c r="G176" s="381">
        <v>515.03300000000002</v>
      </c>
      <c r="H176" s="381">
        <v>633.78599999999994</v>
      </c>
      <c r="I176" s="381">
        <v>704.64400000000001</v>
      </c>
      <c r="J176" s="381">
        <v>635.02800000000002</v>
      </c>
      <c r="K176" s="381">
        <v>786.57899999999995</v>
      </c>
      <c r="L176" s="381">
        <v>904.73900000000003</v>
      </c>
      <c r="M176" s="381">
        <v>957.67200000000003</v>
      </c>
      <c r="N176" s="381">
        <v>1053.384</v>
      </c>
      <c r="O176" s="381"/>
      <c r="P176" s="381"/>
      <c r="Q176" s="381"/>
      <c r="R176" s="381"/>
      <c r="S176" s="381"/>
      <c r="T176" s="381"/>
      <c r="U176" s="381"/>
      <c r="V176" s="381"/>
      <c r="W176" s="381"/>
    </row>
  </sheetData>
  <pageMargins left="0.7" right="0.7" top="0.75" bottom="0.75" header="0.3" footer="0.3"/>
  <pageSetup orientation="portrait" r:id="rId1"/>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499984740745262"/>
  </sheetPr>
  <dimension ref="B3:AR1051"/>
  <sheetViews>
    <sheetView showGridLines="0" zoomScale="70" zoomScaleNormal="70" workbookViewId="0">
      <selection activeCell="R5" sqref="R5"/>
    </sheetView>
  </sheetViews>
  <sheetFormatPr defaultColWidth="9" defaultRowHeight="14.1"/>
  <cols>
    <col min="1" max="1" width="9" style="4"/>
    <col min="2" max="2" width="10.5" style="4" bestFit="1" customWidth="1"/>
    <col min="3" max="8" width="9" style="4" bestFit="1" customWidth="1"/>
    <col min="9" max="9" width="10.5" style="4" bestFit="1" customWidth="1"/>
    <col min="10" max="15" width="9" style="4" bestFit="1" customWidth="1"/>
    <col min="16" max="16" width="9" style="4"/>
    <col min="17" max="17" width="11.5" style="4" bestFit="1" customWidth="1"/>
    <col min="18" max="23" width="9" style="4" bestFit="1" customWidth="1"/>
    <col min="24" max="24" width="9" style="4"/>
    <col min="25" max="30" width="9" style="4" bestFit="1" customWidth="1"/>
    <col min="31" max="31" width="9" style="4"/>
    <col min="32" max="32" width="9" style="4" bestFit="1" customWidth="1"/>
    <col min="33" max="33" width="15" style="4" bestFit="1" customWidth="1"/>
    <col min="34" max="37" width="9" style="4" bestFit="1" customWidth="1"/>
    <col min="38" max="38" width="9" style="4"/>
    <col min="39" max="39" width="9" style="4" bestFit="1" customWidth="1"/>
    <col min="40" max="40" width="11" style="4" bestFit="1" customWidth="1"/>
    <col min="41" max="41" width="12" style="4" bestFit="1" customWidth="1"/>
    <col min="42" max="42" width="13.375" style="4" bestFit="1" customWidth="1"/>
    <col min="43" max="43" width="12.5" style="4" bestFit="1" customWidth="1"/>
    <col min="44" max="44" width="14" style="4" bestFit="1" customWidth="1"/>
    <col min="45" max="16384" width="9" style="4"/>
  </cols>
  <sheetData>
    <row r="3" spans="2:44">
      <c r="B3" s="561"/>
      <c r="C3" s="819" t="s">
        <v>709</v>
      </c>
      <c r="D3" s="819"/>
      <c r="E3" s="819"/>
      <c r="F3" s="819"/>
      <c r="G3" s="819"/>
      <c r="H3" s="819"/>
      <c r="I3" s="561"/>
      <c r="J3" s="819" t="s">
        <v>714</v>
      </c>
      <c r="K3" s="819"/>
      <c r="L3" s="819"/>
      <c r="M3" s="819"/>
      <c r="N3" s="819"/>
      <c r="O3" s="819"/>
      <c r="P3" s="561"/>
      <c r="R3" s="820" t="s">
        <v>756</v>
      </c>
      <c r="S3" s="820"/>
      <c r="T3" s="820"/>
      <c r="U3" s="820"/>
      <c r="V3" s="820"/>
      <c r="W3" s="820"/>
      <c r="Y3" s="819" t="s">
        <v>757</v>
      </c>
      <c r="Z3" s="819"/>
      <c r="AA3" s="819"/>
      <c r="AB3" s="819"/>
      <c r="AC3" s="819"/>
      <c r="AD3" s="819"/>
      <c r="AF3" s="819" t="s">
        <v>758</v>
      </c>
      <c r="AG3" s="819"/>
      <c r="AH3" s="819"/>
      <c r="AI3" s="819"/>
      <c r="AJ3" s="819"/>
      <c r="AK3" s="819"/>
      <c r="AN3" s="562" t="s">
        <v>314</v>
      </c>
      <c r="AO3" s="562" t="s">
        <v>759</v>
      </c>
      <c r="AP3" s="562" t="s">
        <v>740</v>
      </c>
      <c r="AQ3" s="562" t="s">
        <v>340</v>
      </c>
      <c r="AR3" s="562" t="s">
        <v>741</v>
      </c>
    </row>
    <row r="4" spans="2:44">
      <c r="B4" s="561"/>
      <c r="C4" s="4" t="str">
        <f>+Inputs!B62</f>
        <v>MIDD US Equity</v>
      </c>
      <c r="D4" s="4" t="str">
        <f>+Inputs!B73</f>
        <v>NDSN US Equity</v>
      </c>
      <c r="E4" s="4" t="str">
        <f>+Inputs!B84</f>
        <v>SWK US EQUITY</v>
      </c>
      <c r="F4" s="4" t="str">
        <f>+Inputs!B95</f>
        <v>HI US Equity</v>
      </c>
      <c r="G4" s="4" t="str">
        <f>+Inputs!B106</f>
        <v>TNC US Equity</v>
      </c>
      <c r="H4" s="4" t="str">
        <f>+Inputs!B117</f>
        <v>KAI US EQUITY</v>
      </c>
      <c r="I4" s="561"/>
      <c r="J4" s="4" t="str">
        <f t="shared" ref="J4:O4" si="0">+C4</f>
        <v>MIDD US Equity</v>
      </c>
      <c r="K4" s="4" t="str">
        <f t="shared" si="0"/>
        <v>NDSN US Equity</v>
      </c>
      <c r="L4" s="4" t="str">
        <f t="shared" si="0"/>
        <v>SWK US EQUITY</v>
      </c>
      <c r="M4" s="4" t="str">
        <f t="shared" si="0"/>
        <v>HI US Equity</v>
      </c>
      <c r="N4" s="4" t="str">
        <f t="shared" si="0"/>
        <v>TNC US Equity</v>
      </c>
      <c r="O4" s="4" t="str">
        <f t="shared" si="0"/>
        <v>KAI US EQUITY</v>
      </c>
      <c r="P4" s="561"/>
      <c r="R4" s="4" t="str">
        <f>+J4</f>
        <v>MIDD US Equity</v>
      </c>
      <c r="S4" s="4" t="str">
        <f>+Inputs!R13</f>
        <v>SPX Index</v>
      </c>
      <c r="T4" s="4" t="str">
        <f>+Inputs!R14</f>
        <v>DJUSFE Index</v>
      </c>
      <c r="U4" s="4" t="str">
        <f>R4</f>
        <v>MIDD US Equity</v>
      </c>
      <c r="V4" s="4" t="str">
        <f>+S4</f>
        <v>SPX Index</v>
      </c>
      <c r="W4" s="4" t="str">
        <f>+T4</f>
        <v>DJUSFE Index</v>
      </c>
      <c r="Y4" s="4" t="str">
        <f t="shared" ref="Y4:AD4" si="1">+J4</f>
        <v>MIDD US Equity</v>
      </c>
      <c r="Z4" s="4" t="str">
        <f t="shared" si="1"/>
        <v>NDSN US Equity</v>
      </c>
      <c r="AA4" s="4" t="str">
        <f t="shared" si="1"/>
        <v>SWK US EQUITY</v>
      </c>
      <c r="AB4" s="4" t="str">
        <f t="shared" si="1"/>
        <v>HI US Equity</v>
      </c>
      <c r="AC4" s="4" t="str">
        <f t="shared" si="1"/>
        <v>TNC US Equity</v>
      </c>
      <c r="AD4" s="4" t="str">
        <f t="shared" si="1"/>
        <v>KAI US EQUITY</v>
      </c>
      <c r="AF4" s="4" t="str">
        <f t="shared" ref="AF4:AK4" si="2">+Y4</f>
        <v>MIDD US Equity</v>
      </c>
      <c r="AG4" s="4" t="str">
        <f t="shared" si="2"/>
        <v>NDSN US Equity</v>
      </c>
      <c r="AH4" s="4" t="str">
        <f t="shared" si="2"/>
        <v>SWK US EQUITY</v>
      </c>
      <c r="AI4" s="4" t="str">
        <f t="shared" si="2"/>
        <v>HI US Equity</v>
      </c>
      <c r="AJ4" s="4" t="str">
        <f t="shared" si="2"/>
        <v>TNC US Equity</v>
      </c>
      <c r="AK4" s="4" t="str">
        <f t="shared" si="2"/>
        <v>KAI US EQUITY</v>
      </c>
      <c r="AM4" s="563">
        <f ca="1">TODAY()</f>
        <v>45945</v>
      </c>
      <c r="AN4" s="564">
        <v>141.83000000000001</v>
      </c>
      <c r="AO4" s="564">
        <v>733</v>
      </c>
      <c r="AP4" s="564">
        <v>50682.385999999999</v>
      </c>
      <c r="AQ4" s="564">
        <v>7188282.8063800009</v>
      </c>
      <c r="AR4" s="564">
        <v>1.9728000000000001</v>
      </c>
    </row>
    <row r="5" spans="2:44">
      <c r="B5" s="565">
        <f ca="1">+TODAY()</f>
        <v>45945</v>
      </c>
      <c r="C5" s="561">
        <f ca="1">(IFERROR(IFERROR(VALUE(_xll.BDH(C$4,"CURRENT_EV_TO_T12M_EBITDA",$B5,$B5)),VALUE(_xll.BDH(C$4,"CURRENT_EV_TO_T12M_EBITDA",$B5+1,$B5+1))),C6))</f>
        <v>0</v>
      </c>
      <c r="D5" s="561">
        <f ca="1">(IFERROR(IFERROR(VALUE(_xll.BDH(D$4,"CURRENT_EV_TO_T12M_EBITDA",$B5,$B5)),VALUE(_xll.BDH(D$4,"CURRENT_EV_TO_T12M_EBITDA",$B5+1,$B5+1))),D6))</f>
        <v>0</v>
      </c>
      <c r="E5" s="561">
        <f ca="1">(IFERROR(IFERROR(VALUE(_xll.BDH(E$4,"CURRENT_EV_TO_T12M_EBITDA",$B5,$B5)),VALUE(_xll.BDH(E$4,"CURRENT_EV_TO_T12M_EBITDA",$B5+1,$B5+1))),E6))</f>
        <v>0</v>
      </c>
      <c r="F5" s="561">
        <f ca="1">(IFERROR(IFERROR(VALUE(_xll.BDH(F$4,"CURRENT_EV_TO_T12M_EBITDA",$B5,$B5)),VALUE(_xll.BDH(F$4,"CURRENT_EV_TO_T12M_EBITDA",$B5+1,$B5+1))),F6))</f>
        <v>0</v>
      </c>
      <c r="G5" s="561">
        <f ca="1">(IFERROR(IFERROR(VALUE(_xll.BDH(G$4,"CURRENT_EV_TO_T12M_EBITDA",$B5,$B5)),VALUE(_xll.BDH(G$4,"CURRENT_EV_TO_T12M_EBITDA",$B5+1,$B5+1))),G6))</f>
        <v>0</v>
      </c>
      <c r="H5" s="561">
        <f ca="1">(IFERROR(IFERROR(VALUE(_xll.BDH(H$4,"CURRENT_EV_TO_T12M_EBITDA",$B5,$B5)),VALUE(_xll.BDH(H$4,"CURRENT_EV_TO_T12M_EBITDA",$B5+1,$B5+1))),H6))</f>
        <v>0</v>
      </c>
      <c r="I5" s="565">
        <f t="shared" ref="I5:I36" ca="1" si="3">+B5</f>
        <v>45945</v>
      </c>
      <c r="J5" s="561">
        <f ca="1">(IFERROR(IFERROR(VALUE(_xll.BDH(J$4,"PE_RATIO",$B5,$B5)),VALUE(_xll.BDH(J$4,"PE_RATIO",$B5+1,$B5+1))),J6))</f>
        <v>0</v>
      </c>
      <c r="K5" s="561">
        <f ca="1">(IFERROR(IFERROR(VALUE(_xll.BDH(K$4,"PE_RATIO",$B5,$B5)),VALUE(_xll.BDH(K$4,"PE_RATIO",$B5+1,$B5+1))),K6))</f>
        <v>0</v>
      </c>
      <c r="L5" s="561">
        <f ca="1">(IFERROR(IFERROR(VALUE(_xll.BDH(L$4,"PE_RATIO",$B5,$B5)),VALUE(_xll.BDH(L$4,"PE_RATIO",$B5+1,$B5+1))),L6))</f>
        <v>0</v>
      </c>
      <c r="M5" s="561">
        <f ca="1">(IFERROR(IFERROR(VALUE(_xll.BDH(M$4,"PE_RATIO",$B5,$B5)),VALUE(_xll.BDH(M$4,"PE_RATIO",$B5+1,$B5+1))),M6))</f>
        <v>0</v>
      </c>
      <c r="N5" s="561">
        <f ca="1">(IFERROR(IFERROR(VALUE(_xll.BDH(N$4,"PE_RATIO",$B5,$B5)),VALUE(_xll.BDH(N$4,"PE_RATIO",$B5+1,$B5+1))),N6))</f>
        <v>0</v>
      </c>
      <c r="O5" s="561">
        <f ca="1">(IFERROR(IFERROR(VALUE(_xll.BDH(O$4,"PE_RATIO",$B5,$B5)),VALUE(_xll.BDH(O$4,"PE_RATIO",$B5+1,$B5+1))),O6))</f>
        <v>0</v>
      </c>
      <c r="P5" s="561"/>
      <c r="Q5" s="565">
        <f t="shared" ref="Q5:Q36" ca="1" si="4">+I5</f>
        <v>45945</v>
      </c>
      <c r="R5" s="4">
        <v>137.37</v>
      </c>
      <c r="S5" s="4">
        <v>23231.11</v>
      </c>
      <c r="T5" s="4">
        <v>1238.6600000000001</v>
      </c>
      <c r="U5" s="4">
        <v>1.1079119283813212</v>
      </c>
      <c r="V5" s="4">
        <v>2.0610029498525075</v>
      </c>
      <c r="W5" s="4">
        <v>1.668993209011534</v>
      </c>
      <c r="Y5" s="561">
        <f t="shared" ref="Y5:Y36" si="5">+R5</f>
        <v>137.37</v>
      </c>
      <c r="Z5" s="4">
        <f ca="1">IFERROR(VALUE(_xll.BDH(Z$4,"PX_LAST",$Q5,$Q5)),Z6)</f>
        <v>0</v>
      </c>
      <c r="AA5" s="4">
        <f ca="1">IFERROR(VALUE(_xll.BDH(AA$4,"PX_LAST",$Q5,$Q5)),AA6)</f>
        <v>0</v>
      </c>
      <c r="AB5" s="4">
        <f ca="1">IFERROR(VALUE(_xll.BDH(AB$4,"PX_LAST",$Q5,$Q5)),AB6)</f>
        <v>0</v>
      </c>
      <c r="AC5" s="4">
        <f ca="1">IFERROR(VALUE(_xll.BDH(AC$4,"PX_LAST",$Q5,$Q5)),AC6)</f>
        <v>0</v>
      </c>
      <c r="AD5" s="4">
        <f ca="1">IFERROR(VALUE(_xll.BDH(AD$4,"PX_LAST",$Q5,$Q5)),AD6)</f>
        <v>0</v>
      </c>
      <c r="AF5" s="4">
        <f t="shared" ref="AF5:AF36" si="6">+Y5/Y$159</f>
        <v>1.1079119283813212</v>
      </c>
      <c r="AG5" s="4" t="e">
        <f t="shared" ref="AG5:AG36" ca="1" si="7">+Z5/Z$159</f>
        <v>#DIV/0!</v>
      </c>
      <c r="AH5" s="4" t="e">
        <f t="shared" ref="AH5:AH36" ca="1" si="8">+AA5/AA$159</f>
        <v>#DIV/0!</v>
      </c>
      <c r="AI5" s="4" t="e">
        <f t="shared" ref="AI5:AI36" ca="1" si="9">+AB5/AB$159</f>
        <v>#DIV/0!</v>
      </c>
      <c r="AJ5" s="4" t="e">
        <f t="shared" ref="AJ5:AJ36" ca="1" si="10">+AC5/AC$159</f>
        <v>#DIV/0!</v>
      </c>
      <c r="AK5" s="4" t="e">
        <f t="shared" ref="AK5:AK36" ca="1" si="11">+AD5/AD$159</f>
        <v>#DIV/0!</v>
      </c>
      <c r="AM5" s="563">
        <f t="shared" ref="AM5:AM68" ca="1" si="12">AM4-1</f>
        <v>45944</v>
      </c>
      <c r="AN5" s="564">
        <v>141.83000000000001</v>
      </c>
      <c r="AO5" s="564">
        <v>800356</v>
      </c>
      <c r="AP5" s="564">
        <v>50682.385999999999</v>
      </c>
      <c r="AQ5" s="564">
        <v>7188282.8063800009</v>
      </c>
      <c r="AR5" s="564">
        <v>1.9728000000000001</v>
      </c>
    </row>
    <row r="6" spans="2:44">
      <c r="B6" s="565">
        <f t="shared" ref="B6:B37" ca="1" si="13">+B5-7</f>
        <v>45938</v>
      </c>
      <c r="C6" s="561">
        <f ca="1">(IFERROR(IFERROR(VALUE(_xll.BDH(C$4,"CURRENT_EV_TO_T12M_EBITDA",$B6,$B6)),VALUE(_xll.BDH(C$4,"CURRENT_EV_TO_T12M_EBITDA",$B6+1,$B6+1))),C7))</f>
        <v>0</v>
      </c>
      <c r="D6" s="561">
        <f ca="1">(IFERROR(IFERROR(VALUE(_xll.BDH(D$4,"CURRENT_EV_TO_T12M_EBITDA",$B6,$B6)),VALUE(_xll.BDH(D$4,"CURRENT_EV_TO_T12M_EBITDA",$B6+1,$B6+1))),D7))</f>
        <v>0</v>
      </c>
      <c r="E6" s="561">
        <f ca="1">(IFERROR(IFERROR(VALUE(_xll.BDH(E$4,"CURRENT_EV_TO_T12M_EBITDA",$B6,$B6)),VALUE(_xll.BDH(E$4,"CURRENT_EV_TO_T12M_EBITDA",$B6+1,$B6+1))),E7))</f>
        <v>0</v>
      </c>
      <c r="F6" s="561">
        <f ca="1">(IFERROR(IFERROR(VALUE(_xll.BDH(F$4,"CURRENT_EV_TO_T12M_EBITDA",$B6,$B6)),VALUE(_xll.BDH(F$4,"CURRENT_EV_TO_T12M_EBITDA",$B6+1,$B6+1))),F7))</f>
        <v>0</v>
      </c>
      <c r="G6" s="561">
        <f ca="1">(IFERROR(IFERROR(VALUE(_xll.BDH(G$4,"CURRENT_EV_TO_T12M_EBITDA",$B6,$B6)),VALUE(_xll.BDH(G$4,"CURRENT_EV_TO_T12M_EBITDA",$B6+1,$B6+1))),G7))</f>
        <v>0</v>
      </c>
      <c r="H6" s="561">
        <f ca="1">(IFERROR(IFERROR(VALUE(_xll.BDH(H$4,"CURRENT_EV_TO_T12M_EBITDA",$B6,$B6)),VALUE(_xll.BDH(H$4,"CURRENT_EV_TO_T12M_EBITDA",$B6+1,$B6+1))),H7))</f>
        <v>0</v>
      </c>
      <c r="I6" s="565">
        <f t="shared" ca="1" si="3"/>
        <v>45938</v>
      </c>
      <c r="J6" s="561">
        <f ca="1">(IFERROR(IFERROR(VALUE(_xll.BDH(J$4,"PE_RATIO",$B6,$B6)),VALUE(_xll.BDH(J$4,"PE_RATIO",$B6+1,$B6+1))),J7))</f>
        <v>0</v>
      </c>
      <c r="K6" s="561">
        <f ca="1">(IFERROR(IFERROR(VALUE(_xll.BDH(K$4,"PE_RATIO",$B6,$B6)),VALUE(_xll.BDH(K$4,"PE_RATIO",$B6+1,$B6+1))),K7))</f>
        <v>0</v>
      </c>
      <c r="L6" s="561">
        <f ca="1">(IFERROR(IFERROR(VALUE(_xll.BDH(L$4,"PE_RATIO",$B6,$B6)),VALUE(_xll.BDH(L$4,"PE_RATIO",$B6+1,$B6+1))),L7))</f>
        <v>0</v>
      </c>
      <c r="M6" s="561">
        <f ca="1">(IFERROR(IFERROR(VALUE(_xll.BDH(M$4,"PE_RATIO",$B6,$B6)),VALUE(_xll.BDH(M$4,"PE_RATIO",$B6+1,$B6+1))),M7))</f>
        <v>0</v>
      </c>
      <c r="N6" s="561">
        <f ca="1">(IFERROR(IFERROR(VALUE(_xll.BDH(N$4,"PE_RATIO",$B6,$B6)),VALUE(_xll.BDH(N$4,"PE_RATIO",$B6+1,$B6+1))),N7))</f>
        <v>0</v>
      </c>
      <c r="O6" s="561">
        <f ca="1">(IFERROR(IFERROR(VALUE(_xll.BDH(O$4,"PE_RATIO",$B6,$B6)),VALUE(_xll.BDH(O$4,"PE_RATIO",$B6+1,$B6+1))),O7))</f>
        <v>0</v>
      </c>
      <c r="P6" s="561"/>
      <c r="Q6" s="565">
        <f t="shared" ca="1" si="4"/>
        <v>45938</v>
      </c>
      <c r="R6" s="4">
        <v>137.37</v>
      </c>
      <c r="S6" s="4">
        <v>23231.11</v>
      </c>
      <c r="T6" s="4">
        <v>1238.6600000000001</v>
      </c>
      <c r="U6" s="4">
        <v>1.1079119283813212</v>
      </c>
      <c r="V6" s="4">
        <v>2.0610029498525075</v>
      </c>
      <c r="W6" s="4">
        <v>1.668993209011534</v>
      </c>
      <c r="Y6" s="561">
        <f t="shared" si="5"/>
        <v>137.37</v>
      </c>
      <c r="Z6" s="4">
        <f ca="1">IFERROR(VALUE(_xll.BDH(Z$4,"PX_LAST",$Q6,$Q6)),Z7)</f>
        <v>0</v>
      </c>
      <c r="AA6" s="4">
        <f ca="1">IFERROR(VALUE(_xll.BDH(AA$4,"PX_LAST",$Q6,$Q6)),AA7)</f>
        <v>0</v>
      </c>
      <c r="AB6" s="4">
        <f ca="1">IFERROR(VALUE(_xll.BDH(AB$4,"PX_LAST",$Q6,$Q6)),AB7)</f>
        <v>0</v>
      </c>
      <c r="AC6" s="4">
        <f ca="1">IFERROR(VALUE(_xll.BDH(AC$4,"PX_LAST",$Q6,$Q6)),AC7)</f>
        <v>0</v>
      </c>
      <c r="AD6" s="4">
        <f ca="1">IFERROR(VALUE(_xll.BDH(AD$4,"PX_LAST",$Q6,$Q6)),AD7)</f>
        <v>0</v>
      </c>
      <c r="AF6" s="4">
        <f t="shared" si="6"/>
        <v>1.1079119283813212</v>
      </c>
      <c r="AG6" s="4" t="e">
        <f t="shared" ca="1" si="7"/>
        <v>#DIV/0!</v>
      </c>
      <c r="AH6" s="4" t="e">
        <f t="shared" ca="1" si="8"/>
        <v>#DIV/0!</v>
      </c>
      <c r="AI6" s="4" t="e">
        <f t="shared" ca="1" si="9"/>
        <v>#DIV/0!</v>
      </c>
      <c r="AJ6" s="4" t="e">
        <f t="shared" ca="1" si="10"/>
        <v>#DIV/0!</v>
      </c>
      <c r="AK6" s="4" t="e">
        <f t="shared" ca="1" si="11"/>
        <v>#DIV/0!</v>
      </c>
      <c r="AM6" s="563">
        <f t="shared" ca="1" si="12"/>
        <v>45943</v>
      </c>
      <c r="AN6" s="564">
        <v>144.43</v>
      </c>
      <c r="AO6" s="564">
        <v>951812</v>
      </c>
      <c r="AP6" s="564">
        <v>50682.385999999999</v>
      </c>
      <c r="AQ6" s="564">
        <v>7320057.0099800006</v>
      </c>
      <c r="AR6" s="564">
        <v>2.0089000000000001</v>
      </c>
    </row>
    <row r="7" spans="2:44">
      <c r="B7" s="565">
        <f t="shared" ca="1" si="13"/>
        <v>45931</v>
      </c>
      <c r="C7" s="561">
        <f ca="1">(IFERROR(IFERROR(VALUE(_xll.BDH(C$4,"CURRENT_EV_TO_T12M_EBITDA",$B7,$B7)),VALUE(_xll.BDH(C$4,"CURRENT_EV_TO_T12M_EBITDA",$B7+1,$B7+1))),C8))</f>
        <v>0</v>
      </c>
      <c r="D7" s="561">
        <f ca="1">(IFERROR(IFERROR(VALUE(_xll.BDH(D$4,"CURRENT_EV_TO_T12M_EBITDA",$B7,$B7)),VALUE(_xll.BDH(D$4,"CURRENT_EV_TO_T12M_EBITDA",$B7+1,$B7+1))),D8))</f>
        <v>0</v>
      </c>
      <c r="E7" s="561">
        <f ca="1">(IFERROR(IFERROR(VALUE(_xll.BDH(E$4,"CURRENT_EV_TO_T12M_EBITDA",$B7,$B7)),VALUE(_xll.BDH(E$4,"CURRENT_EV_TO_T12M_EBITDA",$B7+1,$B7+1))),E8))</f>
        <v>0</v>
      </c>
      <c r="F7" s="561">
        <f ca="1">(IFERROR(IFERROR(VALUE(_xll.BDH(F$4,"CURRENT_EV_TO_T12M_EBITDA",$B7,$B7)),VALUE(_xll.BDH(F$4,"CURRENT_EV_TO_T12M_EBITDA",$B7+1,$B7+1))),F8))</f>
        <v>0</v>
      </c>
      <c r="G7" s="561">
        <f ca="1">(IFERROR(IFERROR(VALUE(_xll.BDH(G$4,"CURRENT_EV_TO_T12M_EBITDA",$B7,$B7)),VALUE(_xll.BDH(G$4,"CURRENT_EV_TO_T12M_EBITDA",$B7+1,$B7+1))),G8))</f>
        <v>0</v>
      </c>
      <c r="H7" s="561">
        <f ca="1">(IFERROR(IFERROR(VALUE(_xll.BDH(H$4,"CURRENT_EV_TO_T12M_EBITDA",$B7,$B7)),VALUE(_xll.BDH(H$4,"CURRENT_EV_TO_T12M_EBITDA",$B7+1,$B7+1))),H8))</f>
        <v>0</v>
      </c>
      <c r="I7" s="565">
        <f t="shared" ca="1" si="3"/>
        <v>45931</v>
      </c>
      <c r="J7" s="561">
        <f ca="1">(IFERROR(IFERROR(VALUE(_xll.BDH(J$4,"PE_RATIO",$B7,$B7)),VALUE(_xll.BDH(J$4,"PE_RATIO",$B7+1,$B7+1))),J8))</f>
        <v>0</v>
      </c>
      <c r="K7" s="561">
        <f ca="1">(IFERROR(IFERROR(VALUE(_xll.BDH(K$4,"PE_RATIO",$B7,$B7)),VALUE(_xll.BDH(K$4,"PE_RATIO",$B7+1,$B7+1))),K8))</f>
        <v>0</v>
      </c>
      <c r="L7" s="561">
        <f ca="1">(IFERROR(IFERROR(VALUE(_xll.BDH(L$4,"PE_RATIO",$B7,$B7)),VALUE(_xll.BDH(L$4,"PE_RATIO",$B7+1,$B7+1))),L8))</f>
        <v>0</v>
      </c>
      <c r="M7" s="561">
        <f ca="1">(IFERROR(IFERROR(VALUE(_xll.BDH(M$4,"PE_RATIO",$B7,$B7)),VALUE(_xll.BDH(M$4,"PE_RATIO",$B7+1,$B7+1))),M8))</f>
        <v>0</v>
      </c>
      <c r="N7" s="561">
        <f ca="1">(IFERROR(IFERROR(VALUE(_xll.BDH(N$4,"PE_RATIO",$B7,$B7)),VALUE(_xll.BDH(N$4,"PE_RATIO",$B7+1,$B7+1))),N8))</f>
        <v>0</v>
      </c>
      <c r="O7" s="561">
        <f ca="1">(IFERROR(IFERROR(VALUE(_xll.BDH(O$4,"PE_RATIO",$B7,$B7)),VALUE(_xll.BDH(O$4,"PE_RATIO",$B7+1,$B7+1))),O8))</f>
        <v>0</v>
      </c>
      <c r="P7" s="561"/>
      <c r="Q7" s="565">
        <f t="shared" ca="1" si="4"/>
        <v>45931</v>
      </c>
      <c r="R7" s="4">
        <v>136.26</v>
      </c>
      <c r="S7" s="4">
        <v>23525.29</v>
      </c>
      <c r="T7" s="4">
        <v>1263.93</v>
      </c>
      <c r="U7" s="4">
        <v>1.098959593515606</v>
      </c>
      <c r="V7" s="4">
        <v>2.0871018253598601</v>
      </c>
      <c r="W7" s="4">
        <v>1.7030424706262801</v>
      </c>
      <c r="Y7" s="561">
        <f t="shared" si="5"/>
        <v>136.26</v>
      </c>
      <c r="Z7" s="4">
        <f ca="1">IFERROR(VALUE(_xll.BDH(Z$4,"PX_LAST",$Q7,$Q7)),Z8)</f>
        <v>0</v>
      </c>
      <c r="AA7" s="4">
        <f ca="1">IFERROR(VALUE(_xll.BDH(AA$4,"PX_LAST",$Q7,$Q7)),AA8)</f>
        <v>0</v>
      </c>
      <c r="AB7" s="4">
        <f ca="1">IFERROR(VALUE(_xll.BDH(AB$4,"PX_LAST",$Q7,$Q7)),AB8)</f>
        <v>0</v>
      </c>
      <c r="AC7" s="4">
        <f ca="1">IFERROR(VALUE(_xll.BDH(AC$4,"PX_LAST",$Q7,$Q7)),AC8)</f>
        <v>0</v>
      </c>
      <c r="AD7" s="4">
        <f ca="1">IFERROR(VALUE(_xll.BDH(AD$4,"PX_LAST",$Q7,$Q7)),AD8)</f>
        <v>0</v>
      </c>
      <c r="AF7" s="4">
        <f t="shared" si="6"/>
        <v>1.098959593515606</v>
      </c>
      <c r="AG7" s="4" t="e">
        <f t="shared" ca="1" si="7"/>
        <v>#DIV/0!</v>
      </c>
      <c r="AH7" s="4" t="e">
        <f t="shared" ca="1" si="8"/>
        <v>#DIV/0!</v>
      </c>
      <c r="AI7" s="4" t="e">
        <f t="shared" ca="1" si="9"/>
        <v>#DIV/0!</v>
      </c>
      <c r="AJ7" s="4" t="e">
        <f t="shared" ca="1" si="10"/>
        <v>#DIV/0!</v>
      </c>
      <c r="AK7" s="4" t="e">
        <f t="shared" ca="1" si="11"/>
        <v>#DIV/0!</v>
      </c>
      <c r="AM7" s="563">
        <f t="shared" ca="1" si="12"/>
        <v>45942</v>
      </c>
      <c r="AN7" s="564">
        <v>144.43</v>
      </c>
      <c r="AO7" s="564">
        <v>951812</v>
      </c>
      <c r="AP7" s="564">
        <v>50682.385999999999</v>
      </c>
      <c r="AQ7" s="564">
        <v>7320057.0099800006</v>
      </c>
      <c r="AR7" s="564">
        <v>2.0089000000000001</v>
      </c>
    </row>
    <row r="8" spans="2:44">
      <c r="B8" s="565">
        <f t="shared" ca="1" si="13"/>
        <v>45924</v>
      </c>
      <c r="C8" s="561">
        <f ca="1">(IFERROR(IFERROR(VALUE(_xll.BDH(C$4,"CURRENT_EV_TO_T12M_EBITDA",$B8,$B8)),VALUE(_xll.BDH(C$4,"CURRENT_EV_TO_T12M_EBITDA",$B8+1,$B8+1))),C9))</f>
        <v>0</v>
      </c>
      <c r="D8" s="561">
        <f ca="1">(IFERROR(IFERROR(VALUE(_xll.BDH(D$4,"CURRENT_EV_TO_T12M_EBITDA",$B8,$B8)),VALUE(_xll.BDH(D$4,"CURRENT_EV_TO_T12M_EBITDA",$B8+1,$B8+1))),D9))</f>
        <v>0</v>
      </c>
      <c r="E8" s="561">
        <f ca="1">(IFERROR(IFERROR(VALUE(_xll.BDH(E$4,"CURRENT_EV_TO_T12M_EBITDA",$B8,$B8)),VALUE(_xll.BDH(E$4,"CURRENT_EV_TO_T12M_EBITDA",$B8+1,$B8+1))),E9))</f>
        <v>0</v>
      </c>
      <c r="F8" s="561">
        <f ca="1">(IFERROR(IFERROR(VALUE(_xll.BDH(F$4,"CURRENT_EV_TO_T12M_EBITDA",$B8,$B8)),VALUE(_xll.BDH(F$4,"CURRENT_EV_TO_T12M_EBITDA",$B8+1,$B8+1))),F9))</f>
        <v>0</v>
      </c>
      <c r="G8" s="561">
        <f ca="1">(IFERROR(IFERROR(VALUE(_xll.BDH(G$4,"CURRENT_EV_TO_T12M_EBITDA",$B8,$B8)),VALUE(_xll.BDH(G$4,"CURRENT_EV_TO_T12M_EBITDA",$B8+1,$B8+1))),G9))</f>
        <v>0</v>
      </c>
      <c r="H8" s="561">
        <f ca="1">(IFERROR(IFERROR(VALUE(_xll.BDH(H$4,"CURRENT_EV_TO_T12M_EBITDA",$B8,$B8)),VALUE(_xll.BDH(H$4,"CURRENT_EV_TO_T12M_EBITDA",$B8+1,$B8+1))),H9))</f>
        <v>0</v>
      </c>
      <c r="I8" s="565">
        <f t="shared" ca="1" si="3"/>
        <v>45924</v>
      </c>
      <c r="J8" s="561">
        <f ca="1">(IFERROR(IFERROR(VALUE(_xll.BDH(J$4,"PE_RATIO",$B8,$B8)),VALUE(_xll.BDH(J$4,"PE_RATIO",$B8+1,$B8+1))),J9))</f>
        <v>0</v>
      </c>
      <c r="K8" s="561">
        <f ca="1">(IFERROR(IFERROR(VALUE(_xll.BDH(K$4,"PE_RATIO",$B8,$B8)),VALUE(_xll.BDH(K$4,"PE_RATIO",$B8+1,$B8+1))),K9))</f>
        <v>0</v>
      </c>
      <c r="L8" s="561">
        <f ca="1">(IFERROR(IFERROR(VALUE(_xll.BDH(L$4,"PE_RATIO",$B8,$B8)),VALUE(_xll.BDH(L$4,"PE_RATIO",$B8+1,$B8+1))),L9))</f>
        <v>0</v>
      </c>
      <c r="M8" s="561">
        <f ca="1">(IFERROR(IFERROR(VALUE(_xll.BDH(M$4,"PE_RATIO",$B8,$B8)),VALUE(_xll.BDH(M$4,"PE_RATIO",$B8+1,$B8+1))),M9))</f>
        <v>0</v>
      </c>
      <c r="N8" s="561">
        <f ca="1">(IFERROR(IFERROR(VALUE(_xll.BDH(N$4,"PE_RATIO",$B8,$B8)),VALUE(_xll.BDH(N$4,"PE_RATIO",$B8+1,$B8+1))),N9))</f>
        <v>0</v>
      </c>
      <c r="O8" s="561">
        <f ca="1">(IFERROR(IFERROR(VALUE(_xll.BDH(O$4,"PE_RATIO",$B8,$B8)),VALUE(_xll.BDH(O$4,"PE_RATIO",$B8+1,$B8+1))),O9))</f>
        <v>0</v>
      </c>
      <c r="P8" s="561"/>
      <c r="Q8" s="565">
        <f t="shared" ca="1" si="4"/>
        <v>45924</v>
      </c>
      <c r="R8" s="4">
        <v>132.61000000000001</v>
      </c>
      <c r="S8" s="4">
        <v>23384.77</v>
      </c>
      <c r="T8" s="4">
        <v>1246.57</v>
      </c>
      <c r="U8" s="4">
        <v>1.0695217356238409</v>
      </c>
      <c r="V8" s="4">
        <v>2.0746352607181673</v>
      </c>
      <c r="W8" s="4">
        <v>1.6796512881319392</v>
      </c>
      <c r="Y8" s="561">
        <f t="shared" si="5"/>
        <v>132.61000000000001</v>
      </c>
      <c r="Z8" s="4">
        <f ca="1">IFERROR(VALUE(_xll.BDH(Z$4,"PX_LAST",$Q8,$Q8)),Z9)</f>
        <v>0</v>
      </c>
      <c r="AA8" s="4">
        <f ca="1">IFERROR(VALUE(_xll.BDH(AA$4,"PX_LAST",$Q8,$Q8)),AA9)</f>
        <v>0</v>
      </c>
      <c r="AB8" s="4">
        <f ca="1">IFERROR(VALUE(_xll.BDH(AB$4,"PX_LAST",$Q8,$Q8)),AB9)</f>
        <v>0</v>
      </c>
      <c r="AC8" s="4">
        <f ca="1">IFERROR(VALUE(_xll.BDH(AC$4,"PX_LAST",$Q8,$Q8)),AC9)</f>
        <v>0</v>
      </c>
      <c r="AD8" s="4">
        <f ca="1">IFERROR(VALUE(_xll.BDH(AD$4,"PX_LAST",$Q8,$Q8)),AD9)</f>
        <v>0</v>
      </c>
      <c r="AF8" s="4">
        <f t="shared" si="6"/>
        <v>1.0695217356238409</v>
      </c>
      <c r="AG8" s="4" t="e">
        <f t="shared" ca="1" si="7"/>
        <v>#DIV/0!</v>
      </c>
      <c r="AH8" s="4" t="e">
        <f t="shared" ca="1" si="8"/>
        <v>#DIV/0!</v>
      </c>
      <c r="AI8" s="4" t="e">
        <f t="shared" ca="1" si="9"/>
        <v>#DIV/0!</v>
      </c>
      <c r="AJ8" s="4" t="e">
        <f t="shared" ca="1" si="10"/>
        <v>#DIV/0!</v>
      </c>
      <c r="AK8" s="4" t="e">
        <f t="shared" ca="1" si="11"/>
        <v>#DIV/0!</v>
      </c>
      <c r="AM8" s="563">
        <f t="shared" ca="1" si="12"/>
        <v>45941</v>
      </c>
      <c r="AN8" s="564">
        <v>144.43</v>
      </c>
      <c r="AO8" s="564">
        <v>951812</v>
      </c>
      <c r="AP8" s="564">
        <v>50682.385999999999</v>
      </c>
      <c r="AQ8" s="564">
        <v>7320057.0099800006</v>
      </c>
      <c r="AR8" s="564">
        <v>2.0089000000000001</v>
      </c>
    </row>
    <row r="9" spans="2:44">
      <c r="B9" s="565">
        <f t="shared" ca="1" si="13"/>
        <v>45917</v>
      </c>
      <c r="C9" s="561">
        <f ca="1">(IFERROR(IFERROR(VALUE(_xll.BDH(C$4,"CURRENT_EV_TO_T12M_EBITDA",$B9,$B9)),VALUE(_xll.BDH(C$4,"CURRENT_EV_TO_T12M_EBITDA",$B9+1,$B9+1))),C10))</f>
        <v>0</v>
      </c>
      <c r="D9" s="561">
        <f ca="1">(IFERROR(IFERROR(VALUE(_xll.BDH(D$4,"CURRENT_EV_TO_T12M_EBITDA",$B9,$B9)),VALUE(_xll.BDH(D$4,"CURRENT_EV_TO_T12M_EBITDA",$B9+1,$B9+1))),D10))</f>
        <v>0</v>
      </c>
      <c r="E9" s="561">
        <f ca="1">(IFERROR(IFERROR(VALUE(_xll.BDH(E$4,"CURRENT_EV_TO_T12M_EBITDA",$B9,$B9)),VALUE(_xll.BDH(E$4,"CURRENT_EV_TO_T12M_EBITDA",$B9+1,$B9+1))),E10))</f>
        <v>0</v>
      </c>
      <c r="F9" s="561">
        <f ca="1">(IFERROR(IFERROR(VALUE(_xll.BDH(F$4,"CURRENT_EV_TO_T12M_EBITDA",$B9,$B9)),VALUE(_xll.BDH(F$4,"CURRENT_EV_TO_T12M_EBITDA",$B9+1,$B9+1))),F10))</f>
        <v>0</v>
      </c>
      <c r="G9" s="561">
        <f ca="1">(IFERROR(IFERROR(VALUE(_xll.BDH(G$4,"CURRENT_EV_TO_T12M_EBITDA",$B9,$B9)),VALUE(_xll.BDH(G$4,"CURRENT_EV_TO_T12M_EBITDA",$B9+1,$B9+1))),G10))</f>
        <v>0</v>
      </c>
      <c r="H9" s="561">
        <f ca="1">(IFERROR(IFERROR(VALUE(_xll.BDH(H$4,"CURRENT_EV_TO_T12M_EBITDA",$B9,$B9)),VALUE(_xll.BDH(H$4,"CURRENT_EV_TO_T12M_EBITDA",$B9+1,$B9+1))),H10))</f>
        <v>0</v>
      </c>
      <c r="I9" s="565">
        <f t="shared" ca="1" si="3"/>
        <v>45917</v>
      </c>
      <c r="J9" s="561">
        <f ca="1">(IFERROR(IFERROR(VALUE(_xll.BDH(J$4,"PE_RATIO",$B9,$B9)),VALUE(_xll.BDH(J$4,"PE_RATIO",$B9+1,$B9+1))),J10))</f>
        <v>0</v>
      </c>
      <c r="K9" s="561">
        <f ca="1">(IFERROR(IFERROR(VALUE(_xll.BDH(K$4,"PE_RATIO",$B9,$B9)),VALUE(_xll.BDH(K$4,"PE_RATIO",$B9+1,$B9+1))),K10))</f>
        <v>0</v>
      </c>
      <c r="L9" s="561">
        <f ca="1">(IFERROR(IFERROR(VALUE(_xll.BDH(L$4,"PE_RATIO",$B9,$B9)),VALUE(_xll.BDH(L$4,"PE_RATIO",$B9+1,$B9+1))),L10))</f>
        <v>0</v>
      </c>
      <c r="M9" s="561">
        <f ca="1">(IFERROR(IFERROR(VALUE(_xll.BDH(M$4,"PE_RATIO",$B9,$B9)),VALUE(_xll.BDH(M$4,"PE_RATIO",$B9+1,$B9+1))),M10))</f>
        <v>0</v>
      </c>
      <c r="N9" s="561">
        <f ca="1">(IFERROR(IFERROR(VALUE(_xll.BDH(N$4,"PE_RATIO",$B9,$B9)),VALUE(_xll.BDH(N$4,"PE_RATIO",$B9+1,$B9+1))),N10))</f>
        <v>0</v>
      </c>
      <c r="O9" s="561">
        <f ca="1">(IFERROR(IFERROR(VALUE(_xll.BDH(O$4,"PE_RATIO",$B9,$B9)),VALUE(_xll.BDH(O$4,"PE_RATIO",$B9+1,$B9+1))),O10))</f>
        <v>0</v>
      </c>
      <c r="P9" s="561"/>
      <c r="Q9" s="565">
        <f t="shared" ca="1" si="4"/>
        <v>45917</v>
      </c>
      <c r="R9" s="4">
        <v>130.31</v>
      </c>
      <c r="S9" s="4">
        <v>23839.200000000001</v>
      </c>
      <c r="T9" s="4">
        <v>1243.1600000000001</v>
      </c>
      <c r="U9" s="4">
        <v>1.0509718525687557</v>
      </c>
      <c r="V9" s="4">
        <v>2.1149510945505359</v>
      </c>
      <c r="W9" s="4">
        <v>1.6750565915705511</v>
      </c>
      <c r="Y9" s="561">
        <f t="shared" si="5"/>
        <v>130.31</v>
      </c>
      <c r="Z9" s="4">
        <f ca="1">IFERROR(VALUE(_xll.BDH(Z$4,"PX_LAST",$Q9,$Q9)),Z10)</f>
        <v>0</v>
      </c>
      <c r="AA9" s="4">
        <f ca="1">IFERROR(VALUE(_xll.BDH(AA$4,"PX_LAST",$Q9,$Q9)),AA10)</f>
        <v>0</v>
      </c>
      <c r="AB9" s="4">
        <f ca="1">IFERROR(VALUE(_xll.BDH(AB$4,"PX_LAST",$Q9,$Q9)),AB10)</f>
        <v>0</v>
      </c>
      <c r="AC9" s="4">
        <f ca="1">IFERROR(VALUE(_xll.BDH(AC$4,"PX_LAST",$Q9,$Q9)),AC10)</f>
        <v>0</v>
      </c>
      <c r="AD9" s="4">
        <f ca="1">IFERROR(VALUE(_xll.BDH(AD$4,"PX_LAST",$Q9,$Q9)),AD10)</f>
        <v>0</v>
      </c>
      <c r="AF9" s="4">
        <f t="shared" si="6"/>
        <v>1.0509718525687557</v>
      </c>
      <c r="AG9" s="4" t="e">
        <f t="shared" ca="1" si="7"/>
        <v>#DIV/0!</v>
      </c>
      <c r="AH9" s="4" t="e">
        <f t="shared" ca="1" si="8"/>
        <v>#DIV/0!</v>
      </c>
      <c r="AI9" s="4" t="e">
        <f t="shared" ca="1" si="9"/>
        <v>#DIV/0!</v>
      </c>
      <c r="AJ9" s="4" t="e">
        <f t="shared" ca="1" si="10"/>
        <v>#DIV/0!</v>
      </c>
      <c r="AK9" s="4" t="e">
        <f t="shared" ca="1" si="11"/>
        <v>#DIV/0!</v>
      </c>
      <c r="AM9" s="563">
        <f t="shared" ca="1" si="12"/>
        <v>45940</v>
      </c>
      <c r="AN9" s="564">
        <v>141.81</v>
      </c>
      <c r="AO9" s="564">
        <v>822040</v>
      </c>
      <c r="AP9" s="564">
        <v>50682.385999999999</v>
      </c>
      <c r="AQ9" s="564">
        <v>7187269.1586600002</v>
      </c>
      <c r="AR9" s="564">
        <v>1.9724999999999999</v>
      </c>
    </row>
    <row r="10" spans="2:44">
      <c r="B10" s="565">
        <f t="shared" ca="1" si="13"/>
        <v>45910</v>
      </c>
      <c r="C10" s="561">
        <f ca="1">(IFERROR(IFERROR(VALUE(_xll.BDH(C$4,"CURRENT_EV_TO_T12M_EBITDA",$B10,$B10)),VALUE(_xll.BDH(C$4,"CURRENT_EV_TO_T12M_EBITDA",$B10+1,$B10+1))),C11))</f>
        <v>0</v>
      </c>
      <c r="D10" s="561">
        <f ca="1">(IFERROR(IFERROR(VALUE(_xll.BDH(D$4,"CURRENT_EV_TO_T12M_EBITDA",$B10,$B10)),VALUE(_xll.BDH(D$4,"CURRENT_EV_TO_T12M_EBITDA",$B10+1,$B10+1))),D11))</f>
        <v>0</v>
      </c>
      <c r="E10" s="561">
        <f ca="1">(IFERROR(IFERROR(VALUE(_xll.BDH(E$4,"CURRENT_EV_TO_T12M_EBITDA",$B10,$B10)),VALUE(_xll.BDH(E$4,"CURRENT_EV_TO_T12M_EBITDA",$B10+1,$B10+1))),E11))</f>
        <v>0</v>
      </c>
      <c r="F10" s="561">
        <f ca="1">(IFERROR(IFERROR(VALUE(_xll.BDH(F$4,"CURRENT_EV_TO_T12M_EBITDA",$B10,$B10)),VALUE(_xll.BDH(F$4,"CURRENT_EV_TO_T12M_EBITDA",$B10+1,$B10+1))),F11))</f>
        <v>0</v>
      </c>
      <c r="G10" s="561">
        <f ca="1">(IFERROR(IFERROR(VALUE(_xll.BDH(G$4,"CURRENT_EV_TO_T12M_EBITDA",$B10,$B10)),VALUE(_xll.BDH(G$4,"CURRENT_EV_TO_T12M_EBITDA",$B10+1,$B10+1))),G11))</f>
        <v>0</v>
      </c>
      <c r="H10" s="561">
        <f ca="1">(IFERROR(IFERROR(VALUE(_xll.BDH(H$4,"CURRENT_EV_TO_T12M_EBITDA",$B10,$B10)),VALUE(_xll.BDH(H$4,"CURRENT_EV_TO_T12M_EBITDA",$B10+1,$B10+1))),H11))</f>
        <v>0</v>
      </c>
      <c r="I10" s="565">
        <f t="shared" ca="1" si="3"/>
        <v>45910</v>
      </c>
      <c r="J10" s="561">
        <f ca="1">(IFERROR(IFERROR(VALUE(_xll.BDH(J$4,"PE_RATIO",$B10,$B10)),VALUE(_xll.BDH(J$4,"PE_RATIO",$B10+1,$B10+1))),J11))</f>
        <v>0</v>
      </c>
      <c r="K10" s="561">
        <f ca="1">(IFERROR(IFERROR(VALUE(_xll.BDH(K$4,"PE_RATIO",$B10,$B10)),VALUE(_xll.BDH(K$4,"PE_RATIO",$B10+1,$B10+1))),K11))</f>
        <v>0</v>
      </c>
      <c r="L10" s="561">
        <f ca="1">(IFERROR(IFERROR(VALUE(_xll.BDH(L$4,"PE_RATIO",$B10,$B10)),VALUE(_xll.BDH(L$4,"PE_RATIO",$B10+1,$B10+1))),L11))</f>
        <v>0</v>
      </c>
      <c r="M10" s="561">
        <f ca="1">(IFERROR(IFERROR(VALUE(_xll.BDH(M$4,"PE_RATIO",$B10,$B10)),VALUE(_xll.BDH(M$4,"PE_RATIO",$B10+1,$B10+1))),M11))</f>
        <v>0</v>
      </c>
      <c r="N10" s="561">
        <f ca="1">(IFERROR(IFERROR(VALUE(_xll.BDH(N$4,"PE_RATIO",$B10,$B10)),VALUE(_xll.BDH(N$4,"PE_RATIO",$B10+1,$B10+1))),N11))</f>
        <v>0</v>
      </c>
      <c r="O10" s="561">
        <f ca="1">(IFERROR(IFERROR(VALUE(_xll.BDH(O$4,"PE_RATIO",$B10,$B10)),VALUE(_xll.BDH(O$4,"PE_RATIO",$B10+1,$B10+1))),O11))</f>
        <v>0</v>
      </c>
      <c r="P10" s="561"/>
      <c r="Q10" s="565">
        <f t="shared" ca="1" si="4"/>
        <v>45910</v>
      </c>
      <c r="R10" s="4">
        <v>144.71</v>
      </c>
      <c r="S10" s="4">
        <v>23018.560000000001</v>
      </c>
      <c r="T10" s="4">
        <v>1223.2</v>
      </c>
      <c r="U10" s="4">
        <v>1.1671102508266797</v>
      </c>
      <c r="V10" s="4">
        <v>2.0421460731474705</v>
      </c>
      <c r="W10" s="4">
        <v>1.6481621213754447</v>
      </c>
      <c r="Y10" s="561">
        <f t="shared" si="5"/>
        <v>144.71</v>
      </c>
      <c r="Z10" s="4">
        <f ca="1">IFERROR(VALUE(_xll.BDH(Z$4,"PX_LAST",$Q10,$Q10)),Z11)</f>
        <v>0</v>
      </c>
      <c r="AA10" s="4">
        <f ca="1">IFERROR(VALUE(_xll.BDH(AA$4,"PX_LAST",$Q10,$Q10)),AA11)</f>
        <v>0</v>
      </c>
      <c r="AB10" s="4">
        <f ca="1">IFERROR(VALUE(_xll.BDH(AB$4,"PX_LAST",$Q10,$Q10)),AB11)</f>
        <v>0</v>
      </c>
      <c r="AC10" s="4">
        <f ca="1">IFERROR(VALUE(_xll.BDH(AC$4,"PX_LAST",$Q10,$Q10)),AC11)</f>
        <v>0</v>
      </c>
      <c r="AD10" s="4">
        <f ca="1">IFERROR(VALUE(_xll.BDH(AD$4,"PX_LAST",$Q10,$Q10)),AD11)</f>
        <v>0</v>
      </c>
      <c r="AF10" s="4">
        <f t="shared" si="6"/>
        <v>1.1671102508266797</v>
      </c>
      <c r="AG10" s="4" t="e">
        <f t="shared" ca="1" si="7"/>
        <v>#DIV/0!</v>
      </c>
      <c r="AH10" s="4" t="e">
        <f t="shared" ca="1" si="8"/>
        <v>#DIV/0!</v>
      </c>
      <c r="AI10" s="4" t="e">
        <f t="shared" ca="1" si="9"/>
        <v>#DIV/0!</v>
      </c>
      <c r="AJ10" s="4" t="e">
        <f t="shared" ca="1" si="10"/>
        <v>#DIV/0!</v>
      </c>
      <c r="AK10" s="4" t="e">
        <f t="shared" ca="1" si="11"/>
        <v>#DIV/0!</v>
      </c>
      <c r="AM10" s="563">
        <f t="shared" ca="1" si="12"/>
        <v>45939</v>
      </c>
      <c r="AN10" s="564">
        <v>135.63999999999999</v>
      </c>
      <c r="AO10" s="564">
        <v>889063</v>
      </c>
      <c r="AP10" s="564">
        <v>50682.385999999999</v>
      </c>
      <c r="AQ10" s="564">
        <v>6874558.8370399987</v>
      </c>
      <c r="AR10" s="564">
        <v>1.8867</v>
      </c>
    </row>
    <row r="11" spans="2:44">
      <c r="B11" s="565">
        <f t="shared" ca="1" si="13"/>
        <v>45903</v>
      </c>
      <c r="C11" s="561">
        <f ca="1">(IFERROR(IFERROR(VALUE(_xll.BDH(C$4,"CURRENT_EV_TO_T12M_EBITDA",$B11,$B11)),VALUE(_xll.BDH(C$4,"CURRENT_EV_TO_T12M_EBITDA",$B11+1,$B11+1))),C12))</f>
        <v>0</v>
      </c>
      <c r="D11" s="561">
        <f ca="1">(IFERROR(IFERROR(VALUE(_xll.BDH(D$4,"CURRENT_EV_TO_T12M_EBITDA",$B11,$B11)),VALUE(_xll.BDH(D$4,"CURRENT_EV_TO_T12M_EBITDA",$B11+1,$B11+1))),D12))</f>
        <v>0</v>
      </c>
      <c r="E11" s="561">
        <f ca="1">(IFERROR(IFERROR(VALUE(_xll.BDH(E$4,"CURRENT_EV_TO_T12M_EBITDA",$B11,$B11)),VALUE(_xll.BDH(E$4,"CURRENT_EV_TO_T12M_EBITDA",$B11+1,$B11+1))),E12))</f>
        <v>0</v>
      </c>
      <c r="F11" s="561">
        <f ca="1">(IFERROR(IFERROR(VALUE(_xll.BDH(F$4,"CURRENT_EV_TO_T12M_EBITDA",$B11,$B11)),VALUE(_xll.BDH(F$4,"CURRENT_EV_TO_T12M_EBITDA",$B11+1,$B11+1))),F12))</f>
        <v>0</v>
      </c>
      <c r="G11" s="561">
        <f ca="1">(IFERROR(IFERROR(VALUE(_xll.BDH(G$4,"CURRENT_EV_TO_T12M_EBITDA",$B11,$B11)),VALUE(_xll.BDH(G$4,"CURRENT_EV_TO_T12M_EBITDA",$B11+1,$B11+1))),G12))</f>
        <v>0</v>
      </c>
      <c r="H11" s="561">
        <f ca="1">(IFERROR(IFERROR(VALUE(_xll.BDH(H$4,"CURRENT_EV_TO_T12M_EBITDA",$B11,$B11)),VALUE(_xll.BDH(H$4,"CURRENT_EV_TO_T12M_EBITDA",$B11+1,$B11+1))),H12))</f>
        <v>0</v>
      </c>
      <c r="I11" s="565">
        <f t="shared" ca="1" si="3"/>
        <v>45903</v>
      </c>
      <c r="J11" s="561">
        <f ca="1">(IFERROR(IFERROR(VALUE(_xll.BDH(J$4,"PE_RATIO",$B11,$B11)),VALUE(_xll.BDH(J$4,"PE_RATIO",$B11+1,$B11+1))),J12))</f>
        <v>0</v>
      </c>
      <c r="K11" s="561">
        <f ca="1">(IFERROR(IFERROR(VALUE(_xll.BDH(K$4,"PE_RATIO",$B11,$B11)),VALUE(_xll.BDH(K$4,"PE_RATIO",$B11+1,$B11+1))),K12))</f>
        <v>0</v>
      </c>
      <c r="L11" s="561">
        <f ca="1">(IFERROR(IFERROR(VALUE(_xll.BDH(L$4,"PE_RATIO",$B11,$B11)),VALUE(_xll.BDH(L$4,"PE_RATIO",$B11+1,$B11+1))),L12))</f>
        <v>0</v>
      </c>
      <c r="M11" s="561">
        <f ca="1">(IFERROR(IFERROR(VALUE(_xll.BDH(M$4,"PE_RATIO",$B11,$B11)),VALUE(_xll.BDH(M$4,"PE_RATIO",$B11+1,$B11+1))),M12))</f>
        <v>0</v>
      </c>
      <c r="N11" s="561">
        <f ca="1">(IFERROR(IFERROR(VALUE(_xll.BDH(N$4,"PE_RATIO",$B11,$B11)),VALUE(_xll.BDH(N$4,"PE_RATIO",$B11+1,$B11+1))),N12))</f>
        <v>0</v>
      </c>
      <c r="O11" s="561">
        <f ca="1">(IFERROR(IFERROR(VALUE(_xll.BDH(O$4,"PE_RATIO",$B11,$B11)),VALUE(_xll.BDH(O$4,"PE_RATIO",$B11+1,$B11+1))),O12))</f>
        <v>0</v>
      </c>
      <c r="P11" s="561"/>
      <c r="Q11" s="565">
        <f t="shared" ca="1" si="4"/>
        <v>45903</v>
      </c>
      <c r="R11" s="4">
        <v>146.94</v>
      </c>
      <c r="S11" s="4">
        <v>23308.3</v>
      </c>
      <c r="T11" s="4">
        <v>1241.69</v>
      </c>
      <c r="U11" s="4">
        <v>1.1850955722235665</v>
      </c>
      <c r="V11" s="4">
        <v>2.0678510435380484</v>
      </c>
      <c r="W11" s="4">
        <v>1.673075886601272</v>
      </c>
      <c r="Y11" s="561">
        <f t="shared" si="5"/>
        <v>146.94</v>
      </c>
      <c r="Z11" s="4">
        <f ca="1">IFERROR(VALUE(_xll.BDH(Z$4,"PX_LAST",$Q11,$Q11)),Z12)</f>
        <v>0</v>
      </c>
      <c r="AA11" s="4">
        <f ca="1">IFERROR(VALUE(_xll.BDH(AA$4,"PX_LAST",$Q11,$Q11)),AA12)</f>
        <v>0</v>
      </c>
      <c r="AB11" s="4">
        <f ca="1">IFERROR(VALUE(_xll.BDH(AB$4,"PX_LAST",$Q11,$Q11)),AB12)</f>
        <v>0</v>
      </c>
      <c r="AC11" s="4">
        <f ca="1">IFERROR(VALUE(_xll.BDH(AC$4,"PX_LAST",$Q11,$Q11)),AC12)</f>
        <v>0</v>
      </c>
      <c r="AD11" s="4">
        <f ca="1">IFERROR(VALUE(_xll.BDH(AD$4,"PX_LAST",$Q11,$Q11)),AD12)</f>
        <v>0</v>
      </c>
      <c r="AF11" s="4">
        <f t="shared" si="6"/>
        <v>1.1850955722235665</v>
      </c>
      <c r="AG11" s="4" t="e">
        <f t="shared" ca="1" si="7"/>
        <v>#DIV/0!</v>
      </c>
      <c r="AH11" s="4" t="e">
        <f t="shared" ca="1" si="8"/>
        <v>#DIV/0!</v>
      </c>
      <c r="AI11" s="4" t="e">
        <f t="shared" ca="1" si="9"/>
        <v>#DIV/0!</v>
      </c>
      <c r="AJ11" s="4" t="e">
        <f t="shared" ca="1" si="10"/>
        <v>#DIV/0!</v>
      </c>
      <c r="AK11" s="4" t="e">
        <f t="shared" ca="1" si="11"/>
        <v>#DIV/0!</v>
      </c>
      <c r="AM11" s="563">
        <f t="shared" ca="1" si="12"/>
        <v>45938</v>
      </c>
      <c r="AN11" s="564">
        <v>137.37</v>
      </c>
      <c r="AO11" s="564">
        <v>756124</v>
      </c>
      <c r="AP11" s="564">
        <v>50682.385999999999</v>
      </c>
      <c r="AQ11" s="564">
        <v>6962239.3648199998</v>
      </c>
      <c r="AR11" s="564">
        <v>1.9107000000000001</v>
      </c>
    </row>
    <row r="12" spans="2:44">
      <c r="B12" s="565">
        <f t="shared" ca="1" si="13"/>
        <v>45896</v>
      </c>
      <c r="C12" s="561">
        <f ca="1">(IFERROR(IFERROR(VALUE(_xll.BDH(C$4,"CURRENT_EV_TO_T12M_EBITDA",$B12,$B12)),VALUE(_xll.BDH(C$4,"CURRENT_EV_TO_T12M_EBITDA",$B12+1,$B12+1))),C13))</f>
        <v>0</v>
      </c>
      <c r="D12" s="561">
        <f ca="1">(IFERROR(IFERROR(VALUE(_xll.BDH(D$4,"CURRENT_EV_TO_T12M_EBITDA",$B12,$B12)),VALUE(_xll.BDH(D$4,"CURRENT_EV_TO_T12M_EBITDA",$B12+1,$B12+1))),D13))</f>
        <v>0</v>
      </c>
      <c r="E12" s="561">
        <f ca="1">(IFERROR(IFERROR(VALUE(_xll.BDH(E$4,"CURRENT_EV_TO_T12M_EBITDA",$B12,$B12)),VALUE(_xll.BDH(E$4,"CURRENT_EV_TO_T12M_EBITDA",$B12+1,$B12+1))),E13))</f>
        <v>0</v>
      </c>
      <c r="F12" s="561">
        <f ca="1">(IFERROR(IFERROR(VALUE(_xll.BDH(F$4,"CURRENT_EV_TO_T12M_EBITDA",$B12,$B12)),VALUE(_xll.BDH(F$4,"CURRENT_EV_TO_T12M_EBITDA",$B12+1,$B12+1))),F13))</f>
        <v>0</v>
      </c>
      <c r="G12" s="561">
        <f ca="1">(IFERROR(IFERROR(VALUE(_xll.BDH(G$4,"CURRENT_EV_TO_T12M_EBITDA",$B12,$B12)),VALUE(_xll.BDH(G$4,"CURRENT_EV_TO_T12M_EBITDA",$B12+1,$B12+1))),G13))</f>
        <v>0</v>
      </c>
      <c r="H12" s="561">
        <f ca="1">(IFERROR(IFERROR(VALUE(_xll.BDH(H$4,"CURRENT_EV_TO_T12M_EBITDA",$B12,$B12)),VALUE(_xll.BDH(H$4,"CURRENT_EV_TO_T12M_EBITDA",$B12+1,$B12+1))),H13))</f>
        <v>0</v>
      </c>
      <c r="I12" s="565">
        <f t="shared" ca="1" si="3"/>
        <v>45896</v>
      </c>
      <c r="J12" s="561">
        <f ca="1">(IFERROR(IFERROR(VALUE(_xll.BDH(J$4,"PE_RATIO",$B12,$B12)),VALUE(_xll.BDH(J$4,"PE_RATIO",$B12+1,$B12+1))),J13))</f>
        <v>0</v>
      </c>
      <c r="K12" s="561">
        <f ca="1">(IFERROR(IFERROR(VALUE(_xll.BDH(K$4,"PE_RATIO",$B12,$B12)),VALUE(_xll.BDH(K$4,"PE_RATIO",$B12+1,$B12+1))),K13))</f>
        <v>0</v>
      </c>
      <c r="L12" s="561">
        <f ca="1">(IFERROR(IFERROR(VALUE(_xll.BDH(L$4,"PE_RATIO",$B12,$B12)),VALUE(_xll.BDH(L$4,"PE_RATIO",$B12+1,$B12+1))),L13))</f>
        <v>0</v>
      </c>
      <c r="M12" s="561">
        <f ca="1">(IFERROR(IFERROR(VALUE(_xll.BDH(M$4,"PE_RATIO",$B12,$B12)),VALUE(_xll.BDH(M$4,"PE_RATIO",$B12+1,$B12+1))),M13))</f>
        <v>0</v>
      </c>
      <c r="N12" s="561">
        <f ca="1">(IFERROR(IFERROR(VALUE(_xll.BDH(N$4,"PE_RATIO",$B12,$B12)),VALUE(_xll.BDH(N$4,"PE_RATIO",$B12+1,$B12+1))),N13))</f>
        <v>0</v>
      </c>
      <c r="O12" s="561">
        <f ca="1">(IFERROR(IFERROR(VALUE(_xll.BDH(O$4,"PE_RATIO",$B12,$B12)),VALUE(_xll.BDH(O$4,"PE_RATIO",$B12+1,$B12+1))),O13))</f>
        <v>0</v>
      </c>
      <c r="P12" s="561"/>
      <c r="Q12" s="565">
        <f t="shared" ca="1" si="4"/>
        <v>45896</v>
      </c>
      <c r="R12" s="4">
        <v>149.47999999999999</v>
      </c>
      <c r="S12" s="4">
        <v>23063.58</v>
      </c>
      <c r="T12" s="4">
        <v>1248.6099999999999</v>
      </c>
      <c r="U12" s="4">
        <v>1.2055810952496169</v>
      </c>
      <c r="V12" s="4">
        <v>2.0461401290837715</v>
      </c>
      <c r="W12" s="4">
        <v>1.6824000215586934</v>
      </c>
      <c r="Y12" s="561">
        <f t="shared" si="5"/>
        <v>149.47999999999999</v>
      </c>
      <c r="Z12" s="4">
        <f ca="1">IFERROR(VALUE(_xll.BDH(Z$4,"PX_LAST",$Q12,$Q12)),Z13)</f>
        <v>0</v>
      </c>
      <c r="AA12" s="4">
        <f ca="1">IFERROR(VALUE(_xll.BDH(AA$4,"PX_LAST",$Q12,$Q12)),AA13)</f>
        <v>0</v>
      </c>
      <c r="AB12" s="4">
        <f ca="1">IFERROR(VALUE(_xll.BDH(AB$4,"PX_LAST",$Q12,$Q12)),AB13)</f>
        <v>0</v>
      </c>
      <c r="AC12" s="4">
        <f ca="1">IFERROR(VALUE(_xll.BDH(AC$4,"PX_LAST",$Q12,$Q12)),AC13)</f>
        <v>0</v>
      </c>
      <c r="AD12" s="4">
        <f ca="1">IFERROR(VALUE(_xll.BDH(AD$4,"PX_LAST",$Q12,$Q12)),AD13)</f>
        <v>0</v>
      </c>
      <c r="AF12" s="4">
        <f t="shared" si="6"/>
        <v>1.2055810952496169</v>
      </c>
      <c r="AG12" s="4" t="e">
        <f t="shared" ca="1" si="7"/>
        <v>#DIV/0!</v>
      </c>
      <c r="AH12" s="4" t="e">
        <f t="shared" ca="1" si="8"/>
        <v>#DIV/0!</v>
      </c>
      <c r="AI12" s="4" t="e">
        <f t="shared" ca="1" si="9"/>
        <v>#DIV/0!</v>
      </c>
      <c r="AJ12" s="4" t="e">
        <f t="shared" ca="1" si="10"/>
        <v>#DIV/0!</v>
      </c>
      <c r="AK12" s="4" t="e">
        <f t="shared" ca="1" si="11"/>
        <v>#DIV/0!</v>
      </c>
      <c r="AM12" s="563">
        <f t="shared" ca="1" si="12"/>
        <v>45937</v>
      </c>
      <c r="AN12" s="564">
        <v>136.85</v>
      </c>
      <c r="AO12" s="564">
        <v>799994</v>
      </c>
      <c r="AP12" s="564">
        <v>50682.385999999999</v>
      </c>
      <c r="AQ12" s="564">
        <v>6935884.5240999991</v>
      </c>
      <c r="AR12" s="564">
        <v>1.9035</v>
      </c>
    </row>
    <row r="13" spans="2:44">
      <c r="B13" s="565">
        <f t="shared" ca="1" si="13"/>
        <v>45889</v>
      </c>
      <c r="C13" s="561">
        <f ca="1">(IFERROR(IFERROR(VALUE(_xll.BDH(C$4,"CURRENT_EV_TO_T12M_EBITDA",$B13,$B13)),VALUE(_xll.BDH(C$4,"CURRENT_EV_TO_T12M_EBITDA",$B13+1,$B13+1))),C14))</f>
        <v>0</v>
      </c>
      <c r="D13" s="561">
        <f ca="1">(IFERROR(IFERROR(VALUE(_xll.BDH(D$4,"CURRENT_EV_TO_T12M_EBITDA",$B13,$B13)),VALUE(_xll.BDH(D$4,"CURRENT_EV_TO_T12M_EBITDA",$B13+1,$B13+1))),D14))</f>
        <v>0</v>
      </c>
      <c r="E13" s="561">
        <f ca="1">(IFERROR(IFERROR(VALUE(_xll.BDH(E$4,"CURRENT_EV_TO_T12M_EBITDA",$B13,$B13)),VALUE(_xll.BDH(E$4,"CURRENT_EV_TO_T12M_EBITDA",$B13+1,$B13+1))),E14))</f>
        <v>0</v>
      </c>
      <c r="F13" s="561">
        <f ca="1">(IFERROR(IFERROR(VALUE(_xll.BDH(F$4,"CURRENT_EV_TO_T12M_EBITDA",$B13,$B13)),VALUE(_xll.BDH(F$4,"CURRENT_EV_TO_T12M_EBITDA",$B13+1,$B13+1))),F14))</f>
        <v>0</v>
      </c>
      <c r="G13" s="561">
        <f ca="1">(IFERROR(IFERROR(VALUE(_xll.BDH(G$4,"CURRENT_EV_TO_T12M_EBITDA",$B13,$B13)),VALUE(_xll.BDH(G$4,"CURRENT_EV_TO_T12M_EBITDA",$B13+1,$B13+1))),G14))</f>
        <v>0</v>
      </c>
      <c r="H13" s="561">
        <f ca="1">(IFERROR(IFERROR(VALUE(_xll.BDH(H$4,"CURRENT_EV_TO_T12M_EBITDA",$B13,$B13)),VALUE(_xll.BDH(H$4,"CURRENT_EV_TO_T12M_EBITDA",$B13+1,$B13+1))),H14))</f>
        <v>0</v>
      </c>
      <c r="I13" s="565">
        <f t="shared" ca="1" si="3"/>
        <v>45889</v>
      </c>
      <c r="J13" s="561">
        <f ca="1">(IFERROR(IFERROR(VALUE(_xll.BDH(J$4,"PE_RATIO",$B13,$B13)),VALUE(_xll.BDH(J$4,"PE_RATIO",$B13+1,$B13+1))),J14))</f>
        <v>0</v>
      </c>
      <c r="K13" s="561">
        <f ca="1">(IFERROR(IFERROR(VALUE(_xll.BDH(K$4,"PE_RATIO",$B13,$B13)),VALUE(_xll.BDH(K$4,"PE_RATIO",$B13+1,$B13+1))),K14))</f>
        <v>0</v>
      </c>
      <c r="L13" s="561">
        <f ca="1">(IFERROR(IFERROR(VALUE(_xll.BDH(L$4,"PE_RATIO",$B13,$B13)),VALUE(_xll.BDH(L$4,"PE_RATIO",$B13+1,$B13+1))),L14))</f>
        <v>0</v>
      </c>
      <c r="M13" s="561">
        <f ca="1">(IFERROR(IFERROR(VALUE(_xll.BDH(M$4,"PE_RATIO",$B13,$B13)),VALUE(_xll.BDH(M$4,"PE_RATIO",$B13+1,$B13+1))),M14))</f>
        <v>0</v>
      </c>
      <c r="N13" s="561">
        <f ca="1">(IFERROR(IFERROR(VALUE(_xll.BDH(N$4,"PE_RATIO",$B13,$B13)),VALUE(_xll.BDH(N$4,"PE_RATIO",$B13+1,$B13+1))),N14))</f>
        <v>0</v>
      </c>
      <c r="O13" s="561">
        <f ca="1">(IFERROR(IFERROR(VALUE(_xll.BDH(O$4,"PE_RATIO",$B13,$B13)),VALUE(_xll.BDH(O$4,"PE_RATIO",$B13+1,$B13+1))),O14))</f>
        <v>0</v>
      </c>
      <c r="P13" s="561"/>
      <c r="Q13" s="565">
        <f t="shared" ca="1" si="4"/>
        <v>45889</v>
      </c>
      <c r="R13" s="4">
        <v>143.80000000000001</v>
      </c>
      <c r="S13" s="4">
        <v>22884.59</v>
      </c>
      <c r="T13" s="4">
        <v>1228.23</v>
      </c>
      <c r="U13" s="4">
        <v>1.1597709492701025</v>
      </c>
      <c r="V13" s="4">
        <v>2.0302606072703884</v>
      </c>
      <c r="W13" s="4">
        <v>1.6549396356580792</v>
      </c>
      <c r="Y13" s="561">
        <f t="shared" si="5"/>
        <v>143.80000000000001</v>
      </c>
      <c r="Z13" s="4">
        <f ca="1">IFERROR(VALUE(_xll.BDH(Z$4,"PX_LAST",$Q13,$Q13)),Z14)</f>
        <v>0</v>
      </c>
      <c r="AA13" s="4">
        <f ca="1">IFERROR(VALUE(_xll.BDH(AA$4,"PX_LAST",$Q13,$Q13)),AA14)</f>
        <v>0</v>
      </c>
      <c r="AB13" s="4">
        <f ca="1">IFERROR(VALUE(_xll.BDH(AB$4,"PX_LAST",$Q13,$Q13)),AB14)</f>
        <v>0</v>
      </c>
      <c r="AC13" s="4">
        <f ca="1">IFERROR(VALUE(_xll.BDH(AC$4,"PX_LAST",$Q13,$Q13)),AC14)</f>
        <v>0</v>
      </c>
      <c r="AD13" s="4">
        <f ca="1">IFERROR(VALUE(_xll.BDH(AD$4,"PX_LAST",$Q13,$Q13)),AD14)</f>
        <v>0</v>
      </c>
      <c r="AF13" s="4">
        <f t="shared" si="6"/>
        <v>1.1597709492701025</v>
      </c>
      <c r="AG13" s="4" t="e">
        <f t="shared" ca="1" si="7"/>
        <v>#DIV/0!</v>
      </c>
      <c r="AH13" s="4" t="e">
        <f t="shared" ca="1" si="8"/>
        <v>#DIV/0!</v>
      </c>
      <c r="AI13" s="4" t="e">
        <f t="shared" ca="1" si="9"/>
        <v>#DIV/0!</v>
      </c>
      <c r="AJ13" s="4" t="e">
        <f t="shared" ca="1" si="10"/>
        <v>#DIV/0!</v>
      </c>
      <c r="AK13" s="4" t="e">
        <f t="shared" ca="1" si="11"/>
        <v>#DIV/0!</v>
      </c>
      <c r="AM13" s="563">
        <f t="shared" ca="1" si="12"/>
        <v>45936</v>
      </c>
      <c r="AN13" s="564">
        <v>136.85</v>
      </c>
      <c r="AO13" s="564">
        <v>799994</v>
      </c>
      <c r="AP13" s="564">
        <v>50682.385999999999</v>
      </c>
      <c r="AQ13" s="564">
        <v>6935884.5240999991</v>
      </c>
      <c r="AR13" s="564">
        <v>1.9035</v>
      </c>
    </row>
    <row r="14" spans="2:44">
      <c r="B14" s="565">
        <f t="shared" ca="1" si="13"/>
        <v>45882</v>
      </c>
      <c r="C14" s="561">
        <f ca="1">(IFERROR(IFERROR(VALUE(_xll.BDH(C$4,"CURRENT_EV_TO_T12M_EBITDA",$B14,$B14)),VALUE(_xll.BDH(C$4,"CURRENT_EV_TO_T12M_EBITDA",$B14+1,$B14+1))),C15))</f>
        <v>0</v>
      </c>
      <c r="D14" s="561">
        <f ca="1">(IFERROR(IFERROR(VALUE(_xll.BDH(D$4,"CURRENT_EV_TO_T12M_EBITDA",$B14,$B14)),VALUE(_xll.BDH(D$4,"CURRENT_EV_TO_T12M_EBITDA",$B14+1,$B14+1))),D15))</f>
        <v>0</v>
      </c>
      <c r="E14" s="561">
        <f ca="1">(IFERROR(IFERROR(VALUE(_xll.BDH(E$4,"CURRENT_EV_TO_T12M_EBITDA",$B14,$B14)),VALUE(_xll.BDH(E$4,"CURRENT_EV_TO_T12M_EBITDA",$B14+1,$B14+1))),E15))</f>
        <v>0</v>
      </c>
      <c r="F14" s="561">
        <f ca="1">(IFERROR(IFERROR(VALUE(_xll.BDH(F$4,"CURRENT_EV_TO_T12M_EBITDA",$B14,$B14)),VALUE(_xll.BDH(F$4,"CURRENT_EV_TO_T12M_EBITDA",$B14+1,$B14+1))),F15))</f>
        <v>0</v>
      </c>
      <c r="G14" s="561">
        <f ca="1">(IFERROR(IFERROR(VALUE(_xll.BDH(G$4,"CURRENT_EV_TO_T12M_EBITDA",$B14,$B14)),VALUE(_xll.BDH(G$4,"CURRENT_EV_TO_T12M_EBITDA",$B14+1,$B14+1))),G15))</f>
        <v>0</v>
      </c>
      <c r="H14" s="561">
        <f ca="1">(IFERROR(IFERROR(VALUE(_xll.BDH(H$4,"CURRENT_EV_TO_T12M_EBITDA",$B14,$B14)),VALUE(_xll.BDH(H$4,"CURRENT_EV_TO_T12M_EBITDA",$B14+1,$B14+1))),H15))</f>
        <v>0</v>
      </c>
      <c r="I14" s="565">
        <f t="shared" ca="1" si="3"/>
        <v>45882</v>
      </c>
      <c r="J14" s="561">
        <f ca="1">(IFERROR(IFERROR(VALUE(_xll.BDH(J$4,"PE_RATIO",$B14,$B14)),VALUE(_xll.BDH(J$4,"PE_RATIO",$B14+1,$B14+1))),J15))</f>
        <v>0</v>
      </c>
      <c r="K14" s="561">
        <f ca="1">(IFERROR(IFERROR(VALUE(_xll.BDH(K$4,"PE_RATIO",$B14,$B14)),VALUE(_xll.BDH(K$4,"PE_RATIO",$B14+1,$B14+1))),K15))</f>
        <v>0</v>
      </c>
      <c r="L14" s="561">
        <f ca="1">(IFERROR(IFERROR(VALUE(_xll.BDH(L$4,"PE_RATIO",$B14,$B14)),VALUE(_xll.BDH(L$4,"PE_RATIO",$B14+1,$B14+1))),L15))</f>
        <v>0</v>
      </c>
      <c r="M14" s="561">
        <f ca="1">(IFERROR(IFERROR(VALUE(_xll.BDH(M$4,"PE_RATIO",$B14,$B14)),VALUE(_xll.BDH(M$4,"PE_RATIO",$B14+1,$B14+1))),M15))</f>
        <v>0</v>
      </c>
      <c r="N14" s="561">
        <f ca="1">(IFERROR(IFERROR(VALUE(_xll.BDH(N$4,"PE_RATIO",$B14,$B14)),VALUE(_xll.BDH(N$4,"PE_RATIO",$B14+1,$B14+1))),N15))</f>
        <v>0</v>
      </c>
      <c r="O14" s="561">
        <f ca="1">(IFERROR(IFERROR(VALUE(_xll.BDH(O$4,"PE_RATIO",$B14,$B14)),VALUE(_xll.BDH(O$4,"PE_RATIO",$B14+1,$B14+1))),O15))</f>
        <v>0</v>
      </c>
      <c r="P14" s="561"/>
      <c r="Q14" s="565">
        <f t="shared" ca="1" si="4"/>
        <v>45882</v>
      </c>
      <c r="R14" s="4">
        <v>148.06</v>
      </c>
      <c r="S14" s="4">
        <v>22702.25</v>
      </c>
      <c r="T14" s="4">
        <v>1239.26</v>
      </c>
      <c r="U14" s="4">
        <v>1.1941285587547383</v>
      </c>
      <c r="V14" s="4">
        <v>2.0140838822720517</v>
      </c>
      <c r="W14" s="4">
        <v>1.6698016600194028</v>
      </c>
      <c r="Y14" s="561">
        <f t="shared" si="5"/>
        <v>148.06</v>
      </c>
      <c r="Z14" s="4">
        <f ca="1">IFERROR(VALUE(_xll.BDH(Z$4,"PX_LAST",$Q14,$Q14)),Z15)</f>
        <v>0</v>
      </c>
      <c r="AA14" s="4">
        <f ca="1">IFERROR(VALUE(_xll.BDH(AA$4,"PX_LAST",$Q14,$Q14)),AA15)</f>
        <v>0</v>
      </c>
      <c r="AB14" s="4">
        <f ca="1">IFERROR(VALUE(_xll.BDH(AB$4,"PX_LAST",$Q14,$Q14)),AB15)</f>
        <v>0</v>
      </c>
      <c r="AC14" s="4">
        <f ca="1">IFERROR(VALUE(_xll.BDH(AC$4,"PX_LAST",$Q14,$Q14)),AC15)</f>
        <v>0</v>
      </c>
      <c r="AD14" s="4">
        <f ca="1">IFERROR(VALUE(_xll.BDH(AD$4,"PX_LAST",$Q14,$Q14)),AD15)</f>
        <v>0</v>
      </c>
      <c r="AF14" s="4">
        <f t="shared" si="6"/>
        <v>1.1941285587547383</v>
      </c>
      <c r="AG14" s="4" t="e">
        <f t="shared" ca="1" si="7"/>
        <v>#DIV/0!</v>
      </c>
      <c r="AH14" s="4" t="e">
        <f t="shared" ca="1" si="8"/>
        <v>#DIV/0!</v>
      </c>
      <c r="AI14" s="4" t="e">
        <f t="shared" ca="1" si="9"/>
        <v>#DIV/0!</v>
      </c>
      <c r="AJ14" s="4" t="e">
        <f t="shared" ca="1" si="10"/>
        <v>#DIV/0!</v>
      </c>
      <c r="AK14" s="4" t="e">
        <f t="shared" ca="1" si="11"/>
        <v>#DIV/0!</v>
      </c>
      <c r="AM14" s="563">
        <f t="shared" ca="1" si="12"/>
        <v>45935</v>
      </c>
      <c r="AN14" s="564">
        <v>136.85</v>
      </c>
      <c r="AO14" s="564">
        <v>799994</v>
      </c>
      <c r="AP14" s="564">
        <v>50682.385999999999</v>
      </c>
      <c r="AQ14" s="564">
        <v>6935884.5240999991</v>
      </c>
      <c r="AR14" s="564">
        <v>1.9035</v>
      </c>
    </row>
    <row r="15" spans="2:44">
      <c r="B15" s="565">
        <f t="shared" ca="1" si="13"/>
        <v>45875</v>
      </c>
      <c r="C15" s="561">
        <f ca="1">(IFERROR(IFERROR(VALUE(_xll.BDH(C$4,"CURRENT_EV_TO_T12M_EBITDA",$B15,$B15)),VALUE(_xll.BDH(C$4,"CURRENT_EV_TO_T12M_EBITDA",$B15+1,$B15+1))),C16))</f>
        <v>0</v>
      </c>
      <c r="D15" s="561">
        <f ca="1">(IFERROR(IFERROR(VALUE(_xll.BDH(D$4,"CURRENT_EV_TO_T12M_EBITDA",$B15,$B15)),VALUE(_xll.BDH(D$4,"CURRENT_EV_TO_T12M_EBITDA",$B15+1,$B15+1))),D16))</f>
        <v>0</v>
      </c>
      <c r="E15" s="561">
        <f ca="1">(IFERROR(IFERROR(VALUE(_xll.BDH(E$4,"CURRENT_EV_TO_T12M_EBITDA",$B15,$B15)),VALUE(_xll.BDH(E$4,"CURRENT_EV_TO_T12M_EBITDA",$B15+1,$B15+1))),E16))</f>
        <v>0</v>
      </c>
      <c r="F15" s="561">
        <f ca="1">(IFERROR(IFERROR(VALUE(_xll.BDH(F$4,"CURRENT_EV_TO_T12M_EBITDA",$B15,$B15)),VALUE(_xll.BDH(F$4,"CURRENT_EV_TO_T12M_EBITDA",$B15+1,$B15+1))),F16))</f>
        <v>0</v>
      </c>
      <c r="G15" s="561">
        <f ca="1">(IFERROR(IFERROR(VALUE(_xll.BDH(G$4,"CURRENT_EV_TO_T12M_EBITDA",$B15,$B15)),VALUE(_xll.BDH(G$4,"CURRENT_EV_TO_T12M_EBITDA",$B15+1,$B15+1))),G16))</f>
        <v>0</v>
      </c>
      <c r="H15" s="561">
        <f ca="1">(IFERROR(IFERROR(VALUE(_xll.BDH(H$4,"CURRENT_EV_TO_T12M_EBITDA",$B15,$B15)),VALUE(_xll.BDH(H$4,"CURRENT_EV_TO_T12M_EBITDA",$B15+1,$B15+1))),H16))</f>
        <v>0</v>
      </c>
      <c r="I15" s="565">
        <f t="shared" ca="1" si="3"/>
        <v>45875</v>
      </c>
      <c r="J15" s="561">
        <f ca="1">(IFERROR(IFERROR(VALUE(_xll.BDH(J$4,"PE_RATIO",$B15,$B15)),VALUE(_xll.BDH(J$4,"PE_RATIO",$B15+1,$B15+1))),J16))</f>
        <v>0</v>
      </c>
      <c r="K15" s="561">
        <f ca="1">(IFERROR(IFERROR(VALUE(_xll.BDH(K$4,"PE_RATIO",$B15,$B15)),VALUE(_xll.BDH(K$4,"PE_RATIO",$B15+1,$B15+1))),K16))</f>
        <v>0</v>
      </c>
      <c r="L15" s="561">
        <f ca="1">(IFERROR(IFERROR(VALUE(_xll.BDH(L$4,"PE_RATIO",$B15,$B15)),VALUE(_xll.BDH(L$4,"PE_RATIO",$B15+1,$B15+1))),L16))</f>
        <v>0</v>
      </c>
      <c r="M15" s="561">
        <f ca="1">(IFERROR(IFERROR(VALUE(_xll.BDH(M$4,"PE_RATIO",$B15,$B15)),VALUE(_xll.BDH(M$4,"PE_RATIO",$B15+1,$B15+1))),M16))</f>
        <v>0</v>
      </c>
      <c r="N15" s="561">
        <f ca="1">(IFERROR(IFERROR(VALUE(_xll.BDH(N$4,"PE_RATIO",$B15,$B15)),VALUE(_xll.BDH(N$4,"PE_RATIO",$B15+1,$B15+1))),N16))</f>
        <v>0</v>
      </c>
      <c r="O15" s="561">
        <f ca="1">(IFERROR(IFERROR(VALUE(_xll.BDH(O$4,"PE_RATIO",$B15,$B15)),VALUE(_xll.BDH(O$4,"PE_RATIO",$B15+1,$B15+1))),O16))</f>
        <v>0</v>
      </c>
      <c r="P15" s="561"/>
      <c r="Q15" s="565">
        <f t="shared" ca="1" si="4"/>
        <v>45875</v>
      </c>
      <c r="R15" s="4">
        <v>147.34</v>
      </c>
      <c r="S15" s="4">
        <v>22478.14</v>
      </c>
      <c r="T15" s="4">
        <v>1229.68</v>
      </c>
      <c r="U15" s="4">
        <v>1.1883216388418421</v>
      </c>
      <c r="V15" s="4">
        <v>1.9942014327855035</v>
      </c>
      <c r="W15" s="4">
        <v>1.6568933922604292</v>
      </c>
      <c r="Y15" s="561">
        <f t="shared" si="5"/>
        <v>147.34</v>
      </c>
      <c r="Z15" s="4">
        <f ca="1">IFERROR(VALUE(_xll.BDH(Z$4,"PX_LAST",$Q15,$Q15)),Z16)</f>
        <v>0</v>
      </c>
      <c r="AA15" s="4">
        <f ca="1">IFERROR(VALUE(_xll.BDH(AA$4,"PX_LAST",$Q15,$Q15)),AA16)</f>
        <v>0</v>
      </c>
      <c r="AB15" s="4">
        <f ca="1">IFERROR(VALUE(_xll.BDH(AB$4,"PX_LAST",$Q15,$Q15)),AB16)</f>
        <v>0</v>
      </c>
      <c r="AC15" s="4">
        <f ca="1">IFERROR(VALUE(_xll.BDH(AC$4,"PX_LAST",$Q15,$Q15)),AC16)</f>
        <v>0</v>
      </c>
      <c r="AD15" s="4">
        <f ca="1">IFERROR(VALUE(_xll.BDH(AD$4,"PX_LAST",$Q15,$Q15)),AD16)</f>
        <v>0</v>
      </c>
      <c r="AF15" s="4">
        <f t="shared" si="6"/>
        <v>1.1883216388418421</v>
      </c>
      <c r="AG15" s="4" t="e">
        <f t="shared" ca="1" si="7"/>
        <v>#DIV/0!</v>
      </c>
      <c r="AH15" s="4" t="e">
        <f t="shared" ca="1" si="8"/>
        <v>#DIV/0!</v>
      </c>
      <c r="AI15" s="4" t="e">
        <f t="shared" ca="1" si="9"/>
        <v>#DIV/0!</v>
      </c>
      <c r="AJ15" s="4" t="e">
        <f t="shared" ca="1" si="10"/>
        <v>#DIV/0!</v>
      </c>
      <c r="AK15" s="4" t="e">
        <f t="shared" ca="1" si="11"/>
        <v>#DIV/0!</v>
      </c>
      <c r="AM15" s="563">
        <f t="shared" ca="1" si="12"/>
        <v>45934</v>
      </c>
      <c r="AN15" s="564">
        <v>136.85</v>
      </c>
      <c r="AO15" s="564">
        <v>799994</v>
      </c>
      <c r="AP15" s="564">
        <v>50682.385999999999</v>
      </c>
      <c r="AQ15" s="564">
        <v>6935884.5240999991</v>
      </c>
      <c r="AR15" s="564">
        <v>1.9035</v>
      </c>
    </row>
    <row r="16" spans="2:44">
      <c r="B16" s="565">
        <f t="shared" ca="1" si="13"/>
        <v>45868</v>
      </c>
      <c r="C16" s="561">
        <f ca="1">(IFERROR(IFERROR(VALUE(_xll.BDH(C$4,"CURRENT_EV_TO_T12M_EBITDA",$B16,$B16)),VALUE(_xll.BDH(C$4,"CURRENT_EV_TO_T12M_EBITDA",$B16+1,$B16+1))),C17))</f>
        <v>0</v>
      </c>
      <c r="D16" s="561">
        <f ca="1">(IFERROR(IFERROR(VALUE(_xll.BDH(D$4,"CURRENT_EV_TO_T12M_EBITDA",$B16,$B16)),VALUE(_xll.BDH(D$4,"CURRENT_EV_TO_T12M_EBITDA",$B16+1,$B16+1))),D17))</f>
        <v>0</v>
      </c>
      <c r="E16" s="561">
        <f ca="1">(IFERROR(IFERROR(VALUE(_xll.BDH(E$4,"CURRENT_EV_TO_T12M_EBITDA",$B16,$B16)),VALUE(_xll.BDH(E$4,"CURRENT_EV_TO_T12M_EBITDA",$B16+1,$B16+1))),E17))</f>
        <v>0</v>
      </c>
      <c r="F16" s="561">
        <f ca="1">(IFERROR(IFERROR(VALUE(_xll.BDH(F$4,"CURRENT_EV_TO_T12M_EBITDA",$B16,$B16)),VALUE(_xll.BDH(F$4,"CURRENT_EV_TO_T12M_EBITDA",$B16+1,$B16+1))),F17))</f>
        <v>0</v>
      </c>
      <c r="G16" s="561">
        <f ca="1">(IFERROR(IFERROR(VALUE(_xll.BDH(G$4,"CURRENT_EV_TO_T12M_EBITDA",$B16,$B16)),VALUE(_xll.BDH(G$4,"CURRENT_EV_TO_T12M_EBITDA",$B16+1,$B16+1))),G17))</f>
        <v>0</v>
      </c>
      <c r="H16" s="561">
        <f ca="1">(IFERROR(IFERROR(VALUE(_xll.BDH(H$4,"CURRENT_EV_TO_T12M_EBITDA",$B16,$B16)),VALUE(_xll.BDH(H$4,"CURRENT_EV_TO_T12M_EBITDA",$B16+1,$B16+1))),H17))</f>
        <v>0</v>
      </c>
      <c r="I16" s="565">
        <f t="shared" ca="1" si="3"/>
        <v>45868</v>
      </c>
      <c r="J16" s="561">
        <f ca="1">(IFERROR(IFERROR(VALUE(_xll.BDH(J$4,"PE_RATIO",$B16,$B16)),VALUE(_xll.BDH(J$4,"PE_RATIO",$B16+1,$B16+1))),J17))</f>
        <v>0</v>
      </c>
      <c r="K16" s="561">
        <f ca="1">(IFERROR(IFERROR(VALUE(_xll.BDH(K$4,"PE_RATIO",$B16,$B16)),VALUE(_xll.BDH(K$4,"PE_RATIO",$B16+1,$B16+1))),K17))</f>
        <v>0</v>
      </c>
      <c r="L16" s="561">
        <f ca="1">(IFERROR(IFERROR(VALUE(_xll.BDH(L$4,"PE_RATIO",$B16,$B16)),VALUE(_xll.BDH(L$4,"PE_RATIO",$B16+1,$B16+1))),L17))</f>
        <v>0</v>
      </c>
      <c r="M16" s="561">
        <f ca="1">(IFERROR(IFERROR(VALUE(_xll.BDH(M$4,"PE_RATIO",$B16,$B16)),VALUE(_xll.BDH(M$4,"PE_RATIO",$B16+1,$B16+1))),M17))</f>
        <v>0</v>
      </c>
      <c r="N16" s="561">
        <f ca="1">(IFERROR(IFERROR(VALUE(_xll.BDH(N$4,"PE_RATIO",$B16,$B16)),VALUE(_xll.BDH(N$4,"PE_RATIO",$B16+1,$B16+1))),N17))</f>
        <v>0</v>
      </c>
      <c r="O16" s="561">
        <f ca="1">(IFERROR(IFERROR(VALUE(_xll.BDH(O$4,"PE_RATIO",$B16,$B16)),VALUE(_xll.BDH(O$4,"PE_RATIO",$B16+1,$B16+1))),O17))</f>
        <v>0</v>
      </c>
      <c r="P16" s="561"/>
      <c r="Q16" s="565">
        <f t="shared" ca="1" si="4"/>
        <v>45868</v>
      </c>
      <c r="R16" s="4">
        <v>143.18</v>
      </c>
      <c r="S16" s="4">
        <v>22190.52</v>
      </c>
      <c r="T16" s="4">
        <v>1192.19</v>
      </c>
      <c r="U16" s="4">
        <v>1.1547705460117752</v>
      </c>
      <c r="V16" s="4">
        <v>1.9686845432164481</v>
      </c>
      <c r="W16" s="4">
        <v>1.6063786784520859</v>
      </c>
      <c r="Y16" s="561">
        <f t="shared" si="5"/>
        <v>143.18</v>
      </c>
      <c r="Z16" s="4">
        <f ca="1">IFERROR(VALUE(_xll.BDH(Z$4,"PX_LAST",$Q16,$Q16)),Z17)</f>
        <v>0</v>
      </c>
      <c r="AA16" s="4">
        <f ca="1">IFERROR(VALUE(_xll.BDH(AA$4,"PX_LAST",$Q16,$Q16)),AA17)</f>
        <v>0</v>
      </c>
      <c r="AB16" s="4">
        <f ca="1">IFERROR(VALUE(_xll.BDH(AB$4,"PX_LAST",$Q16,$Q16)),AB17)</f>
        <v>0</v>
      </c>
      <c r="AC16" s="4">
        <f ca="1">IFERROR(VALUE(_xll.BDH(AC$4,"PX_LAST",$Q16,$Q16)),AC17)</f>
        <v>0</v>
      </c>
      <c r="AD16" s="4">
        <f ca="1">IFERROR(VALUE(_xll.BDH(AD$4,"PX_LAST",$Q16,$Q16)),AD17)</f>
        <v>0</v>
      </c>
      <c r="AF16" s="4">
        <f t="shared" si="6"/>
        <v>1.1547705460117752</v>
      </c>
      <c r="AG16" s="4" t="e">
        <f t="shared" ca="1" si="7"/>
        <v>#DIV/0!</v>
      </c>
      <c r="AH16" s="4" t="e">
        <f t="shared" ca="1" si="8"/>
        <v>#DIV/0!</v>
      </c>
      <c r="AI16" s="4" t="e">
        <f t="shared" ca="1" si="9"/>
        <v>#DIV/0!</v>
      </c>
      <c r="AJ16" s="4" t="e">
        <f t="shared" ca="1" si="10"/>
        <v>#DIV/0!</v>
      </c>
      <c r="AK16" s="4" t="e">
        <f t="shared" ca="1" si="11"/>
        <v>#DIV/0!</v>
      </c>
      <c r="AM16" s="563">
        <f t="shared" ca="1" si="12"/>
        <v>45933</v>
      </c>
      <c r="AN16" s="564">
        <v>136.84</v>
      </c>
      <c r="AO16" s="564">
        <v>896293</v>
      </c>
      <c r="AP16" s="564">
        <v>50682.385999999999</v>
      </c>
      <c r="AQ16" s="564">
        <v>6935377.7002400002</v>
      </c>
      <c r="AR16" s="564">
        <v>1.9034</v>
      </c>
    </row>
    <row r="17" spans="2:44">
      <c r="B17" s="565">
        <f t="shared" ca="1" si="13"/>
        <v>45861</v>
      </c>
      <c r="C17" s="561">
        <f ca="1">(IFERROR(IFERROR(VALUE(_xll.BDH(C$4,"CURRENT_EV_TO_T12M_EBITDA",$B17,$B17)),VALUE(_xll.BDH(C$4,"CURRENT_EV_TO_T12M_EBITDA",$B17+1,$B17+1))),C18))</f>
        <v>0</v>
      </c>
      <c r="D17" s="561">
        <f ca="1">(IFERROR(IFERROR(VALUE(_xll.BDH(D$4,"CURRENT_EV_TO_T12M_EBITDA",$B17,$B17)),VALUE(_xll.BDH(D$4,"CURRENT_EV_TO_T12M_EBITDA",$B17+1,$B17+1))),D18))</f>
        <v>0</v>
      </c>
      <c r="E17" s="561">
        <f ca="1">(IFERROR(IFERROR(VALUE(_xll.BDH(E$4,"CURRENT_EV_TO_T12M_EBITDA",$B17,$B17)),VALUE(_xll.BDH(E$4,"CURRENT_EV_TO_T12M_EBITDA",$B17+1,$B17+1))),E18))</f>
        <v>0</v>
      </c>
      <c r="F17" s="561">
        <f ca="1">(IFERROR(IFERROR(VALUE(_xll.BDH(F$4,"CURRENT_EV_TO_T12M_EBITDA",$B17,$B17)),VALUE(_xll.BDH(F$4,"CURRENT_EV_TO_T12M_EBITDA",$B17+1,$B17+1))),F18))</f>
        <v>0</v>
      </c>
      <c r="G17" s="561">
        <f ca="1">(IFERROR(IFERROR(VALUE(_xll.BDH(G$4,"CURRENT_EV_TO_T12M_EBITDA",$B17,$B17)),VALUE(_xll.BDH(G$4,"CURRENT_EV_TO_T12M_EBITDA",$B17+1,$B17+1))),G18))</f>
        <v>0</v>
      </c>
      <c r="H17" s="561">
        <f ca="1">(IFERROR(IFERROR(VALUE(_xll.BDH(H$4,"CURRENT_EV_TO_T12M_EBITDA",$B17,$B17)),VALUE(_xll.BDH(H$4,"CURRENT_EV_TO_T12M_EBITDA",$B17+1,$B17+1))),H18))</f>
        <v>0</v>
      </c>
      <c r="I17" s="565">
        <f t="shared" ca="1" si="3"/>
        <v>45861</v>
      </c>
      <c r="J17" s="561">
        <f ca="1">(IFERROR(IFERROR(VALUE(_xll.BDH(J$4,"PE_RATIO",$B17,$B17)),VALUE(_xll.BDH(J$4,"PE_RATIO",$B17+1,$B17+1))),J18))</f>
        <v>0</v>
      </c>
      <c r="K17" s="561">
        <f ca="1">(IFERROR(IFERROR(VALUE(_xll.BDH(K$4,"PE_RATIO",$B17,$B17)),VALUE(_xll.BDH(K$4,"PE_RATIO",$B17+1,$B17+1))),K18))</f>
        <v>0</v>
      </c>
      <c r="L17" s="561">
        <f ca="1">(IFERROR(IFERROR(VALUE(_xll.BDH(L$4,"PE_RATIO",$B17,$B17)),VALUE(_xll.BDH(L$4,"PE_RATIO",$B17+1,$B17+1))),L18))</f>
        <v>0</v>
      </c>
      <c r="M17" s="561">
        <f ca="1">(IFERROR(IFERROR(VALUE(_xll.BDH(M$4,"PE_RATIO",$B17,$B17)),VALUE(_xll.BDH(M$4,"PE_RATIO",$B17+1,$B17+1))),M18))</f>
        <v>0</v>
      </c>
      <c r="N17" s="561">
        <f ca="1">(IFERROR(IFERROR(VALUE(_xll.BDH(N$4,"PE_RATIO",$B17,$B17)),VALUE(_xll.BDH(N$4,"PE_RATIO",$B17+1,$B17+1))),N18))</f>
        <v>0</v>
      </c>
      <c r="O17" s="561">
        <f ca="1">(IFERROR(IFERROR(VALUE(_xll.BDH(O$4,"PE_RATIO",$B17,$B17)),VALUE(_xll.BDH(O$4,"PE_RATIO",$B17+1,$B17+1))),O18))</f>
        <v>0</v>
      </c>
      <c r="P17" s="561"/>
      <c r="Q17" s="565">
        <f t="shared" ca="1" si="4"/>
        <v>45861</v>
      </c>
      <c r="R17" s="4">
        <v>140.93</v>
      </c>
      <c r="S17" s="4">
        <v>21719.08</v>
      </c>
      <c r="T17" s="4">
        <v>1161.48</v>
      </c>
      <c r="U17" s="4">
        <v>1.1366239212839746</v>
      </c>
      <c r="V17" s="4">
        <v>1.926859626943465</v>
      </c>
      <c r="W17" s="4">
        <v>1.5649994610326614</v>
      </c>
      <c r="Y17" s="561">
        <f t="shared" si="5"/>
        <v>140.93</v>
      </c>
      <c r="Z17" s="4">
        <f ca="1">IFERROR(VALUE(_xll.BDH(Z$4,"PX_LAST",$Q17,$Q17)),Z18)</f>
        <v>0</v>
      </c>
      <c r="AA17" s="4">
        <f ca="1">IFERROR(VALUE(_xll.BDH(AA$4,"PX_LAST",$Q17,$Q17)),AA18)</f>
        <v>0</v>
      </c>
      <c r="AB17" s="4">
        <f ca="1">IFERROR(VALUE(_xll.BDH(AB$4,"PX_LAST",$Q17,$Q17)),AB18)</f>
        <v>0</v>
      </c>
      <c r="AC17" s="4">
        <f ca="1">IFERROR(VALUE(_xll.BDH(AC$4,"PX_LAST",$Q17,$Q17)),AC18)</f>
        <v>0</v>
      </c>
      <c r="AD17" s="4">
        <f ca="1">IFERROR(VALUE(_xll.BDH(AD$4,"PX_LAST",$Q17,$Q17)),AD18)</f>
        <v>0</v>
      </c>
      <c r="AF17" s="4">
        <f t="shared" si="6"/>
        <v>1.1366239212839746</v>
      </c>
      <c r="AG17" s="4" t="e">
        <f t="shared" ca="1" si="7"/>
        <v>#DIV/0!</v>
      </c>
      <c r="AH17" s="4" t="e">
        <f t="shared" ca="1" si="8"/>
        <v>#DIV/0!</v>
      </c>
      <c r="AI17" s="4" t="e">
        <f t="shared" ca="1" si="9"/>
        <v>#DIV/0!</v>
      </c>
      <c r="AJ17" s="4" t="e">
        <f t="shared" ca="1" si="10"/>
        <v>#DIV/0!</v>
      </c>
      <c r="AK17" s="4" t="e">
        <f t="shared" ca="1" si="11"/>
        <v>#DIV/0!</v>
      </c>
      <c r="AM17" s="563">
        <f t="shared" ca="1" si="12"/>
        <v>45932</v>
      </c>
      <c r="AN17" s="564">
        <v>137.78</v>
      </c>
      <c r="AO17" s="564">
        <v>764621</v>
      </c>
      <c r="AP17" s="564">
        <v>50682.385999999999</v>
      </c>
      <c r="AQ17" s="564">
        <v>6983019.1430799998</v>
      </c>
      <c r="AR17" s="564">
        <v>1.9164000000000001</v>
      </c>
    </row>
    <row r="18" spans="2:44">
      <c r="B18" s="565">
        <f t="shared" ca="1" si="13"/>
        <v>45854</v>
      </c>
      <c r="C18" s="561">
        <f ca="1">(IFERROR(IFERROR(VALUE(_xll.BDH(C$4,"CURRENT_EV_TO_T12M_EBITDA",$B18,$B18)),VALUE(_xll.BDH(C$4,"CURRENT_EV_TO_T12M_EBITDA",$B18+1,$B18+1))),C19))</f>
        <v>0</v>
      </c>
      <c r="D18" s="561">
        <f ca="1">(IFERROR(IFERROR(VALUE(_xll.BDH(D$4,"CURRENT_EV_TO_T12M_EBITDA",$B18,$B18)),VALUE(_xll.BDH(D$4,"CURRENT_EV_TO_T12M_EBITDA",$B18+1,$B18+1))),D19))</f>
        <v>0</v>
      </c>
      <c r="E18" s="561">
        <f ca="1">(IFERROR(IFERROR(VALUE(_xll.BDH(E$4,"CURRENT_EV_TO_T12M_EBITDA",$B18,$B18)),VALUE(_xll.BDH(E$4,"CURRENT_EV_TO_T12M_EBITDA",$B18+1,$B18+1))),E19))</f>
        <v>0</v>
      </c>
      <c r="F18" s="561">
        <f ca="1">(IFERROR(IFERROR(VALUE(_xll.BDH(F$4,"CURRENT_EV_TO_T12M_EBITDA",$B18,$B18)),VALUE(_xll.BDH(F$4,"CURRENT_EV_TO_T12M_EBITDA",$B18+1,$B18+1))),F19))</f>
        <v>0</v>
      </c>
      <c r="G18" s="561">
        <f ca="1">(IFERROR(IFERROR(VALUE(_xll.BDH(G$4,"CURRENT_EV_TO_T12M_EBITDA",$B18,$B18)),VALUE(_xll.BDH(G$4,"CURRENT_EV_TO_T12M_EBITDA",$B18+1,$B18+1))),G19))</f>
        <v>0</v>
      </c>
      <c r="H18" s="561">
        <f ca="1">(IFERROR(IFERROR(VALUE(_xll.BDH(H$4,"CURRENT_EV_TO_T12M_EBITDA",$B18,$B18)),VALUE(_xll.BDH(H$4,"CURRENT_EV_TO_T12M_EBITDA",$B18+1,$B18+1))),H19))</f>
        <v>0</v>
      </c>
      <c r="I18" s="565">
        <f t="shared" ca="1" si="3"/>
        <v>45854</v>
      </c>
      <c r="J18" s="561">
        <f ca="1">(IFERROR(IFERROR(VALUE(_xll.BDH(J$4,"PE_RATIO",$B18,$B18)),VALUE(_xll.BDH(J$4,"PE_RATIO",$B18+1,$B18+1))),J19))</f>
        <v>0</v>
      </c>
      <c r="K18" s="561">
        <f ca="1">(IFERROR(IFERROR(VALUE(_xll.BDH(K$4,"PE_RATIO",$B18,$B18)),VALUE(_xll.BDH(K$4,"PE_RATIO",$B18+1,$B18+1))),K19))</f>
        <v>0</v>
      </c>
      <c r="L18" s="561">
        <f ca="1">(IFERROR(IFERROR(VALUE(_xll.BDH(L$4,"PE_RATIO",$B18,$B18)),VALUE(_xll.BDH(L$4,"PE_RATIO",$B18+1,$B18+1))),L19))</f>
        <v>0</v>
      </c>
      <c r="M18" s="561">
        <f ca="1">(IFERROR(IFERROR(VALUE(_xll.BDH(M$4,"PE_RATIO",$B18,$B18)),VALUE(_xll.BDH(M$4,"PE_RATIO",$B18+1,$B18+1))),M19))</f>
        <v>0</v>
      </c>
      <c r="N18" s="561">
        <f ca="1">(IFERROR(IFERROR(VALUE(_xll.BDH(N$4,"PE_RATIO",$B18,$B18)),VALUE(_xll.BDH(N$4,"PE_RATIO",$B18+1,$B18+1))),N19))</f>
        <v>0</v>
      </c>
      <c r="O18" s="561">
        <f ca="1">(IFERROR(IFERROR(VALUE(_xll.BDH(O$4,"PE_RATIO",$B18,$B18)),VALUE(_xll.BDH(O$4,"PE_RATIO",$B18+1,$B18+1))),O19))</f>
        <v>0</v>
      </c>
      <c r="P18" s="561"/>
      <c r="Q18" s="565">
        <f t="shared" ca="1" si="4"/>
        <v>45854</v>
      </c>
      <c r="R18" s="4">
        <v>148.83000000000001</v>
      </c>
      <c r="S18" s="4">
        <v>21941.919999999998</v>
      </c>
      <c r="T18" s="4">
        <v>1199.06</v>
      </c>
      <c r="U18" s="4">
        <v>1.200338736994919</v>
      </c>
      <c r="V18" s="4">
        <v>1.9466294053718365</v>
      </c>
      <c r="W18" s="4">
        <v>1.615635442492185</v>
      </c>
      <c r="Y18" s="561">
        <f t="shared" si="5"/>
        <v>148.83000000000001</v>
      </c>
      <c r="Z18" s="4">
        <f ca="1">IFERROR(VALUE(_xll.BDH(Z$4,"PX_LAST",$Q18,$Q18)),Z19)</f>
        <v>0</v>
      </c>
      <c r="AA18" s="4">
        <f ca="1">IFERROR(VALUE(_xll.BDH(AA$4,"PX_LAST",$Q18,$Q18)),AA19)</f>
        <v>0</v>
      </c>
      <c r="AB18" s="4">
        <f ca="1">IFERROR(VALUE(_xll.BDH(AB$4,"PX_LAST",$Q18,$Q18)),AB19)</f>
        <v>0</v>
      </c>
      <c r="AC18" s="4">
        <f ca="1">IFERROR(VALUE(_xll.BDH(AC$4,"PX_LAST",$Q18,$Q18)),AC19)</f>
        <v>0</v>
      </c>
      <c r="AD18" s="4">
        <f ca="1">IFERROR(VALUE(_xll.BDH(AD$4,"PX_LAST",$Q18,$Q18)),AD19)</f>
        <v>0</v>
      </c>
      <c r="AF18" s="4">
        <f t="shared" si="6"/>
        <v>1.200338736994919</v>
      </c>
      <c r="AG18" s="4" t="e">
        <f t="shared" ca="1" si="7"/>
        <v>#DIV/0!</v>
      </c>
      <c r="AH18" s="4" t="e">
        <f t="shared" ca="1" si="8"/>
        <v>#DIV/0!</v>
      </c>
      <c r="AI18" s="4" t="e">
        <f t="shared" ca="1" si="9"/>
        <v>#DIV/0!</v>
      </c>
      <c r="AJ18" s="4" t="e">
        <f t="shared" ca="1" si="10"/>
        <v>#DIV/0!</v>
      </c>
      <c r="AK18" s="4" t="e">
        <f t="shared" ca="1" si="11"/>
        <v>#DIV/0!</v>
      </c>
      <c r="AM18" s="563">
        <f t="shared" ca="1" si="12"/>
        <v>45931</v>
      </c>
      <c r="AN18" s="564">
        <v>136.26</v>
      </c>
      <c r="AO18" s="564">
        <v>788201</v>
      </c>
      <c r="AP18" s="564">
        <v>50682.385999999999</v>
      </c>
      <c r="AQ18" s="564">
        <v>6905981.9163599992</v>
      </c>
      <c r="AR18" s="564">
        <v>1.8953</v>
      </c>
    </row>
    <row r="19" spans="2:44">
      <c r="B19" s="565">
        <f t="shared" ca="1" si="13"/>
        <v>45847</v>
      </c>
      <c r="C19" s="561">
        <f ca="1">(IFERROR(IFERROR(VALUE(_xll.BDH(C$4,"CURRENT_EV_TO_T12M_EBITDA",$B19,$B19)),VALUE(_xll.BDH(C$4,"CURRENT_EV_TO_T12M_EBITDA",$B19+1,$B19+1))),C20))</f>
        <v>0</v>
      </c>
      <c r="D19" s="561">
        <f ca="1">(IFERROR(IFERROR(VALUE(_xll.BDH(D$4,"CURRENT_EV_TO_T12M_EBITDA",$B19,$B19)),VALUE(_xll.BDH(D$4,"CURRENT_EV_TO_T12M_EBITDA",$B19+1,$B19+1))),D20))</f>
        <v>0</v>
      </c>
      <c r="E19" s="561">
        <f ca="1">(IFERROR(IFERROR(VALUE(_xll.BDH(E$4,"CURRENT_EV_TO_T12M_EBITDA",$B19,$B19)),VALUE(_xll.BDH(E$4,"CURRENT_EV_TO_T12M_EBITDA",$B19+1,$B19+1))),E20))</f>
        <v>0</v>
      </c>
      <c r="F19" s="561">
        <f ca="1">(IFERROR(IFERROR(VALUE(_xll.BDH(F$4,"CURRENT_EV_TO_T12M_EBITDA",$B19,$B19)),VALUE(_xll.BDH(F$4,"CURRENT_EV_TO_T12M_EBITDA",$B19+1,$B19+1))),F20))</f>
        <v>0</v>
      </c>
      <c r="G19" s="561">
        <f ca="1">(IFERROR(IFERROR(VALUE(_xll.BDH(G$4,"CURRENT_EV_TO_T12M_EBITDA",$B19,$B19)),VALUE(_xll.BDH(G$4,"CURRENT_EV_TO_T12M_EBITDA",$B19+1,$B19+1))),G20))</f>
        <v>0</v>
      </c>
      <c r="H19" s="561">
        <f ca="1">(IFERROR(IFERROR(VALUE(_xll.BDH(H$4,"CURRENT_EV_TO_T12M_EBITDA",$B19,$B19)),VALUE(_xll.BDH(H$4,"CURRENT_EV_TO_T12M_EBITDA",$B19+1,$B19+1))),H20))</f>
        <v>0</v>
      </c>
      <c r="I19" s="565">
        <f t="shared" ca="1" si="3"/>
        <v>45847</v>
      </c>
      <c r="J19" s="561">
        <f ca="1">(IFERROR(IFERROR(VALUE(_xll.BDH(J$4,"PE_RATIO",$B19,$B19)),VALUE(_xll.BDH(J$4,"PE_RATIO",$B19+1,$B19+1))),J20))</f>
        <v>0</v>
      </c>
      <c r="K19" s="561">
        <f ca="1">(IFERROR(IFERROR(VALUE(_xll.BDH(K$4,"PE_RATIO",$B19,$B19)),VALUE(_xll.BDH(K$4,"PE_RATIO",$B19+1,$B19+1))),K20))</f>
        <v>0</v>
      </c>
      <c r="L19" s="561">
        <f ca="1">(IFERROR(IFERROR(VALUE(_xll.BDH(L$4,"PE_RATIO",$B19,$B19)),VALUE(_xll.BDH(L$4,"PE_RATIO",$B19+1,$B19+1))),L20))</f>
        <v>0</v>
      </c>
      <c r="M19" s="561">
        <f ca="1">(IFERROR(IFERROR(VALUE(_xll.BDH(M$4,"PE_RATIO",$B19,$B19)),VALUE(_xll.BDH(M$4,"PE_RATIO",$B19+1,$B19+1))),M20))</f>
        <v>0</v>
      </c>
      <c r="N19" s="561">
        <f ca="1">(IFERROR(IFERROR(VALUE(_xll.BDH(N$4,"PE_RATIO",$B19,$B19)),VALUE(_xll.BDH(N$4,"PE_RATIO",$B19+1,$B19+1))),N20))</f>
        <v>0</v>
      </c>
      <c r="O19" s="561">
        <f ca="1">(IFERROR(IFERROR(VALUE(_xll.BDH(O$4,"PE_RATIO",$B19,$B19)),VALUE(_xll.BDH(O$4,"PE_RATIO",$B19+1,$B19+1))),O20))</f>
        <v>0</v>
      </c>
      <c r="P19" s="561"/>
      <c r="Q19" s="565">
        <f t="shared" ca="1" si="4"/>
        <v>45847</v>
      </c>
      <c r="R19" s="4">
        <v>147.88</v>
      </c>
      <c r="S19" s="4">
        <v>21662.58</v>
      </c>
      <c r="T19" s="4">
        <v>1182.76</v>
      </c>
      <c r="U19" s="4">
        <v>1.1926768287765142</v>
      </c>
      <c r="V19" s="4">
        <v>1.9218470956151441</v>
      </c>
      <c r="W19" s="4">
        <v>1.5936725234450793</v>
      </c>
      <c r="Y19" s="561">
        <f t="shared" si="5"/>
        <v>147.88</v>
      </c>
      <c r="Z19" s="4">
        <f ca="1">IFERROR(VALUE(_xll.BDH(Z$4,"PX_LAST",$Q19,$Q19)),Z20)</f>
        <v>0</v>
      </c>
      <c r="AA19" s="4">
        <f ca="1">IFERROR(VALUE(_xll.BDH(AA$4,"PX_LAST",$Q19,$Q19)),AA20)</f>
        <v>0</v>
      </c>
      <c r="AB19" s="4">
        <f ca="1">IFERROR(VALUE(_xll.BDH(AB$4,"PX_LAST",$Q19,$Q19)),AB20)</f>
        <v>0</v>
      </c>
      <c r="AC19" s="4">
        <f ca="1">IFERROR(VALUE(_xll.BDH(AC$4,"PX_LAST",$Q19,$Q19)),AC20)</f>
        <v>0</v>
      </c>
      <c r="AD19" s="4">
        <f ca="1">IFERROR(VALUE(_xll.BDH(AD$4,"PX_LAST",$Q19,$Q19)),AD20)</f>
        <v>0</v>
      </c>
      <c r="AF19" s="4">
        <f t="shared" si="6"/>
        <v>1.1926768287765142</v>
      </c>
      <c r="AG19" s="4" t="e">
        <f t="shared" ca="1" si="7"/>
        <v>#DIV/0!</v>
      </c>
      <c r="AH19" s="4" t="e">
        <f t="shared" ca="1" si="8"/>
        <v>#DIV/0!</v>
      </c>
      <c r="AI19" s="4" t="e">
        <f t="shared" ca="1" si="9"/>
        <v>#DIV/0!</v>
      </c>
      <c r="AJ19" s="4" t="e">
        <f t="shared" ca="1" si="10"/>
        <v>#DIV/0!</v>
      </c>
      <c r="AK19" s="4" t="e">
        <f t="shared" ca="1" si="11"/>
        <v>#DIV/0!</v>
      </c>
      <c r="AM19" s="563">
        <f t="shared" ca="1" si="12"/>
        <v>45930</v>
      </c>
      <c r="AN19" s="564">
        <v>136.12</v>
      </c>
      <c r="AO19" s="564">
        <v>993137</v>
      </c>
      <c r="AP19" s="564">
        <v>50682.385999999999</v>
      </c>
      <c r="AQ19" s="564">
        <v>6898886.3823199999</v>
      </c>
      <c r="AR19" s="564">
        <v>1.8934</v>
      </c>
    </row>
    <row r="20" spans="2:44">
      <c r="B20" s="565">
        <f t="shared" ca="1" si="13"/>
        <v>45840</v>
      </c>
      <c r="C20" s="561">
        <f ca="1">(IFERROR(IFERROR(VALUE(_xll.BDH(C$4,"CURRENT_EV_TO_T12M_EBITDA",$B20,$B20)),VALUE(_xll.BDH(C$4,"CURRENT_EV_TO_T12M_EBITDA",$B20+1,$B20+1))),C21))</f>
        <v>0</v>
      </c>
      <c r="D20" s="561">
        <f ca="1">(IFERROR(IFERROR(VALUE(_xll.BDH(D$4,"CURRENT_EV_TO_T12M_EBITDA",$B20,$B20)),VALUE(_xll.BDH(D$4,"CURRENT_EV_TO_T12M_EBITDA",$B20+1,$B20+1))),D21))</f>
        <v>0</v>
      </c>
      <c r="E20" s="561">
        <f ca="1">(IFERROR(IFERROR(VALUE(_xll.BDH(E$4,"CURRENT_EV_TO_T12M_EBITDA",$B20,$B20)),VALUE(_xll.BDH(E$4,"CURRENT_EV_TO_T12M_EBITDA",$B20+1,$B20+1))),E21))</f>
        <v>0</v>
      </c>
      <c r="F20" s="561">
        <f ca="1">(IFERROR(IFERROR(VALUE(_xll.BDH(F$4,"CURRENT_EV_TO_T12M_EBITDA",$B20,$B20)),VALUE(_xll.BDH(F$4,"CURRENT_EV_TO_T12M_EBITDA",$B20+1,$B20+1))),F21))</f>
        <v>0</v>
      </c>
      <c r="G20" s="561">
        <f ca="1">(IFERROR(IFERROR(VALUE(_xll.BDH(G$4,"CURRENT_EV_TO_T12M_EBITDA",$B20,$B20)),VALUE(_xll.BDH(G$4,"CURRENT_EV_TO_T12M_EBITDA",$B20+1,$B20+1))),G21))</f>
        <v>0</v>
      </c>
      <c r="H20" s="561">
        <f ca="1">(IFERROR(IFERROR(VALUE(_xll.BDH(H$4,"CURRENT_EV_TO_T12M_EBITDA",$B20,$B20)),VALUE(_xll.BDH(H$4,"CURRENT_EV_TO_T12M_EBITDA",$B20+1,$B20+1))),H21))</f>
        <v>0</v>
      </c>
      <c r="I20" s="565">
        <f t="shared" ca="1" si="3"/>
        <v>45840</v>
      </c>
      <c r="J20" s="561">
        <f ca="1">(IFERROR(IFERROR(VALUE(_xll.BDH(J$4,"PE_RATIO",$B20,$B20)),VALUE(_xll.BDH(J$4,"PE_RATIO",$B20+1,$B20+1))),J21))</f>
        <v>0</v>
      </c>
      <c r="K20" s="561">
        <f ca="1">(IFERROR(IFERROR(VALUE(_xll.BDH(K$4,"PE_RATIO",$B20,$B20)),VALUE(_xll.BDH(K$4,"PE_RATIO",$B20+1,$B20+1))),K21))</f>
        <v>0</v>
      </c>
      <c r="L20" s="561">
        <f ca="1">(IFERROR(IFERROR(VALUE(_xll.BDH(L$4,"PE_RATIO",$B20,$B20)),VALUE(_xll.BDH(L$4,"PE_RATIO",$B20+1,$B20+1))),L21))</f>
        <v>0</v>
      </c>
      <c r="M20" s="561">
        <f ca="1">(IFERROR(IFERROR(VALUE(_xll.BDH(M$4,"PE_RATIO",$B20,$B20)),VALUE(_xll.BDH(M$4,"PE_RATIO",$B20+1,$B20+1))),M21))</f>
        <v>0</v>
      </c>
      <c r="N20" s="561">
        <f ca="1">(IFERROR(IFERROR(VALUE(_xll.BDH(N$4,"PE_RATIO",$B20,$B20)),VALUE(_xll.BDH(N$4,"PE_RATIO",$B20+1,$B20+1))),N21))</f>
        <v>0</v>
      </c>
      <c r="O20" s="561">
        <f ca="1">(IFERROR(IFERROR(VALUE(_xll.BDH(O$4,"PE_RATIO",$B20,$B20)),VALUE(_xll.BDH(O$4,"PE_RATIO",$B20+1,$B20+1))),O21))</f>
        <v>0</v>
      </c>
      <c r="P20" s="561"/>
      <c r="Q20" s="565">
        <f t="shared" ca="1" si="4"/>
        <v>45840</v>
      </c>
      <c r="R20" s="4">
        <v>150.57</v>
      </c>
      <c r="S20" s="4">
        <v>21414.99</v>
      </c>
      <c r="T20" s="4">
        <v>1188.77</v>
      </c>
      <c r="U20" s="4">
        <v>1.2143721267844181</v>
      </c>
      <c r="V20" s="4">
        <v>1.899881562312862</v>
      </c>
      <c r="W20" s="4">
        <v>1.6017705077072331</v>
      </c>
      <c r="Y20" s="561">
        <f t="shared" si="5"/>
        <v>150.57</v>
      </c>
      <c r="Z20" s="4">
        <f ca="1">IFERROR(VALUE(_xll.BDH(Z$4,"PX_LAST",$Q20,$Q20)),Z21)</f>
        <v>0</v>
      </c>
      <c r="AA20" s="4">
        <f ca="1">IFERROR(VALUE(_xll.BDH(AA$4,"PX_LAST",$Q20,$Q20)),AA21)</f>
        <v>0</v>
      </c>
      <c r="AB20" s="4">
        <f ca="1">IFERROR(VALUE(_xll.BDH(AB$4,"PX_LAST",$Q20,$Q20)),AB21)</f>
        <v>0</v>
      </c>
      <c r="AC20" s="4">
        <f ca="1">IFERROR(VALUE(_xll.BDH(AC$4,"PX_LAST",$Q20,$Q20)),AC21)</f>
        <v>0</v>
      </c>
      <c r="AD20" s="4">
        <f ca="1">IFERROR(VALUE(_xll.BDH(AD$4,"PX_LAST",$Q20,$Q20)),AD21)</f>
        <v>0</v>
      </c>
      <c r="AF20" s="4">
        <f t="shared" si="6"/>
        <v>1.2143721267844181</v>
      </c>
      <c r="AG20" s="4" t="e">
        <f t="shared" ca="1" si="7"/>
        <v>#DIV/0!</v>
      </c>
      <c r="AH20" s="4" t="e">
        <f t="shared" ca="1" si="8"/>
        <v>#DIV/0!</v>
      </c>
      <c r="AI20" s="4" t="e">
        <f t="shared" ca="1" si="9"/>
        <v>#DIV/0!</v>
      </c>
      <c r="AJ20" s="4" t="e">
        <f t="shared" ca="1" si="10"/>
        <v>#DIV/0!</v>
      </c>
      <c r="AK20" s="4" t="e">
        <f t="shared" ca="1" si="11"/>
        <v>#DIV/0!</v>
      </c>
      <c r="AM20" s="563">
        <f t="shared" ca="1" si="12"/>
        <v>45929</v>
      </c>
      <c r="AN20" s="564">
        <v>137.31</v>
      </c>
      <c r="AO20" s="564">
        <v>792081</v>
      </c>
      <c r="AP20" s="564">
        <v>50682.385999999999</v>
      </c>
      <c r="AQ20" s="564">
        <v>6959198.4216599995</v>
      </c>
      <c r="AR20" s="564">
        <v>1.9098999999999999</v>
      </c>
    </row>
    <row r="21" spans="2:44">
      <c r="B21" s="565">
        <f t="shared" ca="1" si="13"/>
        <v>45833</v>
      </c>
      <c r="C21" s="561">
        <f ca="1">(IFERROR(IFERROR(VALUE(_xll.BDH(C$4,"CURRENT_EV_TO_T12M_EBITDA",$B21,$B21)),VALUE(_xll.BDH(C$4,"CURRENT_EV_TO_T12M_EBITDA",$B21+1,$B21+1))),C22))</f>
        <v>0</v>
      </c>
      <c r="D21" s="561">
        <f ca="1">(IFERROR(IFERROR(VALUE(_xll.BDH(D$4,"CURRENT_EV_TO_T12M_EBITDA",$B21,$B21)),VALUE(_xll.BDH(D$4,"CURRENT_EV_TO_T12M_EBITDA",$B21+1,$B21+1))),D22))</f>
        <v>0</v>
      </c>
      <c r="E21" s="561">
        <f ca="1">(IFERROR(IFERROR(VALUE(_xll.BDH(E$4,"CURRENT_EV_TO_T12M_EBITDA",$B21,$B21)),VALUE(_xll.BDH(E$4,"CURRENT_EV_TO_T12M_EBITDA",$B21+1,$B21+1))),E22))</f>
        <v>0</v>
      </c>
      <c r="F21" s="561">
        <f ca="1">(IFERROR(IFERROR(VALUE(_xll.BDH(F$4,"CURRENT_EV_TO_T12M_EBITDA",$B21,$B21)),VALUE(_xll.BDH(F$4,"CURRENT_EV_TO_T12M_EBITDA",$B21+1,$B21+1))),F22))</f>
        <v>0</v>
      </c>
      <c r="G21" s="561">
        <f ca="1">(IFERROR(IFERROR(VALUE(_xll.BDH(G$4,"CURRENT_EV_TO_T12M_EBITDA",$B21,$B21)),VALUE(_xll.BDH(G$4,"CURRENT_EV_TO_T12M_EBITDA",$B21+1,$B21+1))),G22))</f>
        <v>0</v>
      </c>
      <c r="H21" s="561">
        <f ca="1">(IFERROR(IFERROR(VALUE(_xll.BDH(H$4,"CURRENT_EV_TO_T12M_EBITDA",$B21,$B21)),VALUE(_xll.BDH(H$4,"CURRENT_EV_TO_T12M_EBITDA",$B21+1,$B21+1))),H22))</f>
        <v>0</v>
      </c>
      <c r="I21" s="565">
        <f t="shared" ca="1" si="3"/>
        <v>45833</v>
      </c>
      <c r="J21" s="561">
        <f ca="1">(IFERROR(IFERROR(VALUE(_xll.BDH(J$4,"PE_RATIO",$B21,$B21)),VALUE(_xll.BDH(J$4,"PE_RATIO",$B21+1,$B21+1))),J22))</f>
        <v>0</v>
      </c>
      <c r="K21" s="561">
        <f ca="1">(IFERROR(IFERROR(VALUE(_xll.BDH(K$4,"PE_RATIO",$B21,$B21)),VALUE(_xll.BDH(K$4,"PE_RATIO",$B21+1,$B21+1))),K22))</f>
        <v>0</v>
      </c>
      <c r="L21" s="561">
        <f ca="1">(IFERROR(IFERROR(VALUE(_xll.BDH(L$4,"PE_RATIO",$B21,$B21)),VALUE(_xll.BDH(L$4,"PE_RATIO",$B21+1,$B21+1))),L22))</f>
        <v>0</v>
      </c>
      <c r="M21" s="561">
        <f ca="1">(IFERROR(IFERROR(VALUE(_xll.BDH(M$4,"PE_RATIO",$B21,$B21)),VALUE(_xll.BDH(M$4,"PE_RATIO",$B21+1,$B21+1))),M22))</f>
        <v>0</v>
      </c>
      <c r="N21" s="561">
        <f ca="1">(IFERROR(IFERROR(VALUE(_xll.BDH(N$4,"PE_RATIO",$B21,$B21)),VALUE(_xll.BDH(N$4,"PE_RATIO",$B21+1,$B21+1))),N22))</f>
        <v>0</v>
      </c>
      <c r="O21" s="561">
        <f ca="1">(IFERROR(IFERROR(VALUE(_xll.BDH(O$4,"PE_RATIO",$B21,$B21)),VALUE(_xll.BDH(O$4,"PE_RATIO",$B21+1,$B21+1))),O22))</f>
        <v>0</v>
      </c>
      <c r="P21" s="561"/>
      <c r="Q21" s="565">
        <f t="shared" ca="1" si="4"/>
        <v>45833</v>
      </c>
      <c r="R21" s="4">
        <v>152.11000000000001</v>
      </c>
      <c r="S21" s="4">
        <v>21367.37</v>
      </c>
      <c r="T21" s="4">
        <v>1203.02</v>
      </c>
      <c r="U21" s="4">
        <v>1.2267924832647796</v>
      </c>
      <c r="V21" s="4">
        <v>1.8956568412180894</v>
      </c>
      <c r="W21" s="4">
        <v>1.6209712191441199</v>
      </c>
      <c r="Y21" s="561">
        <f t="shared" si="5"/>
        <v>152.11000000000001</v>
      </c>
      <c r="Z21" s="4">
        <f ca="1">IFERROR(VALUE(_xll.BDH(Z$4,"PX_LAST",$Q21,$Q21)),Z22)</f>
        <v>0</v>
      </c>
      <c r="AA21" s="4">
        <f ca="1">IFERROR(VALUE(_xll.BDH(AA$4,"PX_LAST",$Q21,$Q21)),AA22)</f>
        <v>0</v>
      </c>
      <c r="AB21" s="4">
        <f ca="1">IFERROR(VALUE(_xll.BDH(AB$4,"PX_LAST",$Q21,$Q21)),AB22)</f>
        <v>0</v>
      </c>
      <c r="AC21" s="4">
        <f ca="1">IFERROR(VALUE(_xll.BDH(AC$4,"PX_LAST",$Q21,$Q21)),AC22)</f>
        <v>0</v>
      </c>
      <c r="AD21" s="4">
        <f ca="1">IFERROR(VALUE(_xll.BDH(AD$4,"PX_LAST",$Q21,$Q21)),AD22)</f>
        <v>0</v>
      </c>
      <c r="AF21" s="4">
        <f t="shared" si="6"/>
        <v>1.2267924832647796</v>
      </c>
      <c r="AG21" s="4" t="e">
        <f t="shared" ca="1" si="7"/>
        <v>#DIV/0!</v>
      </c>
      <c r="AH21" s="4" t="e">
        <f t="shared" ca="1" si="8"/>
        <v>#DIV/0!</v>
      </c>
      <c r="AI21" s="4" t="e">
        <f t="shared" ca="1" si="9"/>
        <v>#DIV/0!</v>
      </c>
      <c r="AJ21" s="4" t="e">
        <f t="shared" ca="1" si="10"/>
        <v>#DIV/0!</v>
      </c>
      <c r="AK21" s="4" t="e">
        <f t="shared" ca="1" si="11"/>
        <v>#DIV/0!</v>
      </c>
      <c r="AM21" s="563">
        <f t="shared" ca="1" si="12"/>
        <v>45928</v>
      </c>
      <c r="AN21" s="564">
        <v>137.31</v>
      </c>
      <c r="AO21" s="564">
        <v>792081</v>
      </c>
      <c r="AP21" s="564">
        <v>50682.385999999999</v>
      </c>
      <c r="AQ21" s="564">
        <v>6959198.4216599995</v>
      </c>
      <c r="AR21" s="564">
        <v>1.9098999999999999</v>
      </c>
    </row>
    <row r="22" spans="2:44">
      <c r="B22" s="565">
        <f t="shared" ca="1" si="13"/>
        <v>45826</v>
      </c>
      <c r="C22" s="561">
        <f ca="1">(IFERROR(IFERROR(VALUE(_xll.BDH(C$4,"CURRENT_EV_TO_T12M_EBITDA",$B22,$B22)),VALUE(_xll.BDH(C$4,"CURRENT_EV_TO_T12M_EBITDA",$B22+1,$B22+1))),C23))</f>
        <v>0</v>
      </c>
      <c r="D22" s="561">
        <f ca="1">(IFERROR(IFERROR(VALUE(_xll.BDH(D$4,"CURRENT_EV_TO_T12M_EBITDA",$B22,$B22)),VALUE(_xll.BDH(D$4,"CURRENT_EV_TO_T12M_EBITDA",$B22+1,$B22+1))),D23))</f>
        <v>0</v>
      </c>
      <c r="E22" s="561">
        <f ca="1">(IFERROR(IFERROR(VALUE(_xll.BDH(E$4,"CURRENT_EV_TO_T12M_EBITDA",$B22,$B22)),VALUE(_xll.BDH(E$4,"CURRENT_EV_TO_T12M_EBITDA",$B22+1,$B22+1))),E23))</f>
        <v>0</v>
      </c>
      <c r="F22" s="561">
        <f ca="1">(IFERROR(IFERROR(VALUE(_xll.BDH(F$4,"CURRENT_EV_TO_T12M_EBITDA",$B22,$B22)),VALUE(_xll.BDH(F$4,"CURRENT_EV_TO_T12M_EBITDA",$B22+1,$B22+1))),F23))</f>
        <v>0</v>
      </c>
      <c r="G22" s="561">
        <f ca="1">(IFERROR(IFERROR(VALUE(_xll.BDH(G$4,"CURRENT_EV_TO_T12M_EBITDA",$B22,$B22)),VALUE(_xll.BDH(G$4,"CURRENT_EV_TO_T12M_EBITDA",$B22+1,$B22+1))),G23))</f>
        <v>0</v>
      </c>
      <c r="H22" s="561">
        <f ca="1">(IFERROR(IFERROR(VALUE(_xll.BDH(H$4,"CURRENT_EV_TO_T12M_EBITDA",$B22,$B22)),VALUE(_xll.BDH(H$4,"CURRENT_EV_TO_T12M_EBITDA",$B22+1,$B22+1))),H23))</f>
        <v>0</v>
      </c>
      <c r="I22" s="565">
        <f t="shared" ca="1" si="3"/>
        <v>45826</v>
      </c>
      <c r="J22" s="561">
        <f ca="1">(IFERROR(IFERROR(VALUE(_xll.BDH(J$4,"PE_RATIO",$B22,$B22)),VALUE(_xll.BDH(J$4,"PE_RATIO",$B22+1,$B22+1))),J23))</f>
        <v>0</v>
      </c>
      <c r="K22" s="561">
        <f ca="1">(IFERROR(IFERROR(VALUE(_xll.BDH(K$4,"PE_RATIO",$B22,$B22)),VALUE(_xll.BDH(K$4,"PE_RATIO",$B22+1,$B22+1))),K23))</f>
        <v>0</v>
      </c>
      <c r="L22" s="561">
        <f ca="1">(IFERROR(IFERROR(VALUE(_xll.BDH(L$4,"PE_RATIO",$B22,$B22)),VALUE(_xll.BDH(L$4,"PE_RATIO",$B22+1,$B22+1))),L23))</f>
        <v>0</v>
      </c>
      <c r="M22" s="561">
        <f ca="1">(IFERROR(IFERROR(VALUE(_xll.BDH(M$4,"PE_RATIO",$B22,$B22)),VALUE(_xll.BDH(M$4,"PE_RATIO",$B22+1,$B22+1))),M23))</f>
        <v>0</v>
      </c>
      <c r="N22" s="561">
        <f ca="1">(IFERROR(IFERROR(VALUE(_xll.BDH(N$4,"PE_RATIO",$B22,$B22)),VALUE(_xll.BDH(N$4,"PE_RATIO",$B22+1,$B22+1))),N23))</f>
        <v>0</v>
      </c>
      <c r="O22" s="561">
        <f ca="1">(IFERROR(IFERROR(VALUE(_xll.BDH(O$4,"PE_RATIO",$B22,$B22)),VALUE(_xll.BDH(O$4,"PE_RATIO",$B22+1,$B22+1))),O23))</f>
        <v>0</v>
      </c>
      <c r="P22" s="561"/>
      <c r="Q22" s="565">
        <f t="shared" ca="1" si="4"/>
        <v>45826</v>
      </c>
      <c r="R22" s="4">
        <v>149.91</v>
      </c>
      <c r="S22" s="4">
        <v>21197.7</v>
      </c>
      <c r="T22" s="4">
        <v>1205.68</v>
      </c>
      <c r="U22" s="4">
        <v>1.2090491168642632</v>
      </c>
      <c r="V22" s="4">
        <v>1.8806041652804579</v>
      </c>
      <c r="W22" s="4">
        <v>1.6245553519456724</v>
      </c>
      <c r="Y22" s="561">
        <f t="shared" si="5"/>
        <v>149.91</v>
      </c>
      <c r="Z22" s="4">
        <f ca="1">IFERROR(VALUE(_xll.BDH(Z$4,"PX_LAST",$Q22,$Q22)),Z23)</f>
        <v>0</v>
      </c>
      <c r="AA22" s="4">
        <f ca="1">IFERROR(VALUE(_xll.BDH(AA$4,"PX_LAST",$Q22,$Q22)),AA23)</f>
        <v>0</v>
      </c>
      <c r="AB22" s="4">
        <f ca="1">IFERROR(VALUE(_xll.BDH(AB$4,"PX_LAST",$Q22,$Q22)),AB23)</f>
        <v>0</v>
      </c>
      <c r="AC22" s="4">
        <f ca="1">IFERROR(VALUE(_xll.BDH(AC$4,"PX_LAST",$Q22,$Q22)),AC23)</f>
        <v>0</v>
      </c>
      <c r="AD22" s="4">
        <f ca="1">IFERROR(VALUE(_xll.BDH(AD$4,"PX_LAST",$Q22,$Q22)),AD23)</f>
        <v>0</v>
      </c>
      <c r="AF22" s="4">
        <f t="shared" si="6"/>
        <v>1.2090491168642632</v>
      </c>
      <c r="AG22" s="4" t="e">
        <f t="shared" ca="1" si="7"/>
        <v>#DIV/0!</v>
      </c>
      <c r="AH22" s="4" t="e">
        <f t="shared" ca="1" si="8"/>
        <v>#DIV/0!</v>
      </c>
      <c r="AI22" s="4" t="e">
        <f t="shared" ca="1" si="9"/>
        <v>#DIV/0!</v>
      </c>
      <c r="AJ22" s="4" t="e">
        <f t="shared" ca="1" si="10"/>
        <v>#DIV/0!</v>
      </c>
      <c r="AK22" s="4" t="e">
        <f t="shared" ca="1" si="11"/>
        <v>#DIV/0!</v>
      </c>
      <c r="AM22" s="563">
        <f t="shared" ca="1" si="12"/>
        <v>45927</v>
      </c>
      <c r="AN22" s="564">
        <v>137.31</v>
      </c>
      <c r="AO22" s="564">
        <v>792081</v>
      </c>
      <c r="AP22" s="564">
        <v>50682.385999999999</v>
      </c>
      <c r="AQ22" s="564">
        <v>6959198.4216599995</v>
      </c>
      <c r="AR22" s="564">
        <v>1.9098999999999999</v>
      </c>
    </row>
    <row r="23" spans="2:44">
      <c r="B23" s="565">
        <f t="shared" ca="1" si="13"/>
        <v>45819</v>
      </c>
      <c r="C23" s="561">
        <f ca="1">(IFERROR(IFERROR(VALUE(_xll.BDH(C$4,"CURRENT_EV_TO_T12M_EBITDA",$B23,$B23)),VALUE(_xll.BDH(C$4,"CURRENT_EV_TO_T12M_EBITDA",$B23+1,$B23+1))),C24))</f>
        <v>0</v>
      </c>
      <c r="D23" s="561">
        <f ca="1">(IFERROR(IFERROR(VALUE(_xll.BDH(D$4,"CURRENT_EV_TO_T12M_EBITDA",$B23,$B23)),VALUE(_xll.BDH(D$4,"CURRENT_EV_TO_T12M_EBITDA",$B23+1,$B23+1))),D24))</f>
        <v>0</v>
      </c>
      <c r="E23" s="561">
        <f ca="1">(IFERROR(IFERROR(VALUE(_xll.BDH(E$4,"CURRENT_EV_TO_T12M_EBITDA",$B23,$B23)),VALUE(_xll.BDH(E$4,"CURRENT_EV_TO_T12M_EBITDA",$B23+1,$B23+1))),E24))</f>
        <v>0</v>
      </c>
      <c r="F23" s="561">
        <f ca="1">(IFERROR(IFERROR(VALUE(_xll.BDH(F$4,"CURRENT_EV_TO_T12M_EBITDA",$B23,$B23)),VALUE(_xll.BDH(F$4,"CURRENT_EV_TO_T12M_EBITDA",$B23+1,$B23+1))),F24))</f>
        <v>0</v>
      </c>
      <c r="G23" s="561">
        <f ca="1">(IFERROR(IFERROR(VALUE(_xll.BDH(G$4,"CURRENT_EV_TO_T12M_EBITDA",$B23,$B23)),VALUE(_xll.BDH(G$4,"CURRENT_EV_TO_T12M_EBITDA",$B23+1,$B23+1))),G24))</f>
        <v>0</v>
      </c>
      <c r="H23" s="561">
        <f ca="1">(IFERROR(IFERROR(VALUE(_xll.BDH(H$4,"CURRENT_EV_TO_T12M_EBITDA",$B23,$B23)),VALUE(_xll.BDH(H$4,"CURRENT_EV_TO_T12M_EBITDA",$B23+1,$B23+1))),H24))</f>
        <v>0</v>
      </c>
      <c r="I23" s="565">
        <f t="shared" ca="1" si="3"/>
        <v>45819</v>
      </c>
      <c r="J23" s="561">
        <f ca="1">(IFERROR(IFERROR(VALUE(_xll.BDH(J$4,"PE_RATIO",$B23,$B23)),VALUE(_xll.BDH(J$4,"PE_RATIO",$B23+1,$B23+1))),J24))</f>
        <v>0</v>
      </c>
      <c r="K23" s="561">
        <f ca="1">(IFERROR(IFERROR(VALUE(_xll.BDH(K$4,"PE_RATIO",$B23,$B23)),VALUE(_xll.BDH(K$4,"PE_RATIO",$B23+1,$B23+1))),K24))</f>
        <v>0</v>
      </c>
      <c r="L23" s="561">
        <f ca="1">(IFERROR(IFERROR(VALUE(_xll.BDH(L$4,"PE_RATIO",$B23,$B23)),VALUE(_xll.BDH(L$4,"PE_RATIO",$B23+1,$B23+1))),L24))</f>
        <v>0</v>
      </c>
      <c r="M23" s="561">
        <f ca="1">(IFERROR(IFERROR(VALUE(_xll.BDH(M$4,"PE_RATIO",$B23,$B23)),VALUE(_xll.BDH(M$4,"PE_RATIO",$B23+1,$B23+1))),M24))</f>
        <v>0</v>
      </c>
      <c r="N23" s="561">
        <f ca="1">(IFERROR(IFERROR(VALUE(_xll.BDH(N$4,"PE_RATIO",$B23,$B23)),VALUE(_xll.BDH(N$4,"PE_RATIO",$B23+1,$B23+1))),N24))</f>
        <v>0</v>
      </c>
      <c r="O23" s="561">
        <f ca="1">(IFERROR(IFERROR(VALUE(_xll.BDH(O$4,"PE_RATIO",$B23,$B23)),VALUE(_xll.BDH(O$4,"PE_RATIO",$B23+1,$B23+1))),O24))</f>
        <v>0</v>
      </c>
      <c r="P23" s="561"/>
      <c r="Q23" s="565">
        <f t="shared" ca="1" si="4"/>
        <v>45819</v>
      </c>
      <c r="R23" s="4">
        <v>135.38</v>
      </c>
      <c r="S23" s="4">
        <v>19791.349999999999</v>
      </c>
      <c r="T23" s="4">
        <v>1120.76</v>
      </c>
      <c r="U23" s="4">
        <v>1.0918622469553996</v>
      </c>
      <c r="V23" s="4">
        <v>1.7558364938895912</v>
      </c>
      <c r="W23" s="4">
        <v>1.5101325859652905</v>
      </c>
      <c r="Y23" s="561">
        <f t="shared" si="5"/>
        <v>135.38</v>
      </c>
      <c r="Z23" s="4">
        <f ca="1">IFERROR(VALUE(_xll.BDH(Z$4,"PX_LAST",$Q23,$Q23)),Z24)</f>
        <v>0</v>
      </c>
      <c r="AA23" s="4">
        <f ca="1">IFERROR(VALUE(_xll.BDH(AA$4,"PX_LAST",$Q23,$Q23)),AA24)</f>
        <v>0</v>
      </c>
      <c r="AB23" s="4">
        <f ca="1">IFERROR(VALUE(_xll.BDH(AB$4,"PX_LAST",$Q23,$Q23)),AB24)</f>
        <v>0</v>
      </c>
      <c r="AC23" s="4">
        <f ca="1">IFERROR(VALUE(_xll.BDH(AC$4,"PX_LAST",$Q23,$Q23)),AC24)</f>
        <v>0</v>
      </c>
      <c r="AD23" s="4">
        <f ca="1">IFERROR(VALUE(_xll.BDH(AD$4,"PX_LAST",$Q23,$Q23)),AD24)</f>
        <v>0</v>
      </c>
      <c r="AF23" s="4">
        <f t="shared" si="6"/>
        <v>1.0918622469553996</v>
      </c>
      <c r="AG23" s="4" t="e">
        <f t="shared" ca="1" si="7"/>
        <v>#DIV/0!</v>
      </c>
      <c r="AH23" s="4" t="e">
        <f t="shared" ca="1" si="8"/>
        <v>#DIV/0!</v>
      </c>
      <c r="AI23" s="4" t="e">
        <f t="shared" ca="1" si="9"/>
        <v>#DIV/0!</v>
      </c>
      <c r="AJ23" s="4" t="e">
        <f t="shared" ca="1" si="10"/>
        <v>#DIV/0!</v>
      </c>
      <c r="AK23" s="4" t="e">
        <f t="shared" ca="1" si="11"/>
        <v>#DIV/0!</v>
      </c>
      <c r="AM23" s="563">
        <f t="shared" ca="1" si="12"/>
        <v>45926</v>
      </c>
      <c r="AN23" s="564">
        <v>130.13</v>
      </c>
      <c r="AO23" s="564">
        <v>759255</v>
      </c>
      <c r="AP23" s="564">
        <v>50682.385999999999</v>
      </c>
      <c r="AQ23" s="564">
        <v>6595298.8901799992</v>
      </c>
      <c r="AR23" s="564">
        <v>1.81</v>
      </c>
    </row>
    <row r="24" spans="2:44">
      <c r="B24" s="565">
        <f t="shared" ca="1" si="13"/>
        <v>45812</v>
      </c>
      <c r="C24" s="561">
        <f ca="1">(IFERROR(IFERROR(VALUE(_xll.BDH(C$4,"CURRENT_EV_TO_T12M_EBITDA",$B24,$B24)),VALUE(_xll.BDH(C$4,"CURRENT_EV_TO_T12M_EBITDA",$B24+1,$B24+1))),C25))</f>
        <v>0</v>
      </c>
      <c r="D24" s="561">
        <f ca="1">(IFERROR(IFERROR(VALUE(_xll.BDH(D$4,"CURRENT_EV_TO_T12M_EBITDA",$B24,$B24)),VALUE(_xll.BDH(D$4,"CURRENT_EV_TO_T12M_EBITDA",$B24+1,$B24+1))),D25))</f>
        <v>0</v>
      </c>
      <c r="E24" s="561">
        <f ca="1">(IFERROR(IFERROR(VALUE(_xll.BDH(E$4,"CURRENT_EV_TO_T12M_EBITDA",$B24,$B24)),VALUE(_xll.BDH(E$4,"CURRENT_EV_TO_T12M_EBITDA",$B24+1,$B24+1))),E25))</f>
        <v>0</v>
      </c>
      <c r="F24" s="561">
        <f ca="1">(IFERROR(IFERROR(VALUE(_xll.BDH(F$4,"CURRENT_EV_TO_T12M_EBITDA",$B24,$B24)),VALUE(_xll.BDH(F$4,"CURRENT_EV_TO_T12M_EBITDA",$B24+1,$B24+1))),F25))</f>
        <v>0</v>
      </c>
      <c r="G24" s="561">
        <f ca="1">(IFERROR(IFERROR(VALUE(_xll.BDH(G$4,"CURRENT_EV_TO_T12M_EBITDA",$B24,$B24)),VALUE(_xll.BDH(G$4,"CURRENT_EV_TO_T12M_EBITDA",$B24+1,$B24+1))),G25))</f>
        <v>0</v>
      </c>
      <c r="H24" s="561">
        <f ca="1">(IFERROR(IFERROR(VALUE(_xll.BDH(H$4,"CURRENT_EV_TO_T12M_EBITDA",$B24,$B24)),VALUE(_xll.BDH(H$4,"CURRENT_EV_TO_T12M_EBITDA",$B24+1,$B24+1))),H25))</f>
        <v>0</v>
      </c>
      <c r="I24" s="565">
        <f t="shared" ca="1" si="3"/>
        <v>45812</v>
      </c>
      <c r="J24" s="561">
        <f ca="1">(IFERROR(IFERROR(VALUE(_xll.BDH(J$4,"PE_RATIO",$B24,$B24)),VALUE(_xll.BDH(J$4,"PE_RATIO",$B24+1,$B24+1))),J25))</f>
        <v>0</v>
      </c>
      <c r="K24" s="561">
        <f ca="1">(IFERROR(IFERROR(VALUE(_xll.BDH(K$4,"PE_RATIO",$B24,$B24)),VALUE(_xll.BDH(K$4,"PE_RATIO",$B24+1,$B24+1))),K25))</f>
        <v>0</v>
      </c>
      <c r="L24" s="561">
        <f ca="1">(IFERROR(IFERROR(VALUE(_xll.BDH(L$4,"PE_RATIO",$B24,$B24)),VALUE(_xll.BDH(L$4,"PE_RATIO",$B24+1,$B24+1))),L25))</f>
        <v>0</v>
      </c>
      <c r="M24" s="561">
        <f ca="1">(IFERROR(IFERROR(VALUE(_xll.BDH(M$4,"PE_RATIO",$B24,$B24)),VALUE(_xll.BDH(M$4,"PE_RATIO",$B24+1,$B24+1))),M25))</f>
        <v>0</v>
      </c>
      <c r="N24" s="561">
        <f ca="1">(IFERROR(IFERROR(VALUE(_xll.BDH(N$4,"PE_RATIO",$B24,$B24)),VALUE(_xll.BDH(N$4,"PE_RATIO",$B24+1,$B24+1))),N25))</f>
        <v>0</v>
      </c>
      <c r="O24" s="561">
        <f ca="1">(IFERROR(IFERROR(VALUE(_xll.BDH(O$4,"PE_RATIO",$B24,$B24)),VALUE(_xll.BDH(O$4,"PE_RATIO",$B24+1,$B24+1))),O25))</f>
        <v>0</v>
      </c>
      <c r="P24" s="561"/>
      <c r="Q24" s="565">
        <f t="shared" ca="1" si="4"/>
        <v>45812</v>
      </c>
      <c r="R24" s="4">
        <v>132.78</v>
      </c>
      <c r="S24" s="4">
        <v>19544.95</v>
      </c>
      <c r="T24" s="4">
        <v>1108.47</v>
      </c>
      <c r="U24" s="4">
        <v>1.0708928139366078</v>
      </c>
      <c r="V24" s="4">
        <v>1.7339765342559941</v>
      </c>
      <c r="W24" s="4">
        <v>1.4935728144874421</v>
      </c>
      <c r="Y24" s="561">
        <f t="shared" si="5"/>
        <v>132.78</v>
      </c>
      <c r="Z24" s="4">
        <f ca="1">IFERROR(VALUE(_xll.BDH(Z$4,"PX_LAST",$Q24,$Q24)),Z25)</f>
        <v>0</v>
      </c>
      <c r="AA24" s="4">
        <f ca="1">IFERROR(VALUE(_xll.BDH(AA$4,"PX_LAST",$Q24,$Q24)),AA25)</f>
        <v>0</v>
      </c>
      <c r="AB24" s="4">
        <f ca="1">IFERROR(VALUE(_xll.BDH(AB$4,"PX_LAST",$Q24,$Q24)),AB25)</f>
        <v>0</v>
      </c>
      <c r="AC24" s="4">
        <f ca="1">IFERROR(VALUE(_xll.BDH(AC$4,"PX_LAST",$Q24,$Q24)),AC25)</f>
        <v>0</v>
      </c>
      <c r="AD24" s="4">
        <f ca="1">IFERROR(VALUE(_xll.BDH(AD$4,"PX_LAST",$Q24,$Q24)),AD25)</f>
        <v>0</v>
      </c>
      <c r="AF24" s="4">
        <f t="shared" si="6"/>
        <v>1.0708928139366078</v>
      </c>
      <c r="AG24" s="4" t="e">
        <f t="shared" ca="1" si="7"/>
        <v>#DIV/0!</v>
      </c>
      <c r="AH24" s="4" t="e">
        <f t="shared" ca="1" si="8"/>
        <v>#DIV/0!</v>
      </c>
      <c r="AI24" s="4" t="e">
        <f t="shared" ca="1" si="9"/>
        <v>#DIV/0!</v>
      </c>
      <c r="AJ24" s="4" t="e">
        <f t="shared" ca="1" si="10"/>
        <v>#DIV/0!</v>
      </c>
      <c r="AK24" s="4" t="e">
        <f t="shared" ca="1" si="11"/>
        <v>#DIV/0!</v>
      </c>
      <c r="AM24" s="563">
        <f t="shared" ca="1" si="12"/>
        <v>45925</v>
      </c>
      <c r="AN24" s="564">
        <v>130.4</v>
      </c>
      <c r="AO24" s="564">
        <v>664797</v>
      </c>
      <c r="AP24" s="564">
        <v>50682.385999999999</v>
      </c>
      <c r="AQ24" s="564">
        <v>6608983.1343999999</v>
      </c>
      <c r="AR24" s="564">
        <v>1.8138000000000001</v>
      </c>
    </row>
    <row r="25" spans="2:44">
      <c r="B25" s="565">
        <f t="shared" ca="1" si="13"/>
        <v>45805</v>
      </c>
      <c r="C25" s="561">
        <f ca="1">(IFERROR(IFERROR(VALUE(_xll.BDH(C$4,"CURRENT_EV_TO_T12M_EBITDA",$B25,$B25)),VALUE(_xll.BDH(C$4,"CURRENT_EV_TO_T12M_EBITDA",$B25+1,$B25+1))),C26))</f>
        <v>0</v>
      </c>
      <c r="D25" s="561">
        <f ca="1">(IFERROR(IFERROR(VALUE(_xll.BDH(D$4,"CURRENT_EV_TO_T12M_EBITDA",$B25,$B25)),VALUE(_xll.BDH(D$4,"CURRENT_EV_TO_T12M_EBITDA",$B25+1,$B25+1))),D26))</f>
        <v>0</v>
      </c>
      <c r="E25" s="561">
        <f ca="1">(IFERROR(IFERROR(VALUE(_xll.BDH(E$4,"CURRENT_EV_TO_T12M_EBITDA",$B25,$B25)),VALUE(_xll.BDH(E$4,"CURRENT_EV_TO_T12M_EBITDA",$B25+1,$B25+1))),E26))</f>
        <v>0</v>
      </c>
      <c r="F25" s="561">
        <f ca="1">(IFERROR(IFERROR(VALUE(_xll.BDH(F$4,"CURRENT_EV_TO_T12M_EBITDA",$B25,$B25)),VALUE(_xll.BDH(F$4,"CURRENT_EV_TO_T12M_EBITDA",$B25+1,$B25+1))),F26))</f>
        <v>0</v>
      </c>
      <c r="G25" s="561">
        <f ca="1">(IFERROR(IFERROR(VALUE(_xll.BDH(G$4,"CURRENT_EV_TO_T12M_EBITDA",$B25,$B25)),VALUE(_xll.BDH(G$4,"CURRENT_EV_TO_T12M_EBITDA",$B25+1,$B25+1))),G26))</f>
        <v>0</v>
      </c>
      <c r="H25" s="561">
        <f ca="1">(IFERROR(IFERROR(VALUE(_xll.BDH(H$4,"CURRENT_EV_TO_T12M_EBITDA",$B25,$B25)),VALUE(_xll.BDH(H$4,"CURRENT_EV_TO_T12M_EBITDA",$B25+1,$B25+1))),H26))</f>
        <v>0</v>
      </c>
      <c r="I25" s="565">
        <f t="shared" ca="1" si="3"/>
        <v>45805</v>
      </c>
      <c r="J25" s="561">
        <f ca="1">(IFERROR(IFERROR(VALUE(_xll.BDH(J$4,"PE_RATIO",$B25,$B25)),VALUE(_xll.BDH(J$4,"PE_RATIO",$B25+1,$B25+1))),J26))</f>
        <v>0</v>
      </c>
      <c r="K25" s="561">
        <f ca="1">(IFERROR(IFERROR(VALUE(_xll.BDH(K$4,"PE_RATIO",$B25,$B25)),VALUE(_xll.BDH(K$4,"PE_RATIO",$B25+1,$B25+1))),K26))</f>
        <v>0</v>
      </c>
      <c r="L25" s="561">
        <f ca="1">(IFERROR(IFERROR(VALUE(_xll.BDH(L$4,"PE_RATIO",$B25,$B25)),VALUE(_xll.BDH(L$4,"PE_RATIO",$B25+1,$B25+1))),L26))</f>
        <v>0</v>
      </c>
      <c r="M25" s="561">
        <f ca="1">(IFERROR(IFERROR(VALUE(_xll.BDH(M$4,"PE_RATIO",$B25,$B25)),VALUE(_xll.BDH(M$4,"PE_RATIO",$B25+1,$B25+1))),M26))</f>
        <v>0</v>
      </c>
      <c r="N25" s="561">
        <f ca="1">(IFERROR(IFERROR(VALUE(_xll.BDH(N$4,"PE_RATIO",$B25,$B25)),VALUE(_xll.BDH(N$4,"PE_RATIO",$B25+1,$B25+1))),N26))</f>
        <v>0</v>
      </c>
      <c r="O25" s="561">
        <f ca="1">(IFERROR(IFERROR(VALUE(_xll.BDH(O$4,"PE_RATIO",$B25,$B25)),VALUE(_xll.BDH(O$4,"PE_RATIO",$B25+1,$B25+1))),O26))</f>
        <v>0</v>
      </c>
      <c r="P25" s="561"/>
      <c r="Q25" s="565">
        <f t="shared" ca="1" si="4"/>
        <v>45805</v>
      </c>
      <c r="R25" s="4">
        <v>127.44</v>
      </c>
      <c r="S25" s="4">
        <v>18276.41</v>
      </c>
      <c r="T25" s="4">
        <v>1067.08</v>
      </c>
      <c r="U25" s="4">
        <v>1.0278248245826276</v>
      </c>
      <c r="V25" s="4">
        <v>1.621435003437798</v>
      </c>
      <c r="W25" s="4">
        <v>1.4378031691279509</v>
      </c>
      <c r="Y25" s="561">
        <f t="shared" si="5"/>
        <v>127.44</v>
      </c>
      <c r="Z25" s="4">
        <f ca="1">IFERROR(VALUE(_xll.BDH(Z$4,"PX_LAST",$Q25,$Q25)),Z26)</f>
        <v>0</v>
      </c>
      <c r="AA25" s="4">
        <f ca="1">IFERROR(VALUE(_xll.BDH(AA$4,"PX_LAST",$Q25,$Q25)),AA26)</f>
        <v>0</v>
      </c>
      <c r="AB25" s="4">
        <f ca="1">IFERROR(VALUE(_xll.BDH(AB$4,"PX_LAST",$Q25,$Q25)),AB26)</f>
        <v>0</v>
      </c>
      <c r="AC25" s="4">
        <f ca="1">IFERROR(VALUE(_xll.BDH(AC$4,"PX_LAST",$Q25,$Q25)),AC26)</f>
        <v>0</v>
      </c>
      <c r="AD25" s="4">
        <f ca="1">IFERROR(VALUE(_xll.BDH(AD$4,"PX_LAST",$Q25,$Q25)),AD26)</f>
        <v>0</v>
      </c>
      <c r="AF25" s="4">
        <f t="shared" si="6"/>
        <v>1.0278248245826276</v>
      </c>
      <c r="AG25" s="4" t="e">
        <f t="shared" ca="1" si="7"/>
        <v>#DIV/0!</v>
      </c>
      <c r="AH25" s="4" t="e">
        <f t="shared" ca="1" si="8"/>
        <v>#DIV/0!</v>
      </c>
      <c r="AI25" s="4" t="e">
        <f t="shared" ca="1" si="9"/>
        <v>#DIV/0!</v>
      </c>
      <c r="AJ25" s="4" t="e">
        <f t="shared" ca="1" si="10"/>
        <v>#DIV/0!</v>
      </c>
      <c r="AK25" s="4" t="e">
        <f t="shared" ca="1" si="11"/>
        <v>#DIV/0!</v>
      </c>
      <c r="AM25" s="563">
        <f t="shared" ca="1" si="12"/>
        <v>45924</v>
      </c>
      <c r="AN25" s="564">
        <v>132.61000000000001</v>
      </c>
      <c r="AO25" s="564">
        <v>701399</v>
      </c>
      <c r="AP25" s="564">
        <v>50682.385999999999</v>
      </c>
      <c r="AQ25" s="564">
        <v>6720991.2074600002</v>
      </c>
      <c r="AR25" s="564">
        <v>1.8445</v>
      </c>
    </row>
    <row r="26" spans="2:44">
      <c r="B26" s="565">
        <f t="shared" ca="1" si="13"/>
        <v>45798</v>
      </c>
      <c r="C26" s="561">
        <f ca="1">(IFERROR(IFERROR(VALUE(_xll.BDH(C$4,"CURRENT_EV_TO_T12M_EBITDA",$B26,$B26)),VALUE(_xll.BDH(C$4,"CURRENT_EV_TO_T12M_EBITDA",$B26+1,$B26+1))),C27))</f>
        <v>0</v>
      </c>
      <c r="D26" s="561">
        <f ca="1">(IFERROR(IFERROR(VALUE(_xll.BDH(D$4,"CURRENT_EV_TO_T12M_EBITDA",$B26,$B26)),VALUE(_xll.BDH(D$4,"CURRENT_EV_TO_T12M_EBITDA",$B26+1,$B26+1))),D27))</f>
        <v>0</v>
      </c>
      <c r="E26" s="561">
        <f ca="1">(IFERROR(IFERROR(VALUE(_xll.BDH(E$4,"CURRENT_EV_TO_T12M_EBITDA",$B26,$B26)),VALUE(_xll.BDH(E$4,"CURRENT_EV_TO_T12M_EBITDA",$B26+1,$B26+1))),E27))</f>
        <v>0</v>
      </c>
      <c r="F26" s="561">
        <f ca="1">(IFERROR(IFERROR(VALUE(_xll.BDH(F$4,"CURRENT_EV_TO_T12M_EBITDA",$B26,$B26)),VALUE(_xll.BDH(F$4,"CURRENT_EV_TO_T12M_EBITDA",$B26+1,$B26+1))),F27))</f>
        <v>0</v>
      </c>
      <c r="G26" s="561">
        <f ca="1">(IFERROR(IFERROR(VALUE(_xll.BDH(G$4,"CURRENT_EV_TO_T12M_EBITDA",$B26,$B26)),VALUE(_xll.BDH(G$4,"CURRENT_EV_TO_T12M_EBITDA",$B26+1,$B26+1))),G27))</f>
        <v>0</v>
      </c>
      <c r="H26" s="561">
        <f ca="1">(IFERROR(IFERROR(VALUE(_xll.BDH(H$4,"CURRENT_EV_TO_T12M_EBITDA",$B26,$B26)),VALUE(_xll.BDH(H$4,"CURRENT_EV_TO_T12M_EBITDA",$B26+1,$B26+1))),H27))</f>
        <v>0</v>
      </c>
      <c r="I26" s="565">
        <f t="shared" ca="1" si="3"/>
        <v>45798</v>
      </c>
      <c r="J26" s="561">
        <f ca="1">(IFERROR(IFERROR(VALUE(_xll.BDH(J$4,"PE_RATIO",$B26,$B26)),VALUE(_xll.BDH(J$4,"PE_RATIO",$B26+1,$B26+1))),J27))</f>
        <v>0</v>
      </c>
      <c r="K26" s="561">
        <f ca="1">(IFERROR(IFERROR(VALUE(_xll.BDH(K$4,"PE_RATIO",$B26,$B26)),VALUE(_xll.BDH(K$4,"PE_RATIO",$B26+1,$B26+1))),K27))</f>
        <v>0</v>
      </c>
      <c r="L26" s="561">
        <f ca="1">(IFERROR(IFERROR(VALUE(_xll.BDH(L$4,"PE_RATIO",$B26,$B26)),VALUE(_xll.BDH(L$4,"PE_RATIO",$B26+1,$B26+1))),L27))</f>
        <v>0</v>
      </c>
      <c r="M26" s="561">
        <f ca="1">(IFERROR(IFERROR(VALUE(_xll.BDH(M$4,"PE_RATIO",$B26,$B26)),VALUE(_xll.BDH(M$4,"PE_RATIO",$B26+1,$B26+1))),M27))</f>
        <v>0</v>
      </c>
      <c r="N26" s="561">
        <f ca="1">(IFERROR(IFERROR(VALUE(_xll.BDH(N$4,"PE_RATIO",$B26,$B26)),VALUE(_xll.BDH(N$4,"PE_RATIO",$B26+1,$B26+1))),N27))</f>
        <v>0</v>
      </c>
      <c r="O26" s="561">
        <f ca="1">(IFERROR(IFERROR(VALUE(_xll.BDH(O$4,"PE_RATIO",$B26,$B26)),VALUE(_xll.BDH(O$4,"PE_RATIO",$B26+1,$B26+1))),O27))</f>
        <v>0</v>
      </c>
      <c r="P26" s="561"/>
      <c r="Q26" s="565">
        <f t="shared" ca="1" si="4"/>
        <v>45798</v>
      </c>
      <c r="R26" s="4">
        <v>129.49</v>
      </c>
      <c r="S26" s="4">
        <v>18830.23</v>
      </c>
      <c r="T26" s="4">
        <v>1069.72</v>
      </c>
      <c r="U26" s="4">
        <v>1.0443584160012906</v>
      </c>
      <c r="V26" s="4">
        <v>1.6705684565395791</v>
      </c>
      <c r="W26" s="4">
        <v>1.4413603535625743</v>
      </c>
      <c r="Y26" s="561">
        <f t="shared" si="5"/>
        <v>129.49</v>
      </c>
      <c r="Z26" s="4">
        <f ca="1">IFERROR(VALUE(_xll.BDH(Z$4,"PX_LAST",$Q26,$Q26)),Z27)</f>
        <v>0</v>
      </c>
      <c r="AA26" s="4">
        <f ca="1">IFERROR(VALUE(_xll.BDH(AA$4,"PX_LAST",$Q26,$Q26)),AA27)</f>
        <v>0</v>
      </c>
      <c r="AB26" s="4">
        <f ca="1">IFERROR(VALUE(_xll.BDH(AB$4,"PX_LAST",$Q26,$Q26)),AB27)</f>
        <v>0</v>
      </c>
      <c r="AC26" s="4">
        <f ca="1">IFERROR(VALUE(_xll.BDH(AC$4,"PX_LAST",$Q26,$Q26)),AC27)</f>
        <v>0</v>
      </c>
      <c r="AD26" s="4">
        <f ca="1">IFERROR(VALUE(_xll.BDH(AD$4,"PX_LAST",$Q26,$Q26)),AD27)</f>
        <v>0</v>
      </c>
      <c r="AF26" s="4">
        <f t="shared" si="6"/>
        <v>1.0443584160012906</v>
      </c>
      <c r="AG26" s="4" t="e">
        <f t="shared" ca="1" si="7"/>
        <v>#DIV/0!</v>
      </c>
      <c r="AH26" s="4" t="e">
        <f t="shared" ca="1" si="8"/>
        <v>#DIV/0!</v>
      </c>
      <c r="AI26" s="4" t="e">
        <f t="shared" ca="1" si="9"/>
        <v>#DIV/0!</v>
      </c>
      <c r="AJ26" s="4" t="e">
        <f t="shared" ca="1" si="10"/>
        <v>#DIV/0!</v>
      </c>
      <c r="AK26" s="4" t="e">
        <f t="shared" ca="1" si="11"/>
        <v>#DIV/0!</v>
      </c>
      <c r="AM26" s="563">
        <f t="shared" ca="1" si="12"/>
        <v>45923</v>
      </c>
      <c r="AN26" s="564">
        <v>130.72</v>
      </c>
      <c r="AO26" s="564">
        <v>901271</v>
      </c>
      <c r="AP26" s="564">
        <v>50682.385999999999</v>
      </c>
      <c r="AQ26" s="564">
        <v>6625201.49792</v>
      </c>
      <c r="AR26" s="564">
        <v>1.8182</v>
      </c>
    </row>
    <row r="27" spans="2:44">
      <c r="B27" s="565">
        <f t="shared" ca="1" si="13"/>
        <v>45791</v>
      </c>
      <c r="C27" s="561">
        <f ca="1">(IFERROR(IFERROR(VALUE(_xll.BDH(C$4,"CURRENT_EV_TO_T12M_EBITDA",$B27,$B27)),VALUE(_xll.BDH(C$4,"CURRENT_EV_TO_T12M_EBITDA",$B27+1,$B27+1))),C28))</f>
        <v>0</v>
      </c>
      <c r="D27" s="561">
        <f ca="1">(IFERROR(IFERROR(VALUE(_xll.BDH(D$4,"CURRENT_EV_TO_T12M_EBITDA",$B27,$B27)),VALUE(_xll.BDH(D$4,"CURRENT_EV_TO_T12M_EBITDA",$B27+1,$B27+1))),D28))</f>
        <v>0</v>
      </c>
      <c r="E27" s="561">
        <f ca="1">(IFERROR(IFERROR(VALUE(_xll.BDH(E$4,"CURRENT_EV_TO_T12M_EBITDA",$B27,$B27)),VALUE(_xll.BDH(E$4,"CURRENT_EV_TO_T12M_EBITDA",$B27+1,$B27+1))),E28))</f>
        <v>0</v>
      </c>
      <c r="F27" s="561">
        <f ca="1">(IFERROR(IFERROR(VALUE(_xll.BDH(F$4,"CURRENT_EV_TO_T12M_EBITDA",$B27,$B27)),VALUE(_xll.BDH(F$4,"CURRENT_EV_TO_T12M_EBITDA",$B27+1,$B27+1))),F28))</f>
        <v>0</v>
      </c>
      <c r="G27" s="561">
        <f ca="1">(IFERROR(IFERROR(VALUE(_xll.BDH(G$4,"CURRENT_EV_TO_T12M_EBITDA",$B27,$B27)),VALUE(_xll.BDH(G$4,"CURRENT_EV_TO_T12M_EBITDA",$B27+1,$B27+1))),G28))</f>
        <v>0</v>
      </c>
      <c r="H27" s="561">
        <f ca="1">(IFERROR(IFERROR(VALUE(_xll.BDH(H$4,"CURRENT_EV_TO_T12M_EBITDA",$B27,$B27)),VALUE(_xll.BDH(H$4,"CURRENT_EV_TO_T12M_EBITDA",$B27+1,$B27+1))),H28))</f>
        <v>0</v>
      </c>
      <c r="I27" s="565">
        <f t="shared" ca="1" si="3"/>
        <v>45791</v>
      </c>
      <c r="J27" s="561">
        <f ca="1">(IFERROR(IFERROR(VALUE(_xll.BDH(J$4,"PE_RATIO",$B27,$B27)),VALUE(_xll.BDH(J$4,"PE_RATIO",$B27+1,$B27+1))),J28))</f>
        <v>0</v>
      </c>
      <c r="K27" s="561">
        <f ca="1">(IFERROR(IFERROR(VALUE(_xll.BDH(K$4,"PE_RATIO",$B27,$B27)),VALUE(_xll.BDH(K$4,"PE_RATIO",$B27+1,$B27+1))),K28))</f>
        <v>0</v>
      </c>
      <c r="L27" s="561">
        <f ca="1">(IFERROR(IFERROR(VALUE(_xll.BDH(L$4,"PE_RATIO",$B27,$B27)),VALUE(_xll.BDH(L$4,"PE_RATIO",$B27+1,$B27+1))),L28))</f>
        <v>0</v>
      </c>
      <c r="M27" s="561">
        <f ca="1">(IFERROR(IFERROR(VALUE(_xll.BDH(M$4,"PE_RATIO",$B27,$B27)),VALUE(_xll.BDH(M$4,"PE_RATIO",$B27+1,$B27+1))),M28))</f>
        <v>0</v>
      </c>
      <c r="N27" s="561">
        <f ca="1">(IFERROR(IFERROR(VALUE(_xll.BDH(N$4,"PE_RATIO",$B27,$B27)),VALUE(_xll.BDH(N$4,"PE_RATIO",$B27+1,$B27+1))),N28))</f>
        <v>0</v>
      </c>
      <c r="O27" s="561">
        <f ca="1">(IFERROR(IFERROR(VALUE(_xll.BDH(O$4,"PE_RATIO",$B27,$B27)),VALUE(_xll.BDH(O$4,"PE_RATIO",$B27+1,$B27+1))),O28))</f>
        <v>0</v>
      </c>
      <c r="P27" s="561"/>
      <c r="Q27" s="565">
        <f t="shared" ca="1" si="4"/>
        <v>45791</v>
      </c>
      <c r="R27" s="4">
        <v>125.14</v>
      </c>
      <c r="S27" s="4">
        <v>17090.400000000001</v>
      </c>
      <c r="T27" s="4">
        <v>995.22</v>
      </c>
      <c r="U27" s="4">
        <v>1.0092749415275426</v>
      </c>
      <c r="V27" s="4">
        <v>1.5162153170536963</v>
      </c>
      <c r="W27" s="4">
        <v>1.340977686752183</v>
      </c>
      <c r="Y27" s="561">
        <f t="shared" si="5"/>
        <v>125.14</v>
      </c>
      <c r="Z27" s="4">
        <f ca="1">IFERROR(VALUE(_xll.BDH(Z$4,"PX_LAST",$Q27,$Q27)),Z28)</f>
        <v>0</v>
      </c>
      <c r="AA27" s="4">
        <f ca="1">IFERROR(VALUE(_xll.BDH(AA$4,"PX_LAST",$Q27,$Q27)),AA28)</f>
        <v>0</v>
      </c>
      <c r="AB27" s="4">
        <f ca="1">IFERROR(VALUE(_xll.BDH(AB$4,"PX_LAST",$Q27,$Q27)),AB28)</f>
        <v>0</v>
      </c>
      <c r="AC27" s="4">
        <f ca="1">IFERROR(VALUE(_xll.BDH(AC$4,"PX_LAST",$Q27,$Q27)),AC28)</f>
        <v>0</v>
      </c>
      <c r="AD27" s="4">
        <f ca="1">IFERROR(VALUE(_xll.BDH(AD$4,"PX_LAST",$Q27,$Q27)),AD28)</f>
        <v>0</v>
      </c>
      <c r="AF27" s="4">
        <f t="shared" si="6"/>
        <v>1.0092749415275426</v>
      </c>
      <c r="AG27" s="4" t="e">
        <f t="shared" ca="1" si="7"/>
        <v>#DIV/0!</v>
      </c>
      <c r="AH27" s="4" t="e">
        <f t="shared" ca="1" si="8"/>
        <v>#DIV/0!</v>
      </c>
      <c r="AI27" s="4" t="e">
        <f t="shared" ca="1" si="9"/>
        <v>#DIV/0!</v>
      </c>
      <c r="AJ27" s="4" t="e">
        <f t="shared" ca="1" si="10"/>
        <v>#DIV/0!</v>
      </c>
      <c r="AK27" s="4" t="e">
        <f t="shared" ca="1" si="11"/>
        <v>#DIV/0!</v>
      </c>
      <c r="AM27" s="563">
        <f t="shared" ca="1" si="12"/>
        <v>45922</v>
      </c>
      <c r="AN27" s="564">
        <v>132.61000000000001</v>
      </c>
      <c r="AO27" s="564">
        <v>740245</v>
      </c>
      <c r="AP27" s="564">
        <v>50682.385999999999</v>
      </c>
      <c r="AQ27" s="564">
        <v>6720991.2074600002</v>
      </c>
      <c r="AR27" s="564">
        <v>1.8445</v>
      </c>
    </row>
    <row r="28" spans="2:44">
      <c r="B28" s="565">
        <f t="shared" ca="1" si="13"/>
        <v>45784</v>
      </c>
      <c r="C28" s="561">
        <f ca="1">(IFERROR(IFERROR(VALUE(_xll.BDH(C$4,"CURRENT_EV_TO_T12M_EBITDA",$B28,$B28)),VALUE(_xll.BDH(C$4,"CURRENT_EV_TO_T12M_EBITDA",$B28+1,$B28+1))),C29))</f>
        <v>0</v>
      </c>
      <c r="D28" s="561">
        <f ca="1">(IFERROR(IFERROR(VALUE(_xll.BDH(D$4,"CURRENT_EV_TO_T12M_EBITDA",$B28,$B28)),VALUE(_xll.BDH(D$4,"CURRENT_EV_TO_T12M_EBITDA",$B28+1,$B28+1))),D29))</f>
        <v>0</v>
      </c>
      <c r="E28" s="561">
        <f ca="1">(IFERROR(IFERROR(VALUE(_xll.BDH(E$4,"CURRENT_EV_TO_T12M_EBITDA",$B28,$B28)),VALUE(_xll.BDH(E$4,"CURRENT_EV_TO_T12M_EBITDA",$B28+1,$B28+1))),E29))</f>
        <v>0</v>
      </c>
      <c r="F28" s="561">
        <f ca="1">(IFERROR(IFERROR(VALUE(_xll.BDH(F$4,"CURRENT_EV_TO_T12M_EBITDA",$B28,$B28)),VALUE(_xll.BDH(F$4,"CURRENT_EV_TO_T12M_EBITDA",$B28+1,$B28+1))),F29))</f>
        <v>0</v>
      </c>
      <c r="G28" s="561">
        <f ca="1">(IFERROR(IFERROR(VALUE(_xll.BDH(G$4,"CURRENT_EV_TO_T12M_EBITDA",$B28,$B28)),VALUE(_xll.BDH(G$4,"CURRENT_EV_TO_T12M_EBITDA",$B28+1,$B28+1))),G29))</f>
        <v>0</v>
      </c>
      <c r="H28" s="561">
        <f ca="1">(IFERROR(IFERROR(VALUE(_xll.BDH(H$4,"CURRENT_EV_TO_T12M_EBITDA",$B28,$B28)),VALUE(_xll.BDH(H$4,"CURRENT_EV_TO_T12M_EBITDA",$B28+1,$B28+1))),H29))</f>
        <v>0</v>
      </c>
      <c r="I28" s="565">
        <f t="shared" ca="1" si="3"/>
        <v>45784</v>
      </c>
      <c r="J28" s="561">
        <f ca="1">(IFERROR(IFERROR(VALUE(_xll.BDH(J$4,"PE_RATIO",$B28,$B28)),VALUE(_xll.BDH(J$4,"PE_RATIO",$B28+1,$B28+1))),J29))</f>
        <v>0</v>
      </c>
      <c r="K28" s="561">
        <f ca="1">(IFERROR(IFERROR(VALUE(_xll.BDH(K$4,"PE_RATIO",$B28,$B28)),VALUE(_xll.BDH(K$4,"PE_RATIO",$B28+1,$B28+1))),K29))</f>
        <v>0</v>
      </c>
      <c r="L28" s="561">
        <f ca="1">(IFERROR(IFERROR(VALUE(_xll.BDH(L$4,"PE_RATIO",$B28,$B28)),VALUE(_xll.BDH(L$4,"PE_RATIO",$B28+1,$B28+1))),L29))</f>
        <v>0</v>
      </c>
      <c r="M28" s="561">
        <f ca="1">(IFERROR(IFERROR(VALUE(_xll.BDH(M$4,"PE_RATIO",$B28,$B28)),VALUE(_xll.BDH(M$4,"PE_RATIO",$B28+1,$B28+1))),M29))</f>
        <v>0</v>
      </c>
      <c r="N28" s="561">
        <f ca="1">(IFERROR(IFERROR(VALUE(_xll.BDH(N$4,"PE_RATIO",$B28,$B28)),VALUE(_xll.BDH(N$4,"PE_RATIO",$B28+1,$B28+1))),N29))</f>
        <v>0</v>
      </c>
      <c r="O28" s="561">
        <f ca="1">(IFERROR(IFERROR(VALUE(_xll.BDH(O$4,"PE_RATIO",$B28,$B28)),VALUE(_xll.BDH(O$4,"PE_RATIO",$B28+1,$B28+1))),O29))</f>
        <v>0</v>
      </c>
      <c r="P28" s="561"/>
      <c r="Q28" s="565">
        <f t="shared" ca="1" si="4"/>
        <v>45784</v>
      </c>
      <c r="R28" s="4">
        <v>152.72999999999999</v>
      </c>
      <c r="S28" s="4">
        <v>19436.419999999998</v>
      </c>
      <c r="T28" s="4">
        <v>1156.3399999999999</v>
      </c>
      <c r="U28" s="4">
        <v>1.2317928865231067</v>
      </c>
      <c r="V28" s="4">
        <v>1.7243480382371856</v>
      </c>
      <c r="W28" s="4">
        <v>1.5580737307319177</v>
      </c>
      <c r="Y28" s="561">
        <f t="shared" si="5"/>
        <v>152.72999999999999</v>
      </c>
      <c r="Z28" s="4">
        <f ca="1">IFERROR(VALUE(_xll.BDH(Z$4,"PX_LAST",$Q28,$Q28)),Z29)</f>
        <v>0</v>
      </c>
      <c r="AA28" s="4">
        <f ca="1">IFERROR(VALUE(_xll.BDH(AA$4,"PX_LAST",$Q28,$Q28)),AA29)</f>
        <v>0</v>
      </c>
      <c r="AB28" s="4">
        <f ca="1">IFERROR(VALUE(_xll.BDH(AB$4,"PX_LAST",$Q28,$Q28)),AB29)</f>
        <v>0</v>
      </c>
      <c r="AC28" s="4">
        <f ca="1">IFERROR(VALUE(_xll.BDH(AC$4,"PX_LAST",$Q28,$Q28)),AC29)</f>
        <v>0</v>
      </c>
      <c r="AD28" s="4">
        <f ca="1">IFERROR(VALUE(_xll.BDH(AD$4,"PX_LAST",$Q28,$Q28)),AD29)</f>
        <v>0</v>
      </c>
      <c r="AF28" s="4">
        <f t="shared" si="6"/>
        <v>1.2317928865231067</v>
      </c>
      <c r="AG28" s="4" t="e">
        <f t="shared" ca="1" si="7"/>
        <v>#DIV/0!</v>
      </c>
      <c r="AH28" s="4" t="e">
        <f t="shared" ca="1" si="8"/>
        <v>#DIV/0!</v>
      </c>
      <c r="AI28" s="4" t="e">
        <f t="shared" ca="1" si="9"/>
        <v>#DIV/0!</v>
      </c>
      <c r="AJ28" s="4" t="e">
        <f t="shared" ca="1" si="10"/>
        <v>#DIV/0!</v>
      </c>
      <c r="AK28" s="4" t="e">
        <f t="shared" ca="1" si="11"/>
        <v>#DIV/0!</v>
      </c>
      <c r="AM28" s="563">
        <f t="shared" ca="1" si="12"/>
        <v>45921</v>
      </c>
      <c r="AN28" s="564">
        <v>132.61000000000001</v>
      </c>
      <c r="AO28" s="564">
        <v>740245</v>
      </c>
      <c r="AP28" s="564">
        <v>50682.385999999999</v>
      </c>
      <c r="AQ28" s="564">
        <v>6720991.2074600002</v>
      </c>
      <c r="AR28" s="564">
        <v>1.8445</v>
      </c>
    </row>
    <row r="29" spans="2:44">
      <c r="B29" s="565">
        <f t="shared" ca="1" si="13"/>
        <v>45777</v>
      </c>
      <c r="C29" s="561">
        <f ca="1">(IFERROR(IFERROR(VALUE(_xll.BDH(C$4,"CURRENT_EV_TO_T12M_EBITDA",$B29,$B29)),VALUE(_xll.BDH(C$4,"CURRENT_EV_TO_T12M_EBITDA",$B29+1,$B29+1))),C30))</f>
        <v>0</v>
      </c>
      <c r="D29" s="561">
        <f ca="1">(IFERROR(IFERROR(VALUE(_xll.BDH(D$4,"CURRENT_EV_TO_T12M_EBITDA",$B29,$B29)),VALUE(_xll.BDH(D$4,"CURRENT_EV_TO_T12M_EBITDA",$B29+1,$B29+1))),D30))</f>
        <v>0</v>
      </c>
      <c r="E29" s="561">
        <f ca="1">(IFERROR(IFERROR(VALUE(_xll.BDH(E$4,"CURRENT_EV_TO_T12M_EBITDA",$B29,$B29)),VALUE(_xll.BDH(E$4,"CURRENT_EV_TO_T12M_EBITDA",$B29+1,$B29+1))),E30))</f>
        <v>0</v>
      </c>
      <c r="F29" s="561">
        <f ca="1">(IFERROR(IFERROR(VALUE(_xll.BDH(F$4,"CURRENT_EV_TO_T12M_EBITDA",$B29,$B29)),VALUE(_xll.BDH(F$4,"CURRENT_EV_TO_T12M_EBITDA",$B29+1,$B29+1))),F30))</f>
        <v>0</v>
      </c>
      <c r="G29" s="561">
        <f ca="1">(IFERROR(IFERROR(VALUE(_xll.BDH(G$4,"CURRENT_EV_TO_T12M_EBITDA",$B29,$B29)),VALUE(_xll.BDH(G$4,"CURRENT_EV_TO_T12M_EBITDA",$B29+1,$B29+1))),G30))</f>
        <v>0</v>
      </c>
      <c r="H29" s="561">
        <f ca="1">(IFERROR(IFERROR(VALUE(_xll.BDH(H$4,"CURRENT_EV_TO_T12M_EBITDA",$B29,$B29)),VALUE(_xll.BDH(H$4,"CURRENT_EV_TO_T12M_EBITDA",$B29+1,$B29+1))),H30))</f>
        <v>0</v>
      </c>
      <c r="I29" s="565">
        <f t="shared" ca="1" si="3"/>
        <v>45777</v>
      </c>
      <c r="J29" s="561">
        <f ca="1">(IFERROR(IFERROR(VALUE(_xll.BDH(J$4,"PE_RATIO",$B29,$B29)),VALUE(_xll.BDH(J$4,"PE_RATIO",$B29+1,$B29+1))),J30))</f>
        <v>0</v>
      </c>
      <c r="K29" s="561">
        <f ca="1">(IFERROR(IFERROR(VALUE(_xll.BDH(K$4,"PE_RATIO",$B29,$B29)),VALUE(_xll.BDH(K$4,"PE_RATIO",$B29+1,$B29+1))),K30))</f>
        <v>0</v>
      </c>
      <c r="L29" s="561">
        <f ca="1">(IFERROR(IFERROR(VALUE(_xll.BDH(L$4,"PE_RATIO",$B29,$B29)),VALUE(_xll.BDH(L$4,"PE_RATIO",$B29+1,$B29+1))),L30))</f>
        <v>0</v>
      </c>
      <c r="M29" s="561">
        <f ca="1">(IFERROR(IFERROR(VALUE(_xll.BDH(M$4,"PE_RATIO",$B29,$B29)),VALUE(_xll.BDH(M$4,"PE_RATIO",$B29+1,$B29+1))),M30))</f>
        <v>0</v>
      </c>
      <c r="N29" s="561">
        <f ca="1">(IFERROR(IFERROR(VALUE(_xll.BDH(N$4,"PE_RATIO",$B29,$B29)),VALUE(_xll.BDH(N$4,"PE_RATIO",$B29+1,$B29+1))),N30))</f>
        <v>0</v>
      </c>
      <c r="O29" s="561">
        <f ca="1">(IFERROR(IFERROR(VALUE(_xll.BDH(O$4,"PE_RATIO",$B29,$B29)),VALUE(_xll.BDH(O$4,"PE_RATIO",$B29+1,$B29+1))),O30))</f>
        <v>0</v>
      </c>
      <c r="P29" s="561"/>
      <c r="Q29" s="565">
        <f t="shared" ca="1" si="4"/>
        <v>45777</v>
      </c>
      <c r="R29" s="4">
        <v>156.65</v>
      </c>
      <c r="S29" s="4">
        <v>20287.830000000002</v>
      </c>
      <c r="T29" s="4">
        <v>1192.81</v>
      </c>
      <c r="U29" s="4">
        <v>1.2634083393822084</v>
      </c>
      <c r="V29" s="4">
        <v>1.7998828930733917</v>
      </c>
      <c r="W29" s="4">
        <v>1.6072140778268837</v>
      </c>
      <c r="Y29" s="561">
        <f t="shared" si="5"/>
        <v>156.65</v>
      </c>
      <c r="Z29" s="4">
        <f ca="1">IFERROR(VALUE(_xll.BDH(Z$4,"PX_LAST",$Q29,$Q29)),Z30)</f>
        <v>0</v>
      </c>
      <c r="AA29" s="4">
        <f ca="1">IFERROR(VALUE(_xll.BDH(AA$4,"PX_LAST",$Q29,$Q29)),AA30)</f>
        <v>0</v>
      </c>
      <c r="AB29" s="4">
        <f ca="1">IFERROR(VALUE(_xll.BDH(AB$4,"PX_LAST",$Q29,$Q29)),AB30)</f>
        <v>0</v>
      </c>
      <c r="AC29" s="4">
        <f ca="1">IFERROR(VALUE(_xll.BDH(AC$4,"PX_LAST",$Q29,$Q29)),AC30)</f>
        <v>0</v>
      </c>
      <c r="AD29" s="4">
        <f ca="1">IFERROR(VALUE(_xll.BDH(AD$4,"PX_LAST",$Q29,$Q29)),AD30)</f>
        <v>0</v>
      </c>
      <c r="AF29" s="4">
        <f t="shared" si="6"/>
        <v>1.2634083393822084</v>
      </c>
      <c r="AG29" s="4" t="e">
        <f t="shared" ca="1" si="7"/>
        <v>#DIV/0!</v>
      </c>
      <c r="AH29" s="4" t="e">
        <f t="shared" ca="1" si="8"/>
        <v>#DIV/0!</v>
      </c>
      <c r="AI29" s="4" t="e">
        <f t="shared" ca="1" si="9"/>
        <v>#DIV/0!</v>
      </c>
      <c r="AJ29" s="4" t="e">
        <f t="shared" ca="1" si="10"/>
        <v>#DIV/0!</v>
      </c>
      <c r="AK29" s="4" t="e">
        <f t="shared" ca="1" si="11"/>
        <v>#DIV/0!</v>
      </c>
      <c r="AM29" s="563">
        <f t="shared" ca="1" si="12"/>
        <v>45920</v>
      </c>
      <c r="AN29" s="564">
        <v>132.61000000000001</v>
      </c>
      <c r="AO29" s="564">
        <v>740245</v>
      </c>
      <c r="AP29" s="564">
        <v>50682.385999999999</v>
      </c>
      <c r="AQ29" s="564">
        <v>6720991.2074600002</v>
      </c>
      <c r="AR29" s="564">
        <v>1.8445</v>
      </c>
    </row>
    <row r="30" spans="2:44">
      <c r="B30" s="565">
        <f t="shared" ca="1" si="13"/>
        <v>45770</v>
      </c>
      <c r="C30" s="561">
        <f ca="1">(IFERROR(IFERROR(VALUE(_xll.BDH(C$4,"CURRENT_EV_TO_T12M_EBITDA",$B30,$B30)),VALUE(_xll.BDH(C$4,"CURRENT_EV_TO_T12M_EBITDA",$B30+1,$B30+1))),C31))</f>
        <v>0</v>
      </c>
      <c r="D30" s="561">
        <f ca="1">(IFERROR(IFERROR(VALUE(_xll.BDH(D$4,"CURRENT_EV_TO_T12M_EBITDA",$B30,$B30)),VALUE(_xll.BDH(D$4,"CURRENT_EV_TO_T12M_EBITDA",$B30+1,$B30+1))),D31))</f>
        <v>0</v>
      </c>
      <c r="E30" s="561">
        <f ca="1">(IFERROR(IFERROR(VALUE(_xll.BDH(E$4,"CURRENT_EV_TO_T12M_EBITDA",$B30,$B30)),VALUE(_xll.BDH(E$4,"CURRENT_EV_TO_T12M_EBITDA",$B30+1,$B30+1))),E31))</f>
        <v>0</v>
      </c>
      <c r="F30" s="561">
        <f ca="1">(IFERROR(IFERROR(VALUE(_xll.BDH(F$4,"CURRENT_EV_TO_T12M_EBITDA",$B30,$B30)),VALUE(_xll.BDH(F$4,"CURRENT_EV_TO_T12M_EBITDA",$B30+1,$B30+1))),F31))</f>
        <v>0</v>
      </c>
      <c r="G30" s="561">
        <f ca="1">(IFERROR(IFERROR(VALUE(_xll.BDH(G$4,"CURRENT_EV_TO_T12M_EBITDA",$B30,$B30)),VALUE(_xll.BDH(G$4,"CURRENT_EV_TO_T12M_EBITDA",$B30+1,$B30+1))),G31))</f>
        <v>0</v>
      </c>
      <c r="H30" s="561">
        <f ca="1">(IFERROR(IFERROR(VALUE(_xll.BDH(H$4,"CURRENT_EV_TO_T12M_EBITDA",$B30,$B30)),VALUE(_xll.BDH(H$4,"CURRENT_EV_TO_T12M_EBITDA",$B30+1,$B30+1))),H31))</f>
        <v>0</v>
      </c>
      <c r="I30" s="565">
        <f t="shared" ca="1" si="3"/>
        <v>45770</v>
      </c>
      <c r="J30" s="561">
        <f ca="1">(IFERROR(IFERROR(VALUE(_xll.BDH(J$4,"PE_RATIO",$B30,$B30)),VALUE(_xll.BDH(J$4,"PE_RATIO",$B30+1,$B30+1))),J31))</f>
        <v>0</v>
      </c>
      <c r="K30" s="561">
        <f ca="1">(IFERROR(IFERROR(VALUE(_xll.BDH(K$4,"PE_RATIO",$B30,$B30)),VALUE(_xll.BDH(K$4,"PE_RATIO",$B30+1,$B30+1))),K31))</f>
        <v>0</v>
      </c>
      <c r="L30" s="561">
        <f ca="1">(IFERROR(IFERROR(VALUE(_xll.BDH(L$4,"PE_RATIO",$B30,$B30)),VALUE(_xll.BDH(L$4,"PE_RATIO",$B30+1,$B30+1))),L31))</f>
        <v>0</v>
      </c>
      <c r="M30" s="561">
        <f ca="1">(IFERROR(IFERROR(VALUE(_xll.BDH(M$4,"PE_RATIO",$B30,$B30)),VALUE(_xll.BDH(M$4,"PE_RATIO",$B30+1,$B30+1))),M31))</f>
        <v>0</v>
      </c>
      <c r="N30" s="561">
        <f ca="1">(IFERROR(IFERROR(VALUE(_xll.BDH(N$4,"PE_RATIO",$B30,$B30)),VALUE(_xll.BDH(N$4,"PE_RATIO",$B30+1,$B30+1))),N31))</f>
        <v>0</v>
      </c>
      <c r="O30" s="561">
        <f ca="1">(IFERROR(IFERROR(VALUE(_xll.BDH(O$4,"PE_RATIO",$B30,$B30)),VALUE(_xll.BDH(O$4,"PE_RATIO",$B30+1,$B30+1))),O31))</f>
        <v>0</v>
      </c>
      <c r="P30" s="561"/>
      <c r="Q30" s="565">
        <f t="shared" ca="1" si="4"/>
        <v>45770</v>
      </c>
      <c r="R30" s="4">
        <v>153.44</v>
      </c>
      <c r="S30" s="4">
        <v>19483.36</v>
      </c>
      <c r="T30" s="4">
        <v>1168.8800000000001</v>
      </c>
      <c r="U30" s="4">
        <v>1.237519154770546</v>
      </c>
      <c r="V30" s="4">
        <v>1.7285124315212812</v>
      </c>
      <c r="W30" s="4">
        <v>1.5749703567963784</v>
      </c>
      <c r="Y30" s="561">
        <f t="shared" si="5"/>
        <v>153.44</v>
      </c>
      <c r="Z30" s="4">
        <f ca="1">IFERROR(VALUE(_xll.BDH(Z$4,"PX_LAST",$Q30,$Q30)),Z31)</f>
        <v>0</v>
      </c>
      <c r="AA30" s="4">
        <f ca="1">IFERROR(VALUE(_xll.BDH(AA$4,"PX_LAST",$Q30,$Q30)),AA31)</f>
        <v>0</v>
      </c>
      <c r="AB30" s="4">
        <f ca="1">IFERROR(VALUE(_xll.BDH(AB$4,"PX_LAST",$Q30,$Q30)),AB31)</f>
        <v>0</v>
      </c>
      <c r="AC30" s="4">
        <f ca="1">IFERROR(VALUE(_xll.BDH(AC$4,"PX_LAST",$Q30,$Q30)),AC31)</f>
        <v>0</v>
      </c>
      <c r="AD30" s="4">
        <f ca="1">IFERROR(VALUE(_xll.BDH(AD$4,"PX_LAST",$Q30,$Q30)),AD31)</f>
        <v>0</v>
      </c>
      <c r="AF30" s="4">
        <f t="shared" si="6"/>
        <v>1.237519154770546</v>
      </c>
      <c r="AG30" s="4" t="e">
        <f t="shared" ca="1" si="7"/>
        <v>#DIV/0!</v>
      </c>
      <c r="AH30" s="4" t="e">
        <f t="shared" ca="1" si="8"/>
        <v>#DIV/0!</v>
      </c>
      <c r="AI30" s="4" t="e">
        <f t="shared" ca="1" si="9"/>
        <v>#DIV/0!</v>
      </c>
      <c r="AJ30" s="4" t="e">
        <f t="shared" ca="1" si="10"/>
        <v>#DIV/0!</v>
      </c>
      <c r="AK30" s="4" t="e">
        <f t="shared" ca="1" si="11"/>
        <v>#DIV/0!</v>
      </c>
      <c r="AM30" s="563">
        <f t="shared" ca="1" si="12"/>
        <v>45919</v>
      </c>
      <c r="AN30" s="564">
        <v>134.22999999999999</v>
      </c>
      <c r="AO30" s="564">
        <v>1118518</v>
      </c>
      <c r="AP30" s="564">
        <v>50682.385999999999</v>
      </c>
      <c r="AQ30" s="564">
        <v>6803096.6727799997</v>
      </c>
      <c r="AR30" s="564">
        <v>1.8671</v>
      </c>
    </row>
    <row r="31" spans="2:44">
      <c r="B31" s="565">
        <f t="shared" ca="1" si="13"/>
        <v>45763</v>
      </c>
      <c r="C31" s="561">
        <f ca="1">(IFERROR(IFERROR(VALUE(_xll.BDH(C$4,"CURRENT_EV_TO_T12M_EBITDA",$B31,$B31)),VALUE(_xll.BDH(C$4,"CURRENT_EV_TO_T12M_EBITDA",$B31+1,$B31+1))),C32))</f>
        <v>0</v>
      </c>
      <c r="D31" s="561">
        <f ca="1">(IFERROR(IFERROR(VALUE(_xll.BDH(D$4,"CURRENT_EV_TO_T12M_EBITDA",$B31,$B31)),VALUE(_xll.BDH(D$4,"CURRENT_EV_TO_T12M_EBITDA",$B31+1,$B31+1))),D32))</f>
        <v>0</v>
      </c>
      <c r="E31" s="561">
        <f ca="1">(IFERROR(IFERROR(VALUE(_xll.BDH(E$4,"CURRENT_EV_TO_T12M_EBITDA",$B31,$B31)),VALUE(_xll.BDH(E$4,"CURRENT_EV_TO_T12M_EBITDA",$B31+1,$B31+1))),E32))</f>
        <v>0</v>
      </c>
      <c r="F31" s="561">
        <f ca="1">(IFERROR(IFERROR(VALUE(_xll.BDH(F$4,"CURRENT_EV_TO_T12M_EBITDA",$B31,$B31)),VALUE(_xll.BDH(F$4,"CURRENT_EV_TO_T12M_EBITDA",$B31+1,$B31+1))),F32))</f>
        <v>0</v>
      </c>
      <c r="G31" s="561">
        <f ca="1">(IFERROR(IFERROR(VALUE(_xll.BDH(G$4,"CURRENT_EV_TO_T12M_EBITDA",$B31,$B31)),VALUE(_xll.BDH(G$4,"CURRENT_EV_TO_T12M_EBITDA",$B31+1,$B31+1))),G32))</f>
        <v>0</v>
      </c>
      <c r="H31" s="561">
        <f ca="1">(IFERROR(IFERROR(VALUE(_xll.BDH(H$4,"CURRENT_EV_TO_T12M_EBITDA",$B31,$B31)),VALUE(_xll.BDH(H$4,"CURRENT_EV_TO_T12M_EBITDA",$B31+1,$B31+1))),H32))</f>
        <v>0</v>
      </c>
      <c r="I31" s="565">
        <f t="shared" ca="1" si="3"/>
        <v>45763</v>
      </c>
      <c r="J31" s="561">
        <f ca="1">(IFERROR(IFERROR(VALUE(_xll.BDH(J$4,"PE_RATIO",$B31,$B31)),VALUE(_xll.BDH(J$4,"PE_RATIO",$B31+1,$B31+1))),J32))</f>
        <v>0</v>
      </c>
      <c r="K31" s="561">
        <f ca="1">(IFERROR(IFERROR(VALUE(_xll.BDH(K$4,"PE_RATIO",$B31,$B31)),VALUE(_xll.BDH(K$4,"PE_RATIO",$B31+1,$B31+1))),K32))</f>
        <v>0</v>
      </c>
      <c r="L31" s="561">
        <f ca="1">(IFERROR(IFERROR(VALUE(_xll.BDH(L$4,"PE_RATIO",$B31,$B31)),VALUE(_xll.BDH(L$4,"PE_RATIO",$B31+1,$B31+1))),L32))</f>
        <v>0</v>
      </c>
      <c r="M31" s="561">
        <f ca="1">(IFERROR(IFERROR(VALUE(_xll.BDH(M$4,"PE_RATIO",$B31,$B31)),VALUE(_xll.BDH(M$4,"PE_RATIO",$B31+1,$B31+1))),M32))</f>
        <v>0</v>
      </c>
      <c r="N31" s="561">
        <f ca="1">(IFERROR(IFERROR(VALUE(_xll.BDH(N$4,"PE_RATIO",$B31,$B31)),VALUE(_xll.BDH(N$4,"PE_RATIO",$B31+1,$B31+1))),N32))</f>
        <v>0</v>
      </c>
      <c r="O31" s="561">
        <f ca="1">(IFERROR(IFERROR(VALUE(_xll.BDH(O$4,"PE_RATIO",$B31,$B31)),VALUE(_xll.BDH(O$4,"PE_RATIO",$B31+1,$B31+1))),O32))</f>
        <v>0</v>
      </c>
      <c r="P31" s="561"/>
      <c r="Q31" s="565">
        <f t="shared" ca="1" si="4"/>
        <v>45763</v>
      </c>
      <c r="R31" s="4">
        <v>155.16999999999999</v>
      </c>
      <c r="S31" s="4">
        <v>19376.96</v>
      </c>
      <c r="T31" s="4">
        <v>1172.8</v>
      </c>
      <c r="U31" s="4">
        <v>1.2514718928945883</v>
      </c>
      <c r="V31" s="4">
        <v>1.7190729034976822</v>
      </c>
      <c r="W31" s="4">
        <v>1.5802522367144551</v>
      </c>
      <c r="Y31" s="561">
        <f t="shared" si="5"/>
        <v>155.16999999999999</v>
      </c>
      <c r="Z31" s="4">
        <f ca="1">IFERROR(VALUE(_xll.BDH(Z$4,"PX_LAST",$Q31,$Q31)),Z32)</f>
        <v>0</v>
      </c>
      <c r="AA31" s="4">
        <f ca="1">IFERROR(VALUE(_xll.BDH(AA$4,"PX_LAST",$Q31,$Q31)),AA32)</f>
        <v>0</v>
      </c>
      <c r="AB31" s="4">
        <f ca="1">IFERROR(VALUE(_xll.BDH(AB$4,"PX_LAST",$Q31,$Q31)),AB32)</f>
        <v>0</v>
      </c>
      <c r="AC31" s="4">
        <f ca="1">IFERROR(VALUE(_xll.BDH(AC$4,"PX_LAST",$Q31,$Q31)),AC32)</f>
        <v>0</v>
      </c>
      <c r="AD31" s="4">
        <f ca="1">IFERROR(VALUE(_xll.BDH(AD$4,"PX_LAST",$Q31,$Q31)),AD32)</f>
        <v>0</v>
      </c>
      <c r="AF31" s="4">
        <f t="shared" si="6"/>
        <v>1.2514718928945883</v>
      </c>
      <c r="AG31" s="4" t="e">
        <f t="shared" ca="1" si="7"/>
        <v>#DIV/0!</v>
      </c>
      <c r="AH31" s="4" t="e">
        <f t="shared" ca="1" si="8"/>
        <v>#DIV/0!</v>
      </c>
      <c r="AI31" s="4" t="e">
        <f t="shared" ca="1" si="9"/>
        <v>#DIV/0!</v>
      </c>
      <c r="AJ31" s="4" t="e">
        <f t="shared" ca="1" si="10"/>
        <v>#DIV/0!</v>
      </c>
      <c r="AK31" s="4" t="e">
        <f t="shared" ca="1" si="11"/>
        <v>#DIV/0!</v>
      </c>
      <c r="AM31" s="563">
        <f t="shared" ca="1" si="12"/>
        <v>45918</v>
      </c>
      <c r="AN31" s="564">
        <v>137.97999999999999</v>
      </c>
      <c r="AO31" s="564">
        <v>1465062</v>
      </c>
      <c r="AP31" s="564">
        <v>50682.385999999999</v>
      </c>
      <c r="AQ31" s="564">
        <v>6993155.6202799994</v>
      </c>
      <c r="AR31" s="564">
        <v>1.9192</v>
      </c>
    </row>
    <row r="32" spans="2:44">
      <c r="B32" s="565">
        <f t="shared" ca="1" si="13"/>
        <v>45756</v>
      </c>
      <c r="C32" s="561">
        <f ca="1">(IFERROR(IFERROR(VALUE(_xll.BDH(C$4,"CURRENT_EV_TO_T12M_EBITDA",$B32,$B32)),VALUE(_xll.BDH(C$4,"CURRENT_EV_TO_T12M_EBITDA",$B32+1,$B32+1))),C33))</f>
        <v>0</v>
      </c>
      <c r="D32" s="561">
        <f ca="1">(IFERROR(IFERROR(VALUE(_xll.BDH(D$4,"CURRENT_EV_TO_T12M_EBITDA",$B32,$B32)),VALUE(_xll.BDH(D$4,"CURRENT_EV_TO_T12M_EBITDA",$B32+1,$B32+1))),D33))</f>
        <v>0</v>
      </c>
      <c r="E32" s="561">
        <f ca="1">(IFERROR(IFERROR(VALUE(_xll.BDH(E$4,"CURRENT_EV_TO_T12M_EBITDA",$B32,$B32)),VALUE(_xll.BDH(E$4,"CURRENT_EV_TO_T12M_EBITDA",$B32+1,$B32+1))),E33))</f>
        <v>0</v>
      </c>
      <c r="F32" s="561">
        <f ca="1">(IFERROR(IFERROR(VALUE(_xll.BDH(F$4,"CURRENT_EV_TO_T12M_EBITDA",$B32,$B32)),VALUE(_xll.BDH(F$4,"CURRENT_EV_TO_T12M_EBITDA",$B32+1,$B32+1))),F33))</f>
        <v>0</v>
      </c>
      <c r="G32" s="561">
        <f ca="1">(IFERROR(IFERROR(VALUE(_xll.BDH(G$4,"CURRENT_EV_TO_T12M_EBITDA",$B32,$B32)),VALUE(_xll.BDH(G$4,"CURRENT_EV_TO_T12M_EBITDA",$B32+1,$B32+1))),G33))</f>
        <v>0</v>
      </c>
      <c r="H32" s="561">
        <f ca="1">(IFERROR(IFERROR(VALUE(_xll.BDH(H$4,"CURRENT_EV_TO_T12M_EBITDA",$B32,$B32)),VALUE(_xll.BDH(H$4,"CURRENT_EV_TO_T12M_EBITDA",$B32+1,$B32+1))),H33))</f>
        <v>0</v>
      </c>
      <c r="I32" s="565">
        <f t="shared" ca="1" si="3"/>
        <v>45756</v>
      </c>
      <c r="J32" s="561">
        <f ca="1">(IFERROR(IFERROR(VALUE(_xll.BDH(J$4,"PE_RATIO",$B32,$B32)),VALUE(_xll.BDH(J$4,"PE_RATIO",$B32+1,$B32+1))),J33))</f>
        <v>0</v>
      </c>
      <c r="K32" s="561">
        <f ca="1">(IFERROR(IFERROR(VALUE(_xll.BDH(K$4,"PE_RATIO",$B32,$B32)),VALUE(_xll.BDH(K$4,"PE_RATIO",$B32+1,$B32+1))),K33))</f>
        <v>0</v>
      </c>
      <c r="L32" s="561">
        <f ca="1">(IFERROR(IFERROR(VALUE(_xll.BDH(L$4,"PE_RATIO",$B32,$B32)),VALUE(_xll.BDH(L$4,"PE_RATIO",$B32+1,$B32+1))),L33))</f>
        <v>0</v>
      </c>
      <c r="M32" s="561">
        <f ca="1">(IFERROR(IFERROR(VALUE(_xll.BDH(M$4,"PE_RATIO",$B32,$B32)),VALUE(_xll.BDH(M$4,"PE_RATIO",$B32+1,$B32+1))),M33))</f>
        <v>0</v>
      </c>
      <c r="N32" s="561">
        <f ca="1">(IFERROR(IFERROR(VALUE(_xll.BDH(N$4,"PE_RATIO",$B32,$B32)),VALUE(_xll.BDH(N$4,"PE_RATIO",$B32+1,$B32+1))),N33))</f>
        <v>0</v>
      </c>
      <c r="O32" s="561">
        <f ca="1">(IFERROR(IFERROR(VALUE(_xll.BDH(O$4,"PE_RATIO",$B32,$B32)),VALUE(_xll.BDH(O$4,"PE_RATIO",$B32+1,$B32+1))),O33))</f>
        <v>0</v>
      </c>
      <c r="P32" s="561"/>
      <c r="Q32" s="565">
        <f t="shared" ca="1" si="4"/>
        <v>45756</v>
      </c>
      <c r="R32" s="4">
        <v>159.04</v>
      </c>
      <c r="S32" s="4">
        <v>20352.53</v>
      </c>
      <c r="T32" s="4">
        <v>1182.3399999999999</v>
      </c>
      <c r="U32" s="4">
        <v>1.2826840874264054</v>
      </c>
      <c r="V32" s="4">
        <v>1.8056229068245835</v>
      </c>
      <c r="W32" s="4">
        <v>1.593106607739571</v>
      </c>
      <c r="Y32" s="561">
        <f t="shared" si="5"/>
        <v>159.04</v>
      </c>
      <c r="Z32" s="4">
        <f ca="1">IFERROR(VALUE(_xll.BDH(Z$4,"PX_LAST",$Q32,$Q32)),Z33)</f>
        <v>0</v>
      </c>
      <c r="AA32" s="4">
        <f ca="1">IFERROR(VALUE(_xll.BDH(AA$4,"PX_LAST",$Q32,$Q32)),AA33)</f>
        <v>0</v>
      </c>
      <c r="AB32" s="4">
        <f ca="1">IFERROR(VALUE(_xll.BDH(AB$4,"PX_LAST",$Q32,$Q32)),AB33)</f>
        <v>0</v>
      </c>
      <c r="AC32" s="4">
        <f ca="1">IFERROR(VALUE(_xll.BDH(AC$4,"PX_LAST",$Q32,$Q32)),AC33)</f>
        <v>0</v>
      </c>
      <c r="AD32" s="4">
        <f ca="1">IFERROR(VALUE(_xll.BDH(AD$4,"PX_LAST",$Q32,$Q32)),AD33)</f>
        <v>0</v>
      </c>
      <c r="AF32" s="4">
        <f t="shared" si="6"/>
        <v>1.2826840874264054</v>
      </c>
      <c r="AG32" s="4" t="e">
        <f t="shared" ca="1" si="7"/>
        <v>#DIV/0!</v>
      </c>
      <c r="AH32" s="4" t="e">
        <f t="shared" ca="1" si="8"/>
        <v>#DIV/0!</v>
      </c>
      <c r="AI32" s="4" t="e">
        <f t="shared" ca="1" si="9"/>
        <v>#DIV/0!</v>
      </c>
      <c r="AJ32" s="4" t="e">
        <f t="shared" ca="1" si="10"/>
        <v>#DIV/0!</v>
      </c>
      <c r="AK32" s="4" t="e">
        <f t="shared" ca="1" si="11"/>
        <v>#DIV/0!</v>
      </c>
      <c r="AM32" s="563">
        <f t="shared" ca="1" si="12"/>
        <v>45917</v>
      </c>
      <c r="AN32" s="564">
        <v>130.31</v>
      </c>
      <c r="AO32" s="564">
        <v>2245991</v>
      </c>
      <c r="AP32" s="564">
        <v>50682.385999999999</v>
      </c>
      <c r="AQ32" s="564">
        <v>6604421.7196599999</v>
      </c>
      <c r="AR32" s="564">
        <v>1.8125</v>
      </c>
    </row>
    <row r="33" spans="2:44">
      <c r="B33" s="565">
        <f t="shared" ca="1" si="13"/>
        <v>45749</v>
      </c>
      <c r="C33" s="561">
        <f ca="1">(IFERROR(IFERROR(VALUE(_xll.BDH(C$4,"CURRENT_EV_TO_T12M_EBITDA",$B33,$B33)),VALUE(_xll.BDH(C$4,"CURRENT_EV_TO_T12M_EBITDA",$B33+1,$B33+1))),C34))</f>
        <v>0</v>
      </c>
      <c r="D33" s="561">
        <f ca="1">(IFERROR(IFERROR(VALUE(_xll.BDH(D$4,"CURRENT_EV_TO_T12M_EBITDA",$B33,$B33)),VALUE(_xll.BDH(D$4,"CURRENT_EV_TO_T12M_EBITDA",$B33+1,$B33+1))),D34))</f>
        <v>0</v>
      </c>
      <c r="E33" s="561">
        <f ca="1">(IFERROR(IFERROR(VALUE(_xll.BDH(E$4,"CURRENT_EV_TO_T12M_EBITDA",$B33,$B33)),VALUE(_xll.BDH(E$4,"CURRENT_EV_TO_T12M_EBITDA",$B33+1,$B33+1))),E34))</f>
        <v>0</v>
      </c>
      <c r="F33" s="561">
        <f ca="1">(IFERROR(IFERROR(VALUE(_xll.BDH(F$4,"CURRENT_EV_TO_T12M_EBITDA",$B33,$B33)),VALUE(_xll.BDH(F$4,"CURRENT_EV_TO_T12M_EBITDA",$B33+1,$B33+1))),F34))</f>
        <v>0</v>
      </c>
      <c r="G33" s="561">
        <f ca="1">(IFERROR(IFERROR(VALUE(_xll.BDH(G$4,"CURRENT_EV_TO_T12M_EBITDA",$B33,$B33)),VALUE(_xll.BDH(G$4,"CURRENT_EV_TO_T12M_EBITDA",$B33+1,$B33+1))),G34))</f>
        <v>0</v>
      </c>
      <c r="H33" s="561">
        <f ca="1">(IFERROR(IFERROR(VALUE(_xll.BDH(H$4,"CURRENT_EV_TO_T12M_EBITDA",$B33,$B33)),VALUE(_xll.BDH(H$4,"CURRENT_EV_TO_T12M_EBITDA",$B33+1,$B33+1))),H34))</f>
        <v>0</v>
      </c>
      <c r="I33" s="565">
        <f t="shared" ca="1" si="3"/>
        <v>45749</v>
      </c>
      <c r="J33" s="561">
        <f ca="1">(IFERROR(IFERROR(VALUE(_xll.BDH(J$4,"PE_RATIO",$B33,$B33)),VALUE(_xll.BDH(J$4,"PE_RATIO",$B33+1,$B33+1))),J34))</f>
        <v>0</v>
      </c>
      <c r="K33" s="561">
        <f ca="1">(IFERROR(IFERROR(VALUE(_xll.BDH(K$4,"PE_RATIO",$B33,$B33)),VALUE(_xll.BDH(K$4,"PE_RATIO",$B33+1,$B33+1))),K34))</f>
        <v>0</v>
      </c>
      <c r="L33" s="561">
        <f ca="1">(IFERROR(IFERROR(VALUE(_xll.BDH(L$4,"PE_RATIO",$B33,$B33)),VALUE(_xll.BDH(L$4,"PE_RATIO",$B33+1,$B33+1))),L34))</f>
        <v>0</v>
      </c>
      <c r="M33" s="561">
        <f ca="1">(IFERROR(IFERROR(VALUE(_xll.BDH(M$4,"PE_RATIO",$B33,$B33)),VALUE(_xll.BDH(M$4,"PE_RATIO",$B33+1,$B33+1))),M34))</f>
        <v>0</v>
      </c>
      <c r="N33" s="561">
        <f ca="1">(IFERROR(IFERROR(VALUE(_xll.BDH(N$4,"PE_RATIO",$B33,$B33)),VALUE(_xll.BDH(N$4,"PE_RATIO",$B33+1,$B33+1))),N34))</f>
        <v>0</v>
      </c>
      <c r="O33" s="561">
        <f ca="1">(IFERROR(IFERROR(VALUE(_xll.BDH(O$4,"PE_RATIO",$B33,$B33)),VALUE(_xll.BDH(O$4,"PE_RATIO",$B33+1,$B33+1))),O34))</f>
        <v>0</v>
      </c>
      <c r="P33" s="561"/>
      <c r="Q33" s="565">
        <f t="shared" ca="1" si="4"/>
        <v>45749</v>
      </c>
      <c r="R33" s="4">
        <v>169.25</v>
      </c>
      <c r="S33" s="4">
        <v>21087.25</v>
      </c>
      <c r="T33" s="4">
        <v>1230.6400000000001</v>
      </c>
      <c r="U33" s="4">
        <v>1.3650294378578918</v>
      </c>
      <c r="V33" s="4">
        <v>1.8708053319138553</v>
      </c>
      <c r="W33" s="4">
        <v>1.6581869138730194</v>
      </c>
      <c r="Y33" s="561">
        <f t="shared" si="5"/>
        <v>169.25</v>
      </c>
      <c r="Z33" s="4">
        <f ca="1">IFERROR(VALUE(_xll.BDH(Z$4,"PX_LAST",$Q33,$Q33)),Z34)</f>
        <v>0</v>
      </c>
      <c r="AA33" s="4">
        <f ca="1">IFERROR(VALUE(_xll.BDH(AA$4,"PX_LAST",$Q33,$Q33)),AA34)</f>
        <v>0</v>
      </c>
      <c r="AB33" s="4">
        <f ca="1">IFERROR(VALUE(_xll.BDH(AB$4,"PX_LAST",$Q33,$Q33)),AB34)</f>
        <v>0</v>
      </c>
      <c r="AC33" s="4">
        <f ca="1">IFERROR(VALUE(_xll.BDH(AC$4,"PX_LAST",$Q33,$Q33)),AC34)</f>
        <v>0</v>
      </c>
      <c r="AD33" s="4">
        <f ca="1">IFERROR(VALUE(_xll.BDH(AD$4,"PX_LAST",$Q33,$Q33)),AD34)</f>
        <v>0</v>
      </c>
      <c r="AF33" s="4">
        <f t="shared" si="6"/>
        <v>1.3650294378578918</v>
      </c>
      <c r="AG33" s="4" t="e">
        <f t="shared" ca="1" si="7"/>
        <v>#DIV/0!</v>
      </c>
      <c r="AH33" s="4" t="e">
        <f t="shared" ca="1" si="8"/>
        <v>#DIV/0!</v>
      </c>
      <c r="AI33" s="4" t="e">
        <f t="shared" ca="1" si="9"/>
        <v>#DIV/0!</v>
      </c>
      <c r="AJ33" s="4" t="e">
        <f t="shared" ca="1" si="10"/>
        <v>#DIV/0!</v>
      </c>
      <c r="AK33" s="4" t="e">
        <f t="shared" ca="1" si="11"/>
        <v>#DIV/0!</v>
      </c>
      <c r="AM33" s="563">
        <f t="shared" ca="1" si="12"/>
        <v>45916</v>
      </c>
      <c r="AN33" s="564">
        <v>119.99</v>
      </c>
      <c r="AO33" s="564">
        <v>1230898</v>
      </c>
      <c r="AP33" s="564">
        <v>50682.385999999999</v>
      </c>
      <c r="AQ33" s="564">
        <v>6081379.4961399995</v>
      </c>
      <c r="AR33" s="564">
        <v>1.669</v>
      </c>
    </row>
    <row r="34" spans="2:44">
      <c r="B34" s="565">
        <f t="shared" ca="1" si="13"/>
        <v>45742</v>
      </c>
      <c r="C34" s="561">
        <f ca="1">(IFERROR(IFERROR(VALUE(_xll.BDH(C$4,"CURRENT_EV_TO_T12M_EBITDA",$B34,$B34)),VALUE(_xll.BDH(C$4,"CURRENT_EV_TO_T12M_EBITDA",$B34+1,$B34+1))),C35))</f>
        <v>0</v>
      </c>
      <c r="D34" s="561">
        <f ca="1">(IFERROR(IFERROR(VALUE(_xll.BDH(D$4,"CURRENT_EV_TO_T12M_EBITDA",$B34,$B34)),VALUE(_xll.BDH(D$4,"CURRENT_EV_TO_T12M_EBITDA",$B34+1,$B34+1))),D35))</f>
        <v>0</v>
      </c>
      <c r="E34" s="561">
        <f ca="1">(IFERROR(IFERROR(VALUE(_xll.BDH(E$4,"CURRENT_EV_TO_T12M_EBITDA",$B34,$B34)),VALUE(_xll.BDH(E$4,"CURRENT_EV_TO_T12M_EBITDA",$B34+1,$B34+1))),E35))</f>
        <v>0</v>
      </c>
      <c r="F34" s="561">
        <f ca="1">(IFERROR(IFERROR(VALUE(_xll.BDH(F$4,"CURRENT_EV_TO_T12M_EBITDA",$B34,$B34)),VALUE(_xll.BDH(F$4,"CURRENT_EV_TO_T12M_EBITDA",$B34+1,$B34+1))),F35))</f>
        <v>0</v>
      </c>
      <c r="G34" s="561">
        <f ca="1">(IFERROR(IFERROR(VALUE(_xll.BDH(G$4,"CURRENT_EV_TO_T12M_EBITDA",$B34,$B34)),VALUE(_xll.BDH(G$4,"CURRENT_EV_TO_T12M_EBITDA",$B34+1,$B34+1))),G35))</f>
        <v>0</v>
      </c>
      <c r="H34" s="561">
        <f ca="1">(IFERROR(IFERROR(VALUE(_xll.BDH(H$4,"CURRENT_EV_TO_T12M_EBITDA",$B34,$B34)),VALUE(_xll.BDH(H$4,"CURRENT_EV_TO_T12M_EBITDA",$B34+1,$B34+1))),H35))</f>
        <v>0</v>
      </c>
      <c r="I34" s="565">
        <f t="shared" ca="1" si="3"/>
        <v>45742</v>
      </c>
      <c r="J34" s="561">
        <f ca="1">(IFERROR(IFERROR(VALUE(_xll.BDH(J$4,"PE_RATIO",$B34,$B34)),VALUE(_xll.BDH(J$4,"PE_RATIO",$B34+1,$B34+1))),J35))</f>
        <v>0</v>
      </c>
      <c r="K34" s="561">
        <f ca="1">(IFERROR(IFERROR(VALUE(_xll.BDH(K$4,"PE_RATIO",$B34,$B34)),VALUE(_xll.BDH(K$4,"PE_RATIO",$B34+1,$B34+1))),K35))</f>
        <v>0</v>
      </c>
      <c r="L34" s="561">
        <f ca="1">(IFERROR(IFERROR(VALUE(_xll.BDH(L$4,"PE_RATIO",$B34,$B34)),VALUE(_xll.BDH(L$4,"PE_RATIO",$B34+1,$B34+1))),L35))</f>
        <v>0</v>
      </c>
      <c r="M34" s="561">
        <f ca="1">(IFERROR(IFERROR(VALUE(_xll.BDH(M$4,"PE_RATIO",$B34,$B34)),VALUE(_xll.BDH(M$4,"PE_RATIO",$B34+1,$B34+1))),M35))</f>
        <v>0</v>
      </c>
      <c r="N34" s="561">
        <f ca="1">(IFERROR(IFERROR(VALUE(_xll.BDH(N$4,"PE_RATIO",$B34,$B34)),VALUE(_xll.BDH(N$4,"PE_RATIO",$B34+1,$B34+1))),N35))</f>
        <v>0</v>
      </c>
      <c r="O34" s="561">
        <f ca="1">(IFERROR(IFERROR(VALUE(_xll.BDH(O$4,"PE_RATIO",$B34,$B34)),VALUE(_xll.BDH(O$4,"PE_RATIO",$B34+1,$B34+1))),O35))</f>
        <v>0</v>
      </c>
      <c r="P34" s="561"/>
      <c r="Q34" s="565">
        <f t="shared" ca="1" si="4"/>
        <v>45742</v>
      </c>
      <c r="R34" s="4">
        <v>171.6</v>
      </c>
      <c r="S34" s="4">
        <v>22164.61</v>
      </c>
      <c r="T34" s="4">
        <v>1261.7</v>
      </c>
      <c r="U34" s="4">
        <v>1.3839825792402614</v>
      </c>
      <c r="V34" s="4">
        <v>1.966385876194912</v>
      </c>
      <c r="W34" s="4">
        <v>1.7000377277137007</v>
      </c>
      <c r="Y34" s="561">
        <f t="shared" si="5"/>
        <v>171.6</v>
      </c>
      <c r="Z34" s="4">
        <f ca="1">IFERROR(VALUE(_xll.BDH(Z$4,"PX_LAST",$Q34,$Q34)),Z35)</f>
        <v>0</v>
      </c>
      <c r="AA34" s="4">
        <f ca="1">IFERROR(VALUE(_xll.BDH(AA$4,"PX_LAST",$Q34,$Q34)),AA35)</f>
        <v>0</v>
      </c>
      <c r="AB34" s="4">
        <f ca="1">IFERROR(VALUE(_xll.BDH(AB$4,"PX_LAST",$Q34,$Q34)),AB35)</f>
        <v>0</v>
      </c>
      <c r="AC34" s="4">
        <f ca="1">IFERROR(VALUE(_xll.BDH(AC$4,"PX_LAST",$Q34,$Q34)),AC35)</f>
        <v>0</v>
      </c>
      <c r="AD34" s="4">
        <f ca="1">IFERROR(VALUE(_xll.BDH(AD$4,"PX_LAST",$Q34,$Q34)),AD35)</f>
        <v>0</v>
      </c>
      <c r="AF34" s="4">
        <f t="shared" si="6"/>
        <v>1.3839825792402614</v>
      </c>
      <c r="AG34" s="4" t="e">
        <f t="shared" ca="1" si="7"/>
        <v>#DIV/0!</v>
      </c>
      <c r="AH34" s="4" t="e">
        <f t="shared" ca="1" si="8"/>
        <v>#DIV/0!</v>
      </c>
      <c r="AI34" s="4" t="e">
        <f t="shared" ca="1" si="9"/>
        <v>#DIV/0!</v>
      </c>
      <c r="AJ34" s="4" t="e">
        <f t="shared" ca="1" si="10"/>
        <v>#DIV/0!</v>
      </c>
      <c r="AK34" s="4" t="e">
        <f t="shared" ca="1" si="11"/>
        <v>#DIV/0!</v>
      </c>
      <c r="AM34" s="563">
        <f t="shared" ca="1" si="12"/>
        <v>45915</v>
      </c>
      <c r="AN34" s="564">
        <v>119.71</v>
      </c>
      <c r="AO34" s="564">
        <v>1252786</v>
      </c>
      <c r="AP34" s="564">
        <v>50682.385999999999</v>
      </c>
      <c r="AQ34" s="564">
        <v>6067188.4280599998</v>
      </c>
      <c r="AR34" s="564">
        <v>1.6651</v>
      </c>
    </row>
    <row r="35" spans="2:44">
      <c r="B35" s="565">
        <f t="shared" ca="1" si="13"/>
        <v>45735</v>
      </c>
      <c r="C35" s="561">
        <f ca="1">(IFERROR(IFERROR(VALUE(_xll.BDH(C$4,"CURRENT_EV_TO_T12M_EBITDA",$B35,$B35)),VALUE(_xll.BDH(C$4,"CURRENT_EV_TO_T12M_EBITDA",$B35+1,$B35+1))),C36))</f>
        <v>0</v>
      </c>
      <c r="D35" s="561">
        <f ca="1">(IFERROR(IFERROR(VALUE(_xll.BDH(D$4,"CURRENT_EV_TO_T12M_EBITDA",$B35,$B35)),VALUE(_xll.BDH(D$4,"CURRENT_EV_TO_T12M_EBITDA",$B35+1,$B35+1))),D36))</f>
        <v>0</v>
      </c>
      <c r="E35" s="561">
        <f ca="1">(IFERROR(IFERROR(VALUE(_xll.BDH(E$4,"CURRENT_EV_TO_T12M_EBITDA",$B35,$B35)),VALUE(_xll.BDH(E$4,"CURRENT_EV_TO_T12M_EBITDA",$B35+1,$B35+1))),E36))</f>
        <v>0</v>
      </c>
      <c r="F35" s="561">
        <f ca="1">(IFERROR(IFERROR(VALUE(_xll.BDH(F$4,"CURRENT_EV_TO_T12M_EBITDA",$B35,$B35)),VALUE(_xll.BDH(F$4,"CURRENT_EV_TO_T12M_EBITDA",$B35+1,$B35+1))),F36))</f>
        <v>0</v>
      </c>
      <c r="G35" s="561">
        <f ca="1">(IFERROR(IFERROR(VALUE(_xll.BDH(G$4,"CURRENT_EV_TO_T12M_EBITDA",$B35,$B35)),VALUE(_xll.BDH(G$4,"CURRENT_EV_TO_T12M_EBITDA",$B35+1,$B35+1))),G36))</f>
        <v>0</v>
      </c>
      <c r="H35" s="561">
        <f ca="1">(IFERROR(IFERROR(VALUE(_xll.BDH(H$4,"CURRENT_EV_TO_T12M_EBITDA",$B35,$B35)),VALUE(_xll.BDH(H$4,"CURRENT_EV_TO_T12M_EBITDA",$B35+1,$B35+1))),H36))</f>
        <v>0</v>
      </c>
      <c r="I35" s="565">
        <f t="shared" ca="1" si="3"/>
        <v>45735</v>
      </c>
      <c r="J35" s="561">
        <f ca="1">(IFERROR(IFERROR(VALUE(_xll.BDH(J$4,"PE_RATIO",$B35,$B35)),VALUE(_xll.BDH(J$4,"PE_RATIO",$B35+1,$B35+1))),J36))</f>
        <v>0</v>
      </c>
      <c r="K35" s="561">
        <f ca="1">(IFERROR(IFERROR(VALUE(_xll.BDH(K$4,"PE_RATIO",$B35,$B35)),VALUE(_xll.BDH(K$4,"PE_RATIO",$B35+1,$B35+1))),K36))</f>
        <v>0</v>
      </c>
      <c r="L35" s="561">
        <f ca="1">(IFERROR(IFERROR(VALUE(_xll.BDH(L$4,"PE_RATIO",$B35,$B35)),VALUE(_xll.BDH(L$4,"PE_RATIO",$B35+1,$B35+1))),L36))</f>
        <v>0</v>
      </c>
      <c r="M35" s="561">
        <f ca="1">(IFERROR(IFERROR(VALUE(_xll.BDH(M$4,"PE_RATIO",$B35,$B35)),VALUE(_xll.BDH(M$4,"PE_RATIO",$B35+1,$B35+1))),M36))</f>
        <v>0</v>
      </c>
      <c r="N35" s="561">
        <f ca="1">(IFERROR(IFERROR(VALUE(_xll.BDH(N$4,"PE_RATIO",$B35,$B35)),VALUE(_xll.BDH(N$4,"PE_RATIO",$B35+1,$B35+1))),N36))</f>
        <v>0</v>
      </c>
      <c r="O35" s="561">
        <f ca="1">(IFERROR(IFERROR(VALUE(_xll.BDH(O$4,"PE_RATIO",$B35,$B35)),VALUE(_xll.BDH(O$4,"PE_RATIO",$B35+1,$B35+1))),O36))</f>
        <v>0</v>
      </c>
      <c r="P35" s="561"/>
      <c r="Q35" s="565">
        <f t="shared" ca="1" si="4"/>
        <v>45735</v>
      </c>
      <c r="R35" s="4">
        <v>164.52</v>
      </c>
      <c r="S35" s="4">
        <v>21693.52</v>
      </c>
      <c r="T35" s="4">
        <v>1251.1199999999999</v>
      </c>
      <c r="U35" s="4">
        <v>1.3268812000967822</v>
      </c>
      <c r="V35" s="4">
        <v>1.9245920110009538</v>
      </c>
      <c r="W35" s="4">
        <v>1.6857820416082785</v>
      </c>
      <c r="Y35" s="561">
        <f t="shared" si="5"/>
        <v>164.52</v>
      </c>
      <c r="Z35" s="4">
        <f ca="1">IFERROR(VALUE(_xll.BDH(Z$4,"PX_LAST",$Q35,$Q35)),Z36)</f>
        <v>0</v>
      </c>
      <c r="AA35" s="4">
        <f ca="1">IFERROR(VALUE(_xll.BDH(AA$4,"PX_LAST",$Q35,$Q35)),AA36)</f>
        <v>0</v>
      </c>
      <c r="AB35" s="4">
        <f ca="1">IFERROR(VALUE(_xll.BDH(AB$4,"PX_LAST",$Q35,$Q35)),AB36)</f>
        <v>0</v>
      </c>
      <c r="AC35" s="4">
        <f ca="1">IFERROR(VALUE(_xll.BDH(AC$4,"PX_LAST",$Q35,$Q35)),AC36)</f>
        <v>0</v>
      </c>
      <c r="AD35" s="4">
        <f ca="1">IFERROR(VALUE(_xll.BDH(AD$4,"PX_LAST",$Q35,$Q35)),AD36)</f>
        <v>0</v>
      </c>
      <c r="AF35" s="4">
        <f t="shared" si="6"/>
        <v>1.3268812000967822</v>
      </c>
      <c r="AG35" s="4" t="e">
        <f t="shared" ca="1" si="7"/>
        <v>#DIV/0!</v>
      </c>
      <c r="AH35" s="4" t="e">
        <f t="shared" ca="1" si="8"/>
        <v>#DIV/0!</v>
      </c>
      <c r="AI35" s="4" t="e">
        <f t="shared" ca="1" si="9"/>
        <v>#DIV/0!</v>
      </c>
      <c r="AJ35" s="4" t="e">
        <f t="shared" ca="1" si="10"/>
        <v>#DIV/0!</v>
      </c>
      <c r="AK35" s="4" t="e">
        <f t="shared" ca="1" si="11"/>
        <v>#DIV/0!</v>
      </c>
      <c r="AM35" s="563">
        <f t="shared" ca="1" si="12"/>
        <v>45914</v>
      </c>
      <c r="AN35" s="564">
        <v>119.71</v>
      </c>
      <c r="AO35" s="564">
        <v>1252786</v>
      </c>
      <c r="AP35" s="564">
        <v>50682.385999999999</v>
      </c>
      <c r="AQ35" s="564">
        <v>6067188.4280599998</v>
      </c>
      <c r="AR35" s="564">
        <v>1.6651</v>
      </c>
    </row>
    <row r="36" spans="2:44">
      <c r="B36" s="565">
        <f t="shared" ca="1" si="13"/>
        <v>45728</v>
      </c>
      <c r="C36" s="561">
        <f ca="1">(IFERROR(IFERROR(VALUE(_xll.BDH(C$4,"CURRENT_EV_TO_T12M_EBITDA",$B36,$B36)),VALUE(_xll.BDH(C$4,"CURRENT_EV_TO_T12M_EBITDA",$B36+1,$B36+1))),C37))</f>
        <v>0</v>
      </c>
      <c r="D36" s="561">
        <f ca="1">(IFERROR(IFERROR(VALUE(_xll.BDH(D$4,"CURRENT_EV_TO_T12M_EBITDA",$B36,$B36)),VALUE(_xll.BDH(D$4,"CURRENT_EV_TO_T12M_EBITDA",$B36+1,$B36+1))),D37))</f>
        <v>0</v>
      </c>
      <c r="E36" s="561">
        <f ca="1">(IFERROR(IFERROR(VALUE(_xll.BDH(E$4,"CURRENT_EV_TO_T12M_EBITDA",$B36,$B36)),VALUE(_xll.BDH(E$4,"CURRENT_EV_TO_T12M_EBITDA",$B36+1,$B36+1))),E37))</f>
        <v>0</v>
      </c>
      <c r="F36" s="561">
        <f ca="1">(IFERROR(IFERROR(VALUE(_xll.BDH(F$4,"CURRENT_EV_TO_T12M_EBITDA",$B36,$B36)),VALUE(_xll.BDH(F$4,"CURRENT_EV_TO_T12M_EBITDA",$B36+1,$B36+1))),F37))</f>
        <v>0</v>
      </c>
      <c r="G36" s="561">
        <f ca="1">(IFERROR(IFERROR(VALUE(_xll.BDH(G$4,"CURRENT_EV_TO_T12M_EBITDA",$B36,$B36)),VALUE(_xll.BDH(G$4,"CURRENT_EV_TO_T12M_EBITDA",$B36+1,$B36+1))),G37))</f>
        <v>0</v>
      </c>
      <c r="H36" s="561">
        <f ca="1">(IFERROR(IFERROR(VALUE(_xll.BDH(H$4,"CURRENT_EV_TO_T12M_EBITDA",$B36,$B36)),VALUE(_xll.BDH(H$4,"CURRENT_EV_TO_T12M_EBITDA",$B36+1,$B36+1))),H37))</f>
        <v>0</v>
      </c>
      <c r="I36" s="565">
        <f t="shared" ca="1" si="3"/>
        <v>45728</v>
      </c>
      <c r="J36" s="561">
        <f ca="1">(IFERROR(IFERROR(VALUE(_xll.BDH(J$4,"PE_RATIO",$B36,$B36)),VALUE(_xll.BDH(J$4,"PE_RATIO",$B36+1,$B36+1))),J37))</f>
        <v>0</v>
      </c>
      <c r="K36" s="561">
        <f ca="1">(IFERROR(IFERROR(VALUE(_xll.BDH(K$4,"PE_RATIO",$B36,$B36)),VALUE(_xll.BDH(K$4,"PE_RATIO",$B36+1,$B36+1))),K37))</f>
        <v>0</v>
      </c>
      <c r="L36" s="561">
        <f ca="1">(IFERROR(IFERROR(VALUE(_xll.BDH(L$4,"PE_RATIO",$B36,$B36)),VALUE(_xll.BDH(L$4,"PE_RATIO",$B36+1,$B36+1))),L37))</f>
        <v>0</v>
      </c>
      <c r="M36" s="561">
        <f ca="1">(IFERROR(IFERROR(VALUE(_xll.BDH(M$4,"PE_RATIO",$B36,$B36)),VALUE(_xll.BDH(M$4,"PE_RATIO",$B36+1,$B36+1))),M37))</f>
        <v>0</v>
      </c>
      <c r="N36" s="561">
        <f ca="1">(IFERROR(IFERROR(VALUE(_xll.BDH(N$4,"PE_RATIO",$B36,$B36)),VALUE(_xll.BDH(N$4,"PE_RATIO",$B36+1,$B36+1))),N37))</f>
        <v>0</v>
      </c>
      <c r="O36" s="561">
        <f ca="1">(IFERROR(IFERROR(VALUE(_xll.BDH(O$4,"PE_RATIO",$B36,$B36)),VALUE(_xll.BDH(O$4,"PE_RATIO",$B36+1,$B36+1))),O37))</f>
        <v>0</v>
      </c>
      <c r="P36" s="561"/>
      <c r="Q36" s="565">
        <f t="shared" ca="1" si="4"/>
        <v>45728</v>
      </c>
      <c r="R36" s="4">
        <v>169.54</v>
      </c>
      <c r="S36" s="4">
        <v>21566.92</v>
      </c>
      <c r="T36" s="4">
        <v>1253.1199999999999</v>
      </c>
      <c r="U36" s="4">
        <v>1.3673683361561415</v>
      </c>
      <c r="V36" s="4">
        <v>1.9133603921307691</v>
      </c>
      <c r="W36" s="4">
        <v>1.6884768783011748</v>
      </c>
      <c r="Y36" s="561">
        <f t="shared" si="5"/>
        <v>169.54</v>
      </c>
      <c r="Z36" s="4">
        <f ca="1">IFERROR(VALUE(_xll.BDH(Z$4,"PX_LAST",$Q36,$Q36)),Z37)</f>
        <v>0</v>
      </c>
      <c r="AA36" s="4">
        <f ca="1">IFERROR(VALUE(_xll.BDH(AA$4,"PX_LAST",$Q36,$Q36)),AA37)</f>
        <v>0</v>
      </c>
      <c r="AB36" s="4">
        <f ca="1">IFERROR(VALUE(_xll.BDH(AB$4,"PX_LAST",$Q36,$Q36)),AB37)</f>
        <v>0</v>
      </c>
      <c r="AC36" s="4">
        <f ca="1">IFERROR(VALUE(_xll.BDH(AC$4,"PX_LAST",$Q36,$Q36)),AC37)</f>
        <v>0</v>
      </c>
      <c r="AD36" s="4">
        <f ca="1">IFERROR(VALUE(_xll.BDH(AD$4,"PX_LAST",$Q36,$Q36)),AD37)</f>
        <v>0</v>
      </c>
      <c r="AF36" s="4">
        <f t="shared" si="6"/>
        <v>1.3673683361561415</v>
      </c>
      <c r="AG36" s="4" t="e">
        <f t="shared" ca="1" si="7"/>
        <v>#DIV/0!</v>
      </c>
      <c r="AH36" s="4" t="e">
        <f t="shared" ca="1" si="8"/>
        <v>#DIV/0!</v>
      </c>
      <c r="AI36" s="4" t="e">
        <f t="shared" ca="1" si="9"/>
        <v>#DIV/0!</v>
      </c>
      <c r="AJ36" s="4" t="e">
        <f t="shared" ca="1" si="10"/>
        <v>#DIV/0!</v>
      </c>
      <c r="AK36" s="4" t="e">
        <f t="shared" ca="1" si="11"/>
        <v>#DIV/0!</v>
      </c>
      <c r="AM36" s="563">
        <f t="shared" ca="1" si="12"/>
        <v>45913</v>
      </c>
      <c r="AN36" s="564">
        <v>119.71</v>
      </c>
      <c r="AO36" s="564">
        <v>1252786</v>
      </c>
      <c r="AP36" s="564">
        <v>50682.385999999999</v>
      </c>
      <c r="AQ36" s="564">
        <v>6067188.4280599998</v>
      </c>
      <c r="AR36" s="564">
        <v>1.6651</v>
      </c>
    </row>
    <row r="37" spans="2:44">
      <c r="B37" s="565">
        <f t="shared" ca="1" si="13"/>
        <v>45721</v>
      </c>
      <c r="C37" s="561">
        <f ca="1">(IFERROR(IFERROR(VALUE(_xll.BDH(C$4,"CURRENT_EV_TO_T12M_EBITDA",$B37,$B37)),VALUE(_xll.BDH(C$4,"CURRENT_EV_TO_T12M_EBITDA",$B37+1,$B37+1))),C38))</f>
        <v>0</v>
      </c>
      <c r="D37" s="561">
        <f ca="1">(IFERROR(IFERROR(VALUE(_xll.BDH(D$4,"CURRENT_EV_TO_T12M_EBITDA",$B37,$B37)),VALUE(_xll.BDH(D$4,"CURRENT_EV_TO_T12M_EBITDA",$B37+1,$B37+1))),D38))</f>
        <v>0</v>
      </c>
      <c r="E37" s="561">
        <f ca="1">(IFERROR(IFERROR(VALUE(_xll.BDH(E$4,"CURRENT_EV_TO_T12M_EBITDA",$B37,$B37)),VALUE(_xll.BDH(E$4,"CURRENT_EV_TO_T12M_EBITDA",$B37+1,$B37+1))),E38))</f>
        <v>0</v>
      </c>
      <c r="F37" s="561">
        <f ca="1">(IFERROR(IFERROR(VALUE(_xll.BDH(F$4,"CURRENT_EV_TO_T12M_EBITDA",$B37,$B37)),VALUE(_xll.BDH(F$4,"CURRENT_EV_TO_T12M_EBITDA",$B37+1,$B37+1))),F38))</f>
        <v>0</v>
      </c>
      <c r="G37" s="561">
        <f ca="1">(IFERROR(IFERROR(VALUE(_xll.BDH(G$4,"CURRENT_EV_TO_T12M_EBITDA",$B37,$B37)),VALUE(_xll.BDH(G$4,"CURRENT_EV_TO_T12M_EBITDA",$B37+1,$B37+1))),G38))</f>
        <v>0</v>
      </c>
      <c r="H37" s="561">
        <f ca="1">(IFERROR(IFERROR(VALUE(_xll.BDH(H$4,"CURRENT_EV_TO_T12M_EBITDA",$B37,$B37)),VALUE(_xll.BDH(H$4,"CURRENT_EV_TO_T12M_EBITDA",$B37+1,$B37+1))),H38))</f>
        <v>0</v>
      </c>
      <c r="I37" s="565">
        <f t="shared" ref="I37:I68" ca="1" si="14">+B37</f>
        <v>45721</v>
      </c>
      <c r="J37" s="561">
        <f ca="1">(IFERROR(IFERROR(VALUE(_xll.BDH(J$4,"PE_RATIO",$B37,$B37)),VALUE(_xll.BDH(J$4,"PE_RATIO",$B37+1,$B37+1))),J38))</f>
        <v>0</v>
      </c>
      <c r="K37" s="561">
        <f ca="1">(IFERROR(IFERROR(VALUE(_xll.BDH(K$4,"PE_RATIO",$B37,$B37)),VALUE(_xll.BDH(K$4,"PE_RATIO",$B37+1,$B37+1))),K38))</f>
        <v>0</v>
      </c>
      <c r="L37" s="561">
        <f ca="1">(IFERROR(IFERROR(VALUE(_xll.BDH(L$4,"PE_RATIO",$B37,$B37)),VALUE(_xll.BDH(L$4,"PE_RATIO",$B37+1,$B37+1))),L38))</f>
        <v>0</v>
      </c>
      <c r="M37" s="561">
        <f ca="1">(IFERROR(IFERROR(VALUE(_xll.BDH(M$4,"PE_RATIO",$B37,$B37)),VALUE(_xll.BDH(M$4,"PE_RATIO",$B37+1,$B37+1))),M38))</f>
        <v>0</v>
      </c>
      <c r="N37" s="561">
        <f ca="1">(IFERROR(IFERROR(VALUE(_xll.BDH(N$4,"PE_RATIO",$B37,$B37)),VALUE(_xll.BDH(N$4,"PE_RATIO",$B37+1,$B37+1))),N38))</f>
        <v>0</v>
      </c>
      <c r="O37" s="561">
        <f ca="1">(IFERROR(IFERROR(VALUE(_xll.BDH(O$4,"PE_RATIO",$B37,$B37)),VALUE(_xll.BDH(O$4,"PE_RATIO",$B37+1,$B37+1))),O38))</f>
        <v>0</v>
      </c>
      <c r="P37" s="561"/>
      <c r="Q37" s="565">
        <f t="shared" ref="Q37:Q68" ca="1" si="15">+I37</f>
        <v>45721</v>
      </c>
      <c r="R37" s="4">
        <v>172.89</v>
      </c>
      <c r="S37" s="4">
        <v>21463.040000000001</v>
      </c>
      <c r="T37" s="4">
        <v>1241.72</v>
      </c>
      <c r="U37" s="4">
        <v>1.3943866440842003</v>
      </c>
      <c r="V37" s="4">
        <v>1.9041444318761507</v>
      </c>
      <c r="W37" s="4">
        <v>1.6731163091516654</v>
      </c>
      <c r="Y37" s="561">
        <f t="shared" ref="Y37:Y68" si="16">+R37</f>
        <v>172.89</v>
      </c>
      <c r="Z37" s="4">
        <f ca="1">IFERROR(VALUE(_xll.BDH(Z$4,"PX_LAST",$Q37,$Q37)),Z38)</f>
        <v>0</v>
      </c>
      <c r="AA37" s="4">
        <f ca="1">IFERROR(VALUE(_xll.BDH(AA$4,"PX_LAST",$Q37,$Q37)),AA38)</f>
        <v>0</v>
      </c>
      <c r="AB37" s="4">
        <f ca="1">IFERROR(VALUE(_xll.BDH(AB$4,"PX_LAST",$Q37,$Q37)),AB38)</f>
        <v>0</v>
      </c>
      <c r="AC37" s="4">
        <f ca="1">IFERROR(VALUE(_xll.BDH(AC$4,"PX_LAST",$Q37,$Q37)),AC38)</f>
        <v>0</v>
      </c>
      <c r="AD37" s="4">
        <f ca="1">IFERROR(VALUE(_xll.BDH(AD$4,"PX_LAST",$Q37,$Q37)),AD38)</f>
        <v>0</v>
      </c>
      <c r="AF37" s="4">
        <f t="shared" ref="AF37:AF68" si="17">+Y37/Y$159</f>
        <v>1.3943866440842003</v>
      </c>
      <c r="AG37" s="4" t="e">
        <f t="shared" ref="AG37:AG68" ca="1" si="18">+Z37/Z$159</f>
        <v>#DIV/0!</v>
      </c>
      <c r="AH37" s="4" t="e">
        <f t="shared" ref="AH37:AH68" ca="1" si="19">+AA37/AA$159</f>
        <v>#DIV/0!</v>
      </c>
      <c r="AI37" s="4" t="e">
        <f t="shared" ref="AI37:AI68" ca="1" si="20">+AB37/AB$159</f>
        <v>#DIV/0!</v>
      </c>
      <c r="AJ37" s="4" t="e">
        <f t="shared" ref="AJ37:AJ68" ca="1" si="21">+AC37/AC$159</f>
        <v>#DIV/0!</v>
      </c>
      <c r="AK37" s="4" t="e">
        <f t="shared" ref="AK37:AK68" ca="1" si="22">+AD37/AD$159</f>
        <v>#DIV/0!</v>
      </c>
      <c r="AM37" s="563">
        <f t="shared" ca="1" si="12"/>
        <v>45912</v>
      </c>
      <c r="AN37" s="564">
        <v>120.17</v>
      </c>
      <c r="AO37" s="564">
        <v>1985581</v>
      </c>
      <c r="AP37" s="564">
        <v>53481.521000000001</v>
      </c>
      <c r="AQ37" s="564">
        <v>6426874.3785699997</v>
      </c>
      <c r="AR37" s="564">
        <v>1.6715</v>
      </c>
    </row>
    <row r="38" spans="2:44">
      <c r="B38" s="565">
        <f t="shared" ref="B38:B69" ca="1" si="23">+B37-7</f>
        <v>45714</v>
      </c>
      <c r="C38" s="561">
        <f ca="1">(IFERROR(IFERROR(VALUE(_xll.BDH(C$4,"CURRENT_EV_TO_T12M_EBITDA",$B38,$B38)),VALUE(_xll.BDH(C$4,"CURRENT_EV_TO_T12M_EBITDA",$B38+1,$B38+1))),C39))</f>
        <v>0</v>
      </c>
      <c r="D38" s="561">
        <f ca="1">(IFERROR(IFERROR(VALUE(_xll.BDH(D$4,"CURRENT_EV_TO_T12M_EBITDA",$B38,$B38)),VALUE(_xll.BDH(D$4,"CURRENT_EV_TO_T12M_EBITDA",$B38+1,$B38+1))),D39))</f>
        <v>0</v>
      </c>
      <c r="E38" s="561">
        <f ca="1">(IFERROR(IFERROR(VALUE(_xll.BDH(E$4,"CURRENT_EV_TO_T12M_EBITDA",$B38,$B38)),VALUE(_xll.BDH(E$4,"CURRENT_EV_TO_T12M_EBITDA",$B38+1,$B38+1))),E39))</f>
        <v>0</v>
      </c>
      <c r="F38" s="561">
        <f ca="1">(IFERROR(IFERROR(VALUE(_xll.BDH(F$4,"CURRENT_EV_TO_T12M_EBITDA",$B38,$B38)),VALUE(_xll.BDH(F$4,"CURRENT_EV_TO_T12M_EBITDA",$B38+1,$B38+1))),F39))</f>
        <v>0</v>
      </c>
      <c r="G38" s="561">
        <f ca="1">(IFERROR(IFERROR(VALUE(_xll.BDH(G$4,"CURRENT_EV_TO_T12M_EBITDA",$B38,$B38)),VALUE(_xll.BDH(G$4,"CURRENT_EV_TO_T12M_EBITDA",$B38+1,$B38+1))),G39))</f>
        <v>0</v>
      </c>
      <c r="H38" s="561">
        <f ca="1">(IFERROR(IFERROR(VALUE(_xll.BDH(H$4,"CURRENT_EV_TO_T12M_EBITDA",$B38,$B38)),VALUE(_xll.BDH(H$4,"CURRENT_EV_TO_T12M_EBITDA",$B38+1,$B38+1))),H39))</f>
        <v>0</v>
      </c>
      <c r="I38" s="565">
        <f t="shared" ca="1" si="14"/>
        <v>45714</v>
      </c>
      <c r="J38" s="561">
        <f ca="1">(IFERROR(IFERROR(VALUE(_xll.BDH(J$4,"PE_RATIO",$B38,$B38)),VALUE(_xll.BDH(J$4,"PE_RATIO",$B38+1,$B38+1))),J39))</f>
        <v>0</v>
      </c>
      <c r="K38" s="561">
        <f ca="1">(IFERROR(IFERROR(VALUE(_xll.BDH(K$4,"PE_RATIO",$B38,$B38)),VALUE(_xll.BDH(K$4,"PE_RATIO",$B38+1,$B38+1))),K39))</f>
        <v>0</v>
      </c>
      <c r="L38" s="561">
        <f ca="1">(IFERROR(IFERROR(VALUE(_xll.BDH(L$4,"PE_RATIO",$B38,$B38)),VALUE(_xll.BDH(L$4,"PE_RATIO",$B38+1,$B38+1))),L39))</f>
        <v>0</v>
      </c>
      <c r="M38" s="561">
        <f ca="1">(IFERROR(IFERROR(VALUE(_xll.BDH(M$4,"PE_RATIO",$B38,$B38)),VALUE(_xll.BDH(M$4,"PE_RATIO",$B38+1,$B38+1))),M39))</f>
        <v>0</v>
      </c>
      <c r="N38" s="561">
        <f ca="1">(IFERROR(IFERROR(VALUE(_xll.BDH(N$4,"PE_RATIO",$B38,$B38)),VALUE(_xll.BDH(N$4,"PE_RATIO",$B38+1,$B38+1))),N39))</f>
        <v>0</v>
      </c>
      <c r="O38" s="561">
        <f ca="1">(IFERROR(IFERROR(VALUE(_xll.BDH(O$4,"PE_RATIO",$B38,$B38)),VALUE(_xll.BDH(O$4,"PE_RATIO",$B38+1,$B38+1))),O39))</f>
        <v>0</v>
      </c>
      <c r="P38" s="561"/>
      <c r="Q38" s="565">
        <f t="shared" ca="1" si="15"/>
        <v>45714</v>
      </c>
      <c r="R38" s="4">
        <v>143.79</v>
      </c>
      <c r="S38" s="4">
        <v>21566.51</v>
      </c>
      <c r="T38" s="4">
        <v>1253.33</v>
      </c>
      <c r="U38" s="4">
        <v>1.1596902976046455</v>
      </c>
      <c r="V38" s="4">
        <v>1.9133240180096256</v>
      </c>
      <c r="W38" s="4">
        <v>1.6887598361539291</v>
      </c>
      <c r="Y38" s="561">
        <f t="shared" si="16"/>
        <v>143.79</v>
      </c>
      <c r="Z38" s="4">
        <f ca="1">IFERROR(VALUE(_xll.BDH(Z$4,"PX_LAST",$Q38,$Q38)),Z39)</f>
        <v>0</v>
      </c>
      <c r="AA38" s="4">
        <f ca="1">IFERROR(VALUE(_xll.BDH(AA$4,"PX_LAST",$Q38,$Q38)),AA39)</f>
        <v>0</v>
      </c>
      <c r="AB38" s="4">
        <f ca="1">IFERROR(VALUE(_xll.BDH(AB$4,"PX_LAST",$Q38,$Q38)),AB39)</f>
        <v>0</v>
      </c>
      <c r="AC38" s="4">
        <f ca="1">IFERROR(VALUE(_xll.BDH(AC$4,"PX_LAST",$Q38,$Q38)),AC39)</f>
        <v>0</v>
      </c>
      <c r="AD38" s="4">
        <f ca="1">IFERROR(VALUE(_xll.BDH(AD$4,"PX_LAST",$Q38,$Q38)),AD39)</f>
        <v>0</v>
      </c>
      <c r="AF38" s="4">
        <f t="shared" si="17"/>
        <v>1.1596902976046455</v>
      </c>
      <c r="AG38" s="4" t="e">
        <f t="shared" ca="1" si="18"/>
        <v>#DIV/0!</v>
      </c>
      <c r="AH38" s="4" t="e">
        <f t="shared" ca="1" si="19"/>
        <v>#DIV/0!</v>
      </c>
      <c r="AI38" s="4" t="e">
        <f t="shared" ca="1" si="20"/>
        <v>#DIV/0!</v>
      </c>
      <c r="AJ38" s="4" t="e">
        <f t="shared" ca="1" si="21"/>
        <v>#DIV/0!</v>
      </c>
      <c r="AK38" s="4" t="e">
        <f t="shared" ca="1" si="22"/>
        <v>#DIV/0!</v>
      </c>
      <c r="AM38" s="563">
        <f t="shared" ca="1" si="12"/>
        <v>45911</v>
      </c>
      <c r="AN38" s="564">
        <v>118.3</v>
      </c>
      <c r="AO38" s="564">
        <v>4885597</v>
      </c>
      <c r="AP38" s="564">
        <v>53481.521000000001</v>
      </c>
      <c r="AQ38" s="564">
        <v>6326863.9342999998</v>
      </c>
      <c r="AR38" s="564">
        <v>1.6455</v>
      </c>
    </row>
    <row r="39" spans="2:44">
      <c r="B39" s="565">
        <f t="shared" ca="1" si="23"/>
        <v>45707</v>
      </c>
      <c r="C39" s="561">
        <f ca="1">(IFERROR(IFERROR(VALUE(_xll.BDH(C$4,"CURRENT_EV_TO_T12M_EBITDA",$B39,$B39)),VALUE(_xll.BDH(C$4,"CURRENT_EV_TO_T12M_EBITDA",$B39+1,$B39+1))),C40))</f>
        <v>0</v>
      </c>
      <c r="D39" s="561">
        <f ca="1">(IFERROR(IFERROR(VALUE(_xll.BDH(D$4,"CURRENT_EV_TO_T12M_EBITDA",$B39,$B39)),VALUE(_xll.BDH(D$4,"CURRENT_EV_TO_T12M_EBITDA",$B39+1,$B39+1))),D40))</f>
        <v>0</v>
      </c>
      <c r="E39" s="561">
        <f ca="1">(IFERROR(IFERROR(VALUE(_xll.BDH(E$4,"CURRENT_EV_TO_T12M_EBITDA",$B39,$B39)),VALUE(_xll.BDH(E$4,"CURRENT_EV_TO_T12M_EBITDA",$B39+1,$B39+1))),E40))</f>
        <v>0</v>
      </c>
      <c r="F39" s="561">
        <f ca="1">(IFERROR(IFERROR(VALUE(_xll.BDH(F$4,"CURRENT_EV_TO_T12M_EBITDA",$B39,$B39)),VALUE(_xll.BDH(F$4,"CURRENT_EV_TO_T12M_EBITDA",$B39+1,$B39+1))),F40))</f>
        <v>0</v>
      </c>
      <c r="G39" s="561">
        <f ca="1">(IFERROR(IFERROR(VALUE(_xll.BDH(G$4,"CURRENT_EV_TO_T12M_EBITDA",$B39,$B39)),VALUE(_xll.BDH(G$4,"CURRENT_EV_TO_T12M_EBITDA",$B39+1,$B39+1))),G40))</f>
        <v>0</v>
      </c>
      <c r="H39" s="561">
        <f ca="1">(IFERROR(IFERROR(VALUE(_xll.BDH(H$4,"CURRENT_EV_TO_T12M_EBITDA",$B39,$B39)),VALUE(_xll.BDH(H$4,"CURRENT_EV_TO_T12M_EBITDA",$B39+1,$B39+1))),H40))</f>
        <v>0</v>
      </c>
      <c r="I39" s="565">
        <f t="shared" ca="1" si="14"/>
        <v>45707</v>
      </c>
      <c r="J39" s="561">
        <f ca="1">(IFERROR(IFERROR(VALUE(_xll.BDH(J$4,"PE_RATIO",$B39,$B39)),VALUE(_xll.BDH(J$4,"PE_RATIO",$B39+1,$B39+1))),J40))</f>
        <v>0</v>
      </c>
      <c r="K39" s="561">
        <f ca="1">(IFERROR(IFERROR(VALUE(_xll.BDH(K$4,"PE_RATIO",$B39,$B39)),VALUE(_xll.BDH(K$4,"PE_RATIO",$B39+1,$B39+1))),K40))</f>
        <v>0</v>
      </c>
      <c r="L39" s="561">
        <f ca="1">(IFERROR(IFERROR(VALUE(_xll.BDH(L$4,"PE_RATIO",$B39,$B39)),VALUE(_xll.BDH(L$4,"PE_RATIO",$B39+1,$B39+1))),L40))</f>
        <v>0</v>
      </c>
      <c r="M39" s="561">
        <f ca="1">(IFERROR(IFERROR(VALUE(_xll.BDH(M$4,"PE_RATIO",$B39,$B39)),VALUE(_xll.BDH(M$4,"PE_RATIO",$B39+1,$B39+1))),M40))</f>
        <v>0</v>
      </c>
      <c r="N39" s="561">
        <f ca="1">(IFERROR(IFERROR(VALUE(_xll.BDH(N$4,"PE_RATIO",$B39,$B39)),VALUE(_xll.BDH(N$4,"PE_RATIO",$B39+1,$B39+1))),N40))</f>
        <v>0</v>
      </c>
      <c r="O39" s="561">
        <f ca="1">(IFERROR(IFERROR(VALUE(_xll.BDH(O$4,"PE_RATIO",$B39,$B39)),VALUE(_xll.BDH(O$4,"PE_RATIO",$B39+1,$B39+1))),O40))</f>
        <v>0</v>
      </c>
      <c r="P39" s="561"/>
      <c r="Q39" s="565">
        <f t="shared" ca="1" si="15"/>
        <v>45707</v>
      </c>
      <c r="R39" s="4">
        <v>139.30000000000001</v>
      </c>
      <c r="S39" s="4">
        <v>20757.41</v>
      </c>
      <c r="T39" s="4">
        <v>1198.22</v>
      </c>
      <c r="U39" s="4">
        <v>1.1234776998145013</v>
      </c>
      <c r="V39" s="4">
        <v>1.8415427950406991</v>
      </c>
      <c r="W39" s="4">
        <v>1.6145036110811686</v>
      </c>
      <c r="Y39" s="561">
        <f t="shared" si="16"/>
        <v>139.30000000000001</v>
      </c>
      <c r="Z39" s="4">
        <f ca="1">IFERROR(VALUE(_xll.BDH(Z$4,"PX_LAST",$Q39,$Q39)),Z40)</f>
        <v>0</v>
      </c>
      <c r="AA39" s="4">
        <f ca="1">IFERROR(VALUE(_xll.BDH(AA$4,"PX_LAST",$Q39,$Q39)),AA40)</f>
        <v>0</v>
      </c>
      <c r="AB39" s="4">
        <f ca="1">IFERROR(VALUE(_xll.BDH(AB$4,"PX_LAST",$Q39,$Q39)),AB40)</f>
        <v>0</v>
      </c>
      <c r="AC39" s="4">
        <f ca="1">IFERROR(VALUE(_xll.BDH(AC$4,"PX_LAST",$Q39,$Q39)),AC40)</f>
        <v>0</v>
      </c>
      <c r="AD39" s="4">
        <f ca="1">IFERROR(VALUE(_xll.BDH(AD$4,"PX_LAST",$Q39,$Q39)),AD40)</f>
        <v>0</v>
      </c>
      <c r="AF39" s="4">
        <f t="shared" si="17"/>
        <v>1.1234776998145013</v>
      </c>
      <c r="AG39" s="4" t="e">
        <f t="shared" ca="1" si="18"/>
        <v>#DIV/0!</v>
      </c>
      <c r="AH39" s="4" t="e">
        <f t="shared" ca="1" si="19"/>
        <v>#DIV/0!</v>
      </c>
      <c r="AI39" s="4" t="e">
        <f t="shared" ca="1" si="20"/>
        <v>#DIV/0!</v>
      </c>
      <c r="AJ39" s="4" t="e">
        <f t="shared" ca="1" si="21"/>
        <v>#DIV/0!</v>
      </c>
      <c r="AK39" s="4" t="e">
        <f t="shared" ca="1" si="22"/>
        <v>#DIV/0!</v>
      </c>
      <c r="AM39" s="563">
        <f t="shared" ca="1" si="12"/>
        <v>45910</v>
      </c>
      <c r="AN39" s="564">
        <v>144.71</v>
      </c>
      <c r="AO39" s="564">
        <v>1164526</v>
      </c>
      <c r="AP39" s="564">
        <v>53481.521000000001</v>
      </c>
      <c r="AQ39" s="564">
        <v>7739310.9039100008</v>
      </c>
      <c r="AR39" s="564">
        <v>2.0127999999999999</v>
      </c>
    </row>
    <row r="40" spans="2:44">
      <c r="B40" s="565">
        <f t="shared" ca="1" si="23"/>
        <v>45700</v>
      </c>
      <c r="C40" s="561">
        <f ca="1">(IFERROR(IFERROR(VALUE(_xll.BDH(C$4,"CURRENT_EV_TO_T12M_EBITDA",$B40,$B40)),VALUE(_xll.BDH(C$4,"CURRENT_EV_TO_T12M_EBITDA",$B40+1,$B40+1))),C41))</f>
        <v>0</v>
      </c>
      <c r="D40" s="561">
        <f ca="1">(IFERROR(IFERROR(VALUE(_xll.BDH(D$4,"CURRENT_EV_TO_T12M_EBITDA",$B40,$B40)),VALUE(_xll.BDH(D$4,"CURRENT_EV_TO_T12M_EBITDA",$B40+1,$B40+1))),D41))</f>
        <v>0</v>
      </c>
      <c r="E40" s="561">
        <f ca="1">(IFERROR(IFERROR(VALUE(_xll.BDH(E$4,"CURRENT_EV_TO_T12M_EBITDA",$B40,$B40)),VALUE(_xll.BDH(E$4,"CURRENT_EV_TO_T12M_EBITDA",$B40+1,$B40+1))),E41))</f>
        <v>0</v>
      </c>
      <c r="F40" s="561">
        <f ca="1">(IFERROR(IFERROR(VALUE(_xll.BDH(F$4,"CURRENT_EV_TO_T12M_EBITDA",$B40,$B40)),VALUE(_xll.BDH(F$4,"CURRENT_EV_TO_T12M_EBITDA",$B40+1,$B40+1))),F41))</f>
        <v>0</v>
      </c>
      <c r="G40" s="561">
        <f ca="1">(IFERROR(IFERROR(VALUE(_xll.BDH(G$4,"CURRENT_EV_TO_T12M_EBITDA",$B40,$B40)),VALUE(_xll.BDH(G$4,"CURRENT_EV_TO_T12M_EBITDA",$B40+1,$B40+1))),G41))</f>
        <v>0</v>
      </c>
      <c r="H40" s="561">
        <f ca="1">(IFERROR(IFERROR(VALUE(_xll.BDH(H$4,"CURRENT_EV_TO_T12M_EBITDA",$B40,$B40)),VALUE(_xll.BDH(H$4,"CURRENT_EV_TO_T12M_EBITDA",$B40+1,$B40+1))),H41))</f>
        <v>0</v>
      </c>
      <c r="I40" s="565">
        <f t="shared" ca="1" si="14"/>
        <v>45700</v>
      </c>
      <c r="J40" s="561">
        <f ca="1">(IFERROR(IFERROR(VALUE(_xll.BDH(J$4,"PE_RATIO",$B40,$B40)),VALUE(_xll.BDH(J$4,"PE_RATIO",$B40+1,$B40+1))),J41))</f>
        <v>0</v>
      </c>
      <c r="K40" s="561">
        <f ca="1">(IFERROR(IFERROR(VALUE(_xll.BDH(K$4,"PE_RATIO",$B40,$B40)),VALUE(_xll.BDH(K$4,"PE_RATIO",$B40+1,$B40+1))),K41))</f>
        <v>0</v>
      </c>
      <c r="L40" s="561">
        <f ca="1">(IFERROR(IFERROR(VALUE(_xll.BDH(L$4,"PE_RATIO",$B40,$B40)),VALUE(_xll.BDH(L$4,"PE_RATIO",$B40+1,$B40+1))),L41))</f>
        <v>0</v>
      </c>
      <c r="M40" s="561">
        <f ca="1">(IFERROR(IFERROR(VALUE(_xll.BDH(M$4,"PE_RATIO",$B40,$B40)),VALUE(_xll.BDH(M$4,"PE_RATIO",$B40+1,$B40+1))),M41))</f>
        <v>0</v>
      </c>
      <c r="N40" s="561">
        <f ca="1">(IFERROR(IFERROR(VALUE(_xll.BDH(N$4,"PE_RATIO",$B40,$B40)),VALUE(_xll.BDH(N$4,"PE_RATIO",$B40+1,$B40+1))),N41))</f>
        <v>0</v>
      </c>
      <c r="O40" s="561">
        <f ca="1">(IFERROR(IFERROR(VALUE(_xll.BDH(O$4,"PE_RATIO",$B40,$B40)),VALUE(_xll.BDH(O$4,"PE_RATIO",$B40+1,$B40+1))),O41))</f>
        <v>0</v>
      </c>
      <c r="P40" s="561"/>
      <c r="Q40" s="565">
        <f t="shared" ca="1" si="15"/>
        <v>45700</v>
      </c>
      <c r="R40" s="4">
        <v>134.22999999999999</v>
      </c>
      <c r="S40" s="4">
        <v>21173.040000000001</v>
      </c>
      <c r="T40" s="4">
        <v>1184.02</v>
      </c>
      <c r="U40" s="4">
        <v>1.082587305427857</v>
      </c>
      <c r="V40" s="4">
        <v>1.8784163949697252</v>
      </c>
      <c r="W40" s="4">
        <v>1.595370270561604</v>
      </c>
      <c r="Y40" s="561">
        <f t="shared" si="16"/>
        <v>134.22999999999999</v>
      </c>
      <c r="Z40" s="4">
        <f ca="1">IFERROR(VALUE(_xll.BDH(Z$4,"PX_LAST",$Q40,$Q40)),Z41)</f>
        <v>0</v>
      </c>
      <c r="AA40" s="4">
        <f ca="1">IFERROR(VALUE(_xll.BDH(AA$4,"PX_LAST",$Q40,$Q40)),AA41)</f>
        <v>0</v>
      </c>
      <c r="AB40" s="4">
        <f ca="1">IFERROR(VALUE(_xll.BDH(AB$4,"PX_LAST",$Q40,$Q40)),AB41)</f>
        <v>0</v>
      </c>
      <c r="AC40" s="4">
        <f ca="1">IFERROR(VALUE(_xll.BDH(AC$4,"PX_LAST",$Q40,$Q40)),AC41)</f>
        <v>0</v>
      </c>
      <c r="AD40" s="4">
        <f ca="1">IFERROR(VALUE(_xll.BDH(AD$4,"PX_LAST",$Q40,$Q40)),AD41)</f>
        <v>0</v>
      </c>
      <c r="AF40" s="4">
        <f t="shared" si="17"/>
        <v>1.082587305427857</v>
      </c>
      <c r="AG40" s="4" t="e">
        <f t="shared" ca="1" si="18"/>
        <v>#DIV/0!</v>
      </c>
      <c r="AH40" s="4" t="e">
        <f t="shared" ca="1" si="19"/>
        <v>#DIV/0!</v>
      </c>
      <c r="AI40" s="4" t="e">
        <f t="shared" ca="1" si="20"/>
        <v>#DIV/0!</v>
      </c>
      <c r="AJ40" s="4" t="e">
        <f t="shared" ca="1" si="21"/>
        <v>#DIV/0!</v>
      </c>
      <c r="AK40" s="4" t="e">
        <f t="shared" ca="1" si="22"/>
        <v>#DIV/0!</v>
      </c>
      <c r="AM40" s="563">
        <f t="shared" ca="1" si="12"/>
        <v>45909</v>
      </c>
      <c r="AN40" s="564">
        <v>141.81</v>
      </c>
      <c r="AO40" s="564">
        <v>779228</v>
      </c>
      <c r="AP40" s="564">
        <v>53481.521000000001</v>
      </c>
      <c r="AQ40" s="564">
        <v>7584214.4930100003</v>
      </c>
      <c r="AR40" s="564">
        <v>1.9724999999999999</v>
      </c>
    </row>
    <row r="41" spans="2:44">
      <c r="B41" s="565">
        <f t="shared" ca="1" si="23"/>
        <v>45693</v>
      </c>
      <c r="C41" s="561">
        <f ca="1">(IFERROR(IFERROR(VALUE(_xll.BDH(C$4,"CURRENT_EV_TO_T12M_EBITDA",$B41,$B41)),VALUE(_xll.BDH(C$4,"CURRENT_EV_TO_T12M_EBITDA",$B41+1,$B41+1))),C42))</f>
        <v>0</v>
      </c>
      <c r="D41" s="561">
        <f ca="1">(IFERROR(IFERROR(VALUE(_xll.BDH(D$4,"CURRENT_EV_TO_T12M_EBITDA",$B41,$B41)),VALUE(_xll.BDH(D$4,"CURRENT_EV_TO_T12M_EBITDA",$B41+1,$B41+1))),D42))</f>
        <v>0</v>
      </c>
      <c r="E41" s="561">
        <f ca="1">(IFERROR(IFERROR(VALUE(_xll.BDH(E$4,"CURRENT_EV_TO_T12M_EBITDA",$B41,$B41)),VALUE(_xll.BDH(E$4,"CURRENT_EV_TO_T12M_EBITDA",$B41+1,$B41+1))),E42))</f>
        <v>0</v>
      </c>
      <c r="F41" s="561">
        <f ca="1">(IFERROR(IFERROR(VALUE(_xll.BDH(F$4,"CURRENT_EV_TO_T12M_EBITDA",$B41,$B41)),VALUE(_xll.BDH(F$4,"CURRENT_EV_TO_T12M_EBITDA",$B41+1,$B41+1))),F42))</f>
        <v>0</v>
      </c>
      <c r="G41" s="561">
        <f ca="1">(IFERROR(IFERROR(VALUE(_xll.BDH(G$4,"CURRENT_EV_TO_T12M_EBITDA",$B41,$B41)),VALUE(_xll.BDH(G$4,"CURRENT_EV_TO_T12M_EBITDA",$B41+1,$B41+1))),G42))</f>
        <v>0</v>
      </c>
      <c r="H41" s="561">
        <f ca="1">(IFERROR(IFERROR(VALUE(_xll.BDH(H$4,"CURRENT_EV_TO_T12M_EBITDA",$B41,$B41)),VALUE(_xll.BDH(H$4,"CURRENT_EV_TO_T12M_EBITDA",$B41+1,$B41+1))),H42))</f>
        <v>0</v>
      </c>
      <c r="I41" s="565">
        <f t="shared" ca="1" si="14"/>
        <v>45693</v>
      </c>
      <c r="J41" s="561">
        <f ca="1">(IFERROR(IFERROR(VALUE(_xll.BDH(J$4,"PE_RATIO",$B41,$B41)),VALUE(_xll.BDH(J$4,"PE_RATIO",$B41+1,$B41+1))),J42))</f>
        <v>0</v>
      </c>
      <c r="K41" s="561">
        <f ca="1">(IFERROR(IFERROR(VALUE(_xll.BDH(K$4,"PE_RATIO",$B41,$B41)),VALUE(_xll.BDH(K$4,"PE_RATIO",$B41+1,$B41+1))),K42))</f>
        <v>0</v>
      </c>
      <c r="L41" s="561">
        <f ca="1">(IFERROR(IFERROR(VALUE(_xll.BDH(L$4,"PE_RATIO",$B41,$B41)),VALUE(_xll.BDH(L$4,"PE_RATIO",$B41+1,$B41+1))),L42))</f>
        <v>0</v>
      </c>
      <c r="M41" s="561">
        <f ca="1">(IFERROR(IFERROR(VALUE(_xll.BDH(M$4,"PE_RATIO",$B41,$B41)),VALUE(_xll.BDH(M$4,"PE_RATIO",$B41+1,$B41+1))),M42))</f>
        <v>0</v>
      </c>
      <c r="N41" s="561">
        <f ca="1">(IFERROR(IFERROR(VALUE(_xll.BDH(N$4,"PE_RATIO",$B41,$B41)),VALUE(_xll.BDH(N$4,"PE_RATIO",$B41+1,$B41+1))),N42))</f>
        <v>0</v>
      </c>
      <c r="O41" s="561">
        <f ca="1">(IFERROR(IFERROR(VALUE(_xll.BDH(O$4,"PE_RATIO",$B41,$B41)),VALUE(_xll.BDH(O$4,"PE_RATIO",$B41+1,$B41+1))),O42))</f>
        <v>0</v>
      </c>
      <c r="P41" s="561"/>
      <c r="Q41" s="565">
        <f t="shared" ca="1" si="15"/>
        <v>45693</v>
      </c>
      <c r="R41" s="4">
        <v>135.44999999999999</v>
      </c>
      <c r="S41" s="4">
        <v>21012.17</v>
      </c>
      <c r="T41" s="4">
        <v>1189.47</v>
      </c>
      <c r="U41" s="4">
        <v>1.0924268086135978</v>
      </c>
      <c r="V41" s="4">
        <v>1.8641444318761504</v>
      </c>
      <c r="W41" s="4">
        <v>1.6027137005497467</v>
      </c>
      <c r="Y41" s="561">
        <f t="shared" si="16"/>
        <v>135.44999999999999</v>
      </c>
      <c r="Z41" s="4">
        <f ca="1">IFERROR(VALUE(_xll.BDH(Z$4,"PX_LAST",$Q41,$Q41)),Z42)</f>
        <v>0</v>
      </c>
      <c r="AA41" s="4">
        <f ca="1">IFERROR(VALUE(_xll.BDH(AA$4,"PX_LAST",$Q41,$Q41)),AA42)</f>
        <v>0</v>
      </c>
      <c r="AB41" s="4">
        <f ca="1">IFERROR(VALUE(_xll.BDH(AB$4,"PX_LAST",$Q41,$Q41)),AB42)</f>
        <v>0</v>
      </c>
      <c r="AC41" s="4">
        <f ca="1">IFERROR(VALUE(_xll.BDH(AC$4,"PX_LAST",$Q41,$Q41)),AC42)</f>
        <v>0</v>
      </c>
      <c r="AD41" s="4">
        <f ca="1">IFERROR(VALUE(_xll.BDH(AD$4,"PX_LAST",$Q41,$Q41)),AD42)</f>
        <v>0</v>
      </c>
      <c r="AF41" s="4">
        <f t="shared" si="17"/>
        <v>1.0924268086135978</v>
      </c>
      <c r="AG41" s="4" t="e">
        <f t="shared" ca="1" si="18"/>
        <v>#DIV/0!</v>
      </c>
      <c r="AH41" s="4" t="e">
        <f t="shared" ca="1" si="19"/>
        <v>#DIV/0!</v>
      </c>
      <c r="AI41" s="4" t="e">
        <f t="shared" ca="1" si="20"/>
        <v>#DIV/0!</v>
      </c>
      <c r="AJ41" s="4" t="e">
        <f t="shared" ca="1" si="21"/>
        <v>#DIV/0!</v>
      </c>
      <c r="AK41" s="4" t="e">
        <f t="shared" ca="1" si="22"/>
        <v>#DIV/0!</v>
      </c>
      <c r="AM41" s="563">
        <f t="shared" ca="1" si="12"/>
        <v>45908</v>
      </c>
      <c r="AN41" s="564">
        <v>141.72999999999999</v>
      </c>
      <c r="AO41" s="564">
        <v>835777</v>
      </c>
      <c r="AP41" s="564">
        <v>53481.521000000001</v>
      </c>
      <c r="AQ41" s="564">
        <v>7579935.9713299992</v>
      </c>
      <c r="AR41" s="564">
        <v>1.9714</v>
      </c>
    </row>
    <row r="42" spans="2:44">
      <c r="B42" s="565">
        <f t="shared" ca="1" si="23"/>
        <v>45686</v>
      </c>
      <c r="C42" s="561">
        <f ca="1">(IFERROR(IFERROR(VALUE(_xll.BDH(C$4,"CURRENT_EV_TO_T12M_EBITDA",$B42,$B42)),VALUE(_xll.BDH(C$4,"CURRENT_EV_TO_T12M_EBITDA",$B42+1,$B42+1))),C43))</f>
        <v>0</v>
      </c>
      <c r="D42" s="561">
        <f ca="1">(IFERROR(IFERROR(VALUE(_xll.BDH(D$4,"CURRENT_EV_TO_T12M_EBITDA",$B42,$B42)),VALUE(_xll.BDH(D$4,"CURRENT_EV_TO_T12M_EBITDA",$B42+1,$B42+1))),D43))</f>
        <v>0</v>
      </c>
      <c r="E42" s="561">
        <f ca="1">(IFERROR(IFERROR(VALUE(_xll.BDH(E$4,"CURRENT_EV_TO_T12M_EBITDA",$B42,$B42)),VALUE(_xll.BDH(E$4,"CURRENT_EV_TO_T12M_EBITDA",$B42+1,$B42+1))),E43))</f>
        <v>0</v>
      </c>
      <c r="F42" s="561">
        <f ca="1">(IFERROR(IFERROR(VALUE(_xll.BDH(F$4,"CURRENT_EV_TO_T12M_EBITDA",$B42,$B42)),VALUE(_xll.BDH(F$4,"CURRENT_EV_TO_T12M_EBITDA",$B42+1,$B42+1))),F43))</f>
        <v>0</v>
      </c>
      <c r="G42" s="561">
        <f ca="1">(IFERROR(IFERROR(VALUE(_xll.BDH(G$4,"CURRENT_EV_TO_T12M_EBITDA",$B42,$B42)),VALUE(_xll.BDH(G$4,"CURRENT_EV_TO_T12M_EBITDA",$B42+1,$B42+1))),G43))</f>
        <v>0</v>
      </c>
      <c r="H42" s="561">
        <f ca="1">(IFERROR(IFERROR(VALUE(_xll.BDH(H$4,"CURRENT_EV_TO_T12M_EBITDA",$B42,$B42)),VALUE(_xll.BDH(H$4,"CURRENT_EV_TO_T12M_EBITDA",$B42+1,$B42+1))),H43))</f>
        <v>0</v>
      </c>
      <c r="I42" s="565">
        <f t="shared" ca="1" si="14"/>
        <v>45686</v>
      </c>
      <c r="J42" s="561">
        <f ca="1">(IFERROR(IFERROR(VALUE(_xll.BDH(J$4,"PE_RATIO",$B42,$B42)),VALUE(_xll.BDH(J$4,"PE_RATIO",$B42+1,$B42+1))),J43))</f>
        <v>0</v>
      </c>
      <c r="K42" s="561">
        <f ca="1">(IFERROR(IFERROR(VALUE(_xll.BDH(K$4,"PE_RATIO",$B42,$B42)),VALUE(_xll.BDH(K$4,"PE_RATIO",$B42+1,$B42+1))),K43))</f>
        <v>0</v>
      </c>
      <c r="L42" s="561">
        <f ca="1">(IFERROR(IFERROR(VALUE(_xll.BDH(L$4,"PE_RATIO",$B42,$B42)),VALUE(_xll.BDH(L$4,"PE_RATIO",$B42+1,$B42+1))),L43))</f>
        <v>0</v>
      </c>
      <c r="M42" s="561">
        <f ca="1">(IFERROR(IFERROR(VALUE(_xll.BDH(M$4,"PE_RATIO",$B42,$B42)),VALUE(_xll.BDH(M$4,"PE_RATIO",$B42+1,$B42+1))),M43))</f>
        <v>0</v>
      </c>
      <c r="N42" s="561">
        <f ca="1">(IFERROR(IFERROR(VALUE(_xll.BDH(N$4,"PE_RATIO",$B42,$B42)),VALUE(_xll.BDH(N$4,"PE_RATIO",$B42+1,$B42+1))),N43))</f>
        <v>0</v>
      </c>
      <c r="O42" s="561">
        <f ca="1">(IFERROR(IFERROR(VALUE(_xll.BDH(O$4,"PE_RATIO",$B42,$B42)),VALUE(_xll.BDH(O$4,"PE_RATIO",$B42+1,$B42+1))),O43))</f>
        <v>0</v>
      </c>
      <c r="P42" s="561"/>
      <c r="Q42" s="565">
        <f t="shared" ca="1" si="15"/>
        <v>45686</v>
      </c>
      <c r="R42" s="4">
        <v>136.84</v>
      </c>
      <c r="S42" s="4">
        <v>21797.65</v>
      </c>
      <c r="T42" s="4">
        <v>1209.8699999999999</v>
      </c>
      <c r="U42" s="4">
        <v>1.1036373901121059</v>
      </c>
      <c r="V42" s="4">
        <v>1.9338301505977333</v>
      </c>
      <c r="W42" s="4">
        <v>1.63020103481729</v>
      </c>
      <c r="Y42" s="561">
        <f t="shared" si="16"/>
        <v>136.84</v>
      </c>
      <c r="Z42" s="4">
        <f ca="1">IFERROR(VALUE(_xll.BDH(Z$4,"PX_LAST",$Q42,$Q42)),Z43)</f>
        <v>0</v>
      </c>
      <c r="AA42" s="4">
        <f ca="1">IFERROR(VALUE(_xll.BDH(AA$4,"PX_LAST",$Q42,$Q42)),AA43)</f>
        <v>0</v>
      </c>
      <c r="AB42" s="4">
        <f ca="1">IFERROR(VALUE(_xll.BDH(AB$4,"PX_LAST",$Q42,$Q42)),AB43)</f>
        <v>0</v>
      </c>
      <c r="AC42" s="4">
        <f ca="1">IFERROR(VALUE(_xll.BDH(AC$4,"PX_LAST",$Q42,$Q42)),AC43)</f>
        <v>0</v>
      </c>
      <c r="AD42" s="4">
        <f ca="1">IFERROR(VALUE(_xll.BDH(AD$4,"PX_LAST",$Q42,$Q42)),AD43)</f>
        <v>0</v>
      </c>
      <c r="AF42" s="4">
        <f t="shared" si="17"/>
        <v>1.1036373901121059</v>
      </c>
      <c r="AG42" s="4" t="e">
        <f t="shared" ca="1" si="18"/>
        <v>#DIV/0!</v>
      </c>
      <c r="AH42" s="4" t="e">
        <f t="shared" ca="1" si="19"/>
        <v>#DIV/0!</v>
      </c>
      <c r="AI42" s="4" t="e">
        <f t="shared" ca="1" si="20"/>
        <v>#DIV/0!</v>
      </c>
      <c r="AJ42" s="4" t="e">
        <f t="shared" ca="1" si="21"/>
        <v>#DIV/0!</v>
      </c>
      <c r="AK42" s="4" t="e">
        <f t="shared" ca="1" si="22"/>
        <v>#DIV/0!</v>
      </c>
      <c r="AM42" s="563">
        <f t="shared" ca="1" si="12"/>
        <v>45907</v>
      </c>
      <c r="AN42" s="564">
        <v>141.72999999999999</v>
      </c>
      <c r="AO42" s="564">
        <v>835777</v>
      </c>
      <c r="AP42" s="564">
        <v>53481.521000000001</v>
      </c>
      <c r="AQ42" s="564">
        <v>7579935.9713299992</v>
      </c>
      <c r="AR42" s="564">
        <v>1.9714</v>
      </c>
    </row>
    <row r="43" spans="2:44">
      <c r="B43" s="565">
        <f t="shared" ca="1" si="23"/>
        <v>45679</v>
      </c>
      <c r="C43" s="561">
        <f ca="1">(IFERROR(IFERROR(VALUE(_xll.BDH(C$4,"CURRENT_EV_TO_T12M_EBITDA",$B43,$B43)),VALUE(_xll.BDH(C$4,"CURRENT_EV_TO_T12M_EBITDA",$B43+1,$B43+1))),C44))</f>
        <v>0</v>
      </c>
      <c r="D43" s="561">
        <f ca="1">(IFERROR(IFERROR(VALUE(_xll.BDH(D$4,"CURRENT_EV_TO_T12M_EBITDA",$B43,$B43)),VALUE(_xll.BDH(D$4,"CURRENT_EV_TO_T12M_EBITDA",$B43+1,$B43+1))),D44))</f>
        <v>0</v>
      </c>
      <c r="E43" s="561">
        <f ca="1">(IFERROR(IFERROR(VALUE(_xll.BDH(E$4,"CURRENT_EV_TO_T12M_EBITDA",$B43,$B43)),VALUE(_xll.BDH(E$4,"CURRENT_EV_TO_T12M_EBITDA",$B43+1,$B43+1))),E44))</f>
        <v>0</v>
      </c>
      <c r="F43" s="561">
        <f ca="1">(IFERROR(IFERROR(VALUE(_xll.BDH(F$4,"CURRENT_EV_TO_T12M_EBITDA",$B43,$B43)),VALUE(_xll.BDH(F$4,"CURRENT_EV_TO_T12M_EBITDA",$B43+1,$B43+1))),F44))</f>
        <v>0</v>
      </c>
      <c r="G43" s="561">
        <f ca="1">(IFERROR(IFERROR(VALUE(_xll.BDH(G$4,"CURRENT_EV_TO_T12M_EBITDA",$B43,$B43)),VALUE(_xll.BDH(G$4,"CURRENT_EV_TO_T12M_EBITDA",$B43+1,$B43+1))),G44))</f>
        <v>0</v>
      </c>
      <c r="H43" s="561">
        <f ca="1">(IFERROR(IFERROR(VALUE(_xll.BDH(H$4,"CURRENT_EV_TO_T12M_EBITDA",$B43,$B43)),VALUE(_xll.BDH(H$4,"CURRENT_EV_TO_T12M_EBITDA",$B43+1,$B43+1))),H44))</f>
        <v>0</v>
      </c>
      <c r="I43" s="565">
        <f t="shared" ca="1" si="14"/>
        <v>45679</v>
      </c>
      <c r="J43" s="561">
        <f ca="1">(IFERROR(IFERROR(VALUE(_xll.BDH(J$4,"PE_RATIO",$B43,$B43)),VALUE(_xll.BDH(J$4,"PE_RATIO",$B43+1,$B43+1))),J44))</f>
        <v>0</v>
      </c>
      <c r="K43" s="561">
        <f ca="1">(IFERROR(IFERROR(VALUE(_xll.BDH(K$4,"PE_RATIO",$B43,$B43)),VALUE(_xll.BDH(K$4,"PE_RATIO",$B43+1,$B43+1))),K44))</f>
        <v>0</v>
      </c>
      <c r="L43" s="561">
        <f ca="1">(IFERROR(IFERROR(VALUE(_xll.BDH(L$4,"PE_RATIO",$B43,$B43)),VALUE(_xll.BDH(L$4,"PE_RATIO",$B43+1,$B43+1))),L44))</f>
        <v>0</v>
      </c>
      <c r="M43" s="561">
        <f ca="1">(IFERROR(IFERROR(VALUE(_xll.BDH(M$4,"PE_RATIO",$B43,$B43)),VALUE(_xll.BDH(M$4,"PE_RATIO",$B43+1,$B43+1))),M44))</f>
        <v>0</v>
      </c>
      <c r="N43" s="561">
        <f ca="1">(IFERROR(IFERROR(VALUE(_xll.BDH(N$4,"PE_RATIO",$B43,$B43)),VALUE(_xll.BDH(N$4,"PE_RATIO",$B43+1,$B43+1))),N44))</f>
        <v>0</v>
      </c>
      <c r="O43" s="561">
        <f ca="1">(IFERROR(IFERROR(VALUE(_xll.BDH(O$4,"PE_RATIO",$B43,$B43)),VALUE(_xll.BDH(O$4,"PE_RATIO",$B43+1,$B43+1))),O44))</f>
        <v>0</v>
      </c>
      <c r="P43" s="561"/>
      <c r="Q43" s="565">
        <f t="shared" ca="1" si="15"/>
        <v>45679</v>
      </c>
      <c r="R43" s="4">
        <v>135.96</v>
      </c>
      <c r="S43" s="4">
        <v>22001.08</v>
      </c>
      <c r="T43" s="4">
        <v>1244.6300000000001</v>
      </c>
      <c r="U43" s="4">
        <v>1.0965400435518995</v>
      </c>
      <c r="V43" s="4">
        <v>1.9518779249007476</v>
      </c>
      <c r="W43" s="4">
        <v>1.6770372965398299</v>
      </c>
      <c r="Y43" s="561">
        <f t="shared" si="16"/>
        <v>135.96</v>
      </c>
      <c r="Z43" s="4">
        <f ca="1">IFERROR(VALUE(_xll.BDH(Z$4,"PX_LAST",$Q43,$Q43)),Z44)</f>
        <v>0</v>
      </c>
      <c r="AA43" s="4">
        <f ca="1">IFERROR(VALUE(_xll.BDH(AA$4,"PX_LAST",$Q43,$Q43)),AA44)</f>
        <v>0</v>
      </c>
      <c r="AB43" s="4">
        <f ca="1">IFERROR(VALUE(_xll.BDH(AB$4,"PX_LAST",$Q43,$Q43)),AB44)</f>
        <v>0</v>
      </c>
      <c r="AC43" s="4">
        <f ca="1">IFERROR(VALUE(_xll.BDH(AC$4,"PX_LAST",$Q43,$Q43)),AC44)</f>
        <v>0</v>
      </c>
      <c r="AD43" s="4">
        <f ca="1">IFERROR(VALUE(_xll.BDH(AD$4,"PX_LAST",$Q43,$Q43)),AD44)</f>
        <v>0</v>
      </c>
      <c r="AF43" s="4">
        <f t="shared" si="17"/>
        <v>1.0965400435518995</v>
      </c>
      <c r="AG43" s="4" t="e">
        <f t="shared" ca="1" si="18"/>
        <v>#DIV/0!</v>
      </c>
      <c r="AH43" s="4" t="e">
        <f t="shared" ca="1" si="19"/>
        <v>#DIV/0!</v>
      </c>
      <c r="AI43" s="4" t="e">
        <f t="shared" ca="1" si="20"/>
        <v>#DIV/0!</v>
      </c>
      <c r="AJ43" s="4" t="e">
        <f t="shared" ca="1" si="21"/>
        <v>#DIV/0!</v>
      </c>
      <c r="AK43" s="4" t="e">
        <f t="shared" ca="1" si="22"/>
        <v>#DIV/0!</v>
      </c>
      <c r="AM43" s="563">
        <f t="shared" ca="1" si="12"/>
        <v>45906</v>
      </c>
      <c r="AN43" s="564">
        <v>141.72999999999999</v>
      </c>
      <c r="AO43" s="564">
        <v>835777</v>
      </c>
      <c r="AP43" s="564">
        <v>53481.521000000001</v>
      </c>
      <c r="AQ43" s="564">
        <v>7579935.9713299992</v>
      </c>
      <c r="AR43" s="564">
        <v>1.9714</v>
      </c>
    </row>
    <row r="44" spans="2:44">
      <c r="B44" s="565">
        <f t="shared" ca="1" si="23"/>
        <v>45672</v>
      </c>
      <c r="C44" s="561">
        <f ca="1">(IFERROR(IFERROR(VALUE(_xll.BDH(C$4,"CURRENT_EV_TO_T12M_EBITDA",$B44,$B44)),VALUE(_xll.BDH(C$4,"CURRENT_EV_TO_T12M_EBITDA",$B44+1,$B44+1))),C45))</f>
        <v>0</v>
      </c>
      <c r="D44" s="561">
        <f ca="1">(IFERROR(IFERROR(VALUE(_xll.BDH(D$4,"CURRENT_EV_TO_T12M_EBITDA",$B44,$B44)),VALUE(_xll.BDH(D$4,"CURRENT_EV_TO_T12M_EBITDA",$B44+1,$B44+1))),D45))</f>
        <v>0</v>
      </c>
      <c r="E44" s="561">
        <f ca="1">(IFERROR(IFERROR(VALUE(_xll.BDH(E$4,"CURRENT_EV_TO_T12M_EBITDA",$B44,$B44)),VALUE(_xll.BDH(E$4,"CURRENT_EV_TO_T12M_EBITDA",$B44+1,$B44+1))),E45))</f>
        <v>0</v>
      </c>
      <c r="F44" s="561">
        <f ca="1">(IFERROR(IFERROR(VALUE(_xll.BDH(F$4,"CURRENT_EV_TO_T12M_EBITDA",$B44,$B44)),VALUE(_xll.BDH(F$4,"CURRENT_EV_TO_T12M_EBITDA",$B44+1,$B44+1))),F45))</f>
        <v>0</v>
      </c>
      <c r="G44" s="561">
        <f ca="1">(IFERROR(IFERROR(VALUE(_xll.BDH(G$4,"CURRENT_EV_TO_T12M_EBITDA",$B44,$B44)),VALUE(_xll.BDH(G$4,"CURRENT_EV_TO_T12M_EBITDA",$B44+1,$B44+1))),G45))</f>
        <v>0</v>
      </c>
      <c r="H44" s="561">
        <f ca="1">(IFERROR(IFERROR(VALUE(_xll.BDH(H$4,"CURRENT_EV_TO_T12M_EBITDA",$B44,$B44)),VALUE(_xll.BDH(H$4,"CURRENT_EV_TO_T12M_EBITDA",$B44+1,$B44+1))),H45))</f>
        <v>0</v>
      </c>
      <c r="I44" s="565">
        <f t="shared" ca="1" si="14"/>
        <v>45672</v>
      </c>
      <c r="J44" s="561">
        <f ca="1">(IFERROR(IFERROR(VALUE(_xll.BDH(J$4,"PE_RATIO",$B44,$B44)),VALUE(_xll.BDH(J$4,"PE_RATIO",$B44+1,$B44+1))),J45))</f>
        <v>0</v>
      </c>
      <c r="K44" s="561">
        <f ca="1">(IFERROR(IFERROR(VALUE(_xll.BDH(K$4,"PE_RATIO",$B44,$B44)),VALUE(_xll.BDH(K$4,"PE_RATIO",$B44+1,$B44+1))),K45))</f>
        <v>0</v>
      </c>
      <c r="L44" s="561">
        <f ca="1">(IFERROR(IFERROR(VALUE(_xll.BDH(L$4,"PE_RATIO",$B44,$B44)),VALUE(_xll.BDH(L$4,"PE_RATIO",$B44+1,$B44+1))),L45))</f>
        <v>0</v>
      </c>
      <c r="M44" s="561">
        <f ca="1">(IFERROR(IFERROR(VALUE(_xll.BDH(M$4,"PE_RATIO",$B44,$B44)),VALUE(_xll.BDH(M$4,"PE_RATIO",$B44+1,$B44+1))),M45))</f>
        <v>0</v>
      </c>
      <c r="N44" s="561">
        <f ca="1">(IFERROR(IFERROR(VALUE(_xll.BDH(N$4,"PE_RATIO",$B44,$B44)),VALUE(_xll.BDH(N$4,"PE_RATIO",$B44+1,$B44+1))),N45))</f>
        <v>0</v>
      </c>
      <c r="O44" s="561">
        <f ca="1">(IFERROR(IFERROR(VALUE(_xll.BDH(O$4,"PE_RATIO",$B44,$B44)),VALUE(_xll.BDH(O$4,"PE_RATIO",$B44+1,$B44+1))),O45))</f>
        <v>0</v>
      </c>
      <c r="P44" s="561"/>
      <c r="Q44" s="565">
        <f t="shared" ca="1" si="15"/>
        <v>45672</v>
      </c>
      <c r="R44" s="4">
        <v>144.25</v>
      </c>
      <c r="S44" s="4">
        <v>21368.18</v>
      </c>
      <c r="T44" s="4">
        <v>1284.1099999999999</v>
      </c>
      <c r="U44" s="4">
        <v>1.1634002742156626</v>
      </c>
      <c r="V44" s="4">
        <v>1.8957287022866902</v>
      </c>
      <c r="W44" s="4">
        <v>1.7302333728576047</v>
      </c>
      <c r="Y44" s="561">
        <f t="shared" si="16"/>
        <v>144.25</v>
      </c>
      <c r="Z44" s="4">
        <f ca="1">IFERROR(VALUE(_xll.BDH(Z$4,"PX_LAST",$Q44,$Q44)),Z45)</f>
        <v>0</v>
      </c>
      <c r="AA44" s="4">
        <f ca="1">IFERROR(VALUE(_xll.BDH(AA$4,"PX_LAST",$Q44,$Q44)),AA45)</f>
        <v>0</v>
      </c>
      <c r="AB44" s="4">
        <f ca="1">IFERROR(VALUE(_xll.BDH(AB$4,"PX_LAST",$Q44,$Q44)),AB45)</f>
        <v>0</v>
      </c>
      <c r="AC44" s="4">
        <f ca="1">IFERROR(VALUE(_xll.BDH(AC$4,"PX_LAST",$Q44,$Q44)),AC45)</f>
        <v>0</v>
      </c>
      <c r="AD44" s="4">
        <f ca="1">IFERROR(VALUE(_xll.BDH(AD$4,"PX_LAST",$Q44,$Q44)),AD45)</f>
        <v>0</v>
      </c>
      <c r="AF44" s="4">
        <f t="shared" si="17"/>
        <v>1.1634002742156626</v>
      </c>
      <c r="AG44" s="4" t="e">
        <f t="shared" ca="1" si="18"/>
        <v>#DIV/0!</v>
      </c>
      <c r="AH44" s="4" t="e">
        <f t="shared" ca="1" si="19"/>
        <v>#DIV/0!</v>
      </c>
      <c r="AI44" s="4" t="e">
        <f t="shared" ca="1" si="20"/>
        <v>#DIV/0!</v>
      </c>
      <c r="AJ44" s="4" t="e">
        <f t="shared" ca="1" si="21"/>
        <v>#DIV/0!</v>
      </c>
      <c r="AK44" s="4" t="e">
        <f t="shared" ca="1" si="22"/>
        <v>#DIV/0!</v>
      </c>
      <c r="AM44" s="563">
        <f t="shared" ca="1" si="12"/>
        <v>45905</v>
      </c>
      <c r="AN44" s="564">
        <v>145.19999999999999</v>
      </c>
      <c r="AO44" s="564">
        <v>801020</v>
      </c>
      <c r="AP44" s="564">
        <v>53481.521000000001</v>
      </c>
      <c r="AQ44" s="564">
        <v>7765516.8491999991</v>
      </c>
      <c r="AR44" s="564">
        <v>2.0196999999999998</v>
      </c>
    </row>
    <row r="45" spans="2:44">
      <c r="B45" s="565">
        <f t="shared" ca="1" si="23"/>
        <v>45665</v>
      </c>
      <c r="C45" s="561">
        <f ca="1">(IFERROR(IFERROR(VALUE(_xll.BDH(C$4,"CURRENT_EV_TO_T12M_EBITDA",$B45,$B45)),VALUE(_xll.BDH(C$4,"CURRENT_EV_TO_T12M_EBITDA",$B45+1,$B45+1))),C46))</f>
        <v>0</v>
      </c>
      <c r="D45" s="561">
        <f ca="1">(IFERROR(IFERROR(VALUE(_xll.BDH(D$4,"CURRENT_EV_TO_T12M_EBITDA",$B45,$B45)),VALUE(_xll.BDH(D$4,"CURRENT_EV_TO_T12M_EBITDA",$B45+1,$B45+1))),D46))</f>
        <v>0</v>
      </c>
      <c r="E45" s="561">
        <f ca="1">(IFERROR(IFERROR(VALUE(_xll.BDH(E$4,"CURRENT_EV_TO_T12M_EBITDA",$B45,$B45)),VALUE(_xll.BDH(E$4,"CURRENT_EV_TO_T12M_EBITDA",$B45+1,$B45+1))),E46))</f>
        <v>0</v>
      </c>
      <c r="F45" s="561">
        <f ca="1">(IFERROR(IFERROR(VALUE(_xll.BDH(F$4,"CURRENT_EV_TO_T12M_EBITDA",$B45,$B45)),VALUE(_xll.BDH(F$4,"CURRENT_EV_TO_T12M_EBITDA",$B45+1,$B45+1))),F46))</f>
        <v>0</v>
      </c>
      <c r="G45" s="561">
        <f ca="1">(IFERROR(IFERROR(VALUE(_xll.BDH(G$4,"CURRENT_EV_TO_T12M_EBITDA",$B45,$B45)),VALUE(_xll.BDH(G$4,"CURRENT_EV_TO_T12M_EBITDA",$B45+1,$B45+1))),G46))</f>
        <v>0</v>
      </c>
      <c r="H45" s="561">
        <f ca="1">(IFERROR(IFERROR(VALUE(_xll.BDH(H$4,"CURRENT_EV_TO_T12M_EBITDA",$B45,$B45)),VALUE(_xll.BDH(H$4,"CURRENT_EV_TO_T12M_EBITDA",$B45+1,$B45+1))),H46))</f>
        <v>0</v>
      </c>
      <c r="I45" s="565">
        <f t="shared" ca="1" si="14"/>
        <v>45665</v>
      </c>
      <c r="J45" s="561">
        <f ca="1">(IFERROR(IFERROR(VALUE(_xll.BDH(J$4,"PE_RATIO",$B45,$B45)),VALUE(_xll.BDH(J$4,"PE_RATIO",$B45+1,$B45+1))),J46))</f>
        <v>0</v>
      </c>
      <c r="K45" s="561">
        <f ca="1">(IFERROR(IFERROR(VALUE(_xll.BDH(K$4,"PE_RATIO",$B45,$B45)),VALUE(_xll.BDH(K$4,"PE_RATIO",$B45+1,$B45+1))),K46))</f>
        <v>0</v>
      </c>
      <c r="L45" s="561">
        <f ca="1">(IFERROR(IFERROR(VALUE(_xll.BDH(L$4,"PE_RATIO",$B45,$B45)),VALUE(_xll.BDH(L$4,"PE_RATIO",$B45+1,$B45+1))),L46))</f>
        <v>0</v>
      </c>
      <c r="M45" s="561">
        <f ca="1">(IFERROR(IFERROR(VALUE(_xll.BDH(M$4,"PE_RATIO",$B45,$B45)),VALUE(_xll.BDH(M$4,"PE_RATIO",$B45+1,$B45+1))),M46))</f>
        <v>0</v>
      </c>
      <c r="N45" s="561">
        <f ca="1">(IFERROR(IFERROR(VALUE(_xll.BDH(N$4,"PE_RATIO",$B45,$B45)),VALUE(_xll.BDH(N$4,"PE_RATIO",$B45+1,$B45+1))),N46))</f>
        <v>0</v>
      </c>
      <c r="O45" s="561">
        <f ca="1">(IFERROR(IFERROR(VALUE(_xll.BDH(O$4,"PE_RATIO",$B45,$B45)),VALUE(_xll.BDH(O$4,"PE_RATIO",$B45+1,$B45+1))),O46))</f>
        <v>0</v>
      </c>
      <c r="P45" s="561"/>
      <c r="Q45" s="565">
        <f t="shared" ca="1" si="15"/>
        <v>45665</v>
      </c>
      <c r="R45" s="4">
        <v>142.25</v>
      </c>
      <c r="S45" s="4">
        <v>21229.32</v>
      </c>
      <c r="T45" s="4">
        <v>1304.08</v>
      </c>
      <c r="U45" s="4">
        <v>1.1472699411242842</v>
      </c>
      <c r="V45" s="4">
        <v>1.8834094084769446</v>
      </c>
      <c r="W45" s="4">
        <v>1.7571413172361754</v>
      </c>
      <c r="Y45" s="561">
        <f t="shared" si="16"/>
        <v>142.25</v>
      </c>
      <c r="Z45" s="4">
        <f ca="1">IFERROR(VALUE(_xll.BDH(Z$4,"PX_LAST",$Q45,$Q45)),Z46)</f>
        <v>0</v>
      </c>
      <c r="AA45" s="4">
        <f ca="1">IFERROR(VALUE(_xll.BDH(AA$4,"PX_LAST",$Q45,$Q45)),AA46)</f>
        <v>0</v>
      </c>
      <c r="AB45" s="4">
        <f ca="1">IFERROR(VALUE(_xll.BDH(AB$4,"PX_LAST",$Q45,$Q45)),AB46)</f>
        <v>0</v>
      </c>
      <c r="AC45" s="4">
        <f ca="1">IFERROR(VALUE(_xll.BDH(AC$4,"PX_LAST",$Q45,$Q45)),AC46)</f>
        <v>0</v>
      </c>
      <c r="AD45" s="4">
        <f ca="1">IFERROR(VALUE(_xll.BDH(AD$4,"PX_LAST",$Q45,$Q45)),AD46)</f>
        <v>0</v>
      </c>
      <c r="AF45" s="4">
        <f t="shared" si="17"/>
        <v>1.1472699411242842</v>
      </c>
      <c r="AG45" s="4" t="e">
        <f t="shared" ca="1" si="18"/>
        <v>#DIV/0!</v>
      </c>
      <c r="AH45" s="4" t="e">
        <f t="shared" ca="1" si="19"/>
        <v>#DIV/0!</v>
      </c>
      <c r="AI45" s="4" t="e">
        <f t="shared" ca="1" si="20"/>
        <v>#DIV/0!</v>
      </c>
      <c r="AJ45" s="4" t="e">
        <f t="shared" ca="1" si="21"/>
        <v>#DIV/0!</v>
      </c>
      <c r="AK45" s="4" t="e">
        <f t="shared" ca="1" si="22"/>
        <v>#DIV/0!</v>
      </c>
      <c r="AM45" s="563">
        <f t="shared" ca="1" si="12"/>
        <v>45904</v>
      </c>
      <c r="AN45" s="564">
        <v>144.68</v>
      </c>
      <c r="AO45" s="564">
        <v>735895</v>
      </c>
      <c r="AP45" s="564">
        <v>53481.521000000001</v>
      </c>
      <c r="AQ45" s="564">
        <v>7737706.4582800008</v>
      </c>
      <c r="AR45" s="564">
        <v>2.0124</v>
      </c>
    </row>
    <row r="46" spans="2:44">
      <c r="B46" s="565">
        <f t="shared" ca="1" si="23"/>
        <v>45658</v>
      </c>
      <c r="C46" s="561">
        <f ca="1">(IFERROR(IFERROR(VALUE(_xll.BDH(C$4,"CURRENT_EV_TO_T12M_EBITDA",$B46,$B46)),VALUE(_xll.BDH(C$4,"CURRENT_EV_TO_T12M_EBITDA",$B46+1,$B46+1))),C47))</f>
        <v>0</v>
      </c>
      <c r="D46" s="561">
        <f ca="1">(IFERROR(IFERROR(VALUE(_xll.BDH(D$4,"CURRENT_EV_TO_T12M_EBITDA",$B46,$B46)),VALUE(_xll.BDH(D$4,"CURRENT_EV_TO_T12M_EBITDA",$B46+1,$B46+1))),D47))</f>
        <v>0</v>
      </c>
      <c r="E46" s="561">
        <f ca="1">(IFERROR(IFERROR(VALUE(_xll.BDH(E$4,"CURRENT_EV_TO_T12M_EBITDA",$B46,$B46)),VALUE(_xll.BDH(E$4,"CURRENT_EV_TO_T12M_EBITDA",$B46+1,$B46+1))),E47))</f>
        <v>0</v>
      </c>
      <c r="F46" s="561">
        <f ca="1">(IFERROR(IFERROR(VALUE(_xll.BDH(F$4,"CURRENT_EV_TO_T12M_EBITDA",$B46,$B46)),VALUE(_xll.BDH(F$4,"CURRENT_EV_TO_T12M_EBITDA",$B46+1,$B46+1))),F47))</f>
        <v>0</v>
      </c>
      <c r="G46" s="561">
        <f ca="1">(IFERROR(IFERROR(VALUE(_xll.BDH(G$4,"CURRENT_EV_TO_T12M_EBITDA",$B46,$B46)),VALUE(_xll.BDH(G$4,"CURRENT_EV_TO_T12M_EBITDA",$B46+1,$B46+1))),G47))</f>
        <v>0</v>
      </c>
      <c r="H46" s="561">
        <f ca="1">(IFERROR(IFERROR(VALUE(_xll.BDH(H$4,"CURRENT_EV_TO_T12M_EBITDA",$B46,$B46)),VALUE(_xll.BDH(H$4,"CURRENT_EV_TO_T12M_EBITDA",$B46+1,$B46+1))),H47))</f>
        <v>0</v>
      </c>
      <c r="I46" s="565">
        <f t="shared" ca="1" si="14"/>
        <v>45658</v>
      </c>
      <c r="J46" s="561">
        <f ca="1">(IFERROR(IFERROR(VALUE(_xll.BDH(J$4,"PE_RATIO",$B46,$B46)),VALUE(_xll.BDH(J$4,"PE_RATIO",$B46+1,$B46+1))),J47))</f>
        <v>0</v>
      </c>
      <c r="K46" s="561">
        <f ca="1">(IFERROR(IFERROR(VALUE(_xll.BDH(K$4,"PE_RATIO",$B46,$B46)),VALUE(_xll.BDH(K$4,"PE_RATIO",$B46+1,$B46+1))),K47))</f>
        <v>0</v>
      </c>
      <c r="L46" s="561">
        <f ca="1">(IFERROR(IFERROR(VALUE(_xll.BDH(L$4,"PE_RATIO",$B46,$B46)),VALUE(_xll.BDH(L$4,"PE_RATIO",$B46+1,$B46+1))),L47))</f>
        <v>0</v>
      </c>
      <c r="M46" s="561">
        <f ca="1">(IFERROR(IFERROR(VALUE(_xll.BDH(M$4,"PE_RATIO",$B46,$B46)),VALUE(_xll.BDH(M$4,"PE_RATIO",$B46+1,$B46+1))),M47))</f>
        <v>0</v>
      </c>
      <c r="N46" s="561">
        <f ca="1">(IFERROR(IFERROR(VALUE(_xll.BDH(N$4,"PE_RATIO",$B46,$B46)),VALUE(_xll.BDH(N$4,"PE_RATIO",$B46+1,$B46+1))),N47))</f>
        <v>0</v>
      </c>
      <c r="O46" s="561">
        <f ca="1">(IFERROR(IFERROR(VALUE(_xll.BDH(O$4,"PE_RATIO",$B46,$B46)),VALUE(_xll.BDH(O$4,"PE_RATIO",$B46+1,$B46+1))),O47))</f>
        <v>0</v>
      </c>
      <c r="P46" s="561"/>
      <c r="Q46" s="565">
        <f t="shared" ca="1" si="15"/>
        <v>45658</v>
      </c>
      <c r="R46" s="4">
        <v>142.18</v>
      </c>
      <c r="S46" s="4">
        <v>20922.900000000001</v>
      </c>
      <c r="T46" s="4">
        <v>1311.67</v>
      </c>
      <c r="U46" s="4">
        <v>1.146705379466086</v>
      </c>
      <c r="V46" s="4">
        <v>1.8562246323774039</v>
      </c>
      <c r="W46" s="4">
        <v>1.7673682224857175</v>
      </c>
      <c r="Y46" s="561">
        <f t="shared" si="16"/>
        <v>142.18</v>
      </c>
      <c r="Z46" s="4">
        <f ca="1">IFERROR(VALUE(_xll.BDH(Z$4,"PX_LAST",$Q46,$Q46)),Z47)</f>
        <v>0</v>
      </c>
      <c r="AA46" s="4">
        <f ca="1">IFERROR(VALUE(_xll.BDH(AA$4,"PX_LAST",$Q46,$Q46)),AA47)</f>
        <v>0</v>
      </c>
      <c r="AB46" s="4">
        <f ca="1">IFERROR(VALUE(_xll.BDH(AB$4,"PX_LAST",$Q46,$Q46)),AB47)</f>
        <v>0</v>
      </c>
      <c r="AC46" s="4">
        <f ca="1">IFERROR(VALUE(_xll.BDH(AC$4,"PX_LAST",$Q46,$Q46)),AC47)</f>
        <v>0</v>
      </c>
      <c r="AD46" s="4">
        <f ca="1">IFERROR(VALUE(_xll.BDH(AD$4,"PX_LAST",$Q46,$Q46)),AD47)</f>
        <v>0</v>
      </c>
      <c r="AF46" s="4">
        <f t="shared" si="17"/>
        <v>1.146705379466086</v>
      </c>
      <c r="AG46" s="4" t="e">
        <f t="shared" ca="1" si="18"/>
        <v>#DIV/0!</v>
      </c>
      <c r="AH46" s="4" t="e">
        <f t="shared" ca="1" si="19"/>
        <v>#DIV/0!</v>
      </c>
      <c r="AI46" s="4" t="e">
        <f t="shared" ca="1" si="20"/>
        <v>#DIV/0!</v>
      </c>
      <c r="AJ46" s="4" t="e">
        <f t="shared" ca="1" si="21"/>
        <v>#DIV/0!</v>
      </c>
      <c r="AK46" s="4" t="e">
        <f t="shared" ca="1" si="22"/>
        <v>#DIV/0!</v>
      </c>
      <c r="AM46" s="563">
        <f t="shared" ca="1" si="12"/>
        <v>45903</v>
      </c>
      <c r="AN46" s="564">
        <v>146.94</v>
      </c>
      <c r="AO46" s="564">
        <v>684079</v>
      </c>
      <c r="AP46" s="564">
        <v>53481.521000000001</v>
      </c>
      <c r="AQ46" s="564">
        <v>7858574.6957400003</v>
      </c>
      <c r="AR46" s="564">
        <v>2.0438999999999998</v>
      </c>
    </row>
    <row r="47" spans="2:44">
      <c r="B47" s="565">
        <f t="shared" ca="1" si="23"/>
        <v>45651</v>
      </c>
      <c r="C47" s="561">
        <f ca="1">(IFERROR(IFERROR(VALUE(_xll.BDH(C$4,"CURRENT_EV_TO_T12M_EBITDA",$B47,$B47)),VALUE(_xll.BDH(C$4,"CURRENT_EV_TO_T12M_EBITDA",$B47+1,$B47+1))),C48))</f>
        <v>0</v>
      </c>
      <c r="D47" s="561">
        <f ca="1">(IFERROR(IFERROR(VALUE(_xll.BDH(D$4,"CURRENT_EV_TO_T12M_EBITDA",$B47,$B47)),VALUE(_xll.BDH(D$4,"CURRENT_EV_TO_T12M_EBITDA",$B47+1,$B47+1))),D48))</f>
        <v>0</v>
      </c>
      <c r="E47" s="561">
        <f ca="1">(IFERROR(IFERROR(VALUE(_xll.BDH(E$4,"CURRENT_EV_TO_T12M_EBITDA",$B47,$B47)),VALUE(_xll.BDH(E$4,"CURRENT_EV_TO_T12M_EBITDA",$B47+1,$B47+1))),E48))</f>
        <v>0</v>
      </c>
      <c r="F47" s="561">
        <f ca="1">(IFERROR(IFERROR(VALUE(_xll.BDH(F$4,"CURRENT_EV_TO_T12M_EBITDA",$B47,$B47)),VALUE(_xll.BDH(F$4,"CURRENT_EV_TO_T12M_EBITDA",$B47+1,$B47+1))),F48))</f>
        <v>0</v>
      </c>
      <c r="G47" s="561">
        <f ca="1">(IFERROR(IFERROR(VALUE(_xll.BDH(G$4,"CURRENT_EV_TO_T12M_EBITDA",$B47,$B47)),VALUE(_xll.BDH(G$4,"CURRENT_EV_TO_T12M_EBITDA",$B47+1,$B47+1))),G48))</f>
        <v>0</v>
      </c>
      <c r="H47" s="561">
        <f ca="1">(IFERROR(IFERROR(VALUE(_xll.BDH(H$4,"CURRENT_EV_TO_T12M_EBITDA",$B47,$B47)),VALUE(_xll.BDH(H$4,"CURRENT_EV_TO_T12M_EBITDA",$B47+1,$B47+1))),H48))</f>
        <v>0</v>
      </c>
      <c r="I47" s="565">
        <f t="shared" ca="1" si="14"/>
        <v>45651</v>
      </c>
      <c r="J47" s="561">
        <f ca="1">(IFERROR(IFERROR(VALUE(_xll.BDH(J$4,"PE_RATIO",$B47,$B47)),VALUE(_xll.BDH(J$4,"PE_RATIO",$B47+1,$B47+1))),J48))</f>
        <v>0</v>
      </c>
      <c r="K47" s="561">
        <f ca="1">(IFERROR(IFERROR(VALUE(_xll.BDH(K$4,"PE_RATIO",$B47,$B47)),VALUE(_xll.BDH(K$4,"PE_RATIO",$B47+1,$B47+1))),K48))</f>
        <v>0</v>
      </c>
      <c r="L47" s="561">
        <f ca="1">(IFERROR(IFERROR(VALUE(_xll.BDH(L$4,"PE_RATIO",$B47,$B47)),VALUE(_xll.BDH(L$4,"PE_RATIO",$B47+1,$B47+1))),L48))</f>
        <v>0</v>
      </c>
      <c r="M47" s="561">
        <f ca="1">(IFERROR(IFERROR(VALUE(_xll.BDH(M$4,"PE_RATIO",$B47,$B47)),VALUE(_xll.BDH(M$4,"PE_RATIO",$B47+1,$B47+1))),M48))</f>
        <v>0</v>
      </c>
      <c r="N47" s="561">
        <f ca="1">(IFERROR(IFERROR(VALUE(_xll.BDH(N$4,"PE_RATIO",$B47,$B47)),VALUE(_xll.BDH(N$4,"PE_RATIO",$B47+1,$B47+1))),N48))</f>
        <v>0</v>
      </c>
      <c r="O47" s="561">
        <f ca="1">(IFERROR(IFERROR(VALUE(_xll.BDH(O$4,"PE_RATIO",$B47,$B47)),VALUE(_xll.BDH(O$4,"PE_RATIO",$B47+1,$B47+1))),O48))</f>
        <v>0</v>
      </c>
      <c r="P47" s="561"/>
      <c r="Q47" s="565">
        <f t="shared" ca="1" si="15"/>
        <v>45651</v>
      </c>
      <c r="R47" s="4">
        <v>136.33000000000001</v>
      </c>
      <c r="S47" s="4">
        <v>20684.59</v>
      </c>
      <c r="T47" s="4">
        <v>1270.8</v>
      </c>
      <c r="U47" s="4">
        <v>1.0995241551738044</v>
      </c>
      <c r="V47" s="4">
        <v>1.8350823962561271</v>
      </c>
      <c r="W47" s="4">
        <v>1.7122992346663792</v>
      </c>
      <c r="Y47" s="561">
        <f t="shared" si="16"/>
        <v>136.33000000000001</v>
      </c>
      <c r="Z47" s="4">
        <f ca="1">IFERROR(VALUE(_xll.BDH(Z$4,"PX_LAST",$Q47,$Q47)),Z48)</f>
        <v>0</v>
      </c>
      <c r="AA47" s="4">
        <f ca="1">IFERROR(VALUE(_xll.BDH(AA$4,"PX_LAST",$Q47,$Q47)),AA48)</f>
        <v>0</v>
      </c>
      <c r="AB47" s="4">
        <f ca="1">IFERROR(VALUE(_xll.BDH(AB$4,"PX_LAST",$Q47,$Q47)),AB48)</f>
        <v>0</v>
      </c>
      <c r="AC47" s="4">
        <f ca="1">IFERROR(VALUE(_xll.BDH(AC$4,"PX_LAST",$Q47,$Q47)),AC48)</f>
        <v>0</v>
      </c>
      <c r="AD47" s="4">
        <f ca="1">IFERROR(VALUE(_xll.BDH(AD$4,"PX_LAST",$Q47,$Q47)),AD48)</f>
        <v>0</v>
      </c>
      <c r="AF47" s="4">
        <f t="shared" si="17"/>
        <v>1.0995241551738044</v>
      </c>
      <c r="AG47" s="4" t="e">
        <f t="shared" ca="1" si="18"/>
        <v>#DIV/0!</v>
      </c>
      <c r="AH47" s="4" t="e">
        <f t="shared" ca="1" si="19"/>
        <v>#DIV/0!</v>
      </c>
      <c r="AI47" s="4" t="e">
        <f t="shared" ca="1" si="20"/>
        <v>#DIV/0!</v>
      </c>
      <c r="AJ47" s="4" t="e">
        <f t="shared" ca="1" si="21"/>
        <v>#DIV/0!</v>
      </c>
      <c r="AK47" s="4" t="e">
        <f t="shared" ca="1" si="22"/>
        <v>#DIV/0!</v>
      </c>
      <c r="AM47" s="563">
        <f t="shared" ca="1" si="12"/>
        <v>45902</v>
      </c>
      <c r="AN47" s="564">
        <v>149.22999999999999</v>
      </c>
      <c r="AO47" s="564">
        <v>549462</v>
      </c>
      <c r="AP47" s="564">
        <v>53481.521000000001</v>
      </c>
      <c r="AQ47" s="564">
        <v>7981047.3788299998</v>
      </c>
      <c r="AR47" s="564">
        <v>2.0756999999999999</v>
      </c>
    </row>
    <row r="48" spans="2:44">
      <c r="B48" s="565">
        <f t="shared" ca="1" si="23"/>
        <v>45644</v>
      </c>
      <c r="C48" s="561">
        <f ca="1">(IFERROR(IFERROR(VALUE(_xll.BDH(C$4,"CURRENT_EV_TO_T12M_EBITDA",$B48,$B48)),VALUE(_xll.BDH(C$4,"CURRENT_EV_TO_T12M_EBITDA",$B48+1,$B48+1))),C49))</f>
        <v>0</v>
      </c>
      <c r="D48" s="561">
        <f ca="1">(IFERROR(IFERROR(VALUE(_xll.BDH(D$4,"CURRENT_EV_TO_T12M_EBITDA",$B48,$B48)),VALUE(_xll.BDH(D$4,"CURRENT_EV_TO_T12M_EBITDA",$B48+1,$B48+1))),D49))</f>
        <v>0</v>
      </c>
      <c r="E48" s="561">
        <f ca="1">(IFERROR(IFERROR(VALUE(_xll.BDH(E$4,"CURRENT_EV_TO_T12M_EBITDA",$B48,$B48)),VALUE(_xll.BDH(E$4,"CURRENT_EV_TO_T12M_EBITDA",$B48+1,$B48+1))),E49))</f>
        <v>0</v>
      </c>
      <c r="F48" s="561">
        <f ca="1">(IFERROR(IFERROR(VALUE(_xll.BDH(F$4,"CURRENT_EV_TO_T12M_EBITDA",$B48,$B48)),VALUE(_xll.BDH(F$4,"CURRENT_EV_TO_T12M_EBITDA",$B48+1,$B48+1))),F49))</f>
        <v>0</v>
      </c>
      <c r="G48" s="561">
        <f ca="1">(IFERROR(IFERROR(VALUE(_xll.BDH(G$4,"CURRENT_EV_TO_T12M_EBITDA",$B48,$B48)),VALUE(_xll.BDH(G$4,"CURRENT_EV_TO_T12M_EBITDA",$B48+1,$B48+1))),G49))</f>
        <v>0</v>
      </c>
      <c r="H48" s="561">
        <f ca="1">(IFERROR(IFERROR(VALUE(_xll.BDH(H$4,"CURRENT_EV_TO_T12M_EBITDA",$B48,$B48)),VALUE(_xll.BDH(H$4,"CURRENT_EV_TO_T12M_EBITDA",$B48+1,$B48+1))),H49))</f>
        <v>0</v>
      </c>
      <c r="I48" s="565">
        <f t="shared" ca="1" si="14"/>
        <v>45644</v>
      </c>
      <c r="J48" s="561">
        <f ca="1">(IFERROR(IFERROR(VALUE(_xll.BDH(J$4,"PE_RATIO",$B48,$B48)),VALUE(_xll.BDH(J$4,"PE_RATIO",$B48+1,$B48+1))),J49))</f>
        <v>0</v>
      </c>
      <c r="K48" s="561">
        <f ca="1">(IFERROR(IFERROR(VALUE(_xll.BDH(K$4,"PE_RATIO",$B48,$B48)),VALUE(_xll.BDH(K$4,"PE_RATIO",$B48+1,$B48+1))),K49))</f>
        <v>0</v>
      </c>
      <c r="L48" s="561">
        <f ca="1">(IFERROR(IFERROR(VALUE(_xll.BDH(L$4,"PE_RATIO",$B48,$B48)),VALUE(_xll.BDH(L$4,"PE_RATIO",$B48+1,$B48+1))),L49))</f>
        <v>0</v>
      </c>
      <c r="M48" s="561">
        <f ca="1">(IFERROR(IFERROR(VALUE(_xll.BDH(M$4,"PE_RATIO",$B48,$B48)),VALUE(_xll.BDH(M$4,"PE_RATIO",$B48+1,$B48+1))),M49))</f>
        <v>0</v>
      </c>
      <c r="N48" s="561">
        <f ca="1">(IFERROR(IFERROR(VALUE(_xll.BDH(N$4,"PE_RATIO",$B48,$B48)),VALUE(_xll.BDH(N$4,"PE_RATIO",$B48+1,$B48+1))),N49))</f>
        <v>0</v>
      </c>
      <c r="O48" s="561">
        <f ca="1">(IFERROR(IFERROR(VALUE(_xll.BDH(O$4,"PE_RATIO",$B48,$B48)),VALUE(_xll.BDH(O$4,"PE_RATIO",$B48+1,$B48+1))),O49))</f>
        <v>0</v>
      </c>
      <c r="P48" s="561"/>
      <c r="Q48" s="565">
        <f t="shared" ca="1" si="15"/>
        <v>45644</v>
      </c>
      <c r="R48" s="4">
        <v>137.34</v>
      </c>
      <c r="S48" s="4">
        <v>21070.79</v>
      </c>
      <c r="T48" s="4">
        <v>1287.68</v>
      </c>
      <c r="U48" s="4">
        <v>1.1076699733849504</v>
      </c>
      <c r="V48" s="4">
        <v>1.8693450440259942</v>
      </c>
      <c r="W48" s="4">
        <v>1.7350436563544251</v>
      </c>
      <c r="Y48" s="561">
        <f t="shared" si="16"/>
        <v>137.34</v>
      </c>
      <c r="Z48" s="4">
        <f ca="1">IFERROR(VALUE(_xll.BDH(Z$4,"PX_LAST",$Q48,$Q48)),Z49)</f>
        <v>0</v>
      </c>
      <c r="AA48" s="4">
        <f ca="1">IFERROR(VALUE(_xll.BDH(AA$4,"PX_LAST",$Q48,$Q48)),AA49)</f>
        <v>0</v>
      </c>
      <c r="AB48" s="4">
        <f ca="1">IFERROR(VALUE(_xll.BDH(AB$4,"PX_LAST",$Q48,$Q48)),AB49)</f>
        <v>0</v>
      </c>
      <c r="AC48" s="4">
        <f ca="1">IFERROR(VALUE(_xll.BDH(AC$4,"PX_LAST",$Q48,$Q48)),AC49)</f>
        <v>0</v>
      </c>
      <c r="AD48" s="4">
        <f ca="1">IFERROR(VALUE(_xll.BDH(AD$4,"PX_LAST",$Q48,$Q48)),AD49)</f>
        <v>0</v>
      </c>
      <c r="AF48" s="4">
        <f t="shared" si="17"/>
        <v>1.1076699733849504</v>
      </c>
      <c r="AG48" s="4" t="e">
        <f t="shared" ca="1" si="18"/>
        <v>#DIV/0!</v>
      </c>
      <c r="AH48" s="4" t="e">
        <f t="shared" ca="1" si="19"/>
        <v>#DIV/0!</v>
      </c>
      <c r="AI48" s="4" t="e">
        <f t="shared" ca="1" si="20"/>
        <v>#DIV/0!</v>
      </c>
      <c r="AJ48" s="4" t="e">
        <f t="shared" ca="1" si="21"/>
        <v>#DIV/0!</v>
      </c>
      <c r="AK48" s="4" t="e">
        <f t="shared" ca="1" si="22"/>
        <v>#DIV/0!</v>
      </c>
      <c r="AM48" s="563">
        <f t="shared" ca="1" si="12"/>
        <v>45901</v>
      </c>
      <c r="AN48" s="564">
        <v>149.69999999999999</v>
      </c>
      <c r="AO48" s="564">
        <v>536705</v>
      </c>
      <c r="AP48" s="564">
        <v>53481.521000000001</v>
      </c>
      <c r="AQ48" s="564">
        <v>8006183.6936999997</v>
      </c>
      <c r="AR48" s="564">
        <v>2.0821999999999998</v>
      </c>
    </row>
    <row r="49" spans="2:44">
      <c r="B49" s="565">
        <f t="shared" ca="1" si="23"/>
        <v>45637</v>
      </c>
      <c r="C49" s="561">
        <f ca="1">(IFERROR(IFERROR(VALUE(_xll.BDH(C$4,"CURRENT_EV_TO_T12M_EBITDA",$B49,$B49)),VALUE(_xll.BDH(C$4,"CURRENT_EV_TO_T12M_EBITDA",$B49+1,$B49+1))),C50))</f>
        <v>0</v>
      </c>
      <c r="D49" s="561">
        <f ca="1">(IFERROR(IFERROR(VALUE(_xll.BDH(D$4,"CURRENT_EV_TO_T12M_EBITDA",$B49,$B49)),VALUE(_xll.BDH(D$4,"CURRENT_EV_TO_T12M_EBITDA",$B49+1,$B49+1))),D50))</f>
        <v>0</v>
      </c>
      <c r="E49" s="561">
        <f ca="1">(IFERROR(IFERROR(VALUE(_xll.BDH(E$4,"CURRENT_EV_TO_T12M_EBITDA",$B49,$B49)),VALUE(_xll.BDH(E$4,"CURRENT_EV_TO_T12M_EBITDA",$B49+1,$B49+1))),E50))</f>
        <v>0</v>
      </c>
      <c r="F49" s="561">
        <f ca="1">(IFERROR(IFERROR(VALUE(_xll.BDH(F$4,"CURRENT_EV_TO_T12M_EBITDA",$B49,$B49)),VALUE(_xll.BDH(F$4,"CURRENT_EV_TO_T12M_EBITDA",$B49+1,$B49+1))),F50))</f>
        <v>0</v>
      </c>
      <c r="G49" s="561">
        <f ca="1">(IFERROR(IFERROR(VALUE(_xll.BDH(G$4,"CURRENT_EV_TO_T12M_EBITDA",$B49,$B49)),VALUE(_xll.BDH(G$4,"CURRENT_EV_TO_T12M_EBITDA",$B49+1,$B49+1))),G50))</f>
        <v>0</v>
      </c>
      <c r="H49" s="561">
        <f ca="1">(IFERROR(IFERROR(VALUE(_xll.BDH(H$4,"CURRENT_EV_TO_T12M_EBITDA",$B49,$B49)),VALUE(_xll.BDH(H$4,"CURRENT_EV_TO_T12M_EBITDA",$B49+1,$B49+1))),H50))</f>
        <v>0</v>
      </c>
      <c r="I49" s="565">
        <f t="shared" ca="1" si="14"/>
        <v>45637</v>
      </c>
      <c r="J49" s="561">
        <f ca="1">(IFERROR(IFERROR(VALUE(_xll.BDH(J$4,"PE_RATIO",$B49,$B49)),VALUE(_xll.BDH(J$4,"PE_RATIO",$B49+1,$B49+1))),J50))</f>
        <v>0</v>
      </c>
      <c r="K49" s="561">
        <f ca="1">(IFERROR(IFERROR(VALUE(_xll.BDH(K$4,"PE_RATIO",$B49,$B49)),VALUE(_xll.BDH(K$4,"PE_RATIO",$B49+1,$B49+1))),K50))</f>
        <v>0</v>
      </c>
      <c r="L49" s="561">
        <f ca="1">(IFERROR(IFERROR(VALUE(_xll.BDH(L$4,"PE_RATIO",$B49,$B49)),VALUE(_xll.BDH(L$4,"PE_RATIO",$B49+1,$B49+1))),L50))</f>
        <v>0</v>
      </c>
      <c r="M49" s="561">
        <f ca="1">(IFERROR(IFERROR(VALUE(_xll.BDH(M$4,"PE_RATIO",$B49,$B49)),VALUE(_xll.BDH(M$4,"PE_RATIO",$B49+1,$B49+1))),M50))</f>
        <v>0</v>
      </c>
      <c r="N49" s="561">
        <f ca="1">(IFERROR(IFERROR(VALUE(_xll.BDH(N$4,"PE_RATIO",$B49,$B49)),VALUE(_xll.BDH(N$4,"PE_RATIO",$B49+1,$B49+1))),N50))</f>
        <v>0</v>
      </c>
      <c r="O49" s="561">
        <f ca="1">(IFERROR(IFERROR(VALUE(_xll.BDH(O$4,"PE_RATIO",$B49,$B49)),VALUE(_xll.BDH(O$4,"PE_RATIO",$B49+1,$B49+1))),O50))</f>
        <v>0</v>
      </c>
      <c r="P49" s="561"/>
      <c r="Q49" s="565">
        <f t="shared" ca="1" si="15"/>
        <v>45637</v>
      </c>
      <c r="R49" s="4">
        <v>137.09</v>
      </c>
      <c r="S49" s="4">
        <v>20227.46</v>
      </c>
      <c r="T49" s="4">
        <v>1238.4000000000001</v>
      </c>
      <c r="U49" s="4">
        <v>1.1056536817485281</v>
      </c>
      <c r="V49" s="4">
        <v>1.7945270255284227</v>
      </c>
      <c r="W49" s="4">
        <v>1.6686428802414575</v>
      </c>
      <c r="Y49" s="561">
        <f t="shared" si="16"/>
        <v>137.09</v>
      </c>
      <c r="Z49" s="4">
        <f ca="1">IFERROR(VALUE(_xll.BDH(Z$4,"PX_LAST",$Q49,$Q49)),Z50)</f>
        <v>0</v>
      </c>
      <c r="AA49" s="4">
        <f ca="1">IFERROR(VALUE(_xll.BDH(AA$4,"PX_LAST",$Q49,$Q49)),AA50)</f>
        <v>0</v>
      </c>
      <c r="AB49" s="4">
        <f ca="1">IFERROR(VALUE(_xll.BDH(AB$4,"PX_LAST",$Q49,$Q49)),AB50)</f>
        <v>0</v>
      </c>
      <c r="AC49" s="4">
        <f ca="1">IFERROR(VALUE(_xll.BDH(AC$4,"PX_LAST",$Q49,$Q49)),AC50)</f>
        <v>0</v>
      </c>
      <c r="AD49" s="4">
        <f ca="1">IFERROR(VALUE(_xll.BDH(AD$4,"PX_LAST",$Q49,$Q49)),AD50)</f>
        <v>0</v>
      </c>
      <c r="AF49" s="4">
        <f t="shared" si="17"/>
        <v>1.1056536817485281</v>
      </c>
      <c r="AG49" s="4" t="e">
        <f t="shared" ca="1" si="18"/>
        <v>#DIV/0!</v>
      </c>
      <c r="AH49" s="4" t="e">
        <f t="shared" ca="1" si="19"/>
        <v>#DIV/0!</v>
      </c>
      <c r="AI49" s="4" t="e">
        <f t="shared" ca="1" si="20"/>
        <v>#DIV/0!</v>
      </c>
      <c r="AJ49" s="4" t="e">
        <f t="shared" ca="1" si="21"/>
        <v>#DIV/0!</v>
      </c>
      <c r="AK49" s="4" t="e">
        <f t="shared" ca="1" si="22"/>
        <v>#DIV/0!</v>
      </c>
      <c r="AM49" s="563">
        <f t="shared" ca="1" si="12"/>
        <v>45900</v>
      </c>
      <c r="AN49" s="564">
        <v>149.69999999999999</v>
      </c>
      <c r="AO49" s="564">
        <v>536705</v>
      </c>
      <c r="AP49" s="564">
        <v>53481.521000000001</v>
      </c>
      <c r="AQ49" s="564">
        <v>8006183.6936999997</v>
      </c>
      <c r="AR49" s="564">
        <v>2.0821999999999998</v>
      </c>
    </row>
    <row r="50" spans="2:44">
      <c r="B50" s="565">
        <f t="shared" ca="1" si="23"/>
        <v>45630</v>
      </c>
      <c r="C50" s="561">
        <f ca="1">(IFERROR(IFERROR(VALUE(_xll.BDH(C$4,"CURRENT_EV_TO_T12M_EBITDA",$B50,$B50)),VALUE(_xll.BDH(C$4,"CURRENT_EV_TO_T12M_EBITDA",$B50+1,$B50+1))),C51))</f>
        <v>0</v>
      </c>
      <c r="D50" s="561">
        <f ca="1">(IFERROR(IFERROR(VALUE(_xll.BDH(D$4,"CURRENT_EV_TO_T12M_EBITDA",$B50,$B50)),VALUE(_xll.BDH(D$4,"CURRENT_EV_TO_T12M_EBITDA",$B50+1,$B50+1))),D51))</f>
        <v>0</v>
      </c>
      <c r="E50" s="561">
        <f ca="1">(IFERROR(IFERROR(VALUE(_xll.BDH(E$4,"CURRENT_EV_TO_T12M_EBITDA",$B50,$B50)),VALUE(_xll.BDH(E$4,"CURRENT_EV_TO_T12M_EBITDA",$B50+1,$B50+1))),E51))</f>
        <v>0</v>
      </c>
      <c r="F50" s="561">
        <f ca="1">(IFERROR(IFERROR(VALUE(_xll.BDH(F$4,"CURRENT_EV_TO_T12M_EBITDA",$B50,$B50)),VALUE(_xll.BDH(F$4,"CURRENT_EV_TO_T12M_EBITDA",$B50+1,$B50+1))),F51))</f>
        <v>0</v>
      </c>
      <c r="G50" s="561">
        <f ca="1">(IFERROR(IFERROR(VALUE(_xll.BDH(G$4,"CURRENT_EV_TO_T12M_EBITDA",$B50,$B50)),VALUE(_xll.BDH(G$4,"CURRENT_EV_TO_T12M_EBITDA",$B50+1,$B50+1))),G51))</f>
        <v>0</v>
      </c>
      <c r="H50" s="561">
        <f ca="1">(IFERROR(IFERROR(VALUE(_xll.BDH(H$4,"CURRENT_EV_TO_T12M_EBITDA",$B50,$B50)),VALUE(_xll.BDH(H$4,"CURRENT_EV_TO_T12M_EBITDA",$B50+1,$B50+1))),H51))</f>
        <v>0</v>
      </c>
      <c r="I50" s="565">
        <f t="shared" ca="1" si="14"/>
        <v>45630</v>
      </c>
      <c r="J50" s="561">
        <f ca="1">(IFERROR(IFERROR(VALUE(_xll.BDH(J$4,"PE_RATIO",$B50,$B50)),VALUE(_xll.BDH(J$4,"PE_RATIO",$B50+1,$B50+1))),J51))</f>
        <v>0</v>
      </c>
      <c r="K50" s="561">
        <f ca="1">(IFERROR(IFERROR(VALUE(_xll.BDH(K$4,"PE_RATIO",$B50,$B50)),VALUE(_xll.BDH(K$4,"PE_RATIO",$B50+1,$B50+1))),K51))</f>
        <v>0</v>
      </c>
      <c r="L50" s="561">
        <f ca="1">(IFERROR(IFERROR(VALUE(_xll.BDH(L$4,"PE_RATIO",$B50,$B50)),VALUE(_xll.BDH(L$4,"PE_RATIO",$B50+1,$B50+1))),L51))</f>
        <v>0</v>
      </c>
      <c r="M50" s="561">
        <f ca="1">(IFERROR(IFERROR(VALUE(_xll.BDH(M$4,"PE_RATIO",$B50,$B50)),VALUE(_xll.BDH(M$4,"PE_RATIO",$B50+1,$B50+1))),M51))</f>
        <v>0</v>
      </c>
      <c r="N50" s="561">
        <f ca="1">(IFERROR(IFERROR(VALUE(_xll.BDH(N$4,"PE_RATIO",$B50,$B50)),VALUE(_xll.BDH(N$4,"PE_RATIO",$B50+1,$B50+1))),N51))</f>
        <v>0</v>
      </c>
      <c r="O50" s="561">
        <f ca="1">(IFERROR(IFERROR(VALUE(_xll.BDH(O$4,"PE_RATIO",$B50,$B50)),VALUE(_xll.BDH(O$4,"PE_RATIO",$B50+1,$B50+1))),O51))</f>
        <v>0</v>
      </c>
      <c r="P50" s="561"/>
      <c r="Q50" s="565">
        <f t="shared" ca="1" si="15"/>
        <v>45630</v>
      </c>
      <c r="R50" s="4">
        <v>138</v>
      </c>
      <c r="S50" s="4">
        <v>20550.650000000001</v>
      </c>
      <c r="T50" s="4">
        <v>1217.5899999999999</v>
      </c>
      <c r="U50" s="4">
        <v>1.1129929833051053</v>
      </c>
      <c r="V50" s="4">
        <v>1.8231995919001043</v>
      </c>
      <c r="W50" s="4">
        <v>1.6406031044518701</v>
      </c>
      <c r="Y50" s="561">
        <f t="shared" si="16"/>
        <v>138</v>
      </c>
      <c r="Z50" s="4">
        <f ca="1">IFERROR(VALUE(_xll.BDH(Z$4,"PX_LAST",$Q50,$Q50)),Z51)</f>
        <v>0</v>
      </c>
      <c r="AA50" s="4">
        <f ca="1">IFERROR(VALUE(_xll.BDH(AA$4,"PX_LAST",$Q50,$Q50)),AA51)</f>
        <v>0</v>
      </c>
      <c r="AB50" s="4">
        <f ca="1">IFERROR(VALUE(_xll.BDH(AB$4,"PX_LAST",$Q50,$Q50)),AB51)</f>
        <v>0</v>
      </c>
      <c r="AC50" s="4">
        <f ca="1">IFERROR(VALUE(_xll.BDH(AC$4,"PX_LAST",$Q50,$Q50)),AC51)</f>
        <v>0</v>
      </c>
      <c r="AD50" s="4">
        <f ca="1">IFERROR(VALUE(_xll.BDH(AD$4,"PX_LAST",$Q50,$Q50)),AD51)</f>
        <v>0</v>
      </c>
      <c r="AF50" s="4">
        <f t="shared" si="17"/>
        <v>1.1129929833051053</v>
      </c>
      <c r="AG50" s="4" t="e">
        <f t="shared" ca="1" si="18"/>
        <v>#DIV/0!</v>
      </c>
      <c r="AH50" s="4" t="e">
        <f t="shared" ca="1" si="19"/>
        <v>#DIV/0!</v>
      </c>
      <c r="AI50" s="4" t="e">
        <f t="shared" ca="1" si="20"/>
        <v>#DIV/0!</v>
      </c>
      <c r="AJ50" s="4" t="e">
        <f t="shared" ca="1" si="21"/>
        <v>#DIV/0!</v>
      </c>
      <c r="AK50" s="4" t="e">
        <f t="shared" ca="1" si="22"/>
        <v>#DIV/0!</v>
      </c>
      <c r="AM50" s="563">
        <f t="shared" ca="1" si="12"/>
        <v>45899</v>
      </c>
      <c r="AN50" s="564">
        <v>149.69999999999999</v>
      </c>
      <c r="AO50" s="564">
        <v>536705</v>
      </c>
      <c r="AP50" s="564">
        <v>53481.521000000001</v>
      </c>
      <c r="AQ50" s="564">
        <v>8006183.6936999997</v>
      </c>
      <c r="AR50" s="564">
        <v>2.0821999999999998</v>
      </c>
    </row>
    <row r="51" spans="2:44">
      <c r="B51" s="565">
        <f t="shared" ca="1" si="23"/>
        <v>45623</v>
      </c>
      <c r="C51" s="561">
        <f ca="1">(IFERROR(IFERROR(VALUE(_xll.BDH(C$4,"CURRENT_EV_TO_T12M_EBITDA",$B51,$B51)),VALUE(_xll.BDH(C$4,"CURRENT_EV_TO_T12M_EBITDA",$B51+1,$B51+1))),C52))</f>
        <v>0</v>
      </c>
      <c r="D51" s="561">
        <f ca="1">(IFERROR(IFERROR(VALUE(_xll.BDH(D$4,"CURRENT_EV_TO_T12M_EBITDA",$B51,$B51)),VALUE(_xll.BDH(D$4,"CURRENT_EV_TO_T12M_EBITDA",$B51+1,$B51+1))),D52))</f>
        <v>0</v>
      </c>
      <c r="E51" s="561">
        <f ca="1">(IFERROR(IFERROR(VALUE(_xll.BDH(E$4,"CURRENT_EV_TO_T12M_EBITDA",$B51,$B51)),VALUE(_xll.BDH(E$4,"CURRENT_EV_TO_T12M_EBITDA",$B51+1,$B51+1))),E52))</f>
        <v>0</v>
      </c>
      <c r="F51" s="561">
        <f ca="1">(IFERROR(IFERROR(VALUE(_xll.BDH(F$4,"CURRENT_EV_TO_T12M_EBITDA",$B51,$B51)),VALUE(_xll.BDH(F$4,"CURRENT_EV_TO_T12M_EBITDA",$B51+1,$B51+1))),F52))</f>
        <v>0</v>
      </c>
      <c r="G51" s="561">
        <f ca="1">(IFERROR(IFERROR(VALUE(_xll.BDH(G$4,"CURRENT_EV_TO_T12M_EBITDA",$B51,$B51)),VALUE(_xll.BDH(G$4,"CURRENT_EV_TO_T12M_EBITDA",$B51+1,$B51+1))),G52))</f>
        <v>0</v>
      </c>
      <c r="H51" s="561">
        <f ca="1">(IFERROR(IFERROR(VALUE(_xll.BDH(H$4,"CURRENT_EV_TO_T12M_EBITDA",$B51,$B51)),VALUE(_xll.BDH(H$4,"CURRENT_EV_TO_T12M_EBITDA",$B51+1,$B51+1))),H52))</f>
        <v>0</v>
      </c>
      <c r="I51" s="565">
        <f t="shared" ca="1" si="14"/>
        <v>45623</v>
      </c>
      <c r="J51" s="561">
        <f ca="1">(IFERROR(IFERROR(VALUE(_xll.BDH(J$4,"PE_RATIO",$B51,$B51)),VALUE(_xll.BDH(J$4,"PE_RATIO",$B51+1,$B51+1))),J52))</f>
        <v>0</v>
      </c>
      <c r="K51" s="561">
        <f ca="1">(IFERROR(IFERROR(VALUE(_xll.BDH(K$4,"PE_RATIO",$B51,$B51)),VALUE(_xll.BDH(K$4,"PE_RATIO",$B51+1,$B51+1))),K52))</f>
        <v>0</v>
      </c>
      <c r="L51" s="561">
        <f ca="1">(IFERROR(IFERROR(VALUE(_xll.BDH(L$4,"PE_RATIO",$B51,$B51)),VALUE(_xll.BDH(L$4,"PE_RATIO",$B51+1,$B51+1))),L52))</f>
        <v>0</v>
      </c>
      <c r="M51" s="561">
        <f ca="1">(IFERROR(IFERROR(VALUE(_xll.BDH(M$4,"PE_RATIO",$B51,$B51)),VALUE(_xll.BDH(M$4,"PE_RATIO",$B51+1,$B51+1))),M52))</f>
        <v>0</v>
      </c>
      <c r="N51" s="561">
        <f ca="1">(IFERROR(IFERROR(VALUE(_xll.BDH(N$4,"PE_RATIO",$B51,$B51)),VALUE(_xll.BDH(N$4,"PE_RATIO",$B51+1,$B51+1))),N52))</f>
        <v>0</v>
      </c>
      <c r="O51" s="561">
        <f ca="1">(IFERROR(IFERROR(VALUE(_xll.BDH(O$4,"PE_RATIO",$B51,$B51)),VALUE(_xll.BDH(O$4,"PE_RATIO",$B51+1,$B51+1))),O52))</f>
        <v>0</v>
      </c>
      <c r="P51" s="561"/>
      <c r="Q51" s="565">
        <f t="shared" ca="1" si="15"/>
        <v>45623</v>
      </c>
      <c r="R51" s="4">
        <v>136.86000000000001</v>
      </c>
      <c r="S51" s="4">
        <v>20383.650000000001</v>
      </c>
      <c r="T51" s="4">
        <v>1226.27</v>
      </c>
      <c r="U51" s="4">
        <v>1.1037986934430197</v>
      </c>
      <c r="V51" s="4">
        <v>1.8083837913367491</v>
      </c>
      <c r="W51" s="4">
        <v>1.6522986956990406</v>
      </c>
      <c r="Y51" s="561">
        <f t="shared" si="16"/>
        <v>136.86000000000001</v>
      </c>
      <c r="Z51" s="4">
        <f ca="1">IFERROR(VALUE(_xll.BDH(Z$4,"PX_LAST",$Q51,$Q51)),Z52)</f>
        <v>0</v>
      </c>
      <c r="AA51" s="4">
        <f ca="1">IFERROR(VALUE(_xll.BDH(AA$4,"PX_LAST",$Q51,$Q51)),AA52)</f>
        <v>0</v>
      </c>
      <c r="AB51" s="4">
        <f ca="1">IFERROR(VALUE(_xll.BDH(AB$4,"PX_LAST",$Q51,$Q51)),AB52)</f>
        <v>0</v>
      </c>
      <c r="AC51" s="4">
        <f ca="1">IFERROR(VALUE(_xll.BDH(AC$4,"PX_LAST",$Q51,$Q51)),AC52)</f>
        <v>0</v>
      </c>
      <c r="AD51" s="4">
        <f ca="1">IFERROR(VALUE(_xll.BDH(AD$4,"PX_LAST",$Q51,$Q51)),AD52)</f>
        <v>0</v>
      </c>
      <c r="AF51" s="4">
        <f t="shared" si="17"/>
        <v>1.1037986934430197</v>
      </c>
      <c r="AG51" s="4" t="e">
        <f t="shared" ca="1" si="18"/>
        <v>#DIV/0!</v>
      </c>
      <c r="AH51" s="4" t="e">
        <f t="shared" ca="1" si="19"/>
        <v>#DIV/0!</v>
      </c>
      <c r="AI51" s="4" t="e">
        <f t="shared" ca="1" si="20"/>
        <v>#DIV/0!</v>
      </c>
      <c r="AJ51" s="4" t="e">
        <f t="shared" ca="1" si="21"/>
        <v>#DIV/0!</v>
      </c>
      <c r="AK51" s="4" t="e">
        <f t="shared" ca="1" si="22"/>
        <v>#DIV/0!</v>
      </c>
      <c r="AM51" s="563">
        <f t="shared" ca="1" si="12"/>
        <v>45898</v>
      </c>
      <c r="AN51" s="564">
        <v>148.46</v>
      </c>
      <c r="AO51" s="564">
        <v>549947</v>
      </c>
      <c r="AP51" s="564">
        <v>53481.521000000001</v>
      </c>
      <c r="AQ51" s="564">
        <v>7939866.6076600002</v>
      </c>
      <c r="AR51" s="564">
        <v>2.0649999999999999</v>
      </c>
    </row>
    <row r="52" spans="2:44">
      <c r="B52" s="565">
        <f t="shared" ca="1" si="23"/>
        <v>45616</v>
      </c>
      <c r="C52" s="561">
        <f ca="1">(IFERROR(IFERROR(VALUE(_xll.BDH(C$4,"CURRENT_EV_TO_T12M_EBITDA",$B52,$B52)),VALUE(_xll.BDH(C$4,"CURRENT_EV_TO_T12M_EBITDA",$B52+1,$B52+1))),C53))</f>
        <v>0</v>
      </c>
      <c r="D52" s="561">
        <f ca="1">(IFERROR(IFERROR(VALUE(_xll.BDH(D$4,"CURRENT_EV_TO_T12M_EBITDA",$B52,$B52)),VALUE(_xll.BDH(D$4,"CURRENT_EV_TO_T12M_EBITDA",$B52+1,$B52+1))),D53))</f>
        <v>0</v>
      </c>
      <c r="E52" s="561">
        <f ca="1">(IFERROR(IFERROR(VALUE(_xll.BDH(E$4,"CURRENT_EV_TO_T12M_EBITDA",$B52,$B52)),VALUE(_xll.BDH(E$4,"CURRENT_EV_TO_T12M_EBITDA",$B52+1,$B52+1))),E53))</f>
        <v>0</v>
      </c>
      <c r="F52" s="561">
        <f ca="1">(IFERROR(IFERROR(VALUE(_xll.BDH(F$4,"CURRENT_EV_TO_T12M_EBITDA",$B52,$B52)),VALUE(_xll.BDH(F$4,"CURRENT_EV_TO_T12M_EBITDA",$B52+1,$B52+1))),F53))</f>
        <v>0</v>
      </c>
      <c r="G52" s="561">
        <f ca="1">(IFERROR(IFERROR(VALUE(_xll.BDH(G$4,"CURRENT_EV_TO_T12M_EBITDA",$B52,$B52)),VALUE(_xll.BDH(G$4,"CURRENT_EV_TO_T12M_EBITDA",$B52+1,$B52+1))),G53))</f>
        <v>0</v>
      </c>
      <c r="H52" s="561">
        <f ca="1">(IFERROR(IFERROR(VALUE(_xll.BDH(H$4,"CURRENT_EV_TO_T12M_EBITDA",$B52,$B52)),VALUE(_xll.BDH(H$4,"CURRENT_EV_TO_T12M_EBITDA",$B52+1,$B52+1))),H53))</f>
        <v>0</v>
      </c>
      <c r="I52" s="565">
        <f t="shared" ca="1" si="14"/>
        <v>45616</v>
      </c>
      <c r="J52" s="561">
        <f ca="1">(IFERROR(IFERROR(VALUE(_xll.BDH(J$4,"PE_RATIO",$B52,$B52)),VALUE(_xll.BDH(J$4,"PE_RATIO",$B52+1,$B52+1))),J53))</f>
        <v>0</v>
      </c>
      <c r="K52" s="561">
        <f ca="1">(IFERROR(IFERROR(VALUE(_xll.BDH(K$4,"PE_RATIO",$B52,$B52)),VALUE(_xll.BDH(K$4,"PE_RATIO",$B52+1,$B52+1))),K53))</f>
        <v>0</v>
      </c>
      <c r="L52" s="561">
        <f ca="1">(IFERROR(IFERROR(VALUE(_xll.BDH(L$4,"PE_RATIO",$B52,$B52)),VALUE(_xll.BDH(L$4,"PE_RATIO",$B52+1,$B52+1))),L53))</f>
        <v>0</v>
      </c>
      <c r="M52" s="561">
        <f ca="1">(IFERROR(IFERROR(VALUE(_xll.BDH(M$4,"PE_RATIO",$B52,$B52)),VALUE(_xll.BDH(M$4,"PE_RATIO",$B52+1,$B52+1))),M53))</f>
        <v>0</v>
      </c>
      <c r="N52" s="561">
        <f ca="1">(IFERROR(IFERROR(VALUE(_xll.BDH(N$4,"PE_RATIO",$B52,$B52)),VALUE(_xll.BDH(N$4,"PE_RATIO",$B52+1,$B52+1))),N53))</f>
        <v>0</v>
      </c>
      <c r="O52" s="561">
        <f ca="1">(IFERROR(IFERROR(VALUE(_xll.BDH(O$4,"PE_RATIO",$B52,$B52)),VALUE(_xll.BDH(O$4,"PE_RATIO",$B52+1,$B52+1))),O53))</f>
        <v>0</v>
      </c>
      <c r="P52" s="561"/>
      <c r="Q52" s="565">
        <f t="shared" ca="1" si="15"/>
        <v>45616</v>
      </c>
      <c r="R52" s="4">
        <v>137.83000000000001</v>
      </c>
      <c r="S52" s="4">
        <v>20159.830000000002</v>
      </c>
      <c r="T52" s="4">
        <v>1239.48</v>
      </c>
      <c r="U52" s="4">
        <v>1.1116219049923382</v>
      </c>
      <c r="V52" s="4">
        <v>1.7885270698871074</v>
      </c>
      <c r="W52" s="4">
        <v>1.6700980920556214</v>
      </c>
      <c r="Y52" s="561">
        <f t="shared" si="16"/>
        <v>137.83000000000001</v>
      </c>
      <c r="Z52" s="4">
        <f ca="1">IFERROR(VALUE(_xll.BDH(Z$4,"PX_LAST",$Q52,$Q52)),Z53)</f>
        <v>0</v>
      </c>
      <c r="AA52" s="4">
        <f ca="1">IFERROR(VALUE(_xll.BDH(AA$4,"PX_LAST",$Q52,$Q52)),AA53)</f>
        <v>0</v>
      </c>
      <c r="AB52" s="4">
        <f ca="1">IFERROR(VALUE(_xll.BDH(AB$4,"PX_LAST",$Q52,$Q52)),AB53)</f>
        <v>0</v>
      </c>
      <c r="AC52" s="4">
        <f ca="1">IFERROR(VALUE(_xll.BDH(AC$4,"PX_LAST",$Q52,$Q52)),AC53)</f>
        <v>0</v>
      </c>
      <c r="AD52" s="4">
        <f ca="1">IFERROR(VALUE(_xll.BDH(AD$4,"PX_LAST",$Q52,$Q52)),AD53)</f>
        <v>0</v>
      </c>
      <c r="AF52" s="4">
        <f t="shared" si="17"/>
        <v>1.1116219049923382</v>
      </c>
      <c r="AG52" s="4" t="e">
        <f t="shared" ca="1" si="18"/>
        <v>#DIV/0!</v>
      </c>
      <c r="AH52" s="4" t="e">
        <f t="shared" ca="1" si="19"/>
        <v>#DIV/0!</v>
      </c>
      <c r="AI52" s="4" t="e">
        <f t="shared" ca="1" si="20"/>
        <v>#DIV/0!</v>
      </c>
      <c r="AJ52" s="4" t="e">
        <f t="shared" ca="1" si="21"/>
        <v>#DIV/0!</v>
      </c>
      <c r="AK52" s="4" t="e">
        <f t="shared" ca="1" si="22"/>
        <v>#DIV/0!</v>
      </c>
      <c r="AM52" s="563">
        <f t="shared" ca="1" si="12"/>
        <v>45897</v>
      </c>
      <c r="AN52" s="564">
        <v>149.57</v>
      </c>
      <c r="AO52" s="564">
        <v>1031909</v>
      </c>
      <c r="AP52" s="564">
        <v>53481.521000000001</v>
      </c>
      <c r="AQ52" s="564">
        <v>7999231.0959700001</v>
      </c>
      <c r="AR52" s="564">
        <v>2.0804</v>
      </c>
    </row>
    <row r="53" spans="2:44">
      <c r="B53" s="565">
        <f t="shared" ca="1" si="23"/>
        <v>45609</v>
      </c>
      <c r="C53" s="561">
        <f ca="1">(IFERROR(IFERROR(VALUE(_xll.BDH(C$4,"CURRENT_EV_TO_T12M_EBITDA",$B53,$B53)),VALUE(_xll.BDH(C$4,"CURRENT_EV_TO_T12M_EBITDA",$B53+1,$B53+1))),C54))</f>
        <v>0</v>
      </c>
      <c r="D53" s="561">
        <f ca="1">(IFERROR(IFERROR(VALUE(_xll.BDH(D$4,"CURRENT_EV_TO_T12M_EBITDA",$B53,$B53)),VALUE(_xll.BDH(D$4,"CURRENT_EV_TO_T12M_EBITDA",$B53+1,$B53+1))),D54))</f>
        <v>0</v>
      </c>
      <c r="E53" s="561">
        <f ca="1">(IFERROR(IFERROR(VALUE(_xll.BDH(E$4,"CURRENT_EV_TO_T12M_EBITDA",$B53,$B53)),VALUE(_xll.BDH(E$4,"CURRENT_EV_TO_T12M_EBITDA",$B53+1,$B53+1))),E54))</f>
        <v>0</v>
      </c>
      <c r="F53" s="561">
        <f ca="1">(IFERROR(IFERROR(VALUE(_xll.BDH(F$4,"CURRENT_EV_TO_T12M_EBITDA",$B53,$B53)),VALUE(_xll.BDH(F$4,"CURRENT_EV_TO_T12M_EBITDA",$B53+1,$B53+1))),F54))</f>
        <v>0</v>
      </c>
      <c r="G53" s="561">
        <f ca="1">(IFERROR(IFERROR(VALUE(_xll.BDH(G$4,"CURRENT_EV_TO_T12M_EBITDA",$B53,$B53)),VALUE(_xll.BDH(G$4,"CURRENT_EV_TO_T12M_EBITDA",$B53+1,$B53+1))),G54))</f>
        <v>0</v>
      </c>
      <c r="H53" s="561">
        <f ca="1">(IFERROR(IFERROR(VALUE(_xll.BDH(H$4,"CURRENT_EV_TO_T12M_EBITDA",$B53,$B53)),VALUE(_xll.BDH(H$4,"CURRENT_EV_TO_T12M_EBITDA",$B53+1,$B53+1))),H54))</f>
        <v>0</v>
      </c>
      <c r="I53" s="565">
        <f t="shared" ca="1" si="14"/>
        <v>45609</v>
      </c>
      <c r="J53" s="561">
        <f ca="1">(IFERROR(IFERROR(VALUE(_xll.BDH(J$4,"PE_RATIO",$B53,$B53)),VALUE(_xll.BDH(J$4,"PE_RATIO",$B53+1,$B53+1))),J54))</f>
        <v>0</v>
      </c>
      <c r="K53" s="561">
        <f ca="1">(IFERROR(IFERROR(VALUE(_xll.BDH(K$4,"PE_RATIO",$B53,$B53)),VALUE(_xll.BDH(K$4,"PE_RATIO",$B53+1,$B53+1))),K54))</f>
        <v>0</v>
      </c>
      <c r="L53" s="561">
        <f ca="1">(IFERROR(IFERROR(VALUE(_xll.BDH(L$4,"PE_RATIO",$B53,$B53)),VALUE(_xll.BDH(L$4,"PE_RATIO",$B53+1,$B53+1))),L54))</f>
        <v>0</v>
      </c>
      <c r="M53" s="561">
        <f ca="1">(IFERROR(IFERROR(VALUE(_xll.BDH(M$4,"PE_RATIO",$B53,$B53)),VALUE(_xll.BDH(M$4,"PE_RATIO",$B53+1,$B53+1))),M54))</f>
        <v>0</v>
      </c>
      <c r="N53" s="561">
        <f ca="1">(IFERROR(IFERROR(VALUE(_xll.BDH(N$4,"PE_RATIO",$B53,$B53)),VALUE(_xll.BDH(N$4,"PE_RATIO",$B53+1,$B53+1))),N54))</f>
        <v>0</v>
      </c>
      <c r="O53" s="561">
        <f ca="1">(IFERROR(IFERROR(VALUE(_xll.BDH(O$4,"PE_RATIO",$B53,$B53)),VALUE(_xll.BDH(O$4,"PE_RATIO",$B53+1,$B53+1))),O54))</f>
        <v>0</v>
      </c>
      <c r="P53" s="561"/>
      <c r="Q53" s="565">
        <f t="shared" ca="1" si="15"/>
        <v>45609</v>
      </c>
      <c r="R53" s="4">
        <v>132</v>
      </c>
      <c r="S53" s="4">
        <v>20107.78</v>
      </c>
      <c r="T53" s="4">
        <v>1215.6400000000001</v>
      </c>
      <c r="U53" s="4">
        <v>1.0646019840309704</v>
      </c>
      <c r="V53" s="4">
        <v>1.7839093308492469</v>
      </c>
      <c r="W53" s="4">
        <v>1.6379756386762965</v>
      </c>
      <c r="Y53" s="561">
        <f t="shared" si="16"/>
        <v>132</v>
      </c>
      <c r="Z53" s="4">
        <f ca="1">IFERROR(VALUE(_xll.BDH(Z$4,"PX_LAST",$Q53,$Q53)),Z54)</f>
        <v>0</v>
      </c>
      <c r="AA53" s="4">
        <f ca="1">IFERROR(VALUE(_xll.BDH(AA$4,"PX_LAST",$Q53,$Q53)),AA54)</f>
        <v>0</v>
      </c>
      <c r="AB53" s="4">
        <f ca="1">IFERROR(VALUE(_xll.BDH(AB$4,"PX_LAST",$Q53,$Q53)),AB54)</f>
        <v>0</v>
      </c>
      <c r="AC53" s="4">
        <f ca="1">IFERROR(VALUE(_xll.BDH(AC$4,"PX_LAST",$Q53,$Q53)),AC54)</f>
        <v>0</v>
      </c>
      <c r="AD53" s="4">
        <f ca="1">IFERROR(VALUE(_xll.BDH(AD$4,"PX_LAST",$Q53,$Q53)),AD54)</f>
        <v>0</v>
      </c>
      <c r="AF53" s="4">
        <f t="shared" si="17"/>
        <v>1.0646019840309704</v>
      </c>
      <c r="AG53" s="4" t="e">
        <f t="shared" ca="1" si="18"/>
        <v>#DIV/0!</v>
      </c>
      <c r="AH53" s="4" t="e">
        <f t="shared" ca="1" si="19"/>
        <v>#DIV/0!</v>
      </c>
      <c r="AI53" s="4" t="e">
        <f t="shared" ca="1" si="20"/>
        <v>#DIV/0!</v>
      </c>
      <c r="AJ53" s="4" t="e">
        <f t="shared" ca="1" si="21"/>
        <v>#DIV/0!</v>
      </c>
      <c r="AK53" s="4" t="e">
        <f t="shared" ca="1" si="22"/>
        <v>#DIV/0!</v>
      </c>
      <c r="AM53" s="563">
        <f t="shared" ca="1" si="12"/>
        <v>45896</v>
      </c>
      <c r="AN53" s="564">
        <v>149.47999999999999</v>
      </c>
      <c r="AO53" s="564">
        <v>792502</v>
      </c>
      <c r="AP53" s="564">
        <v>53481.521000000001</v>
      </c>
      <c r="AQ53" s="564">
        <v>7994417.7590799993</v>
      </c>
      <c r="AR53" s="564">
        <v>2.0792000000000002</v>
      </c>
    </row>
    <row r="54" spans="2:44">
      <c r="B54" s="565">
        <f t="shared" ca="1" si="23"/>
        <v>45602</v>
      </c>
      <c r="C54" s="561">
        <f ca="1">(IFERROR(IFERROR(VALUE(_xll.BDH(C$4,"CURRENT_EV_TO_T12M_EBITDA",$B54,$B54)),VALUE(_xll.BDH(C$4,"CURRENT_EV_TO_T12M_EBITDA",$B54+1,$B54+1))),C55))</f>
        <v>0</v>
      </c>
      <c r="D54" s="561">
        <f ca="1">(IFERROR(IFERROR(VALUE(_xll.BDH(D$4,"CURRENT_EV_TO_T12M_EBITDA",$B54,$B54)),VALUE(_xll.BDH(D$4,"CURRENT_EV_TO_T12M_EBITDA",$B54+1,$B54+1))),D55))</f>
        <v>0</v>
      </c>
      <c r="E54" s="561">
        <f ca="1">(IFERROR(IFERROR(VALUE(_xll.BDH(E$4,"CURRENT_EV_TO_T12M_EBITDA",$B54,$B54)),VALUE(_xll.BDH(E$4,"CURRENT_EV_TO_T12M_EBITDA",$B54+1,$B54+1))),E55))</f>
        <v>0</v>
      </c>
      <c r="F54" s="561">
        <f ca="1">(IFERROR(IFERROR(VALUE(_xll.BDH(F$4,"CURRENT_EV_TO_T12M_EBITDA",$B54,$B54)),VALUE(_xll.BDH(F$4,"CURRENT_EV_TO_T12M_EBITDA",$B54+1,$B54+1))),F55))</f>
        <v>0</v>
      </c>
      <c r="G54" s="561">
        <f ca="1">(IFERROR(IFERROR(VALUE(_xll.BDH(G$4,"CURRENT_EV_TO_T12M_EBITDA",$B54,$B54)),VALUE(_xll.BDH(G$4,"CURRENT_EV_TO_T12M_EBITDA",$B54+1,$B54+1))),G55))</f>
        <v>0</v>
      </c>
      <c r="H54" s="561">
        <f ca="1">(IFERROR(IFERROR(VALUE(_xll.BDH(H$4,"CURRENT_EV_TO_T12M_EBITDA",$B54,$B54)),VALUE(_xll.BDH(H$4,"CURRENT_EV_TO_T12M_EBITDA",$B54+1,$B54+1))),H55))</f>
        <v>0</v>
      </c>
      <c r="I54" s="565">
        <f t="shared" ca="1" si="14"/>
        <v>45602</v>
      </c>
      <c r="J54" s="561">
        <f ca="1">(IFERROR(IFERROR(VALUE(_xll.BDH(J$4,"PE_RATIO",$B54,$B54)),VALUE(_xll.BDH(J$4,"PE_RATIO",$B54+1,$B54+1))),J55))</f>
        <v>0</v>
      </c>
      <c r="K54" s="561">
        <f ca="1">(IFERROR(IFERROR(VALUE(_xll.BDH(K$4,"PE_RATIO",$B54,$B54)),VALUE(_xll.BDH(K$4,"PE_RATIO",$B54+1,$B54+1))),K55))</f>
        <v>0</v>
      </c>
      <c r="L54" s="561">
        <f ca="1">(IFERROR(IFERROR(VALUE(_xll.BDH(L$4,"PE_RATIO",$B54,$B54)),VALUE(_xll.BDH(L$4,"PE_RATIO",$B54+1,$B54+1))),L55))</f>
        <v>0</v>
      </c>
      <c r="M54" s="561">
        <f ca="1">(IFERROR(IFERROR(VALUE(_xll.BDH(M$4,"PE_RATIO",$B54,$B54)),VALUE(_xll.BDH(M$4,"PE_RATIO",$B54+1,$B54+1))),M55))</f>
        <v>0</v>
      </c>
      <c r="N54" s="561">
        <f ca="1">(IFERROR(IFERROR(VALUE(_xll.BDH(N$4,"PE_RATIO",$B54,$B54)),VALUE(_xll.BDH(N$4,"PE_RATIO",$B54+1,$B54+1))),N55))</f>
        <v>0</v>
      </c>
      <c r="O54" s="561">
        <f ca="1">(IFERROR(IFERROR(VALUE(_xll.BDH(O$4,"PE_RATIO",$B54,$B54)),VALUE(_xll.BDH(O$4,"PE_RATIO",$B54+1,$B54+1))),O55))</f>
        <v>0</v>
      </c>
      <c r="P54" s="561"/>
      <c r="Q54" s="565">
        <f t="shared" ca="1" si="15"/>
        <v>45602</v>
      </c>
      <c r="R54" s="4">
        <v>138.22999999999999</v>
      </c>
      <c r="S54" s="4">
        <v>19773.3</v>
      </c>
      <c r="T54" s="4">
        <v>1230.2</v>
      </c>
      <c r="U54" s="4">
        <v>1.1148479716106137</v>
      </c>
      <c r="V54" s="4">
        <v>1.7542351453855878</v>
      </c>
      <c r="W54" s="4">
        <v>1.6575940498005821</v>
      </c>
      <c r="Y54" s="561">
        <f t="shared" si="16"/>
        <v>138.22999999999999</v>
      </c>
      <c r="Z54" s="4">
        <f ca="1">IFERROR(VALUE(_xll.BDH(Z$4,"PX_LAST",$Q54,$Q54)),Z55)</f>
        <v>0</v>
      </c>
      <c r="AA54" s="4">
        <f ca="1">IFERROR(VALUE(_xll.BDH(AA$4,"PX_LAST",$Q54,$Q54)),AA55)</f>
        <v>0</v>
      </c>
      <c r="AB54" s="4">
        <f ca="1">IFERROR(VALUE(_xll.BDH(AB$4,"PX_LAST",$Q54,$Q54)),AB55)</f>
        <v>0</v>
      </c>
      <c r="AC54" s="4">
        <f ca="1">IFERROR(VALUE(_xll.BDH(AC$4,"PX_LAST",$Q54,$Q54)),AC55)</f>
        <v>0</v>
      </c>
      <c r="AD54" s="4">
        <f ca="1">IFERROR(VALUE(_xll.BDH(AD$4,"PX_LAST",$Q54,$Q54)),AD55)</f>
        <v>0</v>
      </c>
      <c r="AF54" s="4">
        <f t="shared" si="17"/>
        <v>1.1148479716106137</v>
      </c>
      <c r="AG54" s="4" t="e">
        <f t="shared" ca="1" si="18"/>
        <v>#DIV/0!</v>
      </c>
      <c r="AH54" s="4" t="e">
        <f t="shared" ca="1" si="19"/>
        <v>#DIV/0!</v>
      </c>
      <c r="AI54" s="4" t="e">
        <f t="shared" ca="1" si="20"/>
        <v>#DIV/0!</v>
      </c>
      <c r="AJ54" s="4" t="e">
        <f t="shared" ca="1" si="21"/>
        <v>#DIV/0!</v>
      </c>
      <c r="AK54" s="4" t="e">
        <f t="shared" ca="1" si="22"/>
        <v>#DIV/0!</v>
      </c>
      <c r="AM54" s="563">
        <f t="shared" ca="1" si="12"/>
        <v>45895</v>
      </c>
      <c r="AN54" s="564">
        <v>144.46</v>
      </c>
      <c r="AO54" s="564">
        <v>1294863</v>
      </c>
      <c r="AP54" s="564">
        <v>53481.521000000001</v>
      </c>
      <c r="AQ54" s="564">
        <v>7725940.5236600004</v>
      </c>
      <c r="AR54" s="564">
        <v>2.0093999999999999</v>
      </c>
    </row>
    <row r="55" spans="2:44">
      <c r="B55" s="565">
        <f t="shared" ca="1" si="23"/>
        <v>45595</v>
      </c>
      <c r="C55" s="561">
        <f ca="1">(IFERROR(IFERROR(VALUE(_xll.BDH(C$4,"CURRENT_EV_TO_T12M_EBITDA",$B55,$B55)),VALUE(_xll.BDH(C$4,"CURRENT_EV_TO_T12M_EBITDA",$B55+1,$B55+1))),C56))</f>
        <v>0</v>
      </c>
      <c r="D55" s="561">
        <f ca="1">(IFERROR(IFERROR(VALUE(_xll.BDH(D$4,"CURRENT_EV_TO_T12M_EBITDA",$B55,$B55)),VALUE(_xll.BDH(D$4,"CURRENT_EV_TO_T12M_EBITDA",$B55+1,$B55+1))),D56))</f>
        <v>0</v>
      </c>
      <c r="E55" s="561">
        <f ca="1">(IFERROR(IFERROR(VALUE(_xll.BDH(E$4,"CURRENT_EV_TO_T12M_EBITDA",$B55,$B55)),VALUE(_xll.BDH(E$4,"CURRENT_EV_TO_T12M_EBITDA",$B55+1,$B55+1))),E56))</f>
        <v>0</v>
      </c>
      <c r="F55" s="561">
        <f ca="1">(IFERROR(IFERROR(VALUE(_xll.BDH(F$4,"CURRENT_EV_TO_T12M_EBITDA",$B55,$B55)),VALUE(_xll.BDH(F$4,"CURRENT_EV_TO_T12M_EBITDA",$B55+1,$B55+1))),F56))</f>
        <v>0</v>
      </c>
      <c r="G55" s="561">
        <f ca="1">(IFERROR(IFERROR(VALUE(_xll.BDH(G$4,"CURRENT_EV_TO_T12M_EBITDA",$B55,$B55)),VALUE(_xll.BDH(G$4,"CURRENT_EV_TO_T12M_EBITDA",$B55+1,$B55+1))),G56))</f>
        <v>0</v>
      </c>
      <c r="H55" s="561">
        <f ca="1">(IFERROR(IFERROR(VALUE(_xll.BDH(H$4,"CURRENT_EV_TO_T12M_EBITDA",$B55,$B55)),VALUE(_xll.BDH(H$4,"CURRENT_EV_TO_T12M_EBITDA",$B55+1,$B55+1))),H56))</f>
        <v>0</v>
      </c>
      <c r="I55" s="565">
        <f t="shared" ca="1" si="14"/>
        <v>45595</v>
      </c>
      <c r="J55" s="561">
        <f ca="1">(IFERROR(IFERROR(VALUE(_xll.BDH(J$4,"PE_RATIO",$B55,$B55)),VALUE(_xll.BDH(J$4,"PE_RATIO",$B55+1,$B55+1))),J56))</f>
        <v>0</v>
      </c>
      <c r="K55" s="561">
        <f ca="1">(IFERROR(IFERROR(VALUE(_xll.BDH(K$4,"PE_RATIO",$B55,$B55)),VALUE(_xll.BDH(K$4,"PE_RATIO",$B55+1,$B55+1))),K56))</f>
        <v>0</v>
      </c>
      <c r="L55" s="561">
        <f ca="1">(IFERROR(IFERROR(VALUE(_xll.BDH(L$4,"PE_RATIO",$B55,$B55)),VALUE(_xll.BDH(L$4,"PE_RATIO",$B55+1,$B55+1))),L56))</f>
        <v>0</v>
      </c>
      <c r="M55" s="561">
        <f ca="1">(IFERROR(IFERROR(VALUE(_xll.BDH(M$4,"PE_RATIO",$B55,$B55)),VALUE(_xll.BDH(M$4,"PE_RATIO",$B55+1,$B55+1))),M56))</f>
        <v>0</v>
      </c>
      <c r="N55" s="561">
        <f ca="1">(IFERROR(IFERROR(VALUE(_xll.BDH(N$4,"PE_RATIO",$B55,$B55)),VALUE(_xll.BDH(N$4,"PE_RATIO",$B55+1,$B55+1))),N56))</f>
        <v>0</v>
      </c>
      <c r="O55" s="561">
        <f ca="1">(IFERROR(IFERROR(VALUE(_xll.BDH(O$4,"PE_RATIO",$B55,$B55)),VALUE(_xll.BDH(O$4,"PE_RATIO",$B55+1,$B55+1))),O56))</f>
        <v>0</v>
      </c>
      <c r="P55" s="561"/>
      <c r="Q55" s="565">
        <f t="shared" ca="1" si="15"/>
        <v>45595</v>
      </c>
      <c r="R55" s="4">
        <v>144.82</v>
      </c>
      <c r="S55" s="4">
        <v>19944.84</v>
      </c>
      <c r="T55" s="4">
        <v>1222.22</v>
      </c>
      <c r="U55" s="4">
        <v>1.1679974191467053</v>
      </c>
      <c r="V55" s="4">
        <v>1.7694537228025817</v>
      </c>
      <c r="W55" s="4">
        <v>1.6468416513959254</v>
      </c>
      <c r="Y55" s="561">
        <f t="shared" si="16"/>
        <v>144.82</v>
      </c>
      <c r="Z55" s="4">
        <f ca="1">IFERROR(VALUE(_xll.BDH(Z$4,"PX_LAST",$Q55,$Q55)),Z56)</f>
        <v>0</v>
      </c>
      <c r="AA55" s="4">
        <f ca="1">IFERROR(VALUE(_xll.BDH(AA$4,"PX_LAST",$Q55,$Q55)),AA56)</f>
        <v>0</v>
      </c>
      <c r="AB55" s="4">
        <f ca="1">IFERROR(VALUE(_xll.BDH(AB$4,"PX_LAST",$Q55,$Q55)),AB56)</f>
        <v>0</v>
      </c>
      <c r="AC55" s="4">
        <f ca="1">IFERROR(VALUE(_xll.BDH(AC$4,"PX_LAST",$Q55,$Q55)),AC56)</f>
        <v>0</v>
      </c>
      <c r="AD55" s="4">
        <f ca="1">IFERROR(VALUE(_xll.BDH(AD$4,"PX_LAST",$Q55,$Q55)),AD56)</f>
        <v>0</v>
      </c>
      <c r="AF55" s="4">
        <f t="shared" si="17"/>
        <v>1.1679974191467053</v>
      </c>
      <c r="AG55" s="4" t="e">
        <f t="shared" ca="1" si="18"/>
        <v>#DIV/0!</v>
      </c>
      <c r="AH55" s="4" t="e">
        <f t="shared" ca="1" si="19"/>
        <v>#DIV/0!</v>
      </c>
      <c r="AI55" s="4" t="e">
        <f t="shared" ca="1" si="20"/>
        <v>#DIV/0!</v>
      </c>
      <c r="AJ55" s="4" t="e">
        <f t="shared" ca="1" si="21"/>
        <v>#DIV/0!</v>
      </c>
      <c r="AK55" s="4" t="e">
        <f t="shared" ca="1" si="22"/>
        <v>#DIV/0!</v>
      </c>
      <c r="AM55" s="563">
        <f t="shared" ca="1" si="12"/>
        <v>45894</v>
      </c>
      <c r="AN55" s="564">
        <v>146.47999999999999</v>
      </c>
      <c r="AO55" s="564">
        <v>504527</v>
      </c>
      <c r="AP55" s="564">
        <v>53481.521000000001</v>
      </c>
      <c r="AQ55" s="564">
        <v>7833973.1960799992</v>
      </c>
      <c r="AR55" s="564">
        <v>2.0375000000000001</v>
      </c>
    </row>
    <row r="56" spans="2:44">
      <c r="B56" s="565">
        <f t="shared" ca="1" si="23"/>
        <v>45588</v>
      </c>
      <c r="C56" s="561">
        <f ca="1">(IFERROR(IFERROR(VALUE(_xll.BDH(C$4,"CURRENT_EV_TO_T12M_EBITDA",$B56,$B56)),VALUE(_xll.BDH(C$4,"CURRENT_EV_TO_T12M_EBITDA",$B56+1,$B56+1))),C57))</f>
        <v>0</v>
      </c>
      <c r="D56" s="561">
        <f ca="1">(IFERROR(IFERROR(VALUE(_xll.BDH(D$4,"CURRENT_EV_TO_T12M_EBITDA",$B56,$B56)),VALUE(_xll.BDH(D$4,"CURRENT_EV_TO_T12M_EBITDA",$B56+1,$B56+1))),D57))</f>
        <v>0</v>
      </c>
      <c r="E56" s="561">
        <f ca="1">(IFERROR(IFERROR(VALUE(_xll.BDH(E$4,"CURRENT_EV_TO_T12M_EBITDA",$B56,$B56)),VALUE(_xll.BDH(E$4,"CURRENT_EV_TO_T12M_EBITDA",$B56+1,$B56+1))),E57))</f>
        <v>0</v>
      </c>
      <c r="F56" s="561">
        <f ca="1">(IFERROR(IFERROR(VALUE(_xll.BDH(F$4,"CURRENT_EV_TO_T12M_EBITDA",$B56,$B56)),VALUE(_xll.BDH(F$4,"CURRENT_EV_TO_T12M_EBITDA",$B56+1,$B56+1))),F57))</f>
        <v>0</v>
      </c>
      <c r="G56" s="561">
        <f ca="1">(IFERROR(IFERROR(VALUE(_xll.BDH(G$4,"CURRENT_EV_TO_T12M_EBITDA",$B56,$B56)),VALUE(_xll.BDH(G$4,"CURRENT_EV_TO_T12M_EBITDA",$B56+1,$B56+1))),G57))</f>
        <v>0</v>
      </c>
      <c r="H56" s="561">
        <f ca="1">(IFERROR(IFERROR(VALUE(_xll.BDH(H$4,"CURRENT_EV_TO_T12M_EBITDA",$B56,$B56)),VALUE(_xll.BDH(H$4,"CURRENT_EV_TO_T12M_EBITDA",$B56+1,$B56+1))),H57))</f>
        <v>0</v>
      </c>
      <c r="I56" s="565">
        <f t="shared" ca="1" si="14"/>
        <v>45588</v>
      </c>
      <c r="J56" s="561">
        <f ca="1">(IFERROR(IFERROR(VALUE(_xll.BDH(J$4,"PE_RATIO",$B56,$B56)),VALUE(_xll.BDH(J$4,"PE_RATIO",$B56+1,$B56+1))),J57))</f>
        <v>0</v>
      </c>
      <c r="K56" s="561">
        <f ca="1">(IFERROR(IFERROR(VALUE(_xll.BDH(K$4,"PE_RATIO",$B56,$B56)),VALUE(_xll.BDH(K$4,"PE_RATIO",$B56+1,$B56+1))),K57))</f>
        <v>0</v>
      </c>
      <c r="L56" s="561">
        <f ca="1">(IFERROR(IFERROR(VALUE(_xll.BDH(L$4,"PE_RATIO",$B56,$B56)),VALUE(_xll.BDH(L$4,"PE_RATIO",$B56+1,$B56+1))),L57))</f>
        <v>0</v>
      </c>
      <c r="M56" s="561">
        <f ca="1">(IFERROR(IFERROR(VALUE(_xll.BDH(M$4,"PE_RATIO",$B56,$B56)),VALUE(_xll.BDH(M$4,"PE_RATIO",$B56+1,$B56+1))),M57))</f>
        <v>0</v>
      </c>
      <c r="N56" s="561">
        <f ca="1">(IFERROR(IFERROR(VALUE(_xll.BDH(N$4,"PE_RATIO",$B56,$B56)),VALUE(_xll.BDH(N$4,"PE_RATIO",$B56+1,$B56+1))),N57))</f>
        <v>0</v>
      </c>
      <c r="O56" s="561">
        <f ca="1">(IFERROR(IFERROR(VALUE(_xll.BDH(O$4,"PE_RATIO",$B56,$B56)),VALUE(_xll.BDH(O$4,"PE_RATIO",$B56+1,$B56+1))),O57))</f>
        <v>0</v>
      </c>
      <c r="P56" s="561"/>
      <c r="Q56" s="565">
        <f t="shared" ca="1" si="15"/>
        <v>45588</v>
      </c>
      <c r="R56" s="4">
        <v>139.19</v>
      </c>
      <c r="S56" s="4">
        <v>19432.400000000001</v>
      </c>
      <c r="T56" s="4">
        <v>1189.3800000000001</v>
      </c>
      <c r="U56" s="4">
        <v>1.1225905314944753</v>
      </c>
      <c r="V56" s="4">
        <v>1.7239913944152419</v>
      </c>
      <c r="W56" s="4">
        <v>1.6025924328985666</v>
      </c>
      <c r="Y56" s="561">
        <f t="shared" si="16"/>
        <v>139.19</v>
      </c>
      <c r="Z56" s="4">
        <f ca="1">IFERROR(VALUE(_xll.BDH(Z$4,"PX_LAST",$Q56,$Q56)),Z57)</f>
        <v>0</v>
      </c>
      <c r="AA56" s="4">
        <f ca="1">IFERROR(VALUE(_xll.BDH(AA$4,"PX_LAST",$Q56,$Q56)),AA57)</f>
        <v>0</v>
      </c>
      <c r="AB56" s="4">
        <f ca="1">IFERROR(VALUE(_xll.BDH(AB$4,"PX_LAST",$Q56,$Q56)),AB57)</f>
        <v>0</v>
      </c>
      <c r="AC56" s="4">
        <f ca="1">IFERROR(VALUE(_xll.BDH(AC$4,"PX_LAST",$Q56,$Q56)),AC57)</f>
        <v>0</v>
      </c>
      <c r="AD56" s="4">
        <f ca="1">IFERROR(VALUE(_xll.BDH(AD$4,"PX_LAST",$Q56,$Q56)),AD57)</f>
        <v>0</v>
      </c>
      <c r="AF56" s="4">
        <f t="shared" si="17"/>
        <v>1.1225905314944753</v>
      </c>
      <c r="AG56" s="4" t="e">
        <f t="shared" ca="1" si="18"/>
        <v>#DIV/0!</v>
      </c>
      <c r="AH56" s="4" t="e">
        <f t="shared" ca="1" si="19"/>
        <v>#DIV/0!</v>
      </c>
      <c r="AI56" s="4" t="e">
        <f t="shared" ca="1" si="20"/>
        <v>#DIV/0!</v>
      </c>
      <c r="AJ56" s="4" t="e">
        <f t="shared" ca="1" si="21"/>
        <v>#DIV/0!</v>
      </c>
      <c r="AK56" s="4" t="e">
        <f t="shared" ca="1" si="22"/>
        <v>#DIV/0!</v>
      </c>
      <c r="AM56" s="563">
        <f t="shared" ca="1" si="12"/>
        <v>45893</v>
      </c>
      <c r="AN56" s="564">
        <v>146.47999999999999</v>
      </c>
      <c r="AO56" s="564">
        <v>504527</v>
      </c>
      <c r="AP56" s="564">
        <v>53481.521000000001</v>
      </c>
      <c r="AQ56" s="564">
        <v>7833973.1960799992</v>
      </c>
      <c r="AR56" s="564">
        <v>2.0375000000000001</v>
      </c>
    </row>
    <row r="57" spans="2:44">
      <c r="B57" s="565">
        <f t="shared" ca="1" si="23"/>
        <v>45581</v>
      </c>
      <c r="C57" s="561">
        <f ca="1">(IFERROR(IFERROR(VALUE(_xll.BDH(C$4,"CURRENT_EV_TO_T12M_EBITDA",$B57,$B57)),VALUE(_xll.BDH(C$4,"CURRENT_EV_TO_T12M_EBITDA",$B57+1,$B57+1))),C58))</f>
        <v>0</v>
      </c>
      <c r="D57" s="561">
        <f ca="1">(IFERROR(IFERROR(VALUE(_xll.BDH(D$4,"CURRENT_EV_TO_T12M_EBITDA",$B57,$B57)),VALUE(_xll.BDH(D$4,"CURRENT_EV_TO_T12M_EBITDA",$B57+1,$B57+1))),D58))</f>
        <v>0</v>
      </c>
      <c r="E57" s="561">
        <f ca="1">(IFERROR(IFERROR(VALUE(_xll.BDH(E$4,"CURRENT_EV_TO_T12M_EBITDA",$B57,$B57)),VALUE(_xll.BDH(E$4,"CURRENT_EV_TO_T12M_EBITDA",$B57+1,$B57+1))),E58))</f>
        <v>0</v>
      </c>
      <c r="F57" s="561">
        <f ca="1">(IFERROR(IFERROR(VALUE(_xll.BDH(F$4,"CURRENT_EV_TO_T12M_EBITDA",$B57,$B57)),VALUE(_xll.BDH(F$4,"CURRENT_EV_TO_T12M_EBITDA",$B57+1,$B57+1))),F58))</f>
        <v>0</v>
      </c>
      <c r="G57" s="561">
        <f ca="1">(IFERROR(IFERROR(VALUE(_xll.BDH(G$4,"CURRENT_EV_TO_T12M_EBITDA",$B57,$B57)),VALUE(_xll.BDH(G$4,"CURRENT_EV_TO_T12M_EBITDA",$B57+1,$B57+1))),G58))</f>
        <v>0</v>
      </c>
      <c r="H57" s="561">
        <f ca="1">(IFERROR(IFERROR(VALUE(_xll.BDH(H$4,"CURRENT_EV_TO_T12M_EBITDA",$B57,$B57)),VALUE(_xll.BDH(H$4,"CURRENT_EV_TO_T12M_EBITDA",$B57+1,$B57+1))),H58))</f>
        <v>0</v>
      </c>
      <c r="I57" s="565">
        <f t="shared" ca="1" si="14"/>
        <v>45581</v>
      </c>
      <c r="J57" s="561">
        <f ca="1">(IFERROR(IFERROR(VALUE(_xll.BDH(J$4,"PE_RATIO",$B57,$B57)),VALUE(_xll.BDH(J$4,"PE_RATIO",$B57+1,$B57+1))),J58))</f>
        <v>0</v>
      </c>
      <c r="K57" s="561">
        <f ca="1">(IFERROR(IFERROR(VALUE(_xll.BDH(K$4,"PE_RATIO",$B57,$B57)),VALUE(_xll.BDH(K$4,"PE_RATIO",$B57+1,$B57+1))),K58))</f>
        <v>0</v>
      </c>
      <c r="L57" s="561">
        <f ca="1">(IFERROR(IFERROR(VALUE(_xll.BDH(L$4,"PE_RATIO",$B57,$B57)),VALUE(_xll.BDH(L$4,"PE_RATIO",$B57+1,$B57+1))),L58))</f>
        <v>0</v>
      </c>
      <c r="M57" s="561">
        <f ca="1">(IFERROR(IFERROR(VALUE(_xll.BDH(M$4,"PE_RATIO",$B57,$B57)),VALUE(_xll.BDH(M$4,"PE_RATIO",$B57+1,$B57+1))),M58))</f>
        <v>0</v>
      </c>
      <c r="N57" s="561">
        <f ca="1">(IFERROR(IFERROR(VALUE(_xll.BDH(N$4,"PE_RATIO",$B57,$B57)),VALUE(_xll.BDH(N$4,"PE_RATIO",$B57+1,$B57+1))),N58))</f>
        <v>0</v>
      </c>
      <c r="O57" s="561">
        <f ca="1">(IFERROR(IFERROR(VALUE(_xll.BDH(O$4,"PE_RATIO",$B57,$B57)),VALUE(_xll.BDH(O$4,"PE_RATIO",$B57+1,$B57+1))),O58))</f>
        <v>0</v>
      </c>
      <c r="P57" s="561"/>
      <c r="Q57" s="565">
        <f t="shared" ca="1" si="15"/>
        <v>45581</v>
      </c>
      <c r="R57" s="4">
        <v>129.66999999999999</v>
      </c>
      <c r="S57" s="4">
        <v>18829.14</v>
      </c>
      <c r="T57" s="4">
        <v>1141.48</v>
      </c>
      <c r="U57" s="4">
        <v>1.0458101459795144</v>
      </c>
      <c r="V57" s="4">
        <v>1.6704717546077583</v>
      </c>
      <c r="W57" s="4">
        <v>1.5380510941036973</v>
      </c>
      <c r="Y57" s="561">
        <f t="shared" si="16"/>
        <v>129.66999999999999</v>
      </c>
      <c r="Z57" s="4">
        <f ca="1">IFERROR(VALUE(_xll.BDH(Z$4,"PX_LAST",$Q57,$Q57)),Z58)</f>
        <v>0</v>
      </c>
      <c r="AA57" s="4">
        <f ca="1">IFERROR(VALUE(_xll.BDH(AA$4,"PX_LAST",$Q57,$Q57)),AA58)</f>
        <v>0</v>
      </c>
      <c r="AB57" s="4">
        <f ca="1">IFERROR(VALUE(_xll.BDH(AB$4,"PX_LAST",$Q57,$Q57)),AB58)</f>
        <v>0</v>
      </c>
      <c r="AC57" s="4">
        <f ca="1">IFERROR(VALUE(_xll.BDH(AC$4,"PX_LAST",$Q57,$Q57)),AC58)</f>
        <v>0</v>
      </c>
      <c r="AD57" s="4">
        <f ca="1">IFERROR(VALUE(_xll.BDH(AD$4,"PX_LAST",$Q57,$Q57)),AD58)</f>
        <v>0</v>
      </c>
      <c r="AF57" s="4">
        <f t="shared" si="17"/>
        <v>1.0458101459795144</v>
      </c>
      <c r="AG57" s="4" t="e">
        <f t="shared" ca="1" si="18"/>
        <v>#DIV/0!</v>
      </c>
      <c r="AH57" s="4" t="e">
        <f t="shared" ca="1" si="19"/>
        <v>#DIV/0!</v>
      </c>
      <c r="AI57" s="4" t="e">
        <f t="shared" ca="1" si="20"/>
        <v>#DIV/0!</v>
      </c>
      <c r="AJ57" s="4" t="e">
        <f t="shared" ca="1" si="21"/>
        <v>#DIV/0!</v>
      </c>
      <c r="AK57" s="4" t="e">
        <f t="shared" ca="1" si="22"/>
        <v>#DIV/0!</v>
      </c>
      <c r="AM57" s="563">
        <f t="shared" ca="1" si="12"/>
        <v>45892</v>
      </c>
      <c r="AN57" s="564">
        <v>146.47999999999999</v>
      </c>
      <c r="AO57" s="564">
        <v>504527</v>
      </c>
      <c r="AP57" s="564">
        <v>53481.521000000001</v>
      </c>
      <c r="AQ57" s="564">
        <v>7833973.1960799992</v>
      </c>
      <c r="AR57" s="564">
        <v>2.0375000000000001</v>
      </c>
    </row>
    <row r="58" spans="2:44">
      <c r="B58" s="565">
        <f t="shared" ca="1" si="23"/>
        <v>45574</v>
      </c>
      <c r="C58" s="561">
        <f ca="1">(IFERROR(IFERROR(VALUE(_xll.BDH(C$4,"CURRENT_EV_TO_T12M_EBITDA",$B58,$B58)),VALUE(_xll.BDH(C$4,"CURRENT_EV_TO_T12M_EBITDA",$B58+1,$B58+1))),C59))</f>
        <v>0</v>
      </c>
      <c r="D58" s="561">
        <f ca="1">(IFERROR(IFERROR(VALUE(_xll.BDH(D$4,"CURRENT_EV_TO_T12M_EBITDA",$B58,$B58)),VALUE(_xll.BDH(D$4,"CURRENT_EV_TO_T12M_EBITDA",$B58+1,$B58+1))),D59))</f>
        <v>0</v>
      </c>
      <c r="E58" s="561">
        <f ca="1">(IFERROR(IFERROR(VALUE(_xll.BDH(E$4,"CURRENT_EV_TO_T12M_EBITDA",$B58,$B58)),VALUE(_xll.BDH(E$4,"CURRENT_EV_TO_T12M_EBITDA",$B58+1,$B58+1))),E59))</f>
        <v>0</v>
      </c>
      <c r="F58" s="561">
        <f ca="1">(IFERROR(IFERROR(VALUE(_xll.BDH(F$4,"CURRENT_EV_TO_T12M_EBITDA",$B58,$B58)),VALUE(_xll.BDH(F$4,"CURRENT_EV_TO_T12M_EBITDA",$B58+1,$B58+1))),F59))</f>
        <v>0</v>
      </c>
      <c r="G58" s="561">
        <f ca="1">(IFERROR(IFERROR(VALUE(_xll.BDH(G$4,"CURRENT_EV_TO_T12M_EBITDA",$B58,$B58)),VALUE(_xll.BDH(G$4,"CURRENT_EV_TO_T12M_EBITDA",$B58+1,$B58+1))),G59))</f>
        <v>0</v>
      </c>
      <c r="H58" s="561">
        <f ca="1">(IFERROR(IFERROR(VALUE(_xll.BDH(H$4,"CURRENT_EV_TO_T12M_EBITDA",$B58,$B58)),VALUE(_xll.BDH(H$4,"CURRENT_EV_TO_T12M_EBITDA",$B58+1,$B58+1))),H59))</f>
        <v>0</v>
      </c>
      <c r="I58" s="565">
        <f t="shared" ca="1" si="14"/>
        <v>45574</v>
      </c>
      <c r="J58" s="561">
        <f ca="1">(IFERROR(IFERROR(VALUE(_xll.BDH(J$4,"PE_RATIO",$B58,$B58)),VALUE(_xll.BDH(J$4,"PE_RATIO",$B58+1,$B58+1))),J59))</f>
        <v>0</v>
      </c>
      <c r="K58" s="561">
        <f ca="1">(IFERROR(IFERROR(VALUE(_xll.BDH(K$4,"PE_RATIO",$B58,$B58)),VALUE(_xll.BDH(K$4,"PE_RATIO",$B58+1,$B58+1))),K59))</f>
        <v>0</v>
      </c>
      <c r="L58" s="561">
        <f ca="1">(IFERROR(IFERROR(VALUE(_xll.BDH(L$4,"PE_RATIO",$B58,$B58)),VALUE(_xll.BDH(L$4,"PE_RATIO",$B58+1,$B58+1))),L59))</f>
        <v>0</v>
      </c>
      <c r="M58" s="561">
        <f ca="1">(IFERROR(IFERROR(VALUE(_xll.BDH(M$4,"PE_RATIO",$B58,$B58)),VALUE(_xll.BDH(M$4,"PE_RATIO",$B58+1,$B58+1))),M59))</f>
        <v>0</v>
      </c>
      <c r="N58" s="561">
        <f ca="1">(IFERROR(IFERROR(VALUE(_xll.BDH(N$4,"PE_RATIO",$B58,$B58)),VALUE(_xll.BDH(N$4,"PE_RATIO",$B58+1,$B58+1))),N59))</f>
        <v>0</v>
      </c>
      <c r="O58" s="561">
        <f ca="1">(IFERROR(IFERROR(VALUE(_xll.BDH(O$4,"PE_RATIO",$B58,$B58)),VALUE(_xll.BDH(O$4,"PE_RATIO",$B58+1,$B58+1))),O59))</f>
        <v>0</v>
      </c>
      <c r="P58" s="561"/>
      <c r="Q58" s="565">
        <f t="shared" ca="1" si="15"/>
        <v>45574</v>
      </c>
      <c r="R58" s="4">
        <v>137.82</v>
      </c>
      <c r="S58" s="4">
        <v>18958.73</v>
      </c>
      <c r="T58" s="4">
        <v>1154.95</v>
      </c>
      <c r="U58" s="4">
        <v>1.1115412533268811</v>
      </c>
      <c r="V58" s="4">
        <v>1.6819686384101846</v>
      </c>
      <c r="W58" s="4">
        <v>1.5562008192303547</v>
      </c>
      <c r="Y58" s="561">
        <f t="shared" si="16"/>
        <v>137.82</v>
      </c>
      <c r="Z58" s="4">
        <f ca="1">IFERROR(VALUE(_xll.BDH(Z$4,"PX_LAST",$Q58,$Q58)),Z59)</f>
        <v>0</v>
      </c>
      <c r="AA58" s="4">
        <f ca="1">IFERROR(VALUE(_xll.BDH(AA$4,"PX_LAST",$Q58,$Q58)),AA59)</f>
        <v>0</v>
      </c>
      <c r="AB58" s="4">
        <f ca="1">IFERROR(VALUE(_xll.BDH(AB$4,"PX_LAST",$Q58,$Q58)),AB59)</f>
        <v>0</v>
      </c>
      <c r="AC58" s="4">
        <f ca="1">IFERROR(VALUE(_xll.BDH(AC$4,"PX_LAST",$Q58,$Q58)),AC59)</f>
        <v>0</v>
      </c>
      <c r="AD58" s="4">
        <f ca="1">IFERROR(VALUE(_xll.BDH(AD$4,"PX_LAST",$Q58,$Q58)),AD59)</f>
        <v>0</v>
      </c>
      <c r="AF58" s="4">
        <f t="shared" si="17"/>
        <v>1.1115412533268811</v>
      </c>
      <c r="AG58" s="4" t="e">
        <f t="shared" ca="1" si="18"/>
        <v>#DIV/0!</v>
      </c>
      <c r="AH58" s="4" t="e">
        <f t="shared" ca="1" si="19"/>
        <v>#DIV/0!</v>
      </c>
      <c r="AI58" s="4" t="e">
        <f t="shared" ca="1" si="20"/>
        <v>#DIV/0!</v>
      </c>
      <c r="AJ58" s="4" t="e">
        <f t="shared" ca="1" si="21"/>
        <v>#DIV/0!</v>
      </c>
      <c r="AK58" s="4" t="e">
        <f t="shared" ca="1" si="22"/>
        <v>#DIV/0!</v>
      </c>
      <c r="AM58" s="563">
        <f t="shared" ca="1" si="12"/>
        <v>45891</v>
      </c>
      <c r="AN58" s="564">
        <v>147.37</v>
      </c>
      <c r="AO58" s="564">
        <v>636437</v>
      </c>
      <c r="AP58" s="564">
        <v>53481.521000000001</v>
      </c>
      <c r="AQ58" s="564">
        <v>7881571.7497700006</v>
      </c>
      <c r="AR58" s="564">
        <v>2.0497999999999998</v>
      </c>
    </row>
    <row r="59" spans="2:44">
      <c r="B59" s="565">
        <f t="shared" ca="1" si="23"/>
        <v>45567</v>
      </c>
      <c r="C59" s="561">
        <f ca="1">(IFERROR(IFERROR(VALUE(_xll.BDH(C$4,"CURRENT_EV_TO_T12M_EBITDA",$B59,$B59)),VALUE(_xll.BDH(C$4,"CURRENT_EV_TO_T12M_EBITDA",$B59+1,$B59+1))),C60))</f>
        <v>0</v>
      </c>
      <c r="D59" s="561">
        <f ca="1">(IFERROR(IFERROR(VALUE(_xll.BDH(D$4,"CURRENT_EV_TO_T12M_EBITDA",$B59,$B59)),VALUE(_xll.BDH(D$4,"CURRENT_EV_TO_T12M_EBITDA",$B59+1,$B59+1))),D60))</f>
        <v>0</v>
      </c>
      <c r="E59" s="561">
        <f ca="1">(IFERROR(IFERROR(VALUE(_xll.BDH(E$4,"CURRENT_EV_TO_T12M_EBITDA",$B59,$B59)),VALUE(_xll.BDH(E$4,"CURRENT_EV_TO_T12M_EBITDA",$B59+1,$B59+1))),E60))</f>
        <v>0</v>
      </c>
      <c r="F59" s="561">
        <f ca="1">(IFERROR(IFERROR(VALUE(_xll.BDH(F$4,"CURRENT_EV_TO_T12M_EBITDA",$B59,$B59)),VALUE(_xll.BDH(F$4,"CURRENT_EV_TO_T12M_EBITDA",$B59+1,$B59+1))),F60))</f>
        <v>0</v>
      </c>
      <c r="G59" s="561">
        <f ca="1">(IFERROR(IFERROR(VALUE(_xll.BDH(G$4,"CURRENT_EV_TO_T12M_EBITDA",$B59,$B59)),VALUE(_xll.BDH(G$4,"CURRENT_EV_TO_T12M_EBITDA",$B59+1,$B59+1))),G60))</f>
        <v>0</v>
      </c>
      <c r="H59" s="561">
        <f ca="1">(IFERROR(IFERROR(VALUE(_xll.BDH(H$4,"CURRENT_EV_TO_T12M_EBITDA",$B59,$B59)),VALUE(_xll.BDH(H$4,"CURRENT_EV_TO_T12M_EBITDA",$B59+1,$B59+1))),H60))</f>
        <v>0</v>
      </c>
      <c r="I59" s="565">
        <f t="shared" ca="1" si="14"/>
        <v>45567</v>
      </c>
      <c r="J59" s="561">
        <f ca="1">(IFERROR(IFERROR(VALUE(_xll.BDH(J$4,"PE_RATIO",$B59,$B59)),VALUE(_xll.BDH(J$4,"PE_RATIO",$B59+1,$B59+1))),J60))</f>
        <v>0</v>
      </c>
      <c r="K59" s="561">
        <f ca="1">(IFERROR(IFERROR(VALUE(_xll.BDH(K$4,"PE_RATIO",$B59,$B59)),VALUE(_xll.BDH(K$4,"PE_RATIO",$B59+1,$B59+1))),K60))</f>
        <v>0</v>
      </c>
      <c r="L59" s="561">
        <f ca="1">(IFERROR(IFERROR(VALUE(_xll.BDH(L$4,"PE_RATIO",$B59,$B59)),VALUE(_xll.BDH(L$4,"PE_RATIO",$B59+1,$B59+1))),L60))</f>
        <v>0</v>
      </c>
      <c r="M59" s="561">
        <f ca="1">(IFERROR(IFERROR(VALUE(_xll.BDH(M$4,"PE_RATIO",$B59,$B59)),VALUE(_xll.BDH(M$4,"PE_RATIO",$B59+1,$B59+1))),M60))</f>
        <v>0</v>
      </c>
      <c r="N59" s="561">
        <f ca="1">(IFERROR(IFERROR(VALUE(_xll.BDH(N$4,"PE_RATIO",$B59,$B59)),VALUE(_xll.BDH(N$4,"PE_RATIO",$B59+1,$B59+1))),N60))</f>
        <v>0</v>
      </c>
      <c r="O59" s="561">
        <f ca="1">(IFERROR(IFERROR(VALUE(_xll.BDH(O$4,"PE_RATIO",$B59,$B59)),VALUE(_xll.BDH(O$4,"PE_RATIO",$B59+1,$B59+1))),O60))</f>
        <v>0</v>
      </c>
      <c r="P59" s="561"/>
      <c r="Q59" s="565">
        <f t="shared" ca="1" si="15"/>
        <v>45567</v>
      </c>
      <c r="R59" s="4">
        <v>140.65</v>
      </c>
      <c r="S59" s="4">
        <v>19581.52</v>
      </c>
      <c r="T59" s="4">
        <v>1171.8</v>
      </c>
      <c r="U59" s="4">
        <v>1.1343656746511817</v>
      </c>
      <c r="V59" s="4">
        <v>1.7372209284272628</v>
      </c>
      <c r="W59" s="4">
        <v>1.578904818368007</v>
      </c>
      <c r="Y59" s="561">
        <f t="shared" si="16"/>
        <v>140.65</v>
      </c>
      <c r="Z59" s="4">
        <f ca="1">IFERROR(VALUE(_xll.BDH(Z$4,"PX_LAST",$Q59,$Q59)),Z60)</f>
        <v>0</v>
      </c>
      <c r="AA59" s="4">
        <f ca="1">IFERROR(VALUE(_xll.BDH(AA$4,"PX_LAST",$Q59,$Q59)),AA60)</f>
        <v>0</v>
      </c>
      <c r="AB59" s="4">
        <f ca="1">IFERROR(VALUE(_xll.BDH(AB$4,"PX_LAST",$Q59,$Q59)),AB60)</f>
        <v>0</v>
      </c>
      <c r="AC59" s="4">
        <f ca="1">IFERROR(VALUE(_xll.BDH(AC$4,"PX_LAST",$Q59,$Q59)),AC60)</f>
        <v>0</v>
      </c>
      <c r="AD59" s="4">
        <f ca="1">IFERROR(VALUE(_xll.BDH(AD$4,"PX_LAST",$Q59,$Q59)),AD60)</f>
        <v>0</v>
      </c>
      <c r="AF59" s="4">
        <f t="shared" si="17"/>
        <v>1.1343656746511817</v>
      </c>
      <c r="AG59" s="4" t="e">
        <f t="shared" ca="1" si="18"/>
        <v>#DIV/0!</v>
      </c>
      <c r="AH59" s="4" t="e">
        <f t="shared" ca="1" si="19"/>
        <v>#DIV/0!</v>
      </c>
      <c r="AI59" s="4" t="e">
        <f t="shared" ca="1" si="20"/>
        <v>#DIV/0!</v>
      </c>
      <c r="AJ59" s="4" t="e">
        <f t="shared" ca="1" si="21"/>
        <v>#DIV/0!</v>
      </c>
      <c r="AK59" s="4" t="e">
        <f t="shared" ca="1" si="22"/>
        <v>#DIV/0!</v>
      </c>
      <c r="AM59" s="563">
        <f t="shared" ca="1" si="12"/>
        <v>45890</v>
      </c>
      <c r="AN59" s="564">
        <v>143.12</v>
      </c>
      <c r="AO59" s="564">
        <v>731406</v>
      </c>
      <c r="AP59" s="564">
        <v>53481.521000000001</v>
      </c>
      <c r="AQ59" s="564">
        <v>7654275.2855200004</v>
      </c>
      <c r="AR59" s="564">
        <v>1.9906999999999999</v>
      </c>
    </row>
    <row r="60" spans="2:44">
      <c r="B60" s="565">
        <f t="shared" ca="1" si="23"/>
        <v>45560</v>
      </c>
      <c r="C60" s="561">
        <f ca="1">(IFERROR(IFERROR(VALUE(_xll.BDH(C$4,"CURRENT_EV_TO_T12M_EBITDA",$B60,$B60)),VALUE(_xll.BDH(C$4,"CURRENT_EV_TO_T12M_EBITDA",$B60+1,$B60+1))),C61))</f>
        <v>0</v>
      </c>
      <c r="D60" s="561">
        <f ca="1">(IFERROR(IFERROR(VALUE(_xll.BDH(D$4,"CURRENT_EV_TO_T12M_EBITDA",$B60,$B60)),VALUE(_xll.BDH(D$4,"CURRENT_EV_TO_T12M_EBITDA",$B60+1,$B60+1))),D61))</f>
        <v>0</v>
      </c>
      <c r="E60" s="561">
        <f ca="1">(IFERROR(IFERROR(VALUE(_xll.BDH(E$4,"CURRENT_EV_TO_T12M_EBITDA",$B60,$B60)),VALUE(_xll.BDH(E$4,"CURRENT_EV_TO_T12M_EBITDA",$B60+1,$B60+1))),E61))</f>
        <v>0</v>
      </c>
      <c r="F60" s="561">
        <f ca="1">(IFERROR(IFERROR(VALUE(_xll.BDH(F$4,"CURRENT_EV_TO_T12M_EBITDA",$B60,$B60)),VALUE(_xll.BDH(F$4,"CURRENT_EV_TO_T12M_EBITDA",$B60+1,$B60+1))),F61))</f>
        <v>0</v>
      </c>
      <c r="G60" s="561">
        <f ca="1">(IFERROR(IFERROR(VALUE(_xll.BDH(G$4,"CURRENT_EV_TO_T12M_EBITDA",$B60,$B60)),VALUE(_xll.BDH(G$4,"CURRENT_EV_TO_T12M_EBITDA",$B60+1,$B60+1))),G61))</f>
        <v>0</v>
      </c>
      <c r="H60" s="561">
        <f ca="1">(IFERROR(IFERROR(VALUE(_xll.BDH(H$4,"CURRENT_EV_TO_T12M_EBITDA",$B60,$B60)),VALUE(_xll.BDH(H$4,"CURRENT_EV_TO_T12M_EBITDA",$B60+1,$B60+1))),H61))</f>
        <v>0</v>
      </c>
      <c r="I60" s="565">
        <f t="shared" ca="1" si="14"/>
        <v>45560</v>
      </c>
      <c r="J60" s="561">
        <f ca="1">(IFERROR(IFERROR(VALUE(_xll.BDH(J$4,"PE_RATIO",$B60,$B60)),VALUE(_xll.BDH(J$4,"PE_RATIO",$B60+1,$B60+1))),J61))</f>
        <v>0</v>
      </c>
      <c r="K60" s="561">
        <f ca="1">(IFERROR(IFERROR(VALUE(_xll.BDH(K$4,"PE_RATIO",$B60,$B60)),VALUE(_xll.BDH(K$4,"PE_RATIO",$B60+1,$B60+1))),K61))</f>
        <v>0</v>
      </c>
      <c r="L60" s="561">
        <f ca="1">(IFERROR(IFERROR(VALUE(_xll.BDH(L$4,"PE_RATIO",$B60,$B60)),VALUE(_xll.BDH(L$4,"PE_RATIO",$B60+1,$B60+1))),L61))</f>
        <v>0</v>
      </c>
      <c r="M60" s="561">
        <f ca="1">(IFERROR(IFERROR(VALUE(_xll.BDH(M$4,"PE_RATIO",$B60,$B60)),VALUE(_xll.BDH(M$4,"PE_RATIO",$B60+1,$B60+1))),M61))</f>
        <v>0</v>
      </c>
      <c r="N60" s="561">
        <f ca="1">(IFERROR(IFERROR(VALUE(_xll.BDH(N$4,"PE_RATIO",$B60,$B60)),VALUE(_xll.BDH(N$4,"PE_RATIO",$B60+1,$B60+1))),N61))</f>
        <v>0</v>
      </c>
      <c r="O60" s="561">
        <f ca="1">(IFERROR(IFERROR(VALUE(_xll.BDH(O$4,"PE_RATIO",$B60,$B60)),VALUE(_xll.BDH(O$4,"PE_RATIO",$B60+1,$B60+1))),O61))</f>
        <v>0</v>
      </c>
      <c r="P60" s="561"/>
      <c r="Q60" s="565">
        <f t="shared" ca="1" si="15"/>
        <v>45560</v>
      </c>
      <c r="R60" s="4">
        <v>138.51</v>
      </c>
      <c r="S60" s="4">
        <v>19719.82</v>
      </c>
      <c r="T60" s="4">
        <v>1148.81</v>
      </c>
      <c r="U60" s="4">
        <v>1.1171062182434066</v>
      </c>
      <c r="V60" s="4">
        <v>1.7494905405105685</v>
      </c>
      <c r="W60" s="4">
        <v>1.5479276705831626</v>
      </c>
      <c r="Y60" s="561">
        <f t="shared" si="16"/>
        <v>138.51</v>
      </c>
      <c r="Z60" s="4">
        <f ca="1">IFERROR(VALUE(_xll.BDH(Z$4,"PX_LAST",$Q60,$Q60)),Z61)</f>
        <v>0</v>
      </c>
      <c r="AA60" s="4">
        <f ca="1">IFERROR(VALUE(_xll.BDH(AA$4,"PX_LAST",$Q60,$Q60)),AA61)</f>
        <v>0</v>
      </c>
      <c r="AB60" s="4">
        <f ca="1">IFERROR(VALUE(_xll.BDH(AB$4,"PX_LAST",$Q60,$Q60)),AB61)</f>
        <v>0</v>
      </c>
      <c r="AC60" s="4">
        <f ca="1">IFERROR(VALUE(_xll.BDH(AC$4,"PX_LAST",$Q60,$Q60)),AC61)</f>
        <v>0</v>
      </c>
      <c r="AD60" s="4">
        <f ca="1">IFERROR(VALUE(_xll.BDH(AD$4,"PX_LAST",$Q60,$Q60)),AD61)</f>
        <v>0</v>
      </c>
      <c r="AF60" s="4">
        <f t="shared" si="17"/>
        <v>1.1171062182434066</v>
      </c>
      <c r="AG60" s="4" t="e">
        <f t="shared" ca="1" si="18"/>
        <v>#DIV/0!</v>
      </c>
      <c r="AH60" s="4" t="e">
        <f t="shared" ca="1" si="19"/>
        <v>#DIV/0!</v>
      </c>
      <c r="AI60" s="4" t="e">
        <f t="shared" ca="1" si="20"/>
        <v>#DIV/0!</v>
      </c>
      <c r="AJ60" s="4" t="e">
        <f t="shared" ca="1" si="21"/>
        <v>#DIV/0!</v>
      </c>
      <c r="AK60" s="4" t="e">
        <f t="shared" ca="1" si="22"/>
        <v>#DIV/0!</v>
      </c>
      <c r="AM60" s="563">
        <f t="shared" ca="1" si="12"/>
        <v>45889</v>
      </c>
      <c r="AN60" s="564">
        <v>143.80000000000001</v>
      </c>
      <c r="AO60" s="564">
        <v>723015</v>
      </c>
      <c r="AP60" s="564">
        <v>53481.521000000001</v>
      </c>
      <c r="AQ60" s="564">
        <v>7690642.719800001</v>
      </c>
      <c r="AR60" s="564">
        <v>2.0002</v>
      </c>
    </row>
    <row r="61" spans="2:44">
      <c r="B61" s="565">
        <f t="shared" ca="1" si="23"/>
        <v>45553</v>
      </c>
      <c r="C61" s="561">
        <f ca="1">(IFERROR(IFERROR(VALUE(_xll.BDH(C$4,"CURRENT_EV_TO_T12M_EBITDA",$B61,$B61)),VALUE(_xll.BDH(C$4,"CURRENT_EV_TO_T12M_EBITDA",$B61+1,$B61+1))),C62))</f>
        <v>0</v>
      </c>
      <c r="D61" s="561">
        <f ca="1">(IFERROR(IFERROR(VALUE(_xll.BDH(D$4,"CURRENT_EV_TO_T12M_EBITDA",$B61,$B61)),VALUE(_xll.BDH(D$4,"CURRENT_EV_TO_T12M_EBITDA",$B61+1,$B61+1))),D62))</f>
        <v>0</v>
      </c>
      <c r="E61" s="561">
        <f ca="1">(IFERROR(IFERROR(VALUE(_xll.BDH(E$4,"CURRENT_EV_TO_T12M_EBITDA",$B61,$B61)),VALUE(_xll.BDH(E$4,"CURRENT_EV_TO_T12M_EBITDA",$B61+1,$B61+1))),E62))</f>
        <v>0</v>
      </c>
      <c r="F61" s="561">
        <f ca="1">(IFERROR(IFERROR(VALUE(_xll.BDH(F$4,"CURRENT_EV_TO_T12M_EBITDA",$B61,$B61)),VALUE(_xll.BDH(F$4,"CURRENT_EV_TO_T12M_EBITDA",$B61+1,$B61+1))),F62))</f>
        <v>0</v>
      </c>
      <c r="G61" s="561">
        <f ca="1">(IFERROR(IFERROR(VALUE(_xll.BDH(G$4,"CURRENT_EV_TO_T12M_EBITDA",$B61,$B61)),VALUE(_xll.BDH(G$4,"CURRENT_EV_TO_T12M_EBITDA",$B61+1,$B61+1))),G62))</f>
        <v>0</v>
      </c>
      <c r="H61" s="561">
        <f ca="1">(IFERROR(IFERROR(VALUE(_xll.BDH(H$4,"CURRENT_EV_TO_T12M_EBITDA",$B61,$B61)),VALUE(_xll.BDH(H$4,"CURRENT_EV_TO_T12M_EBITDA",$B61+1,$B61+1))),H62))</f>
        <v>0</v>
      </c>
      <c r="I61" s="565">
        <f t="shared" ca="1" si="14"/>
        <v>45553</v>
      </c>
      <c r="J61" s="561">
        <f ca="1">(IFERROR(IFERROR(VALUE(_xll.BDH(J$4,"PE_RATIO",$B61,$B61)),VALUE(_xll.BDH(J$4,"PE_RATIO",$B61+1,$B61+1))),J62))</f>
        <v>0</v>
      </c>
      <c r="K61" s="561">
        <f ca="1">(IFERROR(IFERROR(VALUE(_xll.BDH(K$4,"PE_RATIO",$B61,$B61)),VALUE(_xll.BDH(K$4,"PE_RATIO",$B61+1,$B61+1))),K62))</f>
        <v>0</v>
      </c>
      <c r="L61" s="561">
        <f ca="1">(IFERROR(IFERROR(VALUE(_xll.BDH(L$4,"PE_RATIO",$B61,$B61)),VALUE(_xll.BDH(L$4,"PE_RATIO",$B61+1,$B61+1))),L62))</f>
        <v>0</v>
      </c>
      <c r="M61" s="561">
        <f ca="1">(IFERROR(IFERROR(VALUE(_xll.BDH(M$4,"PE_RATIO",$B61,$B61)),VALUE(_xll.BDH(M$4,"PE_RATIO",$B61+1,$B61+1))),M62))</f>
        <v>0</v>
      </c>
      <c r="N61" s="561">
        <f ca="1">(IFERROR(IFERROR(VALUE(_xll.BDH(N$4,"PE_RATIO",$B61,$B61)),VALUE(_xll.BDH(N$4,"PE_RATIO",$B61+1,$B61+1))),N62))</f>
        <v>0</v>
      </c>
      <c r="O61" s="561">
        <f ca="1">(IFERROR(IFERROR(VALUE(_xll.BDH(O$4,"PE_RATIO",$B61,$B61)),VALUE(_xll.BDH(O$4,"PE_RATIO",$B61+1,$B61+1))),O62))</f>
        <v>0</v>
      </c>
      <c r="P61" s="561"/>
      <c r="Q61" s="565">
        <f t="shared" ca="1" si="15"/>
        <v>45553</v>
      </c>
      <c r="R61" s="4">
        <v>136.56</v>
      </c>
      <c r="S61" s="4">
        <v>19006.43</v>
      </c>
      <c r="T61" s="4">
        <v>1134.43</v>
      </c>
      <c r="U61" s="4">
        <v>1.101379143479313</v>
      </c>
      <c r="V61" s="4">
        <v>1.6862004568944486</v>
      </c>
      <c r="W61" s="4">
        <v>1.5285517947612377</v>
      </c>
      <c r="Y61" s="561">
        <f t="shared" si="16"/>
        <v>136.56</v>
      </c>
      <c r="Z61" s="4">
        <f ca="1">IFERROR(VALUE(_xll.BDH(Z$4,"PX_LAST",$Q61,$Q61)),Z62)</f>
        <v>0</v>
      </c>
      <c r="AA61" s="4">
        <f ca="1">IFERROR(VALUE(_xll.BDH(AA$4,"PX_LAST",$Q61,$Q61)),AA62)</f>
        <v>0</v>
      </c>
      <c r="AB61" s="4">
        <f ca="1">IFERROR(VALUE(_xll.BDH(AB$4,"PX_LAST",$Q61,$Q61)),AB62)</f>
        <v>0</v>
      </c>
      <c r="AC61" s="4">
        <f ca="1">IFERROR(VALUE(_xll.BDH(AC$4,"PX_LAST",$Q61,$Q61)),AC62)</f>
        <v>0</v>
      </c>
      <c r="AD61" s="4">
        <f ca="1">IFERROR(VALUE(_xll.BDH(AD$4,"PX_LAST",$Q61,$Q61)),AD62)</f>
        <v>0</v>
      </c>
      <c r="AF61" s="4">
        <f t="shared" si="17"/>
        <v>1.101379143479313</v>
      </c>
      <c r="AG61" s="4" t="e">
        <f t="shared" ca="1" si="18"/>
        <v>#DIV/0!</v>
      </c>
      <c r="AH61" s="4" t="e">
        <f t="shared" ca="1" si="19"/>
        <v>#DIV/0!</v>
      </c>
      <c r="AI61" s="4" t="e">
        <f t="shared" ca="1" si="20"/>
        <v>#DIV/0!</v>
      </c>
      <c r="AJ61" s="4" t="e">
        <f t="shared" ca="1" si="21"/>
        <v>#DIV/0!</v>
      </c>
      <c r="AK61" s="4" t="e">
        <f t="shared" ca="1" si="22"/>
        <v>#DIV/0!</v>
      </c>
      <c r="AM61" s="563">
        <f t="shared" ca="1" si="12"/>
        <v>45888</v>
      </c>
      <c r="AN61" s="564">
        <v>146.04</v>
      </c>
      <c r="AO61" s="564">
        <v>834385</v>
      </c>
      <c r="AP61" s="564">
        <v>53481.521000000001</v>
      </c>
      <c r="AQ61" s="564">
        <v>7810441.3268399993</v>
      </c>
      <c r="AR61" s="564">
        <v>2.0312999999999999</v>
      </c>
    </row>
    <row r="62" spans="2:44">
      <c r="B62" s="565">
        <f t="shared" ca="1" si="23"/>
        <v>45546</v>
      </c>
      <c r="C62" s="561">
        <f ca="1">(IFERROR(IFERROR(VALUE(_xll.BDH(C$4,"CURRENT_EV_TO_T12M_EBITDA",$B62,$B62)),VALUE(_xll.BDH(C$4,"CURRENT_EV_TO_T12M_EBITDA",$B62+1,$B62+1))),C63))</f>
        <v>0</v>
      </c>
      <c r="D62" s="561">
        <f ca="1">(IFERROR(IFERROR(VALUE(_xll.BDH(D$4,"CURRENT_EV_TO_T12M_EBITDA",$B62,$B62)),VALUE(_xll.BDH(D$4,"CURRENT_EV_TO_T12M_EBITDA",$B62+1,$B62+1))),D63))</f>
        <v>0</v>
      </c>
      <c r="E62" s="561">
        <f ca="1">(IFERROR(IFERROR(VALUE(_xll.BDH(E$4,"CURRENT_EV_TO_T12M_EBITDA",$B62,$B62)),VALUE(_xll.BDH(E$4,"CURRENT_EV_TO_T12M_EBITDA",$B62+1,$B62+1))),E63))</f>
        <v>0</v>
      </c>
      <c r="F62" s="561">
        <f ca="1">(IFERROR(IFERROR(VALUE(_xll.BDH(F$4,"CURRENT_EV_TO_T12M_EBITDA",$B62,$B62)),VALUE(_xll.BDH(F$4,"CURRENT_EV_TO_T12M_EBITDA",$B62+1,$B62+1))),F63))</f>
        <v>0</v>
      </c>
      <c r="G62" s="561">
        <f ca="1">(IFERROR(IFERROR(VALUE(_xll.BDH(G$4,"CURRENT_EV_TO_T12M_EBITDA",$B62,$B62)),VALUE(_xll.BDH(G$4,"CURRENT_EV_TO_T12M_EBITDA",$B62+1,$B62+1))),G63))</f>
        <v>0</v>
      </c>
      <c r="H62" s="561">
        <f ca="1">(IFERROR(IFERROR(VALUE(_xll.BDH(H$4,"CURRENT_EV_TO_T12M_EBITDA",$B62,$B62)),VALUE(_xll.BDH(H$4,"CURRENT_EV_TO_T12M_EBITDA",$B62+1,$B62+1))),H63))</f>
        <v>0</v>
      </c>
      <c r="I62" s="565">
        <f t="shared" ca="1" si="14"/>
        <v>45546</v>
      </c>
      <c r="J62" s="561">
        <f ca="1">(IFERROR(IFERROR(VALUE(_xll.BDH(J$4,"PE_RATIO",$B62,$B62)),VALUE(_xll.BDH(J$4,"PE_RATIO",$B62+1,$B62+1))),J63))</f>
        <v>0</v>
      </c>
      <c r="K62" s="561">
        <f ca="1">(IFERROR(IFERROR(VALUE(_xll.BDH(K$4,"PE_RATIO",$B62,$B62)),VALUE(_xll.BDH(K$4,"PE_RATIO",$B62+1,$B62+1))),K63))</f>
        <v>0</v>
      </c>
      <c r="L62" s="561">
        <f ca="1">(IFERROR(IFERROR(VALUE(_xll.BDH(L$4,"PE_RATIO",$B62,$B62)),VALUE(_xll.BDH(L$4,"PE_RATIO",$B62+1,$B62+1))),L63))</f>
        <v>0</v>
      </c>
      <c r="M62" s="561">
        <f ca="1">(IFERROR(IFERROR(VALUE(_xll.BDH(M$4,"PE_RATIO",$B62,$B62)),VALUE(_xll.BDH(M$4,"PE_RATIO",$B62+1,$B62+1))),M63))</f>
        <v>0</v>
      </c>
      <c r="N62" s="561">
        <f ca="1">(IFERROR(IFERROR(VALUE(_xll.BDH(N$4,"PE_RATIO",$B62,$B62)),VALUE(_xll.BDH(N$4,"PE_RATIO",$B62+1,$B62+1))),N63))</f>
        <v>0</v>
      </c>
      <c r="O62" s="561">
        <f ca="1">(IFERROR(IFERROR(VALUE(_xll.BDH(O$4,"PE_RATIO",$B62,$B62)),VALUE(_xll.BDH(O$4,"PE_RATIO",$B62+1,$B62+1))),O63))</f>
        <v>0</v>
      </c>
      <c r="P62" s="561"/>
      <c r="Q62" s="565">
        <f t="shared" ca="1" si="15"/>
        <v>45546</v>
      </c>
      <c r="R62" s="4">
        <v>138.1</v>
      </c>
      <c r="S62" s="4">
        <v>18077.919999999998</v>
      </c>
      <c r="T62" s="4">
        <v>1107.4000000000001</v>
      </c>
      <c r="U62" s="4">
        <v>1.1137994999596741</v>
      </c>
      <c r="V62" s="4">
        <v>1.6038254929358793</v>
      </c>
      <c r="W62" s="4">
        <v>1.4921310768567426</v>
      </c>
      <c r="Y62" s="561">
        <f t="shared" si="16"/>
        <v>138.1</v>
      </c>
      <c r="Z62" s="4">
        <f ca="1">IFERROR(VALUE(_xll.BDH(Z$4,"PX_LAST",$Q62,$Q62)),Z63)</f>
        <v>0</v>
      </c>
      <c r="AA62" s="4">
        <f ca="1">IFERROR(VALUE(_xll.BDH(AA$4,"PX_LAST",$Q62,$Q62)),AA63)</f>
        <v>0</v>
      </c>
      <c r="AB62" s="4">
        <f ca="1">IFERROR(VALUE(_xll.BDH(AB$4,"PX_LAST",$Q62,$Q62)),AB63)</f>
        <v>0</v>
      </c>
      <c r="AC62" s="4">
        <f ca="1">IFERROR(VALUE(_xll.BDH(AC$4,"PX_LAST",$Q62,$Q62)),AC63)</f>
        <v>0</v>
      </c>
      <c r="AD62" s="4">
        <f ca="1">IFERROR(VALUE(_xll.BDH(AD$4,"PX_LAST",$Q62,$Q62)),AD63)</f>
        <v>0</v>
      </c>
      <c r="AF62" s="4">
        <f t="shared" si="17"/>
        <v>1.1137994999596741</v>
      </c>
      <c r="AG62" s="4" t="e">
        <f t="shared" ca="1" si="18"/>
        <v>#DIV/0!</v>
      </c>
      <c r="AH62" s="4" t="e">
        <f t="shared" ca="1" si="19"/>
        <v>#DIV/0!</v>
      </c>
      <c r="AI62" s="4" t="e">
        <f t="shared" ca="1" si="20"/>
        <v>#DIV/0!</v>
      </c>
      <c r="AJ62" s="4" t="e">
        <f t="shared" ca="1" si="21"/>
        <v>#DIV/0!</v>
      </c>
      <c r="AK62" s="4" t="e">
        <f t="shared" ca="1" si="22"/>
        <v>#DIV/0!</v>
      </c>
      <c r="AM62" s="563">
        <f t="shared" ca="1" si="12"/>
        <v>45887</v>
      </c>
      <c r="AN62" s="564">
        <v>149.5</v>
      </c>
      <c r="AO62" s="564">
        <v>1154189</v>
      </c>
      <c r="AP62" s="564">
        <v>53481.521000000001</v>
      </c>
      <c r="AQ62" s="564">
        <v>7995487.3895000005</v>
      </c>
      <c r="AR62" s="564">
        <v>2.0794999999999999</v>
      </c>
    </row>
    <row r="63" spans="2:44">
      <c r="B63" s="565">
        <f t="shared" ca="1" si="23"/>
        <v>45539</v>
      </c>
      <c r="C63" s="561">
        <f ca="1">(IFERROR(IFERROR(VALUE(_xll.BDH(C$4,"CURRENT_EV_TO_T12M_EBITDA",$B63,$B63)),VALUE(_xll.BDH(C$4,"CURRENT_EV_TO_T12M_EBITDA",$B63+1,$B63+1))),C64))</f>
        <v>0</v>
      </c>
      <c r="D63" s="561">
        <f ca="1">(IFERROR(IFERROR(VALUE(_xll.BDH(D$4,"CURRENT_EV_TO_T12M_EBITDA",$B63,$B63)),VALUE(_xll.BDH(D$4,"CURRENT_EV_TO_T12M_EBITDA",$B63+1,$B63+1))),D64))</f>
        <v>0</v>
      </c>
      <c r="E63" s="561">
        <f ca="1">(IFERROR(IFERROR(VALUE(_xll.BDH(E$4,"CURRENT_EV_TO_T12M_EBITDA",$B63,$B63)),VALUE(_xll.BDH(E$4,"CURRENT_EV_TO_T12M_EBITDA",$B63+1,$B63+1))),E64))</f>
        <v>0</v>
      </c>
      <c r="F63" s="561">
        <f ca="1">(IFERROR(IFERROR(VALUE(_xll.BDH(F$4,"CURRENT_EV_TO_T12M_EBITDA",$B63,$B63)),VALUE(_xll.BDH(F$4,"CURRENT_EV_TO_T12M_EBITDA",$B63+1,$B63+1))),F64))</f>
        <v>0</v>
      </c>
      <c r="G63" s="561">
        <f ca="1">(IFERROR(IFERROR(VALUE(_xll.BDH(G$4,"CURRENT_EV_TO_T12M_EBITDA",$B63,$B63)),VALUE(_xll.BDH(G$4,"CURRENT_EV_TO_T12M_EBITDA",$B63+1,$B63+1))),G64))</f>
        <v>0</v>
      </c>
      <c r="H63" s="561">
        <f ca="1">(IFERROR(IFERROR(VALUE(_xll.BDH(H$4,"CURRENT_EV_TO_T12M_EBITDA",$B63,$B63)),VALUE(_xll.BDH(H$4,"CURRENT_EV_TO_T12M_EBITDA",$B63+1,$B63+1))),H64))</f>
        <v>0</v>
      </c>
      <c r="I63" s="565">
        <f t="shared" ca="1" si="14"/>
        <v>45539</v>
      </c>
      <c r="J63" s="561">
        <f ca="1">(IFERROR(IFERROR(VALUE(_xll.BDH(J$4,"PE_RATIO",$B63,$B63)),VALUE(_xll.BDH(J$4,"PE_RATIO",$B63+1,$B63+1))),J64))</f>
        <v>0</v>
      </c>
      <c r="K63" s="561">
        <f ca="1">(IFERROR(IFERROR(VALUE(_xll.BDH(K$4,"PE_RATIO",$B63,$B63)),VALUE(_xll.BDH(K$4,"PE_RATIO",$B63+1,$B63+1))),K64))</f>
        <v>0</v>
      </c>
      <c r="L63" s="561">
        <f ca="1">(IFERROR(IFERROR(VALUE(_xll.BDH(L$4,"PE_RATIO",$B63,$B63)),VALUE(_xll.BDH(L$4,"PE_RATIO",$B63+1,$B63+1))),L64))</f>
        <v>0</v>
      </c>
      <c r="M63" s="561">
        <f ca="1">(IFERROR(IFERROR(VALUE(_xll.BDH(M$4,"PE_RATIO",$B63,$B63)),VALUE(_xll.BDH(M$4,"PE_RATIO",$B63+1,$B63+1))),M64))</f>
        <v>0</v>
      </c>
      <c r="N63" s="561">
        <f ca="1">(IFERROR(IFERROR(VALUE(_xll.BDH(N$4,"PE_RATIO",$B63,$B63)),VALUE(_xll.BDH(N$4,"PE_RATIO",$B63+1,$B63+1))),N64))</f>
        <v>0</v>
      </c>
      <c r="O63" s="561">
        <f ca="1">(IFERROR(IFERROR(VALUE(_xll.BDH(O$4,"PE_RATIO",$B63,$B63)),VALUE(_xll.BDH(O$4,"PE_RATIO",$B63+1,$B63+1))),O64))</f>
        <v>0</v>
      </c>
      <c r="P63" s="561"/>
      <c r="Q63" s="565">
        <f t="shared" ca="1" si="15"/>
        <v>45539</v>
      </c>
      <c r="R63" s="4">
        <v>135.26</v>
      </c>
      <c r="S63" s="4">
        <v>18796.27</v>
      </c>
      <c r="T63" s="4">
        <v>1177.3699999999999</v>
      </c>
      <c r="U63" s="4">
        <v>1.090894426969917</v>
      </c>
      <c r="V63" s="4">
        <v>1.667555614700468</v>
      </c>
      <c r="W63" s="4">
        <v>1.5864099385577233</v>
      </c>
      <c r="Y63" s="561">
        <f t="shared" si="16"/>
        <v>135.26</v>
      </c>
      <c r="Z63" s="4">
        <f ca="1">IFERROR(VALUE(_xll.BDH(Z$4,"PX_LAST",$Q63,$Q63)),Z64)</f>
        <v>0</v>
      </c>
      <c r="AA63" s="4">
        <f ca="1">IFERROR(VALUE(_xll.BDH(AA$4,"PX_LAST",$Q63,$Q63)),AA64)</f>
        <v>0</v>
      </c>
      <c r="AB63" s="4">
        <f ca="1">IFERROR(VALUE(_xll.BDH(AB$4,"PX_LAST",$Q63,$Q63)),AB64)</f>
        <v>0</v>
      </c>
      <c r="AC63" s="4">
        <f ca="1">IFERROR(VALUE(_xll.BDH(AC$4,"PX_LAST",$Q63,$Q63)),AC64)</f>
        <v>0</v>
      </c>
      <c r="AD63" s="4">
        <f ca="1">IFERROR(VALUE(_xll.BDH(AD$4,"PX_LAST",$Q63,$Q63)),AD64)</f>
        <v>0</v>
      </c>
      <c r="AF63" s="4">
        <f t="shared" si="17"/>
        <v>1.090894426969917</v>
      </c>
      <c r="AG63" s="4" t="e">
        <f t="shared" ca="1" si="18"/>
        <v>#DIV/0!</v>
      </c>
      <c r="AH63" s="4" t="e">
        <f t="shared" ca="1" si="19"/>
        <v>#DIV/0!</v>
      </c>
      <c r="AI63" s="4" t="e">
        <f t="shared" ca="1" si="20"/>
        <v>#DIV/0!</v>
      </c>
      <c r="AJ63" s="4" t="e">
        <f t="shared" ca="1" si="21"/>
        <v>#DIV/0!</v>
      </c>
      <c r="AK63" s="4" t="e">
        <f t="shared" ca="1" si="22"/>
        <v>#DIV/0!</v>
      </c>
      <c r="AM63" s="563">
        <f t="shared" ca="1" si="12"/>
        <v>45886</v>
      </c>
      <c r="AN63" s="564">
        <v>149.5</v>
      </c>
      <c r="AO63" s="564">
        <v>1154189</v>
      </c>
      <c r="AP63" s="564">
        <v>53481.521000000001</v>
      </c>
      <c r="AQ63" s="564">
        <v>7995487.3895000005</v>
      </c>
      <c r="AR63" s="564">
        <v>2.0794999999999999</v>
      </c>
    </row>
    <row r="64" spans="2:44">
      <c r="B64" s="565">
        <f t="shared" ca="1" si="23"/>
        <v>45532</v>
      </c>
      <c r="C64" s="561">
        <f ca="1">(IFERROR(IFERROR(VALUE(_xll.BDH(C$4,"CURRENT_EV_TO_T12M_EBITDA",$B64,$B64)),VALUE(_xll.BDH(C$4,"CURRENT_EV_TO_T12M_EBITDA",$B64+1,$B64+1))),C65))</f>
        <v>0</v>
      </c>
      <c r="D64" s="561">
        <f ca="1">(IFERROR(IFERROR(VALUE(_xll.BDH(D$4,"CURRENT_EV_TO_T12M_EBITDA",$B64,$B64)),VALUE(_xll.BDH(D$4,"CURRENT_EV_TO_T12M_EBITDA",$B64+1,$B64+1))),D65))</f>
        <v>0</v>
      </c>
      <c r="E64" s="561">
        <f ca="1">(IFERROR(IFERROR(VALUE(_xll.BDH(E$4,"CURRENT_EV_TO_T12M_EBITDA",$B64,$B64)),VALUE(_xll.BDH(E$4,"CURRENT_EV_TO_T12M_EBITDA",$B64+1,$B64+1))),E65))</f>
        <v>0</v>
      </c>
      <c r="F64" s="561">
        <f ca="1">(IFERROR(IFERROR(VALUE(_xll.BDH(F$4,"CURRENT_EV_TO_T12M_EBITDA",$B64,$B64)),VALUE(_xll.BDH(F$4,"CURRENT_EV_TO_T12M_EBITDA",$B64+1,$B64+1))),F65))</f>
        <v>0</v>
      </c>
      <c r="G64" s="561">
        <f ca="1">(IFERROR(IFERROR(VALUE(_xll.BDH(G$4,"CURRENT_EV_TO_T12M_EBITDA",$B64,$B64)),VALUE(_xll.BDH(G$4,"CURRENT_EV_TO_T12M_EBITDA",$B64+1,$B64+1))),G65))</f>
        <v>0</v>
      </c>
      <c r="H64" s="561">
        <f ca="1">(IFERROR(IFERROR(VALUE(_xll.BDH(H$4,"CURRENT_EV_TO_T12M_EBITDA",$B64,$B64)),VALUE(_xll.BDH(H$4,"CURRENT_EV_TO_T12M_EBITDA",$B64+1,$B64+1))),H65))</f>
        <v>0</v>
      </c>
      <c r="I64" s="565">
        <f t="shared" ca="1" si="14"/>
        <v>45532</v>
      </c>
      <c r="J64" s="561">
        <f ca="1">(IFERROR(IFERROR(VALUE(_xll.BDH(J$4,"PE_RATIO",$B64,$B64)),VALUE(_xll.BDH(J$4,"PE_RATIO",$B64+1,$B64+1))),J65))</f>
        <v>0</v>
      </c>
      <c r="K64" s="561">
        <f ca="1">(IFERROR(IFERROR(VALUE(_xll.BDH(K$4,"PE_RATIO",$B64,$B64)),VALUE(_xll.BDH(K$4,"PE_RATIO",$B64+1,$B64+1))),K65))</f>
        <v>0</v>
      </c>
      <c r="L64" s="561">
        <f ca="1">(IFERROR(IFERROR(VALUE(_xll.BDH(L$4,"PE_RATIO",$B64,$B64)),VALUE(_xll.BDH(L$4,"PE_RATIO",$B64+1,$B64+1))),L65))</f>
        <v>0</v>
      </c>
      <c r="M64" s="561">
        <f ca="1">(IFERROR(IFERROR(VALUE(_xll.BDH(M$4,"PE_RATIO",$B64,$B64)),VALUE(_xll.BDH(M$4,"PE_RATIO",$B64+1,$B64+1))),M65))</f>
        <v>0</v>
      </c>
      <c r="N64" s="561">
        <f ca="1">(IFERROR(IFERROR(VALUE(_xll.BDH(N$4,"PE_RATIO",$B64,$B64)),VALUE(_xll.BDH(N$4,"PE_RATIO",$B64+1,$B64+1))),N65))</f>
        <v>0</v>
      </c>
      <c r="O64" s="561">
        <f ca="1">(IFERROR(IFERROR(VALUE(_xll.BDH(O$4,"PE_RATIO",$B64,$B64)),VALUE(_xll.BDH(O$4,"PE_RATIO",$B64+1,$B64+1))),O65))</f>
        <v>0</v>
      </c>
      <c r="P64" s="561"/>
      <c r="Q64" s="565">
        <f t="shared" ca="1" si="15"/>
        <v>45532</v>
      </c>
      <c r="R64" s="4">
        <v>128.63999999999999</v>
      </c>
      <c r="S64" s="4">
        <v>19754.34</v>
      </c>
      <c r="T64" s="4">
        <v>1176</v>
      </c>
      <c r="U64" s="4">
        <v>1.0375030244374546</v>
      </c>
      <c r="V64" s="4">
        <v>1.7525530640761195</v>
      </c>
      <c r="W64" s="4">
        <v>1.5845639754230894</v>
      </c>
      <c r="Y64" s="561">
        <f t="shared" si="16"/>
        <v>128.63999999999999</v>
      </c>
      <c r="Z64" s="4">
        <f ca="1">IFERROR(VALUE(_xll.BDH(Z$4,"PX_LAST",$Q64,$Q64)),Z65)</f>
        <v>0</v>
      </c>
      <c r="AA64" s="4">
        <f ca="1">IFERROR(VALUE(_xll.BDH(AA$4,"PX_LAST",$Q64,$Q64)),AA65)</f>
        <v>0</v>
      </c>
      <c r="AB64" s="4">
        <f ca="1">IFERROR(VALUE(_xll.BDH(AB$4,"PX_LAST",$Q64,$Q64)),AB65)</f>
        <v>0</v>
      </c>
      <c r="AC64" s="4">
        <f ca="1">IFERROR(VALUE(_xll.BDH(AC$4,"PX_LAST",$Q64,$Q64)),AC65)</f>
        <v>0</v>
      </c>
      <c r="AD64" s="4">
        <f ca="1">IFERROR(VALUE(_xll.BDH(AD$4,"PX_LAST",$Q64,$Q64)),AD65)</f>
        <v>0</v>
      </c>
      <c r="AF64" s="4">
        <f t="shared" si="17"/>
        <v>1.0375030244374546</v>
      </c>
      <c r="AG64" s="4" t="e">
        <f t="shared" ca="1" si="18"/>
        <v>#DIV/0!</v>
      </c>
      <c r="AH64" s="4" t="e">
        <f t="shared" ca="1" si="19"/>
        <v>#DIV/0!</v>
      </c>
      <c r="AI64" s="4" t="e">
        <f t="shared" ca="1" si="20"/>
        <v>#DIV/0!</v>
      </c>
      <c r="AJ64" s="4" t="e">
        <f t="shared" ca="1" si="21"/>
        <v>#DIV/0!</v>
      </c>
      <c r="AK64" s="4" t="e">
        <f t="shared" ca="1" si="22"/>
        <v>#DIV/0!</v>
      </c>
      <c r="AM64" s="563">
        <f t="shared" ca="1" si="12"/>
        <v>45885</v>
      </c>
      <c r="AN64" s="564">
        <v>149.5</v>
      </c>
      <c r="AO64" s="564">
        <v>1154189</v>
      </c>
      <c r="AP64" s="564">
        <v>53481.521000000001</v>
      </c>
      <c r="AQ64" s="564">
        <v>7995487.3895000005</v>
      </c>
      <c r="AR64" s="564">
        <v>2.0794999999999999</v>
      </c>
    </row>
    <row r="65" spans="2:44">
      <c r="B65" s="565">
        <f t="shared" ca="1" si="23"/>
        <v>45525</v>
      </c>
      <c r="C65" s="561">
        <f ca="1">(IFERROR(IFERROR(VALUE(_xll.BDH(C$4,"CURRENT_EV_TO_T12M_EBITDA",$B65,$B65)),VALUE(_xll.BDH(C$4,"CURRENT_EV_TO_T12M_EBITDA",$B65+1,$B65+1))),C66))</f>
        <v>0</v>
      </c>
      <c r="D65" s="561">
        <f ca="1">(IFERROR(IFERROR(VALUE(_xll.BDH(D$4,"CURRENT_EV_TO_T12M_EBITDA",$B65,$B65)),VALUE(_xll.BDH(D$4,"CURRENT_EV_TO_T12M_EBITDA",$B65+1,$B65+1))),D66))</f>
        <v>0</v>
      </c>
      <c r="E65" s="561">
        <f ca="1">(IFERROR(IFERROR(VALUE(_xll.BDH(E$4,"CURRENT_EV_TO_T12M_EBITDA",$B65,$B65)),VALUE(_xll.BDH(E$4,"CURRENT_EV_TO_T12M_EBITDA",$B65+1,$B65+1))),E66))</f>
        <v>0</v>
      </c>
      <c r="F65" s="561">
        <f ca="1">(IFERROR(IFERROR(VALUE(_xll.BDH(F$4,"CURRENT_EV_TO_T12M_EBITDA",$B65,$B65)),VALUE(_xll.BDH(F$4,"CURRENT_EV_TO_T12M_EBITDA",$B65+1,$B65+1))),F66))</f>
        <v>0</v>
      </c>
      <c r="G65" s="561">
        <f ca="1">(IFERROR(IFERROR(VALUE(_xll.BDH(G$4,"CURRENT_EV_TO_T12M_EBITDA",$B65,$B65)),VALUE(_xll.BDH(G$4,"CURRENT_EV_TO_T12M_EBITDA",$B65+1,$B65+1))),G66))</f>
        <v>0</v>
      </c>
      <c r="H65" s="561">
        <f ca="1">(IFERROR(IFERROR(VALUE(_xll.BDH(H$4,"CURRENT_EV_TO_T12M_EBITDA",$B65,$B65)),VALUE(_xll.BDH(H$4,"CURRENT_EV_TO_T12M_EBITDA",$B65+1,$B65+1))),H66))</f>
        <v>0</v>
      </c>
      <c r="I65" s="565">
        <f t="shared" ca="1" si="14"/>
        <v>45525</v>
      </c>
      <c r="J65" s="561">
        <f ca="1">(IFERROR(IFERROR(VALUE(_xll.BDH(J$4,"PE_RATIO",$B65,$B65)),VALUE(_xll.BDH(J$4,"PE_RATIO",$B65+1,$B65+1))),J66))</f>
        <v>0</v>
      </c>
      <c r="K65" s="561">
        <f ca="1">(IFERROR(IFERROR(VALUE(_xll.BDH(K$4,"PE_RATIO",$B65,$B65)),VALUE(_xll.BDH(K$4,"PE_RATIO",$B65+1,$B65+1))),K66))</f>
        <v>0</v>
      </c>
      <c r="L65" s="561">
        <f ca="1">(IFERROR(IFERROR(VALUE(_xll.BDH(L$4,"PE_RATIO",$B65,$B65)),VALUE(_xll.BDH(L$4,"PE_RATIO",$B65+1,$B65+1))),L66))</f>
        <v>0</v>
      </c>
      <c r="M65" s="561">
        <f ca="1">(IFERROR(IFERROR(VALUE(_xll.BDH(M$4,"PE_RATIO",$B65,$B65)),VALUE(_xll.BDH(M$4,"PE_RATIO",$B65+1,$B65+1))),M66))</f>
        <v>0</v>
      </c>
      <c r="N65" s="561">
        <f ca="1">(IFERROR(IFERROR(VALUE(_xll.BDH(N$4,"PE_RATIO",$B65,$B65)),VALUE(_xll.BDH(N$4,"PE_RATIO",$B65+1,$B65+1))),N66))</f>
        <v>0</v>
      </c>
      <c r="O65" s="561">
        <f ca="1">(IFERROR(IFERROR(VALUE(_xll.BDH(O$4,"PE_RATIO",$B65,$B65)),VALUE(_xll.BDH(O$4,"PE_RATIO",$B65+1,$B65+1))),O66))</f>
        <v>0</v>
      </c>
      <c r="P65" s="561"/>
      <c r="Q65" s="565">
        <f t="shared" ca="1" si="15"/>
        <v>45525</v>
      </c>
      <c r="R65" s="4">
        <v>135.43</v>
      </c>
      <c r="S65" s="4">
        <v>20398.63</v>
      </c>
      <c r="T65" s="4">
        <v>1202.4100000000001</v>
      </c>
      <c r="U65" s="4">
        <v>1.0922655052826842</v>
      </c>
      <c r="V65" s="4">
        <v>1.8097127775190189</v>
      </c>
      <c r="W65" s="4">
        <v>1.6201492939527866</v>
      </c>
      <c r="Y65" s="561">
        <f t="shared" si="16"/>
        <v>135.43</v>
      </c>
      <c r="Z65" s="4">
        <f ca="1">IFERROR(VALUE(_xll.BDH(Z$4,"PX_LAST",$Q65,$Q65)),Z66)</f>
        <v>0</v>
      </c>
      <c r="AA65" s="4">
        <f ca="1">IFERROR(VALUE(_xll.BDH(AA$4,"PX_LAST",$Q65,$Q65)),AA66)</f>
        <v>0</v>
      </c>
      <c r="AB65" s="4">
        <f ca="1">IFERROR(VALUE(_xll.BDH(AB$4,"PX_LAST",$Q65,$Q65)),AB66)</f>
        <v>0</v>
      </c>
      <c r="AC65" s="4">
        <f ca="1">IFERROR(VALUE(_xll.BDH(AC$4,"PX_LAST",$Q65,$Q65)),AC66)</f>
        <v>0</v>
      </c>
      <c r="AD65" s="4">
        <f ca="1">IFERROR(VALUE(_xll.BDH(AD$4,"PX_LAST",$Q65,$Q65)),AD66)</f>
        <v>0</v>
      </c>
      <c r="AF65" s="4">
        <f t="shared" si="17"/>
        <v>1.0922655052826842</v>
      </c>
      <c r="AG65" s="4" t="e">
        <f t="shared" ca="1" si="18"/>
        <v>#DIV/0!</v>
      </c>
      <c r="AH65" s="4" t="e">
        <f t="shared" ca="1" si="19"/>
        <v>#DIV/0!</v>
      </c>
      <c r="AI65" s="4" t="e">
        <f t="shared" ca="1" si="20"/>
        <v>#DIV/0!</v>
      </c>
      <c r="AJ65" s="4" t="e">
        <f t="shared" ca="1" si="21"/>
        <v>#DIV/0!</v>
      </c>
      <c r="AK65" s="4" t="e">
        <f t="shared" ca="1" si="22"/>
        <v>#DIV/0!</v>
      </c>
      <c r="AM65" s="563">
        <f t="shared" ca="1" si="12"/>
        <v>45884</v>
      </c>
      <c r="AN65" s="564">
        <v>150.16</v>
      </c>
      <c r="AO65" s="564">
        <v>789691</v>
      </c>
      <c r="AP65" s="564">
        <v>53481.521000000001</v>
      </c>
      <c r="AQ65" s="564">
        <v>8030785.1933599999</v>
      </c>
      <c r="AR65" s="564">
        <v>2.0886</v>
      </c>
    </row>
    <row r="66" spans="2:44">
      <c r="B66" s="565">
        <f t="shared" ca="1" si="23"/>
        <v>45518</v>
      </c>
      <c r="C66" s="561">
        <f ca="1">(IFERROR(IFERROR(VALUE(_xll.BDH(C$4,"CURRENT_EV_TO_T12M_EBITDA",$B66,$B66)),VALUE(_xll.BDH(C$4,"CURRENT_EV_TO_T12M_EBITDA",$B66+1,$B66+1))),C67))</f>
        <v>0</v>
      </c>
      <c r="D66" s="561">
        <f ca="1">(IFERROR(IFERROR(VALUE(_xll.BDH(D$4,"CURRENT_EV_TO_T12M_EBITDA",$B66,$B66)),VALUE(_xll.BDH(D$4,"CURRENT_EV_TO_T12M_EBITDA",$B66+1,$B66+1))),D67))</f>
        <v>0</v>
      </c>
      <c r="E66" s="561">
        <f ca="1">(IFERROR(IFERROR(VALUE(_xll.BDH(E$4,"CURRENT_EV_TO_T12M_EBITDA",$B66,$B66)),VALUE(_xll.BDH(E$4,"CURRENT_EV_TO_T12M_EBITDA",$B66+1,$B66+1))),E67))</f>
        <v>0</v>
      </c>
      <c r="F66" s="561">
        <f ca="1">(IFERROR(IFERROR(VALUE(_xll.BDH(F$4,"CURRENT_EV_TO_T12M_EBITDA",$B66,$B66)),VALUE(_xll.BDH(F$4,"CURRENT_EV_TO_T12M_EBITDA",$B66+1,$B66+1))),F67))</f>
        <v>0</v>
      </c>
      <c r="G66" s="561">
        <f ca="1">(IFERROR(IFERROR(VALUE(_xll.BDH(G$4,"CURRENT_EV_TO_T12M_EBITDA",$B66,$B66)),VALUE(_xll.BDH(G$4,"CURRENT_EV_TO_T12M_EBITDA",$B66+1,$B66+1))),G67))</f>
        <v>0</v>
      </c>
      <c r="H66" s="561">
        <f ca="1">(IFERROR(IFERROR(VALUE(_xll.BDH(H$4,"CURRENT_EV_TO_T12M_EBITDA",$B66,$B66)),VALUE(_xll.BDH(H$4,"CURRENT_EV_TO_T12M_EBITDA",$B66+1,$B66+1))),H67))</f>
        <v>0</v>
      </c>
      <c r="I66" s="565">
        <f t="shared" ca="1" si="14"/>
        <v>45518</v>
      </c>
      <c r="J66" s="561">
        <f ca="1">(IFERROR(IFERROR(VALUE(_xll.BDH(J$4,"PE_RATIO",$B66,$B66)),VALUE(_xll.BDH(J$4,"PE_RATIO",$B66+1,$B66+1))),J67))</f>
        <v>0</v>
      </c>
      <c r="K66" s="561">
        <f ca="1">(IFERROR(IFERROR(VALUE(_xll.BDH(K$4,"PE_RATIO",$B66,$B66)),VALUE(_xll.BDH(K$4,"PE_RATIO",$B66+1,$B66+1))),K67))</f>
        <v>0</v>
      </c>
      <c r="L66" s="561">
        <f ca="1">(IFERROR(IFERROR(VALUE(_xll.BDH(L$4,"PE_RATIO",$B66,$B66)),VALUE(_xll.BDH(L$4,"PE_RATIO",$B66+1,$B66+1))),L67))</f>
        <v>0</v>
      </c>
      <c r="M66" s="561">
        <f ca="1">(IFERROR(IFERROR(VALUE(_xll.BDH(M$4,"PE_RATIO",$B66,$B66)),VALUE(_xll.BDH(M$4,"PE_RATIO",$B66+1,$B66+1))),M67))</f>
        <v>0</v>
      </c>
      <c r="N66" s="561">
        <f ca="1">(IFERROR(IFERROR(VALUE(_xll.BDH(N$4,"PE_RATIO",$B66,$B66)),VALUE(_xll.BDH(N$4,"PE_RATIO",$B66+1,$B66+1))),N67))</f>
        <v>0</v>
      </c>
      <c r="O66" s="561">
        <f ca="1">(IFERROR(IFERROR(VALUE(_xll.BDH(O$4,"PE_RATIO",$B66,$B66)),VALUE(_xll.BDH(O$4,"PE_RATIO",$B66+1,$B66+1))),O67))</f>
        <v>0</v>
      </c>
      <c r="P66" s="561"/>
      <c r="Q66" s="565">
        <f t="shared" ca="1" si="15"/>
        <v>45518</v>
      </c>
      <c r="R66" s="4">
        <v>120.02</v>
      </c>
      <c r="S66" s="4">
        <v>20453.02</v>
      </c>
      <c r="T66" s="4">
        <v>1101.1500000000001</v>
      </c>
      <c r="U66" s="4">
        <v>0.967981288813614</v>
      </c>
      <c r="V66" s="4">
        <v>1.8145381151995033</v>
      </c>
      <c r="W66" s="4">
        <v>1.4837097121914413</v>
      </c>
      <c r="Y66" s="561">
        <f t="shared" si="16"/>
        <v>120.02</v>
      </c>
      <c r="Z66" s="4">
        <f ca="1">IFERROR(VALUE(_xll.BDH(Z$4,"PX_LAST",$Q66,$Q66)),Z67)</f>
        <v>0</v>
      </c>
      <c r="AA66" s="4">
        <f ca="1">IFERROR(VALUE(_xll.BDH(AA$4,"PX_LAST",$Q66,$Q66)),AA67)</f>
        <v>0</v>
      </c>
      <c r="AB66" s="4">
        <f ca="1">IFERROR(VALUE(_xll.BDH(AB$4,"PX_LAST",$Q66,$Q66)),AB67)</f>
        <v>0</v>
      </c>
      <c r="AC66" s="4">
        <f ca="1">IFERROR(VALUE(_xll.BDH(AC$4,"PX_LAST",$Q66,$Q66)),AC67)</f>
        <v>0</v>
      </c>
      <c r="AD66" s="4">
        <f ca="1">IFERROR(VALUE(_xll.BDH(AD$4,"PX_LAST",$Q66,$Q66)),AD67)</f>
        <v>0</v>
      </c>
      <c r="AF66" s="4">
        <f t="shared" si="17"/>
        <v>0.967981288813614</v>
      </c>
      <c r="AG66" s="4" t="e">
        <f t="shared" ca="1" si="18"/>
        <v>#DIV/0!</v>
      </c>
      <c r="AH66" s="4" t="e">
        <f t="shared" ca="1" si="19"/>
        <v>#DIV/0!</v>
      </c>
      <c r="AI66" s="4" t="e">
        <f t="shared" ca="1" si="20"/>
        <v>#DIV/0!</v>
      </c>
      <c r="AJ66" s="4" t="e">
        <f t="shared" ca="1" si="21"/>
        <v>#DIV/0!</v>
      </c>
      <c r="AK66" s="4" t="e">
        <f t="shared" ca="1" si="22"/>
        <v>#DIV/0!</v>
      </c>
      <c r="AM66" s="563">
        <f t="shared" ca="1" si="12"/>
        <v>45883</v>
      </c>
      <c r="AN66" s="564">
        <v>148.72999999999999</v>
      </c>
      <c r="AO66" s="564">
        <v>777629</v>
      </c>
      <c r="AP66" s="564">
        <v>53481.521000000001</v>
      </c>
      <c r="AQ66" s="564">
        <v>7954306.61833</v>
      </c>
      <c r="AR66" s="564">
        <v>2.0688</v>
      </c>
    </row>
    <row r="67" spans="2:44">
      <c r="B67" s="565">
        <f t="shared" ca="1" si="23"/>
        <v>45511</v>
      </c>
      <c r="C67" s="561">
        <f ca="1">(IFERROR(IFERROR(VALUE(_xll.BDH(C$4,"CURRENT_EV_TO_T12M_EBITDA",$B67,$B67)),VALUE(_xll.BDH(C$4,"CURRENT_EV_TO_T12M_EBITDA",$B67+1,$B67+1))),C68))</f>
        <v>0</v>
      </c>
      <c r="D67" s="561">
        <f ca="1">(IFERROR(IFERROR(VALUE(_xll.BDH(D$4,"CURRENT_EV_TO_T12M_EBITDA",$B67,$B67)),VALUE(_xll.BDH(D$4,"CURRENT_EV_TO_T12M_EBITDA",$B67+1,$B67+1))),D68))</f>
        <v>0</v>
      </c>
      <c r="E67" s="561">
        <f ca="1">(IFERROR(IFERROR(VALUE(_xll.BDH(E$4,"CURRENT_EV_TO_T12M_EBITDA",$B67,$B67)),VALUE(_xll.BDH(E$4,"CURRENT_EV_TO_T12M_EBITDA",$B67+1,$B67+1))),E68))</f>
        <v>0</v>
      </c>
      <c r="F67" s="561">
        <f ca="1">(IFERROR(IFERROR(VALUE(_xll.BDH(F$4,"CURRENT_EV_TO_T12M_EBITDA",$B67,$B67)),VALUE(_xll.BDH(F$4,"CURRENT_EV_TO_T12M_EBITDA",$B67+1,$B67+1))),F68))</f>
        <v>0</v>
      </c>
      <c r="G67" s="561">
        <f ca="1">(IFERROR(IFERROR(VALUE(_xll.BDH(G$4,"CURRENT_EV_TO_T12M_EBITDA",$B67,$B67)),VALUE(_xll.BDH(G$4,"CURRENT_EV_TO_T12M_EBITDA",$B67+1,$B67+1))),G68))</f>
        <v>0</v>
      </c>
      <c r="H67" s="561">
        <f ca="1">(IFERROR(IFERROR(VALUE(_xll.BDH(H$4,"CURRENT_EV_TO_T12M_EBITDA",$B67,$B67)),VALUE(_xll.BDH(H$4,"CURRENT_EV_TO_T12M_EBITDA",$B67+1,$B67+1))),H68))</f>
        <v>0</v>
      </c>
      <c r="I67" s="565">
        <f t="shared" ca="1" si="14"/>
        <v>45511</v>
      </c>
      <c r="J67" s="561">
        <f ca="1">(IFERROR(IFERROR(VALUE(_xll.BDH(J$4,"PE_RATIO",$B67,$B67)),VALUE(_xll.BDH(J$4,"PE_RATIO",$B67+1,$B67+1))),J68))</f>
        <v>0</v>
      </c>
      <c r="K67" s="561">
        <f ca="1">(IFERROR(IFERROR(VALUE(_xll.BDH(K$4,"PE_RATIO",$B67,$B67)),VALUE(_xll.BDH(K$4,"PE_RATIO",$B67+1,$B67+1))),K68))</f>
        <v>0</v>
      </c>
      <c r="L67" s="561">
        <f ca="1">(IFERROR(IFERROR(VALUE(_xll.BDH(L$4,"PE_RATIO",$B67,$B67)),VALUE(_xll.BDH(L$4,"PE_RATIO",$B67+1,$B67+1))),L68))</f>
        <v>0</v>
      </c>
      <c r="M67" s="561">
        <f ca="1">(IFERROR(IFERROR(VALUE(_xll.BDH(M$4,"PE_RATIO",$B67,$B67)),VALUE(_xll.BDH(M$4,"PE_RATIO",$B67+1,$B67+1))),M68))</f>
        <v>0</v>
      </c>
      <c r="N67" s="561">
        <f ca="1">(IFERROR(IFERROR(VALUE(_xll.BDH(N$4,"PE_RATIO",$B67,$B67)),VALUE(_xll.BDH(N$4,"PE_RATIO",$B67+1,$B67+1))),N68))</f>
        <v>0</v>
      </c>
      <c r="O67" s="561">
        <f ca="1">(IFERROR(IFERROR(VALUE(_xll.BDH(O$4,"PE_RATIO",$B67,$B67)),VALUE(_xll.BDH(O$4,"PE_RATIO",$B67+1,$B67+1))),O68))</f>
        <v>0</v>
      </c>
      <c r="P67" s="561"/>
      <c r="Q67" s="565">
        <f t="shared" ca="1" si="15"/>
        <v>45511</v>
      </c>
      <c r="R67" s="4">
        <v>120.9</v>
      </c>
      <c r="S67" s="4">
        <v>20011.89</v>
      </c>
      <c r="T67" s="4">
        <v>1102.72</v>
      </c>
      <c r="U67" s="4">
        <v>0.97507863537382056</v>
      </c>
      <c r="V67" s="4">
        <v>1.7754022223700845</v>
      </c>
      <c r="W67" s="4">
        <v>1.485825158995365</v>
      </c>
      <c r="Y67" s="561">
        <f t="shared" si="16"/>
        <v>120.9</v>
      </c>
      <c r="Z67" s="4">
        <f ca="1">IFERROR(VALUE(_xll.BDH(Z$4,"PX_LAST",$Q67,$Q67)),Z68)</f>
        <v>0</v>
      </c>
      <c r="AA67" s="4">
        <f ca="1">IFERROR(VALUE(_xll.BDH(AA$4,"PX_LAST",$Q67,$Q67)),AA68)</f>
        <v>0</v>
      </c>
      <c r="AB67" s="4">
        <f ca="1">IFERROR(VALUE(_xll.BDH(AB$4,"PX_LAST",$Q67,$Q67)),AB68)</f>
        <v>0</v>
      </c>
      <c r="AC67" s="4">
        <f ca="1">IFERROR(VALUE(_xll.BDH(AC$4,"PX_LAST",$Q67,$Q67)),AC68)</f>
        <v>0</v>
      </c>
      <c r="AD67" s="4">
        <f ca="1">IFERROR(VALUE(_xll.BDH(AD$4,"PX_LAST",$Q67,$Q67)),AD68)</f>
        <v>0</v>
      </c>
      <c r="AF67" s="4">
        <f t="shared" si="17"/>
        <v>0.97507863537382056</v>
      </c>
      <c r="AG67" s="4" t="e">
        <f t="shared" ca="1" si="18"/>
        <v>#DIV/0!</v>
      </c>
      <c r="AH67" s="4" t="e">
        <f t="shared" ca="1" si="19"/>
        <v>#DIV/0!</v>
      </c>
      <c r="AI67" s="4" t="e">
        <f t="shared" ca="1" si="20"/>
        <v>#DIV/0!</v>
      </c>
      <c r="AJ67" s="4" t="e">
        <f t="shared" ca="1" si="21"/>
        <v>#DIV/0!</v>
      </c>
      <c r="AK67" s="4" t="e">
        <f t="shared" ca="1" si="22"/>
        <v>#DIV/0!</v>
      </c>
      <c r="AM67" s="563">
        <f t="shared" ca="1" si="12"/>
        <v>45882</v>
      </c>
      <c r="AN67" s="564">
        <v>148.06</v>
      </c>
      <c r="AO67" s="564">
        <v>1162795</v>
      </c>
      <c r="AP67" s="564">
        <v>53481.521000000001</v>
      </c>
      <c r="AQ67" s="564">
        <v>7918473.99926</v>
      </c>
      <c r="AR67" s="564">
        <v>2.0594000000000001</v>
      </c>
    </row>
    <row r="68" spans="2:44">
      <c r="B68" s="565">
        <f t="shared" ca="1" si="23"/>
        <v>45504</v>
      </c>
      <c r="C68" s="561">
        <f ca="1">(IFERROR(IFERROR(VALUE(_xll.BDH(C$4,"CURRENT_EV_TO_T12M_EBITDA",$B68,$B68)),VALUE(_xll.BDH(C$4,"CURRENT_EV_TO_T12M_EBITDA",$B68+1,$B68+1))),C69))</f>
        <v>0</v>
      </c>
      <c r="D68" s="561">
        <f ca="1">(IFERROR(IFERROR(VALUE(_xll.BDH(D$4,"CURRENT_EV_TO_T12M_EBITDA",$B68,$B68)),VALUE(_xll.BDH(D$4,"CURRENT_EV_TO_T12M_EBITDA",$B68+1,$B68+1))),D69))</f>
        <v>0</v>
      </c>
      <c r="E68" s="561">
        <f ca="1">(IFERROR(IFERROR(VALUE(_xll.BDH(E$4,"CURRENT_EV_TO_T12M_EBITDA",$B68,$B68)),VALUE(_xll.BDH(E$4,"CURRENT_EV_TO_T12M_EBITDA",$B68+1,$B68+1))),E69))</f>
        <v>0</v>
      </c>
      <c r="F68" s="561">
        <f ca="1">(IFERROR(IFERROR(VALUE(_xll.BDH(F$4,"CURRENT_EV_TO_T12M_EBITDA",$B68,$B68)),VALUE(_xll.BDH(F$4,"CURRENT_EV_TO_T12M_EBITDA",$B68+1,$B68+1))),F69))</f>
        <v>0</v>
      </c>
      <c r="G68" s="561">
        <f ca="1">(IFERROR(IFERROR(VALUE(_xll.BDH(G$4,"CURRENT_EV_TO_T12M_EBITDA",$B68,$B68)),VALUE(_xll.BDH(G$4,"CURRENT_EV_TO_T12M_EBITDA",$B68+1,$B68+1))),G69))</f>
        <v>0</v>
      </c>
      <c r="H68" s="561">
        <f ca="1">(IFERROR(IFERROR(VALUE(_xll.BDH(H$4,"CURRENT_EV_TO_T12M_EBITDA",$B68,$B68)),VALUE(_xll.BDH(H$4,"CURRENT_EV_TO_T12M_EBITDA",$B68+1,$B68+1))),H69))</f>
        <v>0</v>
      </c>
      <c r="I68" s="565">
        <f t="shared" ca="1" si="14"/>
        <v>45504</v>
      </c>
      <c r="J68" s="561">
        <f ca="1">(IFERROR(IFERROR(VALUE(_xll.BDH(J$4,"PE_RATIO",$B68,$B68)),VALUE(_xll.BDH(J$4,"PE_RATIO",$B68+1,$B68+1))),J69))</f>
        <v>0</v>
      </c>
      <c r="K68" s="561">
        <f ca="1">(IFERROR(IFERROR(VALUE(_xll.BDH(K$4,"PE_RATIO",$B68,$B68)),VALUE(_xll.BDH(K$4,"PE_RATIO",$B68+1,$B68+1))),K69))</f>
        <v>0</v>
      </c>
      <c r="L68" s="561">
        <f ca="1">(IFERROR(IFERROR(VALUE(_xll.BDH(L$4,"PE_RATIO",$B68,$B68)),VALUE(_xll.BDH(L$4,"PE_RATIO",$B68+1,$B68+1))),L69))</f>
        <v>0</v>
      </c>
      <c r="M68" s="561">
        <f ca="1">(IFERROR(IFERROR(VALUE(_xll.BDH(M$4,"PE_RATIO",$B68,$B68)),VALUE(_xll.BDH(M$4,"PE_RATIO",$B68+1,$B68+1))),M69))</f>
        <v>0</v>
      </c>
      <c r="N68" s="561">
        <f ca="1">(IFERROR(IFERROR(VALUE(_xll.BDH(N$4,"PE_RATIO",$B68,$B68)),VALUE(_xll.BDH(N$4,"PE_RATIO",$B68+1,$B68+1))),N69))</f>
        <v>0</v>
      </c>
      <c r="O68" s="561">
        <f ca="1">(IFERROR(IFERROR(VALUE(_xll.BDH(O$4,"PE_RATIO",$B68,$B68)),VALUE(_xll.BDH(O$4,"PE_RATIO",$B68+1,$B68+1))),O69))</f>
        <v>0</v>
      </c>
      <c r="P68" s="561"/>
      <c r="Q68" s="565">
        <f t="shared" ca="1" si="15"/>
        <v>45504</v>
      </c>
      <c r="R68" s="4">
        <v>123.47</v>
      </c>
      <c r="S68" s="4">
        <v>19701.13</v>
      </c>
      <c r="T68" s="4">
        <v>1111.03</v>
      </c>
      <c r="U68" s="4">
        <v>0.9958061133962417</v>
      </c>
      <c r="V68" s="4">
        <v>1.7478324128906337</v>
      </c>
      <c r="W68" s="4">
        <v>1.4970222054543494</v>
      </c>
      <c r="Y68" s="561">
        <f t="shared" si="16"/>
        <v>123.47</v>
      </c>
      <c r="Z68" s="4">
        <f ca="1">IFERROR(VALUE(_xll.BDH(Z$4,"PX_LAST",$Q68,$Q68)),Z69)</f>
        <v>0</v>
      </c>
      <c r="AA68" s="4">
        <f ca="1">IFERROR(VALUE(_xll.BDH(AA$4,"PX_LAST",$Q68,$Q68)),AA69)</f>
        <v>0</v>
      </c>
      <c r="AB68" s="4">
        <f ca="1">IFERROR(VALUE(_xll.BDH(AB$4,"PX_LAST",$Q68,$Q68)),AB69)</f>
        <v>0</v>
      </c>
      <c r="AC68" s="4">
        <f ca="1">IFERROR(VALUE(_xll.BDH(AC$4,"PX_LAST",$Q68,$Q68)),AC69)</f>
        <v>0</v>
      </c>
      <c r="AD68" s="4">
        <f ca="1">IFERROR(VALUE(_xll.BDH(AD$4,"PX_LAST",$Q68,$Q68)),AD69)</f>
        <v>0</v>
      </c>
      <c r="AF68" s="4">
        <f t="shared" si="17"/>
        <v>0.9958061133962417</v>
      </c>
      <c r="AG68" s="4" t="e">
        <f t="shared" ca="1" si="18"/>
        <v>#DIV/0!</v>
      </c>
      <c r="AH68" s="4" t="e">
        <f t="shared" ca="1" si="19"/>
        <v>#DIV/0!</v>
      </c>
      <c r="AI68" s="4" t="e">
        <f t="shared" ca="1" si="20"/>
        <v>#DIV/0!</v>
      </c>
      <c r="AJ68" s="4" t="e">
        <f t="shared" ca="1" si="21"/>
        <v>#DIV/0!</v>
      </c>
      <c r="AK68" s="4" t="e">
        <f t="shared" ca="1" si="22"/>
        <v>#DIV/0!</v>
      </c>
      <c r="AM68" s="563">
        <f t="shared" ca="1" si="12"/>
        <v>45881</v>
      </c>
      <c r="AN68" s="564">
        <v>145.38999999999999</v>
      </c>
      <c r="AO68" s="564">
        <v>767419</v>
      </c>
      <c r="AP68" s="564">
        <v>53481.521000000001</v>
      </c>
      <c r="AQ68" s="564">
        <v>7775678.3381899996</v>
      </c>
      <c r="AR68" s="564">
        <v>2.0223</v>
      </c>
    </row>
    <row r="69" spans="2:44">
      <c r="B69" s="565">
        <f t="shared" ca="1" si="23"/>
        <v>45497</v>
      </c>
      <c r="C69" s="561">
        <f ca="1">(IFERROR(IFERROR(VALUE(_xll.BDH(C$4,"CURRENT_EV_TO_T12M_EBITDA",$B69,$B69)),VALUE(_xll.BDH(C$4,"CURRENT_EV_TO_T12M_EBITDA",$B69+1,$B69+1))),C70))</f>
        <v>0</v>
      </c>
      <c r="D69" s="561">
        <f ca="1">(IFERROR(IFERROR(VALUE(_xll.BDH(D$4,"CURRENT_EV_TO_T12M_EBITDA",$B69,$B69)),VALUE(_xll.BDH(D$4,"CURRENT_EV_TO_T12M_EBITDA",$B69+1,$B69+1))),D70))</f>
        <v>0</v>
      </c>
      <c r="E69" s="561">
        <f ca="1">(IFERROR(IFERROR(VALUE(_xll.BDH(E$4,"CURRENT_EV_TO_T12M_EBITDA",$B69,$B69)),VALUE(_xll.BDH(E$4,"CURRENT_EV_TO_T12M_EBITDA",$B69+1,$B69+1))),E70))</f>
        <v>0</v>
      </c>
      <c r="F69" s="561">
        <f ca="1">(IFERROR(IFERROR(VALUE(_xll.BDH(F$4,"CURRENT_EV_TO_T12M_EBITDA",$B69,$B69)),VALUE(_xll.BDH(F$4,"CURRENT_EV_TO_T12M_EBITDA",$B69+1,$B69+1))),F70))</f>
        <v>0</v>
      </c>
      <c r="G69" s="561">
        <f ca="1">(IFERROR(IFERROR(VALUE(_xll.BDH(G$4,"CURRENT_EV_TO_T12M_EBITDA",$B69,$B69)),VALUE(_xll.BDH(G$4,"CURRENT_EV_TO_T12M_EBITDA",$B69+1,$B69+1))),G70))</f>
        <v>0</v>
      </c>
      <c r="H69" s="561">
        <f ca="1">(IFERROR(IFERROR(VALUE(_xll.BDH(H$4,"CURRENT_EV_TO_T12M_EBITDA",$B69,$B69)),VALUE(_xll.BDH(H$4,"CURRENT_EV_TO_T12M_EBITDA",$B69+1,$B69+1))),H70))</f>
        <v>0</v>
      </c>
      <c r="I69" s="565">
        <f t="shared" ref="I69:I100" ca="1" si="24">+B69</f>
        <v>45497</v>
      </c>
      <c r="J69" s="561">
        <f ca="1">(IFERROR(IFERROR(VALUE(_xll.BDH(J$4,"PE_RATIO",$B69,$B69)),VALUE(_xll.BDH(J$4,"PE_RATIO",$B69+1,$B69+1))),J70))</f>
        <v>0</v>
      </c>
      <c r="K69" s="561">
        <f ca="1">(IFERROR(IFERROR(VALUE(_xll.BDH(K$4,"PE_RATIO",$B69,$B69)),VALUE(_xll.BDH(K$4,"PE_RATIO",$B69+1,$B69+1))),K70))</f>
        <v>0</v>
      </c>
      <c r="L69" s="561">
        <f ca="1">(IFERROR(IFERROR(VALUE(_xll.BDH(L$4,"PE_RATIO",$B69,$B69)),VALUE(_xll.BDH(L$4,"PE_RATIO",$B69+1,$B69+1))),L70))</f>
        <v>0</v>
      </c>
      <c r="M69" s="561">
        <f ca="1">(IFERROR(IFERROR(VALUE(_xll.BDH(M$4,"PE_RATIO",$B69,$B69)),VALUE(_xll.BDH(M$4,"PE_RATIO",$B69+1,$B69+1))),M70))</f>
        <v>0</v>
      </c>
      <c r="N69" s="561">
        <f ca="1">(IFERROR(IFERROR(VALUE(_xll.BDH(N$4,"PE_RATIO",$B69,$B69)),VALUE(_xll.BDH(N$4,"PE_RATIO",$B69+1,$B69+1))),N70))</f>
        <v>0</v>
      </c>
      <c r="O69" s="561">
        <f ca="1">(IFERROR(IFERROR(VALUE(_xll.BDH(O$4,"PE_RATIO",$B69,$B69)),VALUE(_xll.BDH(O$4,"PE_RATIO",$B69+1,$B69+1))),O70))</f>
        <v>0</v>
      </c>
      <c r="P69" s="561"/>
      <c r="Q69" s="565">
        <f t="shared" ref="Q69:Q100" ca="1" si="25">+I69</f>
        <v>45497</v>
      </c>
      <c r="R69" s="4">
        <v>126.34</v>
      </c>
      <c r="S69" s="4">
        <v>19908.86</v>
      </c>
      <c r="T69" s="4">
        <v>1128.55</v>
      </c>
      <c r="U69" s="4">
        <v>1.0189531413823696</v>
      </c>
      <c r="V69" s="4">
        <v>1.7662616718788122</v>
      </c>
      <c r="W69" s="4">
        <v>1.520628974884122</v>
      </c>
      <c r="Y69" s="561">
        <f t="shared" ref="Y69:Y100" si="26">+R69</f>
        <v>126.34</v>
      </c>
      <c r="Z69" s="4">
        <f ca="1">IFERROR(VALUE(_xll.BDH(Z$4,"PX_LAST",$Q69,$Q69)),Z70)</f>
        <v>0</v>
      </c>
      <c r="AA69" s="4">
        <f ca="1">IFERROR(VALUE(_xll.BDH(AA$4,"PX_LAST",$Q69,$Q69)),AA70)</f>
        <v>0</v>
      </c>
      <c r="AB69" s="4">
        <f ca="1">IFERROR(VALUE(_xll.BDH(AB$4,"PX_LAST",$Q69,$Q69)),AB70)</f>
        <v>0</v>
      </c>
      <c r="AC69" s="4">
        <f ca="1">IFERROR(VALUE(_xll.BDH(AC$4,"PX_LAST",$Q69,$Q69)),AC70)</f>
        <v>0</v>
      </c>
      <c r="AD69" s="4">
        <f ca="1">IFERROR(VALUE(_xll.BDH(AD$4,"PX_LAST",$Q69,$Q69)),AD70)</f>
        <v>0</v>
      </c>
      <c r="AF69" s="4">
        <f t="shared" ref="AF69:AF100" si="27">+Y69/Y$159</f>
        <v>1.0189531413823696</v>
      </c>
      <c r="AG69" s="4" t="e">
        <f t="shared" ref="AG69:AG100" ca="1" si="28">+Z69/Z$159</f>
        <v>#DIV/0!</v>
      </c>
      <c r="AH69" s="4" t="e">
        <f t="shared" ref="AH69:AH100" ca="1" si="29">+AA69/AA$159</f>
        <v>#DIV/0!</v>
      </c>
      <c r="AI69" s="4" t="e">
        <f t="shared" ref="AI69:AI100" ca="1" si="30">+AB69/AB$159</f>
        <v>#DIV/0!</v>
      </c>
      <c r="AJ69" s="4" t="e">
        <f t="shared" ref="AJ69:AJ100" ca="1" si="31">+AC69/AC$159</f>
        <v>#DIV/0!</v>
      </c>
      <c r="AK69" s="4" t="e">
        <f t="shared" ref="AK69:AK100" ca="1" si="32">+AD69/AD$159</f>
        <v>#DIV/0!</v>
      </c>
      <c r="AM69" s="563">
        <f t="shared" ref="AM69:AM132" ca="1" si="33">AM68-1</f>
        <v>45880</v>
      </c>
      <c r="AN69" s="564">
        <v>148.63</v>
      </c>
      <c r="AO69" s="564">
        <v>841440</v>
      </c>
      <c r="AP69" s="564">
        <v>53481.521000000001</v>
      </c>
      <c r="AQ69" s="564">
        <v>7948958.4662299994</v>
      </c>
      <c r="AR69" s="564">
        <v>2.0674000000000001</v>
      </c>
    </row>
    <row r="70" spans="2:44">
      <c r="B70" s="565">
        <f t="shared" ref="B70:B101" ca="1" si="34">+B69-7</f>
        <v>45490</v>
      </c>
      <c r="C70" s="561">
        <f ca="1">(IFERROR(IFERROR(VALUE(_xll.BDH(C$4,"CURRENT_EV_TO_T12M_EBITDA",$B70,$B70)),VALUE(_xll.BDH(C$4,"CURRENT_EV_TO_T12M_EBITDA",$B70+1,$B70+1))),C71))</f>
        <v>0</v>
      </c>
      <c r="D70" s="561">
        <f ca="1">(IFERROR(IFERROR(VALUE(_xll.BDH(D$4,"CURRENT_EV_TO_T12M_EBITDA",$B70,$B70)),VALUE(_xll.BDH(D$4,"CURRENT_EV_TO_T12M_EBITDA",$B70+1,$B70+1))),D71))</f>
        <v>0</v>
      </c>
      <c r="E70" s="561">
        <f ca="1">(IFERROR(IFERROR(VALUE(_xll.BDH(E$4,"CURRENT_EV_TO_T12M_EBITDA",$B70,$B70)),VALUE(_xll.BDH(E$4,"CURRENT_EV_TO_T12M_EBITDA",$B70+1,$B70+1))),E71))</f>
        <v>0</v>
      </c>
      <c r="F70" s="561">
        <f ca="1">(IFERROR(IFERROR(VALUE(_xll.BDH(F$4,"CURRENT_EV_TO_T12M_EBITDA",$B70,$B70)),VALUE(_xll.BDH(F$4,"CURRENT_EV_TO_T12M_EBITDA",$B70+1,$B70+1))),F71))</f>
        <v>0</v>
      </c>
      <c r="G70" s="561">
        <f ca="1">(IFERROR(IFERROR(VALUE(_xll.BDH(G$4,"CURRENT_EV_TO_T12M_EBITDA",$B70,$B70)),VALUE(_xll.BDH(G$4,"CURRENT_EV_TO_T12M_EBITDA",$B70+1,$B70+1))),G71))</f>
        <v>0</v>
      </c>
      <c r="H70" s="561">
        <f ca="1">(IFERROR(IFERROR(VALUE(_xll.BDH(H$4,"CURRENT_EV_TO_T12M_EBITDA",$B70,$B70)),VALUE(_xll.BDH(H$4,"CURRENT_EV_TO_T12M_EBITDA",$B70+1,$B70+1))),H71))</f>
        <v>0</v>
      </c>
      <c r="I70" s="565">
        <f t="shared" ca="1" si="24"/>
        <v>45490</v>
      </c>
      <c r="J70" s="561">
        <f ca="1">(IFERROR(IFERROR(VALUE(_xll.BDH(J$4,"PE_RATIO",$B70,$B70)),VALUE(_xll.BDH(J$4,"PE_RATIO",$B70+1,$B70+1))),J71))</f>
        <v>0</v>
      </c>
      <c r="K70" s="561">
        <f ca="1">(IFERROR(IFERROR(VALUE(_xll.BDH(K$4,"PE_RATIO",$B70,$B70)),VALUE(_xll.BDH(K$4,"PE_RATIO",$B70+1,$B70+1))),K71))</f>
        <v>0</v>
      </c>
      <c r="L70" s="561">
        <f ca="1">(IFERROR(IFERROR(VALUE(_xll.BDH(L$4,"PE_RATIO",$B70,$B70)),VALUE(_xll.BDH(L$4,"PE_RATIO",$B70+1,$B70+1))),L71))</f>
        <v>0</v>
      </c>
      <c r="M70" s="561">
        <f ca="1">(IFERROR(IFERROR(VALUE(_xll.BDH(M$4,"PE_RATIO",$B70,$B70)),VALUE(_xll.BDH(M$4,"PE_RATIO",$B70+1,$B70+1))),M71))</f>
        <v>0</v>
      </c>
      <c r="N70" s="561">
        <f ca="1">(IFERROR(IFERROR(VALUE(_xll.BDH(N$4,"PE_RATIO",$B70,$B70)),VALUE(_xll.BDH(N$4,"PE_RATIO",$B70+1,$B70+1))),N71))</f>
        <v>0</v>
      </c>
      <c r="O70" s="561">
        <f ca="1">(IFERROR(IFERROR(VALUE(_xll.BDH(O$4,"PE_RATIO",$B70,$B70)),VALUE(_xll.BDH(O$4,"PE_RATIO",$B70+1,$B70+1))),O71))</f>
        <v>0</v>
      </c>
      <c r="P70" s="561"/>
      <c r="Q70" s="565">
        <f t="shared" ca="1" si="25"/>
        <v>45490</v>
      </c>
      <c r="R70" s="4">
        <v>124.22</v>
      </c>
      <c r="S70" s="4">
        <v>19210.18</v>
      </c>
      <c r="T70" s="4">
        <v>1121.27</v>
      </c>
      <c r="U70" s="4">
        <v>1.0018549883055086</v>
      </c>
      <c r="V70" s="4">
        <v>1.7042766207554285</v>
      </c>
      <c r="W70" s="4">
        <v>1.5108197693219791</v>
      </c>
      <c r="Y70" s="561">
        <f t="shared" si="26"/>
        <v>124.22</v>
      </c>
      <c r="Z70" s="4">
        <f ca="1">IFERROR(VALUE(_xll.BDH(Z$4,"PX_LAST",$Q70,$Q70)),Z71)</f>
        <v>0</v>
      </c>
      <c r="AA70" s="4">
        <f ca="1">IFERROR(VALUE(_xll.BDH(AA$4,"PX_LAST",$Q70,$Q70)),AA71)</f>
        <v>0</v>
      </c>
      <c r="AB70" s="4">
        <f ca="1">IFERROR(VALUE(_xll.BDH(AB$4,"PX_LAST",$Q70,$Q70)),AB71)</f>
        <v>0</v>
      </c>
      <c r="AC70" s="4">
        <f ca="1">IFERROR(VALUE(_xll.BDH(AC$4,"PX_LAST",$Q70,$Q70)),AC71)</f>
        <v>0</v>
      </c>
      <c r="AD70" s="4">
        <f ca="1">IFERROR(VALUE(_xll.BDH(AD$4,"PX_LAST",$Q70,$Q70)),AD71)</f>
        <v>0</v>
      </c>
      <c r="AF70" s="4">
        <f t="shared" si="27"/>
        <v>1.0018549883055086</v>
      </c>
      <c r="AG70" s="4" t="e">
        <f t="shared" ca="1" si="28"/>
        <v>#DIV/0!</v>
      </c>
      <c r="AH70" s="4" t="e">
        <f t="shared" ca="1" si="29"/>
        <v>#DIV/0!</v>
      </c>
      <c r="AI70" s="4" t="e">
        <f t="shared" ca="1" si="30"/>
        <v>#DIV/0!</v>
      </c>
      <c r="AJ70" s="4" t="e">
        <f t="shared" ca="1" si="31"/>
        <v>#DIV/0!</v>
      </c>
      <c r="AK70" s="4" t="e">
        <f t="shared" ca="1" si="32"/>
        <v>#DIV/0!</v>
      </c>
      <c r="AM70" s="563">
        <f t="shared" ca="1" si="33"/>
        <v>45879</v>
      </c>
      <c r="AN70" s="564">
        <v>148.63</v>
      </c>
      <c r="AO70" s="564">
        <v>841440</v>
      </c>
      <c r="AP70" s="564">
        <v>53481.521000000001</v>
      </c>
      <c r="AQ70" s="564">
        <v>7948958.4662299994</v>
      </c>
      <c r="AR70" s="564">
        <v>2.0674000000000001</v>
      </c>
    </row>
    <row r="71" spans="2:44">
      <c r="B71" s="565">
        <f t="shared" ca="1" si="34"/>
        <v>45483</v>
      </c>
      <c r="C71" s="561">
        <f ca="1">(IFERROR(IFERROR(VALUE(_xll.BDH(C$4,"CURRENT_EV_TO_T12M_EBITDA",$B71,$B71)),VALUE(_xll.BDH(C$4,"CURRENT_EV_TO_T12M_EBITDA",$B71+1,$B71+1))),C72))</f>
        <v>0</v>
      </c>
      <c r="D71" s="561">
        <f ca="1">(IFERROR(IFERROR(VALUE(_xll.BDH(D$4,"CURRENT_EV_TO_T12M_EBITDA",$B71,$B71)),VALUE(_xll.BDH(D$4,"CURRENT_EV_TO_T12M_EBITDA",$B71+1,$B71+1))),D72))</f>
        <v>0</v>
      </c>
      <c r="E71" s="561">
        <f ca="1">(IFERROR(IFERROR(VALUE(_xll.BDH(E$4,"CURRENT_EV_TO_T12M_EBITDA",$B71,$B71)),VALUE(_xll.BDH(E$4,"CURRENT_EV_TO_T12M_EBITDA",$B71+1,$B71+1))),E72))</f>
        <v>0</v>
      </c>
      <c r="F71" s="561">
        <f ca="1">(IFERROR(IFERROR(VALUE(_xll.BDH(F$4,"CURRENT_EV_TO_T12M_EBITDA",$B71,$B71)),VALUE(_xll.BDH(F$4,"CURRENT_EV_TO_T12M_EBITDA",$B71+1,$B71+1))),F72))</f>
        <v>0</v>
      </c>
      <c r="G71" s="561">
        <f ca="1">(IFERROR(IFERROR(VALUE(_xll.BDH(G$4,"CURRENT_EV_TO_T12M_EBITDA",$B71,$B71)),VALUE(_xll.BDH(G$4,"CURRENT_EV_TO_T12M_EBITDA",$B71+1,$B71+1))),G72))</f>
        <v>0</v>
      </c>
      <c r="H71" s="561">
        <f ca="1">(IFERROR(IFERROR(VALUE(_xll.BDH(H$4,"CURRENT_EV_TO_T12M_EBITDA",$B71,$B71)),VALUE(_xll.BDH(H$4,"CURRENT_EV_TO_T12M_EBITDA",$B71+1,$B71+1))),H72))</f>
        <v>0</v>
      </c>
      <c r="I71" s="565">
        <f t="shared" ca="1" si="24"/>
        <v>45483</v>
      </c>
      <c r="J71" s="561">
        <f ca="1">(IFERROR(IFERROR(VALUE(_xll.BDH(J$4,"PE_RATIO",$B71,$B71)),VALUE(_xll.BDH(J$4,"PE_RATIO",$B71+1,$B71+1))),J72))</f>
        <v>0</v>
      </c>
      <c r="K71" s="561">
        <f ca="1">(IFERROR(IFERROR(VALUE(_xll.BDH(K$4,"PE_RATIO",$B71,$B71)),VALUE(_xll.BDH(K$4,"PE_RATIO",$B71+1,$B71+1))),K72))</f>
        <v>0</v>
      </c>
      <c r="L71" s="561">
        <f ca="1">(IFERROR(IFERROR(VALUE(_xll.BDH(L$4,"PE_RATIO",$B71,$B71)),VALUE(_xll.BDH(L$4,"PE_RATIO",$B71+1,$B71+1))),L72))</f>
        <v>0</v>
      </c>
      <c r="M71" s="561">
        <f ca="1">(IFERROR(IFERROR(VALUE(_xll.BDH(M$4,"PE_RATIO",$B71,$B71)),VALUE(_xll.BDH(M$4,"PE_RATIO",$B71+1,$B71+1))),M72))</f>
        <v>0</v>
      </c>
      <c r="N71" s="561">
        <f ca="1">(IFERROR(IFERROR(VALUE(_xll.BDH(N$4,"PE_RATIO",$B71,$B71)),VALUE(_xll.BDH(N$4,"PE_RATIO",$B71+1,$B71+1))),N72))</f>
        <v>0</v>
      </c>
      <c r="O71" s="561">
        <f ca="1">(IFERROR(IFERROR(VALUE(_xll.BDH(O$4,"PE_RATIO",$B71,$B71)),VALUE(_xll.BDH(O$4,"PE_RATIO",$B71+1,$B71+1))),O72))</f>
        <v>0</v>
      </c>
      <c r="P71" s="561"/>
      <c r="Q71" s="565">
        <f t="shared" ca="1" si="25"/>
        <v>45483</v>
      </c>
      <c r="R71" s="4">
        <v>127.01</v>
      </c>
      <c r="S71" s="4">
        <v>18654.84</v>
      </c>
      <c r="T71" s="4">
        <v>1121.9100000000001</v>
      </c>
      <c r="U71" s="4">
        <v>1.0243568029679813</v>
      </c>
      <c r="V71" s="4">
        <v>1.6550083172533103</v>
      </c>
      <c r="W71" s="4">
        <v>1.511682117063706</v>
      </c>
      <c r="Y71" s="561">
        <f t="shared" si="26"/>
        <v>127.01</v>
      </c>
      <c r="Z71" s="4">
        <f ca="1">IFERROR(VALUE(_xll.BDH(Z$4,"PX_LAST",$Q71,$Q71)),Z72)</f>
        <v>0</v>
      </c>
      <c r="AA71" s="4">
        <f ca="1">IFERROR(VALUE(_xll.BDH(AA$4,"PX_LAST",$Q71,$Q71)),AA72)</f>
        <v>0</v>
      </c>
      <c r="AB71" s="4">
        <f ca="1">IFERROR(VALUE(_xll.BDH(AB$4,"PX_LAST",$Q71,$Q71)),AB72)</f>
        <v>0</v>
      </c>
      <c r="AC71" s="4">
        <f ca="1">IFERROR(VALUE(_xll.BDH(AC$4,"PX_LAST",$Q71,$Q71)),AC72)</f>
        <v>0</v>
      </c>
      <c r="AD71" s="4">
        <f ca="1">IFERROR(VALUE(_xll.BDH(AD$4,"PX_LAST",$Q71,$Q71)),AD72)</f>
        <v>0</v>
      </c>
      <c r="AF71" s="4">
        <f t="shared" si="27"/>
        <v>1.0243568029679813</v>
      </c>
      <c r="AG71" s="4" t="e">
        <f t="shared" ca="1" si="28"/>
        <v>#DIV/0!</v>
      </c>
      <c r="AH71" s="4" t="e">
        <f t="shared" ca="1" si="29"/>
        <v>#DIV/0!</v>
      </c>
      <c r="AI71" s="4" t="e">
        <f t="shared" ca="1" si="30"/>
        <v>#DIV/0!</v>
      </c>
      <c r="AJ71" s="4" t="e">
        <f t="shared" ca="1" si="31"/>
        <v>#DIV/0!</v>
      </c>
      <c r="AK71" s="4" t="e">
        <f t="shared" ca="1" si="32"/>
        <v>#DIV/0!</v>
      </c>
      <c r="AM71" s="563">
        <f t="shared" ca="1" si="33"/>
        <v>45878</v>
      </c>
      <c r="AN71" s="564">
        <v>148.63</v>
      </c>
      <c r="AO71" s="564">
        <v>841440</v>
      </c>
      <c r="AP71" s="564">
        <v>53481.521000000001</v>
      </c>
      <c r="AQ71" s="564">
        <v>7948958.4662299994</v>
      </c>
      <c r="AR71" s="564">
        <v>2.0674000000000001</v>
      </c>
    </row>
    <row r="72" spans="2:44">
      <c r="B72" s="565">
        <f t="shared" ca="1" si="34"/>
        <v>45476</v>
      </c>
      <c r="C72" s="561">
        <f ca="1">(IFERROR(IFERROR(VALUE(_xll.BDH(C$4,"CURRENT_EV_TO_T12M_EBITDA",$B72,$B72)),VALUE(_xll.BDH(C$4,"CURRENT_EV_TO_T12M_EBITDA",$B72+1,$B72+1))),C73))</f>
        <v>0</v>
      </c>
      <c r="D72" s="561">
        <f ca="1">(IFERROR(IFERROR(VALUE(_xll.BDH(D$4,"CURRENT_EV_TO_T12M_EBITDA",$B72,$B72)),VALUE(_xll.BDH(D$4,"CURRENT_EV_TO_T12M_EBITDA",$B72+1,$B72+1))),D73))</f>
        <v>0</v>
      </c>
      <c r="E72" s="561">
        <f ca="1">(IFERROR(IFERROR(VALUE(_xll.BDH(E$4,"CURRENT_EV_TO_T12M_EBITDA",$B72,$B72)),VALUE(_xll.BDH(E$4,"CURRENT_EV_TO_T12M_EBITDA",$B72+1,$B72+1))),E73))</f>
        <v>0</v>
      </c>
      <c r="F72" s="561">
        <f ca="1">(IFERROR(IFERROR(VALUE(_xll.BDH(F$4,"CURRENT_EV_TO_T12M_EBITDA",$B72,$B72)),VALUE(_xll.BDH(F$4,"CURRENT_EV_TO_T12M_EBITDA",$B72+1,$B72+1))),F73))</f>
        <v>0</v>
      </c>
      <c r="G72" s="561">
        <f ca="1">(IFERROR(IFERROR(VALUE(_xll.BDH(G$4,"CURRENT_EV_TO_T12M_EBITDA",$B72,$B72)),VALUE(_xll.BDH(G$4,"CURRENT_EV_TO_T12M_EBITDA",$B72+1,$B72+1))),G73))</f>
        <v>0</v>
      </c>
      <c r="H72" s="561">
        <f ca="1">(IFERROR(IFERROR(VALUE(_xll.BDH(H$4,"CURRENT_EV_TO_T12M_EBITDA",$B72,$B72)),VALUE(_xll.BDH(H$4,"CURRENT_EV_TO_T12M_EBITDA",$B72+1,$B72+1))),H73))</f>
        <v>0</v>
      </c>
      <c r="I72" s="565">
        <f t="shared" ca="1" si="24"/>
        <v>45476</v>
      </c>
      <c r="J72" s="561">
        <f ca="1">(IFERROR(IFERROR(VALUE(_xll.BDH(J$4,"PE_RATIO",$B72,$B72)),VALUE(_xll.BDH(J$4,"PE_RATIO",$B72+1,$B72+1))),J73))</f>
        <v>0</v>
      </c>
      <c r="K72" s="561">
        <f ca="1">(IFERROR(IFERROR(VALUE(_xll.BDH(K$4,"PE_RATIO",$B72,$B72)),VALUE(_xll.BDH(K$4,"PE_RATIO",$B72+1,$B72+1))),K73))</f>
        <v>0</v>
      </c>
      <c r="L72" s="561">
        <f ca="1">(IFERROR(IFERROR(VALUE(_xll.BDH(L$4,"PE_RATIO",$B72,$B72)),VALUE(_xll.BDH(L$4,"PE_RATIO",$B72+1,$B72+1))),L73))</f>
        <v>0</v>
      </c>
      <c r="M72" s="561">
        <f ca="1">(IFERROR(IFERROR(VALUE(_xll.BDH(M$4,"PE_RATIO",$B72,$B72)),VALUE(_xll.BDH(M$4,"PE_RATIO",$B72+1,$B72+1))),M73))</f>
        <v>0</v>
      </c>
      <c r="N72" s="561">
        <f ca="1">(IFERROR(IFERROR(VALUE(_xll.BDH(N$4,"PE_RATIO",$B72,$B72)),VALUE(_xll.BDH(N$4,"PE_RATIO",$B72+1,$B72+1))),N73))</f>
        <v>0</v>
      </c>
      <c r="O72" s="561">
        <f ca="1">(IFERROR(IFERROR(VALUE(_xll.BDH(O$4,"PE_RATIO",$B72,$B72)),VALUE(_xll.BDH(O$4,"PE_RATIO",$B72+1,$B72+1))),O73))</f>
        <v>0</v>
      </c>
      <c r="P72" s="561"/>
      <c r="Q72" s="565">
        <f t="shared" ca="1" si="25"/>
        <v>45476</v>
      </c>
      <c r="R72" s="4">
        <v>123.09</v>
      </c>
      <c r="S72" s="4">
        <v>18869.439999999999</v>
      </c>
      <c r="T72" s="4">
        <v>1139.07</v>
      </c>
      <c r="U72" s="4">
        <v>0.99274135010887987</v>
      </c>
      <c r="V72" s="4">
        <v>1.6740470645640648</v>
      </c>
      <c r="W72" s="4">
        <v>1.5348038158887571</v>
      </c>
      <c r="Y72" s="561">
        <f t="shared" si="26"/>
        <v>123.09</v>
      </c>
      <c r="Z72" s="4">
        <f ca="1">IFERROR(VALUE(_xll.BDH(Z$4,"PX_LAST",$Q72,$Q72)),Z73)</f>
        <v>0</v>
      </c>
      <c r="AA72" s="4">
        <f ca="1">IFERROR(VALUE(_xll.BDH(AA$4,"PX_LAST",$Q72,$Q72)),AA73)</f>
        <v>0</v>
      </c>
      <c r="AB72" s="4">
        <f ca="1">IFERROR(VALUE(_xll.BDH(AB$4,"PX_LAST",$Q72,$Q72)),AB73)</f>
        <v>0</v>
      </c>
      <c r="AC72" s="4">
        <f ca="1">IFERROR(VALUE(_xll.BDH(AC$4,"PX_LAST",$Q72,$Q72)),AC73)</f>
        <v>0</v>
      </c>
      <c r="AD72" s="4">
        <f ca="1">IFERROR(VALUE(_xll.BDH(AD$4,"PX_LAST",$Q72,$Q72)),AD73)</f>
        <v>0</v>
      </c>
      <c r="AF72" s="4">
        <f t="shared" si="27"/>
        <v>0.99274135010887987</v>
      </c>
      <c r="AG72" s="4" t="e">
        <f t="shared" ca="1" si="28"/>
        <v>#DIV/0!</v>
      </c>
      <c r="AH72" s="4" t="e">
        <f t="shared" ca="1" si="29"/>
        <v>#DIV/0!</v>
      </c>
      <c r="AI72" s="4" t="e">
        <f t="shared" ca="1" si="30"/>
        <v>#DIV/0!</v>
      </c>
      <c r="AJ72" s="4" t="e">
        <f t="shared" ca="1" si="31"/>
        <v>#DIV/0!</v>
      </c>
      <c r="AK72" s="4" t="e">
        <f t="shared" ca="1" si="32"/>
        <v>#DIV/0!</v>
      </c>
      <c r="AM72" s="563">
        <f t="shared" ca="1" si="33"/>
        <v>45877</v>
      </c>
      <c r="AN72" s="564">
        <v>148.63</v>
      </c>
      <c r="AO72" s="564">
        <v>841440</v>
      </c>
      <c r="AP72" s="564">
        <v>53481.521000000001</v>
      </c>
      <c r="AQ72" s="564">
        <v>7948958.4662299994</v>
      </c>
      <c r="AR72" s="564">
        <v>2.0674000000000001</v>
      </c>
    </row>
    <row r="73" spans="2:44">
      <c r="B73" s="565">
        <f t="shared" ca="1" si="34"/>
        <v>45469</v>
      </c>
      <c r="C73" s="561">
        <f ca="1">(IFERROR(IFERROR(VALUE(_xll.BDH(C$4,"CURRENT_EV_TO_T12M_EBITDA",$B73,$B73)),VALUE(_xll.BDH(C$4,"CURRENT_EV_TO_T12M_EBITDA",$B73+1,$B73+1))),C74))</f>
        <v>0</v>
      </c>
      <c r="D73" s="561">
        <f ca="1">(IFERROR(IFERROR(VALUE(_xll.BDH(D$4,"CURRENT_EV_TO_T12M_EBITDA",$B73,$B73)),VALUE(_xll.BDH(D$4,"CURRENT_EV_TO_T12M_EBITDA",$B73+1,$B73+1))),D74))</f>
        <v>0</v>
      </c>
      <c r="E73" s="561">
        <f ca="1">(IFERROR(IFERROR(VALUE(_xll.BDH(E$4,"CURRENT_EV_TO_T12M_EBITDA",$B73,$B73)),VALUE(_xll.BDH(E$4,"CURRENT_EV_TO_T12M_EBITDA",$B73+1,$B73+1))),E74))</f>
        <v>0</v>
      </c>
      <c r="F73" s="561">
        <f ca="1">(IFERROR(IFERROR(VALUE(_xll.BDH(F$4,"CURRENT_EV_TO_T12M_EBITDA",$B73,$B73)),VALUE(_xll.BDH(F$4,"CURRENT_EV_TO_T12M_EBITDA",$B73+1,$B73+1))),F74))</f>
        <v>0</v>
      </c>
      <c r="G73" s="561">
        <f ca="1">(IFERROR(IFERROR(VALUE(_xll.BDH(G$4,"CURRENT_EV_TO_T12M_EBITDA",$B73,$B73)),VALUE(_xll.BDH(G$4,"CURRENT_EV_TO_T12M_EBITDA",$B73+1,$B73+1))),G74))</f>
        <v>0</v>
      </c>
      <c r="H73" s="561">
        <f ca="1">(IFERROR(IFERROR(VALUE(_xll.BDH(H$4,"CURRENT_EV_TO_T12M_EBITDA",$B73,$B73)),VALUE(_xll.BDH(H$4,"CURRENT_EV_TO_T12M_EBITDA",$B73+1,$B73+1))),H74))</f>
        <v>0</v>
      </c>
      <c r="I73" s="565">
        <f t="shared" ca="1" si="24"/>
        <v>45469</v>
      </c>
      <c r="J73" s="561">
        <f ca="1">(IFERROR(IFERROR(VALUE(_xll.BDH(J$4,"PE_RATIO",$B73,$B73)),VALUE(_xll.BDH(J$4,"PE_RATIO",$B73+1,$B73+1))),J74))</f>
        <v>0</v>
      </c>
      <c r="K73" s="561">
        <f ca="1">(IFERROR(IFERROR(VALUE(_xll.BDH(K$4,"PE_RATIO",$B73,$B73)),VALUE(_xll.BDH(K$4,"PE_RATIO",$B73+1,$B73+1))),K74))</f>
        <v>0</v>
      </c>
      <c r="L73" s="561">
        <f ca="1">(IFERROR(IFERROR(VALUE(_xll.BDH(L$4,"PE_RATIO",$B73,$B73)),VALUE(_xll.BDH(L$4,"PE_RATIO",$B73+1,$B73+1))),L74))</f>
        <v>0</v>
      </c>
      <c r="M73" s="561">
        <f ca="1">(IFERROR(IFERROR(VALUE(_xll.BDH(M$4,"PE_RATIO",$B73,$B73)),VALUE(_xll.BDH(M$4,"PE_RATIO",$B73+1,$B73+1))),M74))</f>
        <v>0</v>
      </c>
      <c r="N73" s="561">
        <f ca="1">(IFERROR(IFERROR(VALUE(_xll.BDH(N$4,"PE_RATIO",$B73,$B73)),VALUE(_xll.BDH(N$4,"PE_RATIO",$B73+1,$B73+1))),N74))</f>
        <v>0</v>
      </c>
      <c r="O73" s="561">
        <f ca="1">(IFERROR(IFERROR(VALUE(_xll.BDH(O$4,"PE_RATIO",$B73,$B73)),VALUE(_xll.BDH(O$4,"PE_RATIO",$B73+1,$B73+1))),O74))</f>
        <v>0</v>
      </c>
      <c r="P73" s="561"/>
      <c r="Q73" s="565">
        <f t="shared" ca="1" si="25"/>
        <v>45469</v>
      </c>
      <c r="R73" s="4">
        <v>132.96</v>
      </c>
      <c r="S73" s="4">
        <v>18713.8</v>
      </c>
      <c r="T73" s="4">
        <v>1182.8900000000001</v>
      </c>
      <c r="U73" s="4">
        <v>1.072344543914832</v>
      </c>
      <c r="V73" s="4">
        <v>1.6602390933084925</v>
      </c>
      <c r="W73" s="4">
        <v>1.5938476878301178</v>
      </c>
      <c r="Y73" s="561">
        <f t="shared" si="26"/>
        <v>132.96</v>
      </c>
      <c r="Z73" s="4">
        <f ca="1">IFERROR(VALUE(_xll.BDH(Z$4,"PX_LAST",$Q73,$Q73)),Z74)</f>
        <v>0</v>
      </c>
      <c r="AA73" s="4">
        <f ca="1">IFERROR(VALUE(_xll.BDH(AA$4,"PX_LAST",$Q73,$Q73)),AA74)</f>
        <v>0</v>
      </c>
      <c r="AB73" s="4">
        <f ca="1">IFERROR(VALUE(_xll.BDH(AB$4,"PX_LAST",$Q73,$Q73)),AB74)</f>
        <v>0</v>
      </c>
      <c r="AC73" s="4">
        <f ca="1">IFERROR(VALUE(_xll.BDH(AC$4,"PX_LAST",$Q73,$Q73)),AC74)</f>
        <v>0</v>
      </c>
      <c r="AD73" s="4">
        <f ca="1">IFERROR(VALUE(_xll.BDH(AD$4,"PX_LAST",$Q73,$Q73)),AD74)</f>
        <v>0</v>
      </c>
      <c r="AF73" s="4">
        <f t="shared" si="27"/>
        <v>1.072344543914832</v>
      </c>
      <c r="AG73" s="4" t="e">
        <f t="shared" ca="1" si="28"/>
        <v>#DIV/0!</v>
      </c>
      <c r="AH73" s="4" t="e">
        <f t="shared" ca="1" si="29"/>
        <v>#DIV/0!</v>
      </c>
      <c r="AI73" s="4" t="e">
        <f t="shared" ca="1" si="30"/>
        <v>#DIV/0!</v>
      </c>
      <c r="AJ73" s="4" t="e">
        <f t="shared" ca="1" si="31"/>
        <v>#DIV/0!</v>
      </c>
      <c r="AK73" s="4" t="e">
        <f t="shared" ca="1" si="32"/>
        <v>#DIV/0!</v>
      </c>
      <c r="AM73" s="563">
        <f t="shared" ca="1" si="33"/>
        <v>45876</v>
      </c>
      <c r="AN73" s="564">
        <v>149.16</v>
      </c>
      <c r="AO73" s="564">
        <v>738536</v>
      </c>
      <c r="AP73" s="564">
        <v>53481.521000000001</v>
      </c>
      <c r="AQ73" s="564">
        <v>7977303.6723600002</v>
      </c>
      <c r="AR73" s="564">
        <v>2.0747</v>
      </c>
    </row>
    <row r="74" spans="2:44">
      <c r="B74" s="565">
        <f t="shared" ca="1" si="34"/>
        <v>45462</v>
      </c>
      <c r="C74" s="561">
        <f ca="1">(IFERROR(IFERROR(VALUE(_xll.BDH(C$4,"CURRENT_EV_TO_T12M_EBITDA",$B74,$B74)),VALUE(_xll.BDH(C$4,"CURRENT_EV_TO_T12M_EBITDA",$B74+1,$B74+1))),C75))</f>
        <v>0</v>
      </c>
      <c r="D74" s="561">
        <f ca="1">(IFERROR(IFERROR(VALUE(_xll.BDH(D$4,"CURRENT_EV_TO_T12M_EBITDA",$B74,$B74)),VALUE(_xll.BDH(D$4,"CURRENT_EV_TO_T12M_EBITDA",$B74+1,$B74+1))),D75))</f>
        <v>0</v>
      </c>
      <c r="E74" s="561">
        <f ca="1">(IFERROR(IFERROR(VALUE(_xll.BDH(E$4,"CURRENT_EV_TO_T12M_EBITDA",$B74,$B74)),VALUE(_xll.BDH(E$4,"CURRENT_EV_TO_T12M_EBITDA",$B74+1,$B74+1))),E75))</f>
        <v>0</v>
      </c>
      <c r="F74" s="561">
        <f ca="1">(IFERROR(IFERROR(VALUE(_xll.BDH(F$4,"CURRENT_EV_TO_T12M_EBITDA",$B74,$B74)),VALUE(_xll.BDH(F$4,"CURRENT_EV_TO_T12M_EBITDA",$B74+1,$B74+1))),F75))</f>
        <v>0</v>
      </c>
      <c r="G74" s="561">
        <f ca="1">(IFERROR(IFERROR(VALUE(_xll.BDH(G$4,"CURRENT_EV_TO_T12M_EBITDA",$B74,$B74)),VALUE(_xll.BDH(G$4,"CURRENT_EV_TO_T12M_EBITDA",$B74+1,$B74+1))),G75))</f>
        <v>0</v>
      </c>
      <c r="H74" s="561">
        <f ca="1">(IFERROR(IFERROR(VALUE(_xll.BDH(H$4,"CURRENT_EV_TO_T12M_EBITDA",$B74,$B74)),VALUE(_xll.BDH(H$4,"CURRENT_EV_TO_T12M_EBITDA",$B74+1,$B74+1))),H75))</f>
        <v>0</v>
      </c>
      <c r="I74" s="565">
        <f t="shared" ca="1" si="24"/>
        <v>45462</v>
      </c>
      <c r="J74" s="561">
        <f ca="1">(IFERROR(IFERROR(VALUE(_xll.BDH(J$4,"PE_RATIO",$B74,$B74)),VALUE(_xll.BDH(J$4,"PE_RATIO",$B74+1,$B74+1))),J75))</f>
        <v>0</v>
      </c>
      <c r="K74" s="561">
        <f ca="1">(IFERROR(IFERROR(VALUE(_xll.BDH(K$4,"PE_RATIO",$B74,$B74)),VALUE(_xll.BDH(K$4,"PE_RATIO",$B74+1,$B74+1))),K75))</f>
        <v>0</v>
      </c>
      <c r="L74" s="561">
        <f ca="1">(IFERROR(IFERROR(VALUE(_xll.BDH(L$4,"PE_RATIO",$B74,$B74)),VALUE(_xll.BDH(L$4,"PE_RATIO",$B74+1,$B74+1))),L75))</f>
        <v>0</v>
      </c>
      <c r="M74" s="561">
        <f ca="1">(IFERROR(IFERROR(VALUE(_xll.BDH(M$4,"PE_RATIO",$B74,$B74)),VALUE(_xll.BDH(M$4,"PE_RATIO",$B74+1,$B74+1))),M75))</f>
        <v>0</v>
      </c>
      <c r="N74" s="561">
        <f ca="1">(IFERROR(IFERROR(VALUE(_xll.BDH(N$4,"PE_RATIO",$B74,$B74)),VALUE(_xll.BDH(N$4,"PE_RATIO",$B74+1,$B74+1))),N75))</f>
        <v>0</v>
      </c>
      <c r="O74" s="561">
        <f ca="1">(IFERROR(IFERROR(VALUE(_xll.BDH(O$4,"PE_RATIO",$B74,$B74)),VALUE(_xll.BDH(O$4,"PE_RATIO",$B74+1,$B74+1))),O75))</f>
        <v>0</v>
      </c>
      <c r="P74" s="561"/>
      <c r="Q74" s="565">
        <f t="shared" ca="1" si="25"/>
        <v>45462</v>
      </c>
      <c r="R74" s="4">
        <v>137.01</v>
      </c>
      <c r="S74" s="4">
        <v>18322.77</v>
      </c>
      <c r="T74" s="4">
        <v>1181.7</v>
      </c>
      <c r="U74" s="4">
        <v>1.1050084684248729</v>
      </c>
      <c r="V74" s="4">
        <v>1.6255479406480804</v>
      </c>
      <c r="W74" s="4">
        <v>1.5922442599978444</v>
      </c>
      <c r="Y74" s="561">
        <f t="shared" si="26"/>
        <v>137.01</v>
      </c>
      <c r="Z74" s="4">
        <f ca="1">IFERROR(VALUE(_xll.BDH(Z$4,"PX_LAST",$Q74,$Q74)),Z75)</f>
        <v>0</v>
      </c>
      <c r="AA74" s="4">
        <f ca="1">IFERROR(VALUE(_xll.BDH(AA$4,"PX_LAST",$Q74,$Q74)),AA75)</f>
        <v>0</v>
      </c>
      <c r="AB74" s="4">
        <f ca="1">IFERROR(VALUE(_xll.BDH(AB$4,"PX_LAST",$Q74,$Q74)),AB75)</f>
        <v>0</v>
      </c>
      <c r="AC74" s="4">
        <f ca="1">IFERROR(VALUE(_xll.BDH(AC$4,"PX_LAST",$Q74,$Q74)),AC75)</f>
        <v>0</v>
      </c>
      <c r="AD74" s="4">
        <f ca="1">IFERROR(VALUE(_xll.BDH(AD$4,"PX_LAST",$Q74,$Q74)),AD75)</f>
        <v>0</v>
      </c>
      <c r="AF74" s="4">
        <f t="shared" si="27"/>
        <v>1.1050084684248729</v>
      </c>
      <c r="AG74" s="4" t="e">
        <f t="shared" ca="1" si="28"/>
        <v>#DIV/0!</v>
      </c>
      <c r="AH74" s="4" t="e">
        <f t="shared" ca="1" si="29"/>
        <v>#DIV/0!</v>
      </c>
      <c r="AI74" s="4" t="e">
        <f t="shared" ca="1" si="30"/>
        <v>#DIV/0!</v>
      </c>
      <c r="AJ74" s="4" t="e">
        <f t="shared" ca="1" si="31"/>
        <v>#DIV/0!</v>
      </c>
      <c r="AK74" s="4" t="e">
        <f t="shared" ca="1" si="32"/>
        <v>#DIV/0!</v>
      </c>
      <c r="AM74" s="563">
        <f t="shared" ca="1" si="33"/>
        <v>45875</v>
      </c>
      <c r="AN74" s="564">
        <v>147.34</v>
      </c>
      <c r="AO74" s="564">
        <v>1275713</v>
      </c>
      <c r="AP74" s="564">
        <v>53481.521000000001</v>
      </c>
      <c r="AQ74" s="564">
        <v>7879967.3041400006</v>
      </c>
      <c r="AR74" s="564">
        <v>2.0493999999999999</v>
      </c>
    </row>
    <row r="75" spans="2:44">
      <c r="B75" s="565">
        <f t="shared" ca="1" si="34"/>
        <v>45455</v>
      </c>
      <c r="C75" s="561">
        <f ca="1">(IFERROR(IFERROR(VALUE(_xll.BDH(C$4,"CURRENT_EV_TO_T12M_EBITDA",$B75,$B75)),VALUE(_xll.BDH(C$4,"CURRENT_EV_TO_T12M_EBITDA",$B75+1,$B75+1))),C76))</f>
        <v>0</v>
      </c>
      <c r="D75" s="561">
        <f ca="1">(IFERROR(IFERROR(VALUE(_xll.BDH(D$4,"CURRENT_EV_TO_T12M_EBITDA",$B75,$B75)),VALUE(_xll.BDH(D$4,"CURRENT_EV_TO_T12M_EBITDA",$B75+1,$B75+1))),D76))</f>
        <v>0</v>
      </c>
      <c r="E75" s="561">
        <f ca="1">(IFERROR(IFERROR(VALUE(_xll.BDH(E$4,"CURRENT_EV_TO_T12M_EBITDA",$B75,$B75)),VALUE(_xll.BDH(E$4,"CURRENT_EV_TO_T12M_EBITDA",$B75+1,$B75+1))),E76))</f>
        <v>0</v>
      </c>
      <c r="F75" s="561">
        <f ca="1">(IFERROR(IFERROR(VALUE(_xll.BDH(F$4,"CURRENT_EV_TO_T12M_EBITDA",$B75,$B75)),VALUE(_xll.BDH(F$4,"CURRENT_EV_TO_T12M_EBITDA",$B75+1,$B75+1))),F76))</f>
        <v>0</v>
      </c>
      <c r="G75" s="561">
        <f ca="1">(IFERROR(IFERROR(VALUE(_xll.BDH(G$4,"CURRENT_EV_TO_T12M_EBITDA",$B75,$B75)),VALUE(_xll.BDH(G$4,"CURRENT_EV_TO_T12M_EBITDA",$B75+1,$B75+1))),G76))</f>
        <v>0</v>
      </c>
      <c r="H75" s="561">
        <f ca="1">(IFERROR(IFERROR(VALUE(_xll.BDH(H$4,"CURRENT_EV_TO_T12M_EBITDA",$B75,$B75)),VALUE(_xll.BDH(H$4,"CURRENT_EV_TO_T12M_EBITDA",$B75+1,$B75+1))),H76))</f>
        <v>0</v>
      </c>
      <c r="I75" s="565">
        <f t="shared" ca="1" si="24"/>
        <v>45455</v>
      </c>
      <c r="J75" s="561">
        <f ca="1">(IFERROR(IFERROR(VALUE(_xll.BDH(J$4,"PE_RATIO",$B75,$B75)),VALUE(_xll.BDH(J$4,"PE_RATIO",$B75+1,$B75+1))),J76))</f>
        <v>0</v>
      </c>
      <c r="K75" s="561">
        <f ca="1">(IFERROR(IFERROR(VALUE(_xll.BDH(K$4,"PE_RATIO",$B75,$B75)),VALUE(_xll.BDH(K$4,"PE_RATIO",$B75+1,$B75+1))),K76))</f>
        <v>0</v>
      </c>
      <c r="L75" s="561">
        <f ca="1">(IFERROR(IFERROR(VALUE(_xll.BDH(L$4,"PE_RATIO",$B75,$B75)),VALUE(_xll.BDH(L$4,"PE_RATIO",$B75+1,$B75+1))),L76))</f>
        <v>0</v>
      </c>
      <c r="M75" s="561">
        <f ca="1">(IFERROR(IFERROR(VALUE(_xll.BDH(M$4,"PE_RATIO",$B75,$B75)),VALUE(_xll.BDH(M$4,"PE_RATIO",$B75+1,$B75+1))),M76))</f>
        <v>0</v>
      </c>
      <c r="N75" s="561">
        <f ca="1">(IFERROR(IFERROR(VALUE(_xll.BDH(N$4,"PE_RATIO",$B75,$B75)),VALUE(_xll.BDH(N$4,"PE_RATIO",$B75+1,$B75+1))),N76))</f>
        <v>0</v>
      </c>
      <c r="O75" s="561">
        <f ca="1">(IFERROR(IFERROR(VALUE(_xll.BDH(O$4,"PE_RATIO",$B75,$B75)),VALUE(_xll.BDH(O$4,"PE_RATIO",$B75+1,$B75+1))),O76))</f>
        <v>0</v>
      </c>
      <c r="P75" s="561"/>
      <c r="Q75" s="565">
        <f t="shared" ca="1" si="25"/>
        <v>45455</v>
      </c>
      <c r="R75" s="4">
        <v>141.83000000000001</v>
      </c>
      <c r="S75" s="4">
        <v>18091.45</v>
      </c>
      <c r="T75" s="4">
        <v>1168.78</v>
      </c>
      <c r="U75" s="4">
        <v>1.1438825711750948</v>
      </c>
      <c r="V75" s="4">
        <v>1.6050258389336174</v>
      </c>
      <c r="W75" s="4">
        <v>1.5748356149617333</v>
      </c>
      <c r="Y75" s="561">
        <f t="shared" si="26"/>
        <v>141.83000000000001</v>
      </c>
      <c r="Z75" s="4">
        <f ca="1">IFERROR(VALUE(_xll.BDH(Z$4,"PX_LAST",$Q75,$Q75)),Z76)</f>
        <v>0</v>
      </c>
      <c r="AA75" s="4">
        <f ca="1">IFERROR(VALUE(_xll.BDH(AA$4,"PX_LAST",$Q75,$Q75)),AA76)</f>
        <v>0</v>
      </c>
      <c r="AB75" s="4">
        <f ca="1">IFERROR(VALUE(_xll.BDH(AB$4,"PX_LAST",$Q75,$Q75)),AB76)</f>
        <v>0</v>
      </c>
      <c r="AC75" s="4">
        <f ca="1">IFERROR(VALUE(_xll.BDH(AC$4,"PX_LAST",$Q75,$Q75)),AC76)</f>
        <v>0</v>
      </c>
      <c r="AD75" s="4">
        <f ca="1">IFERROR(VALUE(_xll.BDH(AD$4,"PX_LAST",$Q75,$Q75)),AD76)</f>
        <v>0</v>
      </c>
      <c r="AF75" s="4">
        <f t="shared" si="27"/>
        <v>1.1438825711750948</v>
      </c>
      <c r="AG75" s="4" t="e">
        <f t="shared" ca="1" si="28"/>
        <v>#DIV/0!</v>
      </c>
      <c r="AH75" s="4" t="e">
        <f t="shared" ca="1" si="29"/>
        <v>#DIV/0!</v>
      </c>
      <c r="AI75" s="4" t="e">
        <f t="shared" ca="1" si="30"/>
        <v>#DIV/0!</v>
      </c>
      <c r="AJ75" s="4" t="e">
        <f t="shared" ca="1" si="31"/>
        <v>#DIV/0!</v>
      </c>
      <c r="AK75" s="4" t="e">
        <f t="shared" ca="1" si="32"/>
        <v>#DIV/0!</v>
      </c>
      <c r="AM75" s="563">
        <f t="shared" ca="1" si="33"/>
        <v>45874</v>
      </c>
      <c r="AN75" s="564">
        <v>144</v>
      </c>
      <c r="AO75" s="564">
        <v>1450718</v>
      </c>
      <c r="AP75" s="564">
        <v>53481.521000000001</v>
      </c>
      <c r="AQ75" s="564">
        <v>7701339.0240000002</v>
      </c>
      <c r="AR75" s="564">
        <v>2.0030000000000001</v>
      </c>
    </row>
    <row r="76" spans="2:44">
      <c r="B76" s="565">
        <f t="shared" ca="1" si="34"/>
        <v>45448</v>
      </c>
      <c r="C76" s="561">
        <f ca="1">(IFERROR(IFERROR(VALUE(_xll.BDH(C$4,"CURRENT_EV_TO_T12M_EBITDA",$B76,$B76)),VALUE(_xll.BDH(C$4,"CURRENT_EV_TO_T12M_EBITDA",$B76+1,$B76+1))),C77))</f>
        <v>0</v>
      </c>
      <c r="D76" s="561">
        <f ca="1">(IFERROR(IFERROR(VALUE(_xll.BDH(D$4,"CURRENT_EV_TO_T12M_EBITDA",$B76,$B76)),VALUE(_xll.BDH(D$4,"CURRENT_EV_TO_T12M_EBITDA",$B76+1,$B76+1))),D77))</f>
        <v>0</v>
      </c>
      <c r="E76" s="561">
        <f ca="1">(IFERROR(IFERROR(VALUE(_xll.BDH(E$4,"CURRENT_EV_TO_T12M_EBITDA",$B76,$B76)),VALUE(_xll.BDH(E$4,"CURRENT_EV_TO_T12M_EBITDA",$B76+1,$B76+1))),E77))</f>
        <v>0</v>
      </c>
      <c r="F76" s="561">
        <f ca="1">(IFERROR(IFERROR(VALUE(_xll.BDH(F$4,"CURRENT_EV_TO_T12M_EBITDA",$B76,$B76)),VALUE(_xll.BDH(F$4,"CURRENT_EV_TO_T12M_EBITDA",$B76+1,$B76+1))),F77))</f>
        <v>0</v>
      </c>
      <c r="G76" s="561">
        <f ca="1">(IFERROR(IFERROR(VALUE(_xll.BDH(G$4,"CURRENT_EV_TO_T12M_EBITDA",$B76,$B76)),VALUE(_xll.BDH(G$4,"CURRENT_EV_TO_T12M_EBITDA",$B76+1,$B76+1))),G77))</f>
        <v>0</v>
      </c>
      <c r="H76" s="561">
        <f ca="1">(IFERROR(IFERROR(VALUE(_xll.BDH(H$4,"CURRENT_EV_TO_T12M_EBITDA",$B76,$B76)),VALUE(_xll.BDH(H$4,"CURRENT_EV_TO_T12M_EBITDA",$B76+1,$B76+1))),H77))</f>
        <v>0</v>
      </c>
      <c r="I76" s="565">
        <f t="shared" ca="1" si="24"/>
        <v>45448</v>
      </c>
      <c r="J76" s="561">
        <f ca="1">(IFERROR(IFERROR(VALUE(_xll.BDH(J$4,"PE_RATIO",$B76,$B76)),VALUE(_xll.BDH(J$4,"PE_RATIO",$B76+1,$B76+1))),J77))</f>
        <v>0</v>
      </c>
      <c r="K76" s="561">
        <f ca="1">(IFERROR(IFERROR(VALUE(_xll.BDH(K$4,"PE_RATIO",$B76,$B76)),VALUE(_xll.BDH(K$4,"PE_RATIO",$B76+1,$B76+1))),K77))</f>
        <v>0</v>
      </c>
      <c r="L76" s="561">
        <f ca="1">(IFERROR(IFERROR(VALUE(_xll.BDH(L$4,"PE_RATIO",$B76,$B76)),VALUE(_xll.BDH(L$4,"PE_RATIO",$B76+1,$B76+1))),L77))</f>
        <v>0</v>
      </c>
      <c r="M76" s="561">
        <f ca="1">(IFERROR(IFERROR(VALUE(_xll.BDH(M$4,"PE_RATIO",$B76,$B76)),VALUE(_xll.BDH(M$4,"PE_RATIO",$B76+1,$B76+1))),M77))</f>
        <v>0</v>
      </c>
      <c r="N76" s="561">
        <f ca="1">(IFERROR(IFERROR(VALUE(_xll.BDH(N$4,"PE_RATIO",$B76,$B76)),VALUE(_xll.BDH(N$4,"PE_RATIO",$B76+1,$B76+1))),N77))</f>
        <v>0</v>
      </c>
      <c r="O76" s="561">
        <f ca="1">(IFERROR(IFERROR(VALUE(_xll.BDH(O$4,"PE_RATIO",$B76,$B76)),VALUE(_xll.BDH(O$4,"PE_RATIO",$B76+1,$B76+1))),O77))</f>
        <v>0</v>
      </c>
      <c r="P76" s="561"/>
      <c r="Q76" s="565">
        <f t="shared" ca="1" si="25"/>
        <v>45448</v>
      </c>
      <c r="R76" s="4">
        <v>138.97</v>
      </c>
      <c r="S76" s="4">
        <v>17440.689999999999</v>
      </c>
      <c r="T76" s="4">
        <v>1145.1500000000001</v>
      </c>
      <c r="U76" s="4">
        <v>1.1208161948544237</v>
      </c>
      <c r="V76" s="4">
        <v>1.5472921241155986</v>
      </c>
      <c r="W76" s="4">
        <v>1.5429961194351625</v>
      </c>
      <c r="Y76" s="561">
        <f t="shared" si="26"/>
        <v>138.97</v>
      </c>
      <c r="Z76" s="4">
        <f ca="1">IFERROR(VALUE(_xll.BDH(Z$4,"PX_LAST",$Q76,$Q76)),Z77)</f>
        <v>0</v>
      </c>
      <c r="AA76" s="4">
        <f ca="1">IFERROR(VALUE(_xll.BDH(AA$4,"PX_LAST",$Q76,$Q76)),AA77)</f>
        <v>0</v>
      </c>
      <c r="AB76" s="4">
        <f ca="1">IFERROR(VALUE(_xll.BDH(AB$4,"PX_LAST",$Q76,$Q76)),AB77)</f>
        <v>0</v>
      </c>
      <c r="AC76" s="4">
        <f ca="1">IFERROR(VALUE(_xll.BDH(AC$4,"PX_LAST",$Q76,$Q76)),AC77)</f>
        <v>0</v>
      </c>
      <c r="AD76" s="4">
        <f ca="1">IFERROR(VALUE(_xll.BDH(AD$4,"PX_LAST",$Q76,$Q76)),AD77)</f>
        <v>0</v>
      </c>
      <c r="AF76" s="4">
        <f t="shared" si="27"/>
        <v>1.1208161948544237</v>
      </c>
      <c r="AG76" s="4" t="e">
        <f t="shared" ca="1" si="28"/>
        <v>#DIV/0!</v>
      </c>
      <c r="AH76" s="4" t="e">
        <f t="shared" ca="1" si="29"/>
        <v>#DIV/0!</v>
      </c>
      <c r="AI76" s="4" t="e">
        <f t="shared" ca="1" si="30"/>
        <v>#DIV/0!</v>
      </c>
      <c r="AJ76" s="4" t="e">
        <f t="shared" ca="1" si="31"/>
        <v>#DIV/0!</v>
      </c>
      <c r="AK76" s="4" t="e">
        <f t="shared" ca="1" si="32"/>
        <v>#DIV/0!</v>
      </c>
      <c r="AM76" s="563">
        <f t="shared" ca="1" si="33"/>
        <v>45873</v>
      </c>
      <c r="AN76" s="564">
        <v>144.94</v>
      </c>
      <c r="AO76" s="564">
        <v>1103801</v>
      </c>
      <c r="AP76" s="564">
        <v>53481.521000000001</v>
      </c>
      <c r="AQ76" s="564">
        <v>7751611.65374</v>
      </c>
      <c r="AR76" s="564">
        <v>2.02</v>
      </c>
    </row>
    <row r="77" spans="2:44">
      <c r="B77" s="565">
        <f t="shared" ca="1" si="34"/>
        <v>45441</v>
      </c>
      <c r="C77" s="561">
        <f ca="1">(IFERROR(IFERROR(VALUE(_xll.BDH(C$4,"CURRENT_EV_TO_T12M_EBITDA",$B77,$B77)),VALUE(_xll.BDH(C$4,"CURRENT_EV_TO_T12M_EBITDA",$B77+1,$B77+1))),C78))</f>
        <v>0</v>
      </c>
      <c r="D77" s="561">
        <f ca="1">(IFERROR(IFERROR(VALUE(_xll.BDH(D$4,"CURRENT_EV_TO_T12M_EBITDA",$B77,$B77)),VALUE(_xll.BDH(D$4,"CURRENT_EV_TO_T12M_EBITDA",$B77+1,$B77+1))),D78))</f>
        <v>0</v>
      </c>
      <c r="E77" s="561">
        <f ca="1">(IFERROR(IFERROR(VALUE(_xll.BDH(E$4,"CURRENT_EV_TO_T12M_EBITDA",$B77,$B77)),VALUE(_xll.BDH(E$4,"CURRENT_EV_TO_T12M_EBITDA",$B77+1,$B77+1))),E78))</f>
        <v>0</v>
      </c>
      <c r="F77" s="561">
        <f ca="1">(IFERROR(IFERROR(VALUE(_xll.BDH(F$4,"CURRENT_EV_TO_T12M_EBITDA",$B77,$B77)),VALUE(_xll.BDH(F$4,"CURRENT_EV_TO_T12M_EBITDA",$B77+1,$B77+1))),F78))</f>
        <v>0</v>
      </c>
      <c r="G77" s="561">
        <f ca="1">(IFERROR(IFERROR(VALUE(_xll.BDH(G$4,"CURRENT_EV_TO_T12M_EBITDA",$B77,$B77)),VALUE(_xll.BDH(G$4,"CURRENT_EV_TO_T12M_EBITDA",$B77+1,$B77+1))),G78))</f>
        <v>0</v>
      </c>
      <c r="H77" s="561">
        <f ca="1">(IFERROR(IFERROR(VALUE(_xll.BDH(H$4,"CURRENT_EV_TO_T12M_EBITDA",$B77,$B77)),VALUE(_xll.BDH(H$4,"CURRENT_EV_TO_T12M_EBITDA",$B77+1,$B77+1))),H78))</f>
        <v>0</v>
      </c>
      <c r="I77" s="565">
        <f t="shared" ca="1" si="24"/>
        <v>45441</v>
      </c>
      <c r="J77" s="561">
        <f ca="1">(IFERROR(IFERROR(VALUE(_xll.BDH(J$4,"PE_RATIO",$B77,$B77)),VALUE(_xll.BDH(J$4,"PE_RATIO",$B77+1,$B77+1))),J78))</f>
        <v>0</v>
      </c>
      <c r="K77" s="561">
        <f ca="1">(IFERROR(IFERROR(VALUE(_xll.BDH(K$4,"PE_RATIO",$B77,$B77)),VALUE(_xll.BDH(K$4,"PE_RATIO",$B77+1,$B77+1))),K78))</f>
        <v>0</v>
      </c>
      <c r="L77" s="561">
        <f ca="1">(IFERROR(IFERROR(VALUE(_xll.BDH(L$4,"PE_RATIO",$B77,$B77)),VALUE(_xll.BDH(L$4,"PE_RATIO",$B77+1,$B77+1))),L78))</f>
        <v>0</v>
      </c>
      <c r="M77" s="561">
        <f ca="1">(IFERROR(IFERROR(VALUE(_xll.BDH(M$4,"PE_RATIO",$B77,$B77)),VALUE(_xll.BDH(M$4,"PE_RATIO",$B77+1,$B77+1))),M78))</f>
        <v>0</v>
      </c>
      <c r="N77" s="561">
        <f ca="1">(IFERROR(IFERROR(VALUE(_xll.BDH(N$4,"PE_RATIO",$B77,$B77)),VALUE(_xll.BDH(N$4,"PE_RATIO",$B77+1,$B77+1))),N78))</f>
        <v>0</v>
      </c>
      <c r="O77" s="561">
        <f ca="1">(IFERROR(IFERROR(VALUE(_xll.BDH(O$4,"PE_RATIO",$B77,$B77)),VALUE(_xll.BDH(O$4,"PE_RATIO",$B77+1,$B77+1))),O78))</f>
        <v>0</v>
      </c>
      <c r="P77" s="561"/>
      <c r="Q77" s="565">
        <f t="shared" ca="1" si="25"/>
        <v>45441</v>
      </c>
      <c r="R77" s="4">
        <v>145.36000000000001</v>
      </c>
      <c r="S77" s="4">
        <v>17471.47</v>
      </c>
      <c r="T77" s="4">
        <v>1168.93</v>
      </c>
      <c r="U77" s="4">
        <v>1.1723526090813776</v>
      </c>
      <c r="V77" s="4">
        <v>1.5500228447224256</v>
      </c>
      <c r="W77" s="4">
        <v>1.5750377277137007</v>
      </c>
      <c r="Y77" s="561">
        <f t="shared" si="26"/>
        <v>145.36000000000001</v>
      </c>
      <c r="Z77" s="4">
        <f ca="1">IFERROR(VALUE(_xll.BDH(Z$4,"PX_LAST",$Q77,$Q77)),Z78)</f>
        <v>0</v>
      </c>
      <c r="AA77" s="4">
        <f ca="1">IFERROR(VALUE(_xll.BDH(AA$4,"PX_LAST",$Q77,$Q77)),AA78)</f>
        <v>0</v>
      </c>
      <c r="AB77" s="4">
        <f ca="1">IFERROR(VALUE(_xll.BDH(AB$4,"PX_LAST",$Q77,$Q77)),AB78)</f>
        <v>0</v>
      </c>
      <c r="AC77" s="4">
        <f ca="1">IFERROR(VALUE(_xll.BDH(AC$4,"PX_LAST",$Q77,$Q77)),AC78)</f>
        <v>0</v>
      </c>
      <c r="AD77" s="4">
        <f ca="1">IFERROR(VALUE(_xll.BDH(AD$4,"PX_LAST",$Q77,$Q77)),AD78)</f>
        <v>0</v>
      </c>
      <c r="AF77" s="4">
        <f t="shared" si="27"/>
        <v>1.1723526090813776</v>
      </c>
      <c r="AG77" s="4" t="e">
        <f t="shared" ca="1" si="28"/>
        <v>#DIV/0!</v>
      </c>
      <c r="AH77" s="4" t="e">
        <f t="shared" ca="1" si="29"/>
        <v>#DIV/0!</v>
      </c>
      <c r="AI77" s="4" t="e">
        <f t="shared" ca="1" si="30"/>
        <v>#DIV/0!</v>
      </c>
      <c r="AJ77" s="4" t="e">
        <f t="shared" ca="1" si="31"/>
        <v>#DIV/0!</v>
      </c>
      <c r="AK77" s="4" t="e">
        <f t="shared" ca="1" si="32"/>
        <v>#DIV/0!</v>
      </c>
      <c r="AM77" s="563">
        <f t="shared" ca="1" si="33"/>
        <v>45872</v>
      </c>
      <c r="AN77" s="564">
        <v>144.94</v>
      </c>
      <c r="AO77" s="564">
        <v>1103801</v>
      </c>
      <c r="AP77" s="564">
        <v>53481.521000000001</v>
      </c>
      <c r="AQ77" s="564">
        <v>7751611.65374</v>
      </c>
      <c r="AR77" s="564">
        <v>2.02</v>
      </c>
    </row>
    <row r="78" spans="2:44">
      <c r="B78" s="565">
        <f t="shared" ca="1" si="34"/>
        <v>45434</v>
      </c>
      <c r="C78" s="561">
        <f ca="1">(IFERROR(IFERROR(VALUE(_xll.BDH(C$4,"CURRENT_EV_TO_T12M_EBITDA",$B78,$B78)),VALUE(_xll.BDH(C$4,"CURRENT_EV_TO_T12M_EBITDA",$B78+1,$B78+1))),C79))</f>
        <v>0</v>
      </c>
      <c r="D78" s="561">
        <f ca="1">(IFERROR(IFERROR(VALUE(_xll.BDH(D$4,"CURRENT_EV_TO_T12M_EBITDA",$B78,$B78)),VALUE(_xll.BDH(D$4,"CURRENT_EV_TO_T12M_EBITDA",$B78+1,$B78+1))),D79))</f>
        <v>0</v>
      </c>
      <c r="E78" s="561">
        <f ca="1">(IFERROR(IFERROR(VALUE(_xll.BDH(E$4,"CURRENT_EV_TO_T12M_EBITDA",$B78,$B78)),VALUE(_xll.BDH(E$4,"CURRENT_EV_TO_T12M_EBITDA",$B78+1,$B78+1))),E79))</f>
        <v>0</v>
      </c>
      <c r="F78" s="561">
        <f ca="1">(IFERROR(IFERROR(VALUE(_xll.BDH(F$4,"CURRENT_EV_TO_T12M_EBITDA",$B78,$B78)),VALUE(_xll.BDH(F$4,"CURRENT_EV_TO_T12M_EBITDA",$B78+1,$B78+1))),F79))</f>
        <v>0</v>
      </c>
      <c r="G78" s="561">
        <f ca="1">(IFERROR(IFERROR(VALUE(_xll.BDH(G$4,"CURRENT_EV_TO_T12M_EBITDA",$B78,$B78)),VALUE(_xll.BDH(G$4,"CURRENT_EV_TO_T12M_EBITDA",$B78+1,$B78+1))),G79))</f>
        <v>0</v>
      </c>
      <c r="H78" s="561">
        <f ca="1">(IFERROR(IFERROR(VALUE(_xll.BDH(H$4,"CURRENT_EV_TO_T12M_EBITDA",$B78,$B78)),VALUE(_xll.BDH(H$4,"CURRENT_EV_TO_T12M_EBITDA",$B78+1,$B78+1))),H79))</f>
        <v>0</v>
      </c>
      <c r="I78" s="565">
        <f t="shared" ca="1" si="24"/>
        <v>45434</v>
      </c>
      <c r="J78" s="561">
        <f ca="1">(IFERROR(IFERROR(VALUE(_xll.BDH(J$4,"PE_RATIO",$B78,$B78)),VALUE(_xll.BDH(J$4,"PE_RATIO",$B78+1,$B78+1))),J79))</f>
        <v>0</v>
      </c>
      <c r="K78" s="561">
        <f ca="1">(IFERROR(IFERROR(VALUE(_xll.BDH(K$4,"PE_RATIO",$B78,$B78)),VALUE(_xll.BDH(K$4,"PE_RATIO",$B78+1,$B78+1))),K79))</f>
        <v>0</v>
      </c>
      <c r="L78" s="561">
        <f ca="1">(IFERROR(IFERROR(VALUE(_xll.BDH(L$4,"PE_RATIO",$B78,$B78)),VALUE(_xll.BDH(L$4,"PE_RATIO",$B78+1,$B78+1))),L79))</f>
        <v>0</v>
      </c>
      <c r="M78" s="561">
        <f ca="1">(IFERROR(IFERROR(VALUE(_xll.BDH(M$4,"PE_RATIO",$B78,$B78)),VALUE(_xll.BDH(M$4,"PE_RATIO",$B78+1,$B78+1))),M79))</f>
        <v>0</v>
      </c>
      <c r="N78" s="561">
        <f ca="1">(IFERROR(IFERROR(VALUE(_xll.BDH(N$4,"PE_RATIO",$B78,$B78)),VALUE(_xll.BDH(N$4,"PE_RATIO",$B78+1,$B78+1))),N79))</f>
        <v>0</v>
      </c>
      <c r="O78" s="561">
        <f ca="1">(IFERROR(IFERROR(VALUE(_xll.BDH(O$4,"PE_RATIO",$B78,$B78)),VALUE(_xll.BDH(O$4,"PE_RATIO",$B78+1,$B78+1))),O79))</f>
        <v>0</v>
      </c>
      <c r="P78" s="561"/>
      <c r="Q78" s="565">
        <f t="shared" ca="1" si="25"/>
        <v>45434</v>
      </c>
      <c r="R78" s="4">
        <v>142.91999999999999</v>
      </c>
      <c r="S78" s="4">
        <v>17713.66</v>
      </c>
      <c r="T78" s="4">
        <v>1162.8900000000001</v>
      </c>
      <c r="U78" s="4">
        <v>1.1526736027098958</v>
      </c>
      <c r="V78" s="4">
        <v>1.5715093042340365</v>
      </c>
      <c r="W78" s="4">
        <v>1.5668993209011537</v>
      </c>
      <c r="Y78" s="561">
        <f t="shared" si="26"/>
        <v>142.91999999999999</v>
      </c>
      <c r="Z78" s="4">
        <f ca="1">IFERROR(VALUE(_xll.BDH(Z$4,"PX_LAST",$Q78,$Q78)),Z79)</f>
        <v>0</v>
      </c>
      <c r="AA78" s="4">
        <f ca="1">IFERROR(VALUE(_xll.BDH(AA$4,"PX_LAST",$Q78,$Q78)),AA79)</f>
        <v>0</v>
      </c>
      <c r="AB78" s="4">
        <f ca="1">IFERROR(VALUE(_xll.BDH(AB$4,"PX_LAST",$Q78,$Q78)),AB79)</f>
        <v>0</v>
      </c>
      <c r="AC78" s="4">
        <f ca="1">IFERROR(VALUE(_xll.BDH(AC$4,"PX_LAST",$Q78,$Q78)),AC79)</f>
        <v>0</v>
      </c>
      <c r="AD78" s="4">
        <f ca="1">IFERROR(VALUE(_xll.BDH(AD$4,"PX_LAST",$Q78,$Q78)),AD79)</f>
        <v>0</v>
      </c>
      <c r="AF78" s="4">
        <f t="shared" si="27"/>
        <v>1.1526736027098958</v>
      </c>
      <c r="AG78" s="4" t="e">
        <f t="shared" ca="1" si="28"/>
        <v>#DIV/0!</v>
      </c>
      <c r="AH78" s="4" t="e">
        <f t="shared" ca="1" si="29"/>
        <v>#DIV/0!</v>
      </c>
      <c r="AI78" s="4" t="e">
        <f t="shared" ca="1" si="30"/>
        <v>#DIV/0!</v>
      </c>
      <c r="AJ78" s="4" t="e">
        <f t="shared" ca="1" si="31"/>
        <v>#DIV/0!</v>
      </c>
      <c r="AK78" s="4" t="e">
        <f t="shared" ca="1" si="32"/>
        <v>#DIV/0!</v>
      </c>
      <c r="AM78" s="563">
        <f t="shared" ca="1" si="33"/>
        <v>45871</v>
      </c>
      <c r="AN78" s="564">
        <v>144.94</v>
      </c>
      <c r="AO78" s="564">
        <v>1103801</v>
      </c>
      <c r="AP78" s="564">
        <v>53481.521000000001</v>
      </c>
      <c r="AQ78" s="564">
        <v>7751611.65374</v>
      </c>
      <c r="AR78" s="564">
        <v>2.02</v>
      </c>
    </row>
    <row r="79" spans="2:44">
      <c r="B79" s="565">
        <f t="shared" ca="1" si="34"/>
        <v>45427</v>
      </c>
      <c r="C79" s="561">
        <f ca="1">(IFERROR(IFERROR(VALUE(_xll.BDH(C$4,"CURRENT_EV_TO_T12M_EBITDA",$B79,$B79)),VALUE(_xll.BDH(C$4,"CURRENT_EV_TO_T12M_EBITDA",$B79+1,$B79+1))),C80))</f>
        <v>0</v>
      </c>
      <c r="D79" s="561">
        <f ca="1">(IFERROR(IFERROR(VALUE(_xll.BDH(D$4,"CURRENT_EV_TO_T12M_EBITDA",$B79,$B79)),VALUE(_xll.BDH(D$4,"CURRENT_EV_TO_T12M_EBITDA",$B79+1,$B79+1))),D80))</f>
        <v>0</v>
      </c>
      <c r="E79" s="561">
        <f ca="1">(IFERROR(IFERROR(VALUE(_xll.BDH(E$4,"CURRENT_EV_TO_T12M_EBITDA",$B79,$B79)),VALUE(_xll.BDH(E$4,"CURRENT_EV_TO_T12M_EBITDA",$B79+1,$B79+1))),E80))</f>
        <v>0</v>
      </c>
      <c r="F79" s="561">
        <f ca="1">(IFERROR(IFERROR(VALUE(_xll.BDH(F$4,"CURRENT_EV_TO_T12M_EBITDA",$B79,$B79)),VALUE(_xll.BDH(F$4,"CURRENT_EV_TO_T12M_EBITDA",$B79+1,$B79+1))),F80))</f>
        <v>0</v>
      </c>
      <c r="G79" s="561">
        <f ca="1">(IFERROR(IFERROR(VALUE(_xll.BDH(G$4,"CURRENT_EV_TO_T12M_EBITDA",$B79,$B79)),VALUE(_xll.BDH(G$4,"CURRENT_EV_TO_T12M_EBITDA",$B79+1,$B79+1))),G80))</f>
        <v>0</v>
      </c>
      <c r="H79" s="561">
        <f ca="1">(IFERROR(IFERROR(VALUE(_xll.BDH(H$4,"CURRENT_EV_TO_T12M_EBITDA",$B79,$B79)),VALUE(_xll.BDH(H$4,"CURRENT_EV_TO_T12M_EBITDA",$B79+1,$B79+1))),H80))</f>
        <v>0</v>
      </c>
      <c r="I79" s="565">
        <f t="shared" ca="1" si="24"/>
        <v>45427</v>
      </c>
      <c r="J79" s="561">
        <f ca="1">(IFERROR(IFERROR(VALUE(_xll.BDH(J$4,"PE_RATIO",$B79,$B79)),VALUE(_xll.BDH(J$4,"PE_RATIO",$B79+1,$B79+1))),J80))</f>
        <v>0</v>
      </c>
      <c r="K79" s="561">
        <f ca="1">(IFERROR(IFERROR(VALUE(_xll.BDH(K$4,"PE_RATIO",$B79,$B79)),VALUE(_xll.BDH(K$4,"PE_RATIO",$B79+1,$B79+1))),K80))</f>
        <v>0</v>
      </c>
      <c r="L79" s="561">
        <f ca="1">(IFERROR(IFERROR(VALUE(_xll.BDH(L$4,"PE_RATIO",$B79,$B79)),VALUE(_xll.BDH(L$4,"PE_RATIO",$B79+1,$B79+1))),L80))</f>
        <v>0</v>
      </c>
      <c r="M79" s="561">
        <f ca="1">(IFERROR(IFERROR(VALUE(_xll.BDH(M$4,"PE_RATIO",$B79,$B79)),VALUE(_xll.BDH(M$4,"PE_RATIO",$B79+1,$B79+1))),M80))</f>
        <v>0</v>
      </c>
      <c r="N79" s="561">
        <f ca="1">(IFERROR(IFERROR(VALUE(_xll.BDH(N$4,"PE_RATIO",$B79,$B79)),VALUE(_xll.BDH(N$4,"PE_RATIO",$B79+1,$B79+1))),N80))</f>
        <v>0</v>
      </c>
      <c r="O79" s="561">
        <f ca="1">(IFERROR(IFERROR(VALUE(_xll.BDH(O$4,"PE_RATIO",$B79,$B79)),VALUE(_xll.BDH(O$4,"PE_RATIO",$B79+1,$B79+1))),O80))</f>
        <v>0</v>
      </c>
      <c r="P79" s="561"/>
      <c r="Q79" s="565">
        <f t="shared" ca="1" si="25"/>
        <v>45427</v>
      </c>
      <c r="R79" s="4">
        <v>153.13999999999999</v>
      </c>
      <c r="S79" s="4">
        <v>18169.900000000001</v>
      </c>
      <c r="T79" s="4">
        <v>1207.29</v>
      </c>
      <c r="U79" s="4">
        <v>1.2350996048068392</v>
      </c>
      <c r="V79" s="4">
        <v>1.6119857165036486</v>
      </c>
      <c r="W79" s="4">
        <v>1.6267246954834538</v>
      </c>
      <c r="Y79" s="561">
        <f t="shared" si="26"/>
        <v>153.13999999999999</v>
      </c>
      <c r="Z79" s="4">
        <f ca="1">IFERROR(VALUE(_xll.BDH(Z$4,"PX_LAST",$Q79,$Q79)),Z80)</f>
        <v>0</v>
      </c>
      <c r="AA79" s="4">
        <f ca="1">IFERROR(VALUE(_xll.BDH(AA$4,"PX_LAST",$Q79,$Q79)),AA80)</f>
        <v>0</v>
      </c>
      <c r="AB79" s="4">
        <f ca="1">IFERROR(VALUE(_xll.BDH(AB$4,"PX_LAST",$Q79,$Q79)),AB80)</f>
        <v>0</v>
      </c>
      <c r="AC79" s="4">
        <f ca="1">IFERROR(VALUE(_xll.BDH(AC$4,"PX_LAST",$Q79,$Q79)),AC80)</f>
        <v>0</v>
      </c>
      <c r="AD79" s="4">
        <f ca="1">IFERROR(VALUE(_xll.BDH(AD$4,"PX_LAST",$Q79,$Q79)),AD80)</f>
        <v>0</v>
      </c>
      <c r="AF79" s="4">
        <f t="shared" si="27"/>
        <v>1.2350996048068392</v>
      </c>
      <c r="AG79" s="4" t="e">
        <f t="shared" ca="1" si="28"/>
        <v>#DIV/0!</v>
      </c>
      <c r="AH79" s="4" t="e">
        <f t="shared" ca="1" si="29"/>
        <v>#DIV/0!</v>
      </c>
      <c r="AI79" s="4" t="e">
        <f t="shared" ca="1" si="30"/>
        <v>#DIV/0!</v>
      </c>
      <c r="AJ79" s="4" t="e">
        <f t="shared" ca="1" si="31"/>
        <v>#DIV/0!</v>
      </c>
      <c r="AK79" s="4" t="e">
        <f t="shared" ca="1" si="32"/>
        <v>#DIV/0!</v>
      </c>
      <c r="AM79" s="563">
        <f t="shared" ca="1" si="33"/>
        <v>45870</v>
      </c>
      <c r="AN79" s="564">
        <v>144.75</v>
      </c>
      <c r="AO79" s="564">
        <v>1088476</v>
      </c>
      <c r="AP79" s="564">
        <v>53481.521000000001</v>
      </c>
      <c r="AQ79" s="564">
        <v>7741450.1647500005</v>
      </c>
      <c r="AR79" s="564">
        <v>2.0173999999999999</v>
      </c>
    </row>
    <row r="80" spans="2:44">
      <c r="B80" s="565">
        <f t="shared" ca="1" si="34"/>
        <v>45420</v>
      </c>
      <c r="C80" s="561">
        <f ca="1">(IFERROR(IFERROR(VALUE(_xll.BDH(C$4,"CURRENT_EV_TO_T12M_EBITDA",$B80,$B80)),VALUE(_xll.BDH(C$4,"CURRENT_EV_TO_T12M_EBITDA",$B80+1,$B80+1))),C81))</f>
        <v>0</v>
      </c>
      <c r="D80" s="561">
        <f ca="1">(IFERROR(IFERROR(VALUE(_xll.BDH(D$4,"CURRENT_EV_TO_T12M_EBITDA",$B80,$B80)),VALUE(_xll.BDH(D$4,"CURRENT_EV_TO_T12M_EBITDA",$B80+1,$B80+1))),D81))</f>
        <v>0</v>
      </c>
      <c r="E80" s="561">
        <f ca="1">(IFERROR(IFERROR(VALUE(_xll.BDH(E$4,"CURRENT_EV_TO_T12M_EBITDA",$B80,$B80)),VALUE(_xll.BDH(E$4,"CURRENT_EV_TO_T12M_EBITDA",$B80+1,$B80+1))),E81))</f>
        <v>0</v>
      </c>
      <c r="F80" s="561">
        <f ca="1">(IFERROR(IFERROR(VALUE(_xll.BDH(F$4,"CURRENT_EV_TO_T12M_EBITDA",$B80,$B80)),VALUE(_xll.BDH(F$4,"CURRENT_EV_TO_T12M_EBITDA",$B80+1,$B80+1))),F81))</f>
        <v>0</v>
      </c>
      <c r="G80" s="561">
        <f ca="1">(IFERROR(IFERROR(VALUE(_xll.BDH(G$4,"CURRENT_EV_TO_T12M_EBITDA",$B80,$B80)),VALUE(_xll.BDH(G$4,"CURRENT_EV_TO_T12M_EBITDA",$B80+1,$B80+1))),G81))</f>
        <v>0</v>
      </c>
      <c r="H80" s="561">
        <f ca="1">(IFERROR(IFERROR(VALUE(_xll.BDH(H$4,"CURRENT_EV_TO_T12M_EBITDA",$B80,$B80)),VALUE(_xll.BDH(H$4,"CURRENT_EV_TO_T12M_EBITDA",$B80+1,$B80+1))),H81))</f>
        <v>0</v>
      </c>
      <c r="I80" s="565">
        <f t="shared" ca="1" si="24"/>
        <v>45420</v>
      </c>
      <c r="J80" s="561">
        <f ca="1">(IFERROR(IFERROR(VALUE(_xll.BDH(J$4,"PE_RATIO",$B80,$B80)),VALUE(_xll.BDH(J$4,"PE_RATIO",$B80+1,$B80+1))),J81))</f>
        <v>0</v>
      </c>
      <c r="K80" s="561">
        <f ca="1">(IFERROR(IFERROR(VALUE(_xll.BDH(K$4,"PE_RATIO",$B80,$B80)),VALUE(_xll.BDH(K$4,"PE_RATIO",$B80+1,$B80+1))),K81))</f>
        <v>0</v>
      </c>
      <c r="L80" s="561">
        <f ca="1">(IFERROR(IFERROR(VALUE(_xll.BDH(L$4,"PE_RATIO",$B80,$B80)),VALUE(_xll.BDH(L$4,"PE_RATIO",$B80+1,$B80+1))),L81))</f>
        <v>0</v>
      </c>
      <c r="M80" s="561">
        <f ca="1">(IFERROR(IFERROR(VALUE(_xll.BDH(M$4,"PE_RATIO",$B80,$B80)),VALUE(_xll.BDH(M$4,"PE_RATIO",$B80+1,$B80+1))),M81))</f>
        <v>0</v>
      </c>
      <c r="N80" s="561">
        <f ca="1">(IFERROR(IFERROR(VALUE(_xll.BDH(N$4,"PE_RATIO",$B80,$B80)),VALUE(_xll.BDH(N$4,"PE_RATIO",$B80+1,$B80+1))),N81))</f>
        <v>0</v>
      </c>
      <c r="O80" s="561">
        <f ca="1">(IFERROR(IFERROR(VALUE(_xll.BDH(O$4,"PE_RATIO",$B80,$B80)),VALUE(_xll.BDH(O$4,"PE_RATIO",$B80+1,$B80+1))),O81))</f>
        <v>0</v>
      </c>
      <c r="P80" s="561"/>
      <c r="Q80" s="565">
        <f t="shared" ca="1" si="25"/>
        <v>45420</v>
      </c>
      <c r="R80" s="4">
        <v>155.09</v>
      </c>
      <c r="S80" s="4">
        <v>18121.78</v>
      </c>
      <c r="T80" s="4">
        <v>1195.52</v>
      </c>
      <c r="U80" s="4">
        <v>1.2508266795709333</v>
      </c>
      <c r="V80" s="4">
        <v>1.6077166367245546</v>
      </c>
      <c r="W80" s="4">
        <v>1.6108655815457584</v>
      </c>
      <c r="Y80" s="561">
        <f t="shared" si="26"/>
        <v>155.09</v>
      </c>
      <c r="Z80" s="4">
        <f ca="1">IFERROR(VALUE(_xll.BDH(Z$4,"PX_LAST",$Q80,$Q80)),Z81)</f>
        <v>0</v>
      </c>
      <c r="AA80" s="4">
        <f ca="1">IFERROR(VALUE(_xll.BDH(AA$4,"PX_LAST",$Q80,$Q80)),AA81)</f>
        <v>0</v>
      </c>
      <c r="AB80" s="4">
        <f ca="1">IFERROR(VALUE(_xll.BDH(AB$4,"PX_LAST",$Q80,$Q80)),AB81)</f>
        <v>0</v>
      </c>
      <c r="AC80" s="4">
        <f ca="1">IFERROR(VALUE(_xll.BDH(AC$4,"PX_LAST",$Q80,$Q80)),AC81)</f>
        <v>0</v>
      </c>
      <c r="AD80" s="4">
        <f ca="1">IFERROR(VALUE(_xll.BDH(AD$4,"PX_LAST",$Q80,$Q80)),AD81)</f>
        <v>0</v>
      </c>
      <c r="AF80" s="4">
        <f t="shared" si="27"/>
        <v>1.2508266795709333</v>
      </c>
      <c r="AG80" s="4" t="e">
        <f t="shared" ca="1" si="28"/>
        <v>#DIV/0!</v>
      </c>
      <c r="AH80" s="4" t="e">
        <f t="shared" ca="1" si="29"/>
        <v>#DIV/0!</v>
      </c>
      <c r="AI80" s="4" t="e">
        <f t="shared" ca="1" si="30"/>
        <v>#DIV/0!</v>
      </c>
      <c r="AJ80" s="4" t="e">
        <f t="shared" ca="1" si="31"/>
        <v>#DIV/0!</v>
      </c>
      <c r="AK80" s="4" t="e">
        <f t="shared" ca="1" si="32"/>
        <v>#DIV/0!</v>
      </c>
      <c r="AM80" s="563">
        <f t="shared" ca="1" si="33"/>
        <v>45869</v>
      </c>
      <c r="AN80" s="564">
        <v>143.94</v>
      </c>
      <c r="AO80" s="564">
        <v>521303</v>
      </c>
      <c r="AP80" s="564">
        <v>53481.521000000001</v>
      </c>
      <c r="AQ80" s="564">
        <v>7698130.1327400003</v>
      </c>
      <c r="AR80" s="564">
        <v>2.0061</v>
      </c>
    </row>
    <row r="81" spans="2:44">
      <c r="B81" s="565">
        <f t="shared" ca="1" si="34"/>
        <v>45413</v>
      </c>
      <c r="C81" s="561">
        <f ca="1">(IFERROR(IFERROR(VALUE(_xll.BDH(C$4,"CURRENT_EV_TO_T12M_EBITDA",$B81,$B81)),VALUE(_xll.BDH(C$4,"CURRENT_EV_TO_T12M_EBITDA",$B81+1,$B81+1))),C82))</f>
        <v>0</v>
      </c>
      <c r="D81" s="561">
        <f ca="1">(IFERROR(IFERROR(VALUE(_xll.BDH(D$4,"CURRENT_EV_TO_T12M_EBITDA",$B81,$B81)),VALUE(_xll.BDH(D$4,"CURRENT_EV_TO_T12M_EBITDA",$B81+1,$B81+1))),D82))</f>
        <v>0</v>
      </c>
      <c r="E81" s="561">
        <f ca="1">(IFERROR(IFERROR(VALUE(_xll.BDH(E$4,"CURRENT_EV_TO_T12M_EBITDA",$B81,$B81)),VALUE(_xll.BDH(E$4,"CURRENT_EV_TO_T12M_EBITDA",$B81+1,$B81+1))),E82))</f>
        <v>0</v>
      </c>
      <c r="F81" s="561">
        <f ca="1">(IFERROR(IFERROR(VALUE(_xll.BDH(F$4,"CURRENT_EV_TO_T12M_EBITDA",$B81,$B81)),VALUE(_xll.BDH(F$4,"CURRENT_EV_TO_T12M_EBITDA",$B81+1,$B81+1))),F82))</f>
        <v>0</v>
      </c>
      <c r="G81" s="561">
        <f ca="1">(IFERROR(IFERROR(VALUE(_xll.BDH(G$4,"CURRENT_EV_TO_T12M_EBITDA",$B81,$B81)),VALUE(_xll.BDH(G$4,"CURRENT_EV_TO_T12M_EBITDA",$B81+1,$B81+1))),G82))</f>
        <v>0</v>
      </c>
      <c r="H81" s="561">
        <f ca="1">(IFERROR(IFERROR(VALUE(_xll.BDH(H$4,"CURRENT_EV_TO_T12M_EBITDA",$B81,$B81)),VALUE(_xll.BDH(H$4,"CURRENT_EV_TO_T12M_EBITDA",$B81+1,$B81+1))),H82))</f>
        <v>0</v>
      </c>
      <c r="I81" s="565">
        <f t="shared" ca="1" si="24"/>
        <v>45413</v>
      </c>
      <c r="J81" s="561">
        <f ca="1">(IFERROR(IFERROR(VALUE(_xll.BDH(J$4,"PE_RATIO",$B81,$B81)),VALUE(_xll.BDH(J$4,"PE_RATIO",$B81+1,$B81+1))),J82))</f>
        <v>0</v>
      </c>
      <c r="K81" s="561">
        <f ca="1">(IFERROR(IFERROR(VALUE(_xll.BDH(K$4,"PE_RATIO",$B81,$B81)),VALUE(_xll.BDH(K$4,"PE_RATIO",$B81+1,$B81+1))),K82))</f>
        <v>0</v>
      </c>
      <c r="L81" s="561">
        <f ca="1">(IFERROR(IFERROR(VALUE(_xll.BDH(L$4,"PE_RATIO",$B81,$B81)),VALUE(_xll.BDH(L$4,"PE_RATIO",$B81+1,$B81+1))),L82))</f>
        <v>0</v>
      </c>
      <c r="M81" s="561">
        <f ca="1">(IFERROR(IFERROR(VALUE(_xll.BDH(M$4,"PE_RATIO",$B81,$B81)),VALUE(_xll.BDH(M$4,"PE_RATIO",$B81+1,$B81+1))),M82))</f>
        <v>0</v>
      </c>
      <c r="N81" s="561">
        <f ca="1">(IFERROR(IFERROR(VALUE(_xll.BDH(N$4,"PE_RATIO",$B81,$B81)),VALUE(_xll.BDH(N$4,"PE_RATIO",$B81+1,$B81+1))),N82))</f>
        <v>0</v>
      </c>
      <c r="O81" s="561">
        <f ca="1">(IFERROR(IFERROR(VALUE(_xll.BDH(O$4,"PE_RATIO",$B81,$B81)),VALUE(_xll.BDH(O$4,"PE_RATIO",$B81+1,$B81+1))),O82))</f>
        <v>0</v>
      </c>
      <c r="P81" s="561"/>
      <c r="Q81" s="565">
        <f t="shared" ca="1" si="25"/>
        <v>45413</v>
      </c>
      <c r="R81" s="4">
        <v>155.75</v>
      </c>
      <c r="S81" s="4">
        <v>18210.54</v>
      </c>
      <c r="T81" s="4">
        <v>1203.06</v>
      </c>
      <c r="U81" s="4">
        <v>1.256149689491088</v>
      </c>
      <c r="V81" s="4">
        <v>1.6155911903652938</v>
      </c>
      <c r="W81" s="4">
        <v>1.6210251158779778</v>
      </c>
      <c r="Y81" s="561">
        <f t="shared" si="26"/>
        <v>155.75</v>
      </c>
      <c r="Z81" s="4">
        <f ca="1">IFERROR(VALUE(_xll.BDH(Z$4,"PX_LAST",$Q81,$Q81)),Z82)</f>
        <v>0</v>
      </c>
      <c r="AA81" s="4">
        <f ca="1">IFERROR(VALUE(_xll.BDH(AA$4,"PX_LAST",$Q81,$Q81)),AA82)</f>
        <v>0</v>
      </c>
      <c r="AB81" s="4">
        <f ca="1">IFERROR(VALUE(_xll.BDH(AB$4,"PX_LAST",$Q81,$Q81)),AB82)</f>
        <v>0</v>
      </c>
      <c r="AC81" s="4">
        <f ca="1">IFERROR(VALUE(_xll.BDH(AC$4,"PX_LAST",$Q81,$Q81)),AC82)</f>
        <v>0</v>
      </c>
      <c r="AD81" s="4">
        <f ca="1">IFERROR(VALUE(_xll.BDH(AD$4,"PX_LAST",$Q81,$Q81)),AD82)</f>
        <v>0</v>
      </c>
      <c r="AF81" s="4">
        <f t="shared" si="27"/>
        <v>1.256149689491088</v>
      </c>
      <c r="AG81" s="4" t="e">
        <f t="shared" ca="1" si="28"/>
        <v>#DIV/0!</v>
      </c>
      <c r="AH81" s="4" t="e">
        <f t="shared" ca="1" si="29"/>
        <v>#DIV/0!</v>
      </c>
      <c r="AI81" s="4" t="e">
        <f t="shared" ca="1" si="30"/>
        <v>#DIV/0!</v>
      </c>
      <c r="AJ81" s="4" t="e">
        <f t="shared" ca="1" si="31"/>
        <v>#DIV/0!</v>
      </c>
      <c r="AK81" s="4" t="e">
        <f t="shared" ca="1" si="32"/>
        <v>#DIV/0!</v>
      </c>
      <c r="AM81" s="563">
        <f t="shared" ca="1" si="33"/>
        <v>45868</v>
      </c>
      <c r="AN81" s="564">
        <v>143.18</v>
      </c>
      <c r="AO81" s="564">
        <v>778863</v>
      </c>
      <c r="AP81" s="564">
        <v>53481.521000000001</v>
      </c>
      <c r="AQ81" s="564">
        <v>7657484.1767800003</v>
      </c>
      <c r="AR81" s="564">
        <v>1.9955000000000001</v>
      </c>
    </row>
    <row r="82" spans="2:44">
      <c r="B82" s="565">
        <f t="shared" ca="1" si="34"/>
        <v>45406</v>
      </c>
      <c r="C82" s="561">
        <f ca="1">(IFERROR(IFERROR(VALUE(_xll.BDH(C$4,"CURRENT_EV_TO_T12M_EBITDA",$B82,$B82)),VALUE(_xll.BDH(C$4,"CURRENT_EV_TO_T12M_EBITDA",$B82+1,$B82+1))),C83))</f>
        <v>0</v>
      </c>
      <c r="D82" s="561">
        <f ca="1">(IFERROR(IFERROR(VALUE(_xll.BDH(D$4,"CURRENT_EV_TO_T12M_EBITDA",$B82,$B82)),VALUE(_xll.BDH(D$4,"CURRENT_EV_TO_T12M_EBITDA",$B82+1,$B82+1))),D83))</f>
        <v>0</v>
      </c>
      <c r="E82" s="561">
        <f ca="1">(IFERROR(IFERROR(VALUE(_xll.BDH(E$4,"CURRENT_EV_TO_T12M_EBITDA",$B82,$B82)),VALUE(_xll.BDH(E$4,"CURRENT_EV_TO_T12M_EBITDA",$B82+1,$B82+1))),E83))</f>
        <v>0</v>
      </c>
      <c r="F82" s="561">
        <f ca="1">(IFERROR(IFERROR(VALUE(_xll.BDH(F$4,"CURRENT_EV_TO_T12M_EBITDA",$B82,$B82)),VALUE(_xll.BDH(F$4,"CURRENT_EV_TO_T12M_EBITDA",$B82+1,$B82+1))),F83))</f>
        <v>0</v>
      </c>
      <c r="G82" s="561">
        <f ca="1">(IFERROR(IFERROR(VALUE(_xll.BDH(G$4,"CURRENT_EV_TO_T12M_EBITDA",$B82,$B82)),VALUE(_xll.BDH(G$4,"CURRENT_EV_TO_T12M_EBITDA",$B82+1,$B82+1))),G83))</f>
        <v>0</v>
      </c>
      <c r="H82" s="561">
        <f ca="1">(IFERROR(IFERROR(VALUE(_xll.BDH(H$4,"CURRENT_EV_TO_T12M_EBITDA",$B82,$B82)),VALUE(_xll.BDH(H$4,"CURRENT_EV_TO_T12M_EBITDA",$B82+1,$B82+1))),H83))</f>
        <v>0</v>
      </c>
      <c r="I82" s="565">
        <f t="shared" ca="1" si="24"/>
        <v>45406</v>
      </c>
      <c r="J82" s="561">
        <f ca="1">(IFERROR(IFERROR(VALUE(_xll.BDH(J$4,"PE_RATIO",$B82,$B82)),VALUE(_xll.BDH(J$4,"PE_RATIO",$B82+1,$B82+1))),J83))</f>
        <v>0</v>
      </c>
      <c r="K82" s="561">
        <f ca="1">(IFERROR(IFERROR(VALUE(_xll.BDH(K$4,"PE_RATIO",$B82,$B82)),VALUE(_xll.BDH(K$4,"PE_RATIO",$B82+1,$B82+1))),K83))</f>
        <v>0</v>
      </c>
      <c r="L82" s="561">
        <f ca="1">(IFERROR(IFERROR(VALUE(_xll.BDH(L$4,"PE_RATIO",$B82,$B82)),VALUE(_xll.BDH(L$4,"PE_RATIO",$B82+1,$B82+1))),L83))</f>
        <v>0</v>
      </c>
      <c r="M82" s="561">
        <f ca="1">(IFERROR(IFERROR(VALUE(_xll.BDH(M$4,"PE_RATIO",$B82,$B82)),VALUE(_xll.BDH(M$4,"PE_RATIO",$B82+1,$B82+1))),M83))</f>
        <v>0</v>
      </c>
      <c r="N82" s="561">
        <f ca="1">(IFERROR(IFERROR(VALUE(_xll.BDH(N$4,"PE_RATIO",$B82,$B82)),VALUE(_xll.BDH(N$4,"PE_RATIO",$B82+1,$B82+1))),N83))</f>
        <v>0</v>
      </c>
      <c r="O82" s="561">
        <f ca="1">(IFERROR(IFERROR(VALUE(_xll.BDH(O$4,"PE_RATIO",$B82,$B82)),VALUE(_xll.BDH(O$4,"PE_RATIO",$B82+1,$B82+1))),O83))</f>
        <v>0</v>
      </c>
      <c r="P82" s="561"/>
      <c r="Q82" s="565">
        <f t="shared" ca="1" si="25"/>
        <v>45406</v>
      </c>
      <c r="R82" s="4">
        <v>151.38</v>
      </c>
      <c r="S82" s="4">
        <v>18032.21</v>
      </c>
      <c r="T82" s="4">
        <v>1189.6500000000001</v>
      </c>
      <c r="U82" s="4">
        <v>1.2209049116864263</v>
      </c>
      <c r="V82" s="4">
        <v>1.599770222015215</v>
      </c>
      <c r="W82" s="4">
        <v>1.6029562358521074</v>
      </c>
      <c r="Y82" s="561">
        <f t="shared" si="26"/>
        <v>151.38</v>
      </c>
      <c r="Z82" s="4">
        <f ca="1">IFERROR(VALUE(_xll.BDH(Z$4,"PX_LAST",$Q82,$Q82)),Z83)</f>
        <v>0</v>
      </c>
      <c r="AA82" s="4">
        <f ca="1">IFERROR(VALUE(_xll.BDH(AA$4,"PX_LAST",$Q82,$Q82)),AA83)</f>
        <v>0</v>
      </c>
      <c r="AB82" s="4">
        <f ca="1">IFERROR(VALUE(_xll.BDH(AB$4,"PX_LAST",$Q82,$Q82)),AB83)</f>
        <v>0</v>
      </c>
      <c r="AC82" s="4">
        <f ca="1">IFERROR(VALUE(_xll.BDH(AC$4,"PX_LAST",$Q82,$Q82)),AC83)</f>
        <v>0</v>
      </c>
      <c r="AD82" s="4">
        <f ca="1">IFERROR(VALUE(_xll.BDH(AD$4,"PX_LAST",$Q82,$Q82)),AD83)</f>
        <v>0</v>
      </c>
      <c r="AF82" s="4">
        <f t="shared" si="27"/>
        <v>1.2209049116864263</v>
      </c>
      <c r="AG82" s="4" t="e">
        <f t="shared" ca="1" si="28"/>
        <v>#DIV/0!</v>
      </c>
      <c r="AH82" s="4" t="e">
        <f t="shared" ca="1" si="29"/>
        <v>#DIV/0!</v>
      </c>
      <c r="AI82" s="4" t="e">
        <f t="shared" ca="1" si="30"/>
        <v>#DIV/0!</v>
      </c>
      <c r="AJ82" s="4" t="e">
        <f t="shared" ca="1" si="31"/>
        <v>#DIV/0!</v>
      </c>
      <c r="AK82" s="4" t="e">
        <f t="shared" ca="1" si="32"/>
        <v>#DIV/0!</v>
      </c>
      <c r="AM82" s="563">
        <f t="shared" ca="1" si="33"/>
        <v>45867</v>
      </c>
      <c r="AN82" s="564">
        <v>143.62</v>
      </c>
      <c r="AO82" s="564">
        <v>724602</v>
      </c>
      <c r="AP82" s="564">
        <v>53481.521000000001</v>
      </c>
      <c r="AQ82" s="564">
        <v>7681016.0460200002</v>
      </c>
      <c r="AR82" s="564">
        <v>2.0015999999999998</v>
      </c>
    </row>
    <row r="83" spans="2:44">
      <c r="B83" s="565">
        <f t="shared" ca="1" si="34"/>
        <v>45399</v>
      </c>
      <c r="C83" s="561">
        <f ca="1">(IFERROR(IFERROR(VALUE(_xll.BDH(C$4,"CURRENT_EV_TO_T12M_EBITDA",$B83,$B83)),VALUE(_xll.BDH(C$4,"CURRENT_EV_TO_T12M_EBITDA",$B83+1,$B83+1))),C84))</f>
        <v>0</v>
      </c>
      <c r="D83" s="561">
        <f ca="1">(IFERROR(IFERROR(VALUE(_xll.BDH(D$4,"CURRENT_EV_TO_T12M_EBITDA",$B83,$B83)),VALUE(_xll.BDH(D$4,"CURRENT_EV_TO_T12M_EBITDA",$B83+1,$B83+1))),D84))</f>
        <v>0</v>
      </c>
      <c r="E83" s="561">
        <f ca="1">(IFERROR(IFERROR(VALUE(_xll.BDH(E$4,"CURRENT_EV_TO_T12M_EBITDA",$B83,$B83)),VALUE(_xll.BDH(E$4,"CURRENT_EV_TO_T12M_EBITDA",$B83+1,$B83+1))),E84))</f>
        <v>0</v>
      </c>
      <c r="F83" s="561">
        <f ca="1">(IFERROR(IFERROR(VALUE(_xll.BDH(F$4,"CURRENT_EV_TO_T12M_EBITDA",$B83,$B83)),VALUE(_xll.BDH(F$4,"CURRENT_EV_TO_T12M_EBITDA",$B83+1,$B83+1))),F84))</f>
        <v>0</v>
      </c>
      <c r="G83" s="561">
        <f ca="1">(IFERROR(IFERROR(VALUE(_xll.BDH(G$4,"CURRENT_EV_TO_T12M_EBITDA",$B83,$B83)),VALUE(_xll.BDH(G$4,"CURRENT_EV_TO_T12M_EBITDA",$B83+1,$B83+1))),G84))</f>
        <v>0</v>
      </c>
      <c r="H83" s="561">
        <f ca="1">(IFERROR(IFERROR(VALUE(_xll.BDH(H$4,"CURRENT_EV_TO_T12M_EBITDA",$B83,$B83)),VALUE(_xll.BDH(H$4,"CURRENT_EV_TO_T12M_EBITDA",$B83+1,$B83+1))),H84))</f>
        <v>0</v>
      </c>
      <c r="I83" s="565">
        <f t="shared" ca="1" si="24"/>
        <v>45399</v>
      </c>
      <c r="J83" s="561">
        <f ca="1">(IFERROR(IFERROR(VALUE(_xll.BDH(J$4,"PE_RATIO",$B83,$B83)),VALUE(_xll.BDH(J$4,"PE_RATIO",$B83+1,$B83+1))),J84))</f>
        <v>0</v>
      </c>
      <c r="K83" s="561">
        <f ca="1">(IFERROR(IFERROR(VALUE(_xll.BDH(K$4,"PE_RATIO",$B83,$B83)),VALUE(_xll.BDH(K$4,"PE_RATIO",$B83+1,$B83+1))),K84))</f>
        <v>0</v>
      </c>
      <c r="L83" s="561">
        <f ca="1">(IFERROR(IFERROR(VALUE(_xll.BDH(L$4,"PE_RATIO",$B83,$B83)),VALUE(_xll.BDH(L$4,"PE_RATIO",$B83+1,$B83+1))),L84))</f>
        <v>0</v>
      </c>
      <c r="M83" s="561">
        <f ca="1">(IFERROR(IFERROR(VALUE(_xll.BDH(M$4,"PE_RATIO",$B83,$B83)),VALUE(_xll.BDH(M$4,"PE_RATIO",$B83+1,$B83+1))),M84))</f>
        <v>0</v>
      </c>
      <c r="N83" s="561">
        <f ca="1">(IFERROR(IFERROR(VALUE(_xll.BDH(N$4,"PE_RATIO",$B83,$B83)),VALUE(_xll.BDH(N$4,"PE_RATIO",$B83+1,$B83+1))),N84))</f>
        <v>0</v>
      </c>
      <c r="O83" s="561">
        <f ca="1">(IFERROR(IFERROR(VALUE(_xll.BDH(O$4,"PE_RATIO",$B83,$B83)),VALUE(_xll.BDH(O$4,"PE_RATIO",$B83+1,$B83+1))),O84))</f>
        <v>0</v>
      </c>
      <c r="P83" s="561"/>
      <c r="Q83" s="565">
        <f t="shared" ca="1" si="25"/>
        <v>45399</v>
      </c>
      <c r="R83" s="4">
        <v>155.62</v>
      </c>
      <c r="S83" s="4">
        <v>18219.12</v>
      </c>
      <c r="T83" s="4">
        <v>1186.76</v>
      </c>
      <c r="U83" s="4">
        <v>1.2551012178401484</v>
      </c>
      <c r="V83" s="4">
        <v>1.6163523853882493</v>
      </c>
      <c r="W83" s="4">
        <v>1.599062196830872</v>
      </c>
      <c r="Y83" s="561">
        <f t="shared" si="26"/>
        <v>155.62</v>
      </c>
      <c r="Z83" s="4">
        <f ca="1">IFERROR(VALUE(_xll.BDH(Z$4,"PX_LAST",$Q83,$Q83)),Z84)</f>
        <v>0</v>
      </c>
      <c r="AA83" s="4">
        <f ca="1">IFERROR(VALUE(_xll.BDH(AA$4,"PX_LAST",$Q83,$Q83)),AA84)</f>
        <v>0</v>
      </c>
      <c r="AB83" s="4">
        <f ca="1">IFERROR(VALUE(_xll.BDH(AB$4,"PX_LAST",$Q83,$Q83)),AB84)</f>
        <v>0</v>
      </c>
      <c r="AC83" s="4">
        <f ca="1">IFERROR(VALUE(_xll.BDH(AC$4,"PX_LAST",$Q83,$Q83)),AC84)</f>
        <v>0</v>
      </c>
      <c r="AD83" s="4">
        <f ca="1">IFERROR(VALUE(_xll.BDH(AD$4,"PX_LAST",$Q83,$Q83)),AD84)</f>
        <v>0</v>
      </c>
      <c r="AF83" s="4">
        <f t="shared" si="27"/>
        <v>1.2551012178401484</v>
      </c>
      <c r="AG83" s="4" t="e">
        <f t="shared" ca="1" si="28"/>
        <v>#DIV/0!</v>
      </c>
      <c r="AH83" s="4" t="e">
        <f t="shared" ca="1" si="29"/>
        <v>#DIV/0!</v>
      </c>
      <c r="AI83" s="4" t="e">
        <f t="shared" ca="1" si="30"/>
        <v>#DIV/0!</v>
      </c>
      <c r="AJ83" s="4" t="e">
        <f t="shared" ca="1" si="31"/>
        <v>#DIV/0!</v>
      </c>
      <c r="AK83" s="4" t="e">
        <f t="shared" ca="1" si="32"/>
        <v>#DIV/0!</v>
      </c>
      <c r="AM83" s="563">
        <f t="shared" ca="1" si="33"/>
        <v>45866</v>
      </c>
      <c r="AN83" s="564">
        <v>141.49</v>
      </c>
      <c r="AO83" s="564">
        <v>874490</v>
      </c>
      <c r="AP83" s="564">
        <v>53481.521000000001</v>
      </c>
      <c r="AQ83" s="564">
        <v>7567100.4062900003</v>
      </c>
      <c r="AR83" s="564">
        <v>1.972</v>
      </c>
    </row>
    <row r="84" spans="2:44">
      <c r="B84" s="565">
        <f t="shared" ca="1" si="34"/>
        <v>45392</v>
      </c>
      <c r="C84" s="561">
        <f ca="1">(IFERROR(IFERROR(VALUE(_xll.BDH(C$4,"CURRENT_EV_TO_T12M_EBITDA",$B84,$B84)),VALUE(_xll.BDH(C$4,"CURRENT_EV_TO_T12M_EBITDA",$B84+1,$B84+1))),C85))</f>
        <v>0</v>
      </c>
      <c r="D84" s="561">
        <f ca="1">(IFERROR(IFERROR(VALUE(_xll.BDH(D$4,"CURRENT_EV_TO_T12M_EBITDA",$B84,$B84)),VALUE(_xll.BDH(D$4,"CURRENT_EV_TO_T12M_EBITDA",$B84+1,$B84+1))),D85))</f>
        <v>0</v>
      </c>
      <c r="E84" s="561">
        <f ca="1">(IFERROR(IFERROR(VALUE(_xll.BDH(E$4,"CURRENT_EV_TO_T12M_EBITDA",$B84,$B84)),VALUE(_xll.BDH(E$4,"CURRENT_EV_TO_T12M_EBITDA",$B84+1,$B84+1))),E85))</f>
        <v>0</v>
      </c>
      <c r="F84" s="561">
        <f ca="1">(IFERROR(IFERROR(VALUE(_xll.BDH(F$4,"CURRENT_EV_TO_T12M_EBITDA",$B84,$B84)),VALUE(_xll.BDH(F$4,"CURRENT_EV_TO_T12M_EBITDA",$B84+1,$B84+1))),F85))</f>
        <v>0</v>
      </c>
      <c r="G84" s="561">
        <f ca="1">(IFERROR(IFERROR(VALUE(_xll.BDH(G$4,"CURRENT_EV_TO_T12M_EBITDA",$B84,$B84)),VALUE(_xll.BDH(G$4,"CURRENT_EV_TO_T12M_EBITDA",$B84+1,$B84+1))),G85))</f>
        <v>0</v>
      </c>
      <c r="H84" s="561">
        <f ca="1">(IFERROR(IFERROR(VALUE(_xll.BDH(H$4,"CURRENT_EV_TO_T12M_EBITDA",$B84,$B84)),VALUE(_xll.BDH(H$4,"CURRENT_EV_TO_T12M_EBITDA",$B84+1,$B84+1))),H85))</f>
        <v>0</v>
      </c>
      <c r="I84" s="565">
        <f t="shared" ca="1" si="24"/>
        <v>45392</v>
      </c>
      <c r="J84" s="561">
        <f ca="1">(IFERROR(IFERROR(VALUE(_xll.BDH(J$4,"PE_RATIO",$B84,$B84)),VALUE(_xll.BDH(J$4,"PE_RATIO",$B84+1,$B84+1))),J85))</f>
        <v>0</v>
      </c>
      <c r="K84" s="561">
        <f ca="1">(IFERROR(IFERROR(VALUE(_xll.BDH(K$4,"PE_RATIO",$B84,$B84)),VALUE(_xll.BDH(K$4,"PE_RATIO",$B84+1,$B84+1))),K85))</f>
        <v>0</v>
      </c>
      <c r="L84" s="561">
        <f ca="1">(IFERROR(IFERROR(VALUE(_xll.BDH(L$4,"PE_RATIO",$B84,$B84)),VALUE(_xll.BDH(L$4,"PE_RATIO",$B84+1,$B84+1))),L85))</f>
        <v>0</v>
      </c>
      <c r="M84" s="561">
        <f ca="1">(IFERROR(IFERROR(VALUE(_xll.BDH(M$4,"PE_RATIO",$B84,$B84)),VALUE(_xll.BDH(M$4,"PE_RATIO",$B84+1,$B84+1))),M85))</f>
        <v>0</v>
      </c>
      <c r="N84" s="561">
        <f ca="1">(IFERROR(IFERROR(VALUE(_xll.BDH(N$4,"PE_RATIO",$B84,$B84)),VALUE(_xll.BDH(N$4,"PE_RATIO",$B84+1,$B84+1))),N85))</f>
        <v>0</v>
      </c>
      <c r="O84" s="561">
        <f ca="1">(IFERROR(IFERROR(VALUE(_xll.BDH(O$4,"PE_RATIO",$B84,$B84)),VALUE(_xll.BDH(O$4,"PE_RATIO",$B84+1,$B84+1))),O85))</f>
        <v>0</v>
      </c>
      <c r="P84" s="561"/>
      <c r="Q84" s="565">
        <f t="shared" ca="1" si="25"/>
        <v>45392</v>
      </c>
      <c r="R84" s="4">
        <v>150.87</v>
      </c>
      <c r="S84" s="4">
        <v>17897.87</v>
      </c>
      <c r="T84" s="4">
        <v>1159.51</v>
      </c>
      <c r="U84" s="4">
        <v>1.2167916767481248</v>
      </c>
      <c r="V84" s="4">
        <v>1.5878519307117349</v>
      </c>
      <c r="W84" s="4">
        <v>1.5623450468901585</v>
      </c>
      <c r="Y84" s="561">
        <f t="shared" si="26"/>
        <v>150.87</v>
      </c>
      <c r="Z84" s="4">
        <f ca="1">IFERROR(VALUE(_xll.BDH(Z$4,"PX_LAST",$Q84,$Q84)),Z85)</f>
        <v>0</v>
      </c>
      <c r="AA84" s="4">
        <f ca="1">IFERROR(VALUE(_xll.BDH(AA$4,"PX_LAST",$Q84,$Q84)),AA85)</f>
        <v>0</v>
      </c>
      <c r="AB84" s="4">
        <f ca="1">IFERROR(VALUE(_xll.BDH(AB$4,"PX_LAST",$Q84,$Q84)),AB85)</f>
        <v>0</v>
      </c>
      <c r="AC84" s="4">
        <f ca="1">IFERROR(VALUE(_xll.BDH(AC$4,"PX_LAST",$Q84,$Q84)),AC85)</f>
        <v>0</v>
      </c>
      <c r="AD84" s="4">
        <f ca="1">IFERROR(VALUE(_xll.BDH(AD$4,"PX_LAST",$Q84,$Q84)),AD85)</f>
        <v>0</v>
      </c>
      <c r="AF84" s="4">
        <f t="shared" si="27"/>
        <v>1.2167916767481248</v>
      </c>
      <c r="AG84" s="4" t="e">
        <f t="shared" ca="1" si="28"/>
        <v>#DIV/0!</v>
      </c>
      <c r="AH84" s="4" t="e">
        <f t="shared" ca="1" si="29"/>
        <v>#DIV/0!</v>
      </c>
      <c r="AI84" s="4" t="e">
        <f t="shared" ca="1" si="30"/>
        <v>#DIV/0!</v>
      </c>
      <c r="AJ84" s="4" t="e">
        <f t="shared" ca="1" si="31"/>
        <v>#DIV/0!</v>
      </c>
      <c r="AK84" s="4" t="e">
        <f t="shared" ca="1" si="32"/>
        <v>#DIV/0!</v>
      </c>
      <c r="AM84" s="563">
        <f t="shared" ca="1" si="33"/>
        <v>45865</v>
      </c>
      <c r="AN84" s="564">
        <v>141.49</v>
      </c>
      <c r="AO84" s="564">
        <v>874490</v>
      </c>
      <c r="AP84" s="564">
        <v>53481.521000000001</v>
      </c>
      <c r="AQ84" s="564">
        <v>7567100.4062900003</v>
      </c>
      <c r="AR84" s="564">
        <v>1.972</v>
      </c>
    </row>
    <row r="85" spans="2:44">
      <c r="B85" s="565">
        <f t="shared" ca="1" si="34"/>
        <v>45385</v>
      </c>
      <c r="C85" s="561">
        <f ca="1">(IFERROR(IFERROR(VALUE(_xll.BDH(C$4,"CURRENT_EV_TO_T12M_EBITDA",$B85,$B85)),VALUE(_xll.BDH(C$4,"CURRENT_EV_TO_T12M_EBITDA",$B85+1,$B85+1))),C86))</f>
        <v>0</v>
      </c>
      <c r="D85" s="561">
        <f ca="1">(IFERROR(IFERROR(VALUE(_xll.BDH(D$4,"CURRENT_EV_TO_T12M_EBITDA",$B85,$B85)),VALUE(_xll.BDH(D$4,"CURRENT_EV_TO_T12M_EBITDA",$B85+1,$B85+1))),D86))</f>
        <v>0</v>
      </c>
      <c r="E85" s="561">
        <f ca="1">(IFERROR(IFERROR(VALUE(_xll.BDH(E$4,"CURRENT_EV_TO_T12M_EBITDA",$B85,$B85)),VALUE(_xll.BDH(E$4,"CURRENT_EV_TO_T12M_EBITDA",$B85+1,$B85+1))),E86))</f>
        <v>0</v>
      </c>
      <c r="F85" s="561">
        <f ca="1">(IFERROR(IFERROR(VALUE(_xll.BDH(F$4,"CURRENT_EV_TO_T12M_EBITDA",$B85,$B85)),VALUE(_xll.BDH(F$4,"CURRENT_EV_TO_T12M_EBITDA",$B85+1,$B85+1))),F86))</f>
        <v>0</v>
      </c>
      <c r="G85" s="561">
        <f ca="1">(IFERROR(IFERROR(VALUE(_xll.BDH(G$4,"CURRENT_EV_TO_T12M_EBITDA",$B85,$B85)),VALUE(_xll.BDH(G$4,"CURRENT_EV_TO_T12M_EBITDA",$B85+1,$B85+1))),G86))</f>
        <v>0</v>
      </c>
      <c r="H85" s="561">
        <f ca="1">(IFERROR(IFERROR(VALUE(_xll.BDH(H$4,"CURRENT_EV_TO_T12M_EBITDA",$B85,$B85)),VALUE(_xll.BDH(H$4,"CURRENT_EV_TO_T12M_EBITDA",$B85+1,$B85+1))),H86))</f>
        <v>0</v>
      </c>
      <c r="I85" s="565">
        <f t="shared" ca="1" si="24"/>
        <v>45385</v>
      </c>
      <c r="J85" s="561">
        <f ca="1">(IFERROR(IFERROR(VALUE(_xll.BDH(J$4,"PE_RATIO",$B85,$B85)),VALUE(_xll.BDH(J$4,"PE_RATIO",$B85+1,$B85+1))),J86))</f>
        <v>0</v>
      </c>
      <c r="K85" s="561">
        <f ca="1">(IFERROR(IFERROR(VALUE(_xll.BDH(K$4,"PE_RATIO",$B85,$B85)),VALUE(_xll.BDH(K$4,"PE_RATIO",$B85+1,$B85+1))),K86))</f>
        <v>0</v>
      </c>
      <c r="L85" s="561">
        <f ca="1">(IFERROR(IFERROR(VALUE(_xll.BDH(L$4,"PE_RATIO",$B85,$B85)),VALUE(_xll.BDH(L$4,"PE_RATIO",$B85+1,$B85+1))),L86))</f>
        <v>0</v>
      </c>
      <c r="M85" s="561">
        <f ca="1">(IFERROR(IFERROR(VALUE(_xll.BDH(M$4,"PE_RATIO",$B85,$B85)),VALUE(_xll.BDH(M$4,"PE_RATIO",$B85+1,$B85+1))),M86))</f>
        <v>0</v>
      </c>
      <c r="N85" s="561">
        <f ca="1">(IFERROR(IFERROR(VALUE(_xll.BDH(N$4,"PE_RATIO",$B85,$B85)),VALUE(_xll.BDH(N$4,"PE_RATIO",$B85+1,$B85+1))),N86))</f>
        <v>0</v>
      </c>
      <c r="O85" s="561">
        <f ca="1">(IFERROR(IFERROR(VALUE(_xll.BDH(O$4,"PE_RATIO",$B85,$B85)),VALUE(_xll.BDH(O$4,"PE_RATIO",$B85+1,$B85+1))),O86))</f>
        <v>0</v>
      </c>
      <c r="P85" s="561"/>
      <c r="Q85" s="565">
        <f t="shared" ca="1" si="25"/>
        <v>45385</v>
      </c>
      <c r="R85" s="4">
        <v>153.47999999999999</v>
      </c>
      <c r="S85" s="4">
        <v>17971.05</v>
      </c>
      <c r="T85" s="4">
        <v>1159.74</v>
      </c>
      <c r="U85" s="4">
        <v>1.2378417614323736</v>
      </c>
      <c r="V85" s="4">
        <v>1.5943442677490185</v>
      </c>
      <c r="W85" s="4">
        <v>1.5626549531098417</v>
      </c>
      <c r="Y85" s="561">
        <f t="shared" si="26"/>
        <v>153.47999999999999</v>
      </c>
      <c r="Z85" s="4">
        <f ca="1">IFERROR(VALUE(_xll.BDH(Z$4,"PX_LAST",$Q85,$Q85)),Z86)</f>
        <v>0</v>
      </c>
      <c r="AA85" s="4">
        <f ca="1">IFERROR(VALUE(_xll.BDH(AA$4,"PX_LAST",$Q85,$Q85)),AA86)</f>
        <v>0</v>
      </c>
      <c r="AB85" s="4">
        <f ca="1">IFERROR(VALUE(_xll.BDH(AB$4,"PX_LAST",$Q85,$Q85)),AB86)</f>
        <v>0</v>
      </c>
      <c r="AC85" s="4">
        <f ca="1">IFERROR(VALUE(_xll.BDH(AC$4,"PX_LAST",$Q85,$Q85)),AC86)</f>
        <v>0</v>
      </c>
      <c r="AD85" s="4">
        <f ca="1">IFERROR(VALUE(_xll.BDH(AD$4,"PX_LAST",$Q85,$Q85)),AD86)</f>
        <v>0</v>
      </c>
      <c r="AF85" s="4">
        <f t="shared" si="27"/>
        <v>1.2378417614323736</v>
      </c>
      <c r="AG85" s="4" t="e">
        <f t="shared" ca="1" si="28"/>
        <v>#DIV/0!</v>
      </c>
      <c r="AH85" s="4" t="e">
        <f t="shared" ca="1" si="29"/>
        <v>#DIV/0!</v>
      </c>
      <c r="AI85" s="4" t="e">
        <f t="shared" ca="1" si="30"/>
        <v>#DIV/0!</v>
      </c>
      <c r="AJ85" s="4" t="e">
        <f t="shared" ca="1" si="31"/>
        <v>#DIV/0!</v>
      </c>
      <c r="AK85" s="4" t="e">
        <f t="shared" ca="1" si="32"/>
        <v>#DIV/0!</v>
      </c>
      <c r="AM85" s="563">
        <f t="shared" ca="1" si="33"/>
        <v>45864</v>
      </c>
      <c r="AN85" s="564">
        <v>141.49</v>
      </c>
      <c r="AO85" s="564">
        <v>874490</v>
      </c>
      <c r="AP85" s="564">
        <v>53481.521000000001</v>
      </c>
      <c r="AQ85" s="564">
        <v>7567100.4062900003</v>
      </c>
      <c r="AR85" s="564">
        <v>1.972</v>
      </c>
    </row>
    <row r="86" spans="2:44">
      <c r="B86" s="565">
        <f t="shared" ca="1" si="34"/>
        <v>45378</v>
      </c>
      <c r="C86" s="561">
        <f ca="1">(IFERROR(IFERROR(VALUE(_xll.BDH(C$4,"CURRENT_EV_TO_T12M_EBITDA",$B86,$B86)),VALUE(_xll.BDH(C$4,"CURRENT_EV_TO_T12M_EBITDA",$B86+1,$B86+1))),C87))</f>
        <v>0</v>
      </c>
      <c r="D86" s="561">
        <f ca="1">(IFERROR(IFERROR(VALUE(_xll.BDH(D$4,"CURRENT_EV_TO_T12M_EBITDA",$B86,$B86)),VALUE(_xll.BDH(D$4,"CURRENT_EV_TO_T12M_EBITDA",$B86+1,$B86+1))),D87))</f>
        <v>0</v>
      </c>
      <c r="E86" s="561">
        <f ca="1">(IFERROR(IFERROR(VALUE(_xll.BDH(E$4,"CURRENT_EV_TO_T12M_EBITDA",$B86,$B86)),VALUE(_xll.BDH(E$4,"CURRENT_EV_TO_T12M_EBITDA",$B86+1,$B86+1))),E87))</f>
        <v>0</v>
      </c>
      <c r="F86" s="561">
        <f ca="1">(IFERROR(IFERROR(VALUE(_xll.BDH(F$4,"CURRENT_EV_TO_T12M_EBITDA",$B86,$B86)),VALUE(_xll.BDH(F$4,"CURRENT_EV_TO_T12M_EBITDA",$B86+1,$B86+1))),F87))</f>
        <v>0</v>
      </c>
      <c r="G86" s="561">
        <f ca="1">(IFERROR(IFERROR(VALUE(_xll.BDH(G$4,"CURRENT_EV_TO_T12M_EBITDA",$B86,$B86)),VALUE(_xll.BDH(G$4,"CURRENT_EV_TO_T12M_EBITDA",$B86+1,$B86+1))),G87))</f>
        <v>0</v>
      </c>
      <c r="H86" s="561">
        <f ca="1">(IFERROR(IFERROR(VALUE(_xll.BDH(H$4,"CURRENT_EV_TO_T12M_EBITDA",$B86,$B86)),VALUE(_xll.BDH(H$4,"CURRENT_EV_TO_T12M_EBITDA",$B86+1,$B86+1))),H87))</f>
        <v>0</v>
      </c>
      <c r="I86" s="565">
        <f t="shared" ca="1" si="24"/>
        <v>45378</v>
      </c>
      <c r="J86" s="561">
        <f ca="1">(IFERROR(IFERROR(VALUE(_xll.BDH(J$4,"PE_RATIO",$B86,$B86)),VALUE(_xll.BDH(J$4,"PE_RATIO",$B86+1,$B86+1))),J87))</f>
        <v>0</v>
      </c>
      <c r="K86" s="561">
        <f ca="1">(IFERROR(IFERROR(VALUE(_xll.BDH(K$4,"PE_RATIO",$B86,$B86)),VALUE(_xll.BDH(K$4,"PE_RATIO",$B86+1,$B86+1))),K87))</f>
        <v>0</v>
      </c>
      <c r="L86" s="561">
        <f ca="1">(IFERROR(IFERROR(VALUE(_xll.BDH(L$4,"PE_RATIO",$B86,$B86)),VALUE(_xll.BDH(L$4,"PE_RATIO",$B86+1,$B86+1))),L87))</f>
        <v>0</v>
      </c>
      <c r="M86" s="561">
        <f ca="1">(IFERROR(IFERROR(VALUE(_xll.BDH(M$4,"PE_RATIO",$B86,$B86)),VALUE(_xll.BDH(M$4,"PE_RATIO",$B86+1,$B86+1))),M87))</f>
        <v>0</v>
      </c>
      <c r="N86" s="561">
        <f ca="1">(IFERROR(IFERROR(VALUE(_xll.BDH(N$4,"PE_RATIO",$B86,$B86)),VALUE(_xll.BDH(N$4,"PE_RATIO",$B86+1,$B86+1))),N87))</f>
        <v>0</v>
      </c>
      <c r="O86" s="561">
        <f ca="1">(IFERROR(IFERROR(VALUE(_xll.BDH(O$4,"PE_RATIO",$B86,$B86)),VALUE(_xll.BDH(O$4,"PE_RATIO",$B86+1,$B86+1))),O87))</f>
        <v>0</v>
      </c>
      <c r="P86" s="561"/>
      <c r="Q86" s="565">
        <f t="shared" ca="1" si="25"/>
        <v>45378</v>
      </c>
      <c r="R86" s="4">
        <v>148.31</v>
      </c>
      <c r="S86" s="4">
        <v>17546.099999999999</v>
      </c>
      <c r="T86" s="4">
        <v>1132.05</v>
      </c>
      <c r="U86" s="4">
        <v>1.1961448503911607</v>
      </c>
      <c r="V86" s="4">
        <v>1.5566438219442411</v>
      </c>
      <c r="W86" s="4">
        <v>1.5253449390966907</v>
      </c>
      <c r="Y86" s="561">
        <f t="shared" si="26"/>
        <v>148.31</v>
      </c>
      <c r="Z86" s="4">
        <f ca="1">IFERROR(VALUE(_xll.BDH(Z$4,"PX_LAST",$Q86,$Q86)),Z87)</f>
        <v>0</v>
      </c>
      <c r="AA86" s="4">
        <f ca="1">IFERROR(VALUE(_xll.BDH(AA$4,"PX_LAST",$Q86,$Q86)),AA87)</f>
        <v>0</v>
      </c>
      <c r="AB86" s="4">
        <f ca="1">IFERROR(VALUE(_xll.BDH(AB$4,"PX_LAST",$Q86,$Q86)),AB87)</f>
        <v>0</v>
      </c>
      <c r="AC86" s="4">
        <f ca="1">IFERROR(VALUE(_xll.BDH(AC$4,"PX_LAST",$Q86,$Q86)),AC87)</f>
        <v>0</v>
      </c>
      <c r="AD86" s="4">
        <f ca="1">IFERROR(VALUE(_xll.BDH(AD$4,"PX_LAST",$Q86,$Q86)),AD87)</f>
        <v>0</v>
      </c>
      <c r="AF86" s="4">
        <f t="shared" si="27"/>
        <v>1.1961448503911607</v>
      </c>
      <c r="AG86" s="4" t="e">
        <f t="shared" ca="1" si="28"/>
        <v>#DIV/0!</v>
      </c>
      <c r="AH86" s="4" t="e">
        <f t="shared" ca="1" si="29"/>
        <v>#DIV/0!</v>
      </c>
      <c r="AI86" s="4" t="e">
        <f t="shared" ca="1" si="30"/>
        <v>#DIV/0!</v>
      </c>
      <c r="AJ86" s="4" t="e">
        <f t="shared" ca="1" si="31"/>
        <v>#DIV/0!</v>
      </c>
      <c r="AK86" s="4" t="e">
        <f t="shared" ca="1" si="32"/>
        <v>#DIV/0!</v>
      </c>
      <c r="AM86" s="563">
        <f t="shared" ca="1" si="33"/>
        <v>45863</v>
      </c>
      <c r="AN86" s="564">
        <v>141.78</v>
      </c>
      <c r="AO86" s="564">
        <v>636139</v>
      </c>
      <c r="AP86" s="564">
        <v>53481.521000000001</v>
      </c>
      <c r="AQ86" s="564">
        <v>7582610.0473800004</v>
      </c>
      <c r="AR86" s="564">
        <v>1.976</v>
      </c>
    </row>
    <row r="87" spans="2:44">
      <c r="B87" s="565">
        <f t="shared" ca="1" si="34"/>
        <v>45371</v>
      </c>
      <c r="C87" s="561">
        <f ca="1">(IFERROR(IFERROR(VALUE(_xll.BDH(C$4,"CURRENT_EV_TO_T12M_EBITDA",$B87,$B87)),VALUE(_xll.BDH(C$4,"CURRENT_EV_TO_T12M_EBITDA",$B87+1,$B87+1))),C88))</f>
        <v>0</v>
      </c>
      <c r="D87" s="561">
        <f ca="1">(IFERROR(IFERROR(VALUE(_xll.BDH(D$4,"CURRENT_EV_TO_T12M_EBITDA",$B87,$B87)),VALUE(_xll.BDH(D$4,"CURRENT_EV_TO_T12M_EBITDA",$B87+1,$B87+1))),D88))</f>
        <v>0</v>
      </c>
      <c r="E87" s="561">
        <f ca="1">(IFERROR(IFERROR(VALUE(_xll.BDH(E$4,"CURRENT_EV_TO_T12M_EBITDA",$B87,$B87)),VALUE(_xll.BDH(E$4,"CURRENT_EV_TO_T12M_EBITDA",$B87+1,$B87+1))),E88))</f>
        <v>0</v>
      </c>
      <c r="F87" s="561">
        <f ca="1">(IFERROR(IFERROR(VALUE(_xll.BDH(F$4,"CURRENT_EV_TO_T12M_EBITDA",$B87,$B87)),VALUE(_xll.BDH(F$4,"CURRENT_EV_TO_T12M_EBITDA",$B87+1,$B87+1))),F88))</f>
        <v>0</v>
      </c>
      <c r="G87" s="561">
        <f ca="1">(IFERROR(IFERROR(VALUE(_xll.BDH(G$4,"CURRENT_EV_TO_T12M_EBITDA",$B87,$B87)),VALUE(_xll.BDH(G$4,"CURRENT_EV_TO_T12M_EBITDA",$B87+1,$B87+1))),G88))</f>
        <v>0</v>
      </c>
      <c r="H87" s="561">
        <f ca="1">(IFERROR(IFERROR(VALUE(_xll.BDH(H$4,"CURRENT_EV_TO_T12M_EBITDA",$B87,$B87)),VALUE(_xll.BDH(H$4,"CURRENT_EV_TO_T12M_EBITDA",$B87+1,$B87+1))),H88))</f>
        <v>0</v>
      </c>
      <c r="I87" s="565">
        <f t="shared" ca="1" si="24"/>
        <v>45371</v>
      </c>
      <c r="J87" s="561">
        <f ca="1">(IFERROR(IFERROR(VALUE(_xll.BDH(J$4,"PE_RATIO",$B87,$B87)),VALUE(_xll.BDH(J$4,"PE_RATIO",$B87+1,$B87+1))),J88))</f>
        <v>0</v>
      </c>
      <c r="K87" s="561">
        <f ca="1">(IFERROR(IFERROR(VALUE(_xll.BDH(K$4,"PE_RATIO",$B87,$B87)),VALUE(_xll.BDH(K$4,"PE_RATIO",$B87+1,$B87+1))),K88))</f>
        <v>0</v>
      </c>
      <c r="L87" s="561">
        <f ca="1">(IFERROR(IFERROR(VALUE(_xll.BDH(L$4,"PE_RATIO",$B87,$B87)),VALUE(_xll.BDH(L$4,"PE_RATIO",$B87+1,$B87+1))),L88))</f>
        <v>0</v>
      </c>
      <c r="M87" s="561">
        <f ca="1">(IFERROR(IFERROR(VALUE(_xll.BDH(M$4,"PE_RATIO",$B87,$B87)),VALUE(_xll.BDH(M$4,"PE_RATIO",$B87+1,$B87+1))),M88))</f>
        <v>0</v>
      </c>
      <c r="N87" s="561">
        <f ca="1">(IFERROR(IFERROR(VALUE(_xll.BDH(N$4,"PE_RATIO",$B87,$B87)),VALUE(_xll.BDH(N$4,"PE_RATIO",$B87+1,$B87+1))),N88))</f>
        <v>0</v>
      </c>
      <c r="O87" s="561">
        <f ca="1">(IFERROR(IFERROR(VALUE(_xll.BDH(O$4,"PE_RATIO",$B87,$B87)),VALUE(_xll.BDH(O$4,"PE_RATIO",$B87+1,$B87+1))),O88))</f>
        <v>0</v>
      </c>
      <c r="P87" s="561"/>
      <c r="Q87" s="565">
        <f t="shared" ca="1" si="25"/>
        <v>45371</v>
      </c>
      <c r="R87" s="4">
        <v>142.46</v>
      </c>
      <c r="S87" s="4">
        <v>17600.419999999998</v>
      </c>
      <c r="T87" s="4">
        <v>1112.73</v>
      </c>
      <c r="U87" s="4">
        <v>1.1489636260988791</v>
      </c>
      <c r="V87" s="4">
        <v>1.5614629494089203</v>
      </c>
      <c r="W87" s="4">
        <v>1.4993128166433114</v>
      </c>
      <c r="Y87" s="561">
        <f t="shared" si="26"/>
        <v>142.46</v>
      </c>
      <c r="Z87" s="4">
        <f ca="1">IFERROR(VALUE(_xll.BDH(Z$4,"PX_LAST",$Q87,$Q87)),Z88)</f>
        <v>0</v>
      </c>
      <c r="AA87" s="4">
        <f ca="1">IFERROR(VALUE(_xll.BDH(AA$4,"PX_LAST",$Q87,$Q87)),AA88)</f>
        <v>0</v>
      </c>
      <c r="AB87" s="4">
        <f ca="1">IFERROR(VALUE(_xll.BDH(AB$4,"PX_LAST",$Q87,$Q87)),AB88)</f>
        <v>0</v>
      </c>
      <c r="AC87" s="4">
        <f ca="1">IFERROR(VALUE(_xll.BDH(AC$4,"PX_LAST",$Q87,$Q87)),AC88)</f>
        <v>0</v>
      </c>
      <c r="AD87" s="4">
        <f ca="1">IFERROR(VALUE(_xll.BDH(AD$4,"PX_LAST",$Q87,$Q87)),AD88)</f>
        <v>0</v>
      </c>
      <c r="AF87" s="4">
        <f t="shared" si="27"/>
        <v>1.1489636260988791</v>
      </c>
      <c r="AG87" s="4" t="e">
        <f t="shared" ca="1" si="28"/>
        <v>#DIV/0!</v>
      </c>
      <c r="AH87" s="4" t="e">
        <f t="shared" ca="1" si="29"/>
        <v>#DIV/0!</v>
      </c>
      <c r="AI87" s="4" t="e">
        <f t="shared" ca="1" si="30"/>
        <v>#DIV/0!</v>
      </c>
      <c r="AJ87" s="4" t="e">
        <f t="shared" ca="1" si="31"/>
        <v>#DIV/0!</v>
      </c>
      <c r="AK87" s="4" t="e">
        <f t="shared" ca="1" si="32"/>
        <v>#DIV/0!</v>
      </c>
      <c r="AM87" s="563">
        <f t="shared" ca="1" si="33"/>
        <v>45862</v>
      </c>
      <c r="AN87" s="564">
        <v>141.78</v>
      </c>
      <c r="AO87" s="564">
        <v>636139</v>
      </c>
      <c r="AP87" s="564">
        <v>53481.521000000001</v>
      </c>
      <c r="AQ87" s="564">
        <v>7582610.0473800004</v>
      </c>
      <c r="AR87" s="564">
        <v>1.976</v>
      </c>
    </row>
    <row r="88" spans="2:44">
      <c r="B88" s="565">
        <f t="shared" ca="1" si="34"/>
        <v>45364</v>
      </c>
      <c r="C88" s="561">
        <f ca="1">(IFERROR(IFERROR(VALUE(_xll.BDH(C$4,"CURRENT_EV_TO_T12M_EBITDA",$B88,$B88)),VALUE(_xll.BDH(C$4,"CURRENT_EV_TO_T12M_EBITDA",$B88+1,$B88+1))),C89))</f>
        <v>0</v>
      </c>
      <c r="D88" s="561">
        <f ca="1">(IFERROR(IFERROR(VALUE(_xll.BDH(D$4,"CURRENT_EV_TO_T12M_EBITDA",$B88,$B88)),VALUE(_xll.BDH(D$4,"CURRENT_EV_TO_T12M_EBITDA",$B88+1,$B88+1))),D89))</f>
        <v>0</v>
      </c>
      <c r="E88" s="561">
        <f ca="1">(IFERROR(IFERROR(VALUE(_xll.BDH(E$4,"CURRENT_EV_TO_T12M_EBITDA",$B88,$B88)),VALUE(_xll.BDH(E$4,"CURRENT_EV_TO_T12M_EBITDA",$B88+1,$B88+1))),E89))</f>
        <v>0</v>
      </c>
      <c r="F88" s="561">
        <f ca="1">(IFERROR(IFERROR(VALUE(_xll.BDH(F$4,"CURRENT_EV_TO_T12M_EBITDA",$B88,$B88)),VALUE(_xll.BDH(F$4,"CURRENT_EV_TO_T12M_EBITDA",$B88+1,$B88+1))),F89))</f>
        <v>0</v>
      </c>
      <c r="G88" s="561">
        <f ca="1">(IFERROR(IFERROR(VALUE(_xll.BDH(G$4,"CURRENT_EV_TO_T12M_EBITDA",$B88,$B88)),VALUE(_xll.BDH(G$4,"CURRENT_EV_TO_T12M_EBITDA",$B88+1,$B88+1))),G89))</f>
        <v>0</v>
      </c>
      <c r="H88" s="561">
        <f ca="1">(IFERROR(IFERROR(VALUE(_xll.BDH(H$4,"CURRENT_EV_TO_T12M_EBITDA",$B88,$B88)),VALUE(_xll.BDH(H$4,"CURRENT_EV_TO_T12M_EBITDA",$B88+1,$B88+1))),H89))</f>
        <v>0</v>
      </c>
      <c r="I88" s="565">
        <f t="shared" ca="1" si="24"/>
        <v>45364</v>
      </c>
      <c r="J88" s="561">
        <f ca="1">(IFERROR(IFERROR(VALUE(_xll.BDH(J$4,"PE_RATIO",$B88,$B88)),VALUE(_xll.BDH(J$4,"PE_RATIO",$B88+1,$B88+1))),J89))</f>
        <v>0</v>
      </c>
      <c r="K88" s="561">
        <f ca="1">(IFERROR(IFERROR(VALUE(_xll.BDH(K$4,"PE_RATIO",$B88,$B88)),VALUE(_xll.BDH(K$4,"PE_RATIO",$B88+1,$B88+1))),K89))</f>
        <v>0</v>
      </c>
      <c r="L88" s="561">
        <f ca="1">(IFERROR(IFERROR(VALUE(_xll.BDH(L$4,"PE_RATIO",$B88,$B88)),VALUE(_xll.BDH(L$4,"PE_RATIO",$B88+1,$B88+1))),L89))</f>
        <v>0</v>
      </c>
      <c r="M88" s="561">
        <f ca="1">(IFERROR(IFERROR(VALUE(_xll.BDH(M$4,"PE_RATIO",$B88,$B88)),VALUE(_xll.BDH(M$4,"PE_RATIO",$B88+1,$B88+1))),M89))</f>
        <v>0</v>
      </c>
      <c r="N88" s="561">
        <f ca="1">(IFERROR(IFERROR(VALUE(_xll.BDH(N$4,"PE_RATIO",$B88,$B88)),VALUE(_xll.BDH(N$4,"PE_RATIO",$B88+1,$B88+1))),N89))</f>
        <v>0</v>
      </c>
      <c r="O88" s="561">
        <f ca="1">(IFERROR(IFERROR(VALUE(_xll.BDH(O$4,"PE_RATIO",$B88,$B88)),VALUE(_xll.BDH(O$4,"PE_RATIO",$B88+1,$B88+1))),O89))</f>
        <v>0</v>
      </c>
      <c r="P88" s="561"/>
      <c r="Q88" s="565">
        <f t="shared" ca="1" si="25"/>
        <v>45364</v>
      </c>
      <c r="R88" s="4">
        <v>141.30000000000001</v>
      </c>
      <c r="S88" s="4">
        <v>17572.73</v>
      </c>
      <c r="T88" s="4">
        <v>1117.06</v>
      </c>
      <c r="U88" s="4">
        <v>1.1396080329058798</v>
      </c>
      <c r="V88" s="4">
        <v>1.5590063654712001</v>
      </c>
      <c r="W88" s="4">
        <v>1.505147138083432</v>
      </c>
      <c r="Y88" s="561">
        <f t="shared" si="26"/>
        <v>141.30000000000001</v>
      </c>
      <c r="Z88" s="4">
        <f ca="1">IFERROR(VALUE(_xll.BDH(Z$4,"PX_LAST",$Q88,$Q88)),Z89)</f>
        <v>0</v>
      </c>
      <c r="AA88" s="4">
        <f ca="1">IFERROR(VALUE(_xll.BDH(AA$4,"PX_LAST",$Q88,$Q88)),AA89)</f>
        <v>0</v>
      </c>
      <c r="AB88" s="4">
        <f ca="1">IFERROR(VALUE(_xll.BDH(AB$4,"PX_LAST",$Q88,$Q88)),AB89)</f>
        <v>0</v>
      </c>
      <c r="AC88" s="4">
        <f ca="1">IFERROR(VALUE(_xll.BDH(AC$4,"PX_LAST",$Q88,$Q88)),AC89)</f>
        <v>0</v>
      </c>
      <c r="AD88" s="4">
        <f ca="1">IFERROR(VALUE(_xll.BDH(AD$4,"PX_LAST",$Q88,$Q88)),AD89)</f>
        <v>0</v>
      </c>
      <c r="AF88" s="4">
        <f t="shared" si="27"/>
        <v>1.1396080329058798</v>
      </c>
      <c r="AG88" s="4" t="e">
        <f t="shared" ca="1" si="28"/>
        <v>#DIV/0!</v>
      </c>
      <c r="AH88" s="4" t="e">
        <f t="shared" ca="1" si="29"/>
        <v>#DIV/0!</v>
      </c>
      <c r="AI88" s="4" t="e">
        <f t="shared" ca="1" si="30"/>
        <v>#DIV/0!</v>
      </c>
      <c r="AJ88" s="4" t="e">
        <f t="shared" ca="1" si="31"/>
        <v>#DIV/0!</v>
      </c>
      <c r="AK88" s="4" t="e">
        <f t="shared" ca="1" si="32"/>
        <v>#DIV/0!</v>
      </c>
      <c r="AM88" s="563">
        <f t="shared" ca="1" si="33"/>
        <v>45861</v>
      </c>
      <c r="AN88" s="564">
        <v>140.93</v>
      </c>
      <c r="AO88" s="564">
        <v>705669</v>
      </c>
      <c r="AP88" s="564">
        <v>53481.521000000001</v>
      </c>
      <c r="AQ88" s="564">
        <v>7537150.7545300005</v>
      </c>
      <c r="AR88" s="564">
        <v>1.9641999999999999</v>
      </c>
    </row>
    <row r="89" spans="2:44">
      <c r="B89" s="565">
        <f t="shared" ca="1" si="34"/>
        <v>45357</v>
      </c>
      <c r="C89" s="561">
        <f ca="1">(IFERROR(IFERROR(VALUE(_xll.BDH(C$4,"CURRENT_EV_TO_T12M_EBITDA",$B89,$B89)),VALUE(_xll.BDH(C$4,"CURRENT_EV_TO_T12M_EBITDA",$B89+1,$B89+1))),C90))</f>
        <v>0</v>
      </c>
      <c r="D89" s="561">
        <f ca="1">(IFERROR(IFERROR(VALUE(_xll.BDH(D$4,"CURRENT_EV_TO_T12M_EBITDA",$B89,$B89)),VALUE(_xll.BDH(D$4,"CURRENT_EV_TO_T12M_EBITDA",$B89+1,$B89+1))),D90))</f>
        <v>0</v>
      </c>
      <c r="E89" s="561">
        <f ca="1">(IFERROR(IFERROR(VALUE(_xll.BDH(E$4,"CURRENT_EV_TO_T12M_EBITDA",$B89,$B89)),VALUE(_xll.BDH(E$4,"CURRENT_EV_TO_T12M_EBITDA",$B89+1,$B89+1))),E90))</f>
        <v>0</v>
      </c>
      <c r="F89" s="561">
        <f ca="1">(IFERROR(IFERROR(VALUE(_xll.BDH(F$4,"CURRENT_EV_TO_T12M_EBITDA",$B89,$B89)),VALUE(_xll.BDH(F$4,"CURRENT_EV_TO_T12M_EBITDA",$B89+1,$B89+1))),F90))</f>
        <v>0</v>
      </c>
      <c r="G89" s="561">
        <f ca="1">(IFERROR(IFERROR(VALUE(_xll.BDH(G$4,"CURRENT_EV_TO_T12M_EBITDA",$B89,$B89)),VALUE(_xll.BDH(G$4,"CURRENT_EV_TO_T12M_EBITDA",$B89+1,$B89+1))),G90))</f>
        <v>0</v>
      </c>
      <c r="H89" s="561">
        <f ca="1">(IFERROR(IFERROR(VALUE(_xll.BDH(H$4,"CURRENT_EV_TO_T12M_EBITDA",$B89,$B89)),VALUE(_xll.BDH(H$4,"CURRENT_EV_TO_T12M_EBITDA",$B89+1,$B89+1))),H90))</f>
        <v>0</v>
      </c>
      <c r="I89" s="565">
        <f t="shared" ca="1" si="24"/>
        <v>45357</v>
      </c>
      <c r="J89" s="561">
        <f ca="1">(IFERROR(IFERROR(VALUE(_xll.BDH(J$4,"PE_RATIO",$B89,$B89)),VALUE(_xll.BDH(J$4,"PE_RATIO",$B89+1,$B89+1))),J90))</f>
        <v>0</v>
      </c>
      <c r="K89" s="561">
        <f ca="1">(IFERROR(IFERROR(VALUE(_xll.BDH(K$4,"PE_RATIO",$B89,$B89)),VALUE(_xll.BDH(K$4,"PE_RATIO",$B89+1,$B89+1))),K90))</f>
        <v>0</v>
      </c>
      <c r="L89" s="561">
        <f ca="1">(IFERROR(IFERROR(VALUE(_xll.BDH(L$4,"PE_RATIO",$B89,$B89)),VALUE(_xll.BDH(L$4,"PE_RATIO",$B89+1,$B89+1))),L90))</f>
        <v>0</v>
      </c>
      <c r="M89" s="561">
        <f ca="1">(IFERROR(IFERROR(VALUE(_xll.BDH(M$4,"PE_RATIO",$B89,$B89)),VALUE(_xll.BDH(M$4,"PE_RATIO",$B89+1,$B89+1))),M90))</f>
        <v>0</v>
      </c>
      <c r="N89" s="561">
        <f ca="1">(IFERROR(IFERROR(VALUE(_xll.BDH(N$4,"PE_RATIO",$B89,$B89)),VALUE(_xll.BDH(N$4,"PE_RATIO",$B89+1,$B89+1))),N90))</f>
        <v>0</v>
      </c>
      <c r="O89" s="561">
        <f ca="1">(IFERROR(IFERROR(VALUE(_xll.BDH(O$4,"PE_RATIO",$B89,$B89)),VALUE(_xll.BDH(O$4,"PE_RATIO",$B89+1,$B89+1))),O90))</f>
        <v>0</v>
      </c>
      <c r="P89" s="561"/>
      <c r="Q89" s="565">
        <f t="shared" ca="1" si="25"/>
        <v>45357</v>
      </c>
      <c r="R89" s="4">
        <v>145.08000000000001</v>
      </c>
      <c r="S89" s="4">
        <v>17476.71</v>
      </c>
      <c r="T89" s="4">
        <v>1097.97</v>
      </c>
      <c r="U89" s="4">
        <v>1.1700943624485847</v>
      </c>
      <c r="V89" s="4">
        <v>1.5504877237341139</v>
      </c>
      <c r="W89" s="4">
        <v>1.479424921849736</v>
      </c>
      <c r="Y89" s="561">
        <f t="shared" si="26"/>
        <v>145.08000000000001</v>
      </c>
      <c r="Z89" s="4">
        <f ca="1">IFERROR(VALUE(_xll.BDH(Z$4,"PX_LAST",$Q89,$Q89)),Z90)</f>
        <v>0</v>
      </c>
      <c r="AA89" s="4">
        <f ca="1">IFERROR(VALUE(_xll.BDH(AA$4,"PX_LAST",$Q89,$Q89)),AA90)</f>
        <v>0</v>
      </c>
      <c r="AB89" s="4">
        <f ca="1">IFERROR(VALUE(_xll.BDH(AB$4,"PX_LAST",$Q89,$Q89)),AB90)</f>
        <v>0</v>
      </c>
      <c r="AC89" s="4">
        <f ca="1">IFERROR(VALUE(_xll.BDH(AC$4,"PX_LAST",$Q89,$Q89)),AC90)</f>
        <v>0</v>
      </c>
      <c r="AD89" s="4">
        <f ca="1">IFERROR(VALUE(_xll.BDH(AD$4,"PX_LAST",$Q89,$Q89)),AD90)</f>
        <v>0</v>
      </c>
      <c r="AF89" s="4">
        <f t="shared" si="27"/>
        <v>1.1700943624485847</v>
      </c>
      <c r="AG89" s="4" t="e">
        <f t="shared" ca="1" si="28"/>
        <v>#DIV/0!</v>
      </c>
      <c r="AH89" s="4" t="e">
        <f t="shared" ca="1" si="29"/>
        <v>#DIV/0!</v>
      </c>
      <c r="AI89" s="4" t="e">
        <f t="shared" ca="1" si="30"/>
        <v>#DIV/0!</v>
      </c>
      <c r="AJ89" s="4" t="e">
        <f t="shared" ca="1" si="31"/>
        <v>#DIV/0!</v>
      </c>
      <c r="AK89" s="4" t="e">
        <f t="shared" ca="1" si="32"/>
        <v>#DIV/0!</v>
      </c>
      <c r="AM89" s="563">
        <f t="shared" ca="1" si="33"/>
        <v>45860</v>
      </c>
      <c r="AN89" s="564">
        <v>144.01</v>
      </c>
      <c r="AO89" s="564">
        <v>836531</v>
      </c>
      <c r="AP89" s="564">
        <v>53481.521000000001</v>
      </c>
      <c r="AQ89" s="564">
        <v>7701873.8392099999</v>
      </c>
      <c r="AR89" s="564">
        <v>2.0070999999999999</v>
      </c>
    </row>
    <row r="90" spans="2:44">
      <c r="B90" s="565">
        <f t="shared" ca="1" si="34"/>
        <v>45350</v>
      </c>
      <c r="C90" s="561">
        <f ca="1">(IFERROR(IFERROR(VALUE(_xll.BDH(C$4,"CURRENT_EV_TO_T12M_EBITDA",$B90,$B90)),VALUE(_xll.BDH(C$4,"CURRENT_EV_TO_T12M_EBITDA",$B90+1,$B90+1))),C91))</f>
        <v>0</v>
      </c>
      <c r="D90" s="561">
        <f ca="1">(IFERROR(IFERROR(VALUE(_xll.BDH(D$4,"CURRENT_EV_TO_T12M_EBITDA",$B90,$B90)),VALUE(_xll.BDH(D$4,"CURRENT_EV_TO_T12M_EBITDA",$B90+1,$B90+1))),D91))</f>
        <v>0</v>
      </c>
      <c r="E90" s="561">
        <f ca="1">(IFERROR(IFERROR(VALUE(_xll.BDH(E$4,"CURRENT_EV_TO_T12M_EBITDA",$B90,$B90)),VALUE(_xll.BDH(E$4,"CURRENT_EV_TO_T12M_EBITDA",$B90+1,$B90+1))),E91))</f>
        <v>0</v>
      </c>
      <c r="F90" s="561">
        <f ca="1">(IFERROR(IFERROR(VALUE(_xll.BDH(F$4,"CURRENT_EV_TO_T12M_EBITDA",$B90,$B90)),VALUE(_xll.BDH(F$4,"CURRENT_EV_TO_T12M_EBITDA",$B90+1,$B90+1))),F91))</f>
        <v>0</v>
      </c>
      <c r="G90" s="561">
        <f ca="1">(IFERROR(IFERROR(VALUE(_xll.BDH(G$4,"CURRENT_EV_TO_T12M_EBITDA",$B90,$B90)),VALUE(_xll.BDH(G$4,"CURRENT_EV_TO_T12M_EBITDA",$B90+1,$B90+1))),G91))</f>
        <v>0</v>
      </c>
      <c r="H90" s="561">
        <f ca="1">(IFERROR(IFERROR(VALUE(_xll.BDH(H$4,"CURRENT_EV_TO_T12M_EBITDA",$B90,$B90)),VALUE(_xll.BDH(H$4,"CURRENT_EV_TO_T12M_EBITDA",$B90+1,$B90+1))),H91))</f>
        <v>0</v>
      </c>
      <c r="I90" s="565">
        <f t="shared" ca="1" si="24"/>
        <v>45350</v>
      </c>
      <c r="J90" s="561">
        <f ca="1">(IFERROR(IFERROR(VALUE(_xll.BDH(J$4,"PE_RATIO",$B90,$B90)),VALUE(_xll.BDH(J$4,"PE_RATIO",$B90+1,$B90+1))),J91))</f>
        <v>0</v>
      </c>
      <c r="K90" s="561">
        <f ca="1">(IFERROR(IFERROR(VALUE(_xll.BDH(K$4,"PE_RATIO",$B90,$B90)),VALUE(_xll.BDH(K$4,"PE_RATIO",$B90+1,$B90+1))),K91))</f>
        <v>0</v>
      </c>
      <c r="L90" s="561">
        <f ca="1">(IFERROR(IFERROR(VALUE(_xll.BDH(L$4,"PE_RATIO",$B90,$B90)),VALUE(_xll.BDH(L$4,"PE_RATIO",$B90+1,$B90+1))),L91))</f>
        <v>0</v>
      </c>
      <c r="M90" s="561">
        <f ca="1">(IFERROR(IFERROR(VALUE(_xll.BDH(M$4,"PE_RATIO",$B90,$B90)),VALUE(_xll.BDH(M$4,"PE_RATIO",$B90+1,$B90+1))),M91))</f>
        <v>0</v>
      </c>
      <c r="N90" s="561">
        <f ca="1">(IFERROR(IFERROR(VALUE(_xll.BDH(N$4,"PE_RATIO",$B90,$B90)),VALUE(_xll.BDH(N$4,"PE_RATIO",$B90+1,$B90+1))),N91))</f>
        <v>0</v>
      </c>
      <c r="O90" s="561">
        <f ca="1">(IFERROR(IFERROR(VALUE(_xll.BDH(O$4,"PE_RATIO",$B90,$B90)),VALUE(_xll.BDH(O$4,"PE_RATIO",$B90+1,$B90+1))),O91))</f>
        <v>0</v>
      </c>
      <c r="P90" s="561"/>
      <c r="Q90" s="565">
        <f t="shared" ca="1" si="25"/>
        <v>45350</v>
      </c>
      <c r="R90" s="4">
        <v>142.16999999999999</v>
      </c>
      <c r="S90" s="4">
        <v>17404.21</v>
      </c>
      <c r="T90" s="4">
        <v>1082.49</v>
      </c>
      <c r="U90" s="4">
        <v>1.146624727800629</v>
      </c>
      <c r="V90" s="4">
        <v>1.5440557145075076</v>
      </c>
      <c r="W90" s="4">
        <v>1.4585668858467178</v>
      </c>
      <c r="Y90" s="561">
        <f t="shared" si="26"/>
        <v>142.16999999999999</v>
      </c>
      <c r="Z90" s="4">
        <f ca="1">IFERROR(VALUE(_xll.BDH(Z$4,"PX_LAST",$Q90,$Q90)),Z91)</f>
        <v>0</v>
      </c>
      <c r="AA90" s="4">
        <f ca="1">IFERROR(VALUE(_xll.BDH(AA$4,"PX_LAST",$Q90,$Q90)),AA91)</f>
        <v>0</v>
      </c>
      <c r="AB90" s="4">
        <f ca="1">IFERROR(VALUE(_xll.BDH(AB$4,"PX_LAST",$Q90,$Q90)),AB91)</f>
        <v>0</v>
      </c>
      <c r="AC90" s="4">
        <f ca="1">IFERROR(VALUE(_xll.BDH(AC$4,"PX_LAST",$Q90,$Q90)),AC91)</f>
        <v>0</v>
      </c>
      <c r="AD90" s="4">
        <f ca="1">IFERROR(VALUE(_xll.BDH(AD$4,"PX_LAST",$Q90,$Q90)),AD91)</f>
        <v>0</v>
      </c>
      <c r="AF90" s="4">
        <f t="shared" si="27"/>
        <v>1.146624727800629</v>
      </c>
      <c r="AG90" s="4" t="e">
        <f t="shared" ca="1" si="28"/>
        <v>#DIV/0!</v>
      </c>
      <c r="AH90" s="4" t="e">
        <f t="shared" ca="1" si="29"/>
        <v>#DIV/0!</v>
      </c>
      <c r="AI90" s="4" t="e">
        <f t="shared" ca="1" si="30"/>
        <v>#DIV/0!</v>
      </c>
      <c r="AJ90" s="4" t="e">
        <f t="shared" ca="1" si="31"/>
        <v>#DIV/0!</v>
      </c>
      <c r="AK90" s="4" t="e">
        <f t="shared" ca="1" si="32"/>
        <v>#DIV/0!</v>
      </c>
      <c r="AM90" s="563">
        <f t="shared" ca="1" si="33"/>
        <v>45859</v>
      </c>
      <c r="AN90" s="564">
        <v>141.19</v>
      </c>
      <c r="AO90" s="564">
        <v>791098</v>
      </c>
      <c r="AP90" s="564">
        <v>53481.521000000001</v>
      </c>
      <c r="AQ90" s="564">
        <v>7551055.9499899996</v>
      </c>
      <c r="AR90" s="564">
        <v>1.9678</v>
      </c>
    </row>
    <row r="91" spans="2:44">
      <c r="B91" s="565">
        <f t="shared" ca="1" si="34"/>
        <v>45343</v>
      </c>
      <c r="C91" s="561">
        <f ca="1">(IFERROR(IFERROR(VALUE(_xll.BDH(C$4,"CURRENT_EV_TO_T12M_EBITDA",$B91,$B91)),VALUE(_xll.BDH(C$4,"CURRENT_EV_TO_T12M_EBITDA",$B91+1,$B91+1))),C92))</f>
        <v>0</v>
      </c>
      <c r="D91" s="561">
        <f ca="1">(IFERROR(IFERROR(VALUE(_xll.BDH(D$4,"CURRENT_EV_TO_T12M_EBITDA",$B91,$B91)),VALUE(_xll.BDH(D$4,"CURRENT_EV_TO_T12M_EBITDA",$B91+1,$B91+1))),D92))</f>
        <v>0</v>
      </c>
      <c r="E91" s="561">
        <f ca="1">(IFERROR(IFERROR(VALUE(_xll.BDH(E$4,"CURRENT_EV_TO_T12M_EBITDA",$B91,$B91)),VALUE(_xll.BDH(E$4,"CURRENT_EV_TO_T12M_EBITDA",$B91+1,$B91+1))),E92))</f>
        <v>0</v>
      </c>
      <c r="F91" s="561">
        <f ca="1">(IFERROR(IFERROR(VALUE(_xll.BDH(F$4,"CURRENT_EV_TO_T12M_EBITDA",$B91,$B91)),VALUE(_xll.BDH(F$4,"CURRENT_EV_TO_T12M_EBITDA",$B91+1,$B91+1))),F92))</f>
        <v>0</v>
      </c>
      <c r="G91" s="561">
        <f ca="1">(IFERROR(IFERROR(VALUE(_xll.BDH(G$4,"CURRENT_EV_TO_T12M_EBITDA",$B91,$B91)),VALUE(_xll.BDH(G$4,"CURRENT_EV_TO_T12M_EBITDA",$B91+1,$B91+1))),G92))</f>
        <v>0</v>
      </c>
      <c r="H91" s="561">
        <f ca="1">(IFERROR(IFERROR(VALUE(_xll.BDH(H$4,"CURRENT_EV_TO_T12M_EBITDA",$B91,$B91)),VALUE(_xll.BDH(H$4,"CURRENT_EV_TO_T12M_EBITDA",$B91+1,$B91+1))),H92))</f>
        <v>0</v>
      </c>
      <c r="I91" s="565">
        <f t="shared" ca="1" si="24"/>
        <v>45343</v>
      </c>
      <c r="J91" s="561">
        <f ca="1">(IFERROR(IFERROR(VALUE(_xll.BDH(J$4,"PE_RATIO",$B91,$B91)),VALUE(_xll.BDH(J$4,"PE_RATIO",$B91+1,$B91+1))),J92))</f>
        <v>0</v>
      </c>
      <c r="K91" s="561">
        <f ca="1">(IFERROR(IFERROR(VALUE(_xll.BDH(K$4,"PE_RATIO",$B91,$B91)),VALUE(_xll.BDH(K$4,"PE_RATIO",$B91+1,$B91+1))),K92))</f>
        <v>0</v>
      </c>
      <c r="L91" s="561">
        <f ca="1">(IFERROR(IFERROR(VALUE(_xll.BDH(L$4,"PE_RATIO",$B91,$B91)),VALUE(_xll.BDH(L$4,"PE_RATIO",$B91+1,$B91+1))),L92))</f>
        <v>0</v>
      </c>
      <c r="M91" s="561">
        <f ca="1">(IFERROR(IFERROR(VALUE(_xll.BDH(M$4,"PE_RATIO",$B91,$B91)),VALUE(_xll.BDH(M$4,"PE_RATIO",$B91+1,$B91+1))),M92))</f>
        <v>0</v>
      </c>
      <c r="N91" s="561">
        <f ca="1">(IFERROR(IFERROR(VALUE(_xll.BDH(N$4,"PE_RATIO",$B91,$B91)),VALUE(_xll.BDH(N$4,"PE_RATIO",$B91+1,$B91+1))),N92))</f>
        <v>0</v>
      </c>
      <c r="O91" s="561">
        <f ca="1">(IFERROR(IFERROR(VALUE(_xll.BDH(O$4,"PE_RATIO",$B91,$B91)),VALUE(_xll.BDH(O$4,"PE_RATIO",$B91+1,$B91+1))),O92))</f>
        <v>0</v>
      </c>
      <c r="P91" s="561"/>
      <c r="Q91" s="565">
        <f t="shared" ca="1" si="25"/>
        <v>45343</v>
      </c>
      <c r="R91" s="4">
        <v>138.9</v>
      </c>
      <c r="S91" s="4">
        <v>16830.71</v>
      </c>
      <c r="T91" s="4">
        <v>1059.3599999999999</v>
      </c>
      <c r="U91" s="4">
        <v>1.1202516331962256</v>
      </c>
      <c r="V91" s="4">
        <v>1.4931763035908354</v>
      </c>
      <c r="W91" s="4">
        <v>1.4274010994933706</v>
      </c>
      <c r="Y91" s="561">
        <f t="shared" si="26"/>
        <v>138.9</v>
      </c>
      <c r="Z91" s="4">
        <f ca="1">IFERROR(VALUE(_xll.BDH(Z$4,"PX_LAST",$Q91,$Q91)),Z92)</f>
        <v>0</v>
      </c>
      <c r="AA91" s="4">
        <f ca="1">IFERROR(VALUE(_xll.BDH(AA$4,"PX_LAST",$Q91,$Q91)),AA92)</f>
        <v>0</v>
      </c>
      <c r="AB91" s="4">
        <f ca="1">IFERROR(VALUE(_xll.BDH(AB$4,"PX_LAST",$Q91,$Q91)),AB92)</f>
        <v>0</v>
      </c>
      <c r="AC91" s="4">
        <f ca="1">IFERROR(VALUE(_xll.BDH(AC$4,"PX_LAST",$Q91,$Q91)),AC92)</f>
        <v>0</v>
      </c>
      <c r="AD91" s="4">
        <f ca="1">IFERROR(VALUE(_xll.BDH(AD$4,"PX_LAST",$Q91,$Q91)),AD92)</f>
        <v>0</v>
      </c>
      <c r="AF91" s="4">
        <f t="shared" si="27"/>
        <v>1.1202516331962256</v>
      </c>
      <c r="AG91" s="4" t="e">
        <f t="shared" ca="1" si="28"/>
        <v>#DIV/0!</v>
      </c>
      <c r="AH91" s="4" t="e">
        <f t="shared" ca="1" si="29"/>
        <v>#DIV/0!</v>
      </c>
      <c r="AI91" s="4" t="e">
        <f t="shared" ca="1" si="30"/>
        <v>#DIV/0!</v>
      </c>
      <c r="AJ91" s="4" t="e">
        <f t="shared" ca="1" si="31"/>
        <v>#DIV/0!</v>
      </c>
      <c r="AK91" s="4" t="e">
        <f t="shared" ca="1" si="32"/>
        <v>#DIV/0!</v>
      </c>
      <c r="AM91" s="563">
        <f t="shared" ca="1" si="33"/>
        <v>45858</v>
      </c>
      <c r="AN91" s="564">
        <v>141.19</v>
      </c>
      <c r="AO91" s="564">
        <v>791098</v>
      </c>
      <c r="AP91" s="564">
        <v>53481.521000000001</v>
      </c>
      <c r="AQ91" s="564">
        <v>7551055.9499899996</v>
      </c>
      <c r="AR91" s="564">
        <v>1.9678</v>
      </c>
    </row>
    <row r="92" spans="2:44">
      <c r="B92" s="565">
        <f t="shared" ca="1" si="34"/>
        <v>45336</v>
      </c>
      <c r="C92" s="561">
        <f ca="1">(IFERROR(IFERROR(VALUE(_xll.BDH(C$4,"CURRENT_EV_TO_T12M_EBITDA",$B92,$B92)),VALUE(_xll.BDH(C$4,"CURRENT_EV_TO_T12M_EBITDA",$B92+1,$B92+1))),C93))</f>
        <v>0</v>
      </c>
      <c r="D92" s="561">
        <f ca="1">(IFERROR(IFERROR(VALUE(_xll.BDH(D$4,"CURRENT_EV_TO_T12M_EBITDA",$B92,$B92)),VALUE(_xll.BDH(D$4,"CURRENT_EV_TO_T12M_EBITDA",$B92+1,$B92+1))),D93))</f>
        <v>0</v>
      </c>
      <c r="E92" s="561">
        <f ca="1">(IFERROR(IFERROR(VALUE(_xll.BDH(E$4,"CURRENT_EV_TO_T12M_EBITDA",$B92,$B92)),VALUE(_xll.BDH(E$4,"CURRENT_EV_TO_T12M_EBITDA",$B92+1,$B92+1))),E93))</f>
        <v>0</v>
      </c>
      <c r="F92" s="561">
        <f ca="1">(IFERROR(IFERROR(VALUE(_xll.BDH(F$4,"CURRENT_EV_TO_T12M_EBITDA",$B92,$B92)),VALUE(_xll.BDH(F$4,"CURRENT_EV_TO_T12M_EBITDA",$B92+1,$B92+1))),F93))</f>
        <v>0</v>
      </c>
      <c r="G92" s="561">
        <f ca="1">(IFERROR(IFERROR(VALUE(_xll.BDH(G$4,"CURRENT_EV_TO_T12M_EBITDA",$B92,$B92)),VALUE(_xll.BDH(G$4,"CURRENT_EV_TO_T12M_EBITDA",$B92+1,$B92+1))),G93))</f>
        <v>0</v>
      </c>
      <c r="H92" s="561">
        <f ca="1">(IFERROR(IFERROR(VALUE(_xll.BDH(H$4,"CURRENT_EV_TO_T12M_EBITDA",$B92,$B92)),VALUE(_xll.BDH(H$4,"CURRENT_EV_TO_T12M_EBITDA",$B92+1,$B92+1))),H93))</f>
        <v>0</v>
      </c>
      <c r="I92" s="565">
        <f t="shared" ca="1" si="24"/>
        <v>45336</v>
      </c>
      <c r="J92" s="561">
        <f ca="1">(IFERROR(IFERROR(VALUE(_xll.BDH(J$4,"PE_RATIO",$B92,$B92)),VALUE(_xll.BDH(J$4,"PE_RATIO",$B92+1,$B92+1))),J93))</f>
        <v>0</v>
      </c>
      <c r="K92" s="561">
        <f ca="1">(IFERROR(IFERROR(VALUE(_xll.BDH(K$4,"PE_RATIO",$B92,$B92)),VALUE(_xll.BDH(K$4,"PE_RATIO",$B92+1,$B92+1))),K93))</f>
        <v>0</v>
      </c>
      <c r="L92" s="561">
        <f ca="1">(IFERROR(IFERROR(VALUE(_xll.BDH(L$4,"PE_RATIO",$B92,$B92)),VALUE(_xll.BDH(L$4,"PE_RATIO",$B92+1,$B92+1))),L93))</f>
        <v>0</v>
      </c>
      <c r="M92" s="561">
        <f ca="1">(IFERROR(IFERROR(VALUE(_xll.BDH(M$4,"PE_RATIO",$B92,$B92)),VALUE(_xll.BDH(M$4,"PE_RATIO",$B92+1,$B92+1))),M93))</f>
        <v>0</v>
      </c>
      <c r="N92" s="561">
        <f ca="1">(IFERROR(IFERROR(VALUE(_xll.BDH(N$4,"PE_RATIO",$B92,$B92)),VALUE(_xll.BDH(N$4,"PE_RATIO",$B92+1,$B92+1))),N93))</f>
        <v>0</v>
      </c>
      <c r="O92" s="561">
        <f ca="1">(IFERROR(IFERROR(VALUE(_xll.BDH(O$4,"PE_RATIO",$B92,$B92)),VALUE(_xll.BDH(O$4,"PE_RATIO",$B92+1,$B92+1))),O93))</f>
        <v>0</v>
      </c>
      <c r="P92" s="561"/>
      <c r="Q92" s="565">
        <f t="shared" ca="1" si="25"/>
        <v>45336</v>
      </c>
      <c r="R92" s="4">
        <v>137.94</v>
      </c>
      <c r="S92" s="4">
        <v>16678.71</v>
      </c>
      <c r="T92" s="4">
        <v>1059.69</v>
      </c>
      <c r="U92" s="4">
        <v>1.1125090733123639</v>
      </c>
      <c r="V92" s="4">
        <v>1.4796912635571229</v>
      </c>
      <c r="W92" s="4">
        <v>1.4278457475476987</v>
      </c>
      <c r="Y92" s="561">
        <f t="shared" si="26"/>
        <v>137.94</v>
      </c>
      <c r="Z92" s="4">
        <f ca="1">IFERROR(VALUE(_xll.BDH(Z$4,"PX_LAST",$Q92,$Q92)),Z93)</f>
        <v>0</v>
      </c>
      <c r="AA92" s="4">
        <f ca="1">IFERROR(VALUE(_xll.BDH(AA$4,"PX_LAST",$Q92,$Q92)),AA93)</f>
        <v>0</v>
      </c>
      <c r="AB92" s="4">
        <f ca="1">IFERROR(VALUE(_xll.BDH(AB$4,"PX_LAST",$Q92,$Q92)),AB93)</f>
        <v>0</v>
      </c>
      <c r="AC92" s="4">
        <f ca="1">IFERROR(VALUE(_xll.BDH(AC$4,"PX_LAST",$Q92,$Q92)),AC93)</f>
        <v>0</v>
      </c>
      <c r="AD92" s="4">
        <f ca="1">IFERROR(VALUE(_xll.BDH(AD$4,"PX_LAST",$Q92,$Q92)),AD93)</f>
        <v>0</v>
      </c>
      <c r="AF92" s="4">
        <f t="shared" si="27"/>
        <v>1.1125090733123639</v>
      </c>
      <c r="AG92" s="4" t="e">
        <f t="shared" ca="1" si="28"/>
        <v>#DIV/0!</v>
      </c>
      <c r="AH92" s="4" t="e">
        <f t="shared" ca="1" si="29"/>
        <v>#DIV/0!</v>
      </c>
      <c r="AI92" s="4" t="e">
        <f t="shared" ca="1" si="30"/>
        <v>#DIV/0!</v>
      </c>
      <c r="AJ92" s="4" t="e">
        <f t="shared" ca="1" si="31"/>
        <v>#DIV/0!</v>
      </c>
      <c r="AK92" s="4" t="e">
        <f t="shared" ca="1" si="32"/>
        <v>#DIV/0!</v>
      </c>
      <c r="AM92" s="563">
        <f t="shared" ca="1" si="33"/>
        <v>45857</v>
      </c>
      <c r="AN92" s="564">
        <v>141.19</v>
      </c>
      <c r="AO92" s="564">
        <v>791098</v>
      </c>
      <c r="AP92" s="564">
        <v>53481.521000000001</v>
      </c>
      <c r="AQ92" s="564">
        <v>7551055.9499899996</v>
      </c>
      <c r="AR92" s="564">
        <v>1.9678</v>
      </c>
    </row>
    <row r="93" spans="2:44">
      <c r="B93" s="565">
        <f t="shared" ca="1" si="34"/>
        <v>45329</v>
      </c>
      <c r="C93" s="561">
        <f ca="1">(IFERROR(IFERROR(VALUE(_xll.BDH(C$4,"CURRENT_EV_TO_T12M_EBITDA",$B93,$B93)),VALUE(_xll.BDH(C$4,"CURRENT_EV_TO_T12M_EBITDA",$B93+1,$B93+1))),C94))</f>
        <v>0</v>
      </c>
      <c r="D93" s="561">
        <f ca="1">(IFERROR(IFERROR(VALUE(_xll.BDH(D$4,"CURRENT_EV_TO_T12M_EBITDA",$B93,$B93)),VALUE(_xll.BDH(D$4,"CURRENT_EV_TO_T12M_EBITDA",$B93+1,$B93+1))),D94))</f>
        <v>0</v>
      </c>
      <c r="E93" s="561">
        <f ca="1">(IFERROR(IFERROR(VALUE(_xll.BDH(E$4,"CURRENT_EV_TO_T12M_EBITDA",$B93,$B93)),VALUE(_xll.BDH(E$4,"CURRENT_EV_TO_T12M_EBITDA",$B93+1,$B93+1))),E94))</f>
        <v>0</v>
      </c>
      <c r="F93" s="561">
        <f ca="1">(IFERROR(IFERROR(VALUE(_xll.BDH(F$4,"CURRENT_EV_TO_T12M_EBITDA",$B93,$B93)),VALUE(_xll.BDH(F$4,"CURRENT_EV_TO_T12M_EBITDA",$B93+1,$B93+1))),F94))</f>
        <v>0</v>
      </c>
      <c r="G93" s="561">
        <f ca="1">(IFERROR(IFERROR(VALUE(_xll.BDH(G$4,"CURRENT_EV_TO_T12M_EBITDA",$B93,$B93)),VALUE(_xll.BDH(G$4,"CURRENT_EV_TO_T12M_EBITDA",$B93+1,$B93+1))),G94))</f>
        <v>0</v>
      </c>
      <c r="H93" s="561">
        <f ca="1">(IFERROR(IFERROR(VALUE(_xll.BDH(H$4,"CURRENT_EV_TO_T12M_EBITDA",$B93,$B93)),VALUE(_xll.BDH(H$4,"CURRENT_EV_TO_T12M_EBITDA",$B93+1,$B93+1))),H94))</f>
        <v>0</v>
      </c>
      <c r="I93" s="565">
        <f t="shared" ca="1" si="24"/>
        <v>45329</v>
      </c>
      <c r="J93" s="561">
        <f ca="1">(IFERROR(IFERROR(VALUE(_xll.BDH(J$4,"PE_RATIO",$B93,$B93)),VALUE(_xll.BDH(J$4,"PE_RATIO",$B93+1,$B93+1))),J94))</f>
        <v>0</v>
      </c>
      <c r="K93" s="561">
        <f ca="1">(IFERROR(IFERROR(VALUE(_xll.BDH(K$4,"PE_RATIO",$B93,$B93)),VALUE(_xll.BDH(K$4,"PE_RATIO",$B93+1,$B93+1))),K94))</f>
        <v>0</v>
      </c>
      <c r="L93" s="561">
        <f ca="1">(IFERROR(IFERROR(VALUE(_xll.BDH(L$4,"PE_RATIO",$B93,$B93)),VALUE(_xll.BDH(L$4,"PE_RATIO",$B93+1,$B93+1))),L94))</f>
        <v>0</v>
      </c>
      <c r="M93" s="561">
        <f ca="1">(IFERROR(IFERROR(VALUE(_xll.BDH(M$4,"PE_RATIO",$B93,$B93)),VALUE(_xll.BDH(M$4,"PE_RATIO",$B93+1,$B93+1))),M94))</f>
        <v>0</v>
      </c>
      <c r="N93" s="561">
        <f ca="1">(IFERROR(IFERROR(VALUE(_xll.BDH(N$4,"PE_RATIO",$B93,$B93)),VALUE(_xll.BDH(N$4,"PE_RATIO",$B93+1,$B93+1))),N94))</f>
        <v>0</v>
      </c>
      <c r="O93" s="561">
        <f ca="1">(IFERROR(IFERROR(VALUE(_xll.BDH(O$4,"PE_RATIO",$B93,$B93)),VALUE(_xll.BDH(O$4,"PE_RATIO",$B93+1,$B93+1))),O94))</f>
        <v>0</v>
      </c>
      <c r="P93" s="561"/>
      <c r="Q93" s="565">
        <f t="shared" ca="1" si="25"/>
        <v>45329</v>
      </c>
      <c r="R93" s="4">
        <v>145.35</v>
      </c>
      <c r="S93" s="4">
        <v>16543.939999999999</v>
      </c>
      <c r="T93" s="4">
        <v>1077.18</v>
      </c>
      <c r="U93" s="4">
        <v>1.1722719574159206</v>
      </c>
      <c r="V93" s="4">
        <v>1.4677348237851264</v>
      </c>
      <c r="W93" s="4">
        <v>1.4514120944270779</v>
      </c>
      <c r="Y93" s="561">
        <f t="shared" si="26"/>
        <v>145.35</v>
      </c>
      <c r="Z93" s="4">
        <f ca="1">IFERROR(VALUE(_xll.BDH(Z$4,"PX_LAST",$Q93,$Q93)),Z94)</f>
        <v>0</v>
      </c>
      <c r="AA93" s="4">
        <f ca="1">IFERROR(VALUE(_xll.BDH(AA$4,"PX_LAST",$Q93,$Q93)),AA94)</f>
        <v>0</v>
      </c>
      <c r="AB93" s="4">
        <f ca="1">IFERROR(VALUE(_xll.BDH(AB$4,"PX_LAST",$Q93,$Q93)),AB94)</f>
        <v>0</v>
      </c>
      <c r="AC93" s="4">
        <f ca="1">IFERROR(VALUE(_xll.BDH(AC$4,"PX_LAST",$Q93,$Q93)),AC94)</f>
        <v>0</v>
      </c>
      <c r="AD93" s="4">
        <f ca="1">IFERROR(VALUE(_xll.BDH(AD$4,"PX_LAST",$Q93,$Q93)),AD94)</f>
        <v>0</v>
      </c>
      <c r="AF93" s="4">
        <f t="shared" si="27"/>
        <v>1.1722719574159206</v>
      </c>
      <c r="AG93" s="4" t="e">
        <f t="shared" ca="1" si="28"/>
        <v>#DIV/0!</v>
      </c>
      <c r="AH93" s="4" t="e">
        <f t="shared" ca="1" si="29"/>
        <v>#DIV/0!</v>
      </c>
      <c r="AI93" s="4" t="e">
        <f t="shared" ca="1" si="30"/>
        <v>#DIV/0!</v>
      </c>
      <c r="AJ93" s="4" t="e">
        <f t="shared" ca="1" si="31"/>
        <v>#DIV/0!</v>
      </c>
      <c r="AK93" s="4" t="e">
        <f t="shared" ca="1" si="32"/>
        <v>#DIV/0!</v>
      </c>
      <c r="AM93" s="563">
        <f t="shared" ca="1" si="33"/>
        <v>45856</v>
      </c>
      <c r="AN93" s="564">
        <v>143.88</v>
      </c>
      <c r="AO93" s="564">
        <v>712849</v>
      </c>
      <c r="AP93" s="564">
        <v>53481.521000000001</v>
      </c>
      <c r="AQ93" s="564">
        <v>7694921.2414799994</v>
      </c>
      <c r="AR93" s="564">
        <v>2.0053000000000001</v>
      </c>
    </row>
    <row r="94" spans="2:44">
      <c r="B94" s="565">
        <f t="shared" ca="1" si="34"/>
        <v>45322</v>
      </c>
      <c r="C94" s="561">
        <f ca="1">(IFERROR(IFERROR(VALUE(_xll.BDH(C$4,"CURRENT_EV_TO_T12M_EBITDA",$B94,$B94)),VALUE(_xll.BDH(C$4,"CURRENT_EV_TO_T12M_EBITDA",$B94+1,$B94+1))),C95))</f>
        <v>0</v>
      </c>
      <c r="D94" s="561">
        <f ca="1">(IFERROR(IFERROR(VALUE(_xll.BDH(D$4,"CURRENT_EV_TO_T12M_EBITDA",$B94,$B94)),VALUE(_xll.BDH(D$4,"CURRENT_EV_TO_T12M_EBITDA",$B94+1,$B94+1))),D95))</f>
        <v>0</v>
      </c>
      <c r="E94" s="561">
        <f ca="1">(IFERROR(IFERROR(VALUE(_xll.BDH(E$4,"CURRENT_EV_TO_T12M_EBITDA",$B94,$B94)),VALUE(_xll.BDH(E$4,"CURRENT_EV_TO_T12M_EBITDA",$B94+1,$B94+1))),E95))</f>
        <v>0</v>
      </c>
      <c r="F94" s="561">
        <f ca="1">(IFERROR(IFERROR(VALUE(_xll.BDH(F$4,"CURRENT_EV_TO_T12M_EBITDA",$B94,$B94)),VALUE(_xll.BDH(F$4,"CURRENT_EV_TO_T12M_EBITDA",$B94+1,$B94+1))),F95))</f>
        <v>0</v>
      </c>
      <c r="G94" s="561">
        <f ca="1">(IFERROR(IFERROR(VALUE(_xll.BDH(G$4,"CURRENT_EV_TO_T12M_EBITDA",$B94,$B94)),VALUE(_xll.BDH(G$4,"CURRENT_EV_TO_T12M_EBITDA",$B94+1,$B94+1))),G95))</f>
        <v>0</v>
      </c>
      <c r="H94" s="561">
        <f ca="1">(IFERROR(IFERROR(VALUE(_xll.BDH(H$4,"CURRENT_EV_TO_T12M_EBITDA",$B94,$B94)),VALUE(_xll.BDH(H$4,"CURRENT_EV_TO_T12M_EBITDA",$B94+1,$B94+1))),H95))</f>
        <v>0</v>
      </c>
      <c r="I94" s="565">
        <f t="shared" ca="1" si="24"/>
        <v>45322</v>
      </c>
      <c r="J94" s="561">
        <f ca="1">(IFERROR(IFERROR(VALUE(_xll.BDH(J$4,"PE_RATIO",$B94,$B94)),VALUE(_xll.BDH(J$4,"PE_RATIO",$B94+1,$B94+1))),J95))</f>
        <v>0</v>
      </c>
      <c r="K94" s="561">
        <f ca="1">(IFERROR(IFERROR(VALUE(_xll.BDH(K$4,"PE_RATIO",$B94,$B94)),VALUE(_xll.BDH(K$4,"PE_RATIO",$B94+1,$B94+1))),K95))</f>
        <v>0</v>
      </c>
      <c r="L94" s="561">
        <f ca="1">(IFERROR(IFERROR(VALUE(_xll.BDH(L$4,"PE_RATIO",$B94,$B94)),VALUE(_xll.BDH(L$4,"PE_RATIO",$B94+1,$B94+1))),L95))</f>
        <v>0</v>
      </c>
      <c r="M94" s="561">
        <f ca="1">(IFERROR(IFERROR(VALUE(_xll.BDH(M$4,"PE_RATIO",$B94,$B94)),VALUE(_xll.BDH(M$4,"PE_RATIO",$B94+1,$B94+1))),M95))</f>
        <v>0</v>
      </c>
      <c r="N94" s="561">
        <f ca="1">(IFERROR(IFERROR(VALUE(_xll.BDH(N$4,"PE_RATIO",$B94,$B94)),VALUE(_xll.BDH(N$4,"PE_RATIO",$B94+1,$B94+1))),N95))</f>
        <v>0</v>
      </c>
      <c r="O94" s="561">
        <f ca="1">(IFERROR(IFERROR(VALUE(_xll.BDH(O$4,"PE_RATIO",$B94,$B94)),VALUE(_xll.BDH(O$4,"PE_RATIO",$B94+1,$B94+1))),O95))</f>
        <v>0</v>
      </c>
      <c r="P94" s="561"/>
      <c r="Q94" s="565">
        <f t="shared" ca="1" si="25"/>
        <v>45322</v>
      </c>
      <c r="R94" s="4">
        <v>148.63</v>
      </c>
      <c r="S94" s="4">
        <v>16878.46</v>
      </c>
      <c r="T94" s="4">
        <v>1090.3399999999999</v>
      </c>
      <c r="U94" s="4">
        <v>1.198725703685781</v>
      </c>
      <c r="V94" s="4">
        <v>1.4974125579435313</v>
      </c>
      <c r="W94" s="4">
        <v>1.469144119866336</v>
      </c>
      <c r="Y94" s="561">
        <f t="shared" si="26"/>
        <v>148.63</v>
      </c>
      <c r="Z94" s="4">
        <f ca="1">IFERROR(VALUE(_xll.BDH(Z$4,"PX_LAST",$Q94,$Q94)),Z95)</f>
        <v>0</v>
      </c>
      <c r="AA94" s="4">
        <f ca="1">IFERROR(VALUE(_xll.BDH(AA$4,"PX_LAST",$Q94,$Q94)),AA95)</f>
        <v>0</v>
      </c>
      <c r="AB94" s="4">
        <f ca="1">IFERROR(VALUE(_xll.BDH(AB$4,"PX_LAST",$Q94,$Q94)),AB95)</f>
        <v>0</v>
      </c>
      <c r="AC94" s="4">
        <f ca="1">IFERROR(VALUE(_xll.BDH(AC$4,"PX_LAST",$Q94,$Q94)),AC95)</f>
        <v>0</v>
      </c>
      <c r="AD94" s="4">
        <f ca="1">IFERROR(VALUE(_xll.BDH(AD$4,"PX_LAST",$Q94,$Q94)),AD95)</f>
        <v>0</v>
      </c>
      <c r="AF94" s="4">
        <f t="shared" si="27"/>
        <v>1.198725703685781</v>
      </c>
      <c r="AG94" s="4" t="e">
        <f t="shared" ca="1" si="28"/>
        <v>#DIV/0!</v>
      </c>
      <c r="AH94" s="4" t="e">
        <f t="shared" ca="1" si="29"/>
        <v>#DIV/0!</v>
      </c>
      <c r="AI94" s="4" t="e">
        <f t="shared" ca="1" si="30"/>
        <v>#DIV/0!</v>
      </c>
      <c r="AJ94" s="4" t="e">
        <f t="shared" ca="1" si="31"/>
        <v>#DIV/0!</v>
      </c>
      <c r="AK94" s="4" t="e">
        <f t="shared" ca="1" si="32"/>
        <v>#DIV/0!</v>
      </c>
      <c r="AM94" s="563">
        <f t="shared" ca="1" si="33"/>
        <v>45855</v>
      </c>
      <c r="AN94" s="564">
        <v>146.71</v>
      </c>
      <c r="AO94" s="564">
        <v>504399</v>
      </c>
      <c r="AP94" s="564">
        <v>53481.521000000001</v>
      </c>
      <c r="AQ94" s="564">
        <v>7846273.9459100002</v>
      </c>
      <c r="AR94" s="564">
        <v>2.0447000000000002</v>
      </c>
    </row>
    <row r="95" spans="2:44">
      <c r="B95" s="565">
        <f t="shared" ca="1" si="34"/>
        <v>45315</v>
      </c>
      <c r="C95" s="561">
        <f ca="1">(IFERROR(IFERROR(VALUE(_xll.BDH(C$4,"CURRENT_EV_TO_T12M_EBITDA",$B95,$B95)),VALUE(_xll.BDH(C$4,"CURRENT_EV_TO_T12M_EBITDA",$B95+1,$B95+1))),C96))</f>
        <v>0</v>
      </c>
      <c r="D95" s="561">
        <f ca="1">(IFERROR(IFERROR(VALUE(_xll.BDH(D$4,"CURRENT_EV_TO_T12M_EBITDA",$B95,$B95)),VALUE(_xll.BDH(D$4,"CURRENT_EV_TO_T12M_EBITDA",$B95+1,$B95+1))),D96))</f>
        <v>0</v>
      </c>
      <c r="E95" s="561">
        <f ca="1">(IFERROR(IFERROR(VALUE(_xll.BDH(E$4,"CURRENT_EV_TO_T12M_EBITDA",$B95,$B95)),VALUE(_xll.BDH(E$4,"CURRENT_EV_TO_T12M_EBITDA",$B95+1,$B95+1))),E96))</f>
        <v>0</v>
      </c>
      <c r="F95" s="561">
        <f ca="1">(IFERROR(IFERROR(VALUE(_xll.BDH(F$4,"CURRENT_EV_TO_T12M_EBITDA",$B95,$B95)),VALUE(_xll.BDH(F$4,"CURRENT_EV_TO_T12M_EBITDA",$B95+1,$B95+1))),F96))</f>
        <v>0</v>
      </c>
      <c r="G95" s="561">
        <f ca="1">(IFERROR(IFERROR(VALUE(_xll.BDH(G$4,"CURRENT_EV_TO_T12M_EBITDA",$B95,$B95)),VALUE(_xll.BDH(G$4,"CURRENT_EV_TO_T12M_EBITDA",$B95+1,$B95+1))),G96))</f>
        <v>0</v>
      </c>
      <c r="H95" s="561">
        <f ca="1">(IFERROR(IFERROR(VALUE(_xll.BDH(H$4,"CURRENT_EV_TO_T12M_EBITDA",$B95,$B95)),VALUE(_xll.BDH(H$4,"CURRENT_EV_TO_T12M_EBITDA",$B95+1,$B95+1))),H96))</f>
        <v>0</v>
      </c>
      <c r="I95" s="565">
        <f t="shared" ca="1" si="24"/>
        <v>45315</v>
      </c>
      <c r="J95" s="561">
        <f ca="1">(IFERROR(IFERROR(VALUE(_xll.BDH(J$4,"PE_RATIO",$B95,$B95)),VALUE(_xll.BDH(J$4,"PE_RATIO",$B95+1,$B95+1))),J96))</f>
        <v>0</v>
      </c>
      <c r="K95" s="561">
        <f ca="1">(IFERROR(IFERROR(VALUE(_xll.BDH(K$4,"PE_RATIO",$B95,$B95)),VALUE(_xll.BDH(K$4,"PE_RATIO",$B95+1,$B95+1))),K96))</f>
        <v>0</v>
      </c>
      <c r="L95" s="561">
        <f ca="1">(IFERROR(IFERROR(VALUE(_xll.BDH(L$4,"PE_RATIO",$B95,$B95)),VALUE(_xll.BDH(L$4,"PE_RATIO",$B95+1,$B95+1))),L96))</f>
        <v>0</v>
      </c>
      <c r="M95" s="561">
        <f ca="1">(IFERROR(IFERROR(VALUE(_xll.BDH(M$4,"PE_RATIO",$B95,$B95)),VALUE(_xll.BDH(M$4,"PE_RATIO",$B95+1,$B95+1))),M96))</f>
        <v>0</v>
      </c>
      <c r="N95" s="561">
        <f ca="1">(IFERROR(IFERROR(VALUE(_xll.BDH(N$4,"PE_RATIO",$B95,$B95)),VALUE(_xll.BDH(N$4,"PE_RATIO",$B95+1,$B95+1))),N96))</f>
        <v>0</v>
      </c>
      <c r="O95" s="561">
        <f ca="1">(IFERROR(IFERROR(VALUE(_xll.BDH(O$4,"PE_RATIO",$B95,$B95)),VALUE(_xll.BDH(O$4,"PE_RATIO",$B95+1,$B95+1))),O96))</f>
        <v>0</v>
      </c>
      <c r="P95" s="561"/>
      <c r="Q95" s="565">
        <f t="shared" ca="1" si="25"/>
        <v>45315</v>
      </c>
      <c r="R95" s="4">
        <v>144.96</v>
      </c>
      <c r="S95" s="4">
        <v>16811.849999999999</v>
      </c>
      <c r="T95" s="4">
        <v>1075.96</v>
      </c>
      <c r="U95" s="4">
        <v>1.1691265424631019</v>
      </c>
      <c r="V95" s="4">
        <v>1.4915030940182312</v>
      </c>
      <c r="W95" s="4">
        <v>1.4497682440444111</v>
      </c>
      <c r="Y95" s="561">
        <f t="shared" si="26"/>
        <v>144.96</v>
      </c>
      <c r="Z95" s="4">
        <f ca="1">IFERROR(VALUE(_xll.BDH(Z$4,"PX_LAST",$Q95,$Q95)),Z96)</f>
        <v>0</v>
      </c>
      <c r="AA95" s="4">
        <f ca="1">IFERROR(VALUE(_xll.BDH(AA$4,"PX_LAST",$Q95,$Q95)),AA96)</f>
        <v>0</v>
      </c>
      <c r="AB95" s="4">
        <f ca="1">IFERROR(VALUE(_xll.BDH(AB$4,"PX_LAST",$Q95,$Q95)),AB96)</f>
        <v>0</v>
      </c>
      <c r="AC95" s="4">
        <f ca="1">IFERROR(VALUE(_xll.BDH(AC$4,"PX_LAST",$Q95,$Q95)),AC96)</f>
        <v>0</v>
      </c>
      <c r="AD95" s="4">
        <f ca="1">IFERROR(VALUE(_xll.BDH(AD$4,"PX_LAST",$Q95,$Q95)),AD96)</f>
        <v>0</v>
      </c>
      <c r="AF95" s="4">
        <f t="shared" si="27"/>
        <v>1.1691265424631019</v>
      </c>
      <c r="AG95" s="4" t="e">
        <f t="shared" ca="1" si="28"/>
        <v>#DIV/0!</v>
      </c>
      <c r="AH95" s="4" t="e">
        <f t="shared" ca="1" si="29"/>
        <v>#DIV/0!</v>
      </c>
      <c r="AI95" s="4" t="e">
        <f t="shared" ca="1" si="30"/>
        <v>#DIV/0!</v>
      </c>
      <c r="AJ95" s="4" t="e">
        <f t="shared" ca="1" si="31"/>
        <v>#DIV/0!</v>
      </c>
      <c r="AK95" s="4" t="e">
        <f t="shared" ca="1" si="32"/>
        <v>#DIV/0!</v>
      </c>
      <c r="AM95" s="563">
        <f t="shared" ca="1" si="33"/>
        <v>45854</v>
      </c>
      <c r="AN95" s="564">
        <v>148.83000000000001</v>
      </c>
      <c r="AO95" s="564">
        <v>442484</v>
      </c>
      <c r="AP95" s="564">
        <v>53481.521000000001</v>
      </c>
      <c r="AQ95" s="564">
        <v>7959654.7704300005</v>
      </c>
      <c r="AR95" s="564">
        <v>2.0743</v>
      </c>
    </row>
    <row r="96" spans="2:44">
      <c r="B96" s="565">
        <f t="shared" ca="1" si="34"/>
        <v>45308</v>
      </c>
      <c r="C96" s="561">
        <f ca="1">(IFERROR(IFERROR(VALUE(_xll.BDH(C$4,"CURRENT_EV_TO_T12M_EBITDA",$B96,$B96)),VALUE(_xll.BDH(C$4,"CURRENT_EV_TO_T12M_EBITDA",$B96+1,$B96+1))),C97))</f>
        <v>0</v>
      </c>
      <c r="D96" s="561">
        <f ca="1">(IFERROR(IFERROR(VALUE(_xll.BDH(D$4,"CURRENT_EV_TO_T12M_EBITDA",$B96,$B96)),VALUE(_xll.BDH(D$4,"CURRENT_EV_TO_T12M_EBITDA",$B96+1,$B96+1))),D97))</f>
        <v>0</v>
      </c>
      <c r="E96" s="561">
        <f ca="1">(IFERROR(IFERROR(VALUE(_xll.BDH(E$4,"CURRENT_EV_TO_T12M_EBITDA",$B96,$B96)),VALUE(_xll.BDH(E$4,"CURRENT_EV_TO_T12M_EBITDA",$B96+1,$B96+1))),E97))</f>
        <v>0</v>
      </c>
      <c r="F96" s="561">
        <f ca="1">(IFERROR(IFERROR(VALUE(_xll.BDH(F$4,"CURRENT_EV_TO_T12M_EBITDA",$B96,$B96)),VALUE(_xll.BDH(F$4,"CURRENT_EV_TO_T12M_EBITDA",$B96+1,$B96+1))),F97))</f>
        <v>0</v>
      </c>
      <c r="G96" s="561">
        <f ca="1">(IFERROR(IFERROR(VALUE(_xll.BDH(G$4,"CURRENT_EV_TO_T12M_EBITDA",$B96,$B96)),VALUE(_xll.BDH(G$4,"CURRENT_EV_TO_T12M_EBITDA",$B96+1,$B96+1))),G97))</f>
        <v>0</v>
      </c>
      <c r="H96" s="561">
        <f ca="1">(IFERROR(IFERROR(VALUE(_xll.BDH(H$4,"CURRENT_EV_TO_T12M_EBITDA",$B96,$B96)),VALUE(_xll.BDH(H$4,"CURRENT_EV_TO_T12M_EBITDA",$B96+1,$B96+1))),H97))</f>
        <v>0</v>
      </c>
      <c r="I96" s="565">
        <f t="shared" ca="1" si="24"/>
        <v>45308</v>
      </c>
      <c r="J96" s="561">
        <f ca="1">(IFERROR(IFERROR(VALUE(_xll.BDH(J$4,"PE_RATIO",$B96,$B96)),VALUE(_xll.BDH(J$4,"PE_RATIO",$B96+1,$B96+1))),J97))</f>
        <v>0</v>
      </c>
      <c r="K96" s="561">
        <f ca="1">(IFERROR(IFERROR(VALUE(_xll.BDH(K$4,"PE_RATIO",$B96,$B96)),VALUE(_xll.BDH(K$4,"PE_RATIO",$B96+1,$B96+1))),K97))</f>
        <v>0</v>
      </c>
      <c r="L96" s="561">
        <f ca="1">(IFERROR(IFERROR(VALUE(_xll.BDH(L$4,"PE_RATIO",$B96,$B96)),VALUE(_xll.BDH(L$4,"PE_RATIO",$B96+1,$B96+1))),L97))</f>
        <v>0</v>
      </c>
      <c r="M96" s="561">
        <f ca="1">(IFERROR(IFERROR(VALUE(_xll.BDH(M$4,"PE_RATIO",$B96,$B96)),VALUE(_xll.BDH(M$4,"PE_RATIO",$B96+1,$B96+1))),M97))</f>
        <v>0</v>
      </c>
      <c r="N96" s="561">
        <f ca="1">(IFERROR(IFERROR(VALUE(_xll.BDH(N$4,"PE_RATIO",$B96,$B96)),VALUE(_xll.BDH(N$4,"PE_RATIO",$B96+1,$B96+1))),N97))</f>
        <v>0</v>
      </c>
      <c r="O96" s="561">
        <f ca="1">(IFERROR(IFERROR(VALUE(_xll.BDH(O$4,"PE_RATIO",$B96,$B96)),VALUE(_xll.BDH(O$4,"PE_RATIO",$B96+1,$B96+1))),O97))</f>
        <v>0</v>
      </c>
      <c r="P96" s="561"/>
      <c r="Q96" s="565">
        <f t="shared" ca="1" si="25"/>
        <v>45308</v>
      </c>
      <c r="R96" s="4">
        <v>136.68</v>
      </c>
      <c r="S96" s="4">
        <v>16354.25</v>
      </c>
      <c r="T96" s="4">
        <v>1038.4000000000001</v>
      </c>
      <c r="U96" s="4">
        <v>1.1023469634647955</v>
      </c>
      <c r="V96" s="4">
        <v>1.450906026127265</v>
      </c>
      <c r="W96" s="4">
        <v>1.3991592109518165</v>
      </c>
      <c r="Y96" s="561">
        <f t="shared" si="26"/>
        <v>136.68</v>
      </c>
      <c r="Z96" s="4">
        <f ca="1">IFERROR(VALUE(_xll.BDH(Z$4,"PX_LAST",$Q96,$Q96)),Z97)</f>
        <v>0</v>
      </c>
      <c r="AA96" s="4">
        <f ca="1">IFERROR(VALUE(_xll.BDH(AA$4,"PX_LAST",$Q96,$Q96)),AA97)</f>
        <v>0</v>
      </c>
      <c r="AB96" s="4">
        <f ca="1">IFERROR(VALUE(_xll.BDH(AB$4,"PX_LAST",$Q96,$Q96)),AB97)</f>
        <v>0</v>
      </c>
      <c r="AC96" s="4">
        <f ca="1">IFERROR(VALUE(_xll.BDH(AC$4,"PX_LAST",$Q96,$Q96)),AC97)</f>
        <v>0</v>
      </c>
      <c r="AD96" s="4">
        <f ca="1">IFERROR(VALUE(_xll.BDH(AD$4,"PX_LAST",$Q96,$Q96)),AD97)</f>
        <v>0</v>
      </c>
      <c r="AF96" s="4">
        <f t="shared" si="27"/>
        <v>1.1023469634647955</v>
      </c>
      <c r="AG96" s="4" t="e">
        <f t="shared" ca="1" si="28"/>
        <v>#DIV/0!</v>
      </c>
      <c r="AH96" s="4" t="e">
        <f t="shared" ca="1" si="29"/>
        <v>#DIV/0!</v>
      </c>
      <c r="AI96" s="4" t="e">
        <f t="shared" ca="1" si="30"/>
        <v>#DIV/0!</v>
      </c>
      <c r="AJ96" s="4" t="e">
        <f t="shared" ca="1" si="31"/>
        <v>#DIV/0!</v>
      </c>
      <c r="AK96" s="4" t="e">
        <f t="shared" ca="1" si="32"/>
        <v>#DIV/0!</v>
      </c>
      <c r="AM96" s="563">
        <f t="shared" ca="1" si="33"/>
        <v>45853</v>
      </c>
      <c r="AN96" s="564">
        <v>149.97</v>
      </c>
      <c r="AO96" s="564">
        <v>928257</v>
      </c>
      <c r="AP96" s="564">
        <v>53481.521000000001</v>
      </c>
      <c r="AQ96" s="564">
        <v>8020623.7043700004</v>
      </c>
      <c r="AR96" s="564">
        <v>2.0901000000000001</v>
      </c>
    </row>
    <row r="97" spans="2:44">
      <c r="B97" s="565">
        <f t="shared" ca="1" si="34"/>
        <v>45301</v>
      </c>
      <c r="C97" s="561">
        <f ca="1">(IFERROR(IFERROR(VALUE(_xll.BDH(C$4,"CURRENT_EV_TO_T12M_EBITDA",$B97,$B97)),VALUE(_xll.BDH(C$4,"CURRENT_EV_TO_T12M_EBITDA",$B97+1,$B97+1))),C98))</f>
        <v>0</v>
      </c>
      <c r="D97" s="561">
        <f ca="1">(IFERROR(IFERROR(VALUE(_xll.BDH(D$4,"CURRENT_EV_TO_T12M_EBITDA",$B97,$B97)),VALUE(_xll.BDH(D$4,"CURRENT_EV_TO_T12M_EBITDA",$B97+1,$B97+1))),D98))</f>
        <v>0</v>
      </c>
      <c r="E97" s="561">
        <f ca="1">(IFERROR(IFERROR(VALUE(_xll.BDH(E$4,"CURRENT_EV_TO_T12M_EBITDA",$B97,$B97)),VALUE(_xll.BDH(E$4,"CURRENT_EV_TO_T12M_EBITDA",$B97+1,$B97+1))),E98))</f>
        <v>0</v>
      </c>
      <c r="F97" s="561">
        <f ca="1">(IFERROR(IFERROR(VALUE(_xll.BDH(F$4,"CURRENT_EV_TO_T12M_EBITDA",$B97,$B97)),VALUE(_xll.BDH(F$4,"CURRENT_EV_TO_T12M_EBITDA",$B97+1,$B97+1))),F98))</f>
        <v>0</v>
      </c>
      <c r="G97" s="561">
        <f ca="1">(IFERROR(IFERROR(VALUE(_xll.BDH(G$4,"CURRENT_EV_TO_T12M_EBITDA",$B97,$B97)),VALUE(_xll.BDH(G$4,"CURRENT_EV_TO_T12M_EBITDA",$B97+1,$B97+1))),G98))</f>
        <v>0</v>
      </c>
      <c r="H97" s="561">
        <f ca="1">(IFERROR(IFERROR(VALUE(_xll.BDH(H$4,"CURRENT_EV_TO_T12M_EBITDA",$B97,$B97)),VALUE(_xll.BDH(H$4,"CURRENT_EV_TO_T12M_EBITDA",$B97+1,$B97+1))),H98))</f>
        <v>0</v>
      </c>
      <c r="I97" s="565">
        <f t="shared" ca="1" si="24"/>
        <v>45301</v>
      </c>
      <c r="J97" s="561">
        <f ca="1">(IFERROR(IFERROR(VALUE(_xll.BDH(J$4,"PE_RATIO",$B97,$B97)),VALUE(_xll.BDH(J$4,"PE_RATIO",$B97+1,$B97+1))),J98))</f>
        <v>0</v>
      </c>
      <c r="K97" s="561">
        <f ca="1">(IFERROR(IFERROR(VALUE(_xll.BDH(K$4,"PE_RATIO",$B97,$B97)),VALUE(_xll.BDH(K$4,"PE_RATIO",$B97+1,$B97+1))),K98))</f>
        <v>0</v>
      </c>
      <c r="L97" s="561">
        <f ca="1">(IFERROR(IFERROR(VALUE(_xll.BDH(L$4,"PE_RATIO",$B97,$B97)),VALUE(_xll.BDH(L$4,"PE_RATIO",$B97+1,$B97+1))),L98))</f>
        <v>0</v>
      </c>
      <c r="M97" s="561">
        <f ca="1">(IFERROR(IFERROR(VALUE(_xll.BDH(M$4,"PE_RATIO",$B97,$B97)),VALUE(_xll.BDH(M$4,"PE_RATIO",$B97+1,$B97+1))),M98))</f>
        <v>0</v>
      </c>
      <c r="N97" s="561">
        <f ca="1">(IFERROR(IFERROR(VALUE(_xll.BDH(N$4,"PE_RATIO",$B97,$B97)),VALUE(_xll.BDH(N$4,"PE_RATIO",$B97+1,$B97+1))),N98))</f>
        <v>0</v>
      </c>
      <c r="O97" s="561">
        <f ca="1">(IFERROR(IFERROR(VALUE(_xll.BDH(O$4,"PE_RATIO",$B97,$B97)),VALUE(_xll.BDH(O$4,"PE_RATIO",$B97+1,$B97+1))),O98))</f>
        <v>0</v>
      </c>
      <c r="P97" s="561"/>
      <c r="Q97" s="565">
        <f t="shared" ca="1" si="25"/>
        <v>45301</v>
      </c>
      <c r="R97" s="4">
        <v>129.97999999999999</v>
      </c>
      <c r="S97" s="4">
        <v>15877.71</v>
      </c>
      <c r="T97" s="4">
        <v>1015.52</v>
      </c>
      <c r="U97" s="4">
        <v>1.0483103476086781</v>
      </c>
      <c r="V97" s="4">
        <v>1.4086286512742032</v>
      </c>
      <c r="W97" s="4">
        <v>1.3683302791850813</v>
      </c>
      <c r="Y97" s="561">
        <f t="shared" si="26"/>
        <v>129.97999999999999</v>
      </c>
      <c r="Z97" s="4">
        <f ca="1">IFERROR(VALUE(_xll.BDH(Z$4,"PX_LAST",$Q97,$Q97)),Z98)</f>
        <v>0</v>
      </c>
      <c r="AA97" s="4">
        <f ca="1">IFERROR(VALUE(_xll.BDH(AA$4,"PX_LAST",$Q97,$Q97)),AA98)</f>
        <v>0</v>
      </c>
      <c r="AB97" s="4">
        <f ca="1">IFERROR(VALUE(_xll.BDH(AB$4,"PX_LAST",$Q97,$Q97)),AB98)</f>
        <v>0</v>
      </c>
      <c r="AC97" s="4">
        <f ca="1">IFERROR(VALUE(_xll.BDH(AC$4,"PX_LAST",$Q97,$Q97)),AC98)</f>
        <v>0</v>
      </c>
      <c r="AD97" s="4">
        <f ca="1">IFERROR(VALUE(_xll.BDH(AD$4,"PX_LAST",$Q97,$Q97)),AD98)</f>
        <v>0</v>
      </c>
      <c r="AF97" s="4">
        <f t="shared" si="27"/>
        <v>1.0483103476086781</v>
      </c>
      <c r="AG97" s="4" t="e">
        <f t="shared" ca="1" si="28"/>
        <v>#DIV/0!</v>
      </c>
      <c r="AH97" s="4" t="e">
        <f t="shared" ca="1" si="29"/>
        <v>#DIV/0!</v>
      </c>
      <c r="AI97" s="4" t="e">
        <f t="shared" ca="1" si="30"/>
        <v>#DIV/0!</v>
      </c>
      <c r="AJ97" s="4" t="e">
        <f t="shared" ca="1" si="31"/>
        <v>#DIV/0!</v>
      </c>
      <c r="AK97" s="4" t="e">
        <f t="shared" ca="1" si="32"/>
        <v>#DIV/0!</v>
      </c>
      <c r="AM97" s="563">
        <f t="shared" ca="1" si="33"/>
        <v>45852</v>
      </c>
      <c r="AN97" s="564">
        <v>147.22</v>
      </c>
      <c r="AO97" s="564">
        <v>589356</v>
      </c>
      <c r="AP97" s="564">
        <v>53481.521000000001</v>
      </c>
      <c r="AQ97" s="564">
        <v>7873549.5216199998</v>
      </c>
      <c r="AR97" s="564">
        <v>2.0518000000000001</v>
      </c>
    </row>
    <row r="98" spans="2:44">
      <c r="B98" s="565">
        <f t="shared" ca="1" si="34"/>
        <v>45294</v>
      </c>
      <c r="C98" s="561">
        <f ca="1">(IFERROR(IFERROR(VALUE(_xll.BDH(C$4,"CURRENT_EV_TO_T12M_EBITDA",$B98,$B98)),VALUE(_xll.BDH(C$4,"CURRENT_EV_TO_T12M_EBITDA",$B98+1,$B98+1))),C99))</f>
        <v>0</v>
      </c>
      <c r="D98" s="561">
        <f ca="1">(IFERROR(IFERROR(VALUE(_xll.BDH(D$4,"CURRENT_EV_TO_T12M_EBITDA",$B98,$B98)),VALUE(_xll.BDH(D$4,"CURRENT_EV_TO_T12M_EBITDA",$B98+1,$B98+1))),D99))</f>
        <v>0</v>
      </c>
      <c r="E98" s="561">
        <f ca="1">(IFERROR(IFERROR(VALUE(_xll.BDH(E$4,"CURRENT_EV_TO_T12M_EBITDA",$B98,$B98)),VALUE(_xll.BDH(E$4,"CURRENT_EV_TO_T12M_EBITDA",$B98+1,$B98+1))),E99))</f>
        <v>0</v>
      </c>
      <c r="F98" s="561">
        <f ca="1">(IFERROR(IFERROR(VALUE(_xll.BDH(F$4,"CURRENT_EV_TO_T12M_EBITDA",$B98,$B98)),VALUE(_xll.BDH(F$4,"CURRENT_EV_TO_T12M_EBITDA",$B98+1,$B98+1))),F99))</f>
        <v>0</v>
      </c>
      <c r="G98" s="561">
        <f ca="1">(IFERROR(IFERROR(VALUE(_xll.BDH(G$4,"CURRENT_EV_TO_T12M_EBITDA",$B98,$B98)),VALUE(_xll.BDH(G$4,"CURRENT_EV_TO_T12M_EBITDA",$B98+1,$B98+1))),G99))</f>
        <v>0</v>
      </c>
      <c r="H98" s="561">
        <f ca="1">(IFERROR(IFERROR(VALUE(_xll.BDH(H$4,"CURRENT_EV_TO_T12M_EBITDA",$B98,$B98)),VALUE(_xll.BDH(H$4,"CURRENT_EV_TO_T12M_EBITDA",$B98+1,$B98+1))),H99))</f>
        <v>0</v>
      </c>
      <c r="I98" s="565">
        <f t="shared" ca="1" si="24"/>
        <v>45294</v>
      </c>
      <c r="J98" s="561">
        <f ca="1">(IFERROR(IFERROR(VALUE(_xll.BDH(J$4,"PE_RATIO",$B98,$B98)),VALUE(_xll.BDH(J$4,"PE_RATIO",$B98+1,$B98+1))),J99))</f>
        <v>0</v>
      </c>
      <c r="K98" s="561">
        <f ca="1">(IFERROR(IFERROR(VALUE(_xll.BDH(K$4,"PE_RATIO",$B98,$B98)),VALUE(_xll.BDH(K$4,"PE_RATIO",$B98+1,$B98+1))),K99))</f>
        <v>0</v>
      </c>
      <c r="L98" s="561">
        <f ca="1">(IFERROR(IFERROR(VALUE(_xll.BDH(L$4,"PE_RATIO",$B98,$B98)),VALUE(_xll.BDH(L$4,"PE_RATIO",$B98+1,$B98+1))),L99))</f>
        <v>0</v>
      </c>
      <c r="M98" s="561">
        <f ca="1">(IFERROR(IFERROR(VALUE(_xll.BDH(M$4,"PE_RATIO",$B98,$B98)),VALUE(_xll.BDH(M$4,"PE_RATIO",$B98+1,$B98+1))),M99))</f>
        <v>0</v>
      </c>
      <c r="N98" s="561">
        <f ca="1">(IFERROR(IFERROR(VALUE(_xll.BDH(N$4,"PE_RATIO",$B98,$B98)),VALUE(_xll.BDH(N$4,"PE_RATIO",$B98+1,$B98+1))),N99))</f>
        <v>0</v>
      </c>
      <c r="O98" s="561">
        <f ca="1">(IFERROR(IFERROR(VALUE(_xll.BDH(O$4,"PE_RATIO",$B98,$B98)),VALUE(_xll.BDH(O$4,"PE_RATIO",$B98+1,$B98+1))),O99))</f>
        <v>0</v>
      </c>
      <c r="P98" s="561"/>
      <c r="Q98" s="565">
        <f t="shared" ca="1" si="25"/>
        <v>45294</v>
      </c>
      <c r="R98" s="4">
        <v>124.43</v>
      </c>
      <c r="S98" s="4">
        <v>16010.43</v>
      </c>
      <c r="T98" s="4">
        <v>992.94</v>
      </c>
      <c r="U98" s="4">
        <v>1.0035486732801033</v>
      </c>
      <c r="V98" s="4">
        <v>1.4204032204404817</v>
      </c>
      <c r="W98" s="4">
        <v>1.3379055729222811</v>
      </c>
      <c r="Y98" s="561">
        <f t="shared" si="26"/>
        <v>124.43</v>
      </c>
      <c r="Z98" s="4">
        <f ca="1">IFERROR(VALUE(_xll.BDH(Z$4,"PX_LAST",$Q98,$Q98)),Z99)</f>
        <v>0</v>
      </c>
      <c r="AA98" s="4">
        <f ca="1">IFERROR(VALUE(_xll.BDH(AA$4,"PX_LAST",$Q98,$Q98)),AA99)</f>
        <v>0</v>
      </c>
      <c r="AB98" s="4">
        <f ca="1">IFERROR(VALUE(_xll.BDH(AB$4,"PX_LAST",$Q98,$Q98)),AB99)</f>
        <v>0</v>
      </c>
      <c r="AC98" s="4">
        <f ca="1">IFERROR(VALUE(_xll.BDH(AC$4,"PX_LAST",$Q98,$Q98)),AC99)</f>
        <v>0</v>
      </c>
      <c r="AD98" s="4">
        <f ca="1">IFERROR(VALUE(_xll.BDH(AD$4,"PX_LAST",$Q98,$Q98)),AD99)</f>
        <v>0</v>
      </c>
      <c r="AF98" s="4">
        <f t="shared" si="27"/>
        <v>1.0035486732801033</v>
      </c>
      <c r="AG98" s="4" t="e">
        <f t="shared" ca="1" si="28"/>
        <v>#DIV/0!</v>
      </c>
      <c r="AH98" s="4" t="e">
        <f t="shared" ca="1" si="29"/>
        <v>#DIV/0!</v>
      </c>
      <c r="AI98" s="4" t="e">
        <f t="shared" ca="1" si="30"/>
        <v>#DIV/0!</v>
      </c>
      <c r="AJ98" s="4" t="e">
        <f t="shared" ca="1" si="31"/>
        <v>#DIV/0!</v>
      </c>
      <c r="AK98" s="4" t="e">
        <f t="shared" ca="1" si="32"/>
        <v>#DIV/0!</v>
      </c>
      <c r="AM98" s="563">
        <f t="shared" ca="1" si="33"/>
        <v>45851</v>
      </c>
      <c r="AN98" s="564">
        <v>147.22</v>
      </c>
      <c r="AO98" s="564">
        <v>589356</v>
      </c>
      <c r="AP98" s="564">
        <v>53481.521000000001</v>
      </c>
      <c r="AQ98" s="564">
        <v>7873549.5216199998</v>
      </c>
      <c r="AR98" s="564">
        <v>2.0518000000000001</v>
      </c>
    </row>
    <row r="99" spans="2:44">
      <c r="B99" s="565">
        <f t="shared" ca="1" si="34"/>
        <v>45287</v>
      </c>
      <c r="C99" s="561">
        <f ca="1">(IFERROR(IFERROR(VALUE(_xll.BDH(C$4,"CURRENT_EV_TO_T12M_EBITDA",$B99,$B99)),VALUE(_xll.BDH(C$4,"CURRENT_EV_TO_T12M_EBITDA",$B99+1,$B99+1))),C100))</f>
        <v>0</v>
      </c>
      <c r="D99" s="561">
        <f ca="1">(IFERROR(IFERROR(VALUE(_xll.BDH(D$4,"CURRENT_EV_TO_T12M_EBITDA",$B99,$B99)),VALUE(_xll.BDH(D$4,"CURRENT_EV_TO_T12M_EBITDA",$B99+1,$B99+1))),D100))</f>
        <v>0</v>
      </c>
      <c r="E99" s="561">
        <f ca="1">(IFERROR(IFERROR(VALUE(_xll.BDH(E$4,"CURRENT_EV_TO_T12M_EBITDA",$B99,$B99)),VALUE(_xll.BDH(E$4,"CURRENT_EV_TO_T12M_EBITDA",$B99+1,$B99+1))),E100))</f>
        <v>0</v>
      </c>
      <c r="F99" s="561">
        <f ca="1">(IFERROR(IFERROR(VALUE(_xll.BDH(F$4,"CURRENT_EV_TO_T12M_EBITDA",$B99,$B99)),VALUE(_xll.BDH(F$4,"CURRENT_EV_TO_T12M_EBITDA",$B99+1,$B99+1))),F100))</f>
        <v>0</v>
      </c>
      <c r="G99" s="561">
        <f ca="1">(IFERROR(IFERROR(VALUE(_xll.BDH(G$4,"CURRENT_EV_TO_T12M_EBITDA",$B99,$B99)),VALUE(_xll.BDH(G$4,"CURRENT_EV_TO_T12M_EBITDA",$B99+1,$B99+1))),G100))</f>
        <v>0</v>
      </c>
      <c r="H99" s="561">
        <f ca="1">(IFERROR(IFERROR(VALUE(_xll.BDH(H$4,"CURRENT_EV_TO_T12M_EBITDA",$B99,$B99)),VALUE(_xll.BDH(H$4,"CURRENT_EV_TO_T12M_EBITDA",$B99+1,$B99+1))),H100))</f>
        <v>0</v>
      </c>
      <c r="I99" s="565">
        <f t="shared" ca="1" si="24"/>
        <v>45287</v>
      </c>
      <c r="J99" s="561">
        <f ca="1">(IFERROR(IFERROR(VALUE(_xll.BDH(J$4,"PE_RATIO",$B99,$B99)),VALUE(_xll.BDH(J$4,"PE_RATIO",$B99+1,$B99+1))),J100))</f>
        <v>0</v>
      </c>
      <c r="K99" s="561">
        <f ca="1">(IFERROR(IFERROR(VALUE(_xll.BDH(K$4,"PE_RATIO",$B99,$B99)),VALUE(_xll.BDH(K$4,"PE_RATIO",$B99+1,$B99+1))),K100))</f>
        <v>0</v>
      </c>
      <c r="L99" s="561">
        <f ca="1">(IFERROR(IFERROR(VALUE(_xll.BDH(L$4,"PE_RATIO",$B99,$B99)),VALUE(_xll.BDH(L$4,"PE_RATIO",$B99+1,$B99+1))),L100))</f>
        <v>0</v>
      </c>
      <c r="M99" s="561">
        <f ca="1">(IFERROR(IFERROR(VALUE(_xll.BDH(M$4,"PE_RATIO",$B99,$B99)),VALUE(_xll.BDH(M$4,"PE_RATIO",$B99+1,$B99+1))),M100))</f>
        <v>0</v>
      </c>
      <c r="N99" s="561">
        <f ca="1">(IFERROR(IFERROR(VALUE(_xll.BDH(N$4,"PE_RATIO",$B99,$B99)),VALUE(_xll.BDH(N$4,"PE_RATIO",$B99+1,$B99+1))),N100))</f>
        <v>0</v>
      </c>
      <c r="O99" s="561">
        <f ca="1">(IFERROR(IFERROR(VALUE(_xll.BDH(O$4,"PE_RATIO",$B99,$B99)),VALUE(_xll.BDH(O$4,"PE_RATIO",$B99+1,$B99+1))),O100))</f>
        <v>0</v>
      </c>
      <c r="P99" s="561"/>
      <c r="Q99" s="565">
        <f t="shared" ca="1" si="25"/>
        <v>45287</v>
      </c>
      <c r="R99" s="4">
        <v>123.47</v>
      </c>
      <c r="S99" s="4">
        <v>15933.62</v>
      </c>
      <c r="T99" s="4">
        <v>996.99</v>
      </c>
      <c r="U99" s="4">
        <v>0.9958061133962417</v>
      </c>
      <c r="V99" s="4">
        <v>1.4135888393550249</v>
      </c>
      <c r="W99" s="4">
        <v>1.3433626172253963</v>
      </c>
      <c r="Y99" s="561">
        <f t="shared" si="26"/>
        <v>123.47</v>
      </c>
      <c r="Z99" s="4">
        <f ca="1">IFERROR(VALUE(_xll.BDH(Z$4,"PX_LAST",$Q99,$Q99)),Z100)</f>
        <v>0</v>
      </c>
      <c r="AA99" s="4">
        <f ca="1">IFERROR(VALUE(_xll.BDH(AA$4,"PX_LAST",$Q99,$Q99)),AA100)</f>
        <v>0</v>
      </c>
      <c r="AB99" s="4">
        <f ca="1">IFERROR(VALUE(_xll.BDH(AB$4,"PX_LAST",$Q99,$Q99)),AB100)</f>
        <v>0</v>
      </c>
      <c r="AC99" s="4">
        <f ca="1">IFERROR(VALUE(_xll.BDH(AC$4,"PX_LAST",$Q99,$Q99)),AC100)</f>
        <v>0</v>
      </c>
      <c r="AD99" s="4">
        <f ca="1">IFERROR(VALUE(_xll.BDH(AD$4,"PX_LAST",$Q99,$Q99)),AD100)</f>
        <v>0</v>
      </c>
      <c r="AF99" s="4">
        <f t="shared" si="27"/>
        <v>0.9958061133962417</v>
      </c>
      <c r="AG99" s="4" t="e">
        <f t="shared" ca="1" si="28"/>
        <v>#DIV/0!</v>
      </c>
      <c r="AH99" s="4" t="e">
        <f t="shared" ca="1" si="29"/>
        <v>#DIV/0!</v>
      </c>
      <c r="AI99" s="4" t="e">
        <f t="shared" ca="1" si="30"/>
        <v>#DIV/0!</v>
      </c>
      <c r="AJ99" s="4" t="e">
        <f t="shared" ca="1" si="31"/>
        <v>#DIV/0!</v>
      </c>
      <c r="AK99" s="4" t="e">
        <f t="shared" ca="1" si="32"/>
        <v>#DIV/0!</v>
      </c>
      <c r="AM99" s="563">
        <f t="shared" ca="1" si="33"/>
        <v>45850</v>
      </c>
      <c r="AN99" s="564">
        <v>147.22</v>
      </c>
      <c r="AO99" s="564">
        <v>589356</v>
      </c>
      <c r="AP99" s="564">
        <v>53481.521000000001</v>
      </c>
      <c r="AQ99" s="564">
        <v>7873549.5216199998</v>
      </c>
      <c r="AR99" s="564">
        <v>2.0518000000000001</v>
      </c>
    </row>
    <row r="100" spans="2:44">
      <c r="B100" s="565">
        <f t="shared" ca="1" si="34"/>
        <v>45280</v>
      </c>
      <c r="C100" s="561">
        <f ca="1">(IFERROR(IFERROR(VALUE(_xll.BDH(C$4,"CURRENT_EV_TO_T12M_EBITDA",$B100,$B100)),VALUE(_xll.BDH(C$4,"CURRENT_EV_TO_T12M_EBITDA",$B100+1,$B100+1))),C101))</f>
        <v>0</v>
      </c>
      <c r="D100" s="561">
        <f ca="1">(IFERROR(IFERROR(VALUE(_xll.BDH(D$4,"CURRENT_EV_TO_T12M_EBITDA",$B100,$B100)),VALUE(_xll.BDH(D$4,"CURRENT_EV_TO_T12M_EBITDA",$B100+1,$B100+1))),D101))</f>
        <v>0</v>
      </c>
      <c r="E100" s="561">
        <f ca="1">(IFERROR(IFERROR(VALUE(_xll.BDH(E$4,"CURRENT_EV_TO_T12M_EBITDA",$B100,$B100)),VALUE(_xll.BDH(E$4,"CURRENT_EV_TO_T12M_EBITDA",$B100+1,$B100+1))),E101))</f>
        <v>0</v>
      </c>
      <c r="F100" s="561">
        <f ca="1">(IFERROR(IFERROR(VALUE(_xll.BDH(F$4,"CURRENT_EV_TO_T12M_EBITDA",$B100,$B100)),VALUE(_xll.BDH(F$4,"CURRENT_EV_TO_T12M_EBITDA",$B100+1,$B100+1))),F101))</f>
        <v>0</v>
      </c>
      <c r="G100" s="561">
        <f ca="1">(IFERROR(IFERROR(VALUE(_xll.BDH(G$4,"CURRENT_EV_TO_T12M_EBITDA",$B100,$B100)),VALUE(_xll.BDH(G$4,"CURRENT_EV_TO_T12M_EBITDA",$B100+1,$B100+1))),G101))</f>
        <v>0</v>
      </c>
      <c r="H100" s="561">
        <f ca="1">(IFERROR(IFERROR(VALUE(_xll.BDH(H$4,"CURRENT_EV_TO_T12M_EBITDA",$B100,$B100)),VALUE(_xll.BDH(H$4,"CURRENT_EV_TO_T12M_EBITDA",$B100+1,$B100+1))),H101))</f>
        <v>0</v>
      </c>
      <c r="I100" s="565">
        <f t="shared" ca="1" si="24"/>
        <v>45280</v>
      </c>
      <c r="J100" s="561">
        <f ca="1">(IFERROR(IFERROR(VALUE(_xll.BDH(J$4,"PE_RATIO",$B100,$B100)),VALUE(_xll.BDH(J$4,"PE_RATIO",$B100+1,$B100+1))),J101))</f>
        <v>0</v>
      </c>
      <c r="K100" s="561">
        <f ca="1">(IFERROR(IFERROR(VALUE(_xll.BDH(K$4,"PE_RATIO",$B100,$B100)),VALUE(_xll.BDH(K$4,"PE_RATIO",$B100+1,$B100+1))),K101))</f>
        <v>0</v>
      </c>
      <c r="L100" s="561">
        <f ca="1">(IFERROR(IFERROR(VALUE(_xll.BDH(L$4,"PE_RATIO",$B100,$B100)),VALUE(_xll.BDH(L$4,"PE_RATIO",$B100+1,$B100+1))),L101))</f>
        <v>0</v>
      </c>
      <c r="M100" s="561">
        <f ca="1">(IFERROR(IFERROR(VALUE(_xll.BDH(M$4,"PE_RATIO",$B100,$B100)),VALUE(_xll.BDH(M$4,"PE_RATIO",$B100+1,$B100+1))),M101))</f>
        <v>0</v>
      </c>
      <c r="N100" s="561">
        <f ca="1">(IFERROR(IFERROR(VALUE(_xll.BDH(N$4,"PE_RATIO",$B100,$B100)),VALUE(_xll.BDH(N$4,"PE_RATIO",$B100+1,$B100+1))),N101))</f>
        <v>0</v>
      </c>
      <c r="O100" s="561">
        <f ca="1">(IFERROR(IFERROR(VALUE(_xll.BDH(O$4,"PE_RATIO",$B100,$B100)),VALUE(_xll.BDH(O$4,"PE_RATIO",$B100+1,$B100+1))),O101))</f>
        <v>0</v>
      </c>
      <c r="P100" s="561"/>
      <c r="Q100" s="565">
        <f t="shared" ca="1" si="25"/>
        <v>45280</v>
      </c>
      <c r="R100" s="4">
        <v>124.14</v>
      </c>
      <c r="S100" s="4">
        <v>15812.47</v>
      </c>
      <c r="T100" s="4">
        <v>988.24</v>
      </c>
      <c r="U100" s="4">
        <v>1.0012097749818534</v>
      </c>
      <c r="V100" s="4">
        <v>1.4028407301439438</v>
      </c>
      <c r="W100" s="4">
        <v>1.3315727066939744</v>
      </c>
      <c r="Y100" s="561">
        <f t="shared" si="26"/>
        <v>124.14</v>
      </c>
      <c r="Z100" s="4">
        <f ca="1">IFERROR(VALUE(_xll.BDH(Z$4,"PX_LAST",$Q100,$Q100)),Z101)</f>
        <v>0</v>
      </c>
      <c r="AA100" s="4">
        <f ca="1">IFERROR(VALUE(_xll.BDH(AA$4,"PX_LAST",$Q100,$Q100)),AA101)</f>
        <v>0</v>
      </c>
      <c r="AB100" s="4">
        <f ca="1">IFERROR(VALUE(_xll.BDH(AB$4,"PX_LAST",$Q100,$Q100)),AB101)</f>
        <v>0</v>
      </c>
      <c r="AC100" s="4">
        <f ca="1">IFERROR(VALUE(_xll.BDH(AC$4,"PX_LAST",$Q100,$Q100)),AC101)</f>
        <v>0</v>
      </c>
      <c r="AD100" s="4">
        <f ca="1">IFERROR(VALUE(_xll.BDH(AD$4,"PX_LAST",$Q100,$Q100)),AD101)</f>
        <v>0</v>
      </c>
      <c r="AF100" s="4">
        <f t="shared" si="27"/>
        <v>1.0012097749818534</v>
      </c>
      <c r="AG100" s="4" t="e">
        <f t="shared" ca="1" si="28"/>
        <v>#DIV/0!</v>
      </c>
      <c r="AH100" s="4" t="e">
        <f t="shared" ca="1" si="29"/>
        <v>#DIV/0!</v>
      </c>
      <c r="AI100" s="4" t="e">
        <f t="shared" ca="1" si="30"/>
        <v>#DIV/0!</v>
      </c>
      <c r="AJ100" s="4" t="e">
        <f t="shared" ca="1" si="31"/>
        <v>#DIV/0!</v>
      </c>
      <c r="AK100" s="4" t="e">
        <f t="shared" ca="1" si="32"/>
        <v>#DIV/0!</v>
      </c>
      <c r="AM100" s="563">
        <f t="shared" ca="1" si="33"/>
        <v>45849</v>
      </c>
      <c r="AN100" s="564">
        <v>147.13999999999999</v>
      </c>
      <c r="AO100" s="564">
        <v>716131</v>
      </c>
      <c r="AP100" s="564">
        <v>53481.521000000001</v>
      </c>
      <c r="AQ100" s="564">
        <v>7869270.9999399995</v>
      </c>
      <c r="AR100" s="564">
        <v>2.0507</v>
      </c>
    </row>
    <row r="101" spans="2:44">
      <c r="B101" s="565">
        <f t="shared" ca="1" si="34"/>
        <v>45273</v>
      </c>
      <c r="C101" s="561">
        <f ca="1">(IFERROR(IFERROR(VALUE(_xll.BDH(C$4,"CURRENT_EV_TO_T12M_EBITDA",$B101,$B101)),VALUE(_xll.BDH(C$4,"CURRENT_EV_TO_T12M_EBITDA",$B101+1,$B101+1))),C102))</f>
        <v>0</v>
      </c>
      <c r="D101" s="561">
        <f ca="1">(IFERROR(IFERROR(VALUE(_xll.BDH(D$4,"CURRENT_EV_TO_T12M_EBITDA",$B101,$B101)),VALUE(_xll.BDH(D$4,"CURRENT_EV_TO_T12M_EBITDA",$B101+1,$B101+1))),D102))</f>
        <v>0</v>
      </c>
      <c r="E101" s="561">
        <f ca="1">(IFERROR(IFERROR(VALUE(_xll.BDH(E$4,"CURRENT_EV_TO_T12M_EBITDA",$B101,$B101)),VALUE(_xll.BDH(E$4,"CURRENT_EV_TO_T12M_EBITDA",$B101+1,$B101+1))),E102))</f>
        <v>0</v>
      </c>
      <c r="F101" s="561">
        <f ca="1">(IFERROR(IFERROR(VALUE(_xll.BDH(F$4,"CURRENT_EV_TO_T12M_EBITDA",$B101,$B101)),VALUE(_xll.BDH(F$4,"CURRENT_EV_TO_T12M_EBITDA",$B101+1,$B101+1))),F102))</f>
        <v>0</v>
      </c>
      <c r="G101" s="561">
        <f ca="1">(IFERROR(IFERROR(VALUE(_xll.BDH(G$4,"CURRENT_EV_TO_T12M_EBITDA",$B101,$B101)),VALUE(_xll.BDH(G$4,"CURRENT_EV_TO_T12M_EBITDA",$B101+1,$B101+1))),G102))</f>
        <v>0</v>
      </c>
      <c r="H101" s="561">
        <f ca="1">(IFERROR(IFERROR(VALUE(_xll.BDH(H$4,"CURRENT_EV_TO_T12M_EBITDA",$B101,$B101)),VALUE(_xll.BDH(H$4,"CURRENT_EV_TO_T12M_EBITDA",$B101+1,$B101+1))),H102))</f>
        <v>0</v>
      </c>
      <c r="I101" s="565">
        <f t="shared" ref="I101:I132" ca="1" si="35">+B101</f>
        <v>45273</v>
      </c>
      <c r="J101" s="561">
        <f ca="1">(IFERROR(IFERROR(VALUE(_xll.BDH(J$4,"PE_RATIO",$B101,$B101)),VALUE(_xll.BDH(J$4,"PE_RATIO",$B101+1,$B101+1))),J102))</f>
        <v>0</v>
      </c>
      <c r="K101" s="561">
        <f ca="1">(IFERROR(IFERROR(VALUE(_xll.BDH(K$4,"PE_RATIO",$B101,$B101)),VALUE(_xll.BDH(K$4,"PE_RATIO",$B101+1,$B101+1))),K102))</f>
        <v>0</v>
      </c>
      <c r="L101" s="561">
        <f ca="1">(IFERROR(IFERROR(VALUE(_xll.BDH(L$4,"PE_RATIO",$B101,$B101)),VALUE(_xll.BDH(L$4,"PE_RATIO",$B101+1,$B101+1))),L102))</f>
        <v>0</v>
      </c>
      <c r="M101" s="561">
        <f ca="1">(IFERROR(IFERROR(VALUE(_xll.BDH(M$4,"PE_RATIO",$B101,$B101)),VALUE(_xll.BDH(M$4,"PE_RATIO",$B101+1,$B101+1))),M102))</f>
        <v>0</v>
      </c>
      <c r="N101" s="561">
        <f ca="1">(IFERROR(IFERROR(VALUE(_xll.BDH(N$4,"PE_RATIO",$B101,$B101)),VALUE(_xll.BDH(N$4,"PE_RATIO",$B101+1,$B101+1))),N102))</f>
        <v>0</v>
      </c>
      <c r="O101" s="561">
        <f ca="1">(IFERROR(IFERROR(VALUE(_xll.BDH(O$4,"PE_RATIO",$B101,$B101)),VALUE(_xll.BDH(O$4,"PE_RATIO",$B101+1,$B101+1))),O102))</f>
        <v>0</v>
      </c>
      <c r="P101" s="561"/>
      <c r="Q101" s="565">
        <f t="shared" ref="Q101:Q132" ca="1" si="36">+I101</f>
        <v>45273</v>
      </c>
      <c r="R101" s="4">
        <v>114.46</v>
      </c>
      <c r="S101" s="4">
        <v>15296.02</v>
      </c>
      <c r="T101" s="4">
        <v>945.64</v>
      </c>
      <c r="U101" s="4">
        <v>0.92313896281958219</v>
      </c>
      <c r="V101" s="4">
        <v>1.357022645108346</v>
      </c>
      <c r="W101" s="4">
        <v>1.2741726851352808</v>
      </c>
      <c r="Y101" s="561">
        <f t="shared" ref="Y101:Y132" si="37">+R101</f>
        <v>114.46</v>
      </c>
      <c r="Z101" s="4">
        <f ca="1">IFERROR(VALUE(_xll.BDH(Z$4,"PX_LAST",$Q101,$Q101)),Z102)</f>
        <v>0</v>
      </c>
      <c r="AA101" s="4">
        <f ca="1">IFERROR(VALUE(_xll.BDH(AA$4,"PX_LAST",$Q101,$Q101)),AA102)</f>
        <v>0</v>
      </c>
      <c r="AB101" s="4">
        <f ca="1">IFERROR(VALUE(_xll.BDH(AB$4,"PX_LAST",$Q101,$Q101)),AB102)</f>
        <v>0</v>
      </c>
      <c r="AC101" s="4">
        <f ca="1">IFERROR(VALUE(_xll.BDH(AC$4,"PX_LAST",$Q101,$Q101)),AC102)</f>
        <v>0</v>
      </c>
      <c r="AD101" s="4">
        <f ca="1">IFERROR(VALUE(_xll.BDH(AD$4,"PX_LAST",$Q101,$Q101)),AD102)</f>
        <v>0</v>
      </c>
      <c r="AF101" s="4">
        <f t="shared" ref="AF101:AF132" si="38">+Y101/Y$159</f>
        <v>0.92313896281958219</v>
      </c>
      <c r="AG101" s="4" t="e">
        <f t="shared" ref="AG101:AG132" ca="1" si="39">+Z101/Z$159</f>
        <v>#DIV/0!</v>
      </c>
      <c r="AH101" s="4" t="e">
        <f t="shared" ref="AH101:AH132" ca="1" si="40">+AA101/AA$159</f>
        <v>#DIV/0!</v>
      </c>
      <c r="AI101" s="4" t="e">
        <f t="shared" ref="AI101:AI132" ca="1" si="41">+AB101/AB$159</f>
        <v>#DIV/0!</v>
      </c>
      <c r="AJ101" s="4" t="e">
        <f t="shared" ref="AJ101:AJ132" ca="1" si="42">+AC101/AC$159</f>
        <v>#DIV/0!</v>
      </c>
      <c r="AK101" s="4" t="e">
        <f t="shared" ref="AK101:AK132" ca="1" si="43">+AD101/AD$159</f>
        <v>#DIV/0!</v>
      </c>
      <c r="AM101" s="563">
        <f t="shared" ca="1" si="33"/>
        <v>45848</v>
      </c>
      <c r="AN101" s="564">
        <v>147.79</v>
      </c>
      <c r="AO101" s="564">
        <v>475336</v>
      </c>
      <c r="AP101" s="564">
        <v>53481.521000000001</v>
      </c>
      <c r="AQ101" s="564">
        <v>7904033.9885899993</v>
      </c>
      <c r="AR101" s="564">
        <v>2.0598000000000001</v>
      </c>
    </row>
    <row r="102" spans="2:44">
      <c r="B102" s="565">
        <f t="shared" ref="B102:B133" ca="1" si="44">+B101-7</f>
        <v>45266</v>
      </c>
      <c r="C102" s="561">
        <f ca="1">(IFERROR(IFERROR(VALUE(_xll.BDH(C$4,"CURRENT_EV_TO_T12M_EBITDA",$B102,$B102)),VALUE(_xll.BDH(C$4,"CURRENT_EV_TO_T12M_EBITDA",$B102+1,$B102+1))),C103))</f>
        <v>0</v>
      </c>
      <c r="D102" s="561">
        <f ca="1">(IFERROR(IFERROR(VALUE(_xll.BDH(D$4,"CURRENT_EV_TO_T12M_EBITDA",$B102,$B102)),VALUE(_xll.BDH(D$4,"CURRENT_EV_TO_T12M_EBITDA",$B102+1,$B102+1))),D103))</f>
        <v>0</v>
      </c>
      <c r="E102" s="561">
        <f ca="1">(IFERROR(IFERROR(VALUE(_xll.BDH(E$4,"CURRENT_EV_TO_T12M_EBITDA",$B102,$B102)),VALUE(_xll.BDH(E$4,"CURRENT_EV_TO_T12M_EBITDA",$B102+1,$B102+1))),E103))</f>
        <v>0</v>
      </c>
      <c r="F102" s="561">
        <f ca="1">(IFERROR(IFERROR(VALUE(_xll.BDH(F$4,"CURRENT_EV_TO_T12M_EBITDA",$B102,$B102)),VALUE(_xll.BDH(F$4,"CURRENT_EV_TO_T12M_EBITDA",$B102+1,$B102+1))),F103))</f>
        <v>0</v>
      </c>
      <c r="G102" s="561">
        <f ca="1">(IFERROR(IFERROR(VALUE(_xll.BDH(G$4,"CURRENT_EV_TO_T12M_EBITDA",$B102,$B102)),VALUE(_xll.BDH(G$4,"CURRENT_EV_TO_T12M_EBITDA",$B102+1,$B102+1))),G103))</f>
        <v>0</v>
      </c>
      <c r="H102" s="561">
        <f ca="1">(IFERROR(IFERROR(VALUE(_xll.BDH(H$4,"CURRENT_EV_TO_T12M_EBITDA",$B102,$B102)),VALUE(_xll.BDH(H$4,"CURRENT_EV_TO_T12M_EBITDA",$B102+1,$B102+1))),H103))</f>
        <v>0</v>
      </c>
      <c r="I102" s="565">
        <f t="shared" ca="1" si="35"/>
        <v>45266</v>
      </c>
      <c r="J102" s="561">
        <f ca="1">(IFERROR(IFERROR(VALUE(_xll.BDH(J$4,"PE_RATIO",$B102,$B102)),VALUE(_xll.BDH(J$4,"PE_RATIO",$B102+1,$B102+1))),J103))</f>
        <v>0</v>
      </c>
      <c r="K102" s="561">
        <f ca="1">(IFERROR(IFERROR(VALUE(_xll.BDH(K$4,"PE_RATIO",$B102,$B102)),VALUE(_xll.BDH(K$4,"PE_RATIO",$B102+1,$B102+1))),K103))</f>
        <v>0</v>
      </c>
      <c r="L102" s="561">
        <f ca="1">(IFERROR(IFERROR(VALUE(_xll.BDH(L$4,"PE_RATIO",$B102,$B102)),VALUE(_xll.BDH(L$4,"PE_RATIO",$B102+1,$B102+1))),L103))</f>
        <v>0</v>
      </c>
      <c r="M102" s="561">
        <f ca="1">(IFERROR(IFERROR(VALUE(_xll.BDH(M$4,"PE_RATIO",$B102,$B102)),VALUE(_xll.BDH(M$4,"PE_RATIO",$B102+1,$B102+1))),M103))</f>
        <v>0</v>
      </c>
      <c r="N102" s="561">
        <f ca="1">(IFERROR(IFERROR(VALUE(_xll.BDH(N$4,"PE_RATIO",$B102,$B102)),VALUE(_xll.BDH(N$4,"PE_RATIO",$B102+1,$B102+1))),N103))</f>
        <v>0</v>
      </c>
      <c r="O102" s="561">
        <f ca="1">(IFERROR(IFERROR(VALUE(_xll.BDH(O$4,"PE_RATIO",$B102,$B102)),VALUE(_xll.BDH(O$4,"PE_RATIO",$B102+1,$B102+1))),O103))</f>
        <v>0</v>
      </c>
      <c r="P102" s="561"/>
      <c r="Q102" s="565">
        <f t="shared" ca="1" si="36"/>
        <v>45266</v>
      </c>
      <c r="R102" s="4">
        <v>112.87</v>
      </c>
      <c r="S102" s="4">
        <v>14409.78</v>
      </c>
      <c r="T102" s="4">
        <v>911.06</v>
      </c>
      <c r="U102" s="4">
        <v>0.91031534801193648</v>
      </c>
      <c r="V102" s="4">
        <v>1.2783977643223103</v>
      </c>
      <c r="W102" s="4">
        <v>1.2275789587151018</v>
      </c>
      <c r="Y102" s="561">
        <f t="shared" si="37"/>
        <v>112.87</v>
      </c>
      <c r="Z102" s="4">
        <f ca="1">IFERROR(VALUE(_xll.BDH(Z$4,"PX_LAST",$Q102,$Q102)),Z103)</f>
        <v>0</v>
      </c>
      <c r="AA102" s="4">
        <f ca="1">IFERROR(VALUE(_xll.BDH(AA$4,"PX_LAST",$Q102,$Q102)),AA103)</f>
        <v>0</v>
      </c>
      <c r="AB102" s="4">
        <f ca="1">IFERROR(VALUE(_xll.BDH(AB$4,"PX_LAST",$Q102,$Q102)),AB103)</f>
        <v>0</v>
      </c>
      <c r="AC102" s="4">
        <f ca="1">IFERROR(VALUE(_xll.BDH(AC$4,"PX_LAST",$Q102,$Q102)),AC103)</f>
        <v>0</v>
      </c>
      <c r="AD102" s="4">
        <f ca="1">IFERROR(VALUE(_xll.BDH(AD$4,"PX_LAST",$Q102,$Q102)),AD103)</f>
        <v>0</v>
      </c>
      <c r="AF102" s="4">
        <f t="shared" si="38"/>
        <v>0.91031534801193648</v>
      </c>
      <c r="AG102" s="4" t="e">
        <f t="shared" ca="1" si="39"/>
        <v>#DIV/0!</v>
      </c>
      <c r="AH102" s="4" t="e">
        <f t="shared" ca="1" si="40"/>
        <v>#DIV/0!</v>
      </c>
      <c r="AI102" s="4" t="e">
        <f t="shared" ca="1" si="41"/>
        <v>#DIV/0!</v>
      </c>
      <c r="AJ102" s="4" t="e">
        <f t="shared" ca="1" si="42"/>
        <v>#DIV/0!</v>
      </c>
      <c r="AK102" s="4" t="e">
        <f t="shared" ca="1" si="43"/>
        <v>#DIV/0!</v>
      </c>
      <c r="AM102" s="563">
        <f t="shared" ca="1" si="33"/>
        <v>45847</v>
      </c>
      <c r="AN102" s="564">
        <v>147.88</v>
      </c>
      <c r="AO102" s="564">
        <v>603738</v>
      </c>
      <c r="AP102" s="564">
        <v>53481.521000000001</v>
      </c>
      <c r="AQ102" s="564">
        <v>7908847.3254800001</v>
      </c>
      <c r="AR102" s="564">
        <v>2.0609999999999999</v>
      </c>
    </row>
    <row r="103" spans="2:44">
      <c r="B103" s="565">
        <f t="shared" ca="1" si="44"/>
        <v>45259</v>
      </c>
      <c r="C103" s="561">
        <f ca="1">(IFERROR(IFERROR(VALUE(_xll.BDH(C$4,"CURRENT_EV_TO_T12M_EBITDA",$B103,$B103)),VALUE(_xll.BDH(C$4,"CURRENT_EV_TO_T12M_EBITDA",$B103+1,$B103+1))),C104))</f>
        <v>0</v>
      </c>
      <c r="D103" s="561">
        <f ca="1">(IFERROR(IFERROR(VALUE(_xll.BDH(D$4,"CURRENT_EV_TO_T12M_EBITDA",$B103,$B103)),VALUE(_xll.BDH(D$4,"CURRENT_EV_TO_T12M_EBITDA",$B103+1,$B103+1))),D104))</f>
        <v>0</v>
      </c>
      <c r="E103" s="561">
        <f ca="1">(IFERROR(IFERROR(VALUE(_xll.BDH(E$4,"CURRENT_EV_TO_T12M_EBITDA",$B103,$B103)),VALUE(_xll.BDH(E$4,"CURRENT_EV_TO_T12M_EBITDA",$B103+1,$B103+1))),E104))</f>
        <v>0</v>
      </c>
      <c r="F103" s="561">
        <f ca="1">(IFERROR(IFERROR(VALUE(_xll.BDH(F$4,"CURRENT_EV_TO_T12M_EBITDA",$B103,$B103)),VALUE(_xll.BDH(F$4,"CURRENT_EV_TO_T12M_EBITDA",$B103+1,$B103+1))),F104))</f>
        <v>0</v>
      </c>
      <c r="G103" s="561">
        <f ca="1">(IFERROR(IFERROR(VALUE(_xll.BDH(G$4,"CURRENT_EV_TO_T12M_EBITDA",$B103,$B103)),VALUE(_xll.BDH(G$4,"CURRENT_EV_TO_T12M_EBITDA",$B103+1,$B103+1))),G104))</f>
        <v>0</v>
      </c>
      <c r="H103" s="561">
        <f ca="1">(IFERROR(IFERROR(VALUE(_xll.BDH(H$4,"CURRENT_EV_TO_T12M_EBITDA",$B103,$B103)),VALUE(_xll.BDH(H$4,"CURRENT_EV_TO_T12M_EBITDA",$B103+1,$B103+1))),H104))</f>
        <v>0</v>
      </c>
      <c r="I103" s="565">
        <f t="shared" ca="1" si="35"/>
        <v>45259</v>
      </c>
      <c r="J103" s="561">
        <f ca="1">(IFERROR(IFERROR(VALUE(_xll.BDH(J$4,"PE_RATIO",$B103,$B103)),VALUE(_xll.BDH(J$4,"PE_RATIO",$B103+1,$B103+1))),J104))</f>
        <v>0</v>
      </c>
      <c r="K103" s="561">
        <f ca="1">(IFERROR(IFERROR(VALUE(_xll.BDH(K$4,"PE_RATIO",$B103,$B103)),VALUE(_xll.BDH(K$4,"PE_RATIO",$B103+1,$B103+1))),K104))</f>
        <v>0</v>
      </c>
      <c r="L103" s="561">
        <f ca="1">(IFERROR(IFERROR(VALUE(_xll.BDH(L$4,"PE_RATIO",$B103,$B103)),VALUE(_xll.BDH(L$4,"PE_RATIO",$B103+1,$B103+1))),L104))</f>
        <v>0</v>
      </c>
      <c r="M103" s="561">
        <f ca="1">(IFERROR(IFERROR(VALUE(_xll.BDH(M$4,"PE_RATIO",$B103,$B103)),VALUE(_xll.BDH(M$4,"PE_RATIO",$B103+1,$B103+1))),M104))</f>
        <v>0</v>
      </c>
      <c r="N103" s="561">
        <f ca="1">(IFERROR(IFERROR(VALUE(_xll.BDH(N$4,"PE_RATIO",$B103,$B103)),VALUE(_xll.BDH(N$4,"PE_RATIO",$B103+1,$B103+1))),N104))</f>
        <v>0</v>
      </c>
      <c r="O103" s="561">
        <f ca="1">(IFERROR(IFERROR(VALUE(_xll.BDH(O$4,"PE_RATIO",$B103,$B103)),VALUE(_xll.BDH(O$4,"PE_RATIO",$B103+1,$B103+1))),O104))</f>
        <v>0</v>
      </c>
      <c r="P103" s="561"/>
      <c r="Q103" s="565">
        <f t="shared" ca="1" si="36"/>
        <v>45259</v>
      </c>
      <c r="R103" s="4">
        <v>115.75</v>
      </c>
      <c r="S103" s="4">
        <v>14745.85</v>
      </c>
      <c r="T103" s="4">
        <v>912.93</v>
      </c>
      <c r="U103" s="4">
        <v>0.93354302766352126</v>
      </c>
      <c r="V103" s="4">
        <v>1.3082130104021115</v>
      </c>
      <c r="W103" s="4">
        <v>1.23009863102296</v>
      </c>
      <c r="Y103" s="561">
        <f t="shared" si="37"/>
        <v>115.75</v>
      </c>
      <c r="Z103" s="4">
        <f ca="1">IFERROR(VALUE(_xll.BDH(Z$4,"PX_LAST",$Q103,$Q103)),Z104)</f>
        <v>0</v>
      </c>
      <c r="AA103" s="4">
        <f ca="1">IFERROR(VALUE(_xll.BDH(AA$4,"PX_LAST",$Q103,$Q103)),AA104)</f>
        <v>0</v>
      </c>
      <c r="AB103" s="4">
        <f ca="1">IFERROR(VALUE(_xll.BDH(AB$4,"PX_LAST",$Q103,$Q103)),AB104)</f>
        <v>0</v>
      </c>
      <c r="AC103" s="4">
        <f ca="1">IFERROR(VALUE(_xll.BDH(AC$4,"PX_LAST",$Q103,$Q103)),AC104)</f>
        <v>0</v>
      </c>
      <c r="AD103" s="4">
        <f ca="1">IFERROR(VALUE(_xll.BDH(AD$4,"PX_LAST",$Q103,$Q103)),AD104)</f>
        <v>0</v>
      </c>
      <c r="AF103" s="4">
        <f t="shared" si="38"/>
        <v>0.93354302766352126</v>
      </c>
      <c r="AG103" s="4" t="e">
        <f t="shared" ca="1" si="39"/>
        <v>#DIV/0!</v>
      </c>
      <c r="AH103" s="4" t="e">
        <f t="shared" ca="1" si="40"/>
        <v>#DIV/0!</v>
      </c>
      <c r="AI103" s="4" t="e">
        <f t="shared" ca="1" si="41"/>
        <v>#DIV/0!</v>
      </c>
      <c r="AJ103" s="4" t="e">
        <f t="shared" ca="1" si="42"/>
        <v>#DIV/0!</v>
      </c>
      <c r="AK103" s="4" t="e">
        <f t="shared" ca="1" si="43"/>
        <v>#DIV/0!</v>
      </c>
      <c r="AM103" s="563">
        <f t="shared" ca="1" si="33"/>
        <v>45846</v>
      </c>
      <c r="AN103" s="564">
        <v>144.55000000000001</v>
      </c>
      <c r="AO103" s="564">
        <v>926297</v>
      </c>
      <c r="AP103" s="564">
        <v>53481.521000000001</v>
      </c>
      <c r="AQ103" s="564">
        <v>7730753.8605500003</v>
      </c>
      <c r="AR103" s="564">
        <v>2.0146000000000002</v>
      </c>
    </row>
    <row r="104" spans="2:44">
      <c r="B104" s="565">
        <f t="shared" ca="1" si="44"/>
        <v>45252</v>
      </c>
      <c r="C104" s="561">
        <f ca="1">(IFERROR(IFERROR(VALUE(_xll.BDH(C$4,"CURRENT_EV_TO_T12M_EBITDA",$B104,$B104)),VALUE(_xll.BDH(C$4,"CURRENT_EV_TO_T12M_EBITDA",$B104+1,$B104+1))),C105))</f>
        <v>0</v>
      </c>
      <c r="D104" s="561">
        <f ca="1">(IFERROR(IFERROR(VALUE(_xll.BDH(D$4,"CURRENT_EV_TO_T12M_EBITDA",$B104,$B104)),VALUE(_xll.BDH(D$4,"CURRENT_EV_TO_T12M_EBITDA",$B104+1,$B104+1))),D105))</f>
        <v>0</v>
      </c>
      <c r="E104" s="561">
        <f ca="1">(IFERROR(IFERROR(VALUE(_xll.BDH(E$4,"CURRENT_EV_TO_T12M_EBITDA",$B104,$B104)),VALUE(_xll.BDH(E$4,"CURRENT_EV_TO_T12M_EBITDA",$B104+1,$B104+1))),E105))</f>
        <v>0</v>
      </c>
      <c r="F104" s="561">
        <f ca="1">(IFERROR(IFERROR(VALUE(_xll.BDH(F$4,"CURRENT_EV_TO_T12M_EBITDA",$B104,$B104)),VALUE(_xll.BDH(F$4,"CURRENT_EV_TO_T12M_EBITDA",$B104+1,$B104+1))),F105))</f>
        <v>0</v>
      </c>
      <c r="G104" s="561">
        <f ca="1">(IFERROR(IFERROR(VALUE(_xll.BDH(G$4,"CURRENT_EV_TO_T12M_EBITDA",$B104,$B104)),VALUE(_xll.BDH(G$4,"CURRENT_EV_TO_T12M_EBITDA",$B104+1,$B104+1))),G105))</f>
        <v>0</v>
      </c>
      <c r="H104" s="561">
        <f ca="1">(IFERROR(IFERROR(VALUE(_xll.BDH(H$4,"CURRENT_EV_TO_T12M_EBITDA",$B104,$B104)),VALUE(_xll.BDH(H$4,"CURRENT_EV_TO_T12M_EBITDA",$B104+1,$B104+1))),H105))</f>
        <v>0</v>
      </c>
      <c r="I104" s="565">
        <f t="shared" ca="1" si="35"/>
        <v>45252</v>
      </c>
      <c r="J104" s="561">
        <f ca="1">(IFERROR(IFERROR(VALUE(_xll.BDH(J$4,"PE_RATIO",$B104,$B104)),VALUE(_xll.BDH(J$4,"PE_RATIO",$B104+1,$B104+1))),J105))</f>
        <v>0</v>
      </c>
      <c r="K104" s="561">
        <f ca="1">(IFERROR(IFERROR(VALUE(_xll.BDH(K$4,"PE_RATIO",$B104,$B104)),VALUE(_xll.BDH(K$4,"PE_RATIO",$B104+1,$B104+1))),K105))</f>
        <v>0</v>
      </c>
      <c r="L104" s="561">
        <f ca="1">(IFERROR(IFERROR(VALUE(_xll.BDH(L$4,"PE_RATIO",$B104,$B104)),VALUE(_xll.BDH(L$4,"PE_RATIO",$B104+1,$B104+1))),L105))</f>
        <v>0</v>
      </c>
      <c r="M104" s="561">
        <f ca="1">(IFERROR(IFERROR(VALUE(_xll.BDH(M$4,"PE_RATIO",$B104,$B104)),VALUE(_xll.BDH(M$4,"PE_RATIO",$B104+1,$B104+1))),M105))</f>
        <v>0</v>
      </c>
      <c r="N104" s="561">
        <f ca="1">(IFERROR(IFERROR(VALUE(_xll.BDH(N$4,"PE_RATIO",$B104,$B104)),VALUE(_xll.BDH(N$4,"PE_RATIO",$B104+1,$B104+1))),N105))</f>
        <v>0</v>
      </c>
      <c r="O104" s="561">
        <f ca="1">(IFERROR(IFERROR(VALUE(_xll.BDH(O$4,"PE_RATIO",$B104,$B104)),VALUE(_xll.BDH(O$4,"PE_RATIO",$B104+1,$B104+1))),O105))</f>
        <v>0</v>
      </c>
      <c r="P104" s="561"/>
      <c r="Q104" s="565">
        <f t="shared" ca="1" si="36"/>
        <v>45252</v>
      </c>
      <c r="R104" s="4">
        <v>125.54</v>
      </c>
      <c r="S104" s="4">
        <v>15122.01</v>
      </c>
      <c r="T104" s="4">
        <v>970.99</v>
      </c>
      <c r="U104" s="4">
        <v>1.0125010081458183</v>
      </c>
      <c r="V104" s="4">
        <v>1.3415849357908045</v>
      </c>
      <c r="W104" s="4">
        <v>1.308329740217743</v>
      </c>
      <c r="Y104" s="561">
        <f t="shared" si="37"/>
        <v>125.54</v>
      </c>
      <c r="Z104" s="4">
        <f ca="1">IFERROR(VALUE(_xll.BDH(Z$4,"PX_LAST",$Q104,$Q104)),Z105)</f>
        <v>0</v>
      </c>
      <c r="AA104" s="4">
        <f ca="1">IFERROR(VALUE(_xll.BDH(AA$4,"PX_LAST",$Q104,$Q104)),AA105)</f>
        <v>0</v>
      </c>
      <c r="AB104" s="4">
        <f ca="1">IFERROR(VALUE(_xll.BDH(AB$4,"PX_LAST",$Q104,$Q104)),AB105)</f>
        <v>0</v>
      </c>
      <c r="AC104" s="4">
        <f ca="1">IFERROR(VALUE(_xll.BDH(AC$4,"PX_LAST",$Q104,$Q104)),AC105)</f>
        <v>0</v>
      </c>
      <c r="AD104" s="4">
        <f ca="1">IFERROR(VALUE(_xll.BDH(AD$4,"PX_LAST",$Q104,$Q104)),AD105)</f>
        <v>0</v>
      </c>
      <c r="AF104" s="4">
        <f t="shared" si="38"/>
        <v>1.0125010081458183</v>
      </c>
      <c r="AG104" s="4" t="e">
        <f t="shared" ca="1" si="39"/>
        <v>#DIV/0!</v>
      </c>
      <c r="AH104" s="4" t="e">
        <f t="shared" ca="1" si="40"/>
        <v>#DIV/0!</v>
      </c>
      <c r="AI104" s="4" t="e">
        <f t="shared" ca="1" si="41"/>
        <v>#DIV/0!</v>
      </c>
      <c r="AJ104" s="4" t="e">
        <f t="shared" ca="1" si="42"/>
        <v>#DIV/0!</v>
      </c>
      <c r="AK104" s="4" t="e">
        <f t="shared" ca="1" si="43"/>
        <v>#DIV/0!</v>
      </c>
      <c r="AM104" s="563">
        <f t="shared" ca="1" si="33"/>
        <v>45845</v>
      </c>
      <c r="AN104" s="564">
        <v>146.13</v>
      </c>
      <c r="AO104" s="564">
        <v>527110</v>
      </c>
      <c r="AP104" s="564">
        <v>53481.521000000001</v>
      </c>
      <c r="AQ104" s="564">
        <v>7815254.6637300001</v>
      </c>
      <c r="AR104" s="564">
        <v>2.0366</v>
      </c>
    </row>
    <row r="105" spans="2:44">
      <c r="B105" s="565">
        <f t="shared" ca="1" si="44"/>
        <v>45245</v>
      </c>
      <c r="C105" s="561">
        <f ca="1">(IFERROR(IFERROR(VALUE(_xll.BDH(C$4,"CURRENT_EV_TO_T12M_EBITDA",$B105,$B105)),VALUE(_xll.BDH(C$4,"CURRENT_EV_TO_T12M_EBITDA",$B105+1,$B105+1))),C106))</f>
        <v>0</v>
      </c>
      <c r="D105" s="561">
        <f ca="1">(IFERROR(IFERROR(VALUE(_xll.BDH(D$4,"CURRENT_EV_TO_T12M_EBITDA",$B105,$B105)),VALUE(_xll.BDH(D$4,"CURRENT_EV_TO_T12M_EBITDA",$B105+1,$B105+1))),D106))</f>
        <v>0</v>
      </c>
      <c r="E105" s="561">
        <f ca="1">(IFERROR(IFERROR(VALUE(_xll.BDH(E$4,"CURRENT_EV_TO_T12M_EBITDA",$B105,$B105)),VALUE(_xll.BDH(E$4,"CURRENT_EV_TO_T12M_EBITDA",$B105+1,$B105+1))),E106))</f>
        <v>0</v>
      </c>
      <c r="F105" s="561">
        <f ca="1">(IFERROR(IFERROR(VALUE(_xll.BDH(F$4,"CURRENT_EV_TO_T12M_EBITDA",$B105,$B105)),VALUE(_xll.BDH(F$4,"CURRENT_EV_TO_T12M_EBITDA",$B105+1,$B105+1))),F106))</f>
        <v>0</v>
      </c>
      <c r="G105" s="561">
        <f ca="1">(IFERROR(IFERROR(VALUE(_xll.BDH(G$4,"CURRENT_EV_TO_T12M_EBITDA",$B105,$B105)),VALUE(_xll.BDH(G$4,"CURRENT_EV_TO_T12M_EBITDA",$B105+1,$B105+1))),G106))</f>
        <v>0</v>
      </c>
      <c r="H105" s="561">
        <f ca="1">(IFERROR(IFERROR(VALUE(_xll.BDH(H$4,"CURRENT_EV_TO_T12M_EBITDA",$B105,$B105)),VALUE(_xll.BDH(H$4,"CURRENT_EV_TO_T12M_EBITDA",$B105+1,$B105+1))),H106))</f>
        <v>0</v>
      </c>
      <c r="I105" s="565">
        <f t="shared" ca="1" si="35"/>
        <v>45245</v>
      </c>
      <c r="J105" s="561">
        <f ca="1">(IFERROR(IFERROR(VALUE(_xll.BDH(J$4,"PE_RATIO",$B105,$B105)),VALUE(_xll.BDH(J$4,"PE_RATIO",$B105+1,$B105+1))),J106))</f>
        <v>0</v>
      </c>
      <c r="K105" s="561">
        <f ca="1">(IFERROR(IFERROR(VALUE(_xll.BDH(K$4,"PE_RATIO",$B105,$B105)),VALUE(_xll.BDH(K$4,"PE_RATIO",$B105+1,$B105+1))),K106))</f>
        <v>0</v>
      </c>
      <c r="L105" s="561">
        <f ca="1">(IFERROR(IFERROR(VALUE(_xll.BDH(L$4,"PE_RATIO",$B105,$B105)),VALUE(_xll.BDH(L$4,"PE_RATIO",$B105+1,$B105+1))),L106))</f>
        <v>0</v>
      </c>
      <c r="M105" s="561">
        <f ca="1">(IFERROR(IFERROR(VALUE(_xll.BDH(M$4,"PE_RATIO",$B105,$B105)),VALUE(_xll.BDH(M$4,"PE_RATIO",$B105+1,$B105+1))),M106))</f>
        <v>0</v>
      </c>
      <c r="N105" s="561">
        <f ca="1">(IFERROR(IFERROR(VALUE(_xll.BDH(N$4,"PE_RATIO",$B105,$B105)),VALUE(_xll.BDH(N$4,"PE_RATIO",$B105+1,$B105+1))),N106))</f>
        <v>0</v>
      </c>
      <c r="O105" s="561">
        <f ca="1">(IFERROR(IFERROR(VALUE(_xll.BDH(O$4,"PE_RATIO",$B105,$B105)),VALUE(_xll.BDH(O$4,"PE_RATIO",$B105+1,$B105+1))),O106))</f>
        <v>0</v>
      </c>
      <c r="P105" s="561"/>
      <c r="Q105" s="565">
        <f t="shared" ca="1" si="36"/>
        <v>45245</v>
      </c>
      <c r="R105" s="4">
        <v>127.79</v>
      </c>
      <c r="S105" s="4">
        <v>15131.52</v>
      </c>
      <c r="T105" s="4">
        <v>966.23</v>
      </c>
      <c r="U105" s="4">
        <v>1.0306476328736189</v>
      </c>
      <c r="V105" s="4">
        <v>1.3424286379665979</v>
      </c>
      <c r="W105" s="4">
        <v>1.3019160288886493</v>
      </c>
      <c r="Y105" s="561">
        <f t="shared" si="37"/>
        <v>127.79</v>
      </c>
      <c r="Z105" s="4">
        <f ca="1">IFERROR(VALUE(_xll.BDH(Z$4,"PX_LAST",$Q105,$Q105)),Z106)</f>
        <v>0</v>
      </c>
      <c r="AA105" s="4">
        <f ca="1">IFERROR(VALUE(_xll.BDH(AA$4,"PX_LAST",$Q105,$Q105)),AA106)</f>
        <v>0</v>
      </c>
      <c r="AB105" s="4">
        <f ca="1">IFERROR(VALUE(_xll.BDH(AB$4,"PX_LAST",$Q105,$Q105)),AB106)</f>
        <v>0</v>
      </c>
      <c r="AC105" s="4">
        <f ca="1">IFERROR(VALUE(_xll.BDH(AC$4,"PX_LAST",$Q105,$Q105)),AC106)</f>
        <v>0</v>
      </c>
      <c r="AD105" s="4">
        <f ca="1">IFERROR(VALUE(_xll.BDH(AD$4,"PX_LAST",$Q105,$Q105)),AD106)</f>
        <v>0</v>
      </c>
      <c r="AF105" s="4">
        <f t="shared" si="38"/>
        <v>1.0306476328736189</v>
      </c>
      <c r="AG105" s="4" t="e">
        <f t="shared" ca="1" si="39"/>
        <v>#DIV/0!</v>
      </c>
      <c r="AH105" s="4" t="e">
        <f t="shared" ca="1" si="40"/>
        <v>#DIV/0!</v>
      </c>
      <c r="AI105" s="4" t="e">
        <f t="shared" ca="1" si="41"/>
        <v>#DIV/0!</v>
      </c>
      <c r="AJ105" s="4" t="e">
        <f t="shared" ca="1" si="42"/>
        <v>#DIV/0!</v>
      </c>
      <c r="AK105" s="4" t="e">
        <f t="shared" ca="1" si="43"/>
        <v>#DIV/0!</v>
      </c>
      <c r="AM105" s="563">
        <f t="shared" ca="1" si="33"/>
        <v>45844</v>
      </c>
      <c r="AN105" s="564">
        <v>146.13</v>
      </c>
      <c r="AO105" s="564">
        <v>527110</v>
      </c>
      <c r="AP105" s="564">
        <v>53481.521000000001</v>
      </c>
      <c r="AQ105" s="564">
        <v>7815254.6637300001</v>
      </c>
      <c r="AR105" s="564">
        <v>2.0366</v>
      </c>
    </row>
    <row r="106" spans="2:44">
      <c r="B106" s="565">
        <f t="shared" ca="1" si="44"/>
        <v>45238</v>
      </c>
      <c r="C106" s="561">
        <f ca="1">(IFERROR(IFERROR(VALUE(_xll.BDH(C$4,"CURRENT_EV_TO_T12M_EBITDA",$B106,$B106)),VALUE(_xll.BDH(C$4,"CURRENT_EV_TO_T12M_EBITDA",$B106+1,$B106+1))),C107))</f>
        <v>0</v>
      </c>
      <c r="D106" s="561">
        <f ca="1">(IFERROR(IFERROR(VALUE(_xll.BDH(D$4,"CURRENT_EV_TO_T12M_EBITDA",$B106,$B106)),VALUE(_xll.BDH(D$4,"CURRENT_EV_TO_T12M_EBITDA",$B106+1,$B106+1))),D107))</f>
        <v>0</v>
      </c>
      <c r="E106" s="561">
        <f ca="1">(IFERROR(IFERROR(VALUE(_xll.BDH(E$4,"CURRENT_EV_TO_T12M_EBITDA",$B106,$B106)),VALUE(_xll.BDH(E$4,"CURRENT_EV_TO_T12M_EBITDA",$B106+1,$B106+1))),E107))</f>
        <v>0</v>
      </c>
      <c r="F106" s="561">
        <f ca="1">(IFERROR(IFERROR(VALUE(_xll.BDH(F$4,"CURRENT_EV_TO_T12M_EBITDA",$B106,$B106)),VALUE(_xll.BDH(F$4,"CURRENT_EV_TO_T12M_EBITDA",$B106+1,$B106+1))),F107))</f>
        <v>0</v>
      </c>
      <c r="G106" s="561">
        <f ca="1">(IFERROR(IFERROR(VALUE(_xll.BDH(G$4,"CURRENT_EV_TO_T12M_EBITDA",$B106,$B106)),VALUE(_xll.BDH(G$4,"CURRENT_EV_TO_T12M_EBITDA",$B106+1,$B106+1))),G107))</f>
        <v>0</v>
      </c>
      <c r="H106" s="561">
        <f ca="1">(IFERROR(IFERROR(VALUE(_xll.BDH(H$4,"CURRENT_EV_TO_T12M_EBITDA",$B106,$B106)),VALUE(_xll.BDH(H$4,"CURRENT_EV_TO_T12M_EBITDA",$B106+1,$B106+1))),H107))</f>
        <v>0</v>
      </c>
      <c r="I106" s="565">
        <f t="shared" ca="1" si="35"/>
        <v>45238</v>
      </c>
      <c r="J106" s="561">
        <f ca="1">(IFERROR(IFERROR(VALUE(_xll.BDH(J$4,"PE_RATIO",$B106,$B106)),VALUE(_xll.BDH(J$4,"PE_RATIO",$B106+1,$B106+1))),J107))</f>
        <v>0</v>
      </c>
      <c r="K106" s="561">
        <f ca="1">(IFERROR(IFERROR(VALUE(_xll.BDH(K$4,"PE_RATIO",$B106,$B106)),VALUE(_xll.BDH(K$4,"PE_RATIO",$B106+1,$B106+1))),K107))</f>
        <v>0</v>
      </c>
      <c r="L106" s="561">
        <f ca="1">(IFERROR(IFERROR(VALUE(_xll.BDH(L$4,"PE_RATIO",$B106,$B106)),VALUE(_xll.BDH(L$4,"PE_RATIO",$B106+1,$B106+1))),L107))</f>
        <v>0</v>
      </c>
      <c r="M106" s="561">
        <f ca="1">(IFERROR(IFERROR(VALUE(_xll.BDH(M$4,"PE_RATIO",$B106,$B106)),VALUE(_xll.BDH(M$4,"PE_RATIO",$B106+1,$B106+1))),M107))</f>
        <v>0</v>
      </c>
      <c r="N106" s="561">
        <f ca="1">(IFERROR(IFERROR(VALUE(_xll.BDH(N$4,"PE_RATIO",$B106,$B106)),VALUE(_xll.BDH(N$4,"PE_RATIO",$B106+1,$B106+1))),N107))</f>
        <v>0</v>
      </c>
      <c r="O106" s="561">
        <f ca="1">(IFERROR(IFERROR(VALUE(_xll.BDH(O$4,"PE_RATIO",$B106,$B106)),VALUE(_xll.BDH(O$4,"PE_RATIO",$B106+1,$B106+1))),O107))</f>
        <v>0</v>
      </c>
      <c r="P106" s="561"/>
      <c r="Q106" s="565">
        <f t="shared" ca="1" si="36"/>
        <v>45238</v>
      </c>
      <c r="R106" s="4">
        <v>123.65</v>
      </c>
      <c r="S106" s="4">
        <v>14565.62</v>
      </c>
      <c r="T106" s="4">
        <v>941.98</v>
      </c>
      <c r="U106" s="4">
        <v>0.99725784337446577</v>
      </c>
      <c r="V106" s="4">
        <v>1.2922234790516114</v>
      </c>
      <c r="W106" s="4">
        <v>1.2692411339872804</v>
      </c>
      <c r="Y106" s="561">
        <f t="shared" si="37"/>
        <v>123.65</v>
      </c>
      <c r="Z106" s="4">
        <f ca="1">IFERROR(VALUE(_xll.BDH(Z$4,"PX_LAST",$Q106,$Q106)),Z107)</f>
        <v>0</v>
      </c>
      <c r="AA106" s="4">
        <f ca="1">IFERROR(VALUE(_xll.BDH(AA$4,"PX_LAST",$Q106,$Q106)),AA107)</f>
        <v>0</v>
      </c>
      <c r="AB106" s="4">
        <f ca="1">IFERROR(VALUE(_xll.BDH(AB$4,"PX_LAST",$Q106,$Q106)),AB107)</f>
        <v>0</v>
      </c>
      <c r="AC106" s="4">
        <f ca="1">IFERROR(VALUE(_xll.BDH(AC$4,"PX_LAST",$Q106,$Q106)),AC107)</f>
        <v>0</v>
      </c>
      <c r="AD106" s="4">
        <f ca="1">IFERROR(VALUE(_xll.BDH(AD$4,"PX_LAST",$Q106,$Q106)),AD107)</f>
        <v>0</v>
      </c>
      <c r="AF106" s="4">
        <f t="shared" si="38"/>
        <v>0.99725784337446577</v>
      </c>
      <c r="AG106" s="4" t="e">
        <f t="shared" ca="1" si="39"/>
        <v>#DIV/0!</v>
      </c>
      <c r="AH106" s="4" t="e">
        <f t="shared" ca="1" si="40"/>
        <v>#DIV/0!</v>
      </c>
      <c r="AI106" s="4" t="e">
        <f t="shared" ca="1" si="41"/>
        <v>#DIV/0!</v>
      </c>
      <c r="AJ106" s="4" t="e">
        <f t="shared" ca="1" si="42"/>
        <v>#DIV/0!</v>
      </c>
      <c r="AK106" s="4" t="e">
        <f t="shared" ca="1" si="43"/>
        <v>#DIV/0!</v>
      </c>
      <c r="AM106" s="563">
        <f t="shared" ca="1" si="33"/>
        <v>45843</v>
      </c>
      <c r="AN106" s="564">
        <v>146.13</v>
      </c>
      <c r="AO106" s="564">
        <v>527110</v>
      </c>
      <c r="AP106" s="564">
        <v>53481.521000000001</v>
      </c>
      <c r="AQ106" s="564">
        <v>7815254.6637300001</v>
      </c>
      <c r="AR106" s="564">
        <v>2.0366</v>
      </c>
    </row>
    <row r="107" spans="2:44">
      <c r="B107" s="565">
        <f t="shared" ca="1" si="44"/>
        <v>45231</v>
      </c>
      <c r="C107" s="561">
        <f ca="1">(IFERROR(IFERROR(VALUE(_xll.BDH(C$4,"CURRENT_EV_TO_T12M_EBITDA",$B107,$B107)),VALUE(_xll.BDH(C$4,"CURRENT_EV_TO_T12M_EBITDA",$B107+1,$B107+1))),C108))</f>
        <v>0</v>
      </c>
      <c r="D107" s="561">
        <f ca="1">(IFERROR(IFERROR(VALUE(_xll.BDH(D$4,"CURRENT_EV_TO_T12M_EBITDA",$B107,$B107)),VALUE(_xll.BDH(D$4,"CURRENT_EV_TO_T12M_EBITDA",$B107+1,$B107+1))),D108))</f>
        <v>0</v>
      </c>
      <c r="E107" s="561">
        <f ca="1">(IFERROR(IFERROR(VALUE(_xll.BDH(E$4,"CURRENT_EV_TO_T12M_EBITDA",$B107,$B107)),VALUE(_xll.BDH(E$4,"CURRENT_EV_TO_T12M_EBITDA",$B107+1,$B107+1))),E108))</f>
        <v>0</v>
      </c>
      <c r="F107" s="561">
        <f ca="1">(IFERROR(IFERROR(VALUE(_xll.BDH(F$4,"CURRENT_EV_TO_T12M_EBITDA",$B107,$B107)),VALUE(_xll.BDH(F$4,"CURRENT_EV_TO_T12M_EBITDA",$B107+1,$B107+1))),F108))</f>
        <v>0</v>
      </c>
      <c r="G107" s="561">
        <f ca="1">(IFERROR(IFERROR(VALUE(_xll.BDH(G$4,"CURRENT_EV_TO_T12M_EBITDA",$B107,$B107)),VALUE(_xll.BDH(G$4,"CURRENT_EV_TO_T12M_EBITDA",$B107+1,$B107+1))),G108))</f>
        <v>0</v>
      </c>
      <c r="H107" s="561">
        <f ca="1">(IFERROR(IFERROR(VALUE(_xll.BDH(H$4,"CURRENT_EV_TO_T12M_EBITDA",$B107,$B107)),VALUE(_xll.BDH(H$4,"CURRENT_EV_TO_T12M_EBITDA",$B107+1,$B107+1))),H108))</f>
        <v>0</v>
      </c>
      <c r="I107" s="565">
        <f t="shared" ca="1" si="35"/>
        <v>45231</v>
      </c>
      <c r="J107" s="561">
        <f ca="1">(IFERROR(IFERROR(VALUE(_xll.BDH(J$4,"PE_RATIO",$B107,$B107)),VALUE(_xll.BDH(J$4,"PE_RATIO",$B107+1,$B107+1))),J108))</f>
        <v>0</v>
      </c>
      <c r="K107" s="561">
        <f ca="1">(IFERROR(IFERROR(VALUE(_xll.BDH(K$4,"PE_RATIO",$B107,$B107)),VALUE(_xll.BDH(K$4,"PE_RATIO",$B107+1,$B107+1))),K108))</f>
        <v>0</v>
      </c>
      <c r="L107" s="561">
        <f ca="1">(IFERROR(IFERROR(VALUE(_xll.BDH(L$4,"PE_RATIO",$B107,$B107)),VALUE(_xll.BDH(L$4,"PE_RATIO",$B107+1,$B107+1))),L108))</f>
        <v>0</v>
      </c>
      <c r="M107" s="561">
        <f ca="1">(IFERROR(IFERROR(VALUE(_xll.BDH(M$4,"PE_RATIO",$B107,$B107)),VALUE(_xll.BDH(M$4,"PE_RATIO",$B107+1,$B107+1))),M108))</f>
        <v>0</v>
      </c>
      <c r="N107" s="561">
        <f ca="1">(IFERROR(IFERROR(VALUE(_xll.BDH(N$4,"PE_RATIO",$B107,$B107)),VALUE(_xll.BDH(N$4,"PE_RATIO",$B107+1,$B107+1))),N108))</f>
        <v>0</v>
      </c>
      <c r="O107" s="561">
        <f ca="1">(IFERROR(IFERROR(VALUE(_xll.BDH(O$4,"PE_RATIO",$B107,$B107)),VALUE(_xll.BDH(O$4,"PE_RATIO",$B107+1,$B107+1))),O108))</f>
        <v>0</v>
      </c>
      <c r="P107" s="561"/>
      <c r="Q107" s="565">
        <f t="shared" ca="1" si="36"/>
        <v>45231</v>
      </c>
      <c r="R107" s="4">
        <v>127.68</v>
      </c>
      <c r="S107" s="4">
        <v>14545.83</v>
      </c>
      <c r="T107" s="4">
        <v>943.84</v>
      </c>
      <c r="U107" s="4">
        <v>1.0297604645535932</v>
      </c>
      <c r="V107" s="4">
        <v>1.2904677623261693</v>
      </c>
      <c r="W107" s="4">
        <v>1.2717473321116741</v>
      </c>
      <c r="Y107" s="561">
        <f t="shared" si="37"/>
        <v>127.68</v>
      </c>
      <c r="Z107" s="4">
        <f ca="1">IFERROR(VALUE(_xll.BDH(Z$4,"PX_LAST",$Q107,$Q107)),Z108)</f>
        <v>0</v>
      </c>
      <c r="AA107" s="4">
        <f ca="1">IFERROR(VALUE(_xll.BDH(AA$4,"PX_LAST",$Q107,$Q107)),AA108)</f>
        <v>0</v>
      </c>
      <c r="AB107" s="4">
        <f ca="1">IFERROR(VALUE(_xll.BDH(AB$4,"PX_LAST",$Q107,$Q107)),AB108)</f>
        <v>0</v>
      </c>
      <c r="AC107" s="4">
        <f ca="1">IFERROR(VALUE(_xll.BDH(AC$4,"PX_LAST",$Q107,$Q107)),AC108)</f>
        <v>0</v>
      </c>
      <c r="AD107" s="4">
        <f ca="1">IFERROR(VALUE(_xll.BDH(AD$4,"PX_LAST",$Q107,$Q107)),AD108)</f>
        <v>0</v>
      </c>
      <c r="AF107" s="4">
        <f t="shared" si="38"/>
        <v>1.0297604645535932</v>
      </c>
      <c r="AG107" s="4" t="e">
        <f t="shared" ca="1" si="39"/>
        <v>#DIV/0!</v>
      </c>
      <c r="AH107" s="4" t="e">
        <f t="shared" ca="1" si="40"/>
        <v>#DIV/0!</v>
      </c>
      <c r="AI107" s="4" t="e">
        <f t="shared" ca="1" si="41"/>
        <v>#DIV/0!</v>
      </c>
      <c r="AJ107" s="4" t="e">
        <f t="shared" ca="1" si="42"/>
        <v>#DIV/0!</v>
      </c>
      <c r="AK107" s="4" t="e">
        <f t="shared" ca="1" si="43"/>
        <v>#DIV/0!</v>
      </c>
      <c r="AM107" s="563">
        <f t="shared" ca="1" si="33"/>
        <v>45842</v>
      </c>
      <c r="AN107" s="564">
        <v>147.46</v>
      </c>
      <c r="AO107" s="564">
        <v>532281</v>
      </c>
      <c r="AP107" s="564">
        <v>53481.521000000001</v>
      </c>
      <c r="AQ107" s="564">
        <v>7886385.0866600005</v>
      </c>
      <c r="AR107" s="564">
        <v>2.0552000000000001</v>
      </c>
    </row>
    <row r="108" spans="2:44">
      <c r="B108" s="565">
        <f t="shared" ca="1" si="44"/>
        <v>45224</v>
      </c>
      <c r="C108" s="561">
        <f ca="1">(IFERROR(IFERROR(VALUE(_xll.BDH(C$4,"CURRENT_EV_TO_T12M_EBITDA",$B108,$B108)),VALUE(_xll.BDH(C$4,"CURRENT_EV_TO_T12M_EBITDA",$B108+1,$B108+1))),C109))</f>
        <v>0</v>
      </c>
      <c r="D108" s="561">
        <f ca="1">(IFERROR(IFERROR(VALUE(_xll.BDH(D$4,"CURRENT_EV_TO_T12M_EBITDA",$B108,$B108)),VALUE(_xll.BDH(D$4,"CURRENT_EV_TO_T12M_EBITDA",$B108+1,$B108+1))),D109))</f>
        <v>0</v>
      </c>
      <c r="E108" s="561">
        <f ca="1">(IFERROR(IFERROR(VALUE(_xll.BDH(E$4,"CURRENT_EV_TO_T12M_EBITDA",$B108,$B108)),VALUE(_xll.BDH(E$4,"CURRENT_EV_TO_T12M_EBITDA",$B108+1,$B108+1))),E109))</f>
        <v>0</v>
      </c>
      <c r="F108" s="561">
        <f ca="1">(IFERROR(IFERROR(VALUE(_xll.BDH(F$4,"CURRENT_EV_TO_T12M_EBITDA",$B108,$B108)),VALUE(_xll.BDH(F$4,"CURRENT_EV_TO_T12M_EBITDA",$B108+1,$B108+1))),F109))</f>
        <v>0</v>
      </c>
      <c r="G108" s="561">
        <f ca="1">(IFERROR(IFERROR(VALUE(_xll.BDH(G$4,"CURRENT_EV_TO_T12M_EBITDA",$B108,$B108)),VALUE(_xll.BDH(G$4,"CURRENT_EV_TO_T12M_EBITDA",$B108+1,$B108+1))),G109))</f>
        <v>0</v>
      </c>
      <c r="H108" s="561">
        <f ca="1">(IFERROR(IFERROR(VALUE(_xll.BDH(H$4,"CURRENT_EV_TO_T12M_EBITDA",$B108,$B108)),VALUE(_xll.BDH(H$4,"CURRENT_EV_TO_T12M_EBITDA",$B108+1,$B108+1))),H109))</f>
        <v>0</v>
      </c>
      <c r="I108" s="565">
        <f t="shared" ca="1" si="35"/>
        <v>45224</v>
      </c>
      <c r="J108" s="561">
        <f ca="1">(IFERROR(IFERROR(VALUE(_xll.BDH(J$4,"PE_RATIO",$B108,$B108)),VALUE(_xll.BDH(J$4,"PE_RATIO",$B108+1,$B108+1))),J109))</f>
        <v>0</v>
      </c>
      <c r="K108" s="561">
        <f ca="1">(IFERROR(IFERROR(VALUE(_xll.BDH(K$4,"PE_RATIO",$B108,$B108)),VALUE(_xll.BDH(K$4,"PE_RATIO",$B108+1,$B108+1))),K109))</f>
        <v>0</v>
      </c>
      <c r="L108" s="561">
        <f ca="1">(IFERROR(IFERROR(VALUE(_xll.BDH(L$4,"PE_RATIO",$B108,$B108)),VALUE(_xll.BDH(L$4,"PE_RATIO",$B108+1,$B108+1))),L109))</f>
        <v>0</v>
      </c>
      <c r="M108" s="561">
        <f ca="1">(IFERROR(IFERROR(VALUE(_xll.BDH(M$4,"PE_RATIO",$B108,$B108)),VALUE(_xll.BDH(M$4,"PE_RATIO",$B108+1,$B108+1))),M109))</f>
        <v>0</v>
      </c>
      <c r="N108" s="561">
        <f ca="1">(IFERROR(IFERROR(VALUE(_xll.BDH(N$4,"PE_RATIO",$B108,$B108)),VALUE(_xll.BDH(N$4,"PE_RATIO",$B108+1,$B108+1))),N109))</f>
        <v>0</v>
      </c>
      <c r="O108" s="561">
        <f ca="1">(IFERROR(IFERROR(VALUE(_xll.BDH(O$4,"PE_RATIO",$B108,$B108)),VALUE(_xll.BDH(O$4,"PE_RATIO",$B108+1,$B108+1))),O109))</f>
        <v>0</v>
      </c>
      <c r="P108" s="561"/>
      <c r="Q108" s="565">
        <f t="shared" ca="1" si="36"/>
        <v>45224</v>
      </c>
      <c r="R108" s="4">
        <v>135.93</v>
      </c>
      <c r="S108" s="4">
        <v>15191.23</v>
      </c>
      <c r="T108" s="4">
        <v>978.22</v>
      </c>
      <c r="U108" s="4">
        <v>1.0962980885555287</v>
      </c>
      <c r="V108" s="4">
        <v>1.3477259520482623</v>
      </c>
      <c r="W108" s="4">
        <v>1.3180715748625633</v>
      </c>
      <c r="Y108" s="561">
        <f t="shared" si="37"/>
        <v>135.93</v>
      </c>
      <c r="Z108" s="4">
        <f ca="1">IFERROR(VALUE(_xll.BDH(Z$4,"PX_LAST",$Q108,$Q108)),Z109)</f>
        <v>0</v>
      </c>
      <c r="AA108" s="4">
        <f ca="1">IFERROR(VALUE(_xll.BDH(AA$4,"PX_LAST",$Q108,$Q108)),AA109)</f>
        <v>0</v>
      </c>
      <c r="AB108" s="4">
        <f ca="1">IFERROR(VALUE(_xll.BDH(AB$4,"PX_LAST",$Q108,$Q108)),AB109)</f>
        <v>0</v>
      </c>
      <c r="AC108" s="4">
        <f ca="1">IFERROR(VALUE(_xll.BDH(AC$4,"PX_LAST",$Q108,$Q108)),AC109)</f>
        <v>0</v>
      </c>
      <c r="AD108" s="4">
        <f ca="1">IFERROR(VALUE(_xll.BDH(AD$4,"PX_LAST",$Q108,$Q108)),AD109)</f>
        <v>0</v>
      </c>
      <c r="AF108" s="4">
        <f t="shared" si="38"/>
        <v>1.0962980885555287</v>
      </c>
      <c r="AG108" s="4" t="e">
        <f t="shared" ca="1" si="39"/>
        <v>#DIV/0!</v>
      </c>
      <c r="AH108" s="4" t="e">
        <f t="shared" ca="1" si="40"/>
        <v>#DIV/0!</v>
      </c>
      <c r="AI108" s="4" t="e">
        <f t="shared" ca="1" si="41"/>
        <v>#DIV/0!</v>
      </c>
      <c r="AJ108" s="4" t="e">
        <f t="shared" ca="1" si="42"/>
        <v>#DIV/0!</v>
      </c>
      <c r="AK108" s="4" t="e">
        <f t="shared" ca="1" si="43"/>
        <v>#DIV/0!</v>
      </c>
      <c r="AM108" s="563">
        <f t="shared" ca="1" si="33"/>
        <v>45841</v>
      </c>
      <c r="AN108" s="564">
        <v>147.88999999999999</v>
      </c>
      <c r="AO108" s="564">
        <v>783344</v>
      </c>
      <c r="AP108" s="564">
        <v>53481.521000000001</v>
      </c>
      <c r="AQ108" s="564">
        <v>7909382.1406899998</v>
      </c>
      <c r="AR108" s="564">
        <v>2.0611999999999999</v>
      </c>
    </row>
    <row r="109" spans="2:44">
      <c r="B109" s="565">
        <f t="shared" ca="1" si="44"/>
        <v>45217</v>
      </c>
      <c r="C109" s="561">
        <f ca="1">(IFERROR(IFERROR(VALUE(_xll.BDH(C$4,"CURRENT_EV_TO_T12M_EBITDA",$B109,$B109)),VALUE(_xll.BDH(C$4,"CURRENT_EV_TO_T12M_EBITDA",$B109+1,$B109+1))),C110))</f>
        <v>0</v>
      </c>
      <c r="D109" s="561">
        <f ca="1">(IFERROR(IFERROR(VALUE(_xll.BDH(D$4,"CURRENT_EV_TO_T12M_EBITDA",$B109,$B109)),VALUE(_xll.BDH(D$4,"CURRENT_EV_TO_T12M_EBITDA",$B109+1,$B109+1))),D110))</f>
        <v>0</v>
      </c>
      <c r="E109" s="561">
        <f ca="1">(IFERROR(IFERROR(VALUE(_xll.BDH(E$4,"CURRENT_EV_TO_T12M_EBITDA",$B109,$B109)),VALUE(_xll.BDH(E$4,"CURRENT_EV_TO_T12M_EBITDA",$B109+1,$B109+1))),E110))</f>
        <v>0</v>
      </c>
      <c r="F109" s="561">
        <f ca="1">(IFERROR(IFERROR(VALUE(_xll.BDH(F$4,"CURRENT_EV_TO_T12M_EBITDA",$B109,$B109)),VALUE(_xll.BDH(F$4,"CURRENT_EV_TO_T12M_EBITDA",$B109+1,$B109+1))),F110))</f>
        <v>0</v>
      </c>
      <c r="G109" s="561">
        <f ca="1">(IFERROR(IFERROR(VALUE(_xll.BDH(G$4,"CURRENT_EV_TO_T12M_EBITDA",$B109,$B109)),VALUE(_xll.BDH(G$4,"CURRENT_EV_TO_T12M_EBITDA",$B109+1,$B109+1))),G110))</f>
        <v>0</v>
      </c>
      <c r="H109" s="561">
        <f ca="1">(IFERROR(IFERROR(VALUE(_xll.BDH(H$4,"CURRENT_EV_TO_T12M_EBITDA",$B109,$B109)),VALUE(_xll.BDH(H$4,"CURRENT_EV_TO_T12M_EBITDA",$B109+1,$B109+1))),H110))</f>
        <v>0</v>
      </c>
      <c r="I109" s="565">
        <f t="shared" ca="1" si="35"/>
        <v>45217</v>
      </c>
      <c r="J109" s="561">
        <f ca="1">(IFERROR(IFERROR(VALUE(_xll.BDH(J$4,"PE_RATIO",$B109,$B109)),VALUE(_xll.BDH(J$4,"PE_RATIO",$B109+1,$B109+1))),J110))</f>
        <v>0</v>
      </c>
      <c r="K109" s="561">
        <f ca="1">(IFERROR(IFERROR(VALUE(_xll.BDH(K$4,"PE_RATIO",$B109,$B109)),VALUE(_xll.BDH(K$4,"PE_RATIO",$B109+1,$B109+1))),K110))</f>
        <v>0</v>
      </c>
      <c r="L109" s="561">
        <f ca="1">(IFERROR(IFERROR(VALUE(_xll.BDH(L$4,"PE_RATIO",$B109,$B109)),VALUE(_xll.BDH(L$4,"PE_RATIO",$B109+1,$B109+1))),L110))</f>
        <v>0</v>
      </c>
      <c r="M109" s="561">
        <f ca="1">(IFERROR(IFERROR(VALUE(_xll.BDH(M$4,"PE_RATIO",$B109,$B109)),VALUE(_xll.BDH(M$4,"PE_RATIO",$B109+1,$B109+1))),M110))</f>
        <v>0</v>
      </c>
      <c r="N109" s="561">
        <f ca="1">(IFERROR(IFERROR(VALUE(_xll.BDH(N$4,"PE_RATIO",$B109,$B109)),VALUE(_xll.BDH(N$4,"PE_RATIO",$B109+1,$B109+1))),N110))</f>
        <v>0</v>
      </c>
      <c r="O109" s="561">
        <f ca="1">(IFERROR(IFERROR(VALUE(_xll.BDH(O$4,"PE_RATIO",$B109,$B109)),VALUE(_xll.BDH(O$4,"PE_RATIO",$B109+1,$B109+1))),O110))</f>
        <v>0</v>
      </c>
      <c r="P109" s="561"/>
      <c r="Q109" s="565">
        <f t="shared" ca="1" si="36"/>
        <v>45217</v>
      </c>
      <c r="R109" s="4">
        <v>137</v>
      </c>
      <c r="S109" s="4">
        <v>15289.74</v>
      </c>
      <c r="T109" s="4">
        <v>990.88</v>
      </c>
      <c r="U109" s="4">
        <v>1.1049278167594161</v>
      </c>
      <c r="V109" s="4">
        <v>1.356465500033269</v>
      </c>
      <c r="W109" s="4">
        <v>1.3351298911285976</v>
      </c>
      <c r="Y109" s="561">
        <f t="shared" si="37"/>
        <v>137</v>
      </c>
      <c r="Z109" s="4">
        <f ca="1">IFERROR(VALUE(_xll.BDH(Z$4,"PX_LAST",$Q109,$Q109)),Z110)</f>
        <v>0</v>
      </c>
      <c r="AA109" s="4">
        <f ca="1">IFERROR(VALUE(_xll.BDH(AA$4,"PX_LAST",$Q109,$Q109)),AA110)</f>
        <v>0</v>
      </c>
      <c r="AB109" s="4">
        <f ca="1">IFERROR(VALUE(_xll.BDH(AB$4,"PX_LAST",$Q109,$Q109)),AB110)</f>
        <v>0</v>
      </c>
      <c r="AC109" s="4">
        <f ca="1">IFERROR(VALUE(_xll.BDH(AC$4,"PX_LAST",$Q109,$Q109)),AC110)</f>
        <v>0</v>
      </c>
      <c r="AD109" s="4">
        <f ca="1">IFERROR(VALUE(_xll.BDH(AD$4,"PX_LAST",$Q109,$Q109)),AD110)</f>
        <v>0</v>
      </c>
      <c r="AF109" s="4">
        <f t="shared" si="38"/>
        <v>1.1049278167594161</v>
      </c>
      <c r="AG109" s="4" t="e">
        <f t="shared" ca="1" si="39"/>
        <v>#DIV/0!</v>
      </c>
      <c r="AH109" s="4" t="e">
        <f t="shared" ca="1" si="40"/>
        <v>#DIV/0!</v>
      </c>
      <c r="AI109" s="4" t="e">
        <f t="shared" ca="1" si="41"/>
        <v>#DIV/0!</v>
      </c>
      <c r="AJ109" s="4" t="e">
        <f t="shared" ca="1" si="42"/>
        <v>#DIV/0!</v>
      </c>
      <c r="AK109" s="4" t="e">
        <f t="shared" ca="1" si="43"/>
        <v>#DIV/0!</v>
      </c>
      <c r="AM109" s="563">
        <f t="shared" ca="1" si="33"/>
        <v>45840</v>
      </c>
      <c r="AN109" s="564">
        <v>150.57</v>
      </c>
      <c r="AO109" s="564">
        <v>582816</v>
      </c>
      <c r="AP109" s="564">
        <v>53481.521000000001</v>
      </c>
      <c r="AQ109" s="564">
        <v>8052712.6169699999</v>
      </c>
      <c r="AR109" s="564">
        <v>2.0985</v>
      </c>
    </row>
    <row r="110" spans="2:44">
      <c r="B110" s="565">
        <f t="shared" ca="1" si="44"/>
        <v>45210</v>
      </c>
      <c r="C110" s="561">
        <f ca="1">(IFERROR(IFERROR(VALUE(_xll.BDH(C$4,"CURRENT_EV_TO_T12M_EBITDA",$B110,$B110)),VALUE(_xll.BDH(C$4,"CURRENT_EV_TO_T12M_EBITDA",$B110+1,$B110+1))),C111))</f>
        <v>0</v>
      </c>
      <c r="D110" s="561">
        <f ca="1">(IFERROR(IFERROR(VALUE(_xll.BDH(D$4,"CURRENT_EV_TO_T12M_EBITDA",$B110,$B110)),VALUE(_xll.BDH(D$4,"CURRENT_EV_TO_T12M_EBITDA",$B110+1,$B110+1))),D111))</f>
        <v>0</v>
      </c>
      <c r="E110" s="561">
        <f ca="1">(IFERROR(IFERROR(VALUE(_xll.BDH(E$4,"CURRENT_EV_TO_T12M_EBITDA",$B110,$B110)),VALUE(_xll.BDH(E$4,"CURRENT_EV_TO_T12M_EBITDA",$B110+1,$B110+1))),E111))</f>
        <v>0</v>
      </c>
      <c r="F110" s="561">
        <f ca="1">(IFERROR(IFERROR(VALUE(_xll.BDH(F$4,"CURRENT_EV_TO_T12M_EBITDA",$B110,$B110)),VALUE(_xll.BDH(F$4,"CURRENT_EV_TO_T12M_EBITDA",$B110+1,$B110+1))),F111))</f>
        <v>0</v>
      </c>
      <c r="G110" s="561">
        <f ca="1">(IFERROR(IFERROR(VALUE(_xll.BDH(G$4,"CURRENT_EV_TO_T12M_EBITDA",$B110,$B110)),VALUE(_xll.BDH(G$4,"CURRENT_EV_TO_T12M_EBITDA",$B110+1,$B110+1))),G111))</f>
        <v>0</v>
      </c>
      <c r="H110" s="561">
        <f ca="1">(IFERROR(IFERROR(VALUE(_xll.BDH(H$4,"CURRENT_EV_TO_T12M_EBITDA",$B110,$B110)),VALUE(_xll.BDH(H$4,"CURRENT_EV_TO_T12M_EBITDA",$B110+1,$B110+1))),H111))</f>
        <v>0</v>
      </c>
      <c r="I110" s="565">
        <f t="shared" ca="1" si="35"/>
        <v>45210</v>
      </c>
      <c r="J110" s="561">
        <f ca="1">(IFERROR(IFERROR(VALUE(_xll.BDH(J$4,"PE_RATIO",$B110,$B110)),VALUE(_xll.BDH(J$4,"PE_RATIO",$B110+1,$B110+1))),J111))</f>
        <v>0</v>
      </c>
      <c r="K110" s="561">
        <f ca="1">(IFERROR(IFERROR(VALUE(_xll.BDH(K$4,"PE_RATIO",$B110,$B110)),VALUE(_xll.BDH(K$4,"PE_RATIO",$B110+1,$B110+1))),K111))</f>
        <v>0</v>
      </c>
      <c r="L110" s="561">
        <f ca="1">(IFERROR(IFERROR(VALUE(_xll.BDH(L$4,"PE_RATIO",$B110,$B110)),VALUE(_xll.BDH(L$4,"PE_RATIO",$B110+1,$B110+1))),L111))</f>
        <v>0</v>
      </c>
      <c r="M110" s="561">
        <f ca="1">(IFERROR(IFERROR(VALUE(_xll.BDH(M$4,"PE_RATIO",$B110,$B110)),VALUE(_xll.BDH(M$4,"PE_RATIO",$B110+1,$B110+1))),M111))</f>
        <v>0</v>
      </c>
      <c r="N110" s="561">
        <f ca="1">(IFERROR(IFERROR(VALUE(_xll.BDH(N$4,"PE_RATIO",$B110,$B110)),VALUE(_xll.BDH(N$4,"PE_RATIO",$B110+1,$B110+1))),N111))</f>
        <v>0</v>
      </c>
      <c r="O110" s="561">
        <f ca="1">(IFERROR(IFERROR(VALUE(_xll.BDH(O$4,"PE_RATIO",$B110,$B110)),VALUE(_xll.BDH(O$4,"PE_RATIO",$B110+1,$B110+1))),O111))</f>
        <v>0</v>
      </c>
      <c r="P110" s="561"/>
      <c r="Q110" s="565">
        <f t="shared" ca="1" si="36"/>
        <v>45210</v>
      </c>
      <c r="R110" s="4">
        <v>140.62</v>
      </c>
      <c r="S110" s="4">
        <v>15508.24</v>
      </c>
      <c r="T110" s="4">
        <v>1011.48</v>
      </c>
      <c r="U110" s="4">
        <v>1.1341237196548108</v>
      </c>
      <c r="V110" s="4">
        <v>1.3758502450817309</v>
      </c>
      <c r="W110" s="4">
        <v>1.3628867090654306</v>
      </c>
      <c r="Y110" s="561">
        <f t="shared" si="37"/>
        <v>140.62</v>
      </c>
      <c r="Z110" s="4">
        <f ca="1">IFERROR(VALUE(_xll.BDH(Z$4,"PX_LAST",$Q110,$Q110)),Z111)</f>
        <v>0</v>
      </c>
      <c r="AA110" s="4">
        <f ca="1">IFERROR(VALUE(_xll.BDH(AA$4,"PX_LAST",$Q110,$Q110)),AA111)</f>
        <v>0</v>
      </c>
      <c r="AB110" s="4">
        <f ca="1">IFERROR(VALUE(_xll.BDH(AB$4,"PX_LAST",$Q110,$Q110)),AB111)</f>
        <v>0</v>
      </c>
      <c r="AC110" s="4">
        <f ca="1">IFERROR(VALUE(_xll.BDH(AC$4,"PX_LAST",$Q110,$Q110)),AC111)</f>
        <v>0</v>
      </c>
      <c r="AD110" s="4">
        <f ca="1">IFERROR(VALUE(_xll.BDH(AD$4,"PX_LAST",$Q110,$Q110)),AD111)</f>
        <v>0</v>
      </c>
      <c r="AF110" s="4">
        <f t="shared" si="38"/>
        <v>1.1341237196548108</v>
      </c>
      <c r="AG110" s="4" t="e">
        <f t="shared" ca="1" si="39"/>
        <v>#DIV/0!</v>
      </c>
      <c r="AH110" s="4" t="e">
        <f t="shared" ca="1" si="40"/>
        <v>#DIV/0!</v>
      </c>
      <c r="AI110" s="4" t="e">
        <f t="shared" ca="1" si="41"/>
        <v>#DIV/0!</v>
      </c>
      <c r="AJ110" s="4" t="e">
        <f t="shared" ca="1" si="42"/>
        <v>#DIV/0!</v>
      </c>
      <c r="AK110" s="4" t="e">
        <f t="shared" ca="1" si="43"/>
        <v>#DIV/0!</v>
      </c>
      <c r="AM110" s="563">
        <f t="shared" ca="1" si="33"/>
        <v>45839</v>
      </c>
      <c r="AN110" s="564">
        <v>145.79</v>
      </c>
      <c r="AO110" s="564">
        <v>543432</v>
      </c>
      <c r="AP110" s="564">
        <v>53481.521000000001</v>
      </c>
      <c r="AQ110" s="564">
        <v>7797070.9465899998</v>
      </c>
      <c r="AR110" s="564">
        <v>2.0318999999999998</v>
      </c>
    </row>
    <row r="111" spans="2:44">
      <c r="B111" s="565">
        <f t="shared" ca="1" si="44"/>
        <v>45203</v>
      </c>
      <c r="C111" s="561">
        <f ca="1">(IFERROR(IFERROR(VALUE(_xll.BDH(C$4,"CURRENT_EV_TO_T12M_EBITDA",$B111,$B111)),VALUE(_xll.BDH(C$4,"CURRENT_EV_TO_T12M_EBITDA",$B111+1,$B111+1))),C112))</f>
        <v>0</v>
      </c>
      <c r="D111" s="561">
        <f ca="1">(IFERROR(IFERROR(VALUE(_xll.BDH(D$4,"CURRENT_EV_TO_T12M_EBITDA",$B111,$B111)),VALUE(_xll.BDH(D$4,"CURRENT_EV_TO_T12M_EBITDA",$B111+1,$B111+1))),D112))</f>
        <v>0</v>
      </c>
      <c r="E111" s="561">
        <f ca="1">(IFERROR(IFERROR(VALUE(_xll.BDH(E$4,"CURRENT_EV_TO_T12M_EBITDA",$B111,$B111)),VALUE(_xll.BDH(E$4,"CURRENT_EV_TO_T12M_EBITDA",$B111+1,$B111+1))),E112))</f>
        <v>0</v>
      </c>
      <c r="F111" s="561">
        <f ca="1">(IFERROR(IFERROR(VALUE(_xll.BDH(F$4,"CURRENT_EV_TO_T12M_EBITDA",$B111,$B111)),VALUE(_xll.BDH(F$4,"CURRENT_EV_TO_T12M_EBITDA",$B111+1,$B111+1))),F112))</f>
        <v>0</v>
      </c>
      <c r="G111" s="561">
        <f ca="1">(IFERROR(IFERROR(VALUE(_xll.BDH(G$4,"CURRENT_EV_TO_T12M_EBITDA",$B111,$B111)),VALUE(_xll.BDH(G$4,"CURRENT_EV_TO_T12M_EBITDA",$B111+1,$B111+1))),G112))</f>
        <v>0</v>
      </c>
      <c r="H111" s="561">
        <f ca="1">(IFERROR(IFERROR(VALUE(_xll.BDH(H$4,"CURRENT_EV_TO_T12M_EBITDA",$B111,$B111)),VALUE(_xll.BDH(H$4,"CURRENT_EV_TO_T12M_EBITDA",$B111+1,$B111+1))),H112))</f>
        <v>0</v>
      </c>
      <c r="I111" s="565">
        <f t="shared" ca="1" si="35"/>
        <v>45203</v>
      </c>
      <c r="J111" s="561">
        <f ca="1">(IFERROR(IFERROR(VALUE(_xll.BDH(J$4,"PE_RATIO",$B111,$B111)),VALUE(_xll.BDH(J$4,"PE_RATIO",$B111+1,$B111+1))),J112))</f>
        <v>0</v>
      </c>
      <c r="K111" s="561">
        <f ca="1">(IFERROR(IFERROR(VALUE(_xll.BDH(K$4,"PE_RATIO",$B111,$B111)),VALUE(_xll.BDH(K$4,"PE_RATIO",$B111+1,$B111+1))),K112))</f>
        <v>0</v>
      </c>
      <c r="L111" s="561">
        <f ca="1">(IFERROR(IFERROR(VALUE(_xll.BDH(L$4,"PE_RATIO",$B111,$B111)),VALUE(_xll.BDH(L$4,"PE_RATIO",$B111+1,$B111+1))),L112))</f>
        <v>0</v>
      </c>
      <c r="M111" s="561">
        <f ca="1">(IFERROR(IFERROR(VALUE(_xll.BDH(M$4,"PE_RATIO",$B111,$B111)),VALUE(_xll.BDH(M$4,"PE_RATIO",$B111+1,$B111+1))),M112))</f>
        <v>0</v>
      </c>
      <c r="N111" s="561">
        <f ca="1">(IFERROR(IFERROR(VALUE(_xll.BDH(N$4,"PE_RATIO",$B111,$B111)),VALUE(_xll.BDH(N$4,"PE_RATIO",$B111+1,$B111+1))),N112))</f>
        <v>0</v>
      </c>
      <c r="O111" s="561">
        <f ca="1">(IFERROR(IFERROR(VALUE(_xll.BDH(O$4,"PE_RATIO",$B111,$B111)),VALUE(_xll.BDH(O$4,"PE_RATIO",$B111+1,$B111+1))),O112))</f>
        <v>0</v>
      </c>
      <c r="P111" s="561"/>
      <c r="Q111" s="565">
        <f t="shared" ca="1" si="36"/>
        <v>45203</v>
      </c>
      <c r="R111" s="4">
        <v>145.79</v>
      </c>
      <c r="S111" s="4">
        <v>15376.55</v>
      </c>
      <c r="T111" s="4">
        <v>1029.98</v>
      </c>
      <c r="U111" s="4">
        <v>1.1758206306960239</v>
      </c>
      <c r="V111" s="4">
        <v>1.3641670548051543</v>
      </c>
      <c r="W111" s="4">
        <v>1.3878139484747225</v>
      </c>
      <c r="Y111" s="561">
        <f t="shared" si="37"/>
        <v>145.79</v>
      </c>
      <c r="Z111" s="4">
        <f ca="1">IFERROR(VALUE(_xll.BDH(Z$4,"PX_LAST",$Q111,$Q111)),Z112)</f>
        <v>0</v>
      </c>
      <c r="AA111" s="4">
        <f ca="1">IFERROR(VALUE(_xll.BDH(AA$4,"PX_LAST",$Q111,$Q111)),AA112)</f>
        <v>0</v>
      </c>
      <c r="AB111" s="4">
        <f ca="1">IFERROR(VALUE(_xll.BDH(AB$4,"PX_LAST",$Q111,$Q111)),AB112)</f>
        <v>0</v>
      </c>
      <c r="AC111" s="4">
        <f ca="1">IFERROR(VALUE(_xll.BDH(AC$4,"PX_LAST",$Q111,$Q111)),AC112)</f>
        <v>0</v>
      </c>
      <c r="AD111" s="4">
        <f ca="1">IFERROR(VALUE(_xll.BDH(AD$4,"PX_LAST",$Q111,$Q111)),AD112)</f>
        <v>0</v>
      </c>
      <c r="AF111" s="4">
        <f t="shared" si="38"/>
        <v>1.1758206306960239</v>
      </c>
      <c r="AG111" s="4" t="e">
        <f t="shared" ca="1" si="39"/>
        <v>#DIV/0!</v>
      </c>
      <c r="AH111" s="4" t="e">
        <f t="shared" ca="1" si="40"/>
        <v>#DIV/0!</v>
      </c>
      <c r="AI111" s="4" t="e">
        <f t="shared" ca="1" si="41"/>
        <v>#DIV/0!</v>
      </c>
      <c r="AJ111" s="4" t="e">
        <f t="shared" ca="1" si="42"/>
        <v>#DIV/0!</v>
      </c>
      <c r="AK111" s="4" t="e">
        <f t="shared" ca="1" si="43"/>
        <v>#DIV/0!</v>
      </c>
      <c r="AM111" s="563">
        <f t="shared" ca="1" si="33"/>
        <v>45838</v>
      </c>
      <c r="AN111" s="564">
        <v>145.79</v>
      </c>
      <c r="AO111" s="564">
        <v>543432</v>
      </c>
      <c r="AP111" s="564">
        <v>53481.521000000001</v>
      </c>
      <c r="AQ111" s="564">
        <v>7797070.9465899998</v>
      </c>
      <c r="AR111" s="564">
        <v>2.0318999999999998</v>
      </c>
    </row>
    <row r="112" spans="2:44">
      <c r="B112" s="565">
        <f t="shared" ca="1" si="44"/>
        <v>45196</v>
      </c>
      <c r="C112" s="561">
        <f ca="1">(IFERROR(IFERROR(VALUE(_xll.BDH(C$4,"CURRENT_EV_TO_T12M_EBITDA",$B112,$B112)),VALUE(_xll.BDH(C$4,"CURRENT_EV_TO_T12M_EBITDA",$B112+1,$B112+1))),C113))</f>
        <v>0</v>
      </c>
      <c r="D112" s="561">
        <f ca="1">(IFERROR(IFERROR(VALUE(_xll.BDH(D$4,"CURRENT_EV_TO_T12M_EBITDA",$B112,$B112)),VALUE(_xll.BDH(D$4,"CURRENT_EV_TO_T12M_EBITDA",$B112+1,$B112+1))),D113))</f>
        <v>0</v>
      </c>
      <c r="E112" s="561">
        <f ca="1">(IFERROR(IFERROR(VALUE(_xll.BDH(E$4,"CURRENT_EV_TO_T12M_EBITDA",$B112,$B112)),VALUE(_xll.BDH(E$4,"CURRENT_EV_TO_T12M_EBITDA",$B112+1,$B112+1))),E113))</f>
        <v>0</v>
      </c>
      <c r="F112" s="561">
        <f ca="1">(IFERROR(IFERROR(VALUE(_xll.BDH(F$4,"CURRENT_EV_TO_T12M_EBITDA",$B112,$B112)),VALUE(_xll.BDH(F$4,"CURRENT_EV_TO_T12M_EBITDA",$B112+1,$B112+1))),F113))</f>
        <v>0</v>
      </c>
      <c r="G112" s="561">
        <f ca="1">(IFERROR(IFERROR(VALUE(_xll.BDH(G$4,"CURRENT_EV_TO_T12M_EBITDA",$B112,$B112)),VALUE(_xll.BDH(G$4,"CURRENT_EV_TO_T12M_EBITDA",$B112+1,$B112+1))),G113))</f>
        <v>0</v>
      </c>
      <c r="H112" s="561">
        <f ca="1">(IFERROR(IFERROR(VALUE(_xll.BDH(H$4,"CURRENT_EV_TO_T12M_EBITDA",$B112,$B112)),VALUE(_xll.BDH(H$4,"CURRENT_EV_TO_T12M_EBITDA",$B112+1,$B112+1))),H113))</f>
        <v>0</v>
      </c>
      <c r="I112" s="565">
        <f t="shared" ca="1" si="35"/>
        <v>45196</v>
      </c>
      <c r="J112" s="561">
        <f ca="1">(IFERROR(IFERROR(VALUE(_xll.BDH(J$4,"PE_RATIO",$B112,$B112)),VALUE(_xll.BDH(J$4,"PE_RATIO",$B112+1,$B112+1))),J113))</f>
        <v>0</v>
      </c>
      <c r="K112" s="561">
        <f ca="1">(IFERROR(IFERROR(VALUE(_xll.BDH(K$4,"PE_RATIO",$B112,$B112)),VALUE(_xll.BDH(K$4,"PE_RATIO",$B112+1,$B112+1))),K113))</f>
        <v>0</v>
      </c>
      <c r="L112" s="561">
        <f ca="1">(IFERROR(IFERROR(VALUE(_xll.BDH(L$4,"PE_RATIO",$B112,$B112)),VALUE(_xll.BDH(L$4,"PE_RATIO",$B112+1,$B112+1))),L113))</f>
        <v>0</v>
      </c>
      <c r="M112" s="561">
        <f ca="1">(IFERROR(IFERROR(VALUE(_xll.BDH(M$4,"PE_RATIO",$B112,$B112)),VALUE(_xll.BDH(M$4,"PE_RATIO",$B112+1,$B112+1))),M113))</f>
        <v>0</v>
      </c>
      <c r="N112" s="561">
        <f ca="1">(IFERROR(IFERROR(VALUE(_xll.BDH(N$4,"PE_RATIO",$B112,$B112)),VALUE(_xll.BDH(N$4,"PE_RATIO",$B112+1,$B112+1))),N113))</f>
        <v>0</v>
      </c>
      <c r="O112" s="561">
        <f ca="1">(IFERROR(IFERROR(VALUE(_xll.BDH(O$4,"PE_RATIO",$B112,$B112)),VALUE(_xll.BDH(O$4,"PE_RATIO",$B112+1,$B112+1))),O113))</f>
        <v>0</v>
      </c>
      <c r="P112" s="561"/>
      <c r="Q112" s="565">
        <f t="shared" ca="1" si="36"/>
        <v>45196</v>
      </c>
      <c r="R112" s="4">
        <v>139.6</v>
      </c>
      <c r="S112" s="4">
        <v>14908.96</v>
      </c>
      <c r="T112" s="4">
        <v>988.55</v>
      </c>
      <c r="U112" s="4">
        <v>1.1258972497782078</v>
      </c>
      <c r="V112" s="4">
        <v>1.322683700401446</v>
      </c>
      <c r="W112" s="4">
        <v>1.3319904063813732</v>
      </c>
      <c r="Y112" s="561">
        <f t="shared" si="37"/>
        <v>139.6</v>
      </c>
      <c r="Z112" s="4">
        <f ca="1">IFERROR(VALUE(_xll.BDH(Z$4,"PX_LAST",$Q112,$Q112)),Z113)</f>
        <v>0</v>
      </c>
      <c r="AA112" s="4">
        <f ca="1">IFERROR(VALUE(_xll.BDH(AA$4,"PX_LAST",$Q112,$Q112)),AA113)</f>
        <v>0</v>
      </c>
      <c r="AB112" s="4">
        <f ca="1">IFERROR(VALUE(_xll.BDH(AB$4,"PX_LAST",$Q112,$Q112)),AB113)</f>
        <v>0</v>
      </c>
      <c r="AC112" s="4">
        <f ca="1">IFERROR(VALUE(_xll.BDH(AC$4,"PX_LAST",$Q112,$Q112)),AC113)</f>
        <v>0</v>
      </c>
      <c r="AD112" s="4">
        <f ca="1">IFERROR(VALUE(_xll.BDH(AD$4,"PX_LAST",$Q112,$Q112)),AD113)</f>
        <v>0</v>
      </c>
      <c r="AF112" s="4">
        <f t="shared" si="38"/>
        <v>1.1258972497782078</v>
      </c>
      <c r="AG112" s="4" t="e">
        <f t="shared" ca="1" si="39"/>
        <v>#DIV/0!</v>
      </c>
      <c r="AH112" s="4" t="e">
        <f t="shared" ca="1" si="40"/>
        <v>#DIV/0!</v>
      </c>
      <c r="AI112" s="4" t="e">
        <f t="shared" ca="1" si="41"/>
        <v>#DIV/0!</v>
      </c>
      <c r="AJ112" s="4" t="e">
        <f t="shared" ca="1" si="42"/>
        <v>#DIV/0!</v>
      </c>
      <c r="AK112" s="4" t="e">
        <f t="shared" ca="1" si="43"/>
        <v>#DIV/0!</v>
      </c>
      <c r="AM112" s="563">
        <f t="shared" ca="1" si="33"/>
        <v>45837</v>
      </c>
      <c r="AN112" s="564">
        <v>145.79</v>
      </c>
      <c r="AO112" s="564">
        <v>543432</v>
      </c>
      <c r="AP112" s="564">
        <v>53481.521000000001</v>
      </c>
      <c r="AQ112" s="564">
        <v>7797070.9465899998</v>
      </c>
      <c r="AR112" s="564">
        <v>2.0318999999999998</v>
      </c>
    </row>
    <row r="113" spans="2:44">
      <c r="B113" s="565">
        <f t="shared" ca="1" si="44"/>
        <v>45189</v>
      </c>
      <c r="C113" s="561">
        <f ca="1">(IFERROR(IFERROR(VALUE(_xll.BDH(C$4,"CURRENT_EV_TO_T12M_EBITDA",$B113,$B113)),VALUE(_xll.BDH(C$4,"CURRENT_EV_TO_T12M_EBITDA",$B113+1,$B113+1))),C114))</f>
        <v>0</v>
      </c>
      <c r="D113" s="561">
        <f ca="1">(IFERROR(IFERROR(VALUE(_xll.BDH(D$4,"CURRENT_EV_TO_T12M_EBITDA",$B113,$B113)),VALUE(_xll.BDH(D$4,"CURRENT_EV_TO_T12M_EBITDA",$B113+1,$B113+1))),D114))</f>
        <v>0</v>
      </c>
      <c r="E113" s="561">
        <f ca="1">(IFERROR(IFERROR(VALUE(_xll.BDH(E$4,"CURRENT_EV_TO_T12M_EBITDA",$B113,$B113)),VALUE(_xll.BDH(E$4,"CURRENT_EV_TO_T12M_EBITDA",$B113+1,$B113+1))),E114))</f>
        <v>0</v>
      </c>
      <c r="F113" s="561">
        <f ca="1">(IFERROR(IFERROR(VALUE(_xll.BDH(F$4,"CURRENT_EV_TO_T12M_EBITDA",$B113,$B113)),VALUE(_xll.BDH(F$4,"CURRENT_EV_TO_T12M_EBITDA",$B113+1,$B113+1))),F114))</f>
        <v>0</v>
      </c>
      <c r="G113" s="561">
        <f ca="1">(IFERROR(IFERROR(VALUE(_xll.BDH(G$4,"CURRENT_EV_TO_T12M_EBITDA",$B113,$B113)),VALUE(_xll.BDH(G$4,"CURRENT_EV_TO_T12M_EBITDA",$B113+1,$B113+1))),G114))</f>
        <v>0</v>
      </c>
      <c r="H113" s="561">
        <f ca="1">(IFERROR(IFERROR(VALUE(_xll.BDH(H$4,"CURRENT_EV_TO_T12M_EBITDA",$B113,$B113)),VALUE(_xll.BDH(H$4,"CURRENT_EV_TO_T12M_EBITDA",$B113+1,$B113+1))),H114))</f>
        <v>0</v>
      </c>
      <c r="I113" s="565">
        <f t="shared" ca="1" si="35"/>
        <v>45189</v>
      </c>
      <c r="J113" s="561">
        <f ca="1">(IFERROR(IFERROR(VALUE(_xll.BDH(J$4,"PE_RATIO",$B113,$B113)),VALUE(_xll.BDH(J$4,"PE_RATIO",$B113+1,$B113+1))),J114))</f>
        <v>0</v>
      </c>
      <c r="K113" s="561">
        <f ca="1">(IFERROR(IFERROR(VALUE(_xll.BDH(K$4,"PE_RATIO",$B113,$B113)),VALUE(_xll.BDH(K$4,"PE_RATIO",$B113+1,$B113+1))),K114))</f>
        <v>0</v>
      </c>
      <c r="L113" s="561">
        <f ca="1">(IFERROR(IFERROR(VALUE(_xll.BDH(L$4,"PE_RATIO",$B113,$B113)),VALUE(_xll.BDH(L$4,"PE_RATIO",$B113+1,$B113+1))),L114))</f>
        <v>0</v>
      </c>
      <c r="M113" s="561">
        <f ca="1">(IFERROR(IFERROR(VALUE(_xll.BDH(M$4,"PE_RATIO",$B113,$B113)),VALUE(_xll.BDH(M$4,"PE_RATIO",$B113+1,$B113+1))),M114))</f>
        <v>0</v>
      </c>
      <c r="N113" s="561">
        <f ca="1">(IFERROR(IFERROR(VALUE(_xll.BDH(N$4,"PE_RATIO",$B113,$B113)),VALUE(_xll.BDH(N$4,"PE_RATIO",$B113+1,$B113+1))),N114))</f>
        <v>0</v>
      </c>
      <c r="O113" s="561">
        <f ca="1">(IFERROR(IFERROR(VALUE(_xll.BDH(O$4,"PE_RATIO",$B113,$B113)),VALUE(_xll.BDH(O$4,"PE_RATIO",$B113+1,$B113+1))),O114))</f>
        <v>0</v>
      </c>
      <c r="P113" s="561"/>
      <c r="Q113" s="565">
        <f t="shared" ca="1" si="36"/>
        <v>45189</v>
      </c>
      <c r="R113" s="4">
        <v>146.88</v>
      </c>
      <c r="S113" s="4">
        <v>15037.65</v>
      </c>
      <c r="T113" s="4">
        <v>1005.25</v>
      </c>
      <c r="U113" s="4">
        <v>1.1846116622308251</v>
      </c>
      <c r="V113" s="4">
        <v>1.334100738572094</v>
      </c>
      <c r="W113" s="4">
        <v>1.3544922927670584</v>
      </c>
      <c r="Y113" s="561">
        <f t="shared" si="37"/>
        <v>146.88</v>
      </c>
      <c r="Z113" s="4">
        <f ca="1">IFERROR(VALUE(_xll.BDH(Z$4,"PX_LAST",$Q113,$Q113)),Z114)</f>
        <v>0</v>
      </c>
      <c r="AA113" s="4">
        <f ca="1">IFERROR(VALUE(_xll.BDH(AA$4,"PX_LAST",$Q113,$Q113)),AA114)</f>
        <v>0</v>
      </c>
      <c r="AB113" s="4">
        <f ca="1">IFERROR(VALUE(_xll.BDH(AB$4,"PX_LAST",$Q113,$Q113)),AB114)</f>
        <v>0</v>
      </c>
      <c r="AC113" s="4">
        <f ca="1">IFERROR(VALUE(_xll.BDH(AC$4,"PX_LAST",$Q113,$Q113)),AC114)</f>
        <v>0</v>
      </c>
      <c r="AD113" s="4">
        <f ca="1">IFERROR(VALUE(_xll.BDH(AD$4,"PX_LAST",$Q113,$Q113)),AD114)</f>
        <v>0</v>
      </c>
      <c r="AF113" s="4">
        <f t="shared" si="38"/>
        <v>1.1846116622308251</v>
      </c>
      <c r="AG113" s="4" t="e">
        <f t="shared" ca="1" si="39"/>
        <v>#DIV/0!</v>
      </c>
      <c r="AH113" s="4" t="e">
        <f t="shared" ca="1" si="40"/>
        <v>#DIV/0!</v>
      </c>
      <c r="AI113" s="4" t="e">
        <f t="shared" ca="1" si="41"/>
        <v>#DIV/0!</v>
      </c>
      <c r="AJ113" s="4" t="e">
        <f t="shared" ca="1" si="42"/>
        <v>#DIV/0!</v>
      </c>
      <c r="AK113" s="4" t="e">
        <f t="shared" ca="1" si="43"/>
        <v>#DIV/0!</v>
      </c>
      <c r="AM113" s="563">
        <f t="shared" ca="1" si="33"/>
        <v>45836</v>
      </c>
      <c r="AN113" s="564">
        <v>145.79</v>
      </c>
      <c r="AO113" s="564">
        <v>543432</v>
      </c>
      <c r="AP113" s="564">
        <v>53481.521000000001</v>
      </c>
      <c r="AQ113" s="564">
        <v>7797070.9465899998</v>
      </c>
      <c r="AR113" s="564">
        <v>2.0318999999999998</v>
      </c>
    </row>
    <row r="114" spans="2:44">
      <c r="B114" s="565">
        <f t="shared" ca="1" si="44"/>
        <v>45182</v>
      </c>
      <c r="C114" s="561">
        <f ca="1">(IFERROR(IFERROR(VALUE(_xll.BDH(C$4,"CURRENT_EV_TO_T12M_EBITDA",$B114,$B114)),VALUE(_xll.BDH(C$4,"CURRENT_EV_TO_T12M_EBITDA",$B114+1,$B114+1))),C115))</f>
        <v>0</v>
      </c>
      <c r="D114" s="561">
        <f ca="1">(IFERROR(IFERROR(VALUE(_xll.BDH(D$4,"CURRENT_EV_TO_T12M_EBITDA",$B114,$B114)),VALUE(_xll.BDH(D$4,"CURRENT_EV_TO_T12M_EBITDA",$B114+1,$B114+1))),D115))</f>
        <v>0</v>
      </c>
      <c r="E114" s="561">
        <f ca="1">(IFERROR(IFERROR(VALUE(_xll.BDH(E$4,"CURRENT_EV_TO_T12M_EBITDA",$B114,$B114)),VALUE(_xll.BDH(E$4,"CURRENT_EV_TO_T12M_EBITDA",$B114+1,$B114+1))),E115))</f>
        <v>0</v>
      </c>
      <c r="F114" s="561">
        <f ca="1">(IFERROR(IFERROR(VALUE(_xll.BDH(F$4,"CURRENT_EV_TO_T12M_EBITDA",$B114,$B114)),VALUE(_xll.BDH(F$4,"CURRENT_EV_TO_T12M_EBITDA",$B114+1,$B114+1))),F115))</f>
        <v>0</v>
      </c>
      <c r="G114" s="561">
        <f ca="1">(IFERROR(IFERROR(VALUE(_xll.BDH(G$4,"CURRENT_EV_TO_T12M_EBITDA",$B114,$B114)),VALUE(_xll.BDH(G$4,"CURRENT_EV_TO_T12M_EBITDA",$B114+1,$B114+1))),G115))</f>
        <v>0</v>
      </c>
      <c r="H114" s="561">
        <f ca="1">(IFERROR(IFERROR(VALUE(_xll.BDH(H$4,"CURRENT_EV_TO_T12M_EBITDA",$B114,$B114)),VALUE(_xll.BDH(H$4,"CURRENT_EV_TO_T12M_EBITDA",$B114+1,$B114+1))),H115))</f>
        <v>0</v>
      </c>
      <c r="I114" s="565">
        <f t="shared" ca="1" si="35"/>
        <v>45182</v>
      </c>
      <c r="J114" s="561">
        <f ca="1">(IFERROR(IFERROR(VALUE(_xll.BDH(J$4,"PE_RATIO",$B114,$B114)),VALUE(_xll.BDH(J$4,"PE_RATIO",$B114+1,$B114+1))),J115))</f>
        <v>0</v>
      </c>
      <c r="K114" s="561">
        <f ca="1">(IFERROR(IFERROR(VALUE(_xll.BDH(K$4,"PE_RATIO",$B114,$B114)),VALUE(_xll.BDH(K$4,"PE_RATIO",$B114+1,$B114+1))),K115))</f>
        <v>0</v>
      </c>
      <c r="L114" s="561">
        <f ca="1">(IFERROR(IFERROR(VALUE(_xll.BDH(L$4,"PE_RATIO",$B114,$B114)),VALUE(_xll.BDH(L$4,"PE_RATIO",$B114+1,$B114+1))),L115))</f>
        <v>0</v>
      </c>
      <c r="M114" s="561">
        <f ca="1">(IFERROR(IFERROR(VALUE(_xll.BDH(M$4,"PE_RATIO",$B114,$B114)),VALUE(_xll.BDH(M$4,"PE_RATIO",$B114+1,$B114+1))),M115))</f>
        <v>0</v>
      </c>
      <c r="N114" s="561">
        <f ca="1">(IFERROR(IFERROR(VALUE(_xll.BDH(N$4,"PE_RATIO",$B114,$B114)),VALUE(_xll.BDH(N$4,"PE_RATIO",$B114+1,$B114+1))),N115))</f>
        <v>0</v>
      </c>
      <c r="O114" s="561">
        <f ca="1">(IFERROR(IFERROR(VALUE(_xll.BDH(O$4,"PE_RATIO",$B114,$B114)),VALUE(_xll.BDH(O$4,"PE_RATIO",$B114+1,$B114+1))),O115))</f>
        <v>0</v>
      </c>
      <c r="P114" s="561"/>
      <c r="Q114" s="565">
        <f t="shared" ca="1" si="36"/>
        <v>45182</v>
      </c>
      <c r="R114" s="4">
        <v>146.91999999999999</v>
      </c>
      <c r="S114" s="4">
        <v>15273.05</v>
      </c>
      <c r="T114" s="4">
        <v>1034.8599999999999</v>
      </c>
      <c r="U114" s="4">
        <v>1.1849342688926525</v>
      </c>
      <c r="V114" s="4">
        <v>1.3549848071506199</v>
      </c>
      <c r="W114" s="4">
        <v>1.3943893500053897</v>
      </c>
      <c r="Y114" s="561">
        <f t="shared" si="37"/>
        <v>146.91999999999999</v>
      </c>
      <c r="Z114" s="4">
        <f ca="1">IFERROR(VALUE(_xll.BDH(Z$4,"PX_LAST",$Q114,$Q114)),Z115)</f>
        <v>0</v>
      </c>
      <c r="AA114" s="4">
        <f ca="1">IFERROR(VALUE(_xll.BDH(AA$4,"PX_LAST",$Q114,$Q114)),AA115)</f>
        <v>0</v>
      </c>
      <c r="AB114" s="4">
        <f ca="1">IFERROR(VALUE(_xll.BDH(AB$4,"PX_LAST",$Q114,$Q114)),AB115)</f>
        <v>0</v>
      </c>
      <c r="AC114" s="4">
        <f ca="1">IFERROR(VALUE(_xll.BDH(AC$4,"PX_LAST",$Q114,$Q114)),AC115)</f>
        <v>0</v>
      </c>
      <c r="AD114" s="4">
        <f ca="1">IFERROR(VALUE(_xll.BDH(AD$4,"PX_LAST",$Q114,$Q114)),AD115)</f>
        <v>0</v>
      </c>
      <c r="AF114" s="4">
        <f t="shared" si="38"/>
        <v>1.1849342688926525</v>
      </c>
      <c r="AG114" s="4" t="e">
        <f t="shared" ca="1" si="39"/>
        <v>#DIV/0!</v>
      </c>
      <c r="AH114" s="4" t="e">
        <f t="shared" ca="1" si="40"/>
        <v>#DIV/0!</v>
      </c>
      <c r="AI114" s="4" t="e">
        <f t="shared" ca="1" si="41"/>
        <v>#DIV/0!</v>
      </c>
      <c r="AJ114" s="4" t="e">
        <f t="shared" ca="1" si="42"/>
        <v>#DIV/0!</v>
      </c>
      <c r="AK114" s="4" t="e">
        <f t="shared" ca="1" si="43"/>
        <v>#DIV/0!</v>
      </c>
      <c r="AM114" s="563">
        <f t="shared" ca="1" si="33"/>
        <v>45835</v>
      </c>
      <c r="AN114" s="564">
        <v>147.13999999999999</v>
      </c>
      <c r="AO114" s="564">
        <v>885321</v>
      </c>
      <c r="AP114" s="564">
        <v>53481.521000000001</v>
      </c>
      <c r="AQ114" s="564">
        <v>7869270.9999399995</v>
      </c>
      <c r="AR114" s="564">
        <v>2.0507</v>
      </c>
    </row>
    <row r="115" spans="2:44">
      <c r="B115" s="565">
        <f t="shared" ca="1" si="44"/>
        <v>45175</v>
      </c>
      <c r="C115" s="561">
        <f ca="1">(IFERROR(IFERROR(VALUE(_xll.BDH(C$4,"CURRENT_EV_TO_T12M_EBITDA",$B115,$B115)),VALUE(_xll.BDH(C$4,"CURRENT_EV_TO_T12M_EBITDA",$B115+1,$B115+1))),C116))</f>
        <v>0</v>
      </c>
      <c r="D115" s="561">
        <f ca="1">(IFERROR(IFERROR(VALUE(_xll.BDH(D$4,"CURRENT_EV_TO_T12M_EBITDA",$B115,$B115)),VALUE(_xll.BDH(D$4,"CURRENT_EV_TO_T12M_EBITDA",$B115+1,$B115+1))),D116))</f>
        <v>0</v>
      </c>
      <c r="E115" s="561">
        <f ca="1">(IFERROR(IFERROR(VALUE(_xll.BDH(E$4,"CURRENT_EV_TO_T12M_EBITDA",$B115,$B115)),VALUE(_xll.BDH(E$4,"CURRENT_EV_TO_T12M_EBITDA",$B115+1,$B115+1))),E116))</f>
        <v>0</v>
      </c>
      <c r="F115" s="561">
        <f ca="1">(IFERROR(IFERROR(VALUE(_xll.BDH(F$4,"CURRENT_EV_TO_T12M_EBITDA",$B115,$B115)),VALUE(_xll.BDH(F$4,"CURRENT_EV_TO_T12M_EBITDA",$B115+1,$B115+1))),F116))</f>
        <v>0</v>
      </c>
      <c r="G115" s="561">
        <f ca="1">(IFERROR(IFERROR(VALUE(_xll.BDH(G$4,"CURRENT_EV_TO_T12M_EBITDA",$B115,$B115)),VALUE(_xll.BDH(G$4,"CURRENT_EV_TO_T12M_EBITDA",$B115+1,$B115+1))),G116))</f>
        <v>0</v>
      </c>
      <c r="H115" s="561">
        <f ca="1">(IFERROR(IFERROR(VALUE(_xll.BDH(H$4,"CURRENT_EV_TO_T12M_EBITDA",$B115,$B115)),VALUE(_xll.BDH(H$4,"CURRENT_EV_TO_T12M_EBITDA",$B115+1,$B115+1))),H116))</f>
        <v>0</v>
      </c>
      <c r="I115" s="565">
        <f t="shared" ca="1" si="35"/>
        <v>45175</v>
      </c>
      <c r="J115" s="561">
        <f ca="1">(IFERROR(IFERROR(VALUE(_xll.BDH(J$4,"PE_RATIO",$B115,$B115)),VALUE(_xll.BDH(J$4,"PE_RATIO",$B115+1,$B115+1))),J116))</f>
        <v>0</v>
      </c>
      <c r="K115" s="561">
        <f ca="1">(IFERROR(IFERROR(VALUE(_xll.BDH(K$4,"PE_RATIO",$B115,$B115)),VALUE(_xll.BDH(K$4,"PE_RATIO",$B115+1,$B115+1))),K116))</f>
        <v>0</v>
      </c>
      <c r="L115" s="561">
        <f ca="1">(IFERROR(IFERROR(VALUE(_xll.BDH(L$4,"PE_RATIO",$B115,$B115)),VALUE(_xll.BDH(L$4,"PE_RATIO",$B115+1,$B115+1))),L116))</f>
        <v>0</v>
      </c>
      <c r="M115" s="561">
        <f ca="1">(IFERROR(IFERROR(VALUE(_xll.BDH(M$4,"PE_RATIO",$B115,$B115)),VALUE(_xll.BDH(M$4,"PE_RATIO",$B115+1,$B115+1))),M116))</f>
        <v>0</v>
      </c>
      <c r="N115" s="561">
        <f ca="1">(IFERROR(IFERROR(VALUE(_xll.BDH(N$4,"PE_RATIO",$B115,$B115)),VALUE(_xll.BDH(N$4,"PE_RATIO",$B115+1,$B115+1))),N116))</f>
        <v>0</v>
      </c>
      <c r="O115" s="561">
        <f ca="1">(IFERROR(IFERROR(VALUE(_xll.BDH(O$4,"PE_RATIO",$B115,$B115)),VALUE(_xll.BDH(O$4,"PE_RATIO",$B115+1,$B115+1))),O116))</f>
        <v>0</v>
      </c>
      <c r="P115" s="561"/>
      <c r="Q115" s="565">
        <f t="shared" ca="1" si="36"/>
        <v>45175</v>
      </c>
      <c r="R115" s="4">
        <v>148.79</v>
      </c>
      <c r="S115" s="4">
        <v>15718.01</v>
      </c>
      <c r="T115" s="4">
        <v>1043.76</v>
      </c>
      <c r="U115" s="4">
        <v>1.2000161303330914</v>
      </c>
      <c r="V115" s="4">
        <v>1.3944604875019406</v>
      </c>
      <c r="W115" s="4">
        <v>1.4063813732887787</v>
      </c>
      <c r="Y115" s="561">
        <f t="shared" si="37"/>
        <v>148.79</v>
      </c>
      <c r="Z115" s="4">
        <f ca="1">IFERROR(VALUE(_xll.BDH(Z$4,"PX_LAST",$Q115,$Q115)),Z116)</f>
        <v>0</v>
      </c>
      <c r="AA115" s="4">
        <f ca="1">IFERROR(VALUE(_xll.BDH(AA$4,"PX_LAST",$Q115,$Q115)),AA116)</f>
        <v>0</v>
      </c>
      <c r="AB115" s="4">
        <f ca="1">IFERROR(VALUE(_xll.BDH(AB$4,"PX_LAST",$Q115,$Q115)),AB116)</f>
        <v>0</v>
      </c>
      <c r="AC115" s="4">
        <f ca="1">IFERROR(VALUE(_xll.BDH(AC$4,"PX_LAST",$Q115,$Q115)),AC116)</f>
        <v>0</v>
      </c>
      <c r="AD115" s="4">
        <f ca="1">IFERROR(VALUE(_xll.BDH(AD$4,"PX_LAST",$Q115,$Q115)),AD116)</f>
        <v>0</v>
      </c>
      <c r="AF115" s="4">
        <f t="shared" si="38"/>
        <v>1.2000161303330914</v>
      </c>
      <c r="AG115" s="4" t="e">
        <f t="shared" ca="1" si="39"/>
        <v>#DIV/0!</v>
      </c>
      <c r="AH115" s="4" t="e">
        <f t="shared" ca="1" si="40"/>
        <v>#DIV/0!</v>
      </c>
      <c r="AI115" s="4" t="e">
        <f t="shared" ca="1" si="41"/>
        <v>#DIV/0!</v>
      </c>
      <c r="AJ115" s="4" t="e">
        <f t="shared" ca="1" si="42"/>
        <v>#DIV/0!</v>
      </c>
      <c r="AK115" s="4" t="e">
        <f t="shared" ca="1" si="43"/>
        <v>#DIV/0!</v>
      </c>
      <c r="AM115" s="563">
        <f t="shared" ca="1" si="33"/>
        <v>45834</v>
      </c>
      <c r="AN115" s="564">
        <v>145.01</v>
      </c>
      <c r="AO115" s="564">
        <v>1031097</v>
      </c>
      <c r="AP115" s="564">
        <v>53481.521000000001</v>
      </c>
      <c r="AQ115" s="564">
        <v>7755355.3602099996</v>
      </c>
      <c r="AR115" s="564">
        <v>2.0209999999999999</v>
      </c>
    </row>
    <row r="116" spans="2:44">
      <c r="B116" s="565">
        <f t="shared" ca="1" si="44"/>
        <v>45168</v>
      </c>
      <c r="C116" s="561">
        <f ca="1">(IFERROR(IFERROR(VALUE(_xll.BDH(C$4,"CURRENT_EV_TO_T12M_EBITDA",$B116,$B116)),VALUE(_xll.BDH(C$4,"CURRENT_EV_TO_T12M_EBITDA",$B116+1,$B116+1))),C117))</f>
        <v>0</v>
      </c>
      <c r="D116" s="561">
        <f ca="1">(IFERROR(IFERROR(VALUE(_xll.BDH(D$4,"CURRENT_EV_TO_T12M_EBITDA",$B116,$B116)),VALUE(_xll.BDH(D$4,"CURRENT_EV_TO_T12M_EBITDA",$B116+1,$B116+1))),D117))</f>
        <v>0</v>
      </c>
      <c r="E116" s="561">
        <f ca="1">(IFERROR(IFERROR(VALUE(_xll.BDH(E$4,"CURRENT_EV_TO_T12M_EBITDA",$B116,$B116)),VALUE(_xll.BDH(E$4,"CURRENT_EV_TO_T12M_EBITDA",$B116+1,$B116+1))),E117))</f>
        <v>0</v>
      </c>
      <c r="F116" s="561">
        <f ca="1">(IFERROR(IFERROR(VALUE(_xll.BDH(F$4,"CURRENT_EV_TO_T12M_EBITDA",$B116,$B116)),VALUE(_xll.BDH(F$4,"CURRENT_EV_TO_T12M_EBITDA",$B116+1,$B116+1))),F117))</f>
        <v>0</v>
      </c>
      <c r="G116" s="561">
        <f ca="1">(IFERROR(IFERROR(VALUE(_xll.BDH(G$4,"CURRENT_EV_TO_T12M_EBITDA",$B116,$B116)),VALUE(_xll.BDH(G$4,"CURRENT_EV_TO_T12M_EBITDA",$B116+1,$B116+1))),G117))</f>
        <v>0</v>
      </c>
      <c r="H116" s="561">
        <f ca="1">(IFERROR(IFERROR(VALUE(_xll.BDH(H$4,"CURRENT_EV_TO_T12M_EBITDA",$B116,$B116)),VALUE(_xll.BDH(H$4,"CURRENT_EV_TO_T12M_EBITDA",$B116+1,$B116+1))),H117))</f>
        <v>0</v>
      </c>
      <c r="I116" s="565">
        <f t="shared" ca="1" si="35"/>
        <v>45168</v>
      </c>
      <c r="J116" s="561">
        <f ca="1">(IFERROR(IFERROR(VALUE(_xll.BDH(J$4,"PE_RATIO",$B116,$B116)),VALUE(_xll.BDH(J$4,"PE_RATIO",$B116+1,$B116+1))),J117))</f>
        <v>0</v>
      </c>
      <c r="K116" s="561">
        <f ca="1">(IFERROR(IFERROR(VALUE(_xll.BDH(K$4,"PE_RATIO",$B116,$B116)),VALUE(_xll.BDH(K$4,"PE_RATIO",$B116+1,$B116+1))),K117))</f>
        <v>0</v>
      </c>
      <c r="L116" s="561">
        <f ca="1">(IFERROR(IFERROR(VALUE(_xll.BDH(L$4,"PE_RATIO",$B116,$B116)),VALUE(_xll.BDH(L$4,"PE_RATIO",$B116+1,$B116+1))),L117))</f>
        <v>0</v>
      </c>
      <c r="M116" s="561">
        <f ca="1">(IFERROR(IFERROR(VALUE(_xll.BDH(M$4,"PE_RATIO",$B116,$B116)),VALUE(_xll.BDH(M$4,"PE_RATIO",$B116+1,$B116+1))),M117))</f>
        <v>0</v>
      </c>
      <c r="N116" s="561">
        <f ca="1">(IFERROR(IFERROR(VALUE(_xll.BDH(N$4,"PE_RATIO",$B116,$B116)),VALUE(_xll.BDH(N$4,"PE_RATIO",$B116+1,$B116+1))),N117))</f>
        <v>0</v>
      </c>
      <c r="O116" s="561">
        <f ca="1">(IFERROR(IFERROR(VALUE(_xll.BDH(O$4,"PE_RATIO",$B116,$B116)),VALUE(_xll.BDH(O$4,"PE_RATIO",$B116+1,$B116+1))),O117))</f>
        <v>0</v>
      </c>
      <c r="P116" s="561"/>
      <c r="Q116" s="565">
        <f t="shared" ca="1" si="36"/>
        <v>45168</v>
      </c>
      <c r="R116" s="4">
        <v>145.93</v>
      </c>
      <c r="S116" s="4">
        <v>15561.42</v>
      </c>
      <c r="T116" s="4">
        <v>1038.0899999999999</v>
      </c>
      <c r="U116" s="4">
        <v>1.1769497540124205</v>
      </c>
      <c r="V116" s="4">
        <v>1.3805682347461574</v>
      </c>
      <c r="W116" s="4">
        <v>1.3987415112644173</v>
      </c>
      <c r="Y116" s="561">
        <f t="shared" si="37"/>
        <v>145.93</v>
      </c>
      <c r="Z116" s="4">
        <f ca="1">IFERROR(VALUE(_xll.BDH(Z$4,"PX_LAST",$Q116,$Q116)),Z117)</f>
        <v>0</v>
      </c>
      <c r="AA116" s="4">
        <f ca="1">IFERROR(VALUE(_xll.BDH(AA$4,"PX_LAST",$Q116,$Q116)),AA117)</f>
        <v>0</v>
      </c>
      <c r="AB116" s="4">
        <f ca="1">IFERROR(VALUE(_xll.BDH(AB$4,"PX_LAST",$Q116,$Q116)),AB117)</f>
        <v>0</v>
      </c>
      <c r="AC116" s="4">
        <f ca="1">IFERROR(VALUE(_xll.BDH(AC$4,"PX_LAST",$Q116,$Q116)),AC117)</f>
        <v>0</v>
      </c>
      <c r="AD116" s="4">
        <f ca="1">IFERROR(VALUE(_xll.BDH(AD$4,"PX_LAST",$Q116,$Q116)),AD117)</f>
        <v>0</v>
      </c>
      <c r="AF116" s="4">
        <f t="shared" si="38"/>
        <v>1.1769497540124205</v>
      </c>
      <c r="AG116" s="4" t="e">
        <f t="shared" ca="1" si="39"/>
        <v>#DIV/0!</v>
      </c>
      <c r="AH116" s="4" t="e">
        <f t="shared" ca="1" si="40"/>
        <v>#DIV/0!</v>
      </c>
      <c r="AI116" s="4" t="e">
        <f t="shared" ca="1" si="41"/>
        <v>#DIV/0!</v>
      </c>
      <c r="AJ116" s="4" t="e">
        <f t="shared" ca="1" si="42"/>
        <v>#DIV/0!</v>
      </c>
      <c r="AK116" s="4" t="e">
        <f t="shared" ca="1" si="43"/>
        <v>#DIV/0!</v>
      </c>
      <c r="AM116" s="563">
        <f t="shared" ca="1" si="33"/>
        <v>45833</v>
      </c>
      <c r="AN116" s="564">
        <v>152.11000000000001</v>
      </c>
      <c r="AO116" s="564">
        <v>565423</v>
      </c>
      <c r="AP116" s="564">
        <v>53481.521000000001</v>
      </c>
      <c r="AQ116" s="564">
        <v>8135074.1593100009</v>
      </c>
      <c r="AR116" s="564">
        <v>2.12</v>
      </c>
    </row>
    <row r="117" spans="2:44">
      <c r="B117" s="565">
        <f t="shared" ca="1" si="44"/>
        <v>45161</v>
      </c>
      <c r="C117" s="561">
        <f ca="1">(IFERROR(IFERROR(VALUE(_xll.BDH(C$4,"CURRENT_EV_TO_T12M_EBITDA",$B117,$B117)),VALUE(_xll.BDH(C$4,"CURRENT_EV_TO_T12M_EBITDA",$B117+1,$B117+1))),C118))</f>
        <v>0</v>
      </c>
      <c r="D117" s="561">
        <f ca="1">(IFERROR(IFERROR(VALUE(_xll.BDH(D$4,"CURRENT_EV_TO_T12M_EBITDA",$B117,$B117)),VALUE(_xll.BDH(D$4,"CURRENT_EV_TO_T12M_EBITDA",$B117+1,$B117+1))),D118))</f>
        <v>0</v>
      </c>
      <c r="E117" s="561">
        <f ca="1">(IFERROR(IFERROR(VALUE(_xll.BDH(E$4,"CURRENT_EV_TO_T12M_EBITDA",$B117,$B117)),VALUE(_xll.BDH(E$4,"CURRENT_EV_TO_T12M_EBITDA",$B117+1,$B117+1))),E118))</f>
        <v>0</v>
      </c>
      <c r="F117" s="561">
        <f ca="1">(IFERROR(IFERROR(VALUE(_xll.BDH(F$4,"CURRENT_EV_TO_T12M_EBITDA",$B117,$B117)),VALUE(_xll.BDH(F$4,"CURRENT_EV_TO_T12M_EBITDA",$B117+1,$B117+1))),F118))</f>
        <v>0</v>
      </c>
      <c r="G117" s="561">
        <f ca="1">(IFERROR(IFERROR(VALUE(_xll.BDH(G$4,"CURRENT_EV_TO_T12M_EBITDA",$B117,$B117)),VALUE(_xll.BDH(G$4,"CURRENT_EV_TO_T12M_EBITDA",$B117+1,$B117+1))),G118))</f>
        <v>0</v>
      </c>
      <c r="H117" s="561">
        <f ca="1">(IFERROR(IFERROR(VALUE(_xll.BDH(H$4,"CURRENT_EV_TO_T12M_EBITDA",$B117,$B117)),VALUE(_xll.BDH(H$4,"CURRENT_EV_TO_T12M_EBITDA",$B117+1,$B117+1))),H118))</f>
        <v>0</v>
      </c>
      <c r="I117" s="565">
        <f t="shared" ca="1" si="35"/>
        <v>45161</v>
      </c>
      <c r="J117" s="561">
        <f ca="1">(IFERROR(IFERROR(VALUE(_xll.BDH(J$4,"PE_RATIO",$B117,$B117)),VALUE(_xll.BDH(J$4,"PE_RATIO",$B117+1,$B117+1))),J118))</f>
        <v>0</v>
      </c>
      <c r="K117" s="561">
        <f ca="1">(IFERROR(IFERROR(VALUE(_xll.BDH(K$4,"PE_RATIO",$B117,$B117)),VALUE(_xll.BDH(K$4,"PE_RATIO",$B117+1,$B117+1))),K118))</f>
        <v>0</v>
      </c>
      <c r="L117" s="561">
        <f ca="1">(IFERROR(IFERROR(VALUE(_xll.BDH(L$4,"PE_RATIO",$B117,$B117)),VALUE(_xll.BDH(L$4,"PE_RATIO",$B117+1,$B117+1))),L118))</f>
        <v>0</v>
      </c>
      <c r="M117" s="561">
        <f ca="1">(IFERROR(IFERROR(VALUE(_xll.BDH(M$4,"PE_RATIO",$B117,$B117)),VALUE(_xll.BDH(M$4,"PE_RATIO",$B117+1,$B117+1))),M118))</f>
        <v>0</v>
      </c>
      <c r="N117" s="561">
        <f ca="1">(IFERROR(IFERROR(VALUE(_xll.BDH(N$4,"PE_RATIO",$B117,$B117)),VALUE(_xll.BDH(N$4,"PE_RATIO",$B117+1,$B117+1))),N118))</f>
        <v>0</v>
      </c>
      <c r="O117" s="561">
        <f ca="1">(IFERROR(IFERROR(VALUE(_xll.BDH(O$4,"PE_RATIO",$B117,$B117)),VALUE(_xll.BDH(O$4,"PE_RATIO",$B117+1,$B117+1))),O118))</f>
        <v>0</v>
      </c>
      <c r="P117" s="561"/>
      <c r="Q117" s="565">
        <f t="shared" ca="1" si="36"/>
        <v>45161</v>
      </c>
      <c r="R117" s="4">
        <v>141.56</v>
      </c>
      <c r="S117" s="4">
        <v>15841.35</v>
      </c>
      <c r="T117" s="4">
        <v>1049.7</v>
      </c>
      <c r="U117" s="4">
        <v>1.1417049762077587</v>
      </c>
      <c r="V117" s="4">
        <v>1.4054028877503493</v>
      </c>
      <c r="W117" s="4">
        <v>1.4143850382666812</v>
      </c>
      <c r="Y117" s="561">
        <f t="shared" si="37"/>
        <v>141.56</v>
      </c>
      <c r="Z117" s="4">
        <f ca="1">IFERROR(VALUE(_xll.BDH(Z$4,"PX_LAST",$Q117,$Q117)),Z118)</f>
        <v>0</v>
      </c>
      <c r="AA117" s="4">
        <f ca="1">IFERROR(VALUE(_xll.BDH(AA$4,"PX_LAST",$Q117,$Q117)),AA118)</f>
        <v>0</v>
      </c>
      <c r="AB117" s="4">
        <f ca="1">IFERROR(VALUE(_xll.BDH(AB$4,"PX_LAST",$Q117,$Q117)),AB118)</f>
        <v>0</v>
      </c>
      <c r="AC117" s="4">
        <f ca="1">IFERROR(VALUE(_xll.BDH(AC$4,"PX_LAST",$Q117,$Q117)),AC118)</f>
        <v>0</v>
      </c>
      <c r="AD117" s="4">
        <f ca="1">IFERROR(VALUE(_xll.BDH(AD$4,"PX_LAST",$Q117,$Q117)),AD118)</f>
        <v>0</v>
      </c>
      <c r="AF117" s="4">
        <f t="shared" si="38"/>
        <v>1.1417049762077587</v>
      </c>
      <c r="AG117" s="4" t="e">
        <f t="shared" ca="1" si="39"/>
        <v>#DIV/0!</v>
      </c>
      <c r="AH117" s="4" t="e">
        <f t="shared" ca="1" si="40"/>
        <v>#DIV/0!</v>
      </c>
      <c r="AI117" s="4" t="e">
        <f t="shared" ca="1" si="41"/>
        <v>#DIV/0!</v>
      </c>
      <c r="AJ117" s="4" t="e">
        <f t="shared" ca="1" si="42"/>
        <v>#DIV/0!</v>
      </c>
      <c r="AK117" s="4" t="e">
        <f t="shared" ca="1" si="43"/>
        <v>#DIV/0!</v>
      </c>
      <c r="AM117" s="563">
        <f t="shared" ca="1" si="33"/>
        <v>45832</v>
      </c>
      <c r="AN117" s="564">
        <v>150.99</v>
      </c>
      <c r="AO117" s="564">
        <v>488800</v>
      </c>
      <c r="AP117" s="564">
        <v>53481.521000000001</v>
      </c>
      <c r="AQ117" s="564">
        <v>8075174.8557900004</v>
      </c>
      <c r="AR117" s="564">
        <v>2.1044</v>
      </c>
    </row>
    <row r="118" spans="2:44">
      <c r="B118" s="565">
        <f t="shared" ca="1" si="44"/>
        <v>45154</v>
      </c>
      <c r="C118" s="561">
        <f ca="1">(IFERROR(IFERROR(VALUE(_xll.BDH(C$4,"CURRENT_EV_TO_T12M_EBITDA",$B118,$B118)),VALUE(_xll.BDH(C$4,"CURRENT_EV_TO_T12M_EBITDA",$B118+1,$B118+1))),C119))</f>
        <v>0</v>
      </c>
      <c r="D118" s="561">
        <f ca="1">(IFERROR(IFERROR(VALUE(_xll.BDH(D$4,"CURRENT_EV_TO_T12M_EBITDA",$B118,$B118)),VALUE(_xll.BDH(D$4,"CURRENT_EV_TO_T12M_EBITDA",$B118+1,$B118+1))),D119))</f>
        <v>0</v>
      </c>
      <c r="E118" s="561">
        <f ca="1">(IFERROR(IFERROR(VALUE(_xll.BDH(E$4,"CURRENT_EV_TO_T12M_EBITDA",$B118,$B118)),VALUE(_xll.BDH(E$4,"CURRENT_EV_TO_T12M_EBITDA",$B118+1,$B118+1))),E119))</f>
        <v>0</v>
      </c>
      <c r="F118" s="561">
        <f ca="1">(IFERROR(IFERROR(VALUE(_xll.BDH(F$4,"CURRENT_EV_TO_T12M_EBITDA",$B118,$B118)),VALUE(_xll.BDH(F$4,"CURRENT_EV_TO_T12M_EBITDA",$B118+1,$B118+1))),F119))</f>
        <v>0</v>
      </c>
      <c r="G118" s="561">
        <f ca="1">(IFERROR(IFERROR(VALUE(_xll.BDH(G$4,"CURRENT_EV_TO_T12M_EBITDA",$B118,$B118)),VALUE(_xll.BDH(G$4,"CURRENT_EV_TO_T12M_EBITDA",$B118+1,$B118+1))),G119))</f>
        <v>0</v>
      </c>
      <c r="H118" s="561">
        <f ca="1">(IFERROR(IFERROR(VALUE(_xll.BDH(H$4,"CURRENT_EV_TO_T12M_EBITDA",$B118,$B118)),VALUE(_xll.BDH(H$4,"CURRENT_EV_TO_T12M_EBITDA",$B118+1,$B118+1))),H119))</f>
        <v>0</v>
      </c>
      <c r="I118" s="565">
        <f t="shared" ca="1" si="35"/>
        <v>45154</v>
      </c>
      <c r="J118" s="561">
        <f ca="1">(IFERROR(IFERROR(VALUE(_xll.BDH(J$4,"PE_RATIO",$B118,$B118)),VALUE(_xll.BDH(J$4,"PE_RATIO",$B118+1,$B118+1))),J119))</f>
        <v>0</v>
      </c>
      <c r="K118" s="561">
        <f ca="1">(IFERROR(IFERROR(VALUE(_xll.BDH(K$4,"PE_RATIO",$B118,$B118)),VALUE(_xll.BDH(K$4,"PE_RATIO",$B118+1,$B118+1))),K119))</f>
        <v>0</v>
      </c>
      <c r="L118" s="561">
        <f ca="1">(IFERROR(IFERROR(VALUE(_xll.BDH(L$4,"PE_RATIO",$B118,$B118)),VALUE(_xll.BDH(L$4,"PE_RATIO",$B118+1,$B118+1))),L119))</f>
        <v>0</v>
      </c>
      <c r="M118" s="561">
        <f ca="1">(IFERROR(IFERROR(VALUE(_xll.BDH(M$4,"PE_RATIO",$B118,$B118)),VALUE(_xll.BDH(M$4,"PE_RATIO",$B118+1,$B118+1))),M119))</f>
        <v>0</v>
      </c>
      <c r="N118" s="561">
        <f ca="1">(IFERROR(IFERROR(VALUE(_xll.BDH(N$4,"PE_RATIO",$B118,$B118)),VALUE(_xll.BDH(N$4,"PE_RATIO",$B118+1,$B118+1))),N119))</f>
        <v>0</v>
      </c>
      <c r="O118" s="561">
        <f ca="1">(IFERROR(IFERROR(VALUE(_xll.BDH(O$4,"PE_RATIO",$B118,$B118)),VALUE(_xll.BDH(O$4,"PE_RATIO",$B118+1,$B118+1))),O119))</f>
        <v>0</v>
      </c>
      <c r="P118" s="561"/>
      <c r="Q118" s="565">
        <f t="shared" ca="1" si="36"/>
        <v>45154</v>
      </c>
      <c r="R118" s="4">
        <v>145.33000000000001</v>
      </c>
      <c r="S118" s="4">
        <v>15119.06</v>
      </c>
      <c r="T118" s="4">
        <v>1038.8</v>
      </c>
      <c r="U118" s="4">
        <v>1.172110654085007</v>
      </c>
      <c r="V118" s="4">
        <v>1.341323219553308</v>
      </c>
      <c r="W118" s="4">
        <v>1.3996981782903957</v>
      </c>
      <c r="Y118" s="561">
        <f t="shared" si="37"/>
        <v>145.33000000000001</v>
      </c>
      <c r="Z118" s="4">
        <f ca="1">IFERROR(VALUE(_xll.BDH(Z$4,"PX_LAST",$Q118,$Q118)),Z119)</f>
        <v>0</v>
      </c>
      <c r="AA118" s="4">
        <f ca="1">IFERROR(VALUE(_xll.BDH(AA$4,"PX_LAST",$Q118,$Q118)),AA119)</f>
        <v>0</v>
      </c>
      <c r="AB118" s="4">
        <f ca="1">IFERROR(VALUE(_xll.BDH(AB$4,"PX_LAST",$Q118,$Q118)),AB119)</f>
        <v>0</v>
      </c>
      <c r="AC118" s="4">
        <f ca="1">IFERROR(VALUE(_xll.BDH(AC$4,"PX_LAST",$Q118,$Q118)),AC119)</f>
        <v>0</v>
      </c>
      <c r="AD118" s="4">
        <f ca="1">IFERROR(VALUE(_xll.BDH(AD$4,"PX_LAST",$Q118,$Q118)),AD119)</f>
        <v>0</v>
      </c>
      <c r="AF118" s="4">
        <f t="shared" si="38"/>
        <v>1.172110654085007</v>
      </c>
      <c r="AG118" s="4" t="e">
        <f t="shared" ca="1" si="39"/>
        <v>#DIV/0!</v>
      </c>
      <c r="AH118" s="4" t="e">
        <f t="shared" ca="1" si="40"/>
        <v>#DIV/0!</v>
      </c>
      <c r="AI118" s="4" t="e">
        <f t="shared" ca="1" si="41"/>
        <v>#DIV/0!</v>
      </c>
      <c r="AJ118" s="4" t="e">
        <f t="shared" ca="1" si="42"/>
        <v>#DIV/0!</v>
      </c>
      <c r="AK118" s="4" t="e">
        <f t="shared" ca="1" si="43"/>
        <v>#DIV/0!</v>
      </c>
      <c r="AM118" s="563">
        <f t="shared" ca="1" si="33"/>
        <v>45831</v>
      </c>
      <c r="AN118" s="564">
        <v>151.49</v>
      </c>
      <c r="AO118" s="564">
        <v>624978</v>
      </c>
      <c r="AP118" s="564">
        <v>53481.521000000001</v>
      </c>
      <c r="AQ118" s="564">
        <v>8101915.6162900003</v>
      </c>
      <c r="AR118" s="564">
        <v>2.1113</v>
      </c>
    </row>
    <row r="119" spans="2:44">
      <c r="B119" s="565">
        <f t="shared" ca="1" si="44"/>
        <v>45147</v>
      </c>
      <c r="C119" s="561">
        <f ca="1">(IFERROR(IFERROR(VALUE(_xll.BDH(C$4,"CURRENT_EV_TO_T12M_EBITDA",$B119,$B119)),VALUE(_xll.BDH(C$4,"CURRENT_EV_TO_T12M_EBITDA",$B119+1,$B119+1))),C120))</f>
        <v>0</v>
      </c>
      <c r="D119" s="561">
        <f ca="1">(IFERROR(IFERROR(VALUE(_xll.BDH(D$4,"CURRENT_EV_TO_T12M_EBITDA",$B119,$B119)),VALUE(_xll.BDH(D$4,"CURRENT_EV_TO_T12M_EBITDA",$B119+1,$B119+1))),D120))</f>
        <v>0</v>
      </c>
      <c r="E119" s="561">
        <f ca="1">(IFERROR(IFERROR(VALUE(_xll.BDH(E$4,"CURRENT_EV_TO_T12M_EBITDA",$B119,$B119)),VALUE(_xll.BDH(E$4,"CURRENT_EV_TO_T12M_EBITDA",$B119+1,$B119+1))),E120))</f>
        <v>0</v>
      </c>
      <c r="F119" s="561">
        <f ca="1">(IFERROR(IFERROR(VALUE(_xll.BDH(F$4,"CURRENT_EV_TO_T12M_EBITDA",$B119,$B119)),VALUE(_xll.BDH(F$4,"CURRENT_EV_TO_T12M_EBITDA",$B119+1,$B119+1))),F120))</f>
        <v>0</v>
      </c>
      <c r="G119" s="561">
        <f ca="1">(IFERROR(IFERROR(VALUE(_xll.BDH(G$4,"CURRENT_EV_TO_T12M_EBITDA",$B119,$B119)),VALUE(_xll.BDH(G$4,"CURRENT_EV_TO_T12M_EBITDA",$B119+1,$B119+1))),G120))</f>
        <v>0</v>
      </c>
      <c r="H119" s="561">
        <f ca="1">(IFERROR(IFERROR(VALUE(_xll.BDH(H$4,"CURRENT_EV_TO_T12M_EBITDA",$B119,$B119)),VALUE(_xll.BDH(H$4,"CURRENT_EV_TO_T12M_EBITDA",$B119+1,$B119+1))),H120))</f>
        <v>0</v>
      </c>
      <c r="I119" s="565">
        <f t="shared" ca="1" si="35"/>
        <v>45147</v>
      </c>
      <c r="J119" s="561">
        <f ca="1">(IFERROR(IFERROR(VALUE(_xll.BDH(J$4,"PE_RATIO",$B119,$B119)),VALUE(_xll.BDH(J$4,"PE_RATIO",$B119+1,$B119+1))),J120))</f>
        <v>0</v>
      </c>
      <c r="K119" s="561">
        <f ca="1">(IFERROR(IFERROR(VALUE(_xll.BDH(K$4,"PE_RATIO",$B119,$B119)),VALUE(_xll.BDH(K$4,"PE_RATIO",$B119+1,$B119+1))),K120))</f>
        <v>0</v>
      </c>
      <c r="L119" s="561">
        <f ca="1">(IFERROR(IFERROR(VALUE(_xll.BDH(L$4,"PE_RATIO",$B119,$B119)),VALUE(_xll.BDH(L$4,"PE_RATIO",$B119+1,$B119+1))),L120))</f>
        <v>0</v>
      </c>
      <c r="M119" s="561">
        <f ca="1">(IFERROR(IFERROR(VALUE(_xll.BDH(M$4,"PE_RATIO",$B119,$B119)),VALUE(_xll.BDH(M$4,"PE_RATIO",$B119+1,$B119+1))),M120))</f>
        <v>0</v>
      </c>
      <c r="N119" s="561">
        <f ca="1">(IFERROR(IFERROR(VALUE(_xll.BDH(N$4,"PE_RATIO",$B119,$B119)),VALUE(_xll.BDH(N$4,"PE_RATIO",$B119+1,$B119+1))),N120))</f>
        <v>0</v>
      </c>
      <c r="O119" s="561">
        <f ca="1">(IFERROR(IFERROR(VALUE(_xll.BDH(O$4,"PE_RATIO",$B119,$B119)),VALUE(_xll.BDH(O$4,"PE_RATIO",$B119+1,$B119+1))),O120))</f>
        <v>0</v>
      </c>
      <c r="P119" s="561"/>
      <c r="Q119" s="565">
        <f t="shared" ca="1" si="36"/>
        <v>45147</v>
      </c>
      <c r="R119" s="4">
        <v>145.13999999999999</v>
      </c>
      <c r="S119" s="4">
        <v>14945.91</v>
      </c>
      <c r="T119" s="4">
        <v>1013.66</v>
      </c>
      <c r="U119" s="4">
        <v>1.1705782724413258</v>
      </c>
      <c r="V119" s="4">
        <v>1.3259618071727992</v>
      </c>
      <c r="W119" s="4">
        <v>1.3658240810606876</v>
      </c>
      <c r="Y119" s="561">
        <f t="shared" si="37"/>
        <v>145.13999999999999</v>
      </c>
      <c r="Z119" s="4">
        <f ca="1">IFERROR(VALUE(_xll.BDH(Z$4,"PX_LAST",$Q119,$Q119)),Z120)</f>
        <v>0</v>
      </c>
      <c r="AA119" s="4">
        <f ca="1">IFERROR(VALUE(_xll.BDH(AA$4,"PX_LAST",$Q119,$Q119)),AA120)</f>
        <v>0</v>
      </c>
      <c r="AB119" s="4">
        <f ca="1">IFERROR(VALUE(_xll.BDH(AB$4,"PX_LAST",$Q119,$Q119)),AB120)</f>
        <v>0</v>
      </c>
      <c r="AC119" s="4">
        <f ca="1">IFERROR(VALUE(_xll.BDH(AC$4,"PX_LAST",$Q119,$Q119)),AC120)</f>
        <v>0</v>
      </c>
      <c r="AD119" s="4">
        <f ca="1">IFERROR(VALUE(_xll.BDH(AD$4,"PX_LAST",$Q119,$Q119)),AD120)</f>
        <v>0</v>
      </c>
      <c r="AF119" s="4">
        <f t="shared" si="38"/>
        <v>1.1705782724413258</v>
      </c>
      <c r="AG119" s="4" t="e">
        <f t="shared" ca="1" si="39"/>
        <v>#DIV/0!</v>
      </c>
      <c r="AH119" s="4" t="e">
        <f t="shared" ca="1" si="40"/>
        <v>#DIV/0!</v>
      </c>
      <c r="AI119" s="4" t="e">
        <f t="shared" ca="1" si="41"/>
        <v>#DIV/0!</v>
      </c>
      <c r="AJ119" s="4" t="e">
        <f t="shared" ca="1" si="42"/>
        <v>#DIV/0!</v>
      </c>
      <c r="AK119" s="4" t="e">
        <f t="shared" ca="1" si="43"/>
        <v>#DIV/0!</v>
      </c>
      <c r="AM119" s="563">
        <f t="shared" ca="1" si="33"/>
        <v>45830</v>
      </c>
      <c r="AN119" s="564">
        <v>151.49</v>
      </c>
      <c r="AO119" s="564">
        <v>624978</v>
      </c>
      <c r="AP119" s="564">
        <v>53481.521000000001</v>
      </c>
      <c r="AQ119" s="564">
        <v>8101915.6162900003</v>
      </c>
      <c r="AR119" s="564">
        <v>2.1113</v>
      </c>
    </row>
    <row r="120" spans="2:44">
      <c r="B120" s="565">
        <f t="shared" ca="1" si="44"/>
        <v>45140</v>
      </c>
      <c r="C120" s="561">
        <f ca="1">(IFERROR(IFERROR(VALUE(_xll.BDH(C$4,"CURRENT_EV_TO_T12M_EBITDA",$B120,$B120)),VALUE(_xll.BDH(C$4,"CURRENT_EV_TO_T12M_EBITDA",$B120+1,$B120+1))),C121))</f>
        <v>0</v>
      </c>
      <c r="D120" s="561">
        <f ca="1">(IFERROR(IFERROR(VALUE(_xll.BDH(D$4,"CURRENT_EV_TO_T12M_EBITDA",$B120,$B120)),VALUE(_xll.BDH(D$4,"CURRENT_EV_TO_T12M_EBITDA",$B120+1,$B120+1))),D121))</f>
        <v>0</v>
      </c>
      <c r="E120" s="561">
        <f ca="1">(IFERROR(IFERROR(VALUE(_xll.BDH(E$4,"CURRENT_EV_TO_T12M_EBITDA",$B120,$B120)),VALUE(_xll.BDH(E$4,"CURRENT_EV_TO_T12M_EBITDA",$B120+1,$B120+1))),E121))</f>
        <v>0</v>
      </c>
      <c r="F120" s="561">
        <f ca="1">(IFERROR(IFERROR(VALUE(_xll.BDH(F$4,"CURRENT_EV_TO_T12M_EBITDA",$B120,$B120)),VALUE(_xll.BDH(F$4,"CURRENT_EV_TO_T12M_EBITDA",$B120+1,$B120+1))),F121))</f>
        <v>0</v>
      </c>
      <c r="G120" s="561">
        <f ca="1">(IFERROR(IFERROR(VALUE(_xll.BDH(G$4,"CURRENT_EV_TO_T12M_EBITDA",$B120,$B120)),VALUE(_xll.BDH(G$4,"CURRENT_EV_TO_T12M_EBITDA",$B120+1,$B120+1))),G121))</f>
        <v>0</v>
      </c>
      <c r="H120" s="561">
        <f ca="1">(IFERROR(IFERROR(VALUE(_xll.BDH(H$4,"CURRENT_EV_TO_T12M_EBITDA",$B120,$B120)),VALUE(_xll.BDH(H$4,"CURRENT_EV_TO_T12M_EBITDA",$B120+1,$B120+1))),H121))</f>
        <v>0</v>
      </c>
      <c r="I120" s="565">
        <f t="shared" ca="1" si="35"/>
        <v>45140</v>
      </c>
      <c r="J120" s="561">
        <f ca="1">(IFERROR(IFERROR(VALUE(_xll.BDH(J$4,"PE_RATIO",$B120,$B120)),VALUE(_xll.BDH(J$4,"PE_RATIO",$B120+1,$B120+1))),J121))</f>
        <v>0</v>
      </c>
      <c r="K120" s="561">
        <f ca="1">(IFERROR(IFERROR(VALUE(_xll.BDH(K$4,"PE_RATIO",$B120,$B120)),VALUE(_xll.BDH(K$4,"PE_RATIO",$B120+1,$B120+1))),K121))</f>
        <v>0</v>
      </c>
      <c r="L120" s="561">
        <f ca="1">(IFERROR(IFERROR(VALUE(_xll.BDH(L$4,"PE_RATIO",$B120,$B120)),VALUE(_xll.BDH(L$4,"PE_RATIO",$B120+1,$B120+1))),L121))</f>
        <v>0</v>
      </c>
      <c r="M120" s="561">
        <f ca="1">(IFERROR(IFERROR(VALUE(_xll.BDH(M$4,"PE_RATIO",$B120,$B120)),VALUE(_xll.BDH(M$4,"PE_RATIO",$B120+1,$B120+1))),M121))</f>
        <v>0</v>
      </c>
      <c r="N120" s="561">
        <f ca="1">(IFERROR(IFERROR(VALUE(_xll.BDH(N$4,"PE_RATIO",$B120,$B120)),VALUE(_xll.BDH(N$4,"PE_RATIO",$B120+1,$B120+1))),N121))</f>
        <v>0</v>
      </c>
      <c r="O120" s="561">
        <f ca="1">(IFERROR(IFERROR(VALUE(_xll.BDH(O$4,"PE_RATIO",$B120,$B120)),VALUE(_xll.BDH(O$4,"PE_RATIO",$B120+1,$B120+1))),O121))</f>
        <v>0</v>
      </c>
      <c r="P120" s="561"/>
      <c r="Q120" s="565">
        <f t="shared" ca="1" si="36"/>
        <v>45140</v>
      </c>
      <c r="R120" s="4">
        <v>145.13999999999999</v>
      </c>
      <c r="S120" s="4">
        <v>14945.91</v>
      </c>
      <c r="T120" s="4">
        <v>1013.66</v>
      </c>
      <c r="U120" s="4">
        <v>1.1705782724413258</v>
      </c>
      <c r="V120" s="4">
        <v>1.3259618071727992</v>
      </c>
      <c r="W120" s="4">
        <v>1.3658240810606876</v>
      </c>
      <c r="Y120" s="561">
        <f t="shared" si="37"/>
        <v>145.13999999999999</v>
      </c>
      <c r="Z120" s="4">
        <f ca="1">IFERROR(VALUE(_xll.BDH(Z$4,"PX_LAST",$Q120,$Q120)),Z121)</f>
        <v>0</v>
      </c>
      <c r="AA120" s="4">
        <f ca="1">IFERROR(VALUE(_xll.BDH(AA$4,"PX_LAST",$Q120,$Q120)),AA121)</f>
        <v>0</v>
      </c>
      <c r="AB120" s="4">
        <f ca="1">IFERROR(VALUE(_xll.BDH(AB$4,"PX_LAST",$Q120,$Q120)),AB121)</f>
        <v>0</v>
      </c>
      <c r="AC120" s="4">
        <f ca="1">IFERROR(VALUE(_xll.BDH(AC$4,"PX_LAST",$Q120,$Q120)),AC121)</f>
        <v>0</v>
      </c>
      <c r="AD120" s="4">
        <f ca="1">IFERROR(VALUE(_xll.BDH(AD$4,"PX_LAST",$Q120,$Q120)),AD121)</f>
        <v>0</v>
      </c>
      <c r="AF120" s="4">
        <f t="shared" si="38"/>
        <v>1.1705782724413258</v>
      </c>
      <c r="AG120" s="4" t="e">
        <f t="shared" ca="1" si="39"/>
        <v>#DIV/0!</v>
      </c>
      <c r="AH120" s="4" t="e">
        <f t="shared" ca="1" si="40"/>
        <v>#DIV/0!</v>
      </c>
      <c r="AI120" s="4" t="e">
        <f t="shared" ca="1" si="41"/>
        <v>#DIV/0!</v>
      </c>
      <c r="AJ120" s="4" t="e">
        <f t="shared" ca="1" si="42"/>
        <v>#DIV/0!</v>
      </c>
      <c r="AK120" s="4" t="e">
        <f t="shared" ca="1" si="43"/>
        <v>#DIV/0!</v>
      </c>
      <c r="AM120" s="563">
        <f t="shared" ca="1" si="33"/>
        <v>45829</v>
      </c>
      <c r="AN120" s="564">
        <v>151.49</v>
      </c>
      <c r="AO120" s="564">
        <v>624978</v>
      </c>
      <c r="AP120" s="564">
        <v>53481.521000000001</v>
      </c>
      <c r="AQ120" s="564">
        <v>8101915.6162900003</v>
      </c>
      <c r="AR120" s="564">
        <v>2.1113</v>
      </c>
    </row>
    <row r="121" spans="2:44">
      <c r="B121" s="565">
        <f t="shared" ca="1" si="44"/>
        <v>45133</v>
      </c>
      <c r="C121" s="561">
        <f ca="1">(IFERROR(IFERROR(VALUE(_xll.BDH(C$4,"CURRENT_EV_TO_T12M_EBITDA",$B121,$B121)),VALUE(_xll.BDH(C$4,"CURRENT_EV_TO_T12M_EBITDA",$B121+1,$B121+1))),C122))</f>
        <v>0</v>
      </c>
      <c r="D121" s="561">
        <f ca="1">(IFERROR(IFERROR(VALUE(_xll.BDH(D$4,"CURRENT_EV_TO_T12M_EBITDA",$B121,$B121)),VALUE(_xll.BDH(D$4,"CURRENT_EV_TO_T12M_EBITDA",$B121+1,$B121+1))),D122))</f>
        <v>0</v>
      </c>
      <c r="E121" s="561">
        <f ca="1">(IFERROR(IFERROR(VALUE(_xll.BDH(E$4,"CURRENT_EV_TO_T12M_EBITDA",$B121,$B121)),VALUE(_xll.BDH(E$4,"CURRENT_EV_TO_T12M_EBITDA",$B121+1,$B121+1))),E122))</f>
        <v>0</v>
      </c>
      <c r="F121" s="561">
        <f ca="1">(IFERROR(IFERROR(VALUE(_xll.BDH(F$4,"CURRENT_EV_TO_T12M_EBITDA",$B121,$B121)),VALUE(_xll.BDH(F$4,"CURRENT_EV_TO_T12M_EBITDA",$B121+1,$B121+1))),F122))</f>
        <v>0</v>
      </c>
      <c r="G121" s="561">
        <f ca="1">(IFERROR(IFERROR(VALUE(_xll.BDH(G$4,"CURRENT_EV_TO_T12M_EBITDA",$B121,$B121)),VALUE(_xll.BDH(G$4,"CURRENT_EV_TO_T12M_EBITDA",$B121+1,$B121+1))),G122))</f>
        <v>0</v>
      </c>
      <c r="H121" s="561">
        <f ca="1">(IFERROR(IFERROR(VALUE(_xll.BDH(H$4,"CURRENT_EV_TO_T12M_EBITDA",$B121,$B121)),VALUE(_xll.BDH(H$4,"CURRENT_EV_TO_T12M_EBITDA",$B121+1,$B121+1))),H122))</f>
        <v>0</v>
      </c>
      <c r="I121" s="565">
        <f t="shared" ca="1" si="35"/>
        <v>45133</v>
      </c>
      <c r="J121" s="561">
        <f ca="1">(IFERROR(IFERROR(VALUE(_xll.BDH(J$4,"PE_RATIO",$B121,$B121)),VALUE(_xll.BDH(J$4,"PE_RATIO",$B121+1,$B121+1))),J122))</f>
        <v>0</v>
      </c>
      <c r="K121" s="561">
        <f ca="1">(IFERROR(IFERROR(VALUE(_xll.BDH(K$4,"PE_RATIO",$B121,$B121)),VALUE(_xll.BDH(K$4,"PE_RATIO",$B121+1,$B121+1))),K122))</f>
        <v>0</v>
      </c>
      <c r="L121" s="561">
        <f ca="1">(IFERROR(IFERROR(VALUE(_xll.BDH(L$4,"PE_RATIO",$B121,$B121)),VALUE(_xll.BDH(L$4,"PE_RATIO",$B121+1,$B121+1))),L122))</f>
        <v>0</v>
      </c>
      <c r="M121" s="561">
        <f ca="1">(IFERROR(IFERROR(VALUE(_xll.BDH(M$4,"PE_RATIO",$B121,$B121)),VALUE(_xll.BDH(M$4,"PE_RATIO",$B121+1,$B121+1))),M122))</f>
        <v>0</v>
      </c>
      <c r="N121" s="561">
        <f ca="1">(IFERROR(IFERROR(VALUE(_xll.BDH(N$4,"PE_RATIO",$B121,$B121)),VALUE(_xll.BDH(N$4,"PE_RATIO",$B121+1,$B121+1))),N122))</f>
        <v>0</v>
      </c>
      <c r="O121" s="561">
        <f ca="1">(IFERROR(IFERROR(VALUE(_xll.BDH(O$4,"PE_RATIO",$B121,$B121)),VALUE(_xll.BDH(O$4,"PE_RATIO",$B121+1,$B121+1))),O122))</f>
        <v>0</v>
      </c>
      <c r="P121" s="561"/>
      <c r="Q121" s="565">
        <f t="shared" ca="1" si="36"/>
        <v>45133</v>
      </c>
      <c r="R121" s="4">
        <v>143.41999999999999</v>
      </c>
      <c r="S121" s="4">
        <v>15070.15</v>
      </c>
      <c r="T121" s="4">
        <v>996.33</v>
      </c>
      <c r="U121" s="4">
        <v>1.1567061859827406</v>
      </c>
      <c r="V121" s="4">
        <v>1.3369840530529864</v>
      </c>
      <c r="W121" s="4">
        <v>1.3424733211167403</v>
      </c>
      <c r="Y121" s="561">
        <f t="shared" si="37"/>
        <v>143.41999999999999</v>
      </c>
      <c r="Z121" s="4">
        <f ca="1">IFERROR(VALUE(_xll.BDH(Z$4,"PX_LAST",$Q121,$Q121)),Z122)</f>
        <v>0</v>
      </c>
      <c r="AA121" s="4">
        <f ca="1">IFERROR(VALUE(_xll.BDH(AA$4,"PX_LAST",$Q121,$Q121)),AA122)</f>
        <v>0</v>
      </c>
      <c r="AB121" s="4">
        <f ca="1">IFERROR(VALUE(_xll.BDH(AB$4,"PX_LAST",$Q121,$Q121)),AB122)</f>
        <v>0</v>
      </c>
      <c r="AC121" s="4">
        <f ca="1">IFERROR(VALUE(_xll.BDH(AC$4,"PX_LAST",$Q121,$Q121)),AC122)</f>
        <v>0</v>
      </c>
      <c r="AD121" s="4">
        <f ca="1">IFERROR(VALUE(_xll.BDH(AD$4,"PX_LAST",$Q121,$Q121)),AD122)</f>
        <v>0</v>
      </c>
      <c r="AF121" s="4">
        <f t="shared" si="38"/>
        <v>1.1567061859827406</v>
      </c>
      <c r="AG121" s="4" t="e">
        <f t="shared" ca="1" si="39"/>
        <v>#DIV/0!</v>
      </c>
      <c r="AH121" s="4" t="e">
        <f t="shared" ca="1" si="40"/>
        <v>#DIV/0!</v>
      </c>
      <c r="AI121" s="4" t="e">
        <f t="shared" ca="1" si="41"/>
        <v>#DIV/0!</v>
      </c>
      <c r="AJ121" s="4" t="e">
        <f t="shared" ca="1" si="42"/>
        <v>#DIV/0!</v>
      </c>
      <c r="AK121" s="4" t="e">
        <f t="shared" ca="1" si="43"/>
        <v>#DIV/0!</v>
      </c>
      <c r="AM121" s="563">
        <f t="shared" ca="1" si="33"/>
        <v>45828</v>
      </c>
      <c r="AN121" s="564">
        <v>149.78</v>
      </c>
      <c r="AO121" s="564">
        <v>928398</v>
      </c>
      <c r="AP121" s="564">
        <v>53481.521000000001</v>
      </c>
      <c r="AQ121" s="564">
        <v>8010462.21538</v>
      </c>
      <c r="AR121" s="564">
        <v>2.0874999999999999</v>
      </c>
    </row>
    <row r="122" spans="2:44">
      <c r="B122" s="565">
        <f t="shared" ca="1" si="44"/>
        <v>45126</v>
      </c>
      <c r="C122" s="561">
        <f ca="1">(IFERROR(IFERROR(VALUE(_xll.BDH(C$4,"CURRENT_EV_TO_T12M_EBITDA",$B122,$B122)),VALUE(_xll.BDH(C$4,"CURRENT_EV_TO_T12M_EBITDA",$B122+1,$B122+1))),C123))</f>
        <v>0</v>
      </c>
      <c r="D122" s="561">
        <f ca="1">(IFERROR(IFERROR(VALUE(_xll.BDH(D$4,"CURRENT_EV_TO_T12M_EBITDA",$B122,$B122)),VALUE(_xll.BDH(D$4,"CURRENT_EV_TO_T12M_EBITDA",$B122+1,$B122+1))),D123))</f>
        <v>0</v>
      </c>
      <c r="E122" s="561">
        <f ca="1">(IFERROR(IFERROR(VALUE(_xll.BDH(E$4,"CURRENT_EV_TO_T12M_EBITDA",$B122,$B122)),VALUE(_xll.BDH(E$4,"CURRENT_EV_TO_T12M_EBITDA",$B122+1,$B122+1))),E123))</f>
        <v>0</v>
      </c>
      <c r="F122" s="561">
        <f ca="1">(IFERROR(IFERROR(VALUE(_xll.BDH(F$4,"CURRENT_EV_TO_T12M_EBITDA",$B122,$B122)),VALUE(_xll.BDH(F$4,"CURRENT_EV_TO_T12M_EBITDA",$B122+1,$B122+1))),F123))</f>
        <v>0</v>
      </c>
      <c r="G122" s="561">
        <f ca="1">(IFERROR(IFERROR(VALUE(_xll.BDH(G$4,"CURRENT_EV_TO_T12M_EBITDA",$B122,$B122)),VALUE(_xll.BDH(G$4,"CURRENT_EV_TO_T12M_EBITDA",$B122+1,$B122+1))),G123))</f>
        <v>0</v>
      </c>
      <c r="H122" s="561">
        <f ca="1">(IFERROR(IFERROR(VALUE(_xll.BDH(H$4,"CURRENT_EV_TO_T12M_EBITDA",$B122,$B122)),VALUE(_xll.BDH(H$4,"CURRENT_EV_TO_T12M_EBITDA",$B122+1,$B122+1))),H123))</f>
        <v>0</v>
      </c>
      <c r="I122" s="565">
        <f t="shared" ca="1" si="35"/>
        <v>45126</v>
      </c>
      <c r="J122" s="561">
        <f ca="1">(IFERROR(IFERROR(VALUE(_xll.BDH(J$4,"PE_RATIO",$B122,$B122)),VALUE(_xll.BDH(J$4,"PE_RATIO",$B122+1,$B122+1))),J123))</f>
        <v>0</v>
      </c>
      <c r="K122" s="561">
        <f ca="1">(IFERROR(IFERROR(VALUE(_xll.BDH(K$4,"PE_RATIO",$B122,$B122)),VALUE(_xll.BDH(K$4,"PE_RATIO",$B122+1,$B122+1))),K123))</f>
        <v>0</v>
      </c>
      <c r="L122" s="561">
        <f ca="1">(IFERROR(IFERROR(VALUE(_xll.BDH(L$4,"PE_RATIO",$B122,$B122)),VALUE(_xll.BDH(L$4,"PE_RATIO",$B122+1,$B122+1))),L123))</f>
        <v>0</v>
      </c>
      <c r="M122" s="561">
        <f ca="1">(IFERROR(IFERROR(VALUE(_xll.BDH(M$4,"PE_RATIO",$B122,$B122)),VALUE(_xll.BDH(M$4,"PE_RATIO",$B122+1,$B122+1))),M123))</f>
        <v>0</v>
      </c>
      <c r="N122" s="561">
        <f ca="1">(IFERROR(IFERROR(VALUE(_xll.BDH(N$4,"PE_RATIO",$B122,$B122)),VALUE(_xll.BDH(N$4,"PE_RATIO",$B122+1,$B122+1))),N123))</f>
        <v>0</v>
      </c>
      <c r="O122" s="561">
        <f ca="1">(IFERROR(IFERROR(VALUE(_xll.BDH(O$4,"PE_RATIO",$B122,$B122)),VALUE(_xll.BDH(O$4,"PE_RATIO",$B122+1,$B122+1))),O123))</f>
        <v>0</v>
      </c>
      <c r="P122" s="561"/>
      <c r="Q122" s="565">
        <f t="shared" ca="1" si="36"/>
        <v>45126</v>
      </c>
      <c r="R122" s="4">
        <v>143.93</v>
      </c>
      <c r="S122" s="4">
        <v>14900.85</v>
      </c>
      <c r="T122" s="4">
        <v>993.97</v>
      </c>
      <c r="U122" s="4">
        <v>1.1608194209210421</v>
      </c>
      <c r="V122" s="4">
        <v>1.3219642025417526</v>
      </c>
      <c r="W122" s="4">
        <v>1.3392934138191226</v>
      </c>
      <c r="Y122" s="561">
        <f t="shared" si="37"/>
        <v>143.93</v>
      </c>
      <c r="Z122" s="4">
        <f ca="1">IFERROR(VALUE(_xll.BDH(Z$4,"PX_LAST",$Q122,$Q122)),Z123)</f>
        <v>0</v>
      </c>
      <c r="AA122" s="4">
        <f ca="1">IFERROR(VALUE(_xll.BDH(AA$4,"PX_LAST",$Q122,$Q122)),AA123)</f>
        <v>0</v>
      </c>
      <c r="AB122" s="4">
        <f ca="1">IFERROR(VALUE(_xll.BDH(AB$4,"PX_LAST",$Q122,$Q122)),AB123)</f>
        <v>0</v>
      </c>
      <c r="AC122" s="4">
        <f ca="1">IFERROR(VALUE(_xll.BDH(AC$4,"PX_LAST",$Q122,$Q122)),AC123)</f>
        <v>0</v>
      </c>
      <c r="AD122" s="4">
        <f ca="1">IFERROR(VALUE(_xll.BDH(AD$4,"PX_LAST",$Q122,$Q122)),AD123)</f>
        <v>0</v>
      </c>
      <c r="AF122" s="4">
        <f t="shared" si="38"/>
        <v>1.1608194209210421</v>
      </c>
      <c r="AG122" s="4" t="e">
        <f t="shared" ca="1" si="39"/>
        <v>#DIV/0!</v>
      </c>
      <c r="AH122" s="4" t="e">
        <f t="shared" ca="1" si="40"/>
        <v>#DIV/0!</v>
      </c>
      <c r="AI122" s="4" t="e">
        <f t="shared" ca="1" si="41"/>
        <v>#DIV/0!</v>
      </c>
      <c r="AJ122" s="4" t="e">
        <f t="shared" ca="1" si="42"/>
        <v>#DIV/0!</v>
      </c>
      <c r="AK122" s="4" t="e">
        <f t="shared" ca="1" si="43"/>
        <v>#DIV/0!</v>
      </c>
      <c r="AM122" s="563">
        <f t="shared" ca="1" si="33"/>
        <v>45827</v>
      </c>
      <c r="AN122" s="564">
        <v>148.72</v>
      </c>
      <c r="AO122" s="564">
        <v>943017</v>
      </c>
      <c r="AP122" s="564">
        <v>53481.521000000001</v>
      </c>
      <c r="AQ122" s="564">
        <v>7953771.8031200003</v>
      </c>
      <c r="AR122" s="564">
        <v>2.0727000000000002</v>
      </c>
    </row>
    <row r="123" spans="2:44">
      <c r="B123" s="565">
        <f t="shared" ca="1" si="44"/>
        <v>45119</v>
      </c>
      <c r="C123" s="561">
        <f ca="1">(IFERROR(IFERROR(VALUE(_xll.BDH(C$4,"CURRENT_EV_TO_T12M_EBITDA",$B123,$B123)),VALUE(_xll.BDH(C$4,"CURRENT_EV_TO_T12M_EBITDA",$B123+1,$B123+1))),C124))</f>
        <v>0</v>
      </c>
      <c r="D123" s="561">
        <f ca="1">(IFERROR(IFERROR(VALUE(_xll.BDH(D$4,"CURRENT_EV_TO_T12M_EBITDA",$B123,$B123)),VALUE(_xll.BDH(D$4,"CURRENT_EV_TO_T12M_EBITDA",$B123+1,$B123+1))),D124))</f>
        <v>0</v>
      </c>
      <c r="E123" s="561">
        <f ca="1">(IFERROR(IFERROR(VALUE(_xll.BDH(E$4,"CURRENT_EV_TO_T12M_EBITDA",$B123,$B123)),VALUE(_xll.BDH(E$4,"CURRENT_EV_TO_T12M_EBITDA",$B123+1,$B123+1))),E124))</f>
        <v>0</v>
      </c>
      <c r="F123" s="561">
        <f ca="1">(IFERROR(IFERROR(VALUE(_xll.BDH(F$4,"CURRENT_EV_TO_T12M_EBITDA",$B123,$B123)),VALUE(_xll.BDH(F$4,"CURRENT_EV_TO_T12M_EBITDA",$B123+1,$B123+1))),F124))</f>
        <v>0</v>
      </c>
      <c r="G123" s="561">
        <f ca="1">(IFERROR(IFERROR(VALUE(_xll.BDH(G$4,"CURRENT_EV_TO_T12M_EBITDA",$B123,$B123)),VALUE(_xll.BDH(G$4,"CURRENT_EV_TO_T12M_EBITDA",$B123+1,$B123+1))),G124))</f>
        <v>0</v>
      </c>
      <c r="H123" s="561">
        <f ca="1">(IFERROR(IFERROR(VALUE(_xll.BDH(H$4,"CURRENT_EV_TO_T12M_EBITDA",$B123,$B123)),VALUE(_xll.BDH(H$4,"CURRENT_EV_TO_T12M_EBITDA",$B123+1,$B123+1))),H124))</f>
        <v>0</v>
      </c>
      <c r="I123" s="565">
        <f t="shared" ca="1" si="35"/>
        <v>45119</v>
      </c>
      <c r="J123" s="561">
        <f ca="1">(IFERROR(IFERROR(VALUE(_xll.BDH(J$4,"PE_RATIO",$B123,$B123)),VALUE(_xll.BDH(J$4,"PE_RATIO",$B123+1,$B123+1))),J124))</f>
        <v>0</v>
      </c>
      <c r="K123" s="561">
        <f ca="1">(IFERROR(IFERROR(VALUE(_xll.BDH(K$4,"PE_RATIO",$B123,$B123)),VALUE(_xll.BDH(K$4,"PE_RATIO",$B123+1,$B123+1))),K124))</f>
        <v>0</v>
      </c>
      <c r="L123" s="561">
        <f ca="1">(IFERROR(IFERROR(VALUE(_xll.BDH(L$4,"PE_RATIO",$B123,$B123)),VALUE(_xll.BDH(L$4,"PE_RATIO",$B123+1,$B123+1))),L124))</f>
        <v>0</v>
      </c>
      <c r="M123" s="561">
        <f ca="1">(IFERROR(IFERROR(VALUE(_xll.BDH(M$4,"PE_RATIO",$B123,$B123)),VALUE(_xll.BDH(M$4,"PE_RATIO",$B123+1,$B123+1))),M124))</f>
        <v>0</v>
      </c>
      <c r="N123" s="561">
        <f ca="1">(IFERROR(IFERROR(VALUE(_xll.BDH(N$4,"PE_RATIO",$B123,$B123)),VALUE(_xll.BDH(N$4,"PE_RATIO",$B123+1,$B123+1))),N124))</f>
        <v>0</v>
      </c>
      <c r="O123" s="561">
        <f ca="1">(IFERROR(IFERROR(VALUE(_xll.BDH(O$4,"PE_RATIO",$B123,$B123)),VALUE(_xll.BDH(O$4,"PE_RATIO",$B123+1,$B123+1))),O124))</f>
        <v>0</v>
      </c>
      <c r="P123" s="561"/>
      <c r="Q123" s="565">
        <f t="shared" ca="1" si="36"/>
        <v>45119</v>
      </c>
      <c r="R123" s="4">
        <v>140.96</v>
      </c>
      <c r="S123" s="4">
        <v>14558.09</v>
      </c>
      <c r="T123" s="4">
        <v>945.26</v>
      </c>
      <c r="U123" s="4">
        <v>1.1368658762803454</v>
      </c>
      <c r="V123" s="4">
        <v>1.2915554372657307</v>
      </c>
      <c r="W123" s="4">
        <v>1.2736606661636305</v>
      </c>
      <c r="Y123" s="561">
        <f t="shared" si="37"/>
        <v>140.96</v>
      </c>
      <c r="Z123" s="4">
        <f ca="1">IFERROR(VALUE(_xll.BDH(Z$4,"PX_LAST",$Q123,$Q123)),Z124)</f>
        <v>0</v>
      </c>
      <c r="AA123" s="4">
        <f ca="1">IFERROR(VALUE(_xll.BDH(AA$4,"PX_LAST",$Q123,$Q123)),AA124)</f>
        <v>0</v>
      </c>
      <c r="AB123" s="4">
        <f ca="1">IFERROR(VALUE(_xll.BDH(AB$4,"PX_LAST",$Q123,$Q123)),AB124)</f>
        <v>0</v>
      </c>
      <c r="AC123" s="4">
        <f ca="1">IFERROR(VALUE(_xll.BDH(AC$4,"PX_LAST",$Q123,$Q123)),AC124)</f>
        <v>0</v>
      </c>
      <c r="AD123" s="4">
        <f ca="1">IFERROR(VALUE(_xll.BDH(AD$4,"PX_LAST",$Q123,$Q123)),AD124)</f>
        <v>0</v>
      </c>
      <c r="AF123" s="4">
        <f t="shared" si="38"/>
        <v>1.1368658762803454</v>
      </c>
      <c r="AG123" s="4" t="e">
        <f t="shared" ca="1" si="39"/>
        <v>#DIV/0!</v>
      </c>
      <c r="AH123" s="4" t="e">
        <f t="shared" ca="1" si="40"/>
        <v>#DIV/0!</v>
      </c>
      <c r="AI123" s="4" t="e">
        <f t="shared" ca="1" si="41"/>
        <v>#DIV/0!</v>
      </c>
      <c r="AJ123" s="4" t="e">
        <f t="shared" ca="1" si="42"/>
        <v>#DIV/0!</v>
      </c>
      <c r="AK123" s="4" t="e">
        <f t="shared" ca="1" si="43"/>
        <v>#DIV/0!</v>
      </c>
      <c r="AM123" s="563">
        <f t="shared" ca="1" si="33"/>
        <v>45826</v>
      </c>
      <c r="AN123" s="564">
        <v>149.91</v>
      </c>
      <c r="AO123" s="564">
        <v>1610790</v>
      </c>
      <c r="AP123" s="564">
        <v>53481.521000000001</v>
      </c>
      <c r="AQ123" s="564">
        <v>8017414.8131099995</v>
      </c>
      <c r="AR123" s="564">
        <v>2.0893000000000002</v>
      </c>
    </row>
    <row r="124" spans="2:44">
      <c r="B124" s="565">
        <f t="shared" ca="1" si="44"/>
        <v>45112</v>
      </c>
      <c r="C124" s="561">
        <f ca="1">(IFERROR(IFERROR(VALUE(_xll.BDH(C$4,"CURRENT_EV_TO_T12M_EBITDA",$B124,$B124)),VALUE(_xll.BDH(C$4,"CURRENT_EV_TO_T12M_EBITDA",$B124+1,$B124+1))),C125))</f>
        <v>0</v>
      </c>
      <c r="D124" s="561">
        <f ca="1">(IFERROR(IFERROR(VALUE(_xll.BDH(D$4,"CURRENT_EV_TO_T12M_EBITDA",$B124,$B124)),VALUE(_xll.BDH(D$4,"CURRENT_EV_TO_T12M_EBITDA",$B124+1,$B124+1))),D125))</f>
        <v>0</v>
      </c>
      <c r="E124" s="561">
        <f ca="1">(IFERROR(IFERROR(VALUE(_xll.BDH(E$4,"CURRENT_EV_TO_T12M_EBITDA",$B124,$B124)),VALUE(_xll.BDH(E$4,"CURRENT_EV_TO_T12M_EBITDA",$B124+1,$B124+1))),E125))</f>
        <v>0</v>
      </c>
      <c r="F124" s="561">
        <f ca="1">(IFERROR(IFERROR(VALUE(_xll.BDH(F$4,"CURRENT_EV_TO_T12M_EBITDA",$B124,$B124)),VALUE(_xll.BDH(F$4,"CURRENT_EV_TO_T12M_EBITDA",$B124+1,$B124+1))),F125))</f>
        <v>0</v>
      </c>
      <c r="G124" s="561">
        <f ca="1">(IFERROR(IFERROR(VALUE(_xll.BDH(G$4,"CURRENT_EV_TO_T12M_EBITDA",$B124,$B124)),VALUE(_xll.BDH(G$4,"CURRENT_EV_TO_T12M_EBITDA",$B124+1,$B124+1))),G125))</f>
        <v>0</v>
      </c>
      <c r="H124" s="561">
        <f ca="1">(IFERROR(IFERROR(VALUE(_xll.BDH(H$4,"CURRENT_EV_TO_T12M_EBITDA",$B124,$B124)),VALUE(_xll.BDH(H$4,"CURRENT_EV_TO_T12M_EBITDA",$B124+1,$B124+1))),H125))</f>
        <v>0</v>
      </c>
      <c r="I124" s="565">
        <f t="shared" ca="1" si="35"/>
        <v>45112</v>
      </c>
      <c r="J124" s="561">
        <f ca="1">(IFERROR(IFERROR(VALUE(_xll.BDH(J$4,"PE_RATIO",$B124,$B124)),VALUE(_xll.BDH(J$4,"PE_RATIO",$B124+1,$B124+1))),J125))</f>
        <v>0</v>
      </c>
      <c r="K124" s="561">
        <f ca="1">(IFERROR(IFERROR(VALUE(_xll.BDH(K$4,"PE_RATIO",$B124,$B124)),VALUE(_xll.BDH(K$4,"PE_RATIO",$B124+1,$B124+1))),K125))</f>
        <v>0</v>
      </c>
      <c r="L124" s="561">
        <f ca="1">(IFERROR(IFERROR(VALUE(_xll.BDH(L$4,"PE_RATIO",$B124,$B124)),VALUE(_xll.BDH(L$4,"PE_RATIO",$B124+1,$B124+1))),L125))</f>
        <v>0</v>
      </c>
      <c r="M124" s="561">
        <f ca="1">(IFERROR(IFERROR(VALUE(_xll.BDH(M$4,"PE_RATIO",$B124,$B124)),VALUE(_xll.BDH(M$4,"PE_RATIO",$B124+1,$B124+1))),M125))</f>
        <v>0</v>
      </c>
      <c r="N124" s="561">
        <f ca="1">(IFERROR(IFERROR(VALUE(_xll.BDH(N$4,"PE_RATIO",$B124,$B124)),VALUE(_xll.BDH(N$4,"PE_RATIO",$B124+1,$B124+1))),N125))</f>
        <v>0</v>
      </c>
      <c r="O124" s="561">
        <f ca="1">(IFERROR(IFERROR(VALUE(_xll.BDH(O$4,"PE_RATIO",$B124,$B124)),VALUE(_xll.BDH(O$4,"PE_RATIO",$B124+1,$B124+1))),O125))</f>
        <v>0</v>
      </c>
      <c r="P124" s="561"/>
      <c r="Q124" s="565">
        <f t="shared" ca="1" si="36"/>
        <v>45112</v>
      </c>
      <c r="R124" s="4">
        <v>135.22</v>
      </c>
      <c r="S124" s="4">
        <v>14354.99</v>
      </c>
      <c r="T124" s="4">
        <v>914.12</v>
      </c>
      <c r="U124" s="4">
        <v>1.0905718203080894</v>
      </c>
      <c r="V124" s="4">
        <v>1.2735369396943685</v>
      </c>
      <c r="W124" s="4">
        <v>1.2317020588552334</v>
      </c>
      <c r="Y124" s="561">
        <f t="shared" si="37"/>
        <v>135.22</v>
      </c>
      <c r="Z124" s="4">
        <f ca="1">IFERROR(VALUE(_xll.BDH(Z$4,"PX_LAST",$Q124,$Q124)),Z125)</f>
        <v>0</v>
      </c>
      <c r="AA124" s="4">
        <f ca="1">IFERROR(VALUE(_xll.BDH(AA$4,"PX_LAST",$Q124,$Q124)),AA125)</f>
        <v>0</v>
      </c>
      <c r="AB124" s="4">
        <f ca="1">IFERROR(VALUE(_xll.BDH(AB$4,"PX_LAST",$Q124,$Q124)),AB125)</f>
        <v>0</v>
      </c>
      <c r="AC124" s="4">
        <f ca="1">IFERROR(VALUE(_xll.BDH(AC$4,"PX_LAST",$Q124,$Q124)),AC125)</f>
        <v>0</v>
      </c>
      <c r="AD124" s="4">
        <f ca="1">IFERROR(VALUE(_xll.BDH(AD$4,"PX_LAST",$Q124,$Q124)),AD125)</f>
        <v>0</v>
      </c>
      <c r="AF124" s="4">
        <f t="shared" si="38"/>
        <v>1.0905718203080894</v>
      </c>
      <c r="AG124" s="4" t="e">
        <f t="shared" ca="1" si="39"/>
        <v>#DIV/0!</v>
      </c>
      <c r="AH124" s="4" t="e">
        <f t="shared" ca="1" si="40"/>
        <v>#DIV/0!</v>
      </c>
      <c r="AI124" s="4" t="e">
        <f t="shared" ca="1" si="41"/>
        <v>#DIV/0!</v>
      </c>
      <c r="AJ124" s="4" t="e">
        <f t="shared" ca="1" si="42"/>
        <v>#DIV/0!</v>
      </c>
      <c r="AK124" s="4" t="e">
        <f t="shared" ca="1" si="43"/>
        <v>#DIV/0!</v>
      </c>
      <c r="AM124" s="563">
        <f t="shared" ca="1" si="33"/>
        <v>45825</v>
      </c>
      <c r="AN124" s="564">
        <v>146.9</v>
      </c>
      <c r="AO124" s="564">
        <v>1900139</v>
      </c>
      <c r="AP124" s="564">
        <v>53481.521000000001</v>
      </c>
      <c r="AQ124" s="564">
        <v>7856435.4349000007</v>
      </c>
      <c r="AR124" s="564">
        <v>2.0474000000000001</v>
      </c>
    </row>
    <row r="125" spans="2:44">
      <c r="B125" s="565">
        <f t="shared" ca="1" si="44"/>
        <v>45105</v>
      </c>
      <c r="C125" s="561">
        <f ca="1">(IFERROR(IFERROR(VALUE(_xll.BDH(C$4,"CURRENT_EV_TO_T12M_EBITDA",$B125,$B125)),VALUE(_xll.BDH(C$4,"CURRENT_EV_TO_T12M_EBITDA",$B125+1,$B125+1))),C126))</f>
        <v>0</v>
      </c>
      <c r="D125" s="561">
        <f ca="1">(IFERROR(IFERROR(VALUE(_xll.BDH(D$4,"CURRENT_EV_TO_T12M_EBITDA",$B125,$B125)),VALUE(_xll.BDH(D$4,"CURRENT_EV_TO_T12M_EBITDA",$B125+1,$B125+1))),D126))</f>
        <v>0</v>
      </c>
      <c r="E125" s="561">
        <f ca="1">(IFERROR(IFERROR(VALUE(_xll.BDH(E$4,"CURRENT_EV_TO_T12M_EBITDA",$B125,$B125)),VALUE(_xll.BDH(E$4,"CURRENT_EV_TO_T12M_EBITDA",$B125+1,$B125+1))),E126))</f>
        <v>0</v>
      </c>
      <c r="F125" s="561">
        <f ca="1">(IFERROR(IFERROR(VALUE(_xll.BDH(F$4,"CURRENT_EV_TO_T12M_EBITDA",$B125,$B125)),VALUE(_xll.BDH(F$4,"CURRENT_EV_TO_T12M_EBITDA",$B125+1,$B125+1))),F126))</f>
        <v>0</v>
      </c>
      <c r="G125" s="561">
        <f ca="1">(IFERROR(IFERROR(VALUE(_xll.BDH(G$4,"CURRENT_EV_TO_T12M_EBITDA",$B125,$B125)),VALUE(_xll.BDH(G$4,"CURRENT_EV_TO_T12M_EBITDA",$B125+1,$B125+1))),G126))</f>
        <v>0</v>
      </c>
      <c r="H125" s="561">
        <f ca="1">(IFERROR(IFERROR(VALUE(_xll.BDH(H$4,"CURRENT_EV_TO_T12M_EBITDA",$B125,$B125)),VALUE(_xll.BDH(H$4,"CURRENT_EV_TO_T12M_EBITDA",$B125+1,$B125+1))),H126))</f>
        <v>0</v>
      </c>
      <c r="I125" s="565">
        <f t="shared" ca="1" si="35"/>
        <v>45105</v>
      </c>
      <c r="J125" s="561">
        <f ca="1">(IFERROR(IFERROR(VALUE(_xll.BDH(J$4,"PE_RATIO",$B125,$B125)),VALUE(_xll.BDH(J$4,"PE_RATIO",$B125+1,$B125+1))),J126))</f>
        <v>0</v>
      </c>
      <c r="K125" s="561">
        <f ca="1">(IFERROR(IFERROR(VALUE(_xll.BDH(K$4,"PE_RATIO",$B125,$B125)),VALUE(_xll.BDH(K$4,"PE_RATIO",$B125+1,$B125+1))),K126))</f>
        <v>0</v>
      </c>
      <c r="L125" s="561">
        <f ca="1">(IFERROR(IFERROR(VALUE(_xll.BDH(L$4,"PE_RATIO",$B125,$B125)),VALUE(_xll.BDH(L$4,"PE_RATIO",$B125+1,$B125+1))),L126))</f>
        <v>0</v>
      </c>
      <c r="M125" s="561">
        <f ca="1">(IFERROR(IFERROR(VALUE(_xll.BDH(M$4,"PE_RATIO",$B125,$B125)),VALUE(_xll.BDH(M$4,"PE_RATIO",$B125+1,$B125+1))),M126))</f>
        <v>0</v>
      </c>
      <c r="N125" s="561">
        <f ca="1">(IFERROR(IFERROR(VALUE(_xll.BDH(N$4,"PE_RATIO",$B125,$B125)),VALUE(_xll.BDH(N$4,"PE_RATIO",$B125+1,$B125+1))),N126))</f>
        <v>0</v>
      </c>
      <c r="O125" s="561">
        <f ca="1">(IFERROR(IFERROR(VALUE(_xll.BDH(O$4,"PE_RATIO",$B125,$B125)),VALUE(_xll.BDH(O$4,"PE_RATIO",$B125+1,$B125+1))),O126))</f>
        <v>0</v>
      </c>
      <c r="P125" s="561"/>
      <c r="Q125" s="565">
        <f t="shared" ca="1" si="36"/>
        <v>45105</v>
      </c>
      <c r="R125" s="4">
        <v>138.04</v>
      </c>
      <c r="S125" s="4">
        <v>13672.54</v>
      </c>
      <c r="T125" s="4">
        <v>913.85</v>
      </c>
      <c r="U125" s="4">
        <v>1.1133155899669327</v>
      </c>
      <c r="V125" s="4">
        <v>1.2129917714640583</v>
      </c>
      <c r="W125" s="4">
        <v>1.2313382559016925</v>
      </c>
      <c r="Y125" s="561">
        <f t="shared" si="37"/>
        <v>138.04</v>
      </c>
      <c r="Z125" s="4">
        <f ca="1">IFERROR(VALUE(_xll.BDH(Z$4,"PX_LAST",$Q125,$Q125)),Z126)</f>
        <v>0</v>
      </c>
      <c r="AA125" s="4">
        <f ca="1">IFERROR(VALUE(_xll.BDH(AA$4,"PX_LAST",$Q125,$Q125)),AA126)</f>
        <v>0</v>
      </c>
      <c r="AB125" s="4">
        <f ca="1">IFERROR(VALUE(_xll.BDH(AB$4,"PX_LAST",$Q125,$Q125)),AB126)</f>
        <v>0</v>
      </c>
      <c r="AC125" s="4">
        <f ca="1">IFERROR(VALUE(_xll.BDH(AC$4,"PX_LAST",$Q125,$Q125)),AC126)</f>
        <v>0</v>
      </c>
      <c r="AD125" s="4">
        <f ca="1">IFERROR(VALUE(_xll.BDH(AD$4,"PX_LAST",$Q125,$Q125)),AD126)</f>
        <v>0</v>
      </c>
      <c r="AF125" s="4">
        <f t="shared" si="38"/>
        <v>1.1133155899669327</v>
      </c>
      <c r="AG125" s="4" t="e">
        <f t="shared" ca="1" si="39"/>
        <v>#DIV/0!</v>
      </c>
      <c r="AH125" s="4" t="e">
        <f t="shared" ca="1" si="40"/>
        <v>#DIV/0!</v>
      </c>
      <c r="AI125" s="4" t="e">
        <f t="shared" ca="1" si="41"/>
        <v>#DIV/0!</v>
      </c>
      <c r="AJ125" s="4" t="e">
        <f t="shared" ca="1" si="42"/>
        <v>#DIV/0!</v>
      </c>
      <c r="AK125" s="4" t="e">
        <f t="shared" ca="1" si="43"/>
        <v>#DIV/0!</v>
      </c>
      <c r="AM125" s="563">
        <f t="shared" ca="1" si="33"/>
        <v>45824</v>
      </c>
      <c r="AN125" s="564">
        <v>139.52000000000001</v>
      </c>
      <c r="AO125" s="564">
        <v>909004</v>
      </c>
      <c r="AP125" s="564">
        <v>53481.521000000001</v>
      </c>
      <c r="AQ125" s="564">
        <v>7461741.8099200008</v>
      </c>
      <c r="AR125" s="564">
        <v>1.9444999999999999</v>
      </c>
    </row>
    <row r="126" spans="2:44">
      <c r="B126" s="565">
        <f t="shared" ca="1" si="44"/>
        <v>45098</v>
      </c>
      <c r="C126" s="561">
        <f ca="1">(IFERROR(IFERROR(VALUE(_xll.BDH(C$4,"CURRENT_EV_TO_T12M_EBITDA",$B126,$B126)),VALUE(_xll.BDH(C$4,"CURRENT_EV_TO_T12M_EBITDA",$B126+1,$B126+1))),C127))</f>
        <v>0</v>
      </c>
      <c r="D126" s="561">
        <f ca="1">(IFERROR(IFERROR(VALUE(_xll.BDH(D$4,"CURRENT_EV_TO_T12M_EBITDA",$B126,$B126)),VALUE(_xll.BDH(D$4,"CURRENT_EV_TO_T12M_EBITDA",$B126+1,$B126+1))),D127))</f>
        <v>0</v>
      </c>
      <c r="E126" s="561">
        <f ca="1">(IFERROR(IFERROR(VALUE(_xll.BDH(E$4,"CURRENT_EV_TO_T12M_EBITDA",$B126,$B126)),VALUE(_xll.BDH(E$4,"CURRENT_EV_TO_T12M_EBITDA",$B126+1,$B126+1))),E127))</f>
        <v>0</v>
      </c>
      <c r="F126" s="561">
        <f ca="1">(IFERROR(IFERROR(VALUE(_xll.BDH(F$4,"CURRENT_EV_TO_T12M_EBITDA",$B126,$B126)),VALUE(_xll.BDH(F$4,"CURRENT_EV_TO_T12M_EBITDA",$B126+1,$B126+1))),F127))</f>
        <v>0</v>
      </c>
      <c r="G126" s="561">
        <f ca="1">(IFERROR(IFERROR(VALUE(_xll.BDH(G$4,"CURRENT_EV_TO_T12M_EBITDA",$B126,$B126)),VALUE(_xll.BDH(G$4,"CURRENT_EV_TO_T12M_EBITDA",$B126+1,$B126+1))),G127))</f>
        <v>0</v>
      </c>
      <c r="H126" s="561">
        <f ca="1">(IFERROR(IFERROR(VALUE(_xll.BDH(H$4,"CURRENT_EV_TO_T12M_EBITDA",$B126,$B126)),VALUE(_xll.BDH(H$4,"CURRENT_EV_TO_T12M_EBITDA",$B126+1,$B126+1))),H127))</f>
        <v>0</v>
      </c>
      <c r="I126" s="565">
        <f t="shared" ca="1" si="35"/>
        <v>45098</v>
      </c>
      <c r="J126" s="561">
        <f ca="1">(IFERROR(IFERROR(VALUE(_xll.BDH(J$4,"PE_RATIO",$B126,$B126)),VALUE(_xll.BDH(J$4,"PE_RATIO",$B126+1,$B126+1))),J127))</f>
        <v>0</v>
      </c>
      <c r="K126" s="561">
        <f ca="1">(IFERROR(IFERROR(VALUE(_xll.BDH(K$4,"PE_RATIO",$B126,$B126)),VALUE(_xll.BDH(K$4,"PE_RATIO",$B126+1,$B126+1))),K127))</f>
        <v>0</v>
      </c>
      <c r="L126" s="561">
        <f ca="1">(IFERROR(IFERROR(VALUE(_xll.BDH(L$4,"PE_RATIO",$B126,$B126)),VALUE(_xll.BDH(L$4,"PE_RATIO",$B126+1,$B126+1))),L127))</f>
        <v>0</v>
      </c>
      <c r="M126" s="561">
        <f ca="1">(IFERROR(IFERROR(VALUE(_xll.BDH(M$4,"PE_RATIO",$B126,$B126)),VALUE(_xll.BDH(M$4,"PE_RATIO",$B126+1,$B126+1))),M127))</f>
        <v>0</v>
      </c>
      <c r="N126" s="561">
        <f ca="1">(IFERROR(IFERROR(VALUE(_xll.BDH(N$4,"PE_RATIO",$B126,$B126)),VALUE(_xll.BDH(N$4,"PE_RATIO",$B126+1,$B126+1))),N127))</f>
        <v>0</v>
      </c>
      <c r="O126" s="561">
        <f ca="1">(IFERROR(IFERROR(VALUE(_xll.BDH(O$4,"PE_RATIO",$B126,$B126)),VALUE(_xll.BDH(O$4,"PE_RATIO",$B126+1,$B126+1))),O127))</f>
        <v>0</v>
      </c>
      <c r="P126" s="561"/>
      <c r="Q126" s="565">
        <f t="shared" ca="1" si="36"/>
        <v>45098</v>
      </c>
      <c r="R126" s="4">
        <v>137.27000000000001</v>
      </c>
      <c r="S126" s="4">
        <v>13426.01</v>
      </c>
      <c r="T126" s="4">
        <v>909.06</v>
      </c>
      <c r="U126" s="4">
        <v>1.1071054117267523</v>
      </c>
      <c r="V126" s="4">
        <v>1.1911202785725377</v>
      </c>
      <c r="W126" s="4">
        <v>1.2248841220222055</v>
      </c>
      <c r="Y126" s="561">
        <f t="shared" si="37"/>
        <v>137.27000000000001</v>
      </c>
      <c r="Z126" s="4">
        <f ca="1">IFERROR(VALUE(_xll.BDH(Z$4,"PX_LAST",$Q126,$Q126)),Z127)</f>
        <v>0</v>
      </c>
      <c r="AA126" s="4">
        <f ca="1">IFERROR(VALUE(_xll.BDH(AA$4,"PX_LAST",$Q126,$Q126)),AA127)</f>
        <v>0</v>
      </c>
      <c r="AB126" s="4">
        <f ca="1">IFERROR(VALUE(_xll.BDH(AB$4,"PX_LAST",$Q126,$Q126)),AB127)</f>
        <v>0</v>
      </c>
      <c r="AC126" s="4">
        <f ca="1">IFERROR(VALUE(_xll.BDH(AC$4,"PX_LAST",$Q126,$Q126)),AC127)</f>
        <v>0</v>
      </c>
      <c r="AD126" s="4">
        <f ca="1">IFERROR(VALUE(_xll.BDH(AD$4,"PX_LAST",$Q126,$Q126)),AD127)</f>
        <v>0</v>
      </c>
      <c r="AF126" s="4">
        <f t="shared" si="38"/>
        <v>1.1071054117267523</v>
      </c>
      <c r="AG126" s="4" t="e">
        <f t="shared" ca="1" si="39"/>
        <v>#DIV/0!</v>
      </c>
      <c r="AH126" s="4" t="e">
        <f t="shared" ca="1" si="40"/>
        <v>#DIV/0!</v>
      </c>
      <c r="AI126" s="4" t="e">
        <f t="shared" ca="1" si="41"/>
        <v>#DIV/0!</v>
      </c>
      <c r="AJ126" s="4" t="e">
        <f t="shared" ca="1" si="42"/>
        <v>#DIV/0!</v>
      </c>
      <c r="AK126" s="4" t="e">
        <f t="shared" ca="1" si="43"/>
        <v>#DIV/0!</v>
      </c>
      <c r="AM126" s="563">
        <f t="shared" ca="1" si="33"/>
        <v>45823</v>
      </c>
      <c r="AN126" s="564">
        <v>139.52000000000001</v>
      </c>
      <c r="AO126" s="564">
        <v>909004</v>
      </c>
      <c r="AP126" s="564">
        <v>53481.521000000001</v>
      </c>
      <c r="AQ126" s="564">
        <v>7461741.8099200008</v>
      </c>
      <c r="AR126" s="564">
        <v>1.9444999999999999</v>
      </c>
    </row>
    <row r="127" spans="2:44">
      <c r="B127" s="565">
        <f t="shared" ca="1" si="44"/>
        <v>45091</v>
      </c>
      <c r="C127" s="561">
        <f ca="1">(IFERROR(IFERROR(VALUE(_xll.BDH(C$4,"CURRENT_EV_TO_T12M_EBITDA",$B127,$B127)),VALUE(_xll.BDH(C$4,"CURRENT_EV_TO_T12M_EBITDA",$B127+1,$B127+1))),C128))</f>
        <v>0</v>
      </c>
      <c r="D127" s="561">
        <f ca="1">(IFERROR(IFERROR(VALUE(_xll.BDH(D$4,"CURRENT_EV_TO_T12M_EBITDA",$B127,$B127)),VALUE(_xll.BDH(D$4,"CURRENT_EV_TO_T12M_EBITDA",$B127+1,$B127+1))),D128))</f>
        <v>0</v>
      </c>
      <c r="E127" s="561">
        <f ca="1">(IFERROR(IFERROR(VALUE(_xll.BDH(E$4,"CURRENT_EV_TO_T12M_EBITDA",$B127,$B127)),VALUE(_xll.BDH(E$4,"CURRENT_EV_TO_T12M_EBITDA",$B127+1,$B127+1))),E128))</f>
        <v>0</v>
      </c>
      <c r="F127" s="561">
        <f ca="1">(IFERROR(IFERROR(VALUE(_xll.BDH(F$4,"CURRENT_EV_TO_T12M_EBITDA",$B127,$B127)),VALUE(_xll.BDH(F$4,"CURRENT_EV_TO_T12M_EBITDA",$B127+1,$B127+1))),F128))</f>
        <v>0</v>
      </c>
      <c r="G127" s="561">
        <f ca="1">(IFERROR(IFERROR(VALUE(_xll.BDH(G$4,"CURRENT_EV_TO_T12M_EBITDA",$B127,$B127)),VALUE(_xll.BDH(G$4,"CURRENT_EV_TO_T12M_EBITDA",$B127+1,$B127+1))),G128))</f>
        <v>0</v>
      </c>
      <c r="H127" s="561">
        <f ca="1">(IFERROR(IFERROR(VALUE(_xll.BDH(H$4,"CURRENT_EV_TO_T12M_EBITDA",$B127,$B127)),VALUE(_xll.BDH(H$4,"CURRENT_EV_TO_T12M_EBITDA",$B127+1,$B127+1))),H128))</f>
        <v>0</v>
      </c>
      <c r="I127" s="565">
        <f t="shared" ca="1" si="35"/>
        <v>45091</v>
      </c>
      <c r="J127" s="561">
        <f ca="1">(IFERROR(IFERROR(VALUE(_xll.BDH(J$4,"PE_RATIO",$B127,$B127)),VALUE(_xll.BDH(J$4,"PE_RATIO",$B127+1,$B127+1))),J128))</f>
        <v>0</v>
      </c>
      <c r="K127" s="561">
        <f ca="1">(IFERROR(IFERROR(VALUE(_xll.BDH(K$4,"PE_RATIO",$B127,$B127)),VALUE(_xll.BDH(K$4,"PE_RATIO",$B127+1,$B127+1))),K128))</f>
        <v>0</v>
      </c>
      <c r="L127" s="561">
        <f ca="1">(IFERROR(IFERROR(VALUE(_xll.BDH(L$4,"PE_RATIO",$B127,$B127)),VALUE(_xll.BDH(L$4,"PE_RATIO",$B127+1,$B127+1))),L128))</f>
        <v>0</v>
      </c>
      <c r="M127" s="561">
        <f ca="1">(IFERROR(IFERROR(VALUE(_xll.BDH(M$4,"PE_RATIO",$B127,$B127)),VALUE(_xll.BDH(M$4,"PE_RATIO",$B127+1,$B127+1))),M128))</f>
        <v>0</v>
      </c>
      <c r="N127" s="561">
        <f ca="1">(IFERROR(IFERROR(VALUE(_xll.BDH(N$4,"PE_RATIO",$B127,$B127)),VALUE(_xll.BDH(N$4,"PE_RATIO",$B127+1,$B127+1))),N128))</f>
        <v>0</v>
      </c>
      <c r="O127" s="561">
        <f ca="1">(IFERROR(IFERROR(VALUE(_xll.BDH(O$4,"PE_RATIO",$B127,$B127)),VALUE(_xll.BDH(O$4,"PE_RATIO",$B127+1,$B127+1))),O128))</f>
        <v>0</v>
      </c>
      <c r="P127" s="561"/>
      <c r="Q127" s="565">
        <f t="shared" ca="1" si="36"/>
        <v>45091</v>
      </c>
      <c r="R127" s="4">
        <v>145.72999999999999</v>
      </c>
      <c r="S127" s="4">
        <v>13201.11</v>
      </c>
      <c r="T127" s="4">
        <v>930.2</v>
      </c>
      <c r="U127" s="4">
        <v>1.1753367207032825</v>
      </c>
      <c r="V127" s="4">
        <v>1.1711677423647615</v>
      </c>
      <c r="W127" s="4">
        <v>1.2533685458661206</v>
      </c>
      <c r="Y127" s="561">
        <f t="shared" si="37"/>
        <v>145.72999999999999</v>
      </c>
      <c r="Z127" s="4">
        <f ca="1">IFERROR(VALUE(_xll.BDH(Z$4,"PX_LAST",$Q127,$Q127)),Z128)</f>
        <v>0</v>
      </c>
      <c r="AA127" s="4">
        <f ca="1">IFERROR(VALUE(_xll.BDH(AA$4,"PX_LAST",$Q127,$Q127)),AA128)</f>
        <v>0</v>
      </c>
      <c r="AB127" s="4">
        <f ca="1">IFERROR(VALUE(_xll.BDH(AB$4,"PX_LAST",$Q127,$Q127)),AB128)</f>
        <v>0</v>
      </c>
      <c r="AC127" s="4">
        <f ca="1">IFERROR(VALUE(_xll.BDH(AC$4,"PX_LAST",$Q127,$Q127)),AC128)</f>
        <v>0</v>
      </c>
      <c r="AD127" s="4">
        <f ca="1">IFERROR(VALUE(_xll.BDH(AD$4,"PX_LAST",$Q127,$Q127)),AD128)</f>
        <v>0</v>
      </c>
      <c r="AF127" s="4">
        <f t="shared" si="38"/>
        <v>1.1753367207032825</v>
      </c>
      <c r="AG127" s="4" t="e">
        <f t="shared" ca="1" si="39"/>
        <v>#DIV/0!</v>
      </c>
      <c r="AH127" s="4" t="e">
        <f t="shared" ca="1" si="40"/>
        <v>#DIV/0!</v>
      </c>
      <c r="AI127" s="4" t="e">
        <f t="shared" ca="1" si="41"/>
        <v>#DIV/0!</v>
      </c>
      <c r="AJ127" s="4" t="e">
        <f t="shared" ca="1" si="42"/>
        <v>#DIV/0!</v>
      </c>
      <c r="AK127" s="4" t="e">
        <f t="shared" ca="1" si="43"/>
        <v>#DIV/0!</v>
      </c>
      <c r="AM127" s="563">
        <f t="shared" ca="1" si="33"/>
        <v>45822</v>
      </c>
      <c r="AN127" s="564">
        <v>139.52000000000001</v>
      </c>
      <c r="AO127" s="564">
        <v>909004</v>
      </c>
      <c r="AP127" s="564">
        <v>53481.521000000001</v>
      </c>
      <c r="AQ127" s="564">
        <v>7461741.8099200008</v>
      </c>
      <c r="AR127" s="564">
        <v>1.9444999999999999</v>
      </c>
    </row>
    <row r="128" spans="2:44">
      <c r="B128" s="565">
        <f t="shared" ca="1" si="44"/>
        <v>45084</v>
      </c>
      <c r="C128" s="561">
        <f ca="1">(IFERROR(IFERROR(VALUE(_xll.BDH(C$4,"CURRENT_EV_TO_T12M_EBITDA",$B128,$B128)),VALUE(_xll.BDH(C$4,"CURRENT_EV_TO_T12M_EBITDA",$B128+1,$B128+1))),C129))</f>
        <v>0</v>
      </c>
      <c r="D128" s="561">
        <f ca="1">(IFERROR(IFERROR(VALUE(_xll.BDH(D$4,"CURRENT_EV_TO_T12M_EBITDA",$B128,$B128)),VALUE(_xll.BDH(D$4,"CURRENT_EV_TO_T12M_EBITDA",$B128+1,$B128+1))),D129))</f>
        <v>0</v>
      </c>
      <c r="E128" s="561">
        <f ca="1">(IFERROR(IFERROR(VALUE(_xll.BDH(E$4,"CURRENT_EV_TO_T12M_EBITDA",$B128,$B128)),VALUE(_xll.BDH(E$4,"CURRENT_EV_TO_T12M_EBITDA",$B128+1,$B128+1))),E129))</f>
        <v>0</v>
      </c>
      <c r="F128" s="561">
        <f ca="1">(IFERROR(IFERROR(VALUE(_xll.BDH(F$4,"CURRENT_EV_TO_T12M_EBITDA",$B128,$B128)),VALUE(_xll.BDH(F$4,"CURRENT_EV_TO_T12M_EBITDA",$B128+1,$B128+1))),F129))</f>
        <v>0</v>
      </c>
      <c r="G128" s="561">
        <f ca="1">(IFERROR(IFERROR(VALUE(_xll.BDH(G$4,"CURRENT_EV_TO_T12M_EBITDA",$B128,$B128)),VALUE(_xll.BDH(G$4,"CURRENT_EV_TO_T12M_EBITDA",$B128+1,$B128+1))),G129))</f>
        <v>0</v>
      </c>
      <c r="H128" s="561">
        <f ca="1">(IFERROR(IFERROR(VALUE(_xll.BDH(H$4,"CURRENT_EV_TO_T12M_EBITDA",$B128,$B128)),VALUE(_xll.BDH(H$4,"CURRENT_EV_TO_T12M_EBITDA",$B128+1,$B128+1))),H129))</f>
        <v>0</v>
      </c>
      <c r="I128" s="565">
        <f t="shared" ca="1" si="35"/>
        <v>45084</v>
      </c>
      <c r="J128" s="561">
        <f ca="1">(IFERROR(IFERROR(VALUE(_xll.BDH(J$4,"PE_RATIO",$B128,$B128)),VALUE(_xll.BDH(J$4,"PE_RATIO",$B128+1,$B128+1))),J129))</f>
        <v>0</v>
      </c>
      <c r="K128" s="561">
        <f ca="1">(IFERROR(IFERROR(VALUE(_xll.BDH(K$4,"PE_RATIO",$B128,$B128)),VALUE(_xll.BDH(K$4,"PE_RATIO",$B128+1,$B128+1))),K129))</f>
        <v>0</v>
      </c>
      <c r="L128" s="561">
        <f ca="1">(IFERROR(IFERROR(VALUE(_xll.BDH(L$4,"PE_RATIO",$B128,$B128)),VALUE(_xll.BDH(L$4,"PE_RATIO",$B128+1,$B128+1))),L129))</f>
        <v>0</v>
      </c>
      <c r="M128" s="561">
        <f ca="1">(IFERROR(IFERROR(VALUE(_xll.BDH(M$4,"PE_RATIO",$B128,$B128)),VALUE(_xll.BDH(M$4,"PE_RATIO",$B128+1,$B128+1))),M129))</f>
        <v>0</v>
      </c>
      <c r="N128" s="561">
        <f ca="1">(IFERROR(IFERROR(VALUE(_xll.BDH(N$4,"PE_RATIO",$B128,$B128)),VALUE(_xll.BDH(N$4,"PE_RATIO",$B128+1,$B128+1))),N129))</f>
        <v>0</v>
      </c>
      <c r="O128" s="561">
        <f ca="1">(IFERROR(IFERROR(VALUE(_xll.BDH(O$4,"PE_RATIO",$B128,$B128)),VALUE(_xll.BDH(O$4,"PE_RATIO",$B128+1,$B128+1))),O129))</f>
        <v>0</v>
      </c>
      <c r="P128" s="561"/>
      <c r="Q128" s="565">
        <f t="shared" ca="1" si="36"/>
        <v>45084</v>
      </c>
      <c r="R128" s="4">
        <v>145.13999999999999</v>
      </c>
      <c r="S128" s="4">
        <v>13113.66</v>
      </c>
      <c r="T128" s="4">
        <v>928.52</v>
      </c>
      <c r="U128" s="4">
        <v>1.1705782724413258</v>
      </c>
      <c r="V128" s="4">
        <v>1.1634094084769446</v>
      </c>
      <c r="W128" s="4">
        <v>1.2511048830440876</v>
      </c>
      <c r="Y128" s="561">
        <f t="shared" si="37"/>
        <v>145.13999999999999</v>
      </c>
      <c r="Z128" s="4">
        <f ca="1">IFERROR(VALUE(_xll.BDH(Z$4,"PX_LAST",$Q128,$Q128)),Z129)</f>
        <v>0</v>
      </c>
      <c r="AA128" s="4">
        <f ca="1">IFERROR(VALUE(_xll.BDH(AA$4,"PX_LAST",$Q128,$Q128)),AA129)</f>
        <v>0</v>
      </c>
      <c r="AB128" s="4">
        <f ca="1">IFERROR(VALUE(_xll.BDH(AB$4,"PX_LAST",$Q128,$Q128)),AB129)</f>
        <v>0</v>
      </c>
      <c r="AC128" s="4">
        <f ca="1">IFERROR(VALUE(_xll.BDH(AC$4,"PX_LAST",$Q128,$Q128)),AC129)</f>
        <v>0</v>
      </c>
      <c r="AD128" s="4">
        <f ca="1">IFERROR(VALUE(_xll.BDH(AD$4,"PX_LAST",$Q128,$Q128)),AD129)</f>
        <v>0</v>
      </c>
      <c r="AF128" s="4">
        <f t="shared" si="38"/>
        <v>1.1705782724413258</v>
      </c>
      <c r="AG128" s="4" t="e">
        <f t="shared" ca="1" si="39"/>
        <v>#DIV/0!</v>
      </c>
      <c r="AH128" s="4" t="e">
        <f t="shared" ca="1" si="40"/>
        <v>#DIV/0!</v>
      </c>
      <c r="AI128" s="4" t="e">
        <f t="shared" ca="1" si="41"/>
        <v>#DIV/0!</v>
      </c>
      <c r="AJ128" s="4" t="e">
        <f t="shared" ca="1" si="42"/>
        <v>#DIV/0!</v>
      </c>
      <c r="AK128" s="4" t="e">
        <f t="shared" ca="1" si="43"/>
        <v>#DIV/0!</v>
      </c>
      <c r="AM128" s="563">
        <f t="shared" ca="1" si="33"/>
        <v>45821</v>
      </c>
      <c r="AN128" s="564">
        <v>139.59</v>
      </c>
      <c r="AO128" s="564">
        <v>1696235</v>
      </c>
      <c r="AP128" s="564">
        <v>53646.156999999999</v>
      </c>
      <c r="AQ128" s="564">
        <v>7488467.0556300003</v>
      </c>
      <c r="AR128" s="564">
        <v>1.9455</v>
      </c>
    </row>
    <row r="129" spans="2:44">
      <c r="B129" s="565">
        <f t="shared" ca="1" si="44"/>
        <v>45077</v>
      </c>
      <c r="C129" s="561">
        <f ca="1">(IFERROR(IFERROR(VALUE(_xll.BDH(C$4,"CURRENT_EV_TO_T12M_EBITDA",$B129,$B129)),VALUE(_xll.BDH(C$4,"CURRENT_EV_TO_T12M_EBITDA",$B129+1,$B129+1))),C130))</f>
        <v>0</v>
      </c>
      <c r="D129" s="561">
        <f ca="1">(IFERROR(IFERROR(VALUE(_xll.BDH(D$4,"CURRENT_EV_TO_T12M_EBITDA",$B129,$B129)),VALUE(_xll.BDH(D$4,"CURRENT_EV_TO_T12M_EBITDA",$B129+1,$B129+1))),D130))</f>
        <v>0</v>
      </c>
      <c r="E129" s="561">
        <f ca="1">(IFERROR(IFERROR(VALUE(_xll.BDH(E$4,"CURRENT_EV_TO_T12M_EBITDA",$B129,$B129)),VALUE(_xll.BDH(E$4,"CURRENT_EV_TO_T12M_EBITDA",$B129+1,$B129+1))),E130))</f>
        <v>0</v>
      </c>
      <c r="F129" s="561">
        <f ca="1">(IFERROR(IFERROR(VALUE(_xll.BDH(F$4,"CURRENT_EV_TO_T12M_EBITDA",$B129,$B129)),VALUE(_xll.BDH(F$4,"CURRENT_EV_TO_T12M_EBITDA",$B129+1,$B129+1))),F130))</f>
        <v>0</v>
      </c>
      <c r="G129" s="561">
        <f ca="1">(IFERROR(IFERROR(VALUE(_xll.BDH(G$4,"CURRENT_EV_TO_T12M_EBITDA",$B129,$B129)),VALUE(_xll.BDH(G$4,"CURRENT_EV_TO_T12M_EBITDA",$B129+1,$B129+1))),G130))</f>
        <v>0</v>
      </c>
      <c r="H129" s="561">
        <f ca="1">(IFERROR(IFERROR(VALUE(_xll.BDH(H$4,"CURRENT_EV_TO_T12M_EBITDA",$B129,$B129)),VALUE(_xll.BDH(H$4,"CURRENT_EV_TO_T12M_EBITDA",$B129+1,$B129+1))),H130))</f>
        <v>0</v>
      </c>
      <c r="I129" s="565">
        <f t="shared" ca="1" si="35"/>
        <v>45077</v>
      </c>
      <c r="J129" s="561">
        <f ca="1">(IFERROR(IFERROR(VALUE(_xll.BDH(J$4,"PE_RATIO",$B129,$B129)),VALUE(_xll.BDH(J$4,"PE_RATIO",$B129+1,$B129+1))),J130))</f>
        <v>0</v>
      </c>
      <c r="K129" s="561">
        <f ca="1">(IFERROR(IFERROR(VALUE(_xll.BDH(K$4,"PE_RATIO",$B129,$B129)),VALUE(_xll.BDH(K$4,"PE_RATIO",$B129+1,$B129+1))),K130))</f>
        <v>0</v>
      </c>
      <c r="L129" s="561">
        <f ca="1">(IFERROR(IFERROR(VALUE(_xll.BDH(L$4,"PE_RATIO",$B129,$B129)),VALUE(_xll.BDH(L$4,"PE_RATIO",$B129+1,$B129+1))),L130))</f>
        <v>0</v>
      </c>
      <c r="M129" s="561">
        <f ca="1">(IFERROR(IFERROR(VALUE(_xll.BDH(M$4,"PE_RATIO",$B129,$B129)),VALUE(_xll.BDH(M$4,"PE_RATIO",$B129+1,$B129+1))),M130))</f>
        <v>0</v>
      </c>
      <c r="N129" s="561">
        <f ca="1">(IFERROR(IFERROR(VALUE(_xll.BDH(N$4,"PE_RATIO",$B129,$B129)),VALUE(_xll.BDH(N$4,"PE_RATIO",$B129+1,$B129+1))),N130))</f>
        <v>0</v>
      </c>
      <c r="O129" s="561">
        <f ca="1">(IFERROR(IFERROR(VALUE(_xll.BDH(O$4,"PE_RATIO",$B129,$B129)),VALUE(_xll.BDH(O$4,"PE_RATIO",$B129+1,$B129+1))),O130))</f>
        <v>0</v>
      </c>
      <c r="P129" s="561"/>
      <c r="Q129" s="565">
        <f t="shared" ca="1" si="36"/>
        <v>45077</v>
      </c>
      <c r="R129" s="4">
        <v>136.99</v>
      </c>
      <c r="S129" s="4">
        <v>12725.11</v>
      </c>
      <c r="T129" s="4">
        <v>910.77</v>
      </c>
      <c r="U129" s="4">
        <v>1.1048471650939593</v>
      </c>
      <c r="V129" s="4">
        <v>1.1289382748907668</v>
      </c>
      <c r="W129" s="4">
        <v>1.2271882073946319</v>
      </c>
      <c r="Y129" s="561">
        <f t="shared" si="37"/>
        <v>136.99</v>
      </c>
      <c r="Z129" s="4">
        <f ca="1">IFERROR(VALUE(_xll.BDH(Z$4,"PX_LAST",$Q129,$Q129)),Z130)</f>
        <v>0</v>
      </c>
      <c r="AA129" s="4">
        <f ca="1">IFERROR(VALUE(_xll.BDH(AA$4,"PX_LAST",$Q129,$Q129)),AA130)</f>
        <v>0</v>
      </c>
      <c r="AB129" s="4">
        <f ca="1">IFERROR(VALUE(_xll.BDH(AB$4,"PX_LAST",$Q129,$Q129)),AB130)</f>
        <v>0</v>
      </c>
      <c r="AC129" s="4">
        <f ca="1">IFERROR(VALUE(_xll.BDH(AC$4,"PX_LAST",$Q129,$Q129)),AC130)</f>
        <v>0</v>
      </c>
      <c r="AD129" s="4">
        <f ca="1">IFERROR(VALUE(_xll.BDH(AD$4,"PX_LAST",$Q129,$Q129)),AD130)</f>
        <v>0</v>
      </c>
      <c r="AF129" s="4">
        <f t="shared" si="38"/>
        <v>1.1048471650939593</v>
      </c>
      <c r="AG129" s="4" t="e">
        <f t="shared" ca="1" si="39"/>
        <v>#DIV/0!</v>
      </c>
      <c r="AH129" s="4" t="e">
        <f t="shared" ca="1" si="40"/>
        <v>#DIV/0!</v>
      </c>
      <c r="AI129" s="4" t="e">
        <f t="shared" ca="1" si="41"/>
        <v>#DIV/0!</v>
      </c>
      <c r="AJ129" s="4" t="e">
        <f t="shared" ca="1" si="42"/>
        <v>#DIV/0!</v>
      </c>
      <c r="AK129" s="4" t="e">
        <f t="shared" ca="1" si="43"/>
        <v>#DIV/0!</v>
      </c>
      <c r="AM129" s="563">
        <f t="shared" ca="1" si="33"/>
        <v>45820</v>
      </c>
      <c r="AN129" s="564">
        <v>131.63</v>
      </c>
      <c r="AO129" s="564">
        <v>1882826</v>
      </c>
      <c r="AP129" s="564">
        <v>53646.156999999999</v>
      </c>
      <c r="AQ129" s="564">
        <v>7061443.6459099995</v>
      </c>
      <c r="AR129" s="564">
        <v>1.8345</v>
      </c>
    </row>
    <row r="130" spans="2:44">
      <c r="B130" s="565">
        <f t="shared" ca="1" si="44"/>
        <v>45070</v>
      </c>
      <c r="C130" s="561">
        <f ca="1">(IFERROR(IFERROR(VALUE(_xll.BDH(C$4,"CURRENT_EV_TO_T12M_EBITDA",$B130,$B130)),VALUE(_xll.BDH(C$4,"CURRENT_EV_TO_T12M_EBITDA",$B130+1,$B130+1))),C131))</f>
        <v>0</v>
      </c>
      <c r="D130" s="561">
        <f ca="1">(IFERROR(IFERROR(VALUE(_xll.BDH(D$4,"CURRENT_EV_TO_T12M_EBITDA",$B130,$B130)),VALUE(_xll.BDH(D$4,"CURRENT_EV_TO_T12M_EBITDA",$B130+1,$B130+1))),D131))</f>
        <v>0</v>
      </c>
      <c r="E130" s="561">
        <f ca="1">(IFERROR(IFERROR(VALUE(_xll.BDH(E$4,"CURRENT_EV_TO_T12M_EBITDA",$B130,$B130)),VALUE(_xll.BDH(E$4,"CURRENT_EV_TO_T12M_EBITDA",$B130+1,$B130+1))),E131))</f>
        <v>0</v>
      </c>
      <c r="F130" s="561">
        <f ca="1">(IFERROR(IFERROR(VALUE(_xll.BDH(F$4,"CURRENT_EV_TO_T12M_EBITDA",$B130,$B130)),VALUE(_xll.BDH(F$4,"CURRENT_EV_TO_T12M_EBITDA",$B130+1,$B130+1))),F131))</f>
        <v>0</v>
      </c>
      <c r="G130" s="561">
        <f ca="1">(IFERROR(IFERROR(VALUE(_xll.BDH(G$4,"CURRENT_EV_TO_T12M_EBITDA",$B130,$B130)),VALUE(_xll.BDH(G$4,"CURRENT_EV_TO_T12M_EBITDA",$B130+1,$B130+1))),G131))</f>
        <v>0</v>
      </c>
      <c r="H130" s="561">
        <f ca="1">(IFERROR(IFERROR(VALUE(_xll.BDH(H$4,"CURRENT_EV_TO_T12M_EBITDA",$B130,$B130)),VALUE(_xll.BDH(H$4,"CURRENT_EV_TO_T12M_EBITDA",$B130+1,$B130+1))),H131))</f>
        <v>0</v>
      </c>
      <c r="I130" s="565">
        <f t="shared" ca="1" si="35"/>
        <v>45070</v>
      </c>
      <c r="J130" s="561">
        <f ca="1">(IFERROR(IFERROR(VALUE(_xll.BDH(J$4,"PE_RATIO",$B130,$B130)),VALUE(_xll.BDH(J$4,"PE_RATIO",$B130+1,$B130+1))),J131))</f>
        <v>0</v>
      </c>
      <c r="K130" s="561">
        <f ca="1">(IFERROR(IFERROR(VALUE(_xll.BDH(K$4,"PE_RATIO",$B130,$B130)),VALUE(_xll.BDH(K$4,"PE_RATIO",$B130+1,$B130+1))),K131))</f>
        <v>0</v>
      </c>
      <c r="L130" s="561">
        <f ca="1">(IFERROR(IFERROR(VALUE(_xll.BDH(L$4,"PE_RATIO",$B130,$B130)),VALUE(_xll.BDH(L$4,"PE_RATIO",$B130+1,$B130+1))),L131))</f>
        <v>0</v>
      </c>
      <c r="M130" s="561">
        <f ca="1">(IFERROR(IFERROR(VALUE(_xll.BDH(M$4,"PE_RATIO",$B130,$B130)),VALUE(_xll.BDH(M$4,"PE_RATIO",$B130+1,$B130+1))),M131))</f>
        <v>0</v>
      </c>
      <c r="N130" s="561">
        <f ca="1">(IFERROR(IFERROR(VALUE(_xll.BDH(N$4,"PE_RATIO",$B130,$B130)),VALUE(_xll.BDH(N$4,"PE_RATIO",$B130+1,$B130+1))),N131))</f>
        <v>0</v>
      </c>
      <c r="O130" s="561">
        <f ca="1">(IFERROR(IFERROR(VALUE(_xll.BDH(O$4,"PE_RATIO",$B130,$B130)),VALUE(_xll.BDH(O$4,"PE_RATIO",$B130+1,$B130+1))),O131))</f>
        <v>0</v>
      </c>
      <c r="P130" s="561"/>
      <c r="Q130" s="565">
        <f t="shared" ca="1" si="36"/>
        <v>45070</v>
      </c>
      <c r="R130" s="4">
        <v>141.65</v>
      </c>
      <c r="S130" s="4">
        <v>13091.79</v>
      </c>
      <c r="T130" s="4">
        <v>921.34</v>
      </c>
      <c r="U130" s="4">
        <v>1.1424308411968709</v>
      </c>
      <c r="V130" s="4">
        <v>1.1614691596247255</v>
      </c>
      <c r="W130" s="4">
        <v>1.2414304193165895</v>
      </c>
      <c r="Y130" s="561">
        <f t="shared" si="37"/>
        <v>141.65</v>
      </c>
      <c r="Z130" s="4">
        <f ca="1">IFERROR(VALUE(_xll.BDH(Z$4,"PX_LAST",$Q130,$Q130)),Z131)</f>
        <v>0</v>
      </c>
      <c r="AA130" s="4">
        <f ca="1">IFERROR(VALUE(_xll.BDH(AA$4,"PX_LAST",$Q130,$Q130)),AA131)</f>
        <v>0</v>
      </c>
      <c r="AB130" s="4">
        <f ca="1">IFERROR(VALUE(_xll.BDH(AB$4,"PX_LAST",$Q130,$Q130)),AB131)</f>
        <v>0</v>
      </c>
      <c r="AC130" s="4">
        <f ca="1">IFERROR(VALUE(_xll.BDH(AC$4,"PX_LAST",$Q130,$Q130)),AC131)</f>
        <v>0</v>
      </c>
      <c r="AD130" s="4">
        <f ca="1">IFERROR(VALUE(_xll.BDH(AD$4,"PX_LAST",$Q130,$Q130)),AD131)</f>
        <v>0</v>
      </c>
      <c r="AF130" s="4">
        <f t="shared" si="38"/>
        <v>1.1424308411968709</v>
      </c>
      <c r="AG130" s="4" t="e">
        <f t="shared" ca="1" si="39"/>
        <v>#DIV/0!</v>
      </c>
      <c r="AH130" s="4" t="e">
        <f t="shared" ca="1" si="40"/>
        <v>#DIV/0!</v>
      </c>
      <c r="AI130" s="4" t="e">
        <f t="shared" ca="1" si="41"/>
        <v>#DIV/0!</v>
      </c>
      <c r="AJ130" s="4" t="e">
        <f t="shared" ca="1" si="42"/>
        <v>#DIV/0!</v>
      </c>
      <c r="AK130" s="4" t="e">
        <f t="shared" ca="1" si="43"/>
        <v>#DIV/0!</v>
      </c>
      <c r="AM130" s="563">
        <f t="shared" ca="1" si="33"/>
        <v>45819</v>
      </c>
      <c r="AN130" s="564">
        <v>135.38</v>
      </c>
      <c r="AO130" s="564">
        <v>828605</v>
      </c>
      <c r="AP130" s="564">
        <v>53646.156999999999</v>
      </c>
      <c r="AQ130" s="564">
        <v>7262616.7346599996</v>
      </c>
      <c r="AR130" s="564">
        <v>1.8868</v>
      </c>
    </row>
    <row r="131" spans="2:44">
      <c r="B131" s="565">
        <f t="shared" ca="1" si="44"/>
        <v>45063</v>
      </c>
      <c r="C131" s="561">
        <f ca="1">(IFERROR(IFERROR(VALUE(_xll.BDH(C$4,"CURRENT_EV_TO_T12M_EBITDA",$B131,$B131)),VALUE(_xll.BDH(C$4,"CURRENT_EV_TO_T12M_EBITDA",$B131+1,$B131+1))),C132))</f>
        <v>0</v>
      </c>
      <c r="D131" s="561">
        <f ca="1">(IFERROR(IFERROR(VALUE(_xll.BDH(D$4,"CURRENT_EV_TO_T12M_EBITDA",$B131,$B131)),VALUE(_xll.BDH(D$4,"CURRENT_EV_TO_T12M_EBITDA",$B131+1,$B131+1))),D132))</f>
        <v>0</v>
      </c>
      <c r="E131" s="561">
        <f ca="1">(IFERROR(IFERROR(VALUE(_xll.BDH(E$4,"CURRENT_EV_TO_T12M_EBITDA",$B131,$B131)),VALUE(_xll.BDH(E$4,"CURRENT_EV_TO_T12M_EBITDA",$B131+1,$B131+1))),E132))</f>
        <v>0</v>
      </c>
      <c r="F131" s="561">
        <f ca="1">(IFERROR(IFERROR(VALUE(_xll.BDH(F$4,"CURRENT_EV_TO_T12M_EBITDA",$B131,$B131)),VALUE(_xll.BDH(F$4,"CURRENT_EV_TO_T12M_EBITDA",$B131+1,$B131+1))),F132))</f>
        <v>0</v>
      </c>
      <c r="G131" s="561">
        <f ca="1">(IFERROR(IFERROR(VALUE(_xll.BDH(G$4,"CURRENT_EV_TO_T12M_EBITDA",$B131,$B131)),VALUE(_xll.BDH(G$4,"CURRENT_EV_TO_T12M_EBITDA",$B131+1,$B131+1))),G132))</f>
        <v>0</v>
      </c>
      <c r="H131" s="561">
        <f ca="1">(IFERROR(IFERROR(VALUE(_xll.BDH(H$4,"CURRENT_EV_TO_T12M_EBITDA",$B131,$B131)),VALUE(_xll.BDH(H$4,"CURRENT_EV_TO_T12M_EBITDA",$B131+1,$B131+1))),H132))</f>
        <v>0</v>
      </c>
      <c r="I131" s="565">
        <f t="shared" ca="1" si="35"/>
        <v>45063</v>
      </c>
      <c r="J131" s="561">
        <f ca="1">(IFERROR(IFERROR(VALUE(_xll.BDH(J$4,"PE_RATIO",$B131,$B131)),VALUE(_xll.BDH(J$4,"PE_RATIO",$B131+1,$B131+1))),J132))</f>
        <v>0</v>
      </c>
      <c r="K131" s="561">
        <f ca="1">(IFERROR(IFERROR(VALUE(_xll.BDH(K$4,"PE_RATIO",$B131,$B131)),VALUE(_xll.BDH(K$4,"PE_RATIO",$B131+1,$B131+1))),K132))</f>
        <v>0</v>
      </c>
      <c r="L131" s="561">
        <f ca="1">(IFERROR(IFERROR(VALUE(_xll.BDH(L$4,"PE_RATIO",$B131,$B131)),VALUE(_xll.BDH(L$4,"PE_RATIO",$B131+1,$B131+1))),L132))</f>
        <v>0</v>
      </c>
      <c r="M131" s="561">
        <f ca="1">(IFERROR(IFERROR(VALUE(_xll.BDH(M$4,"PE_RATIO",$B131,$B131)),VALUE(_xll.BDH(M$4,"PE_RATIO",$B131+1,$B131+1))),M132))</f>
        <v>0</v>
      </c>
      <c r="N131" s="561">
        <f ca="1">(IFERROR(IFERROR(VALUE(_xll.BDH(N$4,"PE_RATIO",$B131,$B131)),VALUE(_xll.BDH(N$4,"PE_RATIO",$B131+1,$B131+1))),N132))</f>
        <v>0</v>
      </c>
      <c r="O131" s="561">
        <f ca="1">(IFERROR(IFERROR(VALUE(_xll.BDH(O$4,"PE_RATIO",$B131,$B131)),VALUE(_xll.BDH(O$4,"PE_RATIO",$B131+1,$B131+1))),O132))</f>
        <v>0</v>
      </c>
      <c r="P131" s="561"/>
      <c r="Q131" s="565">
        <f t="shared" ca="1" si="36"/>
        <v>45063</v>
      </c>
      <c r="R131" s="4">
        <v>138.83000000000001</v>
      </c>
      <c r="S131" s="4">
        <v>12964.16</v>
      </c>
      <c r="T131" s="4">
        <v>905.66</v>
      </c>
      <c r="U131" s="4">
        <v>1.1196870715380274</v>
      </c>
      <c r="V131" s="4">
        <v>1.150146161864839</v>
      </c>
      <c r="W131" s="4">
        <v>1.2203028996442815</v>
      </c>
      <c r="Y131" s="561">
        <f t="shared" si="37"/>
        <v>138.83000000000001</v>
      </c>
      <c r="Z131" s="4">
        <f ca="1">IFERROR(VALUE(_xll.BDH(Z$4,"PX_LAST",$Q131,$Q131)),Z132)</f>
        <v>0</v>
      </c>
      <c r="AA131" s="4">
        <f ca="1">IFERROR(VALUE(_xll.BDH(AA$4,"PX_LAST",$Q131,$Q131)),AA132)</f>
        <v>0</v>
      </c>
      <c r="AB131" s="4">
        <f ca="1">IFERROR(VALUE(_xll.BDH(AB$4,"PX_LAST",$Q131,$Q131)),AB132)</f>
        <v>0</v>
      </c>
      <c r="AC131" s="4">
        <f ca="1">IFERROR(VALUE(_xll.BDH(AC$4,"PX_LAST",$Q131,$Q131)),AC132)</f>
        <v>0</v>
      </c>
      <c r="AD131" s="4">
        <f ca="1">IFERROR(VALUE(_xll.BDH(AD$4,"PX_LAST",$Q131,$Q131)),AD132)</f>
        <v>0</v>
      </c>
      <c r="AF131" s="4">
        <f t="shared" si="38"/>
        <v>1.1196870715380274</v>
      </c>
      <c r="AG131" s="4" t="e">
        <f t="shared" ca="1" si="39"/>
        <v>#DIV/0!</v>
      </c>
      <c r="AH131" s="4" t="e">
        <f t="shared" ca="1" si="40"/>
        <v>#DIV/0!</v>
      </c>
      <c r="AI131" s="4" t="e">
        <f t="shared" ca="1" si="41"/>
        <v>#DIV/0!</v>
      </c>
      <c r="AJ131" s="4" t="e">
        <f t="shared" ca="1" si="42"/>
        <v>#DIV/0!</v>
      </c>
      <c r="AK131" s="4" t="e">
        <f t="shared" ca="1" si="43"/>
        <v>#DIV/0!</v>
      </c>
      <c r="AM131" s="563">
        <f t="shared" ca="1" si="33"/>
        <v>45818</v>
      </c>
      <c r="AN131" s="564">
        <v>136.22999999999999</v>
      </c>
      <c r="AO131" s="564">
        <v>526812</v>
      </c>
      <c r="AP131" s="564">
        <v>53646.156999999999</v>
      </c>
      <c r="AQ131" s="564">
        <v>7308215.9681099998</v>
      </c>
      <c r="AR131" s="564">
        <v>1.8987000000000001</v>
      </c>
    </row>
    <row r="132" spans="2:44">
      <c r="B132" s="565">
        <f t="shared" ca="1" si="44"/>
        <v>45056</v>
      </c>
      <c r="C132" s="561">
        <f ca="1">(IFERROR(IFERROR(VALUE(_xll.BDH(C$4,"CURRENT_EV_TO_T12M_EBITDA",$B132,$B132)),VALUE(_xll.BDH(C$4,"CURRENT_EV_TO_T12M_EBITDA",$B132+1,$B132+1))),C133))</f>
        <v>0</v>
      </c>
      <c r="D132" s="561">
        <f ca="1">(IFERROR(IFERROR(VALUE(_xll.BDH(D$4,"CURRENT_EV_TO_T12M_EBITDA",$B132,$B132)),VALUE(_xll.BDH(D$4,"CURRENT_EV_TO_T12M_EBITDA",$B132+1,$B132+1))),D133))</f>
        <v>0</v>
      </c>
      <c r="E132" s="561">
        <f ca="1">(IFERROR(IFERROR(VALUE(_xll.BDH(E$4,"CURRENT_EV_TO_T12M_EBITDA",$B132,$B132)),VALUE(_xll.BDH(E$4,"CURRENT_EV_TO_T12M_EBITDA",$B132+1,$B132+1))),E133))</f>
        <v>0</v>
      </c>
      <c r="F132" s="561">
        <f ca="1">(IFERROR(IFERROR(VALUE(_xll.BDH(F$4,"CURRENT_EV_TO_T12M_EBITDA",$B132,$B132)),VALUE(_xll.BDH(F$4,"CURRENT_EV_TO_T12M_EBITDA",$B132+1,$B132+1))),F133))</f>
        <v>0</v>
      </c>
      <c r="G132" s="561">
        <f ca="1">(IFERROR(IFERROR(VALUE(_xll.BDH(G$4,"CURRENT_EV_TO_T12M_EBITDA",$B132,$B132)),VALUE(_xll.BDH(G$4,"CURRENT_EV_TO_T12M_EBITDA",$B132+1,$B132+1))),G133))</f>
        <v>0</v>
      </c>
      <c r="H132" s="561">
        <f ca="1">(IFERROR(IFERROR(VALUE(_xll.BDH(H$4,"CURRENT_EV_TO_T12M_EBITDA",$B132,$B132)),VALUE(_xll.BDH(H$4,"CURRENT_EV_TO_T12M_EBITDA",$B132+1,$B132+1))),H133))</f>
        <v>0</v>
      </c>
      <c r="I132" s="565">
        <f t="shared" ca="1" si="35"/>
        <v>45056</v>
      </c>
      <c r="J132" s="561">
        <f ca="1">(IFERROR(IFERROR(VALUE(_xll.BDH(J$4,"PE_RATIO",$B132,$B132)),VALUE(_xll.BDH(J$4,"PE_RATIO",$B132+1,$B132+1))),J133))</f>
        <v>0</v>
      </c>
      <c r="K132" s="561">
        <f ca="1">(IFERROR(IFERROR(VALUE(_xll.BDH(K$4,"PE_RATIO",$B132,$B132)),VALUE(_xll.BDH(K$4,"PE_RATIO",$B132+1,$B132+1))),K133))</f>
        <v>0</v>
      </c>
      <c r="L132" s="561">
        <f ca="1">(IFERROR(IFERROR(VALUE(_xll.BDH(L$4,"PE_RATIO",$B132,$B132)),VALUE(_xll.BDH(L$4,"PE_RATIO",$B132+1,$B132+1))),L133))</f>
        <v>0</v>
      </c>
      <c r="M132" s="561">
        <f ca="1">(IFERROR(IFERROR(VALUE(_xll.BDH(M$4,"PE_RATIO",$B132,$B132)),VALUE(_xll.BDH(M$4,"PE_RATIO",$B132+1,$B132+1))),M133))</f>
        <v>0</v>
      </c>
      <c r="N132" s="561">
        <f ca="1">(IFERROR(IFERROR(VALUE(_xll.BDH(N$4,"PE_RATIO",$B132,$B132)),VALUE(_xll.BDH(N$4,"PE_RATIO",$B132+1,$B132+1))),N133))</f>
        <v>0</v>
      </c>
      <c r="O132" s="561">
        <f ca="1">(IFERROR(IFERROR(VALUE(_xll.BDH(O$4,"PE_RATIO",$B132,$B132)),VALUE(_xll.BDH(O$4,"PE_RATIO",$B132+1,$B132+1))),O133))</f>
        <v>0</v>
      </c>
      <c r="P132" s="561"/>
      <c r="Q132" s="565">
        <f t="shared" ca="1" si="36"/>
        <v>45056</v>
      </c>
      <c r="R132" s="4">
        <v>140.63999999999999</v>
      </c>
      <c r="S132" s="4">
        <v>13100.07</v>
      </c>
      <c r="T132" s="4">
        <v>909.61</v>
      </c>
      <c r="U132" s="4">
        <v>1.1342850229857246</v>
      </c>
      <c r="V132" s="4">
        <v>1.1622037394370883</v>
      </c>
      <c r="W132" s="4">
        <v>1.2256252021127521</v>
      </c>
      <c r="Y132" s="561">
        <f t="shared" si="37"/>
        <v>140.63999999999999</v>
      </c>
      <c r="Z132" s="4">
        <f ca="1">IFERROR(VALUE(_xll.BDH(Z$4,"PX_LAST",$Q132,$Q132)),Z133)</f>
        <v>0</v>
      </c>
      <c r="AA132" s="4">
        <f ca="1">IFERROR(VALUE(_xll.BDH(AA$4,"PX_LAST",$Q132,$Q132)),AA133)</f>
        <v>0</v>
      </c>
      <c r="AB132" s="4">
        <f ca="1">IFERROR(VALUE(_xll.BDH(AB$4,"PX_LAST",$Q132,$Q132)),AB133)</f>
        <v>0</v>
      </c>
      <c r="AC132" s="4">
        <f ca="1">IFERROR(VALUE(_xll.BDH(AC$4,"PX_LAST",$Q132,$Q132)),AC133)</f>
        <v>0</v>
      </c>
      <c r="AD132" s="4">
        <f ca="1">IFERROR(VALUE(_xll.BDH(AD$4,"PX_LAST",$Q132,$Q132)),AD133)</f>
        <v>0</v>
      </c>
      <c r="AF132" s="4">
        <f t="shared" si="38"/>
        <v>1.1342850229857246</v>
      </c>
      <c r="AG132" s="4" t="e">
        <f t="shared" ca="1" si="39"/>
        <v>#DIV/0!</v>
      </c>
      <c r="AH132" s="4" t="e">
        <f t="shared" ca="1" si="40"/>
        <v>#DIV/0!</v>
      </c>
      <c r="AI132" s="4" t="e">
        <f t="shared" ca="1" si="41"/>
        <v>#DIV/0!</v>
      </c>
      <c r="AJ132" s="4" t="e">
        <f t="shared" ca="1" si="42"/>
        <v>#DIV/0!</v>
      </c>
      <c r="AK132" s="4" t="e">
        <f t="shared" ca="1" si="43"/>
        <v>#DIV/0!</v>
      </c>
      <c r="AM132" s="563">
        <f t="shared" ca="1" si="33"/>
        <v>45817</v>
      </c>
      <c r="AN132" s="564">
        <v>138.57</v>
      </c>
      <c r="AO132" s="564">
        <v>1057007</v>
      </c>
      <c r="AP132" s="564">
        <v>53646.156999999999</v>
      </c>
      <c r="AQ132" s="564">
        <v>7433747.9754899992</v>
      </c>
      <c r="AR132" s="564">
        <v>1.9313</v>
      </c>
    </row>
    <row r="133" spans="2:44">
      <c r="B133" s="565">
        <f t="shared" ca="1" si="44"/>
        <v>45049</v>
      </c>
      <c r="C133" s="561">
        <f ca="1">(IFERROR(IFERROR(VALUE(_xll.BDH(C$4,"CURRENT_EV_TO_T12M_EBITDA",$B133,$B133)),VALUE(_xll.BDH(C$4,"CURRENT_EV_TO_T12M_EBITDA",$B133+1,$B133+1))),C134))</f>
        <v>0</v>
      </c>
      <c r="D133" s="561">
        <f ca="1">(IFERROR(IFERROR(VALUE(_xll.BDH(D$4,"CURRENT_EV_TO_T12M_EBITDA",$B133,$B133)),VALUE(_xll.BDH(D$4,"CURRENT_EV_TO_T12M_EBITDA",$B133+1,$B133+1))),D134))</f>
        <v>0</v>
      </c>
      <c r="E133" s="561">
        <f ca="1">(IFERROR(IFERROR(VALUE(_xll.BDH(E$4,"CURRENT_EV_TO_T12M_EBITDA",$B133,$B133)),VALUE(_xll.BDH(E$4,"CURRENT_EV_TO_T12M_EBITDA",$B133+1,$B133+1))),E134))</f>
        <v>0</v>
      </c>
      <c r="F133" s="561">
        <f ca="1">(IFERROR(IFERROR(VALUE(_xll.BDH(F$4,"CURRENT_EV_TO_T12M_EBITDA",$B133,$B133)),VALUE(_xll.BDH(F$4,"CURRENT_EV_TO_T12M_EBITDA",$B133+1,$B133+1))),F134))</f>
        <v>0</v>
      </c>
      <c r="G133" s="561">
        <f ca="1">(IFERROR(IFERROR(VALUE(_xll.BDH(G$4,"CURRENT_EV_TO_T12M_EBITDA",$B133,$B133)),VALUE(_xll.BDH(G$4,"CURRENT_EV_TO_T12M_EBITDA",$B133+1,$B133+1))),G134))</f>
        <v>0</v>
      </c>
      <c r="H133" s="561">
        <f ca="1">(IFERROR(IFERROR(VALUE(_xll.BDH(H$4,"CURRENT_EV_TO_T12M_EBITDA",$B133,$B133)),VALUE(_xll.BDH(H$4,"CURRENT_EV_TO_T12M_EBITDA",$B133+1,$B133+1))),H134))</f>
        <v>0</v>
      </c>
      <c r="I133" s="565">
        <f t="shared" ref="I133:I162" ca="1" si="45">+B133</f>
        <v>45049</v>
      </c>
      <c r="J133" s="561">
        <f ca="1">(IFERROR(IFERROR(VALUE(_xll.BDH(J$4,"PE_RATIO",$B133,$B133)),VALUE(_xll.BDH(J$4,"PE_RATIO",$B133+1,$B133+1))),J134))</f>
        <v>0</v>
      </c>
      <c r="K133" s="561">
        <f ca="1">(IFERROR(IFERROR(VALUE(_xll.BDH(K$4,"PE_RATIO",$B133,$B133)),VALUE(_xll.BDH(K$4,"PE_RATIO",$B133+1,$B133+1))),K134))</f>
        <v>0</v>
      </c>
      <c r="L133" s="561">
        <f ca="1">(IFERROR(IFERROR(VALUE(_xll.BDH(L$4,"PE_RATIO",$B133,$B133)),VALUE(_xll.BDH(L$4,"PE_RATIO",$B133+1,$B133+1))),L134))</f>
        <v>0</v>
      </c>
      <c r="M133" s="561">
        <f ca="1">(IFERROR(IFERROR(VALUE(_xll.BDH(M$4,"PE_RATIO",$B133,$B133)),VALUE(_xll.BDH(M$4,"PE_RATIO",$B133+1,$B133+1))),M134))</f>
        <v>0</v>
      </c>
      <c r="N133" s="561">
        <f ca="1">(IFERROR(IFERROR(VALUE(_xll.BDH(N$4,"PE_RATIO",$B133,$B133)),VALUE(_xll.BDH(N$4,"PE_RATIO",$B133+1,$B133+1))),N134))</f>
        <v>0</v>
      </c>
      <c r="O133" s="561">
        <f ca="1">(IFERROR(IFERROR(VALUE(_xll.BDH(O$4,"PE_RATIO",$B133,$B133)),VALUE(_xll.BDH(O$4,"PE_RATIO",$B133+1,$B133+1))),O134))</f>
        <v>0</v>
      </c>
      <c r="P133" s="561"/>
      <c r="Q133" s="565">
        <f t="shared" ref="Q133:Q162" ca="1" si="46">+I133</f>
        <v>45049</v>
      </c>
      <c r="R133" s="4">
        <v>139.41999999999999</v>
      </c>
      <c r="S133" s="4">
        <v>12610.57</v>
      </c>
      <c r="T133" s="4">
        <v>912.76</v>
      </c>
      <c r="U133" s="4">
        <v>1.1244455197999839</v>
      </c>
      <c r="V133" s="4">
        <v>1.1187765874864151</v>
      </c>
      <c r="W133" s="4">
        <v>1.2298695699040638</v>
      </c>
      <c r="Y133" s="561">
        <f t="shared" ref="Y133:Y159" si="47">+R133</f>
        <v>139.41999999999999</v>
      </c>
      <c r="Z133" s="4">
        <f ca="1">IFERROR(VALUE(_xll.BDH(Z$4,"PX_LAST",$Q133,$Q133)),Z134)</f>
        <v>0</v>
      </c>
      <c r="AA133" s="4">
        <f ca="1">IFERROR(VALUE(_xll.BDH(AA$4,"PX_LAST",$Q133,$Q133)),AA134)</f>
        <v>0</v>
      </c>
      <c r="AB133" s="4">
        <f ca="1">IFERROR(VALUE(_xll.BDH(AB$4,"PX_LAST",$Q133,$Q133)),AB134)</f>
        <v>0</v>
      </c>
      <c r="AC133" s="4">
        <f ca="1">IFERROR(VALUE(_xll.BDH(AC$4,"PX_LAST",$Q133,$Q133)),AC134)</f>
        <v>0</v>
      </c>
      <c r="AD133" s="4">
        <f ca="1">IFERROR(VALUE(_xll.BDH(AD$4,"PX_LAST",$Q133,$Q133)),AD134)</f>
        <v>0</v>
      </c>
      <c r="AF133" s="4">
        <f t="shared" ref="AF133:AF159" si="48">+Y133/Y$159</f>
        <v>1.1244455197999839</v>
      </c>
      <c r="AG133" s="4" t="e">
        <f t="shared" ref="AG133:AG159" ca="1" si="49">+Z133/Z$159</f>
        <v>#DIV/0!</v>
      </c>
      <c r="AH133" s="4" t="e">
        <f t="shared" ref="AH133:AH159" ca="1" si="50">+AA133/AA$159</f>
        <v>#DIV/0!</v>
      </c>
      <c r="AI133" s="4" t="e">
        <f t="shared" ref="AI133:AI159" ca="1" si="51">+AB133/AB$159</f>
        <v>#DIV/0!</v>
      </c>
      <c r="AJ133" s="4" t="e">
        <f t="shared" ref="AJ133:AJ159" ca="1" si="52">+AC133/AC$159</f>
        <v>#DIV/0!</v>
      </c>
      <c r="AK133" s="4" t="e">
        <f t="shared" ref="AK133:AK159" ca="1" si="53">+AD133/AD$159</f>
        <v>#DIV/0!</v>
      </c>
      <c r="AM133" s="563">
        <f t="shared" ref="AM133:AM196" ca="1" si="54">AM132-1</f>
        <v>45816</v>
      </c>
      <c r="AN133" s="564">
        <v>138.57</v>
      </c>
      <c r="AO133" s="564">
        <v>1057007</v>
      </c>
      <c r="AP133" s="564">
        <v>53646.156999999999</v>
      </c>
      <c r="AQ133" s="564">
        <v>7433747.9754899992</v>
      </c>
      <c r="AR133" s="564">
        <v>1.9313</v>
      </c>
    </row>
    <row r="134" spans="2:44">
      <c r="B134" s="565">
        <f t="shared" ref="B134:B162" ca="1" si="55">+B133-7</f>
        <v>45042</v>
      </c>
      <c r="C134" s="561">
        <f ca="1">(IFERROR(IFERROR(VALUE(_xll.BDH(C$4,"CURRENT_EV_TO_T12M_EBITDA",$B134,$B134)),VALUE(_xll.BDH(C$4,"CURRENT_EV_TO_T12M_EBITDA",$B134+1,$B134+1))),C135))</f>
        <v>0</v>
      </c>
      <c r="D134" s="561">
        <f ca="1">(IFERROR(IFERROR(VALUE(_xll.BDH(D$4,"CURRENT_EV_TO_T12M_EBITDA",$B134,$B134)),VALUE(_xll.BDH(D$4,"CURRENT_EV_TO_T12M_EBITDA",$B134+1,$B134+1))),D135))</f>
        <v>0</v>
      </c>
      <c r="E134" s="561">
        <f ca="1">(IFERROR(IFERROR(VALUE(_xll.BDH(E$4,"CURRENT_EV_TO_T12M_EBITDA",$B134,$B134)),VALUE(_xll.BDH(E$4,"CURRENT_EV_TO_T12M_EBITDA",$B134+1,$B134+1))),E135))</f>
        <v>0</v>
      </c>
      <c r="F134" s="561">
        <f ca="1">(IFERROR(IFERROR(VALUE(_xll.BDH(F$4,"CURRENT_EV_TO_T12M_EBITDA",$B134,$B134)),VALUE(_xll.BDH(F$4,"CURRENT_EV_TO_T12M_EBITDA",$B134+1,$B134+1))),F135))</f>
        <v>0</v>
      </c>
      <c r="G134" s="561">
        <f ca="1">(IFERROR(IFERROR(VALUE(_xll.BDH(G$4,"CURRENT_EV_TO_T12M_EBITDA",$B134,$B134)),VALUE(_xll.BDH(G$4,"CURRENT_EV_TO_T12M_EBITDA",$B134+1,$B134+1))),G135))</f>
        <v>0</v>
      </c>
      <c r="H134" s="561">
        <f ca="1">(IFERROR(IFERROR(VALUE(_xll.BDH(H$4,"CURRENT_EV_TO_T12M_EBITDA",$B134,$B134)),VALUE(_xll.BDH(H$4,"CURRENT_EV_TO_T12M_EBITDA",$B134+1,$B134+1))),H135))</f>
        <v>0</v>
      </c>
      <c r="I134" s="565">
        <f t="shared" ca="1" si="45"/>
        <v>45042</v>
      </c>
      <c r="J134" s="561">
        <f ca="1">(IFERROR(IFERROR(VALUE(_xll.BDH(J$4,"PE_RATIO",$B134,$B134)),VALUE(_xll.BDH(J$4,"PE_RATIO",$B134+1,$B134+1))),J135))</f>
        <v>0</v>
      </c>
      <c r="K134" s="561">
        <f ca="1">(IFERROR(IFERROR(VALUE(_xll.BDH(K$4,"PE_RATIO",$B134,$B134)),VALUE(_xll.BDH(K$4,"PE_RATIO",$B134+1,$B134+1))),K135))</f>
        <v>0</v>
      </c>
      <c r="L134" s="561">
        <f ca="1">(IFERROR(IFERROR(VALUE(_xll.BDH(L$4,"PE_RATIO",$B134,$B134)),VALUE(_xll.BDH(L$4,"PE_RATIO",$B134+1,$B134+1))),L135))</f>
        <v>0</v>
      </c>
      <c r="M134" s="561">
        <f ca="1">(IFERROR(IFERROR(VALUE(_xll.BDH(M$4,"PE_RATIO",$B134,$B134)),VALUE(_xll.BDH(M$4,"PE_RATIO",$B134+1,$B134+1))),M135))</f>
        <v>0</v>
      </c>
      <c r="N134" s="561">
        <f ca="1">(IFERROR(IFERROR(VALUE(_xll.BDH(N$4,"PE_RATIO",$B134,$B134)),VALUE(_xll.BDH(N$4,"PE_RATIO",$B134+1,$B134+1))),N135))</f>
        <v>0</v>
      </c>
      <c r="O134" s="561">
        <f ca="1">(IFERROR(IFERROR(VALUE(_xll.BDH(O$4,"PE_RATIO",$B134,$B134)),VALUE(_xll.BDH(O$4,"PE_RATIO",$B134+1,$B134+1))),O135))</f>
        <v>0</v>
      </c>
      <c r="P134" s="561"/>
      <c r="Q134" s="565">
        <f t="shared" ca="1" si="46"/>
        <v>45042</v>
      </c>
      <c r="R134" s="4">
        <v>140.53</v>
      </c>
      <c r="S134" s="4">
        <v>12741.44</v>
      </c>
      <c r="T134" s="4">
        <v>913.5</v>
      </c>
      <c r="U134" s="4">
        <v>1.1333978546656989</v>
      </c>
      <c r="V134" s="4">
        <v>1.1303870295207044</v>
      </c>
      <c r="W134" s="4">
        <v>1.2308666594804356</v>
      </c>
      <c r="Y134" s="561">
        <f t="shared" si="47"/>
        <v>140.53</v>
      </c>
      <c r="Z134" s="4">
        <f ca="1">IFERROR(VALUE(_xll.BDH(Z$4,"PX_LAST",$Q134,$Q134)),Z135)</f>
        <v>0</v>
      </c>
      <c r="AA134" s="4">
        <f ca="1">IFERROR(VALUE(_xll.BDH(AA$4,"PX_LAST",$Q134,$Q134)),AA135)</f>
        <v>0</v>
      </c>
      <c r="AB134" s="4">
        <f ca="1">IFERROR(VALUE(_xll.BDH(AB$4,"PX_LAST",$Q134,$Q134)),AB135)</f>
        <v>0</v>
      </c>
      <c r="AC134" s="4">
        <f ca="1">IFERROR(VALUE(_xll.BDH(AC$4,"PX_LAST",$Q134,$Q134)),AC135)</f>
        <v>0</v>
      </c>
      <c r="AD134" s="4">
        <f ca="1">IFERROR(VALUE(_xll.BDH(AD$4,"PX_LAST",$Q134,$Q134)),AD135)</f>
        <v>0</v>
      </c>
      <c r="AF134" s="4">
        <f t="shared" si="48"/>
        <v>1.1333978546656989</v>
      </c>
      <c r="AG134" s="4" t="e">
        <f t="shared" ca="1" si="49"/>
        <v>#DIV/0!</v>
      </c>
      <c r="AH134" s="4" t="e">
        <f t="shared" ca="1" si="50"/>
        <v>#DIV/0!</v>
      </c>
      <c r="AI134" s="4" t="e">
        <f t="shared" ca="1" si="51"/>
        <v>#DIV/0!</v>
      </c>
      <c r="AJ134" s="4" t="e">
        <f t="shared" ca="1" si="52"/>
        <v>#DIV/0!</v>
      </c>
      <c r="AK134" s="4" t="e">
        <f t="shared" ca="1" si="53"/>
        <v>#DIV/0!</v>
      </c>
      <c r="AM134" s="563">
        <f t="shared" ca="1" si="54"/>
        <v>45815</v>
      </c>
      <c r="AN134" s="564">
        <v>138.57</v>
      </c>
      <c r="AO134" s="564">
        <v>1057007</v>
      </c>
      <c r="AP134" s="564">
        <v>53646.156999999999</v>
      </c>
      <c r="AQ134" s="564">
        <v>7433747.9754899992</v>
      </c>
      <c r="AR134" s="564">
        <v>1.9313</v>
      </c>
    </row>
    <row r="135" spans="2:44">
      <c r="B135" s="565">
        <f t="shared" ca="1" si="55"/>
        <v>45035</v>
      </c>
      <c r="C135" s="561">
        <f ca="1">(IFERROR(IFERROR(VALUE(_xll.BDH(C$4,"CURRENT_EV_TO_T12M_EBITDA",$B135,$B135)),VALUE(_xll.BDH(C$4,"CURRENT_EV_TO_T12M_EBITDA",$B135+1,$B135+1))),C136))</f>
        <v>0</v>
      </c>
      <c r="D135" s="561">
        <f ca="1">(IFERROR(IFERROR(VALUE(_xll.BDH(D$4,"CURRENT_EV_TO_T12M_EBITDA",$B135,$B135)),VALUE(_xll.BDH(D$4,"CURRENT_EV_TO_T12M_EBITDA",$B135+1,$B135+1))),D136))</f>
        <v>0</v>
      </c>
      <c r="E135" s="561">
        <f ca="1">(IFERROR(IFERROR(VALUE(_xll.BDH(E$4,"CURRENT_EV_TO_T12M_EBITDA",$B135,$B135)),VALUE(_xll.BDH(E$4,"CURRENT_EV_TO_T12M_EBITDA",$B135+1,$B135+1))),E136))</f>
        <v>0</v>
      </c>
      <c r="F135" s="561">
        <f ca="1">(IFERROR(IFERROR(VALUE(_xll.BDH(F$4,"CURRENT_EV_TO_T12M_EBITDA",$B135,$B135)),VALUE(_xll.BDH(F$4,"CURRENT_EV_TO_T12M_EBITDA",$B135+1,$B135+1))),F136))</f>
        <v>0</v>
      </c>
      <c r="G135" s="561">
        <f ca="1">(IFERROR(IFERROR(VALUE(_xll.BDH(G$4,"CURRENT_EV_TO_T12M_EBITDA",$B135,$B135)),VALUE(_xll.BDH(G$4,"CURRENT_EV_TO_T12M_EBITDA",$B135+1,$B135+1))),G136))</f>
        <v>0</v>
      </c>
      <c r="H135" s="561">
        <f ca="1">(IFERROR(IFERROR(VALUE(_xll.BDH(H$4,"CURRENT_EV_TO_T12M_EBITDA",$B135,$B135)),VALUE(_xll.BDH(H$4,"CURRENT_EV_TO_T12M_EBITDA",$B135+1,$B135+1))),H136))</f>
        <v>0</v>
      </c>
      <c r="I135" s="565">
        <f t="shared" ca="1" si="45"/>
        <v>45035</v>
      </c>
      <c r="J135" s="561">
        <f ca="1">(IFERROR(IFERROR(VALUE(_xll.BDH(J$4,"PE_RATIO",$B135,$B135)),VALUE(_xll.BDH(J$4,"PE_RATIO",$B135+1,$B135+1))),J136))</f>
        <v>0</v>
      </c>
      <c r="K135" s="561">
        <f ca="1">(IFERROR(IFERROR(VALUE(_xll.BDH(K$4,"PE_RATIO",$B135,$B135)),VALUE(_xll.BDH(K$4,"PE_RATIO",$B135+1,$B135+1))),K136))</f>
        <v>0</v>
      </c>
      <c r="L135" s="561">
        <f ca="1">(IFERROR(IFERROR(VALUE(_xll.BDH(L$4,"PE_RATIO",$B135,$B135)),VALUE(_xll.BDH(L$4,"PE_RATIO",$B135+1,$B135+1))),L136))</f>
        <v>0</v>
      </c>
      <c r="M135" s="561">
        <f ca="1">(IFERROR(IFERROR(VALUE(_xll.BDH(M$4,"PE_RATIO",$B135,$B135)),VALUE(_xll.BDH(M$4,"PE_RATIO",$B135+1,$B135+1))),M136))</f>
        <v>0</v>
      </c>
      <c r="N135" s="561">
        <f ca="1">(IFERROR(IFERROR(VALUE(_xll.BDH(N$4,"PE_RATIO",$B135,$B135)),VALUE(_xll.BDH(N$4,"PE_RATIO",$B135+1,$B135+1))),N136))</f>
        <v>0</v>
      </c>
      <c r="O135" s="561">
        <f ca="1">(IFERROR(IFERROR(VALUE(_xll.BDH(O$4,"PE_RATIO",$B135,$B135)),VALUE(_xll.BDH(O$4,"PE_RATIO",$B135+1,$B135+1))),O136))</f>
        <v>0</v>
      </c>
      <c r="P135" s="561"/>
      <c r="Q135" s="565">
        <f t="shared" ca="1" si="46"/>
        <v>45035</v>
      </c>
      <c r="R135" s="4">
        <v>143.21</v>
      </c>
      <c r="S135" s="4">
        <v>12199.79</v>
      </c>
      <c r="T135" s="4">
        <v>925.52</v>
      </c>
      <c r="U135" s="4">
        <v>1.155012501008146</v>
      </c>
      <c r="V135" s="4">
        <v>1.0823332667953069</v>
      </c>
      <c r="W135" s="4">
        <v>1.247062628004743</v>
      </c>
      <c r="Y135" s="561">
        <f t="shared" si="47"/>
        <v>143.21</v>
      </c>
      <c r="Z135" s="4">
        <f ca="1">IFERROR(VALUE(_xll.BDH(Z$4,"PX_LAST",$Q135,$Q135)),Z136)</f>
        <v>0</v>
      </c>
      <c r="AA135" s="4">
        <f ca="1">IFERROR(VALUE(_xll.BDH(AA$4,"PX_LAST",$Q135,$Q135)),AA136)</f>
        <v>0</v>
      </c>
      <c r="AB135" s="4">
        <f ca="1">IFERROR(VALUE(_xll.BDH(AB$4,"PX_LAST",$Q135,$Q135)),AB136)</f>
        <v>0</v>
      </c>
      <c r="AC135" s="4">
        <f ca="1">IFERROR(VALUE(_xll.BDH(AC$4,"PX_LAST",$Q135,$Q135)),AC136)</f>
        <v>0</v>
      </c>
      <c r="AD135" s="4">
        <f ca="1">IFERROR(VALUE(_xll.BDH(AD$4,"PX_LAST",$Q135,$Q135)),AD136)</f>
        <v>0</v>
      </c>
      <c r="AF135" s="4">
        <f t="shared" si="48"/>
        <v>1.155012501008146</v>
      </c>
      <c r="AG135" s="4" t="e">
        <f t="shared" ca="1" si="49"/>
        <v>#DIV/0!</v>
      </c>
      <c r="AH135" s="4" t="e">
        <f t="shared" ca="1" si="50"/>
        <v>#DIV/0!</v>
      </c>
      <c r="AI135" s="4" t="e">
        <f t="shared" ca="1" si="51"/>
        <v>#DIV/0!</v>
      </c>
      <c r="AJ135" s="4" t="e">
        <f t="shared" ca="1" si="52"/>
        <v>#DIV/0!</v>
      </c>
      <c r="AK135" s="4" t="e">
        <f t="shared" ca="1" si="53"/>
        <v>#DIV/0!</v>
      </c>
      <c r="AM135" s="563">
        <f t="shared" ca="1" si="54"/>
        <v>45814</v>
      </c>
      <c r="AN135" s="564">
        <v>134.36000000000001</v>
      </c>
      <c r="AO135" s="564">
        <v>1010816</v>
      </c>
      <c r="AP135" s="564">
        <v>53646.156999999999</v>
      </c>
      <c r="AQ135" s="564">
        <v>7207897.6545200003</v>
      </c>
      <c r="AR135" s="564">
        <v>1.8726</v>
      </c>
    </row>
    <row r="136" spans="2:44">
      <c r="B136" s="565">
        <f t="shared" ca="1" si="55"/>
        <v>45028</v>
      </c>
      <c r="C136" s="561">
        <f ca="1">(IFERROR(IFERROR(VALUE(_xll.BDH(C$4,"CURRENT_EV_TO_T12M_EBITDA",$B136,$B136)),VALUE(_xll.BDH(C$4,"CURRENT_EV_TO_T12M_EBITDA",$B136+1,$B136+1))),C137))</f>
        <v>0</v>
      </c>
      <c r="D136" s="561">
        <f ca="1">(IFERROR(IFERROR(VALUE(_xll.BDH(D$4,"CURRENT_EV_TO_T12M_EBITDA",$B136,$B136)),VALUE(_xll.BDH(D$4,"CURRENT_EV_TO_T12M_EBITDA",$B136+1,$B136+1))),D137))</f>
        <v>0</v>
      </c>
      <c r="E136" s="561">
        <f ca="1">(IFERROR(IFERROR(VALUE(_xll.BDH(E$4,"CURRENT_EV_TO_T12M_EBITDA",$B136,$B136)),VALUE(_xll.BDH(E$4,"CURRENT_EV_TO_T12M_EBITDA",$B136+1,$B136+1))),E137))</f>
        <v>0</v>
      </c>
      <c r="F136" s="561">
        <f ca="1">(IFERROR(IFERROR(VALUE(_xll.BDH(F$4,"CURRENT_EV_TO_T12M_EBITDA",$B136,$B136)),VALUE(_xll.BDH(F$4,"CURRENT_EV_TO_T12M_EBITDA",$B136+1,$B136+1))),F137))</f>
        <v>0</v>
      </c>
      <c r="G136" s="561">
        <f ca="1">(IFERROR(IFERROR(VALUE(_xll.BDH(G$4,"CURRENT_EV_TO_T12M_EBITDA",$B136,$B136)),VALUE(_xll.BDH(G$4,"CURRENT_EV_TO_T12M_EBITDA",$B136+1,$B136+1))),G137))</f>
        <v>0</v>
      </c>
      <c r="H136" s="561">
        <f ca="1">(IFERROR(IFERROR(VALUE(_xll.BDH(H$4,"CURRENT_EV_TO_T12M_EBITDA",$B136,$B136)),VALUE(_xll.BDH(H$4,"CURRENT_EV_TO_T12M_EBITDA",$B136+1,$B136+1))),H137))</f>
        <v>0</v>
      </c>
      <c r="I136" s="565">
        <f t="shared" ca="1" si="45"/>
        <v>45028</v>
      </c>
      <c r="J136" s="561">
        <f ca="1">(IFERROR(IFERROR(VALUE(_xll.BDH(J$4,"PE_RATIO",$B136,$B136)),VALUE(_xll.BDH(J$4,"PE_RATIO",$B136+1,$B136+1))),J137))</f>
        <v>0</v>
      </c>
      <c r="K136" s="561">
        <f ca="1">(IFERROR(IFERROR(VALUE(_xll.BDH(K$4,"PE_RATIO",$B136,$B136)),VALUE(_xll.BDH(K$4,"PE_RATIO",$B136+1,$B136+1))),K137))</f>
        <v>0</v>
      </c>
      <c r="L136" s="561">
        <f ca="1">(IFERROR(IFERROR(VALUE(_xll.BDH(L$4,"PE_RATIO",$B136,$B136)),VALUE(_xll.BDH(L$4,"PE_RATIO",$B136+1,$B136+1))),L137))</f>
        <v>0</v>
      </c>
      <c r="M136" s="561">
        <f ca="1">(IFERROR(IFERROR(VALUE(_xll.BDH(M$4,"PE_RATIO",$B136,$B136)),VALUE(_xll.BDH(M$4,"PE_RATIO",$B136+1,$B136+1))),M137))</f>
        <v>0</v>
      </c>
      <c r="N136" s="561">
        <f ca="1">(IFERROR(IFERROR(VALUE(_xll.BDH(N$4,"PE_RATIO",$B136,$B136)),VALUE(_xll.BDH(N$4,"PE_RATIO",$B136+1,$B136+1))),N137))</f>
        <v>0</v>
      </c>
      <c r="O136" s="561">
        <f ca="1">(IFERROR(IFERROR(VALUE(_xll.BDH(O$4,"PE_RATIO",$B136,$B136)),VALUE(_xll.BDH(O$4,"PE_RATIO",$B136+1,$B136+1))),O137))</f>
        <v>0</v>
      </c>
      <c r="P136" s="561"/>
      <c r="Q136" s="565">
        <f t="shared" ca="1" si="46"/>
        <v>45028</v>
      </c>
      <c r="R136" s="4">
        <v>154.18</v>
      </c>
      <c r="S136" s="4">
        <v>12152.17</v>
      </c>
      <c r="T136" s="4">
        <v>955.87</v>
      </c>
      <c r="U136" s="4">
        <v>1.243487378014356</v>
      </c>
      <c r="V136" s="4">
        <v>1.0781085457005346</v>
      </c>
      <c r="W136" s="4">
        <v>1.287956774819446</v>
      </c>
      <c r="Y136" s="561">
        <f t="shared" si="47"/>
        <v>154.18</v>
      </c>
      <c r="Z136" s="4">
        <f ca="1">IFERROR(VALUE(_xll.BDH(Z$4,"PX_LAST",$Q136,$Q136)),Z137)</f>
        <v>0</v>
      </c>
      <c r="AA136" s="4">
        <f ca="1">IFERROR(VALUE(_xll.BDH(AA$4,"PX_LAST",$Q136,$Q136)),AA137)</f>
        <v>0</v>
      </c>
      <c r="AB136" s="4">
        <f ca="1">IFERROR(VALUE(_xll.BDH(AB$4,"PX_LAST",$Q136,$Q136)),AB137)</f>
        <v>0</v>
      </c>
      <c r="AC136" s="4">
        <f ca="1">IFERROR(VALUE(_xll.BDH(AC$4,"PX_LAST",$Q136,$Q136)),AC137)</f>
        <v>0</v>
      </c>
      <c r="AD136" s="4">
        <f ca="1">IFERROR(VALUE(_xll.BDH(AD$4,"PX_LAST",$Q136,$Q136)),AD137)</f>
        <v>0</v>
      </c>
      <c r="AF136" s="4">
        <f t="shared" si="48"/>
        <v>1.243487378014356</v>
      </c>
      <c r="AG136" s="4" t="e">
        <f t="shared" ca="1" si="49"/>
        <v>#DIV/0!</v>
      </c>
      <c r="AH136" s="4" t="e">
        <f t="shared" ca="1" si="50"/>
        <v>#DIV/0!</v>
      </c>
      <c r="AI136" s="4" t="e">
        <f t="shared" ca="1" si="51"/>
        <v>#DIV/0!</v>
      </c>
      <c r="AJ136" s="4" t="e">
        <f t="shared" ca="1" si="52"/>
        <v>#DIV/0!</v>
      </c>
      <c r="AK136" s="4" t="e">
        <f t="shared" ca="1" si="53"/>
        <v>#DIV/0!</v>
      </c>
      <c r="AM136" s="563">
        <f t="shared" ca="1" si="54"/>
        <v>45813</v>
      </c>
      <c r="AN136" s="564">
        <v>133.35</v>
      </c>
      <c r="AO136" s="564">
        <v>599529</v>
      </c>
      <c r="AP136" s="564">
        <v>53646.156999999999</v>
      </c>
      <c r="AQ136" s="564">
        <v>7153715.0359499995</v>
      </c>
      <c r="AR136" s="564">
        <v>1.8585</v>
      </c>
    </row>
    <row r="137" spans="2:44">
      <c r="B137" s="565">
        <f t="shared" ca="1" si="55"/>
        <v>45021</v>
      </c>
      <c r="C137" s="561">
        <f ca="1">(IFERROR(IFERROR(VALUE(_xll.BDH(C$4,"CURRENT_EV_TO_T12M_EBITDA",$B137,$B137)),VALUE(_xll.BDH(C$4,"CURRENT_EV_TO_T12M_EBITDA",$B137+1,$B137+1))),C138))</f>
        <v>0</v>
      </c>
      <c r="D137" s="561">
        <f ca="1">(IFERROR(IFERROR(VALUE(_xll.BDH(D$4,"CURRENT_EV_TO_T12M_EBITDA",$B137,$B137)),VALUE(_xll.BDH(D$4,"CURRENT_EV_TO_T12M_EBITDA",$B137+1,$B137+1))),D138))</f>
        <v>0</v>
      </c>
      <c r="E137" s="561">
        <f ca="1">(IFERROR(IFERROR(VALUE(_xll.BDH(E$4,"CURRENT_EV_TO_T12M_EBITDA",$B137,$B137)),VALUE(_xll.BDH(E$4,"CURRENT_EV_TO_T12M_EBITDA",$B137+1,$B137+1))),E138))</f>
        <v>0</v>
      </c>
      <c r="F137" s="561">
        <f ca="1">(IFERROR(IFERROR(VALUE(_xll.BDH(F$4,"CURRENT_EV_TO_T12M_EBITDA",$B137,$B137)),VALUE(_xll.BDH(F$4,"CURRENT_EV_TO_T12M_EBITDA",$B137+1,$B137+1))),F138))</f>
        <v>0</v>
      </c>
      <c r="G137" s="561">
        <f ca="1">(IFERROR(IFERROR(VALUE(_xll.BDH(G$4,"CURRENT_EV_TO_T12M_EBITDA",$B137,$B137)),VALUE(_xll.BDH(G$4,"CURRENT_EV_TO_T12M_EBITDA",$B137+1,$B137+1))),G138))</f>
        <v>0</v>
      </c>
      <c r="H137" s="561">
        <f ca="1">(IFERROR(IFERROR(VALUE(_xll.BDH(H$4,"CURRENT_EV_TO_T12M_EBITDA",$B137,$B137)),VALUE(_xll.BDH(H$4,"CURRENT_EV_TO_T12M_EBITDA",$B137+1,$B137+1))),H138))</f>
        <v>0</v>
      </c>
      <c r="I137" s="565">
        <f t="shared" ca="1" si="45"/>
        <v>45021</v>
      </c>
      <c r="J137" s="561">
        <f ca="1">(IFERROR(IFERROR(VALUE(_xll.BDH(J$4,"PE_RATIO",$B137,$B137)),VALUE(_xll.BDH(J$4,"PE_RATIO",$B137+1,$B137+1))),J138))</f>
        <v>0</v>
      </c>
      <c r="K137" s="561">
        <f ca="1">(IFERROR(IFERROR(VALUE(_xll.BDH(K$4,"PE_RATIO",$B137,$B137)),VALUE(_xll.BDH(K$4,"PE_RATIO",$B137+1,$B137+1))),K138))</f>
        <v>0</v>
      </c>
      <c r="L137" s="561">
        <f ca="1">(IFERROR(IFERROR(VALUE(_xll.BDH(L$4,"PE_RATIO",$B137,$B137)),VALUE(_xll.BDH(L$4,"PE_RATIO",$B137+1,$B137+1))),L138))</f>
        <v>0</v>
      </c>
      <c r="M137" s="561">
        <f ca="1">(IFERROR(IFERROR(VALUE(_xll.BDH(M$4,"PE_RATIO",$B137,$B137)),VALUE(_xll.BDH(M$4,"PE_RATIO",$B137+1,$B137+1))),M138))</f>
        <v>0</v>
      </c>
      <c r="N137" s="561">
        <f ca="1">(IFERROR(IFERROR(VALUE(_xll.BDH(N$4,"PE_RATIO",$B137,$B137)),VALUE(_xll.BDH(N$4,"PE_RATIO",$B137+1,$B137+1))),N138))</f>
        <v>0</v>
      </c>
      <c r="O137" s="561">
        <f ca="1">(IFERROR(IFERROR(VALUE(_xll.BDH(O$4,"PE_RATIO",$B137,$B137)),VALUE(_xll.BDH(O$4,"PE_RATIO",$B137+1,$B137+1))),O138))</f>
        <v>0</v>
      </c>
      <c r="P137" s="561"/>
      <c r="Q137" s="565">
        <f t="shared" ca="1" si="46"/>
        <v>45021</v>
      </c>
      <c r="R137" s="4">
        <v>155.49</v>
      </c>
      <c r="S137" s="4">
        <v>12042.12</v>
      </c>
      <c r="T137" s="4">
        <v>944.63</v>
      </c>
      <c r="U137" s="4">
        <v>1.254052746189209</v>
      </c>
      <c r="V137" s="4">
        <v>1.0683451992813895</v>
      </c>
      <c r="W137" s="4">
        <v>1.2728117926053681</v>
      </c>
      <c r="Y137" s="561">
        <f t="shared" si="47"/>
        <v>155.49</v>
      </c>
      <c r="Z137" s="4">
        <f ca="1">IFERROR(VALUE(_xll.BDH(Z$4,"PX_LAST",$Q137,$Q137)),Z138)</f>
        <v>0</v>
      </c>
      <c r="AA137" s="4">
        <f ca="1">IFERROR(VALUE(_xll.BDH(AA$4,"PX_LAST",$Q137,$Q137)),AA138)</f>
        <v>0</v>
      </c>
      <c r="AB137" s="4">
        <f ca="1">IFERROR(VALUE(_xll.BDH(AB$4,"PX_LAST",$Q137,$Q137)),AB138)</f>
        <v>0</v>
      </c>
      <c r="AC137" s="4">
        <f ca="1">IFERROR(VALUE(_xll.BDH(AC$4,"PX_LAST",$Q137,$Q137)),AC138)</f>
        <v>0</v>
      </c>
      <c r="AD137" s="4">
        <f ca="1">IFERROR(VALUE(_xll.BDH(AD$4,"PX_LAST",$Q137,$Q137)),AD138)</f>
        <v>0</v>
      </c>
      <c r="AF137" s="4">
        <f t="shared" si="48"/>
        <v>1.254052746189209</v>
      </c>
      <c r="AG137" s="4" t="e">
        <f t="shared" ca="1" si="49"/>
        <v>#DIV/0!</v>
      </c>
      <c r="AH137" s="4" t="e">
        <f t="shared" ca="1" si="50"/>
        <v>#DIV/0!</v>
      </c>
      <c r="AI137" s="4" t="e">
        <f t="shared" ca="1" si="51"/>
        <v>#DIV/0!</v>
      </c>
      <c r="AJ137" s="4" t="e">
        <f t="shared" ca="1" si="52"/>
        <v>#DIV/0!</v>
      </c>
      <c r="AK137" s="4" t="e">
        <f t="shared" ca="1" si="53"/>
        <v>#DIV/0!</v>
      </c>
      <c r="AM137" s="563">
        <f t="shared" ca="1" si="54"/>
        <v>45812</v>
      </c>
      <c r="AN137" s="564">
        <v>132.78</v>
      </c>
      <c r="AO137" s="564">
        <v>770100</v>
      </c>
      <c r="AP137" s="564">
        <v>53646.156999999999</v>
      </c>
      <c r="AQ137" s="564">
        <v>7123136.7264599996</v>
      </c>
      <c r="AR137" s="564">
        <v>1.8506</v>
      </c>
    </row>
    <row r="138" spans="2:44">
      <c r="B138" s="565">
        <f t="shared" ca="1" si="55"/>
        <v>45014</v>
      </c>
      <c r="C138" s="561">
        <f ca="1">(IFERROR(IFERROR(VALUE(_xll.BDH(C$4,"CURRENT_EV_TO_T12M_EBITDA",$B138,$B138)),VALUE(_xll.BDH(C$4,"CURRENT_EV_TO_T12M_EBITDA",$B138+1,$B138+1))),C139))</f>
        <v>0</v>
      </c>
      <c r="D138" s="561">
        <f ca="1">(IFERROR(IFERROR(VALUE(_xll.BDH(D$4,"CURRENT_EV_TO_T12M_EBITDA",$B138,$B138)),VALUE(_xll.BDH(D$4,"CURRENT_EV_TO_T12M_EBITDA",$B138+1,$B138+1))),D139))</f>
        <v>0</v>
      </c>
      <c r="E138" s="561">
        <f ca="1">(IFERROR(IFERROR(VALUE(_xll.BDH(E$4,"CURRENT_EV_TO_T12M_EBITDA",$B138,$B138)),VALUE(_xll.BDH(E$4,"CURRENT_EV_TO_T12M_EBITDA",$B138+1,$B138+1))),E139))</f>
        <v>0</v>
      </c>
      <c r="F138" s="561">
        <f ca="1">(IFERROR(IFERROR(VALUE(_xll.BDH(F$4,"CURRENT_EV_TO_T12M_EBITDA",$B138,$B138)),VALUE(_xll.BDH(F$4,"CURRENT_EV_TO_T12M_EBITDA",$B138+1,$B138+1))),F139))</f>
        <v>0</v>
      </c>
      <c r="G138" s="561">
        <f ca="1">(IFERROR(IFERROR(VALUE(_xll.BDH(G$4,"CURRENT_EV_TO_T12M_EBITDA",$B138,$B138)),VALUE(_xll.BDH(G$4,"CURRENT_EV_TO_T12M_EBITDA",$B138+1,$B138+1))),G139))</f>
        <v>0</v>
      </c>
      <c r="H138" s="561">
        <f ca="1">(IFERROR(IFERROR(VALUE(_xll.BDH(H$4,"CURRENT_EV_TO_T12M_EBITDA",$B138,$B138)),VALUE(_xll.BDH(H$4,"CURRENT_EV_TO_T12M_EBITDA",$B138+1,$B138+1))),H139))</f>
        <v>0</v>
      </c>
      <c r="I138" s="565">
        <f t="shared" ca="1" si="45"/>
        <v>45014</v>
      </c>
      <c r="J138" s="561">
        <f ca="1">(IFERROR(IFERROR(VALUE(_xll.BDH(J$4,"PE_RATIO",$B138,$B138)),VALUE(_xll.BDH(J$4,"PE_RATIO",$B138+1,$B138+1))),J139))</f>
        <v>0</v>
      </c>
      <c r="K138" s="561">
        <f ca="1">(IFERROR(IFERROR(VALUE(_xll.BDH(K$4,"PE_RATIO",$B138,$B138)),VALUE(_xll.BDH(K$4,"PE_RATIO",$B138+1,$B138+1))),K139))</f>
        <v>0</v>
      </c>
      <c r="L138" s="561">
        <f ca="1">(IFERROR(IFERROR(VALUE(_xll.BDH(L$4,"PE_RATIO",$B138,$B138)),VALUE(_xll.BDH(L$4,"PE_RATIO",$B138+1,$B138+1))),L139))</f>
        <v>0</v>
      </c>
      <c r="M138" s="561">
        <f ca="1">(IFERROR(IFERROR(VALUE(_xll.BDH(M$4,"PE_RATIO",$B138,$B138)),VALUE(_xll.BDH(M$4,"PE_RATIO",$B138+1,$B138+1))),M139))</f>
        <v>0</v>
      </c>
      <c r="N138" s="561">
        <f ca="1">(IFERROR(IFERROR(VALUE(_xll.BDH(N$4,"PE_RATIO",$B138,$B138)),VALUE(_xll.BDH(N$4,"PE_RATIO",$B138+1,$B138+1))),N139))</f>
        <v>0</v>
      </c>
      <c r="O138" s="561">
        <f ca="1">(IFERROR(IFERROR(VALUE(_xll.BDH(O$4,"PE_RATIO",$B138,$B138)),VALUE(_xll.BDH(O$4,"PE_RATIO",$B138+1,$B138+1))),O139))</f>
        <v>0</v>
      </c>
      <c r="P138" s="561"/>
      <c r="Q138" s="565">
        <f t="shared" ca="1" si="46"/>
        <v>45014</v>
      </c>
      <c r="R138" s="4">
        <v>153.93</v>
      </c>
      <c r="S138" s="4">
        <v>12060.3</v>
      </c>
      <c r="T138" s="4">
        <v>933.68</v>
      </c>
      <c r="U138" s="4">
        <v>1.2414710863779339</v>
      </c>
      <c r="V138" s="4">
        <v>1.0699580810433162</v>
      </c>
      <c r="W138" s="4">
        <v>1.2580575617117602</v>
      </c>
      <c r="Y138" s="561">
        <f t="shared" si="47"/>
        <v>153.93</v>
      </c>
      <c r="Z138" s="4">
        <f ca="1">IFERROR(VALUE(_xll.BDH(Z$4,"PX_LAST",$Q138,$Q138)),Z139)</f>
        <v>0</v>
      </c>
      <c r="AA138" s="4">
        <f ca="1">IFERROR(VALUE(_xll.BDH(AA$4,"PX_LAST",$Q138,$Q138)),AA139)</f>
        <v>0</v>
      </c>
      <c r="AB138" s="4">
        <f ca="1">IFERROR(VALUE(_xll.BDH(AB$4,"PX_LAST",$Q138,$Q138)),AB139)</f>
        <v>0</v>
      </c>
      <c r="AC138" s="4">
        <f ca="1">IFERROR(VALUE(_xll.BDH(AC$4,"PX_LAST",$Q138,$Q138)),AC139)</f>
        <v>0</v>
      </c>
      <c r="AD138" s="4">
        <f ca="1">IFERROR(VALUE(_xll.BDH(AD$4,"PX_LAST",$Q138,$Q138)),AD139)</f>
        <v>0</v>
      </c>
      <c r="AF138" s="4">
        <f t="shared" si="48"/>
        <v>1.2414710863779339</v>
      </c>
      <c r="AG138" s="4" t="e">
        <f t="shared" ca="1" si="49"/>
        <v>#DIV/0!</v>
      </c>
      <c r="AH138" s="4" t="e">
        <f t="shared" ca="1" si="50"/>
        <v>#DIV/0!</v>
      </c>
      <c r="AI138" s="4" t="e">
        <f t="shared" ca="1" si="51"/>
        <v>#DIV/0!</v>
      </c>
      <c r="AJ138" s="4" t="e">
        <f t="shared" ca="1" si="52"/>
        <v>#DIV/0!</v>
      </c>
      <c r="AK138" s="4" t="e">
        <f t="shared" ca="1" si="53"/>
        <v>#DIV/0!</v>
      </c>
      <c r="AM138" s="563">
        <f t="shared" ca="1" si="54"/>
        <v>45811</v>
      </c>
      <c r="AN138" s="564">
        <v>130.58000000000001</v>
      </c>
      <c r="AO138" s="564">
        <v>412996</v>
      </c>
      <c r="AP138" s="564">
        <v>53646.156999999999</v>
      </c>
      <c r="AQ138" s="564">
        <v>7005115.1810600003</v>
      </c>
      <c r="AR138" s="564">
        <v>1.8199000000000001</v>
      </c>
    </row>
    <row r="139" spans="2:44">
      <c r="B139" s="565">
        <f t="shared" ca="1" si="55"/>
        <v>45007</v>
      </c>
      <c r="C139" s="561">
        <f ca="1">(IFERROR(IFERROR(VALUE(_xll.BDH(C$4,"CURRENT_EV_TO_T12M_EBITDA",$B139,$B139)),VALUE(_xll.BDH(C$4,"CURRENT_EV_TO_T12M_EBITDA",$B139+1,$B139+1))),C140))</f>
        <v>0</v>
      </c>
      <c r="D139" s="561">
        <f ca="1">(IFERROR(IFERROR(VALUE(_xll.BDH(D$4,"CURRENT_EV_TO_T12M_EBITDA",$B139,$B139)),VALUE(_xll.BDH(D$4,"CURRENT_EV_TO_T12M_EBITDA",$B139+1,$B139+1))),D140))</f>
        <v>0</v>
      </c>
      <c r="E139" s="561">
        <f ca="1">(IFERROR(IFERROR(VALUE(_xll.BDH(E$4,"CURRENT_EV_TO_T12M_EBITDA",$B139,$B139)),VALUE(_xll.BDH(E$4,"CURRENT_EV_TO_T12M_EBITDA",$B139+1,$B139+1))),E140))</f>
        <v>0</v>
      </c>
      <c r="F139" s="561">
        <f ca="1">(IFERROR(IFERROR(VALUE(_xll.BDH(F$4,"CURRENT_EV_TO_T12M_EBITDA",$B139,$B139)),VALUE(_xll.BDH(F$4,"CURRENT_EV_TO_T12M_EBITDA",$B139+1,$B139+1))),F140))</f>
        <v>0</v>
      </c>
      <c r="G139" s="561">
        <f ca="1">(IFERROR(IFERROR(VALUE(_xll.BDH(G$4,"CURRENT_EV_TO_T12M_EBITDA",$B139,$B139)),VALUE(_xll.BDH(G$4,"CURRENT_EV_TO_T12M_EBITDA",$B139+1,$B139+1))),G140))</f>
        <v>0</v>
      </c>
      <c r="H139" s="561">
        <f ca="1">(IFERROR(IFERROR(VALUE(_xll.BDH(H$4,"CURRENT_EV_TO_T12M_EBITDA",$B139,$B139)),VALUE(_xll.BDH(H$4,"CURRENT_EV_TO_T12M_EBITDA",$B139+1,$B139+1))),H140))</f>
        <v>0</v>
      </c>
      <c r="I139" s="565">
        <f t="shared" ca="1" si="45"/>
        <v>45007</v>
      </c>
      <c r="J139" s="561">
        <f ca="1">(IFERROR(IFERROR(VALUE(_xll.BDH(J$4,"PE_RATIO",$B139,$B139)),VALUE(_xll.BDH(J$4,"PE_RATIO",$B139+1,$B139+1))),J140))</f>
        <v>0</v>
      </c>
      <c r="K139" s="561">
        <f ca="1">(IFERROR(IFERROR(VALUE(_xll.BDH(K$4,"PE_RATIO",$B139,$B139)),VALUE(_xll.BDH(K$4,"PE_RATIO",$B139+1,$B139+1))),K140))</f>
        <v>0</v>
      </c>
      <c r="L139" s="561">
        <f ca="1">(IFERROR(IFERROR(VALUE(_xll.BDH(L$4,"PE_RATIO",$B139,$B139)),VALUE(_xll.BDH(L$4,"PE_RATIO",$B139+1,$B139+1))),L140))</f>
        <v>0</v>
      </c>
      <c r="M139" s="561">
        <f ca="1">(IFERROR(IFERROR(VALUE(_xll.BDH(M$4,"PE_RATIO",$B139,$B139)),VALUE(_xll.BDH(M$4,"PE_RATIO",$B139+1,$B139+1))),M140))</f>
        <v>0</v>
      </c>
      <c r="N139" s="561">
        <f ca="1">(IFERROR(IFERROR(VALUE(_xll.BDH(N$4,"PE_RATIO",$B139,$B139)),VALUE(_xll.BDH(N$4,"PE_RATIO",$B139+1,$B139+1))),N140))</f>
        <v>0</v>
      </c>
      <c r="O139" s="561">
        <f ca="1">(IFERROR(IFERROR(VALUE(_xll.BDH(O$4,"PE_RATIO",$B139,$B139)),VALUE(_xll.BDH(O$4,"PE_RATIO",$B139+1,$B139+1))),O140))</f>
        <v>0</v>
      </c>
      <c r="P139" s="561"/>
      <c r="Q139" s="565">
        <f t="shared" ca="1" si="46"/>
        <v>45007</v>
      </c>
      <c r="R139" s="4">
        <v>155.80000000000001</v>
      </c>
      <c r="S139" s="4">
        <v>12590.89</v>
      </c>
      <c r="T139" s="4">
        <v>959.76</v>
      </c>
      <c r="U139" s="4">
        <v>1.2565529478183726</v>
      </c>
      <c r="V139" s="4">
        <v>1.117030629671524</v>
      </c>
      <c r="W139" s="4">
        <v>1.2931982321871296</v>
      </c>
      <c r="Y139" s="561">
        <f t="shared" si="47"/>
        <v>155.80000000000001</v>
      </c>
      <c r="Z139" s="4">
        <f ca="1">IFERROR(VALUE(_xll.BDH(Z$4,"PX_LAST",$Q139,$Q139)),Z140)</f>
        <v>0</v>
      </c>
      <c r="AA139" s="4">
        <f ca="1">IFERROR(VALUE(_xll.BDH(AA$4,"PX_LAST",$Q139,$Q139)),AA140)</f>
        <v>0</v>
      </c>
      <c r="AB139" s="4">
        <f ca="1">IFERROR(VALUE(_xll.BDH(AB$4,"PX_LAST",$Q139,$Q139)),AB140)</f>
        <v>0</v>
      </c>
      <c r="AC139" s="4">
        <f ca="1">IFERROR(VALUE(_xll.BDH(AC$4,"PX_LAST",$Q139,$Q139)),AC140)</f>
        <v>0</v>
      </c>
      <c r="AD139" s="4">
        <f ca="1">IFERROR(VALUE(_xll.BDH(AD$4,"PX_LAST",$Q139,$Q139)),AD140)</f>
        <v>0</v>
      </c>
      <c r="AF139" s="4">
        <f t="shared" si="48"/>
        <v>1.2565529478183726</v>
      </c>
      <c r="AG139" s="4" t="e">
        <f t="shared" ca="1" si="49"/>
        <v>#DIV/0!</v>
      </c>
      <c r="AH139" s="4" t="e">
        <f t="shared" ca="1" si="50"/>
        <v>#DIV/0!</v>
      </c>
      <c r="AI139" s="4" t="e">
        <f t="shared" ca="1" si="51"/>
        <v>#DIV/0!</v>
      </c>
      <c r="AJ139" s="4" t="e">
        <f t="shared" ca="1" si="52"/>
        <v>#DIV/0!</v>
      </c>
      <c r="AK139" s="4" t="e">
        <f t="shared" ca="1" si="53"/>
        <v>#DIV/0!</v>
      </c>
      <c r="AM139" s="563">
        <f t="shared" ca="1" si="54"/>
        <v>45810</v>
      </c>
      <c r="AN139" s="564">
        <v>130.82</v>
      </c>
      <c r="AO139" s="564">
        <v>481345</v>
      </c>
      <c r="AP139" s="564">
        <v>53646.156999999999</v>
      </c>
      <c r="AQ139" s="564">
        <v>7017990.2587399995</v>
      </c>
      <c r="AR139" s="564">
        <v>1.8232999999999999</v>
      </c>
    </row>
    <row r="140" spans="2:44">
      <c r="B140" s="565">
        <f t="shared" ca="1" si="55"/>
        <v>45000</v>
      </c>
      <c r="C140" s="561">
        <f ca="1">(IFERROR(IFERROR(VALUE(_xll.BDH(C$4,"CURRENT_EV_TO_T12M_EBITDA",$B140,$B140)),VALUE(_xll.BDH(C$4,"CURRENT_EV_TO_T12M_EBITDA",$B140+1,$B140+1))),C141))</f>
        <v>0</v>
      </c>
      <c r="D140" s="561">
        <f ca="1">(IFERROR(IFERROR(VALUE(_xll.BDH(D$4,"CURRENT_EV_TO_T12M_EBITDA",$B140,$B140)),VALUE(_xll.BDH(D$4,"CURRENT_EV_TO_T12M_EBITDA",$B140+1,$B140+1))),D141))</f>
        <v>0</v>
      </c>
      <c r="E140" s="561">
        <f ca="1">(IFERROR(IFERROR(VALUE(_xll.BDH(E$4,"CURRENT_EV_TO_T12M_EBITDA",$B140,$B140)),VALUE(_xll.BDH(E$4,"CURRENT_EV_TO_T12M_EBITDA",$B140+1,$B140+1))),E141))</f>
        <v>0</v>
      </c>
      <c r="F140" s="561">
        <f ca="1">(IFERROR(IFERROR(VALUE(_xll.BDH(F$4,"CURRENT_EV_TO_T12M_EBITDA",$B140,$B140)),VALUE(_xll.BDH(F$4,"CURRENT_EV_TO_T12M_EBITDA",$B140+1,$B140+1))),F141))</f>
        <v>0</v>
      </c>
      <c r="G140" s="561">
        <f ca="1">(IFERROR(IFERROR(VALUE(_xll.BDH(G$4,"CURRENT_EV_TO_T12M_EBITDA",$B140,$B140)),VALUE(_xll.BDH(G$4,"CURRENT_EV_TO_T12M_EBITDA",$B140+1,$B140+1))),G141))</f>
        <v>0</v>
      </c>
      <c r="H140" s="561">
        <f ca="1">(IFERROR(IFERROR(VALUE(_xll.BDH(H$4,"CURRENT_EV_TO_T12M_EBITDA",$B140,$B140)),VALUE(_xll.BDH(H$4,"CURRENT_EV_TO_T12M_EBITDA",$B140+1,$B140+1))),H141))</f>
        <v>0</v>
      </c>
      <c r="I140" s="565">
        <f t="shared" ca="1" si="45"/>
        <v>45000</v>
      </c>
      <c r="J140" s="561">
        <f ca="1">(IFERROR(IFERROR(VALUE(_xll.BDH(J$4,"PE_RATIO",$B140,$B140)),VALUE(_xll.BDH(J$4,"PE_RATIO",$B140+1,$B140+1))),J141))</f>
        <v>0</v>
      </c>
      <c r="K140" s="561">
        <f ca="1">(IFERROR(IFERROR(VALUE(_xll.BDH(K$4,"PE_RATIO",$B140,$B140)),VALUE(_xll.BDH(K$4,"PE_RATIO",$B140+1,$B140+1))),K141))</f>
        <v>0</v>
      </c>
      <c r="L140" s="561">
        <f ca="1">(IFERROR(IFERROR(VALUE(_xll.BDH(L$4,"PE_RATIO",$B140,$B140)),VALUE(_xll.BDH(L$4,"PE_RATIO",$B140+1,$B140+1))),L141))</f>
        <v>0</v>
      </c>
      <c r="M140" s="561">
        <f ca="1">(IFERROR(IFERROR(VALUE(_xll.BDH(M$4,"PE_RATIO",$B140,$B140)),VALUE(_xll.BDH(M$4,"PE_RATIO",$B140+1,$B140+1))),M141))</f>
        <v>0</v>
      </c>
      <c r="N140" s="561">
        <f ca="1">(IFERROR(IFERROR(VALUE(_xll.BDH(N$4,"PE_RATIO",$B140,$B140)),VALUE(_xll.BDH(N$4,"PE_RATIO",$B140+1,$B140+1))),N141))</f>
        <v>0</v>
      </c>
      <c r="O140" s="561">
        <f ca="1">(IFERROR(IFERROR(VALUE(_xll.BDH(O$4,"PE_RATIO",$B140,$B140)),VALUE(_xll.BDH(O$4,"PE_RATIO",$B140+1,$B140+1))),O141))</f>
        <v>0</v>
      </c>
      <c r="P140" s="561"/>
      <c r="Q140" s="565">
        <f t="shared" ca="1" si="46"/>
        <v>45000</v>
      </c>
      <c r="R140" s="4">
        <v>158.13999999999999</v>
      </c>
      <c r="S140" s="4">
        <v>12728.27</v>
      </c>
      <c r="T140" s="4">
        <v>958.65</v>
      </c>
      <c r="U140" s="4">
        <v>1.2754254375352851</v>
      </c>
      <c r="V140" s="4">
        <v>1.1292186217756781</v>
      </c>
      <c r="W140" s="4">
        <v>1.291702597822572</v>
      </c>
      <c r="Y140" s="561">
        <f t="shared" si="47"/>
        <v>158.13999999999999</v>
      </c>
      <c r="Z140" s="4">
        <f ca="1">IFERROR(VALUE(_xll.BDH(Z$4,"PX_LAST",$Q140,$Q140)),Z141)</f>
        <v>0</v>
      </c>
      <c r="AA140" s="4">
        <f ca="1">IFERROR(VALUE(_xll.BDH(AA$4,"PX_LAST",$Q140,$Q140)),AA141)</f>
        <v>0</v>
      </c>
      <c r="AB140" s="4">
        <f ca="1">IFERROR(VALUE(_xll.BDH(AB$4,"PX_LAST",$Q140,$Q140)),AB141)</f>
        <v>0</v>
      </c>
      <c r="AC140" s="4">
        <f ca="1">IFERROR(VALUE(_xll.BDH(AC$4,"PX_LAST",$Q140,$Q140)),AC141)</f>
        <v>0</v>
      </c>
      <c r="AD140" s="4">
        <f ca="1">IFERROR(VALUE(_xll.BDH(AD$4,"PX_LAST",$Q140,$Q140)),AD141)</f>
        <v>0</v>
      </c>
      <c r="AF140" s="4">
        <f t="shared" si="48"/>
        <v>1.2754254375352851</v>
      </c>
      <c r="AG140" s="4" t="e">
        <f t="shared" ca="1" si="49"/>
        <v>#DIV/0!</v>
      </c>
      <c r="AH140" s="4" t="e">
        <f t="shared" ca="1" si="50"/>
        <v>#DIV/0!</v>
      </c>
      <c r="AI140" s="4" t="e">
        <f t="shared" ca="1" si="51"/>
        <v>#DIV/0!</v>
      </c>
      <c r="AJ140" s="4" t="e">
        <f t="shared" ca="1" si="52"/>
        <v>#DIV/0!</v>
      </c>
      <c r="AK140" s="4" t="e">
        <f t="shared" ca="1" si="53"/>
        <v>#DIV/0!</v>
      </c>
      <c r="AM140" s="563">
        <f t="shared" ca="1" si="54"/>
        <v>45809</v>
      </c>
      <c r="AN140" s="564">
        <v>130.82</v>
      </c>
      <c r="AO140" s="564">
        <v>481345</v>
      </c>
      <c r="AP140" s="564">
        <v>53646.156999999999</v>
      </c>
      <c r="AQ140" s="564">
        <v>7017990.2587399995</v>
      </c>
      <c r="AR140" s="564">
        <v>1.8232999999999999</v>
      </c>
    </row>
    <row r="141" spans="2:44">
      <c r="B141" s="565">
        <f t="shared" ca="1" si="55"/>
        <v>44993</v>
      </c>
      <c r="C141" s="561">
        <f ca="1">(IFERROR(IFERROR(VALUE(_xll.BDH(C$4,"CURRENT_EV_TO_T12M_EBITDA",$B141,$B141)),VALUE(_xll.BDH(C$4,"CURRENT_EV_TO_T12M_EBITDA",$B141+1,$B141+1))),C142))</f>
        <v>0</v>
      </c>
      <c r="D141" s="561">
        <f ca="1">(IFERROR(IFERROR(VALUE(_xll.BDH(D$4,"CURRENT_EV_TO_T12M_EBITDA",$B141,$B141)),VALUE(_xll.BDH(D$4,"CURRENT_EV_TO_T12M_EBITDA",$B141+1,$B141+1))),D142))</f>
        <v>0</v>
      </c>
      <c r="E141" s="561">
        <f ca="1">(IFERROR(IFERROR(VALUE(_xll.BDH(E$4,"CURRENT_EV_TO_T12M_EBITDA",$B141,$B141)),VALUE(_xll.BDH(E$4,"CURRENT_EV_TO_T12M_EBITDA",$B141+1,$B141+1))),E142))</f>
        <v>0</v>
      </c>
      <c r="F141" s="561">
        <f ca="1">(IFERROR(IFERROR(VALUE(_xll.BDH(F$4,"CURRENT_EV_TO_T12M_EBITDA",$B141,$B141)),VALUE(_xll.BDH(F$4,"CURRENT_EV_TO_T12M_EBITDA",$B141+1,$B141+1))),F142))</f>
        <v>0</v>
      </c>
      <c r="G141" s="561">
        <f ca="1">(IFERROR(IFERROR(VALUE(_xll.BDH(G$4,"CURRENT_EV_TO_T12M_EBITDA",$B141,$B141)),VALUE(_xll.BDH(G$4,"CURRENT_EV_TO_T12M_EBITDA",$B141+1,$B141+1))),G142))</f>
        <v>0</v>
      </c>
      <c r="H141" s="561">
        <f ca="1">(IFERROR(IFERROR(VALUE(_xll.BDH(H$4,"CURRENT_EV_TO_T12M_EBITDA",$B141,$B141)),VALUE(_xll.BDH(H$4,"CURRENT_EV_TO_T12M_EBITDA",$B141+1,$B141+1))),H142))</f>
        <v>0</v>
      </c>
      <c r="I141" s="565">
        <f t="shared" ca="1" si="45"/>
        <v>44993</v>
      </c>
      <c r="J141" s="561">
        <f ca="1">(IFERROR(IFERROR(VALUE(_xll.BDH(J$4,"PE_RATIO",$B141,$B141)),VALUE(_xll.BDH(J$4,"PE_RATIO",$B141+1,$B141+1))),J142))</f>
        <v>0</v>
      </c>
      <c r="K141" s="561">
        <f ca="1">(IFERROR(IFERROR(VALUE(_xll.BDH(K$4,"PE_RATIO",$B141,$B141)),VALUE(_xll.BDH(K$4,"PE_RATIO",$B141+1,$B141+1))),K142))</f>
        <v>0</v>
      </c>
      <c r="L141" s="561">
        <f ca="1">(IFERROR(IFERROR(VALUE(_xll.BDH(L$4,"PE_RATIO",$B141,$B141)),VALUE(_xll.BDH(L$4,"PE_RATIO",$B141+1,$B141+1))),L142))</f>
        <v>0</v>
      </c>
      <c r="M141" s="561">
        <f ca="1">(IFERROR(IFERROR(VALUE(_xll.BDH(M$4,"PE_RATIO",$B141,$B141)),VALUE(_xll.BDH(M$4,"PE_RATIO",$B141+1,$B141+1))),M142))</f>
        <v>0</v>
      </c>
      <c r="N141" s="561">
        <f ca="1">(IFERROR(IFERROR(VALUE(_xll.BDH(N$4,"PE_RATIO",$B141,$B141)),VALUE(_xll.BDH(N$4,"PE_RATIO",$B141+1,$B141+1))),N142))</f>
        <v>0</v>
      </c>
      <c r="O141" s="561">
        <f ca="1">(IFERROR(IFERROR(VALUE(_xll.BDH(O$4,"PE_RATIO",$B141,$B141)),VALUE(_xll.BDH(O$4,"PE_RATIO",$B141+1,$B141+1))),O142))</f>
        <v>0</v>
      </c>
      <c r="P141" s="561"/>
      <c r="Q141" s="565">
        <f t="shared" ca="1" si="46"/>
        <v>44993</v>
      </c>
      <c r="R141" s="4">
        <v>155.44999999999999</v>
      </c>
      <c r="S141" s="4">
        <v>12101.93</v>
      </c>
      <c r="T141" s="4">
        <v>936.71</v>
      </c>
      <c r="U141" s="4">
        <v>1.2537301395273812</v>
      </c>
      <c r="V141" s="4">
        <v>1.0736513850999179</v>
      </c>
      <c r="W141" s="4">
        <v>1.2621402393014984</v>
      </c>
      <c r="Y141" s="561">
        <f t="shared" si="47"/>
        <v>155.44999999999999</v>
      </c>
      <c r="Z141" s="4">
        <f ca="1">IFERROR(VALUE(_xll.BDH(Z$4,"PX_LAST",$Q141,$Q141)),Z142)</f>
        <v>0</v>
      </c>
      <c r="AA141" s="4">
        <f ca="1">IFERROR(VALUE(_xll.BDH(AA$4,"PX_LAST",$Q141,$Q141)),AA142)</f>
        <v>0</v>
      </c>
      <c r="AB141" s="4">
        <f ca="1">IFERROR(VALUE(_xll.BDH(AB$4,"PX_LAST",$Q141,$Q141)),AB142)</f>
        <v>0</v>
      </c>
      <c r="AC141" s="4">
        <f ca="1">IFERROR(VALUE(_xll.BDH(AC$4,"PX_LAST",$Q141,$Q141)),AC142)</f>
        <v>0</v>
      </c>
      <c r="AD141" s="4">
        <f ca="1">IFERROR(VALUE(_xll.BDH(AD$4,"PX_LAST",$Q141,$Q141)),AD142)</f>
        <v>0</v>
      </c>
      <c r="AF141" s="4">
        <f t="shared" si="48"/>
        <v>1.2537301395273812</v>
      </c>
      <c r="AG141" s="4" t="e">
        <f t="shared" ca="1" si="49"/>
        <v>#DIV/0!</v>
      </c>
      <c r="AH141" s="4" t="e">
        <f t="shared" ca="1" si="50"/>
        <v>#DIV/0!</v>
      </c>
      <c r="AI141" s="4" t="e">
        <f t="shared" ca="1" si="51"/>
        <v>#DIV/0!</v>
      </c>
      <c r="AJ141" s="4" t="e">
        <f t="shared" ca="1" si="52"/>
        <v>#DIV/0!</v>
      </c>
      <c r="AK141" s="4" t="e">
        <f t="shared" ca="1" si="53"/>
        <v>#DIV/0!</v>
      </c>
      <c r="AM141" s="563">
        <f t="shared" ca="1" si="54"/>
        <v>45808</v>
      </c>
      <c r="AN141" s="564">
        <v>130.82</v>
      </c>
      <c r="AO141" s="564">
        <v>481345</v>
      </c>
      <c r="AP141" s="564">
        <v>53646.156999999999</v>
      </c>
      <c r="AQ141" s="564">
        <v>7017990.2587399995</v>
      </c>
      <c r="AR141" s="564">
        <v>1.8232999999999999</v>
      </c>
    </row>
    <row r="142" spans="2:44">
      <c r="B142" s="565">
        <f t="shared" ca="1" si="55"/>
        <v>44986</v>
      </c>
      <c r="C142" s="561">
        <f ca="1">(IFERROR(IFERROR(VALUE(_xll.BDH(C$4,"CURRENT_EV_TO_T12M_EBITDA",$B142,$B142)),VALUE(_xll.BDH(C$4,"CURRENT_EV_TO_T12M_EBITDA",$B142+1,$B142+1))),C143))</f>
        <v>0</v>
      </c>
      <c r="D142" s="561">
        <f ca="1">(IFERROR(IFERROR(VALUE(_xll.BDH(D$4,"CURRENT_EV_TO_T12M_EBITDA",$B142,$B142)),VALUE(_xll.BDH(D$4,"CURRENT_EV_TO_T12M_EBITDA",$B142+1,$B142+1))),D143))</f>
        <v>0</v>
      </c>
      <c r="E142" s="561">
        <f ca="1">(IFERROR(IFERROR(VALUE(_xll.BDH(E$4,"CURRENT_EV_TO_T12M_EBITDA",$B142,$B142)),VALUE(_xll.BDH(E$4,"CURRENT_EV_TO_T12M_EBITDA",$B142+1,$B142+1))),E143))</f>
        <v>0</v>
      </c>
      <c r="F142" s="561">
        <f ca="1">(IFERROR(IFERROR(VALUE(_xll.BDH(F$4,"CURRENT_EV_TO_T12M_EBITDA",$B142,$B142)),VALUE(_xll.BDH(F$4,"CURRENT_EV_TO_T12M_EBITDA",$B142+1,$B142+1))),F143))</f>
        <v>0</v>
      </c>
      <c r="G142" s="561">
        <f ca="1">(IFERROR(IFERROR(VALUE(_xll.BDH(G$4,"CURRENT_EV_TO_T12M_EBITDA",$B142,$B142)),VALUE(_xll.BDH(G$4,"CURRENT_EV_TO_T12M_EBITDA",$B142+1,$B142+1))),G143))</f>
        <v>0</v>
      </c>
      <c r="H142" s="561">
        <f ca="1">(IFERROR(IFERROR(VALUE(_xll.BDH(H$4,"CURRENT_EV_TO_T12M_EBITDA",$B142,$B142)),VALUE(_xll.BDH(H$4,"CURRENT_EV_TO_T12M_EBITDA",$B142+1,$B142+1))),H143))</f>
        <v>0</v>
      </c>
      <c r="I142" s="565">
        <f t="shared" ca="1" si="45"/>
        <v>44986</v>
      </c>
      <c r="J142" s="561">
        <f ca="1">(IFERROR(IFERROR(VALUE(_xll.BDH(J$4,"PE_RATIO",$B142,$B142)),VALUE(_xll.BDH(J$4,"PE_RATIO",$B142+1,$B142+1))),J143))</f>
        <v>0</v>
      </c>
      <c r="K142" s="561">
        <f ca="1">(IFERROR(IFERROR(VALUE(_xll.BDH(K$4,"PE_RATIO",$B142,$B142)),VALUE(_xll.BDH(K$4,"PE_RATIO",$B142+1,$B142+1))),K143))</f>
        <v>0</v>
      </c>
      <c r="L142" s="561">
        <f ca="1">(IFERROR(IFERROR(VALUE(_xll.BDH(L$4,"PE_RATIO",$B142,$B142)),VALUE(_xll.BDH(L$4,"PE_RATIO",$B142+1,$B142+1))),L143))</f>
        <v>0</v>
      </c>
      <c r="M142" s="561">
        <f ca="1">(IFERROR(IFERROR(VALUE(_xll.BDH(M$4,"PE_RATIO",$B142,$B142)),VALUE(_xll.BDH(M$4,"PE_RATIO",$B142+1,$B142+1))),M143))</f>
        <v>0</v>
      </c>
      <c r="N142" s="561">
        <f ca="1">(IFERROR(IFERROR(VALUE(_xll.BDH(N$4,"PE_RATIO",$B142,$B142)),VALUE(_xll.BDH(N$4,"PE_RATIO",$B142+1,$B142+1))),N143))</f>
        <v>0</v>
      </c>
      <c r="O142" s="561">
        <f ca="1">(IFERROR(IFERROR(VALUE(_xll.BDH(O$4,"PE_RATIO",$B142,$B142)),VALUE(_xll.BDH(O$4,"PE_RATIO",$B142+1,$B142+1))),O143))</f>
        <v>0</v>
      </c>
      <c r="P142" s="561"/>
      <c r="Q142" s="565">
        <f t="shared" ca="1" si="46"/>
        <v>44986</v>
      </c>
      <c r="R142" s="4">
        <v>151.26</v>
      </c>
      <c r="S142" s="4">
        <v>11846.64</v>
      </c>
      <c r="T142" s="4">
        <v>913.7</v>
      </c>
      <c r="U142" s="4">
        <v>1.2199370917009436</v>
      </c>
      <c r="V142" s="4">
        <v>1.0510027280590857</v>
      </c>
      <c r="W142" s="4">
        <v>1.2311361431497252</v>
      </c>
      <c r="Y142" s="561">
        <f t="shared" si="47"/>
        <v>151.26</v>
      </c>
      <c r="Z142" s="4">
        <f ca="1">IFERROR(VALUE(_xll.BDH(Z$4,"PX_LAST",$Q142,$Q142)),Z143)</f>
        <v>0</v>
      </c>
      <c r="AA142" s="4">
        <f ca="1">IFERROR(VALUE(_xll.BDH(AA$4,"PX_LAST",$Q142,$Q142)),AA143)</f>
        <v>0</v>
      </c>
      <c r="AB142" s="4">
        <f ca="1">IFERROR(VALUE(_xll.BDH(AB$4,"PX_LAST",$Q142,$Q142)),AB143)</f>
        <v>0</v>
      </c>
      <c r="AC142" s="4">
        <f ca="1">IFERROR(VALUE(_xll.BDH(AC$4,"PX_LAST",$Q142,$Q142)),AC143)</f>
        <v>0</v>
      </c>
      <c r="AD142" s="4">
        <f ca="1">IFERROR(VALUE(_xll.BDH(AD$4,"PX_LAST",$Q142,$Q142)),AD143)</f>
        <v>0</v>
      </c>
      <c r="AF142" s="4">
        <f t="shared" si="48"/>
        <v>1.2199370917009436</v>
      </c>
      <c r="AG142" s="4" t="e">
        <f t="shared" ca="1" si="49"/>
        <v>#DIV/0!</v>
      </c>
      <c r="AH142" s="4" t="e">
        <f t="shared" ca="1" si="50"/>
        <v>#DIV/0!</v>
      </c>
      <c r="AI142" s="4" t="e">
        <f t="shared" ca="1" si="51"/>
        <v>#DIV/0!</v>
      </c>
      <c r="AJ142" s="4" t="e">
        <f t="shared" ca="1" si="52"/>
        <v>#DIV/0!</v>
      </c>
      <c r="AK142" s="4" t="e">
        <f t="shared" ca="1" si="53"/>
        <v>#DIV/0!</v>
      </c>
      <c r="AM142" s="563">
        <f t="shared" ca="1" si="54"/>
        <v>45807</v>
      </c>
      <c r="AN142" s="564">
        <v>132.41999999999999</v>
      </c>
      <c r="AO142" s="564">
        <v>789492</v>
      </c>
      <c r="AP142" s="564">
        <v>53646.156999999999</v>
      </c>
      <c r="AQ142" s="564">
        <v>7103824.1099399989</v>
      </c>
      <c r="AR142" s="564">
        <v>1.8455999999999999</v>
      </c>
    </row>
    <row r="143" spans="2:44">
      <c r="B143" s="565">
        <f t="shared" ca="1" si="55"/>
        <v>44979</v>
      </c>
      <c r="C143" s="561">
        <f ca="1">(IFERROR(IFERROR(VALUE(_xll.BDH(C$4,"CURRENT_EV_TO_T12M_EBITDA",$B143,$B143)),VALUE(_xll.BDH(C$4,"CURRENT_EV_TO_T12M_EBITDA",$B143+1,$B143+1))),C144))</f>
        <v>0</v>
      </c>
      <c r="D143" s="561">
        <f ca="1">(IFERROR(IFERROR(VALUE(_xll.BDH(D$4,"CURRENT_EV_TO_T12M_EBITDA",$B143,$B143)),VALUE(_xll.BDH(D$4,"CURRENT_EV_TO_T12M_EBITDA",$B143+1,$B143+1))),D144))</f>
        <v>0</v>
      </c>
      <c r="E143" s="561">
        <f ca="1">(IFERROR(IFERROR(VALUE(_xll.BDH(E$4,"CURRENT_EV_TO_T12M_EBITDA",$B143,$B143)),VALUE(_xll.BDH(E$4,"CURRENT_EV_TO_T12M_EBITDA",$B143+1,$B143+1))),E144))</f>
        <v>0</v>
      </c>
      <c r="F143" s="561">
        <f ca="1">(IFERROR(IFERROR(VALUE(_xll.BDH(F$4,"CURRENT_EV_TO_T12M_EBITDA",$B143,$B143)),VALUE(_xll.BDH(F$4,"CURRENT_EV_TO_T12M_EBITDA",$B143+1,$B143+1))),F144))</f>
        <v>0</v>
      </c>
      <c r="G143" s="561">
        <f ca="1">(IFERROR(IFERROR(VALUE(_xll.BDH(G$4,"CURRENT_EV_TO_T12M_EBITDA",$B143,$B143)),VALUE(_xll.BDH(G$4,"CURRENT_EV_TO_T12M_EBITDA",$B143+1,$B143+1))),G144))</f>
        <v>0</v>
      </c>
      <c r="H143" s="561">
        <f ca="1">(IFERROR(IFERROR(VALUE(_xll.BDH(H$4,"CURRENT_EV_TO_T12M_EBITDA",$B143,$B143)),VALUE(_xll.BDH(H$4,"CURRENT_EV_TO_T12M_EBITDA",$B143+1,$B143+1))),H144))</f>
        <v>0</v>
      </c>
      <c r="I143" s="565">
        <f t="shared" ca="1" si="45"/>
        <v>44979</v>
      </c>
      <c r="J143" s="561">
        <f ca="1">(IFERROR(IFERROR(VALUE(_xll.BDH(J$4,"PE_RATIO",$B143,$B143)),VALUE(_xll.BDH(J$4,"PE_RATIO",$B143+1,$B143+1))),J144))</f>
        <v>0</v>
      </c>
      <c r="K143" s="561">
        <f ca="1">(IFERROR(IFERROR(VALUE(_xll.BDH(K$4,"PE_RATIO",$B143,$B143)),VALUE(_xll.BDH(K$4,"PE_RATIO",$B143+1,$B143+1))),K144))</f>
        <v>0</v>
      </c>
      <c r="L143" s="561">
        <f ca="1">(IFERROR(IFERROR(VALUE(_xll.BDH(L$4,"PE_RATIO",$B143,$B143)),VALUE(_xll.BDH(L$4,"PE_RATIO",$B143+1,$B143+1))),L144))</f>
        <v>0</v>
      </c>
      <c r="M143" s="561">
        <f ca="1">(IFERROR(IFERROR(VALUE(_xll.BDH(M$4,"PE_RATIO",$B143,$B143)),VALUE(_xll.BDH(M$4,"PE_RATIO",$B143+1,$B143+1))),M144))</f>
        <v>0</v>
      </c>
      <c r="N143" s="561">
        <f ca="1">(IFERROR(IFERROR(VALUE(_xll.BDH(N$4,"PE_RATIO",$B143,$B143)),VALUE(_xll.BDH(N$4,"PE_RATIO",$B143+1,$B143+1))),N144))</f>
        <v>0</v>
      </c>
      <c r="O143" s="561">
        <f ca="1">(IFERROR(IFERROR(VALUE(_xll.BDH(O$4,"PE_RATIO",$B143,$B143)),VALUE(_xll.BDH(O$4,"PE_RATIO",$B143+1,$B143+1))),O144))</f>
        <v>0</v>
      </c>
      <c r="P143" s="561"/>
      <c r="Q143" s="565">
        <f t="shared" ca="1" si="46"/>
        <v>44979</v>
      </c>
      <c r="R143" s="4">
        <v>148.97999999999999</v>
      </c>
      <c r="S143" s="4">
        <v>11557.19</v>
      </c>
      <c r="T143" s="4">
        <v>925.64</v>
      </c>
      <c r="U143" s="4">
        <v>1.2015485119767724</v>
      </c>
      <c r="V143" s="4">
        <v>1.0253234857054141</v>
      </c>
      <c r="W143" s="4">
        <v>1.2472243182063167</v>
      </c>
      <c r="Y143" s="561">
        <f t="shared" si="47"/>
        <v>148.97999999999999</v>
      </c>
      <c r="Z143" s="4">
        <f ca="1">IFERROR(VALUE(_xll.BDH(Z$4,"PX_LAST",$Q143,$Q143)),Z144)</f>
        <v>0</v>
      </c>
      <c r="AA143" s="4">
        <f ca="1">IFERROR(VALUE(_xll.BDH(AA$4,"PX_LAST",$Q143,$Q143)),AA144)</f>
        <v>0</v>
      </c>
      <c r="AB143" s="4">
        <f ca="1">IFERROR(VALUE(_xll.BDH(AB$4,"PX_LAST",$Q143,$Q143)),AB144)</f>
        <v>0</v>
      </c>
      <c r="AC143" s="4">
        <f ca="1">IFERROR(VALUE(_xll.BDH(AC$4,"PX_LAST",$Q143,$Q143)),AC144)</f>
        <v>0</v>
      </c>
      <c r="AD143" s="4">
        <f ca="1">IFERROR(VALUE(_xll.BDH(AD$4,"PX_LAST",$Q143,$Q143)),AD144)</f>
        <v>0</v>
      </c>
      <c r="AF143" s="4">
        <f t="shared" si="48"/>
        <v>1.2015485119767724</v>
      </c>
      <c r="AG143" s="4" t="e">
        <f t="shared" ca="1" si="49"/>
        <v>#DIV/0!</v>
      </c>
      <c r="AH143" s="4" t="e">
        <f t="shared" ca="1" si="50"/>
        <v>#DIV/0!</v>
      </c>
      <c r="AI143" s="4" t="e">
        <f t="shared" ca="1" si="51"/>
        <v>#DIV/0!</v>
      </c>
      <c r="AJ143" s="4" t="e">
        <f t="shared" ca="1" si="52"/>
        <v>#DIV/0!</v>
      </c>
      <c r="AK143" s="4" t="e">
        <f t="shared" ca="1" si="53"/>
        <v>#DIV/0!</v>
      </c>
      <c r="AM143" s="563">
        <f t="shared" ca="1" si="54"/>
        <v>45806</v>
      </c>
      <c r="AN143" s="564">
        <v>128.16</v>
      </c>
      <c r="AO143" s="564">
        <v>1113313</v>
      </c>
      <c r="AP143" s="564">
        <v>53646.156999999999</v>
      </c>
      <c r="AQ143" s="564">
        <v>6875291.4811199997</v>
      </c>
      <c r="AR143" s="564">
        <v>1.7862</v>
      </c>
    </row>
    <row r="144" spans="2:44">
      <c r="B144" s="565">
        <f t="shared" ca="1" si="55"/>
        <v>44972</v>
      </c>
      <c r="C144" s="561">
        <f ca="1">(IFERROR(IFERROR(VALUE(_xll.BDH(C$4,"CURRENT_EV_TO_T12M_EBITDA",$B144,$B144)),VALUE(_xll.BDH(C$4,"CURRENT_EV_TO_T12M_EBITDA",$B144+1,$B144+1))),C145))</f>
        <v>0</v>
      </c>
      <c r="D144" s="561">
        <f ca="1">(IFERROR(IFERROR(VALUE(_xll.BDH(D$4,"CURRENT_EV_TO_T12M_EBITDA",$B144,$B144)),VALUE(_xll.BDH(D$4,"CURRENT_EV_TO_T12M_EBITDA",$B144+1,$B144+1))),D145))</f>
        <v>0</v>
      </c>
      <c r="E144" s="561">
        <f ca="1">(IFERROR(IFERROR(VALUE(_xll.BDH(E$4,"CURRENT_EV_TO_T12M_EBITDA",$B144,$B144)),VALUE(_xll.BDH(E$4,"CURRENT_EV_TO_T12M_EBITDA",$B144+1,$B144+1))),E145))</f>
        <v>0</v>
      </c>
      <c r="F144" s="561">
        <f ca="1">(IFERROR(IFERROR(VALUE(_xll.BDH(F$4,"CURRENT_EV_TO_T12M_EBITDA",$B144,$B144)),VALUE(_xll.BDH(F$4,"CURRENT_EV_TO_T12M_EBITDA",$B144+1,$B144+1))),F145))</f>
        <v>0</v>
      </c>
      <c r="G144" s="561">
        <f ca="1">(IFERROR(IFERROR(VALUE(_xll.BDH(G$4,"CURRENT_EV_TO_T12M_EBITDA",$B144,$B144)),VALUE(_xll.BDH(G$4,"CURRENT_EV_TO_T12M_EBITDA",$B144+1,$B144+1))),G145))</f>
        <v>0</v>
      </c>
      <c r="H144" s="561">
        <f ca="1">(IFERROR(IFERROR(VALUE(_xll.BDH(H$4,"CURRENT_EV_TO_T12M_EBITDA",$B144,$B144)),VALUE(_xll.BDH(H$4,"CURRENT_EV_TO_T12M_EBITDA",$B144+1,$B144+1))),H145))</f>
        <v>0</v>
      </c>
      <c r="I144" s="565">
        <f t="shared" ca="1" si="45"/>
        <v>44972</v>
      </c>
      <c r="J144" s="561">
        <f ca="1">(IFERROR(IFERROR(VALUE(_xll.BDH(J$4,"PE_RATIO",$B144,$B144)),VALUE(_xll.BDH(J$4,"PE_RATIO",$B144+1,$B144+1))),J145))</f>
        <v>0</v>
      </c>
      <c r="K144" s="561">
        <f ca="1">(IFERROR(IFERROR(VALUE(_xll.BDH(K$4,"PE_RATIO",$B144,$B144)),VALUE(_xll.BDH(K$4,"PE_RATIO",$B144+1,$B144+1))),K145))</f>
        <v>0</v>
      </c>
      <c r="L144" s="561">
        <f ca="1">(IFERROR(IFERROR(VALUE(_xll.BDH(L$4,"PE_RATIO",$B144,$B144)),VALUE(_xll.BDH(L$4,"PE_RATIO",$B144+1,$B144+1))),L145))</f>
        <v>0</v>
      </c>
      <c r="M144" s="561">
        <f ca="1">(IFERROR(IFERROR(VALUE(_xll.BDH(M$4,"PE_RATIO",$B144,$B144)),VALUE(_xll.BDH(M$4,"PE_RATIO",$B144+1,$B144+1))),M145))</f>
        <v>0</v>
      </c>
      <c r="N144" s="561">
        <f ca="1">(IFERROR(IFERROR(VALUE(_xll.BDH(N$4,"PE_RATIO",$B144,$B144)),VALUE(_xll.BDH(N$4,"PE_RATIO",$B144+1,$B144+1))),N145))</f>
        <v>0</v>
      </c>
      <c r="O144" s="561">
        <f ca="1">(IFERROR(IFERROR(VALUE(_xll.BDH(O$4,"PE_RATIO",$B144,$B144)),VALUE(_xll.BDH(O$4,"PE_RATIO",$B144+1,$B144+1))),O145))</f>
        <v>0</v>
      </c>
      <c r="P144" s="561"/>
      <c r="Q144" s="565">
        <f t="shared" ca="1" si="46"/>
        <v>44972</v>
      </c>
      <c r="R144" s="4">
        <v>144.11000000000001</v>
      </c>
      <c r="S144" s="4">
        <v>11205.78</v>
      </c>
      <c r="T144" s="4">
        <v>907.67</v>
      </c>
      <c r="U144" s="4">
        <v>1.1622711508992662</v>
      </c>
      <c r="V144" s="4">
        <v>0.99414731519063149</v>
      </c>
      <c r="W144" s="4">
        <v>1.2230112105206425</v>
      </c>
      <c r="Y144" s="561">
        <f t="shared" si="47"/>
        <v>144.11000000000001</v>
      </c>
      <c r="Z144" s="4">
        <f ca="1">IFERROR(VALUE(_xll.BDH(Z$4,"PX_LAST",$Q144,$Q144)),Z145)</f>
        <v>0</v>
      </c>
      <c r="AA144" s="4">
        <f ca="1">IFERROR(VALUE(_xll.BDH(AA$4,"PX_LAST",$Q144,$Q144)),AA145)</f>
        <v>0</v>
      </c>
      <c r="AB144" s="4">
        <f ca="1">IFERROR(VALUE(_xll.BDH(AB$4,"PX_LAST",$Q144,$Q144)),AB145)</f>
        <v>0</v>
      </c>
      <c r="AC144" s="4">
        <f ca="1">IFERROR(VALUE(_xll.BDH(AC$4,"PX_LAST",$Q144,$Q144)),AC145)</f>
        <v>0</v>
      </c>
      <c r="AD144" s="4">
        <f ca="1">IFERROR(VALUE(_xll.BDH(AD$4,"PX_LAST",$Q144,$Q144)),AD145)</f>
        <v>0</v>
      </c>
      <c r="AF144" s="4">
        <f t="shared" si="48"/>
        <v>1.1622711508992662</v>
      </c>
      <c r="AG144" s="4" t="e">
        <f t="shared" ca="1" si="49"/>
        <v>#DIV/0!</v>
      </c>
      <c r="AH144" s="4" t="e">
        <f t="shared" ca="1" si="50"/>
        <v>#DIV/0!</v>
      </c>
      <c r="AI144" s="4" t="e">
        <f t="shared" ca="1" si="51"/>
        <v>#DIV/0!</v>
      </c>
      <c r="AJ144" s="4" t="e">
        <f t="shared" ca="1" si="52"/>
        <v>#DIV/0!</v>
      </c>
      <c r="AK144" s="4" t="e">
        <f t="shared" ca="1" si="53"/>
        <v>#DIV/0!</v>
      </c>
      <c r="AM144" s="563">
        <f t="shared" ca="1" si="54"/>
        <v>45805</v>
      </c>
      <c r="AN144" s="564">
        <v>127.44</v>
      </c>
      <c r="AO144" s="564">
        <v>1038593</v>
      </c>
      <c r="AP144" s="564">
        <v>53646.156999999999</v>
      </c>
      <c r="AQ144" s="564">
        <v>6836666.2480799994</v>
      </c>
      <c r="AR144" s="564">
        <v>1.7761</v>
      </c>
    </row>
    <row r="145" spans="2:44">
      <c r="B145" s="565">
        <f t="shared" ca="1" si="55"/>
        <v>44965</v>
      </c>
      <c r="C145" s="561">
        <f ca="1">(IFERROR(IFERROR(VALUE(_xll.BDH(C$4,"CURRENT_EV_TO_T12M_EBITDA",$B145,$B145)),VALUE(_xll.BDH(C$4,"CURRENT_EV_TO_T12M_EBITDA",$B145+1,$B145+1))),C146))</f>
        <v>0</v>
      </c>
      <c r="D145" s="561">
        <f ca="1">(IFERROR(IFERROR(VALUE(_xll.BDH(D$4,"CURRENT_EV_TO_T12M_EBITDA",$B145,$B145)),VALUE(_xll.BDH(D$4,"CURRENT_EV_TO_T12M_EBITDA",$B145+1,$B145+1))),D146))</f>
        <v>0</v>
      </c>
      <c r="E145" s="561">
        <f ca="1">(IFERROR(IFERROR(VALUE(_xll.BDH(E$4,"CURRENT_EV_TO_T12M_EBITDA",$B145,$B145)),VALUE(_xll.BDH(E$4,"CURRENT_EV_TO_T12M_EBITDA",$B145+1,$B145+1))),E146))</f>
        <v>0</v>
      </c>
      <c r="F145" s="561">
        <f ca="1">(IFERROR(IFERROR(VALUE(_xll.BDH(F$4,"CURRENT_EV_TO_T12M_EBITDA",$B145,$B145)),VALUE(_xll.BDH(F$4,"CURRENT_EV_TO_T12M_EBITDA",$B145+1,$B145+1))),F146))</f>
        <v>0</v>
      </c>
      <c r="G145" s="561">
        <f ca="1">(IFERROR(IFERROR(VALUE(_xll.BDH(G$4,"CURRENT_EV_TO_T12M_EBITDA",$B145,$B145)),VALUE(_xll.BDH(G$4,"CURRENT_EV_TO_T12M_EBITDA",$B145+1,$B145+1))),G146))</f>
        <v>0</v>
      </c>
      <c r="H145" s="561">
        <f ca="1">(IFERROR(IFERROR(VALUE(_xll.BDH(H$4,"CURRENT_EV_TO_T12M_EBITDA",$B145,$B145)),VALUE(_xll.BDH(H$4,"CURRENT_EV_TO_T12M_EBITDA",$B145+1,$B145+1))),H146))</f>
        <v>0</v>
      </c>
      <c r="I145" s="565">
        <f t="shared" ca="1" si="45"/>
        <v>44965</v>
      </c>
      <c r="J145" s="561">
        <f ca="1">(IFERROR(IFERROR(VALUE(_xll.BDH(J$4,"PE_RATIO",$B145,$B145)),VALUE(_xll.BDH(J$4,"PE_RATIO",$B145+1,$B145+1))),J146))</f>
        <v>0</v>
      </c>
      <c r="K145" s="561">
        <f ca="1">(IFERROR(IFERROR(VALUE(_xll.BDH(K$4,"PE_RATIO",$B145,$B145)),VALUE(_xll.BDH(K$4,"PE_RATIO",$B145+1,$B145+1))),K146))</f>
        <v>0</v>
      </c>
      <c r="L145" s="561">
        <f ca="1">(IFERROR(IFERROR(VALUE(_xll.BDH(L$4,"PE_RATIO",$B145,$B145)),VALUE(_xll.BDH(L$4,"PE_RATIO",$B145+1,$B145+1))),L146))</f>
        <v>0</v>
      </c>
      <c r="M145" s="561">
        <f ca="1">(IFERROR(IFERROR(VALUE(_xll.BDH(M$4,"PE_RATIO",$B145,$B145)),VALUE(_xll.BDH(M$4,"PE_RATIO",$B145+1,$B145+1))),M146))</f>
        <v>0</v>
      </c>
      <c r="N145" s="561">
        <f ca="1">(IFERROR(IFERROR(VALUE(_xll.BDH(N$4,"PE_RATIO",$B145,$B145)),VALUE(_xll.BDH(N$4,"PE_RATIO",$B145+1,$B145+1))),N146))</f>
        <v>0</v>
      </c>
      <c r="O145" s="561">
        <f ca="1">(IFERROR(IFERROR(VALUE(_xll.BDH(O$4,"PE_RATIO",$B145,$B145)),VALUE(_xll.BDH(O$4,"PE_RATIO",$B145+1,$B145+1))),O146))</f>
        <v>0</v>
      </c>
      <c r="P145" s="561"/>
      <c r="Q145" s="565">
        <f t="shared" ca="1" si="46"/>
        <v>44965</v>
      </c>
      <c r="R145" s="4">
        <v>133.65</v>
      </c>
      <c r="S145" s="4">
        <v>10862.64</v>
      </c>
      <c r="T145" s="4">
        <v>873.27</v>
      </c>
      <c r="U145" s="4">
        <v>1.0779095088313575</v>
      </c>
      <c r="V145" s="4">
        <v>0.96370483731452516</v>
      </c>
      <c r="W145" s="4">
        <v>1.1766600194028243</v>
      </c>
      <c r="Y145" s="561">
        <f t="shared" si="47"/>
        <v>133.65</v>
      </c>
      <c r="Z145" s="4">
        <f ca="1">IFERROR(VALUE(_xll.BDH(Z$4,"PX_LAST",$Q145,$Q145)),Z146)</f>
        <v>0</v>
      </c>
      <c r="AA145" s="4">
        <f ca="1">IFERROR(VALUE(_xll.BDH(AA$4,"PX_LAST",$Q145,$Q145)),AA146)</f>
        <v>0</v>
      </c>
      <c r="AB145" s="4">
        <f ca="1">IFERROR(VALUE(_xll.BDH(AB$4,"PX_LAST",$Q145,$Q145)),AB146)</f>
        <v>0</v>
      </c>
      <c r="AC145" s="4">
        <f ca="1">IFERROR(VALUE(_xll.BDH(AC$4,"PX_LAST",$Q145,$Q145)),AC146)</f>
        <v>0</v>
      </c>
      <c r="AD145" s="4">
        <f ca="1">IFERROR(VALUE(_xll.BDH(AD$4,"PX_LAST",$Q145,$Q145)),AD146)</f>
        <v>0</v>
      </c>
      <c r="AF145" s="4">
        <f t="shared" si="48"/>
        <v>1.0779095088313575</v>
      </c>
      <c r="AG145" s="4" t="e">
        <f t="shared" ca="1" si="49"/>
        <v>#DIV/0!</v>
      </c>
      <c r="AH145" s="4" t="e">
        <f t="shared" ca="1" si="50"/>
        <v>#DIV/0!</v>
      </c>
      <c r="AI145" s="4" t="e">
        <f t="shared" ca="1" si="51"/>
        <v>#DIV/0!</v>
      </c>
      <c r="AJ145" s="4" t="e">
        <f t="shared" ca="1" si="52"/>
        <v>#DIV/0!</v>
      </c>
      <c r="AK145" s="4" t="e">
        <f t="shared" ca="1" si="53"/>
        <v>#DIV/0!</v>
      </c>
      <c r="AM145" s="563">
        <f t="shared" ca="1" si="54"/>
        <v>45804</v>
      </c>
      <c r="AN145" s="564">
        <v>124.01</v>
      </c>
      <c r="AO145" s="564">
        <v>955334</v>
      </c>
      <c r="AP145" s="564">
        <v>53646.156999999999</v>
      </c>
      <c r="AQ145" s="564">
        <v>6652659.9295700006</v>
      </c>
      <c r="AR145" s="564">
        <v>1.7282999999999999</v>
      </c>
    </row>
    <row r="146" spans="2:44">
      <c r="B146" s="565">
        <f t="shared" ca="1" si="55"/>
        <v>44958</v>
      </c>
      <c r="C146" s="561">
        <f ca="1">(IFERROR(IFERROR(VALUE(_xll.BDH(C$4,"CURRENT_EV_TO_T12M_EBITDA",$B146,$B146)),VALUE(_xll.BDH(C$4,"CURRENT_EV_TO_T12M_EBITDA",$B146+1,$B146+1))),C147))</f>
        <v>0</v>
      </c>
      <c r="D146" s="561">
        <f ca="1">(IFERROR(IFERROR(VALUE(_xll.BDH(D$4,"CURRENT_EV_TO_T12M_EBITDA",$B146,$B146)),VALUE(_xll.BDH(D$4,"CURRENT_EV_TO_T12M_EBITDA",$B146+1,$B146+1))),D147))</f>
        <v>0</v>
      </c>
      <c r="E146" s="561">
        <f ca="1">(IFERROR(IFERROR(VALUE(_xll.BDH(E$4,"CURRENT_EV_TO_T12M_EBITDA",$B146,$B146)),VALUE(_xll.BDH(E$4,"CURRENT_EV_TO_T12M_EBITDA",$B146+1,$B146+1))),E147))</f>
        <v>0</v>
      </c>
      <c r="F146" s="561">
        <f ca="1">(IFERROR(IFERROR(VALUE(_xll.BDH(F$4,"CURRENT_EV_TO_T12M_EBITDA",$B146,$B146)),VALUE(_xll.BDH(F$4,"CURRENT_EV_TO_T12M_EBITDA",$B146+1,$B146+1))),F147))</f>
        <v>0</v>
      </c>
      <c r="G146" s="561">
        <f ca="1">(IFERROR(IFERROR(VALUE(_xll.BDH(G$4,"CURRENT_EV_TO_T12M_EBITDA",$B146,$B146)),VALUE(_xll.BDH(G$4,"CURRENT_EV_TO_T12M_EBITDA",$B146+1,$B146+1))),G147))</f>
        <v>0</v>
      </c>
      <c r="H146" s="561">
        <f ca="1">(IFERROR(IFERROR(VALUE(_xll.BDH(H$4,"CURRENT_EV_TO_T12M_EBITDA",$B146,$B146)),VALUE(_xll.BDH(H$4,"CURRENT_EV_TO_T12M_EBITDA",$B146+1,$B146+1))),H147))</f>
        <v>0</v>
      </c>
      <c r="I146" s="565">
        <f t="shared" ca="1" si="45"/>
        <v>44958</v>
      </c>
      <c r="J146" s="561">
        <f ca="1">(IFERROR(IFERROR(VALUE(_xll.BDH(J$4,"PE_RATIO",$B146,$B146)),VALUE(_xll.BDH(J$4,"PE_RATIO",$B146+1,$B146+1))),J147))</f>
        <v>0</v>
      </c>
      <c r="K146" s="561">
        <f ca="1">(IFERROR(IFERROR(VALUE(_xll.BDH(K$4,"PE_RATIO",$B146,$B146)),VALUE(_xll.BDH(K$4,"PE_RATIO",$B146+1,$B146+1))),K147))</f>
        <v>0</v>
      </c>
      <c r="L146" s="561">
        <f ca="1">(IFERROR(IFERROR(VALUE(_xll.BDH(L$4,"PE_RATIO",$B146,$B146)),VALUE(_xll.BDH(L$4,"PE_RATIO",$B146+1,$B146+1))),L147))</f>
        <v>0</v>
      </c>
      <c r="M146" s="561">
        <f ca="1">(IFERROR(IFERROR(VALUE(_xll.BDH(M$4,"PE_RATIO",$B146,$B146)),VALUE(_xll.BDH(M$4,"PE_RATIO",$B146+1,$B146+1))),M147))</f>
        <v>0</v>
      </c>
      <c r="N146" s="561">
        <f ca="1">(IFERROR(IFERROR(VALUE(_xll.BDH(N$4,"PE_RATIO",$B146,$B146)),VALUE(_xll.BDH(N$4,"PE_RATIO",$B146+1,$B146+1))),N147))</f>
        <v>0</v>
      </c>
      <c r="O146" s="561">
        <f ca="1">(IFERROR(IFERROR(VALUE(_xll.BDH(O$4,"PE_RATIO",$B146,$B146)),VALUE(_xll.BDH(O$4,"PE_RATIO",$B146+1,$B146+1))),O147))</f>
        <v>0</v>
      </c>
      <c r="P146" s="561"/>
      <c r="Q146" s="565">
        <f t="shared" ca="1" si="46"/>
        <v>44958</v>
      </c>
      <c r="R146" s="4">
        <v>133.32</v>
      </c>
      <c r="S146" s="4">
        <v>10822.51</v>
      </c>
      <c r="T146" s="4">
        <v>873.1</v>
      </c>
      <c r="U146" s="4">
        <v>1.0752480038712799</v>
      </c>
      <c r="V146" s="4">
        <v>0.96014460931088785</v>
      </c>
      <c r="W146" s="4">
        <v>1.1764309582839281</v>
      </c>
      <c r="Y146" s="561">
        <f t="shared" si="47"/>
        <v>133.32</v>
      </c>
      <c r="Z146" s="4">
        <f ca="1">IFERROR(VALUE(_xll.BDH(Z$4,"PX_LAST",$Q146,$Q146)),Z147)</f>
        <v>0</v>
      </c>
      <c r="AA146" s="4">
        <f ca="1">IFERROR(VALUE(_xll.BDH(AA$4,"PX_LAST",$Q146,$Q146)),AA147)</f>
        <v>0</v>
      </c>
      <c r="AB146" s="4">
        <f ca="1">IFERROR(VALUE(_xll.BDH(AB$4,"PX_LAST",$Q146,$Q146)),AB147)</f>
        <v>0</v>
      </c>
      <c r="AC146" s="4">
        <f ca="1">IFERROR(VALUE(_xll.BDH(AC$4,"PX_LAST",$Q146,$Q146)),AC147)</f>
        <v>0</v>
      </c>
      <c r="AD146" s="4">
        <f ca="1">IFERROR(VALUE(_xll.BDH(AD$4,"PX_LAST",$Q146,$Q146)),AD147)</f>
        <v>0</v>
      </c>
      <c r="AF146" s="4">
        <f t="shared" si="48"/>
        <v>1.0752480038712799</v>
      </c>
      <c r="AG146" s="4" t="e">
        <f t="shared" ca="1" si="49"/>
        <v>#DIV/0!</v>
      </c>
      <c r="AH146" s="4" t="e">
        <f t="shared" ca="1" si="50"/>
        <v>#DIV/0!</v>
      </c>
      <c r="AI146" s="4" t="e">
        <f t="shared" ca="1" si="51"/>
        <v>#DIV/0!</v>
      </c>
      <c r="AJ146" s="4" t="e">
        <f t="shared" ca="1" si="52"/>
        <v>#DIV/0!</v>
      </c>
      <c r="AK146" s="4" t="e">
        <f t="shared" ca="1" si="53"/>
        <v>#DIV/0!</v>
      </c>
      <c r="AM146" s="563">
        <f t="shared" ca="1" si="54"/>
        <v>45803</v>
      </c>
      <c r="AN146" s="564">
        <v>126.91</v>
      </c>
      <c r="AO146" s="564">
        <v>643027</v>
      </c>
      <c r="AP146" s="564">
        <v>53646.156999999999</v>
      </c>
      <c r="AQ146" s="564">
        <v>6808233.7848699996</v>
      </c>
      <c r="AR146" s="564">
        <v>1.7687999999999999</v>
      </c>
    </row>
    <row r="147" spans="2:44">
      <c r="B147" s="565">
        <f t="shared" ca="1" si="55"/>
        <v>44951</v>
      </c>
      <c r="C147" s="561">
        <f ca="1">(IFERROR(IFERROR(VALUE(_xll.BDH(C$4,"CURRENT_EV_TO_T12M_EBITDA",$B147,$B147)),VALUE(_xll.BDH(C$4,"CURRENT_EV_TO_T12M_EBITDA",$B147+1,$B147+1))),C148))</f>
        <v>0</v>
      </c>
      <c r="D147" s="561">
        <f ca="1">(IFERROR(IFERROR(VALUE(_xll.BDH(D$4,"CURRENT_EV_TO_T12M_EBITDA",$B147,$B147)),VALUE(_xll.BDH(D$4,"CURRENT_EV_TO_T12M_EBITDA",$B147+1,$B147+1))),D148))</f>
        <v>0</v>
      </c>
      <c r="E147" s="561">
        <f ca="1">(IFERROR(IFERROR(VALUE(_xll.BDH(E$4,"CURRENT_EV_TO_T12M_EBITDA",$B147,$B147)),VALUE(_xll.BDH(E$4,"CURRENT_EV_TO_T12M_EBITDA",$B147+1,$B147+1))),E148))</f>
        <v>0</v>
      </c>
      <c r="F147" s="561">
        <f ca="1">(IFERROR(IFERROR(VALUE(_xll.BDH(F$4,"CURRENT_EV_TO_T12M_EBITDA",$B147,$B147)),VALUE(_xll.BDH(F$4,"CURRENT_EV_TO_T12M_EBITDA",$B147+1,$B147+1))),F148))</f>
        <v>0</v>
      </c>
      <c r="G147" s="561">
        <f ca="1">(IFERROR(IFERROR(VALUE(_xll.BDH(G$4,"CURRENT_EV_TO_T12M_EBITDA",$B147,$B147)),VALUE(_xll.BDH(G$4,"CURRENT_EV_TO_T12M_EBITDA",$B147+1,$B147+1))),G148))</f>
        <v>0</v>
      </c>
      <c r="H147" s="561">
        <f ca="1">(IFERROR(IFERROR(VALUE(_xll.BDH(H$4,"CURRENT_EV_TO_T12M_EBITDA",$B147,$B147)),VALUE(_xll.BDH(H$4,"CURRENT_EV_TO_T12M_EBITDA",$B147+1,$B147+1))),H148))</f>
        <v>0</v>
      </c>
      <c r="I147" s="565">
        <f t="shared" ca="1" si="45"/>
        <v>44951</v>
      </c>
      <c r="J147" s="561">
        <f ca="1">(IFERROR(IFERROR(VALUE(_xll.BDH(J$4,"PE_RATIO",$B147,$B147)),VALUE(_xll.BDH(J$4,"PE_RATIO",$B147+1,$B147+1))),J148))</f>
        <v>0</v>
      </c>
      <c r="K147" s="561">
        <f ca="1">(IFERROR(IFERROR(VALUE(_xll.BDH(K$4,"PE_RATIO",$B147,$B147)),VALUE(_xll.BDH(K$4,"PE_RATIO",$B147+1,$B147+1))),K148))</f>
        <v>0</v>
      </c>
      <c r="L147" s="561">
        <f ca="1">(IFERROR(IFERROR(VALUE(_xll.BDH(L$4,"PE_RATIO",$B147,$B147)),VALUE(_xll.BDH(L$4,"PE_RATIO",$B147+1,$B147+1))),L148))</f>
        <v>0</v>
      </c>
      <c r="M147" s="561">
        <f ca="1">(IFERROR(IFERROR(VALUE(_xll.BDH(M$4,"PE_RATIO",$B147,$B147)),VALUE(_xll.BDH(M$4,"PE_RATIO",$B147+1,$B147+1))),M148))</f>
        <v>0</v>
      </c>
      <c r="N147" s="561">
        <f ca="1">(IFERROR(IFERROR(VALUE(_xll.BDH(N$4,"PE_RATIO",$B147,$B147)),VALUE(_xll.BDH(N$4,"PE_RATIO",$B147+1,$B147+1))),N148))</f>
        <v>0</v>
      </c>
      <c r="O147" s="561">
        <f ca="1">(IFERROR(IFERROR(VALUE(_xll.BDH(O$4,"PE_RATIO",$B147,$B147)),VALUE(_xll.BDH(O$4,"PE_RATIO",$B147+1,$B147+1))),O148))</f>
        <v>0</v>
      </c>
      <c r="P147" s="561"/>
      <c r="Q147" s="565">
        <f t="shared" ca="1" si="46"/>
        <v>44951</v>
      </c>
      <c r="R147" s="4">
        <v>129.93</v>
      </c>
      <c r="S147" s="4">
        <v>11072.42</v>
      </c>
      <c r="T147" s="4">
        <v>857</v>
      </c>
      <c r="U147" s="4">
        <v>1.0479070892813938</v>
      </c>
      <c r="V147" s="4">
        <v>0.98231596690842149</v>
      </c>
      <c r="W147" s="4">
        <v>1.1547375229061119</v>
      </c>
      <c r="Y147" s="561">
        <f t="shared" si="47"/>
        <v>129.93</v>
      </c>
      <c r="Z147" s="4">
        <f ca="1">IFERROR(VALUE(_xll.BDH(Z$4,"PX_LAST",$Q147,$Q147)),Z148)</f>
        <v>0</v>
      </c>
      <c r="AA147" s="4">
        <f ca="1">IFERROR(VALUE(_xll.BDH(AA$4,"PX_LAST",$Q147,$Q147)),AA148)</f>
        <v>0</v>
      </c>
      <c r="AB147" s="4">
        <f ca="1">IFERROR(VALUE(_xll.BDH(AB$4,"PX_LAST",$Q147,$Q147)),AB148)</f>
        <v>0</v>
      </c>
      <c r="AC147" s="4">
        <f ca="1">IFERROR(VALUE(_xll.BDH(AC$4,"PX_LAST",$Q147,$Q147)),AC148)</f>
        <v>0</v>
      </c>
      <c r="AD147" s="4">
        <f ca="1">IFERROR(VALUE(_xll.BDH(AD$4,"PX_LAST",$Q147,$Q147)),AD148)</f>
        <v>0</v>
      </c>
      <c r="AF147" s="4">
        <f t="shared" si="48"/>
        <v>1.0479070892813938</v>
      </c>
      <c r="AG147" s="4" t="e">
        <f t="shared" ca="1" si="49"/>
        <v>#DIV/0!</v>
      </c>
      <c r="AH147" s="4" t="e">
        <f t="shared" ca="1" si="50"/>
        <v>#DIV/0!</v>
      </c>
      <c r="AI147" s="4" t="e">
        <f t="shared" ca="1" si="51"/>
        <v>#DIV/0!</v>
      </c>
      <c r="AJ147" s="4" t="e">
        <f t="shared" ca="1" si="52"/>
        <v>#DIV/0!</v>
      </c>
      <c r="AK147" s="4" t="e">
        <f t="shared" ca="1" si="53"/>
        <v>#DIV/0!</v>
      </c>
      <c r="AM147" s="563">
        <f t="shared" ca="1" si="54"/>
        <v>45802</v>
      </c>
      <c r="AN147" s="564">
        <v>126.91</v>
      </c>
      <c r="AO147" s="564">
        <v>643027</v>
      </c>
      <c r="AP147" s="564">
        <v>53646.156999999999</v>
      </c>
      <c r="AQ147" s="564">
        <v>6808233.7848699996</v>
      </c>
      <c r="AR147" s="564">
        <v>1.7687999999999999</v>
      </c>
    </row>
    <row r="148" spans="2:44">
      <c r="B148" s="565">
        <f t="shared" ca="1" si="55"/>
        <v>44944</v>
      </c>
      <c r="C148" s="561">
        <f ca="1">(IFERROR(IFERROR(VALUE(_xll.BDH(C$4,"CURRENT_EV_TO_T12M_EBITDA",$B148,$B148)),VALUE(_xll.BDH(C$4,"CURRENT_EV_TO_T12M_EBITDA",$B148+1,$B148+1))),C149))</f>
        <v>0</v>
      </c>
      <c r="D148" s="561">
        <f ca="1">(IFERROR(IFERROR(VALUE(_xll.BDH(D$4,"CURRENT_EV_TO_T12M_EBITDA",$B148,$B148)),VALUE(_xll.BDH(D$4,"CURRENT_EV_TO_T12M_EBITDA",$B148+1,$B148+1))),D149))</f>
        <v>0</v>
      </c>
      <c r="E148" s="561">
        <f ca="1">(IFERROR(IFERROR(VALUE(_xll.BDH(E$4,"CURRENT_EV_TO_T12M_EBITDA",$B148,$B148)),VALUE(_xll.BDH(E$4,"CURRENT_EV_TO_T12M_EBITDA",$B148+1,$B148+1))),E149))</f>
        <v>0</v>
      </c>
      <c r="F148" s="561">
        <f ca="1">(IFERROR(IFERROR(VALUE(_xll.BDH(F$4,"CURRENT_EV_TO_T12M_EBITDA",$B148,$B148)),VALUE(_xll.BDH(F$4,"CURRENT_EV_TO_T12M_EBITDA",$B148+1,$B148+1))),F149))</f>
        <v>0</v>
      </c>
      <c r="G148" s="561">
        <f ca="1">(IFERROR(IFERROR(VALUE(_xll.BDH(G$4,"CURRENT_EV_TO_T12M_EBITDA",$B148,$B148)),VALUE(_xll.BDH(G$4,"CURRENT_EV_TO_T12M_EBITDA",$B148+1,$B148+1))),G149))</f>
        <v>0</v>
      </c>
      <c r="H148" s="561">
        <f ca="1">(IFERROR(IFERROR(VALUE(_xll.BDH(H$4,"CURRENT_EV_TO_T12M_EBITDA",$B148,$B148)),VALUE(_xll.BDH(H$4,"CURRENT_EV_TO_T12M_EBITDA",$B148+1,$B148+1))),H149))</f>
        <v>0</v>
      </c>
      <c r="I148" s="565">
        <f t="shared" ca="1" si="45"/>
        <v>44944</v>
      </c>
      <c r="J148" s="561">
        <f ca="1">(IFERROR(IFERROR(VALUE(_xll.BDH(J$4,"PE_RATIO",$B148,$B148)),VALUE(_xll.BDH(J$4,"PE_RATIO",$B148+1,$B148+1))),J149))</f>
        <v>0</v>
      </c>
      <c r="K148" s="561">
        <f ca="1">(IFERROR(IFERROR(VALUE(_xll.BDH(K$4,"PE_RATIO",$B148,$B148)),VALUE(_xll.BDH(K$4,"PE_RATIO",$B148+1,$B148+1))),K149))</f>
        <v>0</v>
      </c>
      <c r="L148" s="561">
        <f ca="1">(IFERROR(IFERROR(VALUE(_xll.BDH(L$4,"PE_RATIO",$B148,$B148)),VALUE(_xll.BDH(L$4,"PE_RATIO",$B148+1,$B148+1))),L149))</f>
        <v>0</v>
      </c>
      <c r="M148" s="561">
        <f ca="1">(IFERROR(IFERROR(VALUE(_xll.BDH(M$4,"PE_RATIO",$B148,$B148)),VALUE(_xll.BDH(M$4,"PE_RATIO",$B148+1,$B148+1))),M149))</f>
        <v>0</v>
      </c>
      <c r="N148" s="561">
        <f ca="1">(IFERROR(IFERROR(VALUE(_xll.BDH(N$4,"PE_RATIO",$B148,$B148)),VALUE(_xll.BDH(N$4,"PE_RATIO",$B148+1,$B148+1))),N149))</f>
        <v>0</v>
      </c>
      <c r="O148" s="561">
        <f ca="1">(IFERROR(IFERROR(VALUE(_xll.BDH(O$4,"PE_RATIO",$B148,$B148)),VALUE(_xll.BDH(O$4,"PE_RATIO",$B148+1,$B148+1))),O149))</f>
        <v>0</v>
      </c>
      <c r="P148" s="561"/>
      <c r="Q148" s="565">
        <f t="shared" ca="1" si="46"/>
        <v>44944</v>
      </c>
      <c r="R148" s="4">
        <v>141.93</v>
      </c>
      <c r="S148" s="4">
        <v>11834.21</v>
      </c>
      <c r="T148" s="4">
        <v>899.89</v>
      </c>
      <c r="U148" s="4">
        <v>1.1446890878296638</v>
      </c>
      <c r="V148" s="4">
        <v>1.0498999711668551</v>
      </c>
      <c r="W148" s="4">
        <v>1.2125282957852754</v>
      </c>
      <c r="Y148" s="561">
        <f t="shared" si="47"/>
        <v>141.93</v>
      </c>
      <c r="Z148" s="4">
        <f ca="1">IFERROR(VALUE(_xll.BDH(Z$4,"PX_LAST",$Q148,$Q148)),Z149)</f>
        <v>0</v>
      </c>
      <c r="AA148" s="4">
        <f ca="1">IFERROR(VALUE(_xll.BDH(AA$4,"PX_LAST",$Q148,$Q148)),AA149)</f>
        <v>0</v>
      </c>
      <c r="AB148" s="4">
        <f ca="1">IFERROR(VALUE(_xll.BDH(AB$4,"PX_LAST",$Q148,$Q148)),AB149)</f>
        <v>0</v>
      </c>
      <c r="AC148" s="4">
        <f ca="1">IFERROR(VALUE(_xll.BDH(AC$4,"PX_LAST",$Q148,$Q148)),AC149)</f>
        <v>0</v>
      </c>
      <c r="AD148" s="4">
        <f ca="1">IFERROR(VALUE(_xll.BDH(AD$4,"PX_LAST",$Q148,$Q148)),AD149)</f>
        <v>0</v>
      </c>
      <c r="AF148" s="4">
        <f t="shared" si="48"/>
        <v>1.1446890878296638</v>
      </c>
      <c r="AG148" s="4" t="e">
        <f t="shared" ca="1" si="49"/>
        <v>#DIV/0!</v>
      </c>
      <c r="AH148" s="4" t="e">
        <f t="shared" ca="1" si="50"/>
        <v>#DIV/0!</v>
      </c>
      <c r="AI148" s="4" t="e">
        <f t="shared" ca="1" si="51"/>
        <v>#DIV/0!</v>
      </c>
      <c r="AJ148" s="4" t="e">
        <f t="shared" ca="1" si="52"/>
        <v>#DIV/0!</v>
      </c>
      <c r="AK148" s="4" t="e">
        <f t="shared" ca="1" si="53"/>
        <v>#DIV/0!</v>
      </c>
      <c r="AM148" s="563">
        <f t="shared" ca="1" si="54"/>
        <v>45801</v>
      </c>
      <c r="AN148" s="564">
        <v>126.91</v>
      </c>
      <c r="AO148" s="564">
        <v>643027</v>
      </c>
      <c r="AP148" s="564">
        <v>53646.156999999999</v>
      </c>
      <c r="AQ148" s="564">
        <v>6808233.7848699996</v>
      </c>
      <c r="AR148" s="564">
        <v>1.7687999999999999</v>
      </c>
    </row>
    <row r="149" spans="2:44">
      <c r="B149" s="565">
        <f t="shared" ca="1" si="55"/>
        <v>44937</v>
      </c>
      <c r="C149" s="561">
        <f ca="1">(IFERROR(IFERROR(VALUE(_xll.BDH(C$4,"CURRENT_EV_TO_T12M_EBITDA",$B149,$B149)),VALUE(_xll.BDH(C$4,"CURRENT_EV_TO_T12M_EBITDA",$B149+1,$B149+1))),C150))</f>
        <v>0</v>
      </c>
      <c r="D149" s="561">
        <f ca="1">(IFERROR(IFERROR(VALUE(_xll.BDH(D$4,"CURRENT_EV_TO_T12M_EBITDA",$B149,$B149)),VALUE(_xll.BDH(D$4,"CURRENT_EV_TO_T12M_EBITDA",$B149+1,$B149+1))),D150))</f>
        <v>0</v>
      </c>
      <c r="E149" s="561">
        <f ca="1">(IFERROR(IFERROR(VALUE(_xll.BDH(E$4,"CURRENT_EV_TO_T12M_EBITDA",$B149,$B149)),VALUE(_xll.BDH(E$4,"CURRENT_EV_TO_T12M_EBITDA",$B149+1,$B149+1))),E150))</f>
        <v>0</v>
      </c>
      <c r="F149" s="561">
        <f ca="1">(IFERROR(IFERROR(VALUE(_xll.BDH(F$4,"CURRENT_EV_TO_T12M_EBITDA",$B149,$B149)),VALUE(_xll.BDH(F$4,"CURRENT_EV_TO_T12M_EBITDA",$B149+1,$B149+1))),F150))</f>
        <v>0</v>
      </c>
      <c r="G149" s="561">
        <f ca="1">(IFERROR(IFERROR(VALUE(_xll.BDH(G$4,"CURRENT_EV_TO_T12M_EBITDA",$B149,$B149)),VALUE(_xll.BDH(G$4,"CURRENT_EV_TO_T12M_EBITDA",$B149+1,$B149+1))),G150))</f>
        <v>0</v>
      </c>
      <c r="H149" s="561">
        <f ca="1">(IFERROR(IFERROR(VALUE(_xll.BDH(H$4,"CURRENT_EV_TO_T12M_EBITDA",$B149,$B149)),VALUE(_xll.BDH(H$4,"CURRENT_EV_TO_T12M_EBITDA",$B149+1,$B149+1))),H150))</f>
        <v>0</v>
      </c>
      <c r="I149" s="565">
        <f t="shared" ca="1" si="45"/>
        <v>44937</v>
      </c>
      <c r="J149" s="561">
        <f ca="1">(IFERROR(IFERROR(VALUE(_xll.BDH(J$4,"PE_RATIO",$B149,$B149)),VALUE(_xll.BDH(J$4,"PE_RATIO",$B149+1,$B149+1))),J150))</f>
        <v>0</v>
      </c>
      <c r="K149" s="561">
        <f ca="1">(IFERROR(IFERROR(VALUE(_xll.BDH(K$4,"PE_RATIO",$B149,$B149)),VALUE(_xll.BDH(K$4,"PE_RATIO",$B149+1,$B149+1))),K150))</f>
        <v>0</v>
      </c>
      <c r="L149" s="561">
        <f ca="1">(IFERROR(IFERROR(VALUE(_xll.BDH(L$4,"PE_RATIO",$B149,$B149)),VALUE(_xll.BDH(L$4,"PE_RATIO",$B149+1,$B149+1))),L150))</f>
        <v>0</v>
      </c>
      <c r="M149" s="561">
        <f ca="1">(IFERROR(IFERROR(VALUE(_xll.BDH(M$4,"PE_RATIO",$B149,$B149)),VALUE(_xll.BDH(M$4,"PE_RATIO",$B149+1,$B149+1))),M150))</f>
        <v>0</v>
      </c>
      <c r="N149" s="561">
        <f ca="1">(IFERROR(IFERROR(VALUE(_xll.BDH(N$4,"PE_RATIO",$B149,$B149)),VALUE(_xll.BDH(N$4,"PE_RATIO",$B149+1,$B149+1))),N150))</f>
        <v>0</v>
      </c>
      <c r="O149" s="561">
        <f ca="1">(IFERROR(IFERROR(VALUE(_xll.BDH(O$4,"PE_RATIO",$B149,$B149)),VALUE(_xll.BDH(O$4,"PE_RATIO",$B149+1,$B149+1))),O150))</f>
        <v>0</v>
      </c>
      <c r="P149" s="561"/>
      <c r="Q149" s="565">
        <f t="shared" ca="1" si="46"/>
        <v>44937</v>
      </c>
      <c r="R149" s="4">
        <v>137.41999999999999</v>
      </c>
      <c r="S149" s="4">
        <v>11549.69</v>
      </c>
      <c r="T149" s="4">
        <v>877.31</v>
      </c>
      <c r="U149" s="4">
        <v>1.1083151867086054</v>
      </c>
      <c r="V149" s="4">
        <v>1.0246581054405928</v>
      </c>
      <c r="W149" s="4">
        <v>1.182103589522475</v>
      </c>
      <c r="Y149" s="561">
        <f t="shared" si="47"/>
        <v>137.41999999999999</v>
      </c>
      <c r="Z149" s="4">
        <f ca="1">IFERROR(VALUE(_xll.BDH(Z$4,"PX_LAST",$Q149,$Q149)),Z150)</f>
        <v>0</v>
      </c>
      <c r="AA149" s="4">
        <f ca="1">IFERROR(VALUE(_xll.BDH(AA$4,"PX_LAST",$Q149,$Q149)),AA150)</f>
        <v>0</v>
      </c>
      <c r="AB149" s="4">
        <f ca="1">IFERROR(VALUE(_xll.BDH(AB$4,"PX_LAST",$Q149,$Q149)),AB150)</f>
        <v>0</v>
      </c>
      <c r="AC149" s="4">
        <f ca="1">IFERROR(VALUE(_xll.BDH(AC$4,"PX_LAST",$Q149,$Q149)),AC150)</f>
        <v>0</v>
      </c>
      <c r="AD149" s="4">
        <f ca="1">IFERROR(VALUE(_xll.BDH(AD$4,"PX_LAST",$Q149,$Q149)),AD150)</f>
        <v>0</v>
      </c>
      <c r="AF149" s="4">
        <f t="shared" si="48"/>
        <v>1.1083151867086054</v>
      </c>
      <c r="AG149" s="4" t="e">
        <f t="shared" ca="1" si="49"/>
        <v>#DIV/0!</v>
      </c>
      <c r="AH149" s="4" t="e">
        <f t="shared" ca="1" si="50"/>
        <v>#DIV/0!</v>
      </c>
      <c r="AI149" s="4" t="e">
        <f t="shared" ca="1" si="51"/>
        <v>#DIV/0!</v>
      </c>
      <c r="AJ149" s="4" t="e">
        <f t="shared" ca="1" si="52"/>
        <v>#DIV/0!</v>
      </c>
      <c r="AK149" s="4" t="e">
        <f t="shared" ca="1" si="53"/>
        <v>#DIV/0!</v>
      </c>
      <c r="AM149" s="563">
        <f t="shared" ca="1" si="54"/>
        <v>45800</v>
      </c>
      <c r="AN149" s="564">
        <v>126.91</v>
      </c>
      <c r="AO149" s="564">
        <v>643027</v>
      </c>
      <c r="AP149" s="564">
        <v>53646.156999999999</v>
      </c>
      <c r="AQ149" s="564">
        <v>6808233.7848699996</v>
      </c>
      <c r="AR149" s="564">
        <v>1.7687999999999999</v>
      </c>
    </row>
    <row r="150" spans="2:44">
      <c r="B150" s="565">
        <f t="shared" ca="1" si="55"/>
        <v>44930</v>
      </c>
      <c r="C150" s="561">
        <f ca="1">(IFERROR(IFERROR(VALUE(_xll.BDH(C$4,"CURRENT_EV_TO_T12M_EBITDA",$B150,$B150)),VALUE(_xll.BDH(C$4,"CURRENT_EV_TO_T12M_EBITDA",$B150+1,$B150+1))),C151))</f>
        <v>0</v>
      </c>
      <c r="D150" s="561">
        <f ca="1">(IFERROR(IFERROR(VALUE(_xll.BDH(D$4,"CURRENT_EV_TO_T12M_EBITDA",$B150,$B150)),VALUE(_xll.BDH(D$4,"CURRENT_EV_TO_T12M_EBITDA",$B150+1,$B150+1))),D151))</f>
        <v>0</v>
      </c>
      <c r="E150" s="561">
        <f ca="1">(IFERROR(IFERROR(VALUE(_xll.BDH(E$4,"CURRENT_EV_TO_T12M_EBITDA",$B150,$B150)),VALUE(_xll.BDH(E$4,"CURRENT_EV_TO_T12M_EBITDA",$B150+1,$B150+1))),E151))</f>
        <v>0</v>
      </c>
      <c r="F150" s="561">
        <f ca="1">(IFERROR(IFERROR(VALUE(_xll.BDH(F$4,"CURRENT_EV_TO_T12M_EBITDA",$B150,$B150)),VALUE(_xll.BDH(F$4,"CURRENT_EV_TO_T12M_EBITDA",$B150+1,$B150+1))),F151))</f>
        <v>0</v>
      </c>
      <c r="G150" s="561">
        <f ca="1">(IFERROR(IFERROR(VALUE(_xll.BDH(G$4,"CURRENT_EV_TO_T12M_EBITDA",$B150,$B150)),VALUE(_xll.BDH(G$4,"CURRENT_EV_TO_T12M_EBITDA",$B150+1,$B150+1))),G151))</f>
        <v>0</v>
      </c>
      <c r="H150" s="561">
        <f ca="1">(IFERROR(IFERROR(VALUE(_xll.BDH(H$4,"CURRENT_EV_TO_T12M_EBITDA",$B150,$B150)),VALUE(_xll.BDH(H$4,"CURRENT_EV_TO_T12M_EBITDA",$B150+1,$B150+1))),H151))</f>
        <v>0</v>
      </c>
      <c r="I150" s="565">
        <f t="shared" ca="1" si="45"/>
        <v>44930</v>
      </c>
      <c r="J150" s="561">
        <f ca="1">(IFERROR(IFERROR(VALUE(_xll.BDH(J$4,"PE_RATIO",$B150,$B150)),VALUE(_xll.BDH(J$4,"PE_RATIO",$B150+1,$B150+1))),J151))</f>
        <v>0</v>
      </c>
      <c r="K150" s="561">
        <f ca="1">(IFERROR(IFERROR(VALUE(_xll.BDH(K$4,"PE_RATIO",$B150,$B150)),VALUE(_xll.BDH(K$4,"PE_RATIO",$B150+1,$B150+1))),K151))</f>
        <v>0</v>
      </c>
      <c r="L150" s="561">
        <f ca="1">(IFERROR(IFERROR(VALUE(_xll.BDH(L$4,"PE_RATIO",$B150,$B150)),VALUE(_xll.BDH(L$4,"PE_RATIO",$B150+1,$B150+1))),L151))</f>
        <v>0</v>
      </c>
      <c r="M150" s="561">
        <f ca="1">(IFERROR(IFERROR(VALUE(_xll.BDH(M$4,"PE_RATIO",$B150,$B150)),VALUE(_xll.BDH(M$4,"PE_RATIO",$B150+1,$B150+1))),M151))</f>
        <v>0</v>
      </c>
      <c r="N150" s="561">
        <f ca="1">(IFERROR(IFERROR(VALUE(_xll.BDH(N$4,"PE_RATIO",$B150,$B150)),VALUE(_xll.BDH(N$4,"PE_RATIO",$B150+1,$B150+1))),N151))</f>
        <v>0</v>
      </c>
      <c r="O150" s="561">
        <f ca="1">(IFERROR(IFERROR(VALUE(_xll.BDH(O$4,"PE_RATIO",$B150,$B150)),VALUE(_xll.BDH(O$4,"PE_RATIO",$B150+1,$B150+1))),O151))</f>
        <v>0</v>
      </c>
      <c r="P150" s="561"/>
      <c r="Q150" s="565">
        <f t="shared" ca="1" si="46"/>
        <v>44930</v>
      </c>
      <c r="R150" s="4">
        <v>140.62</v>
      </c>
      <c r="S150" s="4">
        <v>11503.45</v>
      </c>
      <c r="T150" s="4">
        <v>879.7</v>
      </c>
      <c r="U150" s="4">
        <v>1.1341237196548108</v>
      </c>
      <c r="V150" s="4">
        <v>1.0205558143145474</v>
      </c>
      <c r="W150" s="4">
        <v>1.1853239193704863</v>
      </c>
      <c r="Y150" s="561">
        <f t="shared" si="47"/>
        <v>140.62</v>
      </c>
      <c r="Z150" s="4">
        <f ca="1">IFERROR(VALUE(_xll.BDH(Z$4,"PX_LAST",$Q150,$Q150)),Z151)</f>
        <v>0</v>
      </c>
      <c r="AA150" s="4">
        <f ca="1">IFERROR(VALUE(_xll.BDH(AA$4,"PX_LAST",$Q150,$Q150)),AA151)</f>
        <v>0</v>
      </c>
      <c r="AB150" s="4">
        <f ca="1">IFERROR(VALUE(_xll.BDH(AB$4,"PX_LAST",$Q150,$Q150)),AB151)</f>
        <v>0</v>
      </c>
      <c r="AC150" s="4">
        <f ca="1">IFERROR(VALUE(_xll.BDH(AC$4,"PX_LAST",$Q150,$Q150)),AC151)</f>
        <v>0</v>
      </c>
      <c r="AD150" s="4">
        <f ca="1">IFERROR(VALUE(_xll.BDH(AD$4,"PX_LAST",$Q150,$Q150)),AD151)</f>
        <v>0</v>
      </c>
      <c r="AF150" s="4">
        <f t="shared" si="48"/>
        <v>1.1341237196548108</v>
      </c>
      <c r="AG150" s="4" t="e">
        <f t="shared" ca="1" si="49"/>
        <v>#DIV/0!</v>
      </c>
      <c r="AH150" s="4" t="e">
        <f t="shared" ca="1" si="50"/>
        <v>#DIV/0!</v>
      </c>
      <c r="AI150" s="4" t="e">
        <f t="shared" ca="1" si="51"/>
        <v>#DIV/0!</v>
      </c>
      <c r="AJ150" s="4" t="e">
        <f t="shared" ca="1" si="52"/>
        <v>#DIV/0!</v>
      </c>
      <c r="AK150" s="4" t="e">
        <f t="shared" ca="1" si="53"/>
        <v>#DIV/0!</v>
      </c>
      <c r="AM150" s="563">
        <f t="shared" ca="1" si="54"/>
        <v>45799</v>
      </c>
      <c r="AN150" s="564">
        <v>127.48</v>
      </c>
      <c r="AO150" s="564">
        <v>1135878</v>
      </c>
      <c r="AP150" s="564">
        <v>53646.156999999999</v>
      </c>
      <c r="AQ150" s="564">
        <v>6838812.0943600005</v>
      </c>
      <c r="AR150" s="564">
        <v>1.7766999999999999</v>
      </c>
    </row>
    <row r="151" spans="2:44">
      <c r="B151" s="565">
        <f t="shared" ca="1" si="55"/>
        <v>44923</v>
      </c>
      <c r="C151" s="561">
        <f ca="1">(IFERROR(IFERROR(VALUE(_xll.BDH(C$4,"CURRENT_EV_TO_T12M_EBITDA",$B151,$B151)),VALUE(_xll.BDH(C$4,"CURRENT_EV_TO_T12M_EBITDA",$B151+1,$B151+1))),C152))</f>
        <v>0</v>
      </c>
      <c r="D151" s="561">
        <f ca="1">(IFERROR(IFERROR(VALUE(_xll.BDH(D$4,"CURRENT_EV_TO_T12M_EBITDA",$B151,$B151)),VALUE(_xll.BDH(D$4,"CURRENT_EV_TO_T12M_EBITDA",$B151+1,$B151+1))),D152))</f>
        <v>0</v>
      </c>
      <c r="E151" s="561">
        <f ca="1">(IFERROR(IFERROR(VALUE(_xll.BDH(E$4,"CURRENT_EV_TO_T12M_EBITDA",$B151,$B151)),VALUE(_xll.BDH(E$4,"CURRENT_EV_TO_T12M_EBITDA",$B151+1,$B151+1))),E152))</f>
        <v>0</v>
      </c>
      <c r="F151" s="561">
        <f ca="1">(IFERROR(IFERROR(VALUE(_xll.BDH(F$4,"CURRENT_EV_TO_T12M_EBITDA",$B151,$B151)),VALUE(_xll.BDH(F$4,"CURRENT_EV_TO_T12M_EBITDA",$B151+1,$B151+1))),F152))</f>
        <v>0</v>
      </c>
      <c r="G151" s="561">
        <f ca="1">(IFERROR(IFERROR(VALUE(_xll.BDH(G$4,"CURRENT_EV_TO_T12M_EBITDA",$B151,$B151)),VALUE(_xll.BDH(G$4,"CURRENT_EV_TO_T12M_EBITDA",$B151+1,$B151+1))),G152))</f>
        <v>0</v>
      </c>
      <c r="H151" s="561">
        <f ca="1">(IFERROR(IFERROR(VALUE(_xll.BDH(H$4,"CURRENT_EV_TO_T12M_EBITDA",$B151,$B151)),VALUE(_xll.BDH(H$4,"CURRENT_EV_TO_T12M_EBITDA",$B151+1,$B151+1))),H152))</f>
        <v>0</v>
      </c>
      <c r="I151" s="565">
        <f t="shared" ca="1" si="45"/>
        <v>44923</v>
      </c>
      <c r="J151" s="561">
        <f ca="1">(IFERROR(IFERROR(VALUE(_xll.BDH(J$4,"PE_RATIO",$B151,$B151)),VALUE(_xll.BDH(J$4,"PE_RATIO",$B151+1,$B151+1))),J152))</f>
        <v>0</v>
      </c>
      <c r="K151" s="561">
        <f ca="1">(IFERROR(IFERROR(VALUE(_xll.BDH(K$4,"PE_RATIO",$B151,$B151)),VALUE(_xll.BDH(K$4,"PE_RATIO",$B151+1,$B151+1))),K152))</f>
        <v>0</v>
      </c>
      <c r="L151" s="561">
        <f ca="1">(IFERROR(IFERROR(VALUE(_xll.BDH(L$4,"PE_RATIO",$B151,$B151)),VALUE(_xll.BDH(L$4,"PE_RATIO",$B151+1,$B151+1))),L152))</f>
        <v>0</v>
      </c>
      <c r="M151" s="561">
        <f ca="1">(IFERROR(IFERROR(VALUE(_xll.BDH(M$4,"PE_RATIO",$B151,$B151)),VALUE(_xll.BDH(M$4,"PE_RATIO",$B151+1,$B151+1))),M152))</f>
        <v>0</v>
      </c>
      <c r="N151" s="561">
        <f ca="1">(IFERROR(IFERROR(VALUE(_xll.BDH(N$4,"PE_RATIO",$B151,$B151)),VALUE(_xll.BDH(N$4,"PE_RATIO",$B151+1,$B151+1))),N152))</f>
        <v>0</v>
      </c>
      <c r="O151" s="561">
        <f ca="1">(IFERROR(IFERROR(VALUE(_xll.BDH(O$4,"PE_RATIO",$B151,$B151)),VALUE(_xll.BDH(O$4,"PE_RATIO",$B151+1,$B151+1))),O152))</f>
        <v>0</v>
      </c>
      <c r="P151" s="561"/>
      <c r="Q151" s="565">
        <f t="shared" ca="1" si="46"/>
        <v>44923</v>
      </c>
      <c r="R151" s="4">
        <v>140.05000000000001</v>
      </c>
      <c r="S151" s="4">
        <v>11724.84</v>
      </c>
      <c r="T151" s="4">
        <v>899.89</v>
      </c>
      <c r="U151" s="4">
        <v>1.1295265747237682</v>
      </c>
      <c r="V151" s="4">
        <v>1.0401969525583872</v>
      </c>
      <c r="W151" s="4">
        <v>1.2125282957852754</v>
      </c>
      <c r="Y151" s="561">
        <f t="shared" si="47"/>
        <v>140.05000000000001</v>
      </c>
      <c r="Z151" s="4">
        <f ca="1">IFERROR(VALUE(_xll.BDH(Z$4,"PX_LAST",$Q151,$Q151)),Z152)</f>
        <v>0</v>
      </c>
      <c r="AA151" s="4">
        <f ca="1">IFERROR(VALUE(_xll.BDH(AA$4,"PX_LAST",$Q151,$Q151)),AA152)</f>
        <v>0</v>
      </c>
      <c r="AB151" s="4">
        <f ca="1">IFERROR(VALUE(_xll.BDH(AB$4,"PX_LAST",$Q151,$Q151)),AB152)</f>
        <v>0</v>
      </c>
      <c r="AC151" s="4">
        <f ca="1">IFERROR(VALUE(_xll.BDH(AC$4,"PX_LAST",$Q151,$Q151)),AC152)</f>
        <v>0</v>
      </c>
      <c r="AD151" s="4">
        <f ca="1">IFERROR(VALUE(_xll.BDH(AD$4,"PX_LAST",$Q151,$Q151)),AD152)</f>
        <v>0</v>
      </c>
      <c r="AF151" s="4">
        <f t="shared" si="48"/>
        <v>1.1295265747237682</v>
      </c>
      <c r="AG151" s="4" t="e">
        <f t="shared" ca="1" si="49"/>
        <v>#DIV/0!</v>
      </c>
      <c r="AH151" s="4" t="e">
        <f t="shared" ca="1" si="50"/>
        <v>#DIV/0!</v>
      </c>
      <c r="AI151" s="4" t="e">
        <f t="shared" ca="1" si="51"/>
        <v>#DIV/0!</v>
      </c>
      <c r="AJ151" s="4" t="e">
        <f t="shared" ca="1" si="52"/>
        <v>#DIV/0!</v>
      </c>
      <c r="AK151" s="4" t="e">
        <f t="shared" ca="1" si="53"/>
        <v>#DIV/0!</v>
      </c>
      <c r="AM151" s="563">
        <f t="shared" ca="1" si="54"/>
        <v>45798</v>
      </c>
      <c r="AN151" s="564">
        <v>129.49</v>
      </c>
      <c r="AO151" s="564">
        <v>820294</v>
      </c>
      <c r="AP151" s="564">
        <v>53646.156999999999</v>
      </c>
      <c r="AQ151" s="564">
        <v>6946640.86993</v>
      </c>
      <c r="AR151" s="564">
        <v>1.8047</v>
      </c>
    </row>
    <row r="152" spans="2:44">
      <c r="B152" s="565">
        <f t="shared" ca="1" si="55"/>
        <v>44916</v>
      </c>
      <c r="C152" s="561">
        <f ca="1">(IFERROR(IFERROR(VALUE(_xll.BDH(C$4,"CURRENT_EV_TO_T12M_EBITDA",$B152,$B152)),VALUE(_xll.BDH(C$4,"CURRENT_EV_TO_T12M_EBITDA",$B152+1,$B152+1))),C153))</f>
        <v>0</v>
      </c>
      <c r="D152" s="561">
        <f ca="1">(IFERROR(IFERROR(VALUE(_xll.BDH(D$4,"CURRENT_EV_TO_T12M_EBITDA",$B152,$B152)),VALUE(_xll.BDH(D$4,"CURRENT_EV_TO_T12M_EBITDA",$B152+1,$B152+1))),D153))</f>
        <v>0</v>
      </c>
      <c r="E152" s="561">
        <f ca="1">(IFERROR(IFERROR(VALUE(_xll.BDH(E$4,"CURRENT_EV_TO_T12M_EBITDA",$B152,$B152)),VALUE(_xll.BDH(E$4,"CURRENT_EV_TO_T12M_EBITDA",$B152+1,$B152+1))),E153))</f>
        <v>0</v>
      </c>
      <c r="F152" s="561">
        <f ca="1">(IFERROR(IFERROR(VALUE(_xll.BDH(F$4,"CURRENT_EV_TO_T12M_EBITDA",$B152,$B152)),VALUE(_xll.BDH(F$4,"CURRENT_EV_TO_T12M_EBITDA",$B152+1,$B152+1))),F153))</f>
        <v>0</v>
      </c>
      <c r="G152" s="561">
        <f ca="1">(IFERROR(IFERROR(VALUE(_xll.BDH(G$4,"CURRENT_EV_TO_T12M_EBITDA",$B152,$B152)),VALUE(_xll.BDH(G$4,"CURRENT_EV_TO_T12M_EBITDA",$B152+1,$B152+1))),G153))</f>
        <v>0</v>
      </c>
      <c r="H152" s="561">
        <f ca="1">(IFERROR(IFERROR(VALUE(_xll.BDH(H$4,"CURRENT_EV_TO_T12M_EBITDA",$B152,$B152)),VALUE(_xll.BDH(H$4,"CURRENT_EV_TO_T12M_EBITDA",$B152+1,$B152+1))),H153))</f>
        <v>0</v>
      </c>
      <c r="I152" s="565">
        <f t="shared" ca="1" si="45"/>
        <v>44916</v>
      </c>
      <c r="J152" s="561">
        <f ca="1">(IFERROR(IFERROR(VALUE(_xll.BDH(J$4,"PE_RATIO",$B152,$B152)),VALUE(_xll.BDH(J$4,"PE_RATIO",$B152+1,$B152+1))),J153))</f>
        <v>0</v>
      </c>
      <c r="K152" s="561">
        <f ca="1">(IFERROR(IFERROR(VALUE(_xll.BDH(K$4,"PE_RATIO",$B152,$B152)),VALUE(_xll.BDH(K$4,"PE_RATIO",$B152+1,$B152+1))),K153))</f>
        <v>0</v>
      </c>
      <c r="L152" s="561">
        <f ca="1">(IFERROR(IFERROR(VALUE(_xll.BDH(L$4,"PE_RATIO",$B152,$B152)),VALUE(_xll.BDH(L$4,"PE_RATIO",$B152+1,$B152+1))),L153))</f>
        <v>0</v>
      </c>
      <c r="M152" s="561">
        <f ca="1">(IFERROR(IFERROR(VALUE(_xll.BDH(M$4,"PE_RATIO",$B152,$B152)),VALUE(_xll.BDH(M$4,"PE_RATIO",$B152+1,$B152+1))),M153))</f>
        <v>0</v>
      </c>
      <c r="N152" s="561">
        <f ca="1">(IFERROR(IFERROR(VALUE(_xll.BDH(N$4,"PE_RATIO",$B152,$B152)),VALUE(_xll.BDH(N$4,"PE_RATIO",$B152+1,$B152+1))),N153))</f>
        <v>0</v>
      </c>
      <c r="O152" s="561">
        <f ca="1">(IFERROR(IFERROR(VALUE(_xll.BDH(O$4,"PE_RATIO",$B152,$B152)),VALUE(_xll.BDH(O$4,"PE_RATIO",$B152+1,$B152+1))),O153))</f>
        <v>0</v>
      </c>
      <c r="P152" s="561"/>
      <c r="Q152" s="565">
        <f t="shared" ca="1" si="46"/>
        <v>44916</v>
      </c>
      <c r="R152" s="4">
        <v>140.04</v>
      </c>
      <c r="S152" s="4">
        <v>11871.15</v>
      </c>
      <c r="T152" s="4">
        <v>900.69</v>
      </c>
      <c r="U152" s="4">
        <v>1.1294459230583112</v>
      </c>
      <c r="V152" s="4">
        <v>1.053177190764522</v>
      </c>
      <c r="W152" s="4">
        <v>1.2136062304624342</v>
      </c>
      <c r="Y152" s="561">
        <f t="shared" si="47"/>
        <v>140.04</v>
      </c>
      <c r="Z152" s="4">
        <f ca="1">IFERROR(VALUE(_xll.BDH(Z$4,"PX_LAST",$Q152,$Q152)),Z153)</f>
        <v>0</v>
      </c>
      <c r="AA152" s="4">
        <f ca="1">IFERROR(VALUE(_xll.BDH(AA$4,"PX_LAST",$Q152,$Q152)),AA153)</f>
        <v>0</v>
      </c>
      <c r="AB152" s="4">
        <f ca="1">IFERROR(VALUE(_xll.BDH(AB$4,"PX_LAST",$Q152,$Q152)),AB153)</f>
        <v>0</v>
      </c>
      <c r="AC152" s="4">
        <f ca="1">IFERROR(VALUE(_xll.BDH(AC$4,"PX_LAST",$Q152,$Q152)),AC153)</f>
        <v>0</v>
      </c>
      <c r="AD152" s="4">
        <f ca="1">IFERROR(VALUE(_xll.BDH(AD$4,"PX_LAST",$Q152,$Q152)),AD153)</f>
        <v>0</v>
      </c>
      <c r="AF152" s="4">
        <f t="shared" si="48"/>
        <v>1.1294459230583112</v>
      </c>
      <c r="AG152" s="4" t="e">
        <f t="shared" ca="1" si="49"/>
        <v>#DIV/0!</v>
      </c>
      <c r="AH152" s="4" t="e">
        <f t="shared" ca="1" si="50"/>
        <v>#DIV/0!</v>
      </c>
      <c r="AI152" s="4" t="e">
        <f t="shared" ca="1" si="51"/>
        <v>#DIV/0!</v>
      </c>
      <c r="AJ152" s="4" t="e">
        <f t="shared" ca="1" si="52"/>
        <v>#DIV/0!</v>
      </c>
      <c r="AK152" s="4" t="e">
        <f t="shared" ca="1" si="53"/>
        <v>#DIV/0!</v>
      </c>
      <c r="AM152" s="563">
        <f t="shared" ca="1" si="54"/>
        <v>45797</v>
      </c>
      <c r="AN152" s="564">
        <v>131.91</v>
      </c>
      <c r="AO152" s="564">
        <v>1169150</v>
      </c>
      <c r="AP152" s="564">
        <v>53646.156999999999</v>
      </c>
      <c r="AQ152" s="564">
        <v>7076464.5698699998</v>
      </c>
      <c r="AR152" s="564">
        <v>1.8384</v>
      </c>
    </row>
    <row r="153" spans="2:44">
      <c r="B153" s="565">
        <f t="shared" ca="1" si="55"/>
        <v>44909</v>
      </c>
      <c r="C153" s="561">
        <f ca="1">(IFERROR(IFERROR(VALUE(_xll.BDH(C$4,"CURRENT_EV_TO_T12M_EBITDA",$B153,$B153)),VALUE(_xll.BDH(C$4,"CURRENT_EV_TO_T12M_EBITDA",$B153+1,$B153+1))),C154))</f>
        <v>0</v>
      </c>
      <c r="D153" s="561">
        <f ca="1">(IFERROR(IFERROR(VALUE(_xll.BDH(D$4,"CURRENT_EV_TO_T12M_EBITDA",$B153,$B153)),VALUE(_xll.BDH(D$4,"CURRENT_EV_TO_T12M_EBITDA",$B153+1,$B153+1))),D154))</f>
        <v>0</v>
      </c>
      <c r="E153" s="561">
        <f ca="1">(IFERROR(IFERROR(VALUE(_xll.BDH(E$4,"CURRENT_EV_TO_T12M_EBITDA",$B153,$B153)),VALUE(_xll.BDH(E$4,"CURRENT_EV_TO_T12M_EBITDA",$B153+1,$B153+1))),E154))</f>
        <v>0</v>
      </c>
      <c r="F153" s="561">
        <f ca="1">(IFERROR(IFERROR(VALUE(_xll.BDH(F$4,"CURRENT_EV_TO_T12M_EBITDA",$B153,$B153)),VALUE(_xll.BDH(F$4,"CURRENT_EV_TO_T12M_EBITDA",$B153+1,$B153+1))),F154))</f>
        <v>0</v>
      </c>
      <c r="G153" s="561">
        <f ca="1">(IFERROR(IFERROR(VALUE(_xll.BDH(G$4,"CURRENT_EV_TO_T12M_EBITDA",$B153,$B153)),VALUE(_xll.BDH(G$4,"CURRENT_EV_TO_T12M_EBITDA",$B153+1,$B153+1))),G154))</f>
        <v>0</v>
      </c>
      <c r="H153" s="561">
        <f ca="1">(IFERROR(IFERROR(VALUE(_xll.BDH(H$4,"CURRENT_EV_TO_T12M_EBITDA",$B153,$B153)),VALUE(_xll.BDH(H$4,"CURRENT_EV_TO_T12M_EBITDA",$B153+1,$B153+1))),H154))</f>
        <v>0</v>
      </c>
      <c r="I153" s="565">
        <f t="shared" ca="1" si="45"/>
        <v>44909</v>
      </c>
      <c r="J153" s="561">
        <f ca="1">(IFERROR(IFERROR(VALUE(_xll.BDH(J$4,"PE_RATIO",$B153,$B153)),VALUE(_xll.BDH(J$4,"PE_RATIO",$B153+1,$B153+1))),J154))</f>
        <v>0</v>
      </c>
      <c r="K153" s="561">
        <f ca="1">(IFERROR(IFERROR(VALUE(_xll.BDH(K$4,"PE_RATIO",$B153,$B153)),VALUE(_xll.BDH(K$4,"PE_RATIO",$B153+1,$B153+1))),K154))</f>
        <v>0</v>
      </c>
      <c r="L153" s="561">
        <f ca="1">(IFERROR(IFERROR(VALUE(_xll.BDH(L$4,"PE_RATIO",$B153,$B153)),VALUE(_xll.BDH(L$4,"PE_RATIO",$B153+1,$B153+1))),L154))</f>
        <v>0</v>
      </c>
      <c r="M153" s="561">
        <f ca="1">(IFERROR(IFERROR(VALUE(_xll.BDH(M$4,"PE_RATIO",$B153,$B153)),VALUE(_xll.BDH(M$4,"PE_RATIO",$B153+1,$B153+1))),M154))</f>
        <v>0</v>
      </c>
      <c r="N153" s="561">
        <f ca="1">(IFERROR(IFERROR(VALUE(_xll.BDH(N$4,"PE_RATIO",$B153,$B153)),VALUE(_xll.BDH(N$4,"PE_RATIO",$B153+1,$B153+1))),N154))</f>
        <v>0</v>
      </c>
      <c r="O153" s="561">
        <f ca="1">(IFERROR(IFERROR(VALUE(_xll.BDH(O$4,"PE_RATIO",$B153,$B153)),VALUE(_xll.BDH(O$4,"PE_RATIO",$B153+1,$B153+1))),O154))</f>
        <v>0</v>
      </c>
      <c r="P153" s="561"/>
      <c r="Q153" s="565">
        <f t="shared" ca="1" si="46"/>
        <v>44909</v>
      </c>
      <c r="R153" s="4">
        <v>138.22</v>
      </c>
      <c r="S153" s="4">
        <v>11059.5</v>
      </c>
      <c r="T153" s="4">
        <v>867.12</v>
      </c>
      <c r="U153" s="4">
        <v>1.1147673199451569</v>
      </c>
      <c r="V153" s="4">
        <v>0.98116973850555589</v>
      </c>
      <c r="W153" s="4">
        <v>1.1683733965721679</v>
      </c>
      <c r="Y153" s="561">
        <f t="shared" si="47"/>
        <v>138.22</v>
      </c>
      <c r="Z153" s="4">
        <f ca="1">IFERROR(VALUE(_xll.BDH(Z$4,"PX_LAST",$Q153,$Q153)),Z154)</f>
        <v>0</v>
      </c>
      <c r="AA153" s="4">
        <f ca="1">IFERROR(VALUE(_xll.BDH(AA$4,"PX_LAST",$Q153,$Q153)),AA154)</f>
        <v>0</v>
      </c>
      <c r="AB153" s="4">
        <f ca="1">IFERROR(VALUE(_xll.BDH(AB$4,"PX_LAST",$Q153,$Q153)),AB154)</f>
        <v>0</v>
      </c>
      <c r="AC153" s="4">
        <f ca="1">IFERROR(VALUE(_xll.BDH(AC$4,"PX_LAST",$Q153,$Q153)),AC154)</f>
        <v>0</v>
      </c>
      <c r="AD153" s="4">
        <f ca="1">IFERROR(VALUE(_xll.BDH(AD$4,"PX_LAST",$Q153,$Q153)),AD154)</f>
        <v>0</v>
      </c>
      <c r="AF153" s="4">
        <f t="shared" si="48"/>
        <v>1.1147673199451569</v>
      </c>
      <c r="AG153" s="4" t="e">
        <f t="shared" ca="1" si="49"/>
        <v>#DIV/0!</v>
      </c>
      <c r="AH153" s="4" t="e">
        <f t="shared" ca="1" si="50"/>
        <v>#DIV/0!</v>
      </c>
      <c r="AI153" s="4" t="e">
        <f t="shared" ca="1" si="51"/>
        <v>#DIV/0!</v>
      </c>
      <c r="AJ153" s="4" t="e">
        <f t="shared" ca="1" si="52"/>
        <v>#DIV/0!</v>
      </c>
      <c r="AK153" s="4" t="e">
        <f t="shared" ca="1" si="53"/>
        <v>#DIV/0!</v>
      </c>
      <c r="AM153" s="563">
        <f t="shared" ca="1" si="54"/>
        <v>45796</v>
      </c>
      <c r="AN153" s="564">
        <v>132.19</v>
      </c>
      <c r="AO153" s="564">
        <v>1316512</v>
      </c>
      <c r="AP153" s="564">
        <v>53646.156999999999</v>
      </c>
      <c r="AQ153" s="564">
        <v>7091485.4938300001</v>
      </c>
      <c r="AR153" s="564">
        <v>1.8423</v>
      </c>
    </row>
    <row r="154" spans="2:44">
      <c r="B154" s="565">
        <f t="shared" ca="1" si="55"/>
        <v>44902</v>
      </c>
      <c r="C154" s="561">
        <f ca="1">(IFERROR(IFERROR(VALUE(_xll.BDH(C$4,"CURRENT_EV_TO_T12M_EBITDA",$B154,$B154)),VALUE(_xll.BDH(C$4,"CURRENT_EV_TO_T12M_EBITDA",$B154+1,$B154+1))),C155))</f>
        <v>0</v>
      </c>
      <c r="D154" s="561">
        <f ca="1">(IFERROR(IFERROR(VALUE(_xll.BDH(D$4,"CURRENT_EV_TO_T12M_EBITDA",$B154,$B154)),VALUE(_xll.BDH(D$4,"CURRENT_EV_TO_T12M_EBITDA",$B154+1,$B154+1))),D155))</f>
        <v>0</v>
      </c>
      <c r="E154" s="561">
        <f ca="1">(IFERROR(IFERROR(VALUE(_xll.BDH(E$4,"CURRENT_EV_TO_T12M_EBITDA",$B154,$B154)),VALUE(_xll.BDH(E$4,"CURRENT_EV_TO_T12M_EBITDA",$B154+1,$B154+1))),E155))</f>
        <v>0</v>
      </c>
      <c r="F154" s="561">
        <f ca="1">(IFERROR(IFERROR(VALUE(_xll.BDH(F$4,"CURRENT_EV_TO_T12M_EBITDA",$B154,$B154)),VALUE(_xll.BDH(F$4,"CURRENT_EV_TO_T12M_EBITDA",$B154+1,$B154+1))),F155))</f>
        <v>0</v>
      </c>
      <c r="G154" s="561">
        <f ca="1">(IFERROR(IFERROR(VALUE(_xll.BDH(G$4,"CURRENT_EV_TO_T12M_EBITDA",$B154,$B154)),VALUE(_xll.BDH(G$4,"CURRENT_EV_TO_T12M_EBITDA",$B154+1,$B154+1))),G155))</f>
        <v>0</v>
      </c>
      <c r="H154" s="561">
        <f ca="1">(IFERROR(IFERROR(VALUE(_xll.BDH(H$4,"CURRENT_EV_TO_T12M_EBITDA",$B154,$B154)),VALUE(_xll.BDH(H$4,"CURRENT_EV_TO_T12M_EBITDA",$B154+1,$B154+1))),H155))</f>
        <v>0</v>
      </c>
      <c r="I154" s="565">
        <f t="shared" ca="1" si="45"/>
        <v>44902</v>
      </c>
      <c r="J154" s="561">
        <f ca="1">(IFERROR(IFERROR(VALUE(_xll.BDH(J$4,"PE_RATIO",$B154,$B154)),VALUE(_xll.BDH(J$4,"PE_RATIO",$B154+1,$B154+1))),J155))</f>
        <v>0</v>
      </c>
      <c r="K154" s="561">
        <f ca="1">(IFERROR(IFERROR(VALUE(_xll.BDH(K$4,"PE_RATIO",$B154,$B154)),VALUE(_xll.BDH(K$4,"PE_RATIO",$B154+1,$B154+1))),K155))</f>
        <v>0</v>
      </c>
      <c r="L154" s="561">
        <f ca="1">(IFERROR(IFERROR(VALUE(_xll.BDH(L$4,"PE_RATIO",$B154,$B154)),VALUE(_xll.BDH(L$4,"PE_RATIO",$B154+1,$B154+1))),L155))</f>
        <v>0</v>
      </c>
      <c r="M154" s="561">
        <f ca="1">(IFERROR(IFERROR(VALUE(_xll.BDH(M$4,"PE_RATIO",$B154,$B154)),VALUE(_xll.BDH(M$4,"PE_RATIO",$B154+1,$B154+1))),M155))</f>
        <v>0</v>
      </c>
      <c r="N154" s="561">
        <f ca="1">(IFERROR(IFERROR(VALUE(_xll.BDH(N$4,"PE_RATIO",$B154,$B154)),VALUE(_xll.BDH(N$4,"PE_RATIO",$B154+1,$B154+1))),N155))</f>
        <v>0</v>
      </c>
      <c r="O154" s="561">
        <f ca="1">(IFERROR(IFERROR(VALUE(_xll.BDH(O$4,"PE_RATIO",$B154,$B154)),VALUE(_xll.BDH(O$4,"PE_RATIO",$B154+1,$B154+1))),O155))</f>
        <v>0</v>
      </c>
      <c r="P154" s="561"/>
      <c r="Q154" s="565">
        <f t="shared" ca="1" si="46"/>
        <v>44902</v>
      </c>
      <c r="R154" s="4">
        <v>141.38999999999999</v>
      </c>
      <c r="S154" s="4">
        <v>11288.95</v>
      </c>
      <c r="T154" s="4">
        <v>856.31</v>
      </c>
      <c r="U154" s="4">
        <v>1.1403338978949915</v>
      </c>
      <c r="V154" s="4">
        <v>1.001525938740657</v>
      </c>
      <c r="W154" s="4">
        <v>1.1538078042470625</v>
      </c>
      <c r="Y154" s="561">
        <f t="shared" si="47"/>
        <v>141.38999999999999</v>
      </c>
      <c r="Z154" s="4">
        <f ca="1">IFERROR(VALUE(_xll.BDH(Z$4,"PX_LAST",$Q154,$Q154)),Z155)</f>
        <v>0</v>
      </c>
      <c r="AA154" s="4">
        <f ca="1">IFERROR(VALUE(_xll.BDH(AA$4,"PX_LAST",$Q154,$Q154)),AA155)</f>
        <v>0</v>
      </c>
      <c r="AB154" s="4">
        <f ca="1">IFERROR(VALUE(_xll.BDH(AB$4,"PX_LAST",$Q154,$Q154)),AB155)</f>
        <v>0</v>
      </c>
      <c r="AC154" s="4">
        <f ca="1">IFERROR(VALUE(_xll.BDH(AC$4,"PX_LAST",$Q154,$Q154)),AC155)</f>
        <v>0</v>
      </c>
      <c r="AD154" s="4">
        <f ca="1">IFERROR(VALUE(_xll.BDH(AD$4,"PX_LAST",$Q154,$Q154)),AD155)</f>
        <v>0</v>
      </c>
      <c r="AF154" s="4">
        <f t="shared" si="48"/>
        <v>1.1403338978949915</v>
      </c>
      <c r="AG154" s="4" t="e">
        <f t="shared" ca="1" si="49"/>
        <v>#DIV/0!</v>
      </c>
      <c r="AH154" s="4" t="e">
        <f t="shared" ca="1" si="50"/>
        <v>#DIV/0!</v>
      </c>
      <c r="AI154" s="4" t="e">
        <f t="shared" ca="1" si="51"/>
        <v>#DIV/0!</v>
      </c>
      <c r="AJ154" s="4" t="e">
        <f t="shared" ca="1" si="52"/>
        <v>#DIV/0!</v>
      </c>
      <c r="AK154" s="4" t="e">
        <f t="shared" ca="1" si="53"/>
        <v>#DIV/0!</v>
      </c>
      <c r="AM154" s="563">
        <f t="shared" ca="1" si="54"/>
        <v>45795</v>
      </c>
      <c r="AN154" s="564">
        <v>132.19</v>
      </c>
      <c r="AO154" s="564">
        <v>1316512</v>
      </c>
      <c r="AP154" s="564">
        <v>53646.156999999999</v>
      </c>
      <c r="AQ154" s="564">
        <v>7091485.4938300001</v>
      </c>
      <c r="AR154" s="564">
        <v>1.8423</v>
      </c>
    </row>
    <row r="155" spans="2:44">
      <c r="B155" s="565">
        <f t="shared" ca="1" si="55"/>
        <v>44895</v>
      </c>
      <c r="C155" s="561">
        <f ca="1">(IFERROR(IFERROR(VALUE(_xll.BDH(C$4,"CURRENT_EV_TO_T12M_EBITDA",$B155,$B155)),VALUE(_xll.BDH(C$4,"CURRENT_EV_TO_T12M_EBITDA",$B155+1,$B155+1))),C156))</f>
        <v>0</v>
      </c>
      <c r="D155" s="561">
        <f ca="1">(IFERROR(IFERROR(VALUE(_xll.BDH(D$4,"CURRENT_EV_TO_T12M_EBITDA",$B155,$B155)),VALUE(_xll.BDH(D$4,"CURRENT_EV_TO_T12M_EBITDA",$B155+1,$B155+1))),D156))</f>
        <v>0</v>
      </c>
      <c r="E155" s="561">
        <f ca="1">(IFERROR(IFERROR(VALUE(_xll.BDH(E$4,"CURRENT_EV_TO_T12M_EBITDA",$B155,$B155)),VALUE(_xll.BDH(E$4,"CURRENT_EV_TO_T12M_EBITDA",$B155+1,$B155+1))),E156))</f>
        <v>0</v>
      </c>
      <c r="F155" s="561">
        <f ca="1">(IFERROR(IFERROR(VALUE(_xll.BDH(F$4,"CURRENT_EV_TO_T12M_EBITDA",$B155,$B155)),VALUE(_xll.BDH(F$4,"CURRENT_EV_TO_T12M_EBITDA",$B155+1,$B155+1))),F156))</f>
        <v>0</v>
      </c>
      <c r="G155" s="561">
        <f ca="1">(IFERROR(IFERROR(VALUE(_xll.BDH(G$4,"CURRENT_EV_TO_T12M_EBITDA",$B155,$B155)),VALUE(_xll.BDH(G$4,"CURRENT_EV_TO_T12M_EBITDA",$B155+1,$B155+1))),G156))</f>
        <v>0</v>
      </c>
      <c r="H155" s="561">
        <f ca="1">(IFERROR(IFERROR(VALUE(_xll.BDH(H$4,"CURRENT_EV_TO_T12M_EBITDA",$B155,$B155)),VALUE(_xll.BDH(H$4,"CURRENT_EV_TO_T12M_EBITDA",$B155+1,$B155+1))),H156))</f>
        <v>0</v>
      </c>
      <c r="I155" s="565">
        <f t="shared" ca="1" si="45"/>
        <v>44895</v>
      </c>
      <c r="J155" s="561">
        <f ca="1">(IFERROR(IFERROR(VALUE(_xll.BDH(J$4,"PE_RATIO",$B155,$B155)),VALUE(_xll.BDH(J$4,"PE_RATIO",$B155+1,$B155+1))),J156))</f>
        <v>0</v>
      </c>
      <c r="K155" s="561">
        <f ca="1">(IFERROR(IFERROR(VALUE(_xll.BDH(K$4,"PE_RATIO",$B155,$B155)),VALUE(_xll.BDH(K$4,"PE_RATIO",$B155+1,$B155+1))),K156))</f>
        <v>0</v>
      </c>
      <c r="L155" s="561">
        <f ca="1">(IFERROR(IFERROR(VALUE(_xll.BDH(L$4,"PE_RATIO",$B155,$B155)),VALUE(_xll.BDH(L$4,"PE_RATIO",$B155+1,$B155+1))),L156))</f>
        <v>0</v>
      </c>
      <c r="M155" s="561">
        <f ca="1">(IFERROR(IFERROR(VALUE(_xll.BDH(M$4,"PE_RATIO",$B155,$B155)),VALUE(_xll.BDH(M$4,"PE_RATIO",$B155+1,$B155+1))),M156))</f>
        <v>0</v>
      </c>
      <c r="N155" s="561">
        <f ca="1">(IFERROR(IFERROR(VALUE(_xll.BDH(N$4,"PE_RATIO",$B155,$B155)),VALUE(_xll.BDH(N$4,"PE_RATIO",$B155+1,$B155+1))),N156))</f>
        <v>0</v>
      </c>
      <c r="O155" s="561">
        <f ca="1">(IFERROR(IFERROR(VALUE(_xll.BDH(O$4,"PE_RATIO",$B155,$B155)),VALUE(_xll.BDH(O$4,"PE_RATIO",$B155+1,$B155+1))),O156))</f>
        <v>0</v>
      </c>
      <c r="P155" s="561"/>
      <c r="Q155" s="565">
        <f t="shared" ca="1" si="46"/>
        <v>44895</v>
      </c>
      <c r="R155" s="4">
        <v>136.87</v>
      </c>
      <c r="S155" s="4">
        <v>11669.99</v>
      </c>
      <c r="T155" s="4">
        <v>823.28</v>
      </c>
      <c r="U155" s="4">
        <v>1.1038793451084765</v>
      </c>
      <c r="V155" s="4">
        <v>1.035330804888327</v>
      </c>
      <c r="W155" s="4">
        <v>1.1093025762638784</v>
      </c>
      <c r="Y155" s="561">
        <f t="shared" si="47"/>
        <v>136.87</v>
      </c>
      <c r="Z155" s="4">
        <f ca="1">IFERROR(VALUE(_xll.BDH(Z$4,"PX_LAST",$Q155,$Q155)),Z156)</f>
        <v>0</v>
      </c>
      <c r="AA155" s="4">
        <f ca="1">IFERROR(VALUE(_xll.BDH(AA$4,"PX_LAST",$Q155,$Q155)),AA156)</f>
        <v>0</v>
      </c>
      <c r="AB155" s="4">
        <f ca="1">IFERROR(VALUE(_xll.BDH(AB$4,"PX_LAST",$Q155,$Q155)),AB156)</f>
        <v>0</v>
      </c>
      <c r="AC155" s="4">
        <f ca="1">IFERROR(VALUE(_xll.BDH(AC$4,"PX_LAST",$Q155,$Q155)),AC156)</f>
        <v>0</v>
      </c>
      <c r="AD155" s="4">
        <f ca="1">IFERROR(VALUE(_xll.BDH(AD$4,"PX_LAST",$Q155,$Q155)),AD156)</f>
        <v>0</v>
      </c>
      <c r="AF155" s="4">
        <f t="shared" si="48"/>
        <v>1.1038793451084765</v>
      </c>
      <c r="AG155" s="4" t="e">
        <f t="shared" ca="1" si="49"/>
        <v>#DIV/0!</v>
      </c>
      <c r="AH155" s="4" t="e">
        <f t="shared" ca="1" si="50"/>
        <v>#DIV/0!</v>
      </c>
      <c r="AI155" s="4" t="e">
        <f t="shared" ca="1" si="51"/>
        <v>#DIV/0!</v>
      </c>
      <c r="AJ155" s="4" t="e">
        <f t="shared" ca="1" si="52"/>
        <v>#DIV/0!</v>
      </c>
      <c r="AK155" s="4" t="e">
        <f t="shared" ca="1" si="53"/>
        <v>#DIV/0!</v>
      </c>
      <c r="AM155" s="563">
        <f t="shared" ca="1" si="54"/>
        <v>45794</v>
      </c>
      <c r="AN155" s="564">
        <v>132.19</v>
      </c>
      <c r="AO155" s="564">
        <v>1316512</v>
      </c>
      <c r="AP155" s="564">
        <v>53646.156999999999</v>
      </c>
      <c r="AQ155" s="564">
        <v>7091485.4938300001</v>
      </c>
      <c r="AR155" s="564">
        <v>1.8423</v>
      </c>
    </row>
    <row r="156" spans="2:44">
      <c r="B156" s="565">
        <f t="shared" ca="1" si="55"/>
        <v>44888</v>
      </c>
      <c r="C156" s="561">
        <f ca="1">(IFERROR(IFERROR(VALUE(_xll.BDH(C$4,"CURRENT_EV_TO_T12M_EBITDA",$B156,$B156)),VALUE(_xll.BDH(C$4,"CURRENT_EV_TO_T12M_EBITDA",$B156+1,$B156+1))),C157))</f>
        <v>0</v>
      </c>
      <c r="D156" s="561">
        <f ca="1">(IFERROR(IFERROR(VALUE(_xll.BDH(D$4,"CURRENT_EV_TO_T12M_EBITDA",$B156,$B156)),VALUE(_xll.BDH(D$4,"CURRENT_EV_TO_T12M_EBITDA",$B156+1,$B156+1))),D157))</f>
        <v>0</v>
      </c>
      <c r="E156" s="561">
        <f ca="1">(IFERROR(IFERROR(VALUE(_xll.BDH(E$4,"CURRENT_EV_TO_T12M_EBITDA",$B156,$B156)),VALUE(_xll.BDH(E$4,"CURRENT_EV_TO_T12M_EBITDA",$B156+1,$B156+1))),E157))</f>
        <v>0</v>
      </c>
      <c r="F156" s="561">
        <f ca="1">(IFERROR(IFERROR(VALUE(_xll.BDH(F$4,"CURRENT_EV_TO_T12M_EBITDA",$B156,$B156)),VALUE(_xll.BDH(F$4,"CURRENT_EV_TO_T12M_EBITDA",$B156+1,$B156+1))),F157))</f>
        <v>0</v>
      </c>
      <c r="G156" s="561">
        <f ca="1">(IFERROR(IFERROR(VALUE(_xll.BDH(G$4,"CURRENT_EV_TO_T12M_EBITDA",$B156,$B156)),VALUE(_xll.BDH(G$4,"CURRENT_EV_TO_T12M_EBITDA",$B156+1,$B156+1))),G157))</f>
        <v>0</v>
      </c>
      <c r="H156" s="561">
        <f ca="1">(IFERROR(IFERROR(VALUE(_xll.BDH(H$4,"CURRENT_EV_TO_T12M_EBITDA",$B156,$B156)),VALUE(_xll.BDH(H$4,"CURRENT_EV_TO_T12M_EBITDA",$B156+1,$B156+1))),H157))</f>
        <v>0</v>
      </c>
      <c r="I156" s="565">
        <f t="shared" ca="1" si="45"/>
        <v>44888</v>
      </c>
      <c r="J156" s="561">
        <f ca="1">(IFERROR(IFERROR(VALUE(_xll.BDH(J$4,"PE_RATIO",$B156,$B156)),VALUE(_xll.BDH(J$4,"PE_RATIO",$B156+1,$B156+1))),J157))</f>
        <v>0</v>
      </c>
      <c r="K156" s="561">
        <f ca="1">(IFERROR(IFERROR(VALUE(_xll.BDH(K$4,"PE_RATIO",$B156,$B156)),VALUE(_xll.BDH(K$4,"PE_RATIO",$B156+1,$B156+1))),K157))</f>
        <v>0</v>
      </c>
      <c r="L156" s="561">
        <f ca="1">(IFERROR(IFERROR(VALUE(_xll.BDH(L$4,"PE_RATIO",$B156,$B156)),VALUE(_xll.BDH(L$4,"PE_RATIO",$B156+1,$B156+1))),L157))</f>
        <v>0</v>
      </c>
      <c r="M156" s="561">
        <f ca="1">(IFERROR(IFERROR(VALUE(_xll.BDH(M$4,"PE_RATIO",$B156,$B156)),VALUE(_xll.BDH(M$4,"PE_RATIO",$B156+1,$B156+1))),M157))</f>
        <v>0</v>
      </c>
      <c r="N156" s="561">
        <f ca="1">(IFERROR(IFERROR(VALUE(_xll.BDH(N$4,"PE_RATIO",$B156,$B156)),VALUE(_xll.BDH(N$4,"PE_RATIO",$B156+1,$B156+1))),N157))</f>
        <v>0</v>
      </c>
      <c r="O156" s="561">
        <f ca="1">(IFERROR(IFERROR(VALUE(_xll.BDH(O$4,"PE_RATIO",$B156,$B156)),VALUE(_xll.BDH(O$4,"PE_RATIO",$B156+1,$B156+1))),O157))</f>
        <v>0</v>
      </c>
      <c r="P156" s="561"/>
      <c r="Q156" s="565">
        <f t="shared" ca="1" si="46"/>
        <v>44888</v>
      </c>
      <c r="R156" s="4">
        <v>134.79</v>
      </c>
      <c r="S156" s="4">
        <v>11147.74</v>
      </c>
      <c r="T156" s="4">
        <v>792.63</v>
      </c>
      <c r="U156" s="4">
        <v>1.0871037986934431</v>
      </c>
      <c r="V156" s="4">
        <v>0.98899815911460065</v>
      </c>
      <c r="W156" s="4">
        <v>1.0680042039452409</v>
      </c>
      <c r="Y156" s="561">
        <f t="shared" si="47"/>
        <v>134.79</v>
      </c>
      <c r="Z156" s="4">
        <f ca="1">IFERROR(VALUE(_xll.BDH(Z$4,"PX_LAST",$Q156,$Q156)),Z157)</f>
        <v>0</v>
      </c>
      <c r="AA156" s="4">
        <f ca="1">IFERROR(VALUE(_xll.BDH(AA$4,"PX_LAST",$Q156,$Q156)),AA157)</f>
        <v>0</v>
      </c>
      <c r="AB156" s="4">
        <f ca="1">IFERROR(VALUE(_xll.BDH(AB$4,"PX_LAST",$Q156,$Q156)),AB157)</f>
        <v>0</v>
      </c>
      <c r="AC156" s="4">
        <f ca="1">IFERROR(VALUE(_xll.BDH(AC$4,"PX_LAST",$Q156,$Q156)),AC157)</f>
        <v>0</v>
      </c>
      <c r="AD156" s="4">
        <f ca="1">IFERROR(VALUE(_xll.BDH(AD$4,"PX_LAST",$Q156,$Q156)),AD157)</f>
        <v>0</v>
      </c>
      <c r="AF156" s="4">
        <f t="shared" si="48"/>
        <v>1.0871037986934431</v>
      </c>
      <c r="AG156" s="4" t="e">
        <f t="shared" ca="1" si="49"/>
        <v>#DIV/0!</v>
      </c>
      <c r="AH156" s="4" t="e">
        <f t="shared" ca="1" si="50"/>
        <v>#DIV/0!</v>
      </c>
      <c r="AI156" s="4" t="e">
        <f t="shared" ca="1" si="51"/>
        <v>#DIV/0!</v>
      </c>
      <c r="AJ156" s="4" t="e">
        <f t="shared" ca="1" si="52"/>
        <v>#DIV/0!</v>
      </c>
      <c r="AK156" s="4" t="e">
        <f t="shared" ca="1" si="53"/>
        <v>#DIV/0!</v>
      </c>
      <c r="AM156" s="563">
        <f t="shared" ca="1" si="54"/>
        <v>45793</v>
      </c>
      <c r="AN156" s="564">
        <v>131.59</v>
      </c>
      <c r="AO156" s="564">
        <v>2026530</v>
      </c>
      <c r="AP156" s="564">
        <v>53646.156999999999</v>
      </c>
      <c r="AQ156" s="564">
        <v>7059297.7996300003</v>
      </c>
      <c r="AR156" s="564">
        <v>1.8340000000000001</v>
      </c>
    </row>
    <row r="157" spans="2:44">
      <c r="B157" s="565">
        <f t="shared" ca="1" si="55"/>
        <v>44881</v>
      </c>
      <c r="C157" s="561">
        <f ca="1">(IFERROR(IFERROR(VALUE(_xll.BDH(C$4,"CURRENT_EV_TO_T12M_EBITDA",$B157,$B157)),VALUE(_xll.BDH(C$4,"CURRENT_EV_TO_T12M_EBITDA",$B157+1,$B157+1))),C158))</f>
        <v>0</v>
      </c>
      <c r="D157" s="561">
        <f ca="1">(IFERROR(IFERROR(VALUE(_xll.BDH(D$4,"CURRENT_EV_TO_T12M_EBITDA",$B157,$B157)),VALUE(_xll.BDH(D$4,"CURRENT_EV_TO_T12M_EBITDA",$B157+1,$B157+1))),D158))</f>
        <v>0</v>
      </c>
      <c r="E157" s="561">
        <f ca="1">(IFERROR(IFERROR(VALUE(_xll.BDH(E$4,"CURRENT_EV_TO_T12M_EBITDA",$B157,$B157)),VALUE(_xll.BDH(E$4,"CURRENT_EV_TO_T12M_EBITDA",$B157+1,$B157+1))),E158))</f>
        <v>0</v>
      </c>
      <c r="F157" s="561">
        <f ca="1">(IFERROR(IFERROR(VALUE(_xll.BDH(F$4,"CURRENT_EV_TO_T12M_EBITDA",$B157,$B157)),VALUE(_xll.BDH(F$4,"CURRENT_EV_TO_T12M_EBITDA",$B157+1,$B157+1))),F158))</f>
        <v>0</v>
      </c>
      <c r="G157" s="561">
        <f ca="1">(IFERROR(IFERROR(VALUE(_xll.BDH(G$4,"CURRENT_EV_TO_T12M_EBITDA",$B157,$B157)),VALUE(_xll.BDH(G$4,"CURRENT_EV_TO_T12M_EBITDA",$B157+1,$B157+1))),G158))</f>
        <v>0</v>
      </c>
      <c r="H157" s="561">
        <f ca="1">(IFERROR(IFERROR(VALUE(_xll.BDH(H$4,"CURRENT_EV_TO_T12M_EBITDA",$B157,$B157)),VALUE(_xll.BDH(H$4,"CURRENT_EV_TO_T12M_EBITDA",$B157+1,$B157+1))),H158))</f>
        <v>0</v>
      </c>
      <c r="I157" s="565">
        <f t="shared" ca="1" si="45"/>
        <v>44881</v>
      </c>
      <c r="J157" s="561">
        <f ca="1">(IFERROR(IFERROR(VALUE(_xll.BDH(J$4,"PE_RATIO",$B157,$B157)),VALUE(_xll.BDH(J$4,"PE_RATIO",$B157+1,$B157+1))),J158))</f>
        <v>0</v>
      </c>
      <c r="K157" s="561">
        <f ca="1">(IFERROR(IFERROR(VALUE(_xll.BDH(K$4,"PE_RATIO",$B157,$B157)),VALUE(_xll.BDH(K$4,"PE_RATIO",$B157+1,$B157+1))),K158))</f>
        <v>0</v>
      </c>
      <c r="L157" s="561">
        <f ca="1">(IFERROR(IFERROR(VALUE(_xll.BDH(L$4,"PE_RATIO",$B157,$B157)),VALUE(_xll.BDH(L$4,"PE_RATIO",$B157+1,$B157+1))),L158))</f>
        <v>0</v>
      </c>
      <c r="M157" s="561">
        <f ca="1">(IFERROR(IFERROR(VALUE(_xll.BDH(M$4,"PE_RATIO",$B157,$B157)),VALUE(_xll.BDH(M$4,"PE_RATIO",$B157+1,$B157+1))),M158))</f>
        <v>0</v>
      </c>
      <c r="N157" s="561">
        <f ca="1">(IFERROR(IFERROR(VALUE(_xll.BDH(N$4,"PE_RATIO",$B157,$B157)),VALUE(_xll.BDH(N$4,"PE_RATIO",$B157+1,$B157+1))),N158))</f>
        <v>0</v>
      </c>
      <c r="O157" s="561">
        <f ca="1">(IFERROR(IFERROR(VALUE(_xll.BDH(O$4,"PE_RATIO",$B157,$B157)),VALUE(_xll.BDH(O$4,"PE_RATIO",$B157+1,$B157+1))),O158))</f>
        <v>0</v>
      </c>
      <c r="P157" s="561"/>
      <c r="Q157" s="565">
        <f t="shared" ca="1" si="46"/>
        <v>44881</v>
      </c>
      <c r="R157" s="4">
        <v>134.75</v>
      </c>
      <c r="S157" s="4">
        <v>10791.35</v>
      </c>
      <c r="T157" s="4">
        <v>764.86</v>
      </c>
      <c r="U157" s="4">
        <v>1.0867811920316155</v>
      </c>
      <c r="V157" s="4">
        <v>0.95738017610397674</v>
      </c>
      <c r="W157" s="4">
        <v>1.0305863964643742</v>
      </c>
      <c r="Y157" s="561">
        <f t="shared" si="47"/>
        <v>134.75</v>
      </c>
      <c r="Z157" s="4">
        <f ca="1">IFERROR(VALUE(_xll.BDH(Z$4,"PX_LAST",$Q157,$Q157)),Z158)</f>
        <v>0</v>
      </c>
      <c r="AA157" s="4">
        <f ca="1">IFERROR(VALUE(_xll.BDH(AA$4,"PX_LAST",$Q157,$Q157)),AA158)</f>
        <v>0</v>
      </c>
      <c r="AB157" s="4">
        <f ca="1">IFERROR(VALUE(_xll.BDH(AB$4,"PX_LAST",$Q157,$Q157)),AB158)</f>
        <v>0</v>
      </c>
      <c r="AC157" s="4">
        <f ca="1">IFERROR(VALUE(_xll.BDH(AC$4,"PX_LAST",$Q157,$Q157)),AC158)</f>
        <v>0</v>
      </c>
      <c r="AD157" s="4">
        <f ca="1">IFERROR(VALUE(_xll.BDH(AD$4,"PX_LAST",$Q157,$Q157)),AD158)</f>
        <v>0</v>
      </c>
      <c r="AF157" s="4">
        <f t="shared" si="48"/>
        <v>1.0867811920316155</v>
      </c>
      <c r="AG157" s="4" t="e">
        <f t="shared" ca="1" si="49"/>
        <v>#DIV/0!</v>
      </c>
      <c r="AH157" s="4" t="e">
        <f t="shared" ca="1" si="50"/>
        <v>#DIV/0!</v>
      </c>
      <c r="AI157" s="4" t="e">
        <f t="shared" ca="1" si="51"/>
        <v>#DIV/0!</v>
      </c>
      <c r="AJ157" s="4" t="e">
        <f t="shared" ca="1" si="52"/>
        <v>#DIV/0!</v>
      </c>
      <c r="AK157" s="4" t="e">
        <f t="shared" ca="1" si="53"/>
        <v>#DIV/0!</v>
      </c>
      <c r="AM157" s="563">
        <f t="shared" ca="1" si="54"/>
        <v>45792</v>
      </c>
      <c r="AN157" s="564">
        <v>143.55000000000001</v>
      </c>
      <c r="AO157" s="564">
        <v>2582924</v>
      </c>
      <c r="AP157" s="564">
        <v>53646.156999999999</v>
      </c>
      <c r="AQ157" s="564">
        <v>7700905.8373500006</v>
      </c>
      <c r="AR157" s="564">
        <v>2.0007000000000001</v>
      </c>
    </row>
    <row r="158" spans="2:44">
      <c r="B158" s="565">
        <f t="shared" ca="1" si="55"/>
        <v>44874</v>
      </c>
      <c r="C158" s="561">
        <f ca="1">(IFERROR(IFERROR(VALUE(_xll.BDH(C$4,"CURRENT_EV_TO_T12M_EBITDA",$B158,$B158)),VALUE(_xll.BDH(C$4,"CURRENT_EV_TO_T12M_EBITDA",$B158+1,$B158+1))),C159))</f>
        <v>0</v>
      </c>
      <c r="D158" s="561">
        <f ca="1">(IFERROR(IFERROR(VALUE(_xll.BDH(D$4,"CURRENT_EV_TO_T12M_EBITDA",$B158,$B158)),VALUE(_xll.BDH(D$4,"CURRENT_EV_TO_T12M_EBITDA",$B158+1,$B158+1))),D159))</f>
        <v>0</v>
      </c>
      <c r="E158" s="561">
        <f ca="1">(IFERROR(IFERROR(VALUE(_xll.BDH(E$4,"CURRENT_EV_TO_T12M_EBITDA",$B158,$B158)),VALUE(_xll.BDH(E$4,"CURRENT_EV_TO_T12M_EBITDA",$B158+1,$B158+1))),E159))</f>
        <v>0</v>
      </c>
      <c r="F158" s="561">
        <f ca="1">(IFERROR(IFERROR(VALUE(_xll.BDH(F$4,"CURRENT_EV_TO_T12M_EBITDA",$B158,$B158)),VALUE(_xll.BDH(F$4,"CURRENT_EV_TO_T12M_EBITDA",$B158+1,$B158+1))),F159))</f>
        <v>0</v>
      </c>
      <c r="G158" s="561">
        <f ca="1">(IFERROR(IFERROR(VALUE(_xll.BDH(G$4,"CURRENT_EV_TO_T12M_EBITDA",$B158,$B158)),VALUE(_xll.BDH(G$4,"CURRENT_EV_TO_T12M_EBITDA",$B158+1,$B158+1))),G159))</f>
        <v>0</v>
      </c>
      <c r="H158" s="561">
        <f ca="1">(IFERROR(IFERROR(VALUE(_xll.BDH(H$4,"CURRENT_EV_TO_T12M_EBITDA",$B158,$B158)),VALUE(_xll.BDH(H$4,"CURRENT_EV_TO_T12M_EBITDA",$B158+1,$B158+1))),H159))</f>
        <v>0</v>
      </c>
      <c r="I158" s="565">
        <f t="shared" ca="1" si="45"/>
        <v>44874</v>
      </c>
      <c r="J158" s="561">
        <f ca="1">(IFERROR(IFERROR(VALUE(_xll.BDH(J$4,"PE_RATIO",$B158,$B158)),VALUE(_xll.BDH(J$4,"PE_RATIO",$B158+1,$B158+1))),J159))</f>
        <v>0</v>
      </c>
      <c r="K158" s="561">
        <f ca="1">(IFERROR(IFERROR(VALUE(_xll.BDH(K$4,"PE_RATIO",$B158,$B158)),VALUE(_xll.BDH(K$4,"PE_RATIO",$B158+1,$B158+1))),K159))</f>
        <v>0</v>
      </c>
      <c r="L158" s="561">
        <f ca="1">(IFERROR(IFERROR(VALUE(_xll.BDH(L$4,"PE_RATIO",$B158,$B158)),VALUE(_xll.BDH(L$4,"PE_RATIO",$B158+1,$B158+1))),L159))</f>
        <v>0</v>
      </c>
      <c r="M158" s="561">
        <f ca="1">(IFERROR(IFERROR(VALUE(_xll.BDH(M$4,"PE_RATIO",$B158,$B158)),VALUE(_xll.BDH(M$4,"PE_RATIO",$B158+1,$B158+1))),M159))</f>
        <v>0</v>
      </c>
      <c r="N158" s="561">
        <f ca="1">(IFERROR(IFERROR(VALUE(_xll.BDH(N$4,"PE_RATIO",$B158,$B158)),VALUE(_xll.BDH(N$4,"PE_RATIO",$B158+1,$B158+1))),N159))</f>
        <v>0</v>
      </c>
      <c r="O158" s="561">
        <f ca="1">(IFERROR(IFERROR(VALUE(_xll.BDH(O$4,"PE_RATIO",$B158,$B158)),VALUE(_xll.BDH(O$4,"PE_RATIO",$B158+1,$B158+1))),O159))</f>
        <v>0</v>
      </c>
      <c r="P158" s="561"/>
      <c r="Q158" s="565">
        <f t="shared" ca="1" si="46"/>
        <v>44874</v>
      </c>
      <c r="R158" s="4">
        <v>137.91</v>
      </c>
      <c r="S158" s="4">
        <v>11582.54</v>
      </c>
      <c r="T158" s="4">
        <v>792.78</v>
      </c>
      <c r="U158" s="4">
        <v>1.1122671183159933</v>
      </c>
      <c r="V158" s="4">
        <v>1.0275724710005103</v>
      </c>
      <c r="W158" s="4">
        <v>1.0682063166972082</v>
      </c>
      <c r="Y158" s="561">
        <f t="shared" si="47"/>
        <v>137.91</v>
      </c>
      <c r="Z158" s="4">
        <f ca="1">IFERROR(VALUE(_xll.BDH(Z$4,"PX_LAST",$Q158,$Q158)),Z159)</f>
        <v>0</v>
      </c>
      <c r="AA158" s="4">
        <f ca="1">IFERROR(VALUE(_xll.BDH(AA$4,"PX_LAST",$Q158,$Q158)),AA159)</f>
        <v>0</v>
      </c>
      <c r="AB158" s="4">
        <f ca="1">IFERROR(VALUE(_xll.BDH(AB$4,"PX_LAST",$Q158,$Q158)),AB159)</f>
        <v>0</v>
      </c>
      <c r="AC158" s="4">
        <f ca="1">IFERROR(VALUE(_xll.BDH(AC$4,"PX_LAST",$Q158,$Q158)),AC159)</f>
        <v>0</v>
      </c>
      <c r="AD158" s="4">
        <f ca="1">IFERROR(VALUE(_xll.BDH(AD$4,"PX_LAST",$Q158,$Q158)),AD159)</f>
        <v>0</v>
      </c>
      <c r="AF158" s="4">
        <f t="shared" si="48"/>
        <v>1.1122671183159933</v>
      </c>
      <c r="AG158" s="4" t="e">
        <f t="shared" ca="1" si="49"/>
        <v>#DIV/0!</v>
      </c>
      <c r="AH158" s="4" t="e">
        <f t="shared" ca="1" si="50"/>
        <v>#DIV/0!</v>
      </c>
      <c r="AI158" s="4" t="e">
        <f t="shared" ca="1" si="51"/>
        <v>#DIV/0!</v>
      </c>
      <c r="AJ158" s="4" t="e">
        <f t="shared" ca="1" si="52"/>
        <v>#DIV/0!</v>
      </c>
      <c r="AK158" s="4" t="e">
        <f t="shared" ca="1" si="53"/>
        <v>#DIV/0!</v>
      </c>
      <c r="AM158" s="563">
        <f t="shared" ca="1" si="54"/>
        <v>45791</v>
      </c>
      <c r="AN158" s="564">
        <v>125.14</v>
      </c>
      <c r="AO158" s="564">
        <v>1856133</v>
      </c>
      <c r="AP158" s="564">
        <v>53646.156999999999</v>
      </c>
      <c r="AQ158" s="564">
        <v>6713280.0869800001</v>
      </c>
      <c r="AR158" s="564">
        <v>1.7441</v>
      </c>
    </row>
    <row r="159" spans="2:44">
      <c r="B159" s="565">
        <f t="shared" ca="1" si="55"/>
        <v>44867</v>
      </c>
      <c r="C159" s="561">
        <f ca="1">(IFERROR(IFERROR(VALUE(_xll.BDH(C$4,"CURRENT_EV_TO_T12M_EBITDA",$B159,$B159)),VALUE(_xll.BDH(C$4,"CURRENT_EV_TO_T12M_EBITDA",$B159+1,$B159+1))),C160))</f>
        <v>0</v>
      </c>
      <c r="D159" s="561">
        <f ca="1">(IFERROR(IFERROR(VALUE(_xll.BDH(D$4,"CURRENT_EV_TO_T12M_EBITDA",$B159,$B159)),VALUE(_xll.BDH(D$4,"CURRENT_EV_TO_T12M_EBITDA",$B159+1,$B159+1))),D160))</f>
        <v>0</v>
      </c>
      <c r="E159" s="561">
        <f ca="1">(IFERROR(IFERROR(VALUE(_xll.BDH(E$4,"CURRENT_EV_TO_T12M_EBITDA",$B159,$B159)),VALUE(_xll.BDH(E$4,"CURRENT_EV_TO_T12M_EBITDA",$B159+1,$B159+1))),E160))</f>
        <v>0</v>
      </c>
      <c r="F159" s="561">
        <f ca="1">(IFERROR(IFERROR(VALUE(_xll.BDH(F$4,"CURRENT_EV_TO_T12M_EBITDA",$B159,$B159)),VALUE(_xll.BDH(F$4,"CURRENT_EV_TO_T12M_EBITDA",$B159+1,$B159+1))),F160))</f>
        <v>0</v>
      </c>
      <c r="G159" s="561">
        <f ca="1">(IFERROR(IFERROR(VALUE(_xll.BDH(G$4,"CURRENT_EV_TO_T12M_EBITDA",$B159,$B159)),VALUE(_xll.BDH(G$4,"CURRENT_EV_TO_T12M_EBITDA",$B159+1,$B159+1))),G160))</f>
        <v>0</v>
      </c>
      <c r="H159" s="561">
        <f ca="1">(IFERROR(IFERROR(VALUE(_xll.BDH(H$4,"CURRENT_EV_TO_T12M_EBITDA",$B159,$B159)),VALUE(_xll.BDH(H$4,"CURRENT_EV_TO_T12M_EBITDA",$B159+1,$B159+1))),H160))</f>
        <v>0</v>
      </c>
      <c r="I159" s="565">
        <f t="shared" ca="1" si="45"/>
        <v>44867</v>
      </c>
      <c r="J159" s="561">
        <f ca="1">(IFERROR(IFERROR(VALUE(_xll.BDH(J$4,"PE_RATIO",$B159,$B159)),VALUE(_xll.BDH(J$4,"PE_RATIO",$B159+1,$B159+1))),J160))</f>
        <v>0</v>
      </c>
      <c r="K159" s="561">
        <f ca="1">(IFERROR(IFERROR(VALUE(_xll.BDH(K$4,"PE_RATIO",$B159,$B159)),VALUE(_xll.BDH(K$4,"PE_RATIO",$B159+1,$B159+1))),K160))</f>
        <v>0</v>
      </c>
      <c r="L159" s="561">
        <f ca="1">(IFERROR(IFERROR(VALUE(_xll.BDH(L$4,"PE_RATIO",$B159,$B159)),VALUE(_xll.BDH(L$4,"PE_RATIO",$B159+1,$B159+1))),L160))</f>
        <v>0</v>
      </c>
      <c r="M159" s="561">
        <f ca="1">(IFERROR(IFERROR(VALUE(_xll.BDH(M$4,"PE_RATIO",$B159,$B159)),VALUE(_xll.BDH(M$4,"PE_RATIO",$B159+1,$B159+1))),M160))</f>
        <v>0</v>
      </c>
      <c r="N159" s="561">
        <f ca="1">(IFERROR(IFERROR(VALUE(_xll.BDH(N$4,"PE_RATIO",$B159,$B159)),VALUE(_xll.BDH(N$4,"PE_RATIO",$B159+1,$B159+1))),N160))</f>
        <v>0</v>
      </c>
      <c r="O159" s="561">
        <f ca="1">(IFERROR(IFERROR(VALUE(_xll.BDH(O$4,"PE_RATIO",$B159,$B159)),VALUE(_xll.BDH(O$4,"PE_RATIO",$B159+1,$B159+1))),O160))</f>
        <v>0</v>
      </c>
      <c r="P159" s="561"/>
      <c r="Q159" s="565">
        <f t="shared" ca="1" si="46"/>
        <v>44867</v>
      </c>
      <c r="R159" s="4">
        <v>123.99</v>
      </c>
      <c r="S159" s="4">
        <v>11271.75</v>
      </c>
      <c r="T159" s="4">
        <v>742.16</v>
      </c>
      <c r="U159" s="4">
        <v>1</v>
      </c>
      <c r="V159" s="4">
        <v>1</v>
      </c>
      <c r="W159" s="4">
        <v>1</v>
      </c>
      <c r="Y159" s="561">
        <f t="shared" si="47"/>
        <v>123.99</v>
      </c>
      <c r="Z159" s="4">
        <f ca="1">IFERROR(VALUE(_xll.BDH(Z$4,"PX_LAST",$Q159,$Q159)),Z160)</f>
        <v>0</v>
      </c>
      <c r="AA159" s="4">
        <f ca="1">IFERROR(VALUE(_xll.BDH(AA$4,"PX_LAST",$Q159,$Q159)),AA160)</f>
        <v>0</v>
      </c>
      <c r="AB159" s="4">
        <f ca="1">IFERROR(VALUE(_xll.BDH(AB$4,"PX_LAST",$Q159,$Q159)),AB160)</f>
        <v>0</v>
      </c>
      <c r="AC159" s="4">
        <f ca="1">IFERROR(VALUE(_xll.BDH(AC$4,"PX_LAST",$Q159,$Q159)),AC160)</f>
        <v>0</v>
      </c>
      <c r="AD159" s="4">
        <f ca="1">IFERROR(VALUE(_xll.BDH(AD$4,"PX_LAST",$Q159,$Q159)),AD160)</f>
        <v>0</v>
      </c>
      <c r="AF159" s="4">
        <f t="shared" si="48"/>
        <v>1</v>
      </c>
      <c r="AG159" s="4" t="e">
        <f t="shared" ca="1" si="49"/>
        <v>#DIV/0!</v>
      </c>
      <c r="AH159" s="4" t="e">
        <f t="shared" ca="1" si="50"/>
        <v>#DIV/0!</v>
      </c>
      <c r="AI159" s="4" t="e">
        <f t="shared" ca="1" si="51"/>
        <v>#DIV/0!</v>
      </c>
      <c r="AJ159" s="4" t="e">
        <f t="shared" ca="1" si="52"/>
        <v>#DIV/0!</v>
      </c>
      <c r="AK159" s="4" t="e">
        <f t="shared" ca="1" si="53"/>
        <v>#DIV/0!</v>
      </c>
      <c r="AM159" s="563">
        <f t="shared" ca="1" si="54"/>
        <v>45790</v>
      </c>
      <c r="AN159" s="564">
        <v>129.27000000000001</v>
      </c>
      <c r="AO159" s="564">
        <v>1971427</v>
      </c>
      <c r="AP159" s="564">
        <v>53646.156999999999</v>
      </c>
      <c r="AQ159" s="564">
        <v>6934838.7153900005</v>
      </c>
      <c r="AR159" s="564">
        <v>1.8016000000000001</v>
      </c>
    </row>
    <row r="160" spans="2:44">
      <c r="B160" s="565">
        <f t="shared" ca="1" si="55"/>
        <v>44860</v>
      </c>
      <c r="I160" s="565">
        <f t="shared" ca="1" si="45"/>
        <v>44860</v>
      </c>
      <c r="Q160" s="565">
        <f t="shared" ca="1" si="46"/>
        <v>44860</v>
      </c>
      <c r="R160" s="4">
        <v>134.34</v>
      </c>
      <c r="S160" s="4">
        <v>11851.54</v>
      </c>
      <c r="T160" s="4">
        <v>793.26</v>
      </c>
      <c r="AM160" s="563">
        <f t="shared" ca="1" si="54"/>
        <v>45789</v>
      </c>
      <c r="AN160" s="564">
        <v>135.46</v>
      </c>
      <c r="AO160" s="564">
        <v>1346599</v>
      </c>
      <c r="AP160" s="564">
        <v>53646.156999999999</v>
      </c>
      <c r="AQ160" s="564">
        <v>7266908.42722</v>
      </c>
      <c r="AR160" s="564">
        <v>1.8878999999999999</v>
      </c>
    </row>
    <row r="161" spans="2:44">
      <c r="B161" s="565">
        <f t="shared" ca="1" si="55"/>
        <v>44853</v>
      </c>
      <c r="I161" s="565">
        <f t="shared" ca="1" si="45"/>
        <v>44853</v>
      </c>
      <c r="Q161" s="565">
        <f t="shared" ca="1" si="46"/>
        <v>44853</v>
      </c>
      <c r="R161" s="4">
        <v>146.15</v>
      </c>
      <c r="S161" s="4">
        <v>12033.62</v>
      </c>
      <c r="T161" s="4">
        <v>819.74</v>
      </c>
      <c r="AM161" s="563">
        <f t="shared" ca="1" si="54"/>
        <v>45788</v>
      </c>
      <c r="AN161" s="564">
        <v>135.46</v>
      </c>
      <c r="AO161" s="564">
        <v>1346599</v>
      </c>
      <c r="AP161" s="564">
        <v>53646.156999999999</v>
      </c>
      <c r="AQ161" s="564">
        <v>7266908.42722</v>
      </c>
      <c r="AR161" s="564">
        <v>1.8878999999999999</v>
      </c>
    </row>
    <row r="162" spans="2:44">
      <c r="B162" s="565">
        <f t="shared" ca="1" si="55"/>
        <v>44846</v>
      </c>
      <c r="I162" s="565">
        <f t="shared" ca="1" si="45"/>
        <v>44846</v>
      </c>
      <c r="Q162" s="565">
        <f t="shared" ca="1" si="46"/>
        <v>44846</v>
      </c>
      <c r="R162" s="4">
        <v>141.55000000000001</v>
      </c>
      <c r="S162" s="4">
        <v>12011.31</v>
      </c>
      <c r="T162" s="4">
        <v>805.71</v>
      </c>
      <c r="AM162" s="563">
        <f t="shared" ca="1" si="54"/>
        <v>45787</v>
      </c>
      <c r="AN162" s="564">
        <v>135.46</v>
      </c>
      <c r="AO162" s="564">
        <v>1346599</v>
      </c>
      <c r="AP162" s="564">
        <v>53646.156999999999</v>
      </c>
      <c r="AQ162" s="564">
        <v>7266908.42722</v>
      </c>
      <c r="AR162" s="564">
        <v>1.8878999999999999</v>
      </c>
    </row>
    <row r="163" spans="2:44">
      <c r="AM163" s="563">
        <f t="shared" ca="1" si="54"/>
        <v>45786</v>
      </c>
      <c r="AN163" s="564">
        <v>142.16999999999999</v>
      </c>
      <c r="AO163" s="564">
        <v>1480331</v>
      </c>
      <c r="AP163" s="564">
        <v>53646.156999999999</v>
      </c>
      <c r="AQ163" s="564">
        <v>7626874.1406899989</v>
      </c>
      <c r="AR163" s="564">
        <v>1.9814000000000001</v>
      </c>
    </row>
    <row r="164" spans="2:44">
      <c r="B164" s="378" t="s">
        <v>21</v>
      </c>
      <c r="C164" s="554"/>
      <c r="D164" s="23"/>
      <c r="E164" s="4" cm="1">
        <f t="array" ref="E164">_xll.BDP(Inputs!$D$15,F164)</f>
        <v>0.98372155427932739</v>
      </c>
      <c r="F164" s="4" t="s">
        <v>760</v>
      </c>
      <c r="AM164" s="563">
        <f t="shared" ca="1" si="54"/>
        <v>45785</v>
      </c>
      <c r="AN164" s="564">
        <v>154.76</v>
      </c>
      <c r="AO164" s="564">
        <v>383336</v>
      </c>
      <c r="AP164" s="564">
        <v>53646.156999999999</v>
      </c>
      <c r="AQ164" s="564">
        <v>8302279.2573199999</v>
      </c>
      <c r="AR164" s="564">
        <v>2.1568999999999998</v>
      </c>
    </row>
    <row r="165" spans="2:44">
      <c r="B165" s="378" t="s">
        <v>22</v>
      </c>
      <c r="C165" s="23"/>
      <c r="D165" s="23"/>
      <c r="E165" s="4" cm="1">
        <f t="array" ref="E165">_xll.BDP(Inputs!$D$15,F165)/100</f>
        <v>0.24535886764526368</v>
      </c>
      <c r="F165" s="4" t="s">
        <v>761</v>
      </c>
      <c r="AM165" s="563">
        <f t="shared" ca="1" si="54"/>
        <v>45784</v>
      </c>
      <c r="AN165" s="564">
        <v>152.72999999999999</v>
      </c>
      <c r="AO165" s="564">
        <v>589866</v>
      </c>
      <c r="AP165" s="564">
        <v>53646.156999999999</v>
      </c>
      <c r="AQ165" s="564">
        <v>8193377.5586099997</v>
      </c>
      <c r="AR165" s="564">
        <v>2.1286</v>
      </c>
    </row>
    <row r="166" spans="2:44">
      <c r="B166" s="378" t="s">
        <v>23</v>
      </c>
      <c r="C166" s="23"/>
      <c r="D166" s="23"/>
      <c r="E166" s="4" cm="1">
        <f t="array" ref="E166">_xll.BDP(Inputs!$D$15,F166)</f>
        <v>141.42449951171875</v>
      </c>
      <c r="F166" s="4" t="s">
        <v>762</v>
      </c>
      <c r="AM166" s="563">
        <f t="shared" ca="1" si="54"/>
        <v>45783</v>
      </c>
      <c r="AN166" s="564">
        <v>151.97999999999999</v>
      </c>
      <c r="AO166" s="564">
        <v>461352</v>
      </c>
      <c r="AP166" s="564">
        <v>53646.156999999999</v>
      </c>
      <c r="AQ166" s="564">
        <v>8153142.9408599995</v>
      </c>
      <c r="AR166" s="564">
        <v>2.1181999999999999</v>
      </c>
    </row>
    <row r="167" spans="2:44">
      <c r="B167" s="378"/>
      <c r="C167" s="23"/>
      <c r="D167" s="23"/>
      <c r="AM167" s="563">
        <f t="shared" ca="1" si="54"/>
        <v>45782</v>
      </c>
      <c r="AN167" s="564">
        <v>152.76</v>
      </c>
      <c r="AO167" s="564">
        <v>442688</v>
      </c>
      <c r="AP167" s="564">
        <v>53646.156999999999</v>
      </c>
      <c r="AQ167" s="564">
        <v>8194986.9433199996</v>
      </c>
      <c r="AR167" s="564">
        <v>2.1183999999999998</v>
      </c>
    </row>
    <row r="168" spans="2:44">
      <c r="B168" s="378" t="s">
        <v>25</v>
      </c>
      <c r="C168" s="23"/>
      <c r="D168" s="23"/>
      <c r="E168" s="4" cm="1">
        <f t="array" ref="E168">_xll.BDP(Inputs!$D$15,F168)</f>
        <v>1068818.625</v>
      </c>
      <c r="F168" s="4" t="s">
        <v>763</v>
      </c>
      <c r="AM168" s="563">
        <f t="shared" ca="1" si="54"/>
        <v>45781</v>
      </c>
      <c r="AN168" s="564">
        <v>152.76</v>
      </c>
      <c r="AO168" s="564">
        <v>442688</v>
      </c>
      <c r="AP168" s="564">
        <v>53646.156999999999</v>
      </c>
      <c r="AQ168" s="564">
        <v>8194986.9433199996</v>
      </c>
      <c r="AR168" s="564">
        <v>2.1183999999999998</v>
      </c>
    </row>
    <row r="169" spans="2:44">
      <c r="B169" s="378" t="s">
        <v>500</v>
      </c>
      <c r="C169" s="23"/>
      <c r="D169" s="23"/>
      <c r="E169" s="4" cm="1">
        <f t="array" ref="E169">_xll.BDP(Inputs!$D$15,F169)</f>
        <v>50.682389999999998</v>
      </c>
      <c r="F169" s="4" t="s">
        <v>764</v>
      </c>
      <c r="AM169" s="563">
        <f t="shared" ca="1" si="54"/>
        <v>45780</v>
      </c>
      <c r="AN169" s="564">
        <v>152.76</v>
      </c>
      <c r="AO169" s="564">
        <v>442688</v>
      </c>
      <c r="AP169" s="564">
        <v>53646.156999999999</v>
      </c>
      <c r="AQ169" s="564">
        <v>8194986.9433199996</v>
      </c>
      <c r="AR169" s="564">
        <v>2.1183999999999998</v>
      </c>
    </row>
    <row r="170" spans="2:44">
      <c r="B170" s="378" t="s">
        <v>29</v>
      </c>
      <c r="C170" s="23"/>
      <c r="D170" s="23"/>
      <c r="E170" s="586" cm="1">
        <f t="array" ref="E170">_xll.BDP(Inputs!$D$15,F170)/100</f>
        <v>0.91989109999999996</v>
      </c>
      <c r="F170" s="4" t="s">
        <v>765</v>
      </c>
      <c r="AM170" s="563">
        <f t="shared" ca="1" si="54"/>
        <v>45779</v>
      </c>
      <c r="AN170" s="564">
        <v>157.13</v>
      </c>
      <c r="AO170" s="564">
        <v>434843</v>
      </c>
      <c r="AP170" s="564">
        <v>53624.59</v>
      </c>
      <c r="AQ170" s="564">
        <v>8426031.8267000001</v>
      </c>
      <c r="AR170" s="564">
        <v>2.1789999999999998</v>
      </c>
    </row>
    <row r="171" spans="2:44">
      <c r="B171" s="378" t="s">
        <v>31</v>
      </c>
      <c r="C171" s="23"/>
      <c r="D171" s="23"/>
      <c r="E171" s="586" cm="1">
        <f t="array" ref="E171">_xll.BDP(Inputs!$D$15,F171)/100</f>
        <v>6.098394E-2</v>
      </c>
      <c r="F171" s="4" t="s">
        <v>766</v>
      </c>
      <c r="AM171" s="563">
        <f ca="1">AM170-1</f>
        <v>45778</v>
      </c>
      <c r="AN171" s="564">
        <v>156.52000000000001</v>
      </c>
      <c r="AO171" s="564">
        <v>323492</v>
      </c>
      <c r="AP171" s="564">
        <v>53624.59</v>
      </c>
      <c r="AQ171" s="564">
        <v>8393320.8267999999</v>
      </c>
      <c r="AR171" s="564">
        <v>2.1705999999999999</v>
      </c>
    </row>
    <row r="172" spans="2:44">
      <c r="B172" s="378"/>
      <c r="C172" s="23"/>
      <c r="D172" s="23"/>
      <c r="AM172" s="563">
        <f t="shared" ca="1" si="54"/>
        <v>45777</v>
      </c>
      <c r="AN172" s="564">
        <v>156.65</v>
      </c>
      <c r="AO172" s="564">
        <v>341393</v>
      </c>
      <c r="AP172" s="564">
        <v>53624.59</v>
      </c>
      <c r="AQ172" s="564">
        <v>8400292.0234999992</v>
      </c>
      <c r="AR172" s="564">
        <v>2.1724000000000001</v>
      </c>
    </row>
    <row r="173" spans="2:44">
      <c r="B173" s="378" t="s">
        <v>767</v>
      </c>
      <c r="C173" s="23"/>
      <c r="D173" s="23"/>
      <c r="E173" s="586" cm="1">
        <f t="array" ref="E173">_xll.BDP(Inputs!$D$15,F173)/100</f>
        <v>1.5432756821452185E-2</v>
      </c>
      <c r="F173" s="4" t="s">
        <v>768</v>
      </c>
      <c r="AM173" s="563">
        <f t="shared" ca="1" si="54"/>
        <v>45776</v>
      </c>
      <c r="AN173" s="564">
        <v>158.54</v>
      </c>
      <c r="AO173" s="564">
        <v>621700</v>
      </c>
      <c r="AP173" s="564">
        <v>53624.59</v>
      </c>
      <c r="AQ173" s="564">
        <v>8501642.4985999987</v>
      </c>
      <c r="AR173" s="564">
        <v>2.1985999999999999</v>
      </c>
    </row>
    <row r="174" spans="2:44">
      <c r="B174" s="378" t="s">
        <v>35</v>
      </c>
      <c r="C174" s="23"/>
      <c r="D174" s="23"/>
      <c r="E174" s="586" cm="1">
        <f t="array" ref="E174">_xll.BDP(Inputs!$D$15,F174)/100</f>
        <v>1.2342791546626637</v>
      </c>
      <c r="F174" s="4" t="s">
        <v>769</v>
      </c>
      <c r="AM174" s="563">
        <f t="shared" ca="1" si="54"/>
        <v>45775</v>
      </c>
      <c r="AN174" s="564">
        <v>154.41</v>
      </c>
      <c r="AO174" s="564">
        <v>1956125</v>
      </c>
      <c r="AP174" s="564">
        <v>53624.59</v>
      </c>
      <c r="AQ174" s="564">
        <v>8280172.941899999</v>
      </c>
      <c r="AR174" s="564">
        <v>2.1413000000000002</v>
      </c>
    </row>
    <row r="175" spans="2:44">
      <c r="AM175" s="563">
        <f t="shared" ca="1" si="54"/>
        <v>45774</v>
      </c>
      <c r="AN175" s="564">
        <v>154.41</v>
      </c>
      <c r="AO175" s="564">
        <v>1956125</v>
      </c>
      <c r="AP175" s="564">
        <v>53624.59</v>
      </c>
      <c r="AQ175" s="564">
        <v>8280172.941899999</v>
      </c>
      <c r="AR175" s="564">
        <v>2.1413000000000002</v>
      </c>
    </row>
    <row r="176" spans="2:44">
      <c r="B176" s="378"/>
      <c r="C176" s="23"/>
      <c r="D176" s="23"/>
      <c r="AM176" s="563">
        <f t="shared" ca="1" si="54"/>
        <v>45773</v>
      </c>
      <c r="AN176" s="564">
        <v>154.41</v>
      </c>
      <c r="AO176" s="564">
        <v>1956125</v>
      </c>
      <c r="AP176" s="564">
        <v>53624.59</v>
      </c>
      <c r="AQ176" s="564">
        <v>8280172.941899999</v>
      </c>
      <c r="AR176" s="564">
        <v>2.1413000000000002</v>
      </c>
    </row>
    <row r="177" spans="2:44">
      <c r="B177" s="378"/>
      <c r="C177" s="23"/>
      <c r="D177" s="23"/>
      <c r="E177" s="586"/>
      <c r="AM177" s="563">
        <f t="shared" ca="1" si="54"/>
        <v>45772</v>
      </c>
      <c r="AN177" s="564">
        <v>153.93</v>
      </c>
      <c r="AO177" s="564">
        <v>921261</v>
      </c>
      <c r="AP177" s="564">
        <v>53624.59</v>
      </c>
      <c r="AQ177" s="564">
        <v>8254433.1387</v>
      </c>
      <c r="AR177" s="564">
        <v>2.1345999999999998</v>
      </c>
    </row>
    <row r="178" spans="2:44">
      <c r="B178" s="378"/>
      <c r="C178" s="23"/>
      <c r="D178" s="23"/>
      <c r="E178" s="586"/>
      <c r="AM178" s="563">
        <f t="shared" ca="1" si="54"/>
        <v>45771</v>
      </c>
      <c r="AN178" s="564">
        <v>154.9</v>
      </c>
      <c r="AO178" s="564">
        <v>456644</v>
      </c>
      <c r="AP178" s="564">
        <v>53624.59</v>
      </c>
      <c r="AQ178" s="564">
        <v>8306448.9909999995</v>
      </c>
      <c r="AR178" s="564">
        <v>2.1480999999999999</v>
      </c>
    </row>
    <row r="179" spans="2:44">
      <c r="B179" s="378"/>
      <c r="C179" s="23"/>
      <c r="D179" s="23"/>
      <c r="E179" s="586"/>
      <c r="AM179" s="563">
        <f t="shared" ca="1" si="54"/>
        <v>45770</v>
      </c>
      <c r="AN179" s="564">
        <v>153.44</v>
      </c>
      <c r="AO179" s="564">
        <v>436916</v>
      </c>
      <c r="AP179" s="564">
        <v>53624.59</v>
      </c>
      <c r="AQ179" s="564">
        <v>8228157.0895999996</v>
      </c>
      <c r="AR179" s="564">
        <v>2.1278999999999999</v>
      </c>
    </row>
    <row r="180" spans="2:44">
      <c r="AM180" s="563">
        <f t="shared" ca="1" si="54"/>
        <v>45769</v>
      </c>
      <c r="AN180" s="564">
        <v>153.52000000000001</v>
      </c>
      <c r="AO180" s="564">
        <v>460349</v>
      </c>
      <c r="AP180" s="564">
        <v>53624.59</v>
      </c>
      <c r="AQ180" s="564">
        <v>8232447.0568000004</v>
      </c>
      <c r="AR180" s="564">
        <v>2.129</v>
      </c>
    </row>
    <row r="181" spans="2:44">
      <c r="AM181" s="563">
        <f t="shared" ca="1" si="54"/>
        <v>45768</v>
      </c>
      <c r="AN181" s="564">
        <v>151.66999999999999</v>
      </c>
      <c r="AO181" s="564">
        <v>530529</v>
      </c>
      <c r="AP181" s="564">
        <v>53624.59</v>
      </c>
      <c r="AQ181" s="564">
        <v>8133241.565299999</v>
      </c>
      <c r="AR181" s="564">
        <v>2.1032999999999999</v>
      </c>
    </row>
    <row r="182" spans="2:44">
      <c r="AM182" s="563">
        <f t="shared" ca="1" si="54"/>
        <v>45767</v>
      </c>
      <c r="AN182" s="564">
        <v>151.66999999999999</v>
      </c>
      <c r="AO182" s="564">
        <v>530529</v>
      </c>
      <c r="AP182" s="564">
        <v>53624.59</v>
      </c>
      <c r="AQ182" s="564">
        <v>8133241.565299999</v>
      </c>
      <c r="AR182" s="564">
        <v>2.1032999999999999</v>
      </c>
    </row>
    <row r="183" spans="2:44">
      <c r="AM183" s="563">
        <f t="shared" ca="1" si="54"/>
        <v>45766</v>
      </c>
      <c r="AN183" s="564">
        <v>151.66999999999999</v>
      </c>
      <c r="AO183" s="564">
        <v>530529</v>
      </c>
      <c r="AP183" s="564">
        <v>53624.59</v>
      </c>
      <c r="AQ183" s="564">
        <v>8133241.565299999</v>
      </c>
      <c r="AR183" s="564">
        <v>2.1032999999999999</v>
      </c>
    </row>
    <row r="184" spans="2:44">
      <c r="AM184" s="563">
        <f t="shared" ca="1" si="54"/>
        <v>45765</v>
      </c>
      <c r="AN184" s="564">
        <v>147.69</v>
      </c>
      <c r="AO184" s="564">
        <v>746684</v>
      </c>
      <c r="AP184" s="564">
        <v>53624.59</v>
      </c>
      <c r="AQ184" s="564">
        <v>7919815.6970999995</v>
      </c>
      <c r="AR184" s="564">
        <v>2.0480999999999998</v>
      </c>
    </row>
    <row r="185" spans="2:44">
      <c r="AM185" s="563">
        <f t="shared" ca="1" si="54"/>
        <v>45764</v>
      </c>
      <c r="AN185" s="564">
        <v>152.13</v>
      </c>
      <c r="AO185" s="564">
        <v>861178</v>
      </c>
      <c r="AP185" s="564">
        <v>53624.59</v>
      </c>
      <c r="AQ185" s="564">
        <v>8157908.876699999</v>
      </c>
      <c r="AR185" s="564">
        <v>2.1097000000000001</v>
      </c>
    </row>
    <row r="186" spans="2:44">
      <c r="AM186" s="563">
        <f t="shared" ca="1" si="54"/>
        <v>45763</v>
      </c>
      <c r="AN186" s="564">
        <v>155.16999999999999</v>
      </c>
      <c r="AO186" s="564">
        <v>1054589</v>
      </c>
      <c r="AP186" s="564">
        <v>53624.59</v>
      </c>
      <c r="AQ186" s="564">
        <v>8320927.6302999984</v>
      </c>
      <c r="AR186" s="564">
        <v>2.1518000000000002</v>
      </c>
    </row>
    <row r="187" spans="2:44">
      <c r="AM187" s="563">
        <f t="shared" ca="1" si="54"/>
        <v>45762</v>
      </c>
      <c r="AN187" s="564">
        <v>157.32</v>
      </c>
      <c r="AO187" s="564">
        <v>677872</v>
      </c>
      <c r="AP187" s="564">
        <v>53624.59</v>
      </c>
      <c r="AQ187" s="564">
        <v>8436220.4987999983</v>
      </c>
      <c r="AR187" s="564">
        <v>2.1817000000000002</v>
      </c>
    </row>
    <row r="188" spans="2:44">
      <c r="AM188" s="563">
        <f t="shared" ca="1" si="54"/>
        <v>45761</v>
      </c>
      <c r="AN188" s="564">
        <v>160.87</v>
      </c>
      <c r="AO188" s="564">
        <v>608242</v>
      </c>
      <c r="AP188" s="564">
        <v>53624.59</v>
      </c>
      <c r="AQ188" s="564">
        <v>8626587.7932999991</v>
      </c>
      <c r="AR188" s="564">
        <v>2.2309000000000001</v>
      </c>
    </row>
    <row r="189" spans="2:44">
      <c r="AM189" s="563">
        <f t="shared" ca="1" si="54"/>
        <v>45760</v>
      </c>
      <c r="AN189" s="564">
        <v>160.87</v>
      </c>
      <c r="AO189" s="564">
        <v>608242</v>
      </c>
      <c r="AP189" s="564">
        <v>53624.59</v>
      </c>
      <c r="AQ189" s="564">
        <v>8626587.7932999991</v>
      </c>
      <c r="AR189" s="564">
        <v>2.2309000000000001</v>
      </c>
    </row>
    <row r="190" spans="2:44">
      <c r="AM190" s="563">
        <f t="shared" ca="1" si="54"/>
        <v>45759</v>
      </c>
      <c r="AN190" s="564">
        <v>160.87</v>
      </c>
      <c r="AO190" s="564">
        <v>608242</v>
      </c>
      <c r="AP190" s="564">
        <v>53624.59</v>
      </c>
      <c r="AQ190" s="564">
        <v>8626587.7932999991</v>
      </c>
      <c r="AR190" s="564">
        <v>2.2309000000000001</v>
      </c>
    </row>
    <row r="191" spans="2:44">
      <c r="AM191" s="563">
        <f t="shared" ca="1" si="54"/>
        <v>45758</v>
      </c>
      <c r="AN191" s="564">
        <v>158.07</v>
      </c>
      <c r="AO191" s="564">
        <v>776505</v>
      </c>
      <c r="AP191" s="564">
        <v>53624.59</v>
      </c>
      <c r="AQ191" s="564">
        <v>8476438.9412999991</v>
      </c>
      <c r="AR191" s="564">
        <v>2.1920999999999999</v>
      </c>
    </row>
    <row r="192" spans="2:44">
      <c r="AM192" s="563">
        <f t="shared" ca="1" si="54"/>
        <v>45757</v>
      </c>
      <c r="AN192" s="564">
        <v>160.1</v>
      </c>
      <c r="AO192" s="564">
        <v>1423494</v>
      </c>
      <c r="AP192" s="564">
        <v>53624.59</v>
      </c>
      <c r="AQ192" s="564">
        <v>8585296.8589999992</v>
      </c>
      <c r="AR192" s="564">
        <v>2.2202000000000002</v>
      </c>
    </row>
    <row r="193" spans="39:44">
      <c r="AM193" s="563">
        <f t="shared" ca="1" si="54"/>
        <v>45756</v>
      </c>
      <c r="AN193" s="564">
        <v>159.04</v>
      </c>
      <c r="AO193" s="564">
        <v>783788</v>
      </c>
      <c r="AP193" s="564">
        <v>53624.59</v>
      </c>
      <c r="AQ193" s="564">
        <v>8528454.7935999986</v>
      </c>
      <c r="AR193" s="564">
        <v>2.2054999999999998</v>
      </c>
    </row>
    <row r="194" spans="39:44">
      <c r="AM194" s="563">
        <f t="shared" ca="1" si="54"/>
        <v>45755</v>
      </c>
      <c r="AN194" s="564">
        <v>161.58000000000001</v>
      </c>
      <c r="AO194" s="564">
        <v>533354</v>
      </c>
      <c r="AP194" s="564">
        <v>53624.59</v>
      </c>
      <c r="AQ194" s="564">
        <v>8664661.2522</v>
      </c>
      <c r="AR194" s="564">
        <v>2.2406999999999999</v>
      </c>
    </row>
    <row r="195" spans="39:44">
      <c r="AM195" s="563">
        <f t="shared" ca="1" si="54"/>
        <v>45754</v>
      </c>
      <c r="AN195" s="564">
        <v>165.41</v>
      </c>
      <c r="AO195" s="564">
        <v>629371</v>
      </c>
      <c r="AP195" s="564">
        <v>53624.59</v>
      </c>
      <c r="AQ195" s="564">
        <v>8870043.4318999983</v>
      </c>
      <c r="AR195" s="564">
        <v>2.2938000000000001</v>
      </c>
    </row>
    <row r="196" spans="39:44">
      <c r="AM196" s="563">
        <f t="shared" ca="1" si="54"/>
        <v>45753</v>
      </c>
      <c r="AN196" s="564">
        <v>165.41</v>
      </c>
      <c r="AO196" s="564">
        <v>629371</v>
      </c>
      <c r="AP196" s="564">
        <v>53624.59</v>
      </c>
      <c r="AQ196" s="564">
        <v>8870043.4318999983</v>
      </c>
      <c r="AR196" s="564">
        <v>2.2938000000000001</v>
      </c>
    </row>
    <row r="197" spans="39:44">
      <c r="AM197" s="563">
        <f t="shared" ref="AM197:AM260" ca="1" si="56">AM196-1</f>
        <v>45752</v>
      </c>
      <c r="AN197" s="564">
        <v>165.41</v>
      </c>
      <c r="AO197" s="564">
        <v>629371</v>
      </c>
      <c r="AP197" s="564">
        <v>53624.59</v>
      </c>
      <c r="AQ197" s="564">
        <v>8870043.4318999983</v>
      </c>
      <c r="AR197" s="564">
        <v>2.2938000000000001</v>
      </c>
    </row>
    <row r="198" spans="39:44">
      <c r="AM198" s="563">
        <f t="shared" ca="1" si="56"/>
        <v>45751</v>
      </c>
      <c r="AN198" s="564">
        <v>163.25</v>
      </c>
      <c r="AO198" s="564">
        <v>569495</v>
      </c>
      <c r="AP198" s="564">
        <v>53624.59</v>
      </c>
      <c r="AQ198" s="564">
        <v>8754214.317499999</v>
      </c>
      <c r="AR198" s="564">
        <v>2.2639</v>
      </c>
    </row>
    <row r="199" spans="39:44">
      <c r="AM199" s="563">
        <f t="shared" ca="1" si="56"/>
        <v>45750</v>
      </c>
      <c r="AN199" s="564">
        <v>165.36</v>
      </c>
      <c r="AO199" s="564">
        <v>906538</v>
      </c>
      <c r="AP199" s="564">
        <v>53793.158000000003</v>
      </c>
      <c r="AQ199" s="564">
        <v>8895236.6068800017</v>
      </c>
      <c r="AR199" s="564">
        <v>2.2932000000000001</v>
      </c>
    </row>
    <row r="200" spans="39:44">
      <c r="AM200" s="563">
        <f t="shared" ca="1" si="56"/>
        <v>45749</v>
      </c>
      <c r="AN200" s="564">
        <v>169.25</v>
      </c>
      <c r="AO200" s="564">
        <v>1956737</v>
      </c>
      <c r="AP200" s="564">
        <v>53793.158000000003</v>
      </c>
      <c r="AQ200" s="564">
        <v>9104491.9915000014</v>
      </c>
      <c r="AR200" s="564">
        <v>2.3471000000000002</v>
      </c>
    </row>
    <row r="201" spans="39:44">
      <c r="AM201" s="563">
        <f t="shared" ca="1" si="56"/>
        <v>45748</v>
      </c>
      <c r="AN201" s="564">
        <v>168.15</v>
      </c>
      <c r="AO201" s="564">
        <v>1064602</v>
      </c>
      <c r="AP201" s="564">
        <v>53793.158000000003</v>
      </c>
      <c r="AQ201" s="564">
        <v>9045319.5177000016</v>
      </c>
      <c r="AR201" s="564">
        <v>2.3317999999999999</v>
      </c>
    </row>
    <row r="202" spans="39:44">
      <c r="AM202" s="563">
        <f t="shared" ca="1" si="56"/>
        <v>45747</v>
      </c>
      <c r="AN202" s="564">
        <v>167.07</v>
      </c>
      <c r="AO202" s="564">
        <v>570782</v>
      </c>
      <c r="AP202" s="564">
        <v>53793.158000000003</v>
      </c>
      <c r="AQ202" s="564">
        <v>8987222.907060001</v>
      </c>
      <c r="AR202" s="564">
        <v>2.3169</v>
      </c>
    </row>
    <row r="203" spans="39:44">
      <c r="AM203" s="563">
        <f t="shared" ca="1" si="56"/>
        <v>45746</v>
      </c>
      <c r="AN203" s="564">
        <v>167.07</v>
      </c>
      <c r="AO203" s="564">
        <v>570782</v>
      </c>
      <c r="AP203" s="564">
        <v>53793.158000000003</v>
      </c>
      <c r="AQ203" s="564">
        <v>8987222.907060001</v>
      </c>
      <c r="AR203" s="564">
        <v>2.3169</v>
      </c>
    </row>
    <row r="204" spans="39:44">
      <c r="AM204" s="563">
        <f t="shared" ca="1" si="56"/>
        <v>45745</v>
      </c>
      <c r="AN204" s="564">
        <v>167.07</v>
      </c>
      <c r="AO204" s="564">
        <v>570782</v>
      </c>
      <c r="AP204" s="564">
        <v>53793.158000000003</v>
      </c>
      <c r="AQ204" s="564">
        <v>8987222.907060001</v>
      </c>
      <c r="AR204" s="564">
        <v>2.3169</v>
      </c>
    </row>
    <row r="205" spans="39:44">
      <c r="AM205" s="563">
        <f t="shared" ca="1" si="56"/>
        <v>45744</v>
      </c>
      <c r="AN205" s="564">
        <v>169.92</v>
      </c>
      <c r="AO205" s="564">
        <v>411053</v>
      </c>
      <c r="AP205" s="564">
        <v>53793.158000000003</v>
      </c>
      <c r="AQ205" s="564">
        <v>9140533.4073600005</v>
      </c>
      <c r="AR205" s="564">
        <v>2.3563999999999998</v>
      </c>
    </row>
    <row r="206" spans="39:44">
      <c r="AM206" s="563">
        <f t="shared" ca="1" si="56"/>
        <v>45743</v>
      </c>
      <c r="AN206" s="564">
        <v>169.99</v>
      </c>
      <c r="AO206" s="564">
        <v>722348</v>
      </c>
      <c r="AP206" s="564">
        <v>53793.158000000003</v>
      </c>
      <c r="AQ206" s="564">
        <v>9144298.9284200016</v>
      </c>
      <c r="AR206" s="564">
        <v>2.3574000000000002</v>
      </c>
    </row>
    <row r="207" spans="39:44">
      <c r="AM207" s="563">
        <f t="shared" ca="1" si="56"/>
        <v>45742</v>
      </c>
      <c r="AN207" s="564">
        <v>171.6</v>
      </c>
      <c r="AO207" s="564">
        <v>996540</v>
      </c>
      <c r="AP207" s="564">
        <v>53793.158000000003</v>
      </c>
      <c r="AQ207" s="564">
        <v>9230905.912800001</v>
      </c>
      <c r="AR207" s="564">
        <v>2.3797000000000001</v>
      </c>
    </row>
    <row r="208" spans="39:44">
      <c r="AM208" s="563">
        <f t="shared" ca="1" si="56"/>
        <v>45741</v>
      </c>
      <c r="AN208" s="564">
        <v>168.33</v>
      </c>
      <c r="AO208" s="564">
        <v>636889</v>
      </c>
      <c r="AP208" s="564">
        <v>53793.158000000003</v>
      </c>
      <c r="AQ208" s="564">
        <v>9055002.2861400004</v>
      </c>
      <c r="AR208" s="564">
        <v>2.3342999999999998</v>
      </c>
    </row>
    <row r="209" spans="39:44">
      <c r="AM209" s="563">
        <f t="shared" ca="1" si="56"/>
        <v>45740</v>
      </c>
      <c r="AN209" s="564">
        <v>168.33</v>
      </c>
      <c r="AO209" s="564">
        <v>636889</v>
      </c>
      <c r="AP209" s="564">
        <v>53793.158000000003</v>
      </c>
      <c r="AQ209" s="564">
        <v>9055002.2861400004</v>
      </c>
      <c r="AR209" s="564">
        <v>2.3342999999999998</v>
      </c>
    </row>
    <row r="210" spans="39:44">
      <c r="AM210" s="563">
        <f t="shared" ca="1" si="56"/>
        <v>45739</v>
      </c>
      <c r="AN210" s="564">
        <v>168.33</v>
      </c>
      <c r="AO210" s="564">
        <v>636889</v>
      </c>
      <c r="AP210" s="564">
        <v>53793.158000000003</v>
      </c>
      <c r="AQ210" s="564">
        <v>9055002.2861400004</v>
      </c>
      <c r="AR210" s="564">
        <v>2.3342999999999998</v>
      </c>
    </row>
    <row r="211" spans="39:44">
      <c r="AM211" s="563">
        <f t="shared" ca="1" si="56"/>
        <v>45738</v>
      </c>
      <c r="AN211" s="564">
        <v>168.33</v>
      </c>
      <c r="AO211" s="564">
        <v>636889</v>
      </c>
      <c r="AP211" s="564">
        <v>53793.158000000003</v>
      </c>
      <c r="AQ211" s="564">
        <v>9055002.2861400004</v>
      </c>
      <c r="AR211" s="564">
        <v>2.3342999999999998</v>
      </c>
    </row>
    <row r="212" spans="39:44">
      <c r="AM212" s="563">
        <f t="shared" ca="1" si="56"/>
        <v>45737</v>
      </c>
      <c r="AN212" s="564">
        <v>167</v>
      </c>
      <c r="AO212" s="564">
        <v>851950</v>
      </c>
      <c r="AP212" s="564">
        <v>53793.158000000003</v>
      </c>
      <c r="AQ212" s="564">
        <v>8983457.3859999999</v>
      </c>
      <c r="AR212" s="564">
        <v>2.3159000000000001</v>
      </c>
    </row>
    <row r="213" spans="39:44">
      <c r="AM213" s="563">
        <f t="shared" ca="1" si="56"/>
        <v>45736</v>
      </c>
      <c r="AN213" s="564">
        <v>165.1</v>
      </c>
      <c r="AO213" s="564">
        <v>821819</v>
      </c>
      <c r="AP213" s="564">
        <v>53793.158000000003</v>
      </c>
      <c r="AQ213" s="564">
        <v>8881250.3858000003</v>
      </c>
      <c r="AR213" s="564">
        <v>2.2894999999999999</v>
      </c>
    </row>
    <row r="214" spans="39:44">
      <c r="AM214" s="563">
        <f t="shared" ca="1" si="56"/>
        <v>45735</v>
      </c>
      <c r="AN214" s="564">
        <v>164.52</v>
      </c>
      <c r="AO214" s="564">
        <v>578070</v>
      </c>
      <c r="AP214" s="564">
        <v>53793.158000000003</v>
      </c>
      <c r="AQ214" s="564">
        <v>8850050.3541600015</v>
      </c>
      <c r="AR214" s="564">
        <v>2.2814999999999999</v>
      </c>
    </row>
    <row r="215" spans="39:44">
      <c r="AM215" s="563">
        <f t="shared" ca="1" si="56"/>
        <v>45734</v>
      </c>
      <c r="AN215" s="564">
        <v>165.26</v>
      </c>
      <c r="AO215" s="564">
        <v>573572</v>
      </c>
      <c r="AP215" s="564">
        <v>53793.158000000003</v>
      </c>
      <c r="AQ215" s="564">
        <v>8889857.2910799999</v>
      </c>
      <c r="AR215" s="564">
        <v>2.2917999999999998</v>
      </c>
    </row>
    <row r="216" spans="39:44">
      <c r="AM216" s="563">
        <f t="shared" ca="1" si="56"/>
        <v>45733</v>
      </c>
      <c r="AN216" s="564">
        <v>164.87</v>
      </c>
      <c r="AO216" s="564">
        <v>577675</v>
      </c>
      <c r="AP216" s="564">
        <v>53793.158000000003</v>
      </c>
      <c r="AQ216" s="564">
        <v>8868877.9594600014</v>
      </c>
      <c r="AR216" s="564">
        <v>2.2864</v>
      </c>
    </row>
    <row r="217" spans="39:44">
      <c r="AM217" s="563">
        <f t="shared" ca="1" si="56"/>
        <v>45732</v>
      </c>
      <c r="AN217" s="564">
        <v>164.87</v>
      </c>
      <c r="AO217" s="564">
        <v>577675</v>
      </c>
      <c r="AP217" s="564">
        <v>53793.158000000003</v>
      </c>
      <c r="AQ217" s="564">
        <v>8868877.9594600014</v>
      </c>
      <c r="AR217" s="564">
        <v>2.2864</v>
      </c>
    </row>
    <row r="218" spans="39:44">
      <c r="AM218" s="563">
        <f t="shared" ca="1" si="56"/>
        <v>45731</v>
      </c>
      <c r="AN218" s="564">
        <v>164.87</v>
      </c>
      <c r="AO218" s="564">
        <v>577675</v>
      </c>
      <c r="AP218" s="564">
        <v>53793.158000000003</v>
      </c>
      <c r="AQ218" s="564">
        <v>8868877.9594600014</v>
      </c>
      <c r="AR218" s="564">
        <v>2.2864</v>
      </c>
    </row>
    <row r="219" spans="39:44">
      <c r="AM219" s="563">
        <f t="shared" ca="1" si="56"/>
        <v>45730</v>
      </c>
      <c r="AN219" s="564">
        <v>167.11</v>
      </c>
      <c r="AO219" s="564">
        <v>653584</v>
      </c>
      <c r="AP219" s="564">
        <v>53793.158000000003</v>
      </c>
      <c r="AQ219" s="564">
        <v>8989374.6333800014</v>
      </c>
      <c r="AR219" s="564">
        <v>2.3174000000000001</v>
      </c>
    </row>
    <row r="220" spans="39:44">
      <c r="AM220" s="563">
        <f t="shared" ca="1" si="56"/>
        <v>45729</v>
      </c>
      <c r="AN220" s="564">
        <v>166.54</v>
      </c>
      <c r="AO220" s="564">
        <v>868908</v>
      </c>
      <c r="AP220" s="564">
        <v>53793.158000000003</v>
      </c>
      <c r="AQ220" s="564">
        <v>8958712.5333200004</v>
      </c>
      <c r="AR220" s="564">
        <v>2.3094999999999999</v>
      </c>
    </row>
    <row r="221" spans="39:44">
      <c r="AM221" s="563">
        <f t="shared" ca="1" si="56"/>
        <v>45728</v>
      </c>
      <c r="AN221" s="564">
        <v>169.54</v>
      </c>
      <c r="AO221" s="564">
        <v>532652</v>
      </c>
      <c r="AP221" s="564">
        <v>53793.158000000003</v>
      </c>
      <c r="AQ221" s="564">
        <v>9120092.0073199999</v>
      </c>
      <c r="AR221" s="564">
        <v>2.3511000000000002</v>
      </c>
    </row>
    <row r="222" spans="39:44">
      <c r="AM222" s="563">
        <f t="shared" ca="1" si="56"/>
        <v>45727</v>
      </c>
      <c r="AN222" s="564">
        <v>169.84</v>
      </c>
      <c r="AO222" s="564">
        <v>1062561</v>
      </c>
      <c r="AP222" s="564">
        <v>53793.158000000003</v>
      </c>
      <c r="AQ222" s="564">
        <v>9136229.9547199998</v>
      </c>
      <c r="AR222" s="564">
        <v>2.3553000000000002</v>
      </c>
    </row>
    <row r="223" spans="39:44">
      <c r="AM223" s="563">
        <f t="shared" ca="1" si="56"/>
        <v>45726</v>
      </c>
      <c r="AN223" s="564">
        <v>171.14</v>
      </c>
      <c r="AO223" s="564">
        <v>779680</v>
      </c>
      <c r="AP223" s="564">
        <v>53793.158000000003</v>
      </c>
      <c r="AQ223" s="564">
        <v>9206161.0601199996</v>
      </c>
      <c r="AR223" s="564">
        <v>2.3733</v>
      </c>
    </row>
    <row r="224" spans="39:44">
      <c r="AM224" s="563">
        <f t="shared" ca="1" si="56"/>
        <v>45725</v>
      </c>
      <c r="AN224" s="564">
        <v>171.14</v>
      </c>
      <c r="AO224" s="564">
        <v>779680</v>
      </c>
      <c r="AP224" s="564">
        <v>53793.158000000003</v>
      </c>
      <c r="AQ224" s="564">
        <v>9206161.0601199996</v>
      </c>
      <c r="AR224" s="564">
        <v>2.3733</v>
      </c>
    </row>
    <row r="225" spans="39:44">
      <c r="AM225" s="563">
        <f t="shared" ca="1" si="56"/>
        <v>45724</v>
      </c>
      <c r="AN225" s="564">
        <v>171.14</v>
      </c>
      <c r="AO225" s="564">
        <v>779680</v>
      </c>
      <c r="AP225" s="564">
        <v>53793.158000000003</v>
      </c>
      <c r="AQ225" s="564">
        <v>9206161.0601199996</v>
      </c>
      <c r="AR225" s="564">
        <v>2.3733</v>
      </c>
    </row>
    <row r="226" spans="39:44">
      <c r="AM226" s="563">
        <f t="shared" ca="1" si="56"/>
        <v>45723</v>
      </c>
      <c r="AN226" s="564">
        <v>171.66</v>
      </c>
      <c r="AO226" s="564">
        <v>1317250</v>
      </c>
      <c r="AP226" s="564">
        <v>53793.158000000003</v>
      </c>
      <c r="AQ226" s="564">
        <v>9234133.5022800006</v>
      </c>
      <c r="AR226" s="564">
        <v>2.3805000000000001</v>
      </c>
    </row>
    <row r="227" spans="39:44">
      <c r="AM227" s="563">
        <f t="shared" ca="1" si="56"/>
        <v>45722</v>
      </c>
      <c r="AN227" s="564">
        <v>170.08</v>
      </c>
      <c r="AO227" s="564">
        <v>955568</v>
      </c>
      <c r="AP227" s="564">
        <v>53793.158000000003</v>
      </c>
      <c r="AQ227" s="564">
        <v>9149140.312640002</v>
      </c>
      <c r="AR227" s="564">
        <v>2.3586</v>
      </c>
    </row>
    <row r="228" spans="39:44">
      <c r="AM228" s="563">
        <f t="shared" ca="1" si="56"/>
        <v>45721</v>
      </c>
      <c r="AN228" s="564">
        <v>172.89</v>
      </c>
      <c r="AO228" s="564">
        <v>923732</v>
      </c>
      <c r="AP228" s="564">
        <v>53793.158000000003</v>
      </c>
      <c r="AQ228" s="564">
        <v>9300299.0866199993</v>
      </c>
      <c r="AR228" s="564">
        <v>2.3976000000000002</v>
      </c>
    </row>
    <row r="229" spans="39:44">
      <c r="AM229" s="563">
        <f t="shared" ca="1" si="56"/>
        <v>45720</v>
      </c>
      <c r="AN229" s="564">
        <v>171.75</v>
      </c>
      <c r="AO229" s="564">
        <v>2595947</v>
      </c>
      <c r="AP229" s="564">
        <v>53793.158000000003</v>
      </c>
      <c r="AQ229" s="564">
        <v>9238974.886500001</v>
      </c>
      <c r="AR229" s="564">
        <v>2.3818000000000001</v>
      </c>
    </row>
    <row r="230" spans="39:44">
      <c r="AM230" s="563">
        <f t="shared" ca="1" si="56"/>
        <v>45719</v>
      </c>
      <c r="AN230" s="564">
        <v>169.72</v>
      </c>
      <c r="AO230" s="564">
        <v>3700405</v>
      </c>
      <c r="AP230" s="564">
        <v>53793.158000000003</v>
      </c>
      <c r="AQ230" s="564">
        <v>9129774.7757600006</v>
      </c>
      <c r="AR230" s="564">
        <v>2.3536000000000001</v>
      </c>
    </row>
    <row r="231" spans="39:44">
      <c r="AM231" s="563">
        <f t="shared" ca="1" si="56"/>
        <v>45718</v>
      </c>
      <c r="AN231" s="564">
        <v>169.72</v>
      </c>
      <c r="AO231" s="564">
        <v>3700405</v>
      </c>
      <c r="AP231" s="564">
        <v>53793.158000000003</v>
      </c>
      <c r="AQ231" s="564">
        <v>9129774.7757600006</v>
      </c>
      <c r="AR231" s="564">
        <v>2.3536000000000001</v>
      </c>
    </row>
    <row r="232" spans="39:44">
      <c r="AM232" s="563">
        <f t="shared" ca="1" si="56"/>
        <v>45717</v>
      </c>
      <c r="AN232" s="564">
        <v>169.72</v>
      </c>
      <c r="AO232" s="564">
        <v>3700405</v>
      </c>
      <c r="AP232" s="564">
        <v>53793.158000000003</v>
      </c>
      <c r="AQ232" s="564">
        <v>9129774.7757600006</v>
      </c>
      <c r="AR232" s="564">
        <v>2.3536000000000001</v>
      </c>
    </row>
    <row r="233" spans="39:44">
      <c r="AM233" s="563">
        <f t="shared" ca="1" si="56"/>
        <v>45716</v>
      </c>
      <c r="AN233" s="564">
        <v>145.65</v>
      </c>
      <c r="AO233" s="564">
        <v>591393</v>
      </c>
      <c r="AP233" s="564">
        <v>53793.158000000003</v>
      </c>
      <c r="AQ233" s="564">
        <v>7834973.462700001</v>
      </c>
      <c r="AR233" s="564">
        <v>2.0198</v>
      </c>
    </row>
    <row r="234" spans="39:44">
      <c r="AM234" s="563">
        <f t="shared" ca="1" si="56"/>
        <v>45715</v>
      </c>
      <c r="AN234" s="564">
        <v>143.72</v>
      </c>
      <c r="AO234" s="564">
        <v>647528</v>
      </c>
      <c r="AP234" s="564">
        <v>53793.158000000003</v>
      </c>
      <c r="AQ234" s="564">
        <v>7731152.6677600006</v>
      </c>
      <c r="AR234" s="564">
        <v>1.9931000000000001</v>
      </c>
    </row>
    <row r="235" spans="39:44">
      <c r="AM235" s="563">
        <f t="shared" ca="1" si="56"/>
        <v>45714</v>
      </c>
      <c r="AN235" s="564">
        <v>143.79</v>
      </c>
      <c r="AO235" s="564">
        <v>692070</v>
      </c>
      <c r="AP235" s="564">
        <v>53793.158000000003</v>
      </c>
      <c r="AQ235" s="564">
        <v>7734918.1888199998</v>
      </c>
      <c r="AR235" s="564">
        <v>1.994</v>
      </c>
    </row>
    <row r="236" spans="39:44">
      <c r="AM236" s="563">
        <f t="shared" ca="1" si="56"/>
        <v>45713</v>
      </c>
      <c r="AN236" s="564">
        <v>142.03</v>
      </c>
      <c r="AO236" s="564">
        <v>507912</v>
      </c>
      <c r="AP236" s="564">
        <v>53793.158000000003</v>
      </c>
      <c r="AQ236" s="564">
        <v>7640242.2307400005</v>
      </c>
      <c r="AR236" s="564">
        <v>1.9696</v>
      </c>
    </row>
    <row r="237" spans="39:44">
      <c r="AM237" s="563">
        <f t="shared" ca="1" si="56"/>
        <v>45712</v>
      </c>
      <c r="AN237" s="564">
        <v>142.03</v>
      </c>
      <c r="AO237" s="564">
        <v>507912</v>
      </c>
      <c r="AP237" s="564">
        <v>53793.158000000003</v>
      </c>
      <c r="AQ237" s="564">
        <v>7640242.2307400005</v>
      </c>
      <c r="AR237" s="564">
        <v>1.9696</v>
      </c>
    </row>
    <row r="238" spans="39:44">
      <c r="AM238" s="563">
        <f t="shared" ca="1" si="56"/>
        <v>45711</v>
      </c>
      <c r="AN238" s="564">
        <v>142.03</v>
      </c>
      <c r="AO238" s="564">
        <v>507912</v>
      </c>
      <c r="AP238" s="564">
        <v>53793.158000000003</v>
      </c>
      <c r="AQ238" s="564">
        <v>7640242.2307400005</v>
      </c>
      <c r="AR238" s="564">
        <v>1.9696</v>
      </c>
    </row>
    <row r="239" spans="39:44">
      <c r="AM239" s="563">
        <f t="shared" ca="1" si="56"/>
        <v>45710</v>
      </c>
      <c r="AN239" s="564">
        <v>142.03</v>
      </c>
      <c r="AO239" s="564">
        <v>507912</v>
      </c>
      <c r="AP239" s="564">
        <v>53793.158000000003</v>
      </c>
      <c r="AQ239" s="564">
        <v>7640242.2307400005</v>
      </c>
      <c r="AR239" s="564">
        <v>1.9696</v>
      </c>
    </row>
    <row r="240" spans="39:44">
      <c r="AM240" s="563">
        <f t="shared" ca="1" si="56"/>
        <v>45709</v>
      </c>
      <c r="AN240" s="564">
        <v>141.63999999999999</v>
      </c>
      <c r="AO240" s="564">
        <v>410678</v>
      </c>
      <c r="AP240" s="564">
        <v>53793.158000000003</v>
      </c>
      <c r="AQ240" s="564">
        <v>7619262.8991199993</v>
      </c>
      <c r="AR240" s="564">
        <v>1.9641999999999999</v>
      </c>
    </row>
    <row r="241" spans="39:44">
      <c r="AM241" s="563">
        <f t="shared" ca="1" si="56"/>
        <v>45708</v>
      </c>
      <c r="AN241" s="564">
        <v>140.91</v>
      </c>
      <c r="AO241" s="564">
        <v>545776</v>
      </c>
      <c r="AP241" s="564">
        <v>53793.158000000003</v>
      </c>
      <c r="AQ241" s="564">
        <v>7579993.8937800005</v>
      </c>
      <c r="AR241" s="564">
        <v>1.9540999999999999</v>
      </c>
    </row>
    <row r="242" spans="39:44">
      <c r="AM242" s="563">
        <f t="shared" ca="1" si="56"/>
        <v>45707</v>
      </c>
      <c r="AN242" s="564">
        <v>139.30000000000001</v>
      </c>
      <c r="AO242" s="564">
        <v>454238</v>
      </c>
      <c r="AP242" s="564">
        <v>53793.158000000003</v>
      </c>
      <c r="AQ242" s="564">
        <v>7493386.9094000012</v>
      </c>
      <c r="AR242" s="564">
        <v>1.9318</v>
      </c>
    </row>
    <row r="243" spans="39:44">
      <c r="AM243" s="563">
        <f t="shared" ca="1" si="56"/>
        <v>45706</v>
      </c>
      <c r="AN243" s="564">
        <v>136.71</v>
      </c>
      <c r="AO243" s="564">
        <v>635621</v>
      </c>
      <c r="AP243" s="564">
        <v>53793.158000000003</v>
      </c>
      <c r="AQ243" s="564">
        <v>7354062.6301800013</v>
      </c>
      <c r="AR243" s="564">
        <v>1.8957999999999999</v>
      </c>
    </row>
    <row r="244" spans="39:44">
      <c r="AM244" s="563">
        <f t="shared" ca="1" si="56"/>
        <v>45705</v>
      </c>
      <c r="AN244" s="564">
        <v>134.5</v>
      </c>
      <c r="AO244" s="564">
        <v>674570</v>
      </c>
      <c r="AP244" s="564">
        <v>53793.158000000003</v>
      </c>
      <c r="AQ244" s="564">
        <v>7235179.7510000002</v>
      </c>
      <c r="AR244" s="564">
        <v>1.8652</v>
      </c>
    </row>
    <row r="245" spans="39:44">
      <c r="AM245" s="563">
        <f t="shared" ca="1" si="56"/>
        <v>45704</v>
      </c>
      <c r="AN245" s="564">
        <v>134.5</v>
      </c>
      <c r="AO245" s="564">
        <v>674570</v>
      </c>
      <c r="AP245" s="564">
        <v>53793.158000000003</v>
      </c>
      <c r="AQ245" s="564">
        <v>7235179.7510000002</v>
      </c>
      <c r="AR245" s="564">
        <v>1.8652</v>
      </c>
    </row>
    <row r="246" spans="39:44">
      <c r="AM246" s="563">
        <f t="shared" ca="1" si="56"/>
        <v>45703</v>
      </c>
      <c r="AN246" s="564">
        <v>134.5</v>
      </c>
      <c r="AO246" s="564">
        <v>674570</v>
      </c>
      <c r="AP246" s="564">
        <v>53793.158000000003</v>
      </c>
      <c r="AQ246" s="564">
        <v>7235179.7510000002</v>
      </c>
      <c r="AR246" s="564">
        <v>1.8652</v>
      </c>
    </row>
    <row r="247" spans="39:44">
      <c r="AM247" s="563">
        <f t="shared" ca="1" si="56"/>
        <v>45702</v>
      </c>
      <c r="AN247" s="564">
        <v>134.56</v>
      </c>
      <c r="AO247" s="564">
        <v>494215</v>
      </c>
      <c r="AP247" s="564">
        <v>53793.158000000003</v>
      </c>
      <c r="AQ247" s="564">
        <v>7238407.3404800007</v>
      </c>
      <c r="AR247" s="564">
        <v>1.8660000000000001</v>
      </c>
    </row>
    <row r="248" spans="39:44">
      <c r="AM248" s="563">
        <f t="shared" ca="1" si="56"/>
        <v>45701</v>
      </c>
      <c r="AN248" s="564">
        <v>134.56</v>
      </c>
      <c r="AO248" s="564">
        <v>494215</v>
      </c>
      <c r="AP248" s="564">
        <v>53793.158000000003</v>
      </c>
      <c r="AQ248" s="564">
        <v>7238407.3404800007</v>
      </c>
      <c r="AR248" s="564">
        <v>1.8660000000000001</v>
      </c>
    </row>
    <row r="249" spans="39:44">
      <c r="AM249" s="563">
        <f t="shared" ca="1" si="56"/>
        <v>45700</v>
      </c>
      <c r="AN249" s="564">
        <v>134.22999999999999</v>
      </c>
      <c r="AO249" s="564">
        <v>497378</v>
      </c>
      <c r="AP249" s="564">
        <v>53793.158000000003</v>
      </c>
      <c r="AQ249" s="564">
        <v>7220655.59834</v>
      </c>
      <c r="AR249" s="564">
        <v>1.8614999999999999</v>
      </c>
    </row>
    <row r="250" spans="39:44">
      <c r="AM250" s="563">
        <f t="shared" ca="1" si="56"/>
        <v>45699</v>
      </c>
      <c r="AN250" s="564">
        <v>134.56</v>
      </c>
      <c r="AO250" s="564">
        <v>457442</v>
      </c>
      <c r="AP250" s="564">
        <v>53793.158000000003</v>
      </c>
      <c r="AQ250" s="564">
        <v>7238407.3404800007</v>
      </c>
      <c r="AR250" s="564">
        <v>1.8660000000000001</v>
      </c>
    </row>
    <row r="251" spans="39:44">
      <c r="AM251" s="563">
        <f t="shared" ca="1" si="56"/>
        <v>45698</v>
      </c>
      <c r="AN251" s="564">
        <v>134.36500000000001</v>
      </c>
      <c r="AO251" s="564">
        <v>353513</v>
      </c>
      <c r="AP251" s="564">
        <v>53793.158000000003</v>
      </c>
      <c r="AQ251" s="564">
        <v>7227917.6746700006</v>
      </c>
      <c r="AR251" s="564">
        <v>1.8633</v>
      </c>
    </row>
    <row r="252" spans="39:44">
      <c r="AM252" s="563">
        <f t="shared" ca="1" si="56"/>
        <v>45697</v>
      </c>
      <c r="AN252" s="564">
        <v>134.36500000000001</v>
      </c>
      <c r="AO252" s="564">
        <v>353513</v>
      </c>
      <c r="AP252" s="564">
        <v>53793.158000000003</v>
      </c>
      <c r="AQ252" s="564">
        <v>7227917.6746700006</v>
      </c>
      <c r="AR252" s="564">
        <v>1.8633</v>
      </c>
    </row>
    <row r="253" spans="39:44">
      <c r="AM253" s="563">
        <f t="shared" ca="1" si="56"/>
        <v>45696</v>
      </c>
      <c r="AN253" s="564">
        <v>134.36500000000001</v>
      </c>
      <c r="AO253" s="564">
        <v>353513</v>
      </c>
      <c r="AP253" s="564">
        <v>53793.158000000003</v>
      </c>
      <c r="AQ253" s="564">
        <v>7227917.6746700006</v>
      </c>
      <c r="AR253" s="564">
        <v>1.8633</v>
      </c>
    </row>
    <row r="254" spans="39:44">
      <c r="AM254" s="563">
        <f t="shared" ca="1" si="56"/>
        <v>45695</v>
      </c>
      <c r="AN254" s="564">
        <v>133.93</v>
      </c>
      <c r="AO254" s="564">
        <v>1030189</v>
      </c>
      <c r="AP254" s="564">
        <v>53793.158000000003</v>
      </c>
      <c r="AQ254" s="564">
        <v>7204517.650940001</v>
      </c>
      <c r="AR254" s="564">
        <v>1.8573</v>
      </c>
    </row>
    <row r="255" spans="39:44">
      <c r="AM255" s="563">
        <f t="shared" ca="1" si="56"/>
        <v>45694</v>
      </c>
      <c r="AN255" s="564">
        <v>135.44999999999999</v>
      </c>
      <c r="AO255" s="564">
        <v>276959</v>
      </c>
      <c r="AP255" s="564">
        <v>53793.158000000003</v>
      </c>
      <c r="AQ255" s="564">
        <v>7286283.2511</v>
      </c>
      <c r="AR255" s="564">
        <v>1.8784000000000001</v>
      </c>
    </row>
    <row r="256" spans="39:44">
      <c r="AM256" s="563">
        <f t="shared" ca="1" si="56"/>
        <v>45693</v>
      </c>
      <c r="AN256" s="564">
        <v>135.44999999999999</v>
      </c>
      <c r="AO256" s="564">
        <v>276959</v>
      </c>
      <c r="AP256" s="564">
        <v>53793.158000000003</v>
      </c>
      <c r="AQ256" s="564">
        <v>7286283.2511</v>
      </c>
      <c r="AR256" s="564">
        <v>1.8784000000000001</v>
      </c>
    </row>
    <row r="257" spans="39:44">
      <c r="AM257" s="563">
        <f t="shared" ca="1" si="56"/>
        <v>45692</v>
      </c>
      <c r="AN257" s="564">
        <v>135.59</v>
      </c>
      <c r="AO257" s="564">
        <v>294443</v>
      </c>
      <c r="AP257" s="564">
        <v>53793.158000000003</v>
      </c>
      <c r="AQ257" s="564">
        <v>7293814.2932200003</v>
      </c>
      <c r="AR257" s="564">
        <v>1.8803000000000001</v>
      </c>
    </row>
    <row r="258" spans="39:44">
      <c r="AM258" s="563">
        <f t="shared" ca="1" si="56"/>
        <v>45691</v>
      </c>
      <c r="AN258" s="564">
        <v>136.58000000000001</v>
      </c>
      <c r="AO258" s="564">
        <v>331258</v>
      </c>
      <c r="AP258" s="564">
        <v>53793.158000000003</v>
      </c>
      <c r="AQ258" s="564">
        <v>7347069.5196400015</v>
      </c>
      <c r="AR258" s="564">
        <v>1.8951</v>
      </c>
    </row>
    <row r="259" spans="39:44">
      <c r="AM259" s="563">
        <f t="shared" ca="1" si="56"/>
        <v>45690</v>
      </c>
      <c r="AN259" s="564">
        <v>136.58000000000001</v>
      </c>
      <c r="AO259" s="564">
        <v>331258</v>
      </c>
      <c r="AP259" s="564">
        <v>53793.158000000003</v>
      </c>
      <c r="AQ259" s="564">
        <v>7347069.5196400015</v>
      </c>
      <c r="AR259" s="564">
        <v>1.8951</v>
      </c>
    </row>
    <row r="260" spans="39:44">
      <c r="AM260" s="563">
        <f t="shared" ca="1" si="56"/>
        <v>45689</v>
      </c>
      <c r="AN260" s="564">
        <v>136.58000000000001</v>
      </c>
      <c r="AO260" s="564">
        <v>331258</v>
      </c>
      <c r="AP260" s="564">
        <v>53793.158000000003</v>
      </c>
      <c r="AQ260" s="564">
        <v>7347069.5196400015</v>
      </c>
      <c r="AR260" s="564">
        <v>1.8951</v>
      </c>
    </row>
    <row r="261" spans="39:44">
      <c r="AM261" s="563">
        <f t="shared" ref="AM261:AM324" ca="1" si="57">AM260-1</f>
        <v>45688</v>
      </c>
      <c r="AN261" s="564">
        <v>137.38999999999999</v>
      </c>
      <c r="AO261" s="564">
        <v>268827</v>
      </c>
      <c r="AP261" s="564">
        <v>53793.158000000003</v>
      </c>
      <c r="AQ261" s="564">
        <v>7390641.97762</v>
      </c>
      <c r="AR261" s="564">
        <v>1.9064000000000001</v>
      </c>
    </row>
    <row r="262" spans="39:44">
      <c r="AM262" s="563">
        <f t="shared" ca="1" si="57"/>
        <v>45687</v>
      </c>
      <c r="AN262" s="564">
        <v>136.84</v>
      </c>
      <c r="AO262" s="564">
        <v>135721</v>
      </c>
      <c r="AP262" s="564">
        <v>53793.158000000003</v>
      </c>
      <c r="AQ262" s="564">
        <v>7361055.740720001</v>
      </c>
      <c r="AR262" s="564">
        <v>1.8987000000000001</v>
      </c>
    </row>
    <row r="263" spans="39:44">
      <c r="AM263" s="563">
        <f t="shared" ca="1" si="57"/>
        <v>45686</v>
      </c>
      <c r="AN263" s="564">
        <v>136.84</v>
      </c>
      <c r="AO263" s="564">
        <v>135721</v>
      </c>
      <c r="AP263" s="564">
        <v>53793.158000000003</v>
      </c>
      <c r="AQ263" s="564">
        <v>7361055.740720001</v>
      </c>
      <c r="AR263" s="564">
        <v>1.8987000000000001</v>
      </c>
    </row>
    <row r="264" spans="39:44">
      <c r="AM264" s="563">
        <f t="shared" ca="1" si="57"/>
        <v>45685</v>
      </c>
      <c r="AN264" s="564">
        <v>134.94999999999999</v>
      </c>
      <c r="AO264" s="564">
        <v>460289</v>
      </c>
      <c r="AP264" s="564">
        <v>53793.158000000003</v>
      </c>
      <c r="AQ264" s="564">
        <v>7259386.6721000001</v>
      </c>
      <c r="AR264" s="564">
        <v>1.8725000000000001</v>
      </c>
    </row>
    <row r="265" spans="39:44">
      <c r="AM265" s="563">
        <f t="shared" ca="1" si="57"/>
        <v>45684</v>
      </c>
      <c r="AN265" s="564">
        <v>134.72</v>
      </c>
      <c r="AO265" s="564">
        <v>1794650</v>
      </c>
      <c r="AP265" s="564">
        <v>53793.158000000003</v>
      </c>
      <c r="AQ265" s="564">
        <v>7247014.2457600003</v>
      </c>
      <c r="AR265" s="564">
        <v>1.8693</v>
      </c>
    </row>
    <row r="266" spans="39:44">
      <c r="AM266" s="563">
        <f t="shared" ca="1" si="57"/>
        <v>45683</v>
      </c>
      <c r="AN266" s="564">
        <v>134.72</v>
      </c>
      <c r="AO266" s="564">
        <v>1794650</v>
      </c>
      <c r="AP266" s="564">
        <v>53793.158000000003</v>
      </c>
      <c r="AQ266" s="564">
        <v>7247014.2457600003</v>
      </c>
      <c r="AR266" s="564">
        <v>1.8693</v>
      </c>
    </row>
    <row r="267" spans="39:44">
      <c r="AM267" s="563">
        <f t="shared" ca="1" si="57"/>
        <v>45682</v>
      </c>
      <c r="AN267" s="564">
        <v>134.72</v>
      </c>
      <c r="AO267" s="564">
        <v>1794650</v>
      </c>
      <c r="AP267" s="564">
        <v>53793.158000000003</v>
      </c>
      <c r="AQ267" s="564">
        <v>7247014.2457600003</v>
      </c>
      <c r="AR267" s="564">
        <v>1.8693</v>
      </c>
    </row>
    <row r="268" spans="39:44">
      <c r="AM268" s="563">
        <f t="shared" ca="1" si="57"/>
        <v>45681</v>
      </c>
      <c r="AN268" s="564">
        <v>132.72</v>
      </c>
      <c r="AO268" s="564">
        <v>875405</v>
      </c>
      <c r="AP268" s="564">
        <v>53793.158000000003</v>
      </c>
      <c r="AQ268" s="564">
        <v>7139427.9297600007</v>
      </c>
      <c r="AR268" s="564">
        <v>1.8415999999999999</v>
      </c>
    </row>
    <row r="269" spans="39:44">
      <c r="AM269" s="563">
        <f t="shared" ca="1" si="57"/>
        <v>45680</v>
      </c>
      <c r="AN269" s="564">
        <v>133.54</v>
      </c>
      <c r="AO269" s="564">
        <v>847264</v>
      </c>
      <c r="AP269" s="564">
        <v>53793.158000000003</v>
      </c>
      <c r="AQ269" s="564">
        <v>7183538.3193199998</v>
      </c>
      <c r="AR269" s="564">
        <v>1.853</v>
      </c>
    </row>
    <row r="270" spans="39:44">
      <c r="AM270" s="563">
        <f t="shared" ca="1" si="57"/>
        <v>45679</v>
      </c>
      <c r="AN270" s="564">
        <v>135.96</v>
      </c>
      <c r="AO270" s="564">
        <v>453229</v>
      </c>
      <c r="AP270" s="564">
        <v>53793.158000000003</v>
      </c>
      <c r="AQ270" s="564">
        <v>7313717.7616800005</v>
      </c>
      <c r="AR270" s="564">
        <v>1.8865000000000001</v>
      </c>
    </row>
    <row r="271" spans="39:44">
      <c r="AM271" s="563">
        <f t="shared" ca="1" si="57"/>
        <v>45678</v>
      </c>
      <c r="AN271" s="564">
        <v>136.97999999999999</v>
      </c>
      <c r="AO271" s="564">
        <v>586150</v>
      </c>
      <c r="AP271" s="564">
        <v>53793.158000000003</v>
      </c>
      <c r="AQ271" s="564">
        <v>7368586.7828399995</v>
      </c>
      <c r="AR271" s="564">
        <v>1.9007000000000001</v>
      </c>
    </row>
    <row r="272" spans="39:44">
      <c r="AM272" s="563">
        <f t="shared" ca="1" si="57"/>
        <v>45677</v>
      </c>
      <c r="AN272" s="564">
        <v>138.75</v>
      </c>
      <c r="AO272" s="564">
        <v>462111</v>
      </c>
      <c r="AP272" s="564">
        <v>53793.158000000003</v>
      </c>
      <c r="AQ272" s="564">
        <v>7463800.6725000003</v>
      </c>
      <c r="AR272" s="564">
        <v>1.9252</v>
      </c>
    </row>
    <row r="273" spans="39:44">
      <c r="AM273" s="563">
        <f t="shared" ca="1" si="57"/>
        <v>45676</v>
      </c>
      <c r="AN273" s="564">
        <v>138.75</v>
      </c>
      <c r="AO273" s="564">
        <v>462111</v>
      </c>
      <c r="AP273" s="564">
        <v>53793.158000000003</v>
      </c>
      <c r="AQ273" s="564">
        <v>7463800.6725000003</v>
      </c>
      <c r="AR273" s="564">
        <v>1.9252</v>
      </c>
    </row>
    <row r="274" spans="39:44">
      <c r="AM274" s="563">
        <f t="shared" ca="1" si="57"/>
        <v>45675</v>
      </c>
      <c r="AN274" s="564">
        <v>138.75</v>
      </c>
      <c r="AO274" s="564">
        <v>462111</v>
      </c>
      <c r="AP274" s="564">
        <v>53793.158000000003</v>
      </c>
      <c r="AQ274" s="564">
        <v>7463800.6725000003</v>
      </c>
      <c r="AR274" s="564">
        <v>1.9252</v>
      </c>
    </row>
    <row r="275" spans="39:44">
      <c r="AM275" s="563">
        <f t="shared" ca="1" si="57"/>
        <v>45674</v>
      </c>
      <c r="AN275" s="564">
        <v>141.08000000000001</v>
      </c>
      <c r="AO275" s="564">
        <v>587880</v>
      </c>
      <c r="AP275" s="564">
        <v>53793.158000000003</v>
      </c>
      <c r="AQ275" s="564">
        <v>7589138.7306400007</v>
      </c>
      <c r="AR275" s="564">
        <v>1.9576</v>
      </c>
    </row>
    <row r="276" spans="39:44">
      <c r="AM276" s="563">
        <f t="shared" ca="1" si="57"/>
        <v>45673</v>
      </c>
      <c r="AN276" s="564">
        <v>144.74</v>
      </c>
      <c r="AO276" s="564">
        <v>593427</v>
      </c>
      <c r="AP276" s="564">
        <v>53793.158000000003</v>
      </c>
      <c r="AQ276" s="564">
        <v>7786021.6889200006</v>
      </c>
      <c r="AR276" s="564">
        <v>2.0084</v>
      </c>
    </row>
    <row r="277" spans="39:44">
      <c r="AM277" s="563">
        <f t="shared" ca="1" si="57"/>
        <v>45672</v>
      </c>
      <c r="AN277" s="564">
        <v>144.25</v>
      </c>
      <c r="AO277" s="564">
        <v>1044760</v>
      </c>
      <c r="AP277" s="564">
        <v>53793.158000000003</v>
      </c>
      <c r="AQ277" s="564">
        <v>7759663.0415000003</v>
      </c>
      <c r="AR277" s="564">
        <v>2.0015999999999998</v>
      </c>
    </row>
    <row r="278" spans="39:44">
      <c r="AM278" s="563">
        <f t="shared" ca="1" si="57"/>
        <v>45671</v>
      </c>
      <c r="AN278" s="564">
        <v>142.76</v>
      </c>
      <c r="AO278" s="564">
        <v>364581</v>
      </c>
      <c r="AP278" s="564">
        <v>53793.158000000003</v>
      </c>
      <c r="AQ278" s="564">
        <v>7679511.2360800002</v>
      </c>
      <c r="AR278" s="564">
        <v>1.9809000000000001</v>
      </c>
    </row>
    <row r="279" spans="39:44">
      <c r="AM279" s="563">
        <f t="shared" ca="1" si="57"/>
        <v>45670</v>
      </c>
      <c r="AN279" s="564">
        <v>142</v>
      </c>
      <c r="AO279" s="564">
        <v>221056</v>
      </c>
      <c r="AP279" s="564">
        <v>53793.158000000003</v>
      </c>
      <c r="AQ279" s="564">
        <v>7638628.4360000007</v>
      </c>
      <c r="AR279" s="564">
        <v>1.9702999999999999</v>
      </c>
    </row>
    <row r="280" spans="39:44">
      <c r="AM280" s="563">
        <f t="shared" ca="1" si="57"/>
        <v>45669</v>
      </c>
      <c r="AN280" s="564">
        <v>142</v>
      </c>
      <c r="AO280" s="564">
        <v>221056</v>
      </c>
      <c r="AP280" s="564">
        <v>53793.158000000003</v>
      </c>
      <c r="AQ280" s="564">
        <v>7638628.4360000007</v>
      </c>
      <c r="AR280" s="564">
        <v>1.9702999999999999</v>
      </c>
    </row>
    <row r="281" spans="39:44">
      <c r="AM281" s="563">
        <f t="shared" ca="1" si="57"/>
        <v>45668</v>
      </c>
      <c r="AN281" s="564">
        <v>142</v>
      </c>
      <c r="AO281" s="564">
        <v>221056</v>
      </c>
      <c r="AP281" s="564">
        <v>53793.158000000003</v>
      </c>
      <c r="AQ281" s="564">
        <v>7638628.4360000007</v>
      </c>
      <c r="AR281" s="564">
        <v>1.9702999999999999</v>
      </c>
    </row>
    <row r="282" spans="39:44">
      <c r="AM282" s="563">
        <f t="shared" ca="1" si="57"/>
        <v>45667</v>
      </c>
      <c r="AN282" s="564">
        <v>141.72</v>
      </c>
      <c r="AO282" s="564">
        <v>298841</v>
      </c>
      <c r="AP282" s="564">
        <v>53793.158000000003</v>
      </c>
      <c r="AQ282" s="564">
        <v>7623566.35176</v>
      </c>
      <c r="AR282" s="564">
        <v>1.9664999999999999</v>
      </c>
    </row>
    <row r="283" spans="39:44">
      <c r="AM283" s="563">
        <f t="shared" ca="1" si="57"/>
        <v>45666</v>
      </c>
      <c r="AN283" s="564">
        <v>143.03</v>
      </c>
      <c r="AO283" s="564">
        <v>395677</v>
      </c>
      <c r="AP283" s="564">
        <v>53793.158000000003</v>
      </c>
      <c r="AQ283" s="564">
        <v>7694035.3887400003</v>
      </c>
      <c r="AR283" s="564">
        <v>1.9845999999999999</v>
      </c>
    </row>
    <row r="284" spans="39:44">
      <c r="AM284" s="563">
        <f t="shared" ca="1" si="57"/>
        <v>45665</v>
      </c>
      <c r="AN284" s="564">
        <v>142.25</v>
      </c>
      <c r="AO284" s="564">
        <v>643676</v>
      </c>
      <c r="AP284" s="564">
        <v>53793.158000000003</v>
      </c>
      <c r="AQ284" s="564">
        <v>7652076.7255000006</v>
      </c>
      <c r="AR284" s="564">
        <v>1.9738</v>
      </c>
    </row>
    <row r="285" spans="39:44">
      <c r="AM285" s="563">
        <f t="shared" ca="1" si="57"/>
        <v>45664</v>
      </c>
      <c r="AN285" s="564">
        <v>142.06</v>
      </c>
      <c r="AO285" s="564">
        <v>364353</v>
      </c>
      <c r="AP285" s="564">
        <v>53793.158000000003</v>
      </c>
      <c r="AQ285" s="564">
        <v>7641856.0254800003</v>
      </c>
      <c r="AR285" s="564">
        <v>1.9712000000000001</v>
      </c>
    </row>
    <row r="286" spans="39:44">
      <c r="AM286" s="563">
        <f t="shared" ca="1" si="57"/>
        <v>45663</v>
      </c>
      <c r="AN286" s="564">
        <v>143.38999999999999</v>
      </c>
      <c r="AO286" s="564">
        <v>188266</v>
      </c>
      <c r="AP286" s="564">
        <v>53793.158000000003</v>
      </c>
      <c r="AQ286" s="564">
        <v>7713400.9256199999</v>
      </c>
      <c r="AR286" s="564">
        <v>1.9896</v>
      </c>
    </row>
    <row r="287" spans="39:44">
      <c r="AM287" s="563">
        <f t="shared" ca="1" si="57"/>
        <v>45662</v>
      </c>
      <c r="AN287" s="564">
        <v>143.38999999999999</v>
      </c>
      <c r="AO287" s="564">
        <v>188266</v>
      </c>
      <c r="AP287" s="564">
        <v>53793.158000000003</v>
      </c>
      <c r="AQ287" s="564">
        <v>7713400.9256199999</v>
      </c>
      <c r="AR287" s="564">
        <v>1.9896</v>
      </c>
    </row>
    <row r="288" spans="39:44">
      <c r="AM288" s="563">
        <f t="shared" ca="1" si="57"/>
        <v>45661</v>
      </c>
      <c r="AN288" s="564">
        <v>143.38999999999999</v>
      </c>
      <c r="AO288" s="564">
        <v>188266</v>
      </c>
      <c r="AP288" s="564">
        <v>53793.158000000003</v>
      </c>
      <c r="AQ288" s="564">
        <v>7713400.9256199999</v>
      </c>
      <c r="AR288" s="564">
        <v>1.9896</v>
      </c>
    </row>
    <row r="289" spans="39:44">
      <c r="AM289" s="563">
        <f t="shared" ca="1" si="57"/>
        <v>45660</v>
      </c>
      <c r="AN289" s="564">
        <v>141.75</v>
      </c>
      <c r="AO289" s="564">
        <v>421226</v>
      </c>
      <c r="AP289" s="564">
        <v>53793.158000000003</v>
      </c>
      <c r="AQ289" s="564">
        <v>7625180.1465000007</v>
      </c>
      <c r="AR289" s="564">
        <v>1.9669000000000001</v>
      </c>
    </row>
    <row r="290" spans="39:44">
      <c r="AM290" s="563">
        <f t="shared" ca="1" si="57"/>
        <v>45659</v>
      </c>
      <c r="AN290" s="564">
        <v>141.75</v>
      </c>
      <c r="AO290" s="564">
        <v>421226</v>
      </c>
      <c r="AP290" s="564">
        <v>53793.158000000003</v>
      </c>
      <c r="AQ290" s="564">
        <v>7625180.1465000007</v>
      </c>
      <c r="AR290" s="564">
        <v>1.9669000000000001</v>
      </c>
    </row>
    <row r="291" spans="39:44">
      <c r="AM291" s="563">
        <f t="shared" ca="1" si="57"/>
        <v>45658</v>
      </c>
      <c r="AN291" s="564">
        <v>142.18</v>
      </c>
      <c r="AO291" s="564">
        <v>541356</v>
      </c>
      <c r="AP291" s="564">
        <v>53793.158000000003</v>
      </c>
      <c r="AQ291" s="564">
        <v>7648311.2044400005</v>
      </c>
      <c r="AR291" s="564">
        <v>1.9728000000000001</v>
      </c>
    </row>
    <row r="292" spans="39:44">
      <c r="AM292" s="563">
        <f t="shared" ca="1" si="57"/>
        <v>45657</v>
      </c>
      <c r="AN292" s="564">
        <v>146.97</v>
      </c>
      <c r="AO292" s="564">
        <v>995015</v>
      </c>
      <c r="AP292" s="564">
        <v>53793.158000000003</v>
      </c>
      <c r="AQ292" s="564">
        <v>7905980.43126</v>
      </c>
      <c r="AR292" s="564">
        <v>2.0392999999999999</v>
      </c>
    </row>
    <row r="293" spans="39:44">
      <c r="AM293" s="563">
        <f t="shared" ca="1" si="57"/>
        <v>45656</v>
      </c>
      <c r="AN293" s="564">
        <v>142.16</v>
      </c>
      <c r="AO293" s="564">
        <v>479574</v>
      </c>
      <c r="AP293" s="564">
        <v>53793.158000000003</v>
      </c>
      <c r="AQ293" s="564">
        <v>7647235.3412800003</v>
      </c>
      <c r="AR293" s="564">
        <v>1.9725999999999999</v>
      </c>
    </row>
    <row r="294" spans="39:44">
      <c r="AM294" s="563">
        <f t="shared" ca="1" si="57"/>
        <v>45655</v>
      </c>
      <c r="AN294" s="564">
        <v>142.16</v>
      </c>
      <c r="AO294" s="564">
        <v>479574</v>
      </c>
      <c r="AP294" s="564">
        <v>53793.158000000003</v>
      </c>
      <c r="AQ294" s="564">
        <v>7647235.3412800003</v>
      </c>
      <c r="AR294" s="564">
        <v>1.9725999999999999</v>
      </c>
    </row>
    <row r="295" spans="39:44">
      <c r="AM295" s="563">
        <f t="shared" ca="1" si="57"/>
        <v>45654</v>
      </c>
      <c r="AN295" s="564">
        <v>142.16</v>
      </c>
      <c r="AO295" s="564">
        <v>479574</v>
      </c>
      <c r="AP295" s="564">
        <v>53793.158000000003</v>
      </c>
      <c r="AQ295" s="564">
        <v>7647235.3412800003</v>
      </c>
      <c r="AR295" s="564">
        <v>1.9725999999999999</v>
      </c>
    </row>
    <row r="296" spans="39:44">
      <c r="AM296" s="563">
        <f t="shared" ca="1" si="57"/>
        <v>45653</v>
      </c>
      <c r="AN296" s="564">
        <v>138.66</v>
      </c>
      <c r="AO296" s="564">
        <v>638511</v>
      </c>
      <c r="AP296" s="564">
        <v>53793.158000000003</v>
      </c>
      <c r="AQ296" s="564">
        <v>7458959.28828</v>
      </c>
      <c r="AR296" s="564">
        <v>1.9239999999999999</v>
      </c>
    </row>
    <row r="297" spans="39:44">
      <c r="AM297" s="563">
        <f t="shared" ca="1" si="57"/>
        <v>45652</v>
      </c>
      <c r="AN297" s="564">
        <v>135.72999999999999</v>
      </c>
      <c r="AO297" s="564">
        <v>629426</v>
      </c>
      <c r="AP297" s="564">
        <v>53793.158000000003</v>
      </c>
      <c r="AQ297" s="564">
        <v>7301345.3353399998</v>
      </c>
      <c r="AR297" s="564">
        <v>1.8833</v>
      </c>
    </row>
    <row r="298" spans="39:44">
      <c r="AM298" s="563">
        <f t="shared" ca="1" si="57"/>
        <v>45651</v>
      </c>
      <c r="AN298" s="564">
        <v>136.33000000000001</v>
      </c>
      <c r="AO298" s="564">
        <v>343122</v>
      </c>
      <c r="AP298" s="564">
        <v>53793.158000000003</v>
      </c>
      <c r="AQ298" s="564">
        <v>7333621.2301400015</v>
      </c>
      <c r="AR298" s="564">
        <v>1.8916999999999999</v>
      </c>
    </row>
    <row r="299" spans="39:44">
      <c r="AM299" s="563">
        <f t="shared" ca="1" si="57"/>
        <v>45650</v>
      </c>
      <c r="AN299" s="564">
        <v>137.22</v>
      </c>
      <c r="AO299" s="564">
        <v>403089</v>
      </c>
      <c r="AP299" s="564">
        <v>53793.158000000003</v>
      </c>
      <c r="AQ299" s="564">
        <v>7381497.1407600008</v>
      </c>
      <c r="AR299" s="564">
        <v>1.9039999999999999</v>
      </c>
    </row>
    <row r="300" spans="39:44">
      <c r="AM300" s="563">
        <f t="shared" ca="1" si="57"/>
        <v>45649</v>
      </c>
      <c r="AN300" s="564">
        <v>136</v>
      </c>
      <c r="AO300" s="564">
        <v>555034</v>
      </c>
      <c r="AP300" s="564">
        <v>53793.158000000003</v>
      </c>
      <c r="AQ300" s="564">
        <v>7315869.4880000008</v>
      </c>
      <c r="AR300" s="564">
        <v>1.8871</v>
      </c>
    </row>
    <row r="301" spans="39:44">
      <c r="AM301" s="563">
        <f t="shared" ca="1" si="57"/>
        <v>45648</v>
      </c>
      <c r="AN301" s="564">
        <v>136</v>
      </c>
      <c r="AO301" s="564">
        <v>555034</v>
      </c>
      <c r="AP301" s="564">
        <v>53793.158000000003</v>
      </c>
      <c r="AQ301" s="564">
        <v>7315869.4880000008</v>
      </c>
      <c r="AR301" s="564">
        <v>1.8871</v>
      </c>
    </row>
    <row r="302" spans="39:44">
      <c r="AM302" s="563">
        <f t="shared" ca="1" si="57"/>
        <v>45647</v>
      </c>
      <c r="AN302" s="564">
        <v>136</v>
      </c>
      <c r="AO302" s="564">
        <v>555034</v>
      </c>
      <c r="AP302" s="564">
        <v>53793.158000000003</v>
      </c>
      <c r="AQ302" s="564">
        <v>7315869.4880000008</v>
      </c>
      <c r="AR302" s="564">
        <v>1.8871</v>
      </c>
    </row>
    <row r="303" spans="39:44">
      <c r="AM303" s="563">
        <f t="shared" ca="1" si="57"/>
        <v>45646</v>
      </c>
      <c r="AN303" s="564">
        <v>135.68</v>
      </c>
      <c r="AO303" s="564">
        <v>936252</v>
      </c>
      <c r="AP303" s="564">
        <v>53793.158000000003</v>
      </c>
      <c r="AQ303" s="564">
        <v>7298655.6774400007</v>
      </c>
      <c r="AR303" s="564">
        <v>1.8826000000000001</v>
      </c>
    </row>
    <row r="304" spans="39:44">
      <c r="AM304" s="563">
        <f t="shared" ca="1" si="57"/>
        <v>45645</v>
      </c>
      <c r="AN304" s="564">
        <v>138.05000000000001</v>
      </c>
      <c r="AO304" s="564">
        <v>658721</v>
      </c>
      <c r="AP304" s="564">
        <v>53793.158000000003</v>
      </c>
      <c r="AQ304" s="564">
        <v>7426145.4619000014</v>
      </c>
      <c r="AR304" s="564">
        <v>1.9155</v>
      </c>
    </row>
    <row r="305" spans="39:44">
      <c r="AM305" s="563">
        <f t="shared" ca="1" si="57"/>
        <v>45644</v>
      </c>
      <c r="AN305" s="564">
        <v>137.34</v>
      </c>
      <c r="AO305" s="564">
        <v>451305</v>
      </c>
      <c r="AP305" s="564">
        <v>53793.158000000003</v>
      </c>
      <c r="AQ305" s="564">
        <v>7387952.319720001</v>
      </c>
      <c r="AR305" s="564">
        <v>1.9056999999999999</v>
      </c>
    </row>
    <row r="306" spans="39:44">
      <c r="AM306" s="563">
        <f t="shared" ca="1" si="57"/>
        <v>45643</v>
      </c>
      <c r="AN306" s="564">
        <v>139.63999999999999</v>
      </c>
      <c r="AO306" s="564">
        <v>387583</v>
      </c>
      <c r="AP306" s="564">
        <v>53793.158000000003</v>
      </c>
      <c r="AQ306" s="564">
        <v>7511676.5831199996</v>
      </c>
      <c r="AR306" s="564">
        <v>1.9376</v>
      </c>
    </row>
    <row r="307" spans="39:44">
      <c r="AM307" s="563">
        <f t="shared" ca="1" si="57"/>
        <v>45642</v>
      </c>
      <c r="AN307" s="564">
        <v>140.31</v>
      </c>
      <c r="AO307" s="564">
        <v>402055</v>
      </c>
      <c r="AP307" s="564">
        <v>53793.158000000003</v>
      </c>
      <c r="AQ307" s="564">
        <v>7547717.9989800006</v>
      </c>
      <c r="AR307" s="564">
        <v>1.9469000000000001</v>
      </c>
    </row>
    <row r="308" spans="39:44">
      <c r="AM308" s="563">
        <f t="shared" ca="1" si="57"/>
        <v>45641</v>
      </c>
      <c r="AN308" s="564">
        <v>140.31</v>
      </c>
      <c r="AO308" s="564">
        <v>402055</v>
      </c>
      <c r="AP308" s="564">
        <v>53793.158000000003</v>
      </c>
      <c r="AQ308" s="564">
        <v>7547717.9989800006</v>
      </c>
      <c r="AR308" s="564">
        <v>1.9469000000000001</v>
      </c>
    </row>
    <row r="309" spans="39:44">
      <c r="AM309" s="563">
        <f t="shared" ca="1" si="57"/>
        <v>45640</v>
      </c>
      <c r="AN309" s="564">
        <v>140.31</v>
      </c>
      <c r="AO309" s="564">
        <v>402055</v>
      </c>
      <c r="AP309" s="564">
        <v>53793.158000000003</v>
      </c>
      <c r="AQ309" s="564">
        <v>7547717.9989800006</v>
      </c>
      <c r="AR309" s="564">
        <v>1.9469000000000001</v>
      </c>
    </row>
    <row r="310" spans="39:44">
      <c r="AM310" s="563">
        <f t="shared" ca="1" si="57"/>
        <v>45639</v>
      </c>
      <c r="AN310" s="564">
        <v>141.24</v>
      </c>
      <c r="AO310" s="564">
        <v>534994</v>
      </c>
      <c r="AP310" s="564">
        <v>53793.158000000003</v>
      </c>
      <c r="AQ310" s="564">
        <v>7597745.6359200012</v>
      </c>
      <c r="AR310" s="564">
        <v>1.9598</v>
      </c>
    </row>
    <row r="311" spans="39:44">
      <c r="AM311" s="563">
        <f t="shared" ca="1" si="57"/>
        <v>45638</v>
      </c>
      <c r="AN311" s="564">
        <v>143.63</v>
      </c>
      <c r="AO311" s="564">
        <v>994747</v>
      </c>
      <c r="AP311" s="564">
        <v>53769.546999999999</v>
      </c>
      <c r="AQ311" s="564">
        <v>7722920.0356099997</v>
      </c>
      <c r="AR311" s="564">
        <v>1.9930000000000001</v>
      </c>
    </row>
    <row r="312" spans="39:44">
      <c r="AM312" s="563">
        <f t="shared" ca="1" si="57"/>
        <v>45637</v>
      </c>
      <c r="AN312" s="564">
        <v>137.09</v>
      </c>
      <c r="AO312" s="564">
        <v>783638</v>
      </c>
      <c r="AP312" s="564">
        <v>53769.546999999999</v>
      </c>
      <c r="AQ312" s="564">
        <v>7371267.1982300002</v>
      </c>
      <c r="AR312" s="564">
        <v>1.9021999999999999</v>
      </c>
    </row>
    <row r="313" spans="39:44">
      <c r="AM313" s="563">
        <f t="shared" ca="1" si="57"/>
        <v>45636</v>
      </c>
      <c r="AN313" s="564">
        <v>134.13999999999999</v>
      </c>
      <c r="AO313" s="564">
        <v>818273</v>
      </c>
      <c r="AP313" s="564">
        <v>53769.546999999999</v>
      </c>
      <c r="AQ313" s="564">
        <v>7212647.0345799988</v>
      </c>
      <c r="AR313" s="564">
        <v>1.8613</v>
      </c>
    </row>
    <row r="314" spans="39:44">
      <c r="AM314" s="563">
        <f t="shared" ca="1" si="57"/>
        <v>45635</v>
      </c>
      <c r="AN314" s="564">
        <v>130.16</v>
      </c>
      <c r="AO314" s="564">
        <v>1366312</v>
      </c>
      <c r="AP314" s="564">
        <v>53769.546999999999</v>
      </c>
      <c r="AQ314" s="564">
        <v>6998644.23752</v>
      </c>
      <c r="AR314" s="564">
        <v>1.8061</v>
      </c>
    </row>
    <row r="315" spans="39:44">
      <c r="AM315" s="563">
        <f t="shared" ca="1" si="57"/>
        <v>45634</v>
      </c>
      <c r="AN315" s="564">
        <v>130.16</v>
      </c>
      <c r="AO315" s="564">
        <v>1366312</v>
      </c>
      <c r="AP315" s="564">
        <v>53769.546999999999</v>
      </c>
      <c r="AQ315" s="564">
        <v>6998644.23752</v>
      </c>
      <c r="AR315" s="564">
        <v>1.8061</v>
      </c>
    </row>
    <row r="316" spans="39:44">
      <c r="AM316" s="563">
        <f t="shared" ca="1" si="57"/>
        <v>45633</v>
      </c>
      <c r="AN316" s="564">
        <v>130.16</v>
      </c>
      <c r="AO316" s="564">
        <v>1366312</v>
      </c>
      <c r="AP316" s="564">
        <v>53769.546999999999</v>
      </c>
      <c r="AQ316" s="564">
        <v>6998644.23752</v>
      </c>
      <c r="AR316" s="564">
        <v>1.8061</v>
      </c>
    </row>
    <row r="317" spans="39:44">
      <c r="AM317" s="563">
        <f t="shared" ca="1" si="57"/>
        <v>45632</v>
      </c>
      <c r="AN317" s="564">
        <v>129.69999999999999</v>
      </c>
      <c r="AO317" s="564">
        <v>2537442</v>
      </c>
      <c r="AP317" s="564">
        <v>53769.546999999999</v>
      </c>
      <c r="AQ317" s="564">
        <v>6973910.2458999995</v>
      </c>
      <c r="AR317" s="564">
        <v>1.7997000000000001</v>
      </c>
    </row>
    <row r="318" spans="39:44">
      <c r="AM318" s="563">
        <f t="shared" ca="1" si="57"/>
        <v>45631</v>
      </c>
      <c r="AN318" s="564">
        <v>140.38</v>
      </c>
      <c r="AO318" s="564">
        <v>634354</v>
      </c>
      <c r="AP318" s="564">
        <v>53769.546999999999</v>
      </c>
      <c r="AQ318" s="564">
        <v>7548169.0078599993</v>
      </c>
      <c r="AR318" s="564">
        <v>1.9479</v>
      </c>
    </row>
    <row r="319" spans="39:44">
      <c r="AM319" s="563">
        <f t="shared" ca="1" si="57"/>
        <v>45630</v>
      </c>
      <c r="AN319" s="564">
        <v>138</v>
      </c>
      <c r="AO319" s="564">
        <v>483657</v>
      </c>
      <c r="AP319" s="564">
        <v>53769.546999999999</v>
      </c>
      <c r="AQ319" s="564">
        <v>7420197.4859999996</v>
      </c>
      <c r="AR319" s="564">
        <v>1.9148000000000001</v>
      </c>
    </row>
    <row r="320" spans="39:44">
      <c r="AM320" s="563">
        <f t="shared" ca="1" si="57"/>
        <v>45629</v>
      </c>
      <c r="AN320" s="564">
        <v>140.27000000000001</v>
      </c>
      <c r="AO320" s="564">
        <v>456524</v>
      </c>
      <c r="AP320" s="564">
        <v>53769.546999999999</v>
      </c>
      <c r="AQ320" s="564">
        <v>7542254.35769</v>
      </c>
      <c r="AR320" s="564">
        <v>1.9462999999999999</v>
      </c>
    </row>
    <row r="321" spans="39:44">
      <c r="AM321" s="563">
        <f t="shared" ca="1" si="57"/>
        <v>45628</v>
      </c>
      <c r="AN321" s="564">
        <v>137.65</v>
      </c>
      <c r="AO321" s="564">
        <v>386338</v>
      </c>
      <c r="AP321" s="564">
        <v>53769.546999999999</v>
      </c>
      <c r="AQ321" s="564">
        <v>7401378.1445500003</v>
      </c>
      <c r="AR321" s="564">
        <v>1.91</v>
      </c>
    </row>
    <row r="322" spans="39:44">
      <c r="AM322" s="563">
        <f t="shared" ca="1" si="57"/>
        <v>45627</v>
      </c>
      <c r="AN322" s="564">
        <v>137.65</v>
      </c>
      <c r="AO322" s="564">
        <v>386338</v>
      </c>
      <c r="AP322" s="564">
        <v>53769.546999999999</v>
      </c>
      <c r="AQ322" s="564">
        <v>7401378.1445500003</v>
      </c>
      <c r="AR322" s="564">
        <v>1.91</v>
      </c>
    </row>
    <row r="323" spans="39:44">
      <c r="AM323" s="563">
        <f t="shared" ca="1" si="57"/>
        <v>45626</v>
      </c>
      <c r="AN323" s="564">
        <v>137.65</v>
      </c>
      <c r="AO323" s="564">
        <v>386338</v>
      </c>
      <c r="AP323" s="564">
        <v>53769.546999999999</v>
      </c>
      <c r="AQ323" s="564">
        <v>7401378.1445500003</v>
      </c>
      <c r="AR323" s="564">
        <v>1.91</v>
      </c>
    </row>
    <row r="324" spans="39:44">
      <c r="AM324" s="563">
        <f t="shared" ca="1" si="57"/>
        <v>45625</v>
      </c>
      <c r="AN324" s="564">
        <v>138.08000000000001</v>
      </c>
      <c r="AO324" s="564">
        <v>397280</v>
      </c>
      <c r="AP324" s="564">
        <v>53769.546999999999</v>
      </c>
      <c r="AQ324" s="564">
        <v>7424499.0497600008</v>
      </c>
      <c r="AR324" s="564">
        <v>1.9159999999999999</v>
      </c>
    </row>
    <row r="325" spans="39:44">
      <c r="AM325" s="563">
        <f t="shared" ref="AM325:AM388" ca="1" si="58">AM324-1</f>
        <v>45624</v>
      </c>
      <c r="AN325" s="564">
        <v>136.12</v>
      </c>
      <c r="AO325" s="564">
        <v>573990</v>
      </c>
      <c r="AP325" s="564">
        <v>53769.546999999999</v>
      </c>
      <c r="AQ325" s="564">
        <v>7319110.7376399999</v>
      </c>
      <c r="AR325" s="564">
        <v>1.8888</v>
      </c>
    </row>
    <row r="326" spans="39:44">
      <c r="AM326" s="563">
        <f t="shared" ca="1" si="58"/>
        <v>45623</v>
      </c>
      <c r="AN326" s="564">
        <v>136.86000000000001</v>
      </c>
      <c r="AO326" s="564">
        <v>353202</v>
      </c>
      <c r="AP326" s="564">
        <v>53769.546999999999</v>
      </c>
      <c r="AQ326" s="564">
        <v>7358900.2024200009</v>
      </c>
      <c r="AR326" s="564">
        <v>1.899</v>
      </c>
    </row>
    <row r="327" spans="39:44">
      <c r="AM327" s="563">
        <f t="shared" ca="1" si="58"/>
        <v>45622</v>
      </c>
      <c r="AN327" s="564">
        <v>137.63999999999999</v>
      </c>
      <c r="AO327" s="564">
        <v>561511</v>
      </c>
      <c r="AP327" s="564">
        <v>53769.546999999999</v>
      </c>
      <c r="AQ327" s="564">
        <v>7400840.4490799988</v>
      </c>
      <c r="AR327" s="564">
        <v>1.9097999999999999</v>
      </c>
    </row>
    <row r="328" spans="39:44">
      <c r="AM328" s="563">
        <f t="shared" ca="1" si="58"/>
        <v>45621</v>
      </c>
      <c r="AN328" s="564">
        <v>139.69999999999999</v>
      </c>
      <c r="AO328" s="564">
        <v>293211</v>
      </c>
      <c r="AP328" s="564">
        <v>53769.546999999999</v>
      </c>
      <c r="AQ328" s="564">
        <v>7511605.7158999993</v>
      </c>
      <c r="AR328" s="564">
        <v>1.9383999999999999</v>
      </c>
    </row>
    <row r="329" spans="39:44">
      <c r="AM329" s="563">
        <f t="shared" ca="1" si="58"/>
        <v>45620</v>
      </c>
      <c r="AN329" s="564">
        <v>139.69999999999999</v>
      </c>
      <c r="AO329" s="564">
        <v>293211</v>
      </c>
      <c r="AP329" s="564">
        <v>53769.546999999999</v>
      </c>
      <c r="AQ329" s="564">
        <v>7511605.7158999993</v>
      </c>
      <c r="AR329" s="564">
        <v>1.9383999999999999</v>
      </c>
    </row>
    <row r="330" spans="39:44">
      <c r="AM330" s="563">
        <f t="shared" ca="1" si="58"/>
        <v>45619</v>
      </c>
      <c r="AN330" s="564">
        <v>139.69999999999999</v>
      </c>
      <c r="AO330" s="564">
        <v>293211</v>
      </c>
      <c r="AP330" s="564">
        <v>53769.546999999999</v>
      </c>
      <c r="AQ330" s="564">
        <v>7511605.7158999993</v>
      </c>
      <c r="AR330" s="564">
        <v>1.9383999999999999</v>
      </c>
    </row>
    <row r="331" spans="39:44">
      <c r="AM331" s="563">
        <f t="shared" ca="1" si="58"/>
        <v>45618</v>
      </c>
      <c r="AN331" s="564">
        <v>139.59</v>
      </c>
      <c r="AO331" s="564">
        <v>328150</v>
      </c>
      <c r="AP331" s="564">
        <v>53769.546999999999</v>
      </c>
      <c r="AQ331" s="564">
        <v>7505691.0657299999</v>
      </c>
      <c r="AR331" s="564">
        <v>1.9369000000000001</v>
      </c>
    </row>
    <row r="332" spans="39:44">
      <c r="AM332" s="563">
        <f t="shared" ca="1" si="58"/>
        <v>45617</v>
      </c>
      <c r="AN332" s="564">
        <v>138.41999999999999</v>
      </c>
      <c r="AO332" s="564">
        <v>409819</v>
      </c>
      <c r="AP332" s="564">
        <v>53769.546999999999</v>
      </c>
      <c r="AQ332" s="564">
        <v>7442780.6957399994</v>
      </c>
      <c r="AR332" s="564">
        <v>1.9207000000000001</v>
      </c>
    </row>
    <row r="333" spans="39:44">
      <c r="AM333" s="563">
        <f t="shared" ca="1" si="58"/>
        <v>45616</v>
      </c>
      <c r="AN333" s="564">
        <v>137.83000000000001</v>
      </c>
      <c r="AO333" s="564">
        <v>420915</v>
      </c>
      <c r="AP333" s="564">
        <v>53769.546999999999</v>
      </c>
      <c r="AQ333" s="564">
        <v>7411056.6630100003</v>
      </c>
      <c r="AR333" s="564">
        <v>1.9125000000000001</v>
      </c>
    </row>
    <row r="334" spans="39:44">
      <c r="AM334" s="563">
        <f t="shared" ca="1" si="58"/>
        <v>45615</v>
      </c>
      <c r="AN334" s="564">
        <v>137.80000000000001</v>
      </c>
      <c r="AO334" s="564">
        <v>493919</v>
      </c>
      <c r="AP334" s="564">
        <v>53769.546999999999</v>
      </c>
      <c r="AQ334" s="564">
        <v>7409443.5766000003</v>
      </c>
      <c r="AR334" s="564">
        <v>1.9120999999999999</v>
      </c>
    </row>
    <row r="335" spans="39:44">
      <c r="AM335" s="563">
        <f t="shared" ca="1" si="58"/>
        <v>45614</v>
      </c>
      <c r="AN335" s="564">
        <v>133.27000000000001</v>
      </c>
      <c r="AO335" s="564">
        <v>647574</v>
      </c>
      <c r="AP335" s="564">
        <v>53769.546999999999</v>
      </c>
      <c r="AQ335" s="564">
        <v>7165867.5286900001</v>
      </c>
      <c r="AR335" s="564">
        <v>1.8492</v>
      </c>
    </row>
    <row r="336" spans="39:44">
      <c r="AM336" s="563">
        <f t="shared" ca="1" si="58"/>
        <v>45613</v>
      </c>
      <c r="AN336" s="564">
        <v>133.27000000000001</v>
      </c>
      <c r="AO336" s="564">
        <v>647574</v>
      </c>
      <c r="AP336" s="564">
        <v>53769.546999999999</v>
      </c>
      <c r="AQ336" s="564">
        <v>7165867.5286900001</v>
      </c>
      <c r="AR336" s="564">
        <v>1.8492</v>
      </c>
    </row>
    <row r="337" spans="39:44">
      <c r="AM337" s="563">
        <f t="shared" ca="1" si="58"/>
        <v>45612</v>
      </c>
      <c r="AN337" s="564">
        <v>133.27000000000001</v>
      </c>
      <c r="AO337" s="564">
        <v>647574</v>
      </c>
      <c r="AP337" s="564">
        <v>53769.546999999999</v>
      </c>
      <c r="AQ337" s="564">
        <v>7165867.5286900001</v>
      </c>
      <c r="AR337" s="564">
        <v>1.8492</v>
      </c>
    </row>
    <row r="338" spans="39:44">
      <c r="AM338" s="563">
        <f t="shared" ca="1" si="58"/>
        <v>45611</v>
      </c>
      <c r="AN338" s="564">
        <v>133.43</v>
      </c>
      <c r="AO338" s="564">
        <v>424940</v>
      </c>
      <c r="AP338" s="564">
        <v>53769.546999999999</v>
      </c>
      <c r="AQ338" s="564">
        <v>7174470.6562100006</v>
      </c>
      <c r="AR338" s="564">
        <v>1.8513999999999999</v>
      </c>
    </row>
    <row r="339" spans="39:44">
      <c r="AM339" s="563">
        <f t="shared" ca="1" si="58"/>
        <v>45610</v>
      </c>
      <c r="AN339" s="564">
        <v>132.9</v>
      </c>
      <c r="AO339" s="564">
        <v>651454</v>
      </c>
      <c r="AP339" s="564">
        <v>53769.546999999999</v>
      </c>
      <c r="AQ339" s="564">
        <v>7145972.7963000005</v>
      </c>
      <c r="AR339" s="564">
        <v>1.8441000000000001</v>
      </c>
    </row>
    <row r="340" spans="39:44">
      <c r="AM340" s="563">
        <f t="shared" ca="1" si="58"/>
        <v>45609</v>
      </c>
      <c r="AN340" s="564">
        <v>132</v>
      </c>
      <c r="AO340" s="564">
        <v>338556</v>
      </c>
      <c r="AP340" s="564">
        <v>53769.546999999999</v>
      </c>
      <c r="AQ340" s="564">
        <v>7097580.2039999999</v>
      </c>
      <c r="AR340" s="564">
        <v>1.8315999999999999</v>
      </c>
    </row>
    <row r="341" spans="39:44">
      <c r="AM341" s="563">
        <f t="shared" ca="1" si="58"/>
        <v>45608</v>
      </c>
      <c r="AN341" s="564">
        <v>132.47</v>
      </c>
      <c r="AO341" s="564">
        <v>429627</v>
      </c>
      <c r="AP341" s="564">
        <v>53769.546999999999</v>
      </c>
      <c r="AQ341" s="564">
        <v>7122851.89109</v>
      </c>
      <c r="AR341" s="564">
        <v>1.8381000000000001</v>
      </c>
    </row>
    <row r="342" spans="39:44">
      <c r="AM342" s="563">
        <f t="shared" ca="1" si="58"/>
        <v>45607</v>
      </c>
      <c r="AN342" s="564">
        <v>134.47999999999999</v>
      </c>
      <c r="AO342" s="564">
        <v>413709</v>
      </c>
      <c r="AP342" s="564">
        <v>53769.546999999999</v>
      </c>
      <c r="AQ342" s="564">
        <v>7230928.6805599993</v>
      </c>
      <c r="AR342" s="564">
        <v>1.8660000000000001</v>
      </c>
    </row>
    <row r="343" spans="39:44">
      <c r="AM343" s="563">
        <f t="shared" ca="1" si="58"/>
        <v>45606</v>
      </c>
      <c r="AN343" s="564">
        <v>134.47999999999999</v>
      </c>
      <c r="AO343" s="564">
        <v>413709</v>
      </c>
      <c r="AP343" s="564">
        <v>53769.546999999999</v>
      </c>
      <c r="AQ343" s="564">
        <v>7230928.6805599993</v>
      </c>
      <c r="AR343" s="564">
        <v>1.8660000000000001</v>
      </c>
    </row>
    <row r="344" spans="39:44">
      <c r="AM344" s="563">
        <f t="shared" ca="1" si="58"/>
        <v>45605</v>
      </c>
      <c r="AN344" s="564">
        <v>134.47999999999999</v>
      </c>
      <c r="AO344" s="564">
        <v>413709</v>
      </c>
      <c r="AP344" s="564">
        <v>53769.546999999999</v>
      </c>
      <c r="AQ344" s="564">
        <v>7230928.6805599993</v>
      </c>
      <c r="AR344" s="564">
        <v>1.8660000000000001</v>
      </c>
    </row>
    <row r="345" spans="39:44">
      <c r="AM345" s="563">
        <f t="shared" ca="1" si="58"/>
        <v>45604</v>
      </c>
      <c r="AN345" s="564">
        <v>133.82</v>
      </c>
      <c r="AO345" s="564">
        <v>489692</v>
      </c>
      <c r="AP345" s="564">
        <v>53769.546999999999</v>
      </c>
      <c r="AQ345" s="564">
        <v>7195440.7795399996</v>
      </c>
      <c r="AR345" s="564">
        <v>1.8568</v>
      </c>
    </row>
    <row r="346" spans="39:44">
      <c r="AM346" s="563">
        <f t="shared" ca="1" si="58"/>
        <v>45603</v>
      </c>
      <c r="AN346" s="564">
        <v>134.41999999999999</v>
      </c>
      <c r="AO346" s="564">
        <v>561202</v>
      </c>
      <c r="AP346" s="564">
        <v>53769.546999999999</v>
      </c>
      <c r="AQ346" s="564">
        <v>7227702.5077399993</v>
      </c>
      <c r="AR346" s="564">
        <v>1.8652</v>
      </c>
    </row>
    <row r="347" spans="39:44">
      <c r="AM347" s="563">
        <f t="shared" ca="1" si="58"/>
        <v>45602</v>
      </c>
      <c r="AN347" s="564">
        <v>138.22999999999999</v>
      </c>
      <c r="AO347" s="564">
        <v>554949</v>
      </c>
      <c r="AP347" s="564">
        <v>53769.546999999999</v>
      </c>
      <c r="AQ347" s="564">
        <v>7432564.4818099989</v>
      </c>
      <c r="AR347" s="564">
        <v>1.9179999999999999</v>
      </c>
    </row>
    <row r="348" spans="39:44">
      <c r="AM348" s="563">
        <f t="shared" ca="1" si="58"/>
        <v>45601</v>
      </c>
      <c r="AN348" s="564">
        <v>139.13</v>
      </c>
      <c r="AO348" s="564">
        <v>481050</v>
      </c>
      <c r="AP348" s="564">
        <v>53769.546999999999</v>
      </c>
      <c r="AQ348" s="564">
        <v>7480957.0741099995</v>
      </c>
      <c r="AR348" s="564">
        <v>1.9305000000000001</v>
      </c>
    </row>
    <row r="349" spans="39:44">
      <c r="AM349" s="563">
        <f t="shared" ca="1" si="58"/>
        <v>45600</v>
      </c>
      <c r="AN349" s="564">
        <v>141.71</v>
      </c>
      <c r="AO349" s="564">
        <v>406380</v>
      </c>
      <c r="AP349" s="564">
        <v>53769.546999999999</v>
      </c>
      <c r="AQ349" s="564">
        <v>7619682.5053700004</v>
      </c>
      <c r="AR349" s="564">
        <v>1.9456</v>
      </c>
    </row>
    <row r="350" spans="39:44">
      <c r="AM350" s="563">
        <f t="shared" ca="1" si="58"/>
        <v>45599</v>
      </c>
      <c r="AN350" s="564">
        <v>141.71</v>
      </c>
      <c r="AO350" s="564">
        <v>406380</v>
      </c>
      <c r="AP350" s="564">
        <v>53769.546999999999</v>
      </c>
      <c r="AQ350" s="564">
        <v>7619682.5053700004</v>
      </c>
      <c r="AR350" s="564">
        <v>1.9456</v>
      </c>
    </row>
    <row r="351" spans="39:44">
      <c r="AM351" s="563">
        <f t="shared" ca="1" si="58"/>
        <v>45598</v>
      </c>
      <c r="AN351" s="564">
        <v>141.71</v>
      </c>
      <c r="AO351" s="564">
        <v>406380</v>
      </c>
      <c r="AP351" s="564">
        <v>53769.546999999999</v>
      </c>
      <c r="AQ351" s="564">
        <v>7619682.5053700004</v>
      </c>
      <c r="AR351" s="564">
        <v>1.9456</v>
      </c>
    </row>
    <row r="352" spans="39:44">
      <c r="AM352" s="563">
        <f t="shared" ca="1" si="58"/>
        <v>45597</v>
      </c>
      <c r="AN352" s="564">
        <v>141.26</v>
      </c>
      <c r="AO352" s="564">
        <v>631386</v>
      </c>
      <c r="AP352" s="564">
        <v>53769.546999999999</v>
      </c>
      <c r="AQ352" s="564">
        <v>7595486.2092199996</v>
      </c>
      <c r="AR352" s="564">
        <v>1.9395</v>
      </c>
    </row>
    <row r="353" spans="39:44">
      <c r="AM353" s="563">
        <f t="shared" ca="1" si="58"/>
        <v>45596</v>
      </c>
      <c r="AN353" s="564">
        <v>140.33000000000001</v>
      </c>
      <c r="AO353" s="564">
        <v>570190</v>
      </c>
      <c r="AP353" s="564">
        <v>53769.546999999999</v>
      </c>
      <c r="AQ353" s="564">
        <v>7545480.5305100009</v>
      </c>
      <c r="AR353" s="564">
        <v>1.9267000000000001</v>
      </c>
    </row>
    <row r="354" spans="39:44">
      <c r="AM354" s="563">
        <f t="shared" ca="1" si="58"/>
        <v>45595</v>
      </c>
      <c r="AN354" s="564">
        <v>144.82</v>
      </c>
      <c r="AO354" s="564">
        <v>445586</v>
      </c>
      <c r="AP354" s="564">
        <v>53769.546999999999</v>
      </c>
      <c r="AQ354" s="564">
        <v>7786905.7965399995</v>
      </c>
      <c r="AR354" s="564">
        <v>1.9883</v>
      </c>
    </row>
    <row r="355" spans="39:44">
      <c r="AM355" s="563">
        <f t="shared" ca="1" si="58"/>
        <v>45594</v>
      </c>
      <c r="AN355" s="564">
        <v>142.25</v>
      </c>
      <c r="AO355" s="564">
        <v>285185</v>
      </c>
      <c r="AP355" s="564">
        <v>53769.546999999999</v>
      </c>
      <c r="AQ355" s="564">
        <v>7648718.0607500002</v>
      </c>
      <c r="AR355" s="564">
        <v>1.9531000000000001</v>
      </c>
    </row>
    <row r="356" spans="39:44">
      <c r="AM356" s="563">
        <f t="shared" ca="1" si="58"/>
        <v>45593</v>
      </c>
      <c r="AN356" s="564">
        <v>141.31</v>
      </c>
      <c r="AO356" s="564">
        <v>697225</v>
      </c>
      <c r="AP356" s="564">
        <v>53769.546999999999</v>
      </c>
      <c r="AQ356" s="564">
        <v>7598174.6865699999</v>
      </c>
      <c r="AR356" s="564">
        <v>1.9401999999999999</v>
      </c>
    </row>
    <row r="357" spans="39:44">
      <c r="AM357" s="563">
        <f t="shared" ca="1" si="58"/>
        <v>45592</v>
      </c>
      <c r="AN357" s="564">
        <v>141.31</v>
      </c>
      <c r="AO357" s="564">
        <v>697225</v>
      </c>
      <c r="AP357" s="564">
        <v>53769.546999999999</v>
      </c>
      <c r="AQ357" s="564">
        <v>7598174.6865699999</v>
      </c>
      <c r="AR357" s="564">
        <v>1.9401999999999999</v>
      </c>
    </row>
    <row r="358" spans="39:44">
      <c r="AM358" s="563">
        <f t="shared" ca="1" si="58"/>
        <v>45591</v>
      </c>
      <c r="AN358" s="564">
        <v>141.31</v>
      </c>
      <c r="AO358" s="564">
        <v>697225</v>
      </c>
      <c r="AP358" s="564">
        <v>53769.546999999999</v>
      </c>
      <c r="AQ358" s="564">
        <v>7598174.6865699999</v>
      </c>
      <c r="AR358" s="564">
        <v>1.9401999999999999</v>
      </c>
    </row>
    <row r="359" spans="39:44">
      <c r="AM359" s="563">
        <f t="shared" ca="1" si="58"/>
        <v>45590</v>
      </c>
      <c r="AN359" s="564">
        <v>144.15</v>
      </c>
      <c r="AO359" s="564">
        <v>922717</v>
      </c>
      <c r="AP359" s="564">
        <v>53769.546999999999</v>
      </c>
      <c r="AQ359" s="564">
        <v>7750880.2000500001</v>
      </c>
      <c r="AR359" s="564">
        <v>1.9791000000000001</v>
      </c>
    </row>
    <row r="360" spans="39:44">
      <c r="AM360" s="563">
        <f t="shared" ca="1" si="58"/>
        <v>45589</v>
      </c>
      <c r="AN360" s="564">
        <v>139.66999999999999</v>
      </c>
      <c r="AO360" s="564">
        <v>377767</v>
      </c>
      <c r="AP360" s="564">
        <v>53769.546999999999</v>
      </c>
      <c r="AQ360" s="564">
        <v>7509992.6294899993</v>
      </c>
      <c r="AR360" s="564">
        <v>1.9176</v>
      </c>
    </row>
    <row r="361" spans="39:44">
      <c r="AM361" s="563">
        <f t="shared" ca="1" si="58"/>
        <v>45588</v>
      </c>
      <c r="AN361" s="564">
        <v>139.19</v>
      </c>
      <c r="AO361" s="564">
        <v>861282</v>
      </c>
      <c r="AP361" s="564">
        <v>53769.546999999999</v>
      </c>
      <c r="AQ361" s="564">
        <v>7484183.2469299994</v>
      </c>
      <c r="AR361" s="564">
        <v>1.911</v>
      </c>
    </row>
    <row r="362" spans="39:44">
      <c r="AM362" s="563">
        <f t="shared" ca="1" si="58"/>
        <v>45587</v>
      </c>
      <c r="AN362" s="564">
        <v>135.76</v>
      </c>
      <c r="AO362" s="564">
        <v>614483</v>
      </c>
      <c r="AP362" s="564">
        <v>53769.546999999999</v>
      </c>
      <c r="AQ362" s="564">
        <v>7299753.7007199991</v>
      </c>
      <c r="AR362" s="564">
        <v>1.8640000000000001</v>
      </c>
    </row>
    <row r="363" spans="39:44">
      <c r="AM363" s="563">
        <f t="shared" ca="1" si="58"/>
        <v>45586</v>
      </c>
      <c r="AN363" s="564">
        <v>132.80000000000001</v>
      </c>
      <c r="AO363" s="564">
        <v>737486</v>
      </c>
      <c r="AP363" s="564">
        <v>53769.546999999999</v>
      </c>
      <c r="AQ363" s="564">
        <v>7140595.8416000009</v>
      </c>
      <c r="AR363" s="564">
        <v>1.8232999999999999</v>
      </c>
    </row>
    <row r="364" spans="39:44">
      <c r="AM364" s="563">
        <f t="shared" ca="1" si="58"/>
        <v>45585</v>
      </c>
      <c r="AN364" s="564">
        <v>132.80000000000001</v>
      </c>
      <c r="AO364" s="564">
        <v>737486</v>
      </c>
      <c r="AP364" s="564">
        <v>53769.546999999999</v>
      </c>
      <c r="AQ364" s="564">
        <v>7140595.8416000009</v>
      </c>
      <c r="AR364" s="564">
        <v>1.8232999999999999</v>
      </c>
    </row>
    <row r="365" spans="39:44">
      <c r="AM365" s="563">
        <f t="shared" ca="1" si="58"/>
        <v>45584</v>
      </c>
      <c r="AN365" s="564">
        <v>132.80000000000001</v>
      </c>
      <c r="AO365" s="564">
        <v>737486</v>
      </c>
      <c r="AP365" s="564">
        <v>53769.546999999999</v>
      </c>
      <c r="AQ365" s="564">
        <v>7140595.8416000009</v>
      </c>
      <c r="AR365" s="564">
        <v>1.8232999999999999</v>
      </c>
    </row>
    <row r="366" spans="39:44">
      <c r="AM366" s="563">
        <f t="shared" ca="1" si="58"/>
        <v>45583</v>
      </c>
      <c r="AN366" s="564">
        <v>128.04</v>
      </c>
      <c r="AO366" s="564">
        <v>636616</v>
      </c>
      <c r="AP366" s="564">
        <v>53769.546999999999</v>
      </c>
      <c r="AQ366" s="564">
        <v>6884652.7978799995</v>
      </c>
      <c r="AR366" s="564">
        <v>1.758</v>
      </c>
    </row>
    <row r="367" spans="39:44">
      <c r="AM367" s="563">
        <f t="shared" ca="1" si="58"/>
        <v>45582</v>
      </c>
      <c r="AN367" s="564">
        <v>129.41</v>
      </c>
      <c r="AO367" s="564">
        <v>1332736</v>
      </c>
      <c r="AP367" s="564">
        <v>53769.546999999999</v>
      </c>
      <c r="AQ367" s="564">
        <v>6958317.0772699993</v>
      </c>
      <c r="AR367" s="564">
        <v>1.7767999999999999</v>
      </c>
    </row>
    <row r="368" spans="39:44">
      <c r="AM368" s="563">
        <f t="shared" ca="1" si="58"/>
        <v>45581</v>
      </c>
      <c r="AN368" s="564">
        <v>129.66999999999999</v>
      </c>
      <c r="AO368" s="564">
        <v>417570</v>
      </c>
      <c r="AP368" s="564">
        <v>53769.546999999999</v>
      </c>
      <c r="AQ368" s="564">
        <v>6972297.1594899995</v>
      </c>
      <c r="AR368" s="564">
        <v>1.7803</v>
      </c>
    </row>
    <row r="369" spans="39:44">
      <c r="AM369" s="563">
        <f t="shared" ca="1" si="58"/>
        <v>45580</v>
      </c>
      <c r="AN369" s="564">
        <v>131.81</v>
      </c>
      <c r="AO369" s="564">
        <v>583192</v>
      </c>
      <c r="AP369" s="564">
        <v>53769.546999999999</v>
      </c>
      <c r="AQ369" s="564">
        <v>7087363.9900700003</v>
      </c>
      <c r="AR369" s="564">
        <v>1.8097000000000001</v>
      </c>
    </row>
    <row r="370" spans="39:44">
      <c r="AM370" s="563">
        <f t="shared" ca="1" si="58"/>
        <v>45579</v>
      </c>
      <c r="AN370" s="564">
        <v>132.69999999999999</v>
      </c>
      <c r="AO370" s="564">
        <v>476958</v>
      </c>
      <c r="AP370" s="564">
        <v>53769.546999999999</v>
      </c>
      <c r="AQ370" s="564">
        <v>7135218.8868999993</v>
      </c>
      <c r="AR370" s="564">
        <v>1.8219000000000001</v>
      </c>
    </row>
    <row r="371" spans="39:44">
      <c r="AM371" s="563">
        <f t="shared" ca="1" si="58"/>
        <v>45578</v>
      </c>
      <c r="AN371" s="564">
        <v>132.69999999999999</v>
      </c>
      <c r="AO371" s="564">
        <v>476958</v>
      </c>
      <c r="AP371" s="564">
        <v>53769.546999999999</v>
      </c>
      <c r="AQ371" s="564">
        <v>7135218.8868999993</v>
      </c>
      <c r="AR371" s="564">
        <v>1.8219000000000001</v>
      </c>
    </row>
    <row r="372" spans="39:44">
      <c r="AM372" s="563">
        <f t="shared" ca="1" si="58"/>
        <v>45577</v>
      </c>
      <c r="AN372" s="564">
        <v>132.69999999999999</v>
      </c>
      <c r="AO372" s="564">
        <v>476958</v>
      </c>
      <c r="AP372" s="564">
        <v>53769.546999999999</v>
      </c>
      <c r="AQ372" s="564">
        <v>7135218.8868999993</v>
      </c>
      <c r="AR372" s="564">
        <v>1.8219000000000001</v>
      </c>
    </row>
    <row r="373" spans="39:44">
      <c r="AM373" s="563">
        <f t="shared" ca="1" si="58"/>
        <v>45576</v>
      </c>
      <c r="AN373" s="564">
        <v>133.36000000000001</v>
      </c>
      <c r="AO373" s="564">
        <v>503010</v>
      </c>
      <c r="AP373" s="564">
        <v>53769.546999999999</v>
      </c>
      <c r="AQ373" s="564">
        <v>7170706.787920001</v>
      </c>
      <c r="AR373" s="564">
        <v>1.831</v>
      </c>
    </row>
    <row r="374" spans="39:44">
      <c r="AM374" s="563">
        <f t="shared" ca="1" si="58"/>
        <v>45575</v>
      </c>
      <c r="AN374" s="564">
        <v>137</v>
      </c>
      <c r="AO374" s="564">
        <v>440579</v>
      </c>
      <c r="AP374" s="564">
        <v>53769.546999999999</v>
      </c>
      <c r="AQ374" s="564">
        <v>7366427.9390000002</v>
      </c>
      <c r="AR374" s="564">
        <v>1.881</v>
      </c>
    </row>
    <row r="375" spans="39:44">
      <c r="AM375" s="563">
        <f t="shared" ca="1" si="58"/>
        <v>45574</v>
      </c>
      <c r="AN375" s="564">
        <v>137.82</v>
      </c>
      <c r="AO375" s="564">
        <v>1454727</v>
      </c>
      <c r="AP375" s="564">
        <v>53769.546999999999</v>
      </c>
      <c r="AQ375" s="564">
        <v>7410518.9675399996</v>
      </c>
      <c r="AR375" s="564">
        <v>1.8922000000000001</v>
      </c>
    </row>
    <row r="376" spans="39:44">
      <c r="AM376" s="563">
        <f t="shared" ca="1" si="58"/>
        <v>45573</v>
      </c>
      <c r="AN376" s="564">
        <v>140.62</v>
      </c>
      <c r="AO376" s="564">
        <v>352676</v>
      </c>
      <c r="AP376" s="564">
        <v>53769.546999999999</v>
      </c>
      <c r="AQ376" s="564">
        <v>7561073.6991400002</v>
      </c>
      <c r="AR376" s="564">
        <v>1.9307000000000001</v>
      </c>
    </row>
    <row r="377" spans="39:44">
      <c r="AM377" s="563">
        <f t="shared" ca="1" si="58"/>
        <v>45572</v>
      </c>
      <c r="AN377" s="564">
        <v>140.62</v>
      </c>
      <c r="AO377" s="564">
        <v>352676</v>
      </c>
      <c r="AP377" s="564">
        <v>53769.546999999999</v>
      </c>
      <c r="AQ377" s="564">
        <v>7561073.6991400002</v>
      </c>
      <c r="AR377" s="564">
        <v>1.9307000000000001</v>
      </c>
    </row>
    <row r="378" spans="39:44">
      <c r="AM378" s="563">
        <f t="shared" ca="1" si="58"/>
        <v>45571</v>
      </c>
      <c r="AN378" s="564">
        <v>140.62</v>
      </c>
      <c r="AO378" s="564">
        <v>352676</v>
      </c>
      <c r="AP378" s="564">
        <v>53769.546999999999</v>
      </c>
      <c r="AQ378" s="564">
        <v>7561073.6991400002</v>
      </c>
      <c r="AR378" s="564">
        <v>1.9307000000000001</v>
      </c>
    </row>
    <row r="379" spans="39:44">
      <c r="AM379" s="563">
        <f t="shared" ca="1" si="58"/>
        <v>45570</v>
      </c>
      <c r="AN379" s="564">
        <v>140.62</v>
      </c>
      <c r="AO379" s="564">
        <v>352676</v>
      </c>
      <c r="AP379" s="564">
        <v>53769.546999999999</v>
      </c>
      <c r="AQ379" s="564">
        <v>7561073.6991400002</v>
      </c>
      <c r="AR379" s="564">
        <v>1.9307000000000001</v>
      </c>
    </row>
    <row r="380" spans="39:44">
      <c r="AM380" s="563">
        <f t="shared" ca="1" si="58"/>
        <v>45569</v>
      </c>
      <c r="AN380" s="564">
        <v>140.32</v>
      </c>
      <c r="AO380" s="564">
        <v>316199</v>
      </c>
      <c r="AP380" s="564">
        <v>53769.546999999999</v>
      </c>
      <c r="AQ380" s="564">
        <v>7544942.8350399993</v>
      </c>
      <c r="AR380" s="564">
        <v>1.9266000000000001</v>
      </c>
    </row>
    <row r="381" spans="39:44">
      <c r="AM381" s="563">
        <f t="shared" ca="1" si="58"/>
        <v>45568</v>
      </c>
      <c r="AN381" s="564">
        <v>139.28</v>
      </c>
      <c r="AO381" s="564">
        <v>406327</v>
      </c>
      <c r="AP381" s="564">
        <v>53769.546999999999</v>
      </c>
      <c r="AQ381" s="564">
        <v>7489022.5061600003</v>
      </c>
      <c r="AR381" s="564">
        <v>1.9123000000000001</v>
      </c>
    </row>
    <row r="382" spans="39:44">
      <c r="AM382" s="563">
        <f t="shared" ca="1" si="58"/>
        <v>45567</v>
      </c>
      <c r="AN382" s="564">
        <v>140.65</v>
      </c>
      <c r="AO382" s="564">
        <v>322364</v>
      </c>
      <c r="AP382" s="564">
        <v>53769.546999999999</v>
      </c>
      <c r="AQ382" s="564">
        <v>7562686.7855500001</v>
      </c>
      <c r="AR382" s="564">
        <v>1.9311</v>
      </c>
    </row>
    <row r="383" spans="39:44">
      <c r="AM383" s="563">
        <f t="shared" ca="1" si="58"/>
        <v>45566</v>
      </c>
      <c r="AN383" s="564">
        <v>141.06</v>
      </c>
      <c r="AO383" s="564">
        <v>240951</v>
      </c>
      <c r="AP383" s="564">
        <v>53769.546999999999</v>
      </c>
      <c r="AQ383" s="564">
        <v>7584732.2998200003</v>
      </c>
      <c r="AR383" s="564">
        <v>1.9367000000000001</v>
      </c>
    </row>
    <row r="384" spans="39:44">
      <c r="AM384" s="563">
        <f t="shared" ca="1" si="58"/>
        <v>45565</v>
      </c>
      <c r="AN384" s="564">
        <v>142.05000000000001</v>
      </c>
      <c r="AO384" s="564">
        <v>426169</v>
      </c>
      <c r="AP384" s="564">
        <v>53769.546999999999</v>
      </c>
      <c r="AQ384" s="564">
        <v>7637964.1513500009</v>
      </c>
      <c r="AR384" s="564">
        <v>1.9502999999999999</v>
      </c>
    </row>
    <row r="385" spans="39:44">
      <c r="AM385" s="563">
        <f t="shared" ca="1" si="58"/>
        <v>45564</v>
      </c>
      <c r="AN385" s="564">
        <v>142.05000000000001</v>
      </c>
      <c r="AO385" s="564">
        <v>426169</v>
      </c>
      <c r="AP385" s="564">
        <v>53769.546999999999</v>
      </c>
      <c r="AQ385" s="564">
        <v>7637964.1513500009</v>
      </c>
      <c r="AR385" s="564">
        <v>1.9502999999999999</v>
      </c>
    </row>
    <row r="386" spans="39:44">
      <c r="AM386" s="563">
        <f t="shared" ca="1" si="58"/>
        <v>45563</v>
      </c>
      <c r="AN386" s="564">
        <v>142.05000000000001</v>
      </c>
      <c r="AO386" s="564">
        <v>426169</v>
      </c>
      <c r="AP386" s="564">
        <v>53769.546999999999</v>
      </c>
      <c r="AQ386" s="564">
        <v>7637964.1513500009</v>
      </c>
      <c r="AR386" s="564">
        <v>1.9502999999999999</v>
      </c>
    </row>
    <row r="387" spans="39:44">
      <c r="AM387" s="563">
        <f t="shared" ca="1" si="58"/>
        <v>45562</v>
      </c>
      <c r="AN387" s="564">
        <v>139.55000000000001</v>
      </c>
      <c r="AO387" s="564">
        <v>360449</v>
      </c>
      <c r="AP387" s="564">
        <v>53769.546999999999</v>
      </c>
      <c r="AQ387" s="564">
        <v>7503540.2838500002</v>
      </c>
      <c r="AR387" s="564">
        <v>1.9159999999999999</v>
      </c>
    </row>
    <row r="388" spans="39:44">
      <c r="AM388" s="563">
        <f t="shared" ca="1" si="58"/>
        <v>45561</v>
      </c>
      <c r="AN388" s="564">
        <v>139.76</v>
      </c>
      <c r="AO388" s="564">
        <v>345904</v>
      </c>
      <c r="AP388" s="564">
        <v>53769.546999999999</v>
      </c>
      <c r="AQ388" s="564">
        <v>7514831.8887199992</v>
      </c>
      <c r="AR388" s="564">
        <v>1.9189000000000001</v>
      </c>
    </row>
    <row r="389" spans="39:44">
      <c r="AM389" s="563">
        <f t="shared" ref="AM389:AM452" ca="1" si="59">AM388-1</f>
        <v>45560</v>
      </c>
      <c r="AN389" s="564">
        <v>138.51</v>
      </c>
      <c r="AO389" s="564">
        <v>454583</v>
      </c>
      <c r="AP389" s="564">
        <v>53769.546999999999</v>
      </c>
      <c r="AQ389" s="564">
        <v>7447619.9549699994</v>
      </c>
      <c r="AR389" s="564">
        <v>1.9016999999999999</v>
      </c>
    </row>
    <row r="390" spans="39:44">
      <c r="AM390" s="563">
        <f t="shared" ca="1" si="59"/>
        <v>45559</v>
      </c>
      <c r="AN390" s="564">
        <v>139.84</v>
      </c>
      <c r="AO390" s="564">
        <v>342736</v>
      </c>
      <c r="AP390" s="564">
        <v>53769.546999999999</v>
      </c>
      <c r="AQ390" s="564">
        <v>7519133.4524800004</v>
      </c>
      <c r="AR390" s="564">
        <v>1.92</v>
      </c>
    </row>
    <row r="391" spans="39:44">
      <c r="AM391" s="563">
        <f t="shared" ca="1" si="59"/>
        <v>45558</v>
      </c>
      <c r="AN391" s="564">
        <v>139.44</v>
      </c>
      <c r="AO391" s="564">
        <v>448743</v>
      </c>
      <c r="AP391" s="564">
        <v>53769.546999999999</v>
      </c>
      <c r="AQ391" s="564">
        <v>7497625.63368</v>
      </c>
      <c r="AR391" s="564">
        <v>1.9145000000000001</v>
      </c>
    </row>
    <row r="392" spans="39:44">
      <c r="AM392" s="563">
        <f t="shared" ca="1" si="59"/>
        <v>45557</v>
      </c>
      <c r="AN392" s="564">
        <v>139.44</v>
      </c>
      <c r="AO392" s="564">
        <v>448743</v>
      </c>
      <c r="AP392" s="564">
        <v>53769.546999999999</v>
      </c>
      <c r="AQ392" s="564">
        <v>7497625.63368</v>
      </c>
      <c r="AR392" s="564">
        <v>1.9145000000000001</v>
      </c>
    </row>
    <row r="393" spans="39:44">
      <c r="AM393" s="563">
        <f t="shared" ca="1" si="59"/>
        <v>45556</v>
      </c>
      <c r="AN393" s="564">
        <v>139.44</v>
      </c>
      <c r="AO393" s="564">
        <v>448743</v>
      </c>
      <c r="AP393" s="564">
        <v>53769.546999999999</v>
      </c>
      <c r="AQ393" s="564">
        <v>7497625.63368</v>
      </c>
      <c r="AR393" s="564">
        <v>1.9145000000000001</v>
      </c>
    </row>
    <row r="394" spans="39:44">
      <c r="AM394" s="563">
        <f t="shared" ca="1" si="59"/>
        <v>45555</v>
      </c>
      <c r="AN394" s="564">
        <v>139.1</v>
      </c>
      <c r="AO394" s="564">
        <v>447096</v>
      </c>
      <c r="AP394" s="564">
        <v>53769.546999999999</v>
      </c>
      <c r="AQ394" s="564">
        <v>7479343.9876999995</v>
      </c>
      <c r="AR394" s="564">
        <v>1.9097999999999999</v>
      </c>
    </row>
    <row r="395" spans="39:44">
      <c r="AM395" s="563">
        <f t="shared" ca="1" si="59"/>
        <v>45554</v>
      </c>
      <c r="AN395" s="564">
        <v>137.16999999999999</v>
      </c>
      <c r="AO395" s="564">
        <v>590712</v>
      </c>
      <c r="AP395" s="564">
        <v>53769.546999999999</v>
      </c>
      <c r="AQ395" s="564">
        <v>7375568.7619899996</v>
      </c>
      <c r="AR395" s="564">
        <v>1.8833</v>
      </c>
    </row>
    <row r="396" spans="39:44">
      <c r="AM396" s="563">
        <f t="shared" ca="1" si="59"/>
        <v>45553</v>
      </c>
      <c r="AN396" s="564">
        <v>136.56</v>
      </c>
      <c r="AO396" s="564">
        <v>821427</v>
      </c>
      <c r="AP396" s="564">
        <v>53769.546999999999</v>
      </c>
      <c r="AQ396" s="564">
        <v>7342769.3383200001</v>
      </c>
      <c r="AR396" s="564">
        <v>1.8749</v>
      </c>
    </row>
    <row r="397" spans="39:44">
      <c r="AM397" s="563">
        <f t="shared" ca="1" si="59"/>
        <v>45552</v>
      </c>
      <c r="AN397" s="564">
        <v>134.41</v>
      </c>
      <c r="AO397" s="564">
        <v>495218</v>
      </c>
      <c r="AP397" s="564">
        <v>53769.546999999999</v>
      </c>
      <c r="AQ397" s="564">
        <v>7227164.8122699996</v>
      </c>
      <c r="AR397" s="564">
        <v>1.8453999999999999</v>
      </c>
    </row>
    <row r="398" spans="39:44">
      <c r="AM398" s="563">
        <f t="shared" ca="1" si="59"/>
        <v>45551</v>
      </c>
      <c r="AN398" s="564">
        <v>135.82</v>
      </c>
      <c r="AO398" s="564">
        <v>444658</v>
      </c>
      <c r="AP398" s="564">
        <v>53769.546999999999</v>
      </c>
      <c r="AQ398" s="564">
        <v>7302979.8735399991</v>
      </c>
      <c r="AR398" s="564">
        <v>1.8648</v>
      </c>
    </row>
    <row r="399" spans="39:44">
      <c r="AM399" s="563">
        <f t="shared" ca="1" si="59"/>
        <v>45550</v>
      </c>
      <c r="AN399" s="564">
        <v>135.82</v>
      </c>
      <c r="AO399" s="564">
        <v>444658</v>
      </c>
      <c r="AP399" s="564">
        <v>53769.546999999999</v>
      </c>
      <c r="AQ399" s="564">
        <v>7302979.8735399991</v>
      </c>
      <c r="AR399" s="564">
        <v>1.8648</v>
      </c>
    </row>
    <row r="400" spans="39:44">
      <c r="AM400" s="563">
        <f t="shared" ca="1" si="59"/>
        <v>45549</v>
      </c>
      <c r="AN400" s="564">
        <v>135.82</v>
      </c>
      <c r="AO400" s="564">
        <v>444658</v>
      </c>
      <c r="AP400" s="564">
        <v>53769.546999999999</v>
      </c>
      <c r="AQ400" s="564">
        <v>7302979.8735399991</v>
      </c>
      <c r="AR400" s="564">
        <v>1.8648</v>
      </c>
    </row>
    <row r="401" spans="39:44">
      <c r="AM401" s="563">
        <f t="shared" ca="1" si="59"/>
        <v>45548</v>
      </c>
      <c r="AN401" s="564">
        <v>137.74</v>
      </c>
      <c r="AO401" s="564">
        <v>550220</v>
      </c>
      <c r="AP401" s="564">
        <v>53769.546999999999</v>
      </c>
      <c r="AQ401" s="564">
        <v>7406217.4037800003</v>
      </c>
      <c r="AR401" s="564">
        <v>1.8911</v>
      </c>
    </row>
    <row r="402" spans="39:44">
      <c r="AM402" s="563">
        <f t="shared" ca="1" si="59"/>
        <v>45547</v>
      </c>
      <c r="AN402" s="564">
        <v>136.79</v>
      </c>
      <c r="AO402" s="564">
        <v>581495</v>
      </c>
      <c r="AP402" s="564">
        <v>53768.506999999998</v>
      </c>
      <c r="AQ402" s="564">
        <v>7354994.0725299995</v>
      </c>
      <c r="AR402" s="564">
        <v>1.8781000000000001</v>
      </c>
    </row>
    <row r="403" spans="39:44">
      <c r="AM403" s="563">
        <f t="shared" ca="1" si="59"/>
        <v>45546</v>
      </c>
      <c r="AN403" s="564">
        <v>138.1</v>
      </c>
      <c r="AO403" s="564">
        <v>670131</v>
      </c>
      <c r="AP403" s="564">
        <v>53768.506999999998</v>
      </c>
      <c r="AQ403" s="564">
        <v>7425430.8166999994</v>
      </c>
      <c r="AR403" s="564">
        <v>1.8960999999999999</v>
      </c>
    </row>
    <row r="404" spans="39:44">
      <c r="AM404" s="563">
        <f t="shared" ca="1" si="59"/>
        <v>45545</v>
      </c>
      <c r="AN404" s="564">
        <v>138.38</v>
      </c>
      <c r="AO404" s="564">
        <v>1221185</v>
      </c>
      <c r="AP404" s="564">
        <v>53768.506999999998</v>
      </c>
      <c r="AQ404" s="564">
        <v>7440485.9986599991</v>
      </c>
      <c r="AR404" s="564">
        <v>1.8998999999999999</v>
      </c>
    </row>
    <row r="405" spans="39:44">
      <c r="AM405" s="563">
        <f t="shared" ca="1" si="59"/>
        <v>45544</v>
      </c>
      <c r="AN405" s="564">
        <v>140.72</v>
      </c>
      <c r="AO405" s="564">
        <v>869912</v>
      </c>
      <c r="AP405" s="564">
        <v>53768.506999999998</v>
      </c>
      <c r="AQ405" s="564">
        <v>7566304.30504</v>
      </c>
      <c r="AR405" s="564">
        <v>1.9320999999999999</v>
      </c>
    </row>
    <row r="406" spans="39:44">
      <c r="AM406" s="563">
        <f t="shared" ca="1" si="59"/>
        <v>45543</v>
      </c>
      <c r="AN406" s="564">
        <v>140.72</v>
      </c>
      <c r="AO406" s="564">
        <v>869912</v>
      </c>
      <c r="AP406" s="564">
        <v>53768.506999999998</v>
      </c>
      <c r="AQ406" s="564">
        <v>7566304.30504</v>
      </c>
      <c r="AR406" s="564">
        <v>1.9320999999999999</v>
      </c>
    </row>
    <row r="407" spans="39:44">
      <c r="AM407" s="563">
        <f t="shared" ca="1" si="59"/>
        <v>45542</v>
      </c>
      <c r="AN407" s="564">
        <v>140.72</v>
      </c>
      <c r="AO407" s="564">
        <v>869912</v>
      </c>
      <c r="AP407" s="564">
        <v>53768.506999999998</v>
      </c>
      <c r="AQ407" s="564">
        <v>7566304.30504</v>
      </c>
      <c r="AR407" s="564">
        <v>1.9320999999999999</v>
      </c>
    </row>
    <row r="408" spans="39:44">
      <c r="AM408" s="563">
        <f t="shared" ca="1" si="59"/>
        <v>45541</v>
      </c>
      <c r="AN408" s="564">
        <v>144.36000000000001</v>
      </c>
      <c r="AO408" s="564">
        <v>2019802</v>
      </c>
      <c r="AP408" s="564">
        <v>53768.506999999998</v>
      </c>
      <c r="AQ408" s="564">
        <v>7762021.6705200002</v>
      </c>
      <c r="AR408" s="564">
        <v>1.982</v>
      </c>
    </row>
    <row r="409" spans="39:44">
      <c r="AM409" s="563">
        <f t="shared" ca="1" si="59"/>
        <v>45540</v>
      </c>
      <c r="AN409" s="564">
        <v>135.58000000000001</v>
      </c>
      <c r="AO409" s="564">
        <v>839697</v>
      </c>
      <c r="AP409" s="564">
        <v>53768.506999999998</v>
      </c>
      <c r="AQ409" s="564">
        <v>7289934.17906</v>
      </c>
      <c r="AR409" s="564">
        <v>1.8614999999999999</v>
      </c>
    </row>
    <row r="410" spans="39:44">
      <c r="AM410" s="563">
        <f t="shared" ca="1" si="59"/>
        <v>45539</v>
      </c>
      <c r="AN410" s="564">
        <v>135.26</v>
      </c>
      <c r="AO410" s="564">
        <v>660059</v>
      </c>
      <c r="AP410" s="564">
        <v>53768.506999999998</v>
      </c>
      <c r="AQ410" s="564">
        <v>7272728.2568199988</v>
      </c>
      <c r="AR410" s="564">
        <v>1.8571</v>
      </c>
    </row>
    <row r="411" spans="39:44">
      <c r="AM411" s="563">
        <f t="shared" ca="1" si="59"/>
        <v>45538</v>
      </c>
      <c r="AN411" s="564">
        <v>132.44</v>
      </c>
      <c r="AO411" s="564">
        <v>863696</v>
      </c>
      <c r="AP411" s="564">
        <v>53768.506999999998</v>
      </c>
      <c r="AQ411" s="564">
        <v>7121101.0670799995</v>
      </c>
      <c r="AR411" s="564">
        <v>1.8184</v>
      </c>
    </row>
    <row r="412" spans="39:44">
      <c r="AM412" s="563">
        <f t="shared" ca="1" si="59"/>
        <v>45537</v>
      </c>
      <c r="AN412" s="564">
        <v>131.71</v>
      </c>
      <c r="AO412" s="564">
        <v>974624</v>
      </c>
      <c r="AP412" s="564">
        <v>53768.506999999998</v>
      </c>
      <c r="AQ412" s="564">
        <v>7081850.0569700003</v>
      </c>
      <c r="AR412" s="564">
        <v>1.8083</v>
      </c>
    </row>
    <row r="413" spans="39:44">
      <c r="AM413" s="563">
        <f t="shared" ca="1" si="59"/>
        <v>45536</v>
      </c>
      <c r="AN413" s="564">
        <v>131.71</v>
      </c>
      <c r="AO413" s="564">
        <v>974624</v>
      </c>
      <c r="AP413" s="564">
        <v>53768.506999999998</v>
      </c>
      <c r="AQ413" s="564">
        <v>7081850.0569700003</v>
      </c>
      <c r="AR413" s="564">
        <v>1.8083</v>
      </c>
    </row>
    <row r="414" spans="39:44">
      <c r="AM414" s="563">
        <f t="shared" ca="1" si="59"/>
        <v>45535</v>
      </c>
      <c r="AN414" s="564">
        <v>131.71</v>
      </c>
      <c r="AO414" s="564">
        <v>974624</v>
      </c>
      <c r="AP414" s="564">
        <v>53768.506999999998</v>
      </c>
      <c r="AQ414" s="564">
        <v>7081850.0569700003</v>
      </c>
      <c r="AR414" s="564">
        <v>1.8083</v>
      </c>
    </row>
    <row r="415" spans="39:44">
      <c r="AM415" s="563">
        <f t="shared" ca="1" si="59"/>
        <v>45534</v>
      </c>
      <c r="AN415" s="564">
        <v>131.61000000000001</v>
      </c>
      <c r="AO415" s="564">
        <v>1178175</v>
      </c>
      <c r="AP415" s="564">
        <v>53768.506999999998</v>
      </c>
      <c r="AQ415" s="564">
        <v>7076473.2062700009</v>
      </c>
      <c r="AR415" s="564">
        <v>1.8069999999999999</v>
      </c>
    </row>
    <row r="416" spans="39:44">
      <c r="AM416" s="563">
        <f t="shared" ca="1" si="59"/>
        <v>45533</v>
      </c>
      <c r="AN416" s="564">
        <v>124.8</v>
      </c>
      <c r="AO416" s="564">
        <v>782622</v>
      </c>
      <c r="AP416" s="564">
        <v>53768.506999999998</v>
      </c>
      <c r="AQ416" s="564">
        <v>6710309.6735999994</v>
      </c>
      <c r="AR416" s="564">
        <v>1.7135</v>
      </c>
    </row>
    <row r="417" spans="39:44">
      <c r="AM417" s="563">
        <f t="shared" ca="1" si="59"/>
        <v>45532</v>
      </c>
      <c r="AN417" s="564">
        <v>128.63999999999999</v>
      </c>
      <c r="AO417" s="564">
        <v>438358</v>
      </c>
      <c r="AP417" s="564">
        <v>53768.506999999998</v>
      </c>
      <c r="AQ417" s="564">
        <v>6916780.7404799992</v>
      </c>
      <c r="AR417" s="564">
        <v>1.7662</v>
      </c>
    </row>
    <row r="418" spans="39:44">
      <c r="AM418" s="563">
        <f t="shared" ca="1" si="59"/>
        <v>45531</v>
      </c>
      <c r="AN418" s="564">
        <v>130.04</v>
      </c>
      <c r="AO418" s="564">
        <v>712324</v>
      </c>
      <c r="AP418" s="564">
        <v>53768.506999999998</v>
      </c>
      <c r="AQ418" s="564">
        <v>6992056.6502799997</v>
      </c>
      <c r="AR418" s="564">
        <v>1.7854000000000001</v>
      </c>
    </row>
    <row r="419" spans="39:44">
      <c r="AM419" s="563">
        <f t="shared" ca="1" si="59"/>
        <v>45530</v>
      </c>
      <c r="AN419" s="564">
        <v>126.93</v>
      </c>
      <c r="AO419" s="564">
        <v>441256</v>
      </c>
      <c r="AP419" s="564">
        <v>53768.506999999998</v>
      </c>
      <c r="AQ419" s="564">
        <v>6824836.59351</v>
      </c>
      <c r="AR419" s="564">
        <v>1.7426999999999999</v>
      </c>
    </row>
    <row r="420" spans="39:44">
      <c r="AM420" s="563">
        <f t="shared" ca="1" si="59"/>
        <v>45529</v>
      </c>
      <c r="AN420" s="564">
        <v>126.93</v>
      </c>
      <c r="AO420" s="564">
        <v>441256</v>
      </c>
      <c r="AP420" s="564">
        <v>53768.506999999998</v>
      </c>
      <c r="AQ420" s="564">
        <v>6824836.59351</v>
      </c>
      <c r="AR420" s="564">
        <v>1.7426999999999999</v>
      </c>
    </row>
    <row r="421" spans="39:44">
      <c r="AM421" s="563">
        <f t="shared" ca="1" si="59"/>
        <v>45528</v>
      </c>
      <c r="AN421" s="564">
        <v>126.93</v>
      </c>
      <c r="AO421" s="564">
        <v>441256</v>
      </c>
      <c r="AP421" s="564">
        <v>53768.506999999998</v>
      </c>
      <c r="AQ421" s="564">
        <v>6824836.59351</v>
      </c>
      <c r="AR421" s="564">
        <v>1.7426999999999999</v>
      </c>
    </row>
    <row r="422" spans="39:44">
      <c r="AM422" s="563">
        <f t="shared" ca="1" si="59"/>
        <v>45527</v>
      </c>
      <c r="AN422" s="564">
        <v>128.22999999999999</v>
      </c>
      <c r="AO422" s="564">
        <v>704046</v>
      </c>
      <c r="AP422" s="564">
        <v>53768.506999999998</v>
      </c>
      <c r="AQ422" s="564">
        <v>6894735.6526099993</v>
      </c>
      <c r="AR422" s="564">
        <v>1.7605999999999999</v>
      </c>
    </row>
    <row r="423" spans="39:44">
      <c r="AM423" s="563">
        <f t="shared" ca="1" si="59"/>
        <v>45526</v>
      </c>
      <c r="AN423" s="564">
        <v>132.71</v>
      </c>
      <c r="AO423" s="564">
        <v>760998</v>
      </c>
      <c r="AP423" s="564">
        <v>53768.506999999998</v>
      </c>
      <c r="AQ423" s="564">
        <v>7135618.5639700005</v>
      </c>
      <c r="AR423" s="564">
        <v>1.8221000000000001</v>
      </c>
    </row>
    <row r="424" spans="39:44">
      <c r="AM424" s="563">
        <f t="shared" ca="1" si="59"/>
        <v>45525</v>
      </c>
      <c r="AN424" s="564">
        <v>135.43</v>
      </c>
      <c r="AO424" s="564">
        <v>736199</v>
      </c>
      <c r="AP424" s="564">
        <v>53768.506999999998</v>
      </c>
      <c r="AQ424" s="564">
        <v>7281868.9030100005</v>
      </c>
      <c r="AR424" s="564">
        <v>1.8593999999999999</v>
      </c>
    </row>
    <row r="425" spans="39:44">
      <c r="AM425" s="563">
        <f t="shared" ca="1" si="59"/>
        <v>45524</v>
      </c>
      <c r="AN425" s="564">
        <v>127.04</v>
      </c>
      <c r="AO425" s="564">
        <v>511660</v>
      </c>
      <c r="AP425" s="564">
        <v>53768.506999999998</v>
      </c>
      <c r="AQ425" s="564">
        <v>6830751.12928</v>
      </c>
      <c r="AR425" s="564">
        <v>1.7442</v>
      </c>
    </row>
    <row r="426" spans="39:44">
      <c r="AM426" s="563">
        <f t="shared" ca="1" si="59"/>
        <v>45523</v>
      </c>
      <c r="AN426" s="564">
        <v>125.5</v>
      </c>
      <c r="AO426" s="564">
        <v>288289</v>
      </c>
      <c r="AP426" s="564">
        <v>53768.506999999998</v>
      </c>
      <c r="AQ426" s="564">
        <v>6747947.6284999996</v>
      </c>
      <c r="AR426" s="564">
        <v>1.7231000000000001</v>
      </c>
    </row>
    <row r="427" spans="39:44">
      <c r="AM427" s="563">
        <f t="shared" ca="1" si="59"/>
        <v>45522</v>
      </c>
      <c r="AN427" s="564">
        <v>125.5</v>
      </c>
      <c r="AO427" s="564">
        <v>288289</v>
      </c>
      <c r="AP427" s="564">
        <v>53768.506999999998</v>
      </c>
      <c r="AQ427" s="564">
        <v>6747947.6284999996</v>
      </c>
      <c r="AR427" s="564">
        <v>1.7231000000000001</v>
      </c>
    </row>
    <row r="428" spans="39:44">
      <c r="AM428" s="563">
        <f t="shared" ca="1" si="59"/>
        <v>45521</v>
      </c>
      <c r="AN428" s="564">
        <v>125.5</v>
      </c>
      <c r="AO428" s="564">
        <v>288289</v>
      </c>
      <c r="AP428" s="564">
        <v>53768.506999999998</v>
      </c>
      <c r="AQ428" s="564">
        <v>6747947.6284999996</v>
      </c>
      <c r="AR428" s="564">
        <v>1.7231000000000001</v>
      </c>
    </row>
    <row r="429" spans="39:44">
      <c r="AM429" s="563">
        <f t="shared" ca="1" si="59"/>
        <v>45520</v>
      </c>
      <c r="AN429" s="564">
        <v>125.13</v>
      </c>
      <c r="AO429" s="564">
        <v>432281</v>
      </c>
      <c r="AP429" s="564">
        <v>53768.506999999998</v>
      </c>
      <c r="AQ429" s="564">
        <v>6728053.2809099993</v>
      </c>
      <c r="AR429" s="564">
        <v>1.718</v>
      </c>
    </row>
    <row r="430" spans="39:44">
      <c r="AM430" s="563">
        <f t="shared" ca="1" si="59"/>
        <v>45519</v>
      </c>
      <c r="AN430" s="564">
        <v>122.44</v>
      </c>
      <c r="AO430" s="564">
        <v>378623</v>
      </c>
      <c r="AP430" s="564">
        <v>53768.506999999998</v>
      </c>
      <c r="AQ430" s="564">
        <v>6583415.9970799992</v>
      </c>
      <c r="AR430" s="564">
        <v>1.6811</v>
      </c>
    </row>
    <row r="431" spans="39:44">
      <c r="AM431" s="563">
        <f t="shared" ca="1" si="59"/>
        <v>45518</v>
      </c>
      <c r="AN431" s="564">
        <v>120.02</v>
      </c>
      <c r="AO431" s="564">
        <v>270382</v>
      </c>
      <c r="AP431" s="564">
        <v>53768.506999999998</v>
      </c>
      <c r="AQ431" s="564">
        <v>6453296.2101399992</v>
      </c>
      <c r="AR431" s="564">
        <v>1.6477999999999999</v>
      </c>
    </row>
    <row r="432" spans="39:44">
      <c r="AM432" s="563">
        <f t="shared" ca="1" si="59"/>
        <v>45517</v>
      </c>
      <c r="AN432" s="564">
        <v>119.85</v>
      </c>
      <c r="AO432" s="564">
        <v>379408</v>
      </c>
      <c r="AP432" s="564">
        <v>53768.506999999998</v>
      </c>
      <c r="AQ432" s="564">
        <v>6444155.5639499994</v>
      </c>
      <c r="AR432" s="564">
        <v>1.6455</v>
      </c>
    </row>
    <row r="433" spans="39:44">
      <c r="AM433" s="563">
        <f t="shared" ca="1" si="59"/>
        <v>45516</v>
      </c>
      <c r="AN433" s="564">
        <v>119.13</v>
      </c>
      <c r="AO433" s="564">
        <v>749665</v>
      </c>
      <c r="AP433" s="564">
        <v>53768.506999999998</v>
      </c>
      <c r="AQ433" s="564">
        <v>6405442.2389099998</v>
      </c>
      <c r="AR433" s="564">
        <v>1.6355999999999999</v>
      </c>
    </row>
    <row r="434" spans="39:44">
      <c r="AM434" s="563">
        <f t="shared" ca="1" si="59"/>
        <v>45515</v>
      </c>
      <c r="AN434" s="564">
        <v>119.13</v>
      </c>
      <c r="AO434" s="564">
        <v>749665</v>
      </c>
      <c r="AP434" s="564">
        <v>53768.506999999998</v>
      </c>
      <c r="AQ434" s="564">
        <v>6405442.2389099998</v>
      </c>
      <c r="AR434" s="564">
        <v>1.6355999999999999</v>
      </c>
    </row>
    <row r="435" spans="39:44">
      <c r="AM435" s="563">
        <f t="shared" ca="1" si="59"/>
        <v>45514</v>
      </c>
      <c r="AN435" s="564">
        <v>119.13</v>
      </c>
      <c r="AO435" s="564">
        <v>749665</v>
      </c>
      <c r="AP435" s="564">
        <v>53768.506999999998</v>
      </c>
      <c r="AQ435" s="564">
        <v>6405442.2389099998</v>
      </c>
      <c r="AR435" s="564">
        <v>1.6355999999999999</v>
      </c>
    </row>
    <row r="436" spans="39:44">
      <c r="AM436" s="563">
        <f t="shared" ca="1" si="59"/>
        <v>45513</v>
      </c>
      <c r="AN436" s="564">
        <v>121.25</v>
      </c>
      <c r="AO436" s="564">
        <v>497453</v>
      </c>
      <c r="AP436" s="564">
        <v>53768.506999999998</v>
      </c>
      <c r="AQ436" s="564">
        <v>6519431.4737499999</v>
      </c>
      <c r="AR436" s="564">
        <v>1.6647000000000001</v>
      </c>
    </row>
    <row r="437" spans="39:44">
      <c r="AM437" s="563">
        <f t="shared" ca="1" si="59"/>
        <v>45512</v>
      </c>
      <c r="AN437" s="564">
        <v>121.25</v>
      </c>
      <c r="AO437" s="564">
        <v>497453</v>
      </c>
      <c r="AP437" s="564">
        <v>53768.506999999998</v>
      </c>
      <c r="AQ437" s="564">
        <v>6519431.4737499999</v>
      </c>
      <c r="AR437" s="564">
        <v>1.6647000000000001</v>
      </c>
    </row>
    <row r="438" spans="39:44">
      <c r="AM438" s="563">
        <f t="shared" ca="1" si="59"/>
        <v>45511</v>
      </c>
      <c r="AN438" s="564">
        <v>120.9</v>
      </c>
      <c r="AO438" s="564">
        <v>409071</v>
      </c>
      <c r="AP438" s="564">
        <v>53768.506999999998</v>
      </c>
      <c r="AQ438" s="564">
        <v>6500612.4962999998</v>
      </c>
      <c r="AR438" s="564">
        <v>1.6598999999999999</v>
      </c>
    </row>
    <row r="439" spans="39:44">
      <c r="AM439" s="563">
        <f t="shared" ca="1" si="59"/>
        <v>45510</v>
      </c>
      <c r="AN439" s="564">
        <v>119.4</v>
      </c>
      <c r="AO439" s="564">
        <v>502264</v>
      </c>
      <c r="AP439" s="564">
        <v>53768.506999999998</v>
      </c>
      <c r="AQ439" s="564">
        <v>6419959.7357999999</v>
      </c>
      <c r="AR439" s="564">
        <v>1.6393</v>
      </c>
    </row>
    <row r="440" spans="39:44">
      <c r="AM440" s="563">
        <f t="shared" ca="1" si="59"/>
        <v>45509</v>
      </c>
      <c r="AN440" s="564">
        <v>122.61</v>
      </c>
      <c r="AO440" s="564">
        <v>805713</v>
      </c>
      <c r="AP440" s="564">
        <v>53768.506999999998</v>
      </c>
      <c r="AQ440" s="564">
        <v>6592556.6432699999</v>
      </c>
      <c r="AR440" s="564">
        <v>1.6609</v>
      </c>
    </row>
    <row r="441" spans="39:44">
      <c r="AM441" s="563">
        <f t="shared" ca="1" si="59"/>
        <v>45508</v>
      </c>
      <c r="AN441" s="564">
        <v>122.61</v>
      </c>
      <c r="AO441" s="564">
        <v>805713</v>
      </c>
      <c r="AP441" s="564">
        <v>53768.506999999998</v>
      </c>
      <c r="AQ441" s="564">
        <v>6592556.6432699999</v>
      </c>
      <c r="AR441" s="564">
        <v>1.6609</v>
      </c>
    </row>
    <row r="442" spans="39:44">
      <c r="AM442" s="563">
        <f t="shared" ca="1" si="59"/>
        <v>45507</v>
      </c>
      <c r="AN442" s="564">
        <v>122.61</v>
      </c>
      <c r="AO442" s="564">
        <v>805713</v>
      </c>
      <c r="AP442" s="564">
        <v>53768.506999999998</v>
      </c>
      <c r="AQ442" s="564">
        <v>6592556.6432699999</v>
      </c>
      <c r="AR442" s="564">
        <v>1.6609</v>
      </c>
    </row>
    <row r="443" spans="39:44">
      <c r="AM443" s="563">
        <f t="shared" ca="1" si="59"/>
        <v>45506</v>
      </c>
      <c r="AN443" s="564">
        <v>124.65</v>
      </c>
      <c r="AO443" s="564">
        <v>430977</v>
      </c>
      <c r="AP443" s="564">
        <v>53768.506999999998</v>
      </c>
      <c r="AQ443" s="564">
        <v>6702244.3975499999</v>
      </c>
      <c r="AR443" s="564">
        <v>1.6884999999999999</v>
      </c>
    </row>
    <row r="444" spans="39:44">
      <c r="AM444" s="563">
        <f t="shared" ca="1" si="59"/>
        <v>45505</v>
      </c>
      <c r="AN444" s="564">
        <v>122.87</v>
      </c>
      <c r="AO444" s="564">
        <v>418270</v>
      </c>
      <c r="AP444" s="564">
        <v>53768.506999999998</v>
      </c>
      <c r="AQ444" s="564">
        <v>6606536.4550900003</v>
      </c>
      <c r="AR444" s="564">
        <v>1.6644000000000001</v>
      </c>
    </row>
    <row r="445" spans="39:44">
      <c r="AM445" s="563">
        <f t="shared" ca="1" si="59"/>
        <v>45504</v>
      </c>
      <c r="AN445" s="564">
        <v>123.47</v>
      </c>
      <c r="AO445" s="564">
        <v>599579</v>
      </c>
      <c r="AP445" s="564">
        <v>53768.506999999998</v>
      </c>
      <c r="AQ445" s="564">
        <v>6638797.5592899993</v>
      </c>
      <c r="AR445" s="564">
        <v>1.6726000000000001</v>
      </c>
    </row>
    <row r="446" spans="39:44">
      <c r="AM446" s="563">
        <f t="shared" ca="1" si="59"/>
        <v>45503</v>
      </c>
      <c r="AN446" s="564">
        <v>128</v>
      </c>
      <c r="AO446" s="564">
        <v>551042</v>
      </c>
      <c r="AP446" s="564">
        <v>53768.506999999998</v>
      </c>
      <c r="AQ446" s="564">
        <v>6882368.8959999997</v>
      </c>
      <c r="AR446" s="564">
        <v>1.7339</v>
      </c>
    </row>
    <row r="447" spans="39:44">
      <c r="AM447" s="563">
        <f t="shared" ca="1" si="59"/>
        <v>45502</v>
      </c>
      <c r="AN447" s="564">
        <v>125.9</v>
      </c>
      <c r="AO447" s="564">
        <v>2371317</v>
      </c>
      <c r="AP447" s="564">
        <v>53768.506999999998</v>
      </c>
      <c r="AQ447" s="564">
        <v>6769455.0312999999</v>
      </c>
      <c r="AR447" s="564">
        <v>1.7055</v>
      </c>
    </row>
    <row r="448" spans="39:44">
      <c r="AM448" s="563">
        <f t="shared" ca="1" si="59"/>
        <v>45501</v>
      </c>
      <c r="AN448" s="564">
        <v>125.9</v>
      </c>
      <c r="AO448" s="564">
        <v>2371317</v>
      </c>
      <c r="AP448" s="564">
        <v>53768.506999999998</v>
      </c>
      <c r="AQ448" s="564">
        <v>6769455.0312999999</v>
      </c>
      <c r="AR448" s="564">
        <v>1.7055</v>
      </c>
    </row>
    <row r="449" spans="39:44">
      <c r="AM449" s="563">
        <f t="shared" ca="1" si="59"/>
        <v>45500</v>
      </c>
      <c r="AN449" s="564">
        <v>125.9</v>
      </c>
      <c r="AO449" s="564">
        <v>2371317</v>
      </c>
      <c r="AP449" s="564">
        <v>53768.506999999998</v>
      </c>
      <c r="AQ449" s="564">
        <v>6769455.0312999999</v>
      </c>
      <c r="AR449" s="564">
        <v>1.7055</v>
      </c>
    </row>
    <row r="450" spans="39:44">
      <c r="AM450" s="563">
        <f t="shared" ca="1" si="59"/>
        <v>45499</v>
      </c>
      <c r="AN450" s="564">
        <v>125.91</v>
      </c>
      <c r="AO450" s="564">
        <v>311273</v>
      </c>
      <c r="AP450" s="564">
        <v>53768.506999999998</v>
      </c>
      <c r="AQ450" s="564">
        <v>6769992.7163699996</v>
      </c>
      <c r="AR450" s="564">
        <v>1.7056</v>
      </c>
    </row>
    <row r="451" spans="39:44">
      <c r="AM451" s="563">
        <f t="shared" ca="1" si="59"/>
        <v>45498</v>
      </c>
      <c r="AN451" s="564">
        <v>126.34</v>
      </c>
      <c r="AO451" s="564">
        <v>448553</v>
      </c>
      <c r="AP451" s="564">
        <v>53768.506999999998</v>
      </c>
      <c r="AQ451" s="564">
        <v>6793113.1743799997</v>
      </c>
      <c r="AR451" s="564">
        <v>1.7114</v>
      </c>
    </row>
    <row r="452" spans="39:44">
      <c r="AM452" s="563">
        <f t="shared" ca="1" si="59"/>
        <v>45497</v>
      </c>
      <c r="AN452" s="564">
        <v>126.34</v>
      </c>
      <c r="AO452" s="564">
        <v>448553</v>
      </c>
      <c r="AP452" s="564">
        <v>53768.506999999998</v>
      </c>
      <c r="AQ452" s="564">
        <v>6793113.1743799997</v>
      </c>
      <c r="AR452" s="564">
        <v>1.7114</v>
      </c>
    </row>
    <row r="453" spans="39:44">
      <c r="AM453" s="563">
        <f t="shared" ref="AM453:AM516" ca="1" si="60">AM452-1</f>
        <v>45496</v>
      </c>
      <c r="AN453" s="564">
        <v>125.09</v>
      </c>
      <c r="AO453" s="564">
        <v>264834</v>
      </c>
      <c r="AP453" s="564">
        <v>53768.506999999998</v>
      </c>
      <c r="AQ453" s="564">
        <v>6725902.5406299997</v>
      </c>
      <c r="AR453" s="564">
        <v>1.6944999999999999</v>
      </c>
    </row>
    <row r="454" spans="39:44">
      <c r="AM454" s="563">
        <f t="shared" ca="1" si="60"/>
        <v>45495</v>
      </c>
      <c r="AN454" s="564">
        <v>123.78</v>
      </c>
      <c r="AO454" s="564">
        <v>648643</v>
      </c>
      <c r="AP454" s="564">
        <v>53768.506999999998</v>
      </c>
      <c r="AQ454" s="564">
        <v>6655465.7964599999</v>
      </c>
      <c r="AR454" s="564">
        <v>1.6768000000000001</v>
      </c>
    </row>
    <row r="455" spans="39:44">
      <c r="AM455" s="563">
        <f t="shared" ca="1" si="60"/>
        <v>45494</v>
      </c>
      <c r="AN455" s="564">
        <v>123.78</v>
      </c>
      <c r="AO455" s="564">
        <v>648643</v>
      </c>
      <c r="AP455" s="564">
        <v>53768.506999999998</v>
      </c>
      <c r="AQ455" s="564">
        <v>6655465.7964599999</v>
      </c>
      <c r="AR455" s="564">
        <v>1.6768000000000001</v>
      </c>
    </row>
    <row r="456" spans="39:44">
      <c r="AM456" s="563">
        <f t="shared" ca="1" si="60"/>
        <v>45493</v>
      </c>
      <c r="AN456" s="564">
        <v>123.78</v>
      </c>
      <c r="AO456" s="564">
        <v>648643</v>
      </c>
      <c r="AP456" s="564">
        <v>53768.506999999998</v>
      </c>
      <c r="AQ456" s="564">
        <v>6655465.7964599999</v>
      </c>
      <c r="AR456" s="564">
        <v>1.6768000000000001</v>
      </c>
    </row>
    <row r="457" spans="39:44">
      <c r="AM457" s="563">
        <f t="shared" ca="1" si="60"/>
        <v>45492</v>
      </c>
      <c r="AN457" s="564">
        <v>126.48</v>
      </c>
      <c r="AO457" s="564">
        <v>900727</v>
      </c>
      <c r="AP457" s="564">
        <v>53768.506999999998</v>
      </c>
      <c r="AQ457" s="564">
        <v>6800640.7653599996</v>
      </c>
      <c r="AR457" s="564">
        <v>1.7133</v>
      </c>
    </row>
    <row r="458" spans="39:44">
      <c r="AM458" s="563">
        <f t="shared" ca="1" si="60"/>
        <v>45491</v>
      </c>
      <c r="AN458" s="564">
        <v>128.41</v>
      </c>
      <c r="AO458" s="564">
        <v>575186</v>
      </c>
      <c r="AP458" s="564">
        <v>53768.506999999998</v>
      </c>
      <c r="AQ458" s="564">
        <v>6904413.9838699996</v>
      </c>
      <c r="AR458" s="564">
        <v>1.7395</v>
      </c>
    </row>
    <row r="459" spans="39:44">
      <c r="AM459" s="563">
        <f t="shared" ca="1" si="60"/>
        <v>45490</v>
      </c>
      <c r="AN459" s="564">
        <v>124.22</v>
      </c>
      <c r="AO459" s="564">
        <v>325262</v>
      </c>
      <c r="AP459" s="564">
        <v>53768.506999999998</v>
      </c>
      <c r="AQ459" s="564">
        <v>6679123.9395399997</v>
      </c>
      <c r="AR459" s="564">
        <v>1.6827000000000001</v>
      </c>
    </row>
    <row r="460" spans="39:44">
      <c r="AM460" s="563">
        <f t="shared" ca="1" si="60"/>
        <v>45489</v>
      </c>
      <c r="AN460" s="564">
        <v>126.46</v>
      </c>
      <c r="AO460" s="564">
        <v>233162</v>
      </c>
      <c r="AP460" s="564">
        <v>53768.506999999998</v>
      </c>
      <c r="AQ460" s="564">
        <v>6799565.3952199994</v>
      </c>
      <c r="AR460" s="564">
        <v>1.7131000000000001</v>
      </c>
    </row>
    <row r="461" spans="39:44">
      <c r="AM461" s="563">
        <f t="shared" ca="1" si="60"/>
        <v>45488</v>
      </c>
      <c r="AN461" s="564">
        <v>125.89</v>
      </c>
      <c r="AO461" s="564">
        <v>336679</v>
      </c>
      <c r="AP461" s="564">
        <v>53768.506999999998</v>
      </c>
      <c r="AQ461" s="564">
        <v>6768917.3462299993</v>
      </c>
      <c r="AR461" s="564">
        <v>1.7053</v>
      </c>
    </row>
    <row r="462" spans="39:44">
      <c r="AM462" s="563">
        <f t="shared" ca="1" si="60"/>
        <v>45487</v>
      </c>
      <c r="AN462" s="564">
        <v>125.89</v>
      </c>
      <c r="AO462" s="564">
        <v>336679</v>
      </c>
      <c r="AP462" s="564">
        <v>53768.506999999998</v>
      </c>
      <c r="AQ462" s="564">
        <v>6768917.3462299993</v>
      </c>
      <c r="AR462" s="564">
        <v>1.7053</v>
      </c>
    </row>
    <row r="463" spans="39:44">
      <c r="AM463" s="563">
        <f t="shared" ca="1" si="60"/>
        <v>45486</v>
      </c>
      <c r="AN463" s="564">
        <v>125.89</v>
      </c>
      <c r="AO463" s="564">
        <v>336679</v>
      </c>
      <c r="AP463" s="564">
        <v>53768.506999999998</v>
      </c>
      <c r="AQ463" s="564">
        <v>6768917.3462299993</v>
      </c>
      <c r="AR463" s="564">
        <v>1.7053</v>
      </c>
    </row>
    <row r="464" spans="39:44">
      <c r="AM464" s="563">
        <f t="shared" ca="1" si="60"/>
        <v>45485</v>
      </c>
      <c r="AN464" s="564">
        <v>125.9</v>
      </c>
      <c r="AO464" s="564">
        <v>451633</v>
      </c>
      <c r="AP464" s="564">
        <v>53768.506999999998</v>
      </c>
      <c r="AQ464" s="564">
        <v>6769455.0312999999</v>
      </c>
      <c r="AR464" s="564">
        <v>1.7055</v>
      </c>
    </row>
    <row r="465" spans="39:44">
      <c r="AM465" s="563">
        <f t="shared" ca="1" si="60"/>
        <v>45484</v>
      </c>
      <c r="AN465" s="564">
        <v>128.88</v>
      </c>
      <c r="AO465" s="564">
        <v>334555</v>
      </c>
      <c r="AP465" s="564">
        <v>53768.506999999998</v>
      </c>
      <c r="AQ465" s="564">
        <v>6929685.1821599994</v>
      </c>
      <c r="AR465" s="564">
        <v>1.7458</v>
      </c>
    </row>
    <row r="466" spans="39:44">
      <c r="AM466" s="563">
        <f t="shared" ca="1" si="60"/>
        <v>45483</v>
      </c>
      <c r="AN466" s="564">
        <v>127.01</v>
      </c>
      <c r="AO466" s="564">
        <v>529994</v>
      </c>
      <c r="AP466" s="564">
        <v>53768.506999999998</v>
      </c>
      <c r="AQ466" s="564">
        <v>6829138.0740700001</v>
      </c>
      <c r="AR466" s="564">
        <v>1.7204999999999999</v>
      </c>
    </row>
    <row r="467" spans="39:44">
      <c r="AM467" s="563">
        <f t="shared" ca="1" si="60"/>
        <v>45482</v>
      </c>
      <c r="AN467" s="564">
        <v>127.25</v>
      </c>
      <c r="AO467" s="564">
        <v>674913</v>
      </c>
      <c r="AP467" s="564">
        <v>53768.506999999998</v>
      </c>
      <c r="AQ467" s="564">
        <v>6842042.5157499993</v>
      </c>
      <c r="AR467" s="564">
        <v>1.7238</v>
      </c>
    </row>
    <row r="468" spans="39:44">
      <c r="AM468" s="563">
        <f t="shared" ca="1" si="60"/>
        <v>45481</v>
      </c>
      <c r="AN468" s="564">
        <v>128.91</v>
      </c>
      <c r="AO468" s="564">
        <v>616942</v>
      </c>
      <c r="AP468" s="564">
        <v>53768.506999999998</v>
      </c>
      <c r="AQ468" s="564">
        <v>6931298.2373699993</v>
      </c>
      <c r="AR468" s="564">
        <v>1.7462</v>
      </c>
    </row>
    <row r="469" spans="39:44">
      <c r="AM469" s="563">
        <f t="shared" ca="1" si="60"/>
        <v>45480</v>
      </c>
      <c r="AN469" s="564">
        <v>128.91</v>
      </c>
      <c r="AO469" s="564">
        <v>616942</v>
      </c>
      <c r="AP469" s="564">
        <v>53768.506999999998</v>
      </c>
      <c r="AQ469" s="564">
        <v>6931298.2373699993</v>
      </c>
      <c r="AR469" s="564">
        <v>1.7462</v>
      </c>
    </row>
    <row r="470" spans="39:44">
      <c r="AM470" s="563">
        <f t="shared" ca="1" si="60"/>
        <v>45479</v>
      </c>
      <c r="AN470" s="564">
        <v>128.91</v>
      </c>
      <c r="AO470" s="564">
        <v>616942</v>
      </c>
      <c r="AP470" s="564">
        <v>53768.506999999998</v>
      </c>
      <c r="AQ470" s="564">
        <v>6931298.2373699993</v>
      </c>
      <c r="AR470" s="564">
        <v>1.7462</v>
      </c>
    </row>
    <row r="471" spans="39:44">
      <c r="AM471" s="563">
        <f t="shared" ca="1" si="60"/>
        <v>45478</v>
      </c>
      <c r="AN471" s="564">
        <v>124.09</v>
      </c>
      <c r="AO471" s="564">
        <v>813606</v>
      </c>
      <c r="AP471" s="564">
        <v>53768.506999999998</v>
      </c>
      <c r="AQ471" s="564">
        <v>6672134.0336299995</v>
      </c>
      <c r="AR471" s="564">
        <v>1.681</v>
      </c>
    </row>
    <row r="472" spans="39:44">
      <c r="AM472" s="563">
        <f t="shared" ca="1" si="60"/>
        <v>45477</v>
      </c>
      <c r="AN472" s="564">
        <v>122.89</v>
      </c>
      <c r="AO472" s="564">
        <v>528893</v>
      </c>
      <c r="AP472" s="564">
        <v>53768.506999999998</v>
      </c>
      <c r="AQ472" s="564">
        <v>6607611.8252299996</v>
      </c>
      <c r="AR472" s="564">
        <v>1.6647000000000001</v>
      </c>
    </row>
    <row r="473" spans="39:44">
      <c r="AM473" s="563">
        <f t="shared" ca="1" si="60"/>
        <v>45476</v>
      </c>
      <c r="AN473" s="564">
        <v>123.09</v>
      </c>
      <c r="AO473" s="564">
        <v>450861</v>
      </c>
      <c r="AP473" s="564">
        <v>53768.506999999998</v>
      </c>
      <c r="AQ473" s="564">
        <v>6618365.5266300002</v>
      </c>
      <c r="AR473" s="564">
        <v>1.6674</v>
      </c>
    </row>
    <row r="474" spans="39:44">
      <c r="AM474" s="563">
        <f t="shared" ca="1" si="60"/>
        <v>45475</v>
      </c>
      <c r="AN474" s="564">
        <v>124.73</v>
      </c>
      <c r="AO474" s="564">
        <v>374524</v>
      </c>
      <c r="AP474" s="564">
        <v>53768.506999999998</v>
      </c>
      <c r="AQ474" s="564">
        <v>6706545.8781099999</v>
      </c>
      <c r="AR474" s="564">
        <v>1.6896</v>
      </c>
    </row>
    <row r="475" spans="39:44">
      <c r="AM475" s="563">
        <f t="shared" ca="1" si="60"/>
        <v>45474</v>
      </c>
      <c r="AN475" s="564">
        <v>124.73</v>
      </c>
      <c r="AO475" s="564">
        <v>374524</v>
      </c>
      <c r="AP475" s="564">
        <v>53768.506999999998</v>
      </c>
      <c r="AQ475" s="564">
        <v>6706545.8781099999</v>
      </c>
      <c r="AR475" s="564">
        <v>1.6896</v>
      </c>
    </row>
    <row r="476" spans="39:44">
      <c r="AM476" s="563">
        <f t="shared" ca="1" si="60"/>
        <v>45473</v>
      </c>
      <c r="AN476" s="564">
        <v>124.73</v>
      </c>
      <c r="AO476" s="564">
        <v>374524</v>
      </c>
      <c r="AP476" s="564">
        <v>53768.506999999998</v>
      </c>
      <c r="AQ476" s="564">
        <v>6706545.8781099999</v>
      </c>
      <c r="AR476" s="564">
        <v>1.6896</v>
      </c>
    </row>
    <row r="477" spans="39:44">
      <c r="AM477" s="563">
        <f t="shared" ca="1" si="60"/>
        <v>45472</v>
      </c>
      <c r="AN477" s="564">
        <v>124.73</v>
      </c>
      <c r="AO477" s="564">
        <v>374524</v>
      </c>
      <c r="AP477" s="564">
        <v>53768.506999999998</v>
      </c>
      <c r="AQ477" s="564">
        <v>6706545.8781099999</v>
      </c>
      <c r="AR477" s="564">
        <v>1.6896</v>
      </c>
    </row>
    <row r="478" spans="39:44">
      <c r="AM478" s="563">
        <f t="shared" ca="1" si="60"/>
        <v>45471</v>
      </c>
      <c r="AN478" s="564">
        <v>126.76</v>
      </c>
      <c r="AO478" s="564">
        <v>793961</v>
      </c>
      <c r="AP478" s="564">
        <v>53768.506999999998</v>
      </c>
      <c r="AQ478" s="564">
        <v>6815695.9473200003</v>
      </c>
      <c r="AR478" s="564">
        <v>1.7171000000000001</v>
      </c>
    </row>
    <row r="479" spans="39:44">
      <c r="AM479" s="563">
        <f t="shared" ca="1" si="60"/>
        <v>45470</v>
      </c>
      <c r="AN479" s="564">
        <v>129.05000000000001</v>
      </c>
      <c r="AO479" s="564">
        <v>615613</v>
      </c>
      <c r="AP479" s="564">
        <v>53768.506999999998</v>
      </c>
      <c r="AQ479" s="564">
        <v>6938825.8283500001</v>
      </c>
      <c r="AR479" s="564">
        <v>1.7481</v>
      </c>
    </row>
    <row r="480" spans="39:44">
      <c r="AM480" s="563">
        <f t="shared" ca="1" si="60"/>
        <v>45469</v>
      </c>
      <c r="AN480" s="564">
        <v>132.96</v>
      </c>
      <c r="AO480" s="564">
        <v>433063</v>
      </c>
      <c r="AP480" s="564">
        <v>53768.506999999998</v>
      </c>
      <c r="AQ480" s="564">
        <v>7149060.6907200003</v>
      </c>
      <c r="AR480" s="564">
        <v>1.8010999999999999</v>
      </c>
    </row>
    <row r="481" spans="39:44">
      <c r="AM481" s="563">
        <f t="shared" ca="1" si="60"/>
        <v>45468</v>
      </c>
      <c r="AN481" s="564">
        <v>133.47999999999999</v>
      </c>
      <c r="AO481" s="564">
        <v>400332</v>
      </c>
      <c r="AP481" s="564">
        <v>53768.506999999998</v>
      </c>
      <c r="AQ481" s="564">
        <v>7177020.3143599993</v>
      </c>
      <c r="AR481" s="564">
        <v>1.8082</v>
      </c>
    </row>
    <row r="482" spans="39:44">
      <c r="AM482" s="563">
        <f t="shared" ca="1" si="60"/>
        <v>45467</v>
      </c>
      <c r="AN482" s="564">
        <v>133.08000000000001</v>
      </c>
      <c r="AO482" s="564">
        <v>390218</v>
      </c>
      <c r="AP482" s="564">
        <v>53768.506999999998</v>
      </c>
      <c r="AQ482" s="564">
        <v>7155512.9115599999</v>
      </c>
      <c r="AR482" s="564">
        <v>1.8027</v>
      </c>
    </row>
    <row r="483" spans="39:44">
      <c r="AM483" s="563">
        <f t="shared" ca="1" si="60"/>
        <v>45466</v>
      </c>
      <c r="AN483" s="564">
        <v>133.08000000000001</v>
      </c>
      <c r="AO483" s="564">
        <v>390218</v>
      </c>
      <c r="AP483" s="564">
        <v>53768.506999999998</v>
      </c>
      <c r="AQ483" s="564">
        <v>7155512.9115599999</v>
      </c>
      <c r="AR483" s="564">
        <v>1.8027</v>
      </c>
    </row>
    <row r="484" spans="39:44">
      <c r="AM484" s="563">
        <f t="shared" ca="1" si="60"/>
        <v>45465</v>
      </c>
      <c r="AN484" s="564">
        <v>133.08000000000001</v>
      </c>
      <c r="AO484" s="564">
        <v>390218</v>
      </c>
      <c r="AP484" s="564">
        <v>53768.506999999998</v>
      </c>
      <c r="AQ484" s="564">
        <v>7155512.9115599999</v>
      </c>
      <c r="AR484" s="564">
        <v>1.8027</v>
      </c>
    </row>
    <row r="485" spans="39:44">
      <c r="AM485" s="563">
        <f t="shared" ca="1" si="60"/>
        <v>45464</v>
      </c>
      <c r="AN485" s="564">
        <v>132.63999999999999</v>
      </c>
      <c r="AO485" s="564">
        <v>815324</v>
      </c>
      <c r="AP485" s="564">
        <v>53768.506999999998</v>
      </c>
      <c r="AQ485" s="564">
        <v>7131854.7684799992</v>
      </c>
      <c r="AR485" s="564">
        <v>1.7968</v>
      </c>
    </row>
    <row r="486" spans="39:44">
      <c r="AM486" s="563">
        <f t="shared" ca="1" si="60"/>
        <v>45463</v>
      </c>
      <c r="AN486" s="564">
        <v>135.79</v>
      </c>
      <c r="AO486" s="564">
        <v>1571714</v>
      </c>
      <c r="AP486" s="564">
        <v>53768.506999999998</v>
      </c>
      <c r="AQ486" s="564">
        <v>7301225.5655299993</v>
      </c>
      <c r="AR486" s="564">
        <v>1.8393999999999999</v>
      </c>
    </row>
    <row r="487" spans="39:44">
      <c r="AM487" s="563">
        <f t="shared" ca="1" si="60"/>
        <v>45462</v>
      </c>
      <c r="AN487" s="564">
        <v>137.01</v>
      </c>
      <c r="AO487" s="564">
        <v>817497</v>
      </c>
      <c r="AP487" s="564">
        <v>53768.506999999998</v>
      </c>
      <c r="AQ487" s="564">
        <v>7366823.1440699995</v>
      </c>
      <c r="AR487" s="564">
        <v>1.8560000000000001</v>
      </c>
    </row>
    <row r="488" spans="39:44">
      <c r="AM488" s="563">
        <f t="shared" ca="1" si="60"/>
        <v>45461</v>
      </c>
      <c r="AN488" s="564">
        <v>137.22</v>
      </c>
      <c r="AO488" s="564">
        <v>467207</v>
      </c>
      <c r="AP488" s="564">
        <v>53768.506999999998</v>
      </c>
      <c r="AQ488" s="564">
        <v>7378114.5305399997</v>
      </c>
      <c r="AR488" s="564">
        <v>1.8588</v>
      </c>
    </row>
    <row r="489" spans="39:44">
      <c r="AM489" s="563">
        <f t="shared" ca="1" si="60"/>
        <v>45460</v>
      </c>
      <c r="AN489" s="564">
        <v>138.09</v>
      </c>
      <c r="AO489" s="564">
        <v>581657</v>
      </c>
      <c r="AP489" s="564">
        <v>53768.506999999998</v>
      </c>
      <c r="AQ489" s="564">
        <v>7424893.1316299997</v>
      </c>
      <c r="AR489" s="564">
        <v>1.8706</v>
      </c>
    </row>
    <row r="490" spans="39:44">
      <c r="AM490" s="563">
        <f t="shared" ca="1" si="60"/>
        <v>45459</v>
      </c>
      <c r="AN490" s="564">
        <v>138.09</v>
      </c>
      <c r="AO490" s="564">
        <v>581657</v>
      </c>
      <c r="AP490" s="564">
        <v>53768.506999999998</v>
      </c>
      <c r="AQ490" s="564">
        <v>7424893.1316299997</v>
      </c>
      <c r="AR490" s="564">
        <v>1.8706</v>
      </c>
    </row>
    <row r="491" spans="39:44">
      <c r="AM491" s="563">
        <f t="shared" ca="1" si="60"/>
        <v>45458</v>
      </c>
      <c r="AN491" s="564">
        <v>138.09</v>
      </c>
      <c r="AO491" s="564">
        <v>581657</v>
      </c>
      <c r="AP491" s="564">
        <v>53768.506999999998</v>
      </c>
      <c r="AQ491" s="564">
        <v>7424893.1316299997</v>
      </c>
      <c r="AR491" s="564">
        <v>1.8706</v>
      </c>
    </row>
    <row r="492" spans="39:44">
      <c r="AM492" s="563">
        <f t="shared" ca="1" si="60"/>
        <v>45457</v>
      </c>
      <c r="AN492" s="564">
        <v>136.28</v>
      </c>
      <c r="AO492" s="564">
        <v>552489</v>
      </c>
      <c r="AP492" s="564">
        <v>53768.506999999998</v>
      </c>
      <c r="AQ492" s="564">
        <v>7327572.1339599993</v>
      </c>
      <c r="AR492" s="564">
        <v>1.8461000000000001</v>
      </c>
    </row>
    <row r="493" spans="39:44">
      <c r="AM493" s="563">
        <f t="shared" ca="1" si="60"/>
        <v>45456</v>
      </c>
      <c r="AN493" s="564">
        <v>138.58000000000001</v>
      </c>
      <c r="AO493" s="564">
        <v>775376</v>
      </c>
      <c r="AP493" s="564">
        <v>53603.417999999998</v>
      </c>
      <c r="AQ493" s="564">
        <v>7428361.6664400008</v>
      </c>
      <c r="AR493" s="564">
        <v>1.8772</v>
      </c>
    </row>
    <row r="494" spans="39:44">
      <c r="AM494" s="563">
        <f t="shared" ca="1" si="60"/>
        <v>45455</v>
      </c>
      <c r="AN494" s="564">
        <v>141.83000000000001</v>
      </c>
      <c r="AO494" s="564">
        <v>660906</v>
      </c>
      <c r="AP494" s="564">
        <v>53603.417999999998</v>
      </c>
      <c r="AQ494" s="564">
        <v>7602572.7749399999</v>
      </c>
      <c r="AR494" s="564">
        <v>1.9213</v>
      </c>
    </row>
    <row r="495" spans="39:44">
      <c r="AM495" s="563">
        <f t="shared" ca="1" si="60"/>
        <v>45454</v>
      </c>
      <c r="AN495" s="564">
        <v>139.99</v>
      </c>
      <c r="AO495" s="564">
        <v>295612</v>
      </c>
      <c r="AP495" s="564">
        <v>53603.417999999998</v>
      </c>
      <c r="AQ495" s="564">
        <v>7503942.4858200001</v>
      </c>
      <c r="AR495" s="564">
        <v>1.8963000000000001</v>
      </c>
    </row>
    <row r="496" spans="39:44">
      <c r="AM496" s="563">
        <f t="shared" ca="1" si="60"/>
        <v>45453</v>
      </c>
      <c r="AN496" s="564">
        <v>140.08000000000001</v>
      </c>
      <c r="AO496" s="564">
        <v>544964</v>
      </c>
      <c r="AP496" s="564">
        <v>53603.417999999998</v>
      </c>
      <c r="AQ496" s="564">
        <v>7508766.7934400002</v>
      </c>
      <c r="AR496" s="564">
        <v>1.8976</v>
      </c>
    </row>
    <row r="497" spans="39:44">
      <c r="AM497" s="563">
        <f t="shared" ca="1" si="60"/>
        <v>45452</v>
      </c>
      <c r="AN497" s="564">
        <v>140.08000000000001</v>
      </c>
      <c r="AO497" s="564">
        <v>544964</v>
      </c>
      <c r="AP497" s="564">
        <v>53603.417999999998</v>
      </c>
      <c r="AQ497" s="564">
        <v>7508766.7934400002</v>
      </c>
      <c r="AR497" s="564">
        <v>1.8976</v>
      </c>
    </row>
    <row r="498" spans="39:44">
      <c r="AM498" s="563">
        <f t="shared" ca="1" si="60"/>
        <v>45451</v>
      </c>
      <c r="AN498" s="564">
        <v>140.08000000000001</v>
      </c>
      <c r="AO498" s="564">
        <v>544964</v>
      </c>
      <c r="AP498" s="564">
        <v>53603.417999999998</v>
      </c>
      <c r="AQ498" s="564">
        <v>7508766.7934400002</v>
      </c>
      <c r="AR498" s="564">
        <v>1.8976</v>
      </c>
    </row>
    <row r="499" spans="39:44">
      <c r="AM499" s="563">
        <f t="shared" ca="1" si="60"/>
        <v>45450</v>
      </c>
      <c r="AN499" s="564">
        <v>138.87</v>
      </c>
      <c r="AO499" s="564">
        <v>303895</v>
      </c>
      <c r="AP499" s="564">
        <v>53603.417999999998</v>
      </c>
      <c r="AQ499" s="564">
        <v>7443906.65766</v>
      </c>
      <c r="AR499" s="564">
        <v>1.8812</v>
      </c>
    </row>
    <row r="500" spans="39:44">
      <c r="AM500" s="563">
        <f t="shared" ca="1" si="60"/>
        <v>45449</v>
      </c>
      <c r="AN500" s="564">
        <v>137.51</v>
      </c>
      <c r="AO500" s="564">
        <v>436398</v>
      </c>
      <c r="AP500" s="564">
        <v>53603.417999999998</v>
      </c>
      <c r="AQ500" s="564">
        <v>7371006.0091799991</v>
      </c>
      <c r="AR500" s="564">
        <v>1.8627</v>
      </c>
    </row>
    <row r="501" spans="39:44">
      <c r="AM501" s="563">
        <f t="shared" ca="1" si="60"/>
        <v>45448</v>
      </c>
      <c r="AN501" s="564">
        <v>138.97</v>
      </c>
      <c r="AO501" s="564">
        <v>423611</v>
      </c>
      <c r="AP501" s="564">
        <v>53603.417999999998</v>
      </c>
      <c r="AQ501" s="564">
        <v>7449266.9994599996</v>
      </c>
      <c r="AR501" s="564">
        <v>1.8825000000000001</v>
      </c>
    </row>
    <row r="502" spans="39:44">
      <c r="AM502" s="563">
        <f t="shared" ca="1" si="60"/>
        <v>45447</v>
      </c>
      <c r="AN502" s="564">
        <v>142.15</v>
      </c>
      <c r="AO502" s="564">
        <v>354484</v>
      </c>
      <c r="AP502" s="564">
        <v>53603.417999999998</v>
      </c>
      <c r="AQ502" s="564">
        <v>7619725.8687000005</v>
      </c>
      <c r="AR502" s="564">
        <v>1.9256</v>
      </c>
    </row>
    <row r="503" spans="39:44">
      <c r="AM503" s="563">
        <f t="shared" ca="1" si="60"/>
        <v>45446</v>
      </c>
      <c r="AN503" s="564">
        <v>141.25</v>
      </c>
      <c r="AO503" s="564">
        <v>167549</v>
      </c>
      <c r="AP503" s="564">
        <v>53603.417999999998</v>
      </c>
      <c r="AQ503" s="564">
        <v>7571482.7924999995</v>
      </c>
      <c r="AR503" s="564">
        <v>1.9134</v>
      </c>
    </row>
    <row r="504" spans="39:44">
      <c r="AM504" s="563">
        <f t="shared" ca="1" si="60"/>
        <v>45445</v>
      </c>
      <c r="AN504" s="564">
        <v>141.25</v>
      </c>
      <c r="AO504" s="564">
        <v>167549</v>
      </c>
      <c r="AP504" s="564">
        <v>53603.417999999998</v>
      </c>
      <c r="AQ504" s="564">
        <v>7571482.7924999995</v>
      </c>
      <c r="AR504" s="564">
        <v>1.9134</v>
      </c>
    </row>
    <row r="505" spans="39:44">
      <c r="AM505" s="563">
        <f t="shared" ca="1" si="60"/>
        <v>45444</v>
      </c>
      <c r="AN505" s="564">
        <v>141.25</v>
      </c>
      <c r="AO505" s="564">
        <v>167549</v>
      </c>
      <c r="AP505" s="564">
        <v>53603.417999999998</v>
      </c>
      <c r="AQ505" s="564">
        <v>7571482.7924999995</v>
      </c>
      <c r="AR505" s="564">
        <v>1.9134</v>
      </c>
    </row>
    <row r="506" spans="39:44">
      <c r="AM506" s="563">
        <f t="shared" ca="1" si="60"/>
        <v>45443</v>
      </c>
      <c r="AN506" s="564">
        <v>141.53</v>
      </c>
      <c r="AO506" s="564">
        <v>357438</v>
      </c>
      <c r="AP506" s="564">
        <v>53603.417999999998</v>
      </c>
      <c r="AQ506" s="564">
        <v>7586491.7495399993</v>
      </c>
      <c r="AR506" s="564">
        <v>1.9172</v>
      </c>
    </row>
    <row r="507" spans="39:44">
      <c r="AM507" s="563">
        <f t="shared" ca="1" si="60"/>
        <v>45442</v>
      </c>
      <c r="AN507" s="564">
        <v>144.69</v>
      </c>
      <c r="AO507" s="564">
        <v>220723</v>
      </c>
      <c r="AP507" s="564">
        <v>53603.417999999998</v>
      </c>
      <c r="AQ507" s="564">
        <v>7755878.5504199993</v>
      </c>
      <c r="AR507" s="564">
        <v>1.96</v>
      </c>
    </row>
    <row r="508" spans="39:44">
      <c r="AM508" s="563">
        <f t="shared" ca="1" si="60"/>
        <v>45441</v>
      </c>
      <c r="AN508" s="564">
        <v>145.36000000000001</v>
      </c>
      <c r="AO508" s="564">
        <v>258726</v>
      </c>
      <c r="AP508" s="564">
        <v>53603.417999999998</v>
      </c>
      <c r="AQ508" s="564">
        <v>7791792.8404800007</v>
      </c>
      <c r="AR508" s="564">
        <v>1.9691000000000001</v>
      </c>
    </row>
    <row r="509" spans="39:44">
      <c r="AM509" s="563">
        <f t="shared" ca="1" si="60"/>
        <v>45440</v>
      </c>
      <c r="AN509" s="564">
        <v>141.93</v>
      </c>
      <c r="AO509" s="564">
        <v>276429</v>
      </c>
      <c r="AP509" s="564">
        <v>53603.417999999998</v>
      </c>
      <c r="AQ509" s="564">
        <v>7607933.1167400004</v>
      </c>
      <c r="AR509" s="564">
        <v>1.9226000000000001</v>
      </c>
    </row>
    <row r="510" spans="39:44">
      <c r="AM510" s="563">
        <f t="shared" ca="1" si="60"/>
        <v>45439</v>
      </c>
      <c r="AN510" s="564">
        <v>142.6</v>
      </c>
      <c r="AO510" s="564">
        <v>290269</v>
      </c>
      <c r="AP510" s="564">
        <v>53603.417999999998</v>
      </c>
      <c r="AQ510" s="564">
        <v>7643847.4067999991</v>
      </c>
      <c r="AR510" s="564">
        <v>1.9317</v>
      </c>
    </row>
    <row r="511" spans="39:44">
      <c r="AM511" s="563">
        <f t="shared" ca="1" si="60"/>
        <v>45438</v>
      </c>
      <c r="AN511" s="564">
        <v>142.6</v>
      </c>
      <c r="AO511" s="564">
        <v>290269</v>
      </c>
      <c r="AP511" s="564">
        <v>53603.417999999998</v>
      </c>
      <c r="AQ511" s="564">
        <v>7643847.4067999991</v>
      </c>
      <c r="AR511" s="564">
        <v>1.9317</v>
      </c>
    </row>
    <row r="512" spans="39:44">
      <c r="AM512" s="563">
        <f t="shared" ca="1" si="60"/>
        <v>45437</v>
      </c>
      <c r="AN512" s="564">
        <v>142.6</v>
      </c>
      <c r="AO512" s="564">
        <v>290269</v>
      </c>
      <c r="AP512" s="564">
        <v>53603.417999999998</v>
      </c>
      <c r="AQ512" s="564">
        <v>7643847.4067999991</v>
      </c>
      <c r="AR512" s="564">
        <v>1.9317</v>
      </c>
    </row>
    <row r="513" spans="39:44">
      <c r="AM513" s="563">
        <f t="shared" ca="1" si="60"/>
        <v>45436</v>
      </c>
      <c r="AN513" s="564">
        <v>141.01</v>
      </c>
      <c r="AO513" s="564">
        <v>205745</v>
      </c>
      <c r="AP513" s="564">
        <v>53603.417999999998</v>
      </c>
      <c r="AQ513" s="564">
        <v>7558617.9721799996</v>
      </c>
      <c r="AR513" s="564">
        <v>1.9101999999999999</v>
      </c>
    </row>
    <row r="514" spans="39:44">
      <c r="AM514" s="563">
        <f t="shared" ca="1" si="60"/>
        <v>45435</v>
      </c>
      <c r="AN514" s="564">
        <v>141.27000000000001</v>
      </c>
      <c r="AO514" s="564">
        <v>211688</v>
      </c>
      <c r="AP514" s="564">
        <v>53603.417999999998</v>
      </c>
      <c r="AQ514" s="564">
        <v>7572554.8608600004</v>
      </c>
      <c r="AR514" s="564">
        <v>1.9137</v>
      </c>
    </row>
    <row r="515" spans="39:44">
      <c r="AM515" s="563">
        <f t="shared" ca="1" si="60"/>
        <v>45434</v>
      </c>
      <c r="AN515" s="564">
        <v>142.91999999999999</v>
      </c>
      <c r="AO515" s="564">
        <v>231465</v>
      </c>
      <c r="AP515" s="564">
        <v>53603.417999999998</v>
      </c>
      <c r="AQ515" s="564">
        <v>7661000.5005599987</v>
      </c>
      <c r="AR515" s="564">
        <v>1.9359999999999999</v>
      </c>
    </row>
    <row r="516" spans="39:44">
      <c r="AM516" s="563">
        <f t="shared" ca="1" si="60"/>
        <v>45433</v>
      </c>
      <c r="AN516" s="564">
        <v>143.32</v>
      </c>
      <c r="AO516" s="564">
        <v>278616</v>
      </c>
      <c r="AP516" s="564">
        <v>53603.417999999998</v>
      </c>
      <c r="AQ516" s="564">
        <v>7682441.8677599989</v>
      </c>
      <c r="AR516" s="564">
        <v>1.9414</v>
      </c>
    </row>
    <row r="517" spans="39:44">
      <c r="AM517" s="563">
        <f t="shared" ref="AM517:AM580" ca="1" si="61">AM516-1</f>
        <v>45432</v>
      </c>
      <c r="AN517" s="564">
        <v>145.41999999999999</v>
      </c>
      <c r="AO517" s="564">
        <v>275477</v>
      </c>
      <c r="AP517" s="564">
        <v>53603.417999999998</v>
      </c>
      <c r="AQ517" s="564">
        <v>7795009.0455599986</v>
      </c>
      <c r="AR517" s="564">
        <v>1.9699</v>
      </c>
    </row>
    <row r="518" spans="39:44">
      <c r="AM518" s="563">
        <f t="shared" ca="1" si="61"/>
        <v>45431</v>
      </c>
      <c r="AN518" s="564">
        <v>145.41999999999999</v>
      </c>
      <c r="AO518" s="564">
        <v>275477</v>
      </c>
      <c r="AP518" s="564">
        <v>53603.417999999998</v>
      </c>
      <c r="AQ518" s="564">
        <v>7795009.0455599986</v>
      </c>
      <c r="AR518" s="564">
        <v>1.9699</v>
      </c>
    </row>
    <row r="519" spans="39:44">
      <c r="AM519" s="563">
        <f t="shared" ca="1" si="61"/>
        <v>45430</v>
      </c>
      <c r="AN519" s="564">
        <v>145.41999999999999</v>
      </c>
      <c r="AO519" s="564">
        <v>275477</v>
      </c>
      <c r="AP519" s="564">
        <v>53603.417999999998</v>
      </c>
      <c r="AQ519" s="564">
        <v>7795009.0455599986</v>
      </c>
      <c r="AR519" s="564">
        <v>1.9699</v>
      </c>
    </row>
    <row r="520" spans="39:44">
      <c r="AM520" s="563">
        <f t="shared" ca="1" si="61"/>
        <v>45429</v>
      </c>
      <c r="AN520" s="564">
        <v>147.66</v>
      </c>
      <c r="AO520" s="564">
        <v>301021</v>
      </c>
      <c r="AP520" s="564">
        <v>53603.417999999998</v>
      </c>
      <c r="AQ520" s="564">
        <v>7915080.7018799996</v>
      </c>
      <c r="AR520" s="564">
        <v>2.0002</v>
      </c>
    </row>
    <row r="521" spans="39:44">
      <c r="AM521" s="563">
        <f t="shared" ca="1" si="61"/>
        <v>45428</v>
      </c>
      <c r="AN521" s="564">
        <v>147.38999999999999</v>
      </c>
      <c r="AO521" s="564">
        <v>275247</v>
      </c>
      <c r="AP521" s="564">
        <v>53603.417999999998</v>
      </c>
      <c r="AQ521" s="564">
        <v>7900607.7790199993</v>
      </c>
      <c r="AR521" s="564">
        <v>1.9965999999999999</v>
      </c>
    </row>
    <row r="522" spans="39:44">
      <c r="AM522" s="563">
        <f t="shared" ca="1" si="61"/>
        <v>45427</v>
      </c>
      <c r="AN522" s="564">
        <v>153.13999999999999</v>
      </c>
      <c r="AO522" s="564">
        <v>221880</v>
      </c>
      <c r="AP522" s="564">
        <v>53603.417999999998</v>
      </c>
      <c r="AQ522" s="564">
        <v>8208827.4325199993</v>
      </c>
      <c r="AR522" s="564">
        <v>2.0745</v>
      </c>
    </row>
    <row r="523" spans="39:44">
      <c r="AM523" s="563">
        <f t="shared" ca="1" si="61"/>
        <v>45426</v>
      </c>
      <c r="AN523" s="564">
        <v>151.63999999999999</v>
      </c>
      <c r="AO523" s="564">
        <v>170055</v>
      </c>
      <c r="AP523" s="564">
        <v>53603.417999999998</v>
      </c>
      <c r="AQ523" s="564">
        <v>8128422.305519999</v>
      </c>
      <c r="AR523" s="564">
        <v>2.0541</v>
      </c>
    </row>
    <row r="524" spans="39:44">
      <c r="AM524" s="563">
        <f t="shared" ca="1" si="61"/>
        <v>45425</v>
      </c>
      <c r="AN524" s="564">
        <v>150.72999999999999</v>
      </c>
      <c r="AO524" s="564">
        <v>253322</v>
      </c>
      <c r="AP524" s="564">
        <v>53603.417999999998</v>
      </c>
      <c r="AQ524" s="564">
        <v>8079643.1951399995</v>
      </c>
      <c r="AR524" s="564">
        <v>2.0417999999999998</v>
      </c>
    </row>
    <row r="525" spans="39:44">
      <c r="AM525" s="563">
        <f t="shared" ca="1" si="61"/>
        <v>45424</v>
      </c>
      <c r="AN525" s="564">
        <v>150.72999999999999</v>
      </c>
      <c r="AO525" s="564">
        <v>253322</v>
      </c>
      <c r="AP525" s="564">
        <v>53603.417999999998</v>
      </c>
      <c r="AQ525" s="564">
        <v>8079643.1951399995</v>
      </c>
      <c r="AR525" s="564">
        <v>2.0417999999999998</v>
      </c>
    </row>
    <row r="526" spans="39:44">
      <c r="AM526" s="563">
        <f t="shared" ca="1" si="61"/>
        <v>45423</v>
      </c>
      <c r="AN526" s="564">
        <v>150.72999999999999</v>
      </c>
      <c r="AO526" s="564">
        <v>253322</v>
      </c>
      <c r="AP526" s="564">
        <v>53603.417999999998</v>
      </c>
      <c r="AQ526" s="564">
        <v>8079643.1951399995</v>
      </c>
      <c r="AR526" s="564">
        <v>2.0417999999999998</v>
      </c>
    </row>
    <row r="527" spans="39:44">
      <c r="AM527" s="563">
        <f t="shared" ca="1" si="61"/>
        <v>45422</v>
      </c>
      <c r="AN527" s="564">
        <v>150.77000000000001</v>
      </c>
      <c r="AO527" s="564">
        <v>456546</v>
      </c>
      <c r="AP527" s="564">
        <v>53603.417999999998</v>
      </c>
      <c r="AQ527" s="564">
        <v>8081787.3318600003</v>
      </c>
      <c r="AR527" s="564">
        <v>2.0424000000000002</v>
      </c>
    </row>
    <row r="528" spans="39:44">
      <c r="AM528" s="563">
        <f t="shared" ca="1" si="61"/>
        <v>45421</v>
      </c>
      <c r="AN528" s="564">
        <v>154.97</v>
      </c>
      <c r="AO528" s="564">
        <v>344427</v>
      </c>
      <c r="AP528" s="564">
        <v>53603.417999999998</v>
      </c>
      <c r="AQ528" s="564">
        <v>8306921.6874599997</v>
      </c>
      <c r="AR528" s="564">
        <v>2.0992999999999999</v>
      </c>
    </row>
    <row r="529" spans="39:44">
      <c r="AM529" s="563">
        <f t="shared" ca="1" si="61"/>
        <v>45420</v>
      </c>
      <c r="AN529" s="564">
        <v>155.09</v>
      </c>
      <c r="AO529" s="564">
        <v>432799</v>
      </c>
      <c r="AP529" s="564">
        <v>53603.417999999998</v>
      </c>
      <c r="AQ529" s="564">
        <v>8313354.0976200001</v>
      </c>
      <c r="AR529" s="564">
        <v>2.1009000000000002</v>
      </c>
    </row>
    <row r="530" spans="39:44">
      <c r="AM530" s="563">
        <f t="shared" ca="1" si="61"/>
        <v>45419</v>
      </c>
      <c r="AN530" s="564">
        <v>158.53</v>
      </c>
      <c r="AO530" s="564">
        <v>309767</v>
      </c>
      <c r="AP530" s="564">
        <v>53603.417999999998</v>
      </c>
      <c r="AQ530" s="564">
        <v>8497749.8555399999</v>
      </c>
      <c r="AR530" s="564">
        <v>2.1475</v>
      </c>
    </row>
    <row r="531" spans="39:44">
      <c r="AM531" s="563">
        <f t="shared" ca="1" si="61"/>
        <v>45418</v>
      </c>
      <c r="AN531" s="564">
        <v>160.79</v>
      </c>
      <c r="AO531" s="564">
        <v>315576</v>
      </c>
      <c r="AP531" s="564">
        <v>53603.417999999998</v>
      </c>
      <c r="AQ531" s="564">
        <v>8618893.580219999</v>
      </c>
      <c r="AR531" s="564">
        <v>2.1341000000000001</v>
      </c>
    </row>
    <row r="532" spans="39:44">
      <c r="AM532" s="563">
        <f t="shared" ca="1" si="61"/>
        <v>45417</v>
      </c>
      <c r="AN532" s="564">
        <v>160.79</v>
      </c>
      <c r="AO532" s="564">
        <v>315576</v>
      </c>
      <c r="AP532" s="564">
        <v>53603.417999999998</v>
      </c>
      <c r="AQ532" s="564">
        <v>8618893.580219999</v>
      </c>
      <c r="AR532" s="564">
        <v>2.1341000000000001</v>
      </c>
    </row>
    <row r="533" spans="39:44">
      <c r="AM533" s="563">
        <f t="shared" ca="1" si="61"/>
        <v>45416</v>
      </c>
      <c r="AN533" s="564">
        <v>160.79</v>
      </c>
      <c r="AO533" s="564">
        <v>315576</v>
      </c>
      <c r="AP533" s="564">
        <v>53603.417999999998</v>
      </c>
      <c r="AQ533" s="564">
        <v>8618893.580219999</v>
      </c>
      <c r="AR533" s="564">
        <v>2.1341000000000001</v>
      </c>
    </row>
    <row r="534" spans="39:44">
      <c r="AM534" s="563">
        <f t="shared" ca="1" si="61"/>
        <v>45415</v>
      </c>
      <c r="AN534" s="564">
        <v>160.79</v>
      </c>
      <c r="AO534" s="564">
        <v>315576</v>
      </c>
      <c r="AP534" s="564">
        <v>53603.417999999998</v>
      </c>
      <c r="AQ534" s="564">
        <v>8618893.580219999</v>
      </c>
      <c r="AR534" s="564">
        <v>2.1341000000000001</v>
      </c>
    </row>
    <row r="535" spans="39:44">
      <c r="AM535" s="563">
        <f t="shared" ca="1" si="61"/>
        <v>45414</v>
      </c>
      <c r="AN535" s="564">
        <v>159.53</v>
      </c>
      <c r="AO535" s="564">
        <v>275381</v>
      </c>
      <c r="AP535" s="564">
        <v>53603.417999999998</v>
      </c>
      <c r="AQ535" s="564">
        <v>8551353.2735399995</v>
      </c>
      <c r="AR535" s="564">
        <v>2.1173999999999999</v>
      </c>
    </row>
    <row r="536" spans="39:44">
      <c r="AM536" s="563">
        <f t="shared" ca="1" si="61"/>
        <v>45413</v>
      </c>
      <c r="AN536" s="564">
        <v>155.75</v>
      </c>
      <c r="AO536" s="564">
        <v>175647</v>
      </c>
      <c r="AP536" s="564">
        <v>53603.417999999998</v>
      </c>
      <c r="AQ536" s="564">
        <v>8348732.3534999993</v>
      </c>
      <c r="AR536" s="564">
        <v>2.0672000000000001</v>
      </c>
    </row>
    <row r="537" spans="39:44">
      <c r="AM537" s="563">
        <f t="shared" ca="1" si="61"/>
        <v>45412</v>
      </c>
      <c r="AN537" s="564">
        <v>154.69</v>
      </c>
      <c r="AO537" s="564">
        <v>262884</v>
      </c>
      <c r="AP537" s="564">
        <v>53603.417999999998</v>
      </c>
      <c r="AQ537" s="564">
        <v>8291912.7304199999</v>
      </c>
      <c r="AR537" s="564">
        <v>2.0531999999999999</v>
      </c>
    </row>
    <row r="538" spans="39:44">
      <c r="AM538" s="563">
        <f t="shared" ca="1" si="61"/>
        <v>45411</v>
      </c>
      <c r="AN538" s="564">
        <v>154.38999999999999</v>
      </c>
      <c r="AO538" s="564">
        <v>342032</v>
      </c>
      <c r="AP538" s="564">
        <v>53603.417999999998</v>
      </c>
      <c r="AQ538" s="564">
        <v>8275831.7050199993</v>
      </c>
      <c r="AR538" s="564">
        <v>2.0491999999999999</v>
      </c>
    </row>
    <row r="539" spans="39:44">
      <c r="AM539" s="563">
        <f t="shared" ca="1" si="61"/>
        <v>45410</v>
      </c>
      <c r="AN539" s="564">
        <v>154.38999999999999</v>
      </c>
      <c r="AO539" s="564">
        <v>342032</v>
      </c>
      <c r="AP539" s="564">
        <v>53603.417999999998</v>
      </c>
      <c r="AQ539" s="564">
        <v>8275831.7050199993</v>
      </c>
      <c r="AR539" s="564">
        <v>2.0491999999999999</v>
      </c>
    </row>
    <row r="540" spans="39:44">
      <c r="AM540" s="563">
        <f t="shared" ca="1" si="61"/>
        <v>45409</v>
      </c>
      <c r="AN540" s="564">
        <v>154.38999999999999</v>
      </c>
      <c r="AO540" s="564">
        <v>342032</v>
      </c>
      <c r="AP540" s="564">
        <v>53603.417999999998</v>
      </c>
      <c r="AQ540" s="564">
        <v>8275831.7050199993</v>
      </c>
      <c r="AR540" s="564">
        <v>2.0491999999999999</v>
      </c>
    </row>
    <row r="541" spans="39:44">
      <c r="AM541" s="563">
        <f t="shared" ca="1" si="61"/>
        <v>45408</v>
      </c>
      <c r="AN541" s="564">
        <v>156.69999999999999</v>
      </c>
      <c r="AO541" s="564">
        <v>566125</v>
      </c>
      <c r="AP541" s="564">
        <v>53603.417999999998</v>
      </c>
      <c r="AQ541" s="564">
        <v>8399655.6005999986</v>
      </c>
      <c r="AR541" s="564">
        <v>2.0798000000000001</v>
      </c>
    </row>
    <row r="542" spans="39:44">
      <c r="AM542" s="563">
        <f t="shared" ca="1" si="61"/>
        <v>45407</v>
      </c>
      <c r="AN542" s="564">
        <v>151.81</v>
      </c>
      <c r="AO542" s="564">
        <v>235216</v>
      </c>
      <c r="AP542" s="564">
        <v>53603.417999999998</v>
      </c>
      <c r="AQ542" s="564">
        <v>8137534.8865799997</v>
      </c>
      <c r="AR542" s="564">
        <v>2.0148999999999999</v>
      </c>
    </row>
    <row r="543" spans="39:44">
      <c r="AM543" s="563">
        <f t="shared" ca="1" si="61"/>
        <v>45406</v>
      </c>
      <c r="AN543" s="564">
        <v>151.38</v>
      </c>
      <c r="AO543" s="564">
        <v>368593</v>
      </c>
      <c r="AP543" s="564">
        <v>53603.417999999998</v>
      </c>
      <c r="AQ543" s="564">
        <v>8114485.4168399991</v>
      </c>
      <c r="AR543" s="564">
        <v>2.0091999999999999</v>
      </c>
    </row>
    <row r="544" spans="39:44">
      <c r="AM544" s="563">
        <f t="shared" ca="1" si="61"/>
        <v>45405</v>
      </c>
      <c r="AN544" s="564">
        <v>151</v>
      </c>
      <c r="AO544" s="564">
        <v>328229</v>
      </c>
      <c r="AP544" s="564">
        <v>53603.417999999998</v>
      </c>
      <c r="AQ544" s="564">
        <v>8094116.1179999998</v>
      </c>
      <c r="AR544" s="564">
        <v>2.0042</v>
      </c>
    </row>
    <row r="545" spans="39:44">
      <c r="AM545" s="563">
        <f t="shared" ca="1" si="61"/>
        <v>45404</v>
      </c>
      <c r="AN545" s="564">
        <v>153.38999999999999</v>
      </c>
      <c r="AO545" s="564">
        <v>662040</v>
      </c>
      <c r="AP545" s="564">
        <v>53603.417999999998</v>
      </c>
      <c r="AQ545" s="564">
        <v>8222228.2870199988</v>
      </c>
      <c r="AR545" s="564">
        <v>2.0358999999999998</v>
      </c>
    </row>
    <row r="546" spans="39:44">
      <c r="AM546" s="563">
        <f t="shared" ca="1" si="61"/>
        <v>45403</v>
      </c>
      <c r="AN546" s="564">
        <v>153.38999999999999</v>
      </c>
      <c r="AO546" s="564">
        <v>662040</v>
      </c>
      <c r="AP546" s="564">
        <v>53603.417999999998</v>
      </c>
      <c r="AQ546" s="564">
        <v>8222228.2870199988</v>
      </c>
      <c r="AR546" s="564">
        <v>2.0358999999999998</v>
      </c>
    </row>
    <row r="547" spans="39:44">
      <c r="AM547" s="563">
        <f t="shared" ca="1" si="61"/>
        <v>45402</v>
      </c>
      <c r="AN547" s="564">
        <v>153.38999999999999</v>
      </c>
      <c r="AO547" s="564">
        <v>662040</v>
      </c>
      <c r="AP547" s="564">
        <v>53603.417999999998</v>
      </c>
      <c r="AQ547" s="564">
        <v>8222228.2870199988</v>
      </c>
      <c r="AR547" s="564">
        <v>2.0358999999999998</v>
      </c>
    </row>
    <row r="548" spans="39:44">
      <c r="AM548" s="563">
        <f t="shared" ca="1" si="61"/>
        <v>45401</v>
      </c>
      <c r="AN548" s="564">
        <v>153.5</v>
      </c>
      <c r="AO548" s="564">
        <v>336739</v>
      </c>
      <c r="AP548" s="564">
        <v>53603.417999999998</v>
      </c>
      <c r="AQ548" s="564">
        <v>8228124.6629999997</v>
      </c>
      <c r="AR548" s="564">
        <v>2.0373999999999999</v>
      </c>
    </row>
    <row r="549" spans="39:44">
      <c r="AM549" s="563">
        <f t="shared" ca="1" si="61"/>
        <v>45400</v>
      </c>
      <c r="AN549" s="564">
        <v>156.16</v>
      </c>
      <c r="AO549" s="564">
        <v>239488</v>
      </c>
      <c r="AP549" s="564">
        <v>53603.417999999998</v>
      </c>
      <c r="AQ549" s="564">
        <v>8370709.7548799999</v>
      </c>
      <c r="AR549" s="564">
        <v>2.0727000000000002</v>
      </c>
    </row>
    <row r="550" spans="39:44">
      <c r="AM550" s="563">
        <f t="shared" ca="1" si="61"/>
        <v>45399</v>
      </c>
      <c r="AN550" s="564">
        <v>155.62</v>
      </c>
      <c r="AO550" s="564">
        <v>190498</v>
      </c>
      <c r="AP550" s="564">
        <v>53603.417999999998</v>
      </c>
      <c r="AQ550" s="564">
        <v>8341763.9091600003</v>
      </c>
      <c r="AR550" s="564">
        <v>2.0655000000000001</v>
      </c>
    </row>
    <row r="551" spans="39:44">
      <c r="AM551" s="563">
        <f t="shared" ca="1" si="61"/>
        <v>45398</v>
      </c>
      <c r="AN551" s="564">
        <v>154.33000000000001</v>
      </c>
      <c r="AO551" s="564">
        <v>200564</v>
      </c>
      <c r="AP551" s="564">
        <v>53603.417999999998</v>
      </c>
      <c r="AQ551" s="564">
        <v>8272615.4999400005</v>
      </c>
      <c r="AR551" s="564">
        <v>2.0484</v>
      </c>
    </row>
    <row r="552" spans="39:44">
      <c r="AM552" s="563">
        <f t="shared" ca="1" si="61"/>
        <v>45397</v>
      </c>
      <c r="AN552" s="564">
        <v>153.87</v>
      </c>
      <c r="AO552" s="564">
        <v>543098</v>
      </c>
      <c r="AP552" s="564">
        <v>53603.417999999998</v>
      </c>
      <c r="AQ552" s="564">
        <v>8247957.9276599996</v>
      </c>
      <c r="AR552" s="564">
        <v>2.0423</v>
      </c>
    </row>
    <row r="553" spans="39:44">
      <c r="AM553" s="563">
        <f t="shared" ca="1" si="61"/>
        <v>45396</v>
      </c>
      <c r="AN553" s="564">
        <v>153.87</v>
      </c>
      <c r="AO553" s="564">
        <v>543098</v>
      </c>
      <c r="AP553" s="564">
        <v>53603.417999999998</v>
      </c>
      <c r="AQ553" s="564">
        <v>8247957.9276599996</v>
      </c>
      <c r="AR553" s="564">
        <v>2.0423</v>
      </c>
    </row>
    <row r="554" spans="39:44">
      <c r="AM554" s="563">
        <f t="shared" ca="1" si="61"/>
        <v>45395</v>
      </c>
      <c r="AN554" s="564">
        <v>153.87</v>
      </c>
      <c r="AO554" s="564">
        <v>543098</v>
      </c>
      <c r="AP554" s="564">
        <v>53603.417999999998</v>
      </c>
      <c r="AQ554" s="564">
        <v>8247957.9276599996</v>
      </c>
      <c r="AR554" s="564">
        <v>2.0423</v>
      </c>
    </row>
    <row r="555" spans="39:44">
      <c r="AM555" s="563">
        <f t="shared" ca="1" si="61"/>
        <v>45394</v>
      </c>
      <c r="AN555" s="564">
        <v>154.63</v>
      </c>
      <c r="AO555" s="564">
        <v>352149</v>
      </c>
      <c r="AP555" s="564">
        <v>53603.417999999998</v>
      </c>
      <c r="AQ555" s="564">
        <v>8288696.5253399992</v>
      </c>
      <c r="AR555" s="564">
        <v>2.0524</v>
      </c>
    </row>
    <row r="556" spans="39:44">
      <c r="AM556" s="563">
        <f t="shared" ca="1" si="61"/>
        <v>45393</v>
      </c>
      <c r="AN556" s="564">
        <v>153.51</v>
      </c>
      <c r="AO556" s="564">
        <v>495783</v>
      </c>
      <c r="AP556" s="564">
        <v>53603.417999999998</v>
      </c>
      <c r="AQ556" s="564">
        <v>8228660.6971799992</v>
      </c>
      <c r="AR556" s="564">
        <v>2.0375000000000001</v>
      </c>
    </row>
    <row r="557" spans="39:44">
      <c r="AM557" s="563">
        <f t="shared" ca="1" si="61"/>
        <v>45392</v>
      </c>
      <c r="AN557" s="564">
        <v>150.87</v>
      </c>
      <c r="AO557" s="564">
        <v>342137</v>
      </c>
      <c r="AP557" s="564">
        <v>53603.417999999998</v>
      </c>
      <c r="AQ557" s="564">
        <v>8087147.6736599999</v>
      </c>
      <c r="AR557" s="564">
        <v>2.0024999999999999</v>
      </c>
    </row>
    <row r="558" spans="39:44">
      <c r="AM558" s="563">
        <f t="shared" ca="1" si="61"/>
        <v>45391</v>
      </c>
      <c r="AN558" s="564">
        <v>154</v>
      </c>
      <c r="AO558" s="564">
        <v>360967</v>
      </c>
      <c r="AP558" s="564">
        <v>53603.417999999998</v>
      </c>
      <c r="AQ558" s="564">
        <v>8254926.3719999995</v>
      </c>
      <c r="AR558" s="564">
        <v>2.044</v>
      </c>
    </row>
    <row r="559" spans="39:44">
      <c r="AM559" s="563">
        <f t="shared" ca="1" si="61"/>
        <v>45390</v>
      </c>
      <c r="AN559" s="564">
        <v>154.15</v>
      </c>
      <c r="AO559" s="564">
        <v>544092</v>
      </c>
      <c r="AP559" s="564">
        <v>53603.417999999998</v>
      </c>
      <c r="AQ559" s="564">
        <v>8262966.8847000003</v>
      </c>
      <c r="AR559" s="564">
        <v>2.0459999999999998</v>
      </c>
    </row>
    <row r="560" spans="39:44">
      <c r="AM560" s="563">
        <f t="shared" ca="1" si="61"/>
        <v>45389</v>
      </c>
      <c r="AN560" s="564">
        <v>154.15</v>
      </c>
      <c r="AO560" s="564">
        <v>544092</v>
      </c>
      <c r="AP560" s="564">
        <v>53603.417999999998</v>
      </c>
      <c r="AQ560" s="564">
        <v>8262966.8847000003</v>
      </c>
      <c r="AR560" s="564">
        <v>2.0459999999999998</v>
      </c>
    </row>
    <row r="561" spans="39:44">
      <c r="AM561" s="563">
        <f t="shared" ca="1" si="61"/>
        <v>45388</v>
      </c>
      <c r="AN561" s="564">
        <v>154.15</v>
      </c>
      <c r="AO561" s="564">
        <v>544092</v>
      </c>
      <c r="AP561" s="564">
        <v>53603.417999999998</v>
      </c>
      <c r="AQ561" s="564">
        <v>8262966.8847000003</v>
      </c>
      <c r="AR561" s="564">
        <v>2.0459999999999998</v>
      </c>
    </row>
    <row r="562" spans="39:44">
      <c r="AM562" s="563">
        <f t="shared" ca="1" si="61"/>
        <v>45387</v>
      </c>
      <c r="AN562" s="564">
        <v>152.16</v>
      </c>
      <c r="AO562" s="564">
        <v>373026</v>
      </c>
      <c r="AP562" s="564">
        <v>53603.417999999998</v>
      </c>
      <c r="AQ562" s="564">
        <v>8156296.0828799997</v>
      </c>
      <c r="AR562" s="564">
        <v>2.0196000000000001</v>
      </c>
    </row>
    <row r="563" spans="39:44">
      <c r="AM563" s="563">
        <f t="shared" ca="1" si="61"/>
        <v>45386</v>
      </c>
      <c r="AN563" s="564">
        <v>151.43</v>
      </c>
      <c r="AO563" s="564">
        <v>459604</v>
      </c>
      <c r="AP563" s="564">
        <v>53603.417999999998</v>
      </c>
      <c r="AQ563" s="564">
        <v>8117165.5877400003</v>
      </c>
      <c r="AR563" s="564">
        <v>2.0099</v>
      </c>
    </row>
    <row r="564" spans="39:44">
      <c r="AM564" s="563">
        <f t="shared" ca="1" si="61"/>
        <v>45385</v>
      </c>
      <c r="AN564" s="564">
        <v>153.47999999999999</v>
      </c>
      <c r="AO564" s="564">
        <v>580674</v>
      </c>
      <c r="AP564" s="564">
        <v>53603.195</v>
      </c>
      <c r="AQ564" s="564">
        <v>8227018.3685999997</v>
      </c>
      <c r="AR564" s="564">
        <v>2.0371000000000001</v>
      </c>
    </row>
    <row r="565" spans="39:44">
      <c r="AM565" s="563">
        <f t="shared" ca="1" si="61"/>
        <v>45384</v>
      </c>
      <c r="AN565" s="564">
        <v>154.87</v>
      </c>
      <c r="AO565" s="564">
        <v>523111</v>
      </c>
      <c r="AP565" s="564">
        <v>53603.195</v>
      </c>
      <c r="AQ565" s="564">
        <v>8301526.8096500002</v>
      </c>
      <c r="AR565" s="564">
        <v>2.0556000000000001</v>
      </c>
    </row>
    <row r="566" spans="39:44">
      <c r="AM566" s="563">
        <f t="shared" ca="1" si="61"/>
        <v>45383</v>
      </c>
      <c r="AN566" s="564">
        <v>153.34</v>
      </c>
      <c r="AO566" s="564">
        <v>503320</v>
      </c>
      <c r="AP566" s="564">
        <v>53603.195</v>
      </c>
      <c r="AQ566" s="564">
        <v>8219513.9213000005</v>
      </c>
      <c r="AR566" s="564">
        <v>2.0352000000000001</v>
      </c>
    </row>
    <row r="567" spans="39:44">
      <c r="AM567" s="563">
        <f t="shared" ca="1" si="61"/>
        <v>45382</v>
      </c>
      <c r="AN567" s="564">
        <v>153.34</v>
      </c>
      <c r="AO567" s="564">
        <v>503320</v>
      </c>
      <c r="AP567" s="564">
        <v>53603.195</v>
      </c>
      <c r="AQ567" s="564">
        <v>8219513.9213000005</v>
      </c>
      <c r="AR567" s="564">
        <v>2.0352000000000001</v>
      </c>
    </row>
    <row r="568" spans="39:44">
      <c r="AM568" s="563">
        <f t="shared" ca="1" si="61"/>
        <v>45381</v>
      </c>
      <c r="AN568" s="564">
        <v>153.34</v>
      </c>
      <c r="AO568" s="564">
        <v>503320</v>
      </c>
      <c r="AP568" s="564">
        <v>53603.195</v>
      </c>
      <c r="AQ568" s="564">
        <v>8219513.9213000005</v>
      </c>
      <c r="AR568" s="564">
        <v>2.0352000000000001</v>
      </c>
    </row>
    <row r="569" spans="39:44">
      <c r="AM569" s="563">
        <f t="shared" ca="1" si="61"/>
        <v>45380</v>
      </c>
      <c r="AN569" s="564">
        <v>150.83000000000001</v>
      </c>
      <c r="AO569" s="564">
        <v>399698</v>
      </c>
      <c r="AP569" s="564">
        <v>53603.195</v>
      </c>
      <c r="AQ569" s="564">
        <v>8084969.901850001</v>
      </c>
      <c r="AR569" s="564">
        <v>2.0019</v>
      </c>
    </row>
    <row r="570" spans="39:44">
      <c r="AM570" s="563">
        <f t="shared" ca="1" si="61"/>
        <v>45379</v>
      </c>
      <c r="AN570" s="564">
        <v>150.63999999999999</v>
      </c>
      <c r="AO570" s="564">
        <v>936410</v>
      </c>
      <c r="AP570" s="564">
        <v>53603.195</v>
      </c>
      <c r="AQ570" s="564">
        <v>8074785.2947999993</v>
      </c>
      <c r="AR570" s="564">
        <v>1.9994000000000001</v>
      </c>
    </row>
    <row r="571" spans="39:44">
      <c r="AM571" s="563">
        <f t="shared" ca="1" si="61"/>
        <v>45378</v>
      </c>
      <c r="AN571" s="564">
        <v>148.31</v>
      </c>
      <c r="AO571" s="564">
        <v>689923</v>
      </c>
      <c r="AP571" s="564">
        <v>53603.195</v>
      </c>
      <c r="AQ571" s="564">
        <v>7949889.8504499998</v>
      </c>
      <c r="AR571" s="564">
        <v>1.9684999999999999</v>
      </c>
    </row>
    <row r="572" spans="39:44">
      <c r="AM572" s="563">
        <f t="shared" ca="1" si="61"/>
        <v>45377</v>
      </c>
      <c r="AN572" s="564">
        <v>144.54</v>
      </c>
      <c r="AO572" s="564">
        <v>433091</v>
      </c>
      <c r="AP572" s="564">
        <v>53603.195</v>
      </c>
      <c r="AQ572" s="564">
        <v>7747805.8052999992</v>
      </c>
      <c r="AR572" s="564">
        <v>1.9184000000000001</v>
      </c>
    </row>
    <row r="573" spans="39:44">
      <c r="AM573" s="563">
        <f t="shared" ca="1" si="61"/>
        <v>45376</v>
      </c>
      <c r="AN573" s="564">
        <v>144.54</v>
      </c>
      <c r="AO573" s="564">
        <v>433091</v>
      </c>
      <c r="AP573" s="564">
        <v>53603.195</v>
      </c>
      <c r="AQ573" s="564">
        <v>7747805.8052999992</v>
      </c>
      <c r="AR573" s="564">
        <v>1.9184000000000001</v>
      </c>
    </row>
    <row r="574" spans="39:44">
      <c r="AM574" s="563">
        <f t="shared" ca="1" si="61"/>
        <v>45375</v>
      </c>
      <c r="AN574" s="564">
        <v>144.54</v>
      </c>
      <c r="AO574" s="564">
        <v>433091</v>
      </c>
      <c r="AP574" s="564">
        <v>53603.195</v>
      </c>
      <c r="AQ574" s="564">
        <v>7747805.8052999992</v>
      </c>
      <c r="AR574" s="564">
        <v>1.9184000000000001</v>
      </c>
    </row>
    <row r="575" spans="39:44">
      <c r="AM575" s="563">
        <f t="shared" ca="1" si="61"/>
        <v>45374</v>
      </c>
      <c r="AN575" s="564">
        <v>144.54</v>
      </c>
      <c r="AO575" s="564">
        <v>433091</v>
      </c>
      <c r="AP575" s="564">
        <v>53603.195</v>
      </c>
      <c r="AQ575" s="564">
        <v>7747805.8052999992</v>
      </c>
      <c r="AR575" s="564">
        <v>1.9184000000000001</v>
      </c>
    </row>
    <row r="576" spans="39:44">
      <c r="AM576" s="563">
        <f t="shared" ca="1" si="61"/>
        <v>45373</v>
      </c>
      <c r="AN576" s="564">
        <v>144.66999999999999</v>
      </c>
      <c r="AO576" s="564">
        <v>324012</v>
      </c>
      <c r="AP576" s="564">
        <v>53603.195</v>
      </c>
      <c r="AQ576" s="564">
        <v>7754774.2206499996</v>
      </c>
      <c r="AR576" s="564">
        <v>1.9201999999999999</v>
      </c>
    </row>
    <row r="577" spans="39:44">
      <c r="AM577" s="563">
        <f t="shared" ca="1" si="61"/>
        <v>45372</v>
      </c>
      <c r="AN577" s="564">
        <v>144.13</v>
      </c>
      <c r="AO577" s="564">
        <v>366991</v>
      </c>
      <c r="AP577" s="564">
        <v>53603.195</v>
      </c>
      <c r="AQ577" s="564">
        <v>7725828.4953499995</v>
      </c>
      <c r="AR577" s="564">
        <v>1.913</v>
      </c>
    </row>
    <row r="578" spans="39:44">
      <c r="AM578" s="563">
        <f t="shared" ca="1" si="61"/>
        <v>45371</v>
      </c>
      <c r="AN578" s="564">
        <v>142.46</v>
      </c>
      <c r="AO578" s="564">
        <v>330028</v>
      </c>
      <c r="AP578" s="564">
        <v>53603.195</v>
      </c>
      <c r="AQ578" s="564">
        <v>7636311.1597000007</v>
      </c>
      <c r="AR578" s="564">
        <v>1.8908</v>
      </c>
    </row>
    <row r="579" spans="39:44">
      <c r="AM579" s="563">
        <f t="shared" ca="1" si="61"/>
        <v>45370</v>
      </c>
      <c r="AN579" s="564">
        <v>148.44</v>
      </c>
      <c r="AO579" s="564">
        <v>481101</v>
      </c>
      <c r="AP579" s="564">
        <v>53603.195</v>
      </c>
      <c r="AQ579" s="564">
        <v>7956858.2658000002</v>
      </c>
      <c r="AR579" s="564">
        <v>1.9702</v>
      </c>
    </row>
    <row r="580" spans="39:44">
      <c r="AM580" s="563">
        <f t="shared" ca="1" si="61"/>
        <v>45369</v>
      </c>
      <c r="AN580" s="564">
        <v>145.72999999999999</v>
      </c>
      <c r="AO580" s="564">
        <v>298469</v>
      </c>
      <c r="AP580" s="564">
        <v>53603.195</v>
      </c>
      <c r="AQ580" s="564">
        <v>7811593.6073499992</v>
      </c>
      <c r="AR580" s="564">
        <v>1.9341999999999999</v>
      </c>
    </row>
    <row r="581" spans="39:44">
      <c r="AM581" s="563">
        <f t="shared" ref="AM581:AM644" ca="1" si="62">AM580-1</f>
        <v>45368</v>
      </c>
      <c r="AN581" s="564">
        <v>145.72999999999999</v>
      </c>
      <c r="AO581" s="564">
        <v>298469</v>
      </c>
      <c r="AP581" s="564">
        <v>53603.195</v>
      </c>
      <c r="AQ581" s="564">
        <v>7811593.6073499992</v>
      </c>
      <c r="AR581" s="564">
        <v>1.9341999999999999</v>
      </c>
    </row>
    <row r="582" spans="39:44">
      <c r="AM582" s="563">
        <f t="shared" ca="1" si="62"/>
        <v>45367</v>
      </c>
      <c r="AN582" s="564">
        <v>145.72999999999999</v>
      </c>
      <c r="AO582" s="564">
        <v>298469</v>
      </c>
      <c r="AP582" s="564">
        <v>53603.195</v>
      </c>
      <c r="AQ582" s="564">
        <v>7811593.6073499992</v>
      </c>
      <c r="AR582" s="564">
        <v>1.9341999999999999</v>
      </c>
    </row>
    <row r="583" spans="39:44">
      <c r="AM583" s="563">
        <f t="shared" ca="1" si="62"/>
        <v>45366</v>
      </c>
      <c r="AN583" s="564">
        <v>145.35</v>
      </c>
      <c r="AO583" s="564">
        <v>220603</v>
      </c>
      <c r="AP583" s="564">
        <v>53603.195</v>
      </c>
      <c r="AQ583" s="564">
        <v>7791224.3932499997</v>
      </c>
      <c r="AR583" s="564">
        <v>1.9292</v>
      </c>
    </row>
    <row r="584" spans="39:44">
      <c r="AM584" s="563">
        <f t="shared" ca="1" si="62"/>
        <v>45365</v>
      </c>
      <c r="AN584" s="564">
        <v>142.94</v>
      </c>
      <c r="AO584" s="564">
        <v>359173</v>
      </c>
      <c r="AP584" s="564">
        <v>53603.195</v>
      </c>
      <c r="AQ584" s="564">
        <v>7662040.6932999995</v>
      </c>
      <c r="AR584" s="564">
        <v>1.8972</v>
      </c>
    </row>
    <row r="585" spans="39:44">
      <c r="AM585" s="563">
        <f t="shared" ca="1" si="62"/>
        <v>45364</v>
      </c>
      <c r="AN585" s="564">
        <v>141.30000000000001</v>
      </c>
      <c r="AO585" s="564">
        <v>183923</v>
      </c>
      <c r="AP585" s="564">
        <v>53603.195</v>
      </c>
      <c r="AQ585" s="564">
        <v>7574131.4535000008</v>
      </c>
      <c r="AR585" s="564">
        <v>1.8754</v>
      </c>
    </row>
    <row r="586" spans="39:44">
      <c r="AM586" s="563">
        <f t="shared" ca="1" si="62"/>
        <v>45363</v>
      </c>
      <c r="AN586" s="564">
        <v>139.83000000000001</v>
      </c>
      <c r="AO586" s="564">
        <v>233562</v>
      </c>
      <c r="AP586" s="564">
        <v>53603.195</v>
      </c>
      <c r="AQ586" s="564">
        <v>7495334.7568500005</v>
      </c>
      <c r="AR586" s="564">
        <v>1.8559000000000001</v>
      </c>
    </row>
    <row r="587" spans="39:44">
      <c r="AM587" s="563">
        <f t="shared" ca="1" si="62"/>
        <v>45362</v>
      </c>
      <c r="AN587" s="564">
        <v>143.12</v>
      </c>
      <c r="AO587" s="564">
        <v>492106</v>
      </c>
      <c r="AP587" s="564">
        <v>53603.195</v>
      </c>
      <c r="AQ587" s="564">
        <v>7671689.2684000004</v>
      </c>
      <c r="AR587" s="564">
        <v>1.8996</v>
      </c>
    </row>
    <row r="588" spans="39:44">
      <c r="AM588" s="563">
        <f t="shared" ca="1" si="62"/>
        <v>45361</v>
      </c>
      <c r="AN588" s="564">
        <v>143.12</v>
      </c>
      <c r="AO588" s="564">
        <v>492106</v>
      </c>
      <c r="AP588" s="564">
        <v>53603.195</v>
      </c>
      <c r="AQ588" s="564">
        <v>7671689.2684000004</v>
      </c>
      <c r="AR588" s="564">
        <v>1.8996</v>
      </c>
    </row>
    <row r="589" spans="39:44">
      <c r="AM589" s="563">
        <f t="shared" ca="1" si="62"/>
        <v>45360</v>
      </c>
      <c r="AN589" s="564">
        <v>143.12</v>
      </c>
      <c r="AO589" s="564">
        <v>492106</v>
      </c>
      <c r="AP589" s="564">
        <v>53603.195</v>
      </c>
      <c r="AQ589" s="564">
        <v>7671689.2684000004</v>
      </c>
      <c r="AR589" s="564">
        <v>1.8996</v>
      </c>
    </row>
    <row r="590" spans="39:44">
      <c r="AM590" s="563">
        <f t="shared" ca="1" si="62"/>
        <v>45359</v>
      </c>
      <c r="AN590" s="564">
        <v>145.52000000000001</v>
      </c>
      <c r="AO590" s="564">
        <v>662555</v>
      </c>
      <c r="AP590" s="564">
        <v>53603.195</v>
      </c>
      <c r="AQ590" s="564">
        <v>7800336.9364000009</v>
      </c>
      <c r="AR590" s="564">
        <v>1.9315</v>
      </c>
    </row>
    <row r="591" spans="39:44">
      <c r="AM591" s="563">
        <f t="shared" ca="1" si="62"/>
        <v>45358</v>
      </c>
      <c r="AN591" s="564">
        <v>141.07</v>
      </c>
      <c r="AO591" s="564">
        <v>295177</v>
      </c>
      <c r="AP591" s="564">
        <v>53603.195</v>
      </c>
      <c r="AQ591" s="564">
        <v>7561802.7186499992</v>
      </c>
      <c r="AR591" s="564">
        <v>1.8724000000000001</v>
      </c>
    </row>
    <row r="592" spans="39:44">
      <c r="AM592" s="563">
        <f t="shared" ca="1" si="62"/>
        <v>45357</v>
      </c>
      <c r="AN592" s="564">
        <v>145.08000000000001</v>
      </c>
      <c r="AO592" s="564">
        <v>216572</v>
      </c>
      <c r="AP592" s="564">
        <v>53603.195</v>
      </c>
      <c r="AQ592" s="564">
        <v>7776751.5306000002</v>
      </c>
      <c r="AR592" s="564">
        <v>1.9256</v>
      </c>
    </row>
    <row r="593" spans="39:44">
      <c r="AM593" s="563">
        <f t="shared" ca="1" si="62"/>
        <v>45356</v>
      </c>
      <c r="AN593" s="564">
        <v>144.83000000000001</v>
      </c>
      <c r="AO593" s="564">
        <v>274580</v>
      </c>
      <c r="AP593" s="564">
        <v>53603.195</v>
      </c>
      <c r="AQ593" s="564">
        <v>7763350.731850001</v>
      </c>
      <c r="AR593" s="564">
        <v>1.9222999999999999</v>
      </c>
    </row>
    <row r="594" spans="39:44">
      <c r="AM594" s="563">
        <f t="shared" ca="1" si="62"/>
        <v>45355</v>
      </c>
      <c r="AN594" s="564">
        <v>141.33000000000001</v>
      </c>
      <c r="AO594" s="564">
        <v>172544</v>
      </c>
      <c r="AP594" s="564">
        <v>53603.195</v>
      </c>
      <c r="AQ594" s="564">
        <v>7575739.5493500009</v>
      </c>
      <c r="AR594" s="564">
        <v>1.8757999999999999</v>
      </c>
    </row>
    <row r="595" spans="39:44">
      <c r="AM595" s="563">
        <f t="shared" ca="1" si="62"/>
        <v>45354</v>
      </c>
      <c r="AN595" s="564">
        <v>141.33000000000001</v>
      </c>
      <c r="AO595" s="564">
        <v>172544</v>
      </c>
      <c r="AP595" s="564">
        <v>53603.195</v>
      </c>
      <c r="AQ595" s="564">
        <v>7575739.5493500009</v>
      </c>
      <c r="AR595" s="564">
        <v>1.8757999999999999</v>
      </c>
    </row>
    <row r="596" spans="39:44">
      <c r="AM596" s="563">
        <f t="shared" ca="1" si="62"/>
        <v>45353</v>
      </c>
      <c r="AN596" s="564">
        <v>141.33000000000001</v>
      </c>
      <c r="AO596" s="564">
        <v>172544</v>
      </c>
      <c r="AP596" s="564">
        <v>53603.195</v>
      </c>
      <c r="AQ596" s="564">
        <v>7575739.5493500009</v>
      </c>
      <c r="AR596" s="564">
        <v>1.8757999999999999</v>
      </c>
    </row>
    <row r="597" spans="39:44">
      <c r="AM597" s="563">
        <f t="shared" ca="1" si="62"/>
        <v>45352</v>
      </c>
      <c r="AN597" s="564">
        <v>141.1</v>
      </c>
      <c r="AO597" s="564">
        <v>254617</v>
      </c>
      <c r="AP597" s="564">
        <v>53603.195</v>
      </c>
      <c r="AQ597" s="564">
        <v>7563410.8144999994</v>
      </c>
      <c r="AR597" s="564">
        <v>1.8728</v>
      </c>
    </row>
    <row r="598" spans="39:44">
      <c r="AM598" s="563">
        <f t="shared" ca="1" si="62"/>
        <v>45351</v>
      </c>
      <c r="AN598" s="564">
        <v>139.47999999999999</v>
      </c>
      <c r="AO598" s="564">
        <v>164668</v>
      </c>
      <c r="AP598" s="564">
        <v>53603.195</v>
      </c>
      <c r="AQ598" s="564">
        <v>7476573.6385999992</v>
      </c>
      <c r="AR598" s="564">
        <v>1.8512999999999999</v>
      </c>
    </row>
    <row r="599" spans="39:44">
      <c r="AM599" s="563">
        <f t="shared" ca="1" si="62"/>
        <v>45350</v>
      </c>
      <c r="AN599" s="564">
        <v>142.16999999999999</v>
      </c>
      <c r="AO599" s="564">
        <v>223265</v>
      </c>
      <c r="AP599" s="564">
        <v>53603.195</v>
      </c>
      <c r="AQ599" s="564">
        <v>7620766.2331499998</v>
      </c>
      <c r="AR599" s="564">
        <v>1.887</v>
      </c>
    </row>
    <row r="600" spans="39:44">
      <c r="AM600" s="563">
        <f t="shared" ca="1" si="62"/>
        <v>45349</v>
      </c>
      <c r="AN600" s="564">
        <v>143.71</v>
      </c>
      <c r="AO600" s="564">
        <v>258224</v>
      </c>
      <c r="AP600" s="564">
        <v>53603.195</v>
      </c>
      <c r="AQ600" s="564">
        <v>7703315.1534500001</v>
      </c>
      <c r="AR600" s="564">
        <v>1.9074</v>
      </c>
    </row>
    <row r="601" spans="39:44">
      <c r="AM601" s="563">
        <f t="shared" ca="1" si="62"/>
        <v>45348</v>
      </c>
      <c r="AN601" s="564">
        <v>141.63999999999999</v>
      </c>
      <c r="AO601" s="564">
        <v>372521</v>
      </c>
      <c r="AP601" s="564">
        <v>53603.195</v>
      </c>
      <c r="AQ601" s="564">
        <v>7592356.5397999994</v>
      </c>
      <c r="AR601" s="564">
        <v>1.88</v>
      </c>
    </row>
    <row r="602" spans="39:44">
      <c r="AM602" s="563">
        <f t="shared" ca="1" si="62"/>
        <v>45347</v>
      </c>
      <c r="AN602" s="564">
        <v>141.63999999999999</v>
      </c>
      <c r="AO602" s="564">
        <v>372521</v>
      </c>
      <c r="AP602" s="564">
        <v>53603.195</v>
      </c>
      <c r="AQ602" s="564">
        <v>7592356.5397999994</v>
      </c>
      <c r="AR602" s="564">
        <v>1.88</v>
      </c>
    </row>
    <row r="603" spans="39:44">
      <c r="AM603" s="563">
        <f t="shared" ca="1" si="62"/>
        <v>45346</v>
      </c>
      <c r="AN603" s="564">
        <v>141.63999999999999</v>
      </c>
      <c r="AO603" s="564">
        <v>372521</v>
      </c>
      <c r="AP603" s="564">
        <v>53603.195</v>
      </c>
      <c r="AQ603" s="564">
        <v>7592356.5397999994</v>
      </c>
      <c r="AR603" s="564">
        <v>1.88</v>
      </c>
    </row>
    <row r="604" spans="39:44">
      <c r="AM604" s="563">
        <f t="shared" ca="1" si="62"/>
        <v>45345</v>
      </c>
      <c r="AN604" s="564">
        <v>138.03</v>
      </c>
      <c r="AO604" s="564">
        <v>190561</v>
      </c>
      <c r="AP604" s="564">
        <v>53603.195</v>
      </c>
      <c r="AQ604" s="564">
        <v>7398849.0058500003</v>
      </c>
      <c r="AR604" s="564">
        <v>1.8320000000000001</v>
      </c>
    </row>
    <row r="605" spans="39:44">
      <c r="AM605" s="563">
        <f t="shared" ca="1" si="62"/>
        <v>45344</v>
      </c>
      <c r="AN605" s="564">
        <v>135.38999999999999</v>
      </c>
      <c r="AO605" s="564">
        <v>327468</v>
      </c>
      <c r="AP605" s="564">
        <v>53603.195</v>
      </c>
      <c r="AQ605" s="564">
        <v>7257336.5710499994</v>
      </c>
      <c r="AR605" s="564">
        <v>1.7969999999999999</v>
      </c>
    </row>
    <row r="606" spans="39:44">
      <c r="AM606" s="563">
        <f t="shared" ca="1" si="62"/>
        <v>45343</v>
      </c>
      <c r="AN606" s="564">
        <v>138.9</v>
      </c>
      <c r="AO606" s="564">
        <v>318458</v>
      </c>
      <c r="AP606" s="564">
        <v>53603.195</v>
      </c>
      <c r="AQ606" s="564">
        <v>7445483.7855000002</v>
      </c>
      <c r="AR606" s="564">
        <v>1.8435999999999999</v>
      </c>
    </row>
    <row r="607" spans="39:44">
      <c r="AM607" s="563">
        <f t="shared" ca="1" si="62"/>
        <v>45342</v>
      </c>
      <c r="AN607" s="564">
        <v>139.72999999999999</v>
      </c>
      <c r="AO607" s="564">
        <v>185668</v>
      </c>
      <c r="AP607" s="564">
        <v>53603.195</v>
      </c>
      <c r="AQ607" s="564">
        <v>7489974.4373499993</v>
      </c>
      <c r="AR607" s="564">
        <v>1.8546</v>
      </c>
    </row>
    <row r="608" spans="39:44">
      <c r="AM608" s="563">
        <f t="shared" ca="1" si="62"/>
        <v>45341</v>
      </c>
      <c r="AN608" s="564">
        <v>139.72999999999999</v>
      </c>
      <c r="AO608" s="564">
        <v>185668</v>
      </c>
      <c r="AP608" s="564">
        <v>53603.195</v>
      </c>
      <c r="AQ608" s="564">
        <v>7489974.4373499993</v>
      </c>
      <c r="AR608" s="564">
        <v>1.8546</v>
      </c>
    </row>
    <row r="609" spans="39:44">
      <c r="AM609" s="563">
        <f t="shared" ca="1" si="62"/>
        <v>45340</v>
      </c>
      <c r="AN609" s="564">
        <v>139.72999999999999</v>
      </c>
      <c r="AO609" s="564">
        <v>185668</v>
      </c>
      <c r="AP609" s="564">
        <v>53603.195</v>
      </c>
      <c r="AQ609" s="564">
        <v>7489974.4373499993</v>
      </c>
      <c r="AR609" s="564">
        <v>1.8546</v>
      </c>
    </row>
    <row r="610" spans="39:44">
      <c r="AM610" s="563">
        <f t="shared" ca="1" si="62"/>
        <v>45339</v>
      </c>
      <c r="AN610" s="564">
        <v>139.72999999999999</v>
      </c>
      <c r="AO610" s="564">
        <v>185668</v>
      </c>
      <c r="AP610" s="564">
        <v>53603.195</v>
      </c>
      <c r="AQ610" s="564">
        <v>7489974.4373499993</v>
      </c>
      <c r="AR610" s="564">
        <v>1.8546</v>
      </c>
    </row>
    <row r="611" spans="39:44">
      <c r="AM611" s="563">
        <f t="shared" ca="1" si="62"/>
        <v>45338</v>
      </c>
      <c r="AN611" s="564">
        <v>141.38999999999999</v>
      </c>
      <c r="AO611" s="564">
        <v>349366</v>
      </c>
      <c r="AP611" s="564">
        <v>53603.195</v>
      </c>
      <c r="AQ611" s="564">
        <v>7578955.7410499994</v>
      </c>
      <c r="AR611" s="564">
        <v>1.8766</v>
      </c>
    </row>
    <row r="612" spans="39:44">
      <c r="AM612" s="563">
        <f t="shared" ca="1" si="62"/>
        <v>45337</v>
      </c>
      <c r="AN612" s="564">
        <v>139.29</v>
      </c>
      <c r="AO612" s="564">
        <v>249451</v>
      </c>
      <c r="AP612" s="564">
        <v>53603.195</v>
      </c>
      <c r="AQ612" s="564">
        <v>7466389.0315499995</v>
      </c>
      <c r="AR612" s="564">
        <v>1.8488</v>
      </c>
    </row>
    <row r="613" spans="39:44">
      <c r="AM613" s="563">
        <f t="shared" ca="1" si="62"/>
        <v>45336</v>
      </c>
      <c r="AN613" s="564">
        <v>137.94</v>
      </c>
      <c r="AO613" s="564">
        <v>225127</v>
      </c>
      <c r="AP613" s="564">
        <v>53603.195</v>
      </c>
      <c r="AQ613" s="564">
        <v>7394024.7182999998</v>
      </c>
      <c r="AR613" s="564">
        <v>1.8308</v>
      </c>
    </row>
    <row r="614" spans="39:44">
      <c r="AM614" s="563">
        <f t="shared" ca="1" si="62"/>
        <v>45335</v>
      </c>
      <c r="AN614" s="564">
        <v>139.44</v>
      </c>
      <c r="AO614" s="564">
        <v>288097</v>
      </c>
      <c r="AP614" s="564">
        <v>53603.195</v>
      </c>
      <c r="AQ614" s="564">
        <v>7474429.5108000003</v>
      </c>
      <c r="AR614" s="564">
        <v>1.8508</v>
      </c>
    </row>
    <row r="615" spans="39:44">
      <c r="AM615" s="563">
        <f t="shared" ca="1" si="62"/>
        <v>45334</v>
      </c>
      <c r="AN615" s="564">
        <v>137.97</v>
      </c>
      <c r="AO615" s="564">
        <v>408200</v>
      </c>
      <c r="AP615" s="564">
        <v>53603.195</v>
      </c>
      <c r="AQ615" s="564">
        <v>7395632.81415</v>
      </c>
      <c r="AR615" s="564">
        <v>1.8311999999999999</v>
      </c>
    </row>
    <row r="616" spans="39:44">
      <c r="AM616" s="563">
        <f t="shared" ca="1" si="62"/>
        <v>45333</v>
      </c>
      <c r="AN616" s="564">
        <v>137.97</v>
      </c>
      <c r="AO616" s="564">
        <v>408200</v>
      </c>
      <c r="AP616" s="564">
        <v>53603.195</v>
      </c>
      <c r="AQ616" s="564">
        <v>7395632.81415</v>
      </c>
      <c r="AR616" s="564">
        <v>1.8311999999999999</v>
      </c>
    </row>
    <row r="617" spans="39:44">
      <c r="AM617" s="563">
        <f t="shared" ca="1" si="62"/>
        <v>45332</v>
      </c>
      <c r="AN617" s="564">
        <v>137.97</v>
      </c>
      <c r="AO617" s="564">
        <v>408200</v>
      </c>
      <c r="AP617" s="564">
        <v>53603.195</v>
      </c>
      <c r="AQ617" s="564">
        <v>7395632.81415</v>
      </c>
      <c r="AR617" s="564">
        <v>1.8311999999999999</v>
      </c>
    </row>
    <row r="618" spans="39:44">
      <c r="AM618" s="563">
        <f t="shared" ca="1" si="62"/>
        <v>45331</v>
      </c>
      <c r="AN618" s="564">
        <v>138.74</v>
      </c>
      <c r="AO618" s="564">
        <v>413093</v>
      </c>
      <c r="AP618" s="564">
        <v>53603.195</v>
      </c>
      <c r="AQ618" s="564">
        <v>7436907.2743000006</v>
      </c>
      <c r="AR618" s="564">
        <v>1.8414999999999999</v>
      </c>
    </row>
    <row r="619" spans="39:44">
      <c r="AM619" s="563">
        <f t="shared" ca="1" si="62"/>
        <v>45330</v>
      </c>
      <c r="AN619" s="564">
        <v>139.97999999999999</v>
      </c>
      <c r="AO619" s="564">
        <v>369831</v>
      </c>
      <c r="AP619" s="564">
        <v>53603.195</v>
      </c>
      <c r="AQ619" s="564">
        <v>7503375.2360999994</v>
      </c>
      <c r="AR619" s="564">
        <v>1.8579000000000001</v>
      </c>
    </row>
    <row r="620" spans="39:44">
      <c r="AM620" s="563">
        <f t="shared" ca="1" si="62"/>
        <v>45329</v>
      </c>
      <c r="AN620" s="564">
        <v>145.35</v>
      </c>
      <c r="AO620" s="564">
        <v>307587</v>
      </c>
      <c r="AP620" s="564">
        <v>53603.195</v>
      </c>
      <c r="AQ620" s="564">
        <v>7791224.3932499997</v>
      </c>
      <c r="AR620" s="564">
        <v>1.9292</v>
      </c>
    </row>
    <row r="621" spans="39:44">
      <c r="AM621" s="563">
        <f t="shared" ca="1" si="62"/>
        <v>45328</v>
      </c>
      <c r="AN621" s="564">
        <v>147.16999999999999</v>
      </c>
      <c r="AO621" s="564">
        <v>162173</v>
      </c>
      <c r="AP621" s="564">
        <v>53603.195</v>
      </c>
      <c r="AQ621" s="564">
        <v>7888782.2081499994</v>
      </c>
      <c r="AR621" s="564">
        <v>1.9440999999999999</v>
      </c>
    </row>
    <row r="622" spans="39:44">
      <c r="AM622" s="563">
        <f t="shared" ca="1" si="62"/>
        <v>45327</v>
      </c>
      <c r="AN622" s="564">
        <v>147.16999999999999</v>
      </c>
      <c r="AO622" s="564">
        <v>162173</v>
      </c>
      <c r="AP622" s="564">
        <v>53603.195</v>
      </c>
      <c r="AQ622" s="564">
        <v>7888782.2081499994</v>
      </c>
      <c r="AR622" s="564">
        <v>1.9440999999999999</v>
      </c>
    </row>
    <row r="623" spans="39:44">
      <c r="AM623" s="563">
        <f t="shared" ca="1" si="62"/>
        <v>45326</v>
      </c>
      <c r="AN623" s="564">
        <v>147.16999999999999</v>
      </c>
      <c r="AO623" s="564">
        <v>162173</v>
      </c>
      <c r="AP623" s="564">
        <v>53603.195</v>
      </c>
      <c r="AQ623" s="564">
        <v>7888782.2081499994</v>
      </c>
      <c r="AR623" s="564">
        <v>1.9440999999999999</v>
      </c>
    </row>
    <row r="624" spans="39:44">
      <c r="AM624" s="563">
        <f t="shared" ca="1" si="62"/>
        <v>45325</v>
      </c>
      <c r="AN624" s="564">
        <v>147.16999999999999</v>
      </c>
      <c r="AO624" s="564">
        <v>162173</v>
      </c>
      <c r="AP624" s="564">
        <v>53603.195</v>
      </c>
      <c r="AQ624" s="564">
        <v>7888782.2081499994</v>
      </c>
      <c r="AR624" s="564">
        <v>1.9440999999999999</v>
      </c>
    </row>
    <row r="625" spans="39:44">
      <c r="AM625" s="563">
        <f t="shared" ca="1" si="62"/>
        <v>45324</v>
      </c>
      <c r="AN625" s="564">
        <v>148.84</v>
      </c>
      <c r="AO625" s="564">
        <v>215756</v>
      </c>
      <c r="AP625" s="564">
        <v>53603.195</v>
      </c>
      <c r="AQ625" s="564">
        <v>7978299.5438000001</v>
      </c>
      <c r="AR625" s="564">
        <v>1.9661999999999999</v>
      </c>
    </row>
    <row r="626" spans="39:44">
      <c r="AM626" s="563">
        <f t="shared" ca="1" si="62"/>
        <v>45323</v>
      </c>
      <c r="AN626" s="564">
        <v>148.75</v>
      </c>
      <c r="AO626" s="564">
        <v>218329</v>
      </c>
      <c r="AP626" s="564">
        <v>53603.195</v>
      </c>
      <c r="AQ626" s="564">
        <v>7973475.2562499996</v>
      </c>
      <c r="AR626" s="564">
        <v>1.9650000000000001</v>
      </c>
    </row>
    <row r="627" spans="39:44">
      <c r="AM627" s="563">
        <f t="shared" ca="1" si="62"/>
        <v>45322</v>
      </c>
      <c r="AN627" s="564">
        <v>148.63</v>
      </c>
      <c r="AO627" s="564">
        <v>141007</v>
      </c>
      <c r="AP627" s="564">
        <v>53603.195</v>
      </c>
      <c r="AQ627" s="564">
        <v>7967042.8728499999</v>
      </c>
      <c r="AR627" s="564">
        <v>1.9634</v>
      </c>
    </row>
    <row r="628" spans="39:44">
      <c r="AM628" s="563">
        <f t="shared" ca="1" si="62"/>
        <v>45321</v>
      </c>
      <c r="AN628" s="564">
        <v>146.69</v>
      </c>
      <c r="AO628" s="564">
        <v>180657</v>
      </c>
      <c r="AP628" s="564">
        <v>53603.195</v>
      </c>
      <c r="AQ628" s="564">
        <v>7863052.6745499996</v>
      </c>
      <c r="AR628" s="564">
        <v>1.9378</v>
      </c>
    </row>
    <row r="629" spans="39:44">
      <c r="AM629" s="563">
        <f t="shared" ca="1" si="62"/>
        <v>45320</v>
      </c>
      <c r="AN629" s="564">
        <v>146.69</v>
      </c>
      <c r="AO629" s="564">
        <v>180657</v>
      </c>
      <c r="AP629" s="564">
        <v>53603.195</v>
      </c>
      <c r="AQ629" s="564">
        <v>7863052.6745499996</v>
      </c>
      <c r="AR629" s="564">
        <v>1.9378</v>
      </c>
    </row>
    <row r="630" spans="39:44">
      <c r="AM630" s="563">
        <f t="shared" ca="1" si="62"/>
        <v>45319</v>
      </c>
      <c r="AN630" s="564">
        <v>146.69</v>
      </c>
      <c r="AO630" s="564">
        <v>180657</v>
      </c>
      <c r="AP630" s="564">
        <v>53603.195</v>
      </c>
      <c r="AQ630" s="564">
        <v>7863052.6745499996</v>
      </c>
      <c r="AR630" s="564">
        <v>1.9378</v>
      </c>
    </row>
    <row r="631" spans="39:44">
      <c r="AM631" s="563">
        <f t="shared" ca="1" si="62"/>
        <v>45318</v>
      </c>
      <c r="AN631" s="564">
        <v>146.69</v>
      </c>
      <c r="AO631" s="564">
        <v>180657</v>
      </c>
      <c r="AP631" s="564">
        <v>53603.195</v>
      </c>
      <c r="AQ631" s="564">
        <v>7863052.6745499996</v>
      </c>
      <c r="AR631" s="564">
        <v>1.9378</v>
      </c>
    </row>
    <row r="632" spans="39:44">
      <c r="AM632" s="563">
        <f t="shared" ca="1" si="62"/>
        <v>45317</v>
      </c>
      <c r="AN632" s="564">
        <v>146.71</v>
      </c>
      <c r="AO632" s="564">
        <v>402611</v>
      </c>
      <c r="AP632" s="564">
        <v>53603.195</v>
      </c>
      <c r="AQ632" s="564">
        <v>7864124.7384500001</v>
      </c>
      <c r="AR632" s="564">
        <v>1.9380999999999999</v>
      </c>
    </row>
    <row r="633" spans="39:44">
      <c r="AM633" s="563">
        <f t="shared" ca="1" si="62"/>
        <v>45316</v>
      </c>
      <c r="AN633" s="564">
        <v>143.69</v>
      </c>
      <c r="AO633" s="564">
        <v>317838</v>
      </c>
      <c r="AP633" s="564">
        <v>53603.195</v>
      </c>
      <c r="AQ633" s="564">
        <v>7702243.0895499997</v>
      </c>
      <c r="AR633" s="564">
        <v>1.8982000000000001</v>
      </c>
    </row>
    <row r="634" spans="39:44">
      <c r="AM634" s="563">
        <f t="shared" ca="1" si="62"/>
        <v>45315</v>
      </c>
      <c r="AN634" s="564">
        <v>144.96</v>
      </c>
      <c r="AO634" s="564">
        <v>277317</v>
      </c>
      <c r="AP634" s="564">
        <v>53603.195</v>
      </c>
      <c r="AQ634" s="564">
        <v>7770319.1472000005</v>
      </c>
      <c r="AR634" s="564">
        <v>1.9149</v>
      </c>
    </row>
    <row r="635" spans="39:44">
      <c r="AM635" s="563">
        <f t="shared" ca="1" si="62"/>
        <v>45314</v>
      </c>
      <c r="AN635" s="564">
        <v>143.66999999999999</v>
      </c>
      <c r="AO635" s="564">
        <v>337283</v>
      </c>
      <c r="AP635" s="564">
        <v>53603.195</v>
      </c>
      <c r="AQ635" s="564">
        <v>7701171.0256499993</v>
      </c>
      <c r="AR635" s="564">
        <v>1.8978999999999999</v>
      </c>
    </row>
    <row r="636" spans="39:44">
      <c r="AM636" s="563">
        <f t="shared" ca="1" si="62"/>
        <v>45313</v>
      </c>
      <c r="AN636" s="564">
        <v>143.62</v>
      </c>
      <c r="AO636" s="564">
        <v>850683</v>
      </c>
      <c r="AP636" s="564">
        <v>53603.195</v>
      </c>
      <c r="AQ636" s="564">
        <v>7698490.8659000006</v>
      </c>
      <c r="AR636" s="564">
        <v>1.8972</v>
      </c>
    </row>
    <row r="637" spans="39:44">
      <c r="AM637" s="563">
        <f t="shared" ca="1" si="62"/>
        <v>45312</v>
      </c>
      <c r="AN637" s="564">
        <v>143.62</v>
      </c>
      <c r="AO637" s="564">
        <v>850683</v>
      </c>
      <c r="AP637" s="564">
        <v>53603.195</v>
      </c>
      <c r="AQ637" s="564">
        <v>7698490.8659000006</v>
      </c>
      <c r="AR637" s="564">
        <v>1.8972</v>
      </c>
    </row>
    <row r="638" spans="39:44">
      <c r="AM638" s="563">
        <f t="shared" ca="1" si="62"/>
        <v>45311</v>
      </c>
      <c r="AN638" s="564">
        <v>143.62</v>
      </c>
      <c r="AO638" s="564">
        <v>850683</v>
      </c>
      <c r="AP638" s="564">
        <v>53603.195</v>
      </c>
      <c r="AQ638" s="564">
        <v>7698490.8659000006</v>
      </c>
      <c r="AR638" s="564">
        <v>1.8972</v>
      </c>
    </row>
    <row r="639" spans="39:44">
      <c r="AM639" s="563">
        <f t="shared" ca="1" si="62"/>
        <v>45310</v>
      </c>
      <c r="AN639" s="564">
        <v>146.01</v>
      </c>
      <c r="AO639" s="564">
        <v>818419</v>
      </c>
      <c r="AP639" s="564">
        <v>53603.195</v>
      </c>
      <c r="AQ639" s="564">
        <v>7826602.5019499995</v>
      </c>
      <c r="AR639" s="564">
        <v>1.9288000000000001</v>
      </c>
    </row>
    <row r="640" spans="39:44">
      <c r="AM640" s="563">
        <f t="shared" ca="1" si="62"/>
        <v>45309</v>
      </c>
      <c r="AN640" s="564">
        <v>139.83000000000001</v>
      </c>
      <c r="AO640" s="564">
        <v>389570</v>
      </c>
      <c r="AP640" s="564">
        <v>53603.195</v>
      </c>
      <c r="AQ640" s="564">
        <v>7495334.7568500005</v>
      </c>
      <c r="AR640" s="564">
        <v>1.8472</v>
      </c>
    </row>
    <row r="641" spans="39:44">
      <c r="AM641" s="563">
        <f t="shared" ca="1" si="62"/>
        <v>45308</v>
      </c>
      <c r="AN641" s="564">
        <v>136.68</v>
      </c>
      <c r="AO641" s="564">
        <v>261676</v>
      </c>
      <c r="AP641" s="564">
        <v>53603.195</v>
      </c>
      <c r="AQ641" s="564">
        <v>7326484.6926000006</v>
      </c>
      <c r="AR641" s="564">
        <v>1.8056000000000001</v>
      </c>
    </row>
    <row r="642" spans="39:44">
      <c r="AM642" s="563">
        <f t="shared" ca="1" si="62"/>
        <v>45307</v>
      </c>
      <c r="AN642" s="564">
        <v>137.30000000000001</v>
      </c>
      <c r="AO642" s="564">
        <v>384362</v>
      </c>
      <c r="AP642" s="564">
        <v>53603.195</v>
      </c>
      <c r="AQ642" s="564">
        <v>7359718.6735000005</v>
      </c>
      <c r="AR642" s="564">
        <v>1.8138000000000001</v>
      </c>
    </row>
    <row r="643" spans="39:44">
      <c r="AM643" s="563">
        <f t="shared" ca="1" si="62"/>
        <v>45306</v>
      </c>
      <c r="AN643" s="564">
        <v>135.21</v>
      </c>
      <c r="AO643" s="564">
        <v>533125</v>
      </c>
      <c r="AP643" s="564">
        <v>53603.195</v>
      </c>
      <c r="AQ643" s="564">
        <v>7247687.9959500004</v>
      </c>
      <c r="AR643" s="564">
        <v>1.7861</v>
      </c>
    </row>
    <row r="644" spans="39:44">
      <c r="AM644" s="563">
        <f t="shared" ca="1" si="62"/>
        <v>45305</v>
      </c>
      <c r="AN644" s="564">
        <v>135.21</v>
      </c>
      <c r="AO644" s="564">
        <v>533125</v>
      </c>
      <c r="AP644" s="564">
        <v>53603.195</v>
      </c>
      <c r="AQ644" s="564">
        <v>7247687.9959500004</v>
      </c>
      <c r="AR644" s="564">
        <v>1.7861</v>
      </c>
    </row>
    <row r="645" spans="39:44">
      <c r="AM645" s="563">
        <f t="shared" ref="AM645:AM708" ca="1" si="63">AM644-1</f>
        <v>45304</v>
      </c>
      <c r="AN645" s="564">
        <v>135.21</v>
      </c>
      <c r="AO645" s="564">
        <v>533125</v>
      </c>
      <c r="AP645" s="564">
        <v>53603.195</v>
      </c>
      <c r="AQ645" s="564">
        <v>7247687.9959500004</v>
      </c>
      <c r="AR645" s="564">
        <v>1.7861</v>
      </c>
    </row>
    <row r="646" spans="39:44">
      <c r="AM646" s="563">
        <f t="shared" ca="1" si="63"/>
        <v>45303</v>
      </c>
      <c r="AN646" s="564">
        <v>134.44</v>
      </c>
      <c r="AO646" s="564">
        <v>613367</v>
      </c>
      <c r="AP646" s="564">
        <v>53603.195</v>
      </c>
      <c r="AQ646" s="564">
        <v>7206413.5357999997</v>
      </c>
      <c r="AR646" s="564">
        <v>1.776</v>
      </c>
    </row>
    <row r="647" spans="39:44">
      <c r="AM647" s="563">
        <f t="shared" ca="1" si="63"/>
        <v>45302</v>
      </c>
      <c r="AN647" s="564">
        <v>132.21</v>
      </c>
      <c r="AO647" s="564">
        <v>363061</v>
      </c>
      <c r="AP647" s="564">
        <v>53603.195</v>
      </c>
      <c r="AQ647" s="564">
        <v>7086878.4109500004</v>
      </c>
      <c r="AR647" s="564">
        <v>1.7464999999999999</v>
      </c>
    </row>
    <row r="648" spans="39:44">
      <c r="AM648" s="563">
        <f t="shared" ca="1" si="63"/>
        <v>45301</v>
      </c>
      <c r="AN648" s="564">
        <v>129.97999999999999</v>
      </c>
      <c r="AO648" s="564">
        <v>327389</v>
      </c>
      <c r="AP648" s="564">
        <v>53603.195</v>
      </c>
      <c r="AQ648" s="564">
        <v>6967343.2860999992</v>
      </c>
      <c r="AR648" s="564">
        <v>1.7171000000000001</v>
      </c>
    </row>
    <row r="649" spans="39:44">
      <c r="AM649" s="563">
        <f t="shared" ca="1" si="63"/>
        <v>45300</v>
      </c>
      <c r="AN649" s="564">
        <v>133.41</v>
      </c>
      <c r="AO649" s="564">
        <v>656789</v>
      </c>
      <c r="AP649" s="564">
        <v>53603.195</v>
      </c>
      <c r="AQ649" s="564">
        <v>7151202.2449500002</v>
      </c>
      <c r="AR649" s="564">
        <v>1.7624</v>
      </c>
    </row>
    <row r="650" spans="39:44">
      <c r="AM650" s="563">
        <f t="shared" ca="1" si="63"/>
        <v>45299</v>
      </c>
      <c r="AN650" s="564">
        <v>130.41999999999999</v>
      </c>
      <c r="AO650" s="564">
        <v>369407</v>
      </c>
      <c r="AP650" s="564">
        <v>53603.195</v>
      </c>
      <c r="AQ650" s="564">
        <v>6990928.691899999</v>
      </c>
      <c r="AR650" s="564">
        <v>1.7229000000000001</v>
      </c>
    </row>
    <row r="651" spans="39:44">
      <c r="AM651" s="563">
        <f t="shared" ca="1" si="63"/>
        <v>45298</v>
      </c>
      <c r="AN651" s="564">
        <v>130.41999999999999</v>
      </c>
      <c r="AO651" s="564">
        <v>369407</v>
      </c>
      <c r="AP651" s="564">
        <v>53603.195</v>
      </c>
      <c r="AQ651" s="564">
        <v>6990928.691899999</v>
      </c>
      <c r="AR651" s="564">
        <v>1.7229000000000001</v>
      </c>
    </row>
    <row r="652" spans="39:44">
      <c r="AM652" s="563">
        <f t="shared" ca="1" si="63"/>
        <v>45297</v>
      </c>
      <c r="AN652" s="564">
        <v>130.41999999999999</v>
      </c>
      <c r="AO652" s="564">
        <v>369407</v>
      </c>
      <c r="AP652" s="564">
        <v>53603.195</v>
      </c>
      <c r="AQ652" s="564">
        <v>6990928.691899999</v>
      </c>
      <c r="AR652" s="564">
        <v>1.7229000000000001</v>
      </c>
    </row>
    <row r="653" spans="39:44">
      <c r="AM653" s="563">
        <f t="shared" ca="1" si="63"/>
        <v>45296</v>
      </c>
      <c r="AN653" s="564">
        <v>126.23</v>
      </c>
      <c r="AO653" s="564">
        <v>294766</v>
      </c>
      <c r="AP653" s="564">
        <v>53603.195</v>
      </c>
      <c r="AQ653" s="564">
        <v>6766331.30485</v>
      </c>
      <c r="AR653" s="564">
        <v>1.6675</v>
      </c>
    </row>
    <row r="654" spans="39:44">
      <c r="AM654" s="563">
        <f t="shared" ca="1" si="63"/>
        <v>45295</v>
      </c>
      <c r="AN654" s="564">
        <v>126.43</v>
      </c>
      <c r="AO654" s="564">
        <v>384176</v>
      </c>
      <c r="AP654" s="564">
        <v>53603.195</v>
      </c>
      <c r="AQ654" s="564">
        <v>6777051.9438500004</v>
      </c>
      <c r="AR654" s="564">
        <v>1.6701999999999999</v>
      </c>
    </row>
    <row r="655" spans="39:44">
      <c r="AM655" s="563">
        <f t="shared" ca="1" si="63"/>
        <v>45294</v>
      </c>
      <c r="AN655" s="564">
        <v>124.43</v>
      </c>
      <c r="AO655" s="564">
        <v>272212</v>
      </c>
      <c r="AP655" s="564">
        <v>53603.195</v>
      </c>
      <c r="AQ655" s="564">
        <v>6669845.5538500007</v>
      </c>
      <c r="AR655" s="564">
        <v>1.6436999999999999</v>
      </c>
    </row>
    <row r="656" spans="39:44">
      <c r="AM656" s="563">
        <f t="shared" ca="1" si="63"/>
        <v>45293</v>
      </c>
      <c r="AN656" s="564">
        <v>124.96</v>
      </c>
      <c r="AO656" s="564">
        <v>262959</v>
      </c>
      <c r="AP656" s="564">
        <v>53603.195</v>
      </c>
      <c r="AQ656" s="564">
        <v>6698255.2471999992</v>
      </c>
      <c r="AR656" s="564">
        <v>1.6507000000000001</v>
      </c>
    </row>
    <row r="657" spans="39:44">
      <c r="AM657" s="563">
        <f t="shared" ca="1" si="63"/>
        <v>45292</v>
      </c>
      <c r="AN657" s="564">
        <v>125.24</v>
      </c>
      <c r="AO657" s="564">
        <v>129488</v>
      </c>
      <c r="AP657" s="564">
        <v>53603.195</v>
      </c>
      <c r="AQ657" s="564">
        <v>6713264.1417999994</v>
      </c>
      <c r="AR657" s="564">
        <v>1.6544000000000001</v>
      </c>
    </row>
    <row r="658" spans="39:44">
      <c r="AM658" s="563">
        <f t="shared" ca="1" si="63"/>
        <v>45291</v>
      </c>
      <c r="AN658" s="564">
        <v>125.24</v>
      </c>
      <c r="AO658" s="564">
        <v>129488</v>
      </c>
      <c r="AP658" s="564">
        <v>53603.195</v>
      </c>
      <c r="AQ658" s="564">
        <v>6713264.1417999994</v>
      </c>
      <c r="AR658" s="564">
        <v>1.6544000000000001</v>
      </c>
    </row>
    <row r="659" spans="39:44">
      <c r="AM659" s="563">
        <f t="shared" ca="1" si="63"/>
        <v>45290</v>
      </c>
      <c r="AN659" s="564">
        <v>125.24</v>
      </c>
      <c r="AO659" s="564">
        <v>129488</v>
      </c>
      <c r="AP659" s="564">
        <v>53603.195</v>
      </c>
      <c r="AQ659" s="564">
        <v>6713264.1417999994</v>
      </c>
      <c r="AR659" s="564">
        <v>1.6544000000000001</v>
      </c>
    </row>
    <row r="660" spans="39:44">
      <c r="AM660" s="563">
        <f t="shared" ca="1" si="63"/>
        <v>45289</v>
      </c>
      <c r="AN660" s="564">
        <v>123.82</v>
      </c>
      <c r="AO660" s="564">
        <v>177588</v>
      </c>
      <c r="AP660" s="564">
        <v>53603.195</v>
      </c>
      <c r="AQ660" s="564">
        <v>6637147.6048999997</v>
      </c>
      <c r="AR660" s="564">
        <v>1.6356999999999999</v>
      </c>
    </row>
    <row r="661" spans="39:44">
      <c r="AM661" s="563">
        <f t="shared" ca="1" si="63"/>
        <v>45288</v>
      </c>
      <c r="AN661" s="564">
        <v>123.82</v>
      </c>
      <c r="AO661" s="564">
        <v>177588</v>
      </c>
      <c r="AP661" s="564">
        <v>53603.195</v>
      </c>
      <c r="AQ661" s="564">
        <v>6637147.6048999997</v>
      </c>
      <c r="AR661" s="564">
        <v>1.6356999999999999</v>
      </c>
    </row>
    <row r="662" spans="39:44">
      <c r="AM662" s="563">
        <f t="shared" ca="1" si="63"/>
        <v>45287</v>
      </c>
      <c r="AN662" s="564">
        <v>123.47</v>
      </c>
      <c r="AO662" s="564">
        <v>225874</v>
      </c>
      <c r="AP662" s="564">
        <v>53603.195</v>
      </c>
      <c r="AQ662" s="564">
        <v>6618386.4866500003</v>
      </c>
      <c r="AR662" s="564">
        <v>1.6311</v>
      </c>
    </row>
    <row r="663" spans="39:44">
      <c r="AM663" s="563">
        <f t="shared" ca="1" si="63"/>
        <v>45286</v>
      </c>
      <c r="AN663" s="564">
        <v>125.43</v>
      </c>
      <c r="AO663" s="564">
        <v>893620</v>
      </c>
      <c r="AP663" s="564">
        <v>53603.195</v>
      </c>
      <c r="AQ663" s="564">
        <v>6723448.7488500001</v>
      </c>
      <c r="AR663" s="564">
        <v>1.657</v>
      </c>
    </row>
    <row r="664" spans="39:44">
      <c r="AM664" s="563">
        <f t="shared" ca="1" si="63"/>
        <v>45285</v>
      </c>
      <c r="AN664" s="564">
        <v>124.78</v>
      </c>
      <c r="AO664" s="564">
        <v>505296</v>
      </c>
      <c r="AP664" s="564">
        <v>53603.195</v>
      </c>
      <c r="AQ664" s="564">
        <v>6688606.6721000001</v>
      </c>
      <c r="AR664" s="564">
        <v>1.6484000000000001</v>
      </c>
    </row>
    <row r="665" spans="39:44">
      <c r="AM665" s="563">
        <f t="shared" ca="1" si="63"/>
        <v>45284</v>
      </c>
      <c r="AN665" s="564">
        <v>124.78</v>
      </c>
      <c r="AO665" s="564">
        <v>505296</v>
      </c>
      <c r="AP665" s="564">
        <v>53603.195</v>
      </c>
      <c r="AQ665" s="564">
        <v>6688606.6721000001</v>
      </c>
      <c r="AR665" s="564">
        <v>1.6484000000000001</v>
      </c>
    </row>
    <row r="666" spans="39:44">
      <c r="AM666" s="563">
        <f t="shared" ca="1" si="63"/>
        <v>45283</v>
      </c>
      <c r="AN666" s="564">
        <v>124.78</v>
      </c>
      <c r="AO666" s="564">
        <v>505296</v>
      </c>
      <c r="AP666" s="564">
        <v>53603.195</v>
      </c>
      <c r="AQ666" s="564">
        <v>6688606.6721000001</v>
      </c>
      <c r="AR666" s="564">
        <v>1.6484000000000001</v>
      </c>
    </row>
    <row r="667" spans="39:44">
      <c r="AM667" s="563">
        <f t="shared" ca="1" si="63"/>
        <v>45282</v>
      </c>
      <c r="AN667" s="564">
        <v>122.98</v>
      </c>
      <c r="AO667" s="564">
        <v>503510</v>
      </c>
      <c r="AP667" s="564">
        <v>53603.195</v>
      </c>
      <c r="AQ667" s="564">
        <v>6592120.9210999999</v>
      </c>
      <c r="AR667" s="564">
        <v>1.6246</v>
      </c>
    </row>
    <row r="668" spans="39:44">
      <c r="AM668" s="563">
        <f t="shared" ca="1" si="63"/>
        <v>45281</v>
      </c>
      <c r="AN668" s="564">
        <v>124.53</v>
      </c>
      <c r="AO668" s="564">
        <v>839046</v>
      </c>
      <c r="AP668" s="564">
        <v>53603.195</v>
      </c>
      <c r="AQ668" s="564">
        <v>6675205.87335</v>
      </c>
      <c r="AR668" s="564">
        <v>1.6451</v>
      </c>
    </row>
    <row r="669" spans="39:44">
      <c r="AM669" s="563">
        <f t="shared" ca="1" si="63"/>
        <v>45280</v>
      </c>
      <c r="AN669" s="564">
        <v>124.14</v>
      </c>
      <c r="AO669" s="564">
        <v>575815</v>
      </c>
      <c r="AP669" s="564">
        <v>53603.195</v>
      </c>
      <c r="AQ669" s="564">
        <v>6654300.6272999998</v>
      </c>
      <c r="AR669" s="564">
        <v>1.6398999999999999</v>
      </c>
    </row>
    <row r="670" spans="39:44">
      <c r="AM670" s="563">
        <f t="shared" ca="1" si="63"/>
        <v>45279</v>
      </c>
      <c r="AN670" s="564">
        <v>118.8</v>
      </c>
      <c r="AO670" s="564">
        <v>444120</v>
      </c>
      <c r="AP670" s="564">
        <v>53603.195</v>
      </c>
      <c r="AQ670" s="564">
        <v>6368059.5659999996</v>
      </c>
      <c r="AR670" s="564">
        <v>1.5693999999999999</v>
      </c>
    </row>
    <row r="671" spans="39:44">
      <c r="AM671" s="563">
        <f t="shared" ca="1" si="63"/>
        <v>45278</v>
      </c>
      <c r="AN671" s="564">
        <v>120.21</v>
      </c>
      <c r="AO671" s="564">
        <v>491885</v>
      </c>
      <c r="AP671" s="564">
        <v>53603.195</v>
      </c>
      <c r="AQ671" s="564">
        <v>6443640.0709499996</v>
      </c>
      <c r="AR671" s="564">
        <v>1.5880000000000001</v>
      </c>
    </row>
    <row r="672" spans="39:44">
      <c r="AM672" s="563">
        <f t="shared" ca="1" si="63"/>
        <v>45277</v>
      </c>
      <c r="AN672" s="564">
        <v>120.21</v>
      </c>
      <c r="AO672" s="564">
        <v>491885</v>
      </c>
      <c r="AP672" s="564">
        <v>53603.195</v>
      </c>
      <c r="AQ672" s="564">
        <v>6443640.0709499996</v>
      </c>
      <c r="AR672" s="564">
        <v>1.5880000000000001</v>
      </c>
    </row>
    <row r="673" spans="39:44">
      <c r="AM673" s="563">
        <f t="shared" ca="1" si="63"/>
        <v>45276</v>
      </c>
      <c r="AN673" s="564">
        <v>120.21</v>
      </c>
      <c r="AO673" s="564">
        <v>491885</v>
      </c>
      <c r="AP673" s="564">
        <v>53603.195</v>
      </c>
      <c r="AQ673" s="564">
        <v>6443640.0709499996</v>
      </c>
      <c r="AR673" s="564">
        <v>1.5880000000000001</v>
      </c>
    </row>
    <row r="674" spans="39:44">
      <c r="AM674" s="563">
        <f t="shared" ca="1" si="63"/>
        <v>45275</v>
      </c>
      <c r="AN674" s="564">
        <v>118.66</v>
      </c>
      <c r="AO674" s="564">
        <v>669187</v>
      </c>
      <c r="AP674" s="564">
        <v>53603.195</v>
      </c>
      <c r="AQ674" s="564">
        <v>6360555.1186999995</v>
      </c>
      <c r="AR674" s="564">
        <v>1.5674999999999999</v>
      </c>
    </row>
    <row r="675" spans="39:44">
      <c r="AM675" s="563">
        <f t="shared" ca="1" si="63"/>
        <v>45274</v>
      </c>
      <c r="AN675" s="564">
        <v>115.48</v>
      </c>
      <c r="AO675" s="564">
        <v>1115939</v>
      </c>
      <c r="AP675" s="564">
        <v>53603.025999999998</v>
      </c>
      <c r="AQ675" s="564">
        <v>6190077.4424799997</v>
      </c>
      <c r="AR675" s="564">
        <v>1.5255000000000001</v>
      </c>
    </row>
    <row r="676" spans="39:44">
      <c r="AM676" s="563">
        <f t="shared" ca="1" si="63"/>
        <v>45273</v>
      </c>
      <c r="AN676" s="564">
        <v>114.46</v>
      </c>
      <c r="AO676" s="564">
        <v>606176</v>
      </c>
      <c r="AP676" s="564">
        <v>53603.025999999998</v>
      </c>
      <c r="AQ676" s="564">
        <v>6135402.3559599994</v>
      </c>
      <c r="AR676" s="564">
        <v>1.512</v>
      </c>
    </row>
    <row r="677" spans="39:44">
      <c r="AM677" s="563">
        <f t="shared" ca="1" si="63"/>
        <v>45272</v>
      </c>
      <c r="AN677" s="564">
        <v>116.28</v>
      </c>
      <c r="AO677" s="564">
        <v>483457</v>
      </c>
      <c r="AP677" s="564">
        <v>53603.025999999998</v>
      </c>
      <c r="AQ677" s="564">
        <v>6232959.8632800002</v>
      </c>
      <c r="AR677" s="564">
        <v>1.5361</v>
      </c>
    </row>
    <row r="678" spans="39:44">
      <c r="AM678" s="563">
        <f t="shared" ca="1" si="63"/>
        <v>45271</v>
      </c>
      <c r="AN678" s="564">
        <v>117.41</v>
      </c>
      <c r="AO678" s="564">
        <v>621021</v>
      </c>
      <c r="AP678" s="564">
        <v>53603.025999999998</v>
      </c>
      <c r="AQ678" s="564">
        <v>6293531.28266</v>
      </c>
      <c r="AR678" s="564">
        <v>1.5509999999999999</v>
      </c>
    </row>
    <row r="679" spans="39:44">
      <c r="AM679" s="563">
        <f t="shared" ca="1" si="63"/>
        <v>45270</v>
      </c>
      <c r="AN679" s="564">
        <v>117.41</v>
      </c>
      <c r="AO679" s="564">
        <v>621021</v>
      </c>
      <c r="AP679" s="564">
        <v>53603.025999999998</v>
      </c>
      <c r="AQ679" s="564">
        <v>6293531.28266</v>
      </c>
      <c r="AR679" s="564">
        <v>1.5509999999999999</v>
      </c>
    </row>
    <row r="680" spans="39:44">
      <c r="AM680" s="563">
        <f t="shared" ca="1" si="63"/>
        <v>45269</v>
      </c>
      <c r="AN680" s="564">
        <v>117.41</v>
      </c>
      <c r="AO680" s="564">
        <v>621021</v>
      </c>
      <c r="AP680" s="564">
        <v>53603.025999999998</v>
      </c>
      <c r="AQ680" s="564">
        <v>6293531.28266</v>
      </c>
      <c r="AR680" s="564">
        <v>1.5509999999999999</v>
      </c>
    </row>
    <row r="681" spans="39:44">
      <c r="AM681" s="563">
        <f t="shared" ca="1" si="63"/>
        <v>45268</v>
      </c>
      <c r="AN681" s="564">
        <v>113.89</v>
      </c>
      <c r="AO681" s="564">
        <v>684223</v>
      </c>
      <c r="AP681" s="564">
        <v>53603.025999999998</v>
      </c>
      <c r="AQ681" s="564">
        <v>6104848.6311400002</v>
      </c>
      <c r="AR681" s="564">
        <v>1.5044999999999999</v>
      </c>
    </row>
    <row r="682" spans="39:44">
      <c r="AM682" s="563">
        <f t="shared" ca="1" si="63"/>
        <v>45267</v>
      </c>
      <c r="AN682" s="564">
        <v>111.05</v>
      </c>
      <c r="AO682" s="564">
        <v>727031</v>
      </c>
      <c r="AP682" s="564">
        <v>53603.025999999998</v>
      </c>
      <c r="AQ682" s="564">
        <v>5952616.0373</v>
      </c>
      <c r="AR682" s="564">
        <v>1.4670000000000001</v>
      </c>
    </row>
    <row r="683" spans="39:44">
      <c r="AM683" s="563">
        <f t="shared" ca="1" si="63"/>
        <v>45266</v>
      </c>
      <c r="AN683" s="564">
        <v>112.87</v>
      </c>
      <c r="AO683" s="564">
        <v>347155</v>
      </c>
      <c r="AP683" s="564">
        <v>53603.025999999998</v>
      </c>
      <c r="AQ683" s="564">
        <v>6050173.5446199998</v>
      </c>
      <c r="AR683" s="564">
        <v>1.4910000000000001</v>
      </c>
    </row>
    <row r="684" spans="39:44">
      <c r="AM684" s="563">
        <f t="shared" ca="1" si="63"/>
        <v>45265</v>
      </c>
      <c r="AN684" s="564">
        <v>112.85</v>
      </c>
      <c r="AO684" s="564">
        <v>356517</v>
      </c>
      <c r="AP684" s="564">
        <v>53603.025999999998</v>
      </c>
      <c r="AQ684" s="564">
        <v>6049101.4840999991</v>
      </c>
      <c r="AR684" s="564">
        <v>1.4907999999999999</v>
      </c>
    </row>
    <row r="685" spans="39:44">
      <c r="AM685" s="563">
        <f t="shared" ca="1" si="63"/>
        <v>45264</v>
      </c>
      <c r="AN685" s="564">
        <v>112.1</v>
      </c>
      <c r="AO685" s="564">
        <v>459921</v>
      </c>
      <c r="AP685" s="564">
        <v>53603.025999999998</v>
      </c>
      <c r="AQ685" s="564">
        <v>6008899.2145999996</v>
      </c>
      <c r="AR685" s="564">
        <v>1.4809000000000001</v>
      </c>
    </row>
    <row r="686" spans="39:44">
      <c r="AM686" s="563">
        <f t="shared" ca="1" si="63"/>
        <v>45263</v>
      </c>
      <c r="AN686" s="564">
        <v>112.1</v>
      </c>
      <c r="AO686" s="564">
        <v>459921</v>
      </c>
      <c r="AP686" s="564">
        <v>53603.025999999998</v>
      </c>
      <c r="AQ686" s="564">
        <v>6008899.2145999996</v>
      </c>
      <c r="AR686" s="564">
        <v>1.4809000000000001</v>
      </c>
    </row>
    <row r="687" spans="39:44">
      <c r="AM687" s="563">
        <f t="shared" ca="1" si="63"/>
        <v>45262</v>
      </c>
      <c r="AN687" s="564">
        <v>112.1</v>
      </c>
      <c r="AO687" s="564">
        <v>459921</v>
      </c>
      <c r="AP687" s="564">
        <v>53603.025999999998</v>
      </c>
      <c r="AQ687" s="564">
        <v>6008899.2145999996</v>
      </c>
      <c r="AR687" s="564">
        <v>1.4809000000000001</v>
      </c>
    </row>
    <row r="688" spans="39:44">
      <c r="AM688" s="563">
        <f t="shared" ca="1" si="63"/>
        <v>45261</v>
      </c>
      <c r="AN688" s="564">
        <v>115.61</v>
      </c>
      <c r="AO688" s="564">
        <v>471452</v>
      </c>
      <c r="AP688" s="564">
        <v>53603.025999999998</v>
      </c>
      <c r="AQ688" s="564">
        <v>6197045.83586</v>
      </c>
      <c r="AR688" s="564">
        <v>1.5271999999999999</v>
      </c>
    </row>
    <row r="689" spans="39:44">
      <c r="AM689" s="563">
        <f t="shared" ca="1" si="63"/>
        <v>45260</v>
      </c>
      <c r="AN689" s="564">
        <v>113.35</v>
      </c>
      <c r="AO689" s="564">
        <v>478322</v>
      </c>
      <c r="AP689" s="564">
        <v>53603.025999999998</v>
      </c>
      <c r="AQ689" s="564">
        <v>6075902.9970999993</v>
      </c>
      <c r="AR689" s="564">
        <v>1.4974000000000001</v>
      </c>
    </row>
    <row r="690" spans="39:44">
      <c r="AM690" s="563">
        <f t="shared" ca="1" si="63"/>
        <v>45259</v>
      </c>
      <c r="AN690" s="564">
        <v>115.75</v>
      </c>
      <c r="AO690" s="564">
        <v>626039</v>
      </c>
      <c r="AP690" s="564">
        <v>53603.025999999998</v>
      </c>
      <c r="AQ690" s="564">
        <v>6204550.2594999997</v>
      </c>
      <c r="AR690" s="564">
        <v>1.5290999999999999</v>
      </c>
    </row>
    <row r="691" spans="39:44">
      <c r="AM691" s="563">
        <f t="shared" ca="1" si="63"/>
        <v>45258</v>
      </c>
      <c r="AN691" s="564">
        <v>114.46</v>
      </c>
      <c r="AO691" s="564">
        <v>344484</v>
      </c>
      <c r="AP691" s="564">
        <v>53603.025999999998</v>
      </c>
      <c r="AQ691" s="564">
        <v>6135402.3559599994</v>
      </c>
      <c r="AR691" s="564">
        <v>1.512</v>
      </c>
    </row>
    <row r="692" spans="39:44">
      <c r="AM692" s="563">
        <f t="shared" ca="1" si="63"/>
        <v>45257</v>
      </c>
      <c r="AN692" s="564">
        <v>115.69</v>
      </c>
      <c r="AO692" s="564">
        <v>564050</v>
      </c>
      <c r="AP692" s="564">
        <v>53603.025999999998</v>
      </c>
      <c r="AQ692" s="564">
        <v>6201334.0779399993</v>
      </c>
      <c r="AR692" s="564">
        <v>1.5283</v>
      </c>
    </row>
    <row r="693" spans="39:44">
      <c r="AM693" s="563">
        <f t="shared" ca="1" si="63"/>
        <v>45256</v>
      </c>
      <c r="AN693" s="564">
        <v>115.69</v>
      </c>
      <c r="AO693" s="564">
        <v>564050</v>
      </c>
      <c r="AP693" s="564">
        <v>53603.025999999998</v>
      </c>
      <c r="AQ693" s="564">
        <v>6201334.0779399993</v>
      </c>
      <c r="AR693" s="564">
        <v>1.5283</v>
      </c>
    </row>
    <row r="694" spans="39:44">
      <c r="AM694" s="563">
        <f t="shared" ca="1" si="63"/>
        <v>45255</v>
      </c>
      <c r="AN694" s="564">
        <v>115.69</v>
      </c>
      <c r="AO694" s="564">
        <v>564050</v>
      </c>
      <c r="AP694" s="564">
        <v>53603.025999999998</v>
      </c>
      <c r="AQ694" s="564">
        <v>6201334.0779399993</v>
      </c>
      <c r="AR694" s="564">
        <v>1.5283</v>
      </c>
    </row>
    <row r="695" spans="39:44">
      <c r="AM695" s="563">
        <f t="shared" ca="1" si="63"/>
        <v>45254</v>
      </c>
      <c r="AN695" s="564">
        <v>118.45</v>
      </c>
      <c r="AO695" s="564">
        <v>662446</v>
      </c>
      <c r="AP695" s="564">
        <v>53603.025999999998</v>
      </c>
      <c r="AQ695" s="564">
        <v>6349278.4297000002</v>
      </c>
      <c r="AR695" s="564">
        <v>1.5647</v>
      </c>
    </row>
    <row r="696" spans="39:44">
      <c r="AM696" s="563">
        <f t="shared" ca="1" si="63"/>
        <v>45253</v>
      </c>
      <c r="AN696" s="564">
        <v>121.37</v>
      </c>
      <c r="AO696" s="564">
        <v>486710</v>
      </c>
      <c r="AP696" s="564">
        <v>53603.025999999998</v>
      </c>
      <c r="AQ696" s="564">
        <v>6505799.2656199997</v>
      </c>
      <c r="AR696" s="564">
        <v>1.6032999999999999</v>
      </c>
    </row>
    <row r="697" spans="39:44">
      <c r="AM697" s="563">
        <f t="shared" ca="1" si="63"/>
        <v>45252</v>
      </c>
      <c r="AN697" s="564">
        <v>125.54</v>
      </c>
      <c r="AO697" s="564">
        <v>462784</v>
      </c>
      <c r="AP697" s="564">
        <v>53603.025999999998</v>
      </c>
      <c r="AQ697" s="564">
        <v>6729323.8840399999</v>
      </c>
      <c r="AR697" s="564">
        <v>1.6584000000000001</v>
      </c>
    </row>
    <row r="698" spans="39:44">
      <c r="AM698" s="563">
        <f t="shared" ca="1" si="63"/>
        <v>45251</v>
      </c>
      <c r="AN698" s="564">
        <v>122.72</v>
      </c>
      <c r="AO698" s="564">
        <v>396828</v>
      </c>
      <c r="AP698" s="564">
        <v>53603.025999999998</v>
      </c>
      <c r="AQ698" s="564">
        <v>6578163.3507199995</v>
      </c>
      <c r="AR698" s="564">
        <v>1.6212</v>
      </c>
    </row>
    <row r="699" spans="39:44">
      <c r="AM699" s="563">
        <f t="shared" ca="1" si="63"/>
        <v>45250</v>
      </c>
      <c r="AN699" s="564">
        <v>119.77</v>
      </c>
      <c r="AO699" s="564">
        <v>426659</v>
      </c>
      <c r="AP699" s="564">
        <v>53603.025999999998</v>
      </c>
      <c r="AQ699" s="564">
        <v>6420034.4240199998</v>
      </c>
      <c r="AR699" s="564">
        <v>1.5822000000000001</v>
      </c>
    </row>
    <row r="700" spans="39:44">
      <c r="AM700" s="563">
        <f t="shared" ca="1" si="63"/>
        <v>45249</v>
      </c>
      <c r="AN700" s="564">
        <v>119.77</v>
      </c>
      <c r="AO700" s="564">
        <v>426659</v>
      </c>
      <c r="AP700" s="564">
        <v>53603.025999999998</v>
      </c>
      <c r="AQ700" s="564">
        <v>6420034.4240199998</v>
      </c>
      <c r="AR700" s="564">
        <v>1.5822000000000001</v>
      </c>
    </row>
    <row r="701" spans="39:44">
      <c r="AM701" s="563">
        <f t="shared" ca="1" si="63"/>
        <v>45248</v>
      </c>
      <c r="AN701" s="564">
        <v>119.77</v>
      </c>
      <c r="AO701" s="564">
        <v>426659</v>
      </c>
      <c r="AP701" s="564">
        <v>53603.025999999998</v>
      </c>
      <c r="AQ701" s="564">
        <v>6420034.4240199998</v>
      </c>
      <c r="AR701" s="564">
        <v>1.5822000000000001</v>
      </c>
    </row>
    <row r="702" spans="39:44">
      <c r="AM702" s="563">
        <f t="shared" ca="1" si="63"/>
        <v>45247</v>
      </c>
      <c r="AN702" s="564">
        <v>120.47</v>
      </c>
      <c r="AO702" s="564">
        <v>456278</v>
      </c>
      <c r="AP702" s="564">
        <v>53603.025999999998</v>
      </c>
      <c r="AQ702" s="564">
        <v>6457556.5422199992</v>
      </c>
      <c r="AR702" s="564">
        <v>1.5913999999999999</v>
      </c>
    </row>
    <row r="703" spans="39:44">
      <c r="AM703" s="563">
        <f t="shared" ca="1" si="63"/>
        <v>45246</v>
      </c>
      <c r="AN703" s="564">
        <v>125.6</v>
      </c>
      <c r="AO703" s="564">
        <v>347745</v>
      </c>
      <c r="AP703" s="564">
        <v>53603.025999999998</v>
      </c>
      <c r="AQ703" s="564">
        <v>6732540.0655999994</v>
      </c>
      <c r="AR703" s="564">
        <v>1.6592</v>
      </c>
    </row>
    <row r="704" spans="39:44">
      <c r="AM704" s="563">
        <f t="shared" ca="1" si="63"/>
        <v>45245</v>
      </c>
      <c r="AN704" s="564">
        <v>127.79</v>
      </c>
      <c r="AO704" s="564">
        <v>399094</v>
      </c>
      <c r="AP704" s="564">
        <v>53603.025999999998</v>
      </c>
      <c r="AQ704" s="564">
        <v>6849930.6925400002</v>
      </c>
      <c r="AR704" s="564">
        <v>1.6880999999999999</v>
      </c>
    </row>
    <row r="705" spans="39:44">
      <c r="AM705" s="563">
        <f t="shared" ca="1" si="63"/>
        <v>45244</v>
      </c>
      <c r="AN705" s="564">
        <v>123.91</v>
      </c>
      <c r="AO705" s="564">
        <v>213506</v>
      </c>
      <c r="AP705" s="564">
        <v>53603.025999999998</v>
      </c>
      <c r="AQ705" s="564">
        <v>6641950.9516599998</v>
      </c>
      <c r="AR705" s="564">
        <v>1.6369</v>
      </c>
    </row>
    <row r="706" spans="39:44">
      <c r="AM706" s="563">
        <f t="shared" ca="1" si="63"/>
        <v>45243</v>
      </c>
      <c r="AN706" s="564">
        <v>124.47</v>
      </c>
      <c r="AO706" s="564">
        <v>337341</v>
      </c>
      <c r="AP706" s="564">
        <v>53603.025999999998</v>
      </c>
      <c r="AQ706" s="564">
        <v>6671968.6462199995</v>
      </c>
      <c r="AR706" s="564">
        <v>1.6443000000000001</v>
      </c>
    </row>
    <row r="707" spans="39:44">
      <c r="AM707" s="563">
        <f t="shared" ca="1" si="63"/>
        <v>45242</v>
      </c>
      <c r="AN707" s="564">
        <v>124.47</v>
      </c>
      <c r="AO707" s="564">
        <v>337341</v>
      </c>
      <c r="AP707" s="564">
        <v>53603.025999999998</v>
      </c>
      <c r="AQ707" s="564">
        <v>6671968.6462199995</v>
      </c>
      <c r="AR707" s="564">
        <v>1.6443000000000001</v>
      </c>
    </row>
    <row r="708" spans="39:44">
      <c r="AM708" s="563">
        <f t="shared" ca="1" si="63"/>
        <v>45241</v>
      </c>
      <c r="AN708" s="564">
        <v>124.47</v>
      </c>
      <c r="AO708" s="564">
        <v>337341</v>
      </c>
      <c r="AP708" s="564">
        <v>53603.025999999998</v>
      </c>
      <c r="AQ708" s="564">
        <v>6671968.6462199995</v>
      </c>
      <c r="AR708" s="564">
        <v>1.6443000000000001</v>
      </c>
    </row>
    <row r="709" spans="39:44">
      <c r="AM709" s="563">
        <f t="shared" ref="AM709:AM772" ca="1" si="64">AM708-1</f>
        <v>45240</v>
      </c>
      <c r="AN709" s="564">
        <v>123.89</v>
      </c>
      <c r="AO709" s="564">
        <v>315532</v>
      </c>
      <c r="AP709" s="564">
        <v>53603.025999999998</v>
      </c>
      <c r="AQ709" s="564">
        <v>6640878.89114</v>
      </c>
      <c r="AR709" s="564">
        <v>1.6366000000000001</v>
      </c>
    </row>
    <row r="710" spans="39:44">
      <c r="AM710" s="563">
        <f t="shared" ca="1" si="64"/>
        <v>45239</v>
      </c>
      <c r="AN710" s="564">
        <v>125.14</v>
      </c>
      <c r="AO710" s="564">
        <v>302529</v>
      </c>
      <c r="AP710" s="564">
        <v>53603.025999999998</v>
      </c>
      <c r="AQ710" s="564">
        <v>6707882.6736399997</v>
      </c>
      <c r="AR710" s="564">
        <v>1.6531</v>
      </c>
    </row>
    <row r="711" spans="39:44">
      <c r="AM711" s="563">
        <f t="shared" ca="1" si="64"/>
        <v>45238</v>
      </c>
      <c r="AN711" s="564">
        <v>123.65</v>
      </c>
      <c r="AO711" s="564">
        <v>414425</v>
      </c>
      <c r="AP711" s="564">
        <v>53603.025999999998</v>
      </c>
      <c r="AQ711" s="564">
        <v>6628014.1649000002</v>
      </c>
      <c r="AR711" s="564">
        <v>1.6334</v>
      </c>
    </row>
    <row r="712" spans="39:44">
      <c r="AM712" s="563">
        <f t="shared" ca="1" si="64"/>
        <v>45237</v>
      </c>
      <c r="AN712" s="564">
        <v>126.42</v>
      </c>
      <c r="AO712" s="564">
        <v>393096</v>
      </c>
      <c r="AP712" s="564">
        <v>53603.025999999998</v>
      </c>
      <c r="AQ712" s="564">
        <v>6776494.5469199996</v>
      </c>
      <c r="AR712" s="564">
        <v>1.67</v>
      </c>
    </row>
    <row r="713" spans="39:44">
      <c r="AM713" s="563">
        <f t="shared" ca="1" si="64"/>
        <v>45236</v>
      </c>
      <c r="AN713" s="564">
        <v>128</v>
      </c>
      <c r="AO713" s="564">
        <v>460816</v>
      </c>
      <c r="AP713" s="564">
        <v>53603.025999999998</v>
      </c>
      <c r="AQ713" s="564">
        <v>6861187.3279999997</v>
      </c>
      <c r="AR713" s="564">
        <v>1.6879999999999999</v>
      </c>
    </row>
    <row r="714" spans="39:44">
      <c r="AM714" s="563">
        <f t="shared" ca="1" si="64"/>
        <v>45235</v>
      </c>
      <c r="AN714" s="564">
        <v>128</v>
      </c>
      <c r="AO714" s="564">
        <v>460816</v>
      </c>
      <c r="AP714" s="564">
        <v>53603.025999999998</v>
      </c>
      <c r="AQ714" s="564">
        <v>6861187.3279999997</v>
      </c>
      <c r="AR714" s="564">
        <v>1.6879999999999999</v>
      </c>
    </row>
    <row r="715" spans="39:44">
      <c r="AM715" s="563">
        <f t="shared" ca="1" si="64"/>
        <v>45234</v>
      </c>
      <c r="AN715" s="564">
        <v>128</v>
      </c>
      <c r="AO715" s="564">
        <v>460816</v>
      </c>
      <c r="AP715" s="564">
        <v>53603.025999999998</v>
      </c>
      <c r="AQ715" s="564">
        <v>6861187.3279999997</v>
      </c>
      <c r="AR715" s="564">
        <v>1.6879999999999999</v>
      </c>
    </row>
    <row r="716" spans="39:44">
      <c r="AM716" s="563">
        <f t="shared" ca="1" si="64"/>
        <v>45233</v>
      </c>
      <c r="AN716" s="564">
        <v>128.22</v>
      </c>
      <c r="AO716" s="564">
        <v>480806</v>
      </c>
      <c r="AP716" s="564">
        <v>53603.025999999998</v>
      </c>
      <c r="AQ716" s="564">
        <v>6872979.9937199997</v>
      </c>
      <c r="AR716" s="564">
        <v>1.6909000000000001</v>
      </c>
    </row>
    <row r="717" spans="39:44">
      <c r="AM717" s="563">
        <f t="shared" ca="1" si="64"/>
        <v>45232</v>
      </c>
      <c r="AN717" s="564">
        <v>127.67</v>
      </c>
      <c r="AO717" s="564">
        <v>329268</v>
      </c>
      <c r="AP717" s="564">
        <v>53603.025999999998</v>
      </c>
      <c r="AQ717" s="564">
        <v>6843498.3294199994</v>
      </c>
      <c r="AR717" s="564">
        <v>1.6836</v>
      </c>
    </row>
    <row r="718" spans="39:44">
      <c r="AM718" s="563">
        <f t="shared" ca="1" si="64"/>
        <v>45231</v>
      </c>
      <c r="AN718" s="564">
        <v>127.68</v>
      </c>
      <c r="AO718" s="564">
        <v>261660</v>
      </c>
      <c r="AP718" s="564">
        <v>53603.025999999998</v>
      </c>
      <c r="AQ718" s="564">
        <v>6844034.3596799998</v>
      </c>
      <c r="AR718" s="564">
        <v>1.6837</v>
      </c>
    </row>
    <row r="719" spans="39:44">
      <c r="AM719" s="563">
        <f t="shared" ca="1" si="64"/>
        <v>45230</v>
      </c>
      <c r="AN719" s="564">
        <v>130.74</v>
      </c>
      <c r="AO719" s="564">
        <v>228465</v>
      </c>
      <c r="AP719" s="564">
        <v>53603.025999999998</v>
      </c>
      <c r="AQ719" s="564">
        <v>7008059.6192399999</v>
      </c>
      <c r="AR719" s="564">
        <v>1.7241</v>
      </c>
    </row>
    <row r="720" spans="39:44">
      <c r="AM720" s="563">
        <f t="shared" ca="1" si="64"/>
        <v>45229</v>
      </c>
      <c r="AN720" s="564">
        <v>129.97999999999999</v>
      </c>
      <c r="AO720" s="564">
        <v>348910</v>
      </c>
      <c r="AP720" s="564">
        <v>53603.025999999998</v>
      </c>
      <c r="AQ720" s="564">
        <v>6967321.3194799991</v>
      </c>
      <c r="AR720" s="564">
        <v>1.7141</v>
      </c>
    </row>
    <row r="721" spans="39:44">
      <c r="AM721" s="563">
        <f t="shared" ca="1" si="64"/>
        <v>45228</v>
      </c>
      <c r="AN721" s="564">
        <v>129.97999999999999</v>
      </c>
      <c r="AO721" s="564">
        <v>348910</v>
      </c>
      <c r="AP721" s="564">
        <v>53603.025999999998</v>
      </c>
      <c r="AQ721" s="564">
        <v>6967321.3194799991</v>
      </c>
      <c r="AR721" s="564">
        <v>1.7141</v>
      </c>
    </row>
    <row r="722" spans="39:44">
      <c r="AM722" s="563">
        <f t="shared" ca="1" si="64"/>
        <v>45227</v>
      </c>
      <c r="AN722" s="564">
        <v>129.97999999999999</v>
      </c>
      <c r="AO722" s="564">
        <v>348910</v>
      </c>
      <c r="AP722" s="564">
        <v>53603.025999999998</v>
      </c>
      <c r="AQ722" s="564">
        <v>6967321.3194799991</v>
      </c>
      <c r="AR722" s="564">
        <v>1.7141</v>
      </c>
    </row>
    <row r="723" spans="39:44">
      <c r="AM723" s="563">
        <f t="shared" ca="1" si="64"/>
        <v>45226</v>
      </c>
      <c r="AN723" s="564">
        <v>131.91999999999999</v>
      </c>
      <c r="AO723" s="564">
        <v>499296</v>
      </c>
      <c r="AP723" s="564">
        <v>53603.025999999998</v>
      </c>
      <c r="AQ723" s="564">
        <v>7071311.1899199989</v>
      </c>
      <c r="AR723" s="564">
        <v>1.7397</v>
      </c>
    </row>
    <row r="724" spans="39:44">
      <c r="AM724" s="563">
        <f t="shared" ca="1" si="64"/>
        <v>45225</v>
      </c>
      <c r="AN724" s="564">
        <v>134.72</v>
      </c>
      <c r="AO724" s="564">
        <v>217891</v>
      </c>
      <c r="AP724" s="564">
        <v>53603.025999999998</v>
      </c>
      <c r="AQ724" s="564">
        <v>7221399.6627199994</v>
      </c>
      <c r="AR724" s="564">
        <v>1.7766</v>
      </c>
    </row>
    <row r="725" spans="39:44">
      <c r="AM725" s="563">
        <f t="shared" ca="1" si="64"/>
        <v>45224</v>
      </c>
      <c r="AN725" s="564">
        <v>135.93</v>
      </c>
      <c r="AO725" s="564">
        <v>283760</v>
      </c>
      <c r="AP725" s="564">
        <v>53603.025999999998</v>
      </c>
      <c r="AQ725" s="564">
        <v>7286259.3241800005</v>
      </c>
      <c r="AR725" s="564">
        <v>1.7925</v>
      </c>
    </row>
    <row r="726" spans="39:44">
      <c r="AM726" s="563">
        <f t="shared" ca="1" si="64"/>
        <v>45223</v>
      </c>
      <c r="AN726" s="564">
        <v>137.27000000000001</v>
      </c>
      <c r="AO726" s="564">
        <v>368413</v>
      </c>
      <c r="AP726" s="564">
        <v>53603.025999999998</v>
      </c>
      <c r="AQ726" s="564">
        <v>7358087.3790199999</v>
      </c>
      <c r="AR726" s="564">
        <v>1.8102</v>
      </c>
    </row>
    <row r="727" spans="39:44">
      <c r="AM727" s="563">
        <f t="shared" ca="1" si="64"/>
        <v>45222</v>
      </c>
      <c r="AN727" s="564">
        <v>138.12</v>
      </c>
      <c r="AO727" s="564">
        <v>654608</v>
      </c>
      <c r="AP727" s="564">
        <v>53603.025999999998</v>
      </c>
      <c r="AQ727" s="564">
        <v>7403649.9511200003</v>
      </c>
      <c r="AR727" s="564">
        <v>1.8213999999999999</v>
      </c>
    </row>
    <row r="728" spans="39:44">
      <c r="AM728" s="563">
        <f t="shared" ca="1" si="64"/>
        <v>45221</v>
      </c>
      <c r="AN728" s="564">
        <v>138.12</v>
      </c>
      <c r="AO728" s="564">
        <v>654608</v>
      </c>
      <c r="AP728" s="564">
        <v>53603.025999999998</v>
      </c>
      <c r="AQ728" s="564">
        <v>7403649.9511200003</v>
      </c>
      <c r="AR728" s="564">
        <v>1.8213999999999999</v>
      </c>
    </row>
    <row r="729" spans="39:44">
      <c r="AM729" s="563">
        <f t="shared" ca="1" si="64"/>
        <v>45220</v>
      </c>
      <c r="AN729" s="564">
        <v>138.12</v>
      </c>
      <c r="AO729" s="564">
        <v>654608</v>
      </c>
      <c r="AP729" s="564">
        <v>53603.025999999998</v>
      </c>
      <c r="AQ729" s="564">
        <v>7403649.9511200003</v>
      </c>
      <c r="AR729" s="564">
        <v>1.8213999999999999</v>
      </c>
    </row>
    <row r="730" spans="39:44">
      <c r="AM730" s="563">
        <f t="shared" ca="1" si="64"/>
        <v>45219</v>
      </c>
      <c r="AN730" s="564">
        <v>138.83000000000001</v>
      </c>
      <c r="AO730" s="564">
        <v>552878</v>
      </c>
      <c r="AP730" s="564">
        <v>53603.025999999998</v>
      </c>
      <c r="AQ730" s="564">
        <v>7441708.0995800002</v>
      </c>
      <c r="AR730" s="564">
        <v>1.8308</v>
      </c>
    </row>
    <row r="731" spans="39:44">
      <c r="AM731" s="563">
        <f t="shared" ca="1" si="64"/>
        <v>45218</v>
      </c>
      <c r="AN731" s="564">
        <v>136.27000000000001</v>
      </c>
      <c r="AO731" s="564">
        <v>580703</v>
      </c>
      <c r="AP731" s="564">
        <v>53603.025999999998</v>
      </c>
      <c r="AQ731" s="564">
        <v>7304484.3530200003</v>
      </c>
      <c r="AR731" s="564">
        <v>1.7969999999999999</v>
      </c>
    </row>
    <row r="732" spans="39:44">
      <c r="AM732" s="563">
        <f t="shared" ca="1" si="64"/>
        <v>45217</v>
      </c>
      <c r="AN732" s="564">
        <v>137</v>
      </c>
      <c r="AO732" s="564">
        <v>378829</v>
      </c>
      <c r="AP732" s="564">
        <v>53603.025999999998</v>
      </c>
      <c r="AQ732" s="564">
        <v>7343614.5619999999</v>
      </c>
      <c r="AR732" s="564">
        <v>1.8066</v>
      </c>
    </row>
    <row r="733" spans="39:44">
      <c r="AM733" s="563">
        <f t="shared" ca="1" si="64"/>
        <v>45216</v>
      </c>
      <c r="AN733" s="564">
        <v>138</v>
      </c>
      <c r="AO733" s="564">
        <v>251485</v>
      </c>
      <c r="AP733" s="564">
        <v>53603.025999999998</v>
      </c>
      <c r="AQ733" s="564">
        <v>7397217.5879999995</v>
      </c>
      <c r="AR733" s="564">
        <v>1.8198000000000001</v>
      </c>
    </row>
    <row r="734" spans="39:44">
      <c r="AM734" s="563">
        <f t="shared" ca="1" si="64"/>
        <v>45215</v>
      </c>
      <c r="AN734" s="564">
        <v>138.35</v>
      </c>
      <c r="AO734" s="564">
        <v>421244</v>
      </c>
      <c r="AP734" s="564">
        <v>53603.025999999998</v>
      </c>
      <c r="AQ734" s="564">
        <v>7415978.6470999997</v>
      </c>
      <c r="AR734" s="564">
        <v>1.8244</v>
      </c>
    </row>
    <row r="735" spans="39:44">
      <c r="AM735" s="563">
        <f t="shared" ca="1" si="64"/>
        <v>45214</v>
      </c>
      <c r="AN735" s="564">
        <v>138.35</v>
      </c>
      <c r="AO735" s="564">
        <v>421244</v>
      </c>
      <c r="AP735" s="564">
        <v>53603.025999999998</v>
      </c>
      <c r="AQ735" s="564">
        <v>7415978.6470999997</v>
      </c>
      <c r="AR735" s="564">
        <v>1.8244</v>
      </c>
    </row>
    <row r="736" spans="39:44">
      <c r="AM736" s="563">
        <f t="shared" ca="1" si="64"/>
        <v>45213</v>
      </c>
      <c r="AN736" s="564">
        <v>138.35</v>
      </c>
      <c r="AO736" s="564">
        <v>421244</v>
      </c>
      <c r="AP736" s="564">
        <v>53603.025999999998</v>
      </c>
      <c r="AQ736" s="564">
        <v>7415978.6470999997</v>
      </c>
      <c r="AR736" s="564">
        <v>1.8244</v>
      </c>
    </row>
    <row r="737" spans="39:44">
      <c r="AM737" s="563">
        <f t="shared" ca="1" si="64"/>
        <v>45212</v>
      </c>
      <c r="AN737" s="564">
        <v>139.47</v>
      </c>
      <c r="AO737" s="564">
        <v>731702</v>
      </c>
      <c r="AP737" s="564">
        <v>53603.025999999998</v>
      </c>
      <c r="AQ737" s="564">
        <v>7476014.0362200001</v>
      </c>
      <c r="AR737" s="564">
        <v>1.8391999999999999</v>
      </c>
    </row>
    <row r="738" spans="39:44">
      <c r="AM738" s="563">
        <f t="shared" ca="1" si="64"/>
        <v>45211</v>
      </c>
      <c r="AN738" s="564">
        <v>141.25</v>
      </c>
      <c r="AO738" s="564">
        <v>376885</v>
      </c>
      <c r="AP738" s="564">
        <v>53603.025999999998</v>
      </c>
      <c r="AQ738" s="564">
        <v>7571427.4224999994</v>
      </c>
      <c r="AR738" s="564">
        <v>1.8627</v>
      </c>
    </row>
    <row r="739" spans="39:44">
      <c r="AM739" s="563">
        <f t="shared" ca="1" si="64"/>
        <v>45210</v>
      </c>
      <c r="AN739" s="564">
        <v>140.62</v>
      </c>
      <c r="AO739" s="564">
        <v>448969</v>
      </c>
      <c r="AP739" s="564">
        <v>53603.025999999998</v>
      </c>
      <c r="AQ739" s="564">
        <v>7537657.5161199998</v>
      </c>
      <c r="AR739" s="564">
        <v>1.8544</v>
      </c>
    </row>
    <row r="740" spans="39:44">
      <c r="AM740" s="563">
        <f t="shared" ca="1" si="64"/>
        <v>45209</v>
      </c>
      <c r="AN740" s="564">
        <v>146.52000000000001</v>
      </c>
      <c r="AO740" s="564">
        <v>231205</v>
      </c>
      <c r="AP740" s="564">
        <v>53603.025999999998</v>
      </c>
      <c r="AQ740" s="564">
        <v>7853915.3695200002</v>
      </c>
      <c r="AR740" s="564">
        <v>1.9321999999999999</v>
      </c>
    </row>
    <row r="741" spans="39:44">
      <c r="AM741" s="563">
        <f t="shared" ca="1" si="64"/>
        <v>45208</v>
      </c>
      <c r="AN741" s="564">
        <v>146.52000000000001</v>
      </c>
      <c r="AO741" s="564">
        <v>231205</v>
      </c>
      <c r="AP741" s="564">
        <v>53603.025999999998</v>
      </c>
      <c r="AQ741" s="564">
        <v>7853915.3695200002</v>
      </c>
      <c r="AR741" s="564">
        <v>1.9321999999999999</v>
      </c>
    </row>
    <row r="742" spans="39:44">
      <c r="AM742" s="563">
        <f t="shared" ca="1" si="64"/>
        <v>45207</v>
      </c>
      <c r="AN742" s="564">
        <v>146.52000000000001</v>
      </c>
      <c r="AO742" s="564">
        <v>231205</v>
      </c>
      <c r="AP742" s="564">
        <v>53603.025999999998</v>
      </c>
      <c r="AQ742" s="564">
        <v>7853915.3695200002</v>
      </c>
      <c r="AR742" s="564">
        <v>1.9321999999999999</v>
      </c>
    </row>
    <row r="743" spans="39:44">
      <c r="AM743" s="563">
        <f t="shared" ca="1" si="64"/>
        <v>45206</v>
      </c>
      <c r="AN743" s="564">
        <v>146.52000000000001</v>
      </c>
      <c r="AO743" s="564">
        <v>231205</v>
      </c>
      <c r="AP743" s="564">
        <v>53603.025999999998</v>
      </c>
      <c r="AQ743" s="564">
        <v>7853915.3695200002</v>
      </c>
      <c r="AR743" s="564">
        <v>1.9321999999999999</v>
      </c>
    </row>
    <row r="744" spans="39:44">
      <c r="AM744" s="563">
        <f t="shared" ca="1" si="64"/>
        <v>45205</v>
      </c>
      <c r="AN744" s="564">
        <v>145.59</v>
      </c>
      <c r="AO744" s="564">
        <v>303571</v>
      </c>
      <c r="AP744" s="564">
        <v>53603.025999999998</v>
      </c>
      <c r="AQ744" s="564">
        <v>7804064.5553399995</v>
      </c>
      <c r="AR744" s="564">
        <v>1.9198999999999999</v>
      </c>
    </row>
    <row r="745" spans="39:44">
      <c r="AM745" s="563">
        <f t="shared" ca="1" si="64"/>
        <v>45204</v>
      </c>
      <c r="AN745" s="564">
        <v>145.94</v>
      </c>
      <c r="AO745" s="564">
        <v>257049</v>
      </c>
      <c r="AP745" s="564">
        <v>53603.025999999998</v>
      </c>
      <c r="AQ745" s="564">
        <v>7822825.6144399997</v>
      </c>
      <c r="AR745" s="564">
        <v>1.9245000000000001</v>
      </c>
    </row>
    <row r="746" spans="39:44">
      <c r="AM746" s="563">
        <f t="shared" ca="1" si="64"/>
        <v>45203</v>
      </c>
      <c r="AN746" s="564">
        <v>145.79</v>
      </c>
      <c r="AO746" s="564">
        <v>283988</v>
      </c>
      <c r="AP746" s="564">
        <v>53603.025999999998</v>
      </c>
      <c r="AQ746" s="564">
        <v>7814785.1605399996</v>
      </c>
      <c r="AR746" s="564">
        <v>1.9226000000000001</v>
      </c>
    </row>
    <row r="747" spans="39:44">
      <c r="AM747" s="563">
        <f t="shared" ca="1" si="64"/>
        <v>45202</v>
      </c>
      <c r="AN747" s="564">
        <v>143.46</v>
      </c>
      <c r="AO747" s="564">
        <v>236685</v>
      </c>
      <c r="AP747" s="564">
        <v>53603.025999999998</v>
      </c>
      <c r="AQ747" s="564">
        <v>7689890.10996</v>
      </c>
      <c r="AR747" s="564">
        <v>1.8917999999999999</v>
      </c>
    </row>
    <row r="748" spans="39:44">
      <c r="AM748" s="563">
        <f t="shared" ca="1" si="64"/>
        <v>45201</v>
      </c>
      <c r="AN748" s="564">
        <v>141.88999999999999</v>
      </c>
      <c r="AO748" s="564">
        <v>244966</v>
      </c>
      <c r="AP748" s="564">
        <v>53603.025999999998</v>
      </c>
      <c r="AQ748" s="564">
        <v>7605733.3591399994</v>
      </c>
      <c r="AR748" s="564">
        <v>1.8711</v>
      </c>
    </row>
    <row r="749" spans="39:44">
      <c r="AM749" s="563">
        <f t="shared" ca="1" si="64"/>
        <v>45200</v>
      </c>
      <c r="AN749" s="564">
        <v>141.88999999999999</v>
      </c>
      <c r="AO749" s="564">
        <v>244966</v>
      </c>
      <c r="AP749" s="564">
        <v>53603.025999999998</v>
      </c>
      <c r="AQ749" s="564">
        <v>7605733.3591399994</v>
      </c>
      <c r="AR749" s="564">
        <v>1.8711</v>
      </c>
    </row>
    <row r="750" spans="39:44">
      <c r="AM750" s="563">
        <f t="shared" ca="1" si="64"/>
        <v>45199</v>
      </c>
      <c r="AN750" s="564">
        <v>141.88999999999999</v>
      </c>
      <c r="AO750" s="564">
        <v>244966</v>
      </c>
      <c r="AP750" s="564">
        <v>53603.025999999998</v>
      </c>
      <c r="AQ750" s="564">
        <v>7605733.3591399994</v>
      </c>
      <c r="AR750" s="564">
        <v>1.8711</v>
      </c>
    </row>
    <row r="751" spans="39:44">
      <c r="AM751" s="563">
        <f t="shared" ca="1" si="64"/>
        <v>45198</v>
      </c>
      <c r="AN751" s="564">
        <v>141.47999999999999</v>
      </c>
      <c r="AO751" s="564">
        <v>258521</v>
      </c>
      <c r="AP751" s="564">
        <v>53603.025999999998</v>
      </c>
      <c r="AQ751" s="564">
        <v>7583756.1184799988</v>
      </c>
      <c r="AR751" s="564">
        <v>1.8656999999999999</v>
      </c>
    </row>
    <row r="752" spans="39:44">
      <c r="AM752" s="563">
        <f t="shared" ca="1" si="64"/>
        <v>45197</v>
      </c>
      <c r="AN752" s="564">
        <v>143.46</v>
      </c>
      <c r="AO752" s="564">
        <v>450653</v>
      </c>
      <c r="AP752" s="564">
        <v>53603.025999999998</v>
      </c>
      <c r="AQ752" s="564">
        <v>7689890.10996</v>
      </c>
      <c r="AR752" s="564">
        <v>1.8917999999999999</v>
      </c>
    </row>
    <row r="753" spans="39:44">
      <c r="AM753" s="563">
        <f t="shared" ca="1" si="64"/>
        <v>45196</v>
      </c>
      <c r="AN753" s="564">
        <v>139.6</v>
      </c>
      <c r="AO753" s="564">
        <v>349357</v>
      </c>
      <c r="AP753" s="564">
        <v>53603.025999999998</v>
      </c>
      <c r="AQ753" s="564">
        <v>7482982.4295999995</v>
      </c>
      <c r="AR753" s="564">
        <v>1.8409</v>
      </c>
    </row>
    <row r="754" spans="39:44">
      <c r="AM754" s="563">
        <f t="shared" ca="1" si="64"/>
        <v>45195</v>
      </c>
      <c r="AN754" s="564">
        <v>141.47999999999999</v>
      </c>
      <c r="AO754" s="564">
        <v>335022</v>
      </c>
      <c r="AP754" s="564">
        <v>53603.025999999998</v>
      </c>
      <c r="AQ754" s="564">
        <v>7583756.1184799988</v>
      </c>
      <c r="AR754" s="564">
        <v>1.8656999999999999</v>
      </c>
    </row>
    <row r="755" spans="39:44">
      <c r="AM755" s="563">
        <f t="shared" ca="1" si="64"/>
        <v>45194</v>
      </c>
      <c r="AN755" s="564">
        <v>141.94999999999999</v>
      </c>
      <c r="AO755" s="564">
        <v>490478</v>
      </c>
      <c r="AP755" s="564">
        <v>53603.025999999998</v>
      </c>
      <c r="AQ755" s="564">
        <v>7608949.5406999988</v>
      </c>
      <c r="AR755" s="564">
        <v>1.8718999999999999</v>
      </c>
    </row>
    <row r="756" spans="39:44">
      <c r="AM756" s="563">
        <f t="shared" ca="1" si="64"/>
        <v>45193</v>
      </c>
      <c r="AN756" s="564">
        <v>141.94999999999999</v>
      </c>
      <c r="AO756" s="564">
        <v>490478</v>
      </c>
      <c r="AP756" s="564">
        <v>53603.025999999998</v>
      </c>
      <c r="AQ756" s="564">
        <v>7608949.5406999988</v>
      </c>
      <c r="AR756" s="564">
        <v>1.8718999999999999</v>
      </c>
    </row>
    <row r="757" spans="39:44">
      <c r="AM757" s="563">
        <f t="shared" ca="1" si="64"/>
        <v>45192</v>
      </c>
      <c r="AN757" s="564">
        <v>141.94999999999999</v>
      </c>
      <c r="AO757" s="564">
        <v>490478</v>
      </c>
      <c r="AP757" s="564">
        <v>53603.025999999998</v>
      </c>
      <c r="AQ757" s="564">
        <v>7608949.5406999988</v>
      </c>
      <c r="AR757" s="564">
        <v>1.8718999999999999</v>
      </c>
    </row>
    <row r="758" spans="39:44">
      <c r="AM758" s="563">
        <f t="shared" ca="1" si="64"/>
        <v>45191</v>
      </c>
      <c r="AN758" s="564">
        <v>142.66</v>
      </c>
      <c r="AO758" s="564">
        <v>431918</v>
      </c>
      <c r="AP758" s="564">
        <v>53603.025999999998</v>
      </c>
      <c r="AQ758" s="564">
        <v>7647007.6891599996</v>
      </c>
      <c r="AR758" s="564">
        <v>1.8813</v>
      </c>
    </row>
    <row r="759" spans="39:44">
      <c r="AM759" s="563">
        <f t="shared" ca="1" si="64"/>
        <v>45190</v>
      </c>
      <c r="AN759" s="564">
        <v>145.16</v>
      </c>
      <c r="AO759" s="564">
        <v>389006</v>
      </c>
      <c r="AP759" s="564">
        <v>53603.025999999998</v>
      </c>
      <c r="AQ759" s="564">
        <v>7781015.2541599991</v>
      </c>
      <c r="AR759" s="564">
        <v>1.9141999999999999</v>
      </c>
    </row>
    <row r="760" spans="39:44">
      <c r="AM760" s="563">
        <f t="shared" ca="1" si="64"/>
        <v>45189</v>
      </c>
      <c r="AN760" s="564">
        <v>146.88</v>
      </c>
      <c r="AO760" s="564">
        <v>422193</v>
      </c>
      <c r="AP760" s="564">
        <v>53603.025999999998</v>
      </c>
      <c r="AQ760" s="564">
        <v>7873212.4588799998</v>
      </c>
      <c r="AR760" s="564">
        <v>1.9369000000000001</v>
      </c>
    </row>
    <row r="761" spans="39:44">
      <c r="AM761" s="563">
        <f t="shared" ca="1" si="64"/>
        <v>45188</v>
      </c>
      <c r="AN761" s="564">
        <v>150.25</v>
      </c>
      <c r="AO761" s="564">
        <v>594931</v>
      </c>
      <c r="AP761" s="564">
        <v>53603.025999999998</v>
      </c>
      <c r="AQ761" s="564">
        <v>8053854.6564999996</v>
      </c>
      <c r="AR761" s="564">
        <v>1.9814000000000001</v>
      </c>
    </row>
    <row r="762" spans="39:44">
      <c r="AM762" s="563">
        <f t="shared" ca="1" si="64"/>
        <v>45187</v>
      </c>
      <c r="AN762" s="564">
        <v>148.61000000000001</v>
      </c>
      <c r="AO762" s="564">
        <v>395736</v>
      </c>
      <c r="AP762" s="564">
        <v>53603.025999999998</v>
      </c>
      <c r="AQ762" s="564">
        <v>7965945.69386</v>
      </c>
      <c r="AR762" s="564">
        <v>1.9597</v>
      </c>
    </row>
    <row r="763" spans="39:44">
      <c r="AM763" s="563">
        <f t="shared" ca="1" si="64"/>
        <v>45186</v>
      </c>
      <c r="AN763" s="564">
        <v>148.61000000000001</v>
      </c>
      <c r="AO763" s="564">
        <v>395736</v>
      </c>
      <c r="AP763" s="564">
        <v>53603.025999999998</v>
      </c>
      <c r="AQ763" s="564">
        <v>7965945.69386</v>
      </c>
      <c r="AR763" s="564">
        <v>1.9597</v>
      </c>
    </row>
    <row r="764" spans="39:44">
      <c r="AM764" s="563">
        <f t="shared" ca="1" si="64"/>
        <v>45185</v>
      </c>
      <c r="AN764" s="564">
        <v>148.61000000000001</v>
      </c>
      <c r="AO764" s="564">
        <v>395736</v>
      </c>
      <c r="AP764" s="564">
        <v>53603.025999999998</v>
      </c>
      <c r="AQ764" s="564">
        <v>7965945.69386</v>
      </c>
      <c r="AR764" s="564">
        <v>1.9597</v>
      </c>
    </row>
    <row r="765" spans="39:44">
      <c r="AM765" s="563">
        <f t="shared" ca="1" si="64"/>
        <v>45184</v>
      </c>
      <c r="AN765" s="564">
        <v>148.72</v>
      </c>
      <c r="AO765" s="564">
        <v>549486</v>
      </c>
      <c r="AP765" s="564">
        <v>53603.025999999998</v>
      </c>
      <c r="AQ765" s="564">
        <v>7971842.0267199995</v>
      </c>
      <c r="AR765" s="564">
        <v>1.9612000000000001</v>
      </c>
    </row>
    <row r="766" spans="39:44">
      <c r="AM766" s="563">
        <f t="shared" ca="1" si="64"/>
        <v>45183</v>
      </c>
      <c r="AN766" s="564">
        <v>147.28</v>
      </c>
      <c r="AO766" s="564">
        <v>385084</v>
      </c>
      <c r="AP766" s="564">
        <v>53515.205999999998</v>
      </c>
      <c r="AQ766" s="564">
        <v>7881719.5396799995</v>
      </c>
      <c r="AR766" s="564">
        <v>1.9421999999999999</v>
      </c>
    </row>
    <row r="767" spans="39:44">
      <c r="AM767" s="563">
        <f t="shared" ca="1" si="64"/>
        <v>45182</v>
      </c>
      <c r="AN767" s="564">
        <v>146.91999999999999</v>
      </c>
      <c r="AO767" s="564">
        <v>686295</v>
      </c>
      <c r="AP767" s="564">
        <v>53515.205999999998</v>
      </c>
      <c r="AQ767" s="564">
        <v>7862454.0655199988</v>
      </c>
      <c r="AR767" s="564">
        <v>1.9375</v>
      </c>
    </row>
    <row r="768" spans="39:44">
      <c r="AM768" s="563">
        <f t="shared" ca="1" si="64"/>
        <v>45181</v>
      </c>
      <c r="AN768" s="564">
        <v>146.4</v>
      </c>
      <c r="AO768" s="564">
        <v>692863</v>
      </c>
      <c r="AP768" s="564">
        <v>53515.205999999998</v>
      </c>
      <c r="AQ768" s="564">
        <v>7834626.1584000001</v>
      </c>
      <c r="AR768" s="564">
        <v>1.9306000000000001</v>
      </c>
    </row>
    <row r="769" spans="39:44">
      <c r="AM769" s="563">
        <f t="shared" ca="1" si="64"/>
        <v>45180</v>
      </c>
      <c r="AN769" s="564">
        <v>142.55000000000001</v>
      </c>
      <c r="AO769" s="564">
        <v>701516</v>
      </c>
      <c r="AP769" s="564">
        <v>53515.205999999998</v>
      </c>
      <c r="AQ769" s="564">
        <v>7628592.6153000006</v>
      </c>
      <c r="AR769" s="564">
        <v>1.8797999999999999</v>
      </c>
    </row>
    <row r="770" spans="39:44">
      <c r="AM770" s="563">
        <f t="shared" ca="1" si="64"/>
        <v>45179</v>
      </c>
      <c r="AN770" s="564">
        <v>142.55000000000001</v>
      </c>
      <c r="AO770" s="564">
        <v>701516</v>
      </c>
      <c r="AP770" s="564">
        <v>53515.205999999998</v>
      </c>
      <c r="AQ770" s="564">
        <v>7628592.6153000006</v>
      </c>
      <c r="AR770" s="564">
        <v>1.8797999999999999</v>
      </c>
    </row>
    <row r="771" spans="39:44">
      <c r="AM771" s="563">
        <f t="shared" ca="1" si="64"/>
        <v>45178</v>
      </c>
      <c r="AN771" s="564">
        <v>142.55000000000001</v>
      </c>
      <c r="AO771" s="564">
        <v>701516</v>
      </c>
      <c r="AP771" s="564">
        <v>53515.205999999998</v>
      </c>
      <c r="AQ771" s="564">
        <v>7628592.6153000006</v>
      </c>
      <c r="AR771" s="564">
        <v>1.8797999999999999</v>
      </c>
    </row>
    <row r="772" spans="39:44">
      <c r="AM772" s="563">
        <f t="shared" ca="1" si="64"/>
        <v>45177</v>
      </c>
      <c r="AN772" s="564">
        <v>141.97999999999999</v>
      </c>
      <c r="AO772" s="564">
        <v>1062981</v>
      </c>
      <c r="AP772" s="564">
        <v>53515.205999999998</v>
      </c>
      <c r="AQ772" s="564">
        <v>7598088.9478799989</v>
      </c>
      <c r="AR772" s="564">
        <v>1.8723000000000001</v>
      </c>
    </row>
    <row r="773" spans="39:44">
      <c r="AM773" s="563">
        <f t="shared" ref="AM773:AM836" ca="1" si="65">AM772-1</f>
        <v>45176</v>
      </c>
      <c r="AN773" s="564">
        <v>143.94</v>
      </c>
      <c r="AO773" s="564">
        <v>611579</v>
      </c>
      <c r="AP773" s="564">
        <v>53515.205999999998</v>
      </c>
      <c r="AQ773" s="564">
        <v>7702978.7516399994</v>
      </c>
      <c r="AR773" s="564">
        <v>1.8982000000000001</v>
      </c>
    </row>
    <row r="774" spans="39:44">
      <c r="AM774" s="563">
        <f t="shared" ca="1" si="65"/>
        <v>45175</v>
      </c>
      <c r="AN774" s="564">
        <v>148.79</v>
      </c>
      <c r="AO774" s="564">
        <v>580009</v>
      </c>
      <c r="AP774" s="564">
        <v>53515.205999999998</v>
      </c>
      <c r="AQ774" s="564">
        <v>7962527.5007399991</v>
      </c>
      <c r="AR774" s="564">
        <v>1.9621</v>
      </c>
    </row>
    <row r="775" spans="39:44">
      <c r="AM775" s="563">
        <f t="shared" ca="1" si="65"/>
        <v>45174</v>
      </c>
      <c r="AN775" s="564">
        <v>151.85</v>
      </c>
      <c r="AO775" s="564">
        <v>453221</v>
      </c>
      <c r="AP775" s="564">
        <v>53515.205999999998</v>
      </c>
      <c r="AQ775" s="564">
        <v>8126284.0310999993</v>
      </c>
      <c r="AR775" s="564">
        <v>2.0024999999999999</v>
      </c>
    </row>
    <row r="776" spans="39:44">
      <c r="AM776" s="563">
        <f t="shared" ca="1" si="65"/>
        <v>45173</v>
      </c>
      <c r="AN776" s="564">
        <v>151.62</v>
      </c>
      <c r="AO776" s="564">
        <v>530960</v>
      </c>
      <c r="AP776" s="564">
        <v>53515.205999999998</v>
      </c>
      <c r="AQ776" s="564">
        <v>8113975.5337199997</v>
      </c>
      <c r="AR776" s="564">
        <v>1.9994000000000001</v>
      </c>
    </row>
    <row r="777" spans="39:44">
      <c r="AM777" s="563">
        <f t="shared" ca="1" si="65"/>
        <v>45172</v>
      </c>
      <c r="AN777" s="564">
        <v>151.62</v>
      </c>
      <c r="AO777" s="564">
        <v>530960</v>
      </c>
      <c r="AP777" s="564">
        <v>53515.205999999998</v>
      </c>
      <c r="AQ777" s="564">
        <v>8113975.5337199997</v>
      </c>
      <c r="AR777" s="564">
        <v>1.9994000000000001</v>
      </c>
    </row>
    <row r="778" spans="39:44">
      <c r="AM778" s="563">
        <f t="shared" ca="1" si="65"/>
        <v>45171</v>
      </c>
      <c r="AN778" s="564">
        <v>151.62</v>
      </c>
      <c r="AO778" s="564">
        <v>530960</v>
      </c>
      <c r="AP778" s="564">
        <v>53515.205999999998</v>
      </c>
      <c r="AQ778" s="564">
        <v>8113975.5337199997</v>
      </c>
      <c r="AR778" s="564">
        <v>1.9994000000000001</v>
      </c>
    </row>
    <row r="779" spans="39:44">
      <c r="AM779" s="563">
        <f t="shared" ca="1" si="65"/>
        <v>45170</v>
      </c>
      <c r="AN779" s="564">
        <v>150</v>
      </c>
      <c r="AO779" s="564">
        <v>750763</v>
      </c>
      <c r="AP779" s="564">
        <v>53515.205999999998</v>
      </c>
      <c r="AQ779" s="564">
        <v>8027280.8999999994</v>
      </c>
      <c r="AR779" s="564">
        <v>1.9781</v>
      </c>
    </row>
    <row r="780" spans="39:44">
      <c r="AM780" s="563">
        <f t="shared" ca="1" si="65"/>
        <v>45169</v>
      </c>
      <c r="AN780" s="564">
        <v>146.81</v>
      </c>
      <c r="AO780" s="564">
        <v>435068</v>
      </c>
      <c r="AP780" s="564">
        <v>53515.205999999998</v>
      </c>
      <c r="AQ780" s="564">
        <v>7856567.39286</v>
      </c>
      <c r="AR780" s="564">
        <v>1.9359999999999999</v>
      </c>
    </row>
    <row r="781" spans="39:44">
      <c r="AM781" s="563">
        <f t="shared" ca="1" si="65"/>
        <v>45168</v>
      </c>
      <c r="AN781" s="564">
        <v>145.93</v>
      </c>
      <c r="AO781" s="564">
        <v>420560</v>
      </c>
      <c r="AP781" s="564">
        <v>53515.205999999998</v>
      </c>
      <c r="AQ781" s="564">
        <v>7809474.0115799997</v>
      </c>
      <c r="AR781" s="564">
        <v>1.9244000000000001</v>
      </c>
    </row>
    <row r="782" spans="39:44">
      <c r="AM782" s="563">
        <f t="shared" ca="1" si="65"/>
        <v>45167</v>
      </c>
      <c r="AN782" s="564">
        <v>145.01</v>
      </c>
      <c r="AO782" s="564">
        <v>530601</v>
      </c>
      <c r="AP782" s="564">
        <v>53515.205999999998</v>
      </c>
      <c r="AQ782" s="564">
        <v>7760240.0220599994</v>
      </c>
      <c r="AR782" s="564">
        <v>1.9123000000000001</v>
      </c>
    </row>
    <row r="783" spans="39:44">
      <c r="AM783" s="563">
        <f t="shared" ca="1" si="65"/>
        <v>45166</v>
      </c>
      <c r="AN783" s="564">
        <v>144.08000000000001</v>
      </c>
      <c r="AO783" s="564">
        <v>571505</v>
      </c>
      <c r="AP783" s="564">
        <v>53515.205999999998</v>
      </c>
      <c r="AQ783" s="564">
        <v>7710470.8804800007</v>
      </c>
      <c r="AR783" s="564">
        <v>1.9</v>
      </c>
    </row>
    <row r="784" spans="39:44">
      <c r="AM784" s="563">
        <f t="shared" ca="1" si="65"/>
        <v>45165</v>
      </c>
      <c r="AN784" s="564">
        <v>144.08000000000001</v>
      </c>
      <c r="AO784" s="564">
        <v>571505</v>
      </c>
      <c r="AP784" s="564">
        <v>53515.205999999998</v>
      </c>
      <c r="AQ784" s="564">
        <v>7710470.8804800007</v>
      </c>
      <c r="AR784" s="564">
        <v>1.9</v>
      </c>
    </row>
    <row r="785" spans="39:44">
      <c r="AM785" s="563">
        <f t="shared" ca="1" si="65"/>
        <v>45164</v>
      </c>
      <c r="AN785" s="564">
        <v>144.08000000000001</v>
      </c>
      <c r="AO785" s="564">
        <v>571505</v>
      </c>
      <c r="AP785" s="564">
        <v>53515.205999999998</v>
      </c>
      <c r="AQ785" s="564">
        <v>7710470.8804800007</v>
      </c>
      <c r="AR785" s="564">
        <v>1.9</v>
      </c>
    </row>
    <row r="786" spans="39:44">
      <c r="AM786" s="563">
        <f t="shared" ca="1" si="65"/>
        <v>45163</v>
      </c>
      <c r="AN786" s="564">
        <v>141.93</v>
      </c>
      <c r="AO786" s="564">
        <v>435719</v>
      </c>
      <c r="AP786" s="564">
        <v>53515.205999999998</v>
      </c>
      <c r="AQ786" s="564">
        <v>7595413.1875799997</v>
      </c>
      <c r="AR786" s="564">
        <v>1.8716999999999999</v>
      </c>
    </row>
    <row r="787" spans="39:44">
      <c r="AM787" s="563">
        <f t="shared" ca="1" si="65"/>
        <v>45162</v>
      </c>
      <c r="AN787" s="564">
        <v>142.18</v>
      </c>
      <c r="AO787" s="564">
        <v>500348</v>
      </c>
      <c r="AP787" s="564">
        <v>53515.205999999998</v>
      </c>
      <c r="AQ787" s="564">
        <v>7608791.9890799997</v>
      </c>
      <c r="AR787" s="564">
        <v>1.875</v>
      </c>
    </row>
    <row r="788" spans="39:44">
      <c r="AM788" s="563">
        <f t="shared" ca="1" si="65"/>
        <v>45161</v>
      </c>
      <c r="AN788" s="564">
        <v>141.56</v>
      </c>
      <c r="AO788" s="564">
        <v>521020</v>
      </c>
      <c r="AP788" s="564">
        <v>53515.205999999998</v>
      </c>
      <c r="AQ788" s="564">
        <v>7575612.5613599997</v>
      </c>
      <c r="AR788" s="564">
        <v>1.8668</v>
      </c>
    </row>
    <row r="789" spans="39:44">
      <c r="AM789" s="563">
        <f t="shared" ca="1" si="65"/>
        <v>45160</v>
      </c>
      <c r="AN789" s="564">
        <v>141.72</v>
      </c>
      <c r="AO789" s="564">
        <v>605876</v>
      </c>
      <c r="AP789" s="564">
        <v>53515.205999999998</v>
      </c>
      <c r="AQ789" s="564">
        <v>7584174.9943199996</v>
      </c>
      <c r="AR789" s="564">
        <v>1.8689</v>
      </c>
    </row>
    <row r="790" spans="39:44">
      <c r="AM790" s="563">
        <f t="shared" ca="1" si="65"/>
        <v>45159</v>
      </c>
      <c r="AN790" s="564">
        <v>143.94999999999999</v>
      </c>
      <c r="AO790" s="564">
        <v>418410</v>
      </c>
      <c r="AP790" s="564">
        <v>53515.205999999998</v>
      </c>
      <c r="AQ790" s="564">
        <v>7703513.9036999987</v>
      </c>
      <c r="AR790" s="564">
        <v>1.8983000000000001</v>
      </c>
    </row>
    <row r="791" spans="39:44">
      <c r="AM791" s="563">
        <f t="shared" ca="1" si="65"/>
        <v>45158</v>
      </c>
      <c r="AN791" s="564">
        <v>143.94999999999999</v>
      </c>
      <c r="AO791" s="564">
        <v>418410</v>
      </c>
      <c r="AP791" s="564">
        <v>53515.205999999998</v>
      </c>
      <c r="AQ791" s="564">
        <v>7703513.9036999987</v>
      </c>
      <c r="AR791" s="564">
        <v>1.8983000000000001</v>
      </c>
    </row>
    <row r="792" spans="39:44">
      <c r="AM792" s="563">
        <f t="shared" ca="1" si="65"/>
        <v>45157</v>
      </c>
      <c r="AN792" s="564">
        <v>143.94999999999999</v>
      </c>
      <c r="AO792" s="564">
        <v>418410</v>
      </c>
      <c r="AP792" s="564">
        <v>53515.205999999998</v>
      </c>
      <c r="AQ792" s="564">
        <v>7703513.9036999987</v>
      </c>
      <c r="AR792" s="564">
        <v>1.8983000000000001</v>
      </c>
    </row>
    <row r="793" spans="39:44">
      <c r="AM793" s="563">
        <f t="shared" ca="1" si="65"/>
        <v>45156</v>
      </c>
      <c r="AN793" s="564">
        <v>147.88999999999999</v>
      </c>
      <c r="AO793" s="564">
        <v>316894</v>
      </c>
      <c r="AP793" s="564">
        <v>53515.205999999998</v>
      </c>
      <c r="AQ793" s="564">
        <v>7914363.8153399993</v>
      </c>
      <c r="AR793" s="564">
        <v>1.9502999999999999</v>
      </c>
    </row>
    <row r="794" spans="39:44">
      <c r="AM794" s="563">
        <f t="shared" ca="1" si="65"/>
        <v>45155</v>
      </c>
      <c r="AN794" s="564">
        <v>147.62</v>
      </c>
      <c r="AO794" s="564">
        <v>559329</v>
      </c>
      <c r="AP794" s="564">
        <v>53515.205999999998</v>
      </c>
      <c r="AQ794" s="564">
        <v>7899914.7097199997</v>
      </c>
      <c r="AR794" s="564">
        <v>1.9467000000000001</v>
      </c>
    </row>
    <row r="795" spans="39:44">
      <c r="AM795" s="563">
        <f t="shared" ca="1" si="65"/>
        <v>45154</v>
      </c>
      <c r="AN795" s="564">
        <v>145.33000000000001</v>
      </c>
      <c r="AO795" s="564">
        <v>467174</v>
      </c>
      <c r="AP795" s="564">
        <v>53515.205999999998</v>
      </c>
      <c r="AQ795" s="564">
        <v>7777364.8879800001</v>
      </c>
      <c r="AR795" s="564">
        <v>1.9165000000000001</v>
      </c>
    </row>
    <row r="796" spans="39:44">
      <c r="AM796" s="563">
        <f t="shared" ca="1" si="65"/>
        <v>45153</v>
      </c>
      <c r="AN796" s="564">
        <v>145.9</v>
      </c>
      <c r="AO796" s="564">
        <v>325223</v>
      </c>
      <c r="AP796" s="564">
        <v>53515.205999999998</v>
      </c>
      <c r="AQ796" s="564">
        <v>7807868.5554</v>
      </c>
      <c r="AR796" s="564">
        <v>1.9239999999999999</v>
      </c>
    </row>
    <row r="797" spans="39:44">
      <c r="AM797" s="563">
        <f t="shared" ca="1" si="65"/>
        <v>45152</v>
      </c>
      <c r="AN797" s="564">
        <v>144.51</v>
      </c>
      <c r="AO797" s="564">
        <v>289022</v>
      </c>
      <c r="AP797" s="564">
        <v>53515.205999999998</v>
      </c>
      <c r="AQ797" s="564">
        <v>7733482.4190599993</v>
      </c>
      <c r="AR797" s="564">
        <v>1.9056999999999999</v>
      </c>
    </row>
    <row r="798" spans="39:44">
      <c r="AM798" s="563">
        <f t="shared" ca="1" si="65"/>
        <v>45151</v>
      </c>
      <c r="AN798" s="564">
        <v>144.51</v>
      </c>
      <c r="AO798" s="564">
        <v>289022</v>
      </c>
      <c r="AP798" s="564">
        <v>53515.205999999998</v>
      </c>
      <c r="AQ798" s="564">
        <v>7733482.4190599993</v>
      </c>
      <c r="AR798" s="564">
        <v>1.9056999999999999</v>
      </c>
    </row>
    <row r="799" spans="39:44">
      <c r="AM799" s="563">
        <f t="shared" ca="1" si="65"/>
        <v>45150</v>
      </c>
      <c r="AN799" s="564">
        <v>144.51</v>
      </c>
      <c r="AO799" s="564">
        <v>289022</v>
      </c>
      <c r="AP799" s="564">
        <v>53515.205999999998</v>
      </c>
      <c r="AQ799" s="564">
        <v>7733482.4190599993</v>
      </c>
      <c r="AR799" s="564">
        <v>1.9056999999999999</v>
      </c>
    </row>
    <row r="800" spans="39:44">
      <c r="AM800" s="563">
        <f t="shared" ca="1" si="65"/>
        <v>45149</v>
      </c>
      <c r="AN800" s="564">
        <v>143.55000000000001</v>
      </c>
      <c r="AO800" s="564">
        <v>319371</v>
      </c>
      <c r="AP800" s="564">
        <v>53515.205999999998</v>
      </c>
      <c r="AQ800" s="564">
        <v>7682107.8213</v>
      </c>
      <c r="AR800" s="564">
        <v>1.893</v>
      </c>
    </row>
    <row r="801" spans="39:44">
      <c r="AM801" s="563">
        <f t="shared" ca="1" si="65"/>
        <v>45148</v>
      </c>
      <c r="AN801" s="564">
        <v>145.24</v>
      </c>
      <c r="AO801" s="564">
        <v>430671</v>
      </c>
      <c r="AP801" s="564">
        <v>53515.205999999998</v>
      </c>
      <c r="AQ801" s="564">
        <v>7772548.5194399999</v>
      </c>
      <c r="AR801" s="564">
        <v>1.9153</v>
      </c>
    </row>
    <row r="802" spans="39:44">
      <c r="AM802" s="563">
        <f t="shared" ca="1" si="65"/>
        <v>45147</v>
      </c>
      <c r="AN802" s="564">
        <v>147.54</v>
      </c>
      <c r="AO802" s="564">
        <v>172496</v>
      </c>
      <c r="AP802" s="564">
        <v>53515.205999999998</v>
      </c>
      <c r="AQ802" s="564">
        <v>7895633.4932399997</v>
      </c>
      <c r="AR802" s="564">
        <v>1.9456</v>
      </c>
    </row>
    <row r="803" spans="39:44">
      <c r="AM803" s="563">
        <f t="shared" ca="1" si="65"/>
        <v>45146</v>
      </c>
      <c r="AN803" s="564">
        <v>147.54</v>
      </c>
      <c r="AO803" s="564">
        <v>172496</v>
      </c>
      <c r="AP803" s="564">
        <v>53515.205999999998</v>
      </c>
      <c r="AQ803" s="564">
        <v>7895633.4932399997</v>
      </c>
      <c r="AR803" s="564">
        <v>1.9456</v>
      </c>
    </row>
    <row r="804" spans="39:44">
      <c r="AM804" s="563">
        <f t="shared" ca="1" si="65"/>
        <v>45145</v>
      </c>
      <c r="AN804" s="564">
        <v>147.83000000000001</v>
      </c>
      <c r="AO804" s="564">
        <v>222291</v>
      </c>
      <c r="AP804" s="564">
        <v>53515.205999999998</v>
      </c>
      <c r="AQ804" s="564">
        <v>7911152.9029800007</v>
      </c>
      <c r="AR804" s="564">
        <v>1.9668000000000001</v>
      </c>
    </row>
    <row r="805" spans="39:44">
      <c r="AM805" s="563">
        <f t="shared" ca="1" si="65"/>
        <v>45144</v>
      </c>
      <c r="AN805" s="564">
        <v>147.83000000000001</v>
      </c>
      <c r="AO805" s="564">
        <v>222291</v>
      </c>
      <c r="AP805" s="564">
        <v>53515.205999999998</v>
      </c>
      <c r="AQ805" s="564">
        <v>7911152.9029800007</v>
      </c>
      <c r="AR805" s="564">
        <v>1.9668000000000001</v>
      </c>
    </row>
    <row r="806" spans="39:44">
      <c r="AM806" s="563">
        <f t="shared" ca="1" si="65"/>
        <v>45143</v>
      </c>
      <c r="AN806" s="564">
        <v>147.83000000000001</v>
      </c>
      <c r="AO806" s="564">
        <v>222291</v>
      </c>
      <c r="AP806" s="564">
        <v>53515.205999999998</v>
      </c>
      <c r="AQ806" s="564">
        <v>7911152.9029800007</v>
      </c>
      <c r="AR806" s="564">
        <v>1.9668000000000001</v>
      </c>
    </row>
    <row r="807" spans="39:44">
      <c r="AM807" s="563">
        <f t="shared" ca="1" si="65"/>
        <v>45142</v>
      </c>
      <c r="AN807" s="564">
        <v>147.49</v>
      </c>
      <c r="AO807" s="564">
        <v>375781</v>
      </c>
      <c r="AP807" s="564">
        <v>53515.205999999998</v>
      </c>
      <c r="AQ807" s="564">
        <v>7892957.7329400005</v>
      </c>
      <c r="AR807" s="564">
        <v>1.9622999999999999</v>
      </c>
    </row>
    <row r="808" spans="39:44">
      <c r="AM808" s="563">
        <f t="shared" ca="1" si="65"/>
        <v>45141</v>
      </c>
      <c r="AN808" s="564">
        <v>144.75</v>
      </c>
      <c r="AO808" s="564">
        <v>368080</v>
      </c>
      <c r="AP808" s="564">
        <v>53515.205999999998</v>
      </c>
      <c r="AQ808" s="564">
        <v>7746326.0685000001</v>
      </c>
      <c r="AR808" s="564">
        <v>1.9258999999999999</v>
      </c>
    </row>
    <row r="809" spans="39:44">
      <c r="AM809" s="563">
        <f t="shared" ca="1" si="65"/>
        <v>45140</v>
      </c>
      <c r="AN809" s="564">
        <v>145.13999999999999</v>
      </c>
      <c r="AO809" s="564">
        <v>499159</v>
      </c>
      <c r="AP809" s="564">
        <v>53515.205999999998</v>
      </c>
      <c r="AQ809" s="564">
        <v>7767196.9988399986</v>
      </c>
      <c r="AR809" s="564">
        <v>1.9311</v>
      </c>
    </row>
    <row r="810" spans="39:44">
      <c r="AM810" s="563">
        <f t="shared" ca="1" si="65"/>
        <v>45139</v>
      </c>
      <c r="AN810" s="564">
        <v>141.75</v>
      </c>
      <c r="AO810" s="564">
        <v>350884</v>
      </c>
      <c r="AP810" s="564">
        <v>53515.205999999998</v>
      </c>
      <c r="AQ810" s="564">
        <v>7585780.4504999993</v>
      </c>
      <c r="AR810" s="564">
        <v>1.8858999999999999</v>
      </c>
    </row>
    <row r="811" spans="39:44">
      <c r="AM811" s="563">
        <f t="shared" ca="1" si="65"/>
        <v>45138</v>
      </c>
      <c r="AN811" s="564">
        <v>140.29</v>
      </c>
      <c r="AO811" s="564">
        <v>354523</v>
      </c>
      <c r="AP811" s="564">
        <v>53515.205999999998</v>
      </c>
      <c r="AQ811" s="564">
        <v>7507648.249739999</v>
      </c>
      <c r="AR811" s="564">
        <v>1.8665</v>
      </c>
    </row>
    <row r="812" spans="39:44">
      <c r="AM812" s="563">
        <f t="shared" ca="1" si="65"/>
        <v>45137</v>
      </c>
      <c r="AN812" s="564">
        <v>140.29</v>
      </c>
      <c r="AO812" s="564">
        <v>354523</v>
      </c>
      <c r="AP812" s="564">
        <v>53515.205999999998</v>
      </c>
      <c r="AQ812" s="564">
        <v>7507648.249739999</v>
      </c>
      <c r="AR812" s="564">
        <v>1.8665</v>
      </c>
    </row>
    <row r="813" spans="39:44">
      <c r="AM813" s="563">
        <f t="shared" ca="1" si="65"/>
        <v>45136</v>
      </c>
      <c r="AN813" s="564">
        <v>140.29</v>
      </c>
      <c r="AO813" s="564">
        <v>354523</v>
      </c>
      <c r="AP813" s="564">
        <v>53515.205999999998</v>
      </c>
      <c r="AQ813" s="564">
        <v>7507648.249739999</v>
      </c>
      <c r="AR813" s="564">
        <v>1.8665</v>
      </c>
    </row>
    <row r="814" spans="39:44">
      <c r="AM814" s="563">
        <f t="shared" ca="1" si="65"/>
        <v>45135</v>
      </c>
      <c r="AN814" s="564">
        <v>141.62</v>
      </c>
      <c r="AO814" s="564">
        <v>331487</v>
      </c>
      <c r="AP814" s="564">
        <v>53515.205999999998</v>
      </c>
      <c r="AQ814" s="564">
        <v>7578823.4737200001</v>
      </c>
      <c r="AR814" s="564">
        <v>1.8842000000000001</v>
      </c>
    </row>
    <row r="815" spans="39:44">
      <c r="AM815" s="563">
        <f t="shared" ca="1" si="65"/>
        <v>45134</v>
      </c>
      <c r="AN815" s="564">
        <v>143.66</v>
      </c>
      <c r="AO815" s="564">
        <v>335651</v>
      </c>
      <c r="AP815" s="564">
        <v>53515.205999999998</v>
      </c>
      <c r="AQ815" s="564">
        <v>7687994.4939599996</v>
      </c>
      <c r="AR815" s="564">
        <v>1.9114</v>
      </c>
    </row>
    <row r="816" spans="39:44">
      <c r="AM816" s="563">
        <f t="shared" ca="1" si="65"/>
        <v>45133</v>
      </c>
      <c r="AN816" s="564">
        <v>143.41999999999999</v>
      </c>
      <c r="AO816" s="564">
        <v>371593</v>
      </c>
      <c r="AP816" s="564">
        <v>53515.205999999998</v>
      </c>
      <c r="AQ816" s="564">
        <v>7675150.8445199989</v>
      </c>
      <c r="AR816" s="564">
        <v>1.9081999999999999</v>
      </c>
    </row>
    <row r="817" spans="39:44">
      <c r="AM817" s="563">
        <f t="shared" ca="1" si="65"/>
        <v>45132</v>
      </c>
      <c r="AN817" s="564">
        <v>144.56</v>
      </c>
      <c r="AO817" s="564">
        <v>596955</v>
      </c>
      <c r="AP817" s="564">
        <v>53515.205999999998</v>
      </c>
      <c r="AQ817" s="564">
        <v>7736158.1793599995</v>
      </c>
      <c r="AR817" s="564">
        <v>1.9233</v>
      </c>
    </row>
    <row r="818" spans="39:44">
      <c r="AM818" s="563">
        <f t="shared" ca="1" si="65"/>
        <v>45131</v>
      </c>
      <c r="AN818" s="564">
        <v>144.56</v>
      </c>
      <c r="AO818" s="564">
        <v>596955</v>
      </c>
      <c r="AP818" s="564">
        <v>53515.205999999998</v>
      </c>
      <c r="AQ818" s="564">
        <v>7736158.1793599995</v>
      </c>
      <c r="AR818" s="564">
        <v>1.9233</v>
      </c>
    </row>
    <row r="819" spans="39:44">
      <c r="AM819" s="563">
        <f t="shared" ca="1" si="65"/>
        <v>45130</v>
      </c>
      <c r="AN819" s="564">
        <v>144.56</v>
      </c>
      <c r="AO819" s="564">
        <v>596955</v>
      </c>
      <c r="AP819" s="564">
        <v>53515.205999999998</v>
      </c>
      <c r="AQ819" s="564">
        <v>7736158.1793599995</v>
      </c>
      <c r="AR819" s="564">
        <v>1.9233</v>
      </c>
    </row>
    <row r="820" spans="39:44">
      <c r="AM820" s="563">
        <f t="shared" ca="1" si="65"/>
        <v>45129</v>
      </c>
      <c r="AN820" s="564">
        <v>144.56</v>
      </c>
      <c r="AO820" s="564">
        <v>596955</v>
      </c>
      <c r="AP820" s="564">
        <v>53515.205999999998</v>
      </c>
      <c r="AQ820" s="564">
        <v>7736158.1793599995</v>
      </c>
      <c r="AR820" s="564">
        <v>1.9233</v>
      </c>
    </row>
    <row r="821" spans="39:44">
      <c r="AM821" s="563">
        <f t="shared" ca="1" si="65"/>
        <v>45128</v>
      </c>
      <c r="AN821" s="564">
        <v>144.61000000000001</v>
      </c>
      <c r="AO821" s="564">
        <v>381991</v>
      </c>
      <c r="AP821" s="564">
        <v>53515.205999999998</v>
      </c>
      <c r="AQ821" s="564">
        <v>7738833.9396600006</v>
      </c>
      <c r="AR821" s="564">
        <v>1.9239999999999999</v>
      </c>
    </row>
    <row r="822" spans="39:44">
      <c r="AM822" s="563">
        <f t="shared" ca="1" si="65"/>
        <v>45127</v>
      </c>
      <c r="AN822" s="564">
        <v>142.1</v>
      </c>
      <c r="AO822" s="564">
        <v>552779</v>
      </c>
      <c r="AP822" s="564">
        <v>53515.205999999998</v>
      </c>
      <c r="AQ822" s="564">
        <v>7604510.7725999998</v>
      </c>
      <c r="AR822" s="564">
        <v>1.8906000000000001</v>
      </c>
    </row>
    <row r="823" spans="39:44">
      <c r="AM823" s="563">
        <f t="shared" ca="1" si="65"/>
        <v>45126</v>
      </c>
      <c r="AN823" s="564">
        <v>143.93</v>
      </c>
      <c r="AO823" s="564">
        <v>299815</v>
      </c>
      <c r="AP823" s="564">
        <v>53515.205999999998</v>
      </c>
      <c r="AQ823" s="564">
        <v>7702443.5995800002</v>
      </c>
      <c r="AR823" s="564">
        <v>1.915</v>
      </c>
    </row>
    <row r="824" spans="39:44">
      <c r="AM824" s="563">
        <f t="shared" ca="1" si="65"/>
        <v>45125</v>
      </c>
      <c r="AN824" s="564">
        <v>142.22</v>
      </c>
      <c r="AO824" s="564">
        <v>210172</v>
      </c>
      <c r="AP824" s="564">
        <v>53515.205999999998</v>
      </c>
      <c r="AQ824" s="564">
        <v>7610932.5973199997</v>
      </c>
      <c r="AR824" s="564">
        <v>1.8922000000000001</v>
      </c>
    </row>
    <row r="825" spans="39:44">
      <c r="AM825" s="563">
        <f t="shared" ca="1" si="65"/>
        <v>45124</v>
      </c>
      <c r="AN825" s="564">
        <v>141.01</v>
      </c>
      <c r="AO825" s="564">
        <v>202817</v>
      </c>
      <c r="AP825" s="564">
        <v>53515.205999999998</v>
      </c>
      <c r="AQ825" s="564">
        <v>7546179.1980599994</v>
      </c>
      <c r="AR825" s="564">
        <v>1.8761000000000001</v>
      </c>
    </row>
    <row r="826" spans="39:44">
      <c r="AM826" s="563">
        <f t="shared" ca="1" si="65"/>
        <v>45123</v>
      </c>
      <c r="AN826" s="564">
        <v>141.01</v>
      </c>
      <c r="AO826" s="564">
        <v>202817</v>
      </c>
      <c r="AP826" s="564">
        <v>53515.205999999998</v>
      </c>
      <c r="AQ826" s="564">
        <v>7546179.1980599994</v>
      </c>
      <c r="AR826" s="564">
        <v>1.8761000000000001</v>
      </c>
    </row>
    <row r="827" spans="39:44">
      <c r="AM827" s="563">
        <f t="shared" ca="1" si="65"/>
        <v>45122</v>
      </c>
      <c r="AN827" s="564">
        <v>141.01</v>
      </c>
      <c r="AO827" s="564">
        <v>202817</v>
      </c>
      <c r="AP827" s="564">
        <v>53515.205999999998</v>
      </c>
      <c r="AQ827" s="564">
        <v>7546179.1980599994</v>
      </c>
      <c r="AR827" s="564">
        <v>1.8761000000000001</v>
      </c>
    </row>
    <row r="828" spans="39:44">
      <c r="AM828" s="563">
        <f t="shared" ca="1" si="65"/>
        <v>45121</v>
      </c>
      <c r="AN828" s="564">
        <v>142.57</v>
      </c>
      <c r="AO828" s="564">
        <v>233742</v>
      </c>
      <c r="AP828" s="564">
        <v>53515.205999999998</v>
      </c>
      <c r="AQ828" s="564">
        <v>7629662.9194199992</v>
      </c>
      <c r="AR828" s="564">
        <v>1.8969</v>
      </c>
    </row>
    <row r="829" spans="39:44">
      <c r="AM829" s="563">
        <f t="shared" ca="1" si="65"/>
        <v>45120</v>
      </c>
      <c r="AN829" s="564">
        <v>144.18</v>
      </c>
      <c r="AO829" s="564">
        <v>367880</v>
      </c>
      <c r="AP829" s="564">
        <v>53515.205999999998</v>
      </c>
      <c r="AQ829" s="564">
        <v>7715822.4010800002</v>
      </c>
      <c r="AR829" s="564">
        <v>1.9182999999999999</v>
      </c>
    </row>
    <row r="830" spans="39:44">
      <c r="AM830" s="563">
        <f t="shared" ca="1" si="65"/>
        <v>45119</v>
      </c>
      <c r="AN830" s="564">
        <v>140.96</v>
      </c>
      <c r="AO830" s="564">
        <v>510577</v>
      </c>
      <c r="AP830" s="564">
        <v>53515.205999999998</v>
      </c>
      <c r="AQ830" s="564">
        <v>7543503.4377600001</v>
      </c>
      <c r="AR830" s="564">
        <v>1.8754</v>
      </c>
    </row>
    <row r="831" spans="39:44">
      <c r="AM831" s="563">
        <f t="shared" ca="1" si="65"/>
        <v>45118</v>
      </c>
      <c r="AN831" s="564">
        <v>136.9</v>
      </c>
      <c r="AO831" s="564">
        <v>702097</v>
      </c>
      <c r="AP831" s="564">
        <v>53515.205999999998</v>
      </c>
      <c r="AQ831" s="564">
        <v>7326231.7013999997</v>
      </c>
      <c r="AR831" s="564">
        <v>1.8213999999999999</v>
      </c>
    </row>
    <row r="832" spans="39:44">
      <c r="AM832" s="563">
        <f t="shared" ca="1" si="65"/>
        <v>45117</v>
      </c>
      <c r="AN832" s="564">
        <v>139.5</v>
      </c>
      <c r="AO832" s="564">
        <v>510330</v>
      </c>
      <c r="AP832" s="564">
        <v>53515.205999999998</v>
      </c>
      <c r="AQ832" s="564">
        <v>7465371.2369999997</v>
      </c>
      <c r="AR832" s="564">
        <v>1.8560000000000001</v>
      </c>
    </row>
    <row r="833" spans="39:44">
      <c r="AM833" s="563">
        <f t="shared" ca="1" si="65"/>
        <v>45116</v>
      </c>
      <c r="AN833" s="564">
        <v>139.5</v>
      </c>
      <c r="AO833" s="564">
        <v>510330</v>
      </c>
      <c r="AP833" s="564">
        <v>53515.205999999998</v>
      </c>
      <c r="AQ833" s="564">
        <v>7465371.2369999997</v>
      </c>
      <c r="AR833" s="564">
        <v>1.8560000000000001</v>
      </c>
    </row>
    <row r="834" spans="39:44">
      <c r="AM834" s="563">
        <f t="shared" ca="1" si="65"/>
        <v>45115</v>
      </c>
      <c r="AN834" s="564">
        <v>139.5</v>
      </c>
      <c r="AO834" s="564">
        <v>510330</v>
      </c>
      <c r="AP834" s="564">
        <v>53515.205999999998</v>
      </c>
      <c r="AQ834" s="564">
        <v>7465371.2369999997</v>
      </c>
      <c r="AR834" s="564">
        <v>1.8560000000000001</v>
      </c>
    </row>
    <row r="835" spans="39:44">
      <c r="AM835" s="563">
        <f t="shared" ca="1" si="65"/>
        <v>45114</v>
      </c>
      <c r="AN835" s="564">
        <v>133.18</v>
      </c>
      <c r="AO835" s="564">
        <v>518695</v>
      </c>
      <c r="AP835" s="564">
        <v>53515.205999999998</v>
      </c>
      <c r="AQ835" s="564">
        <v>7127155.1350800004</v>
      </c>
      <c r="AR835" s="564">
        <v>1.7719</v>
      </c>
    </row>
    <row r="836" spans="39:44">
      <c r="AM836" s="563">
        <f t="shared" ca="1" si="65"/>
        <v>45113</v>
      </c>
      <c r="AN836" s="564">
        <v>132</v>
      </c>
      <c r="AO836" s="564">
        <v>493776</v>
      </c>
      <c r="AP836" s="564">
        <v>53515.205999999998</v>
      </c>
      <c r="AQ836" s="564">
        <v>7064007.1919999998</v>
      </c>
      <c r="AR836" s="564">
        <v>1.7562</v>
      </c>
    </row>
    <row r="837" spans="39:44">
      <c r="AM837" s="563">
        <f t="shared" ref="AM837:AM900" ca="1" si="66">AM836-1</f>
        <v>45112</v>
      </c>
      <c r="AN837" s="564">
        <v>135.22</v>
      </c>
      <c r="AO837" s="564">
        <v>433701</v>
      </c>
      <c r="AP837" s="564">
        <v>53515.205999999998</v>
      </c>
      <c r="AQ837" s="564">
        <v>7236326.1553199999</v>
      </c>
      <c r="AR837" s="564">
        <v>1.7990999999999999</v>
      </c>
    </row>
    <row r="838" spans="39:44">
      <c r="AM838" s="563">
        <f t="shared" ca="1" si="66"/>
        <v>45111</v>
      </c>
      <c r="AN838" s="564">
        <v>135.36000000000001</v>
      </c>
      <c r="AO838" s="564">
        <v>236805</v>
      </c>
      <c r="AP838" s="564">
        <v>53515.205999999998</v>
      </c>
      <c r="AQ838" s="564">
        <v>7243818.2841600003</v>
      </c>
      <c r="AR838" s="564">
        <v>1.8008999999999999</v>
      </c>
    </row>
    <row r="839" spans="39:44">
      <c r="AM839" s="563">
        <f t="shared" ca="1" si="66"/>
        <v>45110</v>
      </c>
      <c r="AN839" s="564">
        <v>135.36000000000001</v>
      </c>
      <c r="AO839" s="564">
        <v>236805</v>
      </c>
      <c r="AP839" s="564">
        <v>53515.205999999998</v>
      </c>
      <c r="AQ839" s="564">
        <v>7243818.2841600003</v>
      </c>
      <c r="AR839" s="564">
        <v>1.8008999999999999</v>
      </c>
    </row>
    <row r="840" spans="39:44">
      <c r="AM840" s="563">
        <f t="shared" ca="1" si="66"/>
        <v>45109</v>
      </c>
      <c r="AN840" s="564">
        <v>135.36000000000001</v>
      </c>
      <c r="AO840" s="564">
        <v>236805</v>
      </c>
      <c r="AP840" s="564">
        <v>53515.205999999998</v>
      </c>
      <c r="AQ840" s="564">
        <v>7243818.2841600003</v>
      </c>
      <c r="AR840" s="564">
        <v>1.8008999999999999</v>
      </c>
    </row>
    <row r="841" spans="39:44">
      <c r="AM841" s="563">
        <f t="shared" ca="1" si="66"/>
        <v>45108</v>
      </c>
      <c r="AN841" s="564">
        <v>135.36000000000001</v>
      </c>
      <c r="AO841" s="564">
        <v>236805</v>
      </c>
      <c r="AP841" s="564">
        <v>53515.205999999998</v>
      </c>
      <c r="AQ841" s="564">
        <v>7243818.2841600003</v>
      </c>
      <c r="AR841" s="564">
        <v>1.8008999999999999</v>
      </c>
    </row>
    <row r="842" spans="39:44">
      <c r="AM842" s="563">
        <f t="shared" ca="1" si="66"/>
        <v>45107</v>
      </c>
      <c r="AN842" s="564">
        <v>134.47</v>
      </c>
      <c r="AO842" s="564">
        <v>341987</v>
      </c>
      <c r="AP842" s="564">
        <v>53515.205999999998</v>
      </c>
      <c r="AQ842" s="564">
        <v>7196189.7508199997</v>
      </c>
      <c r="AR842" s="564">
        <v>1.7890999999999999</v>
      </c>
    </row>
    <row r="843" spans="39:44">
      <c r="AM843" s="563">
        <f t="shared" ca="1" si="66"/>
        <v>45106</v>
      </c>
      <c r="AN843" s="564">
        <v>135.08000000000001</v>
      </c>
      <c r="AO843" s="564">
        <v>388606</v>
      </c>
      <c r="AP843" s="564">
        <v>53515.205999999998</v>
      </c>
      <c r="AQ843" s="564">
        <v>7228834.0264800005</v>
      </c>
      <c r="AR843" s="564">
        <v>1.7971999999999999</v>
      </c>
    </row>
    <row r="844" spans="39:44">
      <c r="AM844" s="563">
        <f t="shared" ca="1" si="66"/>
        <v>45105</v>
      </c>
      <c r="AN844" s="564">
        <v>138.04</v>
      </c>
      <c r="AO844" s="564">
        <v>324841</v>
      </c>
      <c r="AP844" s="564">
        <v>53515.205999999998</v>
      </c>
      <c r="AQ844" s="564">
        <v>7387239.0362399993</v>
      </c>
      <c r="AR844" s="564">
        <v>1.8366</v>
      </c>
    </row>
    <row r="845" spans="39:44">
      <c r="AM845" s="563">
        <f t="shared" ca="1" si="66"/>
        <v>45104</v>
      </c>
      <c r="AN845" s="564">
        <v>141.66999999999999</v>
      </c>
      <c r="AO845" s="564">
        <v>255847</v>
      </c>
      <c r="AP845" s="564">
        <v>53515.205999999998</v>
      </c>
      <c r="AQ845" s="564">
        <v>7581499.2340199994</v>
      </c>
      <c r="AR845" s="564">
        <v>1.8849</v>
      </c>
    </row>
    <row r="846" spans="39:44">
      <c r="AM846" s="563">
        <f t="shared" ca="1" si="66"/>
        <v>45103</v>
      </c>
      <c r="AN846" s="564">
        <v>140.69999999999999</v>
      </c>
      <c r="AO846" s="564">
        <v>379053</v>
      </c>
      <c r="AP846" s="564">
        <v>53515.205999999998</v>
      </c>
      <c r="AQ846" s="564">
        <v>7529589.4841999989</v>
      </c>
      <c r="AR846" s="564">
        <v>1.8720000000000001</v>
      </c>
    </row>
    <row r="847" spans="39:44">
      <c r="AM847" s="563">
        <f t="shared" ca="1" si="66"/>
        <v>45102</v>
      </c>
      <c r="AN847" s="564">
        <v>140.69999999999999</v>
      </c>
      <c r="AO847" s="564">
        <v>379053</v>
      </c>
      <c r="AP847" s="564">
        <v>53515.205999999998</v>
      </c>
      <c r="AQ847" s="564">
        <v>7529589.4841999989</v>
      </c>
      <c r="AR847" s="564">
        <v>1.8720000000000001</v>
      </c>
    </row>
    <row r="848" spans="39:44">
      <c r="AM848" s="563">
        <f t="shared" ca="1" si="66"/>
        <v>45101</v>
      </c>
      <c r="AN848" s="564">
        <v>140.69999999999999</v>
      </c>
      <c r="AO848" s="564">
        <v>379053</v>
      </c>
      <c r="AP848" s="564">
        <v>53515.205999999998</v>
      </c>
      <c r="AQ848" s="564">
        <v>7529589.4841999989</v>
      </c>
      <c r="AR848" s="564">
        <v>1.8720000000000001</v>
      </c>
    </row>
    <row r="849" spans="39:44">
      <c r="AM849" s="563">
        <f t="shared" ca="1" si="66"/>
        <v>45100</v>
      </c>
      <c r="AN849" s="564">
        <v>142.22999999999999</v>
      </c>
      <c r="AO849" s="564">
        <v>294241</v>
      </c>
      <c r="AP849" s="564">
        <v>53515.205999999998</v>
      </c>
      <c r="AQ849" s="564">
        <v>7611467.749379999</v>
      </c>
      <c r="AR849" s="564">
        <v>1.8923000000000001</v>
      </c>
    </row>
    <row r="850" spans="39:44">
      <c r="AM850" s="563">
        <f t="shared" ca="1" si="66"/>
        <v>45099</v>
      </c>
      <c r="AN850" s="564">
        <v>140.96</v>
      </c>
      <c r="AO850" s="564">
        <v>740520</v>
      </c>
      <c r="AP850" s="564">
        <v>53515.205999999998</v>
      </c>
      <c r="AQ850" s="564">
        <v>7543503.4377600001</v>
      </c>
      <c r="AR850" s="564">
        <v>1.8754</v>
      </c>
    </row>
    <row r="851" spans="39:44">
      <c r="AM851" s="563">
        <f t="shared" ca="1" si="66"/>
        <v>45098</v>
      </c>
      <c r="AN851" s="564">
        <v>137.27000000000001</v>
      </c>
      <c r="AO851" s="564">
        <v>618915</v>
      </c>
      <c r="AP851" s="564">
        <v>53515.205999999998</v>
      </c>
      <c r="AQ851" s="564">
        <v>7346032.3276200006</v>
      </c>
      <c r="AR851" s="564">
        <v>1.8263</v>
      </c>
    </row>
    <row r="852" spans="39:44">
      <c r="AM852" s="563">
        <f t="shared" ca="1" si="66"/>
        <v>45097</v>
      </c>
      <c r="AN852" s="564">
        <v>141.28</v>
      </c>
      <c r="AO852" s="564">
        <v>344766</v>
      </c>
      <c r="AP852" s="564">
        <v>53515.205999999998</v>
      </c>
      <c r="AQ852" s="564">
        <v>7560628.3036799999</v>
      </c>
      <c r="AR852" s="564">
        <v>1.8796999999999999</v>
      </c>
    </row>
    <row r="853" spans="39:44">
      <c r="AM853" s="563">
        <f t="shared" ca="1" si="66"/>
        <v>45096</v>
      </c>
      <c r="AN853" s="564">
        <v>140.03</v>
      </c>
      <c r="AO853" s="564">
        <v>706883</v>
      </c>
      <c r="AP853" s="564">
        <v>53515.205999999998</v>
      </c>
      <c r="AQ853" s="564">
        <v>7493734.2961799996</v>
      </c>
      <c r="AR853" s="564">
        <v>1.8631</v>
      </c>
    </row>
    <row r="854" spans="39:44">
      <c r="AM854" s="563">
        <f t="shared" ca="1" si="66"/>
        <v>45095</v>
      </c>
      <c r="AN854" s="564">
        <v>140.03</v>
      </c>
      <c r="AO854" s="564">
        <v>706883</v>
      </c>
      <c r="AP854" s="564">
        <v>53515.205999999998</v>
      </c>
      <c r="AQ854" s="564">
        <v>7493734.2961799996</v>
      </c>
      <c r="AR854" s="564">
        <v>1.8631</v>
      </c>
    </row>
    <row r="855" spans="39:44">
      <c r="AM855" s="563">
        <f t="shared" ca="1" si="66"/>
        <v>45094</v>
      </c>
      <c r="AN855" s="564">
        <v>140.03</v>
      </c>
      <c r="AO855" s="564">
        <v>706883</v>
      </c>
      <c r="AP855" s="564">
        <v>53515.205999999998</v>
      </c>
      <c r="AQ855" s="564">
        <v>7493734.2961799996</v>
      </c>
      <c r="AR855" s="564">
        <v>1.8631</v>
      </c>
    </row>
    <row r="856" spans="39:44">
      <c r="AM856" s="563">
        <f t="shared" ca="1" si="66"/>
        <v>45093</v>
      </c>
      <c r="AN856" s="564">
        <v>141.47</v>
      </c>
      <c r="AO856" s="564">
        <v>679024</v>
      </c>
      <c r="AP856" s="564">
        <v>53515.205999999998</v>
      </c>
      <c r="AQ856" s="564">
        <v>7570796.1928199995</v>
      </c>
      <c r="AR856" s="564">
        <v>1.8822000000000001</v>
      </c>
    </row>
    <row r="857" spans="39:44">
      <c r="AM857" s="563">
        <f t="shared" ca="1" si="66"/>
        <v>45092</v>
      </c>
      <c r="AN857" s="564">
        <v>143.65</v>
      </c>
      <c r="AO857" s="564">
        <v>1595611</v>
      </c>
      <c r="AP857" s="564">
        <v>53685.2</v>
      </c>
      <c r="AQ857" s="564">
        <v>7711878.9799999995</v>
      </c>
      <c r="AR857" s="564">
        <v>1.9112</v>
      </c>
    </row>
    <row r="858" spans="39:44">
      <c r="AM858" s="563">
        <f t="shared" ca="1" si="66"/>
        <v>45091</v>
      </c>
      <c r="AN858" s="564">
        <v>145.72999999999999</v>
      </c>
      <c r="AO858" s="564">
        <v>521544</v>
      </c>
      <c r="AP858" s="564">
        <v>53685.2</v>
      </c>
      <c r="AQ858" s="564">
        <v>7823544.1959999986</v>
      </c>
      <c r="AR858" s="564">
        <v>1.9389000000000001</v>
      </c>
    </row>
    <row r="859" spans="39:44">
      <c r="AM859" s="563">
        <f t="shared" ca="1" si="66"/>
        <v>45090</v>
      </c>
      <c r="AN859" s="564">
        <v>145.76</v>
      </c>
      <c r="AO859" s="564">
        <v>291188</v>
      </c>
      <c r="AP859" s="564">
        <v>53685.2</v>
      </c>
      <c r="AQ859" s="564">
        <v>7825154.7519999994</v>
      </c>
      <c r="AR859" s="564">
        <v>1.9393</v>
      </c>
    </row>
    <row r="860" spans="39:44">
      <c r="AM860" s="563">
        <f t="shared" ca="1" si="66"/>
        <v>45089</v>
      </c>
      <c r="AN860" s="564">
        <v>146.09</v>
      </c>
      <c r="AO860" s="564">
        <v>371108</v>
      </c>
      <c r="AP860" s="564">
        <v>53685.2</v>
      </c>
      <c r="AQ860" s="564">
        <v>7842870.8679999998</v>
      </c>
      <c r="AR860" s="564">
        <v>1.9437</v>
      </c>
    </row>
    <row r="861" spans="39:44">
      <c r="AM861" s="563">
        <f t="shared" ca="1" si="66"/>
        <v>45088</v>
      </c>
      <c r="AN861" s="564">
        <v>146.09</v>
      </c>
      <c r="AO861" s="564">
        <v>371108</v>
      </c>
      <c r="AP861" s="564">
        <v>53685.2</v>
      </c>
      <c r="AQ861" s="564">
        <v>7842870.8679999998</v>
      </c>
      <c r="AR861" s="564">
        <v>1.9437</v>
      </c>
    </row>
    <row r="862" spans="39:44">
      <c r="AM862" s="563">
        <f t="shared" ca="1" si="66"/>
        <v>45087</v>
      </c>
      <c r="AN862" s="564">
        <v>146.09</v>
      </c>
      <c r="AO862" s="564">
        <v>371108</v>
      </c>
      <c r="AP862" s="564">
        <v>53685.2</v>
      </c>
      <c r="AQ862" s="564">
        <v>7842870.8679999998</v>
      </c>
      <c r="AR862" s="564">
        <v>1.9437</v>
      </c>
    </row>
    <row r="863" spans="39:44">
      <c r="AM863" s="563">
        <f t="shared" ca="1" si="66"/>
        <v>45086</v>
      </c>
      <c r="AN863" s="564">
        <v>142.94999999999999</v>
      </c>
      <c r="AO863" s="564">
        <v>407179</v>
      </c>
      <c r="AP863" s="564">
        <v>53685.2</v>
      </c>
      <c r="AQ863" s="564">
        <v>7674299.3399999989</v>
      </c>
      <c r="AR863" s="564">
        <v>1.9018999999999999</v>
      </c>
    </row>
    <row r="864" spans="39:44">
      <c r="AM864" s="563">
        <f t="shared" ca="1" si="66"/>
        <v>45085</v>
      </c>
      <c r="AN864" s="564">
        <v>145.30000000000001</v>
      </c>
      <c r="AO864" s="564">
        <v>562461</v>
      </c>
      <c r="AP864" s="564">
        <v>53685.2</v>
      </c>
      <c r="AQ864" s="564">
        <v>7800459.5600000005</v>
      </c>
      <c r="AR864" s="564">
        <v>1.9332</v>
      </c>
    </row>
    <row r="865" spans="39:44">
      <c r="AM865" s="563">
        <f t="shared" ca="1" si="66"/>
        <v>45084</v>
      </c>
      <c r="AN865" s="564">
        <v>145.13999999999999</v>
      </c>
      <c r="AO865" s="564">
        <v>651109</v>
      </c>
      <c r="AP865" s="564">
        <v>53685.2</v>
      </c>
      <c r="AQ865" s="564">
        <v>7791869.9279999984</v>
      </c>
      <c r="AR865" s="564">
        <v>1.9311</v>
      </c>
    </row>
    <row r="866" spans="39:44">
      <c r="AM866" s="563">
        <f t="shared" ca="1" si="66"/>
        <v>45083</v>
      </c>
      <c r="AN866" s="564">
        <v>142.94</v>
      </c>
      <c r="AO866" s="564">
        <v>506472</v>
      </c>
      <c r="AP866" s="564">
        <v>53685.2</v>
      </c>
      <c r="AQ866" s="564">
        <v>7673762.4879999999</v>
      </c>
      <c r="AR866" s="564">
        <v>1.9017999999999999</v>
      </c>
    </row>
    <row r="867" spans="39:44">
      <c r="AM867" s="563">
        <f t="shared" ca="1" si="66"/>
        <v>45082</v>
      </c>
      <c r="AN867" s="564">
        <v>140.88</v>
      </c>
      <c r="AO867" s="564">
        <v>249529</v>
      </c>
      <c r="AP867" s="564">
        <v>53685.2</v>
      </c>
      <c r="AQ867" s="564">
        <v>7563170.9759999998</v>
      </c>
      <c r="AR867" s="564">
        <v>1.8744000000000001</v>
      </c>
    </row>
    <row r="868" spans="39:44">
      <c r="AM868" s="563">
        <f t="shared" ca="1" si="66"/>
        <v>45081</v>
      </c>
      <c r="AN868" s="564">
        <v>140.88</v>
      </c>
      <c r="AO868" s="564">
        <v>249529</v>
      </c>
      <c r="AP868" s="564">
        <v>53685.2</v>
      </c>
      <c r="AQ868" s="564">
        <v>7563170.9759999998</v>
      </c>
      <c r="AR868" s="564">
        <v>1.8744000000000001</v>
      </c>
    </row>
    <row r="869" spans="39:44">
      <c r="AM869" s="563">
        <f t="shared" ca="1" si="66"/>
        <v>45080</v>
      </c>
      <c r="AN869" s="564">
        <v>140.88</v>
      </c>
      <c r="AO869" s="564">
        <v>249529</v>
      </c>
      <c r="AP869" s="564">
        <v>53685.2</v>
      </c>
      <c r="AQ869" s="564">
        <v>7563170.9759999998</v>
      </c>
      <c r="AR869" s="564">
        <v>1.8744000000000001</v>
      </c>
    </row>
    <row r="870" spans="39:44">
      <c r="AM870" s="563">
        <f t="shared" ca="1" si="66"/>
        <v>45079</v>
      </c>
      <c r="AN870" s="564">
        <v>140</v>
      </c>
      <c r="AO870" s="564">
        <v>1013386</v>
      </c>
      <c r="AP870" s="564">
        <v>53685.2</v>
      </c>
      <c r="AQ870" s="564">
        <v>7515928</v>
      </c>
      <c r="AR870" s="564">
        <v>1.8627</v>
      </c>
    </row>
    <row r="871" spans="39:44">
      <c r="AM871" s="563">
        <f t="shared" ca="1" si="66"/>
        <v>45078</v>
      </c>
      <c r="AN871" s="564">
        <v>135.30000000000001</v>
      </c>
      <c r="AO871" s="564">
        <v>456481</v>
      </c>
      <c r="AP871" s="564">
        <v>53685.2</v>
      </c>
      <c r="AQ871" s="564">
        <v>7263607.5600000005</v>
      </c>
      <c r="AR871" s="564">
        <v>1.8001</v>
      </c>
    </row>
    <row r="872" spans="39:44">
      <c r="AM872" s="563">
        <f t="shared" ca="1" si="66"/>
        <v>45077</v>
      </c>
      <c r="AN872" s="564">
        <v>136.99</v>
      </c>
      <c r="AO872" s="564">
        <v>759285</v>
      </c>
      <c r="AP872" s="564">
        <v>53685.2</v>
      </c>
      <c r="AQ872" s="564">
        <v>7354335.5480000004</v>
      </c>
      <c r="AR872" s="564">
        <v>1.8226</v>
      </c>
    </row>
    <row r="873" spans="39:44">
      <c r="AM873" s="563">
        <f t="shared" ca="1" si="66"/>
        <v>45076</v>
      </c>
      <c r="AN873" s="564">
        <v>140.99</v>
      </c>
      <c r="AO873" s="564">
        <v>390017</v>
      </c>
      <c r="AP873" s="564">
        <v>53685.2</v>
      </c>
      <c r="AQ873" s="564">
        <v>7569076.3480000002</v>
      </c>
      <c r="AR873" s="564">
        <v>1.8757999999999999</v>
      </c>
    </row>
    <row r="874" spans="39:44">
      <c r="AM874" s="563">
        <f t="shared" ca="1" si="66"/>
        <v>45075</v>
      </c>
      <c r="AN874" s="564">
        <v>141.83000000000001</v>
      </c>
      <c r="AO874" s="564">
        <v>318922</v>
      </c>
      <c r="AP874" s="564">
        <v>53685.2</v>
      </c>
      <c r="AQ874" s="564">
        <v>7614171.9160000002</v>
      </c>
      <c r="AR874" s="564">
        <v>1.887</v>
      </c>
    </row>
    <row r="875" spans="39:44">
      <c r="AM875" s="563">
        <f t="shared" ca="1" si="66"/>
        <v>45074</v>
      </c>
      <c r="AN875" s="564">
        <v>141.83000000000001</v>
      </c>
      <c r="AO875" s="564">
        <v>318922</v>
      </c>
      <c r="AP875" s="564">
        <v>53685.2</v>
      </c>
      <c r="AQ875" s="564">
        <v>7614171.9160000002</v>
      </c>
      <c r="AR875" s="564">
        <v>1.887</v>
      </c>
    </row>
    <row r="876" spans="39:44">
      <c r="AM876" s="563">
        <f t="shared" ca="1" si="66"/>
        <v>45073</v>
      </c>
      <c r="AN876" s="564">
        <v>141.83000000000001</v>
      </c>
      <c r="AO876" s="564">
        <v>318922</v>
      </c>
      <c r="AP876" s="564">
        <v>53685.2</v>
      </c>
      <c r="AQ876" s="564">
        <v>7614171.9160000002</v>
      </c>
      <c r="AR876" s="564">
        <v>1.887</v>
      </c>
    </row>
    <row r="877" spans="39:44">
      <c r="AM877" s="563">
        <f t="shared" ca="1" si="66"/>
        <v>45072</v>
      </c>
      <c r="AN877" s="564">
        <v>142.21</v>
      </c>
      <c r="AO877" s="564">
        <v>421564</v>
      </c>
      <c r="AP877" s="564">
        <v>53685.2</v>
      </c>
      <c r="AQ877" s="564">
        <v>7634572.2920000004</v>
      </c>
      <c r="AR877" s="564">
        <v>1.8920999999999999</v>
      </c>
    </row>
    <row r="878" spans="39:44">
      <c r="AM878" s="563">
        <f t="shared" ca="1" si="66"/>
        <v>45071</v>
      </c>
      <c r="AN878" s="564">
        <v>143.30000000000001</v>
      </c>
      <c r="AO878" s="564">
        <v>498082</v>
      </c>
      <c r="AP878" s="564">
        <v>53685.2</v>
      </c>
      <c r="AQ878" s="564">
        <v>7693089.1600000001</v>
      </c>
      <c r="AR878" s="564">
        <v>1.9066000000000001</v>
      </c>
    </row>
    <row r="879" spans="39:44">
      <c r="AM879" s="563">
        <f t="shared" ca="1" si="66"/>
        <v>45070</v>
      </c>
      <c r="AN879" s="564">
        <v>141.65</v>
      </c>
      <c r="AO879" s="564">
        <v>429715</v>
      </c>
      <c r="AP879" s="564">
        <v>53685.2</v>
      </c>
      <c r="AQ879" s="564">
        <v>7604508.5800000001</v>
      </c>
      <c r="AR879" s="564">
        <v>1.8846000000000001</v>
      </c>
    </row>
    <row r="880" spans="39:44">
      <c r="AM880" s="563">
        <f t="shared" ca="1" si="66"/>
        <v>45069</v>
      </c>
      <c r="AN880" s="564">
        <v>140.5</v>
      </c>
      <c r="AO880" s="564">
        <v>258487</v>
      </c>
      <c r="AP880" s="564">
        <v>53685.2</v>
      </c>
      <c r="AQ880" s="564">
        <v>7542770.5999999996</v>
      </c>
      <c r="AR880" s="564">
        <v>1.8693</v>
      </c>
    </row>
    <row r="881" spans="39:44">
      <c r="AM881" s="563">
        <f t="shared" ca="1" si="66"/>
        <v>45068</v>
      </c>
      <c r="AN881" s="564">
        <v>139.01</v>
      </c>
      <c r="AO881" s="564">
        <v>468310</v>
      </c>
      <c r="AP881" s="564">
        <v>53685.2</v>
      </c>
      <c r="AQ881" s="564">
        <v>7462779.6519999988</v>
      </c>
      <c r="AR881" s="564">
        <v>1.8494999999999999</v>
      </c>
    </row>
    <row r="882" spans="39:44">
      <c r="AM882" s="563">
        <f t="shared" ca="1" si="66"/>
        <v>45067</v>
      </c>
      <c r="AN882" s="564">
        <v>139.01</v>
      </c>
      <c r="AO882" s="564">
        <v>468310</v>
      </c>
      <c r="AP882" s="564">
        <v>53685.2</v>
      </c>
      <c r="AQ882" s="564">
        <v>7462779.6519999988</v>
      </c>
      <c r="AR882" s="564">
        <v>1.8494999999999999</v>
      </c>
    </row>
    <row r="883" spans="39:44">
      <c r="AM883" s="563">
        <f t="shared" ca="1" si="66"/>
        <v>45066</v>
      </c>
      <c r="AN883" s="564">
        <v>139.01</v>
      </c>
      <c r="AO883" s="564">
        <v>468310</v>
      </c>
      <c r="AP883" s="564">
        <v>53685.2</v>
      </c>
      <c r="AQ883" s="564">
        <v>7462779.6519999988</v>
      </c>
      <c r="AR883" s="564">
        <v>1.8494999999999999</v>
      </c>
    </row>
    <row r="884" spans="39:44">
      <c r="AM884" s="563">
        <f t="shared" ca="1" si="66"/>
        <v>45065</v>
      </c>
      <c r="AN884" s="564">
        <v>138.62</v>
      </c>
      <c r="AO884" s="564">
        <v>365459</v>
      </c>
      <c r="AP884" s="564">
        <v>53685.2</v>
      </c>
      <c r="AQ884" s="564">
        <v>7441842.4239999996</v>
      </c>
      <c r="AR884" s="564">
        <v>1.8443000000000001</v>
      </c>
    </row>
    <row r="885" spans="39:44">
      <c r="AM885" s="563">
        <f t="shared" ca="1" si="66"/>
        <v>45064</v>
      </c>
      <c r="AN885" s="564">
        <v>138.41</v>
      </c>
      <c r="AO885" s="564">
        <v>222129</v>
      </c>
      <c r="AP885" s="564">
        <v>53685.2</v>
      </c>
      <c r="AQ885" s="564">
        <v>7430568.5319999997</v>
      </c>
      <c r="AR885" s="564">
        <v>1.8414999999999999</v>
      </c>
    </row>
    <row r="886" spans="39:44">
      <c r="AM886" s="563">
        <f t="shared" ca="1" si="66"/>
        <v>45063</v>
      </c>
      <c r="AN886" s="564">
        <v>138.83000000000001</v>
      </c>
      <c r="AO886" s="564">
        <v>399991</v>
      </c>
      <c r="AP886" s="564">
        <v>53685.2</v>
      </c>
      <c r="AQ886" s="564">
        <v>7453116.3160000006</v>
      </c>
      <c r="AR886" s="564">
        <v>1.8471</v>
      </c>
    </row>
    <row r="887" spans="39:44">
      <c r="AM887" s="563">
        <f t="shared" ca="1" si="66"/>
        <v>45062</v>
      </c>
      <c r="AN887" s="564">
        <v>138.16</v>
      </c>
      <c r="AO887" s="564">
        <v>448270</v>
      </c>
      <c r="AP887" s="564">
        <v>53685.2</v>
      </c>
      <c r="AQ887" s="564">
        <v>7417147.2319999998</v>
      </c>
      <c r="AR887" s="564">
        <v>1.8382000000000001</v>
      </c>
    </row>
    <row r="888" spans="39:44">
      <c r="AM888" s="563">
        <f t="shared" ca="1" si="66"/>
        <v>45061</v>
      </c>
      <c r="AN888" s="564">
        <v>136.13</v>
      </c>
      <c r="AO888" s="564">
        <v>324376</v>
      </c>
      <c r="AP888" s="564">
        <v>53685.2</v>
      </c>
      <c r="AQ888" s="564">
        <v>7308166.2759999996</v>
      </c>
      <c r="AR888" s="564">
        <v>1.8111999999999999</v>
      </c>
    </row>
    <row r="889" spans="39:44">
      <c r="AM889" s="563">
        <f t="shared" ca="1" si="66"/>
        <v>45060</v>
      </c>
      <c r="AN889" s="564">
        <v>136.13</v>
      </c>
      <c r="AO889" s="564">
        <v>324376</v>
      </c>
      <c r="AP889" s="564">
        <v>53685.2</v>
      </c>
      <c r="AQ889" s="564">
        <v>7308166.2759999996</v>
      </c>
      <c r="AR889" s="564">
        <v>1.8111999999999999</v>
      </c>
    </row>
    <row r="890" spans="39:44">
      <c r="AM890" s="563">
        <f t="shared" ca="1" si="66"/>
        <v>45059</v>
      </c>
      <c r="AN890" s="564">
        <v>136.13</v>
      </c>
      <c r="AO890" s="564">
        <v>324376</v>
      </c>
      <c r="AP890" s="564">
        <v>53685.2</v>
      </c>
      <c r="AQ890" s="564">
        <v>7308166.2759999996</v>
      </c>
      <c r="AR890" s="564">
        <v>1.8111999999999999</v>
      </c>
    </row>
    <row r="891" spans="39:44">
      <c r="AM891" s="563">
        <f t="shared" ca="1" si="66"/>
        <v>45058</v>
      </c>
      <c r="AN891" s="564">
        <v>136.13</v>
      </c>
      <c r="AO891" s="564">
        <v>324376</v>
      </c>
      <c r="AP891" s="564">
        <v>53685.2</v>
      </c>
      <c r="AQ891" s="564">
        <v>7308166.2759999996</v>
      </c>
      <c r="AR891" s="564">
        <v>1.8111999999999999</v>
      </c>
    </row>
    <row r="892" spans="39:44">
      <c r="AM892" s="563">
        <f t="shared" ca="1" si="66"/>
        <v>45057</v>
      </c>
      <c r="AN892" s="564">
        <v>137.93</v>
      </c>
      <c r="AO892" s="564">
        <v>497903</v>
      </c>
      <c r="AP892" s="564">
        <v>53685.2</v>
      </c>
      <c r="AQ892" s="564">
        <v>7404799.6359999999</v>
      </c>
      <c r="AR892" s="564">
        <v>1.8351</v>
      </c>
    </row>
    <row r="893" spans="39:44">
      <c r="AM893" s="563">
        <f t="shared" ca="1" si="66"/>
        <v>45056</v>
      </c>
      <c r="AN893" s="564">
        <v>140.63999999999999</v>
      </c>
      <c r="AO893" s="564">
        <v>458826</v>
      </c>
      <c r="AP893" s="564">
        <v>53685.2</v>
      </c>
      <c r="AQ893" s="564">
        <v>7550286.527999999</v>
      </c>
      <c r="AR893" s="564">
        <v>1.8712</v>
      </c>
    </row>
    <row r="894" spans="39:44">
      <c r="AM894" s="563">
        <f t="shared" ca="1" si="66"/>
        <v>45055</v>
      </c>
      <c r="AN894" s="564">
        <v>146.13</v>
      </c>
      <c r="AO894" s="564">
        <v>395045</v>
      </c>
      <c r="AP894" s="564">
        <v>53685.2</v>
      </c>
      <c r="AQ894" s="564">
        <v>7845018.2759999996</v>
      </c>
      <c r="AR894" s="564">
        <v>1.9441999999999999</v>
      </c>
    </row>
    <row r="895" spans="39:44">
      <c r="AM895" s="563">
        <f t="shared" ca="1" si="66"/>
        <v>45054</v>
      </c>
      <c r="AN895" s="564">
        <v>146.61000000000001</v>
      </c>
      <c r="AO895" s="564">
        <v>408661</v>
      </c>
      <c r="AP895" s="564">
        <v>53609.743000000002</v>
      </c>
      <c r="AQ895" s="564">
        <v>7859724.4212300014</v>
      </c>
      <c r="AR895" s="564">
        <v>1.9663999999999999</v>
      </c>
    </row>
    <row r="896" spans="39:44">
      <c r="AM896" s="563">
        <f t="shared" ca="1" si="66"/>
        <v>45053</v>
      </c>
      <c r="AN896" s="564">
        <v>146.61000000000001</v>
      </c>
      <c r="AO896" s="564">
        <v>408661</v>
      </c>
      <c r="AP896" s="564">
        <v>53609.743000000002</v>
      </c>
      <c r="AQ896" s="564">
        <v>7859724.4212300014</v>
      </c>
      <c r="AR896" s="564">
        <v>1.9663999999999999</v>
      </c>
    </row>
    <row r="897" spans="39:44">
      <c r="AM897" s="563">
        <f t="shared" ca="1" si="66"/>
        <v>45052</v>
      </c>
      <c r="AN897" s="564">
        <v>146.61000000000001</v>
      </c>
      <c r="AO897" s="564">
        <v>408661</v>
      </c>
      <c r="AP897" s="564">
        <v>53609.743000000002</v>
      </c>
      <c r="AQ897" s="564">
        <v>7859724.4212300014</v>
      </c>
      <c r="AR897" s="564">
        <v>1.9663999999999999</v>
      </c>
    </row>
    <row r="898" spans="39:44">
      <c r="AM898" s="563">
        <f t="shared" ca="1" si="66"/>
        <v>45051</v>
      </c>
      <c r="AN898" s="564">
        <v>143.55000000000001</v>
      </c>
      <c r="AO898" s="564">
        <v>425017</v>
      </c>
      <c r="AP898" s="564">
        <v>53609.743000000002</v>
      </c>
      <c r="AQ898" s="564">
        <v>7695678.6076500006</v>
      </c>
      <c r="AR898" s="564">
        <v>1.9253</v>
      </c>
    </row>
    <row r="899" spans="39:44">
      <c r="AM899" s="563">
        <f t="shared" ca="1" si="66"/>
        <v>45050</v>
      </c>
      <c r="AN899" s="564">
        <v>141.99</v>
      </c>
      <c r="AO899" s="564">
        <v>380279</v>
      </c>
      <c r="AP899" s="564">
        <v>53609.743000000002</v>
      </c>
      <c r="AQ899" s="564">
        <v>7612047.4085700009</v>
      </c>
      <c r="AR899" s="564">
        <v>1.9044000000000001</v>
      </c>
    </row>
    <row r="900" spans="39:44">
      <c r="AM900" s="563">
        <f t="shared" ca="1" si="66"/>
        <v>45049</v>
      </c>
      <c r="AN900" s="564">
        <v>139.41999999999999</v>
      </c>
      <c r="AO900" s="564">
        <v>350062</v>
      </c>
      <c r="AP900" s="564">
        <v>53609.743000000002</v>
      </c>
      <c r="AQ900" s="564">
        <v>7474270.3690599995</v>
      </c>
      <c r="AR900" s="564">
        <v>1.8698999999999999</v>
      </c>
    </row>
    <row r="901" spans="39:44">
      <c r="AM901" s="563">
        <f t="shared" ref="AM901:AM964" ca="1" si="67">AM900-1</f>
        <v>45048</v>
      </c>
      <c r="AN901" s="564">
        <v>137.85</v>
      </c>
      <c r="AO901" s="564">
        <v>411200</v>
      </c>
      <c r="AP901" s="564">
        <v>53609.743000000002</v>
      </c>
      <c r="AQ901" s="564">
        <v>7390103.0725499997</v>
      </c>
      <c r="AR901" s="564">
        <v>1.8489</v>
      </c>
    </row>
    <row r="902" spans="39:44">
      <c r="AM902" s="563">
        <f t="shared" ca="1" si="67"/>
        <v>45047</v>
      </c>
      <c r="AN902" s="564">
        <v>136.22</v>
      </c>
      <c r="AO902" s="564">
        <v>470286</v>
      </c>
      <c r="AP902" s="564">
        <v>53609.743000000002</v>
      </c>
      <c r="AQ902" s="564">
        <v>7302719.1914600004</v>
      </c>
      <c r="AR902" s="564">
        <v>1.827</v>
      </c>
    </row>
    <row r="903" spans="39:44">
      <c r="AM903" s="563">
        <f t="shared" ca="1" si="67"/>
        <v>45046</v>
      </c>
      <c r="AN903" s="564">
        <v>136.22</v>
      </c>
      <c r="AO903" s="564">
        <v>470286</v>
      </c>
      <c r="AP903" s="564">
        <v>53609.743000000002</v>
      </c>
      <c r="AQ903" s="564">
        <v>7302719.1914600004</v>
      </c>
      <c r="AR903" s="564">
        <v>1.827</v>
      </c>
    </row>
    <row r="904" spans="39:44">
      <c r="AM904" s="563">
        <f t="shared" ca="1" si="67"/>
        <v>45045</v>
      </c>
      <c r="AN904" s="564">
        <v>136.22</v>
      </c>
      <c r="AO904" s="564">
        <v>470286</v>
      </c>
      <c r="AP904" s="564">
        <v>53609.743000000002</v>
      </c>
      <c r="AQ904" s="564">
        <v>7302719.1914600004</v>
      </c>
      <c r="AR904" s="564">
        <v>1.827</v>
      </c>
    </row>
    <row r="905" spans="39:44">
      <c r="AM905" s="563">
        <f t="shared" ca="1" si="67"/>
        <v>45044</v>
      </c>
      <c r="AN905" s="564">
        <v>135.72</v>
      </c>
      <c r="AO905" s="564">
        <v>323394</v>
      </c>
      <c r="AP905" s="564">
        <v>53609.743000000002</v>
      </c>
      <c r="AQ905" s="564">
        <v>7275914.31996</v>
      </c>
      <c r="AR905" s="564">
        <v>1.8203</v>
      </c>
    </row>
    <row r="906" spans="39:44">
      <c r="AM906" s="563">
        <f t="shared" ca="1" si="67"/>
        <v>45043</v>
      </c>
      <c r="AN906" s="564">
        <v>137</v>
      </c>
      <c r="AO906" s="564">
        <v>436370</v>
      </c>
      <c r="AP906" s="564">
        <v>53609.743000000002</v>
      </c>
      <c r="AQ906" s="564">
        <v>7344534.7910000002</v>
      </c>
      <c r="AR906" s="564">
        <v>1.8374999999999999</v>
      </c>
    </row>
    <row r="907" spans="39:44">
      <c r="AM907" s="563">
        <f t="shared" ca="1" si="67"/>
        <v>45042</v>
      </c>
      <c r="AN907" s="564">
        <v>140.53</v>
      </c>
      <c r="AO907" s="564">
        <v>657127</v>
      </c>
      <c r="AP907" s="564">
        <v>53609.743000000002</v>
      </c>
      <c r="AQ907" s="564">
        <v>7533777.1837900002</v>
      </c>
      <c r="AR907" s="564">
        <v>1.8848</v>
      </c>
    </row>
    <row r="908" spans="39:44">
      <c r="AM908" s="563">
        <f t="shared" ca="1" si="67"/>
        <v>45041</v>
      </c>
      <c r="AN908" s="564">
        <v>136.52000000000001</v>
      </c>
      <c r="AO908" s="564">
        <v>796679</v>
      </c>
      <c r="AP908" s="564">
        <v>53609.743000000002</v>
      </c>
      <c r="AQ908" s="564">
        <v>7318802.1143600009</v>
      </c>
      <c r="AR908" s="564">
        <v>1.831</v>
      </c>
    </row>
    <row r="909" spans="39:44">
      <c r="AM909" s="563">
        <f t="shared" ca="1" si="67"/>
        <v>45040</v>
      </c>
      <c r="AN909" s="564">
        <v>133.82</v>
      </c>
      <c r="AO909" s="564">
        <v>1225990</v>
      </c>
      <c r="AP909" s="564">
        <v>53609.743000000002</v>
      </c>
      <c r="AQ909" s="564">
        <v>7174055.8082600003</v>
      </c>
      <c r="AR909" s="564">
        <v>1.7948</v>
      </c>
    </row>
    <row r="910" spans="39:44">
      <c r="AM910" s="563">
        <f t="shared" ca="1" si="67"/>
        <v>45039</v>
      </c>
      <c r="AN910" s="564">
        <v>133.82</v>
      </c>
      <c r="AO910" s="564">
        <v>1225990</v>
      </c>
      <c r="AP910" s="564">
        <v>53609.743000000002</v>
      </c>
      <c r="AQ910" s="564">
        <v>7174055.8082600003</v>
      </c>
      <c r="AR910" s="564">
        <v>1.7948</v>
      </c>
    </row>
    <row r="911" spans="39:44">
      <c r="AM911" s="563">
        <f t="shared" ca="1" si="67"/>
        <v>45038</v>
      </c>
      <c r="AN911" s="564">
        <v>133.82</v>
      </c>
      <c r="AO911" s="564">
        <v>1225990</v>
      </c>
      <c r="AP911" s="564">
        <v>53609.743000000002</v>
      </c>
      <c r="AQ911" s="564">
        <v>7174055.8082600003</v>
      </c>
      <c r="AR911" s="564">
        <v>1.7948</v>
      </c>
    </row>
    <row r="912" spans="39:44">
      <c r="AM912" s="563">
        <f t="shared" ca="1" si="67"/>
        <v>45037</v>
      </c>
      <c r="AN912" s="564">
        <v>137.96</v>
      </c>
      <c r="AO912" s="564">
        <v>820157</v>
      </c>
      <c r="AP912" s="564">
        <v>53609.743000000002</v>
      </c>
      <c r="AQ912" s="564">
        <v>7396000.1442800006</v>
      </c>
      <c r="AR912" s="564">
        <v>1.8504</v>
      </c>
    </row>
    <row r="913" spans="39:44">
      <c r="AM913" s="563">
        <f t="shared" ca="1" si="67"/>
        <v>45036</v>
      </c>
      <c r="AN913" s="564">
        <v>138.97</v>
      </c>
      <c r="AO913" s="564">
        <v>855305</v>
      </c>
      <c r="AP913" s="564">
        <v>53609.743000000002</v>
      </c>
      <c r="AQ913" s="564">
        <v>7450145.9847100005</v>
      </c>
      <c r="AR913" s="564">
        <v>1.8638999999999999</v>
      </c>
    </row>
    <row r="914" spans="39:44">
      <c r="AM914" s="563">
        <f t="shared" ca="1" si="67"/>
        <v>45035</v>
      </c>
      <c r="AN914" s="564">
        <v>143.21</v>
      </c>
      <c r="AO914" s="564">
        <v>719896</v>
      </c>
      <c r="AP914" s="564">
        <v>53609.743000000002</v>
      </c>
      <c r="AQ914" s="564">
        <v>7677451.2950300006</v>
      </c>
      <c r="AR914" s="564">
        <v>1.9208000000000001</v>
      </c>
    </row>
    <row r="915" spans="39:44">
      <c r="AM915" s="563">
        <f t="shared" ca="1" si="67"/>
        <v>45034</v>
      </c>
      <c r="AN915" s="564">
        <v>142.09</v>
      </c>
      <c r="AO915" s="564">
        <v>923857</v>
      </c>
      <c r="AP915" s="564">
        <v>53609.743000000002</v>
      </c>
      <c r="AQ915" s="564">
        <v>7617408.3828700008</v>
      </c>
      <c r="AR915" s="564">
        <v>1.9056999999999999</v>
      </c>
    </row>
    <row r="916" spans="39:44">
      <c r="AM916" s="563">
        <f t="shared" ca="1" si="67"/>
        <v>45033</v>
      </c>
      <c r="AN916" s="564">
        <v>144.49</v>
      </c>
      <c r="AO916" s="564">
        <v>790931</v>
      </c>
      <c r="AP916" s="564">
        <v>53609.743000000002</v>
      </c>
      <c r="AQ916" s="564">
        <v>7746071.7660700008</v>
      </c>
      <c r="AR916" s="564">
        <v>1.9379</v>
      </c>
    </row>
    <row r="917" spans="39:44">
      <c r="AM917" s="563">
        <f t="shared" ca="1" si="67"/>
        <v>45032</v>
      </c>
      <c r="AN917" s="564">
        <v>144.49</v>
      </c>
      <c r="AO917" s="564">
        <v>790931</v>
      </c>
      <c r="AP917" s="564">
        <v>53609.743000000002</v>
      </c>
      <c r="AQ917" s="564">
        <v>7746071.7660700008</v>
      </c>
      <c r="AR917" s="564">
        <v>1.9379</v>
      </c>
    </row>
    <row r="918" spans="39:44">
      <c r="AM918" s="563">
        <f t="shared" ca="1" si="67"/>
        <v>45031</v>
      </c>
      <c r="AN918" s="564">
        <v>144.49</v>
      </c>
      <c r="AO918" s="564">
        <v>790931</v>
      </c>
      <c r="AP918" s="564">
        <v>53609.743000000002</v>
      </c>
      <c r="AQ918" s="564">
        <v>7746071.7660700008</v>
      </c>
      <c r="AR918" s="564">
        <v>1.9379</v>
      </c>
    </row>
    <row r="919" spans="39:44">
      <c r="AM919" s="563">
        <f t="shared" ca="1" si="67"/>
        <v>45030</v>
      </c>
      <c r="AN919" s="564">
        <v>150.03</v>
      </c>
      <c r="AO919" s="564">
        <v>287113</v>
      </c>
      <c r="AP919" s="564">
        <v>53609.743000000002</v>
      </c>
      <c r="AQ919" s="564">
        <v>8043069.7422900004</v>
      </c>
      <c r="AR919" s="564">
        <v>2.0122</v>
      </c>
    </row>
    <row r="920" spans="39:44">
      <c r="AM920" s="563">
        <f t="shared" ca="1" si="67"/>
        <v>45029</v>
      </c>
      <c r="AN920" s="564">
        <v>153.41999999999999</v>
      </c>
      <c r="AO920" s="564">
        <v>363640</v>
      </c>
      <c r="AP920" s="564">
        <v>53609.743000000002</v>
      </c>
      <c r="AQ920" s="564">
        <v>8224806.7710599992</v>
      </c>
      <c r="AR920" s="564">
        <v>2.0577000000000001</v>
      </c>
    </row>
    <row r="921" spans="39:44">
      <c r="AM921" s="563">
        <f t="shared" ca="1" si="67"/>
        <v>45028</v>
      </c>
      <c r="AN921" s="564">
        <v>154.18</v>
      </c>
      <c r="AO921" s="564">
        <v>400435</v>
      </c>
      <c r="AP921" s="564">
        <v>53609.743000000002</v>
      </c>
      <c r="AQ921" s="564">
        <v>8265550.1757400008</v>
      </c>
      <c r="AR921" s="564">
        <v>2.0678999999999998</v>
      </c>
    </row>
    <row r="922" spans="39:44">
      <c r="AM922" s="563">
        <f t="shared" ca="1" si="67"/>
        <v>45027</v>
      </c>
      <c r="AN922" s="564">
        <v>156.12</v>
      </c>
      <c r="AO922" s="564">
        <v>309539</v>
      </c>
      <c r="AP922" s="564">
        <v>53609.743000000002</v>
      </c>
      <c r="AQ922" s="564">
        <v>8369553.0771600008</v>
      </c>
      <c r="AR922" s="564">
        <v>2.0939000000000001</v>
      </c>
    </row>
    <row r="923" spans="39:44">
      <c r="AM923" s="563">
        <f t="shared" ca="1" si="67"/>
        <v>45026</v>
      </c>
      <c r="AN923" s="564">
        <v>157.69</v>
      </c>
      <c r="AO923" s="564">
        <v>253907</v>
      </c>
      <c r="AP923" s="564">
        <v>53609.743000000002</v>
      </c>
      <c r="AQ923" s="564">
        <v>8453720.3736700006</v>
      </c>
      <c r="AR923" s="564">
        <v>2.1150000000000002</v>
      </c>
    </row>
    <row r="924" spans="39:44">
      <c r="AM924" s="563">
        <f t="shared" ca="1" si="67"/>
        <v>45025</v>
      </c>
      <c r="AN924" s="564">
        <v>157.69</v>
      </c>
      <c r="AO924" s="564">
        <v>253907</v>
      </c>
      <c r="AP924" s="564">
        <v>53609.743000000002</v>
      </c>
      <c r="AQ924" s="564">
        <v>8453720.3736700006</v>
      </c>
      <c r="AR924" s="564">
        <v>2.1150000000000002</v>
      </c>
    </row>
    <row r="925" spans="39:44">
      <c r="AM925" s="563">
        <f t="shared" ca="1" si="67"/>
        <v>45024</v>
      </c>
      <c r="AN925" s="564">
        <v>157.69</v>
      </c>
      <c r="AO925" s="564">
        <v>253907</v>
      </c>
      <c r="AP925" s="564">
        <v>53609.743000000002</v>
      </c>
      <c r="AQ925" s="564">
        <v>8453720.3736700006</v>
      </c>
      <c r="AR925" s="564">
        <v>2.1150000000000002</v>
      </c>
    </row>
    <row r="926" spans="39:44">
      <c r="AM926" s="563">
        <f t="shared" ca="1" si="67"/>
        <v>45023</v>
      </c>
      <c r="AN926" s="564">
        <v>155.91999999999999</v>
      </c>
      <c r="AO926" s="564">
        <v>249472</v>
      </c>
      <c r="AP926" s="564">
        <v>53609.743000000002</v>
      </c>
      <c r="AQ926" s="564">
        <v>8358831.1285600001</v>
      </c>
      <c r="AR926" s="564">
        <v>2.0912000000000002</v>
      </c>
    </row>
    <row r="927" spans="39:44">
      <c r="AM927" s="563">
        <f t="shared" ca="1" si="67"/>
        <v>45022</v>
      </c>
      <c r="AN927" s="564">
        <v>154.94999999999999</v>
      </c>
      <c r="AO927" s="564">
        <v>301265</v>
      </c>
      <c r="AP927" s="564">
        <v>53609.743000000002</v>
      </c>
      <c r="AQ927" s="564">
        <v>8306829.6778499996</v>
      </c>
      <c r="AR927" s="564">
        <v>2.0781999999999998</v>
      </c>
    </row>
    <row r="928" spans="39:44">
      <c r="AM928" s="563">
        <f t="shared" ca="1" si="67"/>
        <v>45021</v>
      </c>
      <c r="AN928" s="564">
        <v>155.49</v>
      </c>
      <c r="AO928" s="564">
        <v>402805</v>
      </c>
      <c r="AP928" s="564">
        <v>53883.521999999997</v>
      </c>
      <c r="AQ928" s="564">
        <v>8378348.8357800003</v>
      </c>
      <c r="AR928" s="564">
        <v>2.0855000000000001</v>
      </c>
    </row>
    <row r="929" spans="39:44">
      <c r="AM929" s="563">
        <f t="shared" ca="1" si="67"/>
        <v>45020</v>
      </c>
      <c r="AN929" s="564">
        <v>154.5</v>
      </c>
      <c r="AO929" s="564">
        <v>448036</v>
      </c>
      <c r="AP929" s="564">
        <v>53883.521999999997</v>
      </c>
      <c r="AQ929" s="564">
        <v>8325004.1489999993</v>
      </c>
      <c r="AR929" s="564">
        <v>2.0722</v>
      </c>
    </row>
    <row r="930" spans="39:44">
      <c r="AM930" s="563">
        <f t="shared" ca="1" si="67"/>
        <v>45019</v>
      </c>
      <c r="AN930" s="564">
        <v>152.47999999999999</v>
      </c>
      <c r="AO930" s="564">
        <v>249693</v>
      </c>
      <c r="AP930" s="564">
        <v>53883.521999999997</v>
      </c>
      <c r="AQ930" s="564">
        <v>8216159.434559999</v>
      </c>
      <c r="AR930" s="564">
        <v>2.0451000000000001</v>
      </c>
    </row>
    <row r="931" spans="39:44">
      <c r="AM931" s="563">
        <f t="shared" ca="1" si="67"/>
        <v>45018</v>
      </c>
      <c r="AN931" s="564">
        <v>152.47999999999999</v>
      </c>
      <c r="AO931" s="564">
        <v>249693</v>
      </c>
      <c r="AP931" s="564">
        <v>53883.521999999997</v>
      </c>
      <c r="AQ931" s="564">
        <v>8216159.434559999</v>
      </c>
      <c r="AR931" s="564">
        <v>2.0451000000000001</v>
      </c>
    </row>
    <row r="932" spans="39:44">
      <c r="AM932" s="563">
        <f t="shared" ca="1" si="67"/>
        <v>45017</v>
      </c>
      <c r="AN932" s="564">
        <v>152.47999999999999</v>
      </c>
      <c r="AO932" s="564">
        <v>249693</v>
      </c>
      <c r="AP932" s="564">
        <v>53883.521999999997</v>
      </c>
      <c r="AQ932" s="564">
        <v>8216159.434559999</v>
      </c>
      <c r="AR932" s="564">
        <v>2.0451000000000001</v>
      </c>
    </row>
    <row r="933" spans="39:44">
      <c r="AM933" s="563">
        <f t="shared" ca="1" si="67"/>
        <v>45016</v>
      </c>
      <c r="AN933" s="564">
        <v>154.09</v>
      </c>
      <c r="AO933" s="564">
        <v>328874</v>
      </c>
      <c r="AP933" s="564">
        <v>53883.521999999997</v>
      </c>
      <c r="AQ933" s="564">
        <v>8302911.9049800001</v>
      </c>
      <c r="AR933" s="564">
        <v>2.0667</v>
      </c>
    </row>
    <row r="934" spans="39:44">
      <c r="AM934" s="563">
        <f t="shared" ca="1" si="67"/>
        <v>45015</v>
      </c>
      <c r="AN934" s="564">
        <v>153.87</v>
      </c>
      <c r="AO934" s="564">
        <v>519594</v>
      </c>
      <c r="AP934" s="564">
        <v>53883.521999999997</v>
      </c>
      <c r="AQ934" s="564">
        <v>8291057.5301399995</v>
      </c>
      <c r="AR934" s="564">
        <v>2.0636999999999999</v>
      </c>
    </row>
    <row r="935" spans="39:44">
      <c r="AM935" s="563">
        <f t="shared" ca="1" si="67"/>
        <v>45014</v>
      </c>
      <c r="AN935" s="564">
        <v>153.93</v>
      </c>
      <c r="AO935" s="564">
        <v>896005</v>
      </c>
      <c r="AP935" s="564">
        <v>53883.521999999997</v>
      </c>
      <c r="AQ935" s="564">
        <v>8294290.54146</v>
      </c>
      <c r="AR935" s="564">
        <v>2.0644999999999998</v>
      </c>
    </row>
    <row r="936" spans="39:44">
      <c r="AM936" s="563">
        <f t="shared" ca="1" si="67"/>
        <v>45013</v>
      </c>
      <c r="AN936" s="564">
        <v>155.09</v>
      </c>
      <c r="AO936" s="564">
        <v>434759</v>
      </c>
      <c r="AP936" s="564">
        <v>53883.521999999997</v>
      </c>
      <c r="AQ936" s="564">
        <v>8356795.42698</v>
      </c>
      <c r="AR936" s="564">
        <v>2.0800999999999998</v>
      </c>
    </row>
    <row r="937" spans="39:44">
      <c r="AM937" s="563">
        <f t="shared" ca="1" si="67"/>
        <v>45012</v>
      </c>
      <c r="AN937" s="564">
        <v>155.09</v>
      </c>
      <c r="AO937" s="564">
        <v>434759</v>
      </c>
      <c r="AP937" s="564">
        <v>53883.521999999997</v>
      </c>
      <c r="AQ937" s="564">
        <v>8356795.42698</v>
      </c>
      <c r="AR937" s="564">
        <v>2.0800999999999998</v>
      </c>
    </row>
    <row r="938" spans="39:44">
      <c r="AM938" s="563">
        <f t="shared" ca="1" si="67"/>
        <v>45011</v>
      </c>
      <c r="AN938" s="564">
        <v>155.09</v>
      </c>
      <c r="AO938" s="564">
        <v>434759</v>
      </c>
      <c r="AP938" s="564">
        <v>53883.521999999997</v>
      </c>
      <c r="AQ938" s="564">
        <v>8356795.42698</v>
      </c>
      <c r="AR938" s="564">
        <v>2.0800999999999998</v>
      </c>
    </row>
    <row r="939" spans="39:44">
      <c r="AM939" s="563">
        <f t="shared" ca="1" si="67"/>
        <v>45010</v>
      </c>
      <c r="AN939" s="564">
        <v>155.09</v>
      </c>
      <c r="AO939" s="564">
        <v>434759</v>
      </c>
      <c r="AP939" s="564">
        <v>53883.521999999997</v>
      </c>
      <c r="AQ939" s="564">
        <v>8356795.42698</v>
      </c>
      <c r="AR939" s="564">
        <v>2.0800999999999998</v>
      </c>
    </row>
    <row r="940" spans="39:44">
      <c r="AM940" s="563">
        <f t="shared" ca="1" si="67"/>
        <v>45009</v>
      </c>
      <c r="AN940" s="564">
        <v>155.38</v>
      </c>
      <c r="AO940" s="564">
        <v>428123</v>
      </c>
      <c r="AP940" s="564">
        <v>53883.521999999997</v>
      </c>
      <c r="AQ940" s="564">
        <v>8372421.6483599991</v>
      </c>
      <c r="AR940" s="564">
        <v>2.0840000000000001</v>
      </c>
    </row>
    <row r="941" spans="39:44">
      <c r="AM941" s="563">
        <f t="shared" ca="1" si="67"/>
        <v>45008</v>
      </c>
      <c r="AN941" s="564">
        <v>157.11000000000001</v>
      </c>
      <c r="AO941" s="564">
        <v>562906</v>
      </c>
      <c r="AP941" s="564">
        <v>53883.521999999997</v>
      </c>
      <c r="AQ941" s="564">
        <v>8465640.1414200012</v>
      </c>
      <c r="AR941" s="564">
        <v>2.1072000000000002</v>
      </c>
    </row>
    <row r="942" spans="39:44">
      <c r="AM942" s="563">
        <f t="shared" ca="1" si="67"/>
        <v>45007</v>
      </c>
      <c r="AN942" s="564">
        <v>155.80000000000001</v>
      </c>
      <c r="AO942" s="564">
        <v>509078</v>
      </c>
      <c r="AP942" s="564">
        <v>53883.521999999997</v>
      </c>
      <c r="AQ942" s="564">
        <v>8395052.7276000008</v>
      </c>
      <c r="AR942" s="564">
        <v>2.0895999999999999</v>
      </c>
    </row>
    <row r="943" spans="39:44">
      <c r="AM943" s="563">
        <f t="shared" ca="1" si="67"/>
        <v>45006</v>
      </c>
      <c r="AN943" s="564">
        <v>154.11000000000001</v>
      </c>
      <c r="AO943" s="564">
        <v>309103</v>
      </c>
      <c r="AP943" s="564">
        <v>53883.521999999997</v>
      </c>
      <c r="AQ943" s="564">
        <v>8303989.5754200006</v>
      </c>
      <c r="AR943" s="564">
        <v>2.0670000000000002</v>
      </c>
    </row>
    <row r="944" spans="39:44">
      <c r="AM944" s="563">
        <f t="shared" ca="1" si="67"/>
        <v>45005</v>
      </c>
      <c r="AN944" s="564">
        <v>152.31</v>
      </c>
      <c r="AO944" s="564">
        <v>535529</v>
      </c>
      <c r="AP944" s="564">
        <v>53883.521999999997</v>
      </c>
      <c r="AQ944" s="564">
        <v>8206999.2358200001</v>
      </c>
      <c r="AR944" s="564">
        <v>2.0428000000000002</v>
      </c>
    </row>
    <row r="945" spans="39:44">
      <c r="AM945" s="563">
        <f t="shared" ca="1" si="67"/>
        <v>45004</v>
      </c>
      <c r="AN945" s="564">
        <v>152.31</v>
      </c>
      <c r="AO945" s="564">
        <v>535529</v>
      </c>
      <c r="AP945" s="564">
        <v>53883.521999999997</v>
      </c>
      <c r="AQ945" s="564">
        <v>8206999.2358200001</v>
      </c>
      <c r="AR945" s="564">
        <v>2.0428000000000002</v>
      </c>
    </row>
    <row r="946" spans="39:44">
      <c r="AM946" s="563">
        <f t="shared" ca="1" si="67"/>
        <v>45003</v>
      </c>
      <c r="AN946" s="564">
        <v>152.31</v>
      </c>
      <c r="AO946" s="564">
        <v>535529</v>
      </c>
      <c r="AP946" s="564">
        <v>53883.521999999997</v>
      </c>
      <c r="AQ946" s="564">
        <v>8206999.2358200001</v>
      </c>
      <c r="AR946" s="564">
        <v>2.0428000000000002</v>
      </c>
    </row>
    <row r="947" spans="39:44">
      <c r="AM947" s="563">
        <f t="shared" ca="1" si="67"/>
        <v>45002</v>
      </c>
      <c r="AN947" s="564">
        <v>152.85</v>
      </c>
      <c r="AO947" s="564">
        <v>335234</v>
      </c>
      <c r="AP947" s="564">
        <v>53883.521999999997</v>
      </c>
      <c r="AQ947" s="564">
        <v>8236096.3376999991</v>
      </c>
      <c r="AR947" s="564">
        <v>2.0501</v>
      </c>
    </row>
    <row r="948" spans="39:44">
      <c r="AM948" s="563">
        <f t="shared" ca="1" si="67"/>
        <v>45001</v>
      </c>
      <c r="AN948" s="564">
        <v>156.31</v>
      </c>
      <c r="AO948" s="564">
        <v>245822</v>
      </c>
      <c r="AP948" s="564">
        <v>53883.521999999997</v>
      </c>
      <c r="AQ948" s="564">
        <v>8422533.3238200005</v>
      </c>
      <c r="AR948" s="564">
        <v>2.0964999999999998</v>
      </c>
    </row>
    <row r="949" spans="39:44">
      <c r="AM949" s="563">
        <f t="shared" ca="1" si="67"/>
        <v>45000</v>
      </c>
      <c r="AN949" s="564">
        <v>158.13999999999999</v>
      </c>
      <c r="AO949" s="564">
        <v>352832</v>
      </c>
      <c r="AP949" s="564">
        <v>53883.521999999997</v>
      </c>
      <c r="AQ949" s="564">
        <v>8521140.1690799985</v>
      </c>
      <c r="AR949" s="564">
        <v>2.121</v>
      </c>
    </row>
    <row r="950" spans="39:44">
      <c r="AM950" s="563">
        <f t="shared" ca="1" si="67"/>
        <v>44999</v>
      </c>
      <c r="AN950" s="564">
        <v>157.84</v>
      </c>
      <c r="AO950" s="564">
        <v>387560</v>
      </c>
      <c r="AP950" s="564">
        <v>53883.521999999997</v>
      </c>
      <c r="AQ950" s="564">
        <v>8504975.1124799997</v>
      </c>
      <c r="AR950" s="564">
        <v>2.117</v>
      </c>
    </row>
    <row r="951" spans="39:44">
      <c r="AM951" s="563">
        <f t="shared" ca="1" si="67"/>
        <v>44998</v>
      </c>
      <c r="AN951" s="564">
        <v>160.12</v>
      </c>
      <c r="AO951" s="564">
        <v>586278</v>
      </c>
      <c r="AP951" s="564">
        <v>53883.521999999997</v>
      </c>
      <c r="AQ951" s="564">
        <v>8627829.5426400006</v>
      </c>
      <c r="AR951" s="564">
        <v>2.1476000000000002</v>
      </c>
    </row>
    <row r="952" spans="39:44">
      <c r="AM952" s="563">
        <f t="shared" ca="1" si="67"/>
        <v>44997</v>
      </c>
      <c r="AN952" s="564">
        <v>160.12</v>
      </c>
      <c r="AO952" s="564">
        <v>586278</v>
      </c>
      <c r="AP952" s="564">
        <v>53883.521999999997</v>
      </c>
      <c r="AQ952" s="564">
        <v>8627829.5426400006</v>
      </c>
      <c r="AR952" s="564">
        <v>2.1476000000000002</v>
      </c>
    </row>
    <row r="953" spans="39:44">
      <c r="AM953" s="563">
        <f t="shared" ca="1" si="67"/>
        <v>44996</v>
      </c>
      <c r="AN953" s="564">
        <v>160.12</v>
      </c>
      <c r="AO953" s="564">
        <v>586278</v>
      </c>
      <c r="AP953" s="564">
        <v>53883.521999999997</v>
      </c>
      <c r="AQ953" s="564">
        <v>8627829.5426400006</v>
      </c>
      <c r="AR953" s="564">
        <v>2.1476000000000002</v>
      </c>
    </row>
    <row r="954" spans="39:44">
      <c r="AM954" s="563">
        <f t="shared" ca="1" si="67"/>
        <v>44995</v>
      </c>
      <c r="AN954" s="564">
        <v>160.87</v>
      </c>
      <c r="AO954" s="564">
        <v>633376</v>
      </c>
      <c r="AP954" s="564">
        <v>53883.521999999997</v>
      </c>
      <c r="AQ954" s="564">
        <v>8668242.1841400005</v>
      </c>
      <c r="AR954" s="564">
        <v>2.1576</v>
      </c>
    </row>
    <row r="955" spans="39:44">
      <c r="AM955" s="563">
        <f t="shared" ca="1" si="67"/>
        <v>44994</v>
      </c>
      <c r="AN955" s="564">
        <v>157.87</v>
      </c>
      <c r="AO955" s="564">
        <v>574994</v>
      </c>
      <c r="AP955" s="564">
        <v>53883.521999999997</v>
      </c>
      <c r="AQ955" s="564">
        <v>8506591.618139999</v>
      </c>
      <c r="AR955" s="564">
        <v>2.1173999999999999</v>
      </c>
    </row>
    <row r="956" spans="39:44">
      <c r="AM956" s="563">
        <f t="shared" ca="1" si="67"/>
        <v>44993</v>
      </c>
      <c r="AN956" s="564">
        <v>155.44999999999999</v>
      </c>
      <c r="AO956" s="564">
        <v>443275</v>
      </c>
      <c r="AP956" s="564">
        <v>53883.521999999997</v>
      </c>
      <c r="AQ956" s="564">
        <v>8376193.4948999994</v>
      </c>
      <c r="AR956" s="564">
        <v>2.0849000000000002</v>
      </c>
    </row>
    <row r="957" spans="39:44">
      <c r="AM957" s="563">
        <f t="shared" ca="1" si="67"/>
        <v>44992</v>
      </c>
      <c r="AN957" s="564">
        <v>150.86000000000001</v>
      </c>
      <c r="AO957" s="564">
        <v>326444</v>
      </c>
      <c r="AP957" s="564">
        <v>53883.521999999997</v>
      </c>
      <c r="AQ957" s="564">
        <v>8128868.12892</v>
      </c>
      <c r="AR957" s="564">
        <v>2.0234000000000001</v>
      </c>
    </row>
    <row r="958" spans="39:44">
      <c r="AM958" s="563">
        <f t="shared" ca="1" si="67"/>
        <v>44991</v>
      </c>
      <c r="AN958" s="564">
        <v>154.36000000000001</v>
      </c>
      <c r="AO958" s="564">
        <v>514396</v>
      </c>
      <c r="AP958" s="564">
        <v>53883.521999999997</v>
      </c>
      <c r="AQ958" s="564">
        <v>8317460.4559200006</v>
      </c>
      <c r="AR958" s="564">
        <v>2.0703</v>
      </c>
    </row>
    <row r="959" spans="39:44">
      <c r="AM959" s="563">
        <f t="shared" ca="1" si="67"/>
        <v>44990</v>
      </c>
      <c r="AN959" s="564">
        <v>154.36000000000001</v>
      </c>
      <c r="AO959" s="564">
        <v>514396</v>
      </c>
      <c r="AP959" s="564">
        <v>53883.521999999997</v>
      </c>
      <c r="AQ959" s="564">
        <v>8317460.4559200006</v>
      </c>
      <c r="AR959" s="564">
        <v>2.0703</v>
      </c>
    </row>
    <row r="960" spans="39:44">
      <c r="AM960" s="563">
        <f t="shared" ca="1" si="67"/>
        <v>44989</v>
      </c>
      <c r="AN960" s="564">
        <v>154.36000000000001</v>
      </c>
      <c r="AO960" s="564">
        <v>514396</v>
      </c>
      <c r="AP960" s="564">
        <v>53883.521999999997</v>
      </c>
      <c r="AQ960" s="564">
        <v>8317460.4559200006</v>
      </c>
      <c r="AR960" s="564">
        <v>2.0703</v>
      </c>
    </row>
    <row r="961" spans="39:44">
      <c r="AM961" s="563">
        <f t="shared" ca="1" si="67"/>
        <v>44988</v>
      </c>
      <c r="AN961" s="564">
        <v>150.44</v>
      </c>
      <c r="AO961" s="564">
        <v>373757</v>
      </c>
      <c r="AP961" s="564">
        <v>53883.521999999997</v>
      </c>
      <c r="AQ961" s="564">
        <v>8106237.0496799992</v>
      </c>
      <c r="AR961" s="564">
        <v>2.0177</v>
      </c>
    </row>
    <row r="962" spans="39:44">
      <c r="AM962" s="563">
        <f t="shared" ca="1" si="67"/>
        <v>44987</v>
      </c>
      <c r="AN962" s="564">
        <v>149.85</v>
      </c>
      <c r="AO962" s="564">
        <v>344668</v>
      </c>
      <c r="AP962" s="564">
        <v>53883.521999999997</v>
      </c>
      <c r="AQ962" s="564">
        <v>8074445.7716999995</v>
      </c>
      <c r="AR962" s="564">
        <v>2.0097999999999998</v>
      </c>
    </row>
    <row r="963" spans="39:44">
      <c r="AM963" s="563">
        <f t="shared" ca="1" si="67"/>
        <v>44986</v>
      </c>
      <c r="AN963" s="564">
        <v>151.26</v>
      </c>
      <c r="AO963" s="564">
        <v>421356</v>
      </c>
      <c r="AP963" s="564">
        <v>53883.521999999997</v>
      </c>
      <c r="AQ963" s="564">
        <v>8150421.5377199994</v>
      </c>
      <c r="AR963" s="564">
        <v>2.0287000000000002</v>
      </c>
    </row>
    <row r="964" spans="39:44">
      <c r="AM964" s="563">
        <f t="shared" ca="1" si="67"/>
        <v>44985</v>
      </c>
      <c r="AN964" s="564">
        <v>149.91</v>
      </c>
      <c r="AO964" s="564">
        <v>462232</v>
      </c>
      <c r="AP964" s="564">
        <v>53883.521999999997</v>
      </c>
      <c r="AQ964" s="564">
        <v>8077678.783019999</v>
      </c>
      <c r="AR964" s="564">
        <v>2.0106000000000002</v>
      </c>
    </row>
    <row r="965" spans="39:44">
      <c r="AM965" s="563">
        <f t="shared" ref="AM965:AM1028" ca="1" si="68">AM964-1</f>
        <v>44984</v>
      </c>
      <c r="AN965" s="564">
        <v>146.58000000000001</v>
      </c>
      <c r="AO965" s="564">
        <v>814657</v>
      </c>
      <c r="AP965" s="564">
        <v>53883.521999999997</v>
      </c>
      <c r="AQ965" s="564">
        <v>7898246.6547600003</v>
      </c>
      <c r="AR965" s="564">
        <v>1.966</v>
      </c>
    </row>
    <row r="966" spans="39:44">
      <c r="AM966" s="563">
        <f t="shared" ca="1" si="68"/>
        <v>44983</v>
      </c>
      <c r="AN966" s="564">
        <v>146.58000000000001</v>
      </c>
      <c r="AO966" s="564">
        <v>814657</v>
      </c>
      <c r="AP966" s="564">
        <v>53883.521999999997</v>
      </c>
      <c r="AQ966" s="564">
        <v>7898246.6547600003</v>
      </c>
      <c r="AR966" s="564">
        <v>1.966</v>
      </c>
    </row>
    <row r="967" spans="39:44">
      <c r="AM967" s="563">
        <f t="shared" ca="1" si="68"/>
        <v>44982</v>
      </c>
      <c r="AN967" s="564">
        <v>146.58000000000001</v>
      </c>
      <c r="AO967" s="564">
        <v>814657</v>
      </c>
      <c r="AP967" s="564">
        <v>53883.521999999997</v>
      </c>
      <c r="AQ967" s="564">
        <v>7898246.6547600003</v>
      </c>
      <c r="AR967" s="564">
        <v>1.966</v>
      </c>
    </row>
    <row r="968" spans="39:44">
      <c r="AM968" s="563">
        <f t="shared" ca="1" si="68"/>
        <v>44981</v>
      </c>
      <c r="AN968" s="564">
        <v>145.28</v>
      </c>
      <c r="AO968" s="564">
        <v>396642</v>
      </c>
      <c r="AP968" s="564">
        <v>53883.521999999997</v>
      </c>
      <c r="AQ968" s="564">
        <v>7828198.0761599997</v>
      </c>
      <c r="AR968" s="564">
        <v>1.9484999999999999</v>
      </c>
    </row>
    <row r="969" spans="39:44">
      <c r="AM969" s="563">
        <f t="shared" ca="1" si="68"/>
        <v>44980</v>
      </c>
      <c r="AN969" s="564">
        <v>148.01</v>
      </c>
      <c r="AO969" s="564">
        <v>568719</v>
      </c>
      <c r="AP969" s="564">
        <v>53883.521999999997</v>
      </c>
      <c r="AQ969" s="564">
        <v>7975300.0912199989</v>
      </c>
      <c r="AR969" s="564">
        <v>1.9851000000000001</v>
      </c>
    </row>
    <row r="970" spans="39:44">
      <c r="AM970" s="563">
        <f t="shared" ca="1" si="68"/>
        <v>44979</v>
      </c>
      <c r="AN970" s="564">
        <v>148.97999999999999</v>
      </c>
      <c r="AO970" s="564">
        <v>601830</v>
      </c>
      <c r="AP970" s="564">
        <v>53883.521999999997</v>
      </c>
      <c r="AQ970" s="564">
        <v>8027567.1075599995</v>
      </c>
      <c r="AR970" s="564">
        <v>1.9982</v>
      </c>
    </row>
    <row r="971" spans="39:44">
      <c r="AM971" s="563">
        <f t="shared" ca="1" si="68"/>
        <v>44978</v>
      </c>
      <c r="AN971" s="564">
        <v>151</v>
      </c>
      <c r="AO971" s="564">
        <v>810876</v>
      </c>
      <c r="AP971" s="564">
        <v>53883.521999999997</v>
      </c>
      <c r="AQ971" s="564">
        <v>8136411.8219999997</v>
      </c>
      <c r="AR971" s="564">
        <v>2.0251999999999999</v>
      </c>
    </row>
    <row r="972" spans="39:44">
      <c r="AM972" s="563">
        <f t="shared" ca="1" si="68"/>
        <v>44977</v>
      </c>
      <c r="AN972" s="564">
        <v>151</v>
      </c>
      <c r="AO972" s="564">
        <v>810876</v>
      </c>
      <c r="AP972" s="564">
        <v>53883.521999999997</v>
      </c>
      <c r="AQ972" s="564">
        <v>8136411.8219999997</v>
      </c>
      <c r="AR972" s="564">
        <v>2.0251999999999999</v>
      </c>
    </row>
    <row r="973" spans="39:44">
      <c r="AM973" s="563">
        <f t="shared" ca="1" si="68"/>
        <v>44976</v>
      </c>
      <c r="AN973" s="564">
        <v>151</v>
      </c>
      <c r="AO973" s="564">
        <v>810876</v>
      </c>
      <c r="AP973" s="564">
        <v>53883.521999999997</v>
      </c>
      <c r="AQ973" s="564">
        <v>8136411.8219999997</v>
      </c>
      <c r="AR973" s="564">
        <v>2.0251999999999999</v>
      </c>
    </row>
    <row r="974" spans="39:44">
      <c r="AM974" s="563">
        <f t="shared" ca="1" si="68"/>
        <v>44975</v>
      </c>
      <c r="AN974" s="564">
        <v>151</v>
      </c>
      <c r="AO974" s="564">
        <v>810876</v>
      </c>
      <c r="AP974" s="564">
        <v>53883.521999999997</v>
      </c>
      <c r="AQ974" s="564">
        <v>8136411.8219999997</v>
      </c>
      <c r="AR974" s="564">
        <v>2.0251999999999999</v>
      </c>
    </row>
    <row r="975" spans="39:44">
      <c r="AM975" s="563">
        <f t="shared" ca="1" si="68"/>
        <v>44974</v>
      </c>
      <c r="AN975" s="564">
        <v>147.91999999999999</v>
      </c>
      <c r="AO975" s="564">
        <v>709301</v>
      </c>
      <c r="AP975" s="564">
        <v>53883.521999999997</v>
      </c>
      <c r="AQ975" s="564">
        <v>7970450.5742399991</v>
      </c>
      <c r="AR975" s="564">
        <v>1.9839</v>
      </c>
    </row>
    <row r="976" spans="39:44">
      <c r="AM976" s="563">
        <f t="shared" ca="1" si="68"/>
        <v>44973</v>
      </c>
      <c r="AN976" s="564">
        <v>145.36000000000001</v>
      </c>
      <c r="AO976" s="564">
        <v>634467</v>
      </c>
      <c r="AP976" s="564">
        <v>53883.521999999997</v>
      </c>
      <c r="AQ976" s="564">
        <v>7832508.7579200007</v>
      </c>
      <c r="AR976" s="564">
        <v>1.9496</v>
      </c>
    </row>
    <row r="977" spans="39:44">
      <c r="AM977" s="563">
        <f t="shared" ca="1" si="68"/>
        <v>44972</v>
      </c>
      <c r="AN977" s="564">
        <v>144.11000000000001</v>
      </c>
      <c r="AO977" s="564">
        <v>753371</v>
      </c>
      <c r="AP977" s="564">
        <v>53883.521999999997</v>
      </c>
      <c r="AQ977" s="564">
        <v>7765154.3554199999</v>
      </c>
      <c r="AR977" s="564">
        <v>1.9328000000000001</v>
      </c>
    </row>
    <row r="978" spans="39:44">
      <c r="AM978" s="563">
        <f t="shared" ca="1" si="68"/>
        <v>44971</v>
      </c>
      <c r="AN978" s="564">
        <v>143.69999999999999</v>
      </c>
      <c r="AO978" s="564">
        <v>792193</v>
      </c>
      <c r="AP978" s="564">
        <v>53883.521999999997</v>
      </c>
      <c r="AQ978" s="564">
        <v>7743062.1113999989</v>
      </c>
      <c r="AR978" s="564">
        <v>1.9273</v>
      </c>
    </row>
    <row r="979" spans="39:44">
      <c r="AM979" s="563">
        <f t="shared" ca="1" si="68"/>
        <v>44970</v>
      </c>
      <c r="AN979" s="564">
        <v>142.11000000000001</v>
      </c>
      <c r="AO979" s="564">
        <v>566042</v>
      </c>
      <c r="AP979" s="564">
        <v>53883.521999999997</v>
      </c>
      <c r="AQ979" s="564">
        <v>7657387.3114200002</v>
      </c>
      <c r="AR979" s="564">
        <v>1.9059999999999999</v>
      </c>
    </row>
    <row r="980" spans="39:44">
      <c r="AM980" s="563">
        <f t="shared" ca="1" si="68"/>
        <v>44969</v>
      </c>
      <c r="AN980" s="564">
        <v>142.11000000000001</v>
      </c>
      <c r="AO980" s="564">
        <v>566042</v>
      </c>
      <c r="AP980" s="564">
        <v>53883.521999999997</v>
      </c>
      <c r="AQ980" s="564">
        <v>7657387.3114200002</v>
      </c>
      <c r="AR980" s="564">
        <v>1.9059999999999999</v>
      </c>
    </row>
    <row r="981" spans="39:44">
      <c r="AM981" s="563">
        <f t="shared" ca="1" si="68"/>
        <v>44968</v>
      </c>
      <c r="AN981" s="564">
        <v>142.11000000000001</v>
      </c>
      <c r="AO981" s="564">
        <v>566042</v>
      </c>
      <c r="AP981" s="564">
        <v>53883.521999999997</v>
      </c>
      <c r="AQ981" s="564">
        <v>7657387.3114200002</v>
      </c>
      <c r="AR981" s="564">
        <v>1.9059999999999999</v>
      </c>
    </row>
    <row r="982" spans="39:44">
      <c r="AM982" s="563">
        <f t="shared" ca="1" si="68"/>
        <v>44967</v>
      </c>
      <c r="AN982" s="564">
        <v>138.18</v>
      </c>
      <c r="AO982" s="564">
        <v>416329</v>
      </c>
      <c r="AP982" s="564">
        <v>53883.521999999997</v>
      </c>
      <c r="AQ982" s="564">
        <v>7445625.06996</v>
      </c>
      <c r="AR982" s="564">
        <v>1.8532999999999999</v>
      </c>
    </row>
    <row r="983" spans="39:44">
      <c r="AM983" s="563">
        <f t="shared" ca="1" si="68"/>
        <v>44966</v>
      </c>
      <c r="AN983" s="564">
        <v>137.94</v>
      </c>
      <c r="AO983" s="564">
        <v>559541</v>
      </c>
      <c r="AP983" s="564">
        <v>53883.521999999997</v>
      </c>
      <c r="AQ983" s="564">
        <v>7432693.0246799998</v>
      </c>
      <c r="AR983" s="564">
        <v>1.8501000000000001</v>
      </c>
    </row>
    <row r="984" spans="39:44">
      <c r="AM984" s="563">
        <f t="shared" ca="1" si="68"/>
        <v>44965</v>
      </c>
      <c r="AN984" s="564">
        <v>133.65</v>
      </c>
      <c r="AO984" s="564">
        <v>831051</v>
      </c>
      <c r="AP984" s="564">
        <v>53883.521999999997</v>
      </c>
      <c r="AQ984" s="564">
        <v>7201532.7153000003</v>
      </c>
      <c r="AR984" s="564">
        <v>1.7925</v>
      </c>
    </row>
    <row r="985" spans="39:44">
      <c r="AM985" s="563">
        <f t="shared" ca="1" si="68"/>
        <v>44964</v>
      </c>
      <c r="AN985" s="564">
        <v>133.9</v>
      </c>
      <c r="AO985" s="564">
        <v>295660</v>
      </c>
      <c r="AP985" s="564">
        <v>53883.521999999997</v>
      </c>
      <c r="AQ985" s="564">
        <v>7215003.5958000002</v>
      </c>
      <c r="AR985" s="564">
        <v>1.8836999999999999</v>
      </c>
    </row>
    <row r="986" spans="39:44">
      <c r="AM986" s="563">
        <f t="shared" ca="1" si="68"/>
        <v>44963</v>
      </c>
      <c r="AN986" s="564">
        <v>133.9</v>
      </c>
      <c r="AO986" s="564">
        <v>295660</v>
      </c>
      <c r="AP986" s="564">
        <v>53883.521999999997</v>
      </c>
      <c r="AQ986" s="564">
        <v>7215003.5958000002</v>
      </c>
      <c r="AR986" s="564">
        <v>1.8836999999999999</v>
      </c>
    </row>
    <row r="987" spans="39:44">
      <c r="AM987" s="563">
        <f t="shared" ca="1" si="68"/>
        <v>44962</v>
      </c>
      <c r="AN987" s="564">
        <v>133.9</v>
      </c>
      <c r="AO987" s="564">
        <v>295660</v>
      </c>
      <c r="AP987" s="564">
        <v>53883.521999999997</v>
      </c>
      <c r="AQ987" s="564">
        <v>7215003.5958000002</v>
      </c>
      <c r="AR987" s="564">
        <v>1.8836999999999999</v>
      </c>
    </row>
    <row r="988" spans="39:44">
      <c r="AM988" s="563">
        <f t="shared" ca="1" si="68"/>
        <v>44961</v>
      </c>
      <c r="AN988" s="564">
        <v>133.9</v>
      </c>
      <c r="AO988" s="564">
        <v>295660</v>
      </c>
      <c r="AP988" s="564">
        <v>53883.521999999997</v>
      </c>
      <c r="AQ988" s="564">
        <v>7215003.5958000002</v>
      </c>
      <c r="AR988" s="564">
        <v>1.8836999999999999</v>
      </c>
    </row>
    <row r="989" spans="39:44">
      <c r="AM989" s="563">
        <f t="shared" ca="1" si="68"/>
        <v>44960</v>
      </c>
      <c r="AN989" s="564">
        <v>134.88</v>
      </c>
      <c r="AO989" s="564">
        <v>382080</v>
      </c>
      <c r="AP989" s="564">
        <v>53883.521999999997</v>
      </c>
      <c r="AQ989" s="564">
        <v>7267809.4473599996</v>
      </c>
      <c r="AR989" s="564">
        <v>1.8975</v>
      </c>
    </row>
    <row r="990" spans="39:44">
      <c r="AM990" s="563">
        <f t="shared" ca="1" si="68"/>
        <v>44959</v>
      </c>
      <c r="AN990" s="564">
        <v>130.13</v>
      </c>
      <c r="AO990" s="564">
        <v>293632</v>
      </c>
      <c r="AP990" s="564">
        <v>53883.521999999997</v>
      </c>
      <c r="AQ990" s="564">
        <v>7011862.7178599993</v>
      </c>
      <c r="AR990" s="564">
        <v>1.8306</v>
      </c>
    </row>
    <row r="991" spans="39:44">
      <c r="AM991" s="563">
        <f t="shared" ca="1" si="68"/>
        <v>44958</v>
      </c>
      <c r="AN991" s="564">
        <v>133.32</v>
      </c>
      <c r="AO991" s="564">
        <v>818636</v>
      </c>
      <c r="AP991" s="564">
        <v>53883.521999999997</v>
      </c>
      <c r="AQ991" s="564">
        <v>7183751.1530399993</v>
      </c>
      <c r="AR991" s="564">
        <v>1.8754999999999999</v>
      </c>
    </row>
    <row r="992" spans="39:44">
      <c r="AM992" s="563">
        <f t="shared" ca="1" si="68"/>
        <v>44957</v>
      </c>
      <c r="AN992" s="564">
        <v>132.22</v>
      </c>
      <c r="AO992" s="564">
        <v>586786</v>
      </c>
      <c r="AP992" s="564">
        <v>53883.521999999997</v>
      </c>
      <c r="AQ992" s="564">
        <v>7124479.2788399998</v>
      </c>
      <c r="AR992" s="564">
        <v>1.86</v>
      </c>
    </row>
    <row r="993" spans="39:44">
      <c r="AM993" s="563">
        <f t="shared" ca="1" si="68"/>
        <v>44956</v>
      </c>
      <c r="AN993" s="564">
        <v>132.22</v>
      </c>
      <c r="AO993" s="564">
        <v>586786</v>
      </c>
      <c r="AP993" s="564">
        <v>53883.521999999997</v>
      </c>
      <c r="AQ993" s="564">
        <v>7124479.2788399998</v>
      </c>
      <c r="AR993" s="564">
        <v>1.86</v>
      </c>
    </row>
    <row r="994" spans="39:44">
      <c r="AM994" s="563">
        <f t="shared" ca="1" si="68"/>
        <v>44955</v>
      </c>
      <c r="AN994" s="564">
        <v>132.22</v>
      </c>
      <c r="AO994" s="564">
        <v>586786</v>
      </c>
      <c r="AP994" s="564">
        <v>53883.521999999997</v>
      </c>
      <c r="AQ994" s="564">
        <v>7124479.2788399998</v>
      </c>
      <c r="AR994" s="564">
        <v>1.86</v>
      </c>
    </row>
    <row r="995" spans="39:44">
      <c r="AM995" s="563">
        <f t="shared" ca="1" si="68"/>
        <v>44954</v>
      </c>
      <c r="AN995" s="564">
        <v>132.22</v>
      </c>
      <c r="AO995" s="564">
        <v>586786</v>
      </c>
      <c r="AP995" s="564">
        <v>53883.521999999997</v>
      </c>
      <c r="AQ995" s="564">
        <v>7124479.2788399998</v>
      </c>
      <c r="AR995" s="564">
        <v>1.86</v>
      </c>
    </row>
    <row r="996" spans="39:44">
      <c r="AM996" s="563">
        <f t="shared" ca="1" si="68"/>
        <v>44953</v>
      </c>
      <c r="AN996" s="564">
        <v>132.41</v>
      </c>
      <c r="AO996" s="564">
        <v>463628</v>
      </c>
      <c r="AP996" s="564">
        <v>53883.521999999997</v>
      </c>
      <c r="AQ996" s="564">
        <v>7134717.1480199993</v>
      </c>
      <c r="AR996" s="564">
        <v>1.8627</v>
      </c>
    </row>
    <row r="997" spans="39:44">
      <c r="AM997" s="563">
        <f t="shared" ca="1" si="68"/>
        <v>44952</v>
      </c>
      <c r="AN997" s="564">
        <v>133.79</v>
      </c>
      <c r="AO997" s="564">
        <v>658842</v>
      </c>
      <c r="AP997" s="564">
        <v>53883.521999999997</v>
      </c>
      <c r="AQ997" s="564">
        <v>7209076.408379999</v>
      </c>
      <c r="AR997" s="564">
        <v>1.8821000000000001</v>
      </c>
    </row>
    <row r="998" spans="39:44">
      <c r="AM998" s="563">
        <f t="shared" ca="1" si="68"/>
        <v>44951</v>
      </c>
      <c r="AN998" s="564">
        <v>129.93</v>
      </c>
      <c r="AO998" s="564">
        <v>544006</v>
      </c>
      <c r="AP998" s="564">
        <v>53883.521999999997</v>
      </c>
      <c r="AQ998" s="564">
        <v>7001086.01346</v>
      </c>
      <c r="AR998" s="564">
        <v>1.8278000000000001</v>
      </c>
    </row>
    <row r="999" spans="39:44">
      <c r="AM999" s="563">
        <f t="shared" ca="1" si="68"/>
        <v>44950</v>
      </c>
      <c r="AN999" s="564">
        <v>129.24</v>
      </c>
      <c r="AO999" s="564">
        <v>855257</v>
      </c>
      <c r="AP999" s="564">
        <v>53883.521999999997</v>
      </c>
      <c r="AQ999" s="564">
        <v>6963906.3832799997</v>
      </c>
      <c r="AR999" s="564">
        <v>1.8181</v>
      </c>
    </row>
    <row r="1000" spans="39:44">
      <c r="AM1000" s="563">
        <f t="shared" ca="1" si="68"/>
        <v>44949</v>
      </c>
      <c r="AN1000" s="564">
        <v>130.83000000000001</v>
      </c>
      <c r="AO1000" s="564">
        <v>693859</v>
      </c>
      <c r="AP1000" s="564">
        <v>53883.521999999997</v>
      </c>
      <c r="AQ1000" s="564">
        <v>7049581.1832600003</v>
      </c>
      <c r="AR1000" s="564">
        <v>1.8405</v>
      </c>
    </row>
    <row r="1001" spans="39:44">
      <c r="AM1001" s="563">
        <f t="shared" ca="1" si="68"/>
        <v>44948</v>
      </c>
      <c r="AN1001" s="564">
        <v>130.83000000000001</v>
      </c>
      <c r="AO1001" s="564">
        <v>693859</v>
      </c>
      <c r="AP1001" s="564">
        <v>53883.521999999997</v>
      </c>
      <c r="AQ1001" s="564">
        <v>7049581.1832600003</v>
      </c>
      <c r="AR1001" s="564">
        <v>1.8405</v>
      </c>
    </row>
    <row r="1002" spans="39:44">
      <c r="AM1002" s="563">
        <f t="shared" ca="1" si="68"/>
        <v>44947</v>
      </c>
      <c r="AN1002" s="564">
        <v>130.83000000000001</v>
      </c>
      <c r="AO1002" s="564">
        <v>693859</v>
      </c>
      <c r="AP1002" s="564">
        <v>53883.521999999997</v>
      </c>
      <c r="AQ1002" s="564">
        <v>7049581.1832600003</v>
      </c>
      <c r="AR1002" s="564">
        <v>1.8405</v>
      </c>
    </row>
    <row r="1003" spans="39:44">
      <c r="AM1003" s="563">
        <f t="shared" ca="1" si="68"/>
        <v>44946</v>
      </c>
      <c r="AN1003" s="564">
        <v>134.59</v>
      </c>
      <c r="AO1003" s="564">
        <v>2539596</v>
      </c>
      <c r="AP1003" s="564">
        <v>53883.521999999997</v>
      </c>
      <c r="AQ1003" s="564">
        <v>7252183.2259799996</v>
      </c>
      <c r="AR1003" s="564">
        <v>1.8934</v>
      </c>
    </row>
    <row r="1004" spans="39:44">
      <c r="AM1004" s="563">
        <f t="shared" ca="1" si="68"/>
        <v>44945</v>
      </c>
      <c r="AN1004" s="564">
        <v>140.27000000000001</v>
      </c>
      <c r="AO1004" s="564">
        <v>440022</v>
      </c>
      <c r="AP1004" s="564">
        <v>53883.521999999997</v>
      </c>
      <c r="AQ1004" s="564">
        <v>7558241.6309400005</v>
      </c>
      <c r="AR1004" s="564">
        <v>1.9733000000000001</v>
      </c>
    </row>
    <row r="1005" spans="39:44">
      <c r="AM1005" s="563">
        <f t="shared" ca="1" si="68"/>
        <v>44944</v>
      </c>
      <c r="AN1005" s="564">
        <v>141.93</v>
      </c>
      <c r="AO1005" s="564">
        <v>543175</v>
      </c>
      <c r="AP1005" s="564">
        <v>53883.521999999997</v>
      </c>
      <c r="AQ1005" s="564">
        <v>7647688.2774599995</v>
      </c>
      <c r="AR1005" s="564">
        <v>1.9965999999999999</v>
      </c>
    </row>
    <row r="1006" spans="39:44">
      <c r="AM1006" s="563">
        <f t="shared" ca="1" si="68"/>
        <v>44943</v>
      </c>
      <c r="AN1006" s="564">
        <v>141.28</v>
      </c>
      <c r="AO1006" s="564">
        <v>404611</v>
      </c>
      <c r="AP1006" s="564">
        <v>53883.521999999997</v>
      </c>
      <c r="AQ1006" s="564">
        <v>7612663.9881599993</v>
      </c>
      <c r="AR1006" s="564">
        <v>1.9875</v>
      </c>
    </row>
    <row r="1007" spans="39:44">
      <c r="AM1007" s="563">
        <f t="shared" ca="1" si="68"/>
        <v>44942</v>
      </c>
      <c r="AN1007" s="564">
        <v>137.97999999999999</v>
      </c>
      <c r="AO1007" s="564">
        <v>624953</v>
      </c>
      <c r="AP1007" s="564">
        <v>53883.521999999997</v>
      </c>
      <c r="AQ1007" s="564">
        <v>7434848.3655599989</v>
      </c>
      <c r="AR1007" s="564">
        <v>1.9411</v>
      </c>
    </row>
    <row r="1008" spans="39:44">
      <c r="AM1008" s="563">
        <f t="shared" ca="1" si="68"/>
        <v>44941</v>
      </c>
      <c r="AN1008" s="564">
        <v>137.97999999999999</v>
      </c>
      <c r="AO1008" s="564">
        <v>624953</v>
      </c>
      <c r="AP1008" s="564">
        <v>53883.521999999997</v>
      </c>
      <c r="AQ1008" s="564">
        <v>7434848.3655599989</v>
      </c>
      <c r="AR1008" s="564">
        <v>1.9411</v>
      </c>
    </row>
    <row r="1009" spans="39:44">
      <c r="AM1009" s="563">
        <f t="shared" ca="1" si="68"/>
        <v>44940</v>
      </c>
      <c r="AN1009" s="564">
        <v>137.97999999999999</v>
      </c>
      <c r="AO1009" s="564">
        <v>624953</v>
      </c>
      <c r="AP1009" s="564">
        <v>53883.521999999997</v>
      </c>
      <c r="AQ1009" s="564">
        <v>7434848.3655599989</v>
      </c>
      <c r="AR1009" s="564">
        <v>1.9411</v>
      </c>
    </row>
    <row r="1010" spans="39:44">
      <c r="AM1010" s="563">
        <f t="shared" ca="1" si="68"/>
        <v>44939</v>
      </c>
      <c r="AN1010" s="564">
        <v>139.16</v>
      </c>
      <c r="AO1010" s="564">
        <v>344714</v>
      </c>
      <c r="AP1010" s="564">
        <v>53883.521999999997</v>
      </c>
      <c r="AQ1010" s="564">
        <v>7498430.9215199994</v>
      </c>
      <c r="AR1010" s="564">
        <v>1.9577</v>
      </c>
    </row>
    <row r="1011" spans="39:44">
      <c r="AM1011" s="563">
        <f t="shared" ca="1" si="68"/>
        <v>44938</v>
      </c>
      <c r="AN1011" s="564">
        <v>138.19999999999999</v>
      </c>
      <c r="AO1011" s="564">
        <v>498248</v>
      </c>
      <c r="AP1011" s="564">
        <v>53883.521999999997</v>
      </c>
      <c r="AQ1011" s="564">
        <v>7446702.7403999986</v>
      </c>
      <c r="AR1011" s="564">
        <v>1.9441999999999999</v>
      </c>
    </row>
    <row r="1012" spans="39:44">
      <c r="AM1012" s="563">
        <f t="shared" ca="1" si="68"/>
        <v>44937</v>
      </c>
      <c r="AN1012" s="564">
        <v>137.41999999999999</v>
      </c>
      <c r="AO1012" s="564">
        <v>387035</v>
      </c>
      <c r="AP1012" s="564">
        <v>53883.521999999997</v>
      </c>
      <c r="AQ1012" s="564">
        <v>7404673.5932399994</v>
      </c>
      <c r="AR1012" s="564">
        <v>1.9332</v>
      </c>
    </row>
    <row r="1013" spans="39:44">
      <c r="AM1013" s="563">
        <f t="shared" ca="1" si="68"/>
        <v>44936</v>
      </c>
      <c r="AN1013" s="564">
        <v>140.38</v>
      </c>
      <c r="AO1013" s="564">
        <v>637744</v>
      </c>
      <c r="AP1013" s="564">
        <v>53883.521999999997</v>
      </c>
      <c r="AQ1013" s="564">
        <v>7564168.818359999</v>
      </c>
      <c r="AR1013" s="564">
        <v>1.9748000000000001</v>
      </c>
    </row>
    <row r="1014" spans="39:44">
      <c r="AM1014" s="563">
        <f t="shared" ca="1" si="68"/>
        <v>44935</v>
      </c>
      <c r="AN1014" s="564">
        <v>143.94</v>
      </c>
      <c r="AO1014" s="564">
        <v>404024</v>
      </c>
      <c r="AP1014" s="564">
        <v>53883.521999999997</v>
      </c>
      <c r="AQ1014" s="564">
        <v>7755994.1566799991</v>
      </c>
      <c r="AR1014" s="564">
        <v>2.0249000000000001</v>
      </c>
    </row>
    <row r="1015" spans="39:44">
      <c r="AM1015" s="563">
        <f t="shared" ca="1" si="68"/>
        <v>44934</v>
      </c>
      <c r="AN1015" s="564">
        <v>143.94</v>
      </c>
      <c r="AO1015" s="564">
        <v>404024</v>
      </c>
      <c r="AP1015" s="564">
        <v>53883.521999999997</v>
      </c>
      <c r="AQ1015" s="564">
        <v>7755994.1566799991</v>
      </c>
      <c r="AR1015" s="564">
        <v>2.0249000000000001</v>
      </c>
    </row>
    <row r="1016" spans="39:44">
      <c r="AM1016" s="563">
        <f t="shared" ca="1" si="68"/>
        <v>44933</v>
      </c>
      <c r="AN1016" s="564">
        <v>143.94</v>
      </c>
      <c r="AO1016" s="564">
        <v>404024</v>
      </c>
      <c r="AP1016" s="564">
        <v>53883.521999999997</v>
      </c>
      <c r="AQ1016" s="564">
        <v>7755994.1566799991</v>
      </c>
      <c r="AR1016" s="564">
        <v>2.0249000000000001</v>
      </c>
    </row>
    <row r="1017" spans="39:44">
      <c r="AM1017" s="563">
        <f t="shared" ca="1" si="68"/>
        <v>44932</v>
      </c>
      <c r="AN1017" s="564">
        <v>145.25</v>
      </c>
      <c r="AO1017" s="564">
        <v>642958</v>
      </c>
      <c r="AP1017" s="564">
        <v>53883.521999999997</v>
      </c>
      <c r="AQ1017" s="564">
        <v>7826581.5704999994</v>
      </c>
      <c r="AR1017" s="564">
        <v>2.0434000000000001</v>
      </c>
    </row>
    <row r="1018" spans="39:44">
      <c r="AM1018" s="563">
        <f t="shared" ca="1" si="68"/>
        <v>44931</v>
      </c>
      <c r="AN1018" s="564">
        <v>144.19</v>
      </c>
      <c r="AO1018" s="564">
        <v>724431</v>
      </c>
      <c r="AP1018" s="564">
        <v>53883.521999999997</v>
      </c>
      <c r="AQ1018" s="564">
        <v>7769465.0371799991</v>
      </c>
      <c r="AR1018" s="564">
        <v>2.0284</v>
      </c>
    </row>
    <row r="1019" spans="39:44">
      <c r="AM1019" s="563">
        <f t="shared" ca="1" si="68"/>
        <v>44930</v>
      </c>
      <c r="AN1019" s="564">
        <v>140.62</v>
      </c>
      <c r="AO1019" s="564">
        <v>569597</v>
      </c>
      <c r="AP1019" s="564">
        <v>53883.521999999997</v>
      </c>
      <c r="AQ1019" s="564">
        <v>7577100.8636400001</v>
      </c>
      <c r="AR1019" s="564">
        <v>1.9782</v>
      </c>
    </row>
    <row r="1020" spans="39:44">
      <c r="AM1020" s="563">
        <f t="shared" ca="1" si="68"/>
        <v>44929</v>
      </c>
      <c r="AN1020" s="564">
        <v>140.28</v>
      </c>
      <c r="AO1020" s="564">
        <v>493301</v>
      </c>
      <c r="AP1020" s="564">
        <v>53883.521999999997</v>
      </c>
      <c r="AQ1020" s="564">
        <v>7558780.4661599994</v>
      </c>
      <c r="AR1020" s="564">
        <v>1.9734</v>
      </c>
    </row>
    <row r="1021" spans="39:44">
      <c r="AM1021" s="563">
        <f t="shared" ca="1" si="68"/>
        <v>44928</v>
      </c>
      <c r="AN1021" s="564">
        <v>143.07</v>
      </c>
      <c r="AO1021" s="564">
        <v>128187</v>
      </c>
      <c r="AP1021" s="564">
        <v>53883.521999999997</v>
      </c>
      <c r="AQ1021" s="564">
        <v>7709115.4925399991</v>
      </c>
      <c r="AR1021" s="564">
        <v>2.0127000000000002</v>
      </c>
    </row>
    <row r="1022" spans="39:44">
      <c r="AM1022" s="563">
        <f t="shared" ca="1" si="68"/>
        <v>44927</v>
      </c>
      <c r="AN1022" s="564">
        <v>143.07</v>
      </c>
      <c r="AO1022" s="564">
        <v>128187</v>
      </c>
      <c r="AP1022" s="564">
        <v>53883.521999999997</v>
      </c>
      <c r="AQ1022" s="564">
        <v>7709115.4925399991</v>
      </c>
      <c r="AR1022" s="564">
        <v>2.0127000000000002</v>
      </c>
    </row>
    <row r="1023" spans="39:44">
      <c r="AM1023" s="563">
        <f t="shared" ca="1" si="68"/>
        <v>44926</v>
      </c>
      <c r="AN1023" s="564">
        <v>143.07</v>
      </c>
      <c r="AO1023" s="564">
        <v>128187</v>
      </c>
      <c r="AP1023" s="564">
        <v>53883.521999999997</v>
      </c>
      <c r="AQ1023" s="564">
        <v>7709115.4925399991</v>
      </c>
      <c r="AR1023" s="564">
        <v>2.0127000000000002</v>
      </c>
    </row>
    <row r="1024" spans="39:44">
      <c r="AM1024" s="563">
        <f t="shared" ca="1" si="68"/>
        <v>44925</v>
      </c>
      <c r="AN1024" s="564">
        <v>142.06</v>
      </c>
      <c r="AO1024" s="564">
        <v>231661</v>
      </c>
      <c r="AP1024" s="564">
        <v>53883.521999999997</v>
      </c>
      <c r="AQ1024" s="564">
        <v>7654693.1353199994</v>
      </c>
      <c r="AR1024" s="564">
        <v>1.9984999999999999</v>
      </c>
    </row>
    <row r="1025" spans="39:44">
      <c r="AM1025" s="563">
        <f t="shared" ca="1" si="68"/>
        <v>44924</v>
      </c>
      <c r="AN1025" s="564">
        <v>142.06</v>
      </c>
      <c r="AO1025" s="564">
        <v>231661</v>
      </c>
      <c r="AP1025" s="564">
        <v>53883.521999999997</v>
      </c>
      <c r="AQ1025" s="564">
        <v>7654693.1353199994</v>
      </c>
      <c r="AR1025" s="564">
        <v>1.9984999999999999</v>
      </c>
    </row>
    <row r="1026" spans="39:44">
      <c r="AM1026" s="563">
        <f t="shared" ca="1" si="68"/>
        <v>44923</v>
      </c>
      <c r="AN1026" s="564">
        <v>140.05000000000001</v>
      </c>
      <c r="AO1026" s="564">
        <v>654608</v>
      </c>
      <c r="AP1026" s="564">
        <v>53883.521999999997</v>
      </c>
      <c r="AQ1026" s="564">
        <v>7546387.2560999999</v>
      </c>
      <c r="AR1026" s="564">
        <v>1.9702</v>
      </c>
    </row>
    <row r="1027" spans="39:44">
      <c r="AM1027" s="563">
        <f t="shared" ca="1" si="68"/>
        <v>44922</v>
      </c>
      <c r="AN1027" s="564">
        <v>139.13</v>
      </c>
      <c r="AO1027" s="564">
        <v>281586</v>
      </c>
      <c r="AP1027" s="564">
        <v>53883.521999999997</v>
      </c>
      <c r="AQ1027" s="564">
        <v>7496814.4158599991</v>
      </c>
      <c r="AR1027" s="564">
        <v>1.9573</v>
      </c>
    </row>
    <row r="1028" spans="39:44">
      <c r="AM1028" s="563">
        <f t="shared" ca="1" si="68"/>
        <v>44921</v>
      </c>
      <c r="AN1028" s="564">
        <v>138.91999999999999</v>
      </c>
      <c r="AO1028" s="564">
        <v>328756</v>
      </c>
      <c r="AP1028" s="564">
        <v>53883.521999999997</v>
      </c>
      <c r="AQ1028" s="564">
        <v>7485498.8762399992</v>
      </c>
      <c r="AR1028" s="564">
        <v>1.9542999999999999</v>
      </c>
    </row>
    <row r="1029" spans="39:44">
      <c r="AM1029" s="563">
        <f t="shared" ref="AM1029:AM1051" ca="1" si="69">AM1028-1</f>
        <v>44920</v>
      </c>
      <c r="AN1029" s="564">
        <v>138.91999999999999</v>
      </c>
      <c r="AO1029" s="564">
        <v>328756</v>
      </c>
      <c r="AP1029" s="564">
        <v>53883.521999999997</v>
      </c>
      <c r="AQ1029" s="564">
        <v>7485498.8762399992</v>
      </c>
      <c r="AR1029" s="564">
        <v>1.9542999999999999</v>
      </c>
    </row>
    <row r="1030" spans="39:44">
      <c r="AM1030" s="563">
        <f t="shared" ca="1" si="69"/>
        <v>44919</v>
      </c>
      <c r="AN1030" s="564">
        <v>138.91999999999999</v>
      </c>
      <c r="AO1030" s="564">
        <v>328756</v>
      </c>
      <c r="AP1030" s="564">
        <v>53883.521999999997</v>
      </c>
      <c r="AQ1030" s="564">
        <v>7485498.8762399992</v>
      </c>
      <c r="AR1030" s="564">
        <v>1.9542999999999999</v>
      </c>
    </row>
    <row r="1031" spans="39:44">
      <c r="AM1031" s="563">
        <f t="shared" ca="1" si="69"/>
        <v>44918</v>
      </c>
      <c r="AN1031" s="564">
        <v>138.47999999999999</v>
      </c>
      <c r="AO1031" s="564">
        <v>702029</v>
      </c>
      <c r="AP1031" s="564">
        <v>53883.521999999997</v>
      </c>
      <c r="AQ1031" s="564">
        <v>7461790.1265599988</v>
      </c>
      <c r="AR1031" s="564">
        <v>1.9480999999999999</v>
      </c>
    </row>
    <row r="1032" spans="39:44">
      <c r="AM1032" s="563">
        <f t="shared" ca="1" si="69"/>
        <v>44917</v>
      </c>
      <c r="AN1032" s="564">
        <v>139.84</v>
      </c>
      <c r="AO1032" s="564">
        <v>338150</v>
      </c>
      <c r="AP1032" s="564">
        <v>53883.521999999997</v>
      </c>
      <c r="AQ1032" s="564">
        <v>7535071.7164799999</v>
      </c>
      <c r="AR1032" s="564">
        <v>1.9672000000000001</v>
      </c>
    </row>
    <row r="1033" spans="39:44">
      <c r="AM1033" s="563">
        <f t="shared" ca="1" si="69"/>
        <v>44916</v>
      </c>
      <c r="AN1033" s="564">
        <v>140.04</v>
      </c>
      <c r="AO1033" s="564">
        <v>702956</v>
      </c>
      <c r="AP1033" s="564">
        <v>53883.521999999997</v>
      </c>
      <c r="AQ1033" s="564">
        <v>7545848.4208799992</v>
      </c>
      <c r="AR1033" s="564">
        <v>1.9701</v>
      </c>
    </row>
    <row r="1034" spans="39:44">
      <c r="AM1034" s="563">
        <f t="shared" ca="1" si="69"/>
        <v>44915</v>
      </c>
      <c r="AN1034" s="564">
        <v>137.15</v>
      </c>
      <c r="AO1034" s="564">
        <v>2398890</v>
      </c>
      <c r="AP1034" s="564">
        <v>53883.521999999997</v>
      </c>
      <c r="AQ1034" s="564">
        <v>7390125.0422999999</v>
      </c>
      <c r="AR1034" s="564">
        <v>1.9294</v>
      </c>
    </row>
    <row r="1035" spans="39:44">
      <c r="AM1035" s="563">
        <f t="shared" ca="1" si="69"/>
        <v>44914</v>
      </c>
      <c r="AN1035" s="564">
        <v>141.38999999999999</v>
      </c>
      <c r="AO1035" s="564">
        <v>1562496</v>
      </c>
      <c r="AP1035" s="564">
        <v>53883.521999999997</v>
      </c>
      <c r="AQ1035" s="564">
        <v>7618591.1755799986</v>
      </c>
      <c r="AR1035" s="564">
        <v>1.9891000000000001</v>
      </c>
    </row>
    <row r="1036" spans="39:44">
      <c r="AM1036" s="563">
        <f t="shared" ca="1" si="69"/>
        <v>44913</v>
      </c>
      <c r="AN1036" s="564">
        <v>141.38999999999999</v>
      </c>
      <c r="AO1036" s="564">
        <v>1562496</v>
      </c>
      <c r="AP1036" s="564">
        <v>53883.521999999997</v>
      </c>
      <c r="AQ1036" s="564">
        <v>7618591.1755799986</v>
      </c>
      <c r="AR1036" s="564">
        <v>1.9891000000000001</v>
      </c>
    </row>
    <row r="1037" spans="39:44">
      <c r="AM1037" s="563">
        <f t="shared" ca="1" si="69"/>
        <v>44912</v>
      </c>
      <c r="AN1037" s="564">
        <v>141.38999999999999</v>
      </c>
      <c r="AO1037" s="564">
        <v>1562496</v>
      </c>
      <c r="AP1037" s="564">
        <v>53883.521999999997</v>
      </c>
      <c r="AQ1037" s="564">
        <v>7618591.1755799986</v>
      </c>
      <c r="AR1037" s="564">
        <v>1.9891000000000001</v>
      </c>
    </row>
    <row r="1038" spans="39:44">
      <c r="AM1038" s="563">
        <f t="shared" ca="1" si="69"/>
        <v>44911</v>
      </c>
      <c r="AN1038" s="564">
        <v>137.22</v>
      </c>
      <c r="AO1038" s="564">
        <v>1265173</v>
      </c>
      <c r="AP1038" s="564">
        <v>53883.521999999997</v>
      </c>
      <c r="AQ1038" s="564">
        <v>7393896.8888399992</v>
      </c>
      <c r="AR1038" s="564">
        <v>1.9303999999999999</v>
      </c>
    </row>
    <row r="1039" spans="39:44">
      <c r="AM1039" s="563">
        <f t="shared" ca="1" si="69"/>
        <v>44910</v>
      </c>
      <c r="AN1039" s="564">
        <v>125.53</v>
      </c>
      <c r="AO1039" s="564">
        <v>1231304</v>
      </c>
      <c r="AP1039" s="564">
        <v>53883.682000000001</v>
      </c>
      <c r="AQ1039" s="564">
        <v>6764018.6014600005</v>
      </c>
      <c r="AR1039" s="564">
        <v>1.7659</v>
      </c>
    </row>
    <row r="1040" spans="39:44">
      <c r="AM1040" s="563">
        <f t="shared" ca="1" si="69"/>
        <v>44909</v>
      </c>
      <c r="AN1040" s="564">
        <v>138.22</v>
      </c>
      <c r="AO1040" s="564">
        <v>666281</v>
      </c>
      <c r="AP1040" s="564">
        <v>53883.682000000001</v>
      </c>
      <c r="AQ1040" s="564">
        <v>7447802.5260399999</v>
      </c>
      <c r="AR1040" s="564">
        <v>1.9444999999999999</v>
      </c>
    </row>
    <row r="1041" spans="39:44">
      <c r="AM1041" s="563">
        <f t="shared" ca="1" si="69"/>
        <v>44908</v>
      </c>
      <c r="AN1041" s="564">
        <v>136.34</v>
      </c>
      <c r="AO1041" s="564">
        <v>517197</v>
      </c>
      <c r="AP1041" s="564">
        <v>53883.682000000001</v>
      </c>
      <c r="AQ1041" s="564">
        <v>7346501.2038799999</v>
      </c>
      <c r="AR1041" s="564">
        <v>1.9179999999999999</v>
      </c>
    </row>
    <row r="1042" spans="39:44">
      <c r="AM1042" s="563">
        <f t="shared" ca="1" si="69"/>
        <v>44907</v>
      </c>
      <c r="AN1042" s="564">
        <v>131.34</v>
      </c>
      <c r="AO1042" s="564">
        <v>462790</v>
      </c>
      <c r="AP1042" s="564">
        <v>53883.682000000001</v>
      </c>
      <c r="AQ1042" s="564">
        <v>7077082.7938800007</v>
      </c>
      <c r="AR1042" s="564">
        <v>1.8476999999999999</v>
      </c>
    </row>
    <row r="1043" spans="39:44">
      <c r="AM1043" s="563">
        <f t="shared" ca="1" si="69"/>
        <v>44906</v>
      </c>
      <c r="AN1043" s="564">
        <v>131.34</v>
      </c>
      <c r="AO1043" s="564">
        <v>462790</v>
      </c>
      <c r="AP1043" s="564">
        <v>53883.682000000001</v>
      </c>
      <c r="AQ1043" s="564">
        <v>7077082.7938800007</v>
      </c>
      <c r="AR1043" s="564">
        <v>1.8476999999999999</v>
      </c>
    </row>
    <row r="1044" spans="39:44">
      <c r="AM1044" s="563">
        <f t="shared" ca="1" si="69"/>
        <v>44905</v>
      </c>
      <c r="AN1044" s="564">
        <v>131.34</v>
      </c>
      <c r="AO1044" s="564">
        <v>462790</v>
      </c>
      <c r="AP1044" s="564">
        <v>53883.682000000001</v>
      </c>
      <c r="AQ1044" s="564">
        <v>7077082.7938800007</v>
      </c>
      <c r="AR1044" s="564">
        <v>1.8476999999999999</v>
      </c>
    </row>
    <row r="1045" spans="39:44">
      <c r="AM1045" s="563">
        <f t="shared" ca="1" si="69"/>
        <v>44904</v>
      </c>
      <c r="AN1045" s="564">
        <v>130</v>
      </c>
      <c r="AO1045" s="564">
        <v>711807</v>
      </c>
      <c r="AP1045" s="564">
        <v>53883.682000000001</v>
      </c>
      <c r="AQ1045" s="564">
        <v>7004878.6600000001</v>
      </c>
      <c r="AR1045" s="564">
        <v>1.8288</v>
      </c>
    </row>
    <row r="1046" spans="39:44">
      <c r="AM1046" s="563">
        <f t="shared" ca="1" si="69"/>
        <v>44903</v>
      </c>
      <c r="AN1046" s="564">
        <v>135.79</v>
      </c>
      <c r="AO1046" s="564">
        <v>389552</v>
      </c>
      <c r="AP1046" s="564">
        <v>53883.682000000001</v>
      </c>
      <c r="AQ1046" s="564">
        <v>7316865.1787799997</v>
      </c>
      <c r="AR1046" s="564">
        <v>1.9103000000000001</v>
      </c>
    </row>
    <row r="1047" spans="39:44">
      <c r="AM1047" s="563">
        <f t="shared" ca="1" si="69"/>
        <v>44902</v>
      </c>
      <c r="AN1047" s="564">
        <v>141.38999999999999</v>
      </c>
      <c r="AO1047" s="564">
        <v>284106</v>
      </c>
      <c r="AP1047" s="564">
        <v>53883.682000000001</v>
      </c>
      <c r="AQ1047" s="564">
        <v>7618613.7979799993</v>
      </c>
      <c r="AR1047" s="564">
        <v>1.9891000000000001</v>
      </c>
    </row>
    <row r="1048" spans="39:44">
      <c r="AM1048" s="563">
        <f t="shared" ca="1" si="69"/>
        <v>44901</v>
      </c>
      <c r="AN1048" s="564">
        <v>139.86000000000001</v>
      </c>
      <c r="AO1048" s="564">
        <v>367102</v>
      </c>
      <c r="AP1048" s="564">
        <v>53883.682000000001</v>
      </c>
      <c r="AQ1048" s="564">
        <v>7536171.7645200007</v>
      </c>
      <c r="AR1048" s="564">
        <v>1.9675</v>
      </c>
    </row>
    <row r="1049" spans="39:44">
      <c r="AM1049" s="563">
        <f t="shared" ca="1" si="69"/>
        <v>44900</v>
      </c>
      <c r="AN1049" s="564">
        <v>140.28</v>
      </c>
      <c r="AO1049" s="564">
        <v>644776</v>
      </c>
      <c r="AP1049" s="564">
        <v>53883.682000000001</v>
      </c>
      <c r="AQ1049" s="564">
        <v>7558802.91096</v>
      </c>
      <c r="AR1049" s="564">
        <v>1.9734</v>
      </c>
    </row>
    <row r="1050" spans="39:44">
      <c r="AM1050" s="563">
        <f t="shared" ca="1" si="69"/>
        <v>44899</v>
      </c>
      <c r="AN1050" s="564">
        <v>140.28</v>
      </c>
      <c r="AO1050" s="564">
        <v>644776</v>
      </c>
      <c r="AP1050" s="564">
        <v>53883.682000000001</v>
      </c>
      <c r="AQ1050" s="564">
        <v>7558802.91096</v>
      </c>
      <c r="AR1050" s="564">
        <v>1.9734</v>
      </c>
    </row>
    <row r="1051" spans="39:44">
      <c r="AM1051" s="563">
        <f t="shared" ca="1" si="69"/>
        <v>44898</v>
      </c>
      <c r="AN1051" s="564">
        <v>140.28</v>
      </c>
      <c r="AO1051" s="564">
        <v>644776</v>
      </c>
      <c r="AP1051" s="564">
        <v>53883.682000000001</v>
      </c>
      <c r="AQ1051" s="564">
        <v>7558802.91096</v>
      </c>
      <c r="AR1051" s="564">
        <v>1.9734</v>
      </c>
    </row>
  </sheetData>
  <mergeCells count="5">
    <mergeCell ref="C3:H3"/>
    <mergeCell ref="J3:O3"/>
    <mergeCell ref="Y3:AD3"/>
    <mergeCell ref="AF3:AK3"/>
    <mergeCell ref="R3:W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687E4-EB83-41F7-B784-3D160349D763}">
  <sheetPr>
    <tabColor rgb="FFBE606D"/>
  </sheetPr>
  <dimension ref="B3:AL129"/>
  <sheetViews>
    <sheetView zoomScale="75" workbookViewId="0">
      <selection activeCell="D127" sqref="D127"/>
    </sheetView>
  </sheetViews>
  <sheetFormatPr defaultColWidth="8.875" defaultRowHeight="14.1"/>
  <cols>
    <col min="2" max="2" width="9.5" customWidth="1"/>
    <col min="3" max="3" width="45.5" bestFit="1" customWidth="1"/>
    <col min="4" max="4" width="12" bestFit="1" customWidth="1"/>
    <col min="5" max="5" width="8.875" bestFit="1" customWidth="1"/>
    <col min="6" max="6" width="18.375" bestFit="1" customWidth="1"/>
    <col min="8" max="8" width="9.5" bestFit="1" customWidth="1"/>
    <col min="14" max="14" width="9.5" bestFit="1" customWidth="1"/>
    <col min="20" max="20" width="9.5" bestFit="1" customWidth="1"/>
  </cols>
  <sheetData>
    <row r="3" spans="2:33">
      <c r="D3" s="821"/>
      <c r="E3" s="821"/>
      <c r="F3" s="821"/>
      <c r="G3" s="821"/>
    </row>
    <row r="4" spans="2:33">
      <c r="D4" t="s">
        <v>191</v>
      </c>
      <c r="E4" t="s">
        <v>192</v>
      </c>
      <c r="F4" t="s">
        <v>193</v>
      </c>
      <c r="G4" t="s">
        <v>194</v>
      </c>
      <c r="H4">
        <v>2020</v>
      </c>
      <c r="I4" t="s">
        <v>191</v>
      </c>
      <c r="J4" t="s">
        <v>192</v>
      </c>
      <c r="K4" t="s">
        <v>193</v>
      </c>
      <c r="L4" t="s">
        <v>194</v>
      </c>
      <c r="M4">
        <f>H4+1</f>
        <v>2021</v>
      </c>
      <c r="N4" t="s">
        <v>191</v>
      </c>
      <c r="O4" t="s">
        <v>192</v>
      </c>
      <c r="P4" t="s">
        <v>193</v>
      </c>
      <c r="Q4" t="s">
        <v>194</v>
      </c>
      <c r="R4">
        <f t="shared" ref="R4" si="0">M4+1</f>
        <v>2022</v>
      </c>
      <c r="S4" t="s">
        <v>191</v>
      </c>
      <c r="T4" t="s">
        <v>192</v>
      </c>
      <c r="U4" t="s">
        <v>193</v>
      </c>
      <c r="V4" t="s">
        <v>194</v>
      </c>
      <c r="W4">
        <f t="shared" ref="W4" si="1">R4+1</f>
        <v>2023</v>
      </c>
      <c r="X4" t="s">
        <v>191</v>
      </c>
      <c r="Y4" t="s">
        <v>192</v>
      </c>
      <c r="Z4" t="s">
        <v>193</v>
      </c>
      <c r="AA4" t="s">
        <v>194</v>
      </c>
      <c r="AB4">
        <f t="shared" ref="AB4" si="2">W4+1</f>
        <v>2024</v>
      </c>
      <c r="AC4" t="s">
        <v>191</v>
      </c>
      <c r="AD4" t="s">
        <v>192</v>
      </c>
      <c r="AE4" t="s">
        <v>193</v>
      </c>
      <c r="AF4" t="s">
        <v>194</v>
      </c>
      <c r="AG4">
        <f t="shared" ref="AG4" si="3">AB4+1</f>
        <v>2025</v>
      </c>
    </row>
    <row r="5" spans="2:33">
      <c r="C5" t="s">
        <v>770</v>
      </c>
      <c r="D5" s="46">
        <v>143942</v>
      </c>
      <c r="E5" s="46">
        <v>111824</v>
      </c>
      <c r="F5" s="46">
        <v>128814</v>
      </c>
      <c r="G5" s="46">
        <v>147317</v>
      </c>
      <c r="H5" s="66">
        <v>531897</v>
      </c>
      <c r="I5" s="46">
        <v>154957</v>
      </c>
      <c r="J5" s="46">
        <v>165711</v>
      </c>
      <c r="K5" s="46">
        <v>175354</v>
      </c>
      <c r="L5" s="46">
        <v>171954</v>
      </c>
      <c r="M5" s="66">
        <v>667976</v>
      </c>
      <c r="N5" s="46">
        <v>206071</v>
      </c>
      <c r="O5" s="46">
        <v>189486</v>
      </c>
      <c r="P5" s="46">
        <v>201200</v>
      </c>
      <c r="Q5" s="46">
        <v>200477</v>
      </c>
      <c r="R5" s="66">
        <v>797234</v>
      </c>
      <c r="S5" s="46">
        <v>215407</v>
      </c>
      <c r="T5" s="46">
        <v>203521</v>
      </c>
      <c r="U5" s="46">
        <v>196433</v>
      </c>
      <c r="V5" s="46">
        <v>191585</v>
      </c>
      <c r="W5" s="66">
        <v>806946</v>
      </c>
      <c r="X5" s="46">
        <v>206048</v>
      </c>
      <c r="Y5" s="46">
        <v>198584</v>
      </c>
      <c r="Z5" s="46">
        <v>179476</v>
      </c>
      <c r="AA5" s="46">
        <v>178394</v>
      </c>
      <c r="AB5" s="66">
        <v>762502</v>
      </c>
      <c r="AC5" s="46">
        <v>202606</v>
      </c>
      <c r="AD5" s="46">
        <v>213611</v>
      </c>
    </row>
    <row r="6" spans="2:33">
      <c r="C6" t="s">
        <v>771</v>
      </c>
      <c r="D6" s="46">
        <v>26599</v>
      </c>
      <c r="E6" s="46">
        <v>27611</v>
      </c>
      <c r="F6" s="46">
        <v>27384</v>
      </c>
      <c r="G6" s="46">
        <v>28938</v>
      </c>
      <c r="H6" s="66">
        <f>SUM(D6:G6)</f>
        <v>110532</v>
      </c>
      <c r="I6" s="46">
        <v>30432</v>
      </c>
      <c r="J6" s="46">
        <v>29610</v>
      </c>
      <c r="K6" s="46">
        <v>30630</v>
      </c>
      <c r="L6" s="46">
        <v>34571</v>
      </c>
      <c r="M6" s="66">
        <f>SUM(I6:L6)</f>
        <v>125243</v>
      </c>
      <c r="N6" s="46">
        <v>46742</v>
      </c>
      <c r="O6" s="46">
        <v>29035</v>
      </c>
      <c r="P6" s="46">
        <v>31140</v>
      </c>
      <c r="Q6" s="46">
        <v>31144</v>
      </c>
      <c r="R6" s="66">
        <f>SUM(N6:Q6)</f>
        <v>138061</v>
      </c>
      <c r="S6" s="46">
        <v>34947</v>
      </c>
      <c r="T6" s="46">
        <v>30830</v>
      </c>
      <c r="U6" s="46">
        <v>33281</v>
      </c>
      <c r="V6" s="46">
        <v>33546</v>
      </c>
      <c r="W6" s="66">
        <f>SUM(S6:V6)</f>
        <v>132604</v>
      </c>
      <c r="X6" s="46">
        <v>32410</v>
      </c>
      <c r="Y6" s="46">
        <v>31646</v>
      </c>
      <c r="Z6" s="46">
        <v>30780</v>
      </c>
      <c r="AA6" s="46">
        <v>32338</v>
      </c>
      <c r="AB6" s="66">
        <f>SUM(X6:AA6)</f>
        <v>127174</v>
      </c>
      <c r="AC6" s="46">
        <v>32145</v>
      </c>
      <c r="AD6" s="46">
        <v>32190</v>
      </c>
    </row>
    <row r="7" spans="2:33">
      <c r="B7" t="s">
        <v>772</v>
      </c>
      <c r="C7" t="s">
        <v>770</v>
      </c>
      <c r="D7" s="684">
        <f>D5-D6</f>
        <v>117343</v>
      </c>
      <c r="E7" s="684">
        <f t="shared" ref="E7:AB7" si="4">E5-E6</f>
        <v>84213</v>
      </c>
      <c r="F7" s="684">
        <f t="shared" si="4"/>
        <v>101430</v>
      </c>
      <c r="G7" s="684">
        <f t="shared" si="4"/>
        <v>118379</v>
      </c>
      <c r="H7" s="684">
        <f t="shared" si="4"/>
        <v>421365</v>
      </c>
      <c r="I7" s="684">
        <f t="shared" si="4"/>
        <v>124525</v>
      </c>
      <c r="J7" s="684">
        <f t="shared" si="4"/>
        <v>136101</v>
      </c>
      <c r="K7" s="684">
        <f t="shared" si="4"/>
        <v>144724</v>
      </c>
      <c r="L7" s="684">
        <f t="shared" si="4"/>
        <v>137383</v>
      </c>
      <c r="M7" s="684">
        <f t="shared" si="4"/>
        <v>542733</v>
      </c>
      <c r="N7" s="684">
        <f t="shared" si="4"/>
        <v>159329</v>
      </c>
      <c r="O7" s="684">
        <f t="shared" si="4"/>
        <v>160451</v>
      </c>
      <c r="P7" s="684">
        <f t="shared" si="4"/>
        <v>170060</v>
      </c>
      <c r="Q7" s="684">
        <f t="shared" si="4"/>
        <v>169333</v>
      </c>
      <c r="R7" s="684">
        <f t="shared" si="4"/>
        <v>659173</v>
      </c>
      <c r="S7" s="684">
        <f t="shared" si="4"/>
        <v>180460</v>
      </c>
      <c r="T7" s="684">
        <f t="shared" si="4"/>
        <v>172691</v>
      </c>
      <c r="U7" s="684">
        <f t="shared" si="4"/>
        <v>163152</v>
      </c>
      <c r="V7" s="684">
        <f t="shared" si="4"/>
        <v>158039</v>
      </c>
      <c r="W7" s="684">
        <f t="shared" si="4"/>
        <v>674342</v>
      </c>
      <c r="X7" s="684">
        <f t="shared" si="4"/>
        <v>173638</v>
      </c>
      <c r="Y7" s="684">
        <f t="shared" si="4"/>
        <v>166938</v>
      </c>
      <c r="Z7" s="684">
        <f t="shared" si="4"/>
        <v>148696</v>
      </c>
      <c r="AA7" s="684">
        <f t="shared" si="4"/>
        <v>146056</v>
      </c>
      <c r="AB7" s="684">
        <f t="shared" si="4"/>
        <v>635328</v>
      </c>
      <c r="AC7" s="684">
        <f t="shared" ref="AC7" si="5">AC5-AC6</f>
        <v>170461</v>
      </c>
      <c r="AD7" s="684">
        <f t="shared" ref="AD7" si="6">AD5-AD6</f>
        <v>181421</v>
      </c>
    </row>
    <row r="10" spans="2:33">
      <c r="AC10" s="82"/>
    </row>
    <row r="17" spans="3:38">
      <c r="D17" s="46"/>
      <c r="E17" s="46"/>
      <c r="F17" s="46"/>
      <c r="G17" s="46"/>
      <c r="H17" s="66"/>
      <c r="I17" s="46"/>
      <c r="J17" s="46"/>
      <c r="K17" s="46"/>
      <c r="L17" s="46"/>
      <c r="M17" s="66"/>
      <c r="N17" s="46"/>
      <c r="O17" s="46"/>
      <c r="P17" s="46"/>
      <c r="Q17" s="46"/>
      <c r="R17" s="66"/>
      <c r="S17" s="46"/>
      <c r="T17" s="46"/>
      <c r="U17" s="46"/>
      <c r="V17" s="46"/>
      <c r="W17" s="66"/>
      <c r="X17" s="46"/>
      <c r="Y17" s="46"/>
      <c r="Z17" s="46"/>
      <c r="AA17" s="46"/>
      <c r="AB17" s="66"/>
      <c r="AC17" s="46"/>
      <c r="AD17" s="46"/>
    </row>
    <row r="20" spans="3:38">
      <c r="D20">
        <v>2020</v>
      </c>
      <c r="J20">
        <f>D20+1</f>
        <v>2021</v>
      </c>
      <c r="P20">
        <f>J20+1</f>
        <v>2022</v>
      </c>
      <c r="V20">
        <f>P20+1</f>
        <v>2023</v>
      </c>
      <c r="AB20">
        <f>V20+1</f>
        <v>2024</v>
      </c>
      <c r="AH20">
        <f>AB20+1</f>
        <v>2025</v>
      </c>
    </row>
    <row r="21" spans="3:38" ht="15">
      <c r="D21" s="168" t="s">
        <v>191</v>
      </c>
      <c r="E21" s="168" t="s">
        <v>192</v>
      </c>
      <c r="F21" s="168" t="s">
        <v>193</v>
      </c>
      <c r="G21" s="168" t="s">
        <v>194</v>
      </c>
      <c r="H21" s="168" t="s">
        <v>195</v>
      </c>
      <c r="I21" s="18"/>
      <c r="J21" s="168" t="s">
        <v>191</v>
      </c>
      <c r="K21" s="168" t="s">
        <v>192</v>
      </c>
      <c r="L21" s="168" t="s">
        <v>193</v>
      </c>
      <c r="M21" s="168" t="s">
        <v>194</v>
      </c>
      <c r="N21" s="168" t="s">
        <v>195</v>
      </c>
      <c r="O21" s="165"/>
      <c r="P21" s="168" t="s">
        <v>191</v>
      </c>
      <c r="Q21" s="168" t="s">
        <v>192</v>
      </c>
      <c r="R21" s="168" t="s">
        <v>193</v>
      </c>
      <c r="S21" s="168" t="s">
        <v>194</v>
      </c>
      <c r="T21" s="168" t="s">
        <v>195</v>
      </c>
      <c r="U21" s="165"/>
      <c r="V21" s="168" t="s">
        <v>191</v>
      </c>
      <c r="W21" s="168" t="s">
        <v>192</v>
      </c>
      <c r="X21" s="168" t="s">
        <v>193</v>
      </c>
      <c r="Y21" s="168" t="s">
        <v>194</v>
      </c>
      <c r="Z21" s="168" t="s">
        <v>195</v>
      </c>
      <c r="AA21" s="165"/>
      <c r="AB21" s="168" t="s">
        <v>191</v>
      </c>
      <c r="AC21" s="168" t="s">
        <v>192</v>
      </c>
      <c r="AD21" s="168" t="s">
        <v>193</v>
      </c>
      <c r="AE21" s="168" t="s">
        <v>194</v>
      </c>
      <c r="AF21" s="168" t="s">
        <v>195</v>
      </c>
      <c r="AG21" s="165"/>
      <c r="AH21" s="168" t="s">
        <v>191</v>
      </c>
      <c r="AI21" s="168" t="s">
        <v>192</v>
      </c>
      <c r="AJ21" s="168" t="s">
        <v>193</v>
      </c>
      <c r="AK21" s="168" t="s">
        <v>194</v>
      </c>
      <c r="AL21" s="168" t="s">
        <v>195</v>
      </c>
    </row>
    <row r="22" spans="3:38" ht="15">
      <c r="C22" t="s">
        <v>773</v>
      </c>
      <c r="D22" s="60">
        <v>381043</v>
      </c>
      <c r="E22" s="60">
        <v>649720</v>
      </c>
      <c r="F22" s="60">
        <v>220310</v>
      </c>
      <c r="G22" s="60">
        <v>268103</v>
      </c>
      <c r="H22" s="57">
        <v>268103</v>
      </c>
      <c r="I22" s="20"/>
      <c r="J22" s="60">
        <v>309331</v>
      </c>
      <c r="K22" s="60">
        <v>395562</v>
      </c>
      <c r="L22" s="60">
        <v>251476</v>
      </c>
      <c r="M22" s="60">
        <v>180362</v>
      </c>
      <c r="N22" s="57">
        <v>180362</v>
      </c>
      <c r="O22" s="20"/>
      <c r="P22" s="60">
        <v>146676</v>
      </c>
      <c r="Q22" s="60">
        <v>166589</v>
      </c>
      <c r="R22" s="60">
        <v>144918</v>
      </c>
      <c r="S22" s="60">
        <v>162001</v>
      </c>
      <c r="T22" s="57">
        <v>162001</v>
      </c>
      <c r="U22" s="20"/>
      <c r="V22" s="60">
        <v>156524</v>
      </c>
      <c r="W22" s="60">
        <v>157279</v>
      </c>
      <c r="X22" s="60">
        <v>167189</v>
      </c>
      <c r="Y22" s="60">
        <v>247496</v>
      </c>
      <c r="Z22" s="57">
        <v>247496</v>
      </c>
      <c r="AA22" s="122"/>
      <c r="AB22" s="60">
        <v>341018</v>
      </c>
      <c r="AC22" s="60">
        <v>459457</v>
      </c>
      <c r="AD22" s="60">
        <v>606004</v>
      </c>
      <c r="AE22" s="60">
        <v>689533</v>
      </c>
      <c r="AF22" s="57">
        <v>689533</v>
      </c>
      <c r="AG22" s="124"/>
      <c r="AH22" s="60">
        <v>745143</v>
      </c>
      <c r="AI22" s="60">
        <v>511499</v>
      </c>
    </row>
    <row r="23" spans="3:38" ht="15">
      <c r="C23" t="s">
        <v>774</v>
      </c>
      <c r="D23" s="60">
        <v>0</v>
      </c>
      <c r="E23" s="60">
        <v>0</v>
      </c>
      <c r="F23" s="60">
        <v>0</v>
      </c>
      <c r="G23" s="60">
        <v>0</v>
      </c>
      <c r="H23" s="57">
        <v>0</v>
      </c>
      <c r="I23" s="20"/>
      <c r="J23" s="60">
        <v>0</v>
      </c>
      <c r="K23" s="60">
        <v>0</v>
      </c>
      <c r="L23" s="60">
        <v>0</v>
      </c>
      <c r="M23" s="60">
        <v>0</v>
      </c>
      <c r="N23" s="57">
        <v>0</v>
      </c>
      <c r="O23" s="20"/>
      <c r="P23" s="60">
        <v>0</v>
      </c>
      <c r="Q23" s="60">
        <v>0</v>
      </c>
      <c r="R23" s="60">
        <v>0</v>
      </c>
      <c r="S23" s="60">
        <v>0</v>
      </c>
      <c r="T23" s="57">
        <v>0</v>
      </c>
      <c r="U23" s="20"/>
      <c r="V23" s="60">
        <v>0</v>
      </c>
      <c r="W23" s="60">
        <v>0</v>
      </c>
      <c r="X23" s="60">
        <v>0</v>
      </c>
      <c r="Y23" s="60">
        <v>0</v>
      </c>
      <c r="Z23" s="57">
        <v>0</v>
      </c>
      <c r="AA23" s="122"/>
      <c r="AB23" s="60">
        <v>0</v>
      </c>
      <c r="AC23" s="60">
        <v>0</v>
      </c>
      <c r="AD23" s="60">
        <v>0</v>
      </c>
      <c r="AE23" s="60">
        <v>0</v>
      </c>
      <c r="AF23" s="57">
        <v>0</v>
      </c>
      <c r="AG23" s="124"/>
      <c r="AH23" s="60">
        <v>0</v>
      </c>
      <c r="AI23" s="60">
        <v>0</v>
      </c>
    </row>
    <row r="25" spans="3:38" ht="15">
      <c r="C25" t="s">
        <v>775</v>
      </c>
      <c r="D25" s="60">
        <v>3269926</v>
      </c>
      <c r="E25" s="60">
        <v>3271486</v>
      </c>
      <c r="F25" s="60">
        <v>3275961</v>
      </c>
      <c r="G25" s="60">
        <v>3384642</v>
      </c>
      <c r="H25" s="57">
        <v>3384642</v>
      </c>
      <c r="I25" s="20"/>
      <c r="J25" s="60">
        <v>3356938</v>
      </c>
      <c r="K25" s="60">
        <v>3338801</v>
      </c>
      <c r="L25" s="60">
        <v>3680783</v>
      </c>
      <c r="M25" s="60">
        <v>4118846</v>
      </c>
      <c r="N25" s="57">
        <v>4118846</v>
      </c>
      <c r="O25" s="20"/>
      <c r="P25" s="60">
        <v>4071598</v>
      </c>
      <c r="Q25" s="60">
        <v>4026156</v>
      </c>
      <c r="R25" s="60">
        <v>4069221</v>
      </c>
      <c r="S25" s="60">
        <v>4206066</v>
      </c>
      <c r="T25" s="57">
        <v>4206066</v>
      </c>
      <c r="U25" s="20"/>
      <c r="V25" s="60">
        <v>4220229</v>
      </c>
      <c r="W25" s="60">
        <v>4242637</v>
      </c>
      <c r="X25" s="60">
        <v>4227965</v>
      </c>
      <c r="Y25" s="60">
        <v>4179386</v>
      </c>
      <c r="Z25" s="57">
        <v>4179386</v>
      </c>
      <c r="AA25" s="122"/>
      <c r="AB25" s="60">
        <v>4142795</v>
      </c>
      <c r="AC25" s="60">
        <v>4122686</v>
      </c>
      <c r="AD25" s="60">
        <v>4157772</v>
      </c>
      <c r="AE25" s="60">
        <v>4129259</v>
      </c>
      <c r="AF25" s="57">
        <v>4129259</v>
      </c>
      <c r="AG25" s="124"/>
      <c r="AH25" s="60">
        <v>4149634</v>
      </c>
      <c r="AI25" s="60">
        <v>4206332</v>
      </c>
    </row>
    <row r="26" spans="3:38" ht="15">
      <c r="C26" t="s">
        <v>639</v>
      </c>
      <c r="D26" s="60">
        <v>1835787</v>
      </c>
      <c r="E26" s="60">
        <v>1841684</v>
      </c>
      <c r="F26" s="60">
        <v>1855361</v>
      </c>
      <c r="G26" s="60">
        <v>1934261</v>
      </c>
      <c r="H26" s="57">
        <v>1934261</v>
      </c>
      <c r="I26" s="20"/>
      <c r="J26" s="60">
        <v>1928644</v>
      </c>
      <c r="K26" s="60">
        <v>1932172</v>
      </c>
      <c r="L26" s="60">
        <v>2106182</v>
      </c>
      <c r="M26" s="60">
        <v>2243469</v>
      </c>
      <c r="N26" s="57">
        <v>2243469</v>
      </c>
      <c r="O26" s="20"/>
      <c r="P26" s="60">
        <v>2236441</v>
      </c>
      <c r="Q26" s="60">
        <v>2221120</v>
      </c>
      <c r="R26" s="60">
        <v>2287420</v>
      </c>
      <c r="S26" s="60">
        <v>2411834</v>
      </c>
      <c r="T26" s="57">
        <v>2411834</v>
      </c>
      <c r="U26" s="20"/>
      <c r="V26" s="60">
        <v>2429167</v>
      </c>
      <c r="W26" s="60">
        <v>2451866</v>
      </c>
      <c r="X26" s="60">
        <v>2452419</v>
      </c>
      <c r="Y26" s="60">
        <v>2486310</v>
      </c>
      <c r="Z26" s="57">
        <v>2486310</v>
      </c>
      <c r="AA26" s="122"/>
      <c r="AB26" s="60">
        <v>2473323</v>
      </c>
      <c r="AC26" s="60">
        <v>2471721</v>
      </c>
      <c r="AD26" s="60">
        <v>2506810</v>
      </c>
      <c r="AE26" s="60">
        <v>2518222</v>
      </c>
      <c r="AF26" s="57">
        <v>2518222</v>
      </c>
      <c r="AG26" s="124"/>
      <c r="AH26" s="60">
        <v>2543430</v>
      </c>
      <c r="AI26" s="60">
        <v>2592312</v>
      </c>
    </row>
    <row r="27" spans="3:38" ht="15">
      <c r="C27" t="s">
        <v>776</v>
      </c>
      <c r="D27" s="60">
        <f>D25-D26</f>
        <v>1434139</v>
      </c>
      <c r="E27" s="60">
        <f t="shared" ref="E27:J27" si="7">E25-E26</f>
        <v>1429802</v>
      </c>
      <c r="F27" s="60">
        <f t="shared" si="7"/>
        <v>1420600</v>
      </c>
      <c r="G27" s="60">
        <f t="shared" si="7"/>
        <v>1450381</v>
      </c>
      <c r="H27" s="60">
        <f t="shared" si="7"/>
        <v>1450381</v>
      </c>
      <c r="I27" s="20"/>
      <c r="J27" s="60">
        <f t="shared" si="7"/>
        <v>1428294</v>
      </c>
      <c r="K27" s="60">
        <f t="shared" ref="K27" si="8">K25-K26</f>
        <v>1406629</v>
      </c>
      <c r="L27" s="60">
        <f t="shared" ref="L27" si="9">L25-L26</f>
        <v>1574601</v>
      </c>
      <c r="M27" s="60">
        <f t="shared" ref="M27" si="10">M25-M26</f>
        <v>1875377</v>
      </c>
      <c r="N27" s="60">
        <f t="shared" ref="N27" si="11">N25-N26</f>
        <v>1875377</v>
      </c>
      <c r="O27" s="60"/>
      <c r="P27" s="60">
        <f t="shared" ref="P27" si="12">P25-P26</f>
        <v>1835157</v>
      </c>
      <c r="Q27" s="60">
        <f t="shared" ref="Q27" si="13">Q25-Q26</f>
        <v>1805036</v>
      </c>
      <c r="R27" s="60">
        <f t="shared" ref="R27" si="14">R25-R26</f>
        <v>1781801</v>
      </c>
      <c r="S27" s="60">
        <f t="shared" ref="S27" si="15">S25-S26</f>
        <v>1794232</v>
      </c>
      <c r="T27" s="60">
        <f t="shared" ref="T27" si="16">T25-T26</f>
        <v>1794232</v>
      </c>
      <c r="U27" s="60"/>
      <c r="V27" s="60">
        <f t="shared" ref="V27" si="17">V25-V26</f>
        <v>1791062</v>
      </c>
      <c r="W27" s="60">
        <f t="shared" ref="W27" si="18">W25-W26</f>
        <v>1790771</v>
      </c>
      <c r="X27" s="60">
        <f t="shared" ref="X27" si="19">X25-X26</f>
        <v>1775546</v>
      </c>
      <c r="Y27" s="60">
        <f t="shared" ref="Y27" si="20">Y25-Y26</f>
        <v>1693076</v>
      </c>
      <c r="Z27" s="60">
        <f t="shared" ref="Z27" si="21">Z25-Z26</f>
        <v>1693076</v>
      </c>
      <c r="AA27" s="60"/>
      <c r="AB27" s="60">
        <f t="shared" ref="AB27" si="22">AB25-AB26</f>
        <v>1669472</v>
      </c>
      <c r="AC27" s="60">
        <f t="shared" ref="AC27" si="23">AC25-AC26</f>
        <v>1650965</v>
      </c>
      <c r="AD27" s="60">
        <f t="shared" ref="AD27" si="24">AD25-AD26</f>
        <v>1650962</v>
      </c>
      <c r="AE27" s="60">
        <f t="shared" ref="AE27" si="25">AE25-AE26</f>
        <v>1611037</v>
      </c>
      <c r="AF27" s="60">
        <f t="shared" ref="AF27" si="26">AF25-AF26</f>
        <v>1611037</v>
      </c>
      <c r="AG27" s="60"/>
      <c r="AH27" s="60">
        <f t="shared" ref="AH27" si="27">AH25-AH26</f>
        <v>1606204</v>
      </c>
      <c r="AI27" s="60">
        <f t="shared" ref="AI27" si="28">AI25-AI26</f>
        <v>1614020</v>
      </c>
    </row>
    <row r="32" spans="3:38" ht="15">
      <c r="D32" s="168" t="s">
        <v>191</v>
      </c>
      <c r="E32" s="168" t="s">
        <v>192</v>
      </c>
      <c r="F32" s="168" t="s">
        <v>193</v>
      </c>
      <c r="G32" s="168" t="s">
        <v>194</v>
      </c>
      <c r="H32" s="168" t="s">
        <v>195</v>
      </c>
      <c r="I32" s="18"/>
      <c r="J32" s="168" t="s">
        <v>191</v>
      </c>
      <c r="K32" s="168" t="s">
        <v>192</v>
      </c>
      <c r="L32" s="168" t="s">
        <v>193</v>
      </c>
      <c r="M32" s="168" t="s">
        <v>194</v>
      </c>
      <c r="N32" s="168" t="s">
        <v>195</v>
      </c>
      <c r="O32" s="165"/>
      <c r="P32" s="168" t="s">
        <v>191</v>
      </c>
      <c r="Q32" s="168" t="s">
        <v>192</v>
      </c>
      <c r="R32" s="168" t="s">
        <v>193</v>
      </c>
      <c r="S32" s="168" t="s">
        <v>194</v>
      </c>
      <c r="T32" s="168" t="s">
        <v>195</v>
      </c>
      <c r="U32" s="165"/>
      <c r="V32" s="168" t="s">
        <v>191</v>
      </c>
      <c r="W32" s="168" t="s">
        <v>192</v>
      </c>
      <c r="X32" s="168" t="s">
        <v>193</v>
      </c>
      <c r="Y32" s="168" t="s">
        <v>194</v>
      </c>
      <c r="Z32" s="168" t="s">
        <v>195</v>
      </c>
      <c r="AA32" s="165"/>
      <c r="AB32" s="168" t="s">
        <v>191</v>
      </c>
      <c r="AC32" s="168" t="s">
        <v>192</v>
      </c>
      <c r="AD32" s="168" t="s">
        <v>193</v>
      </c>
      <c r="AE32" s="168" t="s">
        <v>194</v>
      </c>
      <c r="AF32" s="168" t="s">
        <v>195</v>
      </c>
      <c r="AG32" s="165"/>
      <c r="AH32" s="168" t="s">
        <v>191</v>
      </c>
      <c r="AI32" s="168" t="s">
        <v>192</v>
      </c>
      <c r="AJ32" s="168" t="s">
        <v>193</v>
      </c>
      <c r="AK32" s="168" t="s">
        <v>194</v>
      </c>
    </row>
    <row r="33" spans="2:37">
      <c r="C33" s="159" t="s">
        <v>777</v>
      </c>
      <c r="D33" s="60">
        <v>319698</v>
      </c>
      <c r="E33" s="60">
        <v>195482</v>
      </c>
      <c r="F33" s="60">
        <v>-1302707</v>
      </c>
      <c r="G33" s="60">
        <v>620931</v>
      </c>
      <c r="H33" s="74">
        <v>-166596</v>
      </c>
      <c r="I33" s="48"/>
      <c r="J33" s="60">
        <v>-6523</v>
      </c>
      <c r="K33" s="60">
        <v>-9846</v>
      </c>
      <c r="L33" s="60">
        <v>73207</v>
      </c>
      <c r="M33" s="60">
        <v>475216</v>
      </c>
      <c r="N33" s="74">
        <v>532054</v>
      </c>
      <c r="O33" s="48"/>
      <c r="P33" s="60">
        <v>178734</v>
      </c>
      <c r="Q33" s="60">
        <v>78613</v>
      </c>
      <c r="R33" s="60">
        <v>54927</v>
      </c>
      <c r="S33" s="60">
        <v>-39866</v>
      </c>
      <c r="T33" s="74">
        <v>272408</v>
      </c>
      <c r="U33" s="48"/>
      <c r="V33" s="60">
        <v>4271</v>
      </c>
      <c r="W33" s="60">
        <v>-4962</v>
      </c>
      <c r="X33" s="60">
        <v>-150533</v>
      </c>
      <c r="Y33" s="60">
        <v>-165150</v>
      </c>
      <c r="Z33" s="74">
        <v>-316374</v>
      </c>
      <c r="AA33" s="81"/>
      <c r="AB33" s="60">
        <v>-11563</v>
      </c>
      <c r="AC33" s="60">
        <v>-13141</v>
      </c>
      <c r="AD33" s="60">
        <v>-2827</v>
      </c>
      <c r="AE33" s="60">
        <v>-11577</v>
      </c>
      <c r="AF33" s="74">
        <v>-39108</v>
      </c>
      <c r="AG33" s="82"/>
      <c r="AH33" s="60">
        <v>-14313</v>
      </c>
      <c r="AI33" s="60">
        <v>-23455</v>
      </c>
      <c r="AJ33" s="50"/>
      <c r="AK33" s="50"/>
    </row>
    <row r="35" spans="2:37" ht="14.45" thickBot="1">
      <c r="C35" s="160" t="s">
        <v>687</v>
      </c>
      <c r="D35" s="60">
        <v>245098</v>
      </c>
      <c r="E35" s="60">
        <v>193233</v>
      </c>
      <c r="F35" s="60">
        <v>-573169</v>
      </c>
      <c r="G35" s="60">
        <v>-117630</v>
      </c>
      <c r="H35" s="93">
        <v>-252468</v>
      </c>
      <c r="I35" s="48"/>
      <c r="J35" s="60">
        <v>-8285</v>
      </c>
      <c r="K35" s="60">
        <v>-10446</v>
      </c>
      <c r="L35" s="60">
        <v>73092</v>
      </c>
      <c r="M35" s="60">
        <v>448428</v>
      </c>
      <c r="N35" s="93">
        <v>502789</v>
      </c>
      <c r="O35" s="48"/>
      <c r="P35" s="60">
        <v>8721</v>
      </c>
      <c r="Q35" s="60">
        <v>9017</v>
      </c>
      <c r="R35" s="60">
        <v>54856</v>
      </c>
      <c r="S35" s="60">
        <v>-64963</v>
      </c>
      <c r="T35" s="93">
        <v>7631</v>
      </c>
      <c r="U35" s="48"/>
      <c r="V35" s="60">
        <v>-63377</v>
      </c>
      <c r="W35" s="60">
        <v>-11858</v>
      </c>
      <c r="X35" s="60">
        <v>-150533</v>
      </c>
      <c r="Y35" s="60">
        <v>-165171</v>
      </c>
      <c r="Z35" s="93">
        <v>-390939</v>
      </c>
      <c r="AA35" s="48"/>
      <c r="AB35" s="60">
        <v>-28558</v>
      </c>
      <c r="AC35" s="60">
        <v>-14117</v>
      </c>
      <c r="AD35" s="60">
        <v>-3114</v>
      </c>
      <c r="AE35" s="60">
        <v>-27979</v>
      </c>
      <c r="AF35" s="93">
        <v>-73768</v>
      </c>
      <c r="AG35" s="95"/>
      <c r="AH35" s="60">
        <v>-57091</v>
      </c>
      <c r="AI35" s="60">
        <v>-346368</v>
      </c>
    </row>
    <row r="36" spans="2:37" ht="14.45" thickTop="1"/>
    <row r="37" spans="2:37">
      <c r="C37" t="s">
        <v>778</v>
      </c>
    </row>
    <row r="38" spans="2:37">
      <c r="C38" t="s">
        <v>779</v>
      </c>
      <c r="D38" s="60">
        <v>2303.953</v>
      </c>
      <c r="E38" s="60">
        <v>246.34200000000001</v>
      </c>
      <c r="F38" s="60">
        <v>0</v>
      </c>
      <c r="G38" s="60">
        <v>748.24800000000005</v>
      </c>
      <c r="H38" s="74">
        <v>3298.5430000000001</v>
      </c>
      <c r="I38" s="48"/>
      <c r="J38" s="60">
        <v>18.995000000000001</v>
      </c>
      <c r="K38" s="60">
        <v>0.16900000000000001</v>
      </c>
      <c r="L38" s="60">
        <v>466.81200000000001</v>
      </c>
      <c r="M38" s="60">
        <v>1251.095</v>
      </c>
      <c r="N38" s="74">
        <v>1737.0709999999999</v>
      </c>
      <c r="O38" s="48"/>
      <c r="P38" s="60">
        <v>365</v>
      </c>
      <c r="Q38" s="60">
        <v>335.69299999999998</v>
      </c>
      <c r="R38" s="60">
        <v>1014.307</v>
      </c>
      <c r="S38" s="60">
        <v>130.53</v>
      </c>
      <c r="T38" s="74">
        <v>1845.53</v>
      </c>
      <c r="U38" s="48"/>
      <c r="V38" s="60">
        <v>195.197</v>
      </c>
      <c r="W38" s="60">
        <v>194.58500000000001</v>
      </c>
      <c r="X38" s="60">
        <v>175.41800000000001</v>
      </c>
      <c r="Y38" s="60">
        <v>74.834000000000003</v>
      </c>
      <c r="Z38" s="74">
        <v>640.03399999999999</v>
      </c>
      <c r="AA38" s="81"/>
      <c r="AB38" s="60">
        <v>0</v>
      </c>
      <c r="AC38" s="60">
        <v>0</v>
      </c>
      <c r="AD38" s="60">
        <v>0</v>
      </c>
      <c r="AE38" s="60">
        <v>0</v>
      </c>
      <c r="AF38" s="74">
        <v>0</v>
      </c>
      <c r="AG38" s="82"/>
      <c r="AH38" s="60">
        <v>0</v>
      </c>
      <c r="AI38" s="60">
        <v>0</v>
      </c>
    </row>
    <row r="39" spans="2:37">
      <c r="C39" t="s">
        <v>780</v>
      </c>
      <c r="D39" s="60">
        <v>-1976.6780000000001</v>
      </c>
      <c r="E39" s="60">
        <v>-48.7</v>
      </c>
      <c r="F39" s="60">
        <v>-1196.82</v>
      </c>
      <c r="G39" s="60">
        <v>-123.617</v>
      </c>
      <c r="H39" s="74">
        <v>-3345.8150000000001</v>
      </c>
      <c r="I39" s="48"/>
      <c r="J39" s="60">
        <v>-25.518000000000001</v>
      </c>
      <c r="K39" s="60">
        <v>-4.5</v>
      </c>
      <c r="L39" s="60">
        <v>-399.12</v>
      </c>
      <c r="M39" s="60">
        <v>-706.22299999999996</v>
      </c>
      <c r="N39" s="74">
        <v>-1135.3610000000001</v>
      </c>
      <c r="O39" s="48"/>
      <c r="P39" s="60">
        <v>-176.61099999999999</v>
      </c>
      <c r="Q39" s="60">
        <v>-249.88900000000001</v>
      </c>
      <c r="R39" s="60">
        <v>-958.40599999999995</v>
      </c>
      <c r="S39" s="60">
        <v>-170.631</v>
      </c>
      <c r="T39" s="74">
        <v>-1555.537</v>
      </c>
      <c r="U39" s="48"/>
      <c r="V39" s="60">
        <v>-190.875</v>
      </c>
      <c r="W39" s="60">
        <v>-196.43700000000001</v>
      </c>
      <c r="X39" s="60">
        <v>-324.875</v>
      </c>
      <c r="Y39" s="60">
        <v>-236.52</v>
      </c>
      <c r="Z39" s="74">
        <v>-948.70699999999999</v>
      </c>
      <c r="AA39" s="81"/>
      <c r="AB39" s="60">
        <v>-11.507999999999999</v>
      </c>
      <c r="AC39" s="60">
        <v>-10.367000000000001</v>
      </c>
      <c r="AD39" s="60">
        <v>-1.611</v>
      </c>
      <c r="AE39" s="60">
        <v>-11.744</v>
      </c>
      <c r="AF39" s="74">
        <v>-33.036999999999999</v>
      </c>
      <c r="AG39" s="82"/>
      <c r="AH39" s="60">
        <v>-14.256</v>
      </c>
      <c r="AI39" s="60">
        <v>-7.6189999999999998</v>
      </c>
    </row>
    <row r="40" spans="2:37">
      <c r="C40" t="s">
        <v>781</v>
      </c>
      <c r="D40" s="684">
        <f>D38+D39</f>
        <v>327.27499999999986</v>
      </c>
      <c r="E40" s="684">
        <f t="shared" ref="E40:H40" si="29">E38+E39</f>
        <v>197.642</v>
      </c>
      <c r="F40" s="684">
        <f t="shared" si="29"/>
        <v>-1196.82</v>
      </c>
      <c r="G40" s="684">
        <f t="shared" si="29"/>
        <v>624.63100000000009</v>
      </c>
      <c r="H40" s="684">
        <f t="shared" si="29"/>
        <v>-47.271999999999935</v>
      </c>
      <c r="I40" s="684"/>
      <c r="J40" s="684">
        <f t="shared" ref="J40" si="30">J38+J39</f>
        <v>-6.5229999999999997</v>
      </c>
      <c r="K40" s="684">
        <f t="shared" ref="K40" si="31">K38+K39</f>
        <v>-4.3310000000000004</v>
      </c>
      <c r="L40" s="684">
        <f t="shared" ref="L40" si="32">L38+L39</f>
        <v>67.692000000000007</v>
      </c>
      <c r="M40" s="684">
        <f t="shared" ref="M40" si="33">M38+M39</f>
        <v>544.87200000000007</v>
      </c>
      <c r="N40" s="684">
        <f t="shared" ref="N40" si="34">N38+N39</f>
        <v>601.70999999999981</v>
      </c>
      <c r="O40" s="684"/>
      <c r="P40" s="684">
        <f t="shared" ref="P40" si="35">P38+P39</f>
        <v>188.38900000000001</v>
      </c>
      <c r="Q40" s="684">
        <f t="shared" ref="Q40" si="36">Q38+Q39</f>
        <v>85.803999999999974</v>
      </c>
      <c r="R40" s="684">
        <f t="shared" ref="R40" si="37">R38+R39</f>
        <v>55.901000000000067</v>
      </c>
      <c r="S40" s="684">
        <f t="shared" ref="S40" si="38">S38+S39</f>
        <v>-40.100999999999999</v>
      </c>
      <c r="T40" s="684">
        <f t="shared" ref="T40" si="39">T38+T39</f>
        <v>289.99299999999994</v>
      </c>
      <c r="U40" s="684"/>
      <c r="V40" s="684">
        <f t="shared" ref="V40" si="40">V38+V39</f>
        <v>4.3220000000000027</v>
      </c>
      <c r="W40" s="684">
        <f t="shared" ref="W40" si="41">W38+W39</f>
        <v>-1.8520000000000039</v>
      </c>
      <c r="X40" s="684">
        <f t="shared" ref="X40" si="42">X38+X39</f>
        <v>-149.45699999999999</v>
      </c>
      <c r="Y40" s="684">
        <f t="shared" ref="Y40" si="43">Y38+Y39</f>
        <v>-161.68600000000001</v>
      </c>
      <c r="Z40" s="684">
        <f t="shared" ref="Z40" si="44">Z38+Z39</f>
        <v>-308.673</v>
      </c>
      <c r="AA40" s="684"/>
      <c r="AB40" s="684">
        <f t="shared" ref="AB40" si="45">AB38+AB39</f>
        <v>-11.507999999999999</v>
      </c>
      <c r="AC40" s="684">
        <f t="shared" ref="AC40" si="46">AC38+AC39</f>
        <v>-10.367000000000001</v>
      </c>
      <c r="AD40" s="684">
        <f t="shared" ref="AD40" si="47">AD38+AD39</f>
        <v>-1.611</v>
      </c>
      <c r="AE40" s="684">
        <f t="shared" ref="AE40" si="48">AE38+AE39</f>
        <v>-11.744</v>
      </c>
      <c r="AF40" s="684">
        <f t="shared" ref="AF40" si="49">AF38+AF39</f>
        <v>-33.036999999999999</v>
      </c>
      <c r="AG40" s="684"/>
      <c r="AH40" s="684">
        <f t="shared" ref="AH40" si="50">AH38+AH39</f>
        <v>-14.256</v>
      </c>
      <c r="AI40" s="684">
        <f t="shared" ref="AI40" si="51">AI38+AI39</f>
        <v>-7.6189999999999998</v>
      </c>
    </row>
    <row r="42" spans="2:37">
      <c r="C42" t="s">
        <v>782</v>
      </c>
    </row>
    <row r="43" spans="2:37">
      <c r="C43" t="s">
        <v>779</v>
      </c>
      <c r="D43" s="60">
        <f>D38*1000</f>
        <v>2303953</v>
      </c>
      <c r="E43" s="60">
        <f t="shared" ref="E43:AI45" si="52">E38*1000</f>
        <v>246342</v>
      </c>
      <c r="F43" s="60">
        <f t="shared" si="52"/>
        <v>0</v>
      </c>
      <c r="G43" s="60">
        <f t="shared" si="52"/>
        <v>748248</v>
      </c>
      <c r="H43" s="60">
        <f t="shared" si="52"/>
        <v>3298543</v>
      </c>
      <c r="J43" s="60">
        <f t="shared" si="52"/>
        <v>18995</v>
      </c>
      <c r="K43" s="60">
        <f t="shared" si="52"/>
        <v>169</v>
      </c>
      <c r="L43" s="60">
        <f t="shared" si="52"/>
        <v>466812</v>
      </c>
      <c r="M43" s="60">
        <f t="shared" si="52"/>
        <v>1251095</v>
      </c>
      <c r="N43" s="60">
        <f t="shared" si="52"/>
        <v>1737071</v>
      </c>
      <c r="O43" s="60"/>
      <c r="P43" s="60">
        <f t="shared" si="52"/>
        <v>365000</v>
      </c>
      <c r="Q43" s="60">
        <f t="shared" si="52"/>
        <v>335693</v>
      </c>
      <c r="R43" s="60">
        <f t="shared" si="52"/>
        <v>1014307</v>
      </c>
      <c r="S43" s="60">
        <f t="shared" si="52"/>
        <v>130530</v>
      </c>
      <c r="T43" s="60">
        <f t="shared" si="52"/>
        <v>1845530</v>
      </c>
      <c r="U43" s="60"/>
      <c r="V43" s="60">
        <f t="shared" si="52"/>
        <v>195197</v>
      </c>
      <c r="W43" s="60">
        <f t="shared" si="52"/>
        <v>194585</v>
      </c>
      <c r="X43" s="60">
        <f t="shared" si="52"/>
        <v>175418</v>
      </c>
      <c r="Y43" s="60">
        <f t="shared" si="52"/>
        <v>74834</v>
      </c>
      <c r="Z43" s="60">
        <f t="shared" si="52"/>
        <v>640034</v>
      </c>
      <c r="AA43" s="60"/>
      <c r="AB43" s="60">
        <f t="shared" si="52"/>
        <v>0</v>
      </c>
      <c r="AC43" s="60">
        <f t="shared" si="52"/>
        <v>0</v>
      </c>
      <c r="AD43" s="60">
        <f t="shared" si="52"/>
        <v>0</v>
      </c>
      <c r="AE43" s="60">
        <f t="shared" si="52"/>
        <v>0</v>
      </c>
      <c r="AF43" s="60">
        <f t="shared" si="52"/>
        <v>0</v>
      </c>
      <c r="AG43" s="60"/>
      <c r="AH43" s="60">
        <f t="shared" si="52"/>
        <v>0</v>
      </c>
      <c r="AI43" s="60">
        <f t="shared" si="52"/>
        <v>0</v>
      </c>
    </row>
    <row r="44" spans="2:37">
      <c r="C44" t="s">
        <v>780</v>
      </c>
      <c r="D44" s="60">
        <f t="shared" ref="D44:S45" si="53">D39*1000</f>
        <v>-1976678</v>
      </c>
      <c r="E44" s="60">
        <f t="shared" si="53"/>
        <v>-48700</v>
      </c>
      <c r="F44" s="60">
        <f t="shared" si="53"/>
        <v>-1196820</v>
      </c>
      <c r="G44" s="60">
        <f t="shared" si="53"/>
        <v>-123617</v>
      </c>
      <c r="H44" s="60">
        <f t="shared" si="53"/>
        <v>-3345815</v>
      </c>
      <c r="J44" s="60">
        <f t="shared" si="53"/>
        <v>-25518</v>
      </c>
      <c r="K44" s="60">
        <f t="shared" si="53"/>
        <v>-4500</v>
      </c>
      <c r="L44" s="60">
        <f t="shared" si="53"/>
        <v>-399120</v>
      </c>
      <c r="M44" s="60">
        <f t="shared" si="53"/>
        <v>-706223</v>
      </c>
      <c r="N44" s="60">
        <f t="shared" si="53"/>
        <v>-1135361</v>
      </c>
      <c r="O44" s="60"/>
      <c r="P44" s="60">
        <f t="shared" si="53"/>
        <v>-176611</v>
      </c>
      <c r="Q44" s="60">
        <f t="shared" si="53"/>
        <v>-249889</v>
      </c>
      <c r="R44" s="60">
        <f t="shared" si="53"/>
        <v>-958406</v>
      </c>
      <c r="S44" s="60">
        <f t="shared" si="53"/>
        <v>-170631</v>
      </c>
      <c r="T44" s="60">
        <f t="shared" si="52"/>
        <v>-1555537</v>
      </c>
      <c r="U44" s="60"/>
      <c r="V44" s="60">
        <f t="shared" si="52"/>
        <v>-190875</v>
      </c>
      <c r="W44" s="60">
        <f t="shared" si="52"/>
        <v>-196437</v>
      </c>
      <c r="X44" s="60">
        <f t="shared" si="52"/>
        <v>-324875</v>
      </c>
      <c r="Y44" s="60">
        <f t="shared" si="52"/>
        <v>-236520</v>
      </c>
      <c r="Z44" s="60">
        <f t="shared" si="52"/>
        <v>-948707</v>
      </c>
      <c r="AA44" s="60"/>
      <c r="AB44" s="60">
        <f t="shared" si="52"/>
        <v>-11508</v>
      </c>
      <c r="AC44" s="60">
        <f t="shared" si="52"/>
        <v>-10367</v>
      </c>
      <c r="AD44" s="60">
        <f t="shared" si="52"/>
        <v>-1611</v>
      </c>
      <c r="AE44" s="60">
        <f t="shared" si="52"/>
        <v>-11744</v>
      </c>
      <c r="AF44" s="60">
        <f t="shared" si="52"/>
        <v>-33037</v>
      </c>
      <c r="AG44" s="60"/>
      <c r="AH44" s="60">
        <f t="shared" si="52"/>
        <v>-14256</v>
      </c>
      <c r="AI44" s="60">
        <f t="shared" si="52"/>
        <v>-7619</v>
      </c>
    </row>
    <row r="45" spans="2:37">
      <c r="C45" t="s">
        <v>781</v>
      </c>
      <c r="D45" s="60">
        <f t="shared" si="53"/>
        <v>327274.99999999988</v>
      </c>
      <c r="E45" s="60">
        <f t="shared" si="53"/>
        <v>197642</v>
      </c>
      <c r="F45" s="60">
        <f t="shared" si="53"/>
        <v>-1196820</v>
      </c>
      <c r="G45" s="60">
        <f t="shared" si="53"/>
        <v>624631.00000000012</v>
      </c>
      <c r="H45" s="60">
        <f t="shared" si="53"/>
        <v>-47271.999999999935</v>
      </c>
      <c r="J45" s="60">
        <f t="shared" si="53"/>
        <v>-6523</v>
      </c>
      <c r="K45" s="60">
        <f t="shared" si="53"/>
        <v>-4331</v>
      </c>
      <c r="L45" s="60">
        <f t="shared" si="53"/>
        <v>67692</v>
      </c>
      <c r="M45" s="60">
        <f t="shared" si="53"/>
        <v>544872.00000000012</v>
      </c>
      <c r="N45" s="60">
        <f t="shared" si="53"/>
        <v>601709.99999999977</v>
      </c>
      <c r="O45" s="60"/>
      <c r="P45" s="60">
        <f t="shared" si="53"/>
        <v>188389</v>
      </c>
      <c r="Q45" s="60">
        <f t="shared" si="53"/>
        <v>85803.999999999971</v>
      </c>
      <c r="R45" s="60">
        <f t="shared" si="53"/>
        <v>55901.000000000065</v>
      </c>
      <c r="S45" s="60">
        <f t="shared" si="53"/>
        <v>-40101</v>
      </c>
      <c r="T45" s="60">
        <f t="shared" si="52"/>
        <v>289992.99999999994</v>
      </c>
      <c r="U45" s="60"/>
      <c r="V45" s="60">
        <f t="shared" si="52"/>
        <v>4322.0000000000027</v>
      </c>
      <c r="W45" s="60">
        <f t="shared" si="52"/>
        <v>-1852.0000000000039</v>
      </c>
      <c r="X45" s="60">
        <f t="shared" si="52"/>
        <v>-149457</v>
      </c>
      <c r="Y45" s="60">
        <f t="shared" si="52"/>
        <v>-161686</v>
      </c>
      <c r="Z45" s="60">
        <f t="shared" si="52"/>
        <v>-308673</v>
      </c>
      <c r="AA45" s="60"/>
      <c r="AB45" s="60">
        <f t="shared" si="52"/>
        <v>-11508</v>
      </c>
      <c r="AC45" s="60">
        <f t="shared" si="52"/>
        <v>-10367</v>
      </c>
      <c r="AD45" s="60">
        <f t="shared" si="52"/>
        <v>-1611</v>
      </c>
      <c r="AE45" s="60">
        <f t="shared" si="52"/>
        <v>-11744</v>
      </c>
      <c r="AF45" s="60">
        <f t="shared" si="52"/>
        <v>-33037</v>
      </c>
      <c r="AG45" s="60"/>
      <c r="AH45" s="60">
        <f t="shared" si="52"/>
        <v>-14256</v>
      </c>
      <c r="AI45" s="60">
        <f t="shared" si="52"/>
        <v>-7619</v>
      </c>
    </row>
    <row r="47" spans="2:37">
      <c r="AJ47" t="s">
        <v>38</v>
      </c>
    </row>
    <row r="48" spans="2:37">
      <c r="B48" t="s">
        <v>772</v>
      </c>
      <c r="C48" s="159" t="s">
        <v>777</v>
      </c>
      <c r="D48" s="684">
        <f>D33-D45</f>
        <v>-7576.9999999998836</v>
      </c>
      <c r="E48" s="684">
        <f t="shared" ref="E48:AI48" si="54">E33-E45</f>
        <v>-2160</v>
      </c>
      <c r="F48" s="684">
        <f t="shared" si="54"/>
        <v>-105887</v>
      </c>
      <c r="G48" s="684">
        <f t="shared" si="54"/>
        <v>-3700.0000000001164</v>
      </c>
      <c r="H48" s="684">
        <f t="shared" si="54"/>
        <v>-119324.00000000006</v>
      </c>
      <c r="I48" s="684"/>
      <c r="J48" s="684">
        <f t="shared" si="54"/>
        <v>0</v>
      </c>
      <c r="K48" s="684">
        <f t="shared" si="54"/>
        <v>-5515</v>
      </c>
      <c r="L48" s="684">
        <f t="shared" si="54"/>
        <v>5515</v>
      </c>
      <c r="M48" s="684">
        <f t="shared" si="54"/>
        <v>-69656.000000000116</v>
      </c>
      <c r="N48" s="684">
        <f t="shared" si="54"/>
        <v>-69655.999999999767</v>
      </c>
      <c r="O48" s="684"/>
      <c r="P48" s="684">
        <f t="shared" si="54"/>
        <v>-9655</v>
      </c>
      <c r="Q48" s="684">
        <f t="shared" si="54"/>
        <v>-7190.9999999999709</v>
      </c>
      <c r="R48" s="684">
        <f t="shared" si="54"/>
        <v>-974.00000000006548</v>
      </c>
      <c r="S48" s="684">
        <f t="shared" si="54"/>
        <v>235</v>
      </c>
      <c r="T48" s="684">
        <f t="shared" si="54"/>
        <v>-17584.999999999942</v>
      </c>
      <c r="U48" s="684"/>
      <c r="V48" s="684">
        <f t="shared" si="54"/>
        <v>-51.000000000002728</v>
      </c>
      <c r="W48" s="684">
        <f t="shared" si="54"/>
        <v>-3109.9999999999964</v>
      </c>
      <c r="X48" s="684">
        <f t="shared" si="54"/>
        <v>-1076</v>
      </c>
      <c r="Y48" s="684">
        <f t="shared" si="54"/>
        <v>-3464</v>
      </c>
      <c r="Z48" s="684">
        <f t="shared" si="54"/>
        <v>-7701</v>
      </c>
      <c r="AA48" s="684"/>
      <c r="AB48" s="684">
        <f t="shared" si="54"/>
        <v>-55</v>
      </c>
      <c r="AC48" s="684">
        <f t="shared" si="54"/>
        <v>-2774</v>
      </c>
      <c r="AD48" s="684">
        <f t="shared" si="54"/>
        <v>-1216</v>
      </c>
      <c r="AE48" s="684">
        <f t="shared" si="54"/>
        <v>167</v>
      </c>
      <c r="AF48" s="684">
        <f t="shared" si="54"/>
        <v>-6071</v>
      </c>
      <c r="AG48" s="684"/>
      <c r="AH48" s="684">
        <f t="shared" si="54"/>
        <v>-57</v>
      </c>
      <c r="AI48" s="684">
        <f t="shared" si="54"/>
        <v>-15836</v>
      </c>
    </row>
    <row r="52" spans="3:35">
      <c r="C52" s="159" t="s">
        <v>682</v>
      </c>
      <c r="D52" s="60">
        <v>-74600</v>
      </c>
      <c r="E52" s="60">
        <v>-2249</v>
      </c>
      <c r="F52" s="60">
        <v>729538</v>
      </c>
      <c r="G52" s="60">
        <v>-738561</v>
      </c>
      <c r="H52" s="66">
        <v>-85872</v>
      </c>
      <c r="I52" s="48"/>
      <c r="J52" s="60">
        <v>-1762</v>
      </c>
      <c r="K52" s="60">
        <v>-600</v>
      </c>
      <c r="L52" s="60">
        <v>-115</v>
      </c>
      <c r="M52" s="60">
        <v>-26788</v>
      </c>
      <c r="N52" s="66">
        <v>-29265</v>
      </c>
      <c r="O52" s="48"/>
      <c r="P52" s="60">
        <v>-170013</v>
      </c>
      <c r="Q52" s="60">
        <v>-69596</v>
      </c>
      <c r="R52" s="60">
        <v>-71</v>
      </c>
      <c r="S52" s="60">
        <v>-25097</v>
      </c>
      <c r="T52" s="66">
        <v>-264777</v>
      </c>
      <c r="U52" s="48"/>
      <c r="V52" s="60">
        <v>-67648</v>
      </c>
      <c r="W52" s="60">
        <v>-6896</v>
      </c>
      <c r="X52" s="60">
        <v>0</v>
      </c>
      <c r="Y52" s="60">
        <v>-21</v>
      </c>
      <c r="Z52" s="66">
        <v>-74565</v>
      </c>
      <c r="AA52" s="51"/>
      <c r="AB52" s="60">
        <v>-16995</v>
      </c>
      <c r="AC52" s="60">
        <v>-976</v>
      </c>
      <c r="AD52" s="60">
        <v>-287</v>
      </c>
      <c r="AE52" s="60">
        <v>-16402</v>
      </c>
      <c r="AF52" s="66">
        <v>-34660</v>
      </c>
      <c r="AG52" s="49"/>
      <c r="AH52" s="60">
        <v>-42778</v>
      </c>
      <c r="AI52" s="60">
        <v>-322913</v>
      </c>
    </row>
    <row r="55" spans="3:35">
      <c r="D55" s="684"/>
      <c r="E55" s="684"/>
      <c r="F55" s="684"/>
      <c r="G55" s="684"/>
      <c r="H55" s="684"/>
      <c r="I55" s="684"/>
      <c r="J55" s="684"/>
      <c r="K55" s="684"/>
      <c r="L55" s="684"/>
      <c r="M55" s="684"/>
      <c r="N55" s="684"/>
      <c r="O55" s="684"/>
      <c r="P55" s="684"/>
      <c r="Q55" s="684"/>
      <c r="R55" s="684"/>
      <c r="S55" s="684"/>
      <c r="T55" s="684"/>
      <c r="U55" s="684"/>
      <c r="V55" s="684"/>
      <c r="W55" s="684"/>
      <c r="X55" s="684"/>
      <c r="Y55" s="684"/>
      <c r="Z55" s="684"/>
      <c r="AA55" s="684"/>
      <c r="AB55" s="684"/>
      <c r="AC55" s="684"/>
      <c r="AD55" s="684"/>
      <c r="AE55" s="684"/>
      <c r="AF55" s="684"/>
      <c r="AG55" s="684"/>
      <c r="AH55" s="684"/>
      <c r="AI55" s="684"/>
    </row>
    <row r="71" spans="3:7">
      <c r="D71" t="s">
        <v>783</v>
      </c>
      <c r="F71" t="s">
        <v>784</v>
      </c>
      <c r="G71" t="s">
        <v>785</v>
      </c>
    </row>
    <row r="72" spans="3:7">
      <c r="C72" t="s">
        <v>786</v>
      </c>
      <c r="D72">
        <v>689</v>
      </c>
      <c r="F72">
        <v>14.8</v>
      </c>
      <c r="G72">
        <f>F72*D72</f>
        <v>10197.200000000001</v>
      </c>
    </row>
    <row r="73" spans="3:7">
      <c r="C73" t="s">
        <v>381</v>
      </c>
      <c r="D73">
        <v>190</v>
      </c>
      <c r="F73">
        <v>12.4</v>
      </c>
      <c r="G73">
        <f t="shared" ref="G73:G74" si="55">F73*D73</f>
        <v>2356</v>
      </c>
    </row>
    <row r="74" spans="3:7">
      <c r="C74" t="s">
        <v>787</v>
      </c>
      <c r="D74">
        <v>90</v>
      </c>
      <c r="F74">
        <v>10.6</v>
      </c>
      <c r="G74">
        <f t="shared" si="55"/>
        <v>954</v>
      </c>
    </row>
    <row r="76" spans="3:7">
      <c r="C76" t="s">
        <v>788</v>
      </c>
      <c r="D76">
        <f>SUM(D72:D74)</f>
        <v>969</v>
      </c>
      <c r="F76">
        <f>G76/D76</f>
        <v>13.939318885448918</v>
      </c>
      <c r="G76">
        <f>SUM(G72:G74)</f>
        <v>13507.2</v>
      </c>
    </row>
    <row r="78" spans="3:7">
      <c r="C78" t="s">
        <v>553</v>
      </c>
      <c r="G78">
        <v>1800</v>
      </c>
    </row>
    <row r="79" spans="3:7">
      <c r="C79" t="s">
        <v>789</v>
      </c>
      <c r="G79">
        <f>G76-G78</f>
        <v>11707.2</v>
      </c>
    </row>
    <row r="80" spans="3:7">
      <c r="C80" t="s">
        <v>790</v>
      </c>
      <c r="G80">
        <f>54</f>
        <v>54</v>
      </c>
    </row>
    <row r="82" spans="3:10">
      <c r="C82" t="s">
        <v>791</v>
      </c>
      <c r="G82">
        <f>G79/G80</f>
        <v>216.8</v>
      </c>
    </row>
    <row r="86" spans="3:10">
      <c r="D86">
        <v>2025</v>
      </c>
      <c r="E86">
        <v>2026</v>
      </c>
      <c r="F86">
        <v>2027</v>
      </c>
      <c r="G86">
        <v>2028</v>
      </c>
      <c r="H86">
        <v>2029</v>
      </c>
      <c r="I86">
        <v>2030</v>
      </c>
      <c r="J86" t="s">
        <v>792</v>
      </c>
    </row>
    <row r="87" spans="3:10">
      <c r="C87" s="698" t="s">
        <v>793</v>
      </c>
      <c r="D87" s="699">
        <v>0.05</v>
      </c>
      <c r="E87" s="698"/>
      <c r="F87" s="698"/>
      <c r="G87" s="698"/>
      <c r="H87" s="698"/>
      <c r="I87" s="698"/>
      <c r="J87" s="699">
        <v>0.5</v>
      </c>
    </row>
    <row r="88" spans="3:10">
      <c r="C88" s="698" t="s">
        <v>794</v>
      </c>
      <c r="D88" s="698"/>
      <c r="E88" s="698"/>
      <c r="F88" s="698"/>
      <c r="G88" s="698"/>
      <c r="H88" s="698"/>
      <c r="I88" s="698"/>
      <c r="J88" s="698"/>
    </row>
    <row r="89" spans="3:10">
      <c r="C89" s="698" t="s">
        <v>795</v>
      </c>
      <c r="D89" s="699">
        <v>0.02</v>
      </c>
      <c r="E89" s="698"/>
      <c r="F89" s="698"/>
      <c r="G89" s="698"/>
      <c r="H89" s="698"/>
      <c r="I89" s="698"/>
      <c r="J89" s="698"/>
    </row>
    <row r="90" spans="3:10">
      <c r="C90" s="698" t="s">
        <v>796</v>
      </c>
      <c r="D90" s="699">
        <v>0.02</v>
      </c>
      <c r="E90" s="698"/>
      <c r="F90" s="698"/>
      <c r="G90" s="698"/>
      <c r="H90" s="698"/>
      <c r="I90" s="698"/>
      <c r="J90" s="699">
        <v>0.3</v>
      </c>
    </row>
    <row r="91" spans="3:10">
      <c r="C91" s="698" t="s">
        <v>797</v>
      </c>
      <c r="D91" s="699">
        <v>0.06</v>
      </c>
      <c r="E91" s="698"/>
      <c r="F91" s="698"/>
      <c r="G91" s="698"/>
      <c r="H91" s="698"/>
      <c r="I91" s="698"/>
      <c r="J91" s="699">
        <v>0.2</v>
      </c>
    </row>
    <row r="92" spans="3:10">
      <c r="D92" s="698"/>
      <c r="E92" s="698"/>
      <c r="F92" s="698"/>
      <c r="G92" s="698"/>
      <c r="H92" s="698"/>
      <c r="I92" s="698"/>
      <c r="J92" s="698"/>
    </row>
    <row r="93" spans="3:10">
      <c r="C93" s="698" t="s">
        <v>798</v>
      </c>
      <c r="D93" s="699">
        <f>D91*J91+J90*D90+D87*J87</f>
        <v>4.3000000000000003E-2</v>
      </c>
      <c r="E93" s="698"/>
      <c r="F93" s="698"/>
      <c r="G93" s="698"/>
      <c r="H93" s="698"/>
      <c r="I93" s="698"/>
      <c r="J93" s="698"/>
    </row>
    <row r="94" spans="3:10">
      <c r="C94" s="698" t="s">
        <v>799</v>
      </c>
      <c r="D94" s="698"/>
      <c r="E94" s="698"/>
      <c r="F94" s="698"/>
      <c r="G94" s="698"/>
      <c r="H94" s="698"/>
      <c r="I94" s="698"/>
      <c r="J94" s="698"/>
    </row>
    <row r="95" spans="3:10">
      <c r="C95" s="698" t="s">
        <v>800</v>
      </c>
      <c r="D95" s="698"/>
      <c r="E95" s="698"/>
      <c r="F95" s="698"/>
      <c r="G95" s="698"/>
      <c r="H95" s="698"/>
      <c r="I95" s="698"/>
      <c r="J95" s="698"/>
    </row>
    <row r="100" spans="3:10">
      <c r="D100">
        <v>2025</v>
      </c>
      <c r="E100">
        <v>2026</v>
      </c>
      <c r="F100">
        <v>2027</v>
      </c>
      <c r="G100">
        <v>2028</v>
      </c>
      <c r="H100">
        <v>2029</v>
      </c>
      <c r="I100">
        <v>2030</v>
      </c>
      <c r="J100" t="s">
        <v>792</v>
      </c>
    </row>
    <row r="101" spans="3:10">
      <c r="C101" s="698" t="s">
        <v>793</v>
      </c>
      <c r="D101" s="699">
        <v>0.05</v>
      </c>
      <c r="E101" s="698"/>
      <c r="F101" s="698"/>
      <c r="G101" s="698"/>
      <c r="H101" s="698"/>
      <c r="I101" s="698"/>
      <c r="J101" s="699">
        <v>0.5</v>
      </c>
    </row>
    <row r="102" spans="3:10">
      <c r="C102" s="698" t="s">
        <v>794</v>
      </c>
      <c r="D102" s="698"/>
      <c r="E102" s="698"/>
      <c r="F102" s="698"/>
      <c r="G102" s="698"/>
      <c r="H102" s="698"/>
      <c r="I102" s="698"/>
      <c r="J102" s="698"/>
    </row>
    <row r="103" spans="3:10">
      <c r="C103" s="698" t="s">
        <v>795</v>
      </c>
      <c r="D103" s="699">
        <v>0.02</v>
      </c>
      <c r="E103" s="698"/>
      <c r="F103" s="698"/>
      <c r="G103" s="698"/>
      <c r="H103" s="698"/>
      <c r="I103" s="698"/>
      <c r="J103" s="698"/>
    </row>
    <row r="104" spans="3:10">
      <c r="C104" s="698" t="s">
        <v>801</v>
      </c>
      <c r="D104" s="699">
        <v>0.02</v>
      </c>
      <c r="E104" s="698"/>
      <c r="F104" s="698"/>
      <c r="G104" s="698"/>
      <c r="H104" s="698"/>
      <c r="I104" s="698"/>
      <c r="J104" s="699">
        <v>0.3</v>
      </c>
    </row>
    <row r="105" spans="3:10">
      <c r="C105" t="s">
        <v>802</v>
      </c>
    </row>
    <row r="106" spans="3:10">
      <c r="C106" s="698" t="s">
        <v>803</v>
      </c>
      <c r="D106" s="699">
        <v>0.06</v>
      </c>
      <c r="E106" s="698"/>
      <c r="F106" s="698"/>
      <c r="G106" s="698"/>
      <c r="H106" s="698"/>
      <c r="I106" s="698"/>
      <c r="J106" s="699">
        <v>0.2</v>
      </c>
    </row>
    <row r="107" spans="3:10">
      <c r="C107" s="698" t="s">
        <v>798</v>
      </c>
      <c r="D107" s="699">
        <f>D106*J106+J104*D104+D101*J101</f>
        <v>4.3000000000000003E-2</v>
      </c>
      <c r="E107" s="698"/>
      <c r="F107" s="698"/>
      <c r="G107" s="698"/>
      <c r="H107" s="698"/>
      <c r="I107" s="698"/>
      <c r="J107" s="698"/>
    </row>
    <row r="108" spans="3:10">
      <c r="C108" s="698" t="s">
        <v>799</v>
      </c>
      <c r="D108" s="698"/>
      <c r="E108" s="698"/>
      <c r="F108" s="698"/>
      <c r="G108" s="698"/>
      <c r="H108" s="698"/>
      <c r="I108" s="698"/>
      <c r="J108" s="698"/>
    </row>
    <row r="109" spans="3:10">
      <c r="C109" s="698" t="s">
        <v>800</v>
      </c>
      <c r="D109" s="698"/>
      <c r="E109" s="698"/>
      <c r="F109" s="698"/>
      <c r="G109" s="698"/>
      <c r="H109" s="698"/>
      <c r="I109" s="698"/>
      <c r="J109" s="698"/>
    </row>
    <row r="126" spans="3:35">
      <c r="D126" t="s">
        <v>191</v>
      </c>
      <c r="E126" t="s">
        <v>192</v>
      </c>
      <c r="F126" t="s">
        <v>193</v>
      </c>
      <c r="G126" t="s">
        <v>194</v>
      </c>
      <c r="H126" t="s">
        <v>195</v>
      </c>
      <c r="J126" t="s">
        <v>191</v>
      </c>
      <c r="K126" t="s">
        <v>192</v>
      </c>
      <c r="L126" t="s">
        <v>193</v>
      </c>
      <c r="M126" t="s">
        <v>194</v>
      </c>
      <c r="N126" t="s">
        <v>195</v>
      </c>
      <c r="P126" t="s">
        <v>191</v>
      </c>
      <c r="Q126" t="s">
        <v>192</v>
      </c>
      <c r="R126" t="s">
        <v>193</v>
      </c>
      <c r="S126" t="s">
        <v>194</v>
      </c>
      <c r="T126" t="s">
        <v>195</v>
      </c>
      <c r="V126" t="s">
        <v>191</v>
      </c>
      <c r="W126" t="s">
        <v>192</v>
      </c>
      <c r="X126" t="s">
        <v>193</v>
      </c>
      <c r="Y126" t="s">
        <v>194</v>
      </c>
      <c r="Z126" t="s">
        <v>195</v>
      </c>
      <c r="AB126" t="s">
        <v>191</v>
      </c>
      <c r="AC126" t="s">
        <v>192</v>
      </c>
      <c r="AD126" t="s">
        <v>193</v>
      </c>
      <c r="AE126" t="s">
        <v>194</v>
      </c>
      <c r="AF126" t="s">
        <v>195</v>
      </c>
      <c r="AH126" t="s">
        <v>191</v>
      </c>
      <c r="AI126" t="s">
        <v>192</v>
      </c>
    </row>
    <row r="127" spans="3:35">
      <c r="C127" t="s">
        <v>411</v>
      </c>
      <c r="D127">
        <v>16860</v>
      </c>
      <c r="E127">
        <v>17631</v>
      </c>
      <c r="F127">
        <v>16887</v>
      </c>
      <c r="G127">
        <v>10056</v>
      </c>
      <c r="H127">
        <f>SUM(D127:G127)</f>
        <v>61434</v>
      </c>
      <c r="J127">
        <v>20295</v>
      </c>
      <c r="K127">
        <v>17864</v>
      </c>
      <c r="L127">
        <v>19754</v>
      </c>
      <c r="M127">
        <v>20918</v>
      </c>
      <c r="N127">
        <f>SUM(J127:M127)</f>
        <v>78831</v>
      </c>
      <c r="P127">
        <v>33565</v>
      </c>
      <c r="Q127">
        <v>16488</v>
      </c>
      <c r="R127">
        <v>21661</v>
      </c>
      <c r="S127">
        <v>16346</v>
      </c>
      <c r="T127">
        <f>SUM(P127:S127)</f>
        <v>88060</v>
      </c>
      <c r="V127">
        <v>21183</v>
      </c>
      <c r="W127">
        <v>16520</v>
      </c>
      <c r="X127">
        <v>20693</v>
      </c>
      <c r="Y127">
        <v>18432</v>
      </c>
      <c r="Z127">
        <f>SUM(V127:Y127)</f>
        <v>76828</v>
      </c>
      <c r="AB127">
        <v>17350</v>
      </c>
      <c r="AC127">
        <v>16288</v>
      </c>
      <c r="AD127">
        <v>16805</v>
      </c>
      <c r="AE127">
        <v>15770</v>
      </c>
      <c r="AF127">
        <f>SUM(AB127:AE127)</f>
        <v>66213</v>
      </c>
      <c r="AH127">
        <v>15992</v>
      </c>
      <c r="AI127">
        <v>15416</v>
      </c>
    </row>
    <row r="128" spans="3:35">
      <c r="C128" t="s">
        <v>409</v>
      </c>
      <c r="D128">
        <v>9230</v>
      </c>
      <c r="E128">
        <v>9468</v>
      </c>
      <c r="F128">
        <v>9805</v>
      </c>
      <c r="G128">
        <v>10478</v>
      </c>
      <c r="H128">
        <f t="shared" ref="H128" si="56">SUM(D128:G128)</f>
        <v>38981</v>
      </c>
      <c r="J128">
        <v>10137</v>
      </c>
      <c r="K128">
        <v>10167</v>
      </c>
      <c r="L128">
        <v>10876</v>
      </c>
      <c r="M128">
        <v>11366</v>
      </c>
      <c r="N128">
        <f t="shared" ref="N128" si="57">SUM(J128:M128)</f>
        <v>42546</v>
      </c>
      <c r="P128">
        <v>11372</v>
      </c>
      <c r="Q128">
        <v>10574</v>
      </c>
      <c r="R128">
        <v>9479</v>
      </c>
      <c r="S128">
        <v>13011</v>
      </c>
      <c r="T128">
        <f t="shared" ref="T128" si="58">SUM(P128:S128)</f>
        <v>44436</v>
      </c>
      <c r="V128">
        <v>11977</v>
      </c>
      <c r="W128">
        <v>12219</v>
      </c>
      <c r="X128">
        <v>12588</v>
      </c>
      <c r="Y128">
        <v>13328</v>
      </c>
      <c r="Z128">
        <f t="shared" ref="Z128" si="59">SUM(V128:Y128)</f>
        <v>50112</v>
      </c>
      <c r="AB128">
        <v>13273</v>
      </c>
      <c r="AC128">
        <v>13151</v>
      </c>
      <c r="AD128">
        <v>13975</v>
      </c>
      <c r="AE128">
        <v>14781</v>
      </c>
      <c r="AF128">
        <f t="shared" ref="AF128" si="60">SUM(AB128:AE128)</f>
        <v>55180</v>
      </c>
      <c r="AH128">
        <v>14356</v>
      </c>
      <c r="AI128">
        <v>14300</v>
      </c>
    </row>
    <row r="129" spans="3:35">
      <c r="C129" t="s">
        <v>771</v>
      </c>
      <c r="D129">
        <f>D127+D128</f>
        <v>26090</v>
      </c>
      <c r="E129">
        <f t="shared" ref="E129:H129" si="61">E127+E128</f>
        <v>27099</v>
      </c>
      <c r="F129">
        <f t="shared" si="61"/>
        <v>26692</v>
      </c>
      <c r="G129">
        <f t="shared" si="61"/>
        <v>20534</v>
      </c>
      <c r="H129">
        <f t="shared" si="61"/>
        <v>100415</v>
      </c>
      <c r="J129">
        <f>J127+J128</f>
        <v>30432</v>
      </c>
      <c r="K129">
        <f t="shared" ref="K129" si="62">K127+K128</f>
        <v>28031</v>
      </c>
      <c r="L129">
        <f t="shared" ref="L129" si="63">L127+L128</f>
        <v>30630</v>
      </c>
      <c r="M129">
        <f t="shared" ref="M129" si="64">M127+M128</f>
        <v>32284</v>
      </c>
      <c r="N129">
        <f t="shared" ref="N129" si="65">N127+N128</f>
        <v>121377</v>
      </c>
      <c r="P129">
        <f>P127+P128</f>
        <v>44937</v>
      </c>
      <c r="Q129">
        <f t="shared" ref="Q129" si="66">Q127+Q128</f>
        <v>27062</v>
      </c>
      <c r="R129">
        <f t="shared" ref="R129" si="67">R127+R128</f>
        <v>31140</v>
      </c>
      <c r="S129">
        <f t="shared" ref="S129" si="68">S127+S128</f>
        <v>29357</v>
      </c>
      <c r="T129">
        <f t="shared" ref="T129" si="69">T127+T128</f>
        <v>132496</v>
      </c>
      <c r="V129">
        <f>V127+V128</f>
        <v>33160</v>
      </c>
      <c r="W129">
        <f t="shared" ref="W129" si="70">W127+W128</f>
        <v>28739</v>
      </c>
      <c r="X129">
        <f t="shared" ref="X129" si="71">X127+X128</f>
        <v>33281</v>
      </c>
      <c r="Y129">
        <f t="shared" ref="Y129" si="72">Y127+Y128</f>
        <v>31760</v>
      </c>
      <c r="Z129">
        <f t="shared" ref="Z129" si="73">Z127+Z128</f>
        <v>126940</v>
      </c>
      <c r="AB129">
        <f>AB127+AB128</f>
        <v>30623</v>
      </c>
      <c r="AC129">
        <f t="shared" ref="AC129" si="74">AC127+AC128</f>
        <v>29439</v>
      </c>
      <c r="AD129">
        <f t="shared" ref="AD129" si="75">AD127+AD128</f>
        <v>30780</v>
      </c>
      <c r="AE129">
        <f t="shared" ref="AE129" si="76">AE127+AE128</f>
        <v>30551</v>
      </c>
      <c r="AF129">
        <f t="shared" ref="AF129" si="77">AF127+AF128</f>
        <v>121393</v>
      </c>
      <c r="AH129">
        <f>AH127+AH128</f>
        <v>30348</v>
      </c>
      <c r="AI129">
        <f t="shared" ref="AI129" si="78">AI127+AI128</f>
        <v>29716</v>
      </c>
    </row>
  </sheetData>
  <mergeCells count="1">
    <mergeCell ref="D3:G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BB988D-8D01-4A93-B497-E21446BB3F17}"/>
</file>

<file path=customXml/itemProps2.xml><?xml version="1.0" encoding="utf-8"?>
<ds:datastoreItem xmlns:ds="http://schemas.openxmlformats.org/officeDocument/2006/customXml" ds:itemID="{AB79CB92-5331-4E6D-BCCA-3ED810C77402}"/>
</file>

<file path=customXml/itemProps3.xml><?xml version="1.0" encoding="utf-8"?>
<ds:datastoreItem xmlns:ds="http://schemas.openxmlformats.org/officeDocument/2006/customXml" ds:itemID="{BF949B8D-E3C6-4017-9340-D0E0185A6CF8}"/>
</file>

<file path=docProps/app.xml><?xml version="1.0" encoding="utf-8"?>
<Properties xmlns="http://schemas.openxmlformats.org/officeDocument/2006/extended-properties" xmlns:vt="http://schemas.openxmlformats.org/officeDocument/2006/docPropsVTypes">
  <Application>Microsoft Excel Online</Application>
  <Manager/>
  <Company>Bloomberg LP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Manuel Afonso Azevedo Jáco</cp:lastModifiedBy>
  <cp:revision/>
  <dcterms:created xsi:type="dcterms:W3CDTF">2025-02-25T16:23:47Z</dcterms:created>
  <dcterms:modified xsi:type="dcterms:W3CDTF">2025-10-15T14:52:12Z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