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jpe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2.xml" ContentType="application/vnd.openxmlformats-officedocument.spreadsheetml.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Research/Equity Research/Team 04 - Patrícia Franco/"/>
    </mc:Choice>
  </mc:AlternateContent>
  <xr:revisionPtr revIDLastSave="3546" documentId="8_{06607438-80EC-4D2E-BBAD-8BFAF615DCCB}" xr6:coauthVersionLast="47" xr6:coauthVersionMax="47" xr10:uidLastSave="{F600C013-19B9-41AF-A9EA-3EAC74F649E2}"/>
  <bookViews>
    <workbookView xWindow="-108" yWindow="-108" windowWidth="23256" windowHeight="12456" tabRatio="731" firstSheet="4" activeTab="4" xr2:uid="{00000000-000D-0000-FFFF-FFFF00000000}"/>
  </bookViews>
  <sheets>
    <sheet name="Dashboard" sheetId="66" r:id="rId1"/>
    <sheet name="Key Info" sheetId="85" r:id="rId2"/>
    <sheet name="Industry" sheetId="3" r:id="rId3"/>
    <sheet name="ESG" sheetId="2" r:id="rId4"/>
    <sheet name="Segments" sheetId="84" r:id="rId5"/>
    <sheet name="Peers" sheetId="89" r:id="rId6"/>
    <sheet name="Trading Comps" sheetId="87" r:id="rId7"/>
    <sheet name="WACC" sheetId="6" r:id="rId8"/>
    <sheet name="FCFF" sheetId="78" r:id="rId9"/>
    <sheet name="LBO" sheetId="65" r:id="rId10"/>
    <sheet name="Sensitivity" sheetId="91" r:id="rId11"/>
    <sheet name="IS" sheetId="74" r:id="rId12"/>
    <sheet name="BS" sheetId="76" r:id="rId13"/>
    <sheet name="CF" sheetId="77" r:id="rId14"/>
    <sheet name="Error Check" sheetId="79" r:id="rId15"/>
    <sheet name="Inputs" sheetId="83" r:id="rId16"/>
    <sheet name="Stock Data" sheetId="86" r:id="rId17"/>
  </sheets>
  <externalReferences>
    <externalReference r:id="rId18"/>
  </externalReferences>
  <definedNames>
    <definedName name="COOLFUCNTION" comment="No description available" localSheetId="12">_xlfn.LAMBDA(_xldudf_BOARDFLARE_EXEC("workbook-settings:coolfucntion"))</definedName>
    <definedName name="COOLFUCNTION" comment="No description available" localSheetId="13">_xlfn.LAMBDA(_xldudf_BOARDFLARE_EXEC("workbook-settings:coolfucntion"))</definedName>
    <definedName name="COOLFUCNTION" comment="No description available" localSheetId="14">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11">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12" hidden="1">{"'Sheet1'!$A$1:$H$145"}</definedName>
    <definedName name="HTML_Control" localSheetId="13" hidden="1">{"'Sheet1'!$A$1:$H$145"}</definedName>
    <definedName name="HTML_Control" localSheetId="14" hidden="1">{"'Sheet1'!$A$1:$H$145"}</definedName>
    <definedName name="HTML_Control" localSheetId="3" hidden="1">{"'Sheet1'!$A$1:$H$145"}</definedName>
    <definedName name="HTML_Control" localSheetId="8" hidden="1">{"'Sheet1'!$A$1:$H$145"}</definedName>
    <definedName name="HTML_Control" localSheetId="2" hidden="1">{"'Sheet1'!$A$1:$H$145"}</definedName>
    <definedName name="HTML_Control" localSheetId="11" hidden="1">{"'Sheet1'!$A$1:$H$145"}</definedName>
    <definedName name="HTML_Control" localSheetId="9" hidden="1">{"'Sheet1'!$A$1:$H$145"}</definedName>
    <definedName name="HTML_Control" localSheetId="4" hidden="1">{"'Sheet1'!$A$1:$H$145"}</definedName>
    <definedName name="HTML_Control" localSheetId="7"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12">#REF!</definedName>
    <definedName name="Sectors" localSheetId="13">#REF!</definedName>
    <definedName name="Sectors" localSheetId="14">#REF!</definedName>
    <definedName name="Sectors" localSheetId="3">#REF!</definedName>
    <definedName name="Sectors" localSheetId="8">#REF!</definedName>
    <definedName name="Sectors" localSheetId="11">#REF!</definedName>
    <definedName name="Sectors" localSheetId="4">#REF!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79" l="1"/>
  <c r="I33" i="87"/>
  <c r="J33" i="87"/>
  <c r="K33" i="87"/>
  <c r="L33" i="87"/>
  <c r="M33" i="87"/>
  <c r="N33" i="87"/>
  <c r="O33" i="87"/>
  <c r="P33" i="87"/>
  <c r="Q33" i="87"/>
  <c r="S33" i="87"/>
  <c r="T33" i="87"/>
  <c r="V33" i="87"/>
  <c r="W33" i="87"/>
  <c r="X33" i="87"/>
  <c r="Z33" i="87"/>
  <c r="I34" i="87"/>
  <c r="J34" i="87"/>
  <c r="K34" i="87"/>
  <c r="L34" i="87"/>
  <c r="M34" i="87"/>
  <c r="N34" i="87"/>
  <c r="O34" i="87"/>
  <c r="P34" i="87"/>
  <c r="Q34" i="87"/>
  <c r="S34" i="87"/>
  <c r="T34" i="87"/>
  <c r="V34" i="87"/>
  <c r="W34" i="87"/>
  <c r="X34" i="87"/>
  <c r="Z34" i="87"/>
  <c r="I21" i="87"/>
  <c r="J21" i="87"/>
  <c r="K21" i="87"/>
  <c r="L21" i="87"/>
  <c r="M21" i="87"/>
  <c r="N21" i="87"/>
  <c r="O21" i="87"/>
  <c r="P21" i="87"/>
  <c r="Q21" i="87"/>
  <c r="S21" i="87"/>
  <c r="T21" i="87"/>
  <c r="V21" i="87"/>
  <c r="W21" i="87"/>
  <c r="X21" i="87"/>
  <c r="Z21" i="87"/>
  <c r="I22" i="87"/>
  <c r="J22" i="87"/>
  <c r="K22" i="87"/>
  <c r="L22" i="87"/>
  <c r="M22" i="87"/>
  <c r="N22" i="87"/>
  <c r="O22" i="87"/>
  <c r="P22" i="87"/>
  <c r="Q22" i="87"/>
  <c r="S22" i="87"/>
  <c r="T22" i="87"/>
  <c r="V22" i="87"/>
  <c r="W22" i="87"/>
  <c r="X22" i="87"/>
  <c r="Z22" i="87"/>
  <c r="D39" i="6"/>
  <c r="E39" i="6"/>
  <c r="F39" i="6"/>
  <c r="G39" i="6"/>
  <c r="H39" i="6"/>
  <c r="AL40" i="78" l="1"/>
  <c r="AJ40" i="78"/>
  <c r="AH40" i="78"/>
  <c r="AF40" i="78"/>
  <c r="Z40" i="78"/>
  <c r="AL31" i="78"/>
  <c r="AJ31" i="78"/>
  <c r="AH31" i="78"/>
  <c r="AF31" i="78"/>
  <c r="Z31" i="78"/>
  <c r="AJ34" i="78"/>
  <c r="AB8" i="84"/>
  <c r="B174" i="83"/>
  <c r="B165" i="83"/>
  <c r="B156" i="83"/>
  <c r="B147" i="83"/>
  <c r="B138" i="83"/>
  <c r="B176" i="83"/>
  <c r="B167" i="83"/>
  <c r="B158" i="83"/>
  <c r="B149" i="83"/>
  <c r="B140" i="83"/>
  <c r="B173" i="83"/>
  <c r="B164" i="83"/>
  <c r="B155" i="83"/>
  <c r="B146" i="83"/>
  <c r="B137" i="83"/>
  <c r="B172" i="83"/>
  <c r="B163" i="83"/>
  <c r="B154" i="83"/>
  <c r="B145" i="83"/>
  <c r="B136" i="83"/>
  <c r="B175" i="83"/>
  <c r="B166" i="83"/>
  <c r="B157" i="83"/>
  <c r="B148" i="83"/>
  <c r="B139" i="83"/>
  <c r="J153" i="83"/>
  <c r="J144" i="83"/>
  <c r="J135" i="83"/>
  <c r="K153" i="83"/>
  <c r="K135" i="83"/>
  <c r="J162" i="83"/>
  <c r="K144" i="83"/>
  <c r="K162" i="83"/>
  <c r="H162" i="83"/>
  <c r="H135" i="83"/>
  <c r="H144" i="83"/>
  <c r="H153" i="83"/>
  <c r="I144" i="83"/>
  <c r="I162" i="83"/>
  <c r="I135" i="83"/>
  <c r="I153" i="83"/>
  <c r="N144" i="83"/>
  <c r="N135" i="83"/>
  <c r="N162" i="83"/>
  <c r="N153" i="83"/>
  <c r="G153" i="83"/>
  <c r="G135" i="83"/>
  <c r="G144" i="83"/>
  <c r="G162" i="83"/>
  <c r="M135" i="83"/>
  <c r="M153" i="83"/>
  <c r="M162" i="83"/>
  <c r="M144" i="83"/>
  <c r="L144" i="83"/>
  <c r="L135" i="83"/>
  <c r="L162" i="83"/>
  <c r="L153" i="83"/>
  <c r="S7" i="83"/>
  <c r="B171" i="83"/>
  <c r="B162" i="83"/>
  <c r="B153" i="83"/>
  <c r="B144" i="83"/>
  <c r="B135" i="83"/>
  <c r="Z74" i="78"/>
  <c r="Z32" i="78"/>
  <c r="W34" i="78"/>
  <c r="W35" i="78" s="1"/>
  <c r="V34" i="78"/>
  <c r="V35" i="78" s="1"/>
  <c r="M15" i="3" l="1"/>
  <c r="M14" i="3"/>
  <c r="AR66" i="84" l="1"/>
  <c r="AT66" i="84" s="1"/>
  <c r="AV66" i="84" s="1"/>
  <c r="AX66" i="84" s="1"/>
  <c r="AL66" i="84"/>
  <c r="AL64" i="84"/>
  <c r="AR64" i="84" s="1"/>
  <c r="AT64" i="84" s="1"/>
  <c r="AV64" i="84" s="1"/>
  <c r="AX64" i="84" s="1"/>
  <c r="AR62" i="84"/>
  <c r="AT62" i="84" s="1"/>
  <c r="AV62" i="84" s="1"/>
  <c r="AX62" i="84" s="1"/>
  <c r="AL62" i="84"/>
  <c r="AR60" i="84"/>
  <c r="AT60" i="84" s="1"/>
  <c r="AV60" i="84" s="1"/>
  <c r="AX60" i="84" s="1"/>
  <c r="AL60" i="84"/>
  <c r="AL58" i="84"/>
  <c r="AR58" i="84" s="1"/>
  <c r="AT58" i="84" s="1"/>
  <c r="AV58" i="84" s="1"/>
  <c r="AX58" i="84" s="1"/>
  <c r="AR56" i="84"/>
  <c r="AL56" i="84"/>
  <c r="AL52" i="84"/>
  <c r="AR52" i="84" s="1"/>
  <c r="AT52" i="84" s="1"/>
  <c r="AV52" i="84" s="1"/>
  <c r="AX52" i="84" s="1"/>
  <c r="AL50" i="84"/>
  <c r="AR50" i="84" s="1"/>
  <c r="AT50" i="84" s="1"/>
  <c r="AV50" i="84" s="1"/>
  <c r="AX50" i="84" s="1"/>
  <c r="AL48" i="84"/>
  <c r="AL46" i="84"/>
  <c r="AL44" i="84"/>
  <c r="AL42" i="84"/>
  <c r="AR42" i="84" s="1"/>
  <c r="AL38" i="84"/>
  <c r="AR38" i="84" s="1"/>
  <c r="AT38" i="84" s="1"/>
  <c r="AV38" i="84" s="1"/>
  <c r="AX38" i="84" s="1"/>
  <c r="AL36" i="84"/>
  <c r="AL34" i="84"/>
  <c r="AL32" i="84"/>
  <c r="AL30" i="84"/>
  <c r="M16" i="3"/>
  <c r="AL28" i="84"/>
  <c r="AR28" i="84" s="1"/>
  <c r="AT28" i="84" s="1"/>
  <c r="AV28" i="84" s="1"/>
  <c r="AX28" i="84" s="1"/>
  <c r="AL24" i="84"/>
  <c r="AR24" i="84" s="1"/>
  <c r="AT24" i="84" s="1"/>
  <c r="AV24" i="84" s="1"/>
  <c r="AX24" i="84" s="1"/>
  <c r="AL22" i="84"/>
  <c r="AR22" i="84" s="1"/>
  <c r="AT22" i="84" s="1"/>
  <c r="AV22" i="84" s="1"/>
  <c r="AX22" i="84" s="1"/>
  <c r="AL20" i="84"/>
  <c r="AR20" i="84" s="1"/>
  <c r="AL18" i="84"/>
  <c r="AL16" i="84"/>
  <c r="AR16" i="84" s="1"/>
  <c r="AL14" i="84"/>
  <c r="H16" i="85"/>
  <c r="J140" i="83"/>
  <c r="J158" i="83"/>
  <c r="J165" i="83"/>
  <c r="J154" i="83"/>
  <c r="J156" i="83"/>
  <c r="J149" i="83"/>
  <c r="J138" i="83"/>
  <c r="J167" i="83"/>
  <c r="J147" i="83"/>
  <c r="J136" i="83"/>
  <c r="J145" i="83"/>
  <c r="J163" i="83"/>
  <c r="J155" i="83"/>
  <c r="J148" i="83"/>
  <c r="J166" i="83"/>
  <c r="J146" i="83"/>
  <c r="J164" i="83"/>
  <c r="J137" i="83"/>
  <c r="J157" i="83"/>
  <c r="J139" i="83"/>
  <c r="L166" i="83"/>
  <c r="L137" i="83"/>
  <c r="L147" i="83"/>
  <c r="L164" i="83"/>
  <c r="L138" i="83"/>
  <c r="L155" i="83"/>
  <c r="L157" i="83"/>
  <c r="L156" i="83"/>
  <c r="L146" i="83"/>
  <c r="L148" i="83"/>
  <c r="L165" i="83"/>
  <c r="L139" i="83"/>
  <c r="L154" i="83"/>
  <c r="L145" i="83"/>
  <c r="L163" i="83"/>
  <c r="L136" i="83"/>
  <c r="L149" i="83"/>
  <c r="L167" i="83"/>
  <c r="L158" i="83"/>
  <c r="L140" i="83"/>
  <c r="H145" i="83"/>
  <c r="H163" i="83"/>
  <c r="H136" i="83"/>
  <c r="H154" i="83"/>
  <c r="H138" i="83"/>
  <c r="H147" i="83"/>
  <c r="H156" i="83"/>
  <c r="H165" i="83"/>
  <c r="H140" i="83"/>
  <c r="H146" i="83"/>
  <c r="H149" i="83"/>
  <c r="H167" i="83"/>
  <c r="H158" i="83"/>
  <c r="H137" i="83"/>
  <c r="H164" i="83"/>
  <c r="H155" i="83"/>
  <c r="H148" i="83"/>
  <c r="H139" i="83"/>
  <c r="H166" i="83"/>
  <c r="H157" i="83"/>
  <c r="G166" i="83"/>
  <c r="G139" i="83"/>
  <c r="G157" i="83"/>
  <c r="G148" i="83"/>
  <c r="G164" i="83"/>
  <c r="G137" i="83"/>
  <c r="G155" i="83"/>
  <c r="G146" i="83"/>
  <c r="G140" i="83"/>
  <c r="G167" i="83"/>
  <c r="G149" i="83"/>
  <c r="G158" i="83"/>
  <c r="G154" i="83"/>
  <c r="G136" i="83"/>
  <c r="G163" i="83"/>
  <c r="G147" i="83"/>
  <c r="G138" i="83"/>
  <c r="G165" i="83"/>
  <c r="G156" i="83"/>
  <c r="G145" i="83"/>
  <c r="M163" i="83"/>
  <c r="M157" i="83"/>
  <c r="M148" i="83"/>
  <c r="M154" i="83"/>
  <c r="M166" i="83"/>
  <c r="M136" i="83"/>
  <c r="M145" i="83"/>
  <c r="M139" i="83"/>
  <c r="M165" i="83"/>
  <c r="M156" i="83"/>
  <c r="M138" i="83"/>
  <c r="M147" i="83"/>
  <c r="M140" i="83"/>
  <c r="M158" i="83"/>
  <c r="M149" i="83"/>
  <c r="M167" i="83"/>
  <c r="M146" i="83"/>
  <c r="M164" i="83"/>
  <c r="M155" i="83"/>
  <c r="M137" i="83"/>
  <c r="I136" i="83"/>
  <c r="I154" i="83"/>
  <c r="I145" i="83"/>
  <c r="I163" i="83"/>
  <c r="I167" i="83"/>
  <c r="I140" i="83"/>
  <c r="I158" i="83"/>
  <c r="I149" i="83"/>
  <c r="I157" i="83"/>
  <c r="I166" i="83"/>
  <c r="I139" i="83"/>
  <c r="I148" i="83"/>
  <c r="I138" i="83"/>
  <c r="I147" i="83"/>
  <c r="I156" i="83"/>
  <c r="I165" i="83"/>
  <c r="I155" i="83"/>
  <c r="I146" i="83"/>
  <c r="I137" i="83"/>
  <c r="I164" i="83"/>
  <c r="K165" i="83"/>
  <c r="K138" i="83"/>
  <c r="K156" i="83"/>
  <c r="K147" i="83"/>
  <c r="K163" i="83"/>
  <c r="K154" i="83"/>
  <c r="K136" i="83"/>
  <c r="K145" i="83"/>
  <c r="K149" i="83"/>
  <c r="K158" i="83"/>
  <c r="K167" i="83"/>
  <c r="K140" i="83"/>
  <c r="K139" i="83"/>
  <c r="K148" i="83"/>
  <c r="K157" i="83"/>
  <c r="K166" i="83"/>
  <c r="K146" i="83"/>
  <c r="K155" i="83"/>
  <c r="K137" i="83"/>
  <c r="K164" i="83"/>
  <c r="N164" i="83"/>
  <c r="N137" i="83"/>
  <c r="N146" i="83"/>
  <c r="N155" i="83"/>
  <c r="N167" i="83"/>
  <c r="N149" i="83"/>
  <c r="N147" i="83"/>
  <c r="N165" i="83"/>
  <c r="N145" i="83"/>
  <c r="N138" i="83"/>
  <c r="N163" i="83"/>
  <c r="N166" i="83"/>
  <c r="N136" i="83"/>
  <c r="N157" i="83"/>
  <c r="N140" i="83"/>
  <c r="N156" i="83"/>
  <c r="N148" i="83"/>
  <c r="N154" i="83"/>
  <c r="N139" i="83"/>
  <c r="N158" i="83"/>
  <c r="AL164" i="78"/>
  <c r="AL55" i="84" l="1"/>
  <c r="AR55" i="84"/>
  <c r="AT56" i="84"/>
  <c r="E13" i="65"/>
  <c r="D30" i="6"/>
  <c r="AF145" i="78"/>
  <c r="Z145" i="78"/>
  <c r="Z144" i="78"/>
  <c r="AV56" i="84" l="1"/>
  <c r="AT55" i="84"/>
  <c r="D31" i="6"/>
  <c r="BJ72" i="84"/>
  <c r="BK72" i="84" s="1"/>
  <c r="BL72" i="84" s="1"/>
  <c r="BL73" i="84"/>
  <c r="BL74" i="84" s="1"/>
  <c r="BK73" i="84"/>
  <c r="BK74" i="84" s="1"/>
  <c r="BJ73" i="84"/>
  <c r="BI73" i="84"/>
  <c r="BI74" i="84" s="1"/>
  <c r="AV55" i="84" l="1"/>
  <c r="AX56" i="84"/>
  <c r="AX55" i="84" s="1"/>
  <c r="BM73" i="84"/>
  <c r="BJ74" i="84"/>
  <c r="BM74" i="84"/>
  <c r="H46" i="78" l="1"/>
  <c r="N46" i="78"/>
  <c r="T46" i="78"/>
  <c r="T58" i="78"/>
  <c r="T59" i="78" s="1"/>
  <c r="AR15" i="84"/>
  <c r="H37" i="78"/>
  <c r="H38" i="78" s="1"/>
  <c r="N79" i="78"/>
  <c r="T79" i="78"/>
  <c r="Z52" i="78" s="1"/>
  <c r="H41" i="78"/>
  <c r="N37" i="78"/>
  <c r="N58" i="78" s="1"/>
  <c r="T37" i="78"/>
  <c r="T38" i="78" s="1"/>
  <c r="N56" i="78"/>
  <c r="H56" i="78"/>
  <c r="T56" i="78"/>
  <c r="Z56" i="78" s="1"/>
  <c r="AF56" i="78" s="1"/>
  <c r="S56" i="78"/>
  <c r="R56" i="78"/>
  <c r="Q56" i="78"/>
  <c r="P56" i="78"/>
  <c r="M56" i="78"/>
  <c r="L56" i="78"/>
  <c r="K56" i="78"/>
  <c r="J56" i="78"/>
  <c r="T41" i="78"/>
  <c r="N41" i="78"/>
  <c r="H32" i="78"/>
  <c r="AK37" i="78"/>
  <c r="AI37" i="78"/>
  <c r="AG37" i="78"/>
  <c r="AA37" i="78"/>
  <c r="S37" i="78"/>
  <c r="R37" i="78"/>
  <c r="Q37" i="78"/>
  <c r="P37" i="78"/>
  <c r="O37" i="78"/>
  <c r="M37" i="78"/>
  <c r="L37" i="78"/>
  <c r="K37" i="78"/>
  <c r="J37" i="78"/>
  <c r="T32" i="78"/>
  <c r="N32" i="78"/>
  <c r="E35" i="78"/>
  <c r="G35" i="78"/>
  <c r="F35" i="78"/>
  <c r="E65" i="65"/>
  <c r="F65" i="65"/>
  <c r="G65" i="65"/>
  <c r="E46" i="78"/>
  <c r="F46" i="78"/>
  <c r="G46" i="78"/>
  <c r="E31" i="78"/>
  <c r="D31" i="78"/>
  <c r="D35" i="78" s="1"/>
  <c r="H13" i="78"/>
  <c r="E13" i="78" s="1"/>
  <c r="AK16" i="78"/>
  <c r="AK26" i="78" s="1"/>
  <c r="AI16" i="78"/>
  <c r="AI26" i="78" s="1"/>
  <c r="AG16" i="78"/>
  <c r="AG26" i="78" s="1"/>
  <c r="AA16" i="78"/>
  <c r="AA26" i="78" s="1"/>
  <c r="U16" i="78"/>
  <c r="O16" i="78"/>
  <c r="I16" i="78"/>
  <c r="AR61" i="84"/>
  <c r="AT61" i="84" s="1"/>
  <c r="AV61" i="84" s="1"/>
  <c r="AT59" i="84"/>
  <c r="AV59" i="84" s="1"/>
  <c r="AR57" i="84"/>
  <c r="AT57" i="84" s="1"/>
  <c r="AV57" i="84" s="1"/>
  <c r="AR49" i="84"/>
  <c r="AR45" i="84"/>
  <c r="AR47" i="84"/>
  <c r="AT43" i="84"/>
  <c r="AR37" i="84"/>
  <c r="AR35" i="84"/>
  <c r="AR33" i="84"/>
  <c r="AR31" i="84"/>
  <c r="AR30" i="84" s="1"/>
  <c r="AT21" i="84"/>
  <c r="AR19" i="84"/>
  <c r="AT17" i="84"/>
  <c r="H55" i="84"/>
  <c r="H27" i="84"/>
  <c r="H13" i="84"/>
  <c r="N13" i="84"/>
  <c r="N55" i="84"/>
  <c r="N27" i="84"/>
  <c r="T55" i="84"/>
  <c r="H14" i="78" s="1"/>
  <c r="T27" i="84"/>
  <c r="H12" i="78" s="1"/>
  <c r="T13" i="84"/>
  <c r="H11" i="78" s="1"/>
  <c r="AF55" i="84"/>
  <c r="T14" i="78" s="1"/>
  <c r="P14" i="78" s="1"/>
  <c r="Z55" i="84"/>
  <c r="N14" i="78" s="1"/>
  <c r="AF41" i="84"/>
  <c r="T13" i="78" s="1"/>
  <c r="Z41" i="84"/>
  <c r="N13" i="78" s="1"/>
  <c r="J13" i="78" s="1"/>
  <c r="AF27" i="84"/>
  <c r="T12" i="78" s="1"/>
  <c r="Z27" i="84"/>
  <c r="N12" i="78" s="1"/>
  <c r="AF13" i="84"/>
  <c r="T11" i="78" s="1"/>
  <c r="Z13" i="84"/>
  <c r="N11" i="78" s="1"/>
  <c r="AT35" i="84" l="1"/>
  <c r="AV35" i="84" s="1"/>
  <c r="AR34" i="84"/>
  <c r="AT34" i="84" s="1"/>
  <c r="AV34" i="84" s="1"/>
  <c r="AX34" i="84" s="1"/>
  <c r="AT37" i="84"/>
  <c r="AV37" i="84" s="1"/>
  <c r="AR36" i="84"/>
  <c r="AV43" i="84"/>
  <c r="AT42" i="84"/>
  <c r="AV42" i="84" s="1"/>
  <c r="AX42" i="84" s="1"/>
  <c r="AT47" i="84"/>
  <c r="AV47" i="84" s="1"/>
  <c r="AR46" i="84"/>
  <c r="AT46" i="84" s="1"/>
  <c r="AV46" i="84" s="1"/>
  <c r="AX46" i="84" s="1"/>
  <c r="AT45" i="84"/>
  <c r="AV45" i="84" s="1"/>
  <c r="AR44" i="84"/>
  <c r="AT44" i="84" s="1"/>
  <c r="AV44" i="84" s="1"/>
  <c r="AX44" i="84" s="1"/>
  <c r="AT49" i="84"/>
  <c r="AV49" i="84" s="1"/>
  <c r="AR48" i="84"/>
  <c r="AT33" i="84"/>
  <c r="AV33" i="84" s="1"/>
  <c r="AR32" i="84"/>
  <c r="AT32" i="84" s="1"/>
  <c r="AV32" i="84" s="1"/>
  <c r="AX32" i="84" s="1"/>
  <c r="AL41" i="84"/>
  <c r="Z13" i="78" s="1"/>
  <c r="V13" i="78" s="1"/>
  <c r="AV17" i="84"/>
  <c r="AT16" i="84"/>
  <c r="AT19" i="84"/>
  <c r="AV19" i="84" s="1"/>
  <c r="AR18" i="84"/>
  <c r="AV21" i="84"/>
  <c r="AT20" i="84"/>
  <c r="AT15" i="84"/>
  <c r="AV15" i="84" s="1"/>
  <c r="AR14" i="84"/>
  <c r="AT31" i="84"/>
  <c r="AV31" i="84" s="1"/>
  <c r="AL27" i="84"/>
  <c r="Z12" i="78" s="1"/>
  <c r="AL13" i="84"/>
  <c r="Z11" i="78" s="1"/>
  <c r="H58" i="78"/>
  <c r="Q11" i="78"/>
  <c r="T16" i="78"/>
  <c r="T26" i="78" s="1"/>
  <c r="G12" i="78"/>
  <c r="E12" i="78"/>
  <c r="F12" i="78"/>
  <c r="D12" i="78"/>
  <c r="M12" i="78"/>
  <c r="J12" i="78"/>
  <c r="M13" i="78"/>
  <c r="N59" i="78"/>
  <c r="H59" i="78"/>
  <c r="N38" i="78"/>
  <c r="K12" i="78"/>
  <c r="L12" i="78"/>
  <c r="L13" i="78"/>
  <c r="K14" i="78"/>
  <c r="J14" i="78"/>
  <c r="L14" i="78"/>
  <c r="M14" i="78"/>
  <c r="AF14" i="78"/>
  <c r="E11" i="78"/>
  <c r="F11" i="78"/>
  <c r="G11" i="78"/>
  <c r="H16" i="78"/>
  <c r="H26" i="78" s="1"/>
  <c r="D11" i="78"/>
  <c r="D14" i="78"/>
  <c r="E14" i="78"/>
  <c r="G14" i="78"/>
  <c r="F14" i="78"/>
  <c r="N16" i="78"/>
  <c r="N26" i="78" s="1"/>
  <c r="P12" i="78"/>
  <c r="Q12" i="78"/>
  <c r="P13" i="78"/>
  <c r="Q13" i="78"/>
  <c r="M11" i="78"/>
  <c r="Z14" i="78"/>
  <c r="L11" i="78"/>
  <c r="K11" i="78"/>
  <c r="J11" i="78"/>
  <c r="K13" i="78"/>
  <c r="Q14" i="78"/>
  <c r="P11" i="78"/>
  <c r="D13" i="78"/>
  <c r="F13" i="78"/>
  <c r="G13" i="78"/>
  <c r="S11" i="78"/>
  <c r="S16" i="78" s="1"/>
  <c r="S26" i="78" s="1"/>
  <c r="R11" i="78"/>
  <c r="R16" i="78" s="1"/>
  <c r="R26" i="78" s="1"/>
  <c r="H70" i="84"/>
  <c r="N70" i="84"/>
  <c r="T70" i="84"/>
  <c r="AF70" i="84"/>
  <c r="Z70" i="84"/>
  <c r="AV16" i="84" l="1"/>
  <c r="AX16" i="84" s="1"/>
  <c r="AT30" i="84"/>
  <c r="AV30" i="84" s="1"/>
  <c r="AX30" i="84" s="1"/>
  <c r="AT48" i="84"/>
  <c r="AV48" i="84" s="1"/>
  <c r="AX48" i="84" s="1"/>
  <c r="AT36" i="84"/>
  <c r="AV36" i="84" s="1"/>
  <c r="AX36" i="84" s="1"/>
  <c r="AR27" i="84"/>
  <c r="AF12" i="78" s="1"/>
  <c r="AD12" i="78" s="1"/>
  <c r="AR41" i="84"/>
  <c r="AT14" i="84"/>
  <c r="AV14" i="84" s="1"/>
  <c r="AX14" i="84" s="1"/>
  <c r="AT18" i="84"/>
  <c r="AV18" i="84" s="1"/>
  <c r="AX18" i="84" s="1"/>
  <c r="AV20" i="84"/>
  <c r="AX20" i="84" s="1"/>
  <c r="AR13" i="84"/>
  <c r="AF11" i="78" s="1"/>
  <c r="AB11" i="78" s="1"/>
  <c r="X13" i="78"/>
  <c r="Y13" i="78"/>
  <c r="W13" i="78"/>
  <c r="E16" i="78"/>
  <c r="E26" i="78" s="1"/>
  <c r="E37" i="78" s="1"/>
  <c r="AL69" i="84"/>
  <c r="J16" i="78"/>
  <c r="J26" i="78" s="1"/>
  <c r="Q16" i="78"/>
  <c r="Q26" i="78" s="1"/>
  <c r="L16" i="78"/>
  <c r="L26" i="78" s="1"/>
  <c r="R27" i="78" s="1"/>
  <c r="M16" i="78"/>
  <c r="M26" i="78" s="1"/>
  <c r="S27" i="78" s="1"/>
  <c r="D16" i="78"/>
  <c r="D26" i="78" s="1"/>
  <c r="D37" i="78" s="1"/>
  <c r="T27" i="78"/>
  <c r="T29" i="78"/>
  <c r="N27" i="78"/>
  <c r="N29" i="78"/>
  <c r="H27" i="78"/>
  <c r="H29" i="78"/>
  <c r="V14" i="78"/>
  <c r="X14" i="78"/>
  <c r="Y14" i="78"/>
  <c r="W14" i="78"/>
  <c r="G16" i="78"/>
  <c r="G26" i="78" s="1"/>
  <c r="G37" i="78" s="1"/>
  <c r="F16" i="78"/>
  <c r="F26" i="78" s="1"/>
  <c r="F37" i="78" s="1"/>
  <c r="AT41" i="84"/>
  <c r="P16" i="78"/>
  <c r="P26" i="78" s="1"/>
  <c r="X12" i="78"/>
  <c r="Y12" i="78"/>
  <c r="V12" i="78"/>
  <c r="W12" i="78"/>
  <c r="AC14" i="78"/>
  <c r="AD14" i="78"/>
  <c r="AB14" i="78"/>
  <c r="AE14" i="78"/>
  <c r="Z16" i="78"/>
  <c r="Z26" i="78" s="1"/>
  <c r="V11" i="78"/>
  <c r="W11" i="78"/>
  <c r="X11" i="78"/>
  <c r="Y11" i="78"/>
  <c r="K16" i="78"/>
  <c r="K26" i="78" s="1"/>
  <c r="AT13" i="84" l="1"/>
  <c r="AH11" i="78" s="1"/>
  <c r="AB12" i="78"/>
  <c r="AC12" i="78"/>
  <c r="AV27" i="84"/>
  <c r="AJ12" i="78" s="1"/>
  <c r="AE12" i="78"/>
  <c r="AT27" i="84"/>
  <c r="AH12" i="78" s="1"/>
  <c r="AD11" i="78"/>
  <c r="AE11" i="78"/>
  <c r="AC11" i="78"/>
  <c r="AV13" i="84"/>
  <c r="AJ11" i="78" s="1"/>
  <c r="K27" i="78"/>
  <c r="P27" i="78"/>
  <c r="Q27" i="78"/>
  <c r="Z28" i="78"/>
  <c r="Z103" i="78" s="1"/>
  <c r="Z67" i="78"/>
  <c r="J27" i="78"/>
  <c r="AL70" i="84"/>
  <c r="AL78" i="84"/>
  <c r="M27" i="78"/>
  <c r="V16" i="78"/>
  <c r="V26" i="78" s="1"/>
  <c r="V27" i="78" s="1"/>
  <c r="AF13" i="78"/>
  <c r="AR69" i="84"/>
  <c r="AV41" i="84"/>
  <c r="AH13" i="78"/>
  <c r="Z27" i="78"/>
  <c r="L27" i="78"/>
  <c r="Y16" i="78"/>
  <c r="Y26" i="78" s="1"/>
  <c r="X16" i="78"/>
  <c r="X26" i="78" s="1"/>
  <c r="AH14" i="78"/>
  <c r="W16" i="78"/>
  <c r="W26" i="78" s="1"/>
  <c r="W27" i="78" s="1"/>
  <c r="C27" i="89"/>
  <c r="N23" i="89"/>
  <c r="G19" i="89"/>
  <c r="C19" i="89"/>
  <c r="AX27" i="84" l="1"/>
  <c r="AL12" i="78" s="1"/>
  <c r="Z94" i="78"/>
  <c r="Z55" i="78"/>
  <c r="AX13" i="84"/>
  <c r="AL11" i="78" s="1"/>
  <c r="AL73" i="84"/>
  <c r="AL74" i="84"/>
  <c r="N13" i="6" s="1"/>
  <c r="AR70" i="84"/>
  <c r="AR78" i="84"/>
  <c r="AH16" i="78"/>
  <c r="AH26" i="78" s="1"/>
  <c r="AH28" i="78" s="1"/>
  <c r="AH34" i="78" s="1"/>
  <c r="AJ14" i="78"/>
  <c r="AL14" i="78"/>
  <c r="AJ13" i="78"/>
  <c r="X27" i="78"/>
  <c r="AT69" i="84"/>
  <c r="Y27" i="78"/>
  <c r="AB13" i="78"/>
  <c r="AB16" i="78" s="1"/>
  <c r="AB26" i="78" s="1"/>
  <c r="AC13" i="78"/>
  <c r="AC16" i="78" s="1"/>
  <c r="AC26" i="78" s="1"/>
  <c r="AD13" i="78"/>
  <c r="AD16" i="78" s="1"/>
  <c r="AD26" i="78" s="1"/>
  <c r="AE13" i="78"/>
  <c r="AE16" i="78" s="1"/>
  <c r="AE26" i="78" s="1"/>
  <c r="AF16" i="78"/>
  <c r="AF26" i="78" s="1"/>
  <c r="AF97" i="78" s="1"/>
  <c r="Y44" i="91" a="1"/>
  <c r="Y44" i="91" s="1"/>
  <c r="X44" i="91" a="1"/>
  <c r="X44" i="91" s="1"/>
  <c r="Y43" i="91" a="1"/>
  <c r="Y43" i="91" s="1"/>
  <c r="X43" i="91" a="1"/>
  <c r="X43" i="91" s="1"/>
  <c r="Y42" i="91" a="1"/>
  <c r="Y42" i="91" s="1"/>
  <c r="X42" i="91" a="1"/>
  <c r="X42" i="91" s="1"/>
  <c r="Y41" i="91" a="1"/>
  <c r="Y41" i="91" s="1"/>
  <c r="X41" i="91" a="1"/>
  <c r="X41" i="91" s="1"/>
  <c r="Y40" i="91" a="1"/>
  <c r="Y40" i="91" s="1"/>
  <c r="X40" i="91" a="1"/>
  <c r="X40" i="91" s="1"/>
  <c r="Y39" i="91" a="1"/>
  <c r="Y39" i="91" s="1"/>
  <c r="X39" i="91" a="1"/>
  <c r="X39" i="91" s="1"/>
  <c r="Y38" i="91" a="1"/>
  <c r="Y38" i="91" s="1"/>
  <c r="X38" i="91" a="1"/>
  <c r="X38" i="91" s="1"/>
  <c r="H42" i="6"/>
  <c r="G42" i="6"/>
  <c r="Z40" i="91" l="1"/>
  <c r="AX41" i="84"/>
  <c r="AL13" i="78" s="1"/>
  <c r="AL16" i="78" s="1"/>
  <c r="AL26" i="78" s="1"/>
  <c r="AR73" i="84"/>
  <c r="O12" i="6" s="1"/>
  <c r="AR74" i="84"/>
  <c r="O13" i="6" s="1"/>
  <c r="AF28" i="78"/>
  <c r="AF103" i="78" s="1"/>
  <c r="AF67" i="78"/>
  <c r="Z37" i="78"/>
  <c r="Z58" i="78" s="1"/>
  <c r="Z70" i="78"/>
  <c r="AJ16" i="78"/>
  <c r="AJ26" i="78" s="1"/>
  <c r="AJ28" i="78" s="1"/>
  <c r="AT70" i="84"/>
  <c r="AT78" i="84"/>
  <c r="AV69" i="84"/>
  <c r="AH37" i="78"/>
  <c r="AH103" i="78"/>
  <c r="AH55" i="78"/>
  <c r="O14" i="6"/>
  <c r="O16" i="6"/>
  <c r="O15" i="6"/>
  <c r="AE27" i="78"/>
  <c r="AC27" i="78"/>
  <c r="AB27" i="78"/>
  <c r="AD27" i="78"/>
  <c r="Z43" i="91"/>
  <c r="Z39" i="91"/>
  <c r="Z44" i="91"/>
  <c r="Z42" i="91"/>
  <c r="Z38" i="91"/>
  <c r="Z41" i="91"/>
  <c r="AX69" i="84" l="1"/>
  <c r="AJ37" i="78"/>
  <c r="AJ38" i="78" s="1"/>
  <c r="P15" i="6"/>
  <c r="P14" i="6"/>
  <c r="P16" i="6"/>
  <c r="AT73" i="84"/>
  <c r="P12" i="6" s="1"/>
  <c r="AT74" i="84"/>
  <c r="P13" i="6" s="1"/>
  <c r="Z38" i="78"/>
  <c r="AL28" i="78"/>
  <c r="AF159" i="78"/>
  <c r="AF55" i="78"/>
  <c r="AJ103" i="78"/>
  <c r="AJ55" i="78"/>
  <c r="AF37" i="78"/>
  <c r="AH58" i="78"/>
  <c r="AH38" i="78"/>
  <c r="AV70" i="84"/>
  <c r="AV78" i="84"/>
  <c r="AX70" i="84"/>
  <c r="AX78" i="84"/>
  <c r="AD28" i="91" a="1"/>
  <c r="AD28" i="91" s="1"/>
  <c r="AJ58" i="78" l="1"/>
  <c r="AF58" i="78"/>
  <c r="AL103" i="78"/>
  <c r="AL55" i="78"/>
  <c r="AL85" i="78"/>
  <c r="AX73" i="84"/>
  <c r="AX74" i="84"/>
  <c r="AV73" i="84"/>
  <c r="AV74" i="84"/>
  <c r="AF38" i="78"/>
  <c r="AT11" i="78"/>
  <c r="AU11" i="78" s="1"/>
  <c r="AV11" i="78" s="1"/>
  <c r="AW11" i="78" s="1"/>
  <c r="AX11" i="78" s="1"/>
  <c r="AY11" i="78" s="1"/>
  <c r="AZ11" i="78" s="1"/>
  <c r="R159" i="78"/>
  <c r="AL37" i="78" l="1"/>
  <c r="AL34" i="78"/>
  <c r="AL58" i="78"/>
  <c r="AL59" i="78" s="1"/>
  <c r="AL38" i="78"/>
  <c r="H22" i="85"/>
  <c r="AE40" i="78" l="1"/>
  <c r="AD40" i="78"/>
  <c r="AC40" i="78"/>
  <c r="AB40" i="78"/>
  <c r="Y40" i="78"/>
  <c r="X40" i="78"/>
  <c r="AE31" i="78"/>
  <c r="AE34" i="78" s="1"/>
  <c r="AD31" i="78"/>
  <c r="AD34" i="78" s="1"/>
  <c r="AC31" i="78"/>
  <c r="AC34" i="78" s="1"/>
  <c r="AB31" i="78"/>
  <c r="AB34" i="78" s="1"/>
  <c r="Y31" i="78"/>
  <c r="X31" i="78"/>
  <c r="AL106" i="78"/>
  <c r="AF34" i="78" l="1"/>
  <c r="Y34" i="78"/>
  <c r="Y37" i="78" s="1"/>
  <c r="X34" i="78"/>
  <c r="Z34" i="78" s="1"/>
  <c r="AB37" i="78"/>
  <c r="AE37" i="78"/>
  <c r="AC37" i="78"/>
  <c r="AD37" i="78"/>
  <c r="W109" i="78"/>
  <c r="J112" i="78"/>
  <c r="T112" i="78"/>
  <c r="V109" i="78"/>
  <c r="F109" i="78"/>
  <c r="T109" i="78"/>
  <c r="L109" i="78"/>
  <c r="L112" i="78"/>
  <c r="Q112" i="78"/>
  <c r="J109" i="78"/>
  <c r="D112" i="78"/>
  <c r="E112" i="78"/>
  <c r="M109" i="78"/>
  <c r="R112" i="78"/>
  <c r="D109" i="78"/>
  <c r="D28" i="6"/>
  <c r="N109" i="78"/>
  <c r="M112" i="78"/>
  <c r="P112" i="78"/>
  <c r="W112" i="78"/>
  <c r="F112" i="78"/>
  <c r="V112" i="78"/>
  <c r="E109" i="78"/>
  <c r="H109" i="78"/>
  <c r="S109" i="78"/>
  <c r="Q109" i="78"/>
  <c r="P109" i="78"/>
  <c r="G112" i="78"/>
  <c r="R109" i="78"/>
  <c r="N112" i="78"/>
  <c r="G109" i="78"/>
  <c r="K112" i="78"/>
  <c r="S112" i="78"/>
  <c r="K109" i="78"/>
  <c r="H112" i="78"/>
  <c r="X103" i="78"/>
  <c r="X106" i="78" s="1"/>
  <c r="Y103" i="78"/>
  <c r="Y106" i="78" s="1"/>
  <c r="AB103" i="78"/>
  <c r="AB106" i="78" s="1"/>
  <c r="AC103" i="78"/>
  <c r="AC106" i="78" s="1"/>
  <c r="AD103" i="78"/>
  <c r="AD106" i="78" s="1"/>
  <c r="AE103" i="78"/>
  <c r="AE106" i="78" s="1"/>
  <c r="AH106" i="78"/>
  <c r="AJ106" i="78"/>
  <c r="X37" i="78" l="1"/>
  <c r="AF106" i="78"/>
  <c r="Z112" i="78"/>
  <c r="F20" i="85"/>
  <c r="H30" i="85" l="1"/>
  <c r="H31" i="85"/>
  <c r="H28" i="85" l="1"/>
  <c r="H27" i="85" l="1"/>
  <c r="H25" i="85"/>
  <c r="H26" i="85"/>
  <c r="H23" i="85" l="1"/>
  <c r="J79" i="78" l="1"/>
  <c r="M79" i="78"/>
  <c r="D79" i="78"/>
  <c r="D80" i="78" s="1"/>
  <c r="V79" i="78"/>
  <c r="Q79" i="78"/>
  <c r="E79" i="78"/>
  <c r="K79" i="78"/>
  <c r="P79" i="78"/>
  <c r="W79" i="78"/>
  <c r="F79" i="78"/>
  <c r="L79" i="78"/>
  <c r="G79" i="78"/>
  <c r="S79" i="78"/>
  <c r="R79" i="78"/>
  <c r="D49" i="78" l="1"/>
  <c r="Q133" i="83" l="1"/>
  <c r="R133" i="83" s="1"/>
  <c r="S133" i="83" s="1"/>
  <c r="T133" i="83" s="1"/>
  <c r="U133" i="83" s="1"/>
  <c r="V133" i="83" s="1"/>
  <c r="W133" i="83" s="1"/>
  <c r="Q142" i="83"/>
  <c r="R142" i="83" s="1"/>
  <c r="S142" i="83" s="1"/>
  <c r="T142" i="83" s="1"/>
  <c r="U142" i="83" s="1"/>
  <c r="V142" i="83" s="1"/>
  <c r="W142" i="83" s="1"/>
  <c r="Q151" i="83"/>
  <c r="R151" i="83" s="1"/>
  <c r="S151" i="83" s="1"/>
  <c r="T151" i="83" s="1"/>
  <c r="U151" i="83" s="1"/>
  <c r="V151" i="83" s="1"/>
  <c r="W151" i="83" s="1"/>
  <c r="Q160" i="83"/>
  <c r="R160" i="83" s="1"/>
  <c r="S160" i="83" s="1"/>
  <c r="T160" i="83" s="1"/>
  <c r="U160" i="83" s="1"/>
  <c r="V160" i="83" s="1"/>
  <c r="W160" i="83" s="1"/>
  <c r="H32" i="6" l="1"/>
  <c r="G32" i="6"/>
  <c r="F32" i="6"/>
  <c r="K16" i="6"/>
  <c r="K15" i="6"/>
  <c r="K14" i="6"/>
  <c r="K13" i="6"/>
  <c r="K12" i="6"/>
  <c r="O9" i="6"/>
  <c r="P9" i="6" s="1"/>
  <c r="Q9" i="6" s="1"/>
  <c r="R9" i="6" s="1"/>
  <c r="H13" i="6"/>
  <c r="G13" i="6"/>
  <c r="F13" i="6"/>
  <c r="E9" i="6"/>
  <c r="F9" i="6" s="1"/>
  <c r="G9" i="6" s="1"/>
  <c r="H9" i="6" s="1"/>
  <c r="D16" i="6" l="1"/>
  <c r="C176" i="83" l="1"/>
  <c r="C175" i="83" l="1"/>
  <c r="C174" i="83"/>
  <c r="C173" i="83"/>
  <c r="C172" i="83"/>
  <c r="C171" i="83"/>
  <c r="H169" i="83"/>
  <c r="I169" i="83" s="1"/>
  <c r="J169" i="83" s="1"/>
  <c r="K169" i="83" s="1"/>
  <c r="L169" i="83" s="1"/>
  <c r="M169" i="83" s="1"/>
  <c r="N169" i="83" s="1"/>
  <c r="C167" i="83"/>
  <c r="C166" i="83"/>
  <c r="C165" i="83"/>
  <c r="C164" i="83"/>
  <c r="C163" i="83"/>
  <c r="C162" i="83"/>
  <c r="H160" i="83"/>
  <c r="I160" i="83" s="1"/>
  <c r="J160" i="83" s="1"/>
  <c r="K160" i="83" s="1"/>
  <c r="L160" i="83" s="1"/>
  <c r="M160" i="83" s="1"/>
  <c r="N160" i="83" s="1"/>
  <c r="C158" i="83"/>
  <c r="C157" i="83"/>
  <c r="C156" i="83"/>
  <c r="C155" i="83"/>
  <c r="C154" i="83"/>
  <c r="C153" i="83"/>
  <c r="H151" i="83"/>
  <c r="I151" i="83" s="1"/>
  <c r="J151" i="83" s="1"/>
  <c r="K151" i="83" s="1"/>
  <c r="L151" i="83" s="1"/>
  <c r="M151" i="83" s="1"/>
  <c r="N151" i="83" s="1"/>
  <c r="C149" i="83"/>
  <c r="C148" i="83"/>
  <c r="C147" i="83"/>
  <c r="C146" i="83"/>
  <c r="C145" i="83"/>
  <c r="C144" i="83"/>
  <c r="H142" i="83"/>
  <c r="I142" i="83" s="1"/>
  <c r="J142" i="83" s="1"/>
  <c r="K142" i="83" s="1"/>
  <c r="L142" i="83" s="1"/>
  <c r="M142" i="83" s="1"/>
  <c r="N142" i="83" s="1"/>
  <c r="C140" i="83"/>
  <c r="P149" i="83" l="1"/>
  <c r="P140" i="83"/>
  <c r="P158" i="83"/>
  <c r="P167" i="83"/>
  <c r="C139" i="83"/>
  <c r="P148" i="83" l="1"/>
  <c r="P139" i="83"/>
  <c r="P166" i="83"/>
  <c r="P157" i="83"/>
  <c r="C138" i="83"/>
  <c r="P156" i="83" l="1"/>
  <c r="P147" i="83"/>
  <c r="P165" i="83"/>
  <c r="P138" i="83"/>
  <c r="C137" i="83"/>
  <c r="P164" i="83" l="1"/>
  <c r="P137" i="83"/>
  <c r="P146" i="83"/>
  <c r="P155" i="83"/>
  <c r="C136" i="83"/>
  <c r="P145" i="83" l="1"/>
  <c r="P136" i="83"/>
  <c r="P163" i="83"/>
  <c r="P154" i="83"/>
  <c r="C135" i="83"/>
  <c r="P144" i="83" l="1"/>
  <c r="P135" i="83"/>
  <c r="P153" i="83"/>
  <c r="P162" i="83"/>
  <c r="H133" i="83"/>
  <c r="B5" i="86"/>
  <c r="I133" i="83" l="1"/>
  <c r="B6" i="86"/>
  <c r="I5" i="86"/>
  <c r="Q5" i="86" s="1"/>
  <c r="Q140" i="83" l="1"/>
  <c r="Q156" i="83"/>
  <c r="Q137" i="83"/>
  <c r="Q154" i="83"/>
  <c r="Q155" i="83"/>
  <c r="Q136" i="83"/>
  <c r="Q147" i="83"/>
  <c r="Q135" i="83"/>
  <c r="Q162" i="83"/>
  <c r="Q144" i="83"/>
  <c r="Q153" i="83"/>
  <c r="Q163" i="83"/>
  <c r="Q158" i="83"/>
  <c r="Q145" i="83"/>
  <c r="Q166" i="83"/>
  <c r="Q164" i="83"/>
  <c r="Q149" i="83"/>
  <c r="Q146" i="83"/>
  <c r="Q157" i="83"/>
  <c r="Q167" i="83"/>
  <c r="Q165" i="83"/>
  <c r="Q139" i="83"/>
  <c r="Q138" i="83"/>
  <c r="Q148" i="83"/>
  <c r="J133" i="83"/>
  <c r="B7" i="86"/>
  <c r="I6" i="86"/>
  <c r="Q6" i="86" s="1"/>
  <c r="AM4" i="86"/>
  <c r="T4" i="86"/>
  <c r="S4" i="86"/>
  <c r="A61" i="83"/>
  <c r="M21" i="3"/>
  <c r="M19" i="3"/>
  <c r="M17" i="3"/>
  <c r="M13" i="3"/>
  <c r="M18" i="3"/>
  <c r="M12" i="3"/>
  <c r="M20" i="3"/>
  <c r="E9" i="3"/>
  <c r="F9" i="3" s="1"/>
  <c r="G9" i="3" s="1"/>
  <c r="H9" i="3" s="1"/>
  <c r="I9" i="3" s="1"/>
  <c r="J9" i="3" s="1"/>
  <c r="K9" i="3" s="1"/>
  <c r="M9" i="3" s="1"/>
  <c r="J8" i="84"/>
  <c r="P8" i="84" s="1"/>
  <c r="V8" i="84" s="1"/>
  <c r="AH8" i="84" s="1"/>
  <c r="AN8" i="84" s="1"/>
  <c r="AT8" i="84" s="1"/>
  <c r="AV8" i="84" s="1"/>
  <c r="AX8" i="84" s="1"/>
  <c r="AR7" i="84"/>
  <c r="AQ7" i="84"/>
  <c r="AO7" i="84"/>
  <c r="AN7" i="84"/>
  <c r="AL7" i="84"/>
  <c r="AK7" i="84"/>
  <c r="AI7" i="84"/>
  <c r="AH7" i="84"/>
  <c r="AF7" i="84"/>
  <c r="AE7" i="84"/>
  <c r="AC7" i="84"/>
  <c r="AB7" i="84"/>
  <c r="Z7" i="84"/>
  <c r="Y7" i="84"/>
  <c r="W7" i="84"/>
  <c r="V7" i="84"/>
  <c r="T7" i="84"/>
  <c r="S7" i="84"/>
  <c r="Q7" i="84"/>
  <c r="P7" i="84"/>
  <c r="N7" i="84"/>
  <c r="M7" i="84"/>
  <c r="K7" i="84"/>
  <c r="J7" i="84"/>
  <c r="H7" i="84"/>
  <c r="G7" i="84"/>
  <c r="E7" i="84"/>
  <c r="D7" i="84"/>
  <c r="C193" i="66" l="1"/>
  <c r="C192" i="66" s="1"/>
  <c r="R137" i="83"/>
  <c r="R155" i="83"/>
  <c r="R164" i="83"/>
  <c r="R162" i="83"/>
  <c r="R146" i="83"/>
  <c r="R165" i="83"/>
  <c r="R145" i="83"/>
  <c r="R138" i="83"/>
  <c r="R147" i="83"/>
  <c r="R154" i="83"/>
  <c r="R144" i="83"/>
  <c r="R135" i="83"/>
  <c r="R166" i="83"/>
  <c r="R139" i="83"/>
  <c r="R163" i="83"/>
  <c r="R140" i="83"/>
  <c r="R158" i="83"/>
  <c r="R156" i="83"/>
  <c r="R157" i="83"/>
  <c r="R148" i="83"/>
  <c r="R149" i="83"/>
  <c r="R167" i="83"/>
  <c r="R153" i="83"/>
  <c r="R136" i="83"/>
  <c r="W4" i="86"/>
  <c r="N17" i="79"/>
  <c r="AF13" i="79"/>
  <c r="AF17" i="79"/>
  <c r="AL16" i="79"/>
  <c r="AR15" i="79"/>
  <c r="N14" i="79"/>
  <c r="T13" i="79"/>
  <c r="T17" i="79"/>
  <c r="Z16" i="79"/>
  <c r="AF15" i="79"/>
  <c r="AR13" i="79"/>
  <c r="AR17" i="79"/>
  <c r="K133" i="83"/>
  <c r="V4" i="86"/>
  <c r="AM5" i="86"/>
  <c r="B8" i="86"/>
  <c r="I7" i="86"/>
  <c r="Q7" i="86" s="1"/>
  <c r="AF16" i="79"/>
  <c r="H17" i="79"/>
  <c r="N16" i="79"/>
  <c r="T16" i="79"/>
  <c r="N15" i="79"/>
  <c r="T14" i="79"/>
  <c r="Z13" i="79"/>
  <c r="Z17" i="79"/>
  <c r="AL15" i="79"/>
  <c r="Z15" i="79"/>
  <c r="AR16" i="79"/>
  <c r="T15" i="79"/>
  <c r="N13" i="79"/>
  <c r="AL17" i="79"/>
  <c r="AR14" i="79"/>
  <c r="AL13" i="79"/>
  <c r="AL14" i="79"/>
  <c r="AF14" i="79"/>
  <c r="Z14" i="79"/>
  <c r="C194" i="66" l="1"/>
  <c r="C191" i="66"/>
  <c r="S144" i="83"/>
  <c r="S166" i="83"/>
  <c r="S167" i="83"/>
  <c r="S155" i="83"/>
  <c r="S140" i="83"/>
  <c r="S156" i="83"/>
  <c r="S137" i="83"/>
  <c r="S139" i="83"/>
  <c r="S146" i="83"/>
  <c r="S147" i="83"/>
  <c r="S138" i="83"/>
  <c r="S162" i="83"/>
  <c r="S148" i="83"/>
  <c r="S135" i="83"/>
  <c r="S163" i="83"/>
  <c r="S136" i="83"/>
  <c r="S149" i="83"/>
  <c r="S154" i="83"/>
  <c r="S153" i="83"/>
  <c r="S158" i="83"/>
  <c r="S157" i="83"/>
  <c r="S145" i="83"/>
  <c r="S165" i="83"/>
  <c r="S164" i="83"/>
  <c r="L133" i="83"/>
  <c r="AM6" i="86"/>
  <c r="B9" i="86"/>
  <c r="I8" i="86"/>
  <c r="Q8" i="86" s="1"/>
  <c r="C195" i="66" l="1"/>
  <c r="C190" i="66"/>
  <c r="T155" i="83"/>
  <c r="T158" i="83"/>
  <c r="T164" i="83"/>
  <c r="T149" i="83"/>
  <c r="T146" i="83"/>
  <c r="T167" i="83"/>
  <c r="T147" i="83"/>
  <c r="T135" i="83"/>
  <c r="T138" i="83"/>
  <c r="T162" i="83"/>
  <c r="T163" i="83"/>
  <c r="T145" i="83"/>
  <c r="T148" i="83"/>
  <c r="T166" i="83"/>
  <c r="T137" i="83"/>
  <c r="T157" i="83"/>
  <c r="T139" i="83"/>
  <c r="T156" i="83"/>
  <c r="T153" i="83"/>
  <c r="T165" i="83"/>
  <c r="T136" i="83"/>
  <c r="T140" i="83"/>
  <c r="T154" i="83"/>
  <c r="T144" i="83"/>
  <c r="M133" i="83"/>
  <c r="AM7" i="86"/>
  <c r="B10" i="86"/>
  <c r="I9" i="86"/>
  <c r="Q9" i="86" s="1"/>
  <c r="L59" i="65"/>
  <c r="L108" i="65" s="1"/>
  <c r="K59" i="65"/>
  <c r="K102" i="65" s="1"/>
  <c r="J59" i="65"/>
  <c r="J108" i="65" s="1"/>
  <c r="I59" i="65"/>
  <c r="I71" i="65" s="1"/>
  <c r="I120" i="65" s="1"/>
  <c r="H59" i="65"/>
  <c r="H71" i="65" s="1"/>
  <c r="H120" i="65" s="1"/>
  <c r="G112" i="65"/>
  <c r="F112" i="65"/>
  <c r="E112" i="65"/>
  <c r="C196" i="66" l="1"/>
  <c r="C189" i="66"/>
  <c r="U167" i="83"/>
  <c r="U146" i="83"/>
  <c r="U155" i="83"/>
  <c r="U138" i="83"/>
  <c r="U165" i="83"/>
  <c r="U154" i="83"/>
  <c r="U140" i="83"/>
  <c r="U144" i="83"/>
  <c r="U136" i="83"/>
  <c r="U149" i="83"/>
  <c r="U164" i="83"/>
  <c r="U156" i="83"/>
  <c r="U137" i="83"/>
  <c r="U147" i="83"/>
  <c r="U158" i="83"/>
  <c r="U135" i="83"/>
  <c r="U163" i="83"/>
  <c r="U145" i="83"/>
  <c r="U139" i="83"/>
  <c r="U148" i="83"/>
  <c r="U166" i="83"/>
  <c r="U157" i="83"/>
  <c r="U162" i="83"/>
  <c r="U153" i="83"/>
  <c r="N133" i="83"/>
  <c r="B11" i="86"/>
  <c r="I10" i="86"/>
  <c r="Q10" i="86" s="1"/>
  <c r="AM8" i="86"/>
  <c r="H131" i="65"/>
  <c r="I131" i="65"/>
  <c r="J131" i="65"/>
  <c r="K131" i="65"/>
  <c r="L131" i="65"/>
  <c r="J71" i="65"/>
  <c r="J120" i="65" s="1"/>
  <c r="K71" i="65"/>
  <c r="K120" i="65" s="1"/>
  <c r="L71" i="65"/>
  <c r="L120" i="65" s="1"/>
  <c r="H108" i="65"/>
  <c r="J102" i="65"/>
  <c r="K108" i="65"/>
  <c r="J60" i="65"/>
  <c r="L60" i="65"/>
  <c r="L102" i="65"/>
  <c r="I108" i="65"/>
  <c r="I60" i="65"/>
  <c r="K60" i="65"/>
  <c r="H102" i="65"/>
  <c r="I102" i="65"/>
  <c r="C197" i="66" l="1"/>
  <c r="C188" i="66"/>
  <c r="V148" i="83"/>
  <c r="V167" i="83"/>
  <c r="V158" i="83"/>
  <c r="V154" i="83"/>
  <c r="V145" i="83"/>
  <c r="V138" i="83"/>
  <c r="V136" i="83"/>
  <c r="V137" i="83"/>
  <c r="V163" i="83"/>
  <c r="V157" i="83"/>
  <c r="V164" i="83"/>
  <c r="V166" i="83"/>
  <c r="V135" i="83"/>
  <c r="V139" i="83"/>
  <c r="V165" i="83"/>
  <c r="V155" i="83"/>
  <c r="V156" i="83"/>
  <c r="V153" i="83"/>
  <c r="V140" i="83"/>
  <c r="V144" i="83"/>
  <c r="V149" i="83"/>
  <c r="V146" i="83"/>
  <c r="V162" i="83"/>
  <c r="V147" i="83"/>
  <c r="AM9" i="86"/>
  <c r="B12" i="86"/>
  <c r="I11" i="86"/>
  <c r="Q11" i="86" s="1"/>
  <c r="C198" i="66" l="1"/>
  <c r="C187" i="66"/>
  <c r="W138" i="83"/>
  <c r="W146" i="83"/>
  <c r="W163" i="83"/>
  <c r="W139" i="83"/>
  <c r="W137" i="83"/>
  <c r="W164" i="83"/>
  <c r="W155" i="83"/>
  <c r="W166" i="83"/>
  <c r="W145" i="83"/>
  <c r="W135" i="83"/>
  <c r="W136" i="83"/>
  <c r="W140" i="83"/>
  <c r="W148" i="83"/>
  <c r="W162" i="83"/>
  <c r="W144" i="83"/>
  <c r="W147" i="83"/>
  <c r="W153" i="83"/>
  <c r="W156" i="83"/>
  <c r="W158" i="83"/>
  <c r="W157" i="83"/>
  <c r="W165" i="83"/>
  <c r="W149" i="83"/>
  <c r="W167" i="83"/>
  <c r="W154" i="83"/>
  <c r="B13" i="86"/>
  <c r="I12" i="86"/>
  <c r="Q12" i="86" s="1"/>
  <c r="AM10" i="86"/>
  <c r="C199" i="66" l="1"/>
  <c r="C186" i="66"/>
  <c r="AM11" i="86"/>
  <c r="B14" i="86"/>
  <c r="I13" i="86"/>
  <c r="Q13" i="86" s="1"/>
  <c r="C200" i="66" l="1"/>
  <c r="C185" i="66"/>
  <c r="B15" i="86"/>
  <c r="I14" i="86"/>
  <c r="Q14" i="86" s="1"/>
  <c r="AM12" i="86"/>
  <c r="C201" i="66" l="1"/>
  <c r="C184" i="66"/>
  <c r="AM13" i="86"/>
  <c r="B16" i="86"/>
  <c r="I15" i="86"/>
  <c r="Q15" i="86" s="1"/>
  <c r="C202" i="66" l="1"/>
  <c r="C183" i="66"/>
  <c r="AM14" i="86"/>
  <c r="B17" i="86"/>
  <c r="I16" i="86"/>
  <c r="Q16" i="86" s="1"/>
  <c r="C203" i="66" l="1"/>
  <c r="C182" i="66"/>
  <c r="B18" i="86"/>
  <c r="I17" i="86"/>
  <c r="Q17" i="86" s="1"/>
  <c r="AM15" i="86"/>
  <c r="C181" i="66" l="1"/>
  <c r="C204" i="66"/>
  <c r="AM16" i="86"/>
  <c r="B19" i="86"/>
  <c r="I18" i="86"/>
  <c r="Q18" i="86" s="1"/>
  <c r="C205" i="66" l="1"/>
  <c r="C180" i="66"/>
  <c r="B20" i="86"/>
  <c r="I19" i="86"/>
  <c r="Q19" i="86" s="1"/>
  <c r="AM17" i="86"/>
  <c r="C206" i="66" l="1"/>
  <c r="C179" i="66"/>
  <c r="AM18" i="86"/>
  <c r="B21" i="86"/>
  <c r="I20" i="86"/>
  <c r="Q20" i="86" s="1"/>
  <c r="B30" i="83"/>
  <c r="E14" i="65"/>
  <c r="B62" i="83"/>
  <c r="C207" i="66" l="1"/>
  <c r="C178" i="66"/>
  <c r="D4" i="86"/>
  <c r="C4" i="86"/>
  <c r="B22" i="86"/>
  <c r="I21" i="86"/>
  <c r="Q21" i="86" s="1"/>
  <c r="AM19" i="86"/>
  <c r="AD69" i="84"/>
  <c r="AD78" i="84"/>
  <c r="AD68" i="79"/>
  <c r="R78" i="84"/>
  <c r="R69" i="84"/>
  <c r="R68" i="79"/>
  <c r="F78" i="84"/>
  <c r="F69" i="84"/>
  <c r="F68" i="79"/>
  <c r="X78" i="84"/>
  <c r="X69" i="84"/>
  <c r="X68" i="79"/>
  <c r="L69" i="84"/>
  <c r="L78" i="84"/>
  <c r="L68" i="79"/>
  <c r="X144" i="78"/>
  <c r="F62" i="83"/>
  <c r="K4" i="86" l="1"/>
  <c r="C208" i="66"/>
  <c r="C177" i="66"/>
  <c r="E4" i="86"/>
  <c r="H4" i="86"/>
  <c r="F4" i="86"/>
  <c r="G4" i="86"/>
  <c r="J4" i="86"/>
  <c r="AM20" i="86"/>
  <c r="B23" i="86"/>
  <c r="I22" i="86"/>
  <c r="Q22" i="86" s="1"/>
  <c r="G62" i="83"/>
  <c r="Z4" i="86" l="1"/>
  <c r="C209" i="66"/>
  <c r="C176" i="66"/>
  <c r="N4" i="86"/>
  <c r="AC4" i="86" s="1"/>
  <c r="M4" i="86"/>
  <c r="AB4" i="86" s="1"/>
  <c r="O4" i="86"/>
  <c r="L4" i="86"/>
  <c r="Y4" i="86"/>
  <c r="AF4" i="86" s="1"/>
  <c r="R4" i="86"/>
  <c r="AG4" i="86"/>
  <c r="B24" i="86"/>
  <c r="I23" i="86"/>
  <c r="Q23" i="86" s="1"/>
  <c r="AM21" i="86"/>
  <c r="H62" i="83"/>
  <c r="AD4" i="86" l="1"/>
  <c r="C210" i="66"/>
  <c r="C175" i="66"/>
  <c r="AA4" i="86"/>
  <c r="AH4" i="86" s="1"/>
  <c r="U4" i="86"/>
  <c r="AI4" i="86"/>
  <c r="AJ4" i="86"/>
  <c r="B25" i="86"/>
  <c r="I24" i="86"/>
  <c r="Q24" i="86" s="1"/>
  <c r="AM22" i="86"/>
  <c r="I62" i="83"/>
  <c r="AK4" i="86" l="1"/>
  <c r="C211" i="66"/>
  <c r="C174" i="66"/>
  <c r="B26" i="86"/>
  <c r="I25" i="86"/>
  <c r="Q25" i="86" s="1"/>
  <c r="AM23" i="86"/>
  <c r="J62" i="83"/>
  <c r="C212" i="66" l="1"/>
  <c r="C173" i="66"/>
  <c r="B27" i="86"/>
  <c r="I26" i="86"/>
  <c r="Q26" i="86" s="1"/>
  <c r="AM24" i="86"/>
  <c r="K62" i="83"/>
  <c r="C213" i="66" l="1"/>
  <c r="C172" i="66"/>
  <c r="AM25" i="86"/>
  <c r="B28" i="86"/>
  <c r="I27" i="86"/>
  <c r="Q27" i="86" s="1"/>
  <c r="L62" i="83"/>
  <c r="C214" i="66" l="1"/>
  <c r="C171" i="66"/>
  <c r="B29" i="86"/>
  <c r="I28" i="86"/>
  <c r="Q28" i="86" s="1"/>
  <c r="AM26" i="86"/>
  <c r="M62" i="83"/>
  <c r="C215" i="66" l="1"/>
  <c r="C170" i="66"/>
  <c r="B30" i="86"/>
  <c r="I29" i="86"/>
  <c r="Q29" i="86" s="1"/>
  <c r="AM27" i="86"/>
  <c r="N62" i="83"/>
  <c r="C169" i="66" l="1"/>
  <c r="C216" i="66"/>
  <c r="AM28" i="86"/>
  <c r="B31" i="86"/>
  <c r="I30" i="86"/>
  <c r="Q30" i="86" s="1"/>
  <c r="C217" i="66" l="1"/>
  <c r="C168" i="66"/>
  <c r="B32" i="86"/>
  <c r="I31" i="86"/>
  <c r="Q31" i="86" s="1"/>
  <c r="AM29" i="86"/>
  <c r="C218" i="66" l="1"/>
  <c r="C167" i="66"/>
  <c r="M16" i="83"/>
  <c r="J14" i="83"/>
  <c r="AM30" i="86"/>
  <c r="B33" i="86"/>
  <c r="I32" i="86"/>
  <c r="Q32" i="86" s="1"/>
  <c r="E32" i="6"/>
  <c r="C219" i="66" l="1"/>
  <c r="C166" i="66"/>
  <c r="B34" i="86"/>
  <c r="I33" i="86"/>
  <c r="Q33" i="86" s="1"/>
  <c r="AM31" i="86"/>
  <c r="W52" i="78"/>
  <c r="V52" i="78"/>
  <c r="W49" i="78"/>
  <c r="V49" i="78"/>
  <c r="R62" i="78"/>
  <c r="R61" i="78"/>
  <c r="G83" i="65"/>
  <c r="S52" i="78"/>
  <c r="R52" i="78"/>
  <c r="Q52" i="78"/>
  <c r="P52" i="78"/>
  <c r="G80" i="65"/>
  <c r="S49" i="78"/>
  <c r="R49" i="78"/>
  <c r="Q49" i="78"/>
  <c r="P49" i="78"/>
  <c r="L62" i="78"/>
  <c r="L61" i="78"/>
  <c r="F83" i="65"/>
  <c r="M52" i="78"/>
  <c r="L52" i="78"/>
  <c r="K52" i="78"/>
  <c r="J52" i="78"/>
  <c r="F80" i="65"/>
  <c r="M49" i="78"/>
  <c r="L49" i="78"/>
  <c r="K49" i="78"/>
  <c r="J49" i="78"/>
  <c r="C220" i="66" l="1"/>
  <c r="C165" i="66"/>
  <c r="AX68" i="79"/>
  <c r="AT68" i="79"/>
  <c r="B35" i="86"/>
  <c r="I34" i="86"/>
  <c r="Q34" i="86" s="1"/>
  <c r="AM32" i="86"/>
  <c r="AB67" i="78"/>
  <c r="AB73" i="78"/>
  <c r="AB55" i="78"/>
  <c r="AC67" i="78"/>
  <c r="AC55" i="78"/>
  <c r="AC73" i="78"/>
  <c r="AD73" i="78"/>
  <c r="AD67" i="78"/>
  <c r="AD55" i="78"/>
  <c r="AE55" i="78"/>
  <c r="AE67" i="78"/>
  <c r="AE73" i="78"/>
  <c r="AL27" i="78"/>
  <c r="AZ14" i="78" s="1"/>
  <c r="AJ67" i="78"/>
  <c r="AL67" i="78"/>
  <c r="X67" i="78"/>
  <c r="X55" i="78"/>
  <c r="X73" i="78"/>
  <c r="Y67" i="78"/>
  <c r="Y73" i="78"/>
  <c r="Y55" i="78"/>
  <c r="AH67" i="78"/>
  <c r="E13" i="6"/>
  <c r="AJ27" i="78"/>
  <c r="AY14" i="78" s="1"/>
  <c r="E83" i="65"/>
  <c r="G52" i="78"/>
  <c r="F52" i="78"/>
  <c r="E52" i="78"/>
  <c r="E80" i="65"/>
  <c r="G49" i="78"/>
  <c r="F49" i="78"/>
  <c r="E49" i="78"/>
  <c r="D52" i="78"/>
  <c r="AD137" i="78"/>
  <c r="AF137" i="78" s="1"/>
  <c r="X137" i="78"/>
  <c r="Z137" i="78" s="1"/>
  <c r="AD115" i="78"/>
  <c r="AF115" i="78" s="1"/>
  <c r="X115" i="78"/>
  <c r="Y115" i="78" s="1"/>
  <c r="R115" i="78"/>
  <c r="Q115" i="78" s="1"/>
  <c r="L115" i="78"/>
  <c r="N115" i="78" s="1"/>
  <c r="F115" i="78"/>
  <c r="E115" i="78" s="1"/>
  <c r="D115" i="78"/>
  <c r="AM19" i="78"/>
  <c r="AD19" i="78"/>
  <c r="AF19" i="78" s="1"/>
  <c r="X19" i="78"/>
  <c r="Y19" i="78" s="1"/>
  <c r="R19" i="78"/>
  <c r="T19" i="78" s="1"/>
  <c r="L19" i="78"/>
  <c r="K19" i="78" s="1"/>
  <c r="D19" i="78"/>
  <c r="F19" i="78"/>
  <c r="J8" i="78"/>
  <c r="P8" i="78" s="1"/>
  <c r="V8" i="78" s="1"/>
  <c r="AB8" i="78" s="1"/>
  <c r="AH8" i="78" s="1"/>
  <c r="AJ8" i="78" s="1"/>
  <c r="AL8" i="78" s="1"/>
  <c r="AL137" i="78" s="1"/>
  <c r="J162" i="79"/>
  <c r="P162" i="79" s="1"/>
  <c r="V162" i="79" s="1"/>
  <c r="AB162" i="79" s="1"/>
  <c r="AH162" i="79" s="1"/>
  <c r="AN162" i="79" s="1"/>
  <c r="AT162" i="79" s="1"/>
  <c r="AV162" i="79" s="1"/>
  <c r="AX162" i="79" s="1"/>
  <c r="AR161" i="79"/>
  <c r="AQ161" i="79"/>
  <c r="AO161" i="79"/>
  <c r="AN161" i="79"/>
  <c r="AL161" i="79"/>
  <c r="AK161" i="79"/>
  <c r="AI161" i="79"/>
  <c r="AH161" i="79"/>
  <c r="AF161" i="79"/>
  <c r="AE161" i="79"/>
  <c r="AC161" i="79"/>
  <c r="AB161" i="79"/>
  <c r="Z161" i="79"/>
  <c r="Y161" i="79"/>
  <c r="W161" i="79"/>
  <c r="V161" i="79"/>
  <c r="T161" i="79"/>
  <c r="S161" i="79"/>
  <c r="Q161" i="79"/>
  <c r="P161" i="79"/>
  <c r="N161" i="79"/>
  <c r="M161" i="79"/>
  <c r="K161" i="79"/>
  <c r="J161" i="79"/>
  <c r="H161" i="79"/>
  <c r="G161" i="79"/>
  <c r="E161" i="79"/>
  <c r="J120" i="79"/>
  <c r="P120" i="79" s="1"/>
  <c r="V120" i="79" s="1"/>
  <c r="AB120" i="79" s="1"/>
  <c r="AH120" i="79" s="1"/>
  <c r="AN120" i="79" s="1"/>
  <c r="AT120" i="79" s="1"/>
  <c r="AV120" i="79" s="1"/>
  <c r="AX120" i="79" s="1"/>
  <c r="AR119" i="79"/>
  <c r="AQ119" i="79"/>
  <c r="AO119" i="79"/>
  <c r="AN119" i="79"/>
  <c r="AL119" i="79"/>
  <c r="AK119" i="79"/>
  <c r="AI119" i="79"/>
  <c r="AH119" i="79"/>
  <c r="AF119" i="79"/>
  <c r="AE119" i="79"/>
  <c r="AC119" i="79"/>
  <c r="AB119" i="79"/>
  <c r="Z119" i="79"/>
  <c r="Y119" i="79"/>
  <c r="W119" i="79"/>
  <c r="V119" i="79"/>
  <c r="T119" i="79"/>
  <c r="S119" i="79"/>
  <c r="Q119" i="79"/>
  <c r="P119" i="79"/>
  <c r="N119" i="79"/>
  <c r="M119" i="79"/>
  <c r="K119" i="79"/>
  <c r="J119" i="79"/>
  <c r="H119" i="79"/>
  <c r="G119" i="79"/>
  <c r="E119" i="79"/>
  <c r="D119" i="79"/>
  <c r="J90" i="79"/>
  <c r="P90" i="79" s="1"/>
  <c r="V90" i="79" s="1"/>
  <c r="AB90" i="79" s="1"/>
  <c r="AH90" i="79" s="1"/>
  <c r="AN90" i="79" s="1"/>
  <c r="AT90" i="79" s="1"/>
  <c r="AV90" i="79" s="1"/>
  <c r="AX90" i="79" s="1"/>
  <c r="AR89" i="79"/>
  <c r="AQ89" i="79"/>
  <c r="AO89" i="79"/>
  <c r="AN89" i="79"/>
  <c r="AL89" i="79"/>
  <c r="AK89" i="79"/>
  <c r="AI89" i="79"/>
  <c r="AH89" i="79"/>
  <c r="AF89" i="79"/>
  <c r="AE89" i="79"/>
  <c r="AC89" i="79"/>
  <c r="AB89" i="79"/>
  <c r="Z89" i="79"/>
  <c r="Y89" i="79"/>
  <c r="W89" i="79"/>
  <c r="V89" i="79"/>
  <c r="T89" i="79"/>
  <c r="S89" i="79"/>
  <c r="Q89" i="79"/>
  <c r="P89" i="79"/>
  <c r="N89" i="79"/>
  <c r="M89" i="79"/>
  <c r="K89" i="79"/>
  <c r="J89" i="79"/>
  <c r="H89" i="79"/>
  <c r="G89" i="79"/>
  <c r="E89" i="79"/>
  <c r="D89" i="79"/>
  <c r="J63" i="79"/>
  <c r="P63" i="79" s="1"/>
  <c r="V63" i="79" s="1"/>
  <c r="AB63" i="79" s="1"/>
  <c r="AH63" i="79" s="1"/>
  <c r="AN63" i="79" s="1"/>
  <c r="AT63" i="79" s="1"/>
  <c r="AV63" i="79" s="1"/>
  <c r="AX63" i="79" s="1"/>
  <c r="AR62" i="79"/>
  <c r="AQ62" i="79"/>
  <c r="AO62" i="79"/>
  <c r="AN62" i="79"/>
  <c r="AL62" i="79"/>
  <c r="AK62" i="79"/>
  <c r="AI62" i="79"/>
  <c r="AH62" i="79"/>
  <c r="AF62" i="79"/>
  <c r="AE62" i="79"/>
  <c r="AC62" i="79"/>
  <c r="AB62" i="79"/>
  <c r="Z62" i="79"/>
  <c r="Y62" i="79"/>
  <c r="W62" i="79"/>
  <c r="V62" i="79"/>
  <c r="T62" i="79"/>
  <c r="S62" i="79"/>
  <c r="Q62" i="79"/>
  <c r="P62" i="79"/>
  <c r="N62" i="79"/>
  <c r="M62" i="79"/>
  <c r="K62" i="79"/>
  <c r="J62" i="79"/>
  <c r="H62" i="79"/>
  <c r="G62" i="79"/>
  <c r="E62" i="79"/>
  <c r="D62" i="79"/>
  <c r="J8" i="79"/>
  <c r="P8" i="79" s="1"/>
  <c r="V8" i="79" s="1"/>
  <c r="AB8" i="79" s="1"/>
  <c r="AH8" i="79" s="1"/>
  <c r="AN8" i="79" s="1"/>
  <c r="AT8" i="79" s="1"/>
  <c r="AV8" i="79" s="1"/>
  <c r="AX8" i="79" s="1"/>
  <c r="AR7" i="79"/>
  <c r="AQ7" i="79"/>
  <c r="AO7" i="79"/>
  <c r="AN7" i="79"/>
  <c r="AL7" i="79"/>
  <c r="AK7" i="79"/>
  <c r="AI7" i="79"/>
  <c r="AH7" i="79"/>
  <c r="AF7" i="79"/>
  <c r="AE7" i="79"/>
  <c r="AC7" i="79"/>
  <c r="AB7" i="79"/>
  <c r="Z7" i="79"/>
  <c r="Y7" i="79"/>
  <c r="W7" i="79"/>
  <c r="V7" i="79"/>
  <c r="T7" i="79"/>
  <c r="S7" i="79"/>
  <c r="Q7" i="79"/>
  <c r="P7" i="79"/>
  <c r="N7" i="79"/>
  <c r="M7" i="79"/>
  <c r="K7" i="79"/>
  <c r="J7" i="79"/>
  <c r="H7" i="79"/>
  <c r="G7" i="79"/>
  <c r="E7" i="79"/>
  <c r="D7" i="79"/>
  <c r="AX177" i="79"/>
  <c r="AX176" i="79"/>
  <c r="AX174" i="79"/>
  <c r="AX168" i="79"/>
  <c r="AV177" i="79"/>
  <c r="AV176" i="79"/>
  <c r="AV174" i="79"/>
  <c r="AV168" i="79"/>
  <c r="AT177" i="79"/>
  <c r="AT176" i="79"/>
  <c r="AT174" i="79"/>
  <c r="AT168" i="79"/>
  <c r="AR177" i="79"/>
  <c r="AQ177" i="79"/>
  <c r="AP177" i="79"/>
  <c r="AO177" i="79"/>
  <c r="AN177" i="79"/>
  <c r="AR176" i="79"/>
  <c r="AQ176" i="79"/>
  <c r="AP176" i="79"/>
  <c r="AO176" i="79"/>
  <c r="AN176" i="79"/>
  <c r="AR174" i="79"/>
  <c r="AQ174" i="79"/>
  <c r="AP174" i="79"/>
  <c r="AO174" i="79"/>
  <c r="AN174" i="79"/>
  <c r="AL177" i="79"/>
  <c r="AK177" i="79"/>
  <c r="AJ177" i="79"/>
  <c r="AL176" i="79"/>
  <c r="AK176" i="79"/>
  <c r="AL174" i="79"/>
  <c r="AK174" i="79"/>
  <c r="AJ174" i="79"/>
  <c r="AX98" i="79"/>
  <c r="AX97" i="79"/>
  <c r="AV97" i="79"/>
  <c r="AT97" i="79"/>
  <c r="AR97" i="79"/>
  <c r="AQ97" i="79"/>
  <c r="AP97" i="79"/>
  <c r="AO97" i="79"/>
  <c r="AN97" i="79"/>
  <c r="AL97" i="79"/>
  <c r="AK97" i="79"/>
  <c r="AJ97" i="79"/>
  <c r="AX159" i="79"/>
  <c r="AX157" i="79"/>
  <c r="AX155" i="79"/>
  <c r="AX154" i="79"/>
  <c r="AX153" i="79"/>
  <c r="AX152" i="79"/>
  <c r="AX151" i="79"/>
  <c r="AX150" i="79"/>
  <c r="AX149" i="79"/>
  <c r="AX146" i="79"/>
  <c r="AX145" i="79"/>
  <c r="AX144" i="79"/>
  <c r="AX143" i="79"/>
  <c r="AX142" i="79"/>
  <c r="AX141" i="79"/>
  <c r="AX140" i="79"/>
  <c r="AX135" i="79"/>
  <c r="AX134" i="79"/>
  <c r="AX133" i="79"/>
  <c r="AX132" i="79"/>
  <c r="AX131" i="79"/>
  <c r="AX129" i="79"/>
  <c r="AX128" i="79"/>
  <c r="AX127" i="79"/>
  <c r="AX125" i="79"/>
  <c r="AV159" i="79"/>
  <c r="AV157" i="79"/>
  <c r="AV155" i="79"/>
  <c r="AV154" i="79"/>
  <c r="AV153" i="79"/>
  <c r="AV152" i="79"/>
  <c r="AV151" i="79"/>
  <c r="AV150" i="79"/>
  <c r="AV149" i="79"/>
  <c r="AV146" i="79"/>
  <c r="AV145" i="79"/>
  <c r="AV144" i="79"/>
  <c r="AV143" i="79"/>
  <c r="AV142" i="79"/>
  <c r="AV141" i="79"/>
  <c r="AV140" i="79"/>
  <c r="AV135" i="79"/>
  <c r="AV129" i="79"/>
  <c r="AV125" i="79"/>
  <c r="AT159" i="79"/>
  <c r="AT157" i="79"/>
  <c r="AT155" i="79"/>
  <c r="AT154" i="79"/>
  <c r="AT153" i="79"/>
  <c r="AT152" i="79"/>
  <c r="AT151" i="79"/>
  <c r="AT150" i="79"/>
  <c r="AT149" i="79"/>
  <c r="AT146" i="79"/>
  <c r="AT145" i="79"/>
  <c r="AT144" i="79"/>
  <c r="AT143" i="79"/>
  <c r="AT142" i="79"/>
  <c r="AT141" i="79"/>
  <c r="AT140" i="79"/>
  <c r="AT135" i="79"/>
  <c r="AT129" i="79"/>
  <c r="AT125" i="79"/>
  <c r="AR159" i="79"/>
  <c r="AR157" i="79"/>
  <c r="AR155" i="79"/>
  <c r="AR154" i="79"/>
  <c r="AR153" i="79"/>
  <c r="AR152" i="79"/>
  <c r="AR151" i="79"/>
  <c r="AR150" i="79"/>
  <c r="AR149" i="79"/>
  <c r="AR146" i="79"/>
  <c r="AR145" i="79"/>
  <c r="AR144" i="79"/>
  <c r="AR143" i="79"/>
  <c r="AR142" i="79"/>
  <c r="AR141" i="79"/>
  <c r="AR140" i="79"/>
  <c r="AR135" i="79"/>
  <c r="AR129" i="79"/>
  <c r="AR125" i="79"/>
  <c r="AX117" i="79"/>
  <c r="AX116" i="79"/>
  <c r="AX113" i="79"/>
  <c r="AX112" i="79"/>
  <c r="AX109" i="79"/>
  <c r="AX104" i="79"/>
  <c r="AX103" i="79"/>
  <c r="AX102" i="79"/>
  <c r="AX101" i="79"/>
  <c r="AV117" i="79"/>
  <c r="AV116" i="79"/>
  <c r="AV113" i="79"/>
  <c r="AV112" i="79"/>
  <c r="AV104" i="79"/>
  <c r="AT117" i="79"/>
  <c r="AT116" i="79"/>
  <c r="AT113" i="79"/>
  <c r="AT112" i="79"/>
  <c r="AT104" i="79"/>
  <c r="AR117" i="79"/>
  <c r="AQ117" i="79"/>
  <c r="AP117" i="79"/>
  <c r="AO117" i="79"/>
  <c r="AN117" i="79"/>
  <c r="AR116" i="79"/>
  <c r="AQ116" i="79"/>
  <c r="AP116" i="79"/>
  <c r="AO116" i="79"/>
  <c r="AN116" i="79"/>
  <c r="AR113" i="79"/>
  <c r="AQ113" i="79"/>
  <c r="AP113" i="79"/>
  <c r="AO113" i="79"/>
  <c r="AN113" i="79"/>
  <c r="AR112" i="79"/>
  <c r="AQ112" i="79"/>
  <c r="AP112" i="79"/>
  <c r="AO112" i="79"/>
  <c r="AN112" i="79"/>
  <c r="AR104" i="79"/>
  <c r="AQ104" i="79"/>
  <c r="AP104" i="79"/>
  <c r="AO104" i="79"/>
  <c r="AN104" i="79"/>
  <c r="AL117" i="79"/>
  <c r="AK117" i="79"/>
  <c r="AJ117" i="79"/>
  <c r="AL116" i="79"/>
  <c r="AK116" i="79"/>
  <c r="AJ116" i="79"/>
  <c r="AL113" i="79"/>
  <c r="AK113" i="79"/>
  <c r="AJ113" i="79"/>
  <c r="AL112" i="79"/>
  <c r="AK112" i="79"/>
  <c r="AJ112" i="79"/>
  <c r="AL104" i="79"/>
  <c r="AK104" i="79"/>
  <c r="AJ104" i="79"/>
  <c r="AX83" i="79"/>
  <c r="AX80" i="79"/>
  <c r="AV83" i="79"/>
  <c r="AV80" i="79"/>
  <c r="AT83" i="79"/>
  <c r="AT80" i="79"/>
  <c r="AR83" i="79"/>
  <c r="AQ83" i="79"/>
  <c r="AP83" i="79"/>
  <c r="AO83" i="79"/>
  <c r="AN83" i="79"/>
  <c r="AR80" i="79"/>
  <c r="AQ80" i="79"/>
  <c r="AP80" i="79"/>
  <c r="AO80" i="79"/>
  <c r="AN80" i="79"/>
  <c r="AL83" i="79"/>
  <c r="AK83" i="79"/>
  <c r="AJ83" i="79"/>
  <c r="AL80" i="79"/>
  <c r="AK80" i="79"/>
  <c r="AJ80" i="79"/>
  <c r="AR56" i="79"/>
  <c r="AR55" i="79"/>
  <c r="AR52" i="79"/>
  <c r="AR51" i="79"/>
  <c r="AR50" i="79"/>
  <c r="AR47" i="79"/>
  <c r="AR46" i="79"/>
  <c r="AR45" i="79"/>
  <c r="AR42" i="79"/>
  <c r="AR41" i="79"/>
  <c r="AR40" i="79"/>
  <c r="AR39" i="79"/>
  <c r="AR38" i="79"/>
  <c r="AR37" i="79"/>
  <c r="AR36" i="79"/>
  <c r="AR32" i="79"/>
  <c r="H13" i="79"/>
  <c r="H14" i="79"/>
  <c r="H15" i="79"/>
  <c r="H16" i="79"/>
  <c r="E35" i="6" l="1"/>
  <c r="E14" i="6" s="1"/>
  <c r="C221" i="66"/>
  <c r="C164" i="66"/>
  <c r="R16" i="6"/>
  <c r="R15" i="6"/>
  <c r="R14" i="6"/>
  <c r="R13" i="6"/>
  <c r="R12" i="6"/>
  <c r="AR18" i="79"/>
  <c r="AP171" i="79"/>
  <c r="AP78" i="84"/>
  <c r="AP69" i="84"/>
  <c r="AP68" i="79"/>
  <c r="AQ69" i="84"/>
  <c r="AQ78" i="84"/>
  <c r="AQ68" i="79"/>
  <c r="AV68" i="79"/>
  <c r="AO69" i="84"/>
  <c r="AO78" i="84"/>
  <c r="AO68" i="79"/>
  <c r="AN69" i="84"/>
  <c r="AN78" i="84"/>
  <c r="AN68" i="79"/>
  <c r="AM33" i="86"/>
  <c r="B36" i="86"/>
  <c r="I35" i="86"/>
  <c r="Q35" i="86" s="1"/>
  <c r="AJ69" i="84"/>
  <c r="AJ78" i="84"/>
  <c r="AJ68" i="79"/>
  <c r="AK78" i="84"/>
  <c r="AK69" i="84"/>
  <c r="AK68" i="79"/>
  <c r="AK171" i="79"/>
  <c r="AC131" i="78"/>
  <c r="AO171" i="79"/>
  <c r="AL131" i="78"/>
  <c r="AX171" i="79"/>
  <c r="AJ131" i="78"/>
  <c r="AV171" i="79"/>
  <c r="AE131" i="78"/>
  <c r="AQ171" i="79"/>
  <c r="AR139" i="79"/>
  <c r="AB131" i="78"/>
  <c r="AN171" i="79"/>
  <c r="AB94" i="78"/>
  <c r="AB127" i="78" s="1"/>
  <c r="AT171" i="79"/>
  <c r="AX139" i="79"/>
  <c r="X131" i="78"/>
  <c r="AJ171" i="79"/>
  <c r="AB70" i="78"/>
  <c r="AB85" i="78"/>
  <c r="AB82" i="78"/>
  <c r="AH131" i="78"/>
  <c r="AD131" i="78"/>
  <c r="AJ70" i="78"/>
  <c r="AV98" i="79" s="1"/>
  <c r="AE94" i="78"/>
  <c r="AE127" i="78" s="1"/>
  <c r="AE85" i="78"/>
  <c r="AE70" i="78"/>
  <c r="AD94" i="78"/>
  <c r="AD127" i="78" s="1"/>
  <c r="AD85" i="78"/>
  <c r="AE82" i="78"/>
  <c r="AD70" i="78"/>
  <c r="AC94" i="78"/>
  <c r="AC127" i="78" s="1"/>
  <c r="AC85" i="78"/>
  <c r="Y131" i="78"/>
  <c r="AD82" i="78"/>
  <c r="AL70" i="78"/>
  <c r="X85" i="78"/>
  <c r="X94" i="78"/>
  <c r="Y85" i="78"/>
  <c r="Y94" i="78"/>
  <c r="AH27" i="78"/>
  <c r="AX14" i="78" s="1"/>
  <c r="X70" i="78"/>
  <c r="AJ98" i="79" s="1"/>
  <c r="X82" i="78"/>
  <c r="Y70" i="78"/>
  <c r="Y82" i="78"/>
  <c r="AC82" i="78"/>
  <c r="AC70" i="78"/>
  <c r="AH70" i="78"/>
  <c r="Z19" i="78"/>
  <c r="Z115" i="78"/>
  <c r="AC137" i="78"/>
  <c r="AL19" i="78"/>
  <c r="V137" i="78"/>
  <c r="AH115" i="78"/>
  <c r="W19" i="78"/>
  <c r="AB137" i="78"/>
  <c r="P115" i="78"/>
  <c r="J19" i="78"/>
  <c r="M115" i="78"/>
  <c r="AB115" i="78"/>
  <c r="M19" i="78"/>
  <c r="N19" i="78"/>
  <c r="AB19" i="78"/>
  <c r="G115" i="78"/>
  <c r="T115" i="78"/>
  <c r="AJ115" i="78"/>
  <c r="P19" i="78"/>
  <c r="H115" i="78"/>
  <c r="V115" i="78"/>
  <c r="AL115" i="78"/>
  <c r="AH137" i="78"/>
  <c r="AH19" i="78"/>
  <c r="J115" i="78"/>
  <c r="W115" i="78"/>
  <c r="AJ137" i="78"/>
  <c r="V19" i="78"/>
  <c r="AJ19" i="78"/>
  <c r="K115" i="78"/>
  <c r="AE137" i="78"/>
  <c r="W137" i="78"/>
  <c r="Y137" i="78"/>
  <c r="S115" i="78"/>
  <c r="AC115" i="78"/>
  <c r="AE115" i="78"/>
  <c r="Q19" i="78"/>
  <c r="S19" i="78"/>
  <c r="AC19" i="78"/>
  <c r="AE19" i="78"/>
  <c r="H19" i="78"/>
  <c r="G19" i="78"/>
  <c r="E19" i="78"/>
  <c r="Y100" i="78" l="1"/>
  <c r="C222" i="66"/>
  <c r="C163" i="66"/>
  <c r="R18" i="6"/>
  <c r="H18" i="6" s="1"/>
  <c r="Q13" i="6"/>
  <c r="AT139" i="79"/>
  <c r="AR68" i="79"/>
  <c r="AV139" i="79"/>
  <c r="B37" i="86"/>
  <c r="I36" i="86"/>
  <c r="Q36" i="86" s="1"/>
  <c r="AM34" i="86"/>
  <c r="AV109" i="79"/>
  <c r="AT131" i="79"/>
  <c r="AT109" i="79"/>
  <c r="AX138" i="79"/>
  <c r="AL43" i="78"/>
  <c r="AT98" i="79"/>
  <c r="AC100" i="78"/>
  <c r="AO98" i="79"/>
  <c r="AO109" i="79"/>
  <c r="AL98" i="79"/>
  <c r="AK98" i="79"/>
  <c r="AP109" i="79"/>
  <c r="AD100" i="78"/>
  <c r="AP98" i="79"/>
  <c r="AE100" i="78"/>
  <c r="AQ98" i="79"/>
  <c r="AN109" i="79"/>
  <c r="AB100" i="78"/>
  <c r="AB129" i="78" s="1"/>
  <c r="AN98" i="79"/>
  <c r="AB38" i="78"/>
  <c r="AR21" i="79"/>
  <c r="AJ109" i="79"/>
  <c r="AQ71" i="79"/>
  <c r="AE38" i="78"/>
  <c r="AE43" i="78"/>
  <c r="Y127" i="78"/>
  <c r="X127" i="78"/>
  <c r="C223" i="66" l="1"/>
  <c r="C162" i="66"/>
  <c r="C161" i="66" s="1"/>
  <c r="C160" i="66" s="1"/>
  <c r="C159" i="66" s="1"/>
  <c r="C158" i="66" s="1"/>
  <c r="C157" i="66" s="1"/>
  <c r="C156" i="66" s="1"/>
  <c r="C155" i="66" s="1"/>
  <c r="C154" i="66" s="1"/>
  <c r="J15" i="83"/>
  <c r="J17" i="83"/>
  <c r="Q12" i="6"/>
  <c r="Q14" i="6"/>
  <c r="Q15" i="6"/>
  <c r="Q16" i="6"/>
  <c r="J16" i="83"/>
  <c r="D97" i="79"/>
  <c r="P18" i="6"/>
  <c r="F18" i="6" s="1"/>
  <c r="O18" i="6"/>
  <c r="E18" i="6" s="1"/>
  <c r="AV131" i="79"/>
  <c r="AM35" i="86"/>
  <c r="B38" i="86"/>
  <c r="I37" i="86"/>
  <c r="Q37" i="86" s="1"/>
  <c r="AR109" i="79"/>
  <c r="AR131" i="79"/>
  <c r="AV134" i="79"/>
  <c r="AQ109" i="79"/>
  <c r="AK109" i="79"/>
  <c r="AV128" i="79"/>
  <c r="AR128" i="79"/>
  <c r="AJ43" i="78"/>
  <c r="AV71" i="79"/>
  <c r="AT128" i="79"/>
  <c r="AR30" i="79"/>
  <c r="AX71" i="79"/>
  <c r="AV132" i="79"/>
  <c r="AR138" i="79"/>
  <c r="AR171" i="79"/>
  <c r="AT138" i="79"/>
  <c r="AV138" i="79"/>
  <c r="AT133" i="79"/>
  <c r="AL109" i="79"/>
  <c r="AR98" i="79"/>
  <c r="AH43" i="78"/>
  <c r="AP71" i="79"/>
  <c r="AD38" i="78"/>
  <c r="AD43" i="78"/>
  <c r="AO71" i="79"/>
  <c r="AR27" i="79"/>
  <c r="AK71" i="79"/>
  <c r="AJ71" i="79"/>
  <c r="AB43" i="78"/>
  <c r="AB101" i="78"/>
  <c r="AC101" i="78"/>
  <c r="AC129" i="78"/>
  <c r="Y101" i="78"/>
  <c r="Y129" i="78"/>
  <c r="AD101" i="78"/>
  <c r="AD129" i="78"/>
  <c r="AE101" i="78"/>
  <c r="AE129" i="78"/>
  <c r="X38" i="78"/>
  <c r="X43" i="78"/>
  <c r="AC43" i="78"/>
  <c r="AC38" i="78"/>
  <c r="Y43" i="78"/>
  <c r="Y38" i="78"/>
  <c r="D98" i="79"/>
  <c r="C224" i="66" l="1"/>
  <c r="Q18" i="6"/>
  <c r="G18" i="6" s="1"/>
  <c r="B39" i="86"/>
  <c r="I38" i="86"/>
  <c r="Q38" i="86" s="1"/>
  <c r="AM36" i="86"/>
  <c r="AR134" i="79"/>
  <c r="AT134" i="79"/>
  <c r="AV133" i="79"/>
  <c r="AR133" i="79"/>
  <c r="AT132" i="79"/>
  <c r="AR132" i="79"/>
  <c r="AR24" i="79"/>
  <c r="AF43" i="78"/>
  <c r="AR22" i="79"/>
  <c r="AN71" i="79"/>
  <c r="AT71" i="79"/>
  <c r="C225" i="66" l="1"/>
  <c r="E68" i="79"/>
  <c r="G68" i="79"/>
  <c r="G69" i="84"/>
  <c r="G78" i="84"/>
  <c r="E69" i="84"/>
  <c r="E78" i="84"/>
  <c r="H68" i="79"/>
  <c r="H69" i="84"/>
  <c r="H78" i="84"/>
  <c r="H80" i="79"/>
  <c r="H87" i="79"/>
  <c r="AM37" i="86"/>
  <c r="B40" i="86"/>
  <c r="I39" i="86"/>
  <c r="Q39" i="86" s="1"/>
  <c r="AR29" i="79"/>
  <c r="AR23" i="79"/>
  <c r="AF44" i="78"/>
  <c r="AR71" i="79"/>
  <c r="R70" i="78"/>
  <c r="R67" i="78"/>
  <c r="H77" i="79"/>
  <c r="H71" i="79"/>
  <c r="H86" i="79"/>
  <c r="H83" i="79"/>
  <c r="H74" i="79"/>
  <c r="AD97" i="79"/>
  <c r="C226" i="66" l="1"/>
  <c r="B41" i="86"/>
  <c r="I40" i="86"/>
  <c r="Q40" i="86" s="1"/>
  <c r="AM38" i="86"/>
  <c r="H125" i="79"/>
  <c r="C227" i="66" l="1"/>
  <c r="AM39" i="86"/>
  <c r="B42" i="86"/>
  <c r="I41" i="86"/>
  <c r="Q41" i="86" s="1"/>
  <c r="N125" i="79"/>
  <c r="C228" i="66" l="1"/>
  <c r="B43" i="86"/>
  <c r="I42" i="86"/>
  <c r="Q42" i="86" s="1"/>
  <c r="AM40" i="86"/>
  <c r="S91" i="78"/>
  <c r="Q91" i="78"/>
  <c r="R91" i="78"/>
  <c r="P91" i="78"/>
  <c r="M91" i="78"/>
  <c r="K91" i="78"/>
  <c r="W91" i="78"/>
  <c r="V91" i="78"/>
  <c r="L91" i="78"/>
  <c r="J91" i="78"/>
  <c r="E91" i="78"/>
  <c r="E125" i="78" s="1"/>
  <c r="F91" i="78"/>
  <c r="F125" i="78" s="1"/>
  <c r="G91" i="78"/>
  <c r="G125" i="78" s="1"/>
  <c r="D91" i="78"/>
  <c r="D125" i="78" s="1"/>
  <c r="AL125" i="79"/>
  <c r="T125" i="79"/>
  <c r="N127" i="79"/>
  <c r="AF125" i="79"/>
  <c r="H127" i="79"/>
  <c r="Z125" i="79"/>
  <c r="H128" i="79"/>
  <c r="N128" i="79"/>
  <c r="C229" i="66" l="1"/>
  <c r="AM41" i="86"/>
  <c r="B44" i="86"/>
  <c r="I43" i="86"/>
  <c r="Q43" i="86" s="1"/>
  <c r="AL128" i="79"/>
  <c r="L94" i="78"/>
  <c r="L127" i="78" s="1"/>
  <c r="P94" i="78"/>
  <c r="P127" i="78" s="1"/>
  <c r="K94" i="78"/>
  <c r="K127" i="78" s="1"/>
  <c r="J94" i="78"/>
  <c r="J127" i="78" s="1"/>
  <c r="Q94" i="78"/>
  <c r="Q127" i="78" s="1"/>
  <c r="S94" i="78"/>
  <c r="S127" i="78" s="1"/>
  <c r="M94" i="78"/>
  <c r="M127" i="78" s="1"/>
  <c r="W94" i="78"/>
  <c r="W127" i="78" s="1"/>
  <c r="R94" i="78"/>
  <c r="R127" i="78" s="1"/>
  <c r="V94" i="78"/>
  <c r="J125" i="78"/>
  <c r="L125" i="78"/>
  <c r="K125" i="78"/>
  <c r="M125" i="78"/>
  <c r="P125" i="78"/>
  <c r="AF127" i="79"/>
  <c r="T91" i="78"/>
  <c r="G125" i="65" s="1"/>
  <c r="R125" i="78"/>
  <c r="V125" i="78"/>
  <c r="Q125" i="78"/>
  <c r="Z127" i="79"/>
  <c r="N91" i="78"/>
  <c r="F125" i="65" s="1"/>
  <c r="W125" i="78"/>
  <c r="S125" i="78"/>
  <c r="G94" i="78"/>
  <c r="G127" i="78" s="1"/>
  <c r="E94" i="78"/>
  <c r="E127" i="78" s="1"/>
  <c r="F94" i="78"/>
  <c r="F127" i="78" s="1"/>
  <c r="D94" i="78"/>
  <c r="D127" i="78" s="1"/>
  <c r="T127" i="79"/>
  <c r="H91" i="78"/>
  <c r="E125" i="65" s="1"/>
  <c r="H129" i="79"/>
  <c r="N129" i="79"/>
  <c r="C230" i="66" l="1"/>
  <c r="D22" i="6"/>
  <c r="B45" i="86"/>
  <c r="I44" i="86"/>
  <c r="Q44" i="86" s="1"/>
  <c r="AM42" i="86"/>
  <c r="AL163" i="78"/>
  <c r="Z163" i="78"/>
  <c r="AF163" i="78"/>
  <c r="N125" i="78"/>
  <c r="V127" i="78"/>
  <c r="Z128" i="79"/>
  <c r="N94" i="78"/>
  <c r="N127" i="78" s="1"/>
  <c r="AF128" i="79"/>
  <c r="T94" i="78"/>
  <c r="T127" i="78" s="1"/>
  <c r="T125" i="78"/>
  <c r="H125" i="78"/>
  <c r="T128" i="79"/>
  <c r="H94" i="78"/>
  <c r="AL129" i="79"/>
  <c r="AF129" i="79"/>
  <c r="Z129" i="79"/>
  <c r="T129" i="79"/>
  <c r="H131" i="79"/>
  <c r="N131" i="79"/>
  <c r="C231" i="66" l="1"/>
  <c r="AM43" i="86"/>
  <c r="B46" i="86"/>
  <c r="I45" i="86"/>
  <c r="Q45" i="86" s="1"/>
  <c r="H127" i="78"/>
  <c r="H132" i="79"/>
  <c r="N132" i="79"/>
  <c r="C232" i="66" l="1"/>
  <c r="AM44" i="86"/>
  <c r="B47" i="86"/>
  <c r="I46" i="86"/>
  <c r="Q46" i="86" s="1"/>
  <c r="AF131" i="79"/>
  <c r="Z131" i="79"/>
  <c r="T131" i="79"/>
  <c r="AF132" i="79"/>
  <c r="Z132" i="79"/>
  <c r="T132" i="79"/>
  <c r="H133" i="79"/>
  <c r="N133" i="79"/>
  <c r="C233" i="66" l="1"/>
  <c r="B48" i="86"/>
  <c r="I47" i="86"/>
  <c r="Q47" i="86" s="1"/>
  <c r="AM45" i="86"/>
  <c r="V100" i="78"/>
  <c r="Q100" i="78"/>
  <c r="Q129" i="78" s="1"/>
  <c r="P100" i="78"/>
  <c r="P129" i="78" s="1"/>
  <c r="J100" i="78"/>
  <c r="J129" i="78" s="1"/>
  <c r="M100" i="78"/>
  <c r="M129" i="78" s="1"/>
  <c r="L100" i="78"/>
  <c r="L129" i="78" s="1"/>
  <c r="S100" i="78"/>
  <c r="S129" i="78" s="1"/>
  <c r="K100" i="78"/>
  <c r="K129" i="78" s="1"/>
  <c r="R100" i="78"/>
  <c r="R129" i="78" s="1"/>
  <c r="W100" i="78"/>
  <c r="W129" i="78" s="1"/>
  <c r="J168" i="79"/>
  <c r="K168" i="79"/>
  <c r="G100" i="78"/>
  <c r="M168" i="79"/>
  <c r="F100" i="78"/>
  <c r="L168" i="79"/>
  <c r="E100" i="78"/>
  <c r="D100" i="78"/>
  <c r="F168" i="79"/>
  <c r="E168" i="79"/>
  <c r="D168" i="79"/>
  <c r="G168" i="79"/>
  <c r="AF134" i="79"/>
  <c r="T134" i="79"/>
  <c r="Z133" i="79"/>
  <c r="H134" i="79"/>
  <c r="Z134" i="79"/>
  <c r="N134" i="79"/>
  <c r="T133" i="79"/>
  <c r="C234" i="66" l="1"/>
  <c r="AM46" i="86"/>
  <c r="B49" i="86"/>
  <c r="I48" i="86"/>
  <c r="Q48" i="86" s="1"/>
  <c r="S106" i="78"/>
  <c r="Q106" i="78"/>
  <c r="P106" i="78"/>
  <c r="P103" i="78"/>
  <c r="Q103" i="78"/>
  <c r="J103" i="78"/>
  <c r="W106" i="78"/>
  <c r="V103" i="78"/>
  <c r="M103" i="78"/>
  <c r="V106" i="78"/>
  <c r="K103" i="78"/>
  <c r="K106" i="78"/>
  <c r="W103" i="78"/>
  <c r="M106" i="78"/>
  <c r="L103" i="78"/>
  <c r="L106" i="78"/>
  <c r="S103" i="78"/>
  <c r="R106" i="78"/>
  <c r="R103" i="78"/>
  <c r="J106" i="78"/>
  <c r="AF133" i="79"/>
  <c r="T100" i="78"/>
  <c r="N100" i="78"/>
  <c r="V129" i="78"/>
  <c r="D129" i="78"/>
  <c r="E129" i="78"/>
  <c r="F129" i="78"/>
  <c r="G129" i="78"/>
  <c r="H100" i="78"/>
  <c r="D106" i="78"/>
  <c r="X168" i="79"/>
  <c r="G103" i="78"/>
  <c r="AE168" i="79"/>
  <c r="P168" i="79"/>
  <c r="AD168" i="79"/>
  <c r="E106" i="78"/>
  <c r="AH168" i="79"/>
  <c r="Y168" i="79"/>
  <c r="S168" i="79"/>
  <c r="G106" i="78"/>
  <c r="F103" i="78"/>
  <c r="V168" i="79"/>
  <c r="AB168" i="79"/>
  <c r="R168" i="79"/>
  <c r="E103" i="78"/>
  <c r="AI168" i="79"/>
  <c r="AC168" i="79"/>
  <c r="D103" i="78"/>
  <c r="W168" i="79"/>
  <c r="Q168" i="79"/>
  <c r="F106" i="78"/>
  <c r="N135" i="79"/>
  <c r="N168" i="79"/>
  <c r="AL142" i="79"/>
  <c r="AL140" i="79"/>
  <c r="AL143" i="79"/>
  <c r="AL141" i="79"/>
  <c r="AL144" i="79"/>
  <c r="AL135" i="79"/>
  <c r="H135" i="79"/>
  <c r="H168" i="79"/>
  <c r="AF144" i="79"/>
  <c r="Z140" i="79"/>
  <c r="AF142" i="79"/>
  <c r="H142" i="79"/>
  <c r="Z141" i="79"/>
  <c r="N138" i="79"/>
  <c r="T143" i="79"/>
  <c r="Z142" i="79"/>
  <c r="T144" i="79"/>
  <c r="N140" i="79"/>
  <c r="N143" i="79"/>
  <c r="T141" i="79"/>
  <c r="AF141" i="79"/>
  <c r="H138" i="79"/>
  <c r="T142" i="79"/>
  <c r="N141" i="79"/>
  <c r="N144" i="79"/>
  <c r="AF140" i="79"/>
  <c r="H140" i="79"/>
  <c r="AF143" i="79"/>
  <c r="H143" i="79"/>
  <c r="N139" i="79"/>
  <c r="N142" i="79"/>
  <c r="H141" i="79"/>
  <c r="H103" i="78"/>
  <c r="H104" i="78" s="1"/>
  <c r="Z143" i="79"/>
  <c r="H139" i="79"/>
  <c r="H144" i="79"/>
  <c r="Z144" i="79"/>
  <c r="T140" i="79"/>
  <c r="G171" i="79"/>
  <c r="F171" i="79"/>
  <c r="E171" i="79"/>
  <c r="D171" i="79"/>
  <c r="E128" i="65" l="1"/>
  <c r="H101" i="78"/>
  <c r="C235" i="66"/>
  <c r="B50" i="86"/>
  <c r="I49" i="86"/>
  <c r="Q49" i="86" s="1"/>
  <c r="AM47" i="86"/>
  <c r="N129" i="78"/>
  <c r="F128" i="65"/>
  <c r="T129" i="78"/>
  <c r="G128" i="65"/>
  <c r="W131" i="78"/>
  <c r="K107" i="78"/>
  <c r="S131" i="78"/>
  <c r="R131" i="78"/>
  <c r="J107" i="78"/>
  <c r="L107" i="78"/>
  <c r="P131" i="78"/>
  <c r="M131" i="78"/>
  <c r="P107" i="78"/>
  <c r="Q107" i="78"/>
  <c r="R107" i="78"/>
  <c r="L131" i="78"/>
  <c r="Z139" i="79"/>
  <c r="N106" i="78"/>
  <c r="M107" i="78"/>
  <c r="AF139" i="79"/>
  <c r="T106" i="78"/>
  <c r="K131" i="78"/>
  <c r="V107" i="78"/>
  <c r="Z106" i="78"/>
  <c r="V131" i="78"/>
  <c r="Z138" i="79"/>
  <c r="N103" i="78"/>
  <c r="N104" i="78" s="1"/>
  <c r="W107" i="78"/>
  <c r="J131" i="78"/>
  <c r="Q131" i="78"/>
  <c r="AF138" i="79"/>
  <c r="T103" i="78"/>
  <c r="T104" i="78" s="1"/>
  <c r="S107" i="78"/>
  <c r="E107" i="78"/>
  <c r="F107" i="78"/>
  <c r="D107" i="78"/>
  <c r="H129" i="78"/>
  <c r="D131" i="78"/>
  <c r="G131" i="78"/>
  <c r="G107" i="78"/>
  <c r="F131" i="78"/>
  <c r="E131" i="78"/>
  <c r="T139" i="79"/>
  <c r="H106" i="78"/>
  <c r="E131" i="65" s="1"/>
  <c r="T138" i="79"/>
  <c r="T135" i="79"/>
  <c r="T168" i="79"/>
  <c r="AF135" i="79"/>
  <c r="AF168" i="79"/>
  <c r="Z135" i="79"/>
  <c r="Z168" i="79"/>
  <c r="H146" i="79"/>
  <c r="H145" i="79"/>
  <c r="M171" i="79"/>
  <c r="L171" i="79"/>
  <c r="K171" i="79"/>
  <c r="J171" i="79"/>
  <c r="AL139" i="79" l="1"/>
  <c r="C236" i="66"/>
  <c r="AM48" i="86"/>
  <c r="B51" i="86"/>
  <c r="I50" i="86"/>
  <c r="Q50" i="86" s="1"/>
  <c r="G131" i="65"/>
  <c r="F131" i="65"/>
  <c r="AL171" i="79"/>
  <c r="AL138" i="79"/>
  <c r="Z131" i="78"/>
  <c r="N131" i="78"/>
  <c r="T131" i="78"/>
  <c r="N107" i="78"/>
  <c r="T107" i="78"/>
  <c r="H131" i="78"/>
  <c r="H107" i="78"/>
  <c r="N146" i="79"/>
  <c r="H171" i="79"/>
  <c r="N145" i="79"/>
  <c r="S171" i="79"/>
  <c r="R171" i="79"/>
  <c r="Q171" i="79"/>
  <c r="P171" i="79"/>
  <c r="C237" i="66" l="1"/>
  <c r="B52" i="86"/>
  <c r="I51" i="86"/>
  <c r="Q51" i="86" s="1"/>
  <c r="AM49" i="86"/>
  <c r="N171" i="79"/>
  <c r="T146" i="79"/>
  <c r="Y171" i="79"/>
  <c r="X171" i="79"/>
  <c r="W171" i="79"/>
  <c r="V171" i="79"/>
  <c r="T145" i="79"/>
  <c r="C238" i="66" l="1"/>
  <c r="AM50" i="86"/>
  <c r="B53" i="86"/>
  <c r="I52" i="86"/>
  <c r="Q52" i="86" s="1"/>
  <c r="T171" i="79"/>
  <c r="Z146" i="79"/>
  <c r="Z145" i="79"/>
  <c r="AE171" i="79"/>
  <c r="AD171" i="79"/>
  <c r="AC171" i="79"/>
  <c r="AB171" i="79"/>
  <c r="C239" i="66" l="1"/>
  <c r="B54" i="86"/>
  <c r="I53" i="86"/>
  <c r="Q53" i="86" s="1"/>
  <c r="AM51" i="86"/>
  <c r="Z171" i="79"/>
  <c r="AF146" i="79"/>
  <c r="AL146" i="79"/>
  <c r="AF145" i="79"/>
  <c r="AI171" i="79"/>
  <c r="AL145" i="79"/>
  <c r="C240" i="66" l="1"/>
  <c r="AM52" i="86"/>
  <c r="B55" i="86"/>
  <c r="I54" i="86"/>
  <c r="Q54" i="86" s="1"/>
  <c r="AF171" i="79"/>
  <c r="AH171" i="79"/>
  <c r="AL152" i="79"/>
  <c r="AL149" i="79"/>
  <c r="AL153" i="79"/>
  <c r="AL150" i="79"/>
  <c r="AL151" i="79"/>
  <c r="N152" i="79"/>
  <c r="N149" i="79"/>
  <c r="T151" i="79"/>
  <c r="N153" i="79"/>
  <c r="N150" i="79"/>
  <c r="AF149" i="79"/>
  <c r="H149" i="79"/>
  <c r="AF152" i="79"/>
  <c r="AF153" i="79"/>
  <c r="H153" i="79"/>
  <c r="N151" i="79"/>
  <c r="Z152" i="79"/>
  <c r="Z150" i="79"/>
  <c r="H152" i="79"/>
  <c r="Z149" i="79"/>
  <c r="H151" i="79"/>
  <c r="Z153" i="79"/>
  <c r="T152" i="79"/>
  <c r="T150" i="79"/>
  <c r="H150" i="79"/>
  <c r="AF151" i="79"/>
  <c r="T149" i="79"/>
  <c r="AF150" i="79"/>
  <c r="Z151" i="79"/>
  <c r="T153" i="79"/>
  <c r="G174" i="79"/>
  <c r="F174" i="79"/>
  <c r="E174" i="79"/>
  <c r="D174" i="79"/>
  <c r="C241" i="66" l="1"/>
  <c r="B56" i="86"/>
  <c r="I55" i="86"/>
  <c r="Q55" i="86" s="1"/>
  <c r="AM53" i="86"/>
  <c r="H155" i="79"/>
  <c r="H154" i="79"/>
  <c r="M174" i="79"/>
  <c r="L174" i="79"/>
  <c r="K174" i="79"/>
  <c r="J174" i="79"/>
  <c r="C242" i="66" l="1"/>
  <c r="AM54" i="86"/>
  <c r="B57" i="86"/>
  <c r="I56" i="86"/>
  <c r="Q56" i="86" s="1"/>
  <c r="N155" i="79"/>
  <c r="H174" i="79"/>
  <c r="N154" i="79"/>
  <c r="S174" i="79"/>
  <c r="R174" i="79"/>
  <c r="Q174" i="79"/>
  <c r="P174" i="79"/>
  <c r="C243" i="66" l="1"/>
  <c r="AM55" i="86"/>
  <c r="B58" i="86"/>
  <c r="I57" i="86"/>
  <c r="Q57" i="86" s="1"/>
  <c r="N174" i="79"/>
  <c r="T155" i="79"/>
  <c r="T154" i="79"/>
  <c r="Y174" i="79"/>
  <c r="X174" i="79"/>
  <c r="W174" i="79"/>
  <c r="V174" i="79"/>
  <c r="C244" i="66" l="1"/>
  <c r="B59" i="86"/>
  <c r="I58" i="86"/>
  <c r="Q58" i="86" s="1"/>
  <c r="AM56" i="86"/>
  <c r="T174" i="79"/>
  <c r="Z155" i="79"/>
  <c r="Z154" i="79"/>
  <c r="AE174" i="79"/>
  <c r="AD174" i="79"/>
  <c r="AC174" i="79"/>
  <c r="AB174" i="79"/>
  <c r="C245" i="66" l="1"/>
  <c r="AM57" i="86"/>
  <c r="B60" i="86"/>
  <c r="I59" i="86"/>
  <c r="Q59" i="86" s="1"/>
  <c r="Z174" i="79"/>
  <c r="AF155" i="79"/>
  <c r="AL155" i="79"/>
  <c r="AF154" i="79"/>
  <c r="AI174" i="79"/>
  <c r="AL154" i="79"/>
  <c r="C246" i="66" l="1"/>
  <c r="B61" i="86"/>
  <c r="I60" i="86"/>
  <c r="Q60" i="86" s="1"/>
  <c r="AM58" i="86"/>
  <c r="H97" i="79"/>
  <c r="G177" i="79"/>
  <c r="D177" i="79"/>
  <c r="E177" i="79"/>
  <c r="F177" i="79"/>
  <c r="AF174" i="79"/>
  <c r="AH174" i="79"/>
  <c r="R176" i="79"/>
  <c r="R177" i="79"/>
  <c r="AH176" i="79"/>
  <c r="AH177" i="79"/>
  <c r="K176" i="79"/>
  <c r="K177" i="79"/>
  <c r="L176" i="79"/>
  <c r="L177" i="79"/>
  <c r="P176" i="79"/>
  <c r="P177" i="79"/>
  <c r="M176" i="79"/>
  <c r="M177" i="79"/>
  <c r="J176" i="79"/>
  <c r="J177" i="79"/>
  <c r="AD176" i="79"/>
  <c r="AD177" i="79"/>
  <c r="AC176" i="79"/>
  <c r="AC177" i="79"/>
  <c r="Y176" i="79"/>
  <c r="Y177" i="79"/>
  <c r="X176" i="79"/>
  <c r="X177" i="79"/>
  <c r="V176" i="79"/>
  <c r="V177" i="79"/>
  <c r="Q176" i="79"/>
  <c r="Q177" i="79"/>
  <c r="AE176" i="79"/>
  <c r="AE177" i="79"/>
  <c r="AB176" i="79"/>
  <c r="AB177" i="79"/>
  <c r="AI176" i="79"/>
  <c r="AI177" i="79"/>
  <c r="W176" i="79"/>
  <c r="W177" i="79"/>
  <c r="S176" i="79"/>
  <c r="S177" i="79"/>
  <c r="G97" i="79"/>
  <c r="F97" i="79"/>
  <c r="E97" i="79"/>
  <c r="AL159" i="79"/>
  <c r="AL157" i="79"/>
  <c r="F176" i="79"/>
  <c r="D176" i="79"/>
  <c r="G176" i="79"/>
  <c r="E176" i="79"/>
  <c r="N157" i="79"/>
  <c r="H157" i="79"/>
  <c r="AF157" i="79"/>
  <c r="H177" i="79"/>
  <c r="Z157" i="79"/>
  <c r="T157" i="79"/>
  <c r="C247" i="66" l="1"/>
  <c r="B62" i="86"/>
  <c r="I61" i="86"/>
  <c r="Q61" i="86" s="1"/>
  <c r="AM59" i="86"/>
  <c r="Z159" i="79"/>
  <c r="Z176" i="79"/>
  <c r="Z177" i="79"/>
  <c r="AF159" i="79"/>
  <c r="AF176" i="79"/>
  <c r="AF177" i="79"/>
  <c r="N159" i="79"/>
  <c r="N176" i="79"/>
  <c r="N177" i="79"/>
  <c r="T159" i="79"/>
  <c r="T176" i="79"/>
  <c r="T177" i="79"/>
  <c r="J97" i="79"/>
  <c r="K97" i="79"/>
  <c r="M97" i="79"/>
  <c r="L97" i="79"/>
  <c r="H159" i="79"/>
  <c r="H176" i="79"/>
  <c r="N97" i="79"/>
  <c r="C248" i="66" l="1"/>
  <c r="B63" i="86"/>
  <c r="I62" i="86"/>
  <c r="Q62" i="86" s="1"/>
  <c r="AM60" i="86"/>
  <c r="Q97" i="79"/>
  <c r="P97" i="79"/>
  <c r="R97" i="79"/>
  <c r="S97" i="79"/>
  <c r="T97" i="79"/>
  <c r="C249" i="66" l="1"/>
  <c r="AM61" i="86"/>
  <c r="B64" i="86"/>
  <c r="I63" i="86"/>
  <c r="Q63" i="86" s="1"/>
  <c r="X97" i="79"/>
  <c r="Y97" i="79"/>
  <c r="W97" i="79"/>
  <c r="V97" i="79"/>
  <c r="Z97" i="79"/>
  <c r="C250" i="66" l="1"/>
  <c r="AM62" i="86"/>
  <c r="B65" i="86"/>
  <c r="I64" i="86"/>
  <c r="Q64" i="86" s="1"/>
  <c r="AB97" i="79"/>
  <c r="AE97" i="79"/>
  <c r="AC97" i="79"/>
  <c r="AF97" i="79"/>
  <c r="C251" i="66" l="1"/>
  <c r="B66" i="86"/>
  <c r="I65" i="86"/>
  <c r="Q65" i="86" s="1"/>
  <c r="AM63" i="86"/>
  <c r="P70" i="78"/>
  <c r="V70" i="78"/>
  <c r="W70" i="78"/>
  <c r="AL132" i="79" s="1"/>
  <c r="J67" i="78"/>
  <c r="L67" i="78"/>
  <c r="Q67" i="78"/>
  <c r="K70" i="78"/>
  <c r="M70" i="78"/>
  <c r="W67" i="78"/>
  <c r="S67" i="78"/>
  <c r="J70" i="78"/>
  <c r="L70" i="78"/>
  <c r="S70" i="78"/>
  <c r="M67" i="78"/>
  <c r="P67" i="78"/>
  <c r="V67" i="78"/>
  <c r="Q70" i="78"/>
  <c r="K67" i="78"/>
  <c r="D67" i="78"/>
  <c r="D70" i="78"/>
  <c r="F67" i="78"/>
  <c r="E67" i="78"/>
  <c r="G70" i="78"/>
  <c r="G67" i="78"/>
  <c r="E70" i="78"/>
  <c r="F70" i="78"/>
  <c r="AH97" i="79"/>
  <c r="AI97" i="79"/>
  <c r="H67" i="78"/>
  <c r="E102" i="65" s="1"/>
  <c r="T67" i="78"/>
  <c r="G102" i="65" s="1"/>
  <c r="N67" i="78"/>
  <c r="F102" i="65" s="1"/>
  <c r="N70" i="78"/>
  <c r="F105" i="65" s="1"/>
  <c r="T70" i="78"/>
  <c r="G105" i="65" s="1"/>
  <c r="H70" i="78"/>
  <c r="E105" i="65" s="1"/>
  <c r="F98" i="79"/>
  <c r="E98" i="79"/>
  <c r="C252" i="66" l="1"/>
  <c r="AM64" i="86"/>
  <c r="B67" i="86"/>
  <c r="I66" i="86"/>
  <c r="Q66" i="86" s="1"/>
  <c r="AL131" i="79"/>
  <c r="H98" i="79"/>
  <c r="G98" i="79"/>
  <c r="L98" i="79"/>
  <c r="K98" i="79"/>
  <c r="J98" i="79"/>
  <c r="C253" i="66" l="1"/>
  <c r="AM65" i="86"/>
  <c r="B68" i="86"/>
  <c r="I67" i="86"/>
  <c r="Q67" i="86" s="1"/>
  <c r="N98" i="79"/>
  <c r="M98" i="79"/>
  <c r="C254" i="66" l="1"/>
  <c r="AM66" i="86"/>
  <c r="B69" i="86"/>
  <c r="I68" i="86"/>
  <c r="Q68" i="86" s="1"/>
  <c r="R98" i="79"/>
  <c r="F73" i="78"/>
  <c r="Q98" i="79"/>
  <c r="E73" i="78"/>
  <c r="H73" i="78"/>
  <c r="E108" i="65" s="1"/>
  <c r="G73" i="78"/>
  <c r="P98" i="79"/>
  <c r="D73" i="78"/>
  <c r="S98" i="79"/>
  <c r="C255" i="66" l="1"/>
  <c r="B70" i="86"/>
  <c r="I69" i="86"/>
  <c r="Q69" i="86" s="1"/>
  <c r="AM67" i="86"/>
  <c r="V98" i="79"/>
  <c r="J73" i="78"/>
  <c r="W98" i="79"/>
  <c r="K73" i="78"/>
  <c r="X98" i="79"/>
  <c r="L73" i="78"/>
  <c r="N73" i="78"/>
  <c r="F108" i="65" s="1"/>
  <c r="M73" i="78"/>
  <c r="T98" i="79"/>
  <c r="Y98" i="79"/>
  <c r="C256" i="66" l="1"/>
  <c r="Z98" i="79"/>
  <c r="AM68" i="86"/>
  <c r="B71" i="86"/>
  <c r="I70" i="86"/>
  <c r="Q70" i="86" s="1"/>
  <c r="T73" i="78"/>
  <c r="G108" i="65" s="1"/>
  <c r="S73" i="78"/>
  <c r="AB98" i="79"/>
  <c r="P73" i="78"/>
  <c r="AD98" i="79"/>
  <c r="R73" i="78"/>
  <c r="AC98" i="79"/>
  <c r="Q73" i="78"/>
  <c r="AE98" i="79"/>
  <c r="C257" i="66" l="1"/>
  <c r="B72" i="86"/>
  <c r="I71" i="86"/>
  <c r="Q71" i="86" s="1"/>
  <c r="AM69" i="86"/>
  <c r="AF98" i="79"/>
  <c r="V80" i="78"/>
  <c r="J80" i="78"/>
  <c r="W80" i="78"/>
  <c r="Q80" i="78"/>
  <c r="R80" i="78"/>
  <c r="R76" i="78"/>
  <c r="R50" i="78" s="1"/>
  <c r="P80" i="78"/>
  <c r="K76" i="78"/>
  <c r="K50" i="78" s="1"/>
  <c r="S80" i="78"/>
  <c r="K80" i="78"/>
  <c r="L76" i="78"/>
  <c r="L50" i="78" s="1"/>
  <c r="W76" i="78"/>
  <c r="P76" i="78"/>
  <c r="P50" i="78" s="1"/>
  <c r="V76" i="78"/>
  <c r="V50" i="78" s="1"/>
  <c r="M80" i="78"/>
  <c r="M76" i="78"/>
  <c r="M50" i="78" s="1"/>
  <c r="J76" i="78"/>
  <c r="J50" i="78" s="1"/>
  <c r="S76" i="78"/>
  <c r="S50" i="78" s="1"/>
  <c r="L80" i="78"/>
  <c r="Q76" i="78"/>
  <c r="Q50" i="78" s="1"/>
  <c r="AH98" i="79"/>
  <c r="V73" i="78"/>
  <c r="AI98" i="79"/>
  <c r="W73" i="78"/>
  <c r="F76" i="78"/>
  <c r="F50" i="78" s="1"/>
  <c r="E76" i="78"/>
  <c r="E50" i="78" s="1"/>
  <c r="D76" i="78"/>
  <c r="D50" i="78" s="1"/>
  <c r="G76" i="78"/>
  <c r="G50" i="78" s="1"/>
  <c r="X101" i="79"/>
  <c r="W101" i="79"/>
  <c r="AI102" i="79"/>
  <c r="V101" i="79"/>
  <c r="G102" i="79"/>
  <c r="J102" i="79"/>
  <c r="S101" i="79"/>
  <c r="R101" i="79"/>
  <c r="AH102" i="79"/>
  <c r="F102" i="79"/>
  <c r="AB102" i="79"/>
  <c r="D102" i="79"/>
  <c r="Q101" i="79"/>
  <c r="P101" i="79"/>
  <c r="Y102" i="79"/>
  <c r="M101" i="79"/>
  <c r="L101" i="79"/>
  <c r="K101" i="79"/>
  <c r="AD102" i="79"/>
  <c r="X102" i="79"/>
  <c r="J101" i="79"/>
  <c r="E102" i="79"/>
  <c r="S102" i="79"/>
  <c r="AC102" i="79"/>
  <c r="AI101" i="79"/>
  <c r="R102" i="79"/>
  <c r="AE101" i="79"/>
  <c r="G101" i="79"/>
  <c r="Q102" i="79"/>
  <c r="AD101" i="79"/>
  <c r="F101" i="79"/>
  <c r="AH101" i="79"/>
  <c r="P102" i="79"/>
  <c r="AC101" i="79"/>
  <c r="E101" i="79"/>
  <c r="AB101" i="79"/>
  <c r="D101" i="79"/>
  <c r="W102" i="79"/>
  <c r="V102" i="79"/>
  <c r="M102" i="79"/>
  <c r="K102" i="79"/>
  <c r="AE102" i="79"/>
  <c r="L102" i="79"/>
  <c r="Y101" i="79"/>
  <c r="H76" i="78"/>
  <c r="E111" i="65" s="1"/>
  <c r="E81" i="65" s="1"/>
  <c r="H79" i="78"/>
  <c r="T76" i="78"/>
  <c r="N76" i="78"/>
  <c r="N47" i="78" s="1"/>
  <c r="F103" i="79"/>
  <c r="E103" i="79"/>
  <c r="D103" i="79"/>
  <c r="Z49" i="78" l="1"/>
  <c r="T47" i="78"/>
  <c r="AN77" i="78"/>
  <c r="AO77" i="78" s="1"/>
  <c r="Z76" i="78"/>
  <c r="C258" i="66"/>
  <c r="E53" i="78"/>
  <c r="E80" i="78"/>
  <c r="F114" i="65"/>
  <c r="F84" i="65" s="1"/>
  <c r="N80" i="78"/>
  <c r="F115" i="65" s="1"/>
  <c r="G53" i="78"/>
  <c r="G80" i="78"/>
  <c r="E114" i="65"/>
  <c r="E84" i="65" s="1"/>
  <c r="H80" i="78"/>
  <c r="E115" i="65" s="1"/>
  <c r="D53" i="78"/>
  <c r="F53" i="78"/>
  <c r="F80" i="78"/>
  <c r="G114" i="65"/>
  <c r="H83" i="65" s="1"/>
  <c r="T80" i="78"/>
  <c r="G115" i="65" s="1"/>
  <c r="AM70" i="86"/>
  <c r="B73" i="86"/>
  <c r="I72" i="86"/>
  <c r="Q72" i="86" s="1"/>
  <c r="N50" i="78"/>
  <c r="F81" i="65" s="1"/>
  <c r="F111" i="65"/>
  <c r="T50" i="78"/>
  <c r="G81" i="65" s="1"/>
  <c r="G111" i="65"/>
  <c r="H80" i="65" s="1"/>
  <c r="H50" i="78"/>
  <c r="L53" i="78"/>
  <c r="L92" i="78"/>
  <c r="T53" i="78"/>
  <c r="T92" i="78"/>
  <c r="G126" i="65" s="1"/>
  <c r="X49" i="78"/>
  <c r="X76" i="78" s="1"/>
  <c r="W50" i="78"/>
  <c r="P53" i="78"/>
  <c r="P92" i="78"/>
  <c r="Q53" i="78"/>
  <c r="Q92" i="78"/>
  <c r="M53" i="78"/>
  <c r="M92" i="78"/>
  <c r="N53" i="78"/>
  <c r="N92" i="78"/>
  <c r="F126" i="65" s="1"/>
  <c r="K53" i="78"/>
  <c r="K92" i="78"/>
  <c r="S53" i="78"/>
  <c r="S92" i="78"/>
  <c r="R53" i="78"/>
  <c r="R92" i="78"/>
  <c r="X52" i="78"/>
  <c r="X79" i="78" s="1"/>
  <c r="AJ102" i="79" s="1"/>
  <c r="W53" i="78"/>
  <c r="W92" i="78"/>
  <c r="J53" i="78"/>
  <c r="J92" i="78"/>
  <c r="V53" i="78"/>
  <c r="V92" i="78"/>
  <c r="G92" i="78"/>
  <c r="F92" i="78"/>
  <c r="D92" i="78"/>
  <c r="N102" i="79"/>
  <c r="E92" i="78"/>
  <c r="H53" i="78"/>
  <c r="H92" i="78"/>
  <c r="E126" i="65" s="1"/>
  <c r="AF102" i="79"/>
  <c r="G103" i="79"/>
  <c r="H102" i="79"/>
  <c r="H101" i="79"/>
  <c r="H103" i="79"/>
  <c r="T102" i="79"/>
  <c r="N101" i="79"/>
  <c r="Z101" i="79"/>
  <c r="Z102" i="79"/>
  <c r="T101" i="79"/>
  <c r="AF101" i="79"/>
  <c r="L103" i="79"/>
  <c r="K103" i="79"/>
  <c r="J103" i="79"/>
  <c r="C259" i="66" l="1"/>
  <c r="G84" i="65"/>
  <c r="B74" i="86"/>
  <c r="I73" i="86"/>
  <c r="Q73" i="86" s="1"/>
  <c r="AM71" i="86"/>
  <c r="H77" i="65"/>
  <c r="Y52" i="78"/>
  <c r="Y79" i="78" s="1"/>
  <c r="AK102" i="79" s="1"/>
  <c r="X46" i="78"/>
  <c r="X91" i="78" s="1"/>
  <c r="N103" i="79"/>
  <c r="M103" i="79"/>
  <c r="R103" i="79"/>
  <c r="Q103" i="79"/>
  <c r="P103" i="79"/>
  <c r="C260" i="66" l="1"/>
  <c r="AM72" i="86"/>
  <c r="B75" i="86"/>
  <c r="I74" i="86"/>
  <c r="Q74" i="86" s="1"/>
  <c r="AB52" i="78"/>
  <c r="Z79" i="78"/>
  <c r="AF52" i="78" s="1"/>
  <c r="X125" i="78"/>
  <c r="X58" i="78"/>
  <c r="AJ77" i="79" s="1"/>
  <c r="T103" i="79"/>
  <c r="S103" i="79"/>
  <c r="X103" i="79"/>
  <c r="W103" i="79"/>
  <c r="V103" i="79"/>
  <c r="C261" i="66" l="1"/>
  <c r="B76" i="86"/>
  <c r="I75" i="86"/>
  <c r="Q75" i="86" s="1"/>
  <c r="AM73" i="86"/>
  <c r="AL102" i="79"/>
  <c r="AJ74" i="79"/>
  <c r="X59" i="78"/>
  <c r="X119" i="78"/>
  <c r="X123" i="78" s="1"/>
  <c r="X109" i="78" s="1"/>
  <c r="AB79" i="78"/>
  <c r="Z103" i="79"/>
  <c r="Y103" i="79"/>
  <c r="AD103" i="79"/>
  <c r="AC103" i="79"/>
  <c r="AB103" i="79"/>
  <c r="C262" i="66" l="1"/>
  <c r="AM74" i="86"/>
  <c r="B77" i="86"/>
  <c r="I76" i="86"/>
  <c r="Q76" i="86" s="1"/>
  <c r="AC52" i="78"/>
  <c r="AC79" i="78" s="1"/>
  <c r="AN102" i="79"/>
  <c r="AF103" i="79"/>
  <c r="AE103" i="79"/>
  <c r="AI103" i="79"/>
  <c r="AH103" i="79"/>
  <c r="C263" i="66" l="1"/>
  <c r="B78" i="86"/>
  <c r="I77" i="86"/>
  <c r="Q77" i="86" s="1"/>
  <c r="AM75" i="86"/>
  <c r="AD52" i="78"/>
  <c r="AO102" i="79"/>
  <c r="Q82" i="78"/>
  <c r="K82" i="78"/>
  <c r="L82" i="78"/>
  <c r="V82" i="78"/>
  <c r="J82" i="78"/>
  <c r="M82" i="78"/>
  <c r="W82" i="78"/>
  <c r="S82" i="78"/>
  <c r="R82" i="78"/>
  <c r="P82" i="78"/>
  <c r="F82" i="78"/>
  <c r="D82" i="78"/>
  <c r="G82" i="78"/>
  <c r="E82" i="78"/>
  <c r="L104" i="79"/>
  <c r="AI104" i="79"/>
  <c r="J104" i="79"/>
  <c r="AH104" i="79"/>
  <c r="G104" i="79"/>
  <c r="AD104" i="79"/>
  <c r="F104" i="79"/>
  <c r="AC104" i="79"/>
  <c r="E104" i="79"/>
  <c r="AE104" i="79"/>
  <c r="AB104" i="79"/>
  <c r="D104" i="79"/>
  <c r="Y104" i="79"/>
  <c r="X104" i="79"/>
  <c r="W104" i="79"/>
  <c r="V104" i="79"/>
  <c r="K104" i="79"/>
  <c r="S104" i="79"/>
  <c r="R104" i="79"/>
  <c r="Q104" i="79"/>
  <c r="P104" i="79"/>
  <c r="M104" i="79"/>
  <c r="H104" i="79"/>
  <c r="AF104" i="79"/>
  <c r="Z104" i="79"/>
  <c r="T82" i="78"/>
  <c r="G117" i="65" s="1"/>
  <c r="N82" i="78"/>
  <c r="F117" i="65" s="1"/>
  <c r="T104" i="79"/>
  <c r="H82" i="78"/>
  <c r="E117" i="65" s="1"/>
  <c r="N104" i="79"/>
  <c r="F109" i="79"/>
  <c r="E109" i="79"/>
  <c r="D109" i="79"/>
  <c r="C264" i="66" l="1"/>
  <c r="B79" i="86"/>
  <c r="I78" i="86"/>
  <c r="Q78" i="86" s="1"/>
  <c r="AM76" i="86"/>
  <c r="AL133" i="79"/>
  <c r="AD79" i="78"/>
  <c r="G109" i="79"/>
  <c r="H109" i="79"/>
  <c r="L109" i="79"/>
  <c r="K109" i="79"/>
  <c r="J109" i="79"/>
  <c r="C265" i="66" l="1"/>
  <c r="AM77" i="86"/>
  <c r="B80" i="86"/>
  <c r="I79" i="86"/>
  <c r="Q79" i="86" s="1"/>
  <c r="AE52" i="78"/>
  <c r="AP102" i="79"/>
  <c r="N109" i="79"/>
  <c r="M109" i="79"/>
  <c r="C266" i="66" l="1"/>
  <c r="B81" i="86"/>
  <c r="I80" i="86"/>
  <c r="Q80" i="86" s="1"/>
  <c r="AM78" i="86"/>
  <c r="AE79" i="78"/>
  <c r="Q109" i="79"/>
  <c r="E85" i="78"/>
  <c r="R109" i="79"/>
  <c r="F85" i="78"/>
  <c r="H85" i="78"/>
  <c r="E120" i="65" s="1"/>
  <c r="G85" i="78"/>
  <c r="P109" i="79"/>
  <c r="D85" i="78"/>
  <c r="S109" i="79"/>
  <c r="C267" i="66" l="1"/>
  <c r="AM79" i="86"/>
  <c r="B82" i="86"/>
  <c r="I81" i="86"/>
  <c r="Q81" i="86" s="1"/>
  <c r="AF79" i="78"/>
  <c r="AQ102" i="79"/>
  <c r="X109" i="79"/>
  <c r="L85" i="78"/>
  <c r="V109" i="79"/>
  <c r="J85" i="78"/>
  <c r="N85" i="78"/>
  <c r="F120" i="65" s="1"/>
  <c r="M85" i="78"/>
  <c r="W109" i="79"/>
  <c r="K85" i="78"/>
  <c r="T109" i="79"/>
  <c r="Y109" i="79"/>
  <c r="C268" i="66" l="1"/>
  <c r="B83" i="86"/>
  <c r="I82" i="86"/>
  <c r="Q82" i="86" s="1"/>
  <c r="AM80" i="86"/>
  <c r="AH52" i="78"/>
  <c r="AH79" i="78" s="1"/>
  <c r="AR102" i="79"/>
  <c r="Z109" i="79"/>
  <c r="AB109" i="79"/>
  <c r="P85" i="78"/>
  <c r="AC109" i="79"/>
  <c r="Q85" i="78"/>
  <c r="AD109" i="79"/>
  <c r="R85" i="78"/>
  <c r="T85" i="78"/>
  <c r="G120" i="65" s="1"/>
  <c r="S85" i="78"/>
  <c r="AE109" i="79"/>
  <c r="C269" i="66" l="1"/>
  <c r="AF109" i="79"/>
  <c r="AM81" i="86"/>
  <c r="B84" i="86"/>
  <c r="I83" i="86"/>
  <c r="Q83" i="86" s="1"/>
  <c r="AJ52" i="78"/>
  <c r="AJ79" i="78" s="1"/>
  <c r="AT102" i="79"/>
  <c r="AF162" i="78"/>
  <c r="Z162" i="78"/>
  <c r="AL162" i="78"/>
  <c r="AI109" i="79"/>
  <c r="W85" i="78"/>
  <c r="AH109" i="79"/>
  <c r="V85" i="78"/>
  <c r="F112" i="79"/>
  <c r="E112" i="79"/>
  <c r="D112" i="79"/>
  <c r="C28" i="6" l="1"/>
  <c r="C270" i="66"/>
  <c r="B85" i="86"/>
  <c r="I84" i="86"/>
  <c r="Q84" i="86" s="1"/>
  <c r="AM82" i="86"/>
  <c r="X100" i="78"/>
  <c r="AL52" i="78"/>
  <c r="AL79" i="78" s="1"/>
  <c r="AV102" i="79"/>
  <c r="H112" i="79"/>
  <c r="G112" i="79"/>
  <c r="L112" i="79"/>
  <c r="K112" i="79"/>
  <c r="J112" i="79"/>
  <c r="C271" i="66" l="1"/>
  <c r="AM83" i="86"/>
  <c r="B86" i="86"/>
  <c r="I85" i="86"/>
  <c r="Q85" i="86" s="1"/>
  <c r="N112" i="79"/>
  <c r="X129" i="78"/>
  <c r="X133" i="78" s="1"/>
  <c r="AJ176" i="79"/>
  <c r="AL134" i="79"/>
  <c r="AJ168" i="79"/>
  <c r="M112" i="79"/>
  <c r="R112" i="79"/>
  <c r="Q112" i="79"/>
  <c r="P112" i="79"/>
  <c r="C272" i="66" l="1"/>
  <c r="B87" i="86"/>
  <c r="I86" i="86"/>
  <c r="Q86" i="86" s="1"/>
  <c r="AM84" i="86"/>
  <c r="T112" i="79"/>
  <c r="S112" i="79"/>
  <c r="X112" i="79"/>
  <c r="W112" i="79"/>
  <c r="V112" i="79"/>
  <c r="C273" i="66" l="1"/>
  <c r="AM85" i="86"/>
  <c r="B88" i="86"/>
  <c r="I87" i="86"/>
  <c r="Q87" i="86" s="1"/>
  <c r="Z112" i="79"/>
  <c r="Y112" i="79"/>
  <c r="AD112" i="79"/>
  <c r="AC112" i="79"/>
  <c r="AB112" i="79"/>
  <c r="C274" i="66" l="1"/>
  <c r="B89" i="86"/>
  <c r="I88" i="86"/>
  <c r="Q88" i="86" s="1"/>
  <c r="AM86" i="86"/>
  <c r="AF112" i="79"/>
  <c r="AE112" i="79"/>
  <c r="AI112" i="79"/>
  <c r="AH112" i="79"/>
  <c r="C275" i="66" l="1"/>
  <c r="AM87" i="86"/>
  <c r="B90" i="86"/>
  <c r="I89" i="86"/>
  <c r="Q89" i="86" s="1"/>
  <c r="AF164" i="78"/>
  <c r="Z164" i="78"/>
  <c r="K113" i="79"/>
  <c r="AH113" i="79"/>
  <c r="AE113" i="79"/>
  <c r="D113" i="79"/>
  <c r="Y113" i="79"/>
  <c r="F113" i="79"/>
  <c r="AB113" i="79"/>
  <c r="V113" i="79"/>
  <c r="AI113" i="79"/>
  <c r="X113" i="79"/>
  <c r="G113" i="79"/>
  <c r="S113" i="79"/>
  <c r="L113" i="79"/>
  <c r="R113" i="79"/>
  <c r="J113" i="79"/>
  <c r="W113" i="79"/>
  <c r="Q113" i="79"/>
  <c r="E113" i="79"/>
  <c r="P113" i="79"/>
  <c r="AC113" i="79"/>
  <c r="AD113" i="79"/>
  <c r="M113" i="79"/>
  <c r="AF113" i="79"/>
  <c r="Z113" i="79"/>
  <c r="H113" i="79"/>
  <c r="T113" i="79"/>
  <c r="N113" i="79"/>
  <c r="F116" i="79"/>
  <c r="E116" i="79"/>
  <c r="D116" i="79"/>
  <c r="C276" i="66" l="1"/>
  <c r="B91" i="86"/>
  <c r="I90" i="86"/>
  <c r="Q90" i="86" s="1"/>
  <c r="AM88" i="86"/>
  <c r="G116" i="79"/>
  <c r="H116" i="79"/>
  <c r="L116" i="79"/>
  <c r="K116" i="79"/>
  <c r="J116" i="79"/>
  <c r="C277" i="66" l="1"/>
  <c r="AM89" i="86"/>
  <c r="B92" i="86"/>
  <c r="I91" i="86"/>
  <c r="Q91" i="86" s="1"/>
  <c r="N116" i="79"/>
  <c r="M116" i="79"/>
  <c r="R116" i="79"/>
  <c r="Q116" i="79"/>
  <c r="P116" i="79"/>
  <c r="C278" i="66" l="1"/>
  <c r="AM90" i="86"/>
  <c r="B93" i="86"/>
  <c r="I92" i="86"/>
  <c r="Q92" i="86" s="1"/>
  <c r="T116" i="79"/>
  <c r="S116" i="79"/>
  <c r="X116" i="79"/>
  <c r="W116" i="79"/>
  <c r="V116" i="79"/>
  <c r="C279" i="66" l="1"/>
  <c r="B94" i="86"/>
  <c r="I93" i="86"/>
  <c r="Q93" i="86" s="1"/>
  <c r="AM91" i="86"/>
  <c r="Z116" i="79"/>
  <c r="Y116" i="79"/>
  <c r="AD116" i="79"/>
  <c r="AC116" i="79"/>
  <c r="AB116" i="79"/>
  <c r="C43" i="6"/>
  <c r="C44" i="6" s="1"/>
  <c r="C280" i="66" l="1"/>
  <c r="AM92" i="86"/>
  <c r="B95" i="86"/>
  <c r="I94" i="86"/>
  <c r="Q94" i="86" s="1"/>
  <c r="AF116" i="79"/>
  <c r="AE116" i="79"/>
  <c r="AI116" i="79"/>
  <c r="AH116" i="79"/>
  <c r="C281" i="66" l="1"/>
  <c r="AM93" i="86"/>
  <c r="B96" i="86"/>
  <c r="I95" i="86"/>
  <c r="Q95" i="86" s="1"/>
  <c r="L117" i="79"/>
  <c r="AI117" i="79"/>
  <c r="K117" i="79"/>
  <c r="AH117" i="79"/>
  <c r="J117" i="79"/>
  <c r="AE117" i="79"/>
  <c r="G117" i="79"/>
  <c r="AD117" i="79"/>
  <c r="F117" i="79"/>
  <c r="AC117" i="79"/>
  <c r="E117" i="79"/>
  <c r="AB117" i="79"/>
  <c r="D117" i="79"/>
  <c r="Y117" i="79"/>
  <c r="X117" i="79"/>
  <c r="W117" i="79"/>
  <c r="V117" i="79"/>
  <c r="S117" i="79"/>
  <c r="R117" i="79"/>
  <c r="Q117" i="79"/>
  <c r="P117" i="79"/>
  <c r="M117" i="79"/>
  <c r="AF117" i="79"/>
  <c r="H117" i="79"/>
  <c r="Z117" i="79"/>
  <c r="T117" i="79"/>
  <c r="N117" i="79"/>
  <c r="C282" i="66" l="1"/>
  <c r="P62" i="78"/>
  <c r="K61" i="78"/>
  <c r="N62" i="78"/>
  <c r="N61" i="78"/>
  <c r="V69" i="84"/>
  <c r="Q61" i="78"/>
  <c r="Y69" i="84"/>
  <c r="K62" i="78"/>
  <c r="Q62" i="78"/>
  <c r="W61" i="78"/>
  <c r="Q68" i="79"/>
  <c r="W62" i="78"/>
  <c r="X62" i="78" s="1"/>
  <c r="Y62" i="78" s="1"/>
  <c r="T61" i="78"/>
  <c r="Z97" i="78" s="1"/>
  <c r="P69" i="84"/>
  <c r="P78" i="84"/>
  <c r="AI78" i="84"/>
  <c r="M69" i="84"/>
  <c r="F97" i="65"/>
  <c r="AE69" i="84"/>
  <c r="G94" i="65"/>
  <c r="F91" i="65"/>
  <c r="S78" i="84"/>
  <c r="F62" i="65"/>
  <c r="S62" i="78"/>
  <c r="F71" i="65"/>
  <c r="Z78" i="84"/>
  <c r="W78" i="84"/>
  <c r="F89" i="65"/>
  <c r="AC68" i="79"/>
  <c r="P61" i="78"/>
  <c r="S61" i="78"/>
  <c r="N69" i="84"/>
  <c r="F68" i="65"/>
  <c r="K68" i="79"/>
  <c r="M62" i="78"/>
  <c r="M61" i="78"/>
  <c r="N43" i="78"/>
  <c r="AB78" i="84"/>
  <c r="S69" i="84"/>
  <c r="D68" i="78"/>
  <c r="G68" i="78"/>
  <c r="AB69" i="84"/>
  <c r="S68" i="79"/>
  <c r="AB68" i="79"/>
  <c r="T101" i="78"/>
  <c r="G129" i="65" s="1"/>
  <c r="K78" i="84"/>
  <c r="K69" i="84"/>
  <c r="P68" i="79"/>
  <c r="Z68" i="79"/>
  <c r="N87" i="79"/>
  <c r="Y68" i="79"/>
  <c r="F59" i="65"/>
  <c r="Z69" i="84"/>
  <c r="Y78" i="84"/>
  <c r="Q78" i="84"/>
  <c r="E68" i="78"/>
  <c r="Q69" i="84"/>
  <c r="W68" i="79"/>
  <c r="W69" i="84"/>
  <c r="E129" i="65"/>
  <c r="Z86" i="79"/>
  <c r="Z87" i="79"/>
  <c r="Z77" i="79"/>
  <c r="Z74" i="79"/>
  <c r="N74" i="79"/>
  <c r="N77" i="79"/>
  <c r="V78" i="84"/>
  <c r="N83" i="79"/>
  <c r="N121" i="78"/>
  <c r="N86" i="79"/>
  <c r="Z71" i="79"/>
  <c r="F94" i="65"/>
  <c r="Z83" i="79"/>
  <c r="V68" i="79"/>
  <c r="Z18" i="79"/>
  <c r="AC69" i="84"/>
  <c r="AC78" i="84"/>
  <c r="N68" i="79"/>
  <c r="N71" i="79"/>
  <c r="N78" i="84"/>
  <c r="Z80" i="79"/>
  <c r="M68" i="79"/>
  <c r="N80" i="79"/>
  <c r="AE68" i="79"/>
  <c r="M78" i="84"/>
  <c r="AE78" i="84"/>
  <c r="AI68" i="79"/>
  <c r="AI69" i="84"/>
  <c r="G97" i="65"/>
  <c r="E97" i="65"/>
  <c r="T62" i="78"/>
  <c r="E68" i="65"/>
  <c r="G89" i="65"/>
  <c r="D69" i="84"/>
  <c r="E89" i="65"/>
  <c r="E94" i="65"/>
  <c r="G62" i="65"/>
  <c r="D24" i="6"/>
  <c r="D25" i="6" s="1"/>
  <c r="E91" i="65"/>
  <c r="H47" i="78"/>
  <c r="T78" i="84"/>
  <c r="H18" i="79"/>
  <c r="T69" i="84"/>
  <c r="D68" i="79"/>
  <c r="D78" i="84"/>
  <c r="T68" i="79"/>
  <c r="AF78" i="84"/>
  <c r="T18" i="79"/>
  <c r="AF18" i="79"/>
  <c r="AF68" i="79"/>
  <c r="H121" i="78"/>
  <c r="T80" i="79"/>
  <c r="AF69" i="84"/>
  <c r="AF80" i="79"/>
  <c r="T121" i="78"/>
  <c r="G91" i="65"/>
  <c r="B97" i="86"/>
  <c r="I96" i="86"/>
  <c r="Q96" i="86" s="1"/>
  <c r="AM94" i="86"/>
  <c r="J78" i="84"/>
  <c r="N18" i="79"/>
  <c r="J69" i="84"/>
  <c r="J68" i="79"/>
  <c r="AH69" i="84"/>
  <c r="AH78" i="84"/>
  <c r="AH68" i="79"/>
  <c r="F66" i="65"/>
  <c r="J62" i="78"/>
  <c r="V62" i="78"/>
  <c r="J61" i="78"/>
  <c r="V61" i="78"/>
  <c r="G68" i="65"/>
  <c r="G59" i="65"/>
  <c r="G71" i="65"/>
  <c r="T43" i="78"/>
  <c r="N101" i="78"/>
  <c r="F129" i="65" s="1"/>
  <c r="N83" i="78"/>
  <c r="F118" i="65" s="1"/>
  <c r="F68" i="78"/>
  <c r="F104" i="78"/>
  <c r="F74" i="78"/>
  <c r="AF77" i="79"/>
  <c r="H61" i="78"/>
  <c r="AF87" i="79"/>
  <c r="AF86" i="79"/>
  <c r="AF83" i="79"/>
  <c r="H43" i="78"/>
  <c r="H62" i="78"/>
  <c r="E59" i="65"/>
  <c r="E60" i="65" s="1"/>
  <c r="T77" i="79"/>
  <c r="T71" i="79"/>
  <c r="T74" i="79"/>
  <c r="AF71" i="79"/>
  <c r="T87" i="79"/>
  <c r="T86" i="79"/>
  <c r="T83" i="79"/>
  <c r="AF74" i="79"/>
  <c r="T44" i="78" l="1"/>
  <c r="E74" i="65"/>
  <c r="H44" i="78"/>
  <c r="G86" i="65"/>
  <c r="G87" i="65" s="1"/>
  <c r="AU12" i="78"/>
  <c r="F86" i="65"/>
  <c r="F87" i="65" s="1"/>
  <c r="AT12" i="78"/>
  <c r="E86" i="65"/>
  <c r="E87" i="65" s="1"/>
  <c r="AS12" i="78"/>
  <c r="F74" i="65"/>
  <c r="F75" i="65" s="1"/>
  <c r="N44" i="78"/>
  <c r="C283" i="66"/>
  <c r="F63" i="65"/>
  <c r="D101" i="78"/>
  <c r="D104" i="78"/>
  <c r="G95" i="65"/>
  <c r="N119" i="78"/>
  <c r="N123" i="78" s="1"/>
  <c r="G101" i="78"/>
  <c r="F95" i="65"/>
  <c r="F77" i="65"/>
  <c r="F78" i="65" s="1"/>
  <c r="D74" i="78"/>
  <c r="G74" i="78"/>
  <c r="N71" i="78"/>
  <c r="F106" i="65" s="1"/>
  <c r="AJ87" i="79"/>
  <c r="N95" i="78"/>
  <c r="N86" i="78"/>
  <c r="F121" i="65" s="1"/>
  <c r="G104" i="78"/>
  <c r="F101" i="78"/>
  <c r="E104" i="78"/>
  <c r="E101" i="78"/>
  <c r="E74" i="78"/>
  <c r="F132" i="65"/>
  <c r="N74" i="78"/>
  <c r="F109" i="65" s="1"/>
  <c r="F92" i="65"/>
  <c r="N68" i="78"/>
  <c r="F103" i="65" s="1"/>
  <c r="F72" i="65"/>
  <c r="F98" i="65"/>
  <c r="F69" i="65"/>
  <c r="E24" i="6"/>
  <c r="F24" i="6" s="1"/>
  <c r="E75" i="65"/>
  <c r="T83" i="78"/>
  <c r="T71" i="78"/>
  <c r="G106" i="65" s="1"/>
  <c r="E77" i="65"/>
  <c r="E78" i="65" s="1"/>
  <c r="E95" i="65"/>
  <c r="G66" i="65"/>
  <c r="AM95" i="86"/>
  <c r="B98" i="86"/>
  <c r="I97" i="86"/>
  <c r="Q97" i="86" s="1"/>
  <c r="G60" i="65"/>
  <c r="H60" i="65"/>
  <c r="H83" i="78"/>
  <c r="E118" i="65" s="1"/>
  <c r="E62" i="65"/>
  <c r="G98" i="65"/>
  <c r="G69" i="65"/>
  <c r="G63" i="65"/>
  <c r="G92" i="65"/>
  <c r="E98" i="65"/>
  <c r="H86" i="78"/>
  <c r="E121" i="65" s="1"/>
  <c r="E71" i="65"/>
  <c r="E72" i="65" s="1"/>
  <c r="G74" i="65"/>
  <c r="G75" i="65" s="1"/>
  <c r="G72" i="65"/>
  <c r="E92" i="65"/>
  <c r="F60" i="65"/>
  <c r="G77" i="65"/>
  <c r="G78" i="65" s="1"/>
  <c r="E69" i="65"/>
  <c r="Z62" i="78"/>
  <c r="AL87" i="79" s="1"/>
  <c r="AB62" i="78"/>
  <c r="AK87" i="79"/>
  <c r="T86" i="78"/>
  <c r="T95" i="78"/>
  <c r="M68" i="78"/>
  <c r="M104" i="78"/>
  <c r="M101" i="78"/>
  <c r="M74" i="78"/>
  <c r="G132" i="65"/>
  <c r="T68" i="78"/>
  <c r="G103" i="65" s="1"/>
  <c r="AU14" i="78"/>
  <c r="T74" i="78"/>
  <c r="J101" i="78"/>
  <c r="J104" i="78"/>
  <c r="J68" i="78"/>
  <c r="J74" i="78"/>
  <c r="K74" i="78"/>
  <c r="K104" i="78"/>
  <c r="K101" i="78"/>
  <c r="K68" i="78"/>
  <c r="L68" i="78"/>
  <c r="L101" i="78"/>
  <c r="L74" i="78"/>
  <c r="L104" i="78"/>
  <c r="T119" i="78"/>
  <c r="T123" i="78" s="1"/>
  <c r="E132" i="65"/>
  <c r="AT14" i="78"/>
  <c r="H71" i="78"/>
  <c r="E106" i="65" s="1"/>
  <c r="H95" i="78"/>
  <c r="H68" i="78"/>
  <c r="E103" i="65" s="1"/>
  <c r="H74" i="78"/>
  <c r="E109" i="65" s="1"/>
  <c r="H119" i="78"/>
  <c r="H123" i="78" s="1"/>
  <c r="AS14" i="78"/>
  <c r="G121" i="65" l="1"/>
  <c r="Z86" i="78"/>
  <c r="G118" i="65"/>
  <c r="Z83" i="78"/>
  <c r="G109" i="65"/>
  <c r="H133" i="78"/>
  <c r="AS13" i="78" s="1"/>
  <c r="H110" i="78"/>
  <c r="T133" i="78"/>
  <c r="AU13" i="78" s="1"/>
  <c r="T110" i="78"/>
  <c r="N133" i="78"/>
  <c r="AT13" i="78" s="1"/>
  <c r="N110" i="78"/>
  <c r="C284" i="66"/>
  <c r="G24" i="6"/>
  <c r="F35" i="6"/>
  <c r="F14" i="6" s="1"/>
  <c r="AM96" i="86"/>
  <c r="B99" i="86"/>
  <c r="I98" i="86"/>
  <c r="Q98" i="86" s="1"/>
  <c r="E11" i="65"/>
  <c r="E63" i="65"/>
  <c r="E66" i="65"/>
  <c r="AC62" i="78"/>
  <c r="R74" i="78"/>
  <c r="R104" i="78"/>
  <c r="R101" i="78"/>
  <c r="R68" i="78"/>
  <c r="S104" i="78"/>
  <c r="S68" i="78"/>
  <c r="S74" i="78"/>
  <c r="S101" i="78"/>
  <c r="P74" i="78"/>
  <c r="P68" i="78"/>
  <c r="P101" i="78"/>
  <c r="P104" i="78"/>
  <c r="Q101" i="78"/>
  <c r="Q68" i="78"/>
  <c r="Q104" i="78"/>
  <c r="Q74" i="78"/>
  <c r="AF86" i="78" l="1"/>
  <c r="AH86" i="78" s="1"/>
  <c r="Z85" i="78"/>
  <c r="AF83" i="78"/>
  <c r="AH83" i="78" s="1"/>
  <c r="Z82" i="78"/>
  <c r="AF95" i="78"/>
  <c r="AF94" i="78" s="1"/>
  <c r="Z73" i="78"/>
  <c r="C285" i="66"/>
  <c r="H24" i="6"/>
  <c r="H35" i="6" s="1"/>
  <c r="G35" i="6"/>
  <c r="B100" i="86"/>
  <c r="I99" i="86"/>
  <c r="Q99" i="86" s="1"/>
  <c r="AM97" i="86"/>
  <c r="X97" i="78"/>
  <c r="X101" i="78"/>
  <c r="AD62" i="78"/>
  <c r="AO87" i="79"/>
  <c r="AN87" i="79"/>
  <c r="V101" i="78"/>
  <c r="V104" i="78"/>
  <c r="V74" i="78"/>
  <c r="V68" i="78"/>
  <c r="W101" i="78"/>
  <c r="W68" i="78"/>
  <c r="W104" i="78"/>
  <c r="W74" i="78"/>
  <c r="H21" i="79"/>
  <c r="Z100" i="78" l="1"/>
  <c r="AJ83" i="78"/>
  <c r="AH82" i="78"/>
  <c r="Z98" i="78"/>
  <c r="Z127" i="78"/>
  <c r="AH95" i="78"/>
  <c r="AJ86" i="78"/>
  <c r="AH85" i="78"/>
  <c r="AF73" i="78"/>
  <c r="C286" i="66"/>
  <c r="B101" i="86"/>
  <c r="I100" i="86"/>
  <c r="Q100" i="86" s="1"/>
  <c r="AM98" i="86"/>
  <c r="AE62" i="78"/>
  <c r="X98" i="78"/>
  <c r="Z107" i="78"/>
  <c r="AF27" i="78"/>
  <c r="AW14" i="78" s="1"/>
  <c r="AV14" i="78"/>
  <c r="D83" i="78"/>
  <c r="G83" i="78"/>
  <c r="F83" i="78"/>
  <c r="E83" i="78"/>
  <c r="T21" i="79"/>
  <c r="N21" i="79"/>
  <c r="Z129" i="78" l="1"/>
  <c r="Z101" i="78"/>
  <c r="AF61" i="78"/>
  <c r="AH97" i="78" s="1"/>
  <c r="AL86" i="78"/>
  <c r="AJ85" i="78"/>
  <c r="AF98" i="78"/>
  <c r="AF127" i="78"/>
  <c r="AJ95" i="78"/>
  <c r="AH94" i="78"/>
  <c r="AL83" i="78"/>
  <c r="AL82" i="78" s="1"/>
  <c r="AJ82" i="78"/>
  <c r="AH73" i="78"/>
  <c r="C287" i="66"/>
  <c r="AM99" i="86"/>
  <c r="B102" i="86"/>
  <c r="I101" i="86"/>
  <c r="Q101" i="86" s="1"/>
  <c r="AL68" i="79"/>
  <c r="AL18" i="79"/>
  <c r="F71" i="78"/>
  <c r="AP87" i="79"/>
  <c r="AF62" i="78"/>
  <c r="AQ87" i="79"/>
  <c r="E32" i="78"/>
  <c r="G32" i="78"/>
  <c r="G71" i="78"/>
  <c r="E71" i="78"/>
  <c r="F32" i="78"/>
  <c r="X61" i="78"/>
  <c r="W31" i="78"/>
  <c r="W37" i="78" s="1"/>
  <c r="V31" i="78"/>
  <c r="V37" i="78" s="1"/>
  <c r="D71" i="78"/>
  <c r="D32" i="78"/>
  <c r="G38" i="78"/>
  <c r="F38" i="78"/>
  <c r="D38" i="78"/>
  <c r="E38" i="78"/>
  <c r="T24" i="79"/>
  <c r="T23" i="79"/>
  <c r="N24" i="79"/>
  <c r="N23" i="79"/>
  <c r="H24" i="79"/>
  <c r="H23" i="79"/>
  <c r="Z23" i="79"/>
  <c r="AF23" i="79"/>
  <c r="AF22" i="79"/>
  <c r="M71" i="79"/>
  <c r="N22" i="79"/>
  <c r="J71" i="79"/>
  <c r="T22" i="79"/>
  <c r="P71" i="79"/>
  <c r="Z21" i="79"/>
  <c r="R71" i="79"/>
  <c r="L71" i="79"/>
  <c r="F71" i="79"/>
  <c r="Z22" i="79"/>
  <c r="K71" i="79"/>
  <c r="AL22" i="79"/>
  <c r="S71" i="79"/>
  <c r="AF21" i="79"/>
  <c r="G71" i="79"/>
  <c r="E71" i="79"/>
  <c r="Q71" i="79"/>
  <c r="H22" i="79"/>
  <c r="D71" i="79"/>
  <c r="AH61" i="78" l="1"/>
  <c r="AJ97" i="78" s="1"/>
  <c r="AL95" i="78"/>
  <c r="AJ94" i="78"/>
  <c r="AH98" i="78"/>
  <c r="AH127" i="78"/>
  <c r="AL73" i="78"/>
  <c r="AJ73" i="78"/>
  <c r="AJ100" i="78" s="1"/>
  <c r="C288" i="66"/>
  <c r="N16" i="6"/>
  <c r="N15" i="6"/>
  <c r="N14" i="6"/>
  <c r="N12" i="6"/>
  <c r="B103" i="86"/>
  <c r="I102" i="86"/>
  <c r="Q102" i="86" s="1"/>
  <c r="AM100" i="86"/>
  <c r="AJ86" i="79"/>
  <c r="Y97" i="78"/>
  <c r="AH62" i="78"/>
  <c r="AR60" i="79"/>
  <c r="W38" i="78"/>
  <c r="Q38" i="78"/>
  <c r="P38" i="78"/>
  <c r="K38" i="78"/>
  <c r="M38" i="78"/>
  <c r="S38" i="78"/>
  <c r="J38" i="78"/>
  <c r="R38" i="78"/>
  <c r="L38" i="78"/>
  <c r="V83" i="78"/>
  <c r="V71" i="78"/>
  <c r="V32" i="78"/>
  <c r="P83" i="78"/>
  <c r="P32" i="78"/>
  <c r="P71" i="78"/>
  <c r="R32" i="78"/>
  <c r="R71" i="78"/>
  <c r="R83" i="78"/>
  <c r="J83" i="78"/>
  <c r="J71" i="78"/>
  <c r="J32" i="78"/>
  <c r="M71" i="78"/>
  <c r="M83" i="78"/>
  <c r="M32" i="78"/>
  <c r="L71" i="78"/>
  <c r="L83" i="78"/>
  <c r="L32" i="78"/>
  <c r="K83" i="78"/>
  <c r="K32" i="78"/>
  <c r="K71" i="78"/>
  <c r="Q83" i="78"/>
  <c r="Q32" i="78"/>
  <c r="Q71" i="78"/>
  <c r="S71" i="78"/>
  <c r="S83" i="78"/>
  <c r="S32" i="78"/>
  <c r="W32" i="78"/>
  <c r="W83" i="78"/>
  <c r="W71" i="78"/>
  <c r="D41" i="78"/>
  <c r="E41" i="78"/>
  <c r="F41" i="78"/>
  <c r="G41" i="78"/>
  <c r="H27" i="79"/>
  <c r="AI71" i="79"/>
  <c r="AH71" i="79"/>
  <c r="AE71" i="79"/>
  <c r="AD71" i="79"/>
  <c r="AC71" i="79"/>
  <c r="AF24" i="79"/>
  <c r="AB71" i="79"/>
  <c r="Y71" i="79"/>
  <c r="X71" i="79"/>
  <c r="W71" i="79"/>
  <c r="Z24" i="79"/>
  <c r="V71" i="79"/>
  <c r="N27" i="79"/>
  <c r="T27" i="79"/>
  <c r="AL94" i="78" l="1"/>
  <c r="AL127" i="78" s="1"/>
  <c r="AJ61" i="78"/>
  <c r="AL100" i="78"/>
  <c r="AL129" i="78" s="1"/>
  <c r="AJ127" i="78"/>
  <c r="AJ98" i="78"/>
  <c r="AJ101" i="78"/>
  <c r="AJ129" i="78"/>
  <c r="C289" i="66"/>
  <c r="N18" i="6"/>
  <c r="D18" i="6" s="1"/>
  <c r="AM101" i="86"/>
  <c r="B104" i="86"/>
  <c r="I103" i="86"/>
  <c r="Q103" i="86" s="1"/>
  <c r="AJ62" i="78"/>
  <c r="AL21" i="79"/>
  <c r="AR87" i="79"/>
  <c r="E95" i="78"/>
  <c r="E86" i="78"/>
  <c r="F95" i="78"/>
  <c r="F86" i="78"/>
  <c r="D95" i="78"/>
  <c r="D86" i="78"/>
  <c r="G95" i="78"/>
  <c r="G86" i="78"/>
  <c r="Y98" i="78"/>
  <c r="J46" i="78"/>
  <c r="J47" i="78" s="1"/>
  <c r="K46" i="78"/>
  <c r="K47" i="78" s="1"/>
  <c r="V46" i="78"/>
  <c r="W46" i="78"/>
  <c r="W47" i="78" s="1"/>
  <c r="Q46" i="78"/>
  <c r="Q47" i="78" s="1"/>
  <c r="S46" i="78"/>
  <c r="S47" i="78" s="1"/>
  <c r="M46" i="78"/>
  <c r="M47" i="78" s="1"/>
  <c r="P46" i="78"/>
  <c r="P47" i="78" s="1"/>
  <c r="W40" i="78"/>
  <c r="R46" i="78"/>
  <c r="R47" i="78" s="1"/>
  <c r="V40" i="78"/>
  <c r="L46" i="78"/>
  <c r="L47" i="78" s="1"/>
  <c r="V38" i="78"/>
  <c r="E44" i="78"/>
  <c r="G47" i="78"/>
  <c r="F47" i="78"/>
  <c r="D47" i="78"/>
  <c r="G44" i="78"/>
  <c r="E47" i="78"/>
  <c r="F44" i="78"/>
  <c r="D44" i="78"/>
  <c r="T29" i="79"/>
  <c r="N29" i="79"/>
  <c r="T28" i="79"/>
  <c r="N28" i="79"/>
  <c r="AF28" i="79"/>
  <c r="Z28" i="79"/>
  <c r="AF27" i="79"/>
  <c r="Z27" i="79"/>
  <c r="H28" i="79"/>
  <c r="AL61" i="78" l="1"/>
  <c r="AL101" i="78"/>
  <c r="C290" i="66"/>
  <c r="B105" i="86"/>
  <c r="I104" i="86"/>
  <c r="Q104" i="86" s="1"/>
  <c r="AM102" i="86"/>
  <c r="AL23" i="79"/>
  <c r="AT87" i="79"/>
  <c r="AL62" i="78"/>
  <c r="AX87" i="79" s="1"/>
  <c r="AV87" i="79"/>
  <c r="Y61" i="78"/>
  <c r="W43" i="78"/>
  <c r="W44" i="78" s="1"/>
  <c r="R43" i="78"/>
  <c r="R44" i="78" s="1"/>
  <c r="M43" i="78"/>
  <c r="M44" i="78" s="1"/>
  <c r="Q43" i="78"/>
  <c r="Q44" i="78" s="1"/>
  <c r="L43" i="78"/>
  <c r="L44" i="78" s="1"/>
  <c r="P43" i="78"/>
  <c r="P44" i="78" s="1"/>
  <c r="S43" i="78"/>
  <c r="S44" i="78" s="1"/>
  <c r="V43" i="78"/>
  <c r="V44" i="78" s="1"/>
  <c r="J43" i="78"/>
  <c r="J44" i="78" s="1"/>
  <c r="K43" i="78"/>
  <c r="K44" i="78" s="1"/>
  <c r="S95" i="78"/>
  <c r="S41" i="78"/>
  <c r="S86" i="78"/>
  <c r="V41" i="78"/>
  <c r="V86" i="78"/>
  <c r="V95" i="78"/>
  <c r="W86" i="78"/>
  <c r="W41" i="78"/>
  <c r="W95" i="78"/>
  <c r="M86" i="78"/>
  <c r="M41" i="78"/>
  <c r="M95" i="78"/>
  <c r="J41" i="78"/>
  <c r="J86" i="78"/>
  <c r="J95" i="78"/>
  <c r="K95" i="78"/>
  <c r="K41" i="78"/>
  <c r="K86" i="78"/>
  <c r="L86" i="78"/>
  <c r="L41" i="78"/>
  <c r="L95" i="78"/>
  <c r="V47" i="78"/>
  <c r="Q41" i="78"/>
  <c r="Q95" i="78"/>
  <c r="Q86" i="78"/>
  <c r="P86" i="78"/>
  <c r="P95" i="78"/>
  <c r="P41" i="78"/>
  <c r="R86" i="78"/>
  <c r="R41" i="78"/>
  <c r="R95" i="78"/>
  <c r="H31" i="79"/>
  <c r="AF29" i="79"/>
  <c r="Z29" i="79"/>
  <c r="C291" i="66" l="1"/>
  <c r="B106" i="86"/>
  <c r="I105" i="86"/>
  <c r="Q105" i="86" s="1"/>
  <c r="AM103" i="86"/>
  <c r="AK86" i="79"/>
  <c r="AB97" i="78"/>
  <c r="AL27" i="79"/>
  <c r="AL24" i="79"/>
  <c r="AL71" i="79"/>
  <c r="AL86" i="79"/>
  <c r="Z43" i="78"/>
  <c r="H30" i="79"/>
  <c r="N31" i="79"/>
  <c r="N30" i="79"/>
  <c r="C292" i="66" l="1"/>
  <c r="AM104" i="86"/>
  <c r="B107" i="86"/>
  <c r="I106" i="86"/>
  <c r="Q106" i="86" s="1"/>
  <c r="Z44" i="78"/>
  <c r="AL29" i="79"/>
  <c r="AB98" i="78"/>
  <c r="T31" i="79"/>
  <c r="C293" i="66" l="1"/>
  <c r="B108" i="86"/>
  <c r="I107" i="86"/>
  <c r="Q107" i="86" s="1"/>
  <c r="AM105" i="86"/>
  <c r="AB61" i="78"/>
  <c r="T30" i="79"/>
  <c r="Z31" i="79"/>
  <c r="C294" i="66" l="1"/>
  <c r="B109" i="86"/>
  <c r="I108" i="86"/>
  <c r="Q108" i="86" s="1"/>
  <c r="AM106" i="86"/>
  <c r="AN86" i="79"/>
  <c r="AC97" i="78"/>
  <c r="Z30" i="79"/>
  <c r="AF31" i="79"/>
  <c r="C295" i="66" l="1"/>
  <c r="AM107" i="86"/>
  <c r="B110" i="86"/>
  <c r="I109" i="86"/>
  <c r="Q109" i="86" s="1"/>
  <c r="AC98" i="78"/>
  <c r="AF30" i="79"/>
  <c r="C296" i="66" l="1"/>
  <c r="B111" i="86"/>
  <c r="I110" i="86"/>
  <c r="Q110" i="86" s="1"/>
  <c r="AM108" i="86"/>
  <c r="AC61" i="78"/>
  <c r="M58" i="78"/>
  <c r="L58" i="78"/>
  <c r="Q58" i="78"/>
  <c r="V58" i="78"/>
  <c r="V119" i="78" s="1"/>
  <c r="R58" i="78"/>
  <c r="P58" i="78"/>
  <c r="J58" i="78"/>
  <c r="W58" i="78"/>
  <c r="W119" i="78" s="1"/>
  <c r="K58" i="78"/>
  <c r="S58" i="78"/>
  <c r="W55" i="78"/>
  <c r="W56" i="78" s="1"/>
  <c r="V55" i="78"/>
  <c r="D55" i="78"/>
  <c r="D56" i="78" s="1"/>
  <c r="F119" i="78"/>
  <c r="G55" i="78"/>
  <c r="G56" i="78" s="1"/>
  <c r="E119" i="78"/>
  <c r="F55" i="78"/>
  <c r="F56" i="78" s="1"/>
  <c r="E55" i="78"/>
  <c r="E56" i="78" s="1"/>
  <c r="D119" i="78"/>
  <c r="G59" i="78"/>
  <c r="AI74" i="79"/>
  <c r="AL39" i="79"/>
  <c r="Z36" i="79"/>
  <c r="AD74" i="79"/>
  <c r="Z33" i="79"/>
  <c r="AL38" i="79"/>
  <c r="T36" i="79"/>
  <c r="X74" i="79"/>
  <c r="W74" i="79"/>
  <c r="AF38" i="79"/>
  <c r="Z38" i="79"/>
  <c r="H39" i="79"/>
  <c r="AE74" i="79"/>
  <c r="H38" i="79"/>
  <c r="Y74" i="79"/>
  <c r="T33" i="79"/>
  <c r="AL37" i="79"/>
  <c r="S74" i="79"/>
  <c r="N33" i="79"/>
  <c r="AL36" i="79"/>
  <c r="M74" i="79"/>
  <c r="K74" i="79"/>
  <c r="AL32" i="79"/>
  <c r="AH74" i="79"/>
  <c r="T37" i="79"/>
  <c r="AC74" i="79"/>
  <c r="AF39" i="79"/>
  <c r="Z32" i="79"/>
  <c r="V74" i="79"/>
  <c r="H37" i="79"/>
  <c r="Q74" i="79"/>
  <c r="H36" i="79"/>
  <c r="T32" i="79"/>
  <c r="P74" i="79"/>
  <c r="AF37" i="79"/>
  <c r="L74" i="79"/>
  <c r="H33" i="79"/>
  <c r="N32" i="79"/>
  <c r="J74" i="79"/>
  <c r="AF33" i="79"/>
  <c r="N38" i="79"/>
  <c r="AF32" i="79"/>
  <c r="AB74" i="79"/>
  <c r="N37" i="79"/>
  <c r="Z39" i="79"/>
  <c r="N36" i="79"/>
  <c r="R74" i="79"/>
  <c r="T39" i="79"/>
  <c r="H41" i="79"/>
  <c r="N39" i="79"/>
  <c r="T38" i="79"/>
  <c r="Z37" i="79"/>
  <c r="AF36" i="79"/>
  <c r="F74" i="79"/>
  <c r="H32" i="79"/>
  <c r="D74" i="79"/>
  <c r="G74" i="79"/>
  <c r="E74" i="79"/>
  <c r="C297" i="66" l="1"/>
  <c r="B112" i="86"/>
  <c r="I111" i="86"/>
  <c r="Q111" i="86" s="1"/>
  <c r="AM109" i="86"/>
  <c r="F59" i="78"/>
  <c r="AO86" i="79"/>
  <c r="E59" i="78"/>
  <c r="AD97" i="78"/>
  <c r="W59" i="78"/>
  <c r="P119" i="78"/>
  <c r="P59" i="78"/>
  <c r="R119" i="78"/>
  <c r="R59" i="78"/>
  <c r="V59" i="78"/>
  <c r="K119" i="78"/>
  <c r="K59" i="78"/>
  <c r="J119" i="78"/>
  <c r="J59" i="78"/>
  <c r="Q119" i="78"/>
  <c r="Q59" i="78"/>
  <c r="L119" i="78"/>
  <c r="L59" i="78"/>
  <c r="S119" i="78"/>
  <c r="S59" i="78"/>
  <c r="V56" i="78"/>
  <c r="M119" i="78"/>
  <c r="M59" i="78"/>
  <c r="G119" i="78"/>
  <c r="D59" i="78"/>
  <c r="H40" i="79"/>
  <c r="N41" i="79"/>
  <c r="N40" i="79"/>
  <c r="C298" i="66" l="1"/>
  <c r="AM110" i="86"/>
  <c r="B113" i="86"/>
  <c r="I112" i="86"/>
  <c r="Q112" i="86" s="1"/>
  <c r="AL30" i="79"/>
  <c r="AD98" i="78"/>
  <c r="T41" i="79"/>
  <c r="T40" i="79"/>
  <c r="C299" i="66" l="1"/>
  <c r="AM111" i="86"/>
  <c r="B114" i="86"/>
  <c r="I113" i="86"/>
  <c r="Q113" i="86" s="1"/>
  <c r="AD61" i="78"/>
  <c r="Z41" i="79"/>
  <c r="C300" i="66" l="1"/>
  <c r="AM112" i="86"/>
  <c r="B115" i="86"/>
  <c r="I114" i="86"/>
  <c r="Q114" i="86" s="1"/>
  <c r="AP86" i="79"/>
  <c r="AE97" i="78"/>
  <c r="Z40" i="79"/>
  <c r="AF41" i="79"/>
  <c r="C301" i="66" l="1"/>
  <c r="B116" i="86"/>
  <c r="I115" i="86"/>
  <c r="Q115" i="86" s="1"/>
  <c r="AM113" i="86"/>
  <c r="AE98" i="78"/>
  <c r="AF40" i="79"/>
  <c r="AL41" i="79"/>
  <c r="AL40" i="79"/>
  <c r="C302" i="66" l="1"/>
  <c r="AM114" i="86"/>
  <c r="B117" i="86"/>
  <c r="I116" i="86"/>
  <c r="Q116" i="86" s="1"/>
  <c r="AE61" i="78"/>
  <c r="J121" i="78"/>
  <c r="J123" i="78" s="1"/>
  <c r="P121" i="78"/>
  <c r="P123" i="78" s="1"/>
  <c r="R121" i="78"/>
  <c r="R123" i="78" s="1"/>
  <c r="L121" i="78"/>
  <c r="L123" i="78" s="1"/>
  <c r="M121" i="78"/>
  <c r="M123" i="78" s="1"/>
  <c r="W121" i="78"/>
  <c r="W123" i="78" s="1"/>
  <c r="Q121" i="78"/>
  <c r="Q123" i="78" s="1"/>
  <c r="V121" i="78"/>
  <c r="S121" i="78"/>
  <c r="S123" i="78" s="1"/>
  <c r="K121" i="78"/>
  <c r="K123" i="78" s="1"/>
  <c r="E121" i="78"/>
  <c r="E123" i="78" s="1"/>
  <c r="F121" i="78"/>
  <c r="F123" i="78" s="1"/>
  <c r="G121" i="78"/>
  <c r="G123" i="78" s="1"/>
  <c r="D121" i="78"/>
  <c r="D123" i="78" s="1"/>
  <c r="X77" i="79"/>
  <c r="H47" i="79"/>
  <c r="S77" i="79"/>
  <c r="R77" i="79"/>
  <c r="N45" i="79"/>
  <c r="M77" i="79"/>
  <c r="L77" i="79"/>
  <c r="AL45" i="79"/>
  <c r="E77" i="79"/>
  <c r="AL42" i="79"/>
  <c r="AH77" i="79"/>
  <c r="AE77" i="79"/>
  <c r="AD77" i="79"/>
  <c r="Y77" i="79"/>
  <c r="T45" i="79"/>
  <c r="T42" i="79"/>
  <c r="P77" i="79"/>
  <c r="K77" i="79"/>
  <c r="N42" i="79"/>
  <c r="J77" i="79"/>
  <c r="F77" i="79"/>
  <c r="AF45" i="79"/>
  <c r="AC77" i="79"/>
  <c r="W77" i="79"/>
  <c r="Z42" i="79"/>
  <c r="V77" i="79"/>
  <c r="Q77" i="79"/>
  <c r="H45" i="79"/>
  <c r="G77" i="79"/>
  <c r="AI77" i="79"/>
  <c r="H42" i="79"/>
  <c r="D77" i="79"/>
  <c r="Z45" i="79"/>
  <c r="AF42" i="79"/>
  <c r="AB77" i="79"/>
  <c r="G80" i="79"/>
  <c r="F80" i="79"/>
  <c r="E80" i="79"/>
  <c r="G133" i="78" l="1"/>
  <c r="G110" i="78"/>
  <c r="E133" i="78"/>
  <c r="E110" i="78"/>
  <c r="R133" i="78"/>
  <c r="R110" i="78"/>
  <c r="D133" i="78"/>
  <c r="D110" i="78"/>
  <c r="K133" i="78"/>
  <c r="K110" i="78"/>
  <c r="L133" i="78"/>
  <c r="L110" i="78"/>
  <c r="S133" i="78"/>
  <c r="S110" i="78"/>
  <c r="Q133" i="78"/>
  <c r="Q110" i="78"/>
  <c r="M133" i="78"/>
  <c r="M110" i="78"/>
  <c r="J133" i="78"/>
  <c r="J110" i="78"/>
  <c r="F133" i="78"/>
  <c r="F110" i="78"/>
  <c r="W133" i="78"/>
  <c r="W110" i="78"/>
  <c r="P133" i="78"/>
  <c r="P110" i="78"/>
  <c r="C303" i="66"/>
  <c r="B118" i="86"/>
  <c r="I117" i="86"/>
  <c r="Q117" i="86" s="1"/>
  <c r="AM115" i="86"/>
  <c r="AQ86" i="79"/>
  <c r="V123" i="78"/>
  <c r="H46" i="79"/>
  <c r="N47" i="79"/>
  <c r="D80" i="79"/>
  <c r="M80" i="79"/>
  <c r="L80" i="79"/>
  <c r="K80" i="79"/>
  <c r="V133" i="78" l="1"/>
  <c r="V110" i="78"/>
  <c r="C304" i="66"/>
  <c r="AM116" i="86"/>
  <c r="B119" i="86"/>
  <c r="I118" i="86"/>
  <c r="Q118" i="86" s="1"/>
  <c r="AR86" i="79"/>
  <c r="AR59" i="79"/>
  <c r="T47" i="79"/>
  <c r="N46" i="79"/>
  <c r="J80" i="79"/>
  <c r="S80" i="79"/>
  <c r="R80" i="79"/>
  <c r="Q80" i="79"/>
  <c r="C305" i="66" l="1"/>
  <c r="B120" i="86"/>
  <c r="I119" i="86"/>
  <c r="Q119" i="86" s="1"/>
  <c r="AM117" i="86"/>
  <c r="AT86" i="79"/>
  <c r="AL97" i="78"/>
  <c r="Z47" i="79"/>
  <c r="T46" i="79"/>
  <c r="P80" i="79"/>
  <c r="Y80" i="79"/>
  <c r="X80" i="79"/>
  <c r="W80" i="79"/>
  <c r="AX86" i="79" l="1"/>
  <c r="AL98" i="78"/>
  <c r="C306" i="66"/>
  <c r="AM118" i="86"/>
  <c r="B121" i="86"/>
  <c r="I120" i="86"/>
  <c r="Q120" i="86" s="1"/>
  <c r="AL166" i="78"/>
  <c r="Z166" i="78"/>
  <c r="AF166" i="78"/>
  <c r="AV86" i="79"/>
  <c r="AF47" i="79"/>
  <c r="Z46" i="79"/>
  <c r="V80" i="79"/>
  <c r="AE80" i="79"/>
  <c r="AD80" i="79"/>
  <c r="AC80" i="79"/>
  <c r="C307" i="66" l="1"/>
  <c r="B122" i="86"/>
  <c r="I121" i="86"/>
  <c r="Q121" i="86" s="1"/>
  <c r="AM119" i="86"/>
  <c r="AL47" i="79"/>
  <c r="AF46" i="79"/>
  <c r="AB80" i="79"/>
  <c r="AI80" i="79"/>
  <c r="C308" i="66" l="1"/>
  <c r="B123" i="86"/>
  <c r="I122" i="86"/>
  <c r="Q122" i="86" s="1"/>
  <c r="AM120" i="86"/>
  <c r="Z50" i="79"/>
  <c r="AL50" i="79"/>
  <c r="N50" i="79"/>
  <c r="H50" i="79"/>
  <c r="T50" i="79"/>
  <c r="AF50" i="79"/>
  <c r="AL46" i="79"/>
  <c r="AH80" i="79"/>
  <c r="C309" i="66" l="1"/>
  <c r="AM121" i="86"/>
  <c r="B124" i="86"/>
  <c r="I123" i="86"/>
  <c r="Q123" i="86" s="1"/>
  <c r="G62" i="78"/>
  <c r="E61" i="78"/>
  <c r="D61" i="78"/>
  <c r="F62" i="78"/>
  <c r="G61" i="78"/>
  <c r="D62" i="78"/>
  <c r="E62" i="78"/>
  <c r="F61" i="78"/>
  <c r="D86" i="79"/>
  <c r="AF60" i="79"/>
  <c r="AF59" i="79"/>
  <c r="Z59" i="79"/>
  <c r="N60" i="79"/>
  <c r="AL60" i="79"/>
  <c r="H60" i="79"/>
  <c r="N59" i="79"/>
  <c r="H59" i="79"/>
  <c r="AL59" i="79"/>
  <c r="T60" i="79"/>
  <c r="Z60" i="79"/>
  <c r="T59" i="79"/>
  <c r="T55" i="79"/>
  <c r="Y83" i="79"/>
  <c r="Z51" i="79"/>
  <c r="V83" i="79"/>
  <c r="L87" i="79"/>
  <c r="L86" i="79"/>
  <c r="H55" i="79"/>
  <c r="L83" i="79"/>
  <c r="E86" i="79"/>
  <c r="E87" i="79"/>
  <c r="K83" i="79"/>
  <c r="Z56" i="79"/>
  <c r="AF55" i="79"/>
  <c r="AH86" i="79"/>
  <c r="AL52" i="79"/>
  <c r="AH87" i="79"/>
  <c r="H52" i="79"/>
  <c r="D87" i="79"/>
  <c r="N51" i="79"/>
  <c r="J83" i="79"/>
  <c r="AE87" i="79"/>
  <c r="AE86" i="79"/>
  <c r="G83" i="79"/>
  <c r="AD87" i="79"/>
  <c r="AD86" i="79"/>
  <c r="F83" i="79"/>
  <c r="AC86" i="79"/>
  <c r="AC87" i="79"/>
  <c r="AI83" i="79"/>
  <c r="E83" i="79"/>
  <c r="T56" i="79"/>
  <c r="Z55" i="79"/>
  <c r="AB86" i="79"/>
  <c r="AF52" i="79"/>
  <c r="AB87" i="79"/>
  <c r="AL51" i="79"/>
  <c r="AH83" i="79"/>
  <c r="H51" i="79"/>
  <c r="D83" i="79"/>
  <c r="AF51" i="79"/>
  <c r="AB83" i="79"/>
  <c r="R87" i="79"/>
  <c r="R86" i="79"/>
  <c r="W83" i="79"/>
  <c r="H56" i="79"/>
  <c r="M87" i="79"/>
  <c r="M86" i="79"/>
  <c r="AF56" i="79"/>
  <c r="T51" i="79"/>
  <c r="P83" i="79"/>
  <c r="G86" i="79"/>
  <c r="G87" i="79"/>
  <c r="Y87" i="79"/>
  <c r="Y86" i="79"/>
  <c r="AE83" i="79"/>
  <c r="V86" i="79"/>
  <c r="Z52" i="79"/>
  <c r="V87" i="79"/>
  <c r="Q86" i="79"/>
  <c r="Q87" i="79"/>
  <c r="AL56" i="79"/>
  <c r="P86" i="79"/>
  <c r="T52" i="79"/>
  <c r="P87" i="79"/>
  <c r="R83" i="79"/>
  <c r="K86" i="79"/>
  <c r="K87" i="79"/>
  <c r="AL55" i="79"/>
  <c r="M83" i="79"/>
  <c r="AI87" i="79"/>
  <c r="AI86" i="79"/>
  <c r="X87" i="79"/>
  <c r="X86" i="79"/>
  <c r="AD83" i="79"/>
  <c r="N56" i="79"/>
  <c r="S87" i="79"/>
  <c r="S86" i="79"/>
  <c r="X83" i="79"/>
  <c r="N55" i="79"/>
  <c r="S83" i="79"/>
  <c r="Q83" i="79"/>
  <c r="J86" i="79"/>
  <c r="N52" i="79"/>
  <c r="J87" i="79"/>
  <c r="F86" i="79"/>
  <c r="F87" i="79"/>
  <c r="W86" i="79"/>
  <c r="W87" i="79"/>
  <c r="AC83" i="79"/>
  <c r="C310" i="66" l="1"/>
  <c r="AM122" i="86"/>
  <c r="B125" i="86"/>
  <c r="I124" i="86"/>
  <c r="Q124" i="86" s="1"/>
  <c r="D19" i="6"/>
  <c r="L173" i="65"/>
  <c r="E100" i="65"/>
  <c r="E123" i="65"/>
  <c r="F57" i="65"/>
  <c r="G57" i="65" s="1"/>
  <c r="F38" i="65"/>
  <c r="G38" i="65" s="1"/>
  <c r="H38" i="65" s="1"/>
  <c r="I38" i="65" s="1"/>
  <c r="J38" i="65" s="1"/>
  <c r="K38" i="65" s="1"/>
  <c r="L38" i="65" s="1"/>
  <c r="C311" i="66" l="1"/>
  <c r="B126" i="86"/>
  <c r="I125" i="86"/>
  <c r="Q125" i="86" s="1"/>
  <c r="AM123" i="86"/>
  <c r="G123" i="65"/>
  <c r="H57" i="65"/>
  <c r="G100" i="65"/>
  <c r="F123" i="65"/>
  <c r="F100" i="65"/>
  <c r="C312" i="66" l="1"/>
  <c r="AM124" i="86"/>
  <c r="B127" i="86"/>
  <c r="I126" i="86"/>
  <c r="Q126" i="86" s="1"/>
  <c r="H123" i="65"/>
  <c r="I57" i="65"/>
  <c r="H134" i="65"/>
  <c r="H142" i="65" s="1"/>
  <c r="H100" i="65"/>
  <c r="C313" i="66" l="1"/>
  <c r="AM125" i="86"/>
  <c r="B128" i="86"/>
  <c r="I127" i="86"/>
  <c r="Q127" i="86" s="1"/>
  <c r="I123" i="65"/>
  <c r="J57" i="65"/>
  <c r="I134" i="65"/>
  <c r="I142" i="65" s="1"/>
  <c r="I100" i="65"/>
  <c r="C314" i="66" l="1"/>
  <c r="AM126" i="86"/>
  <c r="B129" i="86"/>
  <c r="I128" i="86"/>
  <c r="Q128" i="86" s="1"/>
  <c r="J100" i="65"/>
  <c r="J123" i="65"/>
  <c r="K57" i="65"/>
  <c r="J134" i="65"/>
  <c r="J142" i="65" s="1"/>
  <c r="C315" i="66" l="1"/>
  <c r="B130" i="86"/>
  <c r="I129" i="86"/>
  <c r="Q129" i="86" s="1"/>
  <c r="AM127" i="86"/>
  <c r="K100" i="65"/>
  <c r="L57" i="65"/>
  <c r="K123" i="65"/>
  <c r="K134" i="65"/>
  <c r="K142" i="65" s="1"/>
  <c r="C316" i="66" l="1"/>
  <c r="B131" i="86"/>
  <c r="I130" i="86"/>
  <c r="Q130" i="86" s="1"/>
  <c r="AM128" i="86"/>
  <c r="L100" i="65"/>
  <c r="L123" i="65"/>
  <c r="L134" i="65"/>
  <c r="L142" i="65" s="1"/>
  <c r="C317" i="66" l="1"/>
  <c r="B132" i="86"/>
  <c r="I131" i="86"/>
  <c r="Q131" i="86" s="1"/>
  <c r="AM129" i="86"/>
  <c r="C318" i="66" l="1"/>
  <c r="B133" i="86"/>
  <c r="I132" i="86"/>
  <c r="Q132" i="86" s="1"/>
  <c r="AM130" i="86"/>
  <c r="C319" i="66" l="1"/>
  <c r="AM131" i="86"/>
  <c r="B134" i="86"/>
  <c r="I133" i="86"/>
  <c r="Q133" i="86" s="1"/>
  <c r="C320" i="66" l="1"/>
  <c r="AM132" i="86"/>
  <c r="B135" i="86"/>
  <c r="I134" i="86"/>
  <c r="Q134" i="86" s="1"/>
  <c r="C321" i="66" l="1"/>
  <c r="B136" i="86"/>
  <c r="I135" i="86"/>
  <c r="Q135" i="86" s="1"/>
  <c r="AM133" i="86"/>
  <c r="C322" i="66" l="1"/>
  <c r="AM134" i="86"/>
  <c r="B137" i="86"/>
  <c r="I136" i="86"/>
  <c r="Q136" i="86" s="1"/>
  <c r="C323" i="66" l="1"/>
  <c r="AM135" i="86"/>
  <c r="B138" i="86"/>
  <c r="I137" i="86"/>
  <c r="Q137" i="86" s="1"/>
  <c r="C324" i="66" l="1"/>
  <c r="AM136" i="86"/>
  <c r="B139" i="86"/>
  <c r="I138" i="86"/>
  <c r="Q138" i="86" s="1"/>
  <c r="C325" i="66" l="1"/>
  <c r="AM137" i="86"/>
  <c r="B140" i="86"/>
  <c r="I139" i="86"/>
  <c r="Q139" i="86" s="1"/>
  <c r="D59" i="65"/>
  <c r="C326" i="66" l="1"/>
  <c r="B141" i="86"/>
  <c r="I140" i="86"/>
  <c r="Q140" i="86" s="1"/>
  <c r="AM138" i="86"/>
  <c r="C327" i="66" l="1"/>
  <c r="AM139" i="86"/>
  <c r="B142" i="86"/>
  <c r="I141" i="86"/>
  <c r="Q141" i="86" s="1"/>
  <c r="J27" i="65"/>
  <c r="C328" i="66" l="1"/>
  <c r="B143" i="86"/>
  <c r="I142" i="86"/>
  <c r="Q142" i="86" s="1"/>
  <c r="AM140" i="86"/>
  <c r="E29" i="6"/>
  <c r="C329" i="66" l="1"/>
  <c r="AM141" i="86"/>
  <c r="B144" i="86"/>
  <c r="I143" i="86"/>
  <c r="Q143" i="86" s="1"/>
  <c r="H62" i="65"/>
  <c r="L11" i="65"/>
  <c r="E15" i="65"/>
  <c r="J28" i="65" s="1"/>
  <c r="L13" i="65"/>
  <c r="L12" i="65"/>
  <c r="E17" i="65"/>
  <c r="J30" i="65" s="1"/>
  <c r="K30" i="65" s="1"/>
  <c r="K27" i="65"/>
  <c r="C330" i="66" l="1"/>
  <c r="AM142" i="86"/>
  <c r="B145" i="86"/>
  <c r="I144" i="86"/>
  <c r="Q144" i="86" s="1"/>
  <c r="H65" i="65"/>
  <c r="H68" i="65" s="1"/>
  <c r="H117" i="65"/>
  <c r="H105" i="65"/>
  <c r="H139" i="65"/>
  <c r="C29" i="65"/>
  <c r="G160" i="65"/>
  <c r="H157" i="65" s="1"/>
  <c r="H158" i="65" s="1"/>
  <c r="K28" i="65"/>
  <c r="J34" i="65"/>
  <c r="C27" i="65"/>
  <c r="G148" i="65"/>
  <c r="C28" i="65"/>
  <c r="G154" i="65"/>
  <c r="H151" i="65" s="1"/>
  <c r="H152" i="65" s="1"/>
  <c r="H128" i="65" l="1"/>
  <c r="H138" i="65" s="1"/>
  <c r="C331" i="66"/>
  <c r="AM143" i="86"/>
  <c r="B146" i="86"/>
  <c r="I145" i="86"/>
  <c r="Q145" i="86" s="1"/>
  <c r="H74" i="65"/>
  <c r="H114" i="65" s="1"/>
  <c r="I83" i="65" s="1"/>
  <c r="H69" i="65"/>
  <c r="H111" i="65"/>
  <c r="H125" i="65"/>
  <c r="I62" i="65"/>
  <c r="I139" i="65"/>
  <c r="H145" i="65"/>
  <c r="G166" i="65"/>
  <c r="D27" i="65"/>
  <c r="C30" i="65"/>
  <c r="D29" i="65"/>
  <c r="L30" i="65"/>
  <c r="L34" i="65"/>
  <c r="K34" i="65"/>
  <c r="C34" i="65"/>
  <c r="E27" i="65" s="1"/>
  <c r="L27" i="65"/>
  <c r="D28" i="65"/>
  <c r="L28" i="65"/>
  <c r="H129" i="65" l="1"/>
  <c r="C332" i="66"/>
  <c r="H86" i="65"/>
  <c r="B147" i="86"/>
  <c r="I146" i="86"/>
  <c r="Q146" i="86" s="1"/>
  <c r="AM144" i="86"/>
  <c r="H126" i="65"/>
  <c r="I65" i="65"/>
  <c r="I68" i="65" s="1"/>
  <c r="I69" i="65" s="1"/>
  <c r="I80" i="65"/>
  <c r="I77" i="65" s="1"/>
  <c r="I125" i="65" s="1"/>
  <c r="H78" i="65"/>
  <c r="I117" i="65"/>
  <c r="I105" i="65"/>
  <c r="E28" i="65"/>
  <c r="H137" i="65"/>
  <c r="E29" i="65"/>
  <c r="J62" i="65"/>
  <c r="J139" i="65"/>
  <c r="H163" i="65"/>
  <c r="H146" i="65"/>
  <c r="H164" i="65" s="1"/>
  <c r="H89" i="65" s="1"/>
  <c r="D30" i="65"/>
  <c r="E30" i="65"/>
  <c r="C32" i="65"/>
  <c r="E34" i="65"/>
  <c r="D34" i="65"/>
  <c r="C333" i="66" l="1"/>
  <c r="I74" i="65"/>
  <c r="AM145" i="86"/>
  <c r="B148" i="86"/>
  <c r="I147" i="86"/>
  <c r="Q147" i="86" s="1"/>
  <c r="I111" i="65"/>
  <c r="J80" i="65" s="1"/>
  <c r="J65" i="65"/>
  <c r="J68" i="65" s="1"/>
  <c r="J74" i="65" s="1"/>
  <c r="I128" i="65"/>
  <c r="J117" i="65"/>
  <c r="J105" i="65"/>
  <c r="I86" i="65"/>
  <c r="I114" i="65"/>
  <c r="H91" i="65"/>
  <c r="L139" i="65"/>
  <c r="L62" i="65"/>
  <c r="K62" i="65"/>
  <c r="K139" i="65"/>
  <c r="L178" i="65"/>
  <c r="D32" i="65"/>
  <c r="E32" i="65"/>
  <c r="J128" i="65" l="1"/>
  <c r="J129" i="65" s="1"/>
  <c r="C334" i="66"/>
  <c r="J69" i="65"/>
  <c r="I126" i="65"/>
  <c r="J111" i="65"/>
  <c r="K80" i="65" s="1"/>
  <c r="B149" i="86"/>
  <c r="I148" i="86"/>
  <c r="Q148" i="86" s="1"/>
  <c r="AM146" i="86"/>
  <c r="K65" i="65"/>
  <c r="K68" i="65" s="1"/>
  <c r="K69" i="65" s="1"/>
  <c r="L65" i="65"/>
  <c r="L68" i="65"/>
  <c r="L69" i="65" s="1"/>
  <c r="I129" i="65"/>
  <c r="I138" i="65"/>
  <c r="L117" i="65"/>
  <c r="L105" i="65"/>
  <c r="K117" i="65"/>
  <c r="K105" i="65"/>
  <c r="J83" i="65"/>
  <c r="J77" i="65" s="1"/>
  <c r="J125" i="65" s="1"/>
  <c r="I78" i="65"/>
  <c r="H94" i="65"/>
  <c r="H97" i="65" s="1"/>
  <c r="H92" i="65"/>
  <c r="I137" i="65"/>
  <c r="J138" i="65"/>
  <c r="C335" i="66" l="1"/>
  <c r="L74" i="65"/>
  <c r="K74" i="65"/>
  <c r="K111" i="65"/>
  <c r="L80" i="65" s="1"/>
  <c r="L111" i="65" s="1"/>
  <c r="AM147" i="86"/>
  <c r="B150" i="86"/>
  <c r="I149" i="86"/>
  <c r="Q149" i="86" s="1"/>
  <c r="J114" i="65"/>
  <c r="K83" i="65" s="1"/>
  <c r="K77" i="65" s="1"/>
  <c r="K125" i="65" s="1"/>
  <c r="H98" i="65"/>
  <c r="H136" i="65"/>
  <c r="H140" i="65" s="1"/>
  <c r="L128" i="65"/>
  <c r="L129" i="65" s="1"/>
  <c r="K128" i="65"/>
  <c r="K129" i="65" s="1"/>
  <c r="J86" i="65"/>
  <c r="J137" i="65"/>
  <c r="K138" i="65" l="1"/>
  <c r="C336" i="66"/>
  <c r="L138" i="65"/>
  <c r="J126" i="65"/>
  <c r="B151" i="86"/>
  <c r="I150" i="86"/>
  <c r="Q150" i="86" s="1"/>
  <c r="AM148" i="86"/>
  <c r="J78" i="65"/>
  <c r="K114" i="65"/>
  <c r="K126" i="65" s="1"/>
  <c r="K86" i="65"/>
  <c r="K137" i="65"/>
  <c r="H147" i="65"/>
  <c r="C337" i="66" l="1"/>
  <c r="AM149" i="86"/>
  <c r="B152" i="86"/>
  <c r="I151" i="86"/>
  <c r="Q151" i="86" s="1"/>
  <c r="L83" i="65"/>
  <c r="L77" i="65" s="1"/>
  <c r="L125" i="65" s="1"/>
  <c r="K78" i="65"/>
  <c r="H153" i="65"/>
  <c r="H148" i="65"/>
  <c r="C338" i="66" l="1"/>
  <c r="L114" i="65"/>
  <c r="L78" i="65" s="1"/>
  <c r="L86" i="65"/>
  <c r="L172" i="65" s="1"/>
  <c r="L174" i="65" s="1"/>
  <c r="B153" i="86"/>
  <c r="I152" i="86"/>
  <c r="Q152" i="86" s="1"/>
  <c r="AM150" i="86"/>
  <c r="L137" i="65"/>
  <c r="I145" i="65"/>
  <c r="H154" i="65"/>
  <c r="I151" i="65" s="1"/>
  <c r="I152" i="65" s="1"/>
  <c r="H159" i="65"/>
  <c r="C339" i="66" l="1"/>
  <c r="L126" i="65"/>
  <c r="B154" i="86"/>
  <c r="I153" i="86"/>
  <c r="Q153" i="86" s="1"/>
  <c r="AM151" i="86"/>
  <c r="H160" i="65"/>
  <c r="I157" i="65" s="1"/>
  <c r="I158" i="65" s="1"/>
  <c r="H165" i="65"/>
  <c r="I146" i="65"/>
  <c r="C340" i="66" l="1"/>
  <c r="AM152" i="86"/>
  <c r="B155" i="86"/>
  <c r="I154" i="86"/>
  <c r="Q154" i="86" s="1"/>
  <c r="I164" i="65"/>
  <c r="I89" i="65" s="1"/>
  <c r="H166" i="65"/>
  <c r="I163" i="65"/>
  <c r="C341" i="66" l="1"/>
  <c r="AM153" i="86"/>
  <c r="B156" i="86"/>
  <c r="I155" i="86"/>
  <c r="Q155" i="86" s="1"/>
  <c r="I91" i="65"/>
  <c r="C342" i="66" l="1"/>
  <c r="AM154" i="86"/>
  <c r="B157" i="86"/>
  <c r="I156" i="86"/>
  <c r="Q156" i="86" s="1"/>
  <c r="I94" i="65"/>
  <c r="I97" i="65" s="1"/>
  <c r="I92" i="65"/>
  <c r="C343" i="66" l="1"/>
  <c r="B158" i="86"/>
  <c r="I157" i="86"/>
  <c r="Q157" i="86" s="1"/>
  <c r="AM155" i="86"/>
  <c r="I98" i="65"/>
  <c r="I136" i="65"/>
  <c r="I140" i="65" s="1"/>
  <c r="I147" i="65" s="1"/>
  <c r="I153" i="65" s="1"/>
  <c r="I154" i="65" s="1"/>
  <c r="J151" i="65" s="1"/>
  <c r="J152" i="65" s="1"/>
  <c r="C344" i="66" l="1"/>
  <c r="B159" i="86"/>
  <c r="I158" i="86"/>
  <c r="Q158" i="86" s="1"/>
  <c r="AM156" i="86"/>
  <c r="I159" i="65"/>
  <c r="I160" i="65" s="1"/>
  <c r="J157" i="65" s="1"/>
  <c r="J158" i="65" s="1"/>
  <c r="I148" i="65"/>
  <c r="C159" i="86"/>
  <c r="C158" i="86" s="1"/>
  <c r="C157" i="86" s="1"/>
  <c r="C156" i="86" s="1"/>
  <c r="C155" i="86" s="1"/>
  <c r="C154" i="86" s="1"/>
  <c r="C153" i="86" s="1"/>
  <c r="C152" i="86" s="1"/>
  <c r="J159" i="86"/>
  <c r="J158" i="86" s="1"/>
  <c r="J157" i="86" s="1"/>
  <c r="J156" i="86" s="1"/>
  <c r="J155" i="86" s="1"/>
  <c r="J154" i="86" s="1"/>
  <c r="J153" i="86" s="1"/>
  <c r="J152" i="86" s="1"/>
  <c r="D159" i="86"/>
  <c r="D158" i="86" s="1"/>
  <c r="D157" i="86" s="1"/>
  <c r="D156" i="86" s="1"/>
  <c r="D155" i="86" s="1"/>
  <c r="D154" i="86" s="1"/>
  <c r="D153" i="86" s="1"/>
  <c r="D152" i="86" s="1"/>
  <c r="K159" i="86"/>
  <c r="K158" i="86" s="1"/>
  <c r="K157" i="86" s="1"/>
  <c r="K156" i="86" s="1"/>
  <c r="K155" i="86" s="1"/>
  <c r="K154" i="86" s="1"/>
  <c r="K153" i="86" s="1"/>
  <c r="K152" i="86" s="1"/>
  <c r="M159" i="86"/>
  <c r="F159" i="86"/>
  <c r="F158" i="86" s="1"/>
  <c r="F157" i="86" s="1"/>
  <c r="F156" i="86" s="1"/>
  <c r="F155" i="86" s="1"/>
  <c r="F154" i="86" s="1"/>
  <c r="F153" i="86" s="1"/>
  <c r="F152" i="86" s="1"/>
  <c r="N159" i="86"/>
  <c r="G159" i="86"/>
  <c r="G158" i="86" s="1"/>
  <c r="G157" i="86" s="1"/>
  <c r="G156" i="86" s="1"/>
  <c r="G155" i="86" s="1"/>
  <c r="G154" i="86" s="1"/>
  <c r="G153" i="86" s="1"/>
  <c r="G152" i="86" s="1"/>
  <c r="H159" i="86"/>
  <c r="E159" i="86"/>
  <c r="E158" i="86" s="1"/>
  <c r="E157" i="86" s="1"/>
  <c r="E156" i="86" s="1"/>
  <c r="E155" i="86" s="1"/>
  <c r="E154" i="86" s="1"/>
  <c r="E153" i="86" s="1"/>
  <c r="E152" i="86" s="1"/>
  <c r="L159" i="86"/>
  <c r="L158" i="86" s="1"/>
  <c r="L157" i="86" s="1"/>
  <c r="L156" i="86" s="1"/>
  <c r="L155" i="86" s="1"/>
  <c r="L154" i="86" s="1"/>
  <c r="L153" i="86" s="1"/>
  <c r="L152" i="86" s="1"/>
  <c r="O159" i="86"/>
  <c r="B160" i="86" l="1"/>
  <c r="B161" i="86" s="1"/>
  <c r="C345" i="66"/>
  <c r="AM157" i="86"/>
  <c r="I159" i="86"/>
  <c r="Q159" i="86" s="1"/>
  <c r="I165" i="65"/>
  <c r="J145" i="65"/>
  <c r="I166" i="65"/>
  <c r="O158" i="86"/>
  <c r="AB159" i="86"/>
  <c r="AB158" i="86" s="1"/>
  <c r="AB157" i="86" s="1"/>
  <c r="AB156" i="86" s="1"/>
  <c r="AB155" i="86" s="1"/>
  <c r="AB154" i="86" s="1"/>
  <c r="AB153" i="86" s="1"/>
  <c r="AB152" i="86" s="1"/>
  <c r="L151" i="86"/>
  <c r="L150" i="86" s="1"/>
  <c r="L149" i="86" s="1"/>
  <c r="L148" i="86" s="1"/>
  <c r="L147" i="86" s="1"/>
  <c r="L146" i="86" s="1"/>
  <c r="L145" i="86" s="1"/>
  <c r="L144" i="86" s="1"/>
  <c r="L143" i="86" s="1"/>
  <c r="L142" i="86" s="1"/>
  <c r="L141" i="86" s="1"/>
  <c r="L140" i="86" s="1"/>
  <c r="L139" i="86" s="1"/>
  <c r="L138" i="86" s="1"/>
  <c r="AC159" i="86"/>
  <c r="AC158" i="86" s="1"/>
  <c r="AC157" i="86" s="1"/>
  <c r="AC156" i="86" s="1"/>
  <c r="AC155" i="86" s="1"/>
  <c r="AC154" i="86" s="1"/>
  <c r="AC153" i="86" s="1"/>
  <c r="AC152" i="86" s="1"/>
  <c r="E151" i="86"/>
  <c r="E150" i="86" s="1"/>
  <c r="E149" i="86" s="1"/>
  <c r="E148" i="86" s="1"/>
  <c r="E147" i="86" s="1"/>
  <c r="E146" i="86" s="1"/>
  <c r="E145" i="86" s="1"/>
  <c r="E144" i="86" s="1"/>
  <c r="E143" i="86" s="1"/>
  <c r="E142" i="86" s="1"/>
  <c r="E141" i="86" s="1"/>
  <c r="E140" i="86" s="1"/>
  <c r="E139" i="86" s="1"/>
  <c r="E138" i="86" s="1"/>
  <c r="AD159" i="86"/>
  <c r="AD158" i="86" s="1"/>
  <c r="AD157" i="86" s="1"/>
  <c r="AD156" i="86" s="1"/>
  <c r="AD155" i="86" s="1"/>
  <c r="AD154" i="86" s="1"/>
  <c r="AD153" i="86" s="1"/>
  <c r="AD152" i="86" s="1"/>
  <c r="H158" i="86"/>
  <c r="AA159" i="86"/>
  <c r="AA158" i="86" s="1"/>
  <c r="AA157" i="86" s="1"/>
  <c r="AA156" i="86" s="1"/>
  <c r="AA155" i="86" s="1"/>
  <c r="AA154" i="86" s="1"/>
  <c r="AA153" i="86" s="1"/>
  <c r="AA152" i="86" s="1"/>
  <c r="G151" i="86"/>
  <c r="G150" i="86" s="1"/>
  <c r="G149" i="86" s="1"/>
  <c r="G148" i="86" s="1"/>
  <c r="G147" i="86" s="1"/>
  <c r="G146" i="86" s="1"/>
  <c r="G145" i="86" s="1"/>
  <c r="G144" i="86" s="1"/>
  <c r="G143" i="86" s="1"/>
  <c r="G142" i="86" s="1"/>
  <c r="G141" i="86" s="1"/>
  <c r="G140" i="86" s="1"/>
  <c r="G139" i="86" s="1"/>
  <c r="G138" i="86" s="1"/>
  <c r="N158" i="86"/>
  <c r="F151" i="86"/>
  <c r="F150" i="86" s="1"/>
  <c r="F149" i="86" s="1"/>
  <c r="F148" i="86" s="1"/>
  <c r="F147" i="86" s="1"/>
  <c r="F146" i="86" s="1"/>
  <c r="F145" i="86" s="1"/>
  <c r="F144" i="86" s="1"/>
  <c r="F143" i="86" s="1"/>
  <c r="F142" i="86" s="1"/>
  <c r="F141" i="86" s="1"/>
  <c r="F140" i="86" s="1"/>
  <c r="F139" i="86" s="1"/>
  <c r="F138" i="86" s="1"/>
  <c r="M158" i="86"/>
  <c r="K151" i="86"/>
  <c r="K150" i="86" s="1"/>
  <c r="K149" i="86" s="1"/>
  <c r="K148" i="86" s="1"/>
  <c r="K147" i="86" s="1"/>
  <c r="K146" i="86" s="1"/>
  <c r="K145" i="86" s="1"/>
  <c r="K144" i="86" s="1"/>
  <c r="K143" i="86" s="1"/>
  <c r="K142" i="86" s="1"/>
  <c r="K141" i="86" s="1"/>
  <c r="K140" i="86" s="1"/>
  <c r="K139" i="86" s="1"/>
  <c r="D151" i="86"/>
  <c r="D150" i="86" s="1"/>
  <c r="D149" i="86" s="1"/>
  <c r="D148" i="86" s="1"/>
  <c r="D147" i="86" s="1"/>
  <c r="D146" i="86" s="1"/>
  <c r="D145" i="86" s="1"/>
  <c r="D144" i="86" s="1"/>
  <c r="D143" i="86" s="1"/>
  <c r="D142" i="86" s="1"/>
  <c r="D141" i="86" s="1"/>
  <c r="D140" i="86" s="1"/>
  <c r="D139" i="86" s="1"/>
  <c r="D138" i="86" s="1"/>
  <c r="J151" i="86"/>
  <c r="J150" i="86" s="1"/>
  <c r="J149" i="86" s="1"/>
  <c r="J148" i="86" s="1"/>
  <c r="J147" i="86" s="1"/>
  <c r="J146" i="86" s="1"/>
  <c r="J145" i="86" s="1"/>
  <c r="J144" i="86" s="1"/>
  <c r="J143" i="86" s="1"/>
  <c r="J142" i="86" s="1"/>
  <c r="J141" i="86" s="1"/>
  <c r="J140" i="86" s="1"/>
  <c r="J139" i="86" s="1"/>
  <c r="J138" i="86" s="1"/>
  <c r="C151" i="86"/>
  <c r="C150" i="86" s="1"/>
  <c r="C149" i="86" s="1"/>
  <c r="C148" i="86" s="1"/>
  <c r="C147" i="86" s="1"/>
  <c r="C146" i="86" s="1"/>
  <c r="C145" i="86" s="1"/>
  <c r="C144" i="86" s="1"/>
  <c r="C143" i="86" s="1"/>
  <c r="C142" i="86" s="1"/>
  <c r="C141" i="86" s="1"/>
  <c r="C140" i="86" s="1"/>
  <c r="C139" i="86" s="1"/>
  <c r="C138" i="86" s="1"/>
  <c r="Z159" i="86"/>
  <c r="Z158" i="86" s="1"/>
  <c r="Z157" i="86" s="1"/>
  <c r="Z156" i="86" s="1"/>
  <c r="Z155" i="86" s="1"/>
  <c r="Z154" i="86" s="1"/>
  <c r="Z153" i="86" s="1"/>
  <c r="Z152" i="86" s="1"/>
  <c r="I160" i="86" l="1"/>
  <c r="Q160" i="86" s="1"/>
  <c r="B162" i="86"/>
  <c r="I162" i="86" s="1"/>
  <c r="Q162" i="86" s="1"/>
  <c r="I161" i="86"/>
  <c r="Q161" i="86" s="1"/>
  <c r="C346" i="66"/>
  <c r="AG159" i="86"/>
  <c r="AH159" i="86"/>
  <c r="AK159" i="86"/>
  <c r="AI159" i="86"/>
  <c r="AJ159" i="86"/>
  <c r="AM158" i="86"/>
  <c r="J163" i="65"/>
  <c r="J146" i="65"/>
  <c r="J164" i="65" s="1"/>
  <c r="J89" i="65" s="1"/>
  <c r="Z151" i="86"/>
  <c r="Z150" i="86" s="1"/>
  <c r="Z149" i="86" s="1"/>
  <c r="Z148" i="86" s="1"/>
  <c r="Z147" i="86" s="1"/>
  <c r="Z146" i="86" s="1"/>
  <c r="Z145" i="86" s="1"/>
  <c r="Z144" i="86" s="1"/>
  <c r="Z143" i="86" s="1"/>
  <c r="Z142" i="86" s="1"/>
  <c r="Z141" i="86" s="1"/>
  <c r="Z140" i="86" s="1"/>
  <c r="Z139" i="86" s="1"/>
  <c r="Z138" i="86" s="1"/>
  <c r="C137" i="86"/>
  <c r="C136" i="86" s="1"/>
  <c r="J137" i="86"/>
  <c r="J136" i="86" s="1"/>
  <c r="D137" i="86"/>
  <c r="D136" i="86" s="1"/>
  <c r="K138" i="86"/>
  <c r="M157" i="86"/>
  <c r="F137" i="86"/>
  <c r="F136" i="86" s="1"/>
  <c r="N157" i="86"/>
  <c r="G137" i="86"/>
  <c r="G136" i="86" s="1"/>
  <c r="AC151" i="86"/>
  <c r="AC150" i="86" s="1"/>
  <c r="AC149" i="86" s="1"/>
  <c r="AC148" i="86" s="1"/>
  <c r="AC147" i="86" s="1"/>
  <c r="AC146" i="86" s="1"/>
  <c r="AC145" i="86" s="1"/>
  <c r="AC144" i="86" s="1"/>
  <c r="AC143" i="86" s="1"/>
  <c r="AC142" i="86" s="1"/>
  <c r="AC141" i="86" s="1"/>
  <c r="AC140" i="86" s="1"/>
  <c r="AC139" i="86" s="1"/>
  <c r="AC138" i="86" s="1"/>
  <c r="L137" i="86"/>
  <c r="L136" i="86" s="1"/>
  <c r="AB151" i="86"/>
  <c r="AB150" i="86" s="1"/>
  <c r="AB149" i="86" s="1"/>
  <c r="AB148" i="86" s="1"/>
  <c r="AB147" i="86" s="1"/>
  <c r="AB146" i="86" s="1"/>
  <c r="AB145" i="86" s="1"/>
  <c r="AB144" i="86" s="1"/>
  <c r="AB143" i="86" s="1"/>
  <c r="AB142" i="86" s="1"/>
  <c r="AB141" i="86" s="1"/>
  <c r="AB140" i="86" s="1"/>
  <c r="AB139" i="86" s="1"/>
  <c r="AB138" i="86" s="1"/>
  <c r="AA151" i="86"/>
  <c r="AA150" i="86" s="1"/>
  <c r="AA149" i="86" s="1"/>
  <c r="AA148" i="86" s="1"/>
  <c r="AA147" i="86" s="1"/>
  <c r="AA146" i="86" s="1"/>
  <c r="AA145" i="86" s="1"/>
  <c r="AA144" i="86" s="1"/>
  <c r="AA143" i="86" s="1"/>
  <c r="AA142" i="86" s="1"/>
  <c r="AA141" i="86" s="1"/>
  <c r="AA140" i="86" s="1"/>
  <c r="AA139" i="86" s="1"/>
  <c r="AA138" i="86" s="1"/>
  <c r="E137" i="86"/>
  <c r="E136" i="86" s="1"/>
  <c r="O157" i="86"/>
  <c r="H157" i="86"/>
  <c r="AD151" i="86"/>
  <c r="AD150" i="86" s="1"/>
  <c r="AD149" i="86" s="1"/>
  <c r="AD148" i="86" s="1"/>
  <c r="AD147" i="86" s="1"/>
  <c r="AD146" i="86" s="1"/>
  <c r="AD145" i="86" s="1"/>
  <c r="AD144" i="86" s="1"/>
  <c r="AD143" i="86" s="1"/>
  <c r="AD142" i="86" s="1"/>
  <c r="AD141" i="86" s="1"/>
  <c r="AD140" i="86" s="1"/>
  <c r="AD139" i="86" s="1"/>
  <c r="AD138" i="86" s="1"/>
  <c r="C347" i="66" l="1"/>
  <c r="AK158" i="86"/>
  <c r="AH158" i="86"/>
  <c r="AG158" i="86"/>
  <c r="AI158" i="86"/>
  <c r="AJ158" i="86"/>
  <c r="AM159" i="86"/>
  <c r="J91" i="65"/>
  <c r="AD137" i="86"/>
  <c r="AD136" i="86" s="1"/>
  <c r="O156" i="86"/>
  <c r="N156" i="86"/>
  <c r="E135" i="86"/>
  <c r="E134" i="86" s="1"/>
  <c r="E133" i="86" s="1"/>
  <c r="E132" i="86" s="1"/>
  <c r="E131" i="86" s="1"/>
  <c r="E130" i="86" s="1"/>
  <c r="E129" i="86" s="1"/>
  <c r="E128" i="86" s="1"/>
  <c r="E127" i="86" s="1"/>
  <c r="E126" i="86" s="1"/>
  <c r="E125" i="86" s="1"/>
  <c r="E124" i="86" s="1"/>
  <c r="E123" i="86" s="1"/>
  <c r="E122" i="86" s="1"/>
  <c r="E121" i="86" s="1"/>
  <c r="E120" i="86" s="1"/>
  <c r="E119" i="86" s="1"/>
  <c r="E118" i="86" s="1"/>
  <c r="E117" i="86" s="1"/>
  <c r="E116" i="86" s="1"/>
  <c r="E115" i="86" s="1"/>
  <c r="E114" i="86" s="1"/>
  <c r="E113" i="86" s="1"/>
  <c r="E112" i="86" s="1"/>
  <c r="E111" i="86" s="1"/>
  <c r="E110" i="86" s="1"/>
  <c r="E109" i="86" s="1"/>
  <c r="E108" i="86" s="1"/>
  <c r="E107" i="86" s="1"/>
  <c r="E106" i="86" s="1"/>
  <c r="E105" i="86" s="1"/>
  <c r="E104" i="86" s="1"/>
  <c r="E103" i="86" s="1"/>
  <c r="E102" i="86" s="1"/>
  <c r="E101" i="86" s="1"/>
  <c r="E100" i="86" s="1"/>
  <c r="M156" i="86"/>
  <c r="AA137" i="86"/>
  <c r="AA136" i="86" s="1"/>
  <c r="H156" i="86"/>
  <c r="AB137" i="86"/>
  <c r="AB136" i="86" s="1"/>
  <c r="L135" i="86"/>
  <c r="L134" i="86" s="1"/>
  <c r="L133" i="86" s="1"/>
  <c r="L132" i="86" s="1"/>
  <c r="L131" i="86" s="1"/>
  <c r="L130" i="86" s="1"/>
  <c r="L129" i="86" s="1"/>
  <c r="L128" i="86" s="1"/>
  <c r="L127" i="86" s="1"/>
  <c r="L126" i="86" s="1"/>
  <c r="L125" i="86" s="1"/>
  <c r="L124" i="86" s="1"/>
  <c r="L123" i="86" s="1"/>
  <c r="L122" i="86" s="1"/>
  <c r="L121" i="86" s="1"/>
  <c r="L120" i="86" s="1"/>
  <c r="L119" i="86" s="1"/>
  <c r="L118" i="86" s="1"/>
  <c r="L117" i="86" s="1"/>
  <c r="L116" i="86" s="1"/>
  <c r="L115" i="86" s="1"/>
  <c r="L114" i="86" s="1"/>
  <c r="L113" i="86" s="1"/>
  <c r="L112" i="86" s="1"/>
  <c r="L111" i="86" s="1"/>
  <c r="L110" i="86" s="1"/>
  <c r="L109" i="86" s="1"/>
  <c r="L108" i="86" s="1"/>
  <c r="L107" i="86" s="1"/>
  <c r="L106" i="86" s="1"/>
  <c r="L105" i="86" s="1"/>
  <c r="L104" i="86" s="1"/>
  <c r="L103" i="86" s="1"/>
  <c r="L102" i="86" s="1"/>
  <c r="L101" i="86" s="1"/>
  <c r="L100" i="86" s="1"/>
  <c r="AC137" i="86"/>
  <c r="AC136" i="86" s="1"/>
  <c r="Z137" i="86"/>
  <c r="Z136" i="86" s="1"/>
  <c r="G135" i="86"/>
  <c r="G134" i="86" s="1"/>
  <c r="G133" i="86" s="1"/>
  <c r="G132" i="86" s="1"/>
  <c r="G131" i="86" s="1"/>
  <c r="G130" i="86" s="1"/>
  <c r="G129" i="86" s="1"/>
  <c r="G128" i="86" s="1"/>
  <c r="G127" i="86" s="1"/>
  <c r="G126" i="86" s="1"/>
  <c r="G125" i="86" s="1"/>
  <c r="G124" i="86" s="1"/>
  <c r="G123" i="86" s="1"/>
  <c r="G122" i="86" s="1"/>
  <c r="G121" i="86" s="1"/>
  <c r="G120" i="86" s="1"/>
  <c r="G119" i="86" s="1"/>
  <c r="G118" i="86" s="1"/>
  <c r="G117" i="86" s="1"/>
  <c r="G116" i="86" s="1"/>
  <c r="G115" i="86" s="1"/>
  <c r="G114" i="86" s="1"/>
  <c r="G113" i="86" s="1"/>
  <c r="G112" i="86" s="1"/>
  <c r="G111" i="86" s="1"/>
  <c r="G110" i="86" s="1"/>
  <c r="G109" i="86" s="1"/>
  <c r="G108" i="86" s="1"/>
  <c r="G107" i="86" s="1"/>
  <c r="G106" i="86" s="1"/>
  <c r="G105" i="86" s="1"/>
  <c r="G104" i="86" s="1"/>
  <c r="G103" i="86" s="1"/>
  <c r="G102" i="86" s="1"/>
  <c r="G101" i="86" s="1"/>
  <c r="G100" i="86" s="1"/>
  <c r="F135" i="86"/>
  <c r="F134" i="86" s="1"/>
  <c r="F133" i="86" s="1"/>
  <c r="F132" i="86" s="1"/>
  <c r="F131" i="86" s="1"/>
  <c r="F130" i="86" s="1"/>
  <c r="F129" i="86" s="1"/>
  <c r="F128" i="86" s="1"/>
  <c r="F127" i="86" s="1"/>
  <c r="F126" i="86" s="1"/>
  <c r="F125" i="86" s="1"/>
  <c r="F124" i="86" s="1"/>
  <c r="F123" i="86" s="1"/>
  <c r="F122" i="86" s="1"/>
  <c r="F121" i="86" s="1"/>
  <c r="F120" i="86" s="1"/>
  <c r="F119" i="86" s="1"/>
  <c r="F118" i="86" s="1"/>
  <c r="F117" i="86" s="1"/>
  <c r="F116" i="86" s="1"/>
  <c r="F115" i="86" s="1"/>
  <c r="F114" i="86" s="1"/>
  <c r="F113" i="86" s="1"/>
  <c r="F112" i="86" s="1"/>
  <c r="F111" i="86" s="1"/>
  <c r="F110" i="86" s="1"/>
  <c r="F109" i="86" s="1"/>
  <c r="F108" i="86" s="1"/>
  <c r="F107" i="86" s="1"/>
  <c r="F106" i="86" s="1"/>
  <c r="F105" i="86" s="1"/>
  <c r="F104" i="86" s="1"/>
  <c r="F103" i="86" s="1"/>
  <c r="F102" i="86" s="1"/>
  <c r="F101" i="86" s="1"/>
  <c r="F100" i="86" s="1"/>
  <c r="C135" i="86"/>
  <c r="C134" i="86" s="1"/>
  <c r="C133" i="86" s="1"/>
  <c r="C132" i="86" s="1"/>
  <c r="C131" i="86" s="1"/>
  <c r="C130" i="86" s="1"/>
  <c r="C129" i="86" s="1"/>
  <c r="C128" i="86" s="1"/>
  <c r="C127" i="86" s="1"/>
  <c r="C126" i="86" s="1"/>
  <c r="C125" i="86" s="1"/>
  <c r="C124" i="86" s="1"/>
  <c r="C123" i="86" s="1"/>
  <c r="C122" i="86" s="1"/>
  <c r="C121" i="86" s="1"/>
  <c r="C120" i="86" s="1"/>
  <c r="C119" i="86" s="1"/>
  <c r="C118" i="86" s="1"/>
  <c r="C117" i="86" s="1"/>
  <c r="C116" i="86" s="1"/>
  <c r="C115" i="86" s="1"/>
  <c r="C114" i="86" s="1"/>
  <c r="C113" i="86" s="1"/>
  <c r="C112" i="86" s="1"/>
  <c r="C111" i="86" s="1"/>
  <c r="C110" i="86" s="1"/>
  <c r="C109" i="86" s="1"/>
  <c r="C108" i="86" s="1"/>
  <c r="C107" i="86" s="1"/>
  <c r="C106" i="86" s="1"/>
  <c r="C105" i="86" s="1"/>
  <c r="C104" i="86" s="1"/>
  <c r="C103" i="86" s="1"/>
  <c r="C102" i="86" s="1"/>
  <c r="C101" i="86" s="1"/>
  <c r="C100" i="86" s="1"/>
  <c r="K137" i="86"/>
  <c r="D135" i="86"/>
  <c r="D134" i="86" s="1"/>
  <c r="D133" i="86" s="1"/>
  <c r="D132" i="86" s="1"/>
  <c r="D131" i="86" s="1"/>
  <c r="D130" i="86" s="1"/>
  <c r="D129" i="86" s="1"/>
  <c r="D128" i="86" s="1"/>
  <c r="D127" i="86" s="1"/>
  <c r="D126" i="86" s="1"/>
  <c r="D125" i="86" s="1"/>
  <c r="D124" i="86" s="1"/>
  <c r="D123" i="86" s="1"/>
  <c r="D122" i="86" s="1"/>
  <c r="D121" i="86" s="1"/>
  <c r="D120" i="86" s="1"/>
  <c r="D119" i="86" s="1"/>
  <c r="D118" i="86" s="1"/>
  <c r="D117" i="86" s="1"/>
  <c r="D116" i="86" s="1"/>
  <c r="D115" i="86" s="1"/>
  <c r="D114" i="86" s="1"/>
  <c r="D113" i="86" s="1"/>
  <c r="D112" i="86" s="1"/>
  <c r="D111" i="86" s="1"/>
  <c r="D110" i="86" s="1"/>
  <c r="D109" i="86" s="1"/>
  <c r="D108" i="86" s="1"/>
  <c r="D107" i="86" s="1"/>
  <c r="D106" i="86" s="1"/>
  <c r="D105" i="86" s="1"/>
  <c r="D104" i="86" s="1"/>
  <c r="D103" i="86" s="1"/>
  <c r="D102" i="86" s="1"/>
  <c r="D101" i="86" s="1"/>
  <c r="D100" i="86" s="1"/>
  <c r="J135" i="86"/>
  <c r="J134" i="86" s="1"/>
  <c r="J133" i="86" s="1"/>
  <c r="J132" i="86" s="1"/>
  <c r="J131" i="86" s="1"/>
  <c r="J130" i="86" s="1"/>
  <c r="J129" i="86" s="1"/>
  <c r="J128" i="86" s="1"/>
  <c r="J127" i="86" s="1"/>
  <c r="J126" i="86" s="1"/>
  <c r="J125" i="86" s="1"/>
  <c r="J124" i="86" s="1"/>
  <c r="J123" i="86" s="1"/>
  <c r="J122" i="86" s="1"/>
  <c r="J121" i="86" s="1"/>
  <c r="J120" i="86" s="1"/>
  <c r="J119" i="86" s="1"/>
  <c r="J118" i="86" s="1"/>
  <c r="J117" i="86" s="1"/>
  <c r="J116" i="86" s="1"/>
  <c r="J115" i="86" s="1"/>
  <c r="J114" i="86" s="1"/>
  <c r="J113" i="86" s="1"/>
  <c r="J112" i="86" s="1"/>
  <c r="J111" i="86" s="1"/>
  <c r="J110" i="86" s="1"/>
  <c r="J109" i="86" s="1"/>
  <c r="J108" i="86" s="1"/>
  <c r="J107" i="86" s="1"/>
  <c r="J106" i="86" s="1"/>
  <c r="J105" i="86" s="1"/>
  <c r="J104" i="86" s="1"/>
  <c r="J103" i="86" s="1"/>
  <c r="J102" i="86" s="1"/>
  <c r="J101" i="86" s="1"/>
  <c r="J100" i="86" s="1"/>
  <c r="C348" i="66" l="1"/>
  <c r="AG157" i="86"/>
  <c r="AJ157" i="86"/>
  <c r="AH157" i="86"/>
  <c r="AK157" i="86"/>
  <c r="AI157" i="86"/>
  <c r="AM160" i="86"/>
  <c r="J94" i="65"/>
  <c r="J97" i="65" s="1"/>
  <c r="J92" i="65"/>
  <c r="J99" i="86"/>
  <c r="J98" i="86" s="1"/>
  <c r="J97" i="86" s="1"/>
  <c r="J96" i="86" s="1"/>
  <c r="J95" i="86" s="1"/>
  <c r="J94" i="86" s="1"/>
  <c r="J93" i="86" s="1"/>
  <c r="J92" i="86" s="1"/>
  <c r="J91" i="86" s="1"/>
  <c r="J90" i="86" s="1"/>
  <c r="J89" i="86" s="1"/>
  <c r="J88" i="86" s="1"/>
  <c r="J87" i="86" s="1"/>
  <c r="D99" i="86"/>
  <c r="D98" i="86" s="1"/>
  <c r="D97" i="86" s="1"/>
  <c r="D96" i="86" s="1"/>
  <c r="D95" i="86" s="1"/>
  <c r="D94" i="86" s="1"/>
  <c r="D93" i="86" s="1"/>
  <c r="D92" i="86" s="1"/>
  <c r="D91" i="86" s="1"/>
  <c r="D90" i="86" s="1"/>
  <c r="D89" i="86" s="1"/>
  <c r="D88" i="86" s="1"/>
  <c r="D87" i="86" s="1"/>
  <c r="K136" i="86"/>
  <c r="L99" i="86"/>
  <c r="L98" i="86" s="1"/>
  <c r="L97" i="86" s="1"/>
  <c r="L96" i="86" s="1"/>
  <c r="L95" i="86" s="1"/>
  <c r="L94" i="86" s="1"/>
  <c r="L93" i="86" s="1"/>
  <c r="L92" i="86" s="1"/>
  <c r="L91" i="86" s="1"/>
  <c r="L90" i="86" s="1"/>
  <c r="L89" i="86" s="1"/>
  <c r="L88" i="86" s="1"/>
  <c r="L87" i="86" s="1"/>
  <c r="N155" i="86"/>
  <c r="C99" i="86"/>
  <c r="C98" i="86" s="1"/>
  <c r="C97" i="86" s="1"/>
  <c r="C96" i="86" s="1"/>
  <c r="C95" i="86" s="1"/>
  <c r="C94" i="86" s="1"/>
  <c r="C93" i="86" s="1"/>
  <c r="C92" i="86" s="1"/>
  <c r="C91" i="86" s="1"/>
  <c r="C90" i="86" s="1"/>
  <c r="C89" i="86" s="1"/>
  <c r="C88" i="86" s="1"/>
  <c r="C87" i="86" s="1"/>
  <c r="H155" i="86"/>
  <c r="F99" i="86"/>
  <c r="F98" i="86" s="1"/>
  <c r="F97" i="86" s="1"/>
  <c r="F96" i="86" s="1"/>
  <c r="F95" i="86" s="1"/>
  <c r="F94" i="86" s="1"/>
  <c r="F93" i="86" s="1"/>
  <c r="F92" i="86" s="1"/>
  <c r="F91" i="86" s="1"/>
  <c r="F90" i="86" s="1"/>
  <c r="F89" i="86" s="1"/>
  <c r="F88" i="86" s="1"/>
  <c r="F87" i="86" s="1"/>
  <c r="AC135" i="86"/>
  <c r="AC134" i="86" s="1"/>
  <c r="AC133" i="86" s="1"/>
  <c r="AC132" i="86" s="1"/>
  <c r="AC131" i="86" s="1"/>
  <c r="AC130" i="86" s="1"/>
  <c r="AC129" i="86" s="1"/>
  <c r="AC128" i="86" s="1"/>
  <c r="AC127" i="86" s="1"/>
  <c r="AC126" i="86" s="1"/>
  <c r="AC125" i="86" s="1"/>
  <c r="AC124" i="86" s="1"/>
  <c r="AC123" i="86" s="1"/>
  <c r="AC122" i="86" s="1"/>
  <c r="AC121" i="86" s="1"/>
  <c r="AC120" i="86" s="1"/>
  <c r="AC119" i="86" s="1"/>
  <c r="AC118" i="86" s="1"/>
  <c r="AC117" i="86" s="1"/>
  <c r="AC116" i="86" s="1"/>
  <c r="AC115" i="86" s="1"/>
  <c r="AC114" i="86" s="1"/>
  <c r="AC113" i="86" s="1"/>
  <c r="AC112" i="86" s="1"/>
  <c r="AC111" i="86" s="1"/>
  <c r="AC110" i="86" s="1"/>
  <c r="AC109" i="86" s="1"/>
  <c r="AC108" i="86" s="1"/>
  <c r="AC107" i="86" s="1"/>
  <c r="AC106" i="86" s="1"/>
  <c r="AC105" i="86" s="1"/>
  <c r="AC104" i="86" s="1"/>
  <c r="AC103" i="86" s="1"/>
  <c r="AC102" i="86" s="1"/>
  <c r="AC101" i="86" s="1"/>
  <c r="AC100" i="86" s="1"/>
  <c r="O155" i="86"/>
  <c r="G99" i="86"/>
  <c r="Z135" i="86"/>
  <c r="Z134" i="86" s="1"/>
  <c r="Z133" i="86" s="1"/>
  <c r="Z132" i="86" s="1"/>
  <c r="Z131" i="86" s="1"/>
  <c r="Z130" i="86" s="1"/>
  <c r="Z129" i="86" s="1"/>
  <c r="Z128" i="86" s="1"/>
  <c r="Z127" i="86" s="1"/>
  <c r="Z126" i="86" s="1"/>
  <c r="Z125" i="86" s="1"/>
  <c r="Z124" i="86" s="1"/>
  <c r="Z123" i="86" s="1"/>
  <c r="Z122" i="86" s="1"/>
  <c r="Z121" i="86" s="1"/>
  <c r="Z120" i="86" s="1"/>
  <c r="Z119" i="86" s="1"/>
  <c r="Z118" i="86" s="1"/>
  <c r="Z117" i="86" s="1"/>
  <c r="Z116" i="86" s="1"/>
  <c r="Z115" i="86" s="1"/>
  <c r="Z114" i="86" s="1"/>
  <c r="Z113" i="86" s="1"/>
  <c r="Z112" i="86" s="1"/>
  <c r="Z111" i="86" s="1"/>
  <c r="Z110" i="86" s="1"/>
  <c r="Z109" i="86" s="1"/>
  <c r="Z108" i="86" s="1"/>
  <c r="Z107" i="86" s="1"/>
  <c r="Z106" i="86" s="1"/>
  <c r="Z105" i="86" s="1"/>
  <c r="Z104" i="86" s="1"/>
  <c r="Z103" i="86" s="1"/>
  <c r="Z102" i="86" s="1"/>
  <c r="Z101" i="86" s="1"/>
  <c r="Z100" i="86" s="1"/>
  <c r="AB135" i="86"/>
  <c r="AB134" i="86" s="1"/>
  <c r="AB133" i="86" s="1"/>
  <c r="AB132" i="86" s="1"/>
  <c r="AB131" i="86" s="1"/>
  <c r="AB130" i="86" s="1"/>
  <c r="AB129" i="86" s="1"/>
  <c r="AB128" i="86" s="1"/>
  <c r="AB127" i="86" s="1"/>
  <c r="AB126" i="86" s="1"/>
  <c r="AB125" i="86" s="1"/>
  <c r="AB124" i="86" s="1"/>
  <c r="AB123" i="86" s="1"/>
  <c r="AB122" i="86" s="1"/>
  <c r="AB121" i="86" s="1"/>
  <c r="AB120" i="86" s="1"/>
  <c r="AB119" i="86" s="1"/>
  <c r="AB118" i="86" s="1"/>
  <c r="AB117" i="86" s="1"/>
  <c r="AB116" i="86" s="1"/>
  <c r="AB115" i="86" s="1"/>
  <c r="AB114" i="86" s="1"/>
  <c r="AB113" i="86" s="1"/>
  <c r="AB112" i="86" s="1"/>
  <c r="AB111" i="86" s="1"/>
  <c r="AB110" i="86" s="1"/>
  <c r="AB109" i="86" s="1"/>
  <c r="AB108" i="86" s="1"/>
  <c r="AB107" i="86" s="1"/>
  <c r="AB106" i="86" s="1"/>
  <c r="AB105" i="86" s="1"/>
  <c r="AB104" i="86" s="1"/>
  <c r="AB103" i="86" s="1"/>
  <c r="AB102" i="86" s="1"/>
  <c r="AB101" i="86" s="1"/>
  <c r="AB100" i="86" s="1"/>
  <c r="AA135" i="86"/>
  <c r="AA134" i="86" s="1"/>
  <c r="AA133" i="86" s="1"/>
  <c r="AA132" i="86" s="1"/>
  <c r="AA131" i="86" s="1"/>
  <c r="AA130" i="86" s="1"/>
  <c r="AA129" i="86" s="1"/>
  <c r="AA128" i="86" s="1"/>
  <c r="AA127" i="86" s="1"/>
  <c r="AA126" i="86" s="1"/>
  <c r="AA125" i="86" s="1"/>
  <c r="AA124" i="86" s="1"/>
  <c r="AA123" i="86" s="1"/>
  <c r="AA122" i="86" s="1"/>
  <c r="AA121" i="86" s="1"/>
  <c r="AA120" i="86" s="1"/>
  <c r="AA119" i="86" s="1"/>
  <c r="AA118" i="86" s="1"/>
  <c r="AA117" i="86" s="1"/>
  <c r="AA116" i="86" s="1"/>
  <c r="AA115" i="86" s="1"/>
  <c r="AA114" i="86" s="1"/>
  <c r="AA113" i="86" s="1"/>
  <c r="AA112" i="86" s="1"/>
  <c r="AA111" i="86" s="1"/>
  <c r="AA110" i="86" s="1"/>
  <c r="AA109" i="86" s="1"/>
  <c r="AA108" i="86" s="1"/>
  <c r="AA107" i="86" s="1"/>
  <c r="AA106" i="86" s="1"/>
  <c r="AA105" i="86" s="1"/>
  <c r="AA104" i="86" s="1"/>
  <c r="AA103" i="86" s="1"/>
  <c r="AA102" i="86" s="1"/>
  <c r="AA101" i="86" s="1"/>
  <c r="AA100" i="86" s="1"/>
  <c r="M155" i="86"/>
  <c r="E99" i="86"/>
  <c r="E98" i="86" s="1"/>
  <c r="E97" i="86" s="1"/>
  <c r="E96" i="86" s="1"/>
  <c r="E95" i="86" s="1"/>
  <c r="E94" i="86" s="1"/>
  <c r="E93" i="86" s="1"/>
  <c r="E92" i="86" s="1"/>
  <c r="E91" i="86" s="1"/>
  <c r="E90" i="86" s="1"/>
  <c r="E89" i="86" s="1"/>
  <c r="E88" i="86" s="1"/>
  <c r="E87" i="86" s="1"/>
  <c r="AD135" i="86"/>
  <c r="AD134" i="86" s="1"/>
  <c r="AD133" i="86" s="1"/>
  <c r="AD132" i="86" s="1"/>
  <c r="AD131" i="86" s="1"/>
  <c r="AD130" i="86" s="1"/>
  <c r="AD129" i="86" s="1"/>
  <c r="AD128" i="86" s="1"/>
  <c r="AD127" i="86" s="1"/>
  <c r="AD126" i="86" s="1"/>
  <c r="AD125" i="86" s="1"/>
  <c r="AD124" i="86" s="1"/>
  <c r="AD123" i="86" s="1"/>
  <c r="AD122" i="86" s="1"/>
  <c r="AD121" i="86" s="1"/>
  <c r="AD120" i="86" s="1"/>
  <c r="AD119" i="86" s="1"/>
  <c r="AD118" i="86" s="1"/>
  <c r="AD117" i="86" s="1"/>
  <c r="AD116" i="86" s="1"/>
  <c r="AD115" i="86" s="1"/>
  <c r="AD114" i="86" s="1"/>
  <c r="AD113" i="86" s="1"/>
  <c r="AD112" i="86" s="1"/>
  <c r="AD111" i="86" s="1"/>
  <c r="AD110" i="86" s="1"/>
  <c r="AD109" i="86" s="1"/>
  <c r="AD108" i="86" s="1"/>
  <c r="AD107" i="86" s="1"/>
  <c r="AD106" i="86" s="1"/>
  <c r="AD105" i="86" s="1"/>
  <c r="AD104" i="86" s="1"/>
  <c r="AD103" i="86" s="1"/>
  <c r="AD102" i="86" s="1"/>
  <c r="AD101" i="86" s="1"/>
  <c r="AD100" i="86" s="1"/>
  <c r="Y159" i="86" l="1"/>
  <c r="AF159" i="86" s="1"/>
  <c r="C349" i="66"/>
  <c r="AH156" i="86"/>
  <c r="AJ156" i="86"/>
  <c r="AK156" i="86"/>
  <c r="AG156" i="86"/>
  <c r="AI156" i="86"/>
  <c r="AM161" i="86"/>
  <c r="J98" i="65"/>
  <c r="J136" i="65"/>
  <c r="J140" i="65" s="1"/>
  <c r="AD99" i="86"/>
  <c r="AD98" i="86" s="1"/>
  <c r="AD97" i="86" s="1"/>
  <c r="AD96" i="86" s="1"/>
  <c r="AD95" i="86" s="1"/>
  <c r="AD94" i="86" s="1"/>
  <c r="AD93" i="86" s="1"/>
  <c r="AD92" i="86" s="1"/>
  <c r="AD91" i="86" s="1"/>
  <c r="AD90" i="86" s="1"/>
  <c r="AD89" i="86" s="1"/>
  <c r="AD88" i="86" s="1"/>
  <c r="AD87" i="86" s="1"/>
  <c r="AC99" i="86"/>
  <c r="AC98" i="86" s="1"/>
  <c r="AC97" i="86" s="1"/>
  <c r="AC96" i="86" s="1"/>
  <c r="AC95" i="86" s="1"/>
  <c r="AC94" i="86" s="1"/>
  <c r="AC93" i="86" s="1"/>
  <c r="AC92" i="86" s="1"/>
  <c r="AC91" i="86" s="1"/>
  <c r="AC90" i="86" s="1"/>
  <c r="AC89" i="86" s="1"/>
  <c r="AC88" i="86" s="1"/>
  <c r="AC87" i="86" s="1"/>
  <c r="E86" i="86"/>
  <c r="E85" i="86" s="1"/>
  <c r="E84" i="86" s="1"/>
  <c r="E83" i="86" s="1"/>
  <c r="E82" i="86" s="1"/>
  <c r="E81" i="86" s="1"/>
  <c r="E80" i="86" s="1"/>
  <c r="E79" i="86" s="1"/>
  <c r="E78" i="86" s="1"/>
  <c r="E77" i="86" s="1"/>
  <c r="E76" i="86" s="1"/>
  <c r="E75" i="86" s="1"/>
  <c r="E74" i="86" s="1"/>
  <c r="E73" i="86" s="1"/>
  <c r="E72" i="86" s="1"/>
  <c r="E71" i="86" s="1"/>
  <c r="E70" i="86" s="1"/>
  <c r="E69" i="86" s="1"/>
  <c r="E68" i="86" s="1"/>
  <c r="E67" i="86" s="1"/>
  <c r="E66" i="86" s="1"/>
  <c r="E65" i="86" s="1"/>
  <c r="E64" i="86" s="1"/>
  <c r="E63" i="86" s="1"/>
  <c r="E62" i="86" s="1"/>
  <c r="E61" i="86" s="1"/>
  <c r="E60" i="86" s="1"/>
  <c r="E59" i="86" s="1"/>
  <c r="E58" i="86" s="1"/>
  <c r="E57" i="86" s="1"/>
  <c r="E56" i="86" s="1"/>
  <c r="E55" i="86" s="1"/>
  <c r="E54" i="86" s="1"/>
  <c r="AB99" i="86"/>
  <c r="AB98" i="86" s="1"/>
  <c r="AB97" i="86" s="1"/>
  <c r="AB96" i="86" s="1"/>
  <c r="AB95" i="86" s="1"/>
  <c r="AB94" i="86" s="1"/>
  <c r="AB93" i="86" s="1"/>
  <c r="AB92" i="86" s="1"/>
  <c r="AB91" i="86" s="1"/>
  <c r="AB90" i="86" s="1"/>
  <c r="AB89" i="86" s="1"/>
  <c r="AB88" i="86" s="1"/>
  <c r="AB87" i="86" s="1"/>
  <c r="H154" i="86"/>
  <c r="M154" i="86"/>
  <c r="O154" i="86"/>
  <c r="C86" i="86"/>
  <c r="C85" i="86" s="1"/>
  <c r="C84" i="86" s="1"/>
  <c r="C83" i="86" s="1"/>
  <c r="C82" i="86" s="1"/>
  <c r="C81" i="86" s="1"/>
  <c r="C80" i="86" s="1"/>
  <c r="C79" i="86" s="1"/>
  <c r="C78" i="86" s="1"/>
  <c r="C77" i="86" s="1"/>
  <c r="C76" i="86" s="1"/>
  <c r="C75" i="86" s="1"/>
  <c r="C74" i="86" s="1"/>
  <c r="C73" i="86" s="1"/>
  <c r="C72" i="86" s="1"/>
  <c r="C71" i="86" s="1"/>
  <c r="C70" i="86" s="1"/>
  <c r="C69" i="86" s="1"/>
  <c r="C68" i="86" s="1"/>
  <c r="C67" i="86" s="1"/>
  <c r="C66" i="86" s="1"/>
  <c r="C65" i="86" s="1"/>
  <c r="C64" i="86" s="1"/>
  <c r="C63" i="86" s="1"/>
  <c r="C62" i="86" s="1"/>
  <c r="C61" i="86" s="1"/>
  <c r="C60" i="86" s="1"/>
  <c r="C59" i="86" s="1"/>
  <c r="C58" i="86" s="1"/>
  <c r="C57" i="86" s="1"/>
  <c r="C56" i="86" s="1"/>
  <c r="C55" i="86" s="1"/>
  <c r="C54" i="86" s="1"/>
  <c r="K135" i="86"/>
  <c r="AA99" i="86"/>
  <c r="AA98" i="86" s="1"/>
  <c r="AA97" i="86" s="1"/>
  <c r="AA96" i="86" s="1"/>
  <c r="AA95" i="86" s="1"/>
  <c r="AA94" i="86" s="1"/>
  <c r="AA93" i="86" s="1"/>
  <c r="AA92" i="86" s="1"/>
  <c r="AA91" i="86" s="1"/>
  <c r="AA90" i="86" s="1"/>
  <c r="AA89" i="86" s="1"/>
  <c r="AA88" i="86" s="1"/>
  <c r="AA87" i="86" s="1"/>
  <c r="F86" i="86"/>
  <c r="F85" i="86" s="1"/>
  <c r="F84" i="86" s="1"/>
  <c r="F83" i="86" s="1"/>
  <c r="F82" i="86" s="1"/>
  <c r="F81" i="86" s="1"/>
  <c r="F80" i="86" s="1"/>
  <c r="F79" i="86" s="1"/>
  <c r="F78" i="86" s="1"/>
  <c r="F77" i="86" s="1"/>
  <c r="F76" i="86" s="1"/>
  <c r="F75" i="86" s="1"/>
  <c r="F74" i="86" s="1"/>
  <c r="F73" i="86" s="1"/>
  <c r="F72" i="86" s="1"/>
  <c r="F71" i="86" s="1"/>
  <c r="F70" i="86" s="1"/>
  <c r="F69" i="86" s="1"/>
  <c r="F68" i="86" s="1"/>
  <c r="F67" i="86" s="1"/>
  <c r="F66" i="86" s="1"/>
  <c r="F65" i="86" s="1"/>
  <c r="F64" i="86" s="1"/>
  <c r="F63" i="86" s="1"/>
  <c r="F62" i="86" s="1"/>
  <c r="F61" i="86" s="1"/>
  <c r="F60" i="86" s="1"/>
  <c r="F59" i="86" s="1"/>
  <c r="F58" i="86" s="1"/>
  <c r="F57" i="86" s="1"/>
  <c r="F56" i="86" s="1"/>
  <c r="F55" i="86" s="1"/>
  <c r="F54" i="86" s="1"/>
  <c r="Z99" i="86"/>
  <c r="Z98" i="86" s="1"/>
  <c r="Z97" i="86" s="1"/>
  <c r="Z96" i="86" s="1"/>
  <c r="Z95" i="86" s="1"/>
  <c r="Z94" i="86" s="1"/>
  <c r="Z93" i="86" s="1"/>
  <c r="Z92" i="86" s="1"/>
  <c r="Z91" i="86" s="1"/>
  <c r="Z90" i="86" s="1"/>
  <c r="Z89" i="86" s="1"/>
  <c r="Z88" i="86" s="1"/>
  <c r="Z87" i="86" s="1"/>
  <c r="G98" i="86"/>
  <c r="L86" i="86"/>
  <c r="L85" i="86" s="1"/>
  <c r="L84" i="86" s="1"/>
  <c r="L83" i="86" s="1"/>
  <c r="L82" i="86" s="1"/>
  <c r="L81" i="86" s="1"/>
  <c r="L80" i="86" s="1"/>
  <c r="L79" i="86" s="1"/>
  <c r="L78" i="86" s="1"/>
  <c r="L77" i="86" s="1"/>
  <c r="L76" i="86" s="1"/>
  <c r="L75" i="86" s="1"/>
  <c r="L74" i="86" s="1"/>
  <c r="L73" i="86" s="1"/>
  <c r="L72" i="86" s="1"/>
  <c r="L71" i="86" s="1"/>
  <c r="L70" i="86" s="1"/>
  <c r="L69" i="86" s="1"/>
  <c r="L68" i="86" s="1"/>
  <c r="L67" i="86" s="1"/>
  <c r="L66" i="86" s="1"/>
  <c r="L65" i="86" s="1"/>
  <c r="L64" i="86" s="1"/>
  <c r="L63" i="86" s="1"/>
  <c r="L62" i="86" s="1"/>
  <c r="L61" i="86" s="1"/>
  <c r="L60" i="86" s="1"/>
  <c r="L59" i="86" s="1"/>
  <c r="L58" i="86" s="1"/>
  <c r="L57" i="86" s="1"/>
  <c r="L56" i="86" s="1"/>
  <c r="L55" i="86" s="1"/>
  <c r="L54" i="86" s="1"/>
  <c r="N154" i="86"/>
  <c r="D86" i="86"/>
  <c r="D85" i="86" s="1"/>
  <c r="D84" i="86" s="1"/>
  <c r="D83" i="86" s="1"/>
  <c r="D82" i="86" s="1"/>
  <c r="D81" i="86" s="1"/>
  <c r="D80" i="86" s="1"/>
  <c r="D79" i="86" s="1"/>
  <c r="D78" i="86" s="1"/>
  <c r="D77" i="86" s="1"/>
  <c r="D76" i="86" s="1"/>
  <c r="D75" i="86" s="1"/>
  <c r="D74" i="86" s="1"/>
  <c r="D73" i="86" s="1"/>
  <c r="D72" i="86" s="1"/>
  <c r="D71" i="86" s="1"/>
  <c r="D70" i="86" s="1"/>
  <c r="D69" i="86" s="1"/>
  <c r="D68" i="86" s="1"/>
  <c r="D67" i="86" s="1"/>
  <c r="D66" i="86" s="1"/>
  <c r="D65" i="86" s="1"/>
  <c r="D64" i="86" s="1"/>
  <c r="D63" i="86" s="1"/>
  <c r="D62" i="86" s="1"/>
  <c r="D61" i="86" s="1"/>
  <c r="D60" i="86" s="1"/>
  <c r="D59" i="86" s="1"/>
  <c r="D58" i="86" s="1"/>
  <c r="D57" i="86" s="1"/>
  <c r="D56" i="86" s="1"/>
  <c r="D55" i="86" s="1"/>
  <c r="D54" i="86" s="1"/>
  <c r="J86" i="86"/>
  <c r="J85" i="86" s="1"/>
  <c r="J84" i="86" s="1"/>
  <c r="J83" i="86" s="1"/>
  <c r="J82" i="86" s="1"/>
  <c r="J81" i="86" s="1"/>
  <c r="J80" i="86" s="1"/>
  <c r="J79" i="86" s="1"/>
  <c r="J78" i="86" s="1"/>
  <c r="J77" i="86" s="1"/>
  <c r="J76" i="86" s="1"/>
  <c r="J75" i="86" s="1"/>
  <c r="J74" i="86" s="1"/>
  <c r="J73" i="86" s="1"/>
  <c r="J72" i="86" s="1"/>
  <c r="J71" i="86" s="1"/>
  <c r="J70" i="86" s="1"/>
  <c r="J69" i="86" s="1"/>
  <c r="J68" i="86" s="1"/>
  <c r="J67" i="86" s="1"/>
  <c r="J66" i="86" s="1"/>
  <c r="J65" i="86" s="1"/>
  <c r="J64" i="86" s="1"/>
  <c r="J63" i="86" s="1"/>
  <c r="J62" i="86" s="1"/>
  <c r="J61" i="86" s="1"/>
  <c r="J60" i="86" s="1"/>
  <c r="J59" i="86" s="1"/>
  <c r="J58" i="86" s="1"/>
  <c r="J57" i="86" s="1"/>
  <c r="J56" i="86" s="1"/>
  <c r="J55" i="86" s="1"/>
  <c r="J54" i="86" s="1"/>
  <c r="Y158" i="86" l="1"/>
  <c r="AF158" i="86" s="1"/>
  <c r="C350" i="66"/>
  <c r="AI155" i="86"/>
  <c r="AG155" i="86"/>
  <c r="AK155" i="86"/>
  <c r="AJ155" i="86"/>
  <c r="AH155" i="86"/>
  <c r="AM162" i="86"/>
  <c r="J147" i="65"/>
  <c r="J53" i="86"/>
  <c r="J52" i="86" s="1"/>
  <c r="J51" i="86" s="1"/>
  <c r="J50" i="86" s="1"/>
  <c r="J49" i="86" s="1"/>
  <c r="J48" i="86" s="1"/>
  <c r="J47" i="86" s="1"/>
  <c r="J46" i="86" s="1"/>
  <c r="J45" i="86" s="1"/>
  <c r="J44" i="86" s="1"/>
  <c r="J43" i="86" s="1"/>
  <c r="J42" i="86" s="1"/>
  <c r="J41" i="86" s="1"/>
  <c r="J40" i="86" s="1"/>
  <c r="J39" i="86" s="1"/>
  <c r="J38" i="86" s="1"/>
  <c r="J37" i="86" s="1"/>
  <c r="J36" i="86" s="1"/>
  <c r="J35" i="86" s="1"/>
  <c r="J34" i="86" s="1"/>
  <c r="J33" i="86" s="1"/>
  <c r="J32" i="86" s="1"/>
  <c r="D53" i="86"/>
  <c r="D52" i="86" s="1"/>
  <c r="D51" i="86" s="1"/>
  <c r="D50" i="86" s="1"/>
  <c r="D49" i="86" s="1"/>
  <c r="D48" i="86" s="1"/>
  <c r="D47" i="86" s="1"/>
  <c r="D46" i="86" s="1"/>
  <c r="D45" i="86" s="1"/>
  <c r="D44" i="86" s="1"/>
  <c r="D43" i="86" s="1"/>
  <c r="D42" i="86" s="1"/>
  <c r="D41" i="86" s="1"/>
  <c r="D40" i="86" s="1"/>
  <c r="D39" i="86" s="1"/>
  <c r="D38" i="86" s="1"/>
  <c r="D37" i="86" s="1"/>
  <c r="D36" i="86" s="1"/>
  <c r="D35" i="86" s="1"/>
  <c r="D34" i="86" s="1"/>
  <c r="D33" i="86" s="1"/>
  <c r="D32" i="86" s="1"/>
  <c r="L53" i="86"/>
  <c r="L52" i="86" s="1"/>
  <c r="L51" i="86" s="1"/>
  <c r="L50" i="86" s="1"/>
  <c r="L49" i="86" s="1"/>
  <c r="L48" i="86" s="1"/>
  <c r="L47" i="86" s="1"/>
  <c r="L46" i="86" s="1"/>
  <c r="L45" i="86" s="1"/>
  <c r="L44" i="86" s="1"/>
  <c r="L43" i="86" s="1"/>
  <c r="L42" i="86" s="1"/>
  <c r="L41" i="86" s="1"/>
  <c r="L40" i="86" s="1"/>
  <c r="L39" i="86" s="1"/>
  <c r="L38" i="86" s="1"/>
  <c r="L37" i="86" s="1"/>
  <c r="L36" i="86" s="1"/>
  <c r="L35" i="86" s="1"/>
  <c r="L34" i="86" s="1"/>
  <c r="L33" i="86" s="1"/>
  <c r="L32" i="86" s="1"/>
  <c r="C53" i="86"/>
  <c r="C52" i="86" s="1"/>
  <c r="C51" i="86" s="1"/>
  <c r="C50" i="86" s="1"/>
  <c r="C49" i="86" s="1"/>
  <c r="C48" i="86" s="1"/>
  <c r="C47" i="86" s="1"/>
  <c r="C46" i="86" s="1"/>
  <c r="C45" i="86" s="1"/>
  <c r="C44" i="86" s="1"/>
  <c r="C43" i="86" s="1"/>
  <c r="C42" i="86" s="1"/>
  <c r="C41" i="86" s="1"/>
  <c r="C40" i="86" s="1"/>
  <c r="C39" i="86" s="1"/>
  <c r="C38" i="86" s="1"/>
  <c r="C37" i="86" s="1"/>
  <c r="C36" i="86" s="1"/>
  <c r="C35" i="86" s="1"/>
  <c r="C34" i="86" s="1"/>
  <c r="C33" i="86" s="1"/>
  <c r="C32" i="86" s="1"/>
  <c r="G97" i="86"/>
  <c r="F53" i="86"/>
  <c r="F52" i="86" s="1"/>
  <c r="F51" i="86" s="1"/>
  <c r="F50" i="86" s="1"/>
  <c r="F49" i="86" s="1"/>
  <c r="F48" i="86" s="1"/>
  <c r="F47" i="86" s="1"/>
  <c r="F46" i="86" s="1"/>
  <c r="F45" i="86" s="1"/>
  <c r="F44" i="86" s="1"/>
  <c r="F43" i="86" s="1"/>
  <c r="F42" i="86" s="1"/>
  <c r="F41" i="86" s="1"/>
  <c r="F40" i="86" s="1"/>
  <c r="F39" i="86" s="1"/>
  <c r="F38" i="86" s="1"/>
  <c r="F37" i="86" s="1"/>
  <c r="F36" i="86" s="1"/>
  <c r="F35" i="86" s="1"/>
  <c r="F34" i="86" s="1"/>
  <c r="F33" i="86" s="1"/>
  <c r="F32" i="86" s="1"/>
  <c r="E53" i="86"/>
  <c r="E52" i="86" s="1"/>
  <c r="E51" i="86" s="1"/>
  <c r="E50" i="86" s="1"/>
  <c r="E49" i="86" s="1"/>
  <c r="E48" i="86" s="1"/>
  <c r="E47" i="86" s="1"/>
  <c r="E46" i="86" s="1"/>
  <c r="E45" i="86" s="1"/>
  <c r="E44" i="86" s="1"/>
  <c r="E43" i="86" s="1"/>
  <c r="E42" i="86" s="1"/>
  <c r="E41" i="86" s="1"/>
  <c r="E40" i="86" s="1"/>
  <c r="E39" i="86" s="1"/>
  <c r="E38" i="86" s="1"/>
  <c r="E37" i="86" s="1"/>
  <c r="E36" i="86" s="1"/>
  <c r="E35" i="86" s="1"/>
  <c r="E34" i="86" s="1"/>
  <c r="E33" i="86" s="1"/>
  <c r="E32" i="86" s="1"/>
  <c r="Z86" i="86"/>
  <c r="Z85" i="86" s="1"/>
  <c r="Z84" i="86" s="1"/>
  <c r="Z83" i="86" s="1"/>
  <c r="Z82" i="86" s="1"/>
  <c r="Z81" i="86" s="1"/>
  <c r="Z80" i="86" s="1"/>
  <c r="Z79" i="86" s="1"/>
  <c r="Z78" i="86" s="1"/>
  <c r="Z77" i="86" s="1"/>
  <c r="Z76" i="86" s="1"/>
  <c r="Z75" i="86" s="1"/>
  <c r="Z74" i="86" s="1"/>
  <c r="Z73" i="86" s="1"/>
  <c r="Z72" i="86" s="1"/>
  <c r="Z71" i="86" s="1"/>
  <c r="Z70" i="86" s="1"/>
  <c r="Z69" i="86" s="1"/>
  <c r="Z68" i="86" s="1"/>
  <c r="Z67" i="86" s="1"/>
  <c r="Z66" i="86" s="1"/>
  <c r="Z65" i="86" s="1"/>
  <c r="Z64" i="86" s="1"/>
  <c r="Z63" i="86" s="1"/>
  <c r="Z62" i="86" s="1"/>
  <c r="Z61" i="86" s="1"/>
  <c r="Z60" i="86" s="1"/>
  <c r="Z59" i="86" s="1"/>
  <c r="Z58" i="86" s="1"/>
  <c r="Z57" i="86" s="1"/>
  <c r="Z56" i="86" s="1"/>
  <c r="Z55" i="86" s="1"/>
  <c r="Z54" i="86" s="1"/>
  <c r="AA86" i="86"/>
  <c r="AA85" i="86" s="1"/>
  <c r="AA84" i="86" s="1"/>
  <c r="AA83" i="86" s="1"/>
  <c r="AA82" i="86" s="1"/>
  <c r="AA81" i="86" s="1"/>
  <c r="AA80" i="86" s="1"/>
  <c r="AA79" i="86" s="1"/>
  <c r="AA78" i="86" s="1"/>
  <c r="AA77" i="86" s="1"/>
  <c r="AA76" i="86" s="1"/>
  <c r="AA75" i="86" s="1"/>
  <c r="AA74" i="86" s="1"/>
  <c r="AA73" i="86" s="1"/>
  <c r="AA72" i="86" s="1"/>
  <c r="AA71" i="86" s="1"/>
  <c r="AA70" i="86" s="1"/>
  <c r="AA69" i="86" s="1"/>
  <c r="AA68" i="86" s="1"/>
  <c r="AA67" i="86" s="1"/>
  <c r="AA66" i="86" s="1"/>
  <c r="AA65" i="86" s="1"/>
  <c r="AA64" i="86" s="1"/>
  <c r="AA63" i="86" s="1"/>
  <c r="AA62" i="86" s="1"/>
  <c r="AA61" i="86" s="1"/>
  <c r="AA60" i="86" s="1"/>
  <c r="AA59" i="86" s="1"/>
  <c r="AA58" i="86" s="1"/>
  <c r="AA57" i="86" s="1"/>
  <c r="AA56" i="86" s="1"/>
  <c r="AA55" i="86" s="1"/>
  <c r="AA54" i="86" s="1"/>
  <c r="AB86" i="86"/>
  <c r="AB85" i="86" s="1"/>
  <c r="AB84" i="86" s="1"/>
  <c r="AB83" i="86" s="1"/>
  <c r="AB82" i="86" s="1"/>
  <c r="AB81" i="86" s="1"/>
  <c r="AB80" i="86" s="1"/>
  <c r="AB79" i="86" s="1"/>
  <c r="AB78" i="86" s="1"/>
  <c r="AB77" i="86" s="1"/>
  <c r="AB76" i="86" s="1"/>
  <c r="AB75" i="86" s="1"/>
  <c r="AB74" i="86" s="1"/>
  <c r="AB73" i="86" s="1"/>
  <c r="AB72" i="86" s="1"/>
  <c r="AB71" i="86" s="1"/>
  <c r="AB70" i="86" s="1"/>
  <c r="AB69" i="86" s="1"/>
  <c r="AB68" i="86" s="1"/>
  <c r="AB67" i="86" s="1"/>
  <c r="AB66" i="86" s="1"/>
  <c r="AB65" i="86" s="1"/>
  <c r="AB64" i="86" s="1"/>
  <c r="AB63" i="86" s="1"/>
  <c r="AB62" i="86" s="1"/>
  <c r="AB61" i="86" s="1"/>
  <c r="AB60" i="86" s="1"/>
  <c r="AB59" i="86" s="1"/>
  <c r="AB58" i="86" s="1"/>
  <c r="AB57" i="86" s="1"/>
  <c r="AB56" i="86" s="1"/>
  <c r="AB55" i="86" s="1"/>
  <c r="AB54" i="86" s="1"/>
  <c r="AC86" i="86"/>
  <c r="AC85" i="86" s="1"/>
  <c r="AC84" i="86" s="1"/>
  <c r="AC83" i="86" s="1"/>
  <c r="AC82" i="86" s="1"/>
  <c r="AC81" i="86" s="1"/>
  <c r="AC80" i="86" s="1"/>
  <c r="AC79" i="86" s="1"/>
  <c r="AC78" i="86" s="1"/>
  <c r="AC77" i="86" s="1"/>
  <c r="AC76" i="86" s="1"/>
  <c r="AC75" i="86" s="1"/>
  <c r="AC74" i="86" s="1"/>
  <c r="AC73" i="86" s="1"/>
  <c r="AC72" i="86" s="1"/>
  <c r="AC71" i="86" s="1"/>
  <c r="AC70" i="86" s="1"/>
  <c r="AC69" i="86" s="1"/>
  <c r="AC68" i="86" s="1"/>
  <c r="AC67" i="86" s="1"/>
  <c r="AC66" i="86" s="1"/>
  <c r="AC65" i="86" s="1"/>
  <c r="AC64" i="86" s="1"/>
  <c r="AC63" i="86" s="1"/>
  <c r="AC62" i="86" s="1"/>
  <c r="AC61" i="86" s="1"/>
  <c r="AC60" i="86" s="1"/>
  <c r="AC59" i="86" s="1"/>
  <c r="AC58" i="86" s="1"/>
  <c r="AC57" i="86" s="1"/>
  <c r="AC56" i="86" s="1"/>
  <c r="AC55" i="86" s="1"/>
  <c r="AC54" i="86" s="1"/>
  <c r="K134" i="86"/>
  <c r="O153" i="86"/>
  <c r="M153" i="86"/>
  <c r="H153" i="86"/>
  <c r="AD86" i="86"/>
  <c r="AD85" i="86" s="1"/>
  <c r="AD84" i="86" s="1"/>
  <c r="AD83" i="86" s="1"/>
  <c r="AD82" i="86" s="1"/>
  <c r="AD81" i="86" s="1"/>
  <c r="AD80" i="86" s="1"/>
  <c r="AD79" i="86" s="1"/>
  <c r="AD78" i="86" s="1"/>
  <c r="AD77" i="86" s="1"/>
  <c r="AD76" i="86" s="1"/>
  <c r="AD75" i="86" s="1"/>
  <c r="AD74" i="86" s="1"/>
  <c r="AD73" i="86" s="1"/>
  <c r="AD72" i="86" s="1"/>
  <c r="AD71" i="86" s="1"/>
  <c r="AD70" i="86" s="1"/>
  <c r="AD69" i="86" s="1"/>
  <c r="AD68" i="86" s="1"/>
  <c r="AD67" i="86" s="1"/>
  <c r="AD66" i="86" s="1"/>
  <c r="AD65" i="86" s="1"/>
  <c r="AD64" i="86" s="1"/>
  <c r="AD63" i="86" s="1"/>
  <c r="AD62" i="86" s="1"/>
  <c r="AD61" i="86" s="1"/>
  <c r="AD60" i="86" s="1"/>
  <c r="AD59" i="86" s="1"/>
  <c r="AD58" i="86" s="1"/>
  <c r="AD57" i="86" s="1"/>
  <c r="AD56" i="86" s="1"/>
  <c r="AD55" i="86" s="1"/>
  <c r="AD54" i="86" s="1"/>
  <c r="N153" i="86"/>
  <c r="Y157" i="86" l="1"/>
  <c r="AF157" i="86" s="1"/>
  <c r="C351" i="66"/>
  <c r="AH154" i="86"/>
  <c r="AK154" i="86"/>
  <c r="AG154" i="86"/>
  <c r="AI154" i="86"/>
  <c r="AJ154" i="86"/>
  <c r="AM163" i="86"/>
  <c r="J153" i="65"/>
  <c r="J148" i="65"/>
  <c r="N152" i="86"/>
  <c r="H152" i="86"/>
  <c r="M152" i="86"/>
  <c r="O152" i="86"/>
  <c r="AC53" i="86"/>
  <c r="AC52" i="86" s="1"/>
  <c r="AC51" i="86" s="1"/>
  <c r="AC50" i="86" s="1"/>
  <c r="AC49" i="86" s="1"/>
  <c r="AC48" i="86" s="1"/>
  <c r="AC47" i="86" s="1"/>
  <c r="AC46" i="86" s="1"/>
  <c r="AC45" i="86" s="1"/>
  <c r="AC44" i="86" s="1"/>
  <c r="AC43" i="86" s="1"/>
  <c r="AC42" i="86" s="1"/>
  <c r="AC41" i="86" s="1"/>
  <c r="AC40" i="86" s="1"/>
  <c r="AC39" i="86" s="1"/>
  <c r="AC38" i="86" s="1"/>
  <c r="AC37" i="86" s="1"/>
  <c r="AC36" i="86" s="1"/>
  <c r="AC35" i="86" s="1"/>
  <c r="AC34" i="86" s="1"/>
  <c r="AC33" i="86" s="1"/>
  <c r="AC32" i="86" s="1"/>
  <c r="AA53" i="86"/>
  <c r="AA52" i="86" s="1"/>
  <c r="AA51" i="86" s="1"/>
  <c r="AA50" i="86" s="1"/>
  <c r="AA49" i="86" s="1"/>
  <c r="AA48" i="86" s="1"/>
  <c r="AA47" i="86" s="1"/>
  <c r="AA46" i="86" s="1"/>
  <c r="AA45" i="86" s="1"/>
  <c r="AA44" i="86" s="1"/>
  <c r="AA43" i="86" s="1"/>
  <c r="AA42" i="86" s="1"/>
  <c r="AA41" i="86" s="1"/>
  <c r="AA40" i="86" s="1"/>
  <c r="AA39" i="86" s="1"/>
  <c r="AA38" i="86" s="1"/>
  <c r="AA37" i="86" s="1"/>
  <c r="AA36" i="86" s="1"/>
  <c r="AA35" i="86" s="1"/>
  <c r="AA34" i="86" s="1"/>
  <c r="AA33" i="86" s="1"/>
  <c r="AA32" i="86" s="1"/>
  <c r="E31" i="86"/>
  <c r="E30" i="86" s="1"/>
  <c r="E29" i="86" s="1"/>
  <c r="E28" i="86" s="1"/>
  <c r="E27" i="86" s="1"/>
  <c r="E26" i="86" s="1"/>
  <c r="E25" i="86" s="1"/>
  <c r="E24" i="86" s="1"/>
  <c r="E23" i="86" s="1"/>
  <c r="E22" i="86" s="1"/>
  <c r="E21" i="86" s="1"/>
  <c r="E20" i="86" s="1"/>
  <c r="E19" i="86" s="1"/>
  <c r="E18" i="86" s="1"/>
  <c r="E17" i="86" s="1"/>
  <c r="E16" i="86" s="1"/>
  <c r="E15" i="86" s="1"/>
  <c r="E14" i="86" s="1"/>
  <c r="E13" i="86" s="1"/>
  <c r="E12" i="86" s="1"/>
  <c r="E11" i="86" s="1"/>
  <c r="E10" i="86" s="1"/>
  <c r="E9" i="86" s="1"/>
  <c r="E8" i="86" s="1"/>
  <c r="E7" i="86" s="1"/>
  <c r="E6" i="86" s="1"/>
  <c r="E5" i="86" s="1"/>
  <c r="G96" i="86"/>
  <c r="L31" i="86"/>
  <c r="L30" i="86" s="1"/>
  <c r="L29" i="86" s="1"/>
  <c r="L28" i="86" s="1"/>
  <c r="L27" i="86" s="1"/>
  <c r="L26" i="86" s="1"/>
  <c r="L25" i="86" s="1"/>
  <c r="L24" i="86" s="1"/>
  <c r="L23" i="86" s="1"/>
  <c r="L22" i="86" s="1"/>
  <c r="L21" i="86" s="1"/>
  <c r="L20" i="86" s="1"/>
  <c r="L19" i="86" s="1"/>
  <c r="L18" i="86" s="1"/>
  <c r="L17" i="86" s="1"/>
  <c r="L16" i="86" s="1"/>
  <c r="L15" i="86" s="1"/>
  <c r="L14" i="86" s="1"/>
  <c r="L13" i="86" s="1"/>
  <c r="L12" i="86" s="1"/>
  <c r="L11" i="86" s="1"/>
  <c r="L10" i="86" s="1"/>
  <c r="L9" i="86" s="1"/>
  <c r="L8" i="86" s="1"/>
  <c r="L7" i="86" s="1"/>
  <c r="L6" i="86" s="1"/>
  <c r="L5" i="86" s="1"/>
  <c r="J31" i="86"/>
  <c r="J30" i="86" s="1"/>
  <c r="J29" i="86" s="1"/>
  <c r="J28" i="86" s="1"/>
  <c r="J27" i="86" s="1"/>
  <c r="J26" i="86" s="1"/>
  <c r="J25" i="86" s="1"/>
  <c r="J24" i="86" s="1"/>
  <c r="J23" i="86" s="1"/>
  <c r="J22" i="86" s="1"/>
  <c r="J21" i="86" s="1"/>
  <c r="J20" i="86" s="1"/>
  <c r="J19" i="86" s="1"/>
  <c r="J18" i="86" s="1"/>
  <c r="J17" i="86" s="1"/>
  <c r="J16" i="86" s="1"/>
  <c r="J15" i="86" s="1"/>
  <c r="J14" i="86" s="1"/>
  <c r="J13" i="86" s="1"/>
  <c r="J12" i="86" s="1"/>
  <c r="J11" i="86" s="1"/>
  <c r="J10" i="86" s="1"/>
  <c r="J9" i="86" s="1"/>
  <c r="J8" i="86" s="1"/>
  <c r="J7" i="86" s="1"/>
  <c r="J6" i="86" s="1"/>
  <c r="J5" i="86" s="1"/>
  <c r="AD53" i="86"/>
  <c r="AD52" i="86" s="1"/>
  <c r="AD51" i="86" s="1"/>
  <c r="AD50" i="86" s="1"/>
  <c r="AD49" i="86" s="1"/>
  <c r="AD48" i="86" s="1"/>
  <c r="AD47" i="86" s="1"/>
  <c r="AD46" i="86" s="1"/>
  <c r="AD45" i="86" s="1"/>
  <c r="AD44" i="86" s="1"/>
  <c r="AD43" i="86" s="1"/>
  <c r="AD42" i="86" s="1"/>
  <c r="AD41" i="86" s="1"/>
  <c r="AD40" i="86" s="1"/>
  <c r="AD39" i="86" s="1"/>
  <c r="AD38" i="86" s="1"/>
  <c r="AD37" i="86" s="1"/>
  <c r="AD36" i="86" s="1"/>
  <c r="AD35" i="86" s="1"/>
  <c r="AD34" i="86" s="1"/>
  <c r="AD33" i="86" s="1"/>
  <c r="AD32" i="86" s="1"/>
  <c r="K133" i="86"/>
  <c r="AB53" i="86"/>
  <c r="AB52" i="86" s="1"/>
  <c r="AB51" i="86" s="1"/>
  <c r="AB50" i="86" s="1"/>
  <c r="AB49" i="86" s="1"/>
  <c r="AB48" i="86" s="1"/>
  <c r="AB47" i="86" s="1"/>
  <c r="AB46" i="86" s="1"/>
  <c r="AB45" i="86" s="1"/>
  <c r="AB44" i="86" s="1"/>
  <c r="AB43" i="86" s="1"/>
  <c r="AB42" i="86" s="1"/>
  <c r="AB41" i="86" s="1"/>
  <c r="AB40" i="86" s="1"/>
  <c r="AB39" i="86" s="1"/>
  <c r="AB38" i="86" s="1"/>
  <c r="AB37" i="86" s="1"/>
  <c r="AB36" i="86" s="1"/>
  <c r="AB35" i="86" s="1"/>
  <c r="AB34" i="86" s="1"/>
  <c r="AB33" i="86" s="1"/>
  <c r="AB32" i="86" s="1"/>
  <c r="Z53" i="86"/>
  <c r="Z52" i="86" s="1"/>
  <c r="Z51" i="86" s="1"/>
  <c r="Z50" i="86" s="1"/>
  <c r="Z49" i="86" s="1"/>
  <c r="Z48" i="86" s="1"/>
  <c r="Z47" i="86" s="1"/>
  <c r="Z46" i="86" s="1"/>
  <c r="Z45" i="86" s="1"/>
  <c r="Z44" i="86" s="1"/>
  <c r="Z43" i="86" s="1"/>
  <c r="Z42" i="86" s="1"/>
  <c r="Z41" i="86" s="1"/>
  <c r="Z40" i="86" s="1"/>
  <c r="Z39" i="86" s="1"/>
  <c r="Z38" i="86" s="1"/>
  <c r="Z37" i="86" s="1"/>
  <c r="Z36" i="86" s="1"/>
  <c r="Z35" i="86" s="1"/>
  <c r="Z34" i="86" s="1"/>
  <c r="Z33" i="86" s="1"/>
  <c r="Z32" i="86" s="1"/>
  <c r="F31" i="86"/>
  <c r="F30" i="86" s="1"/>
  <c r="F29" i="86" s="1"/>
  <c r="F28" i="86" s="1"/>
  <c r="F27" i="86" s="1"/>
  <c r="F26" i="86" s="1"/>
  <c r="F25" i="86" s="1"/>
  <c r="F24" i="86" s="1"/>
  <c r="F23" i="86" s="1"/>
  <c r="F22" i="86" s="1"/>
  <c r="F21" i="86" s="1"/>
  <c r="F20" i="86" s="1"/>
  <c r="F19" i="86" s="1"/>
  <c r="F18" i="86" s="1"/>
  <c r="F17" i="86" s="1"/>
  <c r="F16" i="86" s="1"/>
  <c r="F15" i="86" s="1"/>
  <c r="F14" i="86" s="1"/>
  <c r="F13" i="86" s="1"/>
  <c r="F12" i="86" s="1"/>
  <c r="F11" i="86" s="1"/>
  <c r="F10" i="86" s="1"/>
  <c r="F9" i="86" s="1"/>
  <c r="F8" i="86" s="1"/>
  <c r="F7" i="86" s="1"/>
  <c r="F6" i="86" s="1"/>
  <c r="F5" i="86" s="1"/>
  <c r="C31" i="86"/>
  <c r="C30" i="86" s="1"/>
  <c r="C29" i="86" s="1"/>
  <c r="C28" i="86" s="1"/>
  <c r="C27" i="86" s="1"/>
  <c r="C26" i="86" s="1"/>
  <c r="C25" i="86" s="1"/>
  <c r="C24" i="86" s="1"/>
  <c r="C23" i="86" s="1"/>
  <c r="C22" i="86" s="1"/>
  <c r="C21" i="86" s="1"/>
  <c r="C20" i="86" s="1"/>
  <c r="C19" i="86" s="1"/>
  <c r="C18" i="86" s="1"/>
  <c r="C17" i="86" s="1"/>
  <c r="C16" i="86" s="1"/>
  <c r="C15" i="86" s="1"/>
  <c r="C14" i="86" s="1"/>
  <c r="C13" i="86" s="1"/>
  <c r="C12" i="86" s="1"/>
  <c r="C11" i="86" s="1"/>
  <c r="C10" i="86" s="1"/>
  <c r="C9" i="86" s="1"/>
  <c r="C8" i="86" s="1"/>
  <c r="C7" i="86" s="1"/>
  <c r="C6" i="86" s="1"/>
  <c r="C5" i="86" s="1"/>
  <c r="D31" i="86"/>
  <c r="D30" i="86" s="1"/>
  <c r="D29" i="86" s="1"/>
  <c r="D28" i="86" s="1"/>
  <c r="D27" i="86" s="1"/>
  <c r="D26" i="86" s="1"/>
  <c r="D25" i="86" s="1"/>
  <c r="D24" i="86" s="1"/>
  <c r="D23" i="86" s="1"/>
  <c r="D22" i="86" s="1"/>
  <c r="D21" i="86" s="1"/>
  <c r="D20" i="86" s="1"/>
  <c r="D19" i="86" s="1"/>
  <c r="D18" i="86" s="1"/>
  <c r="D17" i="86" s="1"/>
  <c r="D16" i="86" s="1"/>
  <c r="D15" i="86" s="1"/>
  <c r="D14" i="86" s="1"/>
  <c r="D13" i="86" s="1"/>
  <c r="D12" i="86" s="1"/>
  <c r="D11" i="86" s="1"/>
  <c r="D10" i="86" s="1"/>
  <c r="D9" i="86" s="1"/>
  <c r="D8" i="86" s="1"/>
  <c r="D7" i="86" s="1"/>
  <c r="D6" i="86" s="1"/>
  <c r="D5" i="86" s="1"/>
  <c r="Y156" i="86" l="1"/>
  <c r="AF156" i="86" s="1"/>
  <c r="C352" i="66"/>
  <c r="AK153" i="86"/>
  <c r="AH153" i="86"/>
  <c r="AI153" i="86"/>
  <c r="AG153" i="86"/>
  <c r="AJ153" i="86"/>
  <c r="AM164" i="86"/>
  <c r="K145" i="65"/>
  <c r="J154" i="65"/>
  <c r="K151" i="65" s="1"/>
  <c r="K152" i="65" s="1"/>
  <c r="J159" i="65"/>
  <c r="K132" i="86"/>
  <c r="G95" i="86"/>
  <c r="O151" i="86"/>
  <c r="N151" i="86"/>
  <c r="M151" i="86"/>
  <c r="M150" i="86" s="1"/>
  <c r="M149" i="86" s="1"/>
  <c r="M148" i="86" s="1"/>
  <c r="M147" i="86" s="1"/>
  <c r="M146" i="86" s="1"/>
  <c r="M145" i="86" s="1"/>
  <c r="M144" i="86" s="1"/>
  <c r="M143" i="86" s="1"/>
  <c r="M142" i="86" s="1"/>
  <c r="M141" i="86" s="1"/>
  <c r="M140" i="86" s="1"/>
  <c r="M139" i="86" s="1"/>
  <c r="M138" i="86" s="1"/>
  <c r="H151" i="86"/>
  <c r="H150" i="86" s="1"/>
  <c r="H149" i="86" s="1"/>
  <c r="H148" i="86" s="1"/>
  <c r="H147" i="86" s="1"/>
  <c r="H146" i="86" s="1"/>
  <c r="H145" i="86" s="1"/>
  <c r="H144" i="86" s="1"/>
  <c r="H143" i="86" s="1"/>
  <c r="H142" i="86" s="1"/>
  <c r="H141" i="86" s="1"/>
  <c r="H140" i="86" s="1"/>
  <c r="H139" i="86" s="1"/>
  <c r="H138" i="86" s="1"/>
  <c r="Y155" i="86" l="1"/>
  <c r="AF155" i="86" s="1"/>
  <c r="C353" i="66"/>
  <c r="AI152" i="86"/>
  <c r="AH152" i="86"/>
  <c r="AG152" i="86"/>
  <c r="AK152" i="86"/>
  <c r="AJ152" i="86"/>
  <c r="AM165" i="86"/>
  <c r="J160" i="65"/>
  <c r="K157" i="65" s="1"/>
  <c r="K158" i="65" s="1"/>
  <c r="J165" i="65"/>
  <c r="K146" i="65"/>
  <c r="H137" i="86"/>
  <c r="H136" i="86" s="1"/>
  <c r="M137" i="86"/>
  <c r="M136" i="86" s="1"/>
  <c r="N150" i="86"/>
  <c r="O150" i="86"/>
  <c r="G94" i="86"/>
  <c r="K131" i="86"/>
  <c r="Y154" i="86" l="1"/>
  <c r="AF154" i="86" s="1"/>
  <c r="C354" i="66"/>
  <c r="AH151" i="86"/>
  <c r="AK151" i="86"/>
  <c r="AG151" i="86"/>
  <c r="AI151" i="86"/>
  <c r="AJ151" i="86"/>
  <c r="AM166" i="86"/>
  <c r="K164" i="65"/>
  <c r="K89" i="65" s="1"/>
  <c r="K163" i="65"/>
  <c r="J166" i="65"/>
  <c r="K130" i="86"/>
  <c r="G93" i="86"/>
  <c r="O149" i="86"/>
  <c r="M135" i="86"/>
  <c r="M134" i="86" s="1"/>
  <c r="M133" i="86" s="1"/>
  <c r="M132" i="86" s="1"/>
  <c r="M131" i="86" s="1"/>
  <c r="M130" i="86" s="1"/>
  <c r="M129" i="86" s="1"/>
  <c r="M128" i="86" s="1"/>
  <c r="M127" i="86" s="1"/>
  <c r="M126" i="86" s="1"/>
  <c r="M125" i="86" s="1"/>
  <c r="M124" i="86" s="1"/>
  <c r="M123" i="86" s="1"/>
  <c r="M122" i="86" s="1"/>
  <c r="M121" i="86" s="1"/>
  <c r="M120" i="86" s="1"/>
  <c r="M119" i="86" s="1"/>
  <c r="M118" i="86" s="1"/>
  <c r="M117" i="86" s="1"/>
  <c r="M116" i="86" s="1"/>
  <c r="M115" i="86" s="1"/>
  <c r="M114" i="86" s="1"/>
  <c r="M113" i="86" s="1"/>
  <c r="M112" i="86" s="1"/>
  <c r="M111" i="86" s="1"/>
  <c r="M110" i="86" s="1"/>
  <c r="M109" i="86" s="1"/>
  <c r="M108" i="86" s="1"/>
  <c r="M107" i="86" s="1"/>
  <c r="M106" i="86" s="1"/>
  <c r="M105" i="86" s="1"/>
  <c r="M104" i="86" s="1"/>
  <c r="M103" i="86" s="1"/>
  <c r="M102" i="86" s="1"/>
  <c r="M101" i="86" s="1"/>
  <c r="M100" i="86" s="1"/>
  <c r="H135" i="86"/>
  <c r="H134" i="86" s="1"/>
  <c r="H133" i="86" s="1"/>
  <c r="H132" i="86" s="1"/>
  <c r="H131" i="86" s="1"/>
  <c r="H130" i="86" s="1"/>
  <c r="H129" i="86" s="1"/>
  <c r="H128" i="86" s="1"/>
  <c r="H127" i="86" s="1"/>
  <c r="H126" i="86" s="1"/>
  <c r="H125" i="86" s="1"/>
  <c r="H124" i="86" s="1"/>
  <c r="H123" i="86" s="1"/>
  <c r="H122" i="86" s="1"/>
  <c r="H121" i="86" s="1"/>
  <c r="H120" i="86" s="1"/>
  <c r="H119" i="86" s="1"/>
  <c r="H118" i="86" s="1"/>
  <c r="H117" i="86" s="1"/>
  <c r="H116" i="86" s="1"/>
  <c r="H115" i="86" s="1"/>
  <c r="H114" i="86" s="1"/>
  <c r="H113" i="86" s="1"/>
  <c r="H112" i="86" s="1"/>
  <c r="H111" i="86" s="1"/>
  <c r="H110" i="86" s="1"/>
  <c r="H109" i="86" s="1"/>
  <c r="H108" i="86" s="1"/>
  <c r="H107" i="86" s="1"/>
  <c r="H106" i="86" s="1"/>
  <c r="H105" i="86" s="1"/>
  <c r="H104" i="86" s="1"/>
  <c r="H103" i="86" s="1"/>
  <c r="H102" i="86" s="1"/>
  <c r="H101" i="86" s="1"/>
  <c r="H100" i="86" s="1"/>
  <c r="N149" i="86"/>
  <c r="Y153" i="86" l="1"/>
  <c r="AF153" i="86" s="1"/>
  <c r="C355" i="66"/>
  <c r="AJ150" i="86"/>
  <c r="AI150" i="86"/>
  <c r="AG150" i="86"/>
  <c r="AK150" i="86"/>
  <c r="AH150" i="86"/>
  <c r="AM167" i="86"/>
  <c r="K91" i="65"/>
  <c r="N148" i="86"/>
  <c r="H99" i="86"/>
  <c r="H98" i="86" s="1"/>
  <c r="H97" i="86" s="1"/>
  <c r="H96" i="86" s="1"/>
  <c r="H95" i="86" s="1"/>
  <c r="H94" i="86" s="1"/>
  <c r="H93" i="86" s="1"/>
  <c r="H92" i="86" s="1"/>
  <c r="H91" i="86" s="1"/>
  <c r="H90" i="86" s="1"/>
  <c r="H89" i="86" s="1"/>
  <c r="H88" i="86" s="1"/>
  <c r="H87" i="86" s="1"/>
  <c r="M99" i="86"/>
  <c r="O148" i="86"/>
  <c r="K129" i="86"/>
  <c r="G92" i="86"/>
  <c r="Y152" i="86" l="1"/>
  <c r="AF152" i="86" s="1"/>
  <c r="C356" i="66"/>
  <c r="AK149" i="86"/>
  <c r="AG149" i="86"/>
  <c r="AI149" i="86"/>
  <c r="AJ149" i="86"/>
  <c r="AH149" i="86"/>
  <c r="AM168" i="86"/>
  <c r="K94" i="65"/>
  <c r="K97" i="65" s="1"/>
  <c r="K92" i="65"/>
  <c r="G91" i="86"/>
  <c r="O147" i="86"/>
  <c r="M98" i="86"/>
  <c r="H86" i="86"/>
  <c r="H85" i="86" s="1"/>
  <c r="H84" i="86" s="1"/>
  <c r="H83" i="86" s="1"/>
  <c r="H82" i="86" s="1"/>
  <c r="H81" i="86" s="1"/>
  <c r="H80" i="86" s="1"/>
  <c r="H79" i="86" s="1"/>
  <c r="H78" i="86" s="1"/>
  <c r="H77" i="86" s="1"/>
  <c r="H76" i="86" s="1"/>
  <c r="H75" i="86" s="1"/>
  <c r="H74" i="86" s="1"/>
  <c r="H73" i="86" s="1"/>
  <c r="H72" i="86" s="1"/>
  <c r="H71" i="86" s="1"/>
  <c r="H70" i="86" s="1"/>
  <c r="H69" i="86" s="1"/>
  <c r="H68" i="86" s="1"/>
  <c r="H67" i="86" s="1"/>
  <c r="H66" i="86" s="1"/>
  <c r="H65" i="86" s="1"/>
  <c r="H64" i="86" s="1"/>
  <c r="H63" i="86" s="1"/>
  <c r="H62" i="86" s="1"/>
  <c r="H61" i="86" s="1"/>
  <c r="H60" i="86" s="1"/>
  <c r="H59" i="86" s="1"/>
  <c r="H58" i="86" s="1"/>
  <c r="H57" i="86" s="1"/>
  <c r="H56" i="86" s="1"/>
  <c r="H55" i="86" s="1"/>
  <c r="H54" i="86" s="1"/>
  <c r="N147" i="86"/>
  <c r="Y151" i="86" l="1"/>
  <c r="AF151" i="86" s="1"/>
  <c r="C357" i="66"/>
  <c r="AJ148" i="86"/>
  <c r="AI148" i="86"/>
  <c r="AG148" i="86"/>
  <c r="AK148" i="86"/>
  <c r="AH148" i="86"/>
  <c r="AM169" i="86"/>
  <c r="K98" i="65"/>
  <c r="K136" i="65"/>
  <c r="K140" i="65" s="1"/>
  <c r="N146" i="86"/>
  <c r="H53" i="86"/>
  <c r="H52" i="86" s="1"/>
  <c r="H51" i="86" s="1"/>
  <c r="H50" i="86" s="1"/>
  <c r="H49" i="86" s="1"/>
  <c r="H48" i="86" s="1"/>
  <c r="H47" i="86" s="1"/>
  <c r="H46" i="86" s="1"/>
  <c r="H45" i="86" s="1"/>
  <c r="H44" i="86" s="1"/>
  <c r="H43" i="86" s="1"/>
  <c r="H42" i="86" s="1"/>
  <c r="H41" i="86" s="1"/>
  <c r="H40" i="86" s="1"/>
  <c r="H39" i="86" s="1"/>
  <c r="H38" i="86" s="1"/>
  <c r="H37" i="86" s="1"/>
  <c r="H36" i="86" s="1"/>
  <c r="H35" i="86" s="1"/>
  <c r="H34" i="86" s="1"/>
  <c r="H33" i="86" s="1"/>
  <c r="H32" i="86" s="1"/>
  <c r="G90" i="86"/>
  <c r="O146" i="86"/>
  <c r="M97" i="86"/>
  <c r="Y150" i="86" l="1"/>
  <c r="AF150" i="86" s="1"/>
  <c r="C358" i="66"/>
  <c r="AM170" i="86"/>
  <c r="AI147" i="86"/>
  <c r="AK147" i="86"/>
  <c r="AG147" i="86"/>
  <c r="AJ147" i="86"/>
  <c r="AH147" i="86"/>
  <c r="K147" i="65"/>
  <c r="K153" i="65" s="1"/>
  <c r="K154" i="65" s="1"/>
  <c r="L151" i="65" s="1"/>
  <c r="L152" i="65" s="1"/>
  <c r="M96" i="86"/>
  <c r="O145" i="86"/>
  <c r="N145" i="86"/>
  <c r="H31" i="86"/>
  <c r="H30" i="86" s="1"/>
  <c r="H29" i="86" s="1"/>
  <c r="H28" i="86" s="1"/>
  <c r="H27" i="86" s="1"/>
  <c r="H26" i="86" s="1"/>
  <c r="H25" i="86" s="1"/>
  <c r="H24" i="86" s="1"/>
  <c r="H23" i="86" s="1"/>
  <c r="H22" i="86" s="1"/>
  <c r="H21" i="86" s="1"/>
  <c r="H20" i="86" s="1"/>
  <c r="H19" i="86" s="1"/>
  <c r="H18" i="86" s="1"/>
  <c r="H17" i="86" s="1"/>
  <c r="H16" i="86" s="1"/>
  <c r="H15" i="86" s="1"/>
  <c r="H14" i="86" s="1"/>
  <c r="H13" i="86" s="1"/>
  <c r="H12" i="86" s="1"/>
  <c r="H11" i="86" s="1"/>
  <c r="H10" i="86" s="1"/>
  <c r="H9" i="86" s="1"/>
  <c r="H8" i="86" s="1"/>
  <c r="H7" i="86" s="1"/>
  <c r="H6" i="86" s="1"/>
  <c r="H5" i="86" s="1"/>
  <c r="G89" i="86"/>
  <c r="Y149" i="86" l="1"/>
  <c r="AF149" i="86" s="1"/>
  <c r="C359" i="66"/>
  <c r="AJ146" i="86"/>
  <c r="AG146" i="86"/>
  <c r="AI146" i="86"/>
  <c r="AK146" i="86"/>
  <c r="AH146" i="86"/>
  <c r="AM171" i="86"/>
  <c r="K148" i="65"/>
  <c r="L145" i="65" s="1"/>
  <c r="L146" i="65" s="1"/>
  <c r="K159" i="65"/>
  <c r="G88" i="86"/>
  <c r="N144" i="86"/>
  <c r="M95" i="86"/>
  <c r="O144" i="86"/>
  <c r="Y148" i="86" l="1"/>
  <c r="AF148" i="86" s="1"/>
  <c r="C360" i="66"/>
  <c r="AG145" i="86"/>
  <c r="AK145" i="86"/>
  <c r="AI145" i="86"/>
  <c r="AJ145" i="86"/>
  <c r="AH145" i="86"/>
  <c r="AM172" i="86"/>
  <c r="K165" i="65"/>
  <c r="K160" i="65"/>
  <c r="O143" i="86"/>
  <c r="N143" i="86"/>
  <c r="G87" i="86"/>
  <c r="M94" i="86"/>
  <c r="Y147" i="86" l="1"/>
  <c r="AF147" i="86" s="1"/>
  <c r="C361" i="66"/>
  <c r="AH144" i="86"/>
  <c r="AG144" i="86"/>
  <c r="AJ144" i="86"/>
  <c r="AI144" i="86"/>
  <c r="AK144" i="86"/>
  <c r="AM173" i="86"/>
  <c r="L157" i="65"/>
  <c r="K166" i="65"/>
  <c r="M93" i="86"/>
  <c r="N142" i="86"/>
  <c r="O142" i="86"/>
  <c r="G86" i="86"/>
  <c r="Y146" i="86" l="1"/>
  <c r="AF146" i="86" s="1"/>
  <c r="C362" i="66"/>
  <c r="AH143" i="86"/>
  <c r="AJ143" i="86"/>
  <c r="AI143" i="86"/>
  <c r="AG143" i="86"/>
  <c r="AK143" i="86"/>
  <c r="AM174" i="86"/>
  <c r="L163" i="65"/>
  <c r="L158" i="65"/>
  <c r="L164" i="65" s="1"/>
  <c r="G85" i="86"/>
  <c r="N141" i="86"/>
  <c r="M92" i="86"/>
  <c r="O141" i="86"/>
  <c r="Y145" i="86" l="1"/>
  <c r="AF145" i="86" s="1"/>
  <c r="C363" i="66"/>
  <c r="AJ142" i="86"/>
  <c r="AI142" i="86"/>
  <c r="AG142" i="86"/>
  <c r="AK142" i="86"/>
  <c r="AH142" i="86"/>
  <c r="AM175" i="86"/>
  <c r="L89" i="65"/>
  <c r="L91" i="65" s="1"/>
  <c r="O140" i="86"/>
  <c r="M91" i="86"/>
  <c r="N140" i="86"/>
  <c r="G84" i="86"/>
  <c r="N139" i="86"/>
  <c r="O139" i="86"/>
  <c r="Y144" i="86" l="1"/>
  <c r="AF144" i="86" s="1"/>
  <c r="C364" i="66"/>
  <c r="AI141" i="86"/>
  <c r="AJ141" i="86"/>
  <c r="AH141" i="86"/>
  <c r="AG141" i="86"/>
  <c r="AK141" i="86"/>
  <c r="AM176" i="86"/>
  <c r="L94" i="65"/>
  <c r="L97" i="65" s="1"/>
  <c r="L98" i="65" s="1"/>
  <c r="L92" i="65"/>
  <c r="O138" i="86"/>
  <c r="N138" i="86"/>
  <c r="M90" i="86"/>
  <c r="G83" i="86"/>
  <c r="Y143" i="86" l="1"/>
  <c r="AF143" i="86" s="1"/>
  <c r="C365" i="66"/>
  <c r="AH140" i="86"/>
  <c r="AG140" i="86"/>
  <c r="AI140" i="86"/>
  <c r="AJ140" i="86"/>
  <c r="AK140" i="86"/>
  <c r="AM177" i="86"/>
  <c r="L136" i="65"/>
  <c r="L140" i="65" s="1"/>
  <c r="L147" i="65" s="1"/>
  <c r="G82" i="86"/>
  <c r="N137" i="86"/>
  <c r="O137" i="86"/>
  <c r="M89" i="86"/>
  <c r="Y142" i="86" l="1"/>
  <c r="AF142" i="86" s="1"/>
  <c r="C366" i="66"/>
  <c r="AH139" i="86"/>
  <c r="AI139" i="86"/>
  <c r="AG139" i="86"/>
  <c r="AK139" i="86"/>
  <c r="AJ139" i="86"/>
  <c r="AM178" i="86"/>
  <c r="L153" i="65"/>
  <c r="L148" i="65"/>
  <c r="M88" i="86"/>
  <c r="N136" i="86"/>
  <c r="G81" i="86"/>
  <c r="O136" i="86"/>
  <c r="Y141" i="86" l="1"/>
  <c r="AF141" i="86" s="1"/>
  <c r="C367" i="66"/>
  <c r="AG138" i="86"/>
  <c r="AK138" i="86"/>
  <c r="AI138" i="86"/>
  <c r="AJ138" i="86"/>
  <c r="AH138" i="86"/>
  <c r="AM179" i="86"/>
  <c r="L154" i="65"/>
  <c r="L159" i="65"/>
  <c r="F29" i="6"/>
  <c r="G14" i="6"/>
  <c r="O135" i="86"/>
  <c r="N135" i="86"/>
  <c r="M87" i="86"/>
  <c r="G80" i="86"/>
  <c r="Y140" i="86" l="1"/>
  <c r="AF140" i="86" s="1"/>
  <c r="C368" i="66"/>
  <c r="AJ137" i="86"/>
  <c r="AI137" i="86"/>
  <c r="AK137" i="86"/>
  <c r="AG137" i="86"/>
  <c r="AH137" i="86"/>
  <c r="AM180" i="86"/>
  <c r="L160" i="65"/>
  <c r="L166" i="65" s="1"/>
  <c r="L175" i="65" s="1"/>
  <c r="L176" i="65" s="1"/>
  <c r="L180" i="65" s="1"/>
  <c r="L165" i="65"/>
  <c r="G29" i="6"/>
  <c r="H29" i="6"/>
  <c r="H14" i="6"/>
  <c r="G79" i="86"/>
  <c r="N134" i="86"/>
  <c r="O134" i="86"/>
  <c r="M86" i="86"/>
  <c r="M85" i="86" s="1"/>
  <c r="M84" i="86" s="1"/>
  <c r="M83" i="86" s="1"/>
  <c r="M82" i="86" s="1"/>
  <c r="M81" i="86" s="1"/>
  <c r="M80" i="86" s="1"/>
  <c r="M79" i="86" s="1"/>
  <c r="M78" i="86" s="1"/>
  <c r="M77" i="86" s="1"/>
  <c r="M76" i="86" s="1"/>
  <c r="M75" i="86" s="1"/>
  <c r="M74" i="86" s="1"/>
  <c r="M73" i="86" s="1"/>
  <c r="M72" i="86" s="1"/>
  <c r="M71" i="86" s="1"/>
  <c r="M70" i="86" s="1"/>
  <c r="M69" i="86" s="1"/>
  <c r="M68" i="86" s="1"/>
  <c r="M67" i="86" s="1"/>
  <c r="M66" i="86" s="1"/>
  <c r="M65" i="86" s="1"/>
  <c r="M64" i="86" s="1"/>
  <c r="M63" i="86" s="1"/>
  <c r="M62" i="86" s="1"/>
  <c r="M61" i="86" s="1"/>
  <c r="M60" i="86" s="1"/>
  <c r="M59" i="86" s="1"/>
  <c r="M58" i="86" s="1"/>
  <c r="M57" i="86" s="1"/>
  <c r="M56" i="86" s="1"/>
  <c r="M55" i="86" s="1"/>
  <c r="M54" i="86" s="1"/>
  <c r="Y139" i="86" l="1"/>
  <c r="AF139" i="86" s="1"/>
  <c r="C369" i="66"/>
  <c r="AG136" i="86"/>
  <c r="AK136" i="86"/>
  <c r="AI136" i="86"/>
  <c r="AJ136" i="86"/>
  <c r="AH136" i="86"/>
  <c r="AM181" i="86"/>
  <c r="L16" i="65"/>
  <c r="L181" i="65"/>
  <c r="L17" i="65" s="1"/>
  <c r="M53" i="86"/>
  <c r="M52" i="86" s="1"/>
  <c r="M51" i="86" s="1"/>
  <c r="M50" i="86" s="1"/>
  <c r="M49" i="86" s="1"/>
  <c r="M48" i="86" s="1"/>
  <c r="M47" i="86" s="1"/>
  <c r="M46" i="86" s="1"/>
  <c r="M45" i="86" s="1"/>
  <c r="M44" i="86" s="1"/>
  <c r="M43" i="86" s="1"/>
  <c r="M42" i="86" s="1"/>
  <c r="M41" i="86" s="1"/>
  <c r="M40" i="86" s="1"/>
  <c r="M39" i="86" s="1"/>
  <c r="M38" i="86" s="1"/>
  <c r="M37" i="86" s="1"/>
  <c r="M36" i="86" s="1"/>
  <c r="M35" i="86" s="1"/>
  <c r="M34" i="86" s="1"/>
  <c r="M33" i="86" s="1"/>
  <c r="M32" i="86" s="1"/>
  <c r="O133" i="86"/>
  <c r="N133" i="86"/>
  <c r="G78" i="86"/>
  <c r="Y138" i="86" l="1"/>
  <c r="AF138" i="86" s="1"/>
  <c r="C370" i="66"/>
  <c r="AI135" i="86"/>
  <c r="AG135" i="86"/>
  <c r="AH135" i="86"/>
  <c r="AK135" i="86"/>
  <c r="AJ135" i="86"/>
  <c r="AM182" i="86"/>
  <c r="G77" i="86"/>
  <c r="N132" i="86"/>
  <c r="M31" i="86"/>
  <c r="M30" i="86" s="1"/>
  <c r="M29" i="86" s="1"/>
  <c r="M28" i="86" s="1"/>
  <c r="M27" i="86" s="1"/>
  <c r="M26" i="86" s="1"/>
  <c r="M25" i="86" s="1"/>
  <c r="M24" i="86" s="1"/>
  <c r="M23" i="86" s="1"/>
  <c r="M22" i="86" s="1"/>
  <c r="M21" i="86" s="1"/>
  <c r="M20" i="86" s="1"/>
  <c r="M19" i="86" s="1"/>
  <c r="M18" i="86" s="1"/>
  <c r="M17" i="86" s="1"/>
  <c r="M16" i="86" s="1"/>
  <c r="M15" i="86" s="1"/>
  <c r="M14" i="86" s="1"/>
  <c r="M13" i="86" s="1"/>
  <c r="M12" i="86" s="1"/>
  <c r="M11" i="86" s="1"/>
  <c r="M10" i="86" s="1"/>
  <c r="M9" i="86" s="1"/>
  <c r="M8" i="86" s="1"/>
  <c r="M7" i="86" s="1"/>
  <c r="M6" i="86" s="1"/>
  <c r="M5" i="86" s="1"/>
  <c r="O132" i="86"/>
  <c r="Y137" i="86" l="1"/>
  <c r="AF137" i="86" s="1"/>
  <c r="C371" i="66"/>
  <c r="AI134" i="86"/>
  <c r="AK134" i="86"/>
  <c r="AH134" i="86"/>
  <c r="AG134" i="86"/>
  <c r="AJ134" i="86"/>
  <c r="AM183" i="86"/>
  <c r="O131" i="86"/>
  <c r="N131" i="86"/>
  <c r="G76" i="86"/>
  <c r="Y136" i="86" l="1"/>
  <c r="AF136" i="86" s="1"/>
  <c r="C372" i="66"/>
  <c r="AG133" i="86"/>
  <c r="AH133" i="86"/>
  <c r="AJ133" i="86"/>
  <c r="AK133" i="86"/>
  <c r="AI133" i="86"/>
  <c r="AM184" i="86"/>
  <c r="G75" i="86"/>
  <c r="N130" i="86"/>
  <c r="O130" i="86"/>
  <c r="Y135" i="86" l="1"/>
  <c r="AF135" i="86" s="1"/>
  <c r="C373" i="66"/>
  <c r="AK132" i="86"/>
  <c r="AG132" i="86"/>
  <c r="AH132" i="86"/>
  <c r="AI132" i="86"/>
  <c r="AJ132" i="86"/>
  <c r="AM185" i="86"/>
  <c r="O129" i="86"/>
  <c r="G74" i="86"/>
  <c r="G73" i="86" s="1"/>
  <c r="N129" i="86"/>
  <c r="Y134" i="86" l="1"/>
  <c r="AF134" i="86" s="1"/>
  <c r="C374" i="66"/>
  <c r="AG131" i="86"/>
  <c r="AJ131" i="86"/>
  <c r="AI131" i="86"/>
  <c r="AH131" i="86"/>
  <c r="AK131" i="86"/>
  <c r="AM186" i="86"/>
  <c r="G72" i="86"/>
  <c r="G71" i="86" s="1"/>
  <c r="O128" i="86"/>
  <c r="N128" i="86"/>
  <c r="K128" i="86"/>
  <c r="Y133" i="86" l="1"/>
  <c r="AF133" i="86" s="1"/>
  <c r="C375" i="66"/>
  <c r="AK130" i="86"/>
  <c r="AH130" i="86"/>
  <c r="AI130" i="86"/>
  <c r="AJ130" i="86"/>
  <c r="AG130" i="86"/>
  <c r="AM187" i="86"/>
  <c r="K127" i="86"/>
  <c r="N127" i="86"/>
  <c r="O127" i="86"/>
  <c r="G70" i="86"/>
  <c r="Y132" i="86" l="1"/>
  <c r="AF132" i="86" s="1"/>
  <c r="C376" i="66"/>
  <c r="AK129" i="86"/>
  <c r="AG129" i="86"/>
  <c r="AI129" i="86"/>
  <c r="AH129" i="86"/>
  <c r="AJ129" i="86"/>
  <c r="AM188" i="86"/>
  <c r="AJ101" i="79"/>
  <c r="AJ103" i="79"/>
  <c r="Y49" i="78"/>
  <c r="Y76" i="78" s="1"/>
  <c r="X47" i="78"/>
  <c r="X92" i="78"/>
  <c r="G69" i="86"/>
  <c r="O126" i="86"/>
  <c r="N126" i="86"/>
  <c r="K126" i="86"/>
  <c r="Y131" i="86" l="1"/>
  <c r="AF131" i="86" s="1"/>
  <c r="C377" i="66"/>
  <c r="AI128" i="86"/>
  <c r="AH128" i="86"/>
  <c r="AG128" i="86"/>
  <c r="AK128" i="86"/>
  <c r="AJ128" i="86"/>
  <c r="AM189" i="86"/>
  <c r="Y46" i="78"/>
  <c r="Y91" i="78" s="1"/>
  <c r="K125" i="86"/>
  <c r="N125" i="86"/>
  <c r="O125" i="86"/>
  <c r="G68" i="86"/>
  <c r="Y130" i="86" l="1"/>
  <c r="AF130" i="86" s="1"/>
  <c r="C378" i="66"/>
  <c r="AK127" i="86"/>
  <c r="AG127" i="86"/>
  <c r="AH127" i="86"/>
  <c r="AI127" i="86"/>
  <c r="AJ127" i="86"/>
  <c r="AM190" i="86"/>
  <c r="AK101" i="79"/>
  <c r="AK103" i="79"/>
  <c r="AB49" i="78"/>
  <c r="AB76" i="78" s="1"/>
  <c r="Y47" i="78"/>
  <c r="Y125" i="78"/>
  <c r="Y58" i="78"/>
  <c r="G67" i="86"/>
  <c r="O124" i="86"/>
  <c r="N124" i="86"/>
  <c r="K124" i="86"/>
  <c r="Y129" i="86" l="1"/>
  <c r="AF129" i="86" s="1"/>
  <c r="C379" i="66"/>
  <c r="AI126" i="86"/>
  <c r="AH126" i="86"/>
  <c r="AJ126" i="86"/>
  <c r="AK126" i="86"/>
  <c r="AG126" i="86"/>
  <c r="AM191" i="86"/>
  <c r="AK168" i="79"/>
  <c r="Y119" i="78"/>
  <c r="Y123" i="78" s="1"/>
  <c r="AK74" i="79"/>
  <c r="Y92" i="78"/>
  <c r="AB46" i="78"/>
  <c r="AB91" i="78" s="1"/>
  <c r="Y59" i="78"/>
  <c r="K123" i="86"/>
  <c r="G66" i="86"/>
  <c r="N123" i="86"/>
  <c r="O123" i="86"/>
  <c r="Y128" i="86" l="1"/>
  <c r="AF128" i="86" s="1"/>
  <c r="Y133" i="78"/>
  <c r="Y109" i="78"/>
  <c r="Z109" i="78" s="1"/>
  <c r="AL77" i="79"/>
  <c r="C380" i="66"/>
  <c r="AG125" i="86"/>
  <c r="AI125" i="86"/>
  <c r="AK125" i="86"/>
  <c r="AJ125" i="86"/>
  <c r="AH125" i="86"/>
  <c r="AM192" i="86"/>
  <c r="AL168" i="79"/>
  <c r="AL127" i="79"/>
  <c r="AN103" i="79"/>
  <c r="AN101" i="79"/>
  <c r="AL101" i="79"/>
  <c r="AL103" i="79"/>
  <c r="AK77" i="79"/>
  <c r="AL28" i="79"/>
  <c r="Z59" i="78"/>
  <c r="Z119" i="78"/>
  <c r="AC49" i="78"/>
  <c r="AB47" i="78"/>
  <c r="AB125" i="78"/>
  <c r="AB58" i="78"/>
  <c r="O122" i="86"/>
  <c r="N122" i="86"/>
  <c r="G65" i="86"/>
  <c r="K122" i="86"/>
  <c r="Z123" i="78" l="1"/>
  <c r="Z121" i="78" s="1"/>
  <c r="D32" i="6" s="1"/>
  <c r="D33" i="6" s="1"/>
  <c r="Z148" i="78" s="1"/>
  <c r="AC46" i="78"/>
  <c r="AC91" i="78" s="1"/>
  <c r="AC76" i="78"/>
  <c r="AD49" i="78" s="1"/>
  <c r="AD46" i="78" s="1"/>
  <c r="AD91" i="78" s="1"/>
  <c r="Y127" i="86"/>
  <c r="AF127" i="86" s="1"/>
  <c r="AL33" i="79"/>
  <c r="D42" i="6"/>
  <c r="C381" i="66"/>
  <c r="AJ124" i="86"/>
  <c r="AK124" i="86"/>
  <c r="AI124" i="86"/>
  <c r="AG124" i="86"/>
  <c r="AH124" i="86"/>
  <c r="AM193" i="86"/>
  <c r="AN168" i="79"/>
  <c r="AB119" i="78"/>
  <c r="AB123" i="78" s="1"/>
  <c r="AN74" i="79"/>
  <c r="AL74" i="79"/>
  <c r="AL31" i="79"/>
  <c r="AB59" i="78"/>
  <c r="AB92" i="78"/>
  <c r="K121" i="86"/>
  <c r="G64" i="86"/>
  <c r="N121" i="86"/>
  <c r="O121" i="86"/>
  <c r="Z147" i="78" l="1"/>
  <c r="D41" i="6"/>
  <c r="D43" i="6" s="1"/>
  <c r="D44" i="6" s="1"/>
  <c r="D45" i="6" s="1"/>
  <c r="AC58" i="78"/>
  <c r="AO77" i="79" s="1"/>
  <c r="AD76" i="78"/>
  <c r="Y126" i="86"/>
  <c r="AF126" i="86" s="1"/>
  <c r="AB133" i="78"/>
  <c r="AB109" i="78"/>
  <c r="C382" i="66"/>
  <c r="AH123" i="86"/>
  <c r="AK123" i="86"/>
  <c r="AI123" i="86"/>
  <c r="AG123" i="86"/>
  <c r="AJ123" i="86"/>
  <c r="AM194" i="86"/>
  <c r="AC47" i="78"/>
  <c r="AO74" i="79"/>
  <c r="AN77" i="79"/>
  <c r="AC92" i="78"/>
  <c r="AC125" i="78"/>
  <c r="AD58" i="78"/>
  <c r="O120" i="86"/>
  <c r="N120" i="86"/>
  <c r="G63" i="86"/>
  <c r="K120" i="86"/>
  <c r="AC59" i="78" l="1"/>
  <c r="AC119" i="78"/>
  <c r="AC123" i="78" s="1"/>
  <c r="AC109" i="78" s="1"/>
  <c r="Y125" i="86"/>
  <c r="AF125" i="86" s="1"/>
  <c r="C383" i="66"/>
  <c r="AI122" i="86"/>
  <c r="AK122" i="86"/>
  <c r="AH122" i="86"/>
  <c r="AJ122" i="86"/>
  <c r="AG122" i="86"/>
  <c r="AM195" i="86"/>
  <c r="AO168" i="79"/>
  <c r="AD47" i="78"/>
  <c r="AE49" i="78"/>
  <c r="AP101" i="79"/>
  <c r="AP103" i="79"/>
  <c r="AO101" i="79"/>
  <c r="AO103" i="79"/>
  <c r="AP77" i="79"/>
  <c r="AP74" i="79"/>
  <c r="AD92" i="78"/>
  <c r="AD125" i="78"/>
  <c r="AD59" i="78"/>
  <c r="AD119" i="78"/>
  <c r="AD123" i="78" s="1"/>
  <c r="AD109" i="78" s="1"/>
  <c r="K119" i="86"/>
  <c r="G62" i="86"/>
  <c r="N119" i="86"/>
  <c r="O119" i="86"/>
  <c r="AC133" i="78" l="1"/>
  <c r="AE76" i="78"/>
  <c r="Y124" i="86"/>
  <c r="AF124" i="86" s="1"/>
  <c r="C384" i="66"/>
  <c r="AH121" i="86"/>
  <c r="AK121" i="86"/>
  <c r="AG121" i="86"/>
  <c r="AJ121" i="86"/>
  <c r="AI121" i="86"/>
  <c r="AM196" i="86"/>
  <c r="AE46" i="78"/>
  <c r="AE91" i="78" s="1"/>
  <c r="AD133" i="78"/>
  <c r="AQ101" i="79"/>
  <c r="AR101" i="79"/>
  <c r="AP168" i="79"/>
  <c r="O118" i="86"/>
  <c r="N118" i="86"/>
  <c r="G61" i="86"/>
  <c r="K118" i="86"/>
  <c r="Y122" i="86" l="1"/>
  <c r="AF122" i="86" s="1"/>
  <c r="Y123" i="86"/>
  <c r="AF123" i="86" s="1"/>
  <c r="C385" i="66"/>
  <c r="AG120" i="86"/>
  <c r="AK120" i="86"/>
  <c r="AJ120" i="86"/>
  <c r="AH120" i="86"/>
  <c r="AI120" i="86"/>
  <c r="AM197" i="86"/>
  <c r="AR103" i="79"/>
  <c r="AE125" i="78"/>
  <c r="AQ168" i="79" s="1"/>
  <c r="AE58" i="78"/>
  <c r="AE119" i="78" s="1"/>
  <c r="AE123" i="78" s="1"/>
  <c r="AE47" i="78"/>
  <c r="AQ103" i="79"/>
  <c r="K117" i="86"/>
  <c r="G60" i="86"/>
  <c r="N117" i="86"/>
  <c r="O117" i="86"/>
  <c r="Y121" i="86" l="1"/>
  <c r="AF121" i="86" s="1"/>
  <c r="AE109" i="78"/>
  <c r="AF109" i="78" s="1"/>
  <c r="AT77" i="79"/>
  <c r="C386" i="66"/>
  <c r="AE92" i="78"/>
  <c r="AV127" i="79"/>
  <c r="AJ119" i="86"/>
  <c r="AK119" i="86"/>
  <c r="AI119" i="86"/>
  <c r="AH119" i="86"/>
  <c r="AG119" i="86"/>
  <c r="AM198" i="86"/>
  <c r="AR28" i="79"/>
  <c r="AE59" i="78"/>
  <c r="AQ74" i="79"/>
  <c r="AE133" i="78"/>
  <c r="AH119" i="78"/>
  <c r="AH123" i="78" s="1"/>
  <c r="AH59" i="78"/>
  <c r="AT103" i="79"/>
  <c r="O116" i="86"/>
  <c r="N116" i="86"/>
  <c r="G59" i="86"/>
  <c r="K116" i="86"/>
  <c r="Y119" i="86" l="1"/>
  <c r="AF119" i="86" s="1"/>
  <c r="Y120" i="86"/>
  <c r="AF120" i="86" s="1"/>
  <c r="F41" i="6"/>
  <c r="AH109" i="78"/>
  <c r="F42" i="6" s="1"/>
  <c r="AT74" i="79"/>
  <c r="E42" i="6"/>
  <c r="AR77" i="79"/>
  <c r="C387" i="66"/>
  <c r="AR127" i="79"/>
  <c r="AT127" i="79"/>
  <c r="AR168" i="79"/>
  <c r="AF119" i="78"/>
  <c r="AF123" i="78" s="1"/>
  <c r="E41" i="6" s="1"/>
  <c r="AF59" i="78"/>
  <c r="AQ77" i="79"/>
  <c r="AI118" i="86"/>
  <c r="AH118" i="86"/>
  <c r="AK118" i="86"/>
  <c r="AG118" i="86"/>
  <c r="AJ118" i="86"/>
  <c r="AM199" i="86"/>
  <c r="AT101" i="79"/>
  <c r="K115" i="86"/>
  <c r="G58" i="86"/>
  <c r="N115" i="86"/>
  <c r="O115" i="86"/>
  <c r="E43" i="6" l="1"/>
  <c r="F43" i="6" s="1"/>
  <c r="Y118" i="86"/>
  <c r="AF118" i="86" s="1"/>
  <c r="AR33" i="79"/>
  <c r="AR74" i="79"/>
  <c r="C388" i="66"/>
  <c r="AK117" i="86"/>
  <c r="AH117" i="86"/>
  <c r="AJ117" i="86"/>
  <c r="AG117" i="86"/>
  <c r="AI117" i="86"/>
  <c r="AR31" i="79"/>
  <c r="AM200" i="86"/>
  <c r="AV101" i="79"/>
  <c r="AJ59" i="78"/>
  <c r="AJ119" i="78"/>
  <c r="AJ123" i="78" s="1"/>
  <c r="G41" i="6" s="1"/>
  <c r="O114" i="86"/>
  <c r="N114" i="86"/>
  <c r="G57" i="86"/>
  <c r="K114" i="86"/>
  <c r="E44" i="6" l="1"/>
  <c r="E45" i="6" s="1"/>
  <c r="Y117" i="86"/>
  <c r="AF117" i="86" s="1"/>
  <c r="G43" i="6"/>
  <c r="F44" i="6"/>
  <c r="AJ109" i="78"/>
  <c r="C389" i="66"/>
  <c r="AJ116" i="86"/>
  <c r="AH116" i="86"/>
  <c r="AI116" i="86"/>
  <c r="AG116" i="86"/>
  <c r="AK116" i="86"/>
  <c r="AM201" i="86"/>
  <c r="AV103" i="79"/>
  <c r="AV77" i="79"/>
  <c r="AV74" i="79"/>
  <c r="K113" i="86"/>
  <c r="G56" i="86"/>
  <c r="N113" i="86"/>
  <c r="O113" i="86"/>
  <c r="F45" i="6" l="1"/>
  <c r="Y116" i="86"/>
  <c r="AF116" i="86" s="1"/>
  <c r="G44" i="6"/>
  <c r="G45" i="6" s="1"/>
  <c r="C390" i="66"/>
  <c r="AK115" i="86"/>
  <c r="AH115" i="86"/>
  <c r="AG115" i="86"/>
  <c r="AI115" i="86"/>
  <c r="AJ115" i="86"/>
  <c r="AM202" i="86"/>
  <c r="AL119" i="78"/>
  <c r="AX77" i="79"/>
  <c r="AX74" i="79"/>
  <c r="O112" i="86"/>
  <c r="O111" i="86" s="1"/>
  <c r="O110" i="86" s="1"/>
  <c r="O109" i="86" s="1"/>
  <c r="O108" i="86" s="1"/>
  <c r="O107" i="86" s="1"/>
  <c r="O106" i="86" s="1"/>
  <c r="O105" i="86" s="1"/>
  <c r="O104" i="86" s="1"/>
  <c r="O103" i="86" s="1"/>
  <c r="O102" i="86" s="1"/>
  <c r="O101" i="86" s="1"/>
  <c r="O100" i="86" s="1"/>
  <c r="N112" i="86"/>
  <c r="G55" i="86"/>
  <c r="K112" i="86"/>
  <c r="Y115" i="86" l="1"/>
  <c r="AF115" i="86" s="1"/>
  <c r="C391" i="66"/>
  <c r="AH114" i="86"/>
  <c r="AI114" i="86"/>
  <c r="AJ114" i="86"/>
  <c r="AK114" i="86"/>
  <c r="AG114" i="86"/>
  <c r="AM203" i="86"/>
  <c r="AL123" i="78"/>
  <c r="H41" i="6" s="1"/>
  <c r="K111" i="86"/>
  <c r="G54" i="86"/>
  <c r="N111" i="86"/>
  <c r="O99" i="86"/>
  <c r="O98" i="86" s="1"/>
  <c r="O97" i="86" s="1"/>
  <c r="O96" i="86" s="1"/>
  <c r="O95" i="86" s="1"/>
  <c r="O94" i="86" s="1"/>
  <c r="O93" i="86" s="1"/>
  <c r="O92" i="86" s="1"/>
  <c r="O91" i="86" s="1"/>
  <c r="O90" i="86" s="1"/>
  <c r="O89" i="86" s="1"/>
  <c r="O88" i="86" s="1"/>
  <c r="O87" i="86" s="1"/>
  <c r="Y114" i="86" l="1"/>
  <c r="AF114" i="86" s="1"/>
  <c r="H43" i="6"/>
  <c r="H44" i="6" s="1"/>
  <c r="H45" i="6" s="1"/>
  <c r="AL109" i="78"/>
  <c r="C392" i="66"/>
  <c r="AK113" i="86"/>
  <c r="AI113" i="86"/>
  <c r="AH113" i="86"/>
  <c r="AG113" i="86"/>
  <c r="AJ113" i="86"/>
  <c r="AM204" i="86"/>
  <c r="O86" i="86"/>
  <c r="O85" i="86" s="1"/>
  <c r="O84" i="86" s="1"/>
  <c r="O83" i="86" s="1"/>
  <c r="O82" i="86" s="1"/>
  <c r="O81" i="86" s="1"/>
  <c r="O80" i="86" s="1"/>
  <c r="O79" i="86" s="1"/>
  <c r="O78" i="86" s="1"/>
  <c r="O77" i="86" s="1"/>
  <c r="O76" i="86" s="1"/>
  <c r="O75" i="86" s="1"/>
  <c r="O74" i="86" s="1"/>
  <c r="O73" i="86" s="1"/>
  <c r="O72" i="86" s="1"/>
  <c r="O71" i="86" s="1"/>
  <c r="O70" i="86" s="1"/>
  <c r="O69" i="86" s="1"/>
  <c r="O68" i="86" s="1"/>
  <c r="O67" i="86" s="1"/>
  <c r="O66" i="86" s="1"/>
  <c r="O65" i="86" s="1"/>
  <c r="O64" i="86" s="1"/>
  <c r="O63" i="86" s="1"/>
  <c r="O62" i="86" s="1"/>
  <c r="O61" i="86" s="1"/>
  <c r="O60" i="86" s="1"/>
  <c r="N110" i="86"/>
  <c r="G53" i="86"/>
  <c r="K110" i="86"/>
  <c r="Y113" i="86" l="1"/>
  <c r="AF113" i="86" s="1"/>
  <c r="C393" i="66"/>
  <c r="AJ112" i="86"/>
  <c r="AG112" i="86"/>
  <c r="AI112" i="86"/>
  <c r="AH112" i="86"/>
  <c r="AK112" i="86"/>
  <c r="AM205" i="86"/>
  <c r="K109" i="86"/>
  <c r="G52" i="86"/>
  <c r="N109" i="86"/>
  <c r="O59" i="86"/>
  <c r="Y112" i="86" l="1"/>
  <c r="AF112" i="86" s="1"/>
  <c r="C394" i="66"/>
  <c r="AJ111" i="86"/>
  <c r="AH111" i="86"/>
  <c r="AI111" i="86"/>
  <c r="AK111" i="86"/>
  <c r="AG111" i="86"/>
  <c r="AM206" i="86"/>
  <c r="H87" i="65"/>
  <c r="I87" i="65"/>
  <c r="J87" i="65"/>
  <c r="K87" i="65"/>
  <c r="L87" i="65"/>
  <c r="O58" i="86"/>
  <c r="N108" i="86"/>
  <c r="G51" i="86"/>
  <c r="K108" i="86"/>
  <c r="Y111" i="86" l="1"/>
  <c r="AF111" i="86" s="1"/>
  <c r="C395" i="66"/>
  <c r="AG110" i="86"/>
  <c r="AK110" i="86"/>
  <c r="AI110" i="86"/>
  <c r="AH110" i="86"/>
  <c r="AJ110" i="86"/>
  <c r="AM207" i="86"/>
  <c r="K107" i="86"/>
  <c r="G50" i="86"/>
  <c r="N107" i="86"/>
  <c r="O57" i="86"/>
  <c r="Y110" i="86" l="1"/>
  <c r="AF110" i="86" s="1"/>
  <c r="C396" i="66"/>
  <c r="AH109" i="86"/>
  <c r="AI109" i="86"/>
  <c r="AK109" i="86"/>
  <c r="AJ109" i="86"/>
  <c r="AG109" i="86"/>
  <c r="AM208" i="86"/>
  <c r="O56" i="86"/>
  <c r="N106" i="86"/>
  <c r="G49" i="86"/>
  <c r="K106" i="86"/>
  <c r="Y109" i="86" l="1"/>
  <c r="AF109" i="86" s="1"/>
  <c r="C397" i="66"/>
  <c r="AH108" i="86"/>
  <c r="AK108" i="86"/>
  <c r="AJ108" i="86"/>
  <c r="AI108" i="86"/>
  <c r="AG108" i="86"/>
  <c r="AM209" i="86"/>
  <c r="K105" i="86"/>
  <c r="G48" i="86"/>
  <c r="N105" i="86"/>
  <c r="O55" i="86"/>
  <c r="Y108" i="86" l="1"/>
  <c r="AF108" i="86" s="1"/>
  <c r="C398" i="66"/>
  <c r="AJ107" i="86"/>
  <c r="AK107" i="86"/>
  <c r="AH107" i="86"/>
  <c r="AI107" i="86"/>
  <c r="AG107" i="86"/>
  <c r="AM210" i="86"/>
  <c r="O54" i="86"/>
  <c r="N104" i="86"/>
  <c r="G47" i="86"/>
  <c r="G46" i="86" s="1"/>
  <c r="G45" i="86" s="1"/>
  <c r="G44" i="86" s="1"/>
  <c r="G43" i="86" s="1"/>
  <c r="G42" i="86" s="1"/>
  <c r="G41" i="86" s="1"/>
  <c r="G40" i="86" s="1"/>
  <c r="G39" i="86" s="1"/>
  <c r="G38" i="86" s="1"/>
  <c r="G37" i="86" s="1"/>
  <c r="G36" i="86" s="1"/>
  <c r="G35" i="86" s="1"/>
  <c r="G34" i="86" s="1"/>
  <c r="G33" i="86" s="1"/>
  <c r="G32" i="86" s="1"/>
  <c r="K104" i="86"/>
  <c r="Y107" i="86" l="1"/>
  <c r="AF107" i="86" s="1"/>
  <c r="C399" i="66"/>
  <c r="AI106" i="86"/>
  <c r="AK106" i="86"/>
  <c r="AJ106" i="86"/>
  <c r="AH106" i="86"/>
  <c r="AG106" i="86"/>
  <c r="AM211" i="86"/>
  <c r="K103" i="86"/>
  <c r="G31" i="86"/>
  <c r="G30" i="86" s="1"/>
  <c r="G29" i="86" s="1"/>
  <c r="G28" i="86" s="1"/>
  <c r="G27" i="86" s="1"/>
  <c r="G26" i="86" s="1"/>
  <c r="G25" i="86" s="1"/>
  <c r="G24" i="86" s="1"/>
  <c r="G23" i="86" s="1"/>
  <c r="G22" i="86" s="1"/>
  <c r="G21" i="86" s="1"/>
  <c r="G20" i="86" s="1"/>
  <c r="G19" i="86" s="1"/>
  <c r="G18" i="86" s="1"/>
  <c r="G17" i="86" s="1"/>
  <c r="G16" i="86" s="1"/>
  <c r="G15" i="86" s="1"/>
  <c r="G14" i="86" s="1"/>
  <c r="G13" i="86" s="1"/>
  <c r="G12" i="86" s="1"/>
  <c r="G11" i="86" s="1"/>
  <c r="G10" i="86" s="1"/>
  <c r="G9" i="86" s="1"/>
  <c r="G8" i="86" s="1"/>
  <c r="G7" i="86" s="1"/>
  <c r="G6" i="86" s="1"/>
  <c r="G5" i="86" s="1"/>
  <c r="N103" i="86"/>
  <c r="O53" i="86"/>
  <c r="Y106" i="86" l="1"/>
  <c r="AF106" i="86" s="1"/>
  <c r="C400" i="66"/>
  <c r="AJ105" i="86"/>
  <c r="AK105" i="86"/>
  <c r="AI105" i="86"/>
  <c r="AH105" i="86"/>
  <c r="AG105" i="86"/>
  <c r="AM212" i="86"/>
  <c r="O52" i="86"/>
  <c r="N102" i="86"/>
  <c r="K102" i="86"/>
  <c r="Y105" i="86" l="1"/>
  <c r="AF105" i="86" s="1"/>
  <c r="C401" i="66"/>
  <c r="AI104" i="86"/>
  <c r="AJ104" i="86"/>
  <c r="AH104" i="86"/>
  <c r="AK104" i="86"/>
  <c r="AG104" i="86"/>
  <c r="AM213" i="86"/>
  <c r="K101" i="86"/>
  <c r="O51" i="86"/>
  <c r="N101" i="86"/>
  <c r="Y104" i="86" l="1"/>
  <c r="AF104" i="86" s="1"/>
  <c r="C402" i="66"/>
  <c r="AH103" i="86"/>
  <c r="AJ103" i="86"/>
  <c r="AK103" i="86"/>
  <c r="AI103" i="86"/>
  <c r="AG103" i="86"/>
  <c r="AM214" i="86"/>
  <c r="N100" i="86"/>
  <c r="K100" i="86"/>
  <c r="O50" i="86"/>
  <c r="Y103" i="86" l="1"/>
  <c r="AF103" i="86" s="1"/>
  <c r="C403" i="66"/>
  <c r="AI102" i="86"/>
  <c r="AK102" i="86"/>
  <c r="AH102" i="86"/>
  <c r="AJ102" i="86"/>
  <c r="AG102" i="86"/>
  <c r="AM215" i="86"/>
  <c r="O49" i="86"/>
  <c r="N99" i="86"/>
  <c r="K99" i="86"/>
  <c r="Y102" i="86" l="1"/>
  <c r="AF102" i="86" s="1"/>
  <c r="C404" i="66"/>
  <c r="AJ101" i="86"/>
  <c r="AH101" i="86"/>
  <c r="AK101" i="86"/>
  <c r="AG101" i="86"/>
  <c r="AI101" i="86"/>
  <c r="AM216" i="86"/>
  <c r="K98" i="86"/>
  <c r="O48" i="86"/>
  <c r="N98" i="86"/>
  <c r="Y101" i="86" l="1"/>
  <c r="AF101" i="86" s="1"/>
  <c r="C405" i="66"/>
  <c r="AK100" i="86"/>
  <c r="AH100" i="86"/>
  <c r="AJ100" i="86"/>
  <c r="AG100" i="86"/>
  <c r="AI100" i="86"/>
  <c r="AM217" i="86"/>
  <c r="N97" i="86"/>
  <c r="K97" i="86"/>
  <c r="O47" i="86"/>
  <c r="O46" i="86" s="1"/>
  <c r="O45" i="86" s="1"/>
  <c r="O44" i="86" s="1"/>
  <c r="O43" i="86" s="1"/>
  <c r="O42" i="86" s="1"/>
  <c r="O41" i="86" s="1"/>
  <c r="O40" i="86" s="1"/>
  <c r="O39" i="86" s="1"/>
  <c r="O38" i="86" s="1"/>
  <c r="O37" i="86" s="1"/>
  <c r="O36" i="86" s="1"/>
  <c r="O35" i="86" s="1"/>
  <c r="O34" i="86" s="1"/>
  <c r="O33" i="86" s="1"/>
  <c r="Y100" i="86" l="1"/>
  <c r="AF100" i="86" s="1"/>
  <c r="C406" i="66"/>
  <c r="AI99" i="86"/>
  <c r="AG99" i="86"/>
  <c r="AK99" i="86"/>
  <c r="AH99" i="86"/>
  <c r="AJ99" i="86"/>
  <c r="AM218" i="86"/>
  <c r="O32" i="86"/>
  <c r="K96" i="86"/>
  <c r="N96" i="86"/>
  <c r="Y99" i="86" l="1"/>
  <c r="AF99" i="86" s="1"/>
  <c r="C407" i="66"/>
  <c r="AJ98" i="86"/>
  <c r="AH98" i="86"/>
  <c r="AG98" i="86"/>
  <c r="AK98" i="86"/>
  <c r="AI98" i="86"/>
  <c r="AM219" i="86"/>
  <c r="N95" i="86"/>
  <c r="O31" i="86"/>
  <c r="O30" i="86" s="1"/>
  <c r="K95" i="86"/>
  <c r="Y98" i="86" l="1"/>
  <c r="AF98" i="86" s="1"/>
  <c r="C408" i="66"/>
  <c r="AI97" i="86"/>
  <c r="AG97" i="86"/>
  <c r="AK97" i="86"/>
  <c r="AH97" i="86"/>
  <c r="AJ97" i="86"/>
  <c r="AM220" i="86"/>
  <c r="K94" i="86"/>
  <c r="N94" i="86"/>
  <c r="O29" i="86"/>
  <c r="Y97" i="86" l="1"/>
  <c r="AF97" i="86" s="1"/>
  <c r="C409" i="66"/>
  <c r="AG96" i="86"/>
  <c r="AH96" i="86"/>
  <c r="AK96" i="86"/>
  <c r="AJ96" i="86"/>
  <c r="AI96" i="86"/>
  <c r="AM221" i="86"/>
  <c r="O28" i="86"/>
  <c r="K93" i="86"/>
  <c r="N93" i="86"/>
  <c r="Y96" i="86" l="1"/>
  <c r="AF96" i="86" s="1"/>
  <c r="C410" i="66"/>
  <c r="AK95" i="86"/>
  <c r="AH95" i="86"/>
  <c r="AJ95" i="86"/>
  <c r="AG95" i="86"/>
  <c r="AI95" i="86"/>
  <c r="AM222" i="86"/>
  <c r="N92" i="86"/>
  <c r="K92" i="86"/>
  <c r="Y95" i="86" l="1"/>
  <c r="AF95" i="86" s="1"/>
  <c r="C411" i="66"/>
  <c r="AG94" i="86"/>
  <c r="AJ94" i="86"/>
  <c r="AH94" i="86"/>
  <c r="AK94" i="86"/>
  <c r="AI94" i="86"/>
  <c r="AM223" i="86"/>
  <c r="K91" i="86"/>
  <c r="N91" i="86"/>
  <c r="Y94" i="86" l="1"/>
  <c r="AF94" i="86" s="1"/>
  <c r="C412" i="66"/>
  <c r="AI93" i="86"/>
  <c r="AH93" i="86"/>
  <c r="AJ93" i="86"/>
  <c r="AK93" i="86"/>
  <c r="AG93" i="86"/>
  <c r="AM224" i="86"/>
  <c r="N90" i="86"/>
  <c r="K90" i="86"/>
  <c r="Y93" i="86" l="1"/>
  <c r="AF93" i="86" s="1"/>
  <c r="C413" i="66"/>
  <c r="AG92" i="86"/>
  <c r="AJ92" i="86"/>
  <c r="AK92" i="86"/>
  <c r="AH92" i="86"/>
  <c r="AI92" i="86"/>
  <c r="AM225" i="86"/>
  <c r="K89" i="86"/>
  <c r="N89" i="86"/>
  <c r="Y92" i="86" l="1"/>
  <c r="AF92" i="86" s="1"/>
  <c r="C414" i="66"/>
  <c r="AH91" i="86"/>
  <c r="AJ91" i="86"/>
  <c r="AK91" i="86"/>
  <c r="AI91" i="86"/>
  <c r="AG91" i="86"/>
  <c r="AM226" i="86"/>
  <c r="N88" i="86"/>
  <c r="K88" i="86"/>
  <c r="Y91" i="86" l="1"/>
  <c r="AF91" i="86" s="1"/>
  <c r="C415" i="66"/>
  <c r="AG90" i="86"/>
  <c r="AK90" i="86"/>
  <c r="AJ90" i="86"/>
  <c r="AI90" i="86"/>
  <c r="AH90" i="86"/>
  <c r="AM227" i="86"/>
  <c r="K87" i="86"/>
  <c r="N87" i="86"/>
  <c r="Y90" i="86" l="1"/>
  <c r="AF90" i="86" s="1"/>
  <c r="C416" i="66"/>
  <c r="AI89" i="86"/>
  <c r="AG89" i="86"/>
  <c r="AJ89" i="86"/>
  <c r="AH89" i="86"/>
  <c r="AK89" i="86"/>
  <c r="AM228" i="86"/>
  <c r="N86" i="86"/>
  <c r="K86" i="86"/>
  <c r="K85" i="86" s="1"/>
  <c r="K84" i="86" s="1"/>
  <c r="K83" i="86" s="1"/>
  <c r="K82" i="86" s="1"/>
  <c r="K81" i="86" s="1"/>
  <c r="K80" i="86" s="1"/>
  <c r="K79" i="86" s="1"/>
  <c r="K78" i="86" s="1"/>
  <c r="K77" i="86" s="1"/>
  <c r="K76" i="86" s="1"/>
  <c r="K75" i="86" s="1"/>
  <c r="K74" i="86" s="1"/>
  <c r="K73" i="86" s="1"/>
  <c r="K72" i="86" s="1"/>
  <c r="K71" i="86" s="1"/>
  <c r="K70" i="86" s="1"/>
  <c r="K69" i="86" s="1"/>
  <c r="K68" i="86" s="1"/>
  <c r="K67" i="86" s="1"/>
  <c r="K66" i="86" s="1"/>
  <c r="K65" i="86" s="1"/>
  <c r="K64" i="86" s="1"/>
  <c r="K63" i="86" s="1"/>
  <c r="K62" i="86" s="1"/>
  <c r="K61" i="86" s="1"/>
  <c r="K60" i="86" s="1"/>
  <c r="K59" i="86" s="1"/>
  <c r="K58" i="86" s="1"/>
  <c r="K57" i="86" s="1"/>
  <c r="K56" i="86" s="1"/>
  <c r="K55" i="86" s="1"/>
  <c r="K54" i="86" s="1"/>
  <c r="Y89" i="86" l="1"/>
  <c r="AF89" i="86" s="1"/>
  <c r="C417" i="66"/>
  <c r="AH88" i="86"/>
  <c r="AJ88" i="86"/>
  <c r="AG88" i="86"/>
  <c r="AK88" i="86"/>
  <c r="AI88" i="86"/>
  <c r="AM229" i="86"/>
  <c r="K53" i="86"/>
  <c r="K52" i="86" s="1"/>
  <c r="K51" i="86" s="1"/>
  <c r="K50" i="86" s="1"/>
  <c r="K49" i="86" s="1"/>
  <c r="K48" i="86" s="1"/>
  <c r="K47" i="86" s="1"/>
  <c r="K46" i="86" s="1"/>
  <c r="K45" i="86" s="1"/>
  <c r="K44" i="86" s="1"/>
  <c r="K43" i="86" s="1"/>
  <c r="K42" i="86" s="1"/>
  <c r="K41" i="86" s="1"/>
  <c r="K40" i="86" s="1"/>
  <c r="K39" i="86" s="1"/>
  <c r="K38" i="86" s="1"/>
  <c r="K37" i="86" s="1"/>
  <c r="K36" i="86" s="1"/>
  <c r="K35" i="86" s="1"/>
  <c r="K34" i="86" s="1"/>
  <c r="K33" i="86" s="1"/>
  <c r="K32" i="86" s="1"/>
  <c r="N85" i="86"/>
  <c r="Y88" i="86" l="1"/>
  <c r="AF88" i="86" s="1"/>
  <c r="C418" i="66"/>
  <c r="AK87" i="86"/>
  <c r="AG87" i="86"/>
  <c r="AH87" i="86"/>
  <c r="AJ87" i="86"/>
  <c r="AI87" i="86"/>
  <c r="AM230" i="86"/>
  <c r="N84" i="86"/>
  <c r="K31" i="86"/>
  <c r="K30" i="86" s="1"/>
  <c r="K29" i="86" s="1"/>
  <c r="K28" i="86" s="1"/>
  <c r="K27" i="86" s="1"/>
  <c r="K26" i="86" s="1"/>
  <c r="K25" i="86" s="1"/>
  <c r="K24" i="86" s="1"/>
  <c r="K23" i="86" s="1"/>
  <c r="K22" i="86" s="1"/>
  <c r="K21" i="86" s="1"/>
  <c r="K20" i="86" s="1"/>
  <c r="K19" i="86" s="1"/>
  <c r="K18" i="86" s="1"/>
  <c r="K17" i="86" s="1"/>
  <c r="K16" i="86" s="1"/>
  <c r="K15" i="86" s="1"/>
  <c r="K14" i="86" s="1"/>
  <c r="K13" i="86" s="1"/>
  <c r="K12" i="86" s="1"/>
  <c r="K11" i="86" s="1"/>
  <c r="K10" i="86" s="1"/>
  <c r="K9" i="86" s="1"/>
  <c r="K8" i="86" s="1"/>
  <c r="K7" i="86" s="1"/>
  <c r="K6" i="86" s="1"/>
  <c r="K5" i="86" s="1"/>
  <c r="Y87" i="86" l="1"/>
  <c r="AF87" i="86" s="1"/>
  <c r="C419" i="66"/>
  <c r="AI86" i="86"/>
  <c r="AH86" i="86"/>
  <c r="AG86" i="86"/>
  <c r="AK86" i="86"/>
  <c r="AJ86" i="86"/>
  <c r="AM231" i="86"/>
  <c r="N83" i="86"/>
  <c r="Y86" i="86" l="1"/>
  <c r="AF86" i="86" s="1"/>
  <c r="C420" i="66"/>
  <c r="AH85" i="86"/>
  <c r="AJ85" i="86"/>
  <c r="AG85" i="86"/>
  <c r="AK85" i="86"/>
  <c r="AI85" i="86"/>
  <c r="AM232" i="86"/>
  <c r="N82" i="86"/>
  <c r="Y85" i="86" l="1"/>
  <c r="AF85" i="86" s="1"/>
  <c r="C421" i="66"/>
  <c r="AJ84" i="86"/>
  <c r="AH84" i="86"/>
  <c r="AI84" i="86"/>
  <c r="AG84" i="86"/>
  <c r="AK84" i="86"/>
  <c r="AM233" i="86"/>
  <c r="N81" i="86"/>
  <c r="Y84" i="86" l="1"/>
  <c r="AF84" i="86" s="1"/>
  <c r="C422" i="66"/>
  <c r="AK83" i="86"/>
  <c r="AG83" i="86"/>
  <c r="AI83" i="86"/>
  <c r="AH83" i="86"/>
  <c r="AJ83" i="86"/>
  <c r="AM234" i="86"/>
  <c r="N80" i="86"/>
  <c r="Y83" i="86" l="1"/>
  <c r="AF83" i="86" s="1"/>
  <c r="C423" i="66"/>
  <c r="AH82" i="86"/>
  <c r="AG82" i="86"/>
  <c r="AJ82" i="86"/>
  <c r="AI82" i="86"/>
  <c r="AK82" i="86"/>
  <c r="AM235" i="86"/>
  <c r="N79" i="86"/>
  <c r="Y82" i="86" l="1"/>
  <c r="AF82" i="86" s="1"/>
  <c r="C424" i="66"/>
  <c r="AI81" i="86"/>
  <c r="AJ81" i="86"/>
  <c r="AK81" i="86"/>
  <c r="AH81" i="86"/>
  <c r="AG81" i="86"/>
  <c r="AM236" i="86"/>
  <c r="N78" i="86"/>
  <c r="Y81" i="86" l="1"/>
  <c r="AF81" i="86" s="1"/>
  <c r="C425" i="66"/>
  <c r="AH80" i="86"/>
  <c r="AI80" i="86"/>
  <c r="AJ80" i="86"/>
  <c r="AK80" i="86"/>
  <c r="AG80" i="86"/>
  <c r="AM237" i="86"/>
  <c r="N77" i="86"/>
  <c r="Y80" i="86" l="1"/>
  <c r="AF80" i="86" s="1"/>
  <c r="C426" i="66"/>
  <c r="AK79" i="86"/>
  <c r="AG79" i="86"/>
  <c r="AI79" i="86"/>
  <c r="AH79" i="86"/>
  <c r="AJ79" i="86"/>
  <c r="AM238" i="86"/>
  <c r="N76" i="86"/>
  <c r="Y79" i="86" l="1"/>
  <c r="AF79" i="86" s="1"/>
  <c r="C427" i="66"/>
  <c r="AH78" i="86"/>
  <c r="AI78" i="86"/>
  <c r="AG78" i="86"/>
  <c r="AK78" i="86"/>
  <c r="AJ78" i="86"/>
  <c r="AM239" i="86"/>
  <c r="N75" i="86"/>
  <c r="Y78" i="86" l="1"/>
  <c r="AF78" i="86" s="1"/>
  <c r="C428" i="66"/>
  <c r="AK77" i="86"/>
  <c r="AG77" i="86"/>
  <c r="AI77" i="86"/>
  <c r="AJ77" i="86"/>
  <c r="AH77" i="86"/>
  <c r="AM240" i="86"/>
  <c r="N74" i="86"/>
  <c r="N73" i="86" s="1"/>
  <c r="Y77" i="86" l="1"/>
  <c r="AF77" i="86" s="1"/>
  <c r="C429" i="66"/>
  <c r="AI76" i="86"/>
  <c r="AG76" i="86"/>
  <c r="AH76" i="86"/>
  <c r="AJ76" i="86"/>
  <c r="AK76" i="86"/>
  <c r="AM241" i="86"/>
  <c r="N72" i="86"/>
  <c r="N71" i="86" s="1"/>
  <c r="Y76" i="86" l="1"/>
  <c r="AF76" i="86" s="1"/>
  <c r="C430" i="66"/>
  <c r="AI75" i="86"/>
  <c r="AK75" i="86"/>
  <c r="AH75" i="86"/>
  <c r="AG75" i="86"/>
  <c r="AJ75" i="86"/>
  <c r="AM242" i="86"/>
  <c r="N70" i="86"/>
  <c r="Y75" i="86" l="1"/>
  <c r="AF75" i="86" s="1"/>
  <c r="C431" i="66"/>
  <c r="AG74" i="86"/>
  <c r="AK74" i="86"/>
  <c r="AH74" i="86"/>
  <c r="AI74" i="86"/>
  <c r="AJ74" i="86"/>
  <c r="AM243" i="86"/>
  <c r="N69" i="86"/>
  <c r="Y74" i="86" l="1"/>
  <c r="AF74" i="86" s="1"/>
  <c r="C432" i="66"/>
  <c r="AJ73" i="86"/>
  <c r="AH73" i="86"/>
  <c r="AI73" i="86"/>
  <c r="AK73" i="86"/>
  <c r="AG73" i="86"/>
  <c r="AM244" i="86"/>
  <c r="N68" i="86"/>
  <c r="Y73" i="86" l="1"/>
  <c r="AF73" i="86" s="1"/>
  <c r="C433" i="66"/>
  <c r="AI72" i="86"/>
  <c r="AH72" i="86"/>
  <c r="AG72" i="86"/>
  <c r="AK72" i="86"/>
  <c r="AJ72" i="86"/>
  <c r="AM245" i="86"/>
  <c r="N67" i="86"/>
  <c r="Y72" i="86" l="1"/>
  <c r="AF72" i="86" s="1"/>
  <c r="C434" i="66"/>
  <c r="AK71" i="86"/>
  <c r="AG71" i="86"/>
  <c r="AJ71" i="86"/>
  <c r="AI71" i="86"/>
  <c r="AH71" i="86"/>
  <c r="AM246" i="86"/>
  <c r="N66" i="86"/>
  <c r="Y71" i="86" l="1"/>
  <c r="AF71" i="86" s="1"/>
  <c r="C435" i="66"/>
  <c r="AI70" i="86"/>
  <c r="AH70" i="86"/>
  <c r="AK70" i="86"/>
  <c r="AJ70" i="86"/>
  <c r="AG70" i="86"/>
  <c r="AM247" i="86"/>
  <c r="N65" i="86"/>
  <c r="Y70" i="86" l="1"/>
  <c r="AF70" i="86" s="1"/>
  <c r="C436" i="66"/>
  <c r="AI69" i="86"/>
  <c r="AG69" i="86"/>
  <c r="AJ69" i="86"/>
  <c r="AK69" i="86"/>
  <c r="AH69" i="86"/>
  <c r="AM248" i="86"/>
  <c r="N64" i="86"/>
  <c r="Y69" i="86" l="1"/>
  <c r="AF69" i="86" s="1"/>
  <c r="C437" i="66"/>
  <c r="AH68" i="86"/>
  <c r="AK68" i="86"/>
  <c r="AG68" i="86"/>
  <c r="AJ68" i="86"/>
  <c r="AI68" i="86"/>
  <c r="AM249" i="86"/>
  <c r="N63" i="86"/>
  <c r="Y68" i="86" l="1"/>
  <c r="AF68" i="86" s="1"/>
  <c r="C438" i="66"/>
  <c r="AJ67" i="86"/>
  <c r="AG67" i="86"/>
  <c r="AK67" i="86"/>
  <c r="AI67" i="86"/>
  <c r="AH67" i="86"/>
  <c r="AM250" i="86"/>
  <c r="N62" i="86"/>
  <c r="Y67" i="86" l="1"/>
  <c r="AF67" i="86" s="1"/>
  <c r="C439" i="66"/>
  <c r="AG66" i="86"/>
  <c r="AH66" i="86"/>
  <c r="AI66" i="86"/>
  <c r="AK66" i="86"/>
  <c r="AJ66" i="86"/>
  <c r="AM251" i="86"/>
  <c r="N61" i="86"/>
  <c r="Y66" i="86" l="1"/>
  <c r="AF66" i="86" s="1"/>
  <c r="C440" i="66"/>
  <c r="AG65" i="86"/>
  <c r="AH65" i="86"/>
  <c r="AJ65" i="86"/>
  <c r="AK65" i="86"/>
  <c r="AI65" i="86"/>
  <c r="AM252" i="86"/>
  <c r="N60" i="86"/>
  <c r="Y65" i="86" l="1"/>
  <c r="AF65" i="86" s="1"/>
  <c r="C441" i="66"/>
  <c r="AH64" i="86"/>
  <c r="AG64" i="86"/>
  <c r="AJ64" i="86"/>
  <c r="AI64" i="86"/>
  <c r="AK64" i="86"/>
  <c r="AM253" i="86"/>
  <c r="N59" i="86"/>
  <c r="Y64" i="86" l="1"/>
  <c r="AF64" i="86" s="1"/>
  <c r="C442" i="66"/>
  <c r="AJ63" i="86"/>
  <c r="AH63" i="86"/>
  <c r="AG63" i="86"/>
  <c r="AK63" i="86"/>
  <c r="AI63" i="86"/>
  <c r="AM254" i="86"/>
  <c r="N58" i="86"/>
  <c r="Y63" i="86" l="1"/>
  <c r="AF63" i="86" s="1"/>
  <c r="C443" i="66"/>
  <c r="AK62" i="86"/>
  <c r="AJ62" i="86"/>
  <c r="AH62" i="86"/>
  <c r="AG62" i="86"/>
  <c r="AI62" i="86"/>
  <c r="AM255" i="86"/>
  <c r="N57" i="86"/>
  <c r="Y62" i="86" l="1"/>
  <c r="AF62" i="86" s="1"/>
  <c r="C444" i="66"/>
  <c r="AJ61" i="86"/>
  <c r="AG61" i="86"/>
  <c r="AH61" i="86"/>
  <c r="AI61" i="86"/>
  <c r="AK61" i="86"/>
  <c r="AM256" i="86"/>
  <c r="N56" i="86"/>
  <c r="Y61" i="86" l="1"/>
  <c r="AF61" i="86" s="1"/>
  <c r="C445" i="66"/>
  <c r="AH60" i="86"/>
  <c r="AG60" i="86"/>
  <c r="AJ60" i="86"/>
  <c r="AK60" i="86"/>
  <c r="AI60" i="86"/>
  <c r="AM257" i="86"/>
  <c r="N55" i="86"/>
  <c r="Y60" i="86" l="1"/>
  <c r="AF60" i="86" s="1"/>
  <c r="C446" i="66"/>
  <c r="AJ59" i="86"/>
  <c r="AG59" i="86"/>
  <c r="AK59" i="86"/>
  <c r="AI59" i="86"/>
  <c r="AH59" i="86"/>
  <c r="AM258" i="86"/>
  <c r="N54" i="86"/>
  <c r="Y59" i="86" l="1"/>
  <c r="AF59" i="86" s="1"/>
  <c r="C447" i="66"/>
  <c r="AG58" i="86"/>
  <c r="AK58" i="86"/>
  <c r="AH58" i="86"/>
  <c r="AJ58" i="86"/>
  <c r="AI58" i="86"/>
  <c r="AM259" i="86"/>
  <c r="N53" i="86"/>
  <c r="Y58" i="86" l="1"/>
  <c r="AF58" i="86" s="1"/>
  <c r="C448" i="66"/>
  <c r="AJ57" i="86"/>
  <c r="AH57" i="86"/>
  <c r="AK57" i="86"/>
  <c r="AI57" i="86"/>
  <c r="AG57" i="86"/>
  <c r="AM260" i="86"/>
  <c r="N52" i="86"/>
  <c r="Y57" i="86" l="1"/>
  <c r="AF57" i="86" s="1"/>
  <c r="C449" i="66"/>
  <c r="AK56" i="86"/>
  <c r="AH56" i="86"/>
  <c r="AG56" i="86"/>
  <c r="AI56" i="86"/>
  <c r="AJ56" i="86"/>
  <c r="AM261" i="86"/>
  <c r="N51" i="86"/>
  <c r="Y56" i="86" l="1"/>
  <c r="AF56" i="86" s="1"/>
  <c r="C450" i="66"/>
  <c r="AJ55" i="86"/>
  <c r="AH55" i="86"/>
  <c r="AK55" i="86"/>
  <c r="AI55" i="86"/>
  <c r="AG55" i="86"/>
  <c r="AM262" i="86"/>
  <c r="N50" i="86"/>
  <c r="Y55" i="86" l="1"/>
  <c r="AF55" i="86" s="1"/>
  <c r="C451" i="66"/>
  <c r="AG54" i="86"/>
  <c r="AI54" i="86"/>
  <c r="AK54" i="86"/>
  <c r="AJ54" i="86"/>
  <c r="AH54" i="86"/>
  <c r="AM263" i="86"/>
  <c r="N49" i="86"/>
  <c r="Y54" i="86" l="1"/>
  <c r="AF54" i="86" s="1"/>
  <c r="C452" i="66"/>
  <c r="AI53" i="86"/>
  <c r="AK53" i="86"/>
  <c r="AJ53" i="86"/>
  <c r="AH53" i="86"/>
  <c r="AG53" i="86"/>
  <c r="AM264" i="86"/>
  <c r="N48" i="86"/>
  <c r="Y53" i="86" l="1"/>
  <c r="AF53" i="86" s="1"/>
  <c r="C453" i="66"/>
  <c r="AI52" i="86"/>
  <c r="AJ52" i="86"/>
  <c r="AG52" i="86"/>
  <c r="AK52" i="86"/>
  <c r="AH52" i="86"/>
  <c r="AM265" i="86"/>
  <c r="N47" i="86"/>
  <c r="Y52" i="86" l="1"/>
  <c r="AF52" i="86" s="1"/>
  <c r="C454" i="66"/>
  <c r="AK51" i="86"/>
  <c r="AG51" i="86"/>
  <c r="AI51" i="86"/>
  <c r="AJ51" i="86"/>
  <c r="AH51" i="86"/>
  <c r="AM266" i="86"/>
  <c r="N46" i="86"/>
  <c r="Y51" i="86" l="1"/>
  <c r="AF51" i="86" s="1"/>
  <c r="C455" i="66"/>
  <c r="AJ50" i="86"/>
  <c r="AK50" i="86"/>
  <c r="AG50" i="86"/>
  <c r="AH50" i="86"/>
  <c r="AI50" i="86"/>
  <c r="AM267" i="86"/>
  <c r="N45" i="86"/>
  <c r="Y50" i="86" l="1"/>
  <c r="AF50" i="86" s="1"/>
  <c r="C456" i="66"/>
  <c r="AI49" i="86"/>
  <c r="AH49" i="86"/>
  <c r="AG49" i="86"/>
  <c r="AK49" i="86"/>
  <c r="AJ49" i="86"/>
  <c r="AM268" i="86"/>
  <c r="N44" i="86"/>
  <c r="Y49" i="86" l="1"/>
  <c r="AF49" i="86" s="1"/>
  <c r="C457" i="66"/>
  <c r="AG48" i="86"/>
  <c r="AK48" i="86"/>
  <c r="AJ48" i="86"/>
  <c r="AH48" i="86"/>
  <c r="AI48" i="86"/>
  <c r="AM269" i="86"/>
  <c r="N43" i="86"/>
  <c r="Y48" i="86" l="1"/>
  <c r="AF48" i="86" s="1"/>
  <c r="C458" i="66"/>
  <c r="AK47" i="86"/>
  <c r="AH47" i="86"/>
  <c r="AJ47" i="86"/>
  <c r="AI47" i="86"/>
  <c r="AG47" i="86"/>
  <c r="AM270" i="86"/>
  <c r="N42" i="86"/>
  <c r="Y47" i="86" l="1"/>
  <c r="AF47" i="86" s="1"/>
  <c r="C459" i="66"/>
  <c r="AH46" i="86"/>
  <c r="AG46" i="86"/>
  <c r="AI46" i="86"/>
  <c r="AJ46" i="86"/>
  <c r="AK46" i="86"/>
  <c r="AM271" i="86"/>
  <c r="N41" i="86"/>
  <c r="Y46" i="86" l="1"/>
  <c r="AF46" i="86" s="1"/>
  <c r="C460" i="66"/>
  <c r="AK45" i="86"/>
  <c r="AJ45" i="86"/>
  <c r="AI45" i="86"/>
  <c r="AG45" i="86"/>
  <c r="AH45" i="86"/>
  <c r="AM272" i="86"/>
  <c r="N40" i="86"/>
  <c r="Y45" i="86" l="1"/>
  <c r="AF45" i="86" s="1"/>
  <c r="C461" i="66"/>
  <c r="AI44" i="86"/>
  <c r="AK44" i="86"/>
  <c r="AG44" i="86"/>
  <c r="AH44" i="86"/>
  <c r="AJ44" i="86"/>
  <c r="AM273" i="86"/>
  <c r="N39" i="86"/>
  <c r="Y44" i="86" l="1"/>
  <c r="AF44" i="86" s="1"/>
  <c r="C462" i="66"/>
  <c r="AH43" i="86"/>
  <c r="AG43" i="86"/>
  <c r="AK43" i="86"/>
  <c r="AJ43" i="86"/>
  <c r="AI43" i="86"/>
  <c r="AM274" i="86"/>
  <c r="N38" i="86"/>
  <c r="Y43" i="86" l="1"/>
  <c r="AF43" i="86" s="1"/>
  <c r="C463" i="66"/>
  <c r="AK42" i="86"/>
  <c r="AG42" i="86"/>
  <c r="AI42" i="86"/>
  <c r="AH42" i="86"/>
  <c r="AJ42" i="86"/>
  <c r="AM275" i="86"/>
  <c r="N37" i="86"/>
  <c r="N36" i="86" s="1"/>
  <c r="N35" i="86" s="1"/>
  <c r="Y42" i="86" l="1"/>
  <c r="AF42" i="86" s="1"/>
  <c r="C464" i="66"/>
  <c r="AJ41" i="86"/>
  <c r="AH41" i="86"/>
  <c r="AI41" i="86"/>
  <c r="AG41" i="86"/>
  <c r="AK41" i="86"/>
  <c r="AM276" i="86"/>
  <c r="N34" i="86"/>
  <c r="N33" i="86" s="1"/>
  <c r="Y41" i="86" l="1"/>
  <c r="AF41" i="86" s="1"/>
  <c r="C465" i="66"/>
  <c r="AG40" i="86"/>
  <c r="AI40" i="86"/>
  <c r="AH40" i="86"/>
  <c r="AJ40" i="86"/>
  <c r="AK40" i="86"/>
  <c r="AM277" i="86"/>
  <c r="N32" i="86"/>
  <c r="Y40" i="86" l="1"/>
  <c r="AF40" i="86" s="1"/>
  <c r="C466" i="66"/>
  <c r="AJ39" i="86"/>
  <c r="AH39" i="86"/>
  <c r="AI39" i="86"/>
  <c r="AG39" i="86"/>
  <c r="AK39" i="86"/>
  <c r="AM278" i="86"/>
  <c r="N31" i="86"/>
  <c r="N30" i="86" s="1"/>
  <c r="Y39" i="86" l="1"/>
  <c r="AF39" i="86" s="1"/>
  <c r="C467" i="66"/>
  <c r="AG38" i="86"/>
  <c r="AI38" i="86"/>
  <c r="AH38" i="86"/>
  <c r="AK38" i="86"/>
  <c r="AJ38" i="86"/>
  <c r="AM279" i="86"/>
  <c r="N29" i="86"/>
  <c r="Y38" i="86" l="1"/>
  <c r="AF38" i="86" s="1"/>
  <c r="C468" i="66"/>
  <c r="AK37" i="86"/>
  <c r="AH37" i="86"/>
  <c r="AI37" i="86"/>
  <c r="AG37" i="86"/>
  <c r="AJ37" i="86"/>
  <c r="AM280" i="86"/>
  <c r="N28" i="86"/>
  <c r="Y37" i="86" l="1"/>
  <c r="AF37" i="86" s="1"/>
  <c r="C469" i="66"/>
  <c r="AG36" i="86"/>
  <c r="AI36" i="86"/>
  <c r="AH36" i="86"/>
  <c r="AJ36" i="86"/>
  <c r="AK36" i="86"/>
  <c r="AM281" i="86"/>
  <c r="Y36" i="86" l="1"/>
  <c r="AF36" i="86" s="1"/>
  <c r="C470" i="66"/>
  <c r="AJ35" i="86"/>
  <c r="AH35" i="86"/>
  <c r="AI35" i="86"/>
  <c r="AG35" i="86"/>
  <c r="AK35" i="86"/>
  <c r="AM282" i="86"/>
  <c r="Y35" i="86" l="1"/>
  <c r="AF35" i="86" s="1"/>
  <c r="C471" i="66"/>
  <c r="AK34" i="86"/>
  <c r="AG34" i="86"/>
  <c r="AI34" i="86"/>
  <c r="AH34" i="86"/>
  <c r="AJ34" i="86"/>
  <c r="AM283" i="86"/>
  <c r="Y34" i="86" l="1"/>
  <c r="AF34" i="86" s="1"/>
  <c r="C472" i="66"/>
  <c r="AG33" i="86"/>
  <c r="AH33" i="86"/>
  <c r="AI33" i="86"/>
  <c r="AJ33" i="86"/>
  <c r="AK33" i="86"/>
  <c r="AM284" i="86"/>
  <c r="Z31" i="86"/>
  <c r="Z30" i="86" s="1"/>
  <c r="Z29" i="86" s="1"/>
  <c r="Z28" i="86" s="1"/>
  <c r="Z27" i="86" s="1"/>
  <c r="Z26" i="86" s="1"/>
  <c r="Z25" i="86" s="1"/>
  <c r="Z24" i="86" s="1"/>
  <c r="Z23" i="86" s="1"/>
  <c r="Z22" i="86" s="1"/>
  <c r="Z21" i="86" s="1"/>
  <c r="Z20" i="86" s="1"/>
  <c r="Z19" i="86" s="1"/>
  <c r="Z18" i="86" s="1"/>
  <c r="Z17" i="86" s="1"/>
  <c r="Z16" i="86" s="1"/>
  <c r="Z15" i="86" s="1"/>
  <c r="Z14" i="86" s="1"/>
  <c r="Z13" i="86" s="1"/>
  <c r="Z12" i="86" s="1"/>
  <c r="Z11" i="86" s="1"/>
  <c r="Z10" i="86" s="1"/>
  <c r="Z9" i="86" s="1"/>
  <c r="Z8" i="86" s="1"/>
  <c r="Z7" i="86" s="1"/>
  <c r="Z6" i="86" s="1"/>
  <c r="Z5" i="86" s="1"/>
  <c r="AB31" i="86"/>
  <c r="AB30" i="86" s="1"/>
  <c r="AB29" i="86" s="1"/>
  <c r="AB28" i="86" s="1"/>
  <c r="AB27" i="86" s="1"/>
  <c r="AB26" i="86" s="1"/>
  <c r="AB25" i="86" s="1"/>
  <c r="AB24" i="86" s="1"/>
  <c r="AB23" i="86" s="1"/>
  <c r="AB22" i="86" s="1"/>
  <c r="AB21" i="86" s="1"/>
  <c r="AB20" i="86" s="1"/>
  <c r="AB19" i="86" s="1"/>
  <c r="AB18" i="86" s="1"/>
  <c r="AB17" i="86" s="1"/>
  <c r="AB16" i="86" s="1"/>
  <c r="AB15" i="86" s="1"/>
  <c r="AB14" i="86" s="1"/>
  <c r="AB13" i="86" s="1"/>
  <c r="AB12" i="86" s="1"/>
  <c r="AB11" i="86" s="1"/>
  <c r="AB10" i="86" s="1"/>
  <c r="AB9" i="86" s="1"/>
  <c r="AB8" i="86" s="1"/>
  <c r="AB7" i="86" s="1"/>
  <c r="AB6" i="86" s="1"/>
  <c r="AB5" i="86" s="1"/>
  <c r="AC31" i="86"/>
  <c r="AC30" i="86" s="1"/>
  <c r="AC29" i="86" s="1"/>
  <c r="AC28" i="86" s="1"/>
  <c r="AC27" i="86" s="1"/>
  <c r="AC26" i="86" s="1"/>
  <c r="AC25" i="86" s="1"/>
  <c r="AC24" i="86" s="1"/>
  <c r="AC23" i="86" s="1"/>
  <c r="AC22" i="86" s="1"/>
  <c r="AC21" i="86" s="1"/>
  <c r="AC20" i="86" s="1"/>
  <c r="AC19" i="86" s="1"/>
  <c r="AC18" i="86" s="1"/>
  <c r="AC17" i="86" s="1"/>
  <c r="AC16" i="86" s="1"/>
  <c r="AC15" i="86" s="1"/>
  <c r="AC14" i="86" s="1"/>
  <c r="AC13" i="86" s="1"/>
  <c r="AC12" i="86" s="1"/>
  <c r="AC11" i="86" s="1"/>
  <c r="AC10" i="86" s="1"/>
  <c r="AC9" i="86" s="1"/>
  <c r="AC8" i="86" s="1"/>
  <c r="AC7" i="86" s="1"/>
  <c r="AC6" i="86" s="1"/>
  <c r="AC5" i="86" s="1"/>
  <c r="AD31" i="86"/>
  <c r="AD30" i="86" s="1"/>
  <c r="AD29" i="86" s="1"/>
  <c r="AD28" i="86" s="1"/>
  <c r="AD27" i="86" s="1"/>
  <c r="AD26" i="86" s="1"/>
  <c r="AD25" i="86" s="1"/>
  <c r="AD24" i="86" s="1"/>
  <c r="AD23" i="86" s="1"/>
  <c r="AD22" i="86" s="1"/>
  <c r="AD21" i="86" s="1"/>
  <c r="AD20" i="86" s="1"/>
  <c r="AD19" i="86" s="1"/>
  <c r="AD18" i="86" s="1"/>
  <c r="AD17" i="86" s="1"/>
  <c r="AD16" i="86" s="1"/>
  <c r="AD15" i="86" s="1"/>
  <c r="AD14" i="86" s="1"/>
  <c r="AD13" i="86" s="1"/>
  <c r="AD12" i="86" s="1"/>
  <c r="AD11" i="86" s="1"/>
  <c r="AD10" i="86" s="1"/>
  <c r="AD9" i="86" s="1"/>
  <c r="AD8" i="86" s="1"/>
  <c r="AD7" i="86" s="1"/>
  <c r="AD6" i="86" s="1"/>
  <c r="AD5" i="86" s="1"/>
  <c r="AA31" i="86"/>
  <c r="AA30" i="86" s="1"/>
  <c r="AA29" i="86" s="1"/>
  <c r="AA28" i="86" s="1"/>
  <c r="AA27" i="86" s="1"/>
  <c r="AA26" i="86" s="1"/>
  <c r="AA25" i="86" s="1"/>
  <c r="AA24" i="86" s="1"/>
  <c r="AA23" i="86" s="1"/>
  <c r="AA22" i="86" s="1"/>
  <c r="AA21" i="86" s="1"/>
  <c r="AA20" i="86" s="1"/>
  <c r="AA19" i="86" s="1"/>
  <c r="AA18" i="86" s="1"/>
  <c r="AA17" i="86" s="1"/>
  <c r="AA16" i="86" s="1"/>
  <c r="AA15" i="86" s="1"/>
  <c r="AA14" i="86" s="1"/>
  <c r="AA13" i="86" s="1"/>
  <c r="AA12" i="86" s="1"/>
  <c r="AA11" i="86" s="1"/>
  <c r="AA10" i="86" s="1"/>
  <c r="AA9" i="86" s="1"/>
  <c r="AA8" i="86" s="1"/>
  <c r="AA7" i="86" s="1"/>
  <c r="AA6" i="86" s="1"/>
  <c r="AA5" i="86" s="1"/>
  <c r="Y33" i="86" l="1"/>
  <c r="AF33" i="86" s="1"/>
  <c r="C473" i="66"/>
  <c r="AI32" i="86"/>
  <c r="AH32" i="86"/>
  <c r="AG32" i="86"/>
  <c r="AK32" i="86"/>
  <c r="AJ32" i="86"/>
  <c r="AM285" i="86"/>
  <c r="Y32" i="86" l="1"/>
  <c r="AF32" i="86" s="1"/>
  <c r="C474" i="66"/>
  <c r="AG31" i="86"/>
  <c r="AH31" i="86"/>
  <c r="AK31" i="86"/>
  <c r="AJ31" i="86"/>
  <c r="AI31" i="86"/>
  <c r="AM286" i="86"/>
  <c r="Y31" i="86" l="1"/>
  <c r="AF31" i="86" s="1"/>
  <c r="C475" i="66"/>
  <c r="AK30" i="86"/>
  <c r="AJ30" i="86"/>
  <c r="AH30" i="86"/>
  <c r="AI30" i="86"/>
  <c r="AG30" i="86"/>
  <c r="AM287" i="86"/>
  <c r="Y30" i="86" l="1"/>
  <c r="AF30" i="86" s="1"/>
  <c r="C476" i="66"/>
  <c r="AH29" i="86"/>
  <c r="AK29" i="86"/>
  <c r="AJ29" i="86"/>
  <c r="AG29" i="86"/>
  <c r="AI29" i="86"/>
  <c r="AM288" i="86"/>
  <c r="N27" i="86"/>
  <c r="O27" i="86"/>
  <c r="Y29" i="86" l="1"/>
  <c r="AF29" i="86" s="1"/>
  <c r="C477" i="66"/>
  <c r="AG28" i="86"/>
  <c r="AJ28" i="86"/>
  <c r="AK28" i="86"/>
  <c r="AH28" i="86"/>
  <c r="AI28" i="86"/>
  <c r="AM289" i="86"/>
  <c r="O26" i="86"/>
  <c r="N26" i="86"/>
  <c r="Y28" i="86" l="1"/>
  <c r="AF28" i="86" s="1"/>
  <c r="C478" i="66"/>
  <c r="AH27" i="86"/>
  <c r="AK27" i="86"/>
  <c r="AJ27" i="86"/>
  <c r="AI27" i="86"/>
  <c r="AG27" i="86"/>
  <c r="AM290" i="86"/>
  <c r="N25" i="86"/>
  <c r="O25" i="86"/>
  <c r="Y27" i="86" l="1"/>
  <c r="AF27" i="86" s="1"/>
  <c r="C479" i="66"/>
  <c r="AH26" i="86"/>
  <c r="AG26" i="86"/>
  <c r="AI26" i="86"/>
  <c r="AJ26" i="86"/>
  <c r="AK26" i="86"/>
  <c r="AM291" i="86"/>
  <c r="O24" i="86"/>
  <c r="O23" i="86" s="1"/>
  <c r="N24" i="86"/>
  <c r="N23" i="86" s="1"/>
  <c r="Y26" i="86" l="1"/>
  <c r="AF26" i="86" s="1"/>
  <c r="C480" i="66"/>
  <c r="AJ25" i="86"/>
  <c r="AI25" i="86"/>
  <c r="AG25" i="86"/>
  <c r="AH25" i="86"/>
  <c r="AK25" i="86"/>
  <c r="AM292" i="86"/>
  <c r="N22" i="86"/>
  <c r="N21" i="86" s="1"/>
  <c r="O22" i="86"/>
  <c r="O21" i="86" s="1"/>
  <c r="O20" i="86" s="1"/>
  <c r="O19" i="86" s="1"/>
  <c r="O18" i="86" s="1"/>
  <c r="O17" i="86" s="1"/>
  <c r="O16" i="86" s="1"/>
  <c r="O15" i="86" s="1"/>
  <c r="O14" i="86" s="1"/>
  <c r="O13" i="86" s="1"/>
  <c r="O12" i="86" s="1"/>
  <c r="O11" i="86" s="1"/>
  <c r="O10" i="86" s="1"/>
  <c r="O9" i="86" s="1"/>
  <c r="O8" i="86" s="1"/>
  <c r="O7" i="86" s="1"/>
  <c r="O6" i="86" s="1"/>
  <c r="O5" i="86" s="1"/>
  <c r="Y25" i="86" l="1"/>
  <c r="AF25" i="86" s="1"/>
  <c r="C481" i="66"/>
  <c r="AJ24" i="86"/>
  <c r="AH24" i="86"/>
  <c r="AG24" i="86"/>
  <c r="AI24" i="86"/>
  <c r="AK24" i="86"/>
  <c r="AM293" i="86"/>
  <c r="N20" i="86"/>
  <c r="Y24" i="86" l="1"/>
  <c r="AF24" i="86" s="1"/>
  <c r="C482" i="66"/>
  <c r="AK23" i="86"/>
  <c r="AI23" i="86"/>
  <c r="AG23" i="86"/>
  <c r="AH23" i="86"/>
  <c r="AJ23" i="86"/>
  <c r="AM294" i="86"/>
  <c r="N19" i="86"/>
  <c r="Y23" i="86" l="1"/>
  <c r="AF23" i="86" s="1"/>
  <c r="C483" i="66"/>
  <c r="AJ22" i="86"/>
  <c r="AH22" i="86"/>
  <c r="AI22" i="86"/>
  <c r="AG22" i="86"/>
  <c r="AK22" i="86"/>
  <c r="AM295" i="86"/>
  <c r="N18" i="86"/>
  <c r="Y22" i="86" l="1"/>
  <c r="AF22" i="86" s="1"/>
  <c r="C484" i="66"/>
  <c r="AJ21" i="86"/>
  <c r="AH21" i="86"/>
  <c r="AG21" i="86"/>
  <c r="AI21" i="86"/>
  <c r="AK21" i="86"/>
  <c r="AM296" i="86"/>
  <c r="N17" i="86"/>
  <c r="Y21" i="86" l="1"/>
  <c r="AF21" i="86" s="1"/>
  <c r="C485" i="66"/>
  <c r="AK20" i="86"/>
  <c r="AI20" i="86"/>
  <c r="AG20" i="86"/>
  <c r="AJ20" i="86"/>
  <c r="AH20" i="86"/>
  <c r="AM297" i="86"/>
  <c r="N16" i="86"/>
  <c r="Y20" i="86" l="1"/>
  <c r="AF20" i="86" s="1"/>
  <c r="C486" i="66"/>
  <c r="AJ19" i="86"/>
  <c r="AG19" i="86"/>
  <c r="AI19" i="86"/>
  <c r="AH19" i="86"/>
  <c r="AK19" i="86"/>
  <c r="AM298" i="86"/>
  <c r="N15" i="86"/>
  <c r="Y19" i="86" l="1"/>
  <c r="AF19" i="86" s="1"/>
  <c r="C487" i="66"/>
  <c r="AI18" i="86"/>
  <c r="AH18" i="86"/>
  <c r="AG18" i="86"/>
  <c r="AJ18" i="86"/>
  <c r="AK18" i="86"/>
  <c r="AM299" i="86"/>
  <c r="N14" i="86"/>
  <c r="Y18" i="86" l="1"/>
  <c r="AF18" i="86" s="1"/>
  <c r="C488" i="66"/>
  <c r="AJ17" i="86"/>
  <c r="AG17" i="86"/>
  <c r="AH17" i="86"/>
  <c r="AK17" i="86"/>
  <c r="AI17" i="86"/>
  <c r="AM300" i="86"/>
  <c r="N13" i="86"/>
  <c r="Y17" i="86" l="1"/>
  <c r="AF17" i="86" s="1"/>
  <c r="C489" i="66"/>
  <c r="AH16" i="86"/>
  <c r="AJ16" i="86"/>
  <c r="AI16" i="86"/>
  <c r="AK16" i="86"/>
  <c r="AG16" i="86"/>
  <c r="AM301" i="86"/>
  <c r="N12" i="86"/>
  <c r="N11" i="86" s="1"/>
  <c r="N10" i="86" s="1"/>
  <c r="Y16" i="86" l="1"/>
  <c r="AF16" i="86" s="1"/>
  <c r="C490" i="66"/>
  <c r="AH15" i="86"/>
  <c r="AK15" i="86"/>
  <c r="AI15" i="86"/>
  <c r="AJ15" i="86"/>
  <c r="AG15" i="86"/>
  <c r="AM302" i="86"/>
  <c r="N9" i="86"/>
  <c r="Y15" i="86" l="1"/>
  <c r="AF15" i="86" s="1"/>
  <c r="C491" i="66"/>
  <c r="AI14" i="86"/>
  <c r="AG14" i="86"/>
  <c r="AJ14" i="86"/>
  <c r="AK14" i="86"/>
  <c r="AH14" i="86"/>
  <c r="AM303" i="86"/>
  <c r="N8" i="86"/>
  <c r="Y14" i="86" l="1"/>
  <c r="AF14" i="86" s="1"/>
  <c r="C492" i="66"/>
  <c r="AK13" i="86"/>
  <c r="AJ13" i="86"/>
  <c r="AG13" i="86"/>
  <c r="AH13" i="86"/>
  <c r="AI13" i="86"/>
  <c r="AM304" i="86"/>
  <c r="N7" i="86"/>
  <c r="Y13" i="86" l="1"/>
  <c r="AF13" i="86" s="1"/>
  <c r="C493" i="66"/>
  <c r="AH12" i="86"/>
  <c r="AG12" i="86"/>
  <c r="AJ12" i="86"/>
  <c r="AI12" i="86"/>
  <c r="AK12" i="86"/>
  <c r="AM305" i="86"/>
  <c r="N6" i="86"/>
  <c r="Y12" i="86" l="1"/>
  <c r="AF12" i="86" s="1"/>
  <c r="C494" i="66"/>
  <c r="AG11" i="86"/>
  <c r="AJ11" i="86"/>
  <c r="AK11" i="86"/>
  <c r="AH11" i="86"/>
  <c r="AI11" i="86"/>
  <c r="AM306" i="86"/>
  <c r="N5" i="86"/>
  <c r="Y11" i="86" l="1"/>
  <c r="AF11" i="86" s="1"/>
  <c r="C495" i="66"/>
  <c r="AJ10" i="86"/>
  <c r="AH10" i="86"/>
  <c r="AK10" i="86"/>
  <c r="AG10" i="86"/>
  <c r="AI10" i="86"/>
  <c r="AM307" i="86"/>
  <c r="Y10" i="86" l="1"/>
  <c r="AF10" i="86" s="1"/>
  <c r="C496" i="66"/>
  <c r="AG9" i="86"/>
  <c r="AH9" i="86"/>
  <c r="AK9" i="86"/>
  <c r="AI9" i="86"/>
  <c r="AJ9" i="86"/>
  <c r="AM308" i="86"/>
  <c r="Y9" i="86" l="1"/>
  <c r="AF9" i="86" s="1"/>
  <c r="C497" i="66"/>
  <c r="AK8" i="86"/>
  <c r="AH8" i="86"/>
  <c r="AG8" i="86"/>
  <c r="AJ8" i="86"/>
  <c r="AI8" i="86"/>
  <c r="AM309" i="86"/>
  <c r="Y8" i="86" l="1"/>
  <c r="AF8" i="86" s="1"/>
  <c r="C498" i="66"/>
  <c r="AG7" i="86"/>
  <c r="AJ7" i="86"/>
  <c r="AH7" i="86"/>
  <c r="AK7" i="86"/>
  <c r="AI7" i="86"/>
  <c r="AM310" i="86"/>
  <c r="Y7" i="86" l="1"/>
  <c r="AF7" i="86" s="1"/>
  <c r="C499" i="66"/>
  <c r="AK6" i="86"/>
  <c r="AJ6" i="86"/>
  <c r="AH6" i="86"/>
  <c r="AI6" i="86"/>
  <c r="AG6" i="86"/>
  <c r="AM311" i="86"/>
  <c r="Y6" i="86" l="1"/>
  <c r="AF6" i="86" s="1"/>
  <c r="C500" i="66"/>
  <c r="AJ5" i="86"/>
  <c r="AG5" i="86"/>
  <c r="AH5" i="86"/>
  <c r="AI5" i="86"/>
  <c r="AK5" i="86"/>
  <c r="AM312" i="86"/>
  <c r="Y5" i="86" l="1"/>
  <c r="AF5" i="86" s="1"/>
  <c r="C501" i="66"/>
  <c r="AM313" i="86"/>
  <c r="C502" i="66" l="1"/>
  <c r="AM314" i="86"/>
  <c r="C503" i="66" l="1"/>
  <c r="AM315" i="86"/>
  <c r="C504" i="66" l="1"/>
  <c r="AM316" i="86"/>
  <c r="C505" i="66" l="1"/>
  <c r="AM317" i="86"/>
  <c r="C506" i="66" l="1"/>
  <c r="AM318" i="86"/>
  <c r="C507" i="66" l="1"/>
  <c r="AM319" i="86"/>
  <c r="C508" i="66" l="1"/>
  <c r="AM320" i="86"/>
  <c r="C509" i="66" l="1"/>
  <c r="AM321" i="86"/>
  <c r="C510" i="66" l="1"/>
  <c r="AM322" i="86"/>
  <c r="C511" i="66" l="1"/>
  <c r="AM323" i="86"/>
  <c r="C512" i="66" l="1"/>
  <c r="AM324" i="86"/>
  <c r="C513" i="66" l="1"/>
  <c r="AM325" i="86"/>
  <c r="C514" i="66" l="1"/>
  <c r="AM326" i="86"/>
  <c r="C515" i="66" l="1"/>
  <c r="AM327" i="86"/>
  <c r="C516" i="66" l="1"/>
  <c r="AM328" i="86"/>
  <c r="C517" i="66" l="1"/>
  <c r="AM329" i="86"/>
  <c r="C518" i="66" l="1"/>
  <c r="AM330" i="86"/>
  <c r="C519" i="66" l="1"/>
  <c r="AM331" i="86"/>
  <c r="C520" i="66" l="1"/>
  <c r="AM332" i="86"/>
  <c r="C521" i="66" l="1"/>
  <c r="AM333" i="86"/>
  <c r="C522" i="66" l="1"/>
  <c r="AM334" i="86"/>
  <c r="C523" i="66" l="1"/>
  <c r="AM335" i="86"/>
  <c r="C524" i="66" l="1"/>
  <c r="AM336" i="86"/>
  <c r="C525" i="66" l="1"/>
  <c r="AM337" i="86"/>
  <c r="C526" i="66" l="1"/>
  <c r="AM338" i="86"/>
  <c r="C527" i="66" l="1"/>
  <c r="AM339" i="86"/>
  <c r="C528" i="66" l="1"/>
  <c r="AM340" i="86"/>
  <c r="C529" i="66" l="1"/>
  <c r="AM341" i="86"/>
  <c r="C530" i="66" l="1"/>
  <c r="AM342" i="86"/>
  <c r="C531" i="66" l="1"/>
  <c r="AM343" i="86"/>
  <c r="C532" i="66" l="1"/>
  <c r="AM344" i="86"/>
  <c r="C533" i="66" l="1"/>
  <c r="AM345" i="86"/>
  <c r="C534" i="66" l="1"/>
  <c r="AM346" i="86"/>
  <c r="C535" i="66" l="1"/>
  <c r="AM347" i="86"/>
  <c r="C536" i="66" l="1"/>
  <c r="AM348" i="86"/>
  <c r="C537" i="66" l="1"/>
  <c r="AM349" i="86"/>
  <c r="C538" i="66" l="1"/>
  <c r="AM350" i="86"/>
  <c r="C539" i="66" l="1"/>
  <c r="AM351" i="86"/>
  <c r="C540" i="66" l="1"/>
  <c r="AM352" i="86"/>
  <c r="C541" i="66" l="1"/>
  <c r="AM353" i="86"/>
  <c r="C542" i="66" l="1"/>
  <c r="AM354" i="86"/>
  <c r="C543" i="66" l="1"/>
  <c r="AM355" i="86"/>
  <c r="C544" i="66" l="1"/>
  <c r="AM356" i="86"/>
  <c r="C545" i="66" l="1"/>
  <c r="AM357" i="86"/>
  <c r="C546" i="66" l="1"/>
  <c r="AM358" i="86"/>
  <c r="C547" i="66" l="1"/>
  <c r="AM359" i="86"/>
  <c r="C548" i="66" l="1"/>
  <c r="AM360" i="86"/>
  <c r="C549" i="66" l="1"/>
  <c r="AM361" i="86"/>
  <c r="C550" i="66" l="1"/>
  <c r="AM362" i="86"/>
  <c r="C551" i="66" l="1"/>
  <c r="AM363" i="86"/>
  <c r="C552" i="66" l="1"/>
  <c r="AM364" i="86"/>
  <c r="C553" i="66" l="1"/>
  <c r="AM365" i="86"/>
  <c r="C554" i="66" l="1"/>
  <c r="AM366" i="86"/>
  <c r="C555" i="66" l="1"/>
  <c r="AM367" i="86"/>
  <c r="C556" i="66" l="1"/>
  <c r="AM368" i="86"/>
  <c r="C557" i="66" l="1"/>
  <c r="AM369" i="86"/>
  <c r="C558" i="66" l="1"/>
  <c r="AM370" i="86"/>
  <c r="AM371" i="86" l="1"/>
  <c r="AM372" i="86" l="1"/>
  <c r="AM373" i="86" l="1"/>
  <c r="AM374" i="86" l="1"/>
  <c r="AM375" i="86" l="1"/>
  <c r="AM376" i="86" l="1"/>
  <c r="AM377" i="86" l="1"/>
  <c r="AM378" i="86" l="1"/>
  <c r="AM379" i="86" l="1"/>
  <c r="AM380" i="86" l="1"/>
  <c r="AM381" i="86" l="1"/>
  <c r="AM382" i="86" l="1"/>
  <c r="AM383" i="86" l="1"/>
  <c r="AM384" i="86" l="1"/>
  <c r="AM385" i="86" l="1"/>
  <c r="AM386" i="86" l="1"/>
  <c r="AM387" i="86" l="1"/>
  <c r="AM388" i="86" l="1"/>
  <c r="AM389" i="86" l="1"/>
  <c r="AM390" i="86" l="1"/>
  <c r="AM391" i="86" l="1"/>
  <c r="AM392" i="86" l="1"/>
  <c r="AM393" i="86" l="1"/>
  <c r="AM394" i="86" l="1"/>
  <c r="AM395" i="86" l="1"/>
  <c r="AM396" i="86" l="1"/>
  <c r="AM397" i="86" l="1"/>
  <c r="AM398" i="86" l="1"/>
  <c r="AM399" i="86" l="1"/>
  <c r="AM400" i="86" l="1"/>
  <c r="AM401" i="86" l="1"/>
  <c r="AM402" i="86" l="1"/>
  <c r="AM403" i="86" l="1"/>
  <c r="AM404" i="86" l="1"/>
  <c r="AM405" i="86" l="1"/>
  <c r="AM406" i="86" l="1"/>
  <c r="AM407" i="86" l="1"/>
  <c r="AM408" i="86" l="1"/>
  <c r="AM409" i="86" l="1"/>
  <c r="AM410" i="86" l="1"/>
  <c r="AM411" i="86" l="1"/>
  <c r="AM412" i="86" l="1"/>
  <c r="AM413" i="86" l="1"/>
  <c r="AM414" i="86" l="1"/>
  <c r="AM415" i="86" l="1"/>
  <c r="AM416" i="86" l="1"/>
  <c r="AM417" i="86" l="1"/>
  <c r="AM418" i="86" l="1"/>
  <c r="AM419" i="86" l="1"/>
  <c r="AM420" i="86" l="1"/>
  <c r="AM421" i="86" l="1"/>
  <c r="AM422" i="86" l="1"/>
  <c r="AM423" i="86" l="1"/>
  <c r="AM424" i="86" l="1"/>
  <c r="AM425" i="86" l="1"/>
  <c r="AM426" i="86" l="1"/>
  <c r="AM427" i="86" l="1"/>
  <c r="AM428" i="86" l="1"/>
  <c r="AM429" i="86" l="1"/>
  <c r="AM430" i="86" l="1"/>
  <c r="AM431" i="86" l="1"/>
  <c r="AM432" i="86" l="1"/>
  <c r="AM433" i="86" l="1"/>
  <c r="AM434" i="86" l="1"/>
  <c r="AM435" i="86" l="1"/>
  <c r="AM436" i="86" l="1"/>
  <c r="AM437" i="86" l="1"/>
  <c r="AM438" i="86" l="1"/>
  <c r="AM439" i="86" l="1"/>
  <c r="AM440" i="86" l="1"/>
  <c r="AM441" i="86" l="1"/>
  <c r="AM442" i="86" l="1"/>
  <c r="AM443" i="86" l="1"/>
  <c r="AM444" i="86" l="1"/>
  <c r="AM445" i="86" l="1"/>
  <c r="AM446" i="86" l="1"/>
  <c r="AM447" i="86" l="1"/>
  <c r="AM448" i="86" l="1"/>
  <c r="AM449" i="86" l="1"/>
  <c r="AM450" i="86" l="1"/>
  <c r="AM451" i="86" l="1"/>
  <c r="AM452" i="86" l="1"/>
  <c r="AM453" i="86" l="1"/>
  <c r="AM454" i="86" l="1"/>
  <c r="AM455" i="86" l="1"/>
  <c r="AM456" i="86" l="1"/>
  <c r="AM457" i="86" l="1"/>
  <c r="AM458" i="86" l="1"/>
  <c r="AM459" i="86" l="1"/>
  <c r="AM460" i="86" l="1"/>
  <c r="AM461" i="86" l="1"/>
  <c r="AM462" i="86" l="1"/>
  <c r="AM463" i="86" l="1"/>
  <c r="AM464" i="86" l="1"/>
  <c r="AM465" i="86" l="1"/>
  <c r="AM466" i="86" l="1"/>
  <c r="AM467" i="86" l="1"/>
  <c r="AM468" i="86" l="1"/>
  <c r="AM469" i="86" l="1"/>
  <c r="AM470" i="86" l="1"/>
  <c r="AM471" i="86" l="1"/>
  <c r="AM472" i="86" l="1"/>
  <c r="AM473" i="86" l="1"/>
  <c r="AM474" i="86" l="1"/>
  <c r="AM475" i="86" l="1"/>
  <c r="AM476" i="86" l="1"/>
  <c r="AM477" i="86" l="1"/>
  <c r="AM478" i="86" l="1"/>
  <c r="AM479" i="86" l="1"/>
  <c r="AM480" i="86" l="1"/>
  <c r="AM481" i="86" l="1"/>
  <c r="AM482" i="86" l="1"/>
  <c r="AM483" i="86" l="1"/>
  <c r="AM484" i="86" l="1"/>
  <c r="AM485" i="86" l="1"/>
  <c r="AM486" i="86" l="1"/>
  <c r="AM487" i="86" l="1"/>
  <c r="AM488" i="86" l="1"/>
  <c r="AM489" i="86" l="1"/>
  <c r="AM490" i="86" l="1"/>
  <c r="AM491" i="86" l="1"/>
  <c r="AM492" i="86" l="1"/>
  <c r="AM493" i="86" l="1"/>
  <c r="AM494" i="86" l="1"/>
  <c r="AM495" i="86" l="1"/>
  <c r="AM496" i="86" l="1"/>
  <c r="AM497" i="86" l="1"/>
  <c r="AM498" i="86" l="1"/>
  <c r="AM499" i="86" l="1"/>
  <c r="AM500" i="86" l="1"/>
  <c r="AM501" i="86" l="1"/>
  <c r="AM502" i="86" l="1"/>
  <c r="AM503" i="86" l="1"/>
  <c r="AM504" i="86" l="1"/>
  <c r="AM505" i="86" l="1"/>
  <c r="AM506" i="86" l="1"/>
  <c r="AM507" i="86" l="1"/>
  <c r="AM508" i="86" l="1"/>
  <c r="AM509" i="86" l="1"/>
  <c r="AM510" i="86" l="1"/>
  <c r="AM511" i="86" l="1"/>
  <c r="AM512" i="86" l="1"/>
  <c r="AM513" i="86" l="1"/>
  <c r="AM514" i="86" l="1"/>
  <c r="AM515" i="86" l="1"/>
  <c r="AM516" i="86" l="1"/>
  <c r="AM517" i="86" l="1"/>
  <c r="AM518" i="86" l="1"/>
  <c r="AM519" i="86" l="1"/>
  <c r="AM520" i="86" l="1"/>
  <c r="AM521" i="86" l="1"/>
  <c r="AM522" i="86" l="1"/>
  <c r="AM523" i="86" l="1"/>
  <c r="AM524" i="86" l="1"/>
  <c r="AM525" i="86" l="1"/>
  <c r="AM526" i="86" l="1"/>
  <c r="AM527" i="86" l="1"/>
  <c r="AM528" i="86" l="1"/>
  <c r="AM529" i="86" l="1"/>
  <c r="AM530" i="86" l="1"/>
  <c r="AM531" i="86" l="1"/>
  <c r="AM532" i="86" l="1"/>
  <c r="AM533" i="86" l="1"/>
  <c r="AM534" i="86" l="1"/>
  <c r="AM535" i="86" l="1"/>
  <c r="AM536" i="86" l="1"/>
  <c r="AM537" i="86" l="1"/>
  <c r="AM538" i="86" l="1"/>
  <c r="AM539" i="86" l="1"/>
  <c r="AM540" i="86" l="1"/>
  <c r="AM541" i="86" l="1"/>
  <c r="AM542" i="86" l="1"/>
  <c r="AM543" i="86" l="1"/>
  <c r="AM544" i="86" l="1"/>
  <c r="AM545" i="86" l="1"/>
  <c r="AM546" i="86" l="1"/>
  <c r="AM547" i="86" l="1"/>
  <c r="AM548" i="86" l="1"/>
  <c r="AM549" i="86" l="1"/>
  <c r="AM550" i="86" l="1"/>
  <c r="AM551" i="86" l="1"/>
  <c r="AM552" i="86" l="1"/>
  <c r="AM553" i="86" l="1"/>
  <c r="AM554" i="86" l="1"/>
  <c r="AM555" i="86" l="1"/>
  <c r="AM556" i="86" l="1"/>
  <c r="AM557" i="86" l="1"/>
  <c r="AM558" i="86" l="1"/>
  <c r="AM559" i="86" l="1"/>
  <c r="AM560" i="86" l="1"/>
  <c r="AM561" i="86" l="1"/>
  <c r="AM562" i="86" l="1"/>
  <c r="AM563" i="86" l="1"/>
  <c r="AM564" i="86" l="1"/>
  <c r="AM565" i="86" l="1"/>
  <c r="AM566" i="86" l="1"/>
  <c r="AM567" i="86" l="1"/>
  <c r="AM568" i="86" l="1"/>
  <c r="AM569" i="86" l="1"/>
  <c r="AM570" i="86" l="1"/>
  <c r="AM571" i="86" l="1"/>
  <c r="AM572" i="86" l="1"/>
  <c r="AM573" i="86" l="1"/>
  <c r="AM574" i="86" l="1"/>
  <c r="AM575" i="86" l="1"/>
  <c r="AM576" i="86" l="1"/>
  <c r="AM577" i="86" l="1"/>
  <c r="AM578" i="86" l="1"/>
  <c r="AM579" i="86" l="1"/>
  <c r="AM580" i="86" l="1"/>
  <c r="AM581" i="86" l="1"/>
  <c r="AM582" i="86" l="1"/>
  <c r="AM583" i="86" l="1"/>
  <c r="AM584" i="86" l="1"/>
  <c r="AM585" i="86" l="1"/>
  <c r="AM586" i="86" l="1"/>
  <c r="AM587" i="86" l="1"/>
  <c r="AM588" i="86" l="1"/>
  <c r="AM589" i="86" l="1"/>
  <c r="AM590" i="86" l="1"/>
  <c r="AM591" i="86" l="1"/>
  <c r="AM592" i="86" l="1"/>
  <c r="AM593" i="86" l="1"/>
  <c r="AM594" i="86" l="1"/>
  <c r="AM595" i="86" l="1"/>
  <c r="AM596" i="86" l="1"/>
  <c r="AM597" i="86" l="1"/>
  <c r="AM598" i="86" l="1"/>
  <c r="AM599" i="86" l="1"/>
  <c r="AM600" i="86" l="1"/>
  <c r="AM601" i="86" l="1"/>
  <c r="AM602" i="86" l="1"/>
  <c r="AM603" i="86" l="1"/>
  <c r="AM604" i="86" l="1"/>
  <c r="AM605" i="86" l="1"/>
  <c r="AM606" i="86" l="1"/>
  <c r="AM607" i="86" l="1"/>
  <c r="AM608" i="86" l="1"/>
  <c r="AM609" i="86" l="1"/>
  <c r="AM610" i="86" l="1"/>
  <c r="AM611" i="86" l="1"/>
  <c r="AM612" i="86" l="1"/>
  <c r="AM613" i="86" l="1"/>
  <c r="AM614" i="86" l="1"/>
  <c r="AM615" i="86" l="1"/>
  <c r="AM616" i="86" l="1"/>
  <c r="AM617" i="86" l="1"/>
  <c r="AM618" i="86" l="1"/>
  <c r="AM619" i="86" l="1"/>
  <c r="AM620" i="86" l="1"/>
  <c r="AM621" i="86" l="1"/>
  <c r="AM622" i="86" l="1"/>
  <c r="AM623" i="86" l="1"/>
  <c r="AM624" i="86" l="1"/>
  <c r="AM625" i="86" l="1"/>
  <c r="AM626" i="86" l="1"/>
  <c r="AM627" i="86" l="1"/>
  <c r="AM628" i="86" l="1"/>
  <c r="AM629" i="86" l="1"/>
  <c r="AM630" i="86" l="1"/>
  <c r="AM631" i="86" l="1"/>
  <c r="AM632" i="86" l="1"/>
  <c r="AM633" i="86" l="1"/>
  <c r="AM634" i="86" l="1"/>
  <c r="AM635" i="86" l="1"/>
  <c r="AM636" i="86" l="1"/>
  <c r="AM637" i="86" l="1"/>
  <c r="AM638" i="86" l="1"/>
  <c r="AM639" i="86" l="1"/>
  <c r="AM640" i="86" l="1"/>
  <c r="AM641" i="86" l="1"/>
  <c r="AM642" i="86" l="1"/>
  <c r="AM643" i="86" l="1"/>
  <c r="AM644" i="86" l="1"/>
  <c r="AM645" i="86" l="1"/>
  <c r="AM646" i="86" l="1"/>
  <c r="AM647" i="86" l="1"/>
  <c r="AM648" i="86" l="1"/>
  <c r="AM649" i="86" l="1"/>
  <c r="AM650" i="86" l="1"/>
  <c r="AM651" i="86" l="1"/>
  <c r="AM652" i="86" l="1"/>
  <c r="AM653" i="86" l="1"/>
  <c r="AM654" i="86" l="1"/>
  <c r="AM655" i="86" l="1"/>
  <c r="AM656" i="86" l="1"/>
  <c r="AM657" i="86" l="1"/>
  <c r="AM658" i="86" l="1"/>
  <c r="AM659" i="86" l="1"/>
  <c r="AM660" i="86" l="1"/>
  <c r="AM661" i="86" l="1"/>
  <c r="AM662" i="86" l="1"/>
  <c r="AM663" i="86" l="1"/>
  <c r="AM664" i="86" l="1"/>
  <c r="AM665" i="86" l="1"/>
  <c r="AM666" i="86" l="1"/>
  <c r="AM667" i="86" l="1"/>
  <c r="AM668" i="86" l="1"/>
  <c r="AM669" i="86" l="1"/>
  <c r="AM670" i="86" l="1"/>
  <c r="AM671" i="86" l="1"/>
  <c r="AM672" i="86" l="1"/>
  <c r="AM673" i="86" l="1"/>
  <c r="AM674" i="86" l="1"/>
  <c r="AM675" i="86" l="1"/>
  <c r="AM676" i="86" l="1"/>
  <c r="AM677" i="86" l="1"/>
  <c r="AM678" i="86" l="1"/>
  <c r="AM679" i="86" l="1"/>
  <c r="AM680" i="86" l="1"/>
  <c r="AM681" i="86" l="1"/>
  <c r="AM682" i="86" l="1"/>
  <c r="AM683" i="86" l="1"/>
  <c r="AM684" i="86" l="1"/>
  <c r="AM685" i="86" l="1"/>
  <c r="AM686" i="86" l="1"/>
  <c r="AM687" i="86" l="1"/>
  <c r="AM688" i="86" l="1"/>
  <c r="AM689" i="86" l="1"/>
  <c r="AM690" i="86" l="1"/>
  <c r="AM691" i="86" l="1"/>
  <c r="AM692" i="86" l="1"/>
  <c r="AM693" i="86" l="1"/>
  <c r="AM694" i="86" l="1"/>
  <c r="AM695" i="86" l="1"/>
  <c r="AM696" i="86" l="1"/>
  <c r="AM697" i="86" l="1"/>
  <c r="AM698" i="86" l="1"/>
  <c r="AM699" i="86" l="1"/>
  <c r="AM700" i="86" l="1"/>
  <c r="AM701" i="86" l="1"/>
  <c r="AM702" i="86" l="1"/>
  <c r="AM703" i="86" l="1"/>
  <c r="AM704" i="86" l="1"/>
  <c r="AM705" i="86" l="1"/>
  <c r="AM706" i="86" l="1"/>
  <c r="AM707" i="86" l="1"/>
  <c r="AM708" i="86" l="1"/>
  <c r="AM709" i="86" l="1"/>
  <c r="AM710" i="86" l="1"/>
  <c r="AM711" i="86" l="1"/>
  <c r="AM712" i="86" l="1"/>
  <c r="AM713" i="86" l="1"/>
  <c r="AM714" i="86" l="1"/>
  <c r="AM715" i="86" l="1"/>
  <c r="AM716" i="86" l="1"/>
  <c r="AM717" i="86" l="1"/>
  <c r="AM718" i="86" l="1"/>
  <c r="AM719" i="86" l="1"/>
  <c r="AM720" i="86" l="1"/>
  <c r="AM721" i="86" l="1"/>
  <c r="AM722" i="86" l="1"/>
  <c r="AM723" i="86" l="1"/>
  <c r="AM724" i="86" l="1"/>
  <c r="AM725" i="86" l="1"/>
  <c r="AM726" i="86" l="1"/>
  <c r="AM727" i="86" l="1"/>
  <c r="AM728" i="86" l="1"/>
  <c r="AM729" i="86" l="1"/>
  <c r="AM730" i="86" l="1"/>
  <c r="AM731" i="86" l="1"/>
  <c r="AM732" i="86" l="1"/>
  <c r="AM733" i="86" l="1"/>
  <c r="AM734" i="86" l="1"/>
  <c r="AM735" i="86" l="1"/>
  <c r="AM736" i="86" l="1"/>
  <c r="AM737" i="86" l="1"/>
  <c r="AM738" i="86" l="1"/>
  <c r="AM739" i="86" l="1"/>
  <c r="AM740" i="86" l="1"/>
  <c r="AM741" i="86" l="1"/>
  <c r="AM742" i="86" l="1"/>
  <c r="AM743" i="86" l="1"/>
  <c r="AM744" i="86" l="1"/>
  <c r="AM745" i="86" l="1"/>
  <c r="AM746" i="86" l="1"/>
  <c r="AM747" i="86" l="1"/>
  <c r="AM748" i="86" l="1"/>
  <c r="AM749" i="86" l="1"/>
  <c r="AM750" i="86" l="1"/>
  <c r="AM751" i="86" l="1"/>
  <c r="AM752" i="86" l="1"/>
  <c r="AM753" i="86" l="1"/>
  <c r="AM754" i="86" l="1"/>
  <c r="AM755" i="86" l="1"/>
  <c r="AM756" i="86" l="1"/>
  <c r="AM757" i="86" l="1"/>
  <c r="AM758" i="86" l="1"/>
  <c r="AM759" i="86" l="1"/>
  <c r="AM760" i="86" l="1"/>
  <c r="AM761" i="86" l="1"/>
  <c r="AM762" i="86" l="1"/>
  <c r="AM763" i="86" l="1"/>
  <c r="AM764" i="86" l="1"/>
  <c r="AM765" i="86" l="1"/>
  <c r="AM766" i="86" l="1"/>
  <c r="AM767" i="86" l="1"/>
  <c r="AM768" i="86" l="1"/>
  <c r="AM769" i="86" l="1"/>
  <c r="AM770" i="86" l="1"/>
  <c r="AM771" i="86" l="1"/>
  <c r="AM772" i="86" l="1"/>
  <c r="AM773" i="86" l="1"/>
  <c r="AM774" i="86" l="1"/>
  <c r="AM775" i="86" l="1"/>
  <c r="AM776" i="86" l="1"/>
  <c r="AM777" i="86" l="1"/>
  <c r="AM778" i="86" l="1"/>
  <c r="AM779" i="86" l="1"/>
  <c r="AM780" i="86" l="1"/>
  <c r="AM781" i="86" l="1"/>
  <c r="AM782" i="86" l="1"/>
  <c r="AM783" i="86" l="1"/>
  <c r="AM784" i="86" l="1"/>
  <c r="AM785" i="86" l="1"/>
  <c r="AM786" i="86" l="1"/>
  <c r="AM787" i="86" l="1"/>
  <c r="AM788" i="86" l="1"/>
  <c r="AM789" i="86" l="1"/>
  <c r="AM790" i="86" l="1"/>
  <c r="AM791" i="86" l="1"/>
  <c r="AM792" i="86" l="1"/>
  <c r="AM793" i="86" l="1"/>
  <c r="AM794" i="86" l="1"/>
  <c r="AM795" i="86" l="1"/>
  <c r="AM796" i="86" l="1"/>
  <c r="AM797" i="86" l="1"/>
  <c r="AM798" i="86" l="1"/>
  <c r="AM799" i="86" l="1"/>
  <c r="AM800" i="86" l="1"/>
  <c r="AM801" i="86" l="1"/>
  <c r="AM802" i="86" l="1"/>
  <c r="AM803" i="86" l="1"/>
  <c r="AM804" i="86" l="1"/>
  <c r="AM805" i="86" l="1"/>
  <c r="AM806" i="86" l="1"/>
  <c r="AM807" i="86" l="1"/>
  <c r="AM808" i="86" l="1"/>
  <c r="AM809" i="86" l="1"/>
  <c r="AM810" i="86" l="1"/>
  <c r="AM811" i="86" l="1"/>
  <c r="AM812" i="86" l="1"/>
  <c r="AM813" i="86" l="1"/>
  <c r="AM814" i="86" l="1"/>
  <c r="AM815" i="86" l="1"/>
  <c r="AM816" i="86" l="1"/>
  <c r="AM817" i="86" l="1"/>
  <c r="AM818" i="86" l="1"/>
  <c r="AM819" i="86" l="1"/>
  <c r="AM820" i="86" l="1"/>
  <c r="AM821" i="86" l="1"/>
  <c r="AM822" i="86" l="1"/>
  <c r="AM823" i="86" l="1"/>
  <c r="AM824" i="86" l="1"/>
  <c r="AM825" i="86" l="1"/>
  <c r="AM826" i="86" l="1"/>
  <c r="AM827" i="86" l="1"/>
  <c r="AM828" i="86" l="1"/>
  <c r="AM829" i="86" l="1"/>
  <c r="AM830" i="86" l="1"/>
  <c r="AM831" i="86" l="1"/>
  <c r="AM832" i="86" l="1"/>
  <c r="AM833" i="86" l="1"/>
  <c r="AM834" i="86" l="1"/>
  <c r="AM835" i="86" l="1"/>
  <c r="AM836" i="86" l="1"/>
  <c r="AM837" i="86" l="1"/>
  <c r="AM838" i="86" l="1"/>
  <c r="AM839" i="86" l="1"/>
  <c r="AM840" i="86" l="1"/>
  <c r="AM841" i="86" l="1"/>
  <c r="AM842" i="86" l="1"/>
  <c r="AM843" i="86" l="1"/>
  <c r="AM844" i="86" l="1"/>
  <c r="AM845" i="86" l="1"/>
  <c r="AM846" i="86" l="1"/>
  <c r="AM847" i="86" l="1"/>
  <c r="AM848" i="86" l="1"/>
  <c r="AM849" i="86" l="1"/>
  <c r="AM850" i="86" l="1"/>
  <c r="AM851" i="86" l="1"/>
  <c r="AM852" i="86" l="1"/>
  <c r="AM853" i="86" l="1"/>
  <c r="AM854" i="86" l="1"/>
  <c r="AM855" i="86" l="1"/>
  <c r="AM856" i="86" l="1"/>
  <c r="AM857" i="86" l="1"/>
  <c r="AM858" i="86" l="1"/>
  <c r="AM859" i="86" l="1"/>
  <c r="AM860" i="86" l="1"/>
  <c r="AM861" i="86" l="1"/>
  <c r="AM862" i="86" l="1"/>
  <c r="AM863" i="86" l="1"/>
  <c r="AM864" i="86" l="1"/>
  <c r="AM865" i="86" l="1"/>
  <c r="AM866" i="86" l="1"/>
  <c r="AM867" i="86" l="1"/>
  <c r="AM868" i="86" l="1"/>
  <c r="AM869" i="86" l="1"/>
  <c r="AM870" i="86" l="1"/>
  <c r="AM871" i="86" l="1"/>
  <c r="AM872" i="86" l="1"/>
  <c r="AM873" i="86" l="1"/>
  <c r="AM874" i="86" l="1"/>
  <c r="AM875" i="86" l="1"/>
  <c r="AM876" i="86" l="1"/>
  <c r="AM877" i="86" l="1"/>
  <c r="AM878" i="86" l="1"/>
  <c r="AM879" i="86" l="1"/>
  <c r="AM880" i="86" l="1"/>
  <c r="AM881" i="86" l="1"/>
  <c r="AM882" i="86" l="1"/>
  <c r="AM883" i="86" l="1"/>
  <c r="AM884" i="86" l="1"/>
  <c r="AM885" i="86" l="1"/>
  <c r="AM886" i="86" l="1"/>
  <c r="AM887" i="86" l="1"/>
  <c r="AM888" i="86" l="1"/>
  <c r="AM889" i="86" l="1"/>
  <c r="AM890" i="86" l="1"/>
  <c r="AM891" i="86" l="1"/>
  <c r="AM892" i="86" l="1"/>
  <c r="AM893" i="86" l="1"/>
  <c r="AM894" i="86" l="1"/>
  <c r="AM895" i="86" l="1"/>
  <c r="AM896" i="86" l="1"/>
  <c r="AM897" i="86" l="1"/>
  <c r="AM898" i="86" l="1"/>
  <c r="AM899" i="86" l="1"/>
  <c r="AM900" i="86" l="1"/>
  <c r="AM901" i="86" l="1"/>
  <c r="AM902" i="86" l="1"/>
  <c r="AM903" i="86" l="1"/>
  <c r="AM904" i="86" l="1"/>
  <c r="AM905" i="86" l="1"/>
  <c r="AM906" i="86" l="1"/>
  <c r="AM907" i="86" l="1"/>
  <c r="AM908" i="86" l="1"/>
  <c r="AM909" i="86" l="1"/>
  <c r="AM910" i="86" l="1"/>
  <c r="AM911" i="86" l="1"/>
  <c r="AM912" i="86" l="1"/>
  <c r="AM913" i="86" l="1"/>
  <c r="AM914" i="86" l="1"/>
  <c r="AM915" i="86" l="1"/>
  <c r="AM916" i="86" l="1"/>
  <c r="AM917" i="86" l="1"/>
  <c r="AM918" i="86" l="1"/>
  <c r="AM919" i="86" l="1"/>
  <c r="AM920" i="86" l="1"/>
  <c r="AM921" i="86" l="1"/>
  <c r="AM922" i="86" l="1"/>
  <c r="AM923" i="86" l="1"/>
  <c r="AM924" i="86" l="1"/>
  <c r="AM925" i="86" l="1"/>
  <c r="AM926" i="86" l="1"/>
  <c r="AM927" i="86" l="1"/>
  <c r="AM928" i="86" l="1"/>
  <c r="AM929" i="86" l="1"/>
  <c r="AM930" i="86" l="1"/>
  <c r="AM931" i="86" l="1"/>
  <c r="AM932" i="86" l="1"/>
  <c r="AM933" i="86" l="1"/>
  <c r="AM934" i="86" l="1"/>
  <c r="AM935" i="86" l="1"/>
  <c r="AM936" i="86" l="1"/>
  <c r="AM937" i="86" l="1"/>
  <c r="AM938" i="86" l="1"/>
  <c r="AM939" i="86" l="1"/>
  <c r="AM940" i="86" l="1"/>
  <c r="AM941" i="86" l="1"/>
  <c r="AM942" i="86" l="1"/>
  <c r="AM943" i="86" l="1"/>
  <c r="AM944" i="86" l="1"/>
  <c r="AM945" i="86" l="1"/>
  <c r="AM946" i="86" l="1"/>
  <c r="AM947" i="86" l="1"/>
  <c r="AM948" i="86" l="1"/>
  <c r="AM949" i="86" l="1"/>
  <c r="AM950" i="86" l="1"/>
  <c r="AM951" i="86" l="1"/>
  <c r="AM952" i="86" l="1"/>
  <c r="AM953" i="86" l="1"/>
  <c r="AM954" i="86" l="1"/>
  <c r="AM955" i="86" l="1"/>
  <c r="AM956" i="86" l="1"/>
  <c r="AM957" i="86" l="1"/>
  <c r="AM958" i="86" l="1"/>
  <c r="AM959" i="86" l="1"/>
  <c r="AM960" i="86" l="1"/>
  <c r="AM961" i="86" l="1"/>
  <c r="AM962" i="86" l="1"/>
  <c r="AM963" i="86" l="1"/>
  <c r="AM964" i="86" l="1"/>
  <c r="AM965" i="86" l="1"/>
  <c r="AM966" i="86" l="1"/>
  <c r="AM967" i="86" l="1"/>
  <c r="AM968" i="86" l="1"/>
  <c r="AM969" i="86" l="1"/>
  <c r="AM970" i="86" l="1"/>
  <c r="AM971" i="86" l="1"/>
  <c r="AM972" i="86" l="1"/>
  <c r="AM973" i="86" l="1"/>
  <c r="AM974" i="86" l="1"/>
  <c r="AM975" i="86" l="1"/>
  <c r="AM976" i="86" l="1"/>
  <c r="AM977" i="86" l="1"/>
  <c r="AM978" i="86" l="1"/>
  <c r="AM979" i="86" l="1"/>
  <c r="AM980" i="86" l="1"/>
  <c r="AM981" i="86" l="1"/>
  <c r="AM982" i="86" l="1"/>
  <c r="AM983" i="86" l="1"/>
  <c r="AM984" i="86" l="1"/>
  <c r="AM985" i="86" l="1"/>
  <c r="AM986" i="86" l="1"/>
  <c r="AM987" i="86" l="1"/>
  <c r="AM988" i="86" l="1"/>
  <c r="AM989" i="86" l="1"/>
  <c r="AM990" i="86" l="1"/>
  <c r="AM991" i="86" l="1"/>
  <c r="AM992" i="86" l="1"/>
  <c r="AM993" i="86" l="1"/>
  <c r="AM994" i="86" l="1"/>
  <c r="AM995" i="86" l="1"/>
  <c r="AM996" i="86" l="1"/>
  <c r="AM997" i="86" l="1"/>
  <c r="AM998" i="86" l="1"/>
  <c r="AM999" i="86" l="1"/>
  <c r="AM1000" i="86" l="1"/>
  <c r="AM1001" i="86" l="1"/>
  <c r="AM1002" i="86" l="1"/>
  <c r="AM1003" i="86" l="1"/>
  <c r="AM1004" i="86" l="1"/>
  <c r="AM1005" i="86" l="1"/>
  <c r="AM1006" i="86" l="1"/>
  <c r="AM1007" i="86" l="1"/>
  <c r="AM1008" i="86" l="1"/>
  <c r="AM1009" i="86" l="1"/>
  <c r="AM1010" i="86" l="1"/>
  <c r="AM1011" i="86" l="1"/>
  <c r="AM1012" i="86" l="1"/>
  <c r="AM1013" i="86" l="1"/>
  <c r="AM1014" i="86" l="1"/>
  <c r="AM1015" i="86" l="1"/>
  <c r="AM1016" i="86" l="1"/>
  <c r="AM1017" i="86" l="1"/>
  <c r="AM1018" i="86" l="1"/>
  <c r="AM1019" i="86" l="1"/>
  <c r="AM1020" i="86" l="1"/>
  <c r="AM1021" i="86" l="1"/>
  <c r="AM1022" i="86" l="1"/>
  <c r="AM1023" i="86" l="1"/>
  <c r="AM1024" i="86" l="1"/>
  <c r="AM1025" i="86" l="1"/>
  <c r="AM1026" i="86" l="1"/>
  <c r="AM1027" i="86" l="1"/>
  <c r="AM1028" i="86" l="1"/>
  <c r="AM1029" i="86" l="1"/>
  <c r="AM1030" i="86" l="1"/>
  <c r="AM1031" i="86" l="1"/>
  <c r="AM1032" i="86" l="1"/>
  <c r="AM1033" i="86" l="1"/>
  <c r="AM1034" i="86" l="1"/>
  <c r="AM1035" i="86" l="1"/>
  <c r="AM1036" i="86" l="1"/>
  <c r="AM1037" i="86" l="1"/>
  <c r="AM1038" i="86" l="1"/>
  <c r="AM1039" i="86" l="1"/>
  <c r="AM1040" i="86" l="1"/>
  <c r="AM1041" i="86" l="1"/>
  <c r="AM1042" i="86" l="1"/>
  <c r="AM1043" i="86" l="1"/>
  <c r="AM1044" i="86" l="1"/>
  <c r="AM1045" i="86" l="1"/>
  <c r="AM1046" i="86" l="1"/>
  <c r="AM1047" i="86" l="1"/>
  <c r="AM1048" i="86" l="1"/>
  <c r="AM1049" i="86" l="1"/>
  <c r="AM1050" i="86" l="1"/>
  <c r="AM1051" i="86" l="1"/>
  <c r="D558" i="66" l="1"/>
  <c r="D557" i="66" l="1"/>
  <c r="D556" i="66" l="1"/>
  <c r="D554" i="66" l="1"/>
  <c r="D555" i="66"/>
  <c r="D553" i="66" l="1"/>
  <c r="D552" i="66" l="1"/>
  <c r="D551" i="66" l="1"/>
  <c r="D550" i="66" l="1"/>
  <c r="D549" i="66" l="1"/>
  <c r="D547" i="66" l="1"/>
  <c r="D548" i="66"/>
  <c r="D546" i="66" l="1"/>
  <c r="D545" i="66" l="1"/>
  <c r="D544" i="66" l="1"/>
  <c r="D543" i="66" l="1"/>
  <c r="D542" i="66" l="1"/>
  <c r="D540" i="66" l="1"/>
  <c r="D541" i="66"/>
  <c r="D539" i="66" l="1"/>
  <c r="D538" i="66" l="1"/>
  <c r="D537" i="66" l="1"/>
  <c r="D536" i="66" l="1"/>
  <c r="D535" i="66" l="1"/>
  <c r="D533" i="66" l="1"/>
  <c r="D534" i="66"/>
  <c r="D532" i="66" l="1"/>
  <c r="D531" i="66" l="1"/>
  <c r="D530" i="66" l="1"/>
  <c r="D529" i="66" l="1"/>
  <c r="D528" i="66" l="1"/>
  <c r="D526" i="66" l="1"/>
  <c r="D527" i="66"/>
  <c r="D525" i="66" l="1"/>
  <c r="D524" i="66" l="1"/>
  <c r="D523" i="66" l="1"/>
  <c r="D522" i="66" l="1"/>
  <c r="D521" i="66" l="1"/>
  <c r="D519" i="66" l="1"/>
  <c r="D520" i="66"/>
  <c r="D518" i="66" l="1"/>
  <c r="D517" i="66" l="1"/>
  <c r="D516" i="66" l="1"/>
  <c r="D515" i="66" l="1"/>
  <c r="D514" i="66" l="1"/>
  <c r="D512" i="66" l="1"/>
  <c r="D513" i="66"/>
  <c r="D511" i="66" l="1"/>
  <c r="D510" i="66" l="1"/>
  <c r="D509" i="66" l="1"/>
  <c r="D508" i="66" l="1"/>
  <c r="D507" i="66" l="1"/>
  <c r="D505" i="66" l="1"/>
  <c r="D506" i="66"/>
  <c r="D504" i="66" l="1"/>
  <c r="D503" i="66" l="1"/>
  <c r="D502" i="66" l="1"/>
  <c r="D501" i="66" l="1"/>
  <c r="D500" i="66" l="1"/>
  <c r="D498" i="66" l="1"/>
  <c r="D499" i="66"/>
  <c r="D497" i="66" l="1"/>
  <c r="D496" i="66" l="1"/>
  <c r="D495" i="66" l="1"/>
  <c r="D494" i="66" l="1"/>
  <c r="D493" i="66" l="1"/>
  <c r="D492" i="66" l="1"/>
  <c r="D491" i="66" l="1"/>
  <c r="D490" i="66" l="1"/>
  <c r="D489" i="66" l="1"/>
  <c r="D488" i="66" l="1"/>
  <c r="D487" i="66" l="1"/>
  <c r="D486" i="66" l="1"/>
  <c r="D485" i="66" l="1"/>
  <c r="D484" i="66" l="1"/>
  <c r="D483" i="66" l="1"/>
  <c r="D481" i="66" l="1"/>
  <c r="D482" i="66"/>
  <c r="D480" i="66" l="1"/>
  <c r="D479" i="66" l="1"/>
  <c r="D478" i="66" l="1"/>
  <c r="D477" i="66" l="1"/>
  <c r="D476" i="66" l="1"/>
  <c r="D475" i="66" l="1"/>
  <c r="D474" i="66" l="1"/>
  <c r="D473" i="66" l="1"/>
  <c r="D472" i="66" l="1"/>
  <c r="D471" i="66" l="1"/>
  <c r="D470" i="66" l="1"/>
  <c r="D469" i="66" l="1"/>
  <c r="D468" i="66" l="1"/>
  <c r="D467" i="66" l="1"/>
  <c r="D466" i="66" l="1"/>
  <c r="D465" i="66" l="1"/>
  <c r="D464" i="66" l="1"/>
  <c r="D463" i="66" l="1"/>
  <c r="D462" i="66" l="1"/>
  <c r="D461" i="66" l="1"/>
  <c r="D460" i="66" l="1"/>
  <c r="D459" i="66" l="1"/>
  <c r="D458" i="66" l="1"/>
  <c r="D457" i="66" l="1"/>
  <c r="D456" i="66" l="1"/>
  <c r="D455" i="66" l="1"/>
  <c r="D454" i="66" l="1"/>
  <c r="D453" i="66" l="1"/>
  <c r="D452" i="66" l="1"/>
  <c r="D451" i="66" l="1"/>
  <c r="D450" i="66" l="1"/>
  <c r="D449" i="66" l="1"/>
  <c r="D448" i="66" l="1"/>
  <c r="D447" i="66" l="1"/>
  <c r="D446" i="66" l="1"/>
  <c r="D445" i="66" l="1"/>
  <c r="D444" i="66" l="1"/>
  <c r="D443" i="66" l="1"/>
  <c r="D442" i="66" l="1"/>
  <c r="D441" i="66" l="1"/>
  <c r="D440" i="66" l="1"/>
  <c r="D439" i="66" l="1"/>
  <c r="D438" i="66" l="1"/>
  <c r="D437" i="66" l="1"/>
  <c r="D436" i="66" l="1"/>
  <c r="D435" i="66" l="1"/>
  <c r="D434" i="66" l="1"/>
  <c r="D433" i="66" l="1"/>
  <c r="D432" i="66" l="1"/>
  <c r="D431" i="66" l="1"/>
  <c r="D430" i="66" l="1"/>
  <c r="D429" i="66" l="1"/>
  <c r="D428" i="66" l="1"/>
  <c r="D427" i="66" l="1"/>
  <c r="D426" i="66" l="1"/>
  <c r="D425" i="66" l="1"/>
  <c r="D424" i="66" l="1"/>
  <c r="D423" i="66" l="1"/>
  <c r="D422" i="66" l="1"/>
  <c r="D421" i="66" l="1"/>
  <c r="D420" i="66" l="1"/>
  <c r="D419" i="66" l="1"/>
  <c r="D418" i="66" l="1"/>
  <c r="D417" i="66" l="1"/>
  <c r="D416" i="66" l="1"/>
  <c r="D415" i="66" l="1"/>
  <c r="D414" i="66" l="1"/>
  <c r="D413" i="66" l="1"/>
  <c r="D412" i="66" l="1"/>
  <c r="D411" i="66" l="1"/>
  <c r="D410" i="66" l="1"/>
  <c r="D409" i="66" l="1"/>
  <c r="D408" i="66" l="1"/>
  <c r="D407" i="66" l="1"/>
  <c r="D406" i="66" l="1"/>
  <c r="D405" i="66" l="1"/>
  <c r="D404" i="66" l="1"/>
  <c r="D403" i="66" l="1"/>
  <c r="D402" i="66"/>
  <c r="D401" i="66" l="1"/>
  <c r="D400" i="66" l="1"/>
  <c r="D399" i="66" l="1"/>
  <c r="D398" i="66" l="1"/>
  <c r="D397" i="66" l="1"/>
  <c r="D396" i="66" l="1"/>
  <c r="D395" i="66" l="1"/>
  <c r="D394" i="66" l="1"/>
  <c r="D393" i="66" l="1"/>
  <c r="D392" i="66" l="1"/>
  <c r="D391" i="66" l="1"/>
  <c r="D390" i="66" l="1"/>
  <c r="D389" i="66" l="1"/>
  <c r="D388" i="66" l="1"/>
  <c r="D387" i="66" l="1"/>
  <c r="D386" i="66" l="1"/>
  <c r="D385" i="66" l="1"/>
  <c r="D384" i="66" l="1"/>
  <c r="D383" i="66" l="1"/>
  <c r="D382" i="66" l="1"/>
  <c r="D381" i="66" l="1"/>
  <c r="D380" i="66" l="1"/>
  <c r="D379" i="66" l="1"/>
  <c r="D378" i="66" l="1"/>
  <c r="D377" i="66" l="1"/>
  <c r="D375" i="66" l="1"/>
  <c r="D376" i="66"/>
  <c r="D374" i="66" l="1"/>
  <c r="D373" i="66" l="1"/>
  <c r="D372" i="66" l="1"/>
  <c r="D371" i="66" l="1"/>
  <c r="D370" i="66" l="1"/>
  <c r="D369" i="66" l="1"/>
  <c r="D368" i="66" l="1"/>
  <c r="D367" i="66" l="1"/>
  <c r="D366" i="66" l="1"/>
  <c r="D365" i="66" l="1"/>
  <c r="D364" i="66" l="1"/>
  <c r="D363" i="66" l="1"/>
  <c r="D362" i="66" l="1"/>
  <c r="D361" i="66" l="1"/>
  <c r="D360" i="66" l="1"/>
  <c r="D359" i="66" l="1"/>
  <c r="D358" i="66" l="1"/>
  <c r="D357" i="66" l="1"/>
  <c r="D356" i="66" l="1"/>
  <c r="D355" i="66" l="1"/>
  <c r="D354" i="66" l="1"/>
  <c r="D353" i="66" l="1"/>
  <c r="D352" i="66" l="1"/>
  <c r="D351" i="66" l="1"/>
  <c r="D350" i="66" l="1"/>
  <c r="D349" i="66" l="1"/>
  <c r="D348" i="66" l="1"/>
  <c r="D347" i="66" l="1"/>
  <c r="D346" i="66" l="1"/>
  <c r="D345" i="66" l="1"/>
  <c r="D344" i="66" l="1"/>
  <c r="D343" i="66" l="1"/>
  <c r="D342" i="66" l="1"/>
  <c r="D341" i="66" l="1"/>
  <c r="D340" i="66" l="1"/>
  <c r="D339" i="66" l="1"/>
  <c r="D338" i="66" l="1"/>
  <c r="D337" i="66" l="1"/>
  <c r="D336" i="66" l="1"/>
  <c r="D335" i="66" l="1"/>
  <c r="D334" i="66" l="1"/>
  <c r="D333" i="66" l="1"/>
  <c r="D332" i="66" l="1"/>
  <c r="D331" i="66" l="1"/>
  <c r="D330" i="66" l="1"/>
  <c r="D329" i="66" l="1"/>
  <c r="D328" i="66" l="1"/>
  <c r="D327" i="66" l="1"/>
  <c r="D326" i="66" l="1"/>
  <c r="D325" i="66" l="1"/>
  <c r="D324" i="66" l="1"/>
  <c r="D323" i="66" l="1"/>
  <c r="D322" i="66" l="1"/>
  <c r="D321" i="66" l="1"/>
  <c r="D320" i="66" l="1"/>
  <c r="D319" i="66" l="1"/>
  <c r="D318" i="66" l="1"/>
  <c r="D317" i="66" l="1"/>
  <c r="D316" i="66" l="1"/>
  <c r="D315" i="66" l="1"/>
  <c r="D314" i="66" l="1"/>
  <c r="D313" i="66" l="1"/>
  <c r="D312" i="66" l="1"/>
  <c r="D311" i="66" l="1"/>
  <c r="D310" i="66" l="1"/>
  <c r="D309" i="66" l="1"/>
  <c r="D308" i="66" l="1"/>
  <c r="D307" i="66" l="1"/>
  <c r="D306" i="66" l="1"/>
  <c r="D305" i="66" l="1"/>
  <c r="D304" i="66" l="1"/>
  <c r="D303" i="66" l="1"/>
  <c r="D302" i="66" l="1"/>
  <c r="D301" i="66" l="1"/>
  <c r="D300" i="66" l="1"/>
  <c r="D299" i="66" l="1"/>
  <c r="D298" i="66" l="1"/>
  <c r="D297" i="66" l="1"/>
  <c r="D296" i="66" l="1"/>
  <c r="D295" i="66" l="1"/>
  <c r="D294" i="66" l="1"/>
  <c r="D293" i="66" l="1"/>
  <c r="D292" i="66" l="1"/>
  <c r="D291" i="66" l="1"/>
  <c r="D290" i="66" l="1"/>
  <c r="D289" i="66" l="1"/>
  <c r="D288" i="66" l="1"/>
  <c r="D287" i="66" l="1"/>
  <c r="D286" i="66" l="1"/>
  <c r="D285" i="66" l="1"/>
  <c r="D284" i="66" l="1"/>
  <c r="D283" i="66" l="1"/>
  <c r="D282" i="66" l="1"/>
  <c r="D281" i="66" l="1"/>
  <c r="D280" i="66" l="1"/>
  <c r="D279" i="66" l="1"/>
  <c r="D278" i="66" l="1"/>
  <c r="D277" i="66" l="1"/>
  <c r="D276" i="66"/>
  <c r="D275" i="66" l="1"/>
  <c r="D274" i="66" l="1"/>
  <c r="D273" i="66" l="1"/>
  <c r="D272" i="66" l="1"/>
  <c r="D271" i="66" l="1"/>
  <c r="D270" i="66" l="1"/>
  <c r="D269" i="66" l="1"/>
  <c r="D268" i="66" l="1"/>
  <c r="D267" i="66" l="1"/>
  <c r="D266" i="66" l="1"/>
  <c r="D265" i="66" l="1"/>
  <c r="D264" i="66" l="1"/>
  <c r="D263" i="66" l="1"/>
  <c r="D262" i="66" l="1"/>
  <c r="D261" i="66" l="1"/>
  <c r="D260" i="66" l="1"/>
  <c r="D259" i="66" l="1"/>
  <c r="D257" i="66" l="1"/>
  <c r="D258" i="66"/>
  <c r="D256" i="66" l="1"/>
  <c r="D255" i="66" l="1"/>
  <c r="D254" i="66" l="1"/>
  <c r="D253" i="66" l="1"/>
  <c r="D252" i="66" l="1"/>
  <c r="D251" i="66" l="1"/>
  <c r="D250" i="66" l="1"/>
  <c r="D249" i="66" l="1"/>
  <c r="D248" i="66" l="1"/>
  <c r="D247" i="66" l="1"/>
  <c r="D246" i="66" l="1"/>
  <c r="D245" i="66" l="1"/>
  <c r="D244" i="66" l="1"/>
  <c r="D243" i="66" l="1"/>
  <c r="D242" i="66" l="1"/>
  <c r="D241" i="66" l="1"/>
  <c r="D240" i="66" l="1"/>
  <c r="D239" i="66" l="1"/>
  <c r="D238" i="66" l="1"/>
  <c r="D237" i="66" l="1"/>
  <c r="D236" i="66" l="1"/>
  <c r="D235" i="66"/>
  <c r="D234" i="66" l="1"/>
  <c r="D233" i="66" l="1"/>
  <c r="D232" i="66" l="1"/>
  <c r="D231" i="66" l="1"/>
  <c r="D230" i="66" l="1"/>
  <c r="D229" i="66" l="1"/>
  <c r="D228" i="66" l="1"/>
  <c r="D227" i="66" l="1"/>
  <c r="D226" i="66" l="1"/>
  <c r="D225" i="66" l="1"/>
  <c r="D224" i="66" l="1"/>
  <c r="D223" i="66" l="1"/>
  <c r="D222" i="66" l="1"/>
  <c r="D221" i="66" l="1"/>
  <c r="D220" i="66" l="1"/>
  <c r="D219" i="66" l="1"/>
  <c r="D218" i="66" l="1"/>
  <c r="D217" i="66" l="1"/>
  <c r="D216" i="66" l="1"/>
  <c r="D215" i="66" l="1"/>
  <c r="D214" i="66" l="1"/>
  <c r="D213" i="66" l="1"/>
  <c r="D212" i="66" l="1"/>
  <c r="D211" i="66" l="1"/>
  <c r="D210" i="66" l="1"/>
  <c r="D209" i="66" l="1"/>
  <c r="D208" i="66" l="1"/>
  <c r="D207" i="66" l="1"/>
  <c r="D206" i="66" l="1"/>
  <c r="D205" i="66" l="1"/>
  <c r="D204" i="66" l="1"/>
  <c r="D203" i="66" l="1"/>
  <c r="D202" i="66" l="1"/>
  <c r="D201" i="66" l="1"/>
  <c r="D200" i="66" l="1"/>
  <c r="D199" i="66" l="1"/>
  <c r="D198" i="66" l="1"/>
  <c r="D197" i="66" l="1"/>
  <c r="D196" i="66" l="1"/>
  <c r="D195" i="66" l="1"/>
  <c r="H19" i="85" l="1"/>
  <c r="D193" i="66"/>
  <c r="E193" i="66" s="1"/>
  <c r="D194" i="66"/>
  <c r="Z168" i="78" l="1"/>
  <c r="AF168" i="78"/>
  <c r="AL168" i="78"/>
  <c r="H20" i="85"/>
  <c r="J13" i="83" l="1"/>
  <c r="D13" i="6" l="1"/>
  <c r="D17" i="6" s="1"/>
  <c r="E16" i="6" s="1"/>
  <c r="M15" i="83"/>
  <c r="J18" i="83"/>
  <c r="M14" i="83" s="1"/>
  <c r="Z157" i="78" s="1"/>
  <c r="D35" i="6" l="1"/>
  <c r="D14" i="6" s="1"/>
  <c r="E22" i="6"/>
  <c r="F22" i="6" s="1"/>
  <c r="F23" i="6" s="1"/>
  <c r="M13" i="83"/>
  <c r="AF157" i="78" s="1"/>
  <c r="E17" i="6"/>
  <c r="F16" i="6" s="1"/>
  <c r="F19" i="6" s="1"/>
  <c r="E19" i="6"/>
  <c r="D29" i="6" l="1"/>
  <c r="D23" i="6"/>
  <c r="E25" i="6"/>
  <c r="E23" i="6"/>
  <c r="F17" i="6"/>
  <c r="G16" i="6" s="1"/>
  <c r="G22" i="6"/>
  <c r="F25" i="6"/>
  <c r="H22" i="6" l="1"/>
  <c r="G23" i="6"/>
  <c r="G25" i="6"/>
  <c r="G17" i="6"/>
  <c r="H16" i="6" s="1"/>
  <c r="G19" i="6"/>
  <c r="X147" i="78" l="1"/>
  <c r="X150" i="78" s="1"/>
  <c r="H17" i="6"/>
  <c r="H19" i="6"/>
  <c r="H23" i="6"/>
  <c r="H25" i="6"/>
  <c r="AB150" i="78" l="1"/>
  <c r="AD150" i="78"/>
  <c r="AC150" i="78"/>
  <c r="AE150" i="78" l="1"/>
  <c r="Y150" i="78"/>
  <c r="AF131" i="78" l="1"/>
  <c r="AF107" i="78"/>
  <c r="Z46" i="78"/>
  <c r="AF49" i="78" l="1"/>
  <c r="AF76" i="78" s="1"/>
  <c r="Z91" i="78"/>
  <c r="Z47" i="78" l="1"/>
  <c r="Z125" i="78"/>
  <c r="Z92" i="78"/>
  <c r="Z133" i="78" l="1"/>
  <c r="AV12" i="78"/>
  <c r="AF46" i="78"/>
  <c r="Z150" i="78" l="1"/>
  <c r="Z134" i="78"/>
  <c r="AV13" i="78"/>
  <c r="AH49" i="78"/>
  <c r="AF91" i="78"/>
  <c r="AF47" i="78"/>
  <c r="AH46" i="78" l="1"/>
  <c r="AH91" i="78" s="1"/>
  <c r="AH76" i="78"/>
  <c r="AF125" i="78"/>
  <c r="AF92" i="78"/>
  <c r="AW12" i="78" l="1"/>
  <c r="AJ49" i="78"/>
  <c r="AJ46" i="78" s="1"/>
  <c r="AH47" i="78"/>
  <c r="AH92" i="78"/>
  <c r="AH125" i="78"/>
  <c r="AJ76" i="78" l="1"/>
  <c r="AL49" i="78" s="1"/>
  <c r="AL46" i="78" s="1"/>
  <c r="AX12" i="78"/>
  <c r="AJ91" i="78"/>
  <c r="AJ47" i="78" l="1"/>
  <c r="AL76" i="78"/>
  <c r="AL47" i="78" s="1"/>
  <c r="AJ92" i="78"/>
  <c r="AJ125" i="78"/>
  <c r="AL91" i="78"/>
  <c r="AL125" i="78" l="1"/>
  <c r="AL92" i="78"/>
  <c r="AJ133" i="78"/>
  <c r="AJ134" i="78" s="1"/>
  <c r="AY12" i="78"/>
  <c r="AY13" i="78" l="1"/>
  <c r="AZ12" i="78"/>
  <c r="Z159" i="78"/>
  <c r="AL133" i="78"/>
  <c r="AL134" i="78" s="1"/>
  <c r="AZ13" i="78" l="1"/>
  <c r="AL157" i="78"/>
  <c r="AF70" i="78" l="1"/>
  <c r="AF82" i="78"/>
  <c r="AF85" i="78"/>
  <c r="AF100" i="78" l="1"/>
  <c r="AF129" i="78" s="1"/>
  <c r="AF133" i="78" s="1"/>
  <c r="AF134" i="78" s="1"/>
  <c r="AH100" i="78"/>
  <c r="AH129" i="78" s="1"/>
  <c r="AH133" i="78" s="1"/>
  <c r="AF101" i="78" l="1"/>
  <c r="AH134" i="78"/>
  <c r="AW13" i="78"/>
  <c r="AH101" i="78"/>
  <c r="AX13" i="78"/>
  <c r="H31" i="6"/>
  <c r="H33" i="6" s="1"/>
  <c r="AL147" i="78" s="1"/>
  <c r="AL159" i="78" s="1"/>
  <c r="G31" i="6"/>
  <c r="G33" i="6" s="1"/>
  <c r="AJ147" i="78" s="1"/>
  <c r="E31" i="6"/>
  <c r="E33" i="6" s="1"/>
  <c r="AF147" i="78" s="1"/>
  <c r="AF148" i="78" s="1"/>
  <c r="F31" i="6"/>
  <c r="F33" i="6" s="1"/>
  <c r="AH147" i="78" s="1"/>
  <c r="AF150" i="78" l="1"/>
  <c r="AH148" i="78"/>
  <c r="AJ148" i="78" l="1"/>
  <c r="AH150" i="78"/>
  <c r="AJ150" i="78" l="1"/>
  <c r="AL148" i="78"/>
  <c r="AF160" i="78" s="1"/>
  <c r="AL160" i="78" l="1"/>
  <c r="AL150" i="78"/>
  <c r="AF161" i="78" s="1"/>
  <c r="AF165" i="78" s="1"/>
  <c r="AF167" i="78" s="1"/>
  <c r="AF169" i="78" s="1"/>
  <c r="Z160" i="78"/>
  <c r="Z161" i="78" l="1"/>
  <c r="Z165" i="78" s="1"/>
  <c r="Z167" i="78" s="1"/>
  <c r="AL161" i="78"/>
  <c r="AL165" i="78" s="1"/>
  <c r="E162" i="66"/>
  <c r="E192" i="66" s="1"/>
  <c r="E191" i="66" s="1"/>
  <c r="E190" i="66" s="1"/>
  <c r="E189" i="66" s="1"/>
  <c r="E188" i="66" s="1"/>
  <c r="E187" i="66" s="1"/>
  <c r="E186" i="66" s="1"/>
  <c r="E185" i="66" s="1"/>
  <c r="E184" i="66" s="1"/>
  <c r="E183" i="66" s="1"/>
  <c r="E182" i="66" s="1"/>
  <c r="E181" i="66" s="1"/>
  <c r="E180" i="66" s="1"/>
  <c r="E179" i="66" s="1"/>
  <c r="E178" i="66" s="1"/>
  <c r="E177" i="66" s="1"/>
  <c r="E176" i="66" s="1"/>
  <c r="E175" i="66" s="1"/>
  <c r="E174" i="66" s="1"/>
  <c r="E173" i="66" s="1"/>
  <c r="E172" i="66" s="1"/>
  <c r="E171" i="66" s="1"/>
  <c r="E170" i="66" s="1"/>
  <c r="E169" i="66" s="1"/>
  <c r="E168" i="66" s="1"/>
  <c r="E167" i="66" s="1"/>
  <c r="E166" i="66" s="1"/>
  <c r="E165" i="66" s="1"/>
  <c r="E164" i="66" s="1"/>
  <c r="E163" i="66" s="1"/>
  <c r="L160" i="66"/>
  <c r="T35" i="91"/>
  <c r="R160" i="78"/>
  <c r="Z169" i="78" l="1"/>
  <c r="T34" i="91"/>
  <c r="R162" i="78"/>
  <c r="R161" i="78"/>
  <c r="AL167" i="78"/>
  <c r="T33" i="91" s="1"/>
  <c r="AL169" i="7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 CORDEIRO ALVES PINTO</author>
  </authors>
  <commentList>
    <comment ref="J8" authorId="0" shapeId="0" xr:uid="{7284EC7A-7272-41A3-8A3C-EC5C97DE2C01}">
      <text>
        <r>
          <rPr>
            <b/>
            <sz val="9"/>
            <color indexed="81"/>
            <rFont val="Tahoma"/>
            <family val="2"/>
          </rPr>
          <t>THOR CORDEIRO ALVES PINTO:</t>
        </r>
        <r>
          <rPr>
            <sz val="9"/>
            <color indexed="81"/>
            <rFont val="Tahoma"/>
            <family val="2"/>
          </rPr>
          <t xml:space="preserve">
Pre Merger - Revenue = Arezzo`s Revenue + Soma`s Revenue</t>
        </r>
      </text>
    </comment>
    <comment ref="V8" authorId="0" shapeId="0" xr:uid="{9707CD6B-7A4F-4731-8AB9-9AA98ACC9D24}">
      <text>
        <r>
          <rPr>
            <b/>
            <sz val="9"/>
            <color indexed="81"/>
            <rFont val="Tahoma"/>
            <family val="2"/>
          </rPr>
          <t>THOR CORDEIRO ALVES PINTO:</t>
        </r>
        <r>
          <rPr>
            <sz val="9"/>
            <color indexed="81"/>
            <rFont val="Tahoma"/>
            <family val="2"/>
          </rPr>
          <t xml:space="preserve">
Others= Others+Internacional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bloomberg-alunos</author>
  </authors>
  <commentList>
    <comment ref="D13" authorId="0" shapeId="0" xr:uid="{00000000-0006-0000-0E00-000001000000}">
      <text>
        <r>
          <rPr>
            <sz val="9"/>
            <color indexed="81"/>
            <rFont val="Tahoma"/>
            <family val="2"/>
          </rPr>
          <t>USD
EUR
KRW
BRL
JPY</t>
        </r>
      </text>
    </comment>
    <comment ref="D14" authorId="0" shapeId="0" xr:uid="{00000000-0006-0000-0E00-000002000000}">
      <text>
        <r>
          <rPr>
            <sz val="9"/>
            <color indexed="81"/>
            <rFont val="Tahoma"/>
            <family val="2"/>
          </rPr>
          <t>K
MLN 
BLN</t>
        </r>
      </text>
    </comment>
    <comment ref="D15" authorId="0" shapeId="0" xr:uid="{00000000-0006-0000-0E00-000003000000}">
      <text>
        <r>
          <rPr>
            <sz val="9"/>
            <color indexed="81"/>
            <rFont val="Tahoma"/>
            <family val="2"/>
          </rPr>
          <t xml:space="preserve">AAPL US Equity
DSY FP Equity
005930 KS Equity
</t>
        </r>
      </text>
    </comment>
    <comment ref="R17" authorId="0" shapeId="0" xr:uid="{00000000-0006-0000-0E00-000004000000}">
      <text>
        <r>
          <rPr>
            <sz val="9"/>
            <color indexed="81"/>
            <rFont val="Tahoma"/>
            <family val="2"/>
          </rPr>
          <t>USD
EUR
KRW
BRL
JPY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<sst xmlns="http://schemas.openxmlformats.org/spreadsheetml/2006/main" count="1931" uniqueCount="789">
  <si>
    <t>TODAY</t>
  </si>
  <si>
    <t>Analysts</t>
  </si>
  <si>
    <t>LIS – Equity Research</t>
  </si>
  <si>
    <t>Stock Performance</t>
  </si>
  <si>
    <t>Thor Pinto, Analyst</t>
  </si>
  <si>
    <t>Recommendation:</t>
  </si>
  <si>
    <t>Buy</t>
  </si>
  <si>
    <t>Bsc in Economics, ISEG – Ulisboa</t>
  </si>
  <si>
    <t>Target Price (FCFF):</t>
  </si>
  <si>
    <t>l62767@aln.iseg.ulisboa.pt</t>
  </si>
  <si>
    <t>Upside:</t>
  </si>
  <si>
    <t>Patrícia Franco, Analyst</t>
  </si>
  <si>
    <t>Bsc in Mathematics Applied to Economics and Management, ISEG – Ulisboa</t>
  </si>
  <si>
    <t>Ticker</t>
  </si>
  <si>
    <t>l61831@aln.iseg.ulisboa.pt</t>
  </si>
  <si>
    <t>Stock Exchange</t>
  </si>
  <si>
    <t>Arnaud Hees, Analyst</t>
  </si>
  <si>
    <t>Bsc in XXX, ISEG – Ulisboa</t>
  </si>
  <si>
    <t>Current Price</t>
  </si>
  <si>
    <t>email@aln.iseg.ulisboa.pt</t>
  </si>
  <si>
    <t>Beta</t>
  </si>
  <si>
    <t>% of 52-Week High</t>
  </si>
  <si>
    <t>100-Day Moving Average</t>
  </si>
  <si>
    <t>Reviewed by:</t>
  </si>
  <si>
    <t>Avg Vol (1 month)</t>
  </si>
  <si>
    <t>Madalena Silva, Co-Head of Equity  Research</t>
  </si>
  <si>
    <t>Shares Outstanding (millions)</t>
  </si>
  <si>
    <t>Bsc in Applied Mathematics in Economics and Managment, ISEG – Ulisboa</t>
  </si>
  <si>
    <t>% Float</t>
  </si>
  <si>
    <t>l63835@aln.iseg.ulisboa.pt</t>
  </si>
  <si>
    <t>Short % of Float</t>
  </si>
  <si>
    <t>LISBON INVESTMENT SOCIETY</t>
  </si>
  <si>
    <t>% Held by Insiders</t>
  </si>
  <si>
    <t>ISEG – Rua do Quelhas, 6</t>
  </si>
  <si>
    <t>% Held by Institutions</t>
  </si>
  <si>
    <t>lis@iseg.ulisboa.pt</t>
  </si>
  <si>
    <r>
      <rPr>
        <b/>
        <sz val="8"/>
        <color rgb="FF7B1314"/>
        <rFont val="Arial Nova"/>
        <family val="2"/>
      </rPr>
      <t>Disclaimer:</t>
    </r>
    <r>
      <rPr>
        <b/>
        <sz val="8"/>
        <color theme="0" tint="-0.499984740745262"/>
        <rFont val="Arial Nova"/>
        <family val="2"/>
      </rPr>
      <t xml:space="preserve"> </t>
    </r>
    <r>
      <rPr>
        <sz val="8"/>
        <color theme="0" tint="-0.499984740745262"/>
        <rFont val="Arial Nova"/>
        <family val="2"/>
      </rPr>
      <t>This report was prepared by members of the Lisbon Investment Society (LIS), an independent, student-led, non-profit organization based at ISEG – Lisbon School of Economics &amp; Management, and is intended solely for academic and educational purposes. All analyses, forecasts, and opinions expressed in this report reflect the independent judgment of the authors as of the date of publication and are subject to change without notice. The views presented herein do not represent those of ISEG, its faculty, or any affiliated entity. This document does not constitute, and should not be interpreted as, investment advice, an offer, or a solicitation to buy or sell any security or financial instrument. Nothing in this report should be construed as a recommendation to make or refrain from making any investment decision. The content is intended for informational purposes only, and readers are strongly encouraged to conduct their own research and seek advice from a qualified financial professional before making any financial decisions. The information contained in this report has been obtained from publicly available sources believed to be reliable; however, no representation or warranty is made regarding the accuracy, completeness, or timeliness of such information. LIS and its members accept no liability whatsoever for any direct or indirect loss arising from the use of this report or its contents. This report incorporates terminology, financial metrics, and methodologies commonly used in professional equity research, including but not limited to Discounted Cash Flow (DCF), trading multiples, Monte Carlo simulations, and strategic analysis tools such as Porter’s Five Forces. Definitions and assumptions used in these models are disclosed within the report and reflect a hypothetical investment thesis designed solely for academic discussion. All valuations, projections, and target prices presented herein are based on publicly available data and subject to the limitations of modeling assumptions. These are not guarantees of future performance and should not be relied upon as such, as past performance is not indicative of future results. Any company names, logos, trademarks, or brand references mentioned in this report are the property of their respective owners and are used strictly for identification and academic purposes. This document may not be reproduced, redistributed, or quoted in whole or in part without the prior written consent of the Lisbon Investment Society.</t>
    </r>
    <r>
      <rPr>
        <sz val="8"/>
        <color theme="1"/>
        <rFont val="Arial Nova"/>
        <family val="2"/>
      </rPr>
      <t xml:space="preserve">
</t>
    </r>
    <r>
      <rPr>
        <b/>
        <sz val="8"/>
        <color rgb="FF7B1314"/>
        <rFont val="Arial Nova"/>
        <family val="2"/>
      </rPr>
      <t>About LIS – Lisbon Investment Society:</t>
    </r>
    <r>
      <rPr>
        <b/>
        <sz val="8"/>
        <color theme="1"/>
        <rFont val="Arial Nova"/>
        <family val="2"/>
      </rPr>
      <t xml:space="preserve"> </t>
    </r>
    <r>
      <rPr>
        <sz val="8"/>
        <color theme="0" tint="-0.499984740745262"/>
        <rFont val="Arial Nova"/>
        <family val="2"/>
      </rPr>
      <t>The Lisbon Investment Society (LIS) is a non-profit academic association headquartered at ISEG – Lisbon School of Economics &amp; Management. Founded in 2016, LIS is committed to fostering student interest in finance and investment through applied research, skill development, and institutional engagement. The Society operates independently and autonomously from any political, religious, or commercial affiliation, and is composed of selected students and collaborators who are invited through a rigorous recruitment process and share a commitment to excellence, analytical rigor, and ethical standards. Its activities include equity research, portfolio management, macroeconomic analysis, and investment education. This report was prepared by the Equity Research team at the Lisbon Investment Society, whose analysts combine rigorous financial modeling, critical thinking, and collaborative research to deliver high-quality, student-led investment analysis. We welcome your feedback, discussion, and questions regarding this report or our research process, and invite you to reach out to our team as we are always open to engagement.</t>
    </r>
    <r>
      <rPr>
        <b/>
        <sz val="8"/>
        <color theme="0" tint="-0.499984740745262"/>
        <rFont val="Arial Nova"/>
        <family val="2"/>
      </rPr>
      <t xml:space="preserve">
</t>
    </r>
  </si>
  <si>
    <t>x</t>
  </si>
  <si>
    <t>Industry Growth Forecast</t>
  </si>
  <si>
    <t>Industry Index</t>
  </si>
  <si>
    <t>in Billion</t>
  </si>
  <si>
    <t>Market Size (Footwear)</t>
  </si>
  <si>
    <t>Market Share</t>
  </si>
  <si>
    <t>Market Size (Bags)</t>
  </si>
  <si>
    <t>Market Size (Apparel)</t>
  </si>
  <si>
    <t>Market Size</t>
  </si>
  <si>
    <t xml:space="preserve"> </t>
  </si>
  <si>
    <t>Industry Driver</t>
  </si>
  <si>
    <t>Description</t>
  </si>
  <si>
    <t>Porter's Five Forces</t>
  </si>
  <si>
    <t>Digitalization &amp; E-Commerce</t>
  </si>
  <si>
    <t>Online sales are growing rapidly, especially in emerging markets</t>
  </si>
  <si>
    <t>Sustainability &amp; Circular Economy</t>
  </si>
  <si>
    <t>Consumers demand eco-friendly materials and recycling models</t>
  </si>
  <si>
    <t>Artificial Intelligence &amp; Personalization</t>
  </si>
  <si>
    <t>AI supports product recommendations, inventory optimization, and design</t>
  </si>
  <si>
    <t>Demographic Shift &amp; “Silver Generation”</t>
  </si>
  <si>
    <t>Older consumers with high purchasing power influence design and marketing</t>
  </si>
  <si>
    <t>Resale &amp; Second-Hand Trend</t>
  </si>
  <si>
    <t>Resale platforms are booming, especially among younger demographics</t>
  </si>
  <si>
    <t>Rivalry Among Existing Competitors</t>
  </si>
  <si>
    <t>Threat of New Entrants</t>
  </si>
  <si>
    <t>Threat of Substitutes</t>
  </si>
  <si>
    <t>Bargaining Power of Customers</t>
  </si>
  <si>
    <t>Bargaining Power of Suppliers</t>
  </si>
  <si>
    <t>ESG Analysis</t>
  </si>
  <si>
    <t>ESG Scores</t>
  </si>
  <si>
    <t>GHG Scope 1 Emissions, Water Consumption, Energy Consumption and Waste Production per Sales</t>
  </si>
  <si>
    <t>LSEG ESG Score</t>
  </si>
  <si>
    <t xml:space="preserve">   E-Score</t>
  </si>
  <si>
    <t xml:space="preserve">   S-Score</t>
  </si>
  <si>
    <t xml:space="preserve">   G-Score</t>
  </si>
  <si>
    <t>S&amp;P Global ESG Score</t>
  </si>
  <si>
    <t xml:space="preserve">   Environmental</t>
  </si>
  <si>
    <t xml:space="preserve">   Social</t>
  </si>
  <si>
    <t xml:space="preserve">   Governance &amp; Economic</t>
  </si>
  <si>
    <t>Sustainalytics</t>
  </si>
  <si>
    <t>ISS ESG Corporate Rating</t>
  </si>
  <si>
    <t xml:space="preserve">   SDG Impact Rating</t>
  </si>
  <si>
    <t xml:space="preserve">   Governance Quality Score</t>
  </si>
  <si>
    <t>MSCI ESG Ratings</t>
  </si>
  <si>
    <t>Key Info</t>
  </si>
  <si>
    <t>Environmental</t>
  </si>
  <si>
    <t>Overview</t>
  </si>
  <si>
    <t>Targets</t>
  </si>
  <si>
    <t>Improvements</t>
  </si>
  <si>
    <t>Comments</t>
  </si>
  <si>
    <t>GICS Sector</t>
  </si>
  <si>
    <t>Consumer Discrecionary</t>
  </si>
  <si>
    <t>GHG Scope 1 Emissions</t>
  </si>
  <si>
    <t>Carbon neutrality by 2040</t>
  </si>
  <si>
    <t>SBTi-validated climate targets</t>
  </si>
  <si>
    <t>Exact emission values not disclosed</t>
  </si>
  <si>
    <t>GICS Industry Group</t>
  </si>
  <si>
    <t>Consumer Durables &amp; Apparel</t>
  </si>
  <si>
    <t>GICS Industry</t>
  </si>
  <si>
    <t>Textiles, Apparel &amp; Luxury Goods</t>
  </si>
  <si>
    <t>Water Consumption</t>
  </si>
  <si>
    <t>Eco-efficiency in processes</t>
  </si>
  <si>
    <t>Circular production model</t>
  </si>
  <si>
    <t>No specific consumption data available</t>
  </si>
  <si>
    <t>GICS Sub-Industry</t>
  </si>
  <si>
    <t>Apparel, Accessories &amp; Luxury Goods</t>
  </si>
  <si>
    <t>Energy Consumption</t>
  </si>
  <si>
    <t>Reduce energy intensity</t>
  </si>
  <si>
    <t>LED lighting, solar integration</t>
  </si>
  <si>
    <t>No quantitative data disclosed</t>
  </si>
  <si>
    <t>Headquarters</t>
  </si>
  <si>
    <t>Belo Horizonte, Minas Gerais, Brazil</t>
  </si>
  <si>
    <t>Numer of Employees</t>
  </si>
  <si>
    <t>Waste Management</t>
  </si>
  <si>
    <t>Circular economy</t>
  </si>
  <si>
    <t>Leather traceability</t>
  </si>
  <si>
    <t>Prioritizes sustainable materials</t>
  </si>
  <si>
    <t>Annual Report</t>
  </si>
  <si>
    <t>https://ri.azzas2154.com.br/</t>
  </si>
  <si>
    <t>Other</t>
  </si>
  <si>
    <t>Sustainability Report</t>
  </si>
  <si>
    <t>https://ri.azzas2154.com.br/en/sustaintability-report/</t>
  </si>
  <si>
    <t>Recent Headlines</t>
  </si>
  <si>
    <t>Social</t>
  </si>
  <si>
    <t>Employee Turnover %</t>
  </si>
  <si>
    <t>Salaries &amp; Compensation</t>
  </si>
  <si>
    <t>Reputation</t>
  </si>
  <si>
    <t xml:space="preserve">Brand strengthening	</t>
  </si>
  <si>
    <t xml:space="preserve">B Corp, ISE B3	</t>
  </si>
  <si>
    <t>Discrimination Events</t>
  </si>
  <si>
    <t>DEI policy</t>
  </si>
  <si>
    <t>Racial Equity Pact</t>
  </si>
  <si>
    <t>Work Safety</t>
  </si>
  <si>
    <t>Damage to consumer health</t>
  </si>
  <si>
    <t>Sustainable materials</t>
  </si>
  <si>
    <t>No harmful substances</t>
  </si>
  <si>
    <t>Pension Plan</t>
  </si>
  <si>
    <t>Supply chain</t>
  </si>
  <si>
    <t>Transparency &amp; compliance</t>
  </si>
  <si>
    <t>Supplier code of conduct</t>
  </si>
  <si>
    <t>ESG-aligned supplier policy</t>
  </si>
  <si>
    <t>Community involvement</t>
  </si>
  <si>
    <t>Social programs</t>
  </si>
  <si>
    <t>1P=5P, Fundação Hering</t>
  </si>
  <si>
    <t>High social impact</t>
  </si>
  <si>
    <t>Public Sector</t>
  </si>
  <si>
    <t>Litigation</t>
  </si>
  <si>
    <t>Board of Directors</t>
  </si>
  <si>
    <t>Governance</t>
  </si>
  <si>
    <t>Name</t>
  </si>
  <si>
    <t>Position</t>
  </si>
  <si>
    <t>M/F  – Age</t>
  </si>
  <si>
    <t>Nicola Calicchio</t>
  </si>
  <si>
    <t>Chairman of the Board</t>
  </si>
  <si>
    <t>M / 52</t>
  </si>
  <si>
    <t>Diversity (Gender, Age, Industry, Region)</t>
  </si>
  <si>
    <t>DEI promotion</t>
  </si>
  <si>
    <t>Gender &amp; age diversity</t>
  </si>
  <si>
    <t>International and diverse profiles</t>
  </si>
  <si>
    <t>Alexandre Birman</t>
  </si>
  <si>
    <t>CEO &amp; Board Member</t>
  </si>
  <si>
    <t>M / 48</t>
  </si>
  <si>
    <t>Roberto Jatahy</t>
  </si>
  <si>
    <t>Board Member</t>
  </si>
  <si>
    <t>M / 53</t>
  </si>
  <si>
    <t>% Independence</t>
  </si>
  <si>
    <t>2 out of 7 are independent</t>
  </si>
  <si>
    <t>Cristiane Correa</t>
  </si>
  <si>
    <t>Independent Board Member</t>
  </si>
  <si>
    <t>F / 50</t>
  </si>
  <si>
    <t>Carlos Jereissati Filho</t>
  </si>
  <si>
    <t>M / 55</t>
  </si>
  <si>
    <t>Average time as independent directors</t>
  </si>
  <si>
    <t>2 years</t>
  </si>
  <si>
    <t>Rotation possible</t>
  </si>
  <si>
    <t>Uniform tenure</t>
  </si>
  <si>
    <t>Pedro Parente</t>
  </si>
  <si>
    <t>M / 71</t>
  </si>
  <si>
    <t>Renata Moraes Vichi</t>
  </si>
  <si>
    <t>F / 46</t>
  </si>
  <si>
    <t>Departures of C-level executives</t>
  </si>
  <si>
    <t>Stability</t>
  </si>
  <si>
    <t>CEO vs Soma founder conflict</t>
  </si>
  <si>
    <t>Leadership instability</t>
  </si>
  <si>
    <t>CEO/Chairman duality</t>
  </si>
  <si>
    <t>Separation</t>
  </si>
  <si>
    <t>CEO is not Chairman</t>
  </si>
  <si>
    <t>Nicola Calicchio is Chairman</t>
  </si>
  <si>
    <t>Transparency when reporting</t>
  </si>
  <si>
    <t>Full disclosure</t>
  </si>
  <si>
    <t>All reports available online</t>
  </si>
  <si>
    <t>Strong investor relations</t>
  </si>
  <si>
    <t>Time taken to report</t>
  </si>
  <si>
    <t>2 months</t>
  </si>
  <si>
    <t>Quarterly updates</t>
  </si>
  <si>
    <t>No delays observed</t>
  </si>
  <si>
    <t>CEO or Chairman in other boards?</t>
  </si>
  <si>
    <t>Oversight</t>
  </si>
  <si>
    <t>CEO on multiple boards</t>
  </si>
  <si>
    <t>Birman &amp; Calicchio hold other mandates</t>
  </si>
  <si>
    <t>Audit / Consulting</t>
  </si>
  <si>
    <t>No irregularities</t>
  </si>
  <si>
    <t>ESG-compensation related</t>
  </si>
  <si>
    <t>ESG goals</t>
  </si>
  <si>
    <t>ESG-based bonuses</t>
  </si>
  <si>
    <t>Management compensation schemes</t>
  </si>
  <si>
    <t>Long-term goals</t>
  </si>
  <si>
    <t>Stock-based incentives</t>
  </si>
  <si>
    <t>Segments</t>
  </si>
  <si>
    <t>Products</t>
  </si>
  <si>
    <t>Q1</t>
  </si>
  <si>
    <t>Q2</t>
  </si>
  <si>
    <t>Q3</t>
  </si>
  <si>
    <t>Q4</t>
  </si>
  <si>
    <t>FY</t>
  </si>
  <si>
    <t>Revenue by segment:</t>
  </si>
  <si>
    <t>Shoes &amp; Bags</t>
  </si>
  <si>
    <t>Franchises</t>
  </si>
  <si>
    <t>% of growth</t>
  </si>
  <si>
    <t xml:space="preserve">Multi-brand </t>
  </si>
  <si>
    <t>Owned Stores</t>
  </si>
  <si>
    <t>Web Commerce</t>
  </si>
  <si>
    <t>International</t>
  </si>
  <si>
    <t>Others</t>
  </si>
  <si>
    <t>Fashion &amp; Lifestyle Women</t>
  </si>
  <si>
    <t>Basic</t>
  </si>
  <si>
    <t>Fashion &amp; Lifestyle Men</t>
  </si>
  <si>
    <t>Total revenue</t>
  </si>
  <si>
    <t>Revenue by region:</t>
  </si>
  <si>
    <t>Average</t>
  </si>
  <si>
    <t>Brazil</t>
  </si>
  <si>
    <t xml:space="preserve">Rest of the World </t>
  </si>
  <si>
    <t>Products:</t>
  </si>
  <si>
    <t>Notes &amp; Forecasts</t>
  </si>
  <si>
    <t>The franchise segment should recover as confidence returns, supported by the rollout of over 120 new points in 2Q25 under a more agile structure. Meanwhile, the multi-brand channel faces short-term contraction but may regain traction from 2026 with planned investments in growth levers and active management. Owned stores continue to show solid momentum, with SSS up 5% in 2Q25, particularly in São Paulo and Rio de Janeiro. Although web commerce has received limited attention, it is likely to accelerate in 2025–2026, driven by lower interest rates and new taxes on foreign fast-fashion players. The international segment saw a temporary decline in 2Q25, yet still delivered double-digit growth in 1H25, with potential recovery in 2026 depending on political outcomes. The others segment should remain stable, contributing modestly to total revenue.</t>
  </si>
  <si>
    <t>In 2025, the Fashion &amp; Lifestyle Women unit is expected to maintain strong momentum, driven primarily by its owned store strategy, which remains the core focus, leaving limited room for franchise expansion. The channel has already accumulated 31.4% growth in 1H25, but we project a convergence toward 10% in the following quarters as performance stabilizes. The company plans to open 12 new FARM stores throughout the year, supported by robust Same Store Sales — +22% for FARM and +16% for Animale — reflecting successful strategic adjustments and indicating the potential for strong returns on new openings. The multi-brand channel was a highlight in 2Q25, expanding 14.5% due to solid performances from FARM, Animale, and NV, coupled with improved inventory availability. Despite a challenging macroeconomic backdrop, web commerce delivered +35.2% growth in 2Q25, showcasing the channel’s resilience and scalability; we expect around 10% growth for the full year, with possible upside to 15% in 2026, depending on the political environment following Brazil’s elections. The international and others segments remain secondary within this business unit, with limited contribution to consolidated results.</t>
  </si>
  <si>
    <t>In 2025, the Basic segment is expected to deliver moderate yet consistent growth, supported by the continued rollout of its megastore project and strategic improvements in distribution and marketing. Although the company initially envisioned 2025 as a year to consolidate the franchise megastore model, 2Q25 showed a temporary 7.8% contraction due to lower inventory levels, which created short-term gaps in product availability. Despite this, the franchise expansion plan remains intact, with further rollout expected in the coming years. The multi-brand channel grew 8.4%, driven by the new go-to-market project, which added 132 new clients and boosted sales by 37%. The megastore initiative, launched in 2024 across both franchise and owned stores, continues to deliver solid results, with 24.5% growth in 2Q25, reinforcing management’s intention to maintain the model. Meanwhile, web commerce followed a strong growth trajectory of 15.9%, fueled by the adoption of programmatic media (ad cost), logistics optimization, and a supportive macroeconomic environment.</t>
  </si>
  <si>
    <t>e</t>
  </si>
  <si>
    <t>Peers</t>
  </si>
  <si>
    <t>Growth</t>
  </si>
  <si>
    <t>AZZAS 2154 SA</t>
  </si>
  <si>
    <t>GUARARAPES</t>
  </si>
  <si>
    <t>LOJAS RENNER SA</t>
  </si>
  <si>
    <t>C&amp;A MODAS LTDA</t>
  </si>
  <si>
    <t>MARISA LOJAS SA</t>
  </si>
  <si>
    <t>VESTE SA ESTILO</t>
  </si>
  <si>
    <t>VULCABRAS SA</t>
  </si>
  <si>
    <t>GRENDENE SA</t>
  </si>
  <si>
    <t>ALPARGATAS-PREF</t>
  </si>
  <si>
    <t>GRUPO SBF SA</t>
  </si>
  <si>
    <t>TRACK &amp; FIELD CO</t>
  </si>
  <si>
    <t>REDTAPE LTD/INDI</t>
  </si>
  <si>
    <t>LI NING CO LTD</t>
  </si>
  <si>
    <t>TOPSPORTS INTERN</t>
  </si>
  <si>
    <t>CHINA LILANG LTD</t>
  </si>
  <si>
    <t>DAZZLE FASHION-A</t>
  </si>
  <si>
    <t>Revenue (LTM)</t>
  </si>
  <si>
    <t>Revenue (3-yr CAGR)</t>
  </si>
  <si>
    <t>Gross profit (LTM)</t>
  </si>
  <si>
    <t>EBIT (LTM)</t>
  </si>
  <si>
    <t>EBITDA (LTM)</t>
  </si>
  <si>
    <t>FCF (LTM)</t>
  </si>
  <si>
    <t>Margins</t>
  </si>
  <si>
    <t>Gross margin</t>
  </si>
  <si>
    <t>EBIT margin</t>
  </si>
  <si>
    <t>EBITDA margin</t>
  </si>
  <si>
    <t>Net margin</t>
  </si>
  <si>
    <t>SG&amp;A margin</t>
  </si>
  <si>
    <t>R&amp;D margin</t>
  </si>
  <si>
    <t>Returns</t>
  </si>
  <si>
    <t>ROIC</t>
  </si>
  <si>
    <t>CROIC</t>
  </si>
  <si>
    <t>ROCE</t>
  </si>
  <si>
    <t>RONA</t>
  </si>
  <si>
    <t>ROE</t>
  </si>
  <si>
    <t>ROA</t>
  </si>
  <si>
    <t>Efficiency</t>
  </si>
  <si>
    <t>Asset turnover</t>
  </si>
  <si>
    <t>Net operating asset turnover</t>
  </si>
  <si>
    <t>Fixed asset turnover</t>
  </si>
  <si>
    <r>
      <t xml:space="preserve">Revenue per employee </t>
    </r>
    <r>
      <rPr>
        <i/>
        <sz val="7"/>
        <color theme="1"/>
        <rFont val="Arial Nova"/>
        <family val="2"/>
      </rPr>
      <t>thsnd of USD</t>
    </r>
  </si>
  <si>
    <r>
      <t xml:space="preserve">EBIT per employee </t>
    </r>
    <r>
      <rPr>
        <i/>
        <sz val="7"/>
        <color theme="1"/>
        <rFont val="Arial Nova"/>
        <family val="2"/>
      </rPr>
      <t>thsnd of USD</t>
    </r>
  </si>
  <si>
    <t>Working Capital</t>
  </si>
  <si>
    <t>DSO</t>
  </si>
  <si>
    <t>DIO</t>
  </si>
  <si>
    <t>DPO</t>
  </si>
  <si>
    <t>CCC</t>
  </si>
  <si>
    <t>Working capital intensity</t>
  </si>
  <si>
    <t>Cash conversion ratio</t>
  </si>
  <si>
    <t>CFO margin</t>
  </si>
  <si>
    <t>Leverage &amp; Coverage</t>
  </si>
  <si>
    <t>Net debt / EBITDA</t>
  </si>
  <si>
    <t>Net debt / FCF</t>
  </si>
  <si>
    <t>Interest coverage</t>
  </si>
  <si>
    <t>Debt / capital</t>
  </si>
  <si>
    <t>Short term debt / total debt</t>
  </si>
  <si>
    <t>Liquidity</t>
  </si>
  <si>
    <t>Current ratio</t>
  </si>
  <si>
    <t>Quick ratio</t>
  </si>
  <si>
    <t>Cash ratio</t>
  </si>
  <si>
    <t>Cash Deployment</t>
  </si>
  <si>
    <t>Capex intensity</t>
  </si>
  <si>
    <t>Capex / depreciation</t>
  </si>
  <si>
    <t>R&amp;D capitalization rate</t>
  </si>
  <si>
    <t>R&amp;D capitalization test</t>
  </si>
  <si>
    <t>Dividend payout</t>
  </si>
  <si>
    <t>FCF payout</t>
  </si>
  <si>
    <t>Buybacks as % CFO</t>
  </si>
  <si>
    <t>Earnings Quality</t>
  </si>
  <si>
    <t>Cash/earnings conversion</t>
  </si>
  <si>
    <t>FCF / net income</t>
  </si>
  <si>
    <t>Per Share &amp; Dilution</t>
  </si>
  <si>
    <t>Diluted share count YoY</t>
  </si>
  <si>
    <t>SBC / revenue</t>
  </si>
  <si>
    <t>SBC / CFO</t>
  </si>
  <si>
    <r>
      <t xml:space="preserve">EPS </t>
    </r>
    <r>
      <rPr>
        <i/>
        <sz val="7"/>
        <color theme="1"/>
        <rFont val="Arial Nova"/>
        <family val="2"/>
      </rPr>
      <t>in USD</t>
    </r>
  </si>
  <si>
    <t>in millions of BRL</t>
  </si>
  <si>
    <t>Current</t>
  </si>
  <si>
    <t>% of</t>
  </si>
  <si>
    <t>Enterprise Value /</t>
  </si>
  <si>
    <t>LTM</t>
  </si>
  <si>
    <t>Net</t>
  </si>
  <si>
    <t>Price /</t>
  </si>
  <si>
    <t>LT</t>
  </si>
  <si>
    <t>Share</t>
  </si>
  <si>
    <t>52-week</t>
  </si>
  <si>
    <t>Equity</t>
  </si>
  <si>
    <t>Enterprise</t>
  </si>
  <si>
    <t>2025E</t>
  </si>
  <si>
    <t>2026E</t>
  </si>
  <si>
    <t>EBITDA</t>
  </si>
  <si>
    <t>Debt /</t>
  </si>
  <si>
    <t>EPS</t>
  </si>
  <si>
    <t>Company</t>
  </si>
  <si>
    <t>Price</t>
  </si>
  <si>
    <t>High</t>
  </si>
  <si>
    <t>Value</t>
  </si>
  <si>
    <t>Sales</t>
  </si>
  <si>
    <t>EBIT</t>
  </si>
  <si>
    <t>Margin</t>
  </si>
  <si>
    <t>Tier I: DRAM and NAND</t>
  </si>
  <si>
    <t>GUAR3 BZ</t>
  </si>
  <si>
    <t>BRL 9,53</t>
  </si>
  <si>
    <t>LREN3 BZ</t>
  </si>
  <si>
    <t>BRL 15,15</t>
  </si>
  <si>
    <t>CEAB3 BZ</t>
  </si>
  <si>
    <t>BRL 16,3</t>
  </si>
  <si>
    <t>AMAR3 BZ</t>
  </si>
  <si>
    <t>BRL 1,21</t>
  </si>
  <si>
    <t>VSTE3 BZ</t>
  </si>
  <si>
    <t>BRL 5,24</t>
  </si>
  <si>
    <t>Mean</t>
  </si>
  <si>
    <t>Median</t>
  </si>
  <si>
    <t>Tier II: Chips</t>
  </si>
  <si>
    <t>VULC3 BZ</t>
  </si>
  <si>
    <t>BRL 19,93</t>
  </si>
  <si>
    <t>GRND3 BZ</t>
  </si>
  <si>
    <t>BRL 5,19</t>
  </si>
  <si>
    <t>ALPA4 BZ</t>
  </si>
  <si>
    <t>BRL 9,57</t>
  </si>
  <si>
    <t>SBFG3 BZ</t>
  </si>
  <si>
    <t>BRL 13,23</t>
  </si>
  <si>
    <t>TFCO4 BZ</t>
  </si>
  <si>
    <t>BRL 17,13</t>
  </si>
  <si>
    <t>Tier III: Semiconductors</t>
  </si>
  <si>
    <t>REDTAPE IN</t>
  </si>
  <si>
    <t>INR 146,2</t>
  </si>
  <si>
    <t>2331 HK</t>
  </si>
  <si>
    <t>HKD 17,64</t>
  </si>
  <si>
    <t>6110 HK</t>
  </si>
  <si>
    <t>HKD 3,16</t>
  </si>
  <si>
    <t>1234 HK</t>
  </si>
  <si>
    <t>HKD 3,56</t>
  </si>
  <si>
    <t>603587 CH</t>
  </si>
  <si>
    <t>CNY 12,35</t>
  </si>
  <si>
    <t>#N/A N/A</t>
  </si>
  <si>
    <t>Overall</t>
  </si>
  <si>
    <t>Low</t>
  </si>
  <si>
    <t>Rolling WACC</t>
  </si>
  <si>
    <t>Equity Risk Premium</t>
  </si>
  <si>
    <t>Weights</t>
  </si>
  <si>
    <t>ERP</t>
  </si>
  <si>
    <t>Equity:</t>
  </si>
  <si>
    <r>
      <t>Market Cap</t>
    </r>
    <r>
      <rPr>
        <sz val="9"/>
        <color rgb="FF000000"/>
        <rFont val="Arial Nova"/>
        <family val="2"/>
      </rPr>
      <t xml:space="preserve"> </t>
    </r>
    <r>
      <rPr>
        <i/>
        <sz val="9"/>
        <color rgb="FF000000"/>
        <rFont val="Arial Nova"/>
        <family val="2"/>
      </rPr>
      <t>(in billions)</t>
    </r>
  </si>
  <si>
    <t>% of Equity</t>
  </si>
  <si>
    <t>Risk-Free Rate</t>
  </si>
  <si>
    <t>Unlevered Beta</t>
  </si>
  <si>
    <t>Ke (Cost of Equity)</t>
  </si>
  <si>
    <t>Preferred Equity:</t>
  </si>
  <si>
    <t>ROIC vs WACC</t>
  </si>
  <si>
    <t>Market Capitalization</t>
  </si>
  <si>
    <t>% of Preferred Equity</t>
  </si>
  <si>
    <t>Preferred Dividends</t>
  </si>
  <si>
    <t>Kp (Cost of Preferred Equity)</t>
  </si>
  <si>
    <t>Debt:</t>
  </si>
  <si>
    <r>
      <t>Debt</t>
    </r>
    <r>
      <rPr>
        <i/>
        <sz val="9"/>
        <color rgb="FF000000"/>
        <rFont val="Arial Nova"/>
        <family val="2"/>
      </rPr>
      <t xml:space="preserve"> (in millions)</t>
    </r>
  </si>
  <si>
    <t>% of Debt</t>
  </si>
  <si>
    <t>Debt Spread</t>
  </si>
  <si>
    <t>Cost of Debt</t>
  </si>
  <si>
    <t>Tax Rate</t>
  </si>
  <si>
    <t>Kd (After-Tax Cost of Debt)</t>
  </si>
  <si>
    <t>Total</t>
  </si>
  <si>
    <t>Country/Conglomerate/... Risk Premium</t>
  </si>
  <si>
    <t>WACC</t>
  </si>
  <si>
    <t>NOPAT</t>
  </si>
  <si>
    <t>Total Payout</t>
  </si>
  <si>
    <t>Book Value of Equity</t>
  </si>
  <si>
    <t>Invested Capital</t>
  </si>
  <si>
    <t xml:space="preserve">, </t>
  </si>
  <si>
    <t>Market Assumptions</t>
  </si>
  <si>
    <t>FCFF</t>
  </si>
  <si>
    <t>Revenue Growth</t>
  </si>
  <si>
    <t>Revenue</t>
  </si>
  <si>
    <t>Operating Assumptions</t>
  </si>
  <si>
    <t>Income Statement</t>
  </si>
  <si>
    <t>Gross Sales</t>
  </si>
  <si>
    <t>Net Sales</t>
  </si>
  <si>
    <t>% of gross sales</t>
  </si>
  <si>
    <t>Cost of Goods &amp; Services</t>
  </si>
  <si>
    <t>% of net sales</t>
  </si>
  <si>
    <t>COGS Depreciation &amp; Amortization</t>
  </si>
  <si>
    <t>% of cost of goods &amp; services</t>
  </si>
  <si>
    <t>Gross Profit</t>
  </si>
  <si>
    <t>SG&amp;A (Selling, General &amp; Administrative)</t>
  </si>
  <si>
    <t>R&amp;D (Research &amp; Development)</t>
  </si>
  <si>
    <t>% of gross profit</t>
  </si>
  <si>
    <t>D&amp;A (Depreciation &amp; Amortization)</t>
  </si>
  <si>
    <t>% of net pp&amp;e and intangibles excl. Goodwill</t>
  </si>
  <si>
    <t>Depreciation</t>
  </si>
  <si>
    <t>% of net pp&amp;e</t>
  </si>
  <si>
    <t>Amortization</t>
  </si>
  <si>
    <t>% of intangibles excl. goodwill</t>
  </si>
  <si>
    <t>Other Operating (Income) Expenses</t>
  </si>
  <si>
    <t>EBIT (Operating Income)</t>
  </si>
  <si>
    <t>Basic Weighted Average Shares</t>
  </si>
  <si>
    <t>Diluted Weighted Average Shares</t>
  </si>
  <si>
    <t>Balance Sheet</t>
  </si>
  <si>
    <t>Q1 22</t>
  </si>
  <si>
    <t>Q2 22</t>
  </si>
  <si>
    <t>Q3 22</t>
  </si>
  <si>
    <t>Q4 22</t>
  </si>
  <si>
    <t>FY 22</t>
  </si>
  <si>
    <t>Q1 23</t>
  </si>
  <si>
    <t xml:space="preserve">Q2 23 </t>
  </si>
  <si>
    <t>Q3 23</t>
  </si>
  <si>
    <t>Q4 23</t>
  </si>
  <si>
    <t>FY 23</t>
  </si>
  <si>
    <t>Q1 24</t>
  </si>
  <si>
    <t xml:space="preserve">Q2 24 </t>
  </si>
  <si>
    <t>Q3 24</t>
  </si>
  <si>
    <t>Q4 24</t>
  </si>
  <si>
    <t>FY 24</t>
  </si>
  <si>
    <t>Q1 25</t>
  </si>
  <si>
    <t>Q2 25</t>
  </si>
  <si>
    <t>Q3 25</t>
  </si>
  <si>
    <t>Q4 25</t>
  </si>
  <si>
    <t>FY 25</t>
  </si>
  <si>
    <t>Q1 26</t>
  </si>
  <si>
    <t>Q2 26</t>
  </si>
  <si>
    <t>Q3 26</t>
  </si>
  <si>
    <t>Q4 26</t>
  </si>
  <si>
    <t>FY 26</t>
  </si>
  <si>
    <t>FY 27</t>
  </si>
  <si>
    <t>FY 28</t>
  </si>
  <si>
    <t>FY 29</t>
  </si>
  <si>
    <t>Accounts Receivable</t>
  </si>
  <si>
    <t>days sales outstanding</t>
  </si>
  <si>
    <t>Inventory</t>
  </si>
  <si>
    <t>days inventory held</t>
  </si>
  <si>
    <t>Prepaid expenses and Other Current Assets</t>
  </si>
  <si>
    <t>% of sales</t>
  </si>
  <si>
    <t>Net PP&amp;E (Property, Plant and Equipment)</t>
  </si>
  <si>
    <t>capex allocation rate</t>
  </si>
  <si>
    <t>Intangibles</t>
  </si>
  <si>
    <t>r&amp;d capitalization rate</t>
  </si>
  <si>
    <t>Accounts Payable</t>
  </si>
  <si>
    <t>days payable outstanding</t>
  </si>
  <si>
    <t>Accrued Expenses and Other Current Liabilities</t>
  </si>
  <si>
    <t>% of sg&amp;a</t>
  </si>
  <si>
    <t>Cash Flow Statement</t>
  </si>
  <si>
    <t>Stock-Based Compensation Expense</t>
  </si>
  <si>
    <t>implied equity value (p/s multiple)</t>
  </si>
  <si>
    <t>implied share price (for dilution)</t>
  </si>
  <si>
    <t>sbc dilution (shares issued)</t>
  </si>
  <si>
    <t>Changes in Net Working Capital</t>
  </si>
  <si>
    <t>% of change in sales</t>
  </si>
  <si>
    <t>Capital Expenditures</t>
  </si>
  <si>
    <t>Proceeds from Asset Disposals</t>
  </si>
  <si>
    <t>% of capex</t>
  </si>
  <si>
    <t>Dividends</t>
  </si>
  <si>
    <t>% of NOPAT</t>
  </si>
  <si>
    <t>Repurchase of Stock</t>
  </si>
  <si>
    <t>Free Cash Flow to Firm</t>
  </si>
  <si>
    <t>NOPAT (Net Operating Profit After Taxes)</t>
  </si>
  <si>
    <t>Stock-Based Compensation</t>
  </si>
  <si>
    <t>Net CapEx</t>
  </si>
  <si>
    <t>FCFF (Free Cash Flow to Firm)</t>
  </si>
  <si>
    <t>FCFF for the remainder of the year</t>
  </si>
  <si>
    <t>Valuation Summary</t>
  </si>
  <si>
    <t>Discounted Cash Flows (DCF)</t>
  </si>
  <si>
    <t>Discount Period</t>
  </si>
  <si>
    <t>Mid-Quarter/Year Convention Discount Period</t>
  </si>
  <si>
    <t>Rolling WACC (Weighted Average Cost of Capital)</t>
  </si>
  <si>
    <t>Cumulative Discount Factor</t>
  </si>
  <si>
    <t>Present Value of FCFF</t>
  </si>
  <si>
    <t>Terminal Value</t>
  </si>
  <si>
    <t>Preferred Method:</t>
  </si>
  <si>
    <t>Revenue Exit</t>
  </si>
  <si>
    <t>EBITDA Exit Multiple</t>
  </si>
  <si>
    <t>Revenue Exit Multiple</t>
  </si>
  <si>
    <t>Gordon's Growth Model</t>
  </si>
  <si>
    <t>Current EV/EBITDA</t>
  </si>
  <si>
    <t>Current EV/Sales</t>
  </si>
  <si>
    <t>Current Growth Rate</t>
  </si>
  <si>
    <t>Exit EV/EBITDA</t>
  </si>
  <si>
    <t>Exit EV/Sales</t>
  </si>
  <si>
    <t>Terminal Growth Rate</t>
  </si>
  <si>
    <t>PV of Terminal Value</t>
  </si>
  <si>
    <t>Implied Enterprise Value</t>
  </si>
  <si>
    <t>(-) Net Debt</t>
  </si>
  <si>
    <t>(-) Preferred Stock Market Cap</t>
  </si>
  <si>
    <t>(-) Non-controlling Interest</t>
  </si>
  <si>
    <t>Implied Equity Value</t>
  </si>
  <si>
    <t>Shares Outstanding</t>
  </si>
  <si>
    <t>Implied Stock Price</t>
  </si>
  <si>
    <t>Current Stock Price</t>
  </si>
  <si>
    <t>Upside (Downside)</t>
  </si>
  <si>
    <t>Key Assumptions</t>
  </si>
  <si>
    <t>Entry</t>
  </si>
  <si>
    <t>Capital Structure</t>
  </si>
  <si>
    <t>Interest</t>
  </si>
  <si>
    <t>Weight</t>
  </si>
  <si>
    <t>Amount</t>
  </si>
  <si>
    <t>LTM EBITDA</t>
  </si>
  <si>
    <t>Revolver</t>
  </si>
  <si>
    <t>Entry Multiple</t>
  </si>
  <si>
    <t>Bank Loan</t>
  </si>
  <si>
    <t>Enterprise Value</t>
  </si>
  <si>
    <t>Senior Notes</t>
  </si>
  <si>
    <t>Existing Net Debt</t>
  </si>
  <si>
    <t>Equity Value</t>
  </si>
  <si>
    <t>IRR (For reference)</t>
  </si>
  <si>
    <t>MOIC</t>
  </si>
  <si>
    <t>Fees &amp; Expenses</t>
  </si>
  <si>
    <t>IRR</t>
  </si>
  <si>
    <t>Exit</t>
  </si>
  <si>
    <t>Exit Multiple</t>
  </si>
  <si>
    <t>Sources &amp; Uses</t>
  </si>
  <si>
    <t>Sources</t>
  </si>
  <si>
    <t>Uses</t>
  </si>
  <si>
    <t>xEBITDA</t>
  </si>
  <si>
    <t>% Capital</t>
  </si>
  <si>
    <t>Debt Refinancing</t>
  </si>
  <si>
    <t>Equity Payments</t>
  </si>
  <si>
    <t>Sponsor Equity</t>
  </si>
  <si>
    <t>Total Sources</t>
  </si>
  <si>
    <t>Total Uses</t>
  </si>
  <si>
    <t>Net Interest (Income) Expense</t>
  </si>
  <si>
    <t>Pre-tax income</t>
  </si>
  <si>
    <t>Income tax expenses (benefits)</t>
  </si>
  <si>
    <t>% tax rate</t>
  </si>
  <si>
    <t>Net income</t>
  </si>
  <si>
    <t>Intangibles excl. Goodwill</t>
  </si>
  <si>
    <t>r&amp;d conversion rate</t>
  </si>
  <si>
    <t>Cash Flow</t>
  </si>
  <si>
    <t>Levered Free Cash Flow</t>
  </si>
  <si>
    <t>Net Income</t>
  </si>
  <si>
    <t>Changes in NWC</t>
  </si>
  <si>
    <t>Leveraged Free Cash Flow</t>
  </si>
  <si>
    <t>Debt Schedule</t>
  </si>
  <si>
    <t>Beginning Balance</t>
  </si>
  <si>
    <t>Paydown</t>
  </si>
  <si>
    <t>Ending Balance</t>
  </si>
  <si>
    <t>Senior Note</t>
  </si>
  <si>
    <t>Total Debt</t>
  </si>
  <si>
    <t>LTM EBITDA at Exit</t>
  </si>
  <si>
    <t>Net Debt</t>
  </si>
  <si>
    <t>Sponsor Equity Value</t>
  </si>
  <si>
    <t>Sponsor Equity at Entry</t>
  </si>
  <si>
    <t>Monte-Carlo Simulations</t>
  </si>
  <si>
    <t>Tornado Chart – Effect on Price Target</t>
  </si>
  <si>
    <t>Reference Price Target</t>
  </si>
  <si>
    <t>Base Price Target</t>
  </si>
  <si>
    <t>Reference</t>
  </si>
  <si>
    <t>Gordon PT</t>
  </si>
  <si>
    <t>Base Gordon PT</t>
  </si>
  <si>
    <t xml:space="preserve">Historical VaR </t>
  </si>
  <si>
    <t xml:space="preserve">Parametric VaR </t>
  </si>
  <si>
    <t xml:space="preserve">Monte Carlos VaR </t>
  </si>
  <si>
    <t>EBITDA PT</t>
  </si>
  <si>
    <t>Base EBITDA PT</t>
  </si>
  <si>
    <t>Confidence Level 95.0%</t>
  </si>
  <si>
    <t>Revenue PT</t>
  </si>
  <si>
    <t>Base Revenue PT</t>
  </si>
  <si>
    <t>Confidence Level 99.0%</t>
  </si>
  <si>
    <t>Δ</t>
  </si>
  <si>
    <t>Δ Applied</t>
  </si>
  <si>
    <t>PT Low</t>
  </si>
  <si>
    <t>PT High</t>
  </si>
  <si>
    <t>Δ Low</t>
  </si>
  <si>
    <t>Δ High</t>
  </si>
  <si>
    <t>Max</t>
  </si>
  <si>
    <t>Capex Intensity</t>
  </si>
  <si>
    <t>COGS Margin</t>
  </si>
  <si>
    <t>SG&amp;A Margin</t>
  </si>
  <si>
    <t>Terminal g</t>
  </si>
  <si>
    <t>EBITDA Exit</t>
  </si>
  <si>
    <t>Revenue:</t>
  </si>
  <si>
    <t>Segment 1</t>
  </si>
  <si>
    <t>Segment 2</t>
  </si>
  <si>
    <t>Segment 3</t>
  </si>
  <si>
    <t>Segment 4</t>
  </si>
  <si>
    <t>Segment 5</t>
  </si>
  <si>
    <t>Cost of revenue:</t>
  </si>
  <si>
    <t>Cost of goods and services</t>
  </si>
  <si>
    <t>Depreciation &amp; amortization</t>
  </si>
  <si>
    <t>Total cost of revenue</t>
  </si>
  <si>
    <t>Operating expenses:</t>
  </si>
  <si>
    <t>Selling, general and administrative</t>
  </si>
  <si>
    <t>Depreciation and amortization</t>
  </si>
  <si>
    <t>Research and development</t>
  </si>
  <si>
    <t>Other operating expenses</t>
  </si>
  <si>
    <t>Total operating expenses</t>
  </si>
  <si>
    <t>Other operating income</t>
  </si>
  <si>
    <t>Operating income</t>
  </si>
  <si>
    <t>Non-operating (income) loss:</t>
  </si>
  <si>
    <t>Interest expense</t>
  </si>
  <si>
    <t>Interest income</t>
  </si>
  <si>
    <t>Net interest (income) expense</t>
  </si>
  <si>
    <t>Foreign exchange (gains) losses</t>
  </si>
  <si>
    <t>Other non-operating (income) expenses</t>
  </si>
  <si>
    <t>Total non-operating expenses</t>
  </si>
  <si>
    <t>Tax &amp; net income:</t>
  </si>
  <si>
    <t>Net extraordinary losses (gains)</t>
  </si>
  <si>
    <t>Net income including minority interest</t>
  </si>
  <si>
    <t>Attribution:</t>
  </si>
  <si>
    <t>Preferred dividends</t>
  </si>
  <si>
    <t>Income attributable to non-controlling interests</t>
  </si>
  <si>
    <t>Net income attributable to common shareholders</t>
  </si>
  <si>
    <t>Earnings per share:</t>
  </si>
  <si>
    <t>EPS basic</t>
  </si>
  <si>
    <t>EPS diluted</t>
  </si>
  <si>
    <t>Shares used in computing earnings per share:</t>
  </si>
  <si>
    <t>Basic weighted average shares</t>
  </si>
  <si>
    <t>Diluted weighted average shares</t>
  </si>
  <si>
    <t>Additional Items</t>
  </si>
  <si>
    <t>Depreciation (from opex)</t>
  </si>
  <si>
    <t>Amortization (form opex)</t>
  </si>
  <si>
    <t>Assets</t>
  </si>
  <si>
    <t>Current assets:</t>
  </si>
  <si>
    <t>Cash &amp; cash equivalents &amp; short-term investments</t>
  </si>
  <si>
    <t>Cash &amp; cash equivalents</t>
  </si>
  <si>
    <t>Short-term investments</t>
  </si>
  <si>
    <t>Accounts receivable</t>
  </si>
  <si>
    <t>Prepaid expenses and other current assets</t>
  </si>
  <si>
    <t>Total current assets</t>
  </si>
  <si>
    <t>Non-current assets:</t>
  </si>
  <si>
    <t>Gross PP&amp;E (Property, Plant and Equipment)</t>
  </si>
  <si>
    <t>Accumulated Depreciation</t>
  </si>
  <si>
    <t>Goodwill</t>
  </si>
  <si>
    <t>Other Non-Current Assets</t>
  </si>
  <si>
    <t>Total Non-Current Assets</t>
  </si>
  <si>
    <t>Total Assets</t>
  </si>
  <si>
    <t>Liabilities &amp; shareholders' equity</t>
  </si>
  <si>
    <t>Current Liabilities:</t>
  </si>
  <si>
    <t>Accounts payable</t>
  </si>
  <si>
    <t>Short-term borrowings</t>
  </si>
  <si>
    <t>Current portion of lease liabilities</t>
  </si>
  <si>
    <t>Accrued expenses and other current liabilities</t>
  </si>
  <si>
    <t>Total current liabilities</t>
  </si>
  <si>
    <t>Non-current liabilities:</t>
  </si>
  <si>
    <t>Long-term borrowings</t>
  </si>
  <si>
    <t>Long-term operating lease liabilities</t>
  </si>
  <si>
    <t>Other non-current liabilities</t>
  </si>
  <si>
    <t>Total non-current liabilities</t>
  </si>
  <si>
    <t>Total liabilities</t>
  </si>
  <si>
    <t>Shareholders' equity:</t>
  </si>
  <si>
    <t>Common equity</t>
  </si>
  <si>
    <t>Preferred equity</t>
  </si>
  <si>
    <t>Non-controlling interest</t>
  </si>
  <si>
    <t>Total equity</t>
  </si>
  <si>
    <t>Total liabilities and shareholders' equity</t>
  </si>
  <si>
    <t>Capitalized R&amp;D</t>
  </si>
  <si>
    <t>Cash and cash equivalents, beginning balances</t>
  </si>
  <si>
    <t>Operating activities:</t>
  </si>
  <si>
    <t>Adjustments to reconcile to cash from operations:</t>
  </si>
  <si>
    <t>Stock-based compensation expense</t>
  </si>
  <si>
    <t>Changes in working capital:</t>
  </si>
  <si>
    <t>Inventories</t>
  </si>
  <si>
    <t>Cash provided by operating activities</t>
  </si>
  <si>
    <t>Investing activities:</t>
  </si>
  <si>
    <t>Purchase of fixed assets and intangibles</t>
  </si>
  <si>
    <t>Disposal of fixed assets and intangibles</t>
  </si>
  <si>
    <t>Acquisitions</t>
  </si>
  <si>
    <t>Divestitures</t>
  </si>
  <si>
    <t>Joint Ventures</t>
  </si>
  <si>
    <t>Increase in long-term investments</t>
  </si>
  <si>
    <t>Decrease in long-term investments</t>
  </si>
  <si>
    <t>Other investing inflows/(outflows)</t>
  </si>
  <si>
    <t>Cash provided by/(used in) investing activities</t>
  </si>
  <si>
    <t>Financing activities:</t>
  </si>
  <si>
    <t>Payment of dividends</t>
  </si>
  <si>
    <t>Issuance (repurchase) of common shares</t>
  </si>
  <si>
    <t>Cash from (repayment) of short-term debt</t>
  </si>
  <si>
    <t>Proceeds from issuance of long-term debt</t>
  </si>
  <si>
    <t>Repayments of long-term debt</t>
  </si>
  <si>
    <t>Other financing inflows/(outflows)</t>
  </si>
  <si>
    <t>Cash provided by/(used in) financing activities</t>
  </si>
  <si>
    <t>Effects of foreign exchange</t>
  </si>
  <si>
    <t>Increase/(Decrease) in cash and cash equivalents</t>
  </si>
  <si>
    <t>Cash and cash equivalents, ending balances</t>
  </si>
  <si>
    <t>Income Statement – Sum of the Quarters = FY</t>
  </si>
  <si>
    <t>Income Statement - Metrics</t>
  </si>
  <si>
    <t>Balance Sheet - Metrics</t>
  </si>
  <si>
    <t>Cash Flow – Sum of the Quarters = FY</t>
  </si>
  <si>
    <t>Share-based compensation expense</t>
  </si>
  <si>
    <t>Cash Flow Statement – Metrics</t>
  </si>
  <si>
    <t>Stock Data</t>
  </si>
  <si>
    <t>Bridge</t>
  </si>
  <si>
    <t>Valuation</t>
  </si>
  <si>
    <t>Indexes</t>
  </si>
  <si>
    <t>CURRENCY</t>
  </si>
  <si>
    <t>BRL</t>
  </si>
  <si>
    <t>(+) Ordinary Stock Market Capitalization</t>
  </si>
  <si>
    <t>EV / Sales</t>
  </si>
  <si>
    <t>BRAZIL IBOVESPA INDEX</t>
  </si>
  <si>
    <t>IBOV Index</t>
  </si>
  <si>
    <t>FORMAT</t>
  </si>
  <si>
    <t>MLN</t>
  </si>
  <si>
    <t>(+) Preferred Stock Market Capitalization</t>
  </si>
  <si>
    <t>EV / EBITDA</t>
  </si>
  <si>
    <t>#N/A Mandatory parameter [SECURITY] cannot be empty</t>
  </si>
  <si>
    <t>TICKER</t>
  </si>
  <si>
    <t>AZZA3 BZ Equity</t>
  </si>
  <si>
    <t>(+) Non-controlling Interest</t>
  </si>
  <si>
    <t>P / E</t>
  </si>
  <si>
    <t>PREFERRED TICKER</t>
  </si>
  <si>
    <t>(+) Total Debt</t>
  </si>
  <si>
    <t>P / Sales</t>
  </si>
  <si>
    <t>Peers Formatting</t>
  </si>
  <si>
    <t>Year-end</t>
  </si>
  <si>
    <t>12/2024</t>
  </si>
  <si>
    <t>(-) Cash &amp; Cash Equivalents &amp; Short-term Investments</t>
  </si>
  <si>
    <t>Quarter-end</t>
  </si>
  <si>
    <t>06/25</t>
  </si>
  <si>
    <t>Tier I Peers</t>
  </si>
  <si>
    <t>GUAR3 BZ Equity</t>
  </si>
  <si>
    <t>VULC3 BZ Equity</t>
  </si>
  <si>
    <t>REDTAPE IN Equity</t>
  </si>
  <si>
    <t>LREN3 BZ Equity</t>
  </si>
  <si>
    <t>GRND3 BZ Equity</t>
  </si>
  <si>
    <t>2331 HK Equity</t>
  </si>
  <si>
    <t>CEAB3 BZ EQUITY</t>
  </si>
  <si>
    <t>ALPA4 BZ Equity</t>
  </si>
  <si>
    <t>6110 HK Equity</t>
  </si>
  <si>
    <t>AMAR3 BZ Equity</t>
  </si>
  <si>
    <t>SBFG3 BZ Equity</t>
  </si>
  <si>
    <t>1234 HK Equity</t>
  </si>
  <si>
    <t>VSTE3 BZ Equity</t>
  </si>
  <si>
    <t>TFCO4 BZ Equity</t>
  </si>
  <si>
    <t>603587 CH Equity</t>
  </si>
  <si>
    <t>Stock Returns vs Peers</t>
  </si>
  <si>
    <t>Out. Shares</t>
  </si>
  <si>
    <t>Market Cap</t>
  </si>
  <si>
    <t>Price / Sales</t>
  </si>
  <si>
    <t>Operating Income</t>
  </si>
  <si>
    <t>Capex</t>
  </si>
  <si>
    <t>Debt to Equity</t>
  </si>
  <si>
    <t>Operating Margin</t>
  </si>
  <si>
    <t>ROIC-to-WACC</t>
  </si>
  <si>
    <t>Capex-to-Sales</t>
  </si>
  <si>
    <t>Environmental Data</t>
  </si>
  <si>
    <t>GHG_SCOPE_1</t>
  </si>
  <si>
    <t>ENERGY_CONSUMPTION</t>
  </si>
  <si>
    <t>WATER_CONSMPTN</t>
  </si>
  <si>
    <t>Total Waste</t>
  </si>
  <si>
    <t>TOTAL_WASTE</t>
  </si>
  <si>
    <t>SALES_REV_TURN</t>
  </si>
  <si>
    <t>vs Index</t>
  </si>
  <si>
    <t>Stock Price</t>
  </si>
  <si>
    <t>Stock Returns</t>
  </si>
  <si>
    <t>Volume</t>
  </si>
  <si>
    <t>EQY_BETA</t>
  </si>
  <si>
    <t>RSI_PX_52WEEK</t>
  </si>
  <si>
    <t>MOV_AVG_100D</t>
  </si>
  <si>
    <t>VOLUME_AVG_30D</t>
  </si>
  <si>
    <t>EQY_SH_OUT</t>
  </si>
  <si>
    <t>EQY_FREE_FLOAT_PCT</t>
  </si>
  <si>
    <t>SI_PERCENT_EQUITY_FLOAT</t>
  </si>
  <si>
    <t>%Held by Insiders</t>
  </si>
  <si>
    <t>PCT_INSIDER_SHARES_OUT</t>
  </si>
  <si>
    <t>PCT_FLT_SHARES_INSTITUTIONS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</si>
</sst>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0.00\ &quot;€&quot;_-;\-* #,##0.00\ &quot;€&quot;_-;_-* &quot;-&quot;??\ &quot;€&quot;_-;_-@_-"/>
    <numFmt numFmtId="165" formatCode="0&quot;A&quot;"/>
    <numFmt numFmtId="166" formatCode="0&quot;E&quot;"/>
    <numFmt numFmtId="167" formatCode="_-* #,##0.00\ _€_-;\-* #,##0.00\ _€_-;_-* &quot;-&quot;??\ _€_-;_-@_-"/>
    <numFmt numFmtId="168" formatCode="0.0%"/>
    <numFmt numFmtId="169" formatCode="_(* #,##0_);_(* \(#,##0\);_(* &quot;-&quot;??_);_(@_)"/>
    <numFmt numFmtId="170" formatCode="0.0"/>
    <numFmt numFmtId="171" formatCode="_-[$₩-412]* #,##0_-;\-[$₩-412]* #,##0_-;_-[$₩-412]* &quot;-&quot;_-;_-@_-"/>
    <numFmt numFmtId="172" formatCode="0.0&quot;x&quot;"/>
    <numFmt numFmtId="173" formatCode="0.0\x"/>
    <numFmt numFmtId="174" formatCode="m/d/yy;@"/>
    <numFmt numFmtId="175" formatCode="#,##0.0_);\(#,##0.0\)"/>
    <numFmt numFmtId="176" formatCode="#,#00"/>
    <numFmt numFmtId="177" formatCode="[$₩-412]#,##0;\-[$₩-412]#,##0"/>
    <numFmt numFmtId="178" formatCode="#,#00.00"/>
    <numFmt numFmtId="179" formatCode="yyyy\-mm\-dd;@"/>
    <numFmt numFmtId="180" formatCode="#,##0_ ;\-#,##0\ "/>
    <numFmt numFmtId="181" formatCode="#,##0.0"/>
  </numFmts>
  <fonts count="89">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sz val="11"/>
      <color rgb="FF000000"/>
      <name val="Arial"/>
      <family val="2"/>
    </font>
    <font>
      <u/>
      <sz val="11"/>
      <color theme="10"/>
      <name val="Arial"/>
      <family val="2"/>
    </font>
    <font>
      <sz val="11"/>
      <name val="Arial"/>
      <family val="2"/>
    </font>
    <font>
      <sz val="10"/>
      <name val="Arial"/>
      <family val="2"/>
    </font>
    <font>
      <i/>
      <sz val="11"/>
      <color theme="1"/>
      <name val="Arial"/>
      <family val="2"/>
    </font>
    <font>
      <sz val="9"/>
      <color indexed="81"/>
      <name val="Tahoma"/>
      <family val="2"/>
    </font>
    <font>
      <sz val="11"/>
      <color rgb="FF00B050"/>
      <name val="Arial"/>
      <family val="2"/>
    </font>
    <font>
      <b/>
      <sz val="10"/>
      <color indexed="9"/>
      <name val="Arial"/>
      <family val="2"/>
    </font>
    <font>
      <b/>
      <sz val="11"/>
      <color indexed="9"/>
      <name val="Calibri"/>
      <family val="2"/>
    </font>
    <font>
      <sz val="12"/>
      <color theme="1"/>
      <name val="Arial Nova"/>
      <family val="2"/>
    </font>
    <font>
      <b/>
      <sz val="12"/>
      <color theme="0"/>
      <name val="Arial Nova"/>
      <family val="2"/>
    </font>
    <font>
      <sz val="12"/>
      <color theme="0"/>
      <name val="Arial Nova"/>
      <family val="2"/>
    </font>
    <font>
      <sz val="12"/>
      <name val="Arial Nova"/>
      <family val="2"/>
    </font>
    <font>
      <sz val="12"/>
      <color rgb="FF0070C0"/>
      <name val="Arial Nova"/>
      <family val="2"/>
    </font>
    <font>
      <sz val="12"/>
      <color rgb="FF000000"/>
      <name val="Arial Nova"/>
      <family val="2"/>
    </font>
    <font>
      <sz val="12"/>
      <color rgb="FF00B050"/>
      <name val="Arial Nova"/>
      <family val="2"/>
    </font>
    <font>
      <i/>
      <sz val="11"/>
      <color theme="0" tint="-0.499984740745262"/>
      <name val="Arial Nova"/>
      <family val="2"/>
    </font>
    <font>
      <i/>
      <sz val="11"/>
      <color rgb="FF0070C0"/>
      <name val="Arial Nova"/>
      <family val="2"/>
    </font>
    <font>
      <i/>
      <sz val="11"/>
      <name val="Arial Nova"/>
      <family val="2"/>
    </font>
    <font>
      <i/>
      <sz val="11"/>
      <color theme="1"/>
      <name val="Arial Nova"/>
      <family val="2"/>
    </font>
    <font>
      <sz val="11"/>
      <color rgb="FF0070C0"/>
      <name val="Arial Nova"/>
      <family val="2"/>
    </font>
    <font>
      <sz val="11"/>
      <name val="Arial Nova"/>
      <family val="2"/>
    </font>
    <font>
      <sz val="11"/>
      <color theme="1"/>
      <name val="Arial Nova"/>
      <family val="2"/>
    </font>
    <font>
      <i/>
      <sz val="12"/>
      <name val="Arial Nova"/>
      <family val="2"/>
    </font>
    <font>
      <i/>
      <sz val="12"/>
      <color rgb="FF00B050"/>
      <name val="Arial Nova"/>
      <family val="2"/>
    </font>
    <font>
      <i/>
      <sz val="11"/>
      <color theme="1" tint="0.499984740745262"/>
      <name val="Arial Nova"/>
      <family val="2"/>
    </font>
    <font>
      <i/>
      <sz val="12"/>
      <color theme="1"/>
      <name val="Arial Nova"/>
      <family val="2"/>
    </font>
    <font>
      <b/>
      <sz val="12"/>
      <color theme="1"/>
      <name val="Arial Nova"/>
      <family val="2"/>
    </font>
    <font>
      <b/>
      <sz val="11"/>
      <color theme="1"/>
      <name val="Arial Nova"/>
      <family val="2"/>
    </font>
    <font>
      <sz val="11"/>
      <color theme="0"/>
      <name val="Arial Nova"/>
      <family val="2"/>
    </font>
    <font>
      <i/>
      <sz val="12"/>
      <color theme="0" tint="-0.249977111117893"/>
      <name val="Arial Nova"/>
      <family val="2"/>
    </font>
    <font>
      <b/>
      <sz val="11"/>
      <color theme="0"/>
      <name val="Arial Nova"/>
      <family val="2"/>
    </font>
    <font>
      <sz val="11"/>
      <color rgb="FF7030A0"/>
      <name val="Arial Nova"/>
      <family val="2"/>
    </font>
    <font>
      <sz val="11"/>
      <color rgb="FF00B050"/>
      <name val="Arial Nova"/>
      <family val="2"/>
    </font>
    <font>
      <b/>
      <u/>
      <sz val="12"/>
      <color theme="0"/>
      <name val="Arial Nova"/>
      <family val="2"/>
    </font>
    <font>
      <sz val="11"/>
      <color theme="0" tint="-0.14999847407452621"/>
      <name val="Arial Nova"/>
      <family val="2"/>
    </font>
    <font>
      <i/>
      <sz val="11"/>
      <color theme="0"/>
      <name val="Arial Nova"/>
      <family val="2"/>
    </font>
    <font>
      <b/>
      <sz val="11"/>
      <name val="Arial Nova"/>
      <family val="2"/>
    </font>
    <font>
      <i/>
      <sz val="10"/>
      <color theme="0" tint="-0.499984740745262"/>
      <name val="Arial Nova"/>
      <family val="2"/>
    </font>
    <font>
      <i/>
      <sz val="12"/>
      <color theme="0"/>
      <name val="Arial Nova"/>
      <family val="2"/>
    </font>
    <font>
      <b/>
      <sz val="12"/>
      <color rgb="FF7B1314"/>
      <name val="Arial Nova"/>
      <family val="2"/>
    </font>
    <font>
      <sz val="12"/>
      <color rgb="FF7B1314"/>
      <name val="Arial Nova"/>
      <family val="2"/>
    </font>
    <font>
      <b/>
      <u/>
      <sz val="12"/>
      <color rgb="FF7B1314"/>
      <name val="Arial Nova"/>
      <family val="2"/>
    </font>
    <font>
      <sz val="11"/>
      <color rgb="FF7030A0"/>
      <name val="Arial"/>
      <family val="2"/>
    </font>
    <font>
      <i/>
      <sz val="11"/>
      <color theme="0" tint="-0.249977111117893"/>
      <name val="Arial Nova"/>
      <family val="2"/>
    </font>
    <font>
      <sz val="11"/>
      <color rgb="FF7B1314"/>
      <name val="Arial Nova"/>
      <family val="2"/>
    </font>
    <font>
      <sz val="11"/>
      <color theme="4"/>
      <name val="Arial Nova"/>
      <family val="2"/>
    </font>
    <font>
      <b/>
      <i/>
      <sz val="11"/>
      <color theme="1"/>
      <name val="Arial"/>
      <family val="2"/>
    </font>
    <font>
      <b/>
      <u/>
      <sz val="11"/>
      <color theme="0"/>
      <name val="Arial"/>
      <family val="2"/>
    </font>
    <font>
      <b/>
      <u/>
      <sz val="11"/>
      <name val="Arial Nova"/>
      <family val="2"/>
    </font>
    <font>
      <sz val="11"/>
      <color theme="0" tint="-0.499984740745262"/>
      <name val="Arial Nova"/>
      <family val="2"/>
    </font>
    <font>
      <sz val="11"/>
      <color rgb="FF000000"/>
      <name val="Arial Nova"/>
      <family val="2"/>
    </font>
    <font>
      <sz val="11"/>
      <color theme="1" tint="0.499984740745262"/>
      <name val="Arial Nova"/>
      <family val="2"/>
    </font>
    <font>
      <i/>
      <sz val="11"/>
      <color rgb="FF000000"/>
      <name val="Arial Nova"/>
      <family val="2"/>
    </font>
    <font>
      <b/>
      <i/>
      <sz val="11"/>
      <color theme="0" tint="-0.249977111117893"/>
      <name val="Arial Nova"/>
      <family val="2"/>
    </font>
    <font>
      <b/>
      <i/>
      <sz val="11"/>
      <color theme="1"/>
      <name val="Arial Nova"/>
      <family val="2"/>
    </font>
    <font>
      <u/>
      <sz val="11"/>
      <color theme="10"/>
      <name val="Arial Nova"/>
      <family val="2"/>
    </font>
    <font>
      <b/>
      <sz val="14"/>
      <color rgb="FF000000"/>
      <name val="Arial Nova"/>
      <family val="2"/>
    </font>
    <font>
      <b/>
      <sz val="8"/>
      <color theme="0" tint="-0.499984740745262"/>
      <name val="Arial Nova"/>
      <family val="2"/>
    </font>
    <font>
      <sz val="11"/>
      <color theme="2" tint="-0.499984740745262"/>
      <name val="Arial Nova"/>
      <family val="2"/>
    </font>
    <font>
      <b/>
      <sz val="8"/>
      <color theme="0"/>
      <name val="Arial Nova"/>
      <family val="2"/>
    </font>
    <font>
      <b/>
      <sz val="11"/>
      <name val="Arial"/>
      <family val="2"/>
    </font>
    <font>
      <b/>
      <u/>
      <sz val="11"/>
      <name val="Arial"/>
      <family val="2"/>
    </font>
    <font>
      <sz val="11"/>
      <color theme="1"/>
      <name val="Arial Nova"/>
      <family val="2"/>
    </font>
    <font>
      <b/>
      <sz val="11"/>
      <color theme="0"/>
      <name val="Arial Nova"/>
      <family val="2"/>
    </font>
    <font>
      <sz val="11"/>
      <color theme="0"/>
      <name val="Arial Nova"/>
      <family val="2"/>
    </font>
    <font>
      <sz val="9"/>
      <color rgb="FF000000"/>
      <name val="Arial Nova"/>
      <family val="2"/>
    </font>
    <font>
      <i/>
      <sz val="9"/>
      <color rgb="FF000000"/>
      <name val="Arial Nova"/>
      <family val="2"/>
    </font>
    <font>
      <b/>
      <sz val="8"/>
      <color theme="1"/>
      <name val="Arial Nova"/>
      <family val="2"/>
    </font>
    <font>
      <sz val="8"/>
      <color theme="1"/>
      <name val="Arial Nova"/>
      <family val="2"/>
    </font>
    <font>
      <b/>
      <sz val="8"/>
      <color rgb="FF7B1314"/>
      <name val="Arial Nova"/>
      <family val="2"/>
    </font>
    <font>
      <sz val="8"/>
      <color theme="0" tint="-0.499984740745262"/>
      <name val="Arial Nova"/>
      <family val="2"/>
    </font>
    <font>
      <i/>
      <sz val="7"/>
      <color theme="1"/>
      <name val="Arial Nova"/>
      <family val="2"/>
    </font>
    <font>
      <i/>
      <sz val="11"/>
      <color rgb="FF7B1314"/>
      <name val="Arial Nova"/>
      <family val="2"/>
    </font>
    <font>
      <i/>
      <sz val="11"/>
      <color theme="4"/>
      <name val="Arial Nova"/>
      <family val="2"/>
    </font>
    <font>
      <sz val="11"/>
      <color theme="0" tint="-0.249977111117893"/>
      <name val="Arial Nova"/>
      <family val="2"/>
    </font>
    <font>
      <b/>
      <sz val="9"/>
      <color indexed="81"/>
      <name val="Tahoma"/>
      <family val="2"/>
    </font>
    <font>
      <sz val="11"/>
      <color theme="1"/>
      <name val="Arial Nova"/>
      <family val="2"/>
    </font>
    <font>
      <b/>
      <sz val="11"/>
      <color rgb="FF00B050"/>
      <name val="Arial Nova"/>
      <family val="2"/>
    </font>
    <font>
      <sz val="11"/>
      <name val="Arial Nova"/>
      <family val="2"/>
    </font>
    <font>
      <i/>
      <sz val="11"/>
      <name val="Arial Nova"/>
      <family val="2"/>
    </font>
    <font>
      <i/>
      <sz val="10"/>
      <color theme="2" tint="-0.499984740745262"/>
      <name val="Arial Nova"/>
      <family val="2"/>
    </font>
    <font>
      <sz val="14"/>
      <color rgb="FF000000"/>
      <name val="-webkit-standard"/>
    </font>
  </fonts>
  <fills count="19">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4F81BD"/>
        <bgColor indexed="64"/>
      </patternFill>
    </fill>
    <fill>
      <p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781414"/>
        <bgColor indexed="64"/>
      </patternFill>
    </fill>
    <fill>
      <patternFill patternType="solid">
        <fgColor rgb="FFFFC000"/>
        <bgColor indexed="64"/>
      </patternFill>
    </fill>
    <fill>
      <patternFill patternType="solid">
        <fgColor theme="4"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rgb="FF00B050"/>
        <bgColor indexed="64"/>
      </patternFill>
    </fill>
  </fills>
  <borders count="30">
    <border>
      <left/>
      <right/>
      <top/>
      <bottom/>
      <diagonal/>
    </border>
    <border>
      <left/>
      <right/>
      <top/>
      <bottom style="thin">
        <color indexed="64"/>
      </bottom>
      <diagonal/>
    </border>
    <border>
      <left/>
      <right/>
      <top style="medium">
        <color auto="1"/>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style="thin">
        <color rgb="FF000000"/>
      </right>
      <top/>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theme="0"/>
      </bottom>
      <diagonal/>
    </border>
    <border>
      <left/>
      <right/>
      <top/>
      <bottom style="thin">
        <color theme="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indexed="64"/>
      </left>
      <right/>
      <top style="hair">
        <color indexed="64"/>
      </top>
      <bottom style="hair">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style="thin">
        <color indexed="64"/>
      </top>
      <bottom style="double">
        <color indexed="64"/>
      </bottom>
      <diagonal/>
    </border>
    <border>
      <left/>
      <right style="hair">
        <color indexed="64"/>
      </right>
      <top/>
      <bottom style="hair">
        <color indexed="64"/>
      </bottom>
      <diagonal/>
    </border>
    <border>
      <left/>
      <right/>
      <top/>
      <bottom style="medium">
        <color indexed="64"/>
      </bottom>
      <diagonal/>
    </border>
    <border>
      <left/>
      <right style="dotted">
        <color indexed="64"/>
      </right>
      <top/>
      <bottom style="thin">
        <color indexed="64"/>
      </bottom>
      <diagonal/>
    </border>
    <border>
      <left/>
      <right style="dotted">
        <color indexed="64"/>
      </right>
      <top/>
      <bottom/>
      <diagonal/>
    </border>
    <border>
      <left/>
      <right style="dotted">
        <color indexed="64"/>
      </right>
      <top style="thin">
        <color indexed="64"/>
      </top>
      <bottom/>
      <diagonal/>
    </border>
    <border>
      <left style="thin">
        <color indexed="64"/>
      </left>
      <right/>
      <top/>
      <bottom/>
      <diagonal/>
    </border>
  </borders>
  <cellStyleXfs count="14">
    <xf numFmtId="0" fontId="0" fillId="0" borderId="0"/>
    <xf numFmtId="167"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9" fontId="9" fillId="0" borderId="0" applyFont="0" applyFill="0" applyBorder="0" applyAlignment="0" applyProtection="0"/>
    <xf numFmtId="0" fontId="9" fillId="0" borderId="0"/>
    <xf numFmtId="0" fontId="9" fillId="0" borderId="0"/>
    <xf numFmtId="9" fontId="1" fillId="0" borderId="0" applyFont="0" applyFill="0" applyBorder="0" applyAlignment="0" applyProtection="0"/>
    <xf numFmtId="0" fontId="1" fillId="0" borderId="0"/>
    <xf numFmtId="164" fontId="2" fillId="0" borderId="0" applyFont="0" applyFill="0" applyBorder="0" applyAlignment="0" applyProtection="0"/>
    <xf numFmtId="0" fontId="1" fillId="0" borderId="0"/>
    <xf numFmtId="0" fontId="13" fillId="6" borderId="8">
      <alignment horizontal="right"/>
    </xf>
    <xf numFmtId="0" fontId="14" fillId="6" borderId="0"/>
    <xf numFmtId="0" fontId="9" fillId="0" borderId="0"/>
  </cellStyleXfs>
  <cellXfs count="760">
    <xf numFmtId="0" fontId="0" fillId="0" borderId="0" xfId="0"/>
    <xf numFmtId="0" fontId="3" fillId="0" borderId="0" xfId="0" applyFont="1"/>
    <xf numFmtId="0" fontId="4" fillId="2" borderId="0" xfId="0" applyFont="1" applyFill="1"/>
    <xf numFmtId="0" fontId="5" fillId="2" borderId="0" xfId="0" applyFont="1" applyFill="1"/>
    <xf numFmtId="0" fontId="8" fillId="0" borderId="0" xfId="0" applyFont="1"/>
    <xf numFmtId="0" fontId="3" fillId="0" borderId="0" xfId="0" applyFont="1" applyAlignment="1">
      <alignment horizontal="left" indent="1"/>
    </xf>
    <xf numFmtId="0" fontId="0" fillId="0" borderId="0" xfId="0" applyAlignment="1">
      <alignment horizontal="left" indent="1"/>
    </xf>
    <xf numFmtId="0" fontId="0" fillId="0" borderId="1" xfId="0" applyBorder="1"/>
    <xf numFmtId="37" fontId="3" fillId="0" borderId="0" xfId="0" applyNumberFormat="1" applyFont="1"/>
    <xf numFmtId="0" fontId="10" fillId="0" borderId="0" xfId="0" applyFont="1" applyAlignment="1">
      <alignment horizontal="left" indent="1"/>
    </xf>
    <xf numFmtId="0" fontId="2" fillId="0" borderId="0" xfId="0" applyFont="1"/>
    <xf numFmtId="3" fontId="2" fillId="0" borderId="0" xfId="0" applyNumberFormat="1" applyFont="1"/>
    <xf numFmtId="0" fontId="4" fillId="0" borderId="0" xfId="0" applyFont="1"/>
    <xf numFmtId="0" fontId="5" fillId="0" borderId="0" xfId="0" applyFont="1"/>
    <xf numFmtId="168" fontId="2" fillId="0" borderId="0" xfId="2" applyNumberFormat="1" applyFont="1"/>
    <xf numFmtId="14" fontId="0" fillId="0" borderId="0" xfId="0" applyNumberFormat="1"/>
    <xf numFmtId="0" fontId="0" fillId="0" borderId="1" xfId="0" applyBorder="1" applyAlignment="1">
      <alignment horizontal="left" indent="1"/>
    </xf>
    <xf numFmtId="0" fontId="15" fillId="0" borderId="0" xfId="0" applyFont="1"/>
    <xf numFmtId="0" fontId="17" fillId="2" borderId="0" xfId="0" applyFont="1" applyFill="1"/>
    <xf numFmtId="0" fontId="17" fillId="0" borderId="0" xfId="0" applyFont="1"/>
    <xf numFmtId="37" fontId="15" fillId="0" borderId="0" xfId="0" applyNumberFormat="1" applyFont="1"/>
    <xf numFmtId="0" fontId="22" fillId="0" borderId="0" xfId="0" applyFont="1"/>
    <xf numFmtId="0" fontId="25" fillId="0" borderId="0" xfId="0" applyFont="1"/>
    <xf numFmtId="0" fontId="28" fillId="0" borderId="0" xfId="0" applyFont="1"/>
    <xf numFmtId="37" fontId="28" fillId="0" borderId="0" xfId="0" applyNumberFormat="1" applyFont="1"/>
    <xf numFmtId="0" fontId="27" fillId="0" borderId="0" xfId="0" applyFont="1"/>
    <xf numFmtId="0" fontId="31" fillId="0" borderId="0" xfId="0" applyFont="1"/>
    <xf numFmtId="0" fontId="32" fillId="0" borderId="0" xfId="0" applyFont="1"/>
    <xf numFmtId="0" fontId="15" fillId="0" borderId="0" xfId="0" applyFont="1" applyAlignment="1">
      <alignment horizontal="left" indent="1"/>
    </xf>
    <xf numFmtId="0" fontId="32" fillId="0" borderId="0" xfId="0" applyFont="1" applyAlignment="1">
      <alignment horizontal="left" indent="1"/>
    </xf>
    <xf numFmtId="0" fontId="36" fillId="0" borderId="0" xfId="0" applyFont="1"/>
    <xf numFmtId="0" fontId="24" fillId="0" borderId="0" xfId="0" applyFont="1" applyAlignment="1">
      <alignment horizontal="left" indent="2"/>
    </xf>
    <xf numFmtId="0" fontId="35" fillId="2" borderId="0" xfId="0" applyFont="1" applyFill="1"/>
    <xf numFmtId="0" fontId="34" fillId="0" borderId="0" xfId="0" applyFont="1"/>
    <xf numFmtId="166" fontId="16" fillId="0" borderId="0" xfId="0" applyNumberFormat="1" applyFont="1"/>
    <xf numFmtId="0" fontId="17" fillId="10" borderId="0" xfId="0" applyFont="1" applyFill="1"/>
    <xf numFmtId="0" fontId="28" fillId="10" borderId="0" xfId="0" applyFont="1" applyFill="1"/>
    <xf numFmtId="0" fontId="37" fillId="2" borderId="0" xfId="0" applyFont="1" applyFill="1" applyAlignment="1">
      <alignment horizontal="right"/>
    </xf>
    <xf numFmtId="0" fontId="0" fillId="10" borderId="0" xfId="0" applyFill="1"/>
    <xf numFmtId="0" fontId="20" fillId="0" borderId="0" xfId="0" applyFont="1" applyAlignment="1">
      <alignment horizontal="left" indent="1"/>
    </xf>
    <xf numFmtId="2" fontId="0" fillId="0" borderId="0" xfId="0" applyNumberFormat="1"/>
    <xf numFmtId="0" fontId="15" fillId="0" borderId="0" xfId="0" applyFont="1" applyProtection="1">
      <protection locked="0"/>
    </xf>
    <xf numFmtId="0" fontId="33" fillId="0" borderId="0" xfId="0" applyFont="1" applyProtection="1">
      <protection locked="0"/>
    </xf>
    <xf numFmtId="0" fontId="17" fillId="0" borderId="0" xfId="0" applyFont="1" applyProtection="1">
      <protection locked="0"/>
    </xf>
    <xf numFmtId="0" fontId="41" fillId="0" borderId="0" xfId="0" applyFont="1" applyProtection="1">
      <protection locked="0"/>
    </xf>
    <xf numFmtId="0" fontId="28" fillId="0" borderId="0" xfId="0" applyFont="1" applyAlignment="1" applyProtection="1">
      <alignment horizontal="left" indent="1"/>
      <protection locked="0"/>
    </xf>
    <xf numFmtId="37" fontId="27" fillId="3" borderId="0" xfId="0" applyNumberFormat="1" applyFont="1" applyFill="1" applyProtection="1">
      <protection locked="0"/>
    </xf>
    <xf numFmtId="37" fontId="27" fillId="0" borderId="0" xfId="1" applyNumberFormat="1" applyFont="1" applyFill="1" applyProtection="1">
      <protection locked="0"/>
    </xf>
    <xf numFmtId="37" fontId="27" fillId="0" borderId="0" xfId="0" applyNumberFormat="1" applyFont="1"/>
    <xf numFmtId="37" fontId="27" fillId="0" borderId="3" xfId="1" applyNumberFormat="1" applyFont="1" applyFill="1" applyBorder="1" applyProtection="1"/>
    <xf numFmtId="37" fontId="39" fillId="3" borderId="0" xfId="0" applyNumberFormat="1" applyFont="1" applyFill="1" applyProtection="1">
      <protection locked="0"/>
    </xf>
    <xf numFmtId="37" fontId="27" fillId="0" borderId="0" xfId="1" applyNumberFormat="1" applyFont="1" applyFill="1" applyProtection="1"/>
    <xf numFmtId="37" fontId="39" fillId="0" borderId="0" xfId="1" applyNumberFormat="1" applyFont="1" applyFill="1" applyProtection="1">
      <protection locked="0"/>
    </xf>
    <xf numFmtId="37" fontId="39" fillId="0" borderId="0" xfId="1" applyNumberFormat="1" applyFont="1" applyFill="1" applyProtection="1"/>
    <xf numFmtId="3" fontId="27" fillId="0" borderId="0" xfId="0" applyNumberFormat="1" applyFont="1" applyProtection="1">
      <protection locked="0"/>
    </xf>
    <xf numFmtId="0" fontId="35" fillId="0" borderId="0" xfId="0" applyFont="1" applyProtection="1">
      <protection locked="0"/>
    </xf>
    <xf numFmtId="0" fontId="28" fillId="0" borderId="0" xfId="0" applyFont="1" applyAlignment="1" applyProtection="1">
      <alignment horizontal="left" indent="3"/>
      <protection locked="0"/>
    </xf>
    <xf numFmtId="37" fontId="27" fillId="0" borderId="0" xfId="1" applyNumberFormat="1" applyFont="1" applyFill="1" applyBorder="1" applyProtection="1">
      <protection locked="0"/>
    </xf>
    <xf numFmtId="37" fontId="39" fillId="0" borderId="0" xfId="1" applyNumberFormat="1" applyFont="1" applyFill="1" applyBorder="1" applyProtection="1">
      <protection locked="0"/>
    </xf>
    <xf numFmtId="0" fontId="28" fillId="0" borderId="0" xfId="0" applyFont="1" applyAlignment="1" applyProtection="1">
      <alignment horizontal="left" indent="5"/>
      <protection locked="0"/>
    </xf>
    <xf numFmtId="37" fontId="27" fillId="3" borderId="0" xfId="2" applyNumberFormat="1" applyFont="1" applyFill="1" applyBorder="1" applyProtection="1">
      <protection locked="0"/>
    </xf>
    <xf numFmtId="37" fontId="27" fillId="0" borderId="9" xfId="2" applyNumberFormat="1" applyFont="1" applyFill="1" applyBorder="1" applyProtection="1">
      <protection locked="0"/>
    </xf>
    <xf numFmtId="37" fontId="39" fillId="3" borderId="0" xfId="2" applyNumberFormat="1" applyFont="1" applyFill="1" applyBorder="1" applyProtection="1">
      <protection locked="0"/>
    </xf>
    <xf numFmtId="37" fontId="39" fillId="0" borderId="9" xfId="2" applyNumberFormat="1" applyFont="1" applyFill="1" applyBorder="1" applyProtection="1">
      <protection locked="0"/>
    </xf>
    <xf numFmtId="0" fontId="34" fillId="0" borderId="0" xfId="0" applyFont="1" applyAlignment="1" applyProtection="1">
      <alignment horizontal="left" indent="1"/>
      <protection locked="0"/>
    </xf>
    <xf numFmtId="0" fontId="28" fillId="0" borderId="0" xfId="0" applyFont="1" applyAlignment="1" applyProtection="1">
      <alignment horizontal="left" indent="2"/>
      <protection locked="0"/>
    </xf>
    <xf numFmtId="37" fontId="27" fillId="0" borderId="0" xfId="0" applyNumberFormat="1" applyFont="1" applyProtection="1">
      <protection locked="0"/>
    </xf>
    <xf numFmtId="37" fontId="27" fillId="4" borderId="0" xfId="1" applyNumberFormat="1" applyFont="1" applyFill="1" applyProtection="1"/>
    <xf numFmtId="37" fontId="39" fillId="0" borderId="0" xfId="0" applyNumberFormat="1" applyFont="1" applyProtection="1">
      <protection locked="0"/>
    </xf>
    <xf numFmtId="37" fontId="39" fillId="4" borderId="0" xfId="1" applyNumberFormat="1" applyFont="1" applyFill="1" applyProtection="1"/>
    <xf numFmtId="0" fontId="28" fillId="0" borderId="0" xfId="0" applyFont="1" applyAlignment="1" applyProtection="1">
      <alignment horizontal="left" indent="4"/>
      <protection locked="0"/>
    </xf>
    <xf numFmtId="37" fontId="27" fillId="0" borderId="0" xfId="1" applyNumberFormat="1" applyFont="1" applyFill="1" applyBorder="1" applyProtection="1"/>
    <xf numFmtId="37" fontId="39" fillId="0" borderId="0" xfId="1" applyNumberFormat="1" applyFont="1" applyFill="1" applyBorder="1" applyProtection="1"/>
    <xf numFmtId="0" fontId="22" fillId="0" borderId="0" xfId="0" applyFont="1" applyProtection="1">
      <protection locked="0"/>
    </xf>
    <xf numFmtId="37" fontId="27" fillId="0" borderId="1" xfId="0" applyNumberFormat="1" applyFont="1" applyBorder="1" applyProtection="1">
      <protection locked="0"/>
    </xf>
    <xf numFmtId="37" fontId="39" fillId="0" borderId="1" xfId="0" applyNumberFormat="1" applyFont="1" applyBorder="1" applyProtection="1">
      <protection locked="0"/>
    </xf>
    <xf numFmtId="0" fontId="28" fillId="0" borderId="0" xfId="0" applyFont="1" applyAlignment="1" applyProtection="1">
      <alignment horizontal="left" indent="6"/>
      <protection locked="0"/>
    </xf>
    <xf numFmtId="37" fontId="27" fillId="0" borderId="7" xfId="0" applyNumberFormat="1" applyFont="1" applyBorder="1" applyProtection="1">
      <protection locked="0"/>
    </xf>
    <xf numFmtId="37" fontId="39" fillId="0" borderId="7" xfId="0" applyNumberFormat="1" applyFont="1" applyBorder="1" applyProtection="1">
      <protection locked="0"/>
    </xf>
    <xf numFmtId="0" fontId="28" fillId="0" borderId="0" xfId="0" applyFont="1" applyAlignment="1" applyProtection="1">
      <alignment horizontal="left" indent="8"/>
      <protection locked="0"/>
    </xf>
    <xf numFmtId="0" fontId="22" fillId="0" borderId="0" xfId="0" applyFont="1" applyAlignment="1" applyProtection="1">
      <alignment horizontal="left" indent="3"/>
      <protection locked="0"/>
    </xf>
    <xf numFmtId="37" fontId="27" fillId="0" borderId="0" xfId="2" applyNumberFormat="1" applyFont="1" applyFill="1" applyProtection="1"/>
    <xf numFmtId="37" fontId="27" fillId="0" borderId="3" xfId="2" applyNumberFormat="1" applyFont="1" applyFill="1" applyBorder="1" applyProtection="1"/>
    <xf numFmtId="37" fontId="39" fillId="0" borderId="0" xfId="2" applyNumberFormat="1" applyFont="1" applyFill="1" applyProtection="1"/>
    <xf numFmtId="0" fontId="42" fillId="0" borderId="0" xfId="0" applyFont="1" applyProtection="1">
      <protection locked="0"/>
    </xf>
    <xf numFmtId="37" fontId="27" fillId="0" borderId="9" xfId="0" applyNumberFormat="1" applyFont="1" applyBorder="1" applyProtection="1">
      <protection locked="0"/>
    </xf>
    <xf numFmtId="37" fontId="27" fillId="0" borderId="0" xfId="2" applyNumberFormat="1" applyFont="1" applyFill="1" applyBorder="1" applyProtection="1"/>
    <xf numFmtId="37" fontId="39" fillId="0" borderId="0" xfId="2" applyNumberFormat="1" applyFont="1" applyFill="1" applyBorder="1" applyProtection="1"/>
    <xf numFmtId="37" fontId="27" fillId="4" borderId="0" xfId="2" applyNumberFormat="1" applyFont="1" applyFill="1" applyProtection="1"/>
    <xf numFmtId="37" fontId="39" fillId="4" borderId="0" xfId="2" applyNumberFormat="1" applyFont="1" applyFill="1" applyProtection="1"/>
    <xf numFmtId="0" fontId="28" fillId="0" borderId="0" xfId="0" applyFont="1" applyAlignment="1" applyProtection="1">
      <alignment horizontal="left" indent="10"/>
      <protection locked="0"/>
    </xf>
    <xf numFmtId="37" fontId="27" fillId="0" borderId="0" xfId="1" applyNumberFormat="1" applyFont="1" applyBorder="1" applyProtection="1"/>
    <xf numFmtId="37" fontId="27" fillId="0" borderId="0" xfId="1" applyNumberFormat="1" applyFont="1" applyProtection="1"/>
    <xf numFmtId="37" fontId="27" fillId="0" borderId="23" xfId="0" applyNumberFormat="1" applyFont="1" applyBorder="1" applyProtection="1">
      <protection locked="0"/>
    </xf>
    <xf numFmtId="37" fontId="39" fillId="0" borderId="23" xfId="0" applyNumberFormat="1" applyFont="1" applyBorder="1" applyProtection="1">
      <protection locked="0"/>
    </xf>
    <xf numFmtId="37" fontId="27" fillId="0" borderId="3" xfId="0" applyNumberFormat="1" applyFont="1" applyBorder="1"/>
    <xf numFmtId="37" fontId="39" fillId="0" borderId="0" xfId="0" applyNumberFormat="1" applyFont="1"/>
    <xf numFmtId="0" fontId="28" fillId="0" borderId="0" xfId="0" applyFont="1" applyProtection="1">
      <protection locked="0"/>
    </xf>
    <xf numFmtId="39" fontId="27" fillId="3" borderId="0" xfId="0" applyNumberFormat="1" applyFont="1" applyFill="1" applyProtection="1">
      <protection locked="0"/>
    </xf>
    <xf numFmtId="39" fontId="27" fillId="0" borderId="0" xfId="1" applyNumberFormat="1" applyFont="1" applyFill="1" applyProtection="1">
      <protection locked="0"/>
    </xf>
    <xf numFmtId="39" fontId="27" fillId="0" borderId="0" xfId="0" applyNumberFormat="1" applyFont="1"/>
    <xf numFmtId="39" fontId="27" fillId="0" borderId="3" xfId="0" applyNumberFormat="1" applyFont="1" applyBorder="1"/>
    <xf numFmtId="39" fontId="39" fillId="3" borderId="0" xfId="0" applyNumberFormat="1" applyFont="1" applyFill="1" applyProtection="1">
      <protection locked="0"/>
    </xf>
    <xf numFmtId="39" fontId="39" fillId="0" borderId="0" xfId="1" applyNumberFormat="1" applyFont="1" applyFill="1" applyProtection="1">
      <protection locked="0"/>
    </xf>
    <xf numFmtId="39" fontId="39" fillId="0" borderId="0" xfId="0" applyNumberFormat="1" applyFont="1"/>
    <xf numFmtId="0" fontId="34" fillId="0" borderId="0" xfId="0" applyFont="1" applyProtection="1">
      <protection locked="0"/>
    </xf>
    <xf numFmtId="0" fontId="43" fillId="0" borderId="0" xfId="0" applyFont="1" applyAlignment="1" applyProtection="1">
      <alignment horizontal="left" indent="1"/>
      <protection locked="0"/>
    </xf>
    <xf numFmtId="37" fontId="44" fillId="3" borderId="0" xfId="0" applyNumberFormat="1" applyFont="1" applyFill="1" applyProtection="1">
      <protection locked="0"/>
    </xf>
    <xf numFmtId="37" fontId="18" fillId="0" borderId="0" xfId="1" applyNumberFormat="1" applyFont="1" applyFill="1" applyProtection="1">
      <protection locked="0"/>
    </xf>
    <xf numFmtId="37" fontId="44" fillId="3" borderId="0" xfId="1" applyNumberFormat="1" applyFont="1" applyFill="1" applyProtection="1">
      <protection locked="0"/>
    </xf>
    <xf numFmtId="37" fontId="18" fillId="0" borderId="3" xfId="1" applyNumberFormat="1" applyFont="1" applyFill="1" applyBorder="1" applyProtection="1"/>
    <xf numFmtId="37" fontId="18" fillId="3" borderId="0" xfId="1" applyNumberFormat="1" applyFont="1" applyFill="1" applyBorder="1" applyProtection="1">
      <protection locked="0"/>
    </xf>
    <xf numFmtId="37" fontId="18" fillId="0" borderId="0" xfId="1" applyNumberFormat="1" applyFont="1" applyFill="1" applyProtection="1"/>
    <xf numFmtId="0" fontId="44" fillId="0" borderId="0" xfId="0" applyFont="1" applyProtection="1">
      <protection locked="0"/>
    </xf>
    <xf numFmtId="0" fontId="27" fillId="0" borderId="0" xfId="0" applyFont="1" applyAlignment="1" applyProtection="1">
      <alignment horizontal="left" indent="1"/>
      <protection locked="0"/>
    </xf>
    <xf numFmtId="0" fontId="44" fillId="0" borderId="0" xfId="0" applyFont="1"/>
    <xf numFmtId="37" fontId="44" fillId="0" borderId="0" xfId="0" applyNumberFormat="1" applyFont="1"/>
    <xf numFmtId="37" fontId="44" fillId="0" borderId="0" xfId="1" applyNumberFormat="1" applyFont="1" applyFill="1" applyProtection="1"/>
    <xf numFmtId="37" fontId="44" fillId="0" borderId="3" xfId="1" applyNumberFormat="1" applyFont="1" applyFill="1" applyBorder="1" applyProtection="1"/>
    <xf numFmtId="37" fontId="44" fillId="3" borderId="0" xfId="1" applyNumberFormat="1" applyFont="1" applyFill="1" applyBorder="1" applyProtection="1">
      <protection locked="0"/>
    </xf>
    <xf numFmtId="37" fontId="44" fillId="4" borderId="0" xfId="1" applyNumberFormat="1" applyFont="1" applyFill="1" applyProtection="1"/>
    <xf numFmtId="37" fontId="15" fillId="3" borderId="0" xfId="0" applyNumberFormat="1" applyFont="1" applyFill="1" applyProtection="1">
      <protection locked="0"/>
    </xf>
    <xf numFmtId="37" fontId="21" fillId="0" borderId="0" xfId="1" applyNumberFormat="1" applyFont="1" applyFill="1" applyProtection="1"/>
    <xf numFmtId="37" fontId="21" fillId="3" borderId="0" xfId="1" applyNumberFormat="1" applyFont="1" applyFill="1" applyProtection="1">
      <protection locked="0"/>
    </xf>
    <xf numFmtId="37" fontId="21" fillId="0" borderId="3" xfId="1" applyNumberFormat="1" applyFont="1" applyFill="1" applyBorder="1" applyProtection="1"/>
    <xf numFmtId="37" fontId="21" fillId="3" borderId="0" xfId="1" applyNumberFormat="1" applyFont="1" applyFill="1" applyBorder="1" applyProtection="1">
      <protection locked="0"/>
    </xf>
    <xf numFmtId="37" fontId="18" fillId="0" borderId="0" xfId="1" applyNumberFormat="1" applyFont="1" applyFill="1" applyBorder="1" applyProtection="1"/>
    <xf numFmtId="0" fontId="27" fillId="0" borderId="0" xfId="0" applyFont="1" applyAlignment="1" applyProtection="1">
      <alignment horizontal="left" indent="3"/>
      <protection locked="0"/>
    </xf>
    <xf numFmtId="37" fontId="44" fillId="0" borderId="0" xfId="1" applyNumberFormat="1" applyFont="1" applyFill="1" applyBorder="1" applyProtection="1"/>
    <xf numFmtId="37" fontId="44" fillId="0" borderId="0" xfId="2" applyNumberFormat="1" applyFont="1" applyFill="1" applyProtection="1"/>
    <xf numFmtId="37" fontId="44" fillId="0" borderId="3" xfId="2" applyNumberFormat="1" applyFont="1" applyFill="1" applyBorder="1" applyProtection="1"/>
    <xf numFmtId="37" fontId="31" fillId="0" borderId="0" xfId="0" applyNumberFormat="1" applyFont="1"/>
    <xf numFmtId="37" fontId="31" fillId="0" borderId="0" xfId="2" applyNumberFormat="1" applyFont="1" applyFill="1" applyProtection="1"/>
    <xf numFmtId="37" fontId="31" fillId="0" borderId="3" xfId="2" applyNumberFormat="1" applyFont="1" applyFill="1" applyBorder="1" applyProtection="1"/>
    <xf numFmtId="37" fontId="23" fillId="0" borderId="0" xfId="2" applyNumberFormat="1" applyFont="1" applyFill="1" applyProtection="1"/>
    <xf numFmtId="0" fontId="31" fillId="0" borderId="0" xfId="0" applyFont="1" applyProtection="1">
      <protection locked="0"/>
    </xf>
    <xf numFmtId="0" fontId="22" fillId="0" borderId="0" xfId="0" applyFont="1" applyAlignment="1" applyProtection="1">
      <alignment horizontal="left" indent="1"/>
      <protection locked="0"/>
    </xf>
    <xf numFmtId="37" fontId="19" fillId="0" borderId="0" xfId="2" applyNumberFormat="1" applyFont="1" applyFill="1" applyProtection="1"/>
    <xf numFmtId="0" fontId="27" fillId="0" borderId="0" xfId="0" applyFont="1" applyAlignment="1" applyProtection="1">
      <alignment horizontal="left" indent="5"/>
      <protection locked="0"/>
    </xf>
    <xf numFmtId="37" fontId="20" fillId="0" borderId="0" xfId="1" applyNumberFormat="1" applyFont="1" applyFill="1" applyProtection="1"/>
    <xf numFmtId="0" fontId="27" fillId="0" borderId="0" xfId="0" applyFont="1" applyAlignment="1" applyProtection="1">
      <alignment horizontal="left" indent="7"/>
      <protection locked="0"/>
    </xf>
    <xf numFmtId="37" fontId="44" fillId="0" borderId="0" xfId="2" applyNumberFormat="1" applyFont="1" applyFill="1" applyBorder="1" applyProtection="1"/>
    <xf numFmtId="0" fontId="45" fillId="0" borderId="0" xfId="0" applyFont="1" applyProtection="1">
      <protection locked="0"/>
    </xf>
    <xf numFmtId="0" fontId="15" fillId="0" borderId="0" xfId="0" applyFont="1" applyAlignment="1" applyProtection="1">
      <alignment horizontal="left" indent="1"/>
      <protection locked="0"/>
    </xf>
    <xf numFmtId="37" fontId="32" fillId="0" borderId="0" xfId="0" applyNumberFormat="1" applyFont="1"/>
    <xf numFmtId="37" fontId="30" fillId="0" borderId="0" xfId="1" applyNumberFormat="1" applyFont="1" applyFill="1" applyProtection="1"/>
    <xf numFmtId="37" fontId="30" fillId="0" borderId="3" xfId="1" applyNumberFormat="1" applyFont="1" applyFill="1" applyBorder="1" applyProtection="1"/>
    <xf numFmtId="0" fontId="32" fillId="0" borderId="0" xfId="0" applyFont="1" applyProtection="1">
      <protection locked="0"/>
    </xf>
    <xf numFmtId="37" fontId="20" fillId="0" borderId="0" xfId="1" applyNumberFormat="1" applyFont="1" applyProtection="1"/>
    <xf numFmtId="37" fontId="44" fillId="0" borderId="0" xfId="1" applyNumberFormat="1" applyFont="1" applyProtection="1"/>
    <xf numFmtId="37" fontId="15" fillId="0" borderId="3" xfId="0" applyNumberFormat="1" applyFont="1" applyBorder="1"/>
    <xf numFmtId="37" fontId="18" fillId="0" borderId="0" xfId="1" applyNumberFormat="1" applyFont="1" applyFill="1" applyAlignment="1" applyProtection="1">
      <alignment wrapText="1"/>
    </xf>
    <xf numFmtId="0" fontId="44" fillId="0" borderId="0" xfId="0" applyFont="1" applyAlignment="1" applyProtection="1">
      <alignment horizontal="left" indent="1"/>
      <protection locked="0"/>
    </xf>
    <xf numFmtId="37" fontId="44" fillId="0" borderId="3" xfId="0" applyNumberFormat="1" applyFont="1" applyBorder="1"/>
    <xf numFmtId="3" fontId="27" fillId="0" borderId="0" xfId="0" applyNumberFormat="1" applyFont="1" applyAlignment="1" applyProtection="1">
      <alignment horizontal="left" indent="1"/>
      <protection locked="0"/>
    </xf>
    <xf numFmtId="3" fontId="27" fillId="0" borderId="0" xfId="0" applyNumberFormat="1" applyFont="1" applyAlignment="1" applyProtection="1">
      <alignment horizontal="left" indent="3"/>
      <protection locked="0"/>
    </xf>
    <xf numFmtId="3" fontId="27" fillId="0" borderId="0" xfId="0" applyNumberFormat="1" applyFont="1" applyAlignment="1" applyProtection="1">
      <alignment horizontal="left" indent="5"/>
      <protection locked="0"/>
    </xf>
    <xf numFmtId="3" fontId="27" fillId="0" borderId="0" xfId="0" applyNumberFormat="1" applyFont="1" applyAlignment="1" applyProtection="1">
      <alignment horizontal="left" indent="7"/>
      <protection locked="0"/>
    </xf>
    <xf numFmtId="3" fontId="27" fillId="0" borderId="0" xfId="0" applyNumberFormat="1" applyFont="1" applyAlignment="1" applyProtection="1">
      <alignment horizontal="left" indent="2"/>
      <protection locked="0"/>
    </xf>
    <xf numFmtId="3" fontId="27" fillId="0" borderId="0" xfId="0" applyNumberFormat="1" applyFont="1" applyAlignment="1" applyProtection="1">
      <alignment horizontal="left" indent="4"/>
      <protection locked="0"/>
    </xf>
    <xf numFmtId="3" fontId="27" fillId="0" borderId="0" xfId="0" applyNumberFormat="1" applyFont="1" applyAlignment="1" applyProtection="1">
      <alignment horizontal="left" indent="6"/>
      <protection locked="0"/>
    </xf>
    <xf numFmtId="0" fontId="16" fillId="2" borderId="0" xfId="0" applyFont="1" applyFill="1" applyAlignment="1" applyProtection="1">
      <alignment horizontal="left"/>
      <protection locked="0"/>
    </xf>
    <xf numFmtId="0" fontId="17" fillId="2" borderId="0" xfId="0" applyFont="1" applyFill="1" applyProtection="1">
      <protection locked="0"/>
    </xf>
    <xf numFmtId="0" fontId="16" fillId="2" borderId="0" xfId="0" applyFont="1" applyFill="1" applyProtection="1">
      <protection locked="0"/>
    </xf>
    <xf numFmtId="0" fontId="16" fillId="2" borderId="0" xfId="0" applyFont="1" applyFill="1" applyAlignment="1" applyProtection="1">
      <alignment horizontal="left" indent="1"/>
      <protection locked="0"/>
    </xf>
    <xf numFmtId="165" fontId="16" fillId="2" borderId="0" xfId="0" applyNumberFormat="1" applyFont="1" applyFill="1" applyAlignment="1">
      <alignment horizontal="center"/>
    </xf>
    <xf numFmtId="166" fontId="16" fillId="2" borderId="10" xfId="0" applyNumberFormat="1" applyFont="1" applyFill="1" applyBorder="1" applyAlignment="1" applyProtection="1">
      <alignment horizontal="center"/>
      <protection locked="0"/>
    </xf>
    <xf numFmtId="165" fontId="40" fillId="2" borderId="0" xfId="0" applyNumberFormat="1" applyFont="1" applyFill="1" applyAlignment="1">
      <alignment horizontal="center"/>
    </xf>
    <xf numFmtId="165" fontId="16" fillId="2" borderId="0" xfId="0" applyNumberFormat="1" applyFont="1" applyFill="1" applyAlignment="1" applyProtection="1">
      <alignment horizontal="center"/>
      <protection locked="0"/>
    </xf>
    <xf numFmtId="0" fontId="47" fillId="2" borderId="0" xfId="0" applyFont="1" applyFill="1"/>
    <xf numFmtId="165" fontId="46" fillId="2" borderId="0" xfId="0" applyNumberFormat="1" applyFont="1" applyFill="1" applyAlignment="1">
      <alignment horizontal="center"/>
    </xf>
    <xf numFmtId="165" fontId="48" fillId="2" borderId="0" xfId="0" applyNumberFormat="1" applyFont="1" applyFill="1" applyAlignment="1">
      <alignment horizontal="center"/>
    </xf>
    <xf numFmtId="0" fontId="16" fillId="0" borderId="0" xfId="0" applyFont="1" applyProtection="1">
      <protection locked="0"/>
    </xf>
    <xf numFmtId="165" fontId="16" fillId="0" borderId="0" xfId="0" applyNumberFormat="1" applyFont="1" applyProtection="1">
      <protection locked="0"/>
    </xf>
    <xf numFmtId="165" fontId="16" fillId="0" borderId="0" xfId="0" applyNumberFormat="1" applyFont="1"/>
    <xf numFmtId="166" fontId="16" fillId="0" borderId="0" xfId="0" applyNumberFormat="1" applyFont="1" applyProtection="1">
      <protection locked="0"/>
    </xf>
    <xf numFmtId="0" fontId="16" fillId="10" borderId="0" xfId="0" applyFont="1" applyFill="1" applyProtection="1">
      <protection locked="0"/>
    </xf>
    <xf numFmtId="165" fontId="16" fillId="10" borderId="0" xfId="0" applyNumberFormat="1" applyFont="1" applyFill="1" applyProtection="1">
      <protection locked="0"/>
    </xf>
    <xf numFmtId="165" fontId="16" fillId="10" borderId="0" xfId="0" applyNumberFormat="1" applyFont="1" applyFill="1"/>
    <xf numFmtId="166" fontId="16" fillId="10" borderId="0" xfId="0" applyNumberFormat="1" applyFont="1" applyFill="1" applyProtection="1">
      <protection locked="0"/>
    </xf>
    <xf numFmtId="166" fontId="16" fillId="10" borderId="0" xfId="0" applyNumberFormat="1" applyFont="1" applyFill="1"/>
    <xf numFmtId="37" fontId="27" fillId="0" borderId="0" xfId="2" applyNumberFormat="1" applyFont="1" applyFill="1" applyBorder="1" applyProtection="1">
      <protection locked="0"/>
    </xf>
    <xf numFmtId="37" fontId="39" fillId="0" borderId="0" xfId="2" applyNumberFormat="1" applyFont="1" applyFill="1" applyBorder="1" applyProtection="1">
      <protection locked="0"/>
    </xf>
    <xf numFmtId="37" fontId="27" fillId="4" borderId="0" xfId="1" applyNumberFormat="1" applyFont="1" applyFill="1" applyBorder="1" applyProtection="1"/>
    <xf numFmtId="37" fontId="39" fillId="4" borderId="0" xfId="1" applyNumberFormat="1" applyFont="1" applyFill="1" applyBorder="1" applyProtection="1"/>
    <xf numFmtId="37" fontId="27" fillId="4" borderId="0" xfId="2" applyNumberFormat="1" applyFont="1" applyFill="1" applyBorder="1" applyProtection="1"/>
    <xf numFmtId="0" fontId="28" fillId="2" borderId="0" xfId="0" applyFont="1" applyFill="1"/>
    <xf numFmtId="37" fontId="27" fillId="2" borderId="0" xfId="0" applyNumberFormat="1" applyFont="1" applyFill="1" applyProtection="1">
      <protection locked="0"/>
    </xf>
    <xf numFmtId="37" fontId="27" fillId="2" borderId="0" xfId="1" applyNumberFormat="1" applyFont="1" applyFill="1" applyBorder="1" applyProtection="1">
      <protection locked="0"/>
    </xf>
    <xf numFmtId="37" fontId="27" fillId="2" borderId="0" xfId="1" applyNumberFormat="1" applyFont="1" applyFill="1" applyBorder="1" applyProtection="1"/>
    <xf numFmtId="37" fontId="39" fillId="2" borderId="0" xfId="0" applyNumberFormat="1" applyFont="1" applyFill="1" applyProtection="1">
      <protection locked="0"/>
    </xf>
    <xf numFmtId="37" fontId="39" fillId="2" borderId="0" xfId="1" applyNumberFormat="1" applyFont="1" applyFill="1" applyBorder="1" applyProtection="1">
      <protection locked="0"/>
    </xf>
    <xf numFmtId="37" fontId="39" fillId="2" borderId="0" xfId="1" applyNumberFormat="1" applyFont="1" applyFill="1" applyBorder="1" applyProtection="1"/>
    <xf numFmtId="3" fontId="27" fillId="2" borderId="0" xfId="0" applyNumberFormat="1" applyFont="1" applyFill="1" applyProtection="1">
      <protection locked="0"/>
    </xf>
    <xf numFmtId="0" fontId="28" fillId="10" borderId="0" xfId="0" applyFont="1" applyFill="1" applyAlignment="1" applyProtection="1">
      <alignment horizontal="left" indent="1"/>
      <protection locked="0"/>
    </xf>
    <xf numFmtId="37" fontId="27" fillId="10" borderId="0" xfId="0" applyNumberFormat="1" applyFont="1" applyFill="1" applyProtection="1">
      <protection locked="0"/>
    </xf>
    <xf numFmtId="37" fontId="27" fillId="10" borderId="0" xfId="1" applyNumberFormat="1" applyFont="1" applyFill="1" applyBorder="1" applyProtection="1">
      <protection locked="0"/>
    </xf>
    <xf numFmtId="37" fontId="27" fillId="10" borderId="0" xfId="1" applyNumberFormat="1" applyFont="1" applyFill="1" applyBorder="1" applyProtection="1"/>
    <xf numFmtId="37" fontId="39" fillId="10" borderId="0" xfId="0" applyNumberFormat="1" applyFont="1" applyFill="1" applyProtection="1">
      <protection locked="0"/>
    </xf>
    <xf numFmtId="37" fontId="39" fillId="10" borderId="0" xfId="1" applyNumberFormat="1" applyFont="1" applyFill="1" applyBorder="1" applyProtection="1">
      <protection locked="0"/>
    </xf>
    <xf numFmtId="37" fontId="39" fillId="10" borderId="0" xfId="1" applyNumberFormat="1" applyFont="1" applyFill="1" applyBorder="1" applyProtection="1"/>
    <xf numFmtId="3" fontId="27" fillId="10" borderId="0" xfId="0" applyNumberFormat="1" applyFont="1" applyFill="1" applyProtection="1">
      <protection locked="0"/>
    </xf>
    <xf numFmtId="165" fontId="46" fillId="2" borderId="0" xfId="0" applyNumberFormat="1" applyFont="1" applyFill="1" applyAlignment="1" applyProtection="1">
      <alignment horizontal="center"/>
      <protection locked="0"/>
    </xf>
    <xf numFmtId="166" fontId="46" fillId="2" borderId="0" xfId="0" applyNumberFormat="1" applyFont="1" applyFill="1" applyAlignment="1" applyProtection="1">
      <alignment horizontal="center"/>
      <protection locked="0"/>
    </xf>
    <xf numFmtId="165" fontId="16" fillId="0" borderId="3" xfId="0" applyNumberFormat="1" applyFont="1" applyBorder="1"/>
    <xf numFmtId="0" fontId="28" fillId="0" borderId="3" xfId="0" applyFont="1" applyBorder="1"/>
    <xf numFmtId="0" fontId="22" fillId="0" borderId="0" xfId="0" applyFont="1" applyAlignment="1" applyProtection="1">
      <alignment horizontal="left"/>
      <protection locked="0"/>
    </xf>
    <xf numFmtId="0" fontId="28" fillId="0" borderId="0" xfId="0" applyFont="1" applyAlignment="1" applyProtection="1">
      <alignment horizontal="left"/>
      <protection locked="0"/>
    </xf>
    <xf numFmtId="37" fontId="27"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protection locked="0"/>
    </xf>
    <xf numFmtId="37" fontId="27" fillId="0" borderId="0" xfId="0" applyNumberFormat="1" applyFont="1" applyAlignment="1">
      <alignment horizontal="right"/>
    </xf>
    <xf numFmtId="37" fontId="27" fillId="0" borderId="3" xfId="1" applyNumberFormat="1" applyFont="1" applyFill="1" applyBorder="1" applyAlignment="1" applyProtection="1">
      <alignment horizontal="right"/>
    </xf>
    <xf numFmtId="37" fontId="39"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xf>
    <xf numFmtId="37" fontId="39" fillId="0" borderId="0" xfId="1" applyNumberFormat="1" applyFont="1" applyFill="1" applyAlignment="1" applyProtection="1">
      <alignment horizontal="right"/>
      <protection locked="0"/>
    </xf>
    <xf numFmtId="37" fontId="39" fillId="0"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protection locked="0"/>
    </xf>
    <xf numFmtId="37" fontId="27" fillId="3" borderId="0" xfId="2" applyNumberFormat="1" applyFont="1" applyFill="1" applyBorder="1" applyAlignment="1" applyProtection="1">
      <alignment horizontal="right"/>
      <protection locked="0"/>
    </xf>
    <xf numFmtId="37" fontId="27" fillId="0" borderId="9" xfId="2" applyNumberFormat="1" applyFont="1" applyFill="1" applyBorder="1" applyAlignment="1" applyProtection="1">
      <alignment horizontal="right"/>
      <protection locked="0"/>
    </xf>
    <xf numFmtId="37" fontId="39" fillId="3" borderId="0" xfId="2" applyNumberFormat="1" applyFont="1" applyFill="1" applyBorder="1" applyAlignment="1" applyProtection="1">
      <alignment horizontal="right"/>
      <protection locked="0"/>
    </xf>
    <xf numFmtId="37" fontId="27" fillId="0" borderId="0" xfId="0" applyNumberFormat="1" applyFont="1" applyAlignment="1" applyProtection="1">
      <alignment horizontal="right"/>
      <protection locked="0"/>
    </xf>
    <xf numFmtId="37" fontId="27" fillId="4" borderId="0" xfId="1" applyNumberFormat="1" applyFont="1" applyFill="1" applyAlignment="1" applyProtection="1">
      <alignment horizontal="right"/>
    </xf>
    <xf numFmtId="37" fontId="39" fillId="0" borderId="0" xfId="0" applyNumberFormat="1" applyFont="1" applyAlignment="1" applyProtection="1">
      <alignment horizontal="right"/>
      <protection locked="0"/>
    </xf>
    <xf numFmtId="37" fontId="39" fillId="4"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xf>
    <xf numFmtId="37" fontId="39" fillId="0" borderId="0" xfId="1" applyNumberFormat="1" applyFont="1" applyFill="1" applyBorder="1" applyAlignment="1" applyProtection="1">
      <alignment horizontal="right"/>
    </xf>
    <xf numFmtId="37" fontId="27" fillId="0" borderId="1" xfId="0" applyNumberFormat="1" applyFont="1" applyBorder="1" applyAlignment="1" applyProtection="1">
      <alignment horizontal="right"/>
      <protection locked="0"/>
    </xf>
    <xf numFmtId="37" fontId="27" fillId="0" borderId="7" xfId="0" applyNumberFormat="1" applyFont="1" applyBorder="1" applyAlignment="1" applyProtection="1">
      <alignment horizontal="right"/>
      <protection locked="0"/>
    </xf>
    <xf numFmtId="37" fontId="27" fillId="0" borderId="0" xfId="2" applyNumberFormat="1" applyFont="1" applyFill="1" applyAlignment="1" applyProtection="1">
      <alignment horizontal="right"/>
    </xf>
    <xf numFmtId="37" fontId="27" fillId="0" borderId="3" xfId="2" applyNumberFormat="1" applyFont="1" applyFill="1" applyBorder="1" applyAlignment="1" applyProtection="1">
      <alignment horizontal="right"/>
    </xf>
    <xf numFmtId="37" fontId="39" fillId="0" borderId="0" xfId="2" applyNumberFormat="1" applyFont="1" applyFill="1" applyAlignment="1" applyProtection="1">
      <alignment horizontal="right"/>
    </xf>
    <xf numFmtId="37" fontId="27" fillId="0" borderId="9" xfId="0" applyNumberFormat="1" applyFont="1" applyBorder="1" applyAlignment="1" applyProtection="1">
      <alignment horizontal="right"/>
      <protection locked="0"/>
    </xf>
    <xf numFmtId="37" fontId="27" fillId="0" borderId="0" xfId="2" applyNumberFormat="1" applyFont="1" applyFill="1" applyBorder="1" applyAlignment="1" applyProtection="1">
      <alignment horizontal="right"/>
    </xf>
    <xf numFmtId="37" fontId="27" fillId="4" borderId="0" xfId="2" applyNumberFormat="1" applyFont="1" applyFill="1" applyAlignment="1" applyProtection="1">
      <alignment horizontal="right"/>
    </xf>
    <xf numFmtId="37" fontId="39" fillId="4" borderId="0" xfId="2" applyNumberFormat="1" applyFont="1" applyFill="1" applyAlignment="1" applyProtection="1">
      <alignment horizontal="right"/>
    </xf>
    <xf numFmtId="37" fontId="27" fillId="0" borderId="0" xfId="1" applyNumberFormat="1" applyFont="1" applyBorder="1" applyAlignment="1" applyProtection="1">
      <alignment horizontal="right"/>
    </xf>
    <xf numFmtId="37" fontId="27" fillId="0" borderId="0" xfId="1" applyNumberFormat="1" applyFont="1" applyAlignment="1" applyProtection="1">
      <alignment horizontal="right"/>
    </xf>
    <xf numFmtId="37" fontId="27" fillId="0" borderId="23" xfId="0" applyNumberFormat="1" applyFont="1" applyBorder="1" applyAlignment="1" applyProtection="1">
      <alignment horizontal="right"/>
      <protection locked="0"/>
    </xf>
    <xf numFmtId="37" fontId="27" fillId="0" borderId="3" xfId="0" applyNumberFormat="1" applyFont="1" applyBorder="1" applyAlignment="1">
      <alignment horizontal="right"/>
    </xf>
    <xf numFmtId="37" fontId="39" fillId="0" borderId="0" xfId="0" applyNumberFormat="1" applyFont="1" applyAlignment="1">
      <alignment horizontal="right"/>
    </xf>
    <xf numFmtId="39" fontId="27" fillId="3" borderId="0" xfId="0" applyNumberFormat="1" applyFont="1" applyFill="1" applyAlignment="1" applyProtection="1">
      <alignment horizontal="right"/>
      <protection locked="0"/>
    </xf>
    <xf numFmtId="39" fontId="27" fillId="0" borderId="0" xfId="1" applyNumberFormat="1" applyFont="1" applyFill="1" applyAlignment="1" applyProtection="1">
      <alignment horizontal="right"/>
      <protection locked="0"/>
    </xf>
    <xf numFmtId="39" fontId="27" fillId="0" borderId="0" xfId="0" applyNumberFormat="1" applyFont="1" applyAlignment="1">
      <alignment horizontal="right"/>
    </xf>
    <xf numFmtId="39" fontId="27" fillId="0" borderId="3" xfId="0" applyNumberFormat="1" applyFont="1" applyBorder="1" applyAlignment="1">
      <alignment horizontal="right"/>
    </xf>
    <xf numFmtId="39" fontId="39" fillId="3" borderId="0" xfId="0" applyNumberFormat="1" applyFont="1" applyFill="1" applyAlignment="1" applyProtection="1">
      <alignment horizontal="right"/>
      <protection locked="0"/>
    </xf>
    <xf numFmtId="39" fontId="39" fillId="0" borderId="0" xfId="0" applyNumberFormat="1" applyFont="1" applyAlignment="1">
      <alignment horizontal="right"/>
    </xf>
    <xf numFmtId="3" fontId="27" fillId="0" borderId="0" xfId="0" applyNumberFormat="1" applyFont="1" applyAlignment="1" applyProtection="1">
      <alignment horizontal="right"/>
      <protection locked="0"/>
    </xf>
    <xf numFmtId="37" fontId="39" fillId="0" borderId="0" xfId="1" applyNumberFormat="1" applyFont="1" applyAlignment="1" applyProtection="1">
      <alignment horizontal="right"/>
    </xf>
    <xf numFmtId="37" fontId="15" fillId="0" borderId="0" xfId="0" applyNumberFormat="1" applyFont="1" applyAlignment="1">
      <alignment horizontal="right"/>
    </xf>
    <xf numFmtId="37" fontId="44" fillId="3" borderId="0" xfId="0" applyNumberFormat="1" applyFont="1" applyFill="1" applyAlignment="1" applyProtection="1">
      <alignment horizontal="right"/>
      <protection locked="0"/>
    </xf>
    <xf numFmtId="37" fontId="18" fillId="0" borderId="0" xfId="1" applyNumberFormat="1" applyFont="1" applyFill="1" applyAlignment="1" applyProtection="1">
      <alignment horizontal="right"/>
      <protection locked="0"/>
    </xf>
    <xf numFmtId="37" fontId="44" fillId="3" borderId="0" xfId="1" applyNumberFormat="1" applyFont="1" applyFill="1" applyAlignment="1" applyProtection="1">
      <alignment horizontal="right"/>
      <protection locked="0"/>
    </xf>
    <xf numFmtId="37" fontId="18" fillId="0" borderId="3" xfId="1" applyNumberFormat="1" applyFont="1" applyFill="1" applyBorder="1" applyAlignment="1" applyProtection="1">
      <alignment horizontal="right"/>
    </xf>
    <xf numFmtId="37" fontId="18" fillId="3" borderId="0" xfId="1" applyNumberFormat="1" applyFont="1" applyFill="1" applyBorder="1" applyAlignment="1" applyProtection="1">
      <alignment horizontal="right"/>
      <protection locked="0"/>
    </xf>
    <xf numFmtId="37" fontId="18" fillId="0" borderId="0" xfId="1" applyNumberFormat="1" applyFont="1" applyFill="1" applyAlignment="1" applyProtection="1">
      <alignment horizontal="right"/>
    </xf>
    <xf numFmtId="0" fontId="15" fillId="0" borderId="0" xfId="0" applyFont="1" applyAlignment="1" applyProtection="1">
      <alignment horizontal="right"/>
      <protection locked="0"/>
    </xf>
    <xf numFmtId="37" fontId="44" fillId="0" borderId="0" xfId="0" applyNumberFormat="1" applyFont="1" applyAlignment="1">
      <alignment horizontal="right"/>
    </xf>
    <xf numFmtId="37" fontId="44" fillId="0" borderId="0" xfId="1" applyNumberFormat="1" applyFont="1" applyFill="1" applyAlignment="1" applyProtection="1">
      <alignment horizontal="right"/>
    </xf>
    <xf numFmtId="37" fontId="44" fillId="0" borderId="3" xfId="1" applyNumberFormat="1" applyFont="1" applyFill="1" applyBorder="1" applyAlignment="1" applyProtection="1">
      <alignment horizontal="right"/>
    </xf>
    <xf numFmtId="37" fontId="44" fillId="3" borderId="0" xfId="1" applyNumberFormat="1" applyFont="1" applyFill="1" applyBorder="1" applyAlignment="1" applyProtection="1">
      <alignment horizontal="right"/>
      <protection locked="0"/>
    </xf>
    <xf numFmtId="37" fontId="44" fillId="4" borderId="0" xfId="1" applyNumberFormat="1" applyFont="1" applyFill="1" applyAlignment="1" applyProtection="1">
      <alignment horizontal="right"/>
    </xf>
    <xf numFmtId="0" fontId="44" fillId="0" borderId="0" xfId="0" applyFont="1" applyAlignment="1" applyProtection="1">
      <alignment horizontal="right"/>
      <protection locked="0"/>
    </xf>
    <xf numFmtId="37" fontId="15" fillId="3" borderId="0" xfId="0" applyNumberFormat="1" applyFont="1" applyFill="1" applyAlignment="1" applyProtection="1">
      <alignment horizontal="right"/>
      <protection locked="0"/>
    </xf>
    <xf numFmtId="37" fontId="21" fillId="0" borderId="0" xfId="1" applyNumberFormat="1" applyFont="1" applyFill="1" applyAlignment="1" applyProtection="1">
      <alignment horizontal="right"/>
    </xf>
    <xf numFmtId="37" fontId="21" fillId="3" borderId="0" xfId="1" applyNumberFormat="1" applyFont="1" applyFill="1" applyAlignment="1" applyProtection="1">
      <alignment horizontal="right"/>
      <protection locked="0"/>
    </xf>
    <xf numFmtId="37" fontId="21" fillId="0" borderId="3" xfId="1" applyNumberFormat="1" applyFont="1" applyFill="1" applyBorder="1" applyAlignment="1" applyProtection="1">
      <alignment horizontal="right"/>
    </xf>
    <xf numFmtId="37" fontId="21" fillId="3" borderId="0" xfId="1" applyNumberFormat="1" applyFont="1" applyFill="1" applyBorder="1" applyAlignment="1" applyProtection="1">
      <alignment horizontal="right"/>
      <protection locked="0"/>
    </xf>
    <xf numFmtId="37" fontId="18" fillId="0" borderId="0" xfId="1" applyNumberFormat="1" applyFont="1" applyFill="1" applyBorder="1" applyAlignment="1" applyProtection="1">
      <alignment horizontal="right"/>
    </xf>
    <xf numFmtId="37" fontId="31" fillId="0" borderId="0" xfId="0" applyNumberFormat="1" applyFont="1" applyAlignment="1">
      <alignment horizontal="right"/>
    </xf>
    <xf numFmtId="37" fontId="31" fillId="0" borderId="0" xfId="2" applyNumberFormat="1" applyFont="1" applyFill="1" applyAlignment="1" applyProtection="1">
      <alignment horizontal="right"/>
    </xf>
    <xf numFmtId="37" fontId="31" fillId="0" borderId="3" xfId="2" applyNumberFormat="1" applyFont="1" applyFill="1" applyBorder="1" applyAlignment="1" applyProtection="1">
      <alignment horizontal="right"/>
    </xf>
    <xf numFmtId="37" fontId="23" fillId="0" borderId="0" xfId="2" applyNumberFormat="1" applyFont="1" applyFill="1" applyAlignment="1" applyProtection="1">
      <alignment horizontal="right"/>
    </xf>
    <xf numFmtId="0" fontId="31" fillId="0" borderId="0" xfId="0" applyFont="1" applyAlignment="1" applyProtection="1">
      <alignment horizontal="right"/>
      <protection locked="0"/>
    </xf>
    <xf numFmtId="37" fontId="44" fillId="0" borderId="0" xfId="2" applyNumberFormat="1" applyFont="1" applyFill="1" applyAlignment="1" applyProtection="1">
      <alignment horizontal="right"/>
    </xf>
    <xf numFmtId="37" fontId="44" fillId="0" borderId="3" xfId="2" applyNumberFormat="1" applyFont="1" applyFill="1" applyBorder="1" applyAlignment="1" applyProtection="1">
      <alignment horizontal="right"/>
    </xf>
    <xf numFmtId="37" fontId="20" fillId="0" borderId="0" xfId="1" applyNumberFormat="1" applyFont="1" applyFill="1" applyAlignment="1" applyProtection="1">
      <alignment horizontal="right"/>
    </xf>
    <xf numFmtId="37" fontId="44" fillId="0" borderId="0" xfId="2" applyNumberFormat="1" applyFont="1" applyFill="1" applyBorder="1" applyAlignment="1" applyProtection="1">
      <alignment horizontal="right"/>
    </xf>
    <xf numFmtId="37" fontId="32" fillId="0" borderId="0" xfId="0" applyNumberFormat="1" applyFont="1" applyAlignment="1">
      <alignment horizontal="right"/>
    </xf>
    <xf numFmtId="37" fontId="30" fillId="0" borderId="0" xfId="1" applyNumberFormat="1" applyFont="1" applyFill="1" applyAlignment="1" applyProtection="1">
      <alignment horizontal="right"/>
    </xf>
    <xf numFmtId="37" fontId="30" fillId="0" borderId="3" xfId="1" applyNumberFormat="1" applyFont="1" applyFill="1" applyBorder="1" applyAlignment="1" applyProtection="1">
      <alignment horizontal="right"/>
    </xf>
    <xf numFmtId="37" fontId="29" fillId="0" borderId="0" xfId="1" applyNumberFormat="1" applyFont="1" applyFill="1" applyAlignment="1" applyProtection="1">
      <alignment horizontal="right"/>
    </xf>
    <xf numFmtId="0" fontId="32" fillId="0" borderId="0" xfId="0" applyFont="1" applyAlignment="1" applyProtection="1">
      <alignment horizontal="right"/>
      <protection locked="0"/>
    </xf>
    <xf numFmtId="37" fontId="20" fillId="0" borderId="0" xfId="1" applyNumberFormat="1" applyFont="1" applyAlignment="1" applyProtection="1">
      <alignment horizontal="right"/>
    </xf>
    <xf numFmtId="37" fontId="44" fillId="0" borderId="0" xfId="1" applyNumberFormat="1" applyFont="1" applyAlignment="1" applyProtection="1">
      <alignment horizontal="right"/>
    </xf>
    <xf numFmtId="37" fontId="15" fillId="0" borderId="3" xfId="0" applyNumberFormat="1" applyFont="1" applyBorder="1" applyAlignment="1">
      <alignment horizontal="right"/>
    </xf>
    <xf numFmtId="37" fontId="44" fillId="0" borderId="3" xfId="0" applyNumberFormat="1" applyFont="1" applyBorder="1" applyAlignment="1">
      <alignment horizontal="right"/>
    </xf>
    <xf numFmtId="0" fontId="28" fillId="2" borderId="0" xfId="0" applyFont="1" applyFill="1" applyProtection="1">
      <protection locked="0"/>
    </xf>
    <xf numFmtId="0" fontId="34" fillId="2" borderId="0" xfId="0" applyFont="1" applyFill="1" applyProtection="1">
      <protection locked="0"/>
    </xf>
    <xf numFmtId="0" fontId="28" fillId="10" borderId="0" xfId="0" applyFont="1" applyFill="1" applyProtection="1">
      <protection locked="0"/>
    </xf>
    <xf numFmtId="0" fontId="34" fillId="10" borderId="0" xfId="0" applyFont="1" applyFill="1" applyProtection="1">
      <protection locked="0"/>
    </xf>
    <xf numFmtId="0" fontId="28" fillId="3" borderId="0" xfId="0" applyFont="1" applyFill="1" applyProtection="1">
      <protection locked="0"/>
    </xf>
    <xf numFmtId="0" fontId="34" fillId="11" borderId="7" xfId="0" applyFont="1" applyFill="1" applyBorder="1" applyProtection="1">
      <protection locked="0"/>
    </xf>
    <xf numFmtId="0" fontId="34" fillId="11" borderId="19" xfId="0" applyFont="1" applyFill="1" applyBorder="1" applyAlignment="1" applyProtection="1">
      <alignment horizontal="left" indent="1"/>
      <protection locked="0"/>
    </xf>
    <xf numFmtId="0" fontId="34" fillId="11" borderId="7" xfId="0" applyFont="1" applyFill="1" applyBorder="1"/>
    <xf numFmtId="10" fontId="28" fillId="0" borderId="0" xfId="0" applyNumberFormat="1" applyFont="1" applyProtection="1">
      <protection locked="0"/>
    </xf>
    <xf numFmtId="0" fontId="27" fillId="0" borderId="0" xfId="0" applyFont="1" applyProtection="1">
      <protection locked="0"/>
    </xf>
    <xf numFmtId="10" fontId="27" fillId="0" borderId="0" xfId="0" applyNumberFormat="1" applyFont="1" applyProtection="1">
      <protection locked="0"/>
    </xf>
    <xf numFmtId="2" fontId="28" fillId="0" borderId="0" xfId="0" applyNumberFormat="1" applyFont="1" applyProtection="1">
      <protection locked="0"/>
    </xf>
    <xf numFmtId="2" fontId="27" fillId="0" borderId="0" xfId="0" applyNumberFormat="1" applyFont="1" applyProtection="1">
      <protection locked="0"/>
    </xf>
    <xf numFmtId="0" fontId="34" fillId="11" borderId="19" xfId="0" applyFont="1" applyFill="1" applyBorder="1" applyProtection="1">
      <protection locked="0"/>
    </xf>
    <xf numFmtId="37" fontId="38" fillId="3" borderId="0" xfId="0" applyNumberFormat="1" applyFont="1" applyFill="1" applyProtection="1">
      <protection locked="0"/>
    </xf>
    <xf numFmtId="0" fontId="15" fillId="0" borderId="0" xfId="0" applyFont="1" applyAlignment="1">
      <alignment horizontal="left" indent="3"/>
    </xf>
    <xf numFmtId="0" fontId="24" fillId="0" borderId="0" xfId="0" applyFont="1" applyAlignment="1">
      <alignment horizontal="left" indent="4"/>
    </xf>
    <xf numFmtId="174" fontId="0" fillId="0" borderId="0" xfId="0" applyNumberFormat="1"/>
    <xf numFmtId="39" fontId="0" fillId="0" borderId="0" xfId="0" applyNumberFormat="1"/>
    <xf numFmtId="168" fontId="24" fillId="3" borderId="0" xfId="2" applyNumberFormat="1" applyFont="1" applyFill="1" applyProtection="1">
      <protection locked="0"/>
    </xf>
    <xf numFmtId="168" fontId="24" fillId="0" borderId="0" xfId="2" applyNumberFormat="1" applyFont="1" applyFill="1" applyBorder="1" applyProtection="1">
      <protection locked="0"/>
    </xf>
    <xf numFmtId="168" fontId="24" fillId="3" borderId="0" xfId="2" applyNumberFormat="1" applyFont="1" applyFill="1" applyBorder="1" applyProtection="1">
      <protection locked="0"/>
    </xf>
    <xf numFmtId="168" fontId="24" fillId="0" borderId="0" xfId="2" applyNumberFormat="1" applyFont="1" applyProtection="1">
      <protection locked="0"/>
    </xf>
    <xf numFmtId="168" fontId="39" fillId="3" borderId="0" xfId="2" applyNumberFormat="1" applyFont="1" applyFill="1" applyProtection="1">
      <protection locked="0"/>
    </xf>
    <xf numFmtId="168" fontId="39" fillId="0" borderId="0" xfId="2" applyNumberFormat="1" applyFont="1" applyProtection="1">
      <protection locked="0"/>
    </xf>
    <xf numFmtId="37" fontId="38" fillId="0" borderId="0" xfId="0" applyNumberFormat="1" applyFont="1" applyProtection="1">
      <protection locked="0"/>
    </xf>
    <xf numFmtId="37" fontId="28" fillId="0" borderId="0" xfId="0" applyNumberFormat="1" applyFont="1" applyProtection="1">
      <protection locked="0"/>
    </xf>
    <xf numFmtId="37" fontId="28" fillId="0" borderId="7" xfId="0" applyNumberFormat="1" applyFont="1" applyBorder="1" applyProtection="1">
      <protection locked="0"/>
    </xf>
    <xf numFmtId="37" fontId="28" fillId="3" borderId="0" xfId="0" applyNumberFormat="1" applyFont="1" applyFill="1" applyProtection="1">
      <protection locked="0"/>
    </xf>
    <xf numFmtId="37" fontId="34" fillId="11" borderId="7" xfId="0" applyNumberFormat="1" applyFont="1" applyFill="1" applyBorder="1" applyProtection="1">
      <protection locked="0"/>
    </xf>
    <xf numFmtId="168" fontId="23" fillId="9" borderId="4" xfId="2" applyNumberFormat="1" applyFont="1" applyFill="1" applyBorder="1" applyProtection="1">
      <protection locked="0"/>
    </xf>
    <xf numFmtId="168" fontId="28" fillId="0" borderId="0" xfId="0" applyNumberFormat="1" applyFont="1" applyProtection="1">
      <protection locked="0"/>
    </xf>
    <xf numFmtId="175" fontId="27" fillId="3" borderId="0" xfId="0" applyNumberFormat="1" applyFont="1" applyFill="1" applyProtection="1">
      <protection locked="0"/>
    </xf>
    <xf numFmtId="39" fontId="34" fillId="0" borderId="0" xfId="0" applyNumberFormat="1" applyFont="1" applyProtection="1">
      <protection locked="0"/>
    </xf>
    <xf numFmtId="37" fontId="34" fillId="0" borderId="0" xfId="0" applyNumberFormat="1" applyFont="1" applyProtection="1">
      <protection locked="0"/>
    </xf>
    <xf numFmtId="37" fontId="24" fillId="3" borderId="0" xfId="0" applyNumberFormat="1" applyFont="1" applyFill="1" applyProtection="1">
      <protection locked="0"/>
    </xf>
    <xf numFmtId="37" fontId="25" fillId="0" borderId="0" xfId="0" applyNumberFormat="1" applyFont="1" applyProtection="1">
      <protection locked="0"/>
    </xf>
    <xf numFmtId="37" fontId="25" fillId="0" borderId="0" xfId="0" applyNumberFormat="1" applyFont="1"/>
    <xf numFmtId="37" fontId="25" fillId="0" borderId="3" xfId="0" applyNumberFormat="1" applyFont="1" applyBorder="1"/>
    <xf numFmtId="37" fontId="23" fillId="9" borderId="4" xfId="0" applyNumberFormat="1" applyFont="1" applyFill="1" applyBorder="1" applyProtection="1">
      <protection locked="0"/>
    </xf>
    <xf numFmtId="168" fontId="28" fillId="0" borderId="0" xfId="2" applyNumberFormat="1" applyFont="1" applyProtection="1">
      <protection locked="0"/>
    </xf>
    <xf numFmtId="175" fontId="23" fillId="9" borderId="4" xfId="0" applyNumberFormat="1" applyFont="1" applyFill="1" applyBorder="1" applyProtection="1">
      <protection locked="0"/>
    </xf>
    <xf numFmtId="175" fontId="27" fillId="0" borderId="0" xfId="0" applyNumberFormat="1" applyFont="1" applyProtection="1">
      <protection locked="0"/>
    </xf>
    <xf numFmtId="175" fontId="27" fillId="0" borderId="0" xfId="0" applyNumberFormat="1" applyFont="1"/>
    <xf numFmtId="175" fontId="27" fillId="0" borderId="3" xfId="0" applyNumberFormat="1" applyFont="1" applyBorder="1"/>
    <xf numFmtId="175" fontId="39" fillId="3" borderId="0" xfId="0" applyNumberFormat="1" applyFont="1" applyFill="1" applyProtection="1">
      <protection locked="0"/>
    </xf>
    <xf numFmtId="175" fontId="27" fillId="0" borderId="0" xfId="1" applyNumberFormat="1" applyFont="1" applyFill="1" applyBorder="1" applyProtection="1"/>
    <xf numFmtId="175" fontId="27" fillId="0" borderId="3" xfId="1" applyNumberFormat="1" applyFont="1" applyFill="1" applyBorder="1" applyProtection="1"/>
    <xf numFmtId="175" fontId="25" fillId="0" borderId="0" xfId="0" applyNumberFormat="1" applyFont="1" applyProtection="1">
      <protection locked="0"/>
    </xf>
    <xf numFmtId="39" fontId="25" fillId="0" borderId="0" xfId="0" applyNumberFormat="1" applyFont="1" applyProtection="1">
      <protection locked="0"/>
    </xf>
    <xf numFmtId="0" fontId="28" fillId="0" borderId="13" xfId="0" applyFont="1" applyBorder="1"/>
    <xf numFmtId="0" fontId="35" fillId="2" borderId="0" xfId="0" applyFont="1" applyFill="1" applyProtection="1">
      <protection locked="0"/>
    </xf>
    <xf numFmtId="0" fontId="37" fillId="0" borderId="0" xfId="0" applyFont="1" applyProtection="1">
      <protection locked="0"/>
    </xf>
    <xf numFmtId="0" fontId="37" fillId="0" borderId="0" xfId="0" applyFont="1"/>
    <xf numFmtId="0" fontId="37" fillId="2" borderId="0" xfId="0" applyFont="1" applyFill="1" applyProtection="1">
      <protection locked="0"/>
    </xf>
    <xf numFmtId="0" fontId="43" fillId="0" borderId="0" xfId="0" applyFont="1" applyProtection="1">
      <protection locked="0"/>
    </xf>
    <xf numFmtId="0" fontId="43" fillId="0" borderId="0" xfId="0" applyFont="1"/>
    <xf numFmtId="37" fontId="43" fillId="0" borderId="0" xfId="0" applyNumberFormat="1" applyFont="1" applyProtection="1">
      <protection locked="0"/>
    </xf>
    <xf numFmtId="172" fontId="26" fillId="9" borderId="4" xfId="2" applyNumberFormat="1" applyFont="1" applyFill="1" applyBorder="1" applyProtection="1">
      <protection locked="0"/>
    </xf>
    <xf numFmtId="0" fontId="28" fillId="0" borderId="1" xfId="0" applyFont="1" applyBorder="1" applyProtection="1">
      <protection locked="0"/>
    </xf>
    <xf numFmtId="37" fontId="28" fillId="0" borderId="1" xfId="0" applyNumberFormat="1" applyFont="1" applyBorder="1" applyProtection="1">
      <protection locked="0"/>
    </xf>
    <xf numFmtId="175" fontId="38" fillId="0" borderId="1" xfId="0" applyNumberFormat="1" applyFont="1" applyBorder="1" applyProtection="1">
      <protection locked="0"/>
    </xf>
    <xf numFmtId="37" fontId="49" fillId="0" borderId="0" xfId="0" applyNumberFormat="1" applyFont="1"/>
    <xf numFmtId="37" fontId="12" fillId="0" borderId="0" xfId="0" applyNumberFormat="1" applyFont="1"/>
    <xf numFmtId="37" fontId="12" fillId="0" borderId="1" xfId="0" applyNumberFormat="1" applyFont="1" applyBorder="1"/>
    <xf numFmtId="172" fontId="0" fillId="0" borderId="0" xfId="0" applyNumberFormat="1"/>
    <xf numFmtId="39" fontId="39" fillId="0" borderId="0" xfId="0" applyNumberFormat="1" applyFont="1" applyProtection="1">
      <protection locked="0"/>
    </xf>
    <xf numFmtId="0" fontId="28" fillId="0" borderId="1" xfId="0" applyFont="1" applyBorder="1"/>
    <xf numFmtId="0" fontId="34" fillId="0" borderId="1" xfId="0" applyFont="1" applyBorder="1" applyProtection="1">
      <protection locked="0"/>
    </xf>
    <xf numFmtId="173" fontId="39" fillId="0" borderId="0" xfId="0" applyNumberFormat="1" applyFont="1" applyProtection="1">
      <protection locked="0"/>
    </xf>
    <xf numFmtId="0" fontId="37" fillId="2" borderId="0" xfId="0" applyFont="1" applyFill="1" applyAlignment="1" applyProtection="1">
      <alignment horizontal="right"/>
      <protection locked="0"/>
    </xf>
    <xf numFmtId="175" fontId="39" fillId="0" borderId="0" xfId="0" applyNumberFormat="1" applyFont="1" applyProtection="1">
      <protection locked="0"/>
    </xf>
    <xf numFmtId="37" fontId="28" fillId="0" borderId="9" xfId="0" applyNumberFormat="1" applyFont="1" applyBorder="1" applyProtection="1">
      <protection locked="0"/>
    </xf>
    <xf numFmtId="0" fontId="44" fillId="0" borderId="3" xfId="0" applyFont="1" applyBorder="1"/>
    <xf numFmtId="3" fontId="39" fillId="0" borderId="0" xfId="0" applyNumberFormat="1" applyFont="1" applyProtection="1">
      <protection locked="0"/>
    </xf>
    <xf numFmtId="0" fontId="6" fillId="9" borderId="4" xfId="13" applyFont="1" applyFill="1" applyBorder="1"/>
    <xf numFmtId="0" fontId="6" fillId="9" borderId="4" xfId="13" applyFont="1" applyFill="1" applyBorder="1" applyAlignment="1">
      <alignment wrapText="1"/>
    </xf>
    <xf numFmtId="0" fontId="5" fillId="12" borderId="0" xfId="0" applyFont="1" applyFill="1"/>
    <xf numFmtId="170" fontId="2" fillId="0" borderId="0" xfId="0" applyNumberFormat="1" applyFont="1"/>
    <xf numFmtId="0" fontId="4" fillId="12" borderId="0" xfId="0" applyFont="1" applyFill="1"/>
    <xf numFmtId="0" fontId="2" fillId="12" borderId="0" xfId="0" applyFont="1" applyFill="1"/>
    <xf numFmtId="0" fontId="3" fillId="0" borderId="0" xfId="0" applyFont="1" applyAlignment="1">
      <alignment horizontal="left"/>
    </xf>
    <xf numFmtId="0" fontId="6" fillId="9" borderId="22" xfId="13" applyFont="1" applyFill="1" applyBorder="1"/>
    <xf numFmtId="0" fontId="0" fillId="9" borderId="24" xfId="0" applyFill="1" applyBorder="1"/>
    <xf numFmtId="0" fontId="6" fillId="9" borderId="16" xfId="13" applyFont="1" applyFill="1" applyBorder="1"/>
    <xf numFmtId="0" fontId="0" fillId="9" borderId="6" xfId="0" applyFill="1" applyBorder="1"/>
    <xf numFmtId="0" fontId="37" fillId="2" borderId="0" xfId="0" applyFont="1" applyFill="1"/>
    <xf numFmtId="0" fontId="34" fillId="0" borderId="0" xfId="0" applyFont="1" applyAlignment="1">
      <alignment horizontal="left" indent="1"/>
    </xf>
    <xf numFmtId="0" fontId="34" fillId="0" borderId="0" xfId="0" applyFont="1" applyAlignment="1">
      <alignment horizontal="center" vertical="center" wrapText="1"/>
    </xf>
    <xf numFmtId="0" fontId="28" fillId="0" borderId="0" xfId="0" applyFont="1" applyAlignment="1">
      <alignment horizontal="left" indent="1"/>
    </xf>
    <xf numFmtId="0" fontId="34" fillId="0" borderId="0" xfId="0" applyFont="1" applyAlignment="1">
      <alignment horizontal="left" vertical="top" indent="1"/>
    </xf>
    <xf numFmtId="0" fontId="27" fillId="0" borderId="0" xfId="5" applyFont="1" applyAlignment="1">
      <alignment vertical="center"/>
    </xf>
    <xf numFmtId="0" fontId="43" fillId="0" borderId="0" xfId="5" applyFont="1" applyAlignment="1">
      <alignment vertical="center"/>
    </xf>
    <xf numFmtId="0" fontId="28" fillId="10" borderId="0" xfId="0" applyFont="1" applyFill="1" applyAlignment="1">
      <alignment horizontal="center"/>
    </xf>
    <xf numFmtId="0" fontId="50" fillId="0" borderId="0" xfId="0" applyFont="1"/>
    <xf numFmtId="0" fontId="37" fillId="2" borderId="0" xfId="0" applyFont="1" applyFill="1" applyAlignment="1" applyProtection="1">
      <alignment horizontal="left"/>
      <protection locked="0"/>
    </xf>
    <xf numFmtId="0" fontId="37" fillId="2" borderId="0" xfId="0" applyFont="1" applyFill="1" applyAlignment="1" applyProtection="1">
      <alignment horizontal="left" indent="1"/>
      <protection locked="0"/>
    </xf>
    <xf numFmtId="165" fontId="37" fillId="2" borderId="0" xfId="0" applyNumberFormat="1" applyFont="1" applyFill="1" applyAlignment="1">
      <alignment horizontal="center"/>
    </xf>
    <xf numFmtId="0" fontId="51" fillId="2" borderId="0" xfId="0" applyFont="1" applyFill="1"/>
    <xf numFmtId="165" fontId="37" fillId="2" borderId="0" xfId="0" applyNumberFormat="1" applyFont="1" applyFill="1" applyAlignment="1" applyProtection="1">
      <alignment horizontal="center"/>
      <protection locked="0"/>
    </xf>
    <xf numFmtId="0" fontId="37" fillId="10" borderId="0" xfId="0" applyFont="1" applyFill="1" applyProtection="1">
      <protection locked="0"/>
    </xf>
    <xf numFmtId="0" fontId="35" fillId="10" borderId="0" xfId="0" applyFont="1" applyFill="1"/>
    <xf numFmtId="165" fontId="37" fillId="10" borderId="0" xfId="0" applyNumberFormat="1" applyFont="1" applyFill="1" applyProtection="1">
      <protection locked="0"/>
    </xf>
    <xf numFmtId="165" fontId="37" fillId="10" borderId="0" xfId="0" applyNumberFormat="1" applyFont="1" applyFill="1"/>
    <xf numFmtId="0" fontId="37" fillId="2" borderId="0" xfId="5" applyFont="1" applyFill="1" applyAlignment="1">
      <alignment vertical="center"/>
    </xf>
    <xf numFmtId="0" fontId="37" fillId="0" borderId="0" xfId="0" applyFont="1" applyAlignment="1" applyProtection="1">
      <alignment horizontal="left" indent="1"/>
      <protection locked="0"/>
    </xf>
    <xf numFmtId="0" fontId="27" fillId="10" borderId="0" xfId="5" applyFont="1" applyFill="1" applyAlignment="1">
      <alignment vertical="center"/>
    </xf>
    <xf numFmtId="0" fontId="43" fillId="10" borderId="0" xfId="5" applyFont="1" applyFill="1" applyAlignment="1">
      <alignment vertical="center"/>
    </xf>
    <xf numFmtId="0" fontId="27" fillId="0" borderId="25" xfId="5" applyFont="1" applyBorder="1" applyAlignment="1">
      <alignment vertical="center"/>
    </xf>
    <xf numFmtId="0" fontId="43" fillId="0" borderId="25" xfId="5" applyFont="1" applyBorder="1" applyAlignment="1">
      <alignment vertical="center"/>
    </xf>
    <xf numFmtId="0" fontId="27" fillId="0" borderId="0" xfId="5" applyFont="1" applyAlignment="1">
      <alignment horizontal="center" vertical="center"/>
    </xf>
    <xf numFmtId="0" fontId="27" fillId="0" borderId="0" xfId="5" applyFont="1" applyAlignment="1">
      <alignment horizontal="left" vertical="center" wrapText="1"/>
    </xf>
    <xf numFmtId="0" fontId="27" fillId="0" borderId="0" xfId="5" applyFont="1" applyAlignment="1">
      <alignment horizontal="left" vertical="top" wrapText="1"/>
    </xf>
    <xf numFmtId="0" fontId="25" fillId="0" borderId="0" xfId="0" applyFont="1" applyAlignment="1">
      <alignment horizontal="left" indent="1"/>
    </xf>
    <xf numFmtId="0" fontId="43" fillId="0" borderId="25" xfId="5" applyFont="1" applyBorder="1" applyAlignment="1">
      <alignment horizontal="right" vertical="center"/>
    </xf>
    <xf numFmtId="0" fontId="43" fillId="0" borderId="0" xfId="5" applyFont="1" applyAlignment="1">
      <alignment horizontal="left" vertical="center" indent="1"/>
    </xf>
    <xf numFmtId="0" fontId="52" fillId="0" borderId="0" xfId="5" applyFont="1" applyAlignment="1">
      <alignment vertical="center"/>
    </xf>
    <xf numFmtId="14" fontId="52" fillId="0" borderId="0" xfId="5" applyNumberFormat="1" applyFont="1" applyAlignment="1">
      <alignment horizontal="right" vertical="center"/>
    </xf>
    <xf numFmtId="0" fontId="6" fillId="9" borderId="21" xfId="13" applyFont="1" applyFill="1" applyBorder="1"/>
    <xf numFmtId="0" fontId="53" fillId="0" borderId="25" xfId="0" applyFont="1" applyBorder="1"/>
    <xf numFmtId="0" fontId="0" fillId="0" borderId="25" xfId="0" applyBorder="1"/>
    <xf numFmtId="0" fontId="3" fillId="0" borderId="25" xfId="0" applyFont="1" applyBorder="1"/>
    <xf numFmtId="39" fontId="0" fillId="0" borderId="0" xfId="0" applyNumberFormat="1" applyAlignment="1">
      <alignment horizontal="right"/>
    </xf>
    <xf numFmtId="0" fontId="54" fillId="2" borderId="0" xfId="0" applyFont="1" applyFill="1" applyAlignment="1">
      <alignment horizontal="right"/>
    </xf>
    <xf numFmtId="37" fontId="39" fillId="0" borderId="3" xfId="1" applyNumberFormat="1" applyFont="1" applyFill="1" applyBorder="1" applyProtection="1">
      <protection locked="0"/>
    </xf>
    <xf numFmtId="168" fontId="24" fillId="0" borderId="3" xfId="2" applyNumberFormat="1" applyFont="1" applyFill="1" applyBorder="1" applyProtection="1">
      <protection locked="0"/>
    </xf>
    <xf numFmtId="37" fontId="27" fillId="0" borderId="3" xfId="1" applyNumberFormat="1" applyFont="1" applyFill="1" applyBorder="1" applyProtection="1">
      <protection locked="0"/>
    </xf>
    <xf numFmtId="37" fontId="27" fillId="0" borderId="3" xfId="2" applyNumberFormat="1" applyFont="1" applyFill="1" applyBorder="1" applyProtection="1">
      <protection locked="0"/>
    </xf>
    <xf numFmtId="168" fontId="24" fillId="0" borderId="3" xfId="2" applyNumberFormat="1" applyFont="1" applyBorder="1" applyProtection="1">
      <protection locked="0"/>
    </xf>
    <xf numFmtId="37" fontId="27" fillId="0" borderId="3" xfId="0" applyNumberFormat="1" applyFont="1" applyBorder="1" applyProtection="1">
      <protection locked="0"/>
    </xf>
    <xf numFmtId="37" fontId="39" fillId="0" borderId="3" xfId="0" applyNumberFormat="1" applyFont="1" applyBorder="1" applyProtection="1">
      <protection locked="0"/>
    </xf>
    <xf numFmtId="37" fontId="25" fillId="0" borderId="3" xfId="0" applyNumberFormat="1" applyFont="1" applyBorder="1" applyProtection="1">
      <protection locked="0"/>
    </xf>
    <xf numFmtId="0" fontId="28" fillId="0" borderId="3" xfId="0" applyFont="1" applyBorder="1" applyProtection="1">
      <protection locked="0"/>
    </xf>
    <xf numFmtId="0" fontId="27" fillId="10" borderId="0" xfId="0" applyFont="1" applyFill="1"/>
    <xf numFmtId="0" fontId="35" fillId="0" borderId="0" xfId="0" applyFont="1"/>
    <xf numFmtId="0" fontId="37" fillId="10" borderId="0" xfId="0" applyFont="1" applyFill="1"/>
    <xf numFmtId="0" fontId="55" fillId="0" borderId="0" xfId="0" applyFont="1"/>
    <xf numFmtId="37" fontId="38" fillId="0" borderId="0" xfId="0" applyNumberFormat="1" applyFont="1"/>
    <xf numFmtId="37" fontId="34" fillId="0" borderId="0" xfId="0" applyNumberFormat="1" applyFont="1"/>
    <xf numFmtId="37" fontId="39" fillId="0" borderId="1" xfId="0" applyNumberFormat="1" applyFont="1" applyBorder="1"/>
    <xf numFmtId="168" fontId="26" fillId="0" borderId="0" xfId="2" applyNumberFormat="1" applyFont="1" applyAlignment="1">
      <alignment horizontal="right"/>
    </xf>
    <xf numFmtId="172" fontId="38" fillId="0" borderId="0" xfId="0" applyNumberFormat="1" applyFont="1"/>
    <xf numFmtId="172" fontId="26" fillId="0" borderId="0" xfId="0" applyNumberFormat="1" applyFont="1"/>
    <xf numFmtId="168" fontId="26" fillId="0" borderId="0" xfId="2" applyNumberFormat="1" applyFont="1" applyFill="1" applyBorder="1"/>
    <xf numFmtId="168" fontId="26" fillId="0" borderId="0" xfId="2" applyNumberFormat="1" applyFont="1"/>
    <xf numFmtId="173" fontId="27" fillId="0" borderId="0" xfId="0" applyNumberFormat="1" applyFont="1"/>
    <xf numFmtId="168" fontId="27" fillId="0" borderId="0" xfId="2" applyNumberFormat="1" applyFont="1"/>
    <xf numFmtId="0" fontId="27" fillId="0" borderId="1" xfId="0" applyFont="1" applyBorder="1"/>
    <xf numFmtId="37" fontId="38" fillId="0" borderId="1" xfId="0" applyNumberFormat="1" applyFont="1" applyBorder="1"/>
    <xf numFmtId="173" fontId="27" fillId="0" borderId="1" xfId="0" applyNumberFormat="1" applyFont="1" applyBorder="1"/>
    <xf numFmtId="168" fontId="27" fillId="0" borderId="1" xfId="2" applyNumberFormat="1" applyFont="1" applyBorder="1"/>
    <xf numFmtId="0" fontId="38" fillId="0" borderId="0" xfId="0" applyFont="1"/>
    <xf numFmtId="37" fontId="43" fillId="0" borderId="0" xfId="0" applyNumberFormat="1" applyFont="1"/>
    <xf numFmtId="173" fontId="43" fillId="0" borderId="0" xfId="0" applyNumberFormat="1" applyFont="1"/>
    <xf numFmtId="168" fontId="43" fillId="0" borderId="0" xfId="2" applyNumberFormat="1" applyFont="1"/>
    <xf numFmtId="0" fontId="27" fillId="0" borderId="19" xfId="0" applyFont="1" applyBorder="1"/>
    <xf numFmtId="37" fontId="38" fillId="0" borderId="7" xfId="0" applyNumberFormat="1" applyFont="1" applyBorder="1"/>
    <xf numFmtId="173" fontId="27" fillId="0" borderId="7" xfId="0" applyNumberFormat="1" applyFont="1" applyBorder="1"/>
    <xf numFmtId="168" fontId="27" fillId="0" borderId="17" xfId="2" applyNumberFormat="1" applyFont="1" applyBorder="1"/>
    <xf numFmtId="0" fontId="27" fillId="3" borderId="19" xfId="0" applyFont="1" applyFill="1" applyBorder="1"/>
    <xf numFmtId="0" fontId="27" fillId="3" borderId="7" xfId="0" applyFont="1" applyFill="1" applyBorder="1"/>
    <xf numFmtId="37" fontId="28" fillId="3" borderId="7" xfId="0" applyNumberFormat="1" applyFont="1" applyFill="1" applyBorder="1"/>
    <xf numFmtId="173" fontId="27" fillId="3" borderId="7" xfId="0" applyNumberFormat="1" applyFont="1" applyFill="1" applyBorder="1"/>
    <xf numFmtId="168" fontId="27" fillId="3" borderId="17" xfId="2" applyNumberFormat="1" applyFont="1" applyFill="1" applyBorder="1"/>
    <xf numFmtId="165" fontId="37" fillId="2" borderId="0" xfId="0" applyNumberFormat="1" applyFont="1" applyFill="1"/>
    <xf numFmtId="166" fontId="37" fillId="2" borderId="0" xfId="0" applyNumberFormat="1" applyFont="1" applyFill="1"/>
    <xf numFmtId="0" fontId="27" fillId="0" borderId="0" xfId="0" applyFont="1" applyAlignment="1">
      <alignment horizontal="left" indent="1"/>
    </xf>
    <xf numFmtId="10" fontId="27" fillId="0" borderId="0" xfId="2" applyNumberFormat="1" applyFont="1" applyFill="1" applyBorder="1" applyAlignment="1">
      <alignment horizontal="center"/>
    </xf>
    <xf numFmtId="168" fontId="24" fillId="0" borderId="0" xfId="2" applyNumberFormat="1" applyFont="1" applyFill="1" applyBorder="1"/>
    <xf numFmtId="0" fontId="24" fillId="0" borderId="0" xfId="0" applyFont="1"/>
    <xf numFmtId="10" fontId="56" fillId="11" borderId="7" xfId="2" applyNumberFormat="1" applyFont="1" applyFill="1" applyBorder="1" applyAlignment="1">
      <alignment horizontal="center"/>
    </xf>
    <xf numFmtId="0" fontId="56" fillId="11" borderId="7" xfId="0" applyFont="1" applyFill="1" applyBorder="1"/>
    <xf numFmtId="10" fontId="24" fillId="11" borderId="7" xfId="2" applyNumberFormat="1" applyFont="1" applyFill="1" applyBorder="1"/>
    <xf numFmtId="10" fontId="24" fillId="11" borderId="17" xfId="2" applyNumberFormat="1" applyFont="1" applyFill="1" applyBorder="1"/>
    <xf numFmtId="10" fontId="27" fillId="0" borderId="0" xfId="2" applyNumberFormat="1" applyFont="1" applyAlignment="1">
      <alignment horizontal="center"/>
    </xf>
    <xf numFmtId="4" fontId="39" fillId="0" borderId="0" xfId="0" applyNumberFormat="1" applyFont="1"/>
    <xf numFmtId="4" fontId="39" fillId="0" borderId="5" xfId="0" applyNumberFormat="1" applyFont="1" applyBorder="1"/>
    <xf numFmtId="2" fontId="27" fillId="4" borderId="0" xfId="0" applyNumberFormat="1" applyFont="1" applyFill="1"/>
    <xf numFmtId="2" fontId="27" fillId="0" borderId="0" xfId="0" applyNumberFormat="1" applyFont="1"/>
    <xf numFmtId="0" fontId="27" fillId="10" borderId="0" xfId="0" applyFont="1" applyFill="1" applyAlignment="1">
      <alignment horizontal="left" indent="1"/>
    </xf>
    <xf numFmtId="10" fontId="27" fillId="10" borderId="0" xfId="2" applyNumberFormat="1" applyFont="1" applyFill="1" applyAlignment="1">
      <alignment horizontal="center"/>
    </xf>
    <xf numFmtId="4" fontId="39" fillId="10" borderId="0" xfId="0" applyNumberFormat="1" applyFont="1" applyFill="1"/>
    <xf numFmtId="2" fontId="27" fillId="10" borderId="0" xfId="0" applyNumberFormat="1" applyFont="1" applyFill="1"/>
    <xf numFmtId="169" fontId="35" fillId="0" borderId="0" xfId="1" applyNumberFormat="1" applyFont="1"/>
    <xf numFmtId="169" fontId="27" fillId="0" borderId="0" xfId="1" applyNumberFormat="1" applyFont="1"/>
    <xf numFmtId="168" fontId="23" fillId="9" borderId="6" xfId="2" applyNumberFormat="1" applyFont="1" applyFill="1" applyBorder="1"/>
    <xf numFmtId="168" fontId="23" fillId="9" borderId="4" xfId="2" applyNumberFormat="1" applyFont="1" applyFill="1" applyBorder="1"/>
    <xf numFmtId="168" fontId="24" fillId="0" borderId="0" xfId="2" applyNumberFormat="1" applyFont="1"/>
    <xf numFmtId="0" fontId="28" fillId="4" borderId="0" xfId="0" applyFont="1" applyFill="1"/>
    <xf numFmtId="168" fontId="26" fillId="4" borderId="0" xfId="2" applyNumberFormat="1" applyFont="1" applyFill="1"/>
    <xf numFmtId="0" fontId="27" fillId="4" borderId="0" xfId="0" applyFont="1" applyFill="1"/>
    <xf numFmtId="168" fontId="28" fillId="0" borderId="0" xfId="2" applyNumberFormat="1" applyFont="1"/>
    <xf numFmtId="0" fontId="28" fillId="0" borderId="0" xfId="0" applyFont="1" applyAlignment="1">
      <alignment horizontal="left" indent="3"/>
    </xf>
    <xf numFmtId="169" fontId="57" fillId="0" borderId="0" xfId="1" applyNumberFormat="1" applyFont="1"/>
    <xf numFmtId="0" fontId="58" fillId="0" borderId="0" xfId="0" applyFont="1"/>
    <xf numFmtId="0" fontId="57" fillId="0" borderId="0" xfId="0" applyFont="1" applyAlignment="1">
      <alignment horizontal="left" indent="1"/>
    </xf>
    <xf numFmtId="168" fontId="24" fillId="0" borderId="5" xfId="2" applyNumberFormat="1" applyFont="1" applyBorder="1"/>
    <xf numFmtId="168" fontId="24" fillId="0" borderId="3" xfId="2" applyNumberFormat="1" applyFont="1" applyBorder="1"/>
    <xf numFmtId="168" fontId="24" fillId="0" borderId="3" xfId="2" applyNumberFormat="1" applyFont="1" applyFill="1" applyBorder="1"/>
    <xf numFmtId="9" fontId="28" fillId="0" borderId="0" xfId="2" applyFont="1"/>
    <xf numFmtId="9" fontId="28" fillId="0" borderId="3" xfId="2" applyFont="1" applyBorder="1"/>
    <xf numFmtId="0" fontId="25" fillId="10" borderId="0" xfId="0" applyFont="1" applyFill="1"/>
    <xf numFmtId="169" fontId="28" fillId="0" borderId="0" xfId="0" applyNumberFormat="1" applyFont="1"/>
    <xf numFmtId="3" fontId="23" fillId="9" borderId="6" xfId="0" applyNumberFormat="1" applyFont="1" applyFill="1" applyBorder="1"/>
    <xf numFmtId="3" fontId="23" fillId="0" borderId="0" xfId="0" applyNumberFormat="1" applyFont="1"/>
    <xf numFmtId="168" fontId="23" fillId="0" borderId="0" xfId="2" applyNumberFormat="1" applyFont="1"/>
    <xf numFmtId="0" fontId="39" fillId="10" borderId="0" xfId="0" applyFont="1" applyFill="1"/>
    <xf numFmtId="169" fontId="38" fillId="0" borderId="0" xfId="1" applyNumberFormat="1" applyFont="1"/>
    <xf numFmtId="168" fontId="59" fillId="0" borderId="0" xfId="2" applyNumberFormat="1" applyFont="1"/>
    <xf numFmtId="0" fontId="60" fillId="0" borderId="0" xfId="0" applyFont="1"/>
    <xf numFmtId="169" fontId="27" fillId="0" borderId="0" xfId="0" applyNumberFormat="1" applyFont="1"/>
    <xf numFmtId="168" fontId="26" fillId="0" borderId="0" xfId="0" applyNumberFormat="1" applyFont="1"/>
    <xf numFmtId="0" fontId="28" fillId="0" borderId="5" xfId="0" applyFont="1" applyBorder="1"/>
    <xf numFmtId="165" fontId="37" fillId="2" borderId="3" xfId="0" applyNumberFormat="1" applyFont="1" applyFill="1" applyBorder="1"/>
    <xf numFmtId="0" fontId="28" fillId="10" borderId="3" xfId="0" applyFont="1" applyFill="1" applyBorder="1"/>
    <xf numFmtId="169" fontId="38" fillId="0" borderId="5" xfId="1" applyNumberFormat="1" applyFont="1" applyBorder="1"/>
    <xf numFmtId="169" fontId="38" fillId="0" borderId="3" xfId="1" applyNumberFormat="1" applyFont="1" applyBorder="1"/>
    <xf numFmtId="169" fontId="27" fillId="0" borderId="3" xfId="1" applyNumberFormat="1" applyFont="1" applyBorder="1"/>
    <xf numFmtId="0" fontId="28" fillId="3" borderId="19" xfId="0" applyFont="1" applyFill="1" applyBorder="1" applyAlignment="1">
      <alignment horizontal="left" indent="1"/>
    </xf>
    <xf numFmtId="0" fontId="28" fillId="3" borderId="7" xfId="0" applyFont="1" applyFill="1" applyBorder="1"/>
    <xf numFmtId="169" fontId="28" fillId="3" borderId="7" xfId="0" applyNumberFormat="1" applyFont="1" applyFill="1" applyBorder="1"/>
    <xf numFmtId="169" fontId="28" fillId="3" borderId="20" xfId="0" applyNumberFormat="1" applyFont="1" applyFill="1" applyBorder="1"/>
    <xf numFmtId="169" fontId="28" fillId="3" borderId="17" xfId="0" applyNumberFormat="1" applyFont="1" applyFill="1" applyBorder="1"/>
    <xf numFmtId="0" fontId="35" fillId="0" borderId="5" xfId="0" applyFont="1" applyBorder="1"/>
    <xf numFmtId="0" fontId="28" fillId="0" borderId="0" xfId="0" applyFont="1" applyAlignment="1">
      <alignment horizontal="left" indent="2"/>
    </xf>
    <xf numFmtId="0" fontId="34" fillId="3" borderId="19" xfId="0" applyFont="1" applyFill="1" applyBorder="1" applyAlignment="1">
      <alignment horizontal="left" indent="2"/>
    </xf>
    <xf numFmtId="0" fontId="34" fillId="0" borderId="0" xfId="0" applyFont="1" applyAlignment="1">
      <alignment horizontal="left" indent="2"/>
    </xf>
    <xf numFmtId="169" fontId="28" fillId="0" borderId="5" xfId="0" applyNumberFormat="1" applyFont="1" applyBorder="1"/>
    <xf numFmtId="0" fontId="28" fillId="0" borderId="1" xfId="0" applyFont="1" applyBorder="1" applyAlignment="1">
      <alignment horizontal="left" indent="1"/>
    </xf>
    <xf numFmtId="172" fontId="38" fillId="0" borderId="1" xfId="0" applyNumberFormat="1" applyFont="1" applyBorder="1"/>
    <xf numFmtId="0" fontId="34" fillId="3" borderId="14" xfId="0" applyFont="1" applyFill="1" applyBorder="1" applyAlignment="1">
      <alignment horizontal="left" indent="1"/>
    </xf>
    <xf numFmtId="0" fontId="34" fillId="3" borderId="9" xfId="0" applyFont="1" applyFill="1" applyBorder="1"/>
    <xf numFmtId="172" fontId="43" fillId="3" borderId="12" xfId="0" applyNumberFormat="1" applyFont="1" applyFill="1" applyBorder="1"/>
    <xf numFmtId="0" fontId="34" fillId="3" borderId="15" xfId="0" applyFont="1" applyFill="1" applyBorder="1" applyAlignment="1">
      <alignment horizontal="left" indent="1"/>
    </xf>
    <xf numFmtId="0" fontId="34" fillId="3" borderId="1" xfId="0" applyFont="1" applyFill="1" applyBorder="1"/>
    <xf numFmtId="168" fontId="61" fillId="3" borderId="13" xfId="2" applyNumberFormat="1" applyFont="1" applyFill="1" applyBorder="1"/>
    <xf numFmtId="37" fontId="34" fillId="11" borderId="17" xfId="0" applyNumberFormat="1" applyFont="1" applyFill="1" applyBorder="1" applyProtection="1">
      <protection locked="0"/>
    </xf>
    <xf numFmtId="0" fontId="33" fillId="11" borderId="19" xfId="0" applyFont="1" applyFill="1" applyBorder="1" applyAlignment="1">
      <alignment horizontal="left" indent="1"/>
    </xf>
    <xf numFmtId="0" fontId="33" fillId="11" borderId="7" xfId="0" applyFont="1" applyFill="1" applyBorder="1"/>
    <xf numFmtId="0" fontId="33" fillId="11" borderId="17" xfId="0" applyFont="1" applyFill="1" applyBorder="1" applyProtection="1">
      <protection locked="0"/>
    </xf>
    <xf numFmtId="175" fontId="24" fillId="3" borderId="0" xfId="0" applyNumberFormat="1" applyFont="1" applyFill="1" applyProtection="1">
      <protection locked="0"/>
    </xf>
    <xf numFmtId="166" fontId="37" fillId="2" borderId="0" xfId="0" applyNumberFormat="1" applyFont="1" applyFill="1" applyAlignment="1">
      <alignment horizontal="center"/>
    </xf>
    <xf numFmtId="0" fontId="28" fillId="0" borderId="0" xfId="0" applyFont="1" applyAlignment="1">
      <alignment horizontal="left" vertical="top" wrapText="1"/>
    </xf>
    <xf numFmtId="0" fontId="28" fillId="0" borderId="0" xfId="0" applyFont="1" applyAlignment="1">
      <alignment horizontal="center"/>
    </xf>
    <xf numFmtId="0" fontId="52" fillId="0" borderId="0" xfId="5" applyFont="1" applyAlignment="1">
      <alignment horizontal="right" vertical="center"/>
    </xf>
    <xf numFmtId="0" fontId="24" fillId="0" borderId="0" xfId="5" applyFont="1" applyAlignment="1">
      <alignment vertical="center"/>
    </xf>
    <xf numFmtId="0" fontId="35" fillId="2" borderId="0" xfId="0" applyFont="1" applyFill="1" applyAlignment="1" applyProtection="1">
      <alignment horizontal="left" indent="1"/>
      <protection locked="0"/>
    </xf>
    <xf numFmtId="37" fontId="39" fillId="0" borderId="3" xfId="1" applyNumberFormat="1" applyFont="1" applyFill="1" applyBorder="1" applyProtection="1"/>
    <xf numFmtId="0" fontId="62" fillId="0" borderId="0" xfId="3" applyFont="1"/>
    <xf numFmtId="168" fontId="34" fillId="0" borderId="0" xfId="2" applyNumberFormat="1" applyFont="1"/>
    <xf numFmtId="1" fontId="37" fillId="2" borderId="0" xfId="0" applyNumberFormat="1" applyFont="1" applyFill="1"/>
    <xf numFmtId="1" fontId="37" fillId="2" borderId="0" xfId="0" applyNumberFormat="1" applyFont="1" applyFill="1" applyAlignment="1">
      <alignment horizontal="right"/>
    </xf>
    <xf numFmtId="1" fontId="37" fillId="0" borderId="0" xfId="0" applyNumberFormat="1" applyFont="1"/>
    <xf numFmtId="168" fontId="34" fillId="0" borderId="0" xfId="2" applyNumberFormat="1" applyFont="1" applyAlignment="1">
      <alignment horizontal="right"/>
    </xf>
    <xf numFmtId="0" fontId="28" fillId="0" borderId="3" xfId="0" applyFont="1" applyBorder="1" applyAlignment="1">
      <alignment horizontal="left" vertical="center"/>
    </xf>
    <xf numFmtId="0" fontId="28" fillId="9" borderId="4" xfId="0" applyFont="1" applyFill="1" applyBorder="1"/>
    <xf numFmtId="0" fontId="34" fillId="0" borderId="0" xfId="0" applyFont="1" applyAlignment="1">
      <alignment horizontal="left" vertical="center" indent="1"/>
    </xf>
    <xf numFmtId="0" fontId="25" fillId="0" borderId="0" xfId="0" applyFont="1" applyAlignment="1">
      <alignment horizontal="left" indent="2"/>
    </xf>
    <xf numFmtId="9" fontId="25" fillId="3" borderId="0" xfId="2" applyFont="1" applyFill="1"/>
    <xf numFmtId="37" fontId="34" fillId="3" borderId="0" xfId="2" applyNumberFormat="1" applyFont="1" applyFill="1"/>
    <xf numFmtId="0" fontId="34" fillId="0" borderId="0" xfId="0" applyFont="1" applyAlignment="1">
      <alignment horizontal="left" wrapText="1" indent="1"/>
    </xf>
    <xf numFmtId="168" fontId="25" fillId="0" borderId="0" xfId="2" applyNumberFormat="1" applyFont="1"/>
    <xf numFmtId="10" fontId="28" fillId="0" borderId="0" xfId="0" applyNumberFormat="1" applyFont="1"/>
    <xf numFmtId="165" fontId="40" fillId="0" borderId="0" xfId="0" applyNumberFormat="1" applyFont="1" applyAlignment="1">
      <alignment horizontal="center"/>
    </xf>
    <xf numFmtId="165" fontId="16" fillId="0" borderId="0" xfId="0" applyNumberFormat="1" applyFont="1" applyAlignment="1">
      <alignment horizontal="center"/>
    </xf>
    <xf numFmtId="0" fontId="28" fillId="0" borderId="0" xfId="0" applyFont="1" applyAlignment="1">
      <alignment vertical="top" wrapText="1"/>
    </xf>
    <xf numFmtId="0" fontId="51" fillId="0" borderId="0" xfId="3" applyFont="1" applyAlignment="1">
      <alignment horizontal="left" indent="1"/>
    </xf>
    <xf numFmtId="0" fontId="65" fillId="0" borderId="0" xfId="3" applyFont="1" applyAlignment="1">
      <alignment horizontal="left" indent="1"/>
    </xf>
    <xf numFmtId="0" fontId="63" fillId="0" borderId="0" xfId="3" applyFont="1" applyBorder="1" applyAlignment="1">
      <alignment horizontal="right"/>
    </xf>
    <xf numFmtId="170" fontId="8" fillId="0" borderId="0" xfId="0" applyNumberFormat="1" applyFont="1"/>
    <xf numFmtId="0" fontId="68" fillId="0" borderId="11" xfId="0" applyFont="1" applyBorder="1" applyAlignment="1">
      <alignment horizontal="right"/>
    </xf>
    <xf numFmtId="174" fontId="8" fillId="0" borderId="0" xfId="0" applyNumberFormat="1" applyFont="1"/>
    <xf numFmtId="39" fontId="8" fillId="0" borderId="0" xfId="0" applyNumberFormat="1" applyFont="1"/>
    <xf numFmtId="14" fontId="8" fillId="0" borderId="0" xfId="0" applyNumberFormat="1" applyFont="1"/>
    <xf numFmtId="0" fontId="67" fillId="0" borderId="0" xfId="0" applyFont="1"/>
    <xf numFmtId="0" fontId="54" fillId="2" borderId="0" xfId="0" applyFont="1" applyFill="1" applyAlignment="1">
      <alignment horizontal="left"/>
    </xf>
    <xf numFmtId="0" fontId="69" fillId="10" borderId="0" xfId="0" applyFont="1" applyFill="1"/>
    <xf numFmtId="0" fontId="70" fillId="0" borderId="0" xfId="0" applyFont="1"/>
    <xf numFmtId="0" fontId="69" fillId="0" borderId="0" xfId="0" applyFont="1"/>
    <xf numFmtId="0" fontId="71" fillId="0" borderId="0" xfId="0" applyFont="1"/>
    <xf numFmtId="9" fontId="27" fillId="3" borderId="0" xfId="2" applyFont="1" applyFill="1" applyProtection="1">
      <protection locked="0"/>
    </xf>
    <xf numFmtId="0" fontId="51" fillId="0" borderId="0" xfId="3" applyFont="1" applyAlignment="1">
      <alignment horizontal="left" vertical="top" indent="1"/>
    </xf>
    <xf numFmtId="0" fontId="65" fillId="0" borderId="0" xfId="3" applyFont="1" applyAlignment="1">
      <alignment horizontal="left" vertical="top" indent="1"/>
    </xf>
    <xf numFmtId="0" fontId="34" fillId="0" borderId="0" xfId="0" applyFont="1" applyAlignment="1">
      <alignment horizontal="left" vertical="center" wrapText="1" indent="1"/>
    </xf>
    <xf numFmtId="0" fontId="8" fillId="14" borderId="0" xfId="0" applyFont="1" applyFill="1"/>
    <xf numFmtId="0" fontId="50" fillId="10" borderId="0" xfId="0" applyFont="1" applyFill="1"/>
    <xf numFmtId="0" fontId="15" fillId="10" borderId="0" xfId="0" applyFont="1" applyFill="1" applyProtection="1">
      <protection locked="0"/>
    </xf>
    <xf numFmtId="0" fontId="15" fillId="10" borderId="0" xfId="0" applyFont="1" applyFill="1"/>
    <xf numFmtId="0" fontId="33" fillId="10" borderId="0" xfId="0" applyFont="1" applyFill="1" applyProtection="1">
      <protection locked="0"/>
    </xf>
    <xf numFmtId="0" fontId="8" fillId="10" borderId="0" xfId="0" applyFont="1" applyFill="1"/>
    <xf numFmtId="0" fontId="28" fillId="15" borderId="0" xfId="0" applyFont="1" applyFill="1"/>
    <xf numFmtId="9" fontId="28" fillId="0" borderId="0" xfId="2" applyFont="1" applyAlignment="1">
      <alignment horizontal="center"/>
    </xf>
    <xf numFmtId="173" fontId="28" fillId="0" borderId="0" xfId="2" applyNumberFormat="1" applyFont="1" applyAlignment="1">
      <alignment horizontal="center"/>
    </xf>
    <xf numFmtId="176" fontId="28" fillId="0" borderId="0" xfId="2" applyNumberFormat="1" applyFont="1" applyAlignment="1">
      <alignment horizontal="center"/>
    </xf>
    <xf numFmtId="9" fontId="8" fillId="0" borderId="0" xfId="2" applyFont="1"/>
    <xf numFmtId="177" fontId="79" fillId="0" borderId="0" xfId="0" applyNumberFormat="1" applyFont="1"/>
    <xf numFmtId="2" fontId="79" fillId="0" borderId="0" xfId="0" applyNumberFormat="1" applyFont="1"/>
    <xf numFmtId="168" fontId="79" fillId="0" borderId="0" xfId="2" applyNumberFormat="1" applyFont="1"/>
    <xf numFmtId="0" fontId="79" fillId="0" borderId="0" xfId="0" applyFont="1"/>
    <xf numFmtId="3" fontId="79" fillId="0" borderId="0" xfId="0" applyNumberFormat="1" applyFont="1"/>
    <xf numFmtId="0" fontId="80" fillId="0" borderId="0" xfId="0" applyFont="1" applyAlignment="1">
      <alignment horizontal="right"/>
    </xf>
    <xf numFmtId="0" fontId="37" fillId="15" borderId="0" xfId="0" applyFont="1" applyFill="1"/>
    <xf numFmtId="178" fontId="28" fillId="0" borderId="0" xfId="2" applyNumberFormat="1" applyFont="1" applyAlignment="1">
      <alignment horizontal="center"/>
    </xf>
    <xf numFmtId="0" fontId="43" fillId="15" borderId="0" xfId="5" applyFont="1" applyFill="1" applyAlignment="1">
      <alignment vertical="center"/>
    </xf>
    <xf numFmtId="0" fontId="27" fillId="15" borderId="0" xfId="5" applyFont="1" applyFill="1" applyAlignment="1">
      <alignment vertical="center"/>
    </xf>
    <xf numFmtId="0" fontId="28" fillId="10" borderId="0" xfId="0" applyFont="1" applyFill="1" applyAlignment="1">
      <alignment horizontal="left" indent="1"/>
    </xf>
    <xf numFmtId="0" fontId="37" fillId="15" borderId="0" xfId="0" applyFont="1" applyFill="1" applyAlignment="1">
      <alignment horizontal="left"/>
    </xf>
    <xf numFmtId="0" fontId="66" fillId="15" borderId="0" xfId="0" applyFont="1" applyFill="1" applyAlignment="1">
      <alignment horizontal="center"/>
    </xf>
    <xf numFmtId="9" fontId="28" fillId="0" borderId="0" xfId="0" applyNumberFormat="1" applyFont="1" applyProtection="1">
      <protection locked="0"/>
    </xf>
    <xf numFmtId="0" fontId="35" fillId="2" borderId="0" xfId="0" applyFont="1" applyFill="1" applyAlignment="1">
      <alignment horizontal="right"/>
    </xf>
    <xf numFmtId="9" fontId="35" fillId="2" borderId="0" xfId="0" applyNumberFormat="1" applyFont="1" applyFill="1" applyAlignment="1">
      <alignment horizontal="right"/>
    </xf>
    <xf numFmtId="168" fontId="26" fillId="9" borderId="4" xfId="0" applyNumberFormat="1" applyFont="1" applyFill="1" applyBorder="1" applyProtection="1">
      <protection locked="0"/>
    </xf>
    <xf numFmtId="173" fontId="26" fillId="9" borderId="4" xfId="0" applyNumberFormat="1" applyFont="1" applyFill="1" applyBorder="1" applyProtection="1">
      <protection locked="0"/>
    </xf>
    <xf numFmtId="168" fontId="27" fillId="0" borderId="0" xfId="0" applyNumberFormat="1" applyFont="1" applyProtection="1">
      <protection locked="0"/>
    </xf>
    <xf numFmtId="173" fontId="27" fillId="0" borderId="0" xfId="0" applyNumberFormat="1" applyFont="1" applyProtection="1">
      <protection locked="0"/>
    </xf>
    <xf numFmtId="179" fontId="8" fillId="10" borderId="0" xfId="0" applyNumberFormat="1" applyFont="1" applyFill="1"/>
    <xf numFmtId="179" fontId="5" fillId="10" borderId="0" xfId="0" applyNumberFormat="1" applyFont="1" applyFill="1"/>
    <xf numFmtId="0" fontId="43" fillId="0" borderId="0" xfId="0" applyFont="1" applyAlignment="1" applyProtection="1">
      <alignment horizontal="right"/>
      <protection locked="0"/>
    </xf>
    <xf numFmtId="0" fontId="26" fillId="0" borderId="0" xfId="0" applyFont="1" applyProtection="1">
      <protection locked="0"/>
    </xf>
    <xf numFmtId="168" fontId="27" fillId="0" borderId="0" xfId="2" applyNumberFormat="1" applyFont="1" applyProtection="1">
      <protection locked="0"/>
    </xf>
    <xf numFmtId="165" fontId="28" fillId="0" borderId="0" xfId="0" applyNumberFormat="1" applyFont="1" applyProtection="1">
      <protection locked="0"/>
    </xf>
    <xf numFmtId="166" fontId="28" fillId="0" borderId="0" xfId="0" applyNumberFormat="1" applyFont="1" applyProtection="1">
      <protection locked="0"/>
    </xf>
    <xf numFmtId="10" fontId="39" fillId="0" borderId="0" xfId="0" applyNumberFormat="1" applyFont="1"/>
    <xf numFmtId="0" fontId="34" fillId="16" borderId="19" xfId="0" applyFont="1" applyFill="1" applyBorder="1" applyAlignment="1">
      <alignment horizontal="left" indent="1"/>
    </xf>
    <xf numFmtId="168" fontId="23" fillId="0" borderId="0" xfId="2" applyNumberFormat="1" applyFont="1" applyFill="1" applyBorder="1" applyProtection="1">
      <protection locked="0"/>
    </xf>
    <xf numFmtId="3" fontId="35" fillId="0" borderId="0" xfId="0" applyNumberFormat="1" applyFont="1"/>
    <xf numFmtId="37" fontId="35" fillId="0" borderId="0" xfId="0" applyNumberFormat="1" applyFont="1"/>
    <xf numFmtId="180" fontId="23" fillId="9" borderId="4" xfId="2" applyNumberFormat="1" applyFont="1" applyFill="1" applyBorder="1" applyProtection="1">
      <protection locked="0"/>
    </xf>
    <xf numFmtId="0" fontId="81" fillId="0" borderId="0" xfId="0" applyFont="1"/>
    <xf numFmtId="2" fontId="26" fillId="9" borderId="4" xfId="0" applyNumberFormat="1" applyFont="1" applyFill="1" applyBorder="1" applyProtection="1">
      <protection locked="0"/>
    </xf>
    <xf numFmtId="2" fontId="26" fillId="9" borderId="4" xfId="0" applyNumberFormat="1" applyFont="1" applyFill="1" applyBorder="1"/>
    <xf numFmtId="0" fontId="42" fillId="2" borderId="0" xfId="0" applyFont="1" applyFill="1"/>
    <xf numFmtId="0" fontId="37" fillId="2" borderId="0" xfId="0" applyFont="1" applyFill="1" applyAlignment="1">
      <alignment horizontal="center"/>
    </xf>
    <xf numFmtId="0" fontId="28" fillId="0" borderId="0" xfId="0" applyFont="1" applyAlignment="1">
      <alignment horizontal="right"/>
    </xf>
    <xf numFmtId="37" fontId="28" fillId="0" borderId="0" xfId="1" applyNumberFormat="1" applyFont="1" applyAlignment="1">
      <alignment horizontal="right" wrapText="1"/>
    </xf>
    <xf numFmtId="172" fontId="28" fillId="0" borderId="0" xfId="1" applyNumberFormat="1" applyFont="1" applyAlignment="1">
      <alignment horizontal="right"/>
    </xf>
    <xf numFmtId="172" fontId="28" fillId="0" borderId="27" xfId="1" applyNumberFormat="1" applyFont="1" applyBorder="1" applyAlignment="1">
      <alignment horizontal="right"/>
    </xf>
    <xf numFmtId="0" fontId="28" fillId="0" borderId="27" xfId="0" applyFont="1" applyBorder="1"/>
    <xf numFmtId="0" fontId="34" fillId="11" borderId="14" xfId="0" applyFont="1" applyFill="1" applyBorder="1"/>
    <xf numFmtId="0" fontId="28" fillId="11" borderId="9" xfId="0" applyFont="1" applyFill="1" applyBorder="1"/>
    <xf numFmtId="172" fontId="34" fillId="11" borderId="9" xfId="0" applyNumberFormat="1" applyFont="1" applyFill="1" applyBorder="1"/>
    <xf numFmtId="172" fontId="34" fillId="11" borderId="28" xfId="0" applyNumberFormat="1" applyFont="1" applyFill="1" applyBorder="1"/>
    <xf numFmtId="168" fontId="34" fillId="11" borderId="9" xfId="2" applyNumberFormat="1" applyFont="1" applyFill="1" applyBorder="1"/>
    <xf numFmtId="0" fontId="28" fillId="11" borderId="28" xfId="0" applyFont="1" applyFill="1" applyBorder="1"/>
    <xf numFmtId="0" fontId="34" fillId="11" borderId="15" xfId="0" applyFont="1" applyFill="1" applyBorder="1"/>
    <xf numFmtId="0" fontId="28" fillId="11" borderId="1" xfId="0" applyFont="1" applyFill="1" applyBorder="1"/>
    <xf numFmtId="172" fontId="34" fillId="11" borderId="1" xfId="0" applyNumberFormat="1" applyFont="1" applyFill="1" applyBorder="1"/>
    <xf numFmtId="172" fontId="34" fillId="11" borderId="26" xfId="0" applyNumberFormat="1" applyFont="1" applyFill="1" applyBorder="1"/>
    <xf numFmtId="168" fontId="34" fillId="11" borderId="1" xfId="2" applyNumberFormat="1" applyFont="1" applyFill="1" applyBorder="1"/>
    <xf numFmtId="0" fontId="28" fillId="11" borderId="26" xfId="0" applyFont="1" applyFill="1" applyBorder="1"/>
    <xf numFmtId="0" fontId="28" fillId="0" borderId="26" xfId="0" applyFont="1" applyBorder="1"/>
    <xf numFmtId="9" fontId="28" fillId="11" borderId="12" xfId="0" applyNumberFormat="1" applyFont="1" applyFill="1" applyBorder="1"/>
    <xf numFmtId="9" fontId="28" fillId="11" borderId="13" xfId="0" applyNumberFormat="1" applyFont="1" applyFill="1" applyBorder="1"/>
    <xf numFmtId="14" fontId="28" fillId="0" borderId="0" xfId="0" applyNumberFormat="1" applyFont="1"/>
    <xf numFmtId="14" fontId="35" fillId="2" borderId="0" xfId="0" applyNumberFormat="1" applyFont="1" applyFill="1"/>
    <xf numFmtId="14" fontId="28" fillId="10" borderId="0" xfId="0" applyNumberFormat="1" applyFont="1" applyFill="1"/>
    <xf numFmtId="171" fontId="28" fillId="0" borderId="0" xfId="9" applyNumberFormat="1" applyFont="1" applyFill="1" applyAlignment="1">
      <alignment horizontal="right"/>
    </xf>
    <xf numFmtId="0" fontId="35" fillId="2" borderId="10" xfId="0" applyFont="1" applyFill="1" applyBorder="1"/>
    <xf numFmtId="0" fontId="37" fillId="2" borderId="10" xfId="0" applyFont="1" applyFill="1" applyBorder="1" applyAlignment="1">
      <alignment horizontal="right"/>
    </xf>
    <xf numFmtId="171" fontId="28" fillId="0" borderId="0" xfId="9" applyNumberFormat="1" applyFont="1" applyFill="1" applyAlignment="1">
      <alignment horizontal="left" indent="1"/>
    </xf>
    <xf numFmtId="10" fontId="26" fillId="9" borderId="4" xfId="2" applyNumberFormat="1" applyFont="1" applyFill="1" applyBorder="1"/>
    <xf numFmtId="168" fontId="28" fillId="0" borderId="0" xfId="2" applyNumberFormat="1" applyFont="1" applyFill="1" applyAlignment="1">
      <alignment horizontal="right"/>
    </xf>
    <xf numFmtId="0" fontId="57" fillId="0" borderId="0" xfId="0" applyFont="1" applyAlignment="1">
      <alignment horizontal="left" indent="3"/>
    </xf>
    <xf numFmtId="37" fontId="39" fillId="0" borderId="0" xfId="9" applyNumberFormat="1" applyFont="1" applyFill="1" applyAlignment="1">
      <alignment horizontal="right"/>
    </xf>
    <xf numFmtId="0" fontId="25" fillId="0" borderId="0" xfId="0" applyFont="1" applyAlignment="1">
      <alignment horizontal="left" indent="4"/>
    </xf>
    <xf numFmtId="4" fontId="39" fillId="0" borderId="0" xfId="2" applyNumberFormat="1" applyFont="1" applyFill="1" applyBorder="1"/>
    <xf numFmtId="4" fontId="28" fillId="0" borderId="0" xfId="2" applyNumberFormat="1" applyFont="1" applyFill="1" applyBorder="1"/>
    <xf numFmtId="10" fontId="28" fillId="0" borderId="0" xfId="2" applyNumberFormat="1" applyFont="1" applyFill="1" applyBorder="1"/>
    <xf numFmtId="10" fontId="38" fillId="0" borderId="1" xfId="2" applyNumberFormat="1" applyFont="1" applyFill="1" applyBorder="1"/>
    <xf numFmtId="2" fontId="28" fillId="0" borderId="0" xfId="0" applyNumberFormat="1" applyFont="1"/>
    <xf numFmtId="10" fontId="34" fillId="11" borderId="19" xfId="0" applyNumberFormat="1" applyFont="1" applyFill="1" applyBorder="1" applyAlignment="1">
      <alignment horizontal="left" indent="1"/>
    </xf>
    <xf numFmtId="10" fontId="34" fillId="11" borderId="7" xfId="0" applyNumberFormat="1" applyFont="1" applyFill="1" applyBorder="1"/>
    <xf numFmtId="0" fontId="34" fillId="0" borderId="0" xfId="0" applyFont="1" applyAlignment="1">
      <alignment horizontal="left" indent="5"/>
    </xf>
    <xf numFmtId="10" fontId="34" fillId="0" borderId="0" xfId="2" applyNumberFormat="1" applyFont="1" applyFill="1" applyBorder="1"/>
    <xf numFmtId="10" fontId="57" fillId="0" borderId="0" xfId="2" applyNumberFormat="1" applyFont="1" applyFill="1" applyBorder="1"/>
    <xf numFmtId="37" fontId="28" fillId="0" borderId="1" xfId="0" applyNumberFormat="1" applyFont="1" applyBorder="1"/>
    <xf numFmtId="3" fontId="28" fillId="0" borderId="0" xfId="0" applyNumberFormat="1" applyFont="1"/>
    <xf numFmtId="3" fontId="39" fillId="0" borderId="0" xfId="0" applyNumberFormat="1" applyFont="1"/>
    <xf numFmtId="3" fontId="26" fillId="9" borderId="4" xfId="0" applyNumberFormat="1" applyFont="1" applyFill="1" applyBorder="1"/>
    <xf numFmtId="168" fontId="39" fillId="0" borderId="1" xfId="2" applyNumberFormat="1" applyFont="1" applyFill="1" applyBorder="1"/>
    <xf numFmtId="10" fontId="28" fillId="9" borderId="4" xfId="2" applyNumberFormat="1" applyFont="1" applyFill="1" applyBorder="1"/>
    <xf numFmtId="0" fontId="34" fillId="11" borderId="19" xfId="0" applyFont="1" applyFill="1" applyBorder="1" applyAlignment="1">
      <alignment horizontal="left" indent="1"/>
    </xf>
    <xf numFmtId="0" fontId="28" fillId="11" borderId="7" xfId="0" applyFont="1" applyFill="1" applyBorder="1"/>
    <xf numFmtId="10" fontId="34" fillId="11" borderId="7" xfId="2" applyNumberFormat="1" applyFont="1" applyFill="1" applyBorder="1"/>
    <xf numFmtId="9" fontId="28" fillId="0" borderId="0" xfId="0" applyNumberFormat="1" applyFont="1"/>
    <xf numFmtId="0" fontId="28" fillId="16" borderId="7" xfId="0" applyFont="1" applyFill="1" applyBorder="1"/>
    <xf numFmtId="10" fontId="34" fillId="16" borderId="7" xfId="2" applyNumberFormat="1" applyFont="1" applyFill="1" applyBorder="1"/>
    <xf numFmtId="10" fontId="34" fillId="16" borderId="17" xfId="2" applyNumberFormat="1" applyFont="1" applyFill="1" applyBorder="1"/>
    <xf numFmtId="0" fontId="28" fillId="0" borderId="12" xfId="0" applyFont="1" applyBorder="1"/>
    <xf numFmtId="172" fontId="26" fillId="9" borderId="18" xfId="0" applyNumberFormat="1" applyFont="1" applyFill="1" applyBorder="1"/>
    <xf numFmtId="172" fontId="26" fillId="9" borderId="4" xfId="0" applyNumberFormat="1" applyFont="1" applyFill="1" applyBorder="1"/>
    <xf numFmtId="168" fontId="26" fillId="9" borderId="4" xfId="2" applyNumberFormat="1" applyFont="1" applyFill="1" applyBorder="1"/>
    <xf numFmtId="9" fontId="26" fillId="9" borderId="4" xfId="2" applyFont="1" applyFill="1" applyBorder="1"/>
    <xf numFmtId="0" fontId="7" fillId="0" borderId="0" xfId="3" applyAlignment="1">
      <alignment horizontal="left" vertical="top" indent="1"/>
    </xf>
    <xf numFmtId="10" fontId="27" fillId="0" borderId="0" xfId="2" applyNumberFormat="1" applyFont="1" applyFill="1" applyProtection="1">
      <protection locked="0"/>
    </xf>
    <xf numFmtId="10" fontId="27" fillId="0" borderId="0" xfId="2" applyNumberFormat="1" applyFont="1" applyProtection="1">
      <protection locked="0"/>
    </xf>
    <xf numFmtId="9" fontId="27" fillId="0" borderId="0" xfId="2" applyFont="1" applyProtection="1">
      <protection locked="0"/>
    </xf>
    <xf numFmtId="3" fontId="33" fillId="11" borderId="7" xfId="0" applyNumberFormat="1" applyFont="1" applyFill="1" applyBorder="1" applyProtection="1">
      <protection locked="0"/>
    </xf>
    <xf numFmtId="37" fontId="43" fillId="0" borderId="0" xfId="1" applyNumberFormat="1" applyFont="1" applyFill="1" applyProtection="1">
      <protection locked="0"/>
    </xf>
    <xf numFmtId="37" fontId="43" fillId="0" borderId="3" xfId="1" applyNumberFormat="1" applyFont="1" applyFill="1" applyBorder="1" applyProtection="1"/>
    <xf numFmtId="37" fontId="84" fillId="0" borderId="0" xfId="0" applyNumberFormat="1" applyFont="1" applyProtection="1">
      <protection locked="0"/>
    </xf>
    <xf numFmtId="37" fontId="43" fillId="0" borderId="0" xfId="1" applyNumberFormat="1" applyFont="1" applyFill="1" applyProtection="1"/>
    <xf numFmtId="37" fontId="84" fillId="0" borderId="0" xfId="1" applyNumberFormat="1" applyFont="1" applyFill="1" applyProtection="1"/>
    <xf numFmtId="9" fontId="27" fillId="0" borderId="0" xfId="2" applyFont="1" applyFill="1" applyBorder="1" applyProtection="1">
      <protection locked="0"/>
    </xf>
    <xf numFmtId="0" fontId="83" fillId="0" borderId="0" xfId="0" applyFont="1" applyProtection="1">
      <protection locked="0"/>
    </xf>
    <xf numFmtId="0" fontId="34" fillId="0" borderId="0" xfId="0" applyFont="1" applyAlignment="1" applyProtection="1">
      <alignment horizontal="left" indent="3"/>
      <protection locked="0"/>
    </xf>
    <xf numFmtId="1" fontId="28" fillId="0" borderId="0" xfId="0" applyNumberFormat="1" applyFont="1" applyProtection="1">
      <protection locked="0"/>
    </xf>
    <xf numFmtId="1" fontId="28" fillId="0" borderId="0" xfId="0" applyNumberFormat="1" applyFont="1"/>
    <xf numFmtId="3" fontId="15" fillId="11" borderId="7" xfId="0" applyNumberFormat="1" applyFont="1" applyFill="1" applyBorder="1" applyProtection="1">
      <protection locked="0"/>
    </xf>
    <xf numFmtId="3" fontId="85" fillId="0" borderId="0" xfId="0" applyNumberFormat="1" applyFont="1" applyProtection="1">
      <protection locked="0"/>
    </xf>
    <xf numFmtId="0" fontId="86" fillId="0" borderId="0" xfId="0" applyFont="1" applyAlignment="1">
      <alignment horizontal="left" indent="2"/>
    </xf>
    <xf numFmtId="168" fontId="23" fillId="9" borderId="0" xfId="2" applyNumberFormat="1" applyFont="1" applyFill="1" applyBorder="1" applyProtection="1">
      <protection locked="0"/>
    </xf>
    <xf numFmtId="10" fontId="28" fillId="0" borderId="0" xfId="2" applyNumberFormat="1" applyFont="1" applyProtection="1">
      <protection locked="0"/>
    </xf>
    <xf numFmtId="181" fontId="27" fillId="0" borderId="0" xfId="0" applyNumberFormat="1" applyFont="1" applyProtection="1">
      <protection locked="0"/>
    </xf>
    <xf numFmtId="2" fontId="28" fillId="0" borderId="0" xfId="2" applyNumberFormat="1" applyFont="1" applyProtection="1">
      <protection locked="0"/>
    </xf>
    <xf numFmtId="2" fontId="28" fillId="0" borderId="0" xfId="0" quotePrefix="1" applyNumberFormat="1" applyFont="1" applyProtection="1">
      <protection locked="0"/>
    </xf>
    <xf numFmtId="0" fontId="34" fillId="11" borderId="14" xfId="0" applyFont="1" applyFill="1" applyBorder="1" applyAlignment="1" applyProtection="1">
      <alignment horizontal="left" indent="1"/>
      <protection locked="0"/>
    </xf>
    <xf numFmtId="0" fontId="34" fillId="11" borderId="9" xfId="0" applyFont="1" applyFill="1" applyBorder="1"/>
    <xf numFmtId="37" fontId="34" fillId="11" borderId="9" xfId="0" applyNumberFormat="1" applyFont="1" applyFill="1" applyBorder="1" applyProtection="1">
      <protection locked="0"/>
    </xf>
    <xf numFmtId="37" fontId="34" fillId="11" borderId="12" xfId="0" applyNumberFormat="1" applyFont="1" applyFill="1" applyBorder="1" applyProtection="1">
      <protection locked="0"/>
    </xf>
    <xf numFmtId="0" fontId="28" fillId="0" borderId="0" xfId="0" quotePrefix="1" applyFont="1" applyProtection="1">
      <protection locked="0"/>
    </xf>
    <xf numFmtId="10" fontId="28" fillId="17" borderId="0" xfId="0" applyNumberFormat="1" applyFont="1" applyFill="1"/>
    <xf numFmtId="0" fontId="37" fillId="2" borderId="10" xfId="0" applyFont="1" applyFill="1" applyBorder="1" applyAlignment="1">
      <alignment horizontal="center"/>
    </xf>
    <xf numFmtId="0" fontId="7" fillId="0" borderId="0" xfId="0" applyFont="1" applyAlignment="1">
      <alignment horizontal="left" vertical="top" indent="1"/>
    </xf>
    <xf numFmtId="9" fontId="34" fillId="7" borderId="0" xfId="0" applyNumberFormat="1" applyFont="1" applyFill="1" applyAlignment="1">
      <alignment horizontal="right"/>
    </xf>
    <xf numFmtId="0" fontId="28" fillId="5" borderId="0" xfId="0" applyFont="1" applyFill="1" applyProtection="1">
      <protection locked="0"/>
    </xf>
    <xf numFmtId="3" fontId="27" fillId="5" borderId="0" xfId="0" applyNumberFormat="1" applyFont="1" applyFill="1" applyProtection="1">
      <protection locked="0"/>
    </xf>
    <xf numFmtId="0" fontId="27" fillId="0" borderId="0" xfId="5" applyFont="1" applyAlignment="1">
      <alignment vertical="top" wrapText="1"/>
    </xf>
    <xf numFmtId="0" fontId="27" fillId="0" borderId="0" xfId="5" applyFont="1" applyAlignment="1">
      <alignment vertical="center" wrapText="1"/>
    </xf>
    <xf numFmtId="0" fontId="28" fillId="0" borderId="2" xfId="0" applyFont="1" applyBorder="1"/>
    <xf numFmtId="0" fontId="87" fillId="0" borderId="0" xfId="0" applyFont="1" applyAlignment="1" applyProtection="1">
      <alignment horizontal="left" indent="3"/>
      <protection locked="0"/>
    </xf>
    <xf numFmtId="0" fontId="87" fillId="0" borderId="0" xfId="0" applyFont="1"/>
    <xf numFmtId="37" fontId="87" fillId="3" borderId="0" xfId="0" applyNumberFormat="1" applyFont="1" applyFill="1" applyProtection="1">
      <protection locked="0"/>
    </xf>
    <xf numFmtId="3" fontId="87" fillId="0" borderId="0" xfId="0" applyNumberFormat="1" applyFont="1" applyProtection="1">
      <protection locked="0"/>
    </xf>
    <xf numFmtId="37" fontId="87" fillId="0" borderId="0" xfId="0" applyNumberFormat="1" applyFont="1"/>
    <xf numFmtId="37" fontId="87" fillId="0" borderId="0" xfId="1" applyNumberFormat="1" applyFont="1" applyFill="1" applyProtection="1">
      <protection locked="0"/>
    </xf>
    <xf numFmtId="37" fontId="87" fillId="0" borderId="3" xfId="1" applyNumberFormat="1" applyFont="1" applyFill="1" applyBorder="1" applyProtection="1"/>
    <xf numFmtId="168" fontId="87" fillId="0" borderId="0" xfId="2" applyNumberFormat="1" applyFont="1" applyProtection="1">
      <protection locked="0"/>
    </xf>
    <xf numFmtId="37" fontId="87" fillId="0" borderId="0" xfId="1" applyNumberFormat="1" applyFont="1" applyFill="1" applyProtection="1"/>
    <xf numFmtId="10" fontId="25" fillId="3" borderId="0" xfId="2" applyNumberFormat="1" applyFont="1" applyFill="1"/>
    <xf numFmtId="9" fontId="34" fillId="18" borderId="0" xfId="0" applyNumberFormat="1" applyFont="1" applyFill="1" applyAlignment="1">
      <alignment horizontal="right"/>
    </xf>
    <xf numFmtId="0" fontId="3" fillId="0" borderId="0" xfId="0" applyFont="1" applyAlignment="1">
      <alignment horizontal="center" vertical="center"/>
    </xf>
    <xf numFmtId="37" fontId="87" fillId="0" borderId="0" xfId="1" applyNumberFormat="1" applyFont="1"/>
    <xf numFmtId="37" fontId="27" fillId="0" borderId="0" xfId="1" applyNumberFormat="1" applyFont="1" applyProtection="1">
      <protection locked="0"/>
    </xf>
    <xf numFmtId="37" fontId="27" fillId="0" borderId="0" xfId="1" applyNumberFormat="1" applyFont="1"/>
    <xf numFmtId="37" fontId="39" fillId="0" borderId="0" xfId="1" applyNumberFormat="1" applyFont="1"/>
    <xf numFmtId="37" fontId="27" fillId="0" borderId="3" xfId="1" applyNumberFormat="1" applyFont="1" applyBorder="1"/>
    <xf numFmtId="37" fontId="39" fillId="0" borderId="0" xfId="1" applyNumberFormat="1" applyFont="1" applyProtection="1">
      <protection locked="0"/>
    </xf>
    <xf numFmtId="168" fontId="25" fillId="3" borderId="0" xfId="2" applyNumberFormat="1" applyFont="1" applyFill="1"/>
    <xf numFmtId="10" fontId="23" fillId="9" borderId="4" xfId="2" applyNumberFormat="1" applyFont="1" applyFill="1" applyBorder="1" applyProtection="1">
      <protection locked="0"/>
    </xf>
    <xf numFmtId="39" fontId="28" fillId="0" borderId="0" xfId="0" applyNumberFormat="1" applyFont="1"/>
    <xf numFmtId="0" fontId="88" fillId="0" borderId="0" xfId="0" applyFont="1"/>
    <xf numFmtId="0" fontId="75" fillId="0" borderId="0" xfId="0" applyFont="1" applyAlignment="1">
      <alignment horizontal="left" vertical="top" wrapText="1"/>
    </xf>
    <xf numFmtId="0" fontId="0" fillId="0" borderId="29" xfId="0" applyBorder="1" applyAlignment="1">
      <alignment vertical="center"/>
    </xf>
    <xf numFmtId="0" fontId="0" fillId="0" borderId="0" xfId="0" applyAlignment="1">
      <alignment vertical="center"/>
    </xf>
    <xf numFmtId="0" fontId="34" fillId="0" borderId="0" xfId="0" applyFont="1" applyAlignment="1">
      <alignment horizontal="left" vertical="top" wrapText="1" indent="1"/>
    </xf>
    <xf numFmtId="0" fontId="27" fillId="5" borderId="0" xfId="5" applyFont="1" applyFill="1" applyAlignment="1">
      <alignment horizontal="center" vertical="center"/>
    </xf>
    <xf numFmtId="1" fontId="34" fillId="5" borderId="0" xfId="0" applyNumberFormat="1" applyFont="1" applyFill="1" applyAlignment="1">
      <alignment horizontal="right"/>
    </xf>
    <xf numFmtId="1" fontId="24" fillId="0" borderId="0" xfId="5" applyNumberFormat="1" applyFont="1" applyAlignment="1">
      <alignment horizontal="right" vertical="center"/>
    </xf>
    <xf numFmtId="9" fontId="34" fillId="7" borderId="0" xfId="0" applyNumberFormat="1" applyFont="1" applyFill="1" applyAlignment="1">
      <alignment horizontal="right"/>
    </xf>
    <xf numFmtId="0" fontId="34" fillId="5" borderId="0" xfId="0" applyFont="1" applyFill="1" applyAlignment="1">
      <alignment horizontal="right"/>
    </xf>
    <xf numFmtId="0" fontId="27" fillId="13" borderId="0" xfId="5" applyFont="1" applyFill="1" applyAlignment="1">
      <alignment horizontal="center" vertical="center"/>
    </xf>
    <xf numFmtId="0" fontId="27" fillId="0" borderId="0" xfId="5" applyFont="1" applyAlignment="1">
      <alignment horizontal="left" vertical="center" wrapText="1"/>
    </xf>
    <xf numFmtId="0" fontId="27" fillId="0" borderId="0" xfId="5" applyFont="1" applyAlignment="1">
      <alignment horizontal="left" vertical="top" wrapText="1"/>
    </xf>
    <xf numFmtId="0" fontId="28" fillId="0" borderId="0" xfId="0" applyFont="1" applyAlignment="1">
      <alignment horizontal="left" vertical="top" wrapText="1"/>
    </xf>
    <xf numFmtId="0" fontId="27" fillId="8" borderId="0" xfId="5" applyFont="1" applyFill="1" applyAlignment="1">
      <alignment horizontal="center" vertical="center"/>
    </xf>
    <xf numFmtId="9" fontId="27" fillId="0" borderId="0" xfId="5" applyNumberFormat="1" applyFont="1" applyAlignment="1">
      <alignment horizontal="left" vertical="center" wrapText="1"/>
    </xf>
    <xf numFmtId="0" fontId="27" fillId="7" borderId="0" xfId="5" applyFont="1" applyFill="1" applyAlignment="1">
      <alignment horizontal="center" vertical="center"/>
    </xf>
    <xf numFmtId="0" fontId="28" fillId="0" borderId="0" xfId="0" applyFont="1" applyAlignment="1">
      <alignment horizontal="center" vertical="top" wrapText="1"/>
    </xf>
    <xf numFmtId="166" fontId="16" fillId="2" borderId="10" xfId="0" applyNumberFormat="1" applyFont="1" applyFill="1" applyBorder="1" applyAlignment="1">
      <alignment horizontal="center"/>
    </xf>
    <xf numFmtId="165" fontId="16" fillId="2" borderId="10" xfId="0" applyNumberFormat="1" applyFont="1" applyFill="1" applyBorder="1" applyAlignment="1">
      <alignment horizontal="center"/>
    </xf>
    <xf numFmtId="0" fontId="67" fillId="0" borderId="11" xfId="0" applyFont="1" applyBorder="1" applyAlignment="1">
      <alignment horizontal="center"/>
    </xf>
    <xf numFmtId="0" fontId="8" fillId="0" borderId="11" xfId="0" applyFont="1" applyBorder="1" applyAlignment="1">
      <alignment horizontal="center"/>
    </xf>
    <xf numFmtId="10" fontId="34" fillId="11" borderId="17" xfId="2" applyNumberFormat="1" applyFont="1" applyFill="1" applyBorder="1"/>
  </cellXfs>
  <cellStyles count="14">
    <cellStyle name="blp_column_header" xfId="12" xr:uid="{00000000-0005-0000-0000-000000000000}"/>
    <cellStyle name="Currency 2" xfId="9" xr:uid="{00000000-0005-0000-0000-000002000000}"/>
    <cellStyle name="fa_column_header_bottom" xfId="11" xr:uid="{00000000-0005-0000-0000-000003000000}"/>
    <cellStyle name="Hyperlink" xfId="3" xr:uid="{00000000-0005-0000-0000-000004000000}"/>
    <cellStyle name="Komma" xfId="1" builtinId="3"/>
    <cellStyle name="Normal 2" xfId="8" xr:uid="{00000000-0005-0000-0000-000006000000}"/>
    <cellStyle name="Normal 2 2" xfId="5" xr:uid="{00000000-0005-0000-0000-000007000000}"/>
    <cellStyle name="Normal 2 2 2" xfId="13" xr:uid="{00000000-0005-0000-0000-000008000000}"/>
    <cellStyle name="Normal 3 2" xfId="6" xr:uid="{00000000-0005-0000-0000-000009000000}"/>
    <cellStyle name="Normal 6" xfId="10" xr:uid="{00000000-0005-0000-0000-00000A000000}"/>
    <cellStyle name="Percent 2" xfId="4" xr:uid="{00000000-0005-0000-0000-00000C000000}"/>
    <cellStyle name="Porcentaje 3" xfId="7" xr:uid="{00000000-0005-0000-0000-00000D000000}"/>
    <cellStyle name="Prozent" xfId="2" builtinId="5"/>
    <cellStyle name="Standard" xfId="0" builtinId="0"/>
  </cellStyles>
  <dxfs count="6">
    <dxf>
      <font>
        <b/>
        <i/>
        <strike val="0"/>
        <color theme="1" tint="4.9989318521683403E-2"/>
      </font>
      <numFmt numFmtId="2" formatCode="0.00"/>
      <fill>
        <patternFill patternType="none">
          <bgColor auto="1"/>
        </patternFill>
      </fill>
    </dxf>
    <dxf>
      <font>
        <color rgb="FFC00000"/>
      </font>
    </dxf>
    <dxf>
      <font>
        <color rgb="FFFF0000"/>
      </font>
    </dxf>
    <dxf>
      <font>
        <color rgb="FF00B050"/>
      </font>
    </dxf>
    <dxf>
      <font>
        <color rgb="FF92D050"/>
      </font>
      <fill>
        <patternFill patternType="none">
          <bgColor auto="1"/>
        </patternFill>
      </fill>
    </dxf>
    <dxf>
      <font>
        <color rgb="FFFFC000"/>
      </font>
      <fill>
        <patternFill patternType="none">
          <bgColor auto="1"/>
        </patternFill>
      </fill>
    </dxf>
  </dxfs>
  <tableStyles count="0" defaultTableStyle="TableStyleMedium2" defaultPivotStyle="PivotStyleLight16"/>
  <colors>
    <mruColors>
      <color rgb="FF8DEB91"/>
      <color rgb="FF7B1314"/>
      <color rgb="FF1C3E64"/>
      <color rgb="FFBE606D"/>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6"/>
          <c:val>
            <c:numRef>
              <c:f>FCFF!$R$160:$R$161</c:f>
            </c:numRef>
          </c:val>
          <c:extLst>
            <c:ext xmlns:c16="http://schemas.microsoft.com/office/drawing/2014/chart" uri="{C3380CC4-5D6E-409C-BE32-E72D297353CC}">
              <c16:uniqueId val="{00000004-9308-49AE-A481-1F06B1D5BB5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14486436699692E-2"/>
          <c:y val="4.35897347890703E-2"/>
          <c:w val="0.83471072979021788"/>
          <c:h val="0.82395872603386833"/>
        </c:manualLayout>
      </c:layout>
      <c:barChart>
        <c:barDir val="col"/>
        <c:grouping val="clustered"/>
        <c:varyColors val="0"/>
        <c:ser>
          <c:idx val="0"/>
          <c:order val="0"/>
          <c:tx>
            <c:strRef>
              <c:f>FCFF!$AR$12</c:f>
              <c:strCache>
                <c:ptCount val="1"/>
                <c:pt idx="0">
                  <c:v>EBITDA</c:v>
                </c:pt>
              </c:strCache>
            </c:strRef>
          </c:tx>
          <c:spPr>
            <a:solidFill>
              <a:schemeClr val="accent1">
                <a:lumMod val="60000"/>
                <a:lumOff val="40000"/>
              </a:schemeClr>
            </a:solidFill>
            <a:ln>
              <a:noFill/>
            </a:ln>
            <a:effectLst>
              <a:glow rad="101600">
                <a:schemeClr val="accent1">
                  <a:satMod val="175000"/>
                  <a:alpha val="20000"/>
                </a:schemeClr>
              </a:glow>
              <a:softEdge rad="0"/>
            </a:effectLst>
          </c:spPr>
          <c:invertIfNegative val="0"/>
          <c:cat>
            <c:numRef>
              <c:f>FCFF!$AS$11:$AZ$11</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FCFF!$AS$12:$AZ$12</c:f>
              <c:numCache>
                <c:formatCode>#,##0_);\(#,##0\)</c:formatCode>
                <c:ptCount val="8"/>
                <c:pt idx="0">
                  <c:v>735.72999999999979</c:v>
                </c:pt>
                <c:pt idx="1">
                  <c:v>810.84400000000051</c:v>
                </c:pt>
                <c:pt idx="2">
                  <c:v>1045.4549999999992</c:v>
                </c:pt>
                <c:pt idx="3">
                  <c:v>2439.1924905048058</c:v>
                </c:pt>
                <c:pt idx="4">
                  <c:v>2870.0477883247422</c:v>
                </c:pt>
                <c:pt idx="5">
                  <c:v>3949.6078504054785</c:v>
                </c:pt>
                <c:pt idx="6">
                  <c:v>4776.793680914886</c:v>
                </c:pt>
                <c:pt idx="7">
                  <c:v>5387.0327437626929</c:v>
                </c:pt>
              </c:numCache>
            </c:numRef>
          </c:val>
          <c:extLst>
            <c:ext xmlns:c16="http://schemas.microsoft.com/office/drawing/2014/chart" uri="{C3380CC4-5D6E-409C-BE32-E72D297353CC}">
              <c16:uniqueId val="{00000000-EDEC-4D47-9C20-D8D9D241E889}"/>
            </c:ext>
          </c:extLst>
        </c:ser>
        <c:ser>
          <c:idx val="1"/>
          <c:order val="1"/>
          <c:tx>
            <c:strRef>
              <c:f>FCFF!$AR$13</c:f>
              <c:strCache>
                <c:ptCount val="1"/>
                <c:pt idx="0">
                  <c:v>FCFF</c:v>
                </c:pt>
              </c:strCache>
            </c:strRef>
          </c:tx>
          <c:spPr>
            <a:solidFill>
              <a:schemeClr val="accent1"/>
            </a:solidFill>
            <a:ln>
              <a:noFill/>
            </a:ln>
            <a:effectLst>
              <a:glow rad="101600">
                <a:schemeClr val="accent1">
                  <a:satMod val="175000"/>
                  <a:alpha val="20000"/>
                </a:schemeClr>
              </a:glow>
            </a:effectLst>
          </c:spPr>
          <c:invertIfNegative val="0"/>
          <c:cat>
            <c:numRef>
              <c:f>FCFF!$AS$11:$AZ$11</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FCFF!$AS$13:$AZ$13</c:f>
              <c:numCache>
                <c:formatCode>#,##0_);\(#,##0\)</c:formatCode>
                <c:ptCount val="8"/>
                <c:pt idx="0">
                  <c:v>122.33043414384949</c:v>
                </c:pt>
                <c:pt idx="1">
                  <c:v>516.8059437233992</c:v>
                </c:pt>
                <c:pt idx="2">
                  <c:v>842.61658357244232</c:v>
                </c:pt>
                <c:pt idx="3">
                  <c:v>228.89891782253176</c:v>
                </c:pt>
                <c:pt idx="4">
                  <c:v>1780.10751253229</c:v>
                </c:pt>
                <c:pt idx="5">
                  <c:v>2450.9435087536303</c:v>
                </c:pt>
                <c:pt idx="6">
                  <c:v>3604.2169880852998</c:v>
                </c:pt>
                <c:pt idx="7">
                  <c:v>3584.1405543536557</c:v>
                </c:pt>
              </c:numCache>
            </c:numRef>
          </c:val>
          <c:extLst>
            <c:ext xmlns:c16="http://schemas.microsoft.com/office/drawing/2014/chart" uri="{C3380CC4-5D6E-409C-BE32-E72D297353CC}">
              <c16:uniqueId val="{00000001-EDEC-4D47-9C20-D8D9D241E889}"/>
            </c:ext>
          </c:extLst>
        </c:ser>
        <c:dLbls>
          <c:showLegendKey val="0"/>
          <c:showVal val="0"/>
          <c:showCatName val="0"/>
          <c:showSerName val="0"/>
          <c:showPercent val="0"/>
          <c:showBubbleSize val="0"/>
        </c:dLbls>
        <c:gapWidth val="100"/>
        <c:overlap val="-27"/>
        <c:axId val="461881935"/>
        <c:axId val="461884815"/>
      </c:barChart>
      <c:lineChart>
        <c:grouping val="standard"/>
        <c:varyColors val="0"/>
        <c:ser>
          <c:idx val="2"/>
          <c:order val="2"/>
          <c:tx>
            <c:strRef>
              <c:f>FCFF!$AR$14</c:f>
              <c:strCache>
                <c:ptCount val="1"/>
                <c:pt idx="0">
                  <c:v>Revenue Growth</c:v>
                </c:pt>
              </c:strCache>
            </c:strRef>
          </c:tx>
          <c:spPr>
            <a:ln w="19050" cap="rnd">
              <a:solidFill>
                <a:schemeClr val="bg1">
                  <a:lumMod val="75000"/>
                </a:schemeClr>
              </a:solidFill>
              <a:round/>
            </a:ln>
            <a:effectLst>
              <a:glow rad="101600">
                <a:schemeClr val="accent3">
                  <a:satMod val="175000"/>
                  <a:alpha val="15000"/>
                </a:schemeClr>
              </a:glow>
            </a:effectLst>
          </c:spPr>
          <c:marker>
            <c:symbol val="none"/>
          </c:marker>
          <c:cat>
            <c:numRef>
              <c:f>FCFF!$AS$11:$AZ$11</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FCFF!$AS$14:$AZ$14</c:f>
              <c:numCache>
                <c:formatCode>0.0%</c:formatCode>
                <c:ptCount val="8"/>
                <c:pt idx="0">
                  <c:v>0.37093190867395798</c:v>
                </c:pt>
                <c:pt idx="1">
                  <c:v>0.17401563050308355</c:v>
                </c:pt>
                <c:pt idx="2">
                  <c:v>0.10823886766455804</c:v>
                </c:pt>
                <c:pt idx="3">
                  <c:v>5.4786453991890527E-2</c:v>
                </c:pt>
                <c:pt idx="4">
                  <c:v>0.11057974380528846</c:v>
                </c:pt>
                <c:pt idx="5">
                  <c:v>9.8198423332112039E-2</c:v>
                </c:pt>
                <c:pt idx="6">
                  <c:v>8.5183277273814806E-2</c:v>
                </c:pt>
                <c:pt idx="7">
                  <c:v>7.1435728060210257E-2</c:v>
                </c:pt>
              </c:numCache>
            </c:numRef>
          </c:val>
          <c:smooth val="0"/>
          <c:extLst>
            <c:ext xmlns:c16="http://schemas.microsoft.com/office/drawing/2014/chart" uri="{C3380CC4-5D6E-409C-BE32-E72D297353CC}">
              <c16:uniqueId val="{00000002-EDEC-4D47-9C20-D8D9D241E889}"/>
            </c:ext>
          </c:extLst>
        </c:ser>
        <c:dLbls>
          <c:showLegendKey val="0"/>
          <c:showVal val="0"/>
          <c:showCatName val="0"/>
          <c:showSerName val="0"/>
          <c:showPercent val="0"/>
          <c:showBubbleSize val="0"/>
        </c:dLbls>
        <c:marker val="1"/>
        <c:smooth val="0"/>
        <c:axId val="683919615"/>
        <c:axId val="465601487"/>
      </c:lineChart>
      <c:catAx>
        <c:axId val="46188193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4815"/>
        <c:crosses val="autoZero"/>
        <c:auto val="1"/>
        <c:lblAlgn val="ctr"/>
        <c:lblOffset val="100"/>
        <c:noMultiLvlLbl val="0"/>
      </c:catAx>
      <c:valAx>
        <c:axId val="461884815"/>
        <c:scaling>
          <c:orientation val="minMax"/>
        </c:scaling>
        <c:delete val="0"/>
        <c:axPos val="l"/>
        <c:majorGridlines>
          <c:spPr>
            <a:ln w="9525" cap="flat" cmpd="sng" algn="ctr">
              <a:solidFill>
                <a:schemeClr val="accent1">
                  <a:lumMod val="20000"/>
                  <a:lumOff val="80000"/>
                  <a:alpha val="2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1935"/>
        <c:crosses val="autoZero"/>
        <c:crossBetween val="between"/>
      </c:valAx>
      <c:valAx>
        <c:axId val="465601487"/>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683919615"/>
        <c:crosses val="max"/>
        <c:crossBetween val="between"/>
      </c:valAx>
      <c:catAx>
        <c:axId val="683919615"/>
        <c:scaling>
          <c:orientation val="minMax"/>
        </c:scaling>
        <c:delete val="1"/>
        <c:axPos val="b"/>
        <c:numFmt formatCode="0&quot;A&quot;" sourceLinked="1"/>
        <c:majorTickMark val="out"/>
        <c:minorTickMark val="none"/>
        <c:tickLblPos val="nextTo"/>
        <c:crossAx val="465601487"/>
        <c:crosses val="autoZero"/>
        <c:auto val="1"/>
        <c:lblAlgn val="ctr"/>
        <c:lblOffset val="100"/>
        <c:noMultiLvlLbl val="0"/>
      </c:catAx>
      <c:spPr>
        <a:noFill/>
        <a:ln>
          <a:noFill/>
        </a:ln>
        <a:effectLst/>
      </c:spPr>
    </c:plotArea>
    <c:legend>
      <c:legendPos val="b"/>
      <c:layout>
        <c:manualLayout>
          <c:xMode val="edge"/>
          <c:yMode val="edge"/>
          <c:x val="0.16973859526076801"/>
          <c:y val="0.92322219770401337"/>
          <c:w val="0.6991448702669929"/>
          <c:h val="7.677785464858513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b="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3137268222099186E-2"/>
          <c:w val="0.91831818771167184"/>
          <c:h val="0.75471599651566978"/>
        </c:manualLayout>
      </c:layout>
      <c:lineChart>
        <c:grouping val="standard"/>
        <c:varyColors val="0"/>
        <c:ser>
          <c:idx val="1"/>
          <c:order val="1"/>
          <c:spPr>
            <a:ln w="28575" cap="rnd">
              <a:solidFill>
                <a:schemeClr val="accent1">
                  <a:lumMod val="60000"/>
                  <a:lumOff val="40000"/>
                </a:schemeClr>
              </a:solidFill>
              <a:round/>
              <a:headEnd type="none" w="med" len="med"/>
              <a:tailEnd type="triangle" w="med" len="med"/>
            </a:ln>
            <a:effectLst>
              <a:glow rad="101600">
                <a:schemeClr val="accent1">
                  <a:satMod val="175000"/>
                  <a:alpha val="10000"/>
                </a:schemeClr>
              </a:glow>
            </a:effectLst>
          </c:spPr>
          <c:marker>
            <c:symbol val="none"/>
          </c:marker>
          <c:dLbls>
            <c:dLbl>
              <c:idx val="395"/>
              <c:layout>
                <c:manualLayout>
                  <c:x val="1.1440251733625133E-2"/>
                  <c:y val="3.9215698383726532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36-40B7-B91A-613A2079B8D7}"/>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Dashboard!$C$154:$C$558</c:f>
              <c:numCache>
                <c:formatCode>yyyy\-mm\-dd;@</c:formatCode>
                <c:ptCount val="405"/>
                <c:pt idx="0">
                  <c:v>45993</c:v>
                </c:pt>
                <c:pt idx="1">
                  <c:v>45992</c:v>
                </c:pt>
                <c:pt idx="2">
                  <c:v>45991</c:v>
                </c:pt>
                <c:pt idx="3">
                  <c:v>45990</c:v>
                </c:pt>
                <c:pt idx="4">
                  <c:v>45989</c:v>
                </c:pt>
                <c:pt idx="5">
                  <c:v>45988</c:v>
                </c:pt>
                <c:pt idx="6">
                  <c:v>45987</c:v>
                </c:pt>
                <c:pt idx="7">
                  <c:v>45986</c:v>
                </c:pt>
                <c:pt idx="8">
                  <c:v>45985</c:v>
                </c:pt>
                <c:pt idx="9">
                  <c:v>45984</c:v>
                </c:pt>
                <c:pt idx="10">
                  <c:v>45983</c:v>
                </c:pt>
                <c:pt idx="11">
                  <c:v>45982</c:v>
                </c:pt>
                <c:pt idx="12">
                  <c:v>45981</c:v>
                </c:pt>
                <c:pt idx="13">
                  <c:v>45980</c:v>
                </c:pt>
                <c:pt idx="14">
                  <c:v>45979</c:v>
                </c:pt>
                <c:pt idx="15">
                  <c:v>45978</c:v>
                </c:pt>
                <c:pt idx="16">
                  <c:v>45977</c:v>
                </c:pt>
                <c:pt idx="17">
                  <c:v>45976</c:v>
                </c:pt>
                <c:pt idx="18">
                  <c:v>45975</c:v>
                </c:pt>
                <c:pt idx="19">
                  <c:v>45974</c:v>
                </c:pt>
                <c:pt idx="20">
                  <c:v>45973</c:v>
                </c:pt>
                <c:pt idx="21">
                  <c:v>45972</c:v>
                </c:pt>
                <c:pt idx="22">
                  <c:v>45971</c:v>
                </c:pt>
                <c:pt idx="23">
                  <c:v>45970</c:v>
                </c:pt>
                <c:pt idx="24">
                  <c:v>45969</c:v>
                </c:pt>
                <c:pt idx="25">
                  <c:v>45968</c:v>
                </c:pt>
                <c:pt idx="26">
                  <c:v>45967</c:v>
                </c:pt>
                <c:pt idx="27">
                  <c:v>45966</c:v>
                </c:pt>
                <c:pt idx="28">
                  <c:v>45965</c:v>
                </c:pt>
                <c:pt idx="29">
                  <c:v>45964</c:v>
                </c:pt>
                <c:pt idx="30">
                  <c:v>45963</c:v>
                </c:pt>
                <c:pt idx="31">
                  <c:v>45962</c:v>
                </c:pt>
                <c:pt idx="32">
                  <c:v>45961</c:v>
                </c:pt>
                <c:pt idx="33">
                  <c:v>45960</c:v>
                </c:pt>
                <c:pt idx="34">
                  <c:v>45959</c:v>
                </c:pt>
                <c:pt idx="35">
                  <c:v>45958</c:v>
                </c:pt>
                <c:pt idx="36">
                  <c:v>45957</c:v>
                </c:pt>
                <c:pt idx="37">
                  <c:v>45956</c:v>
                </c:pt>
                <c:pt idx="38">
                  <c:v>45955</c:v>
                </c:pt>
                <c:pt idx="39">
                  <c:v>45954</c:v>
                </c:pt>
                <c:pt idx="40">
                  <c:v>45953</c:v>
                </c:pt>
                <c:pt idx="41">
                  <c:v>45952</c:v>
                </c:pt>
                <c:pt idx="42">
                  <c:v>45951</c:v>
                </c:pt>
                <c:pt idx="43">
                  <c:v>45950</c:v>
                </c:pt>
                <c:pt idx="44">
                  <c:v>45949</c:v>
                </c:pt>
                <c:pt idx="45">
                  <c:v>45948</c:v>
                </c:pt>
                <c:pt idx="46">
                  <c:v>45947</c:v>
                </c:pt>
                <c:pt idx="47">
                  <c:v>45946</c:v>
                </c:pt>
                <c:pt idx="48">
                  <c:v>45945</c:v>
                </c:pt>
                <c:pt idx="49">
                  <c:v>45944</c:v>
                </c:pt>
                <c:pt idx="50">
                  <c:v>45943</c:v>
                </c:pt>
                <c:pt idx="51">
                  <c:v>45942</c:v>
                </c:pt>
                <c:pt idx="52">
                  <c:v>45941</c:v>
                </c:pt>
                <c:pt idx="53">
                  <c:v>45940</c:v>
                </c:pt>
                <c:pt idx="54">
                  <c:v>45939</c:v>
                </c:pt>
                <c:pt idx="55">
                  <c:v>45938</c:v>
                </c:pt>
                <c:pt idx="56">
                  <c:v>45937</c:v>
                </c:pt>
                <c:pt idx="57">
                  <c:v>45936</c:v>
                </c:pt>
                <c:pt idx="58">
                  <c:v>45935</c:v>
                </c:pt>
                <c:pt idx="59">
                  <c:v>45934</c:v>
                </c:pt>
                <c:pt idx="60">
                  <c:v>45933</c:v>
                </c:pt>
                <c:pt idx="61">
                  <c:v>45932</c:v>
                </c:pt>
                <c:pt idx="62">
                  <c:v>45931</c:v>
                </c:pt>
                <c:pt idx="63">
                  <c:v>45930</c:v>
                </c:pt>
                <c:pt idx="64">
                  <c:v>45929</c:v>
                </c:pt>
                <c:pt idx="65">
                  <c:v>45928</c:v>
                </c:pt>
                <c:pt idx="66">
                  <c:v>45927</c:v>
                </c:pt>
                <c:pt idx="67">
                  <c:v>45926</c:v>
                </c:pt>
                <c:pt idx="68">
                  <c:v>45925</c:v>
                </c:pt>
                <c:pt idx="69">
                  <c:v>45924</c:v>
                </c:pt>
                <c:pt idx="70">
                  <c:v>45923</c:v>
                </c:pt>
                <c:pt idx="71">
                  <c:v>45922</c:v>
                </c:pt>
                <c:pt idx="72">
                  <c:v>45921</c:v>
                </c:pt>
                <c:pt idx="73">
                  <c:v>45920</c:v>
                </c:pt>
                <c:pt idx="74">
                  <c:v>45919</c:v>
                </c:pt>
                <c:pt idx="75">
                  <c:v>45918</c:v>
                </c:pt>
                <c:pt idx="76">
                  <c:v>45917</c:v>
                </c:pt>
                <c:pt idx="77">
                  <c:v>45916</c:v>
                </c:pt>
                <c:pt idx="78">
                  <c:v>45915</c:v>
                </c:pt>
                <c:pt idx="79">
                  <c:v>45914</c:v>
                </c:pt>
                <c:pt idx="80">
                  <c:v>45913</c:v>
                </c:pt>
                <c:pt idx="81">
                  <c:v>45912</c:v>
                </c:pt>
                <c:pt idx="82">
                  <c:v>45911</c:v>
                </c:pt>
                <c:pt idx="83">
                  <c:v>45910</c:v>
                </c:pt>
                <c:pt idx="84">
                  <c:v>45909</c:v>
                </c:pt>
                <c:pt idx="85">
                  <c:v>45908</c:v>
                </c:pt>
                <c:pt idx="86">
                  <c:v>45907</c:v>
                </c:pt>
                <c:pt idx="87">
                  <c:v>45906</c:v>
                </c:pt>
                <c:pt idx="88">
                  <c:v>45905</c:v>
                </c:pt>
                <c:pt idx="89">
                  <c:v>45904</c:v>
                </c:pt>
                <c:pt idx="90">
                  <c:v>45903</c:v>
                </c:pt>
                <c:pt idx="91">
                  <c:v>45902</c:v>
                </c:pt>
                <c:pt idx="92">
                  <c:v>45901</c:v>
                </c:pt>
                <c:pt idx="93">
                  <c:v>45900</c:v>
                </c:pt>
                <c:pt idx="94">
                  <c:v>45899</c:v>
                </c:pt>
                <c:pt idx="95">
                  <c:v>45898</c:v>
                </c:pt>
                <c:pt idx="96">
                  <c:v>45897</c:v>
                </c:pt>
                <c:pt idx="97">
                  <c:v>45896</c:v>
                </c:pt>
                <c:pt idx="98">
                  <c:v>45895</c:v>
                </c:pt>
                <c:pt idx="99">
                  <c:v>45894</c:v>
                </c:pt>
                <c:pt idx="100">
                  <c:v>45893</c:v>
                </c:pt>
                <c:pt idx="101">
                  <c:v>45892</c:v>
                </c:pt>
                <c:pt idx="102">
                  <c:v>45891</c:v>
                </c:pt>
                <c:pt idx="103">
                  <c:v>45890</c:v>
                </c:pt>
                <c:pt idx="104">
                  <c:v>45889</c:v>
                </c:pt>
                <c:pt idx="105">
                  <c:v>45888</c:v>
                </c:pt>
                <c:pt idx="106">
                  <c:v>45887</c:v>
                </c:pt>
                <c:pt idx="107">
                  <c:v>45886</c:v>
                </c:pt>
                <c:pt idx="108">
                  <c:v>45885</c:v>
                </c:pt>
                <c:pt idx="109">
                  <c:v>45884</c:v>
                </c:pt>
                <c:pt idx="110">
                  <c:v>45883</c:v>
                </c:pt>
                <c:pt idx="111">
                  <c:v>45882</c:v>
                </c:pt>
                <c:pt idx="112">
                  <c:v>45881</c:v>
                </c:pt>
                <c:pt idx="113">
                  <c:v>45880</c:v>
                </c:pt>
                <c:pt idx="114">
                  <c:v>45879</c:v>
                </c:pt>
                <c:pt idx="115">
                  <c:v>45878</c:v>
                </c:pt>
                <c:pt idx="116">
                  <c:v>45877</c:v>
                </c:pt>
                <c:pt idx="117">
                  <c:v>45876</c:v>
                </c:pt>
                <c:pt idx="118">
                  <c:v>45875</c:v>
                </c:pt>
                <c:pt idx="119">
                  <c:v>45874</c:v>
                </c:pt>
                <c:pt idx="120">
                  <c:v>45873</c:v>
                </c:pt>
                <c:pt idx="121">
                  <c:v>45872</c:v>
                </c:pt>
                <c:pt idx="122">
                  <c:v>45871</c:v>
                </c:pt>
                <c:pt idx="123">
                  <c:v>45870</c:v>
                </c:pt>
                <c:pt idx="124">
                  <c:v>45869</c:v>
                </c:pt>
                <c:pt idx="125">
                  <c:v>45868</c:v>
                </c:pt>
                <c:pt idx="126">
                  <c:v>45867</c:v>
                </c:pt>
                <c:pt idx="127">
                  <c:v>45866</c:v>
                </c:pt>
                <c:pt idx="128">
                  <c:v>45865</c:v>
                </c:pt>
                <c:pt idx="129">
                  <c:v>45864</c:v>
                </c:pt>
                <c:pt idx="130">
                  <c:v>45863</c:v>
                </c:pt>
                <c:pt idx="131">
                  <c:v>45862</c:v>
                </c:pt>
                <c:pt idx="132">
                  <c:v>45861</c:v>
                </c:pt>
                <c:pt idx="133">
                  <c:v>45860</c:v>
                </c:pt>
                <c:pt idx="134">
                  <c:v>45859</c:v>
                </c:pt>
                <c:pt idx="135">
                  <c:v>45858</c:v>
                </c:pt>
                <c:pt idx="136">
                  <c:v>45857</c:v>
                </c:pt>
                <c:pt idx="137">
                  <c:v>45856</c:v>
                </c:pt>
                <c:pt idx="138">
                  <c:v>45855</c:v>
                </c:pt>
                <c:pt idx="139">
                  <c:v>45854</c:v>
                </c:pt>
                <c:pt idx="140">
                  <c:v>45853</c:v>
                </c:pt>
                <c:pt idx="141">
                  <c:v>45852</c:v>
                </c:pt>
                <c:pt idx="142">
                  <c:v>45851</c:v>
                </c:pt>
                <c:pt idx="143">
                  <c:v>45850</c:v>
                </c:pt>
                <c:pt idx="144">
                  <c:v>45849</c:v>
                </c:pt>
                <c:pt idx="145">
                  <c:v>45848</c:v>
                </c:pt>
                <c:pt idx="146">
                  <c:v>45847</c:v>
                </c:pt>
                <c:pt idx="147">
                  <c:v>45846</c:v>
                </c:pt>
                <c:pt idx="148">
                  <c:v>45845</c:v>
                </c:pt>
                <c:pt idx="149">
                  <c:v>45844</c:v>
                </c:pt>
                <c:pt idx="150">
                  <c:v>45843</c:v>
                </c:pt>
                <c:pt idx="151">
                  <c:v>45842</c:v>
                </c:pt>
                <c:pt idx="152">
                  <c:v>45841</c:v>
                </c:pt>
                <c:pt idx="153">
                  <c:v>45840</c:v>
                </c:pt>
                <c:pt idx="154">
                  <c:v>45839</c:v>
                </c:pt>
                <c:pt idx="155">
                  <c:v>45838</c:v>
                </c:pt>
                <c:pt idx="156">
                  <c:v>45837</c:v>
                </c:pt>
                <c:pt idx="157">
                  <c:v>45836</c:v>
                </c:pt>
                <c:pt idx="158">
                  <c:v>45835</c:v>
                </c:pt>
                <c:pt idx="159">
                  <c:v>45834</c:v>
                </c:pt>
                <c:pt idx="160">
                  <c:v>45833</c:v>
                </c:pt>
                <c:pt idx="161">
                  <c:v>45832</c:v>
                </c:pt>
                <c:pt idx="162">
                  <c:v>45831</c:v>
                </c:pt>
                <c:pt idx="163">
                  <c:v>45830</c:v>
                </c:pt>
                <c:pt idx="164">
                  <c:v>45829</c:v>
                </c:pt>
                <c:pt idx="165">
                  <c:v>45828</c:v>
                </c:pt>
                <c:pt idx="166">
                  <c:v>45827</c:v>
                </c:pt>
                <c:pt idx="167">
                  <c:v>45826</c:v>
                </c:pt>
                <c:pt idx="168">
                  <c:v>45825</c:v>
                </c:pt>
                <c:pt idx="169">
                  <c:v>45824</c:v>
                </c:pt>
                <c:pt idx="170">
                  <c:v>45823</c:v>
                </c:pt>
                <c:pt idx="171">
                  <c:v>45822</c:v>
                </c:pt>
                <c:pt idx="172">
                  <c:v>45821</c:v>
                </c:pt>
                <c:pt idx="173">
                  <c:v>45820</c:v>
                </c:pt>
                <c:pt idx="174">
                  <c:v>45819</c:v>
                </c:pt>
                <c:pt idx="175">
                  <c:v>45818</c:v>
                </c:pt>
                <c:pt idx="176">
                  <c:v>45817</c:v>
                </c:pt>
                <c:pt idx="177">
                  <c:v>45816</c:v>
                </c:pt>
                <c:pt idx="178">
                  <c:v>45815</c:v>
                </c:pt>
                <c:pt idx="179">
                  <c:v>45814</c:v>
                </c:pt>
                <c:pt idx="180">
                  <c:v>45813</c:v>
                </c:pt>
                <c:pt idx="181">
                  <c:v>45812</c:v>
                </c:pt>
                <c:pt idx="182">
                  <c:v>45811</c:v>
                </c:pt>
                <c:pt idx="183">
                  <c:v>45810</c:v>
                </c:pt>
                <c:pt idx="184">
                  <c:v>45809</c:v>
                </c:pt>
                <c:pt idx="185">
                  <c:v>45808</c:v>
                </c:pt>
                <c:pt idx="186">
                  <c:v>45807</c:v>
                </c:pt>
                <c:pt idx="187">
                  <c:v>45806</c:v>
                </c:pt>
                <c:pt idx="188">
                  <c:v>45805</c:v>
                </c:pt>
                <c:pt idx="189">
                  <c:v>45804</c:v>
                </c:pt>
                <c:pt idx="190">
                  <c:v>45803</c:v>
                </c:pt>
                <c:pt idx="191">
                  <c:v>45802</c:v>
                </c:pt>
                <c:pt idx="192">
                  <c:v>45801</c:v>
                </c:pt>
                <c:pt idx="193">
                  <c:v>45800</c:v>
                </c:pt>
                <c:pt idx="194">
                  <c:v>45799</c:v>
                </c:pt>
                <c:pt idx="195">
                  <c:v>45798</c:v>
                </c:pt>
                <c:pt idx="196">
                  <c:v>45797</c:v>
                </c:pt>
                <c:pt idx="197">
                  <c:v>45796</c:v>
                </c:pt>
                <c:pt idx="198">
                  <c:v>45795</c:v>
                </c:pt>
                <c:pt idx="199">
                  <c:v>45794</c:v>
                </c:pt>
                <c:pt idx="200">
                  <c:v>45793</c:v>
                </c:pt>
                <c:pt idx="201">
                  <c:v>45792</c:v>
                </c:pt>
                <c:pt idx="202">
                  <c:v>45791</c:v>
                </c:pt>
                <c:pt idx="203">
                  <c:v>45790</c:v>
                </c:pt>
                <c:pt idx="204">
                  <c:v>45789</c:v>
                </c:pt>
                <c:pt idx="205">
                  <c:v>45788</c:v>
                </c:pt>
                <c:pt idx="206">
                  <c:v>45787</c:v>
                </c:pt>
                <c:pt idx="207">
                  <c:v>45786</c:v>
                </c:pt>
                <c:pt idx="208">
                  <c:v>45785</c:v>
                </c:pt>
                <c:pt idx="209">
                  <c:v>45784</c:v>
                </c:pt>
                <c:pt idx="210">
                  <c:v>45783</c:v>
                </c:pt>
                <c:pt idx="211">
                  <c:v>45782</c:v>
                </c:pt>
                <c:pt idx="212">
                  <c:v>45781</c:v>
                </c:pt>
                <c:pt idx="213">
                  <c:v>45780</c:v>
                </c:pt>
                <c:pt idx="214">
                  <c:v>45779</c:v>
                </c:pt>
                <c:pt idx="215">
                  <c:v>45778</c:v>
                </c:pt>
                <c:pt idx="216">
                  <c:v>45777</c:v>
                </c:pt>
                <c:pt idx="217">
                  <c:v>45776</c:v>
                </c:pt>
                <c:pt idx="218">
                  <c:v>45775</c:v>
                </c:pt>
                <c:pt idx="219">
                  <c:v>45774</c:v>
                </c:pt>
                <c:pt idx="220">
                  <c:v>45773</c:v>
                </c:pt>
                <c:pt idx="221">
                  <c:v>45772</c:v>
                </c:pt>
                <c:pt idx="222">
                  <c:v>45771</c:v>
                </c:pt>
                <c:pt idx="223">
                  <c:v>45770</c:v>
                </c:pt>
                <c:pt idx="224">
                  <c:v>45769</c:v>
                </c:pt>
                <c:pt idx="225">
                  <c:v>45768</c:v>
                </c:pt>
                <c:pt idx="226">
                  <c:v>45767</c:v>
                </c:pt>
                <c:pt idx="227">
                  <c:v>45766</c:v>
                </c:pt>
                <c:pt idx="228">
                  <c:v>45765</c:v>
                </c:pt>
                <c:pt idx="229">
                  <c:v>45764</c:v>
                </c:pt>
                <c:pt idx="230">
                  <c:v>45763</c:v>
                </c:pt>
                <c:pt idx="231">
                  <c:v>45762</c:v>
                </c:pt>
                <c:pt idx="232">
                  <c:v>45761</c:v>
                </c:pt>
                <c:pt idx="233">
                  <c:v>45760</c:v>
                </c:pt>
                <c:pt idx="234">
                  <c:v>45759</c:v>
                </c:pt>
                <c:pt idx="235">
                  <c:v>45758</c:v>
                </c:pt>
                <c:pt idx="236">
                  <c:v>45757</c:v>
                </c:pt>
                <c:pt idx="237">
                  <c:v>45756</c:v>
                </c:pt>
                <c:pt idx="238">
                  <c:v>45755</c:v>
                </c:pt>
                <c:pt idx="239">
                  <c:v>45754</c:v>
                </c:pt>
                <c:pt idx="240">
                  <c:v>45753</c:v>
                </c:pt>
                <c:pt idx="241">
                  <c:v>45752</c:v>
                </c:pt>
                <c:pt idx="242">
                  <c:v>45751</c:v>
                </c:pt>
                <c:pt idx="243">
                  <c:v>45750</c:v>
                </c:pt>
                <c:pt idx="244">
                  <c:v>45749</c:v>
                </c:pt>
                <c:pt idx="245">
                  <c:v>45748</c:v>
                </c:pt>
                <c:pt idx="246">
                  <c:v>45747</c:v>
                </c:pt>
                <c:pt idx="247">
                  <c:v>45746</c:v>
                </c:pt>
                <c:pt idx="248">
                  <c:v>45745</c:v>
                </c:pt>
                <c:pt idx="249">
                  <c:v>45744</c:v>
                </c:pt>
                <c:pt idx="250">
                  <c:v>45743</c:v>
                </c:pt>
                <c:pt idx="251">
                  <c:v>45742</c:v>
                </c:pt>
                <c:pt idx="252">
                  <c:v>45741</c:v>
                </c:pt>
                <c:pt idx="253">
                  <c:v>45740</c:v>
                </c:pt>
                <c:pt idx="254">
                  <c:v>45739</c:v>
                </c:pt>
                <c:pt idx="255">
                  <c:v>45738</c:v>
                </c:pt>
                <c:pt idx="256">
                  <c:v>45737</c:v>
                </c:pt>
                <c:pt idx="257">
                  <c:v>45736</c:v>
                </c:pt>
                <c:pt idx="258">
                  <c:v>45735</c:v>
                </c:pt>
                <c:pt idx="259">
                  <c:v>45734</c:v>
                </c:pt>
                <c:pt idx="260">
                  <c:v>45733</c:v>
                </c:pt>
                <c:pt idx="261">
                  <c:v>45732</c:v>
                </c:pt>
                <c:pt idx="262">
                  <c:v>45731</c:v>
                </c:pt>
                <c:pt idx="263">
                  <c:v>45730</c:v>
                </c:pt>
                <c:pt idx="264">
                  <c:v>45729</c:v>
                </c:pt>
                <c:pt idx="265">
                  <c:v>45728</c:v>
                </c:pt>
                <c:pt idx="266">
                  <c:v>45727</c:v>
                </c:pt>
                <c:pt idx="267">
                  <c:v>45726</c:v>
                </c:pt>
                <c:pt idx="268">
                  <c:v>45725</c:v>
                </c:pt>
                <c:pt idx="269">
                  <c:v>45724</c:v>
                </c:pt>
                <c:pt idx="270">
                  <c:v>45723</c:v>
                </c:pt>
                <c:pt idx="271">
                  <c:v>45722</c:v>
                </c:pt>
                <c:pt idx="272">
                  <c:v>45721</c:v>
                </c:pt>
                <c:pt idx="273">
                  <c:v>45720</c:v>
                </c:pt>
                <c:pt idx="274">
                  <c:v>45719</c:v>
                </c:pt>
                <c:pt idx="275">
                  <c:v>45718</c:v>
                </c:pt>
                <c:pt idx="276">
                  <c:v>45717</c:v>
                </c:pt>
                <c:pt idx="277">
                  <c:v>45716</c:v>
                </c:pt>
                <c:pt idx="278">
                  <c:v>45715</c:v>
                </c:pt>
                <c:pt idx="279">
                  <c:v>45714</c:v>
                </c:pt>
                <c:pt idx="280">
                  <c:v>45713</c:v>
                </c:pt>
                <c:pt idx="281">
                  <c:v>45712</c:v>
                </c:pt>
                <c:pt idx="282">
                  <c:v>45711</c:v>
                </c:pt>
                <c:pt idx="283">
                  <c:v>45710</c:v>
                </c:pt>
                <c:pt idx="284">
                  <c:v>45709</c:v>
                </c:pt>
                <c:pt idx="285">
                  <c:v>45708</c:v>
                </c:pt>
                <c:pt idx="286">
                  <c:v>45707</c:v>
                </c:pt>
                <c:pt idx="287">
                  <c:v>45706</c:v>
                </c:pt>
                <c:pt idx="288">
                  <c:v>45705</c:v>
                </c:pt>
                <c:pt idx="289">
                  <c:v>45704</c:v>
                </c:pt>
                <c:pt idx="290">
                  <c:v>45703</c:v>
                </c:pt>
                <c:pt idx="291">
                  <c:v>45702</c:v>
                </c:pt>
                <c:pt idx="292">
                  <c:v>45701</c:v>
                </c:pt>
                <c:pt idx="293">
                  <c:v>45700</c:v>
                </c:pt>
                <c:pt idx="294">
                  <c:v>45699</c:v>
                </c:pt>
                <c:pt idx="295">
                  <c:v>45698</c:v>
                </c:pt>
                <c:pt idx="296">
                  <c:v>45697</c:v>
                </c:pt>
                <c:pt idx="297">
                  <c:v>45696</c:v>
                </c:pt>
                <c:pt idx="298">
                  <c:v>45695</c:v>
                </c:pt>
                <c:pt idx="299">
                  <c:v>45694</c:v>
                </c:pt>
                <c:pt idx="300">
                  <c:v>45693</c:v>
                </c:pt>
                <c:pt idx="301">
                  <c:v>45692</c:v>
                </c:pt>
                <c:pt idx="302">
                  <c:v>45691</c:v>
                </c:pt>
                <c:pt idx="303">
                  <c:v>45690</c:v>
                </c:pt>
                <c:pt idx="304">
                  <c:v>45689</c:v>
                </c:pt>
                <c:pt idx="305">
                  <c:v>45688</c:v>
                </c:pt>
                <c:pt idx="306">
                  <c:v>45687</c:v>
                </c:pt>
                <c:pt idx="307">
                  <c:v>45686</c:v>
                </c:pt>
                <c:pt idx="308">
                  <c:v>45685</c:v>
                </c:pt>
                <c:pt idx="309">
                  <c:v>45684</c:v>
                </c:pt>
                <c:pt idx="310">
                  <c:v>45683</c:v>
                </c:pt>
                <c:pt idx="311">
                  <c:v>45682</c:v>
                </c:pt>
                <c:pt idx="312">
                  <c:v>45681</c:v>
                </c:pt>
                <c:pt idx="313">
                  <c:v>45680</c:v>
                </c:pt>
                <c:pt idx="314">
                  <c:v>45679</c:v>
                </c:pt>
                <c:pt idx="315">
                  <c:v>45678</c:v>
                </c:pt>
                <c:pt idx="316">
                  <c:v>45677</c:v>
                </c:pt>
                <c:pt idx="317">
                  <c:v>45676</c:v>
                </c:pt>
                <c:pt idx="318">
                  <c:v>45675</c:v>
                </c:pt>
                <c:pt idx="319">
                  <c:v>45674</c:v>
                </c:pt>
                <c:pt idx="320">
                  <c:v>45673</c:v>
                </c:pt>
                <c:pt idx="321">
                  <c:v>45672</c:v>
                </c:pt>
                <c:pt idx="322">
                  <c:v>45671</c:v>
                </c:pt>
                <c:pt idx="323">
                  <c:v>45670</c:v>
                </c:pt>
                <c:pt idx="324">
                  <c:v>45669</c:v>
                </c:pt>
                <c:pt idx="325">
                  <c:v>45668</c:v>
                </c:pt>
                <c:pt idx="326">
                  <c:v>45667</c:v>
                </c:pt>
                <c:pt idx="327">
                  <c:v>45666</c:v>
                </c:pt>
                <c:pt idx="328">
                  <c:v>45665</c:v>
                </c:pt>
                <c:pt idx="329">
                  <c:v>45664</c:v>
                </c:pt>
                <c:pt idx="330">
                  <c:v>45663</c:v>
                </c:pt>
                <c:pt idx="331">
                  <c:v>45662</c:v>
                </c:pt>
                <c:pt idx="332">
                  <c:v>45661</c:v>
                </c:pt>
                <c:pt idx="333">
                  <c:v>45660</c:v>
                </c:pt>
                <c:pt idx="334">
                  <c:v>45659</c:v>
                </c:pt>
                <c:pt idx="335">
                  <c:v>45658</c:v>
                </c:pt>
                <c:pt idx="336">
                  <c:v>45657</c:v>
                </c:pt>
                <c:pt idx="337">
                  <c:v>45656</c:v>
                </c:pt>
                <c:pt idx="338">
                  <c:v>45655</c:v>
                </c:pt>
                <c:pt idx="339">
                  <c:v>45654</c:v>
                </c:pt>
                <c:pt idx="340">
                  <c:v>45653</c:v>
                </c:pt>
                <c:pt idx="341">
                  <c:v>45652</c:v>
                </c:pt>
                <c:pt idx="342">
                  <c:v>45651</c:v>
                </c:pt>
                <c:pt idx="343">
                  <c:v>45650</c:v>
                </c:pt>
                <c:pt idx="344">
                  <c:v>45649</c:v>
                </c:pt>
                <c:pt idx="345">
                  <c:v>45648</c:v>
                </c:pt>
                <c:pt idx="346">
                  <c:v>45647</c:v>
                </c:pt>
                <c:pt idx="347">
                  <c:v>45646</c:v>
                </c:pt>
                <c:pt idx="348">
                  <c:v>45645</c:v>
                </c:pt>
                <c:pt idx="349">
                  <c:v>45644</c:v>
                </c:pt>
                <c:pt idx="350">
                  <c:v>45643</c:v>
                </c:pt>
                <c:pt idx="351">
                  <c:v>45642</c:v>
                </c:pt>
                <c:pt idx="352">
                  <c:v>45641</c:v>
                </c:pt>
                <c:pt idx="353">
                  <c:v>45640</c:v>
                </c:pt>
                <c:pt idx="354">
                  <c:v>45639</c:v>
                </c:pt>
                <c:pt idx="355">
                  <c:v>45638</c:v>
                </c:pt>
                <c:pt idx="356">
                  <c:v>45637</c:v>
                </c:pt>
                <c:pt idx="357">
                  <c:v>45636</c:v>
                </c:pt>
                <c:pt idx="358">
                  <c:v>45635</c:v>
                </c:pt>
                <c:pt idx="359">
                  <c:v>45634</c:v>
                </c:pt>
                <c:pt idx="360">
                  <c:v>45633</c:v>
                </c:pt>
                <c:pt idx="361">
                  <c:v>45632</c:v>
                </c:pt>
                <c:pt idx="362">
                  <c:v>45631</c:v>
                </c:pt>
                <c:pt idx="363">
                  <c:v>45630</c:v>
                </c:pt>
                <c:pt idx="364">
                  <c:v>45629</c:v>
                </c:pt>
                <c:pt idx="365">
                  <c:v>45628</c:v>
                </c:pt>
                <c:pt idx="366">
                  <c:v>45627</c:v>
                </c:pt>
                <c:pt idx="367">
                  <c:v>45626</c:v>
                </c:pt>
                <c:pt idx="368">
                  <c:v>45625</c:v>
                </c:pt>
                <c:pt idx="369">
                  <c:v>45624</c:v>
                </c:pt>
                <c:pt idx="370">
                  <c:v>45623</c:v>
                </c:pt>
                <c:pt idx="371">
                  <c:v>45622</c:v>
                </c:pt>
                <c:pt idx="372">
                  <c:v>45621</c:v>
                </c:pt>
                <c:pt idx="373">
                  <c:v>45620</c:v>
                </c:pt>
                <c:pt idx="374">
                  <c:v>45619</c:v>
                </c:pt>
                <c:pt idx="375">
                  <c:v>45618</c:v>
                </c:pt>
                <c:pt idx="376">
                  <c:v>45617</c:v>
                </c:pt>
                <c:pt idx="377">
                  <c:v>45616</c:v>
                </c:pt>
                <c:pt idx="378">
                  <c:v>45615</c:v>
                </c:pt>
                <c:pt idx="379">
                  <c:v>45614</c:v>
                </c:pt>
                <c:pt idx="380">
                  <c:v>45613</c:v>
                </c:pt>
                <c:pt idx="381">
                  <c:v>45612</c:v>
                </c:pt>
                <c:pt idx="382">
                  <c:v>45611</c:v>
                </c:pt>
                <c:pt idx="383">
                  <c:v>45610</c:v>
                </c:pt>
                <c:pt idx="384">
                  <c:v>45609</c:v>
                </c:pt>
                <c:pt idx="385">
                  <c:v>45608</c:v>
                </c:pt>
                <c:pt idx="386">
                  <c:v>45607</c:v>
                </c:pt>
                <c:pt idx="387">
                  <c:v>45606</c:v>
                </c:pt>
                <c:pt idx="388">
                  <c:v>45605</c:v>
                </c:pt>
                <c:pt idx="389">
                  <c:v>45604</c:v>
                </c:pt>
                <c:pt idx="390">
                  <c:v>45603</c:v>
                </c:pt>
                <c:pt idx="391">
                  <c:v>45602</c:v>
                </c:pt>
                <c:pt idx="392">
                  <c:v>45601</c:v>
                </c:pt>
                <c:pt idx="393">
                  <c:v>45600</c:v>
                </c:pt>
                <c:pt idx="394">
                  <c:v>45599</c:v>
                </c:pt>
                <c:pt idx="395">
                  <c:v>45598</c:v>
                </c:pt>
                <c:pt idx="396">
                  <c:v>45597</c:v>
                </c:pt>
                <c:pt idx="397">
                  <c:v>45596</c:v>
                </c:pt>
                <c:pt idx="398">
                  <c:v>45595</c:v>
                </c:pt>
                <c:pt idx="399">
                  <c:v>45594</c:v>
                </c:pt>
                <c:pt idx="400">
                  <c:v>45593</c:v>
                </c:pt>
                <c:pt idx="401">
                  <c:v>45592</c:v>
                </c:pt>
                <c:pt idx="402">
                  <c:v>45591</c:v>
                </c:pt>
                <c:pt idx="403">
                  <c:v>45590</c:v>
                </c:pt>
                <c:pt idx="404">
                  <c:v>45589</c:v>
                </c:pt>
              </c:numCache>
            </c:numRef>
          </c:cat>
          <c:val>
            <c:numRef>
              <c:f>Dashboard!$E$154:$E$558</c:f>
              <c:numCache>
                <c:formatCode>General</c:formatCode>
                <c:ptCount val="405"/>
                <c:pt idx="8">
                  <c:v>24.343911478814377</c:v>
                </c:pt>
                <c:pt idx="9">
                  <c:v>24.59830143111067</c:v>
                </c:pt>
                <c:pt idx="10">
                  <c:v>24.852691383406981</c:v>
                </c:pt>
                <c:pt idx="11">
                  <c:v>25.107081335703292</c:v>
                </c:pt>
                <c:pt idx="12">
                  <c:v>25.361471287999603</c:v>
                </c:pt>
                <c:pt idx="13">
                  <c:v>25.615861240295914</c:v>
                </c:pt>
                <c:pt idx="14">
                  <c:v>25.870251192592224</c:v>
                </c:pt>
                <c:pt idx="15">
                  <c:v>26.124641144888535</c:v>
                </c:pt>
                <c:pt idx="16">
                  <c:v>26.379031097184846</c:v>
                </c:pt>
                <c:pt idx="17">
                  <c:v>26.633421049481157</c:v>
                </c:pt>
                <c:pt idx="18">
                  <c:v>26.887811001777468</c:v>
                </c:pt>
                <c:pt idx="19">
                  <c:v>27.142200954073779</c:v>
                </c:pt>
                <c:pt idx="20">
                  <c:v>27.39659090637009</c:v>
                </c:pt>
                <c:pt idx="21">
                  <c:v>27.650980858666401</c:v>
                </c:pt>
                <c:pt idx="22">
                  <c:v>27.905370810962712</c:v>
                </c:pt>
                <c:pt idx="23">
                  <c:v>28.159760763259023</c:v>
                </c:pt>
                <c:pt idx="24">
                  <c:v>28.414150715555333</c:v>
                </c:pt>
                <c:pt idx="25">
                  <c:v>28.668540667851644</c:v>
                </c:pt>
                <c:pt idx="26">
                  <c:v>28.922930620147955</c:v>
                </c:pt>
                <c:pt idx="27">
                  <c:v>29.177320572444266</c:v>
                </c:pt>
                <c:pt idx="28">
                  <c:v>29.431710524740577</c:v>
                </c:pt>
                <c:pt idx="29">
                  <c:v>29.686100477036888</c:v>
                </c:pt>
                <c:pt idx="30">
                  <c:v>29.940490429333199</c:v>
                </c:pt>
                <c:pt idx="31">
                  <c:v>30.19488038162951</c:v>
                </c:pt>
                <c:pt idx="32">
                  <c:v>30.449270333925821</c:v>
                </c:pt>
                <c:pt idx="33">
                  <c:v>30.703660286222132</c:v>
                </c:pt>
                <c:pt idx="34">
                  <c:v>30.958050238518442</c:v>
                </c:pt>
                <c:pt idx="35">
                  <c:v>31.212440190814753</c:v>
                </c:pt>
                <c:pt idx="36">
                  <c:v>31.466830143111064</c:v>
                </c:pt>
                <c:pt idx="37">
                  <c:v>31.721220095407375</c:v>
                </c:pt>
                <c:pt idx="38">
                  <c:v>31.975610047703686</c:v>
                </c:pt>
                <c:pt idx="39">
                  <c:v>32.229999999999997</c:v>
                </c:pt>
              </c:numCache>
            </c:numRef>
          </c:val>
          <c:smooth val="0"/>
          <c:extLst>
            <c:ext xmlns:c16="http://schemas.microsoft.com/office/drawing/2014/chart" uri="{C3380CC4-5D6E-409C-BE32-E72D297353CC}">
              <c16:uniqueId val="{00000001-7945-4CFF-8C44-39088B05CB15}"/>
            </c:ext>
          </c:extLst>
        </c:ser>
        <c:dLbls>
          <c:showLegendKey val="0"/>
          <c:showVal val="0"/>
          <c:showCatName val="0"/>
          <c:showSerName val="0"/>
          <c:showPercent val="0"/>
          <c:showBubbleSize val="0"/>
        </c:dLbls>
        <c:marker val="1"/>
        <c:smooth val="0"/>
        <c:axId val="777888655"/>
        <c:axId val="777885295"/>
      </c:lineChart>
      <c:lineChart>
        <c:grouping val="standard"/>
        <c:varyColors val="0"/>
        <c:ser>
          <c:idx val="0"/>
          <c:order val="0"/>
          <c:spPr>
            <a:ln w="19050" cap="rnd">
              <a:solidFill>
                <a:srgbClr val="7B1314"/>
              </a:solidFill>
              <a:round/>
            </a:ln>
            <a:effectLst>
              <a:glow rad="101600">
                <a:schemeClr val="accent1">
                  <a:satMod val="175000"/>
                  <a:alpha val="10000"/>
                </a:schemeClr>
              </a:glow>
            </a:effectLst>
          </c:spPr>
          <c:marker>
            <c:symbol val="none"/>
          </c:marker>
          <c:cat>
            <c:numRef>
              <c:f>Dashboard!$C$154:$C$558</c:f>
              <c:numCache>
                <c:formatCode>yyyy\-mm\-dd;@</c:formatCode>
                <c:ptCount val="405"/>
                <c:pt idx="0">
                  <c:v>45993</c:v>
                </c:pt>
                <c:pt idx="1">
                  <c:v>45992</c:v>
                </c:pt>
                <c:pt idx="2">
                  <c:v>45991</c:v>
                </c:pt>
                <c:pt idx="3">
                  <c:v>45990</c:v>
                </c:pt>
                <c:pt idx="4">
                  <c:v>45989</c:v>
                </c:pt>
                <c:pt idx="5">
                  <c:v>45988</c:v>
                </c:pt>
                <c:pt idx="6">
                  <c:v>45987</c:v>
                </c:pt>
                <c:pt idx="7">
                  <c:v>45986</c:v>
                </c:pt>
                <c:pt idx="8">
                  <c:v>45985</c:v>
                </c:pt>
                <c:pt idx="9">
                  <c:v>45984</c:v>
                </c:pt>
                <c:pt idx="10">
                  <c:v>45983</c:v>
                </c:pt>
                <c:pt idx="11">
                  <c:v>45982</c:v>
                </c:pt>
                <c:pt idx="12">
                  <c:v>45981</c:v>
                </c:pt>
                <c:pt idx="13">
                  <c:v>45980</c:v>
                </c:pt>
                <c:pt idx="14">
                  <c:v>45979</c:v>
                </c:pt>
                <c:pt idx="15">
                  <c:v>45978</c:v>
                </c:pt>
                <c:pt idx="16">
                  <c:v>45977</c:v>
                </c:pt>
                <c:pt idx="17">
                  <c:v>45976</c:v>
                </c:pt>
                <c:pt idx="18">
                  <c:v>45975</c:v>
                </c:pt>
                <c:pt idx="19">
                  <c:v>45974</c:v>
                </c:pt>
                <c:pt idx="20">
                  <c:v>45973</c:v>
                </c:pt>
                <c:pt idx="21">
                  <c:v>45972</c:v>
                </c:pt>
                <c:pt idx="22">
                  <c:v>45971</c:v>
                </c:pt>
                <c:pt idx="23">
                  <c:v>45970</c:v>
                </c:pt>
                <c:pt idx="24">
                  <c:v>45969</c:v>
                </c:pt>
                <c:pt idx="25">
                  <c:v>45968</c:v>
                </c:pt>
                <c:pt idx="26">
                  <c:v>45967</c:v>
                </c:pt>
                <c:pt idx="27">
                  <c:v>45966</c:v>
                </c:pt>
                <c:pt idx="28">
                  <c:v>45965</c:v>
                </c:pt>
                <c:pt idx="29">
                  <c:v>45964</c:v>
                </c:pt>
                <c:pt idx="30">
                  <c:v>45963</c:v>
                </c:pt>
                <c:pt idx="31">
                  <c:v>45962</c:v>
                </c:pt>
                <c:pt idx="32">
                  <c:v>45961</c:v>
                </c:pt>
                <c:pt idx="33">
                  <c:v>45960</c:v>
                </c:pt>
                <c:pt idx="34">
                  <c:v>45959</c:v>
                </c:pt>
                <c:pt idx="35">
                  <c:v>45958</c:v>
                </c:pt>
                <c:pt idx="36">
                  <c:v>45957</c:v>
                </c:pt>
                <c:pt idx="37">
                  <c:v>45956</c:v>
                </c:pt>
                <c:pt idx="38">
                  <c:v>45955</c:v>
                </c:pt>
                <c:pt idx="39">
                  <c:v>45954</c:v>
                </c:pt>
                <c:pt idx="40">
                  <c:v>45953</c:v>
                </c:pt>
                <c:pt idx="41">
                  <c:v>45952</c:v>
                </c:pt>
                <c:pt idx="42">
                  <c:v>45951</c:v>
                </c:pt>
                <c:pt idx="43">
                  <c:v>45950</c:v>
                </c:pt>
                <c:pt idx="44">
                  <c:v>45949</c:v>
                </c:pt>
                <c:pt idx="45">
                  <c:v>45948</c:v>
                </c:pt>
                <c:pt idx="46">
                  <c:v>45947</c:v>
                </c:pt>
                <c:pt idx="47">
                  <c:v>45946</c:v>
                </c:pt>
                <c:pt idx="48">
                  <c:v>45945</c:v>
                </c:pt>
                <c:pt idx="49">
                  <c:v>45944</c:v>
                </c:pt>
                <c:pt idx="50">
                  <c:v>45943</c:v>
                </c:pt>
                <c:pt idx="51">
                  <c:v>45942</c:v>
                </c:pt>
                <c:pt idx="52">
                  <c:v>45941</c:v>
                </c:pt>
                <c:pt idx="53">
                  <c:v>45940</c:v>
                </c:pt>
                <c:pt idx="54">
                  <c:v>45939</c:v>
                </c:pt>
                <c:pt idx="55">
                  <c:v>45938</c:v>
                </c:pt>
                <c:pt idx="56">
                  <c:v>45937</c:v>
                </c:pt>
                <c:pt idx="57">
                  <c:v>45936</c:v>
                </c:pt>
                <c:pt idx="58">
                  <c:v>45935</c:v>
                </c:pt>
                <c:pt idx="59">
                  <c:v>45934</c:v>
                </c:pt>
                <c:pt idx="60">
                  <c:v>45933</c:v>
                </c:pt>
                <c:pt idx="61">
                  <c:v>45932</c:v>
                </c:pt>
                <c:pt idx="62">
                  <c:v>45931</c:v>
                </c:pt>
                <c:pt idx="63">
                  <c:v>45930</c:v>
                </c:pt>
                <c:pt idx="64">
                  <c:v>45929</c:v>
                </c:pt>
                <c:pt idx="65">
                  <c:v>45928</c:v>
                </c:pt>
                <c:pt idx="66">
                  <c:v>45927</c:v>
                </c:pt>
                <c:pt idx="67">
                  <c:v>45926</c:v>
                </c:pt>
                <c:pt idx="68">
                  <c:v>45925</c:v>
                </c:pt>
                <c:pt idx="69">
                  <c:v>45924</c:v>
                </c:pt>
                <c:pt idx="70">
                  <c:v>45923</c:v>
                </c:pt>
                <c:pt idx="71">
                  <c:v>45922</c:v>
                </c:pt>
                <c:pt idx="72">
                  <c:v>45921</c:v>
                </c:pt>
                <c:pt idx="73">
                  <c:v>45920</c:v>
                </c:pt>
                <c:pt idx="74">
                  <c:v>45919</c:v>
                </c:pt>
                <c:pt idx="75">
                  <c:v>45918</c:v>
                </c:pt>
                <c:pt idx="76">
                  <c:v>45917</c:v>
                </c:pt>
                <c:pt idx="77">
                  <c:v>45916</c:v>
                </c:pt>
                <c:pt idx="78">
                  <c:v>45915</c:v>
                </c:pt>
                <c:pt idx="79">
                  <c:v>45914</c:v>
                </c:pt>
                <c:pt idx="80">
                  <c:v>45913</c:v>
                </c:pt>
                <c:pt idx="81">
                  <c:v>45912</c:v>
                </c:pt>
                <c:pt idx="82">
                  <c:v>45911</c:v>
                </c:pt>
                <c:pt idx="83">
                  <c:v>45910</c:v>
                </c:pt>
                <c:pt idx="84">
                  <c:v>45909</c:v>
                </c:pt>
                <c:pt idx="85">
                  <c:v>45908</c:v>
                </c:pt>
                <c:pt idx="86">
                  <c:v>45907</c:v>
                </c:pt>
                <c:pt idx="87">
                  <c:v>45906</c:v>
                </c:pt>
                <c:pt idx="88">
                  <c:v>45905</c:v>
                </c:pt>
                <c:pt idx="89">
                  <c:v>45904</c:v>
                </c:pt>
                <c:pt idx="90">
                  <c:v>45903</c:v>
                </c:pt>
                <c:pt idx="91">
                  <c:v>45902</c:v>
                </c:pt>
                <c:pt idx="92">
                  <c:v>45901</c:v>
                </c:pt>
                <c:pt idx="93">
                  <c:v>45900</c:v>
                </c:pt>
                <c:pt idx="94">
                  <c:v>45899</c:v>
                </c:pt>
                <c:pt idx="95">
                  <c:v>45898</c:v>
                </c:pt>
                <c:pt idx="96">
                  <c:v>45897</c:v>
                </c:pt>
                <c:pt idx="97">
                  <c:v>45896</c:v>
                </c:pt>
                <c:pt idx="98">
                  <c:v>45895</c:v>
                </c:pt>
                <c:pt idx="99">
                  <c:v>45894</c:v>
                </c:pt>
                <c:pt idx="100">
                  <c:v>45893</c:v>
                </c:pt>
                <c:pt idx="101">
                  <c:v>45892</c:v>
                </c:pt>
                <c:pt idx="102">
                  <c:v>45891</c:v>
                </c:pt>
                <c:pt idx="103">
                  <c:v>45890</c:v>
                </c:pt>
                <c:pt idx="104">
                  <c:v>45889</c:v>
                </c:pt>
                <c:pt idx="105">
                  <c:v>45888</c:v>
                </c:pt>
                <c:pt idx="106">
                  <c:v>45887</c:v>
                </c:pt>
                <c:pt idx="107">
                  <c:v>45886</c:v>
                </c:pt>
                <c:pt idx="108">
                  <c:v>45885</c:v>
                </c:pt>
                <c:pt idx="109">
                  <c:v>45884</c:v>
                </c:pt>
                <c:pt idx="110">
                  <c:v>45883</c:v>
                </c:pt>
                <c:pt idx="111">
                  <c:v>45882</c:v>
                </c:pt>
                <c:pt idx="112">
                  <c:v>45881</c:v>
                </c:pt>
                <c:pt idx="113">
                  <c:v>45880</c:v>
                </c:pt>
                <c:pt idx="114">
                  <c:v>45879</c:v>
                </c:pt>
                <c:pt idx="115">
                  <c:v>45878</c:v>
                </c:pt>
                <c:pt idx="116">
                  <c:v>45877</c:v>
                </c:pt>
                <c:pt idx="117">
                  <c:v>45876</c:v>
                </c:pt>
                <c:pt idx="118">
                  <c:v>45875</c:v>
                </c:pt>
                <c:pt idx="119">
                  <c:v>45874</c:v>
                </c:pt>
                <c:pt idx="120">
                  <c:v>45873</c:v>
                </c:pt>
                <c:pt idx="121">
                  <c:v>45872</c:v>
                </c:pt>
                <c:pt idx="122">
                  <c:v>45871</c:v>
                </c:pt>
                <c:pt idx="123">
                  <c:v>45870</c:v>
                </c:pt>
                <c:pt idx="124">
                  <c:v>45869</c:v>
                </c:pt>
                <c:pt idx="125">
                  <c:v>45868</c:v>
                </c:pt>
                <c:pt idx="126">
                  <c:v>45867</c:v>
                </c:pt>
                <c:pt idx="127">
                  <c:v>45866</c:v>
                </c:pt>
                <c:pt idx="128">
                  <c:v>45865</c:v>
                </c:pt>
                <c:pt idx="129">
                  <c:v>45864</c:v>
                </c:pt>
                <c:pt idx="130">
                  <c:v>45863</c:v>
                </c:pt>
                <c:pt idx="131">
                  <c:v>45862</c:v>
                </c:pt>
                <c:pt idx="132">
                  <c:v>45861</c:v>
                </c:pt>
                <c:pt idx="133">
                  <c:v>45860</c:v>
                </c:pt>
                <c:pt idx="134">
                  <c:v>45859</c:v>
                </c:pt>
                <c:pt idx="135">
                  <c:v>45858</c:v>
                </c:pt>
                <c:pt idx="136">
                  <c:v>45857</c:v>
                </c:pt>
                <c:pt idx="137">
                  <c:v>45856</c:v>
                </c:pt>
                <c:pt idx="138">
                  <c:v>45855</c:v>
                </c:pt>
                <c:pt idx="139">
                  <c:v>45854</c:v>
                </c:pt>
                <c:pt idx="140">
                  <c:v>45853</c:v>
                </c:pt>
                <c:pt idx="141">
                  <c:v>45852</c:v>
                </c:pt>
                <c:pt idx="142">
                  <c:v>45851</c:v>
                </c:pt>
                <c:pt idx="143">
                  <c:v>45850</c:v>
                </c:pt>
                <c:pt idx="144">
                  <c:v>45849</c:v>
                </c:pt>
                <c:pt idx="145">
                  <c:v>45848</c:v>
                </c:pt>
                <c:pt idx="146">
                  <c:v>45847</c:v>
                </c:pt>
                <c:pt idx="147">
                  <c:v>45846</c:v>
                </c:pt>
                <c:pt idx="148">
                  <c:v>45845</c:v>
                </c:pt>
                <c:pt idx="149">
                  <c:v>45844</c:v>
                </c:pt>
                <c:pt idx="150">
                  <c:v>45843</c:v>
                </c:pt>
                <c:pt idx="151">
                  <c:v>45842</c:v>
                </c:pt>
                <c:pt idx="152">
                  <c:v>45841</c:v>
                </c:pt>
                <c:pt idx="153">
                  <c:v>45840</c:v>
                </c:pt>
                <c:pt idx="154">
                  <c:v>45839</c:v>
                </c:pt>
                <c:pt idx="155">
                  <c:v>45838</c:v>
                </c:pt>
                <c:pt idx="156">
                  <c:v>45837</c:v>
                </c:pt>
                <c:pt idx="157">
                  <c:v>45836</c:v>
                </c:pt>
                <c:pt idx="158">
                  <c:v>45835</c:v>
                </c:pt>
                <c:pt idx="159">
                  <c:v>45834</c:v>
                </c:pt>
                <c:pt idx="160">
                  <c:v>45833</c:v>
                </c:pt>
                <c:pt idx="161">
                  <c:v>45832</c:v>
                </c:pt>
                <c:pt idx="162">
                  <c:v>45831</c:v>
                </c:pt>
                <c:pt idx="163">
                  <c:v>45830</c:v>
                </c:pt>
                <c:pt idx="164">
                  <c:v>45829</c:v>
                </c:pt>
                <c:pt idx="165">
                  <c:v>45828</c:v>
                </c:pt>
                <c:pt idx="166">
                  <c:v>45827</c:v>
                </c:pt>
                <c:pt idx="167">
                  <c:v>45826</c:v>
                </c:pt>
                <c:pt idx="168">
                  <c:v>45825</c:v>
                </c:pt>
                <c:pt idx="169">
                  <c:v>45824</c:v>
                </c:pt>
                <c:pt idx="170">
                  <c:v>45823</c:v>
                </c:pt>
                <c:pt idx="171">
                  <c:v>45822</c:v>
                </c:pt>
                <c:pt idx="172">
                  <c:v>45821</c:v>
                </c:pt>
                <c:pt idx="173">
                  <c:v>45820</c:v>
                </c:pt>
                <c:pt idx="174">
                  <c:v>45819</c:v>
                </c:pt>
                <c:pt idx="175">
                  <c:v>45818</c:v>
                </c:pt>
                <c:pt idx="176">
                  <c:v>45817</c:v>
                </c:pt>
                <c:pt idx="177">
                  <c:v>45816</c:v>
                </c:pt>
                <c:pt idx="178">
                  <c:v>45815</c:v>
                </c:pt>
                <c:pt idx="179">
                  <c:v>45814</c:v>
                </c:pt>
                <c:pt idx="180">
                  <c:v>45813</c:v>
                </c:pt>
                <c:pt idx="181">
                  <c:v>45812</c:v>
                </c:pt>
                <c:pt idx="182">
                  <c:v>45811</c:v>
                </c:pt>
                <c:pt idx="183">
                  <c:v>45810</c:v>
                </c:pt>
                <c:pt idx="184">
                  <c:v>45809</c:v>
                </c:pt>
                <c:pt idx="185">
                  <c:v>45808</c:v>
                </c:pt>
                <c:pt idx="186">
                  <c:v>45807</c:v>
                </c:pt>
                <c:pt idx="187">
                  <c:v>45806</c:v>
                </c:pt>
                <c:pt idx="188">
                  <c:v>45805</c:v>
                </c:pt>
                <c:pt idx="189">
                  <c:v>45804</c:v>
                </c:pt>
                <c:pt idx="190">
                  <c:v>45803</c:v>
                </c:pt>
                <c:pt idx="191">
                  <c:v>45802</c:v>
                </c:pt>
                <c:pt idx="192">
                  <c:v>45801</c:v>
                </c:pt>
                <c:pt idx="193">
                  <c:v>45800</c:v>
                </c:pt>
                <c:pt idx="194">
                  <c:v>45799</c:v>
                </c:pt>
                <c:pt idx="195">
                  <c:v>45798</c:v>
                </c:pt>
                <c:pt idx="196">
                  <c:v>45797</c:v>
                </c:pt>
                <c:pt idx="197">
                  <c:v>45796</c:v>
                </c:pt>
                <c:pt idx="198">
                  <c:v>45795</c:v>
                </c:pt>
                <c:pt idx="199">
                  <c:v>45794</c:v>
                </c:pt>
                <c:pt idx="200">
                  <c:v>45793</c:v>
                </c:pt>
                <c:pt idx="201">
                  <c:v>45792</c:v>
                </c:pt>
                <c:pt idx="202">
                  <c:v>45791</c:v>
                </c:pt>
                <c:pt idx="203">
                  <c:v>45790</c:v>
                </c:pt>
                <c:pt idx="204">
                  <c:v>45789</c:v>
                </c:pt>
                <c:pt idx="205">
                  <c:v>45788</c:v>
                </c:pt>
                <c:pt idx="206">
                  <c:v>45787</c:v>
                </c:pt>
                <c:pt idx="207">
                  <c:v>45786</c:v>
                </c:pt>
                <c:pt idx="208">
                  <c:v>45785</c:v>
                </c:pt>
                <c:pt idx="209">
                  <c:v>45784</c:v>
                </c:pt>
                <c:pt idx="210">
                  <c:v>45783</c:v>
                </c:pt>
                <c:pt idx="211">
                  <c:v>45782</c:v>
                </c:pt>
                <c:pt idx="212">
                  <c:v>45781</c:v>
                </c:pt>
                <c:pt idx="213">
                  <c:v>45780</c:v>
                </c:pt>
                <c:pt idx="214">
                  <c:v>45779</c:v>
                </c:pt>
                <c:pt idx="215">
                  <c:v>45778</c:v>
                </c:pt>
                <c:pt idx="216">
                  <c:v>45777</c:v>
                </c:pt>
                <c:pt idx="217">
                  <c:v>45776</c:v>
                </c:pt>
                <c:pt idx="218">
                  <c:v>45775</c:v>
                </c:pt>
                <c:pt idx="219">
                  <c:v>45774</c:v>
                </c:pt>
                <c:pt idx="220">
                  <c:v>45773</c:v>
                </c:pt>
                <c:pt idx="221">
                  <c:v>45772</c:v>
                </c:pt>
                <c:pt idx="222">
                  <c:v>45771</c:v>
                </c:pt>
                <c:pt idx="223">
                  <c:v>45770</c:v>
                </c:pt>
                <c:pt idx="224">
                  <c:v>45769</c:v>
                </c:pt>
                <c:pt idx="225">
                  <c:v>45768</c:v>
                </c:pt>
                <c:pt idx="226">
                  <c:v>45767</c:v>
                </c:pt>
                <c:pt idx="227">
                  <c:v>45766</c:v>
                </c:pt>
                <c:pt idx="228">
                  <c:v>45765</c:v>
                </c:pt>
                <c:pt idx="229">
                  <c:v>45764</c:v>
                </c:pt>
                <c:pt idx="230">
                  <c:v>45763</c:v>
                </c:pt>
                <c:pt idx="231">
                  <c:v>45762</c:v>
                </c:pt>
                <c:pt idx="232">
                  <c:v>45761</c:v>
                </c:pt>
                <c:pt idx="233">
                  <c:v>45760</c:v>
                </c:pt>
                <c:pt idx="234">
                  <c:v>45759</c:v>
                </c:pt>
                <c:pt idx="235">
                  <c:v>45758</c:v>
                </c:pt>
                <c:pt idx="236">
                  <c:v>45757</c:v>
                </c:pt>
                <c:pt idx="237">
                  <c:v>45756</c:v>
                </c:pt>
                <c:pt idx="238">
                  <c:v>45755</c:v>
                </c:pt>
                <c:pt idx="239">
                  <c:v>45754</c:v>
                </c:pt>
                <c:pt idx="240">
                  <c:v>45753</c:v>
                </c:pt>
                <c:pt idx="241">
                  <c:v>45752</c:v>
                </c:pt>
                <c:pt idx="242">
                  <c:v>45751</c:v>
                </c:pt>
                <c:pt idx="243">
                  <c:v>45750</c:v>
                </c:pt>
                <c:pt idx="244">
                  <c:v>45749</c:v>
                </c:pt>
                <c:pt idx="245">
                  <c:v>45748</c:v>
                </c:pt>
                <c:pt idx="246">
                  <c:v>45747</c:v>
                </c:pt>
                <c:pt idx="247">
                  <c:v>45746</c:v>
                </c:pt>
                <c:pt idx="248">
                  <c:v>45745</c:v>
                </c:pt>
                <c:pt idx="249">
                  <c:v>45744</c:v>
                </c:pt>
                <c:pt idx="250">
                  <c:v>45743</c:v>
                </c:pt>
                <c:pt idx="251">
                  <c:v>45742</c:v>
                </c:pt>
                <c:pt idx="252">
                  <c:v>45741</c:v>
                </c:pt>
                <c:pt idx="253">
                  <c:v>45740</c:v>
                </c:pt>
                <c:pt idx="254">
                  <c:v>45739</c:v>
                </c:pt>
                <c:pt idx="255">
                  <c:v>45738</c:v>
                </c:pt>
                <c:pt idx="256">
                  <c:v>45737</c:v>
                </c:pt>
                <c:pt idx="257">
                  <c:v>45736</c:v>
                </c:pt>
                <c:pt idx="258">
                  <c:v>45735</c:v>
                </c:pt>
                <c:pt idx="259">
                  <c:v>45734</c:v>
                </c:pt>
                <c:pt idx="260">
                  <c:v>45733</c:v>
                </c:pt>
                <c:pt idx="261">
                  <c:v>45732</c:v>
                </c:pt>
                <c:pt idx="262">
                  <c:v>45731</c:v>
                </c:pt>
                <c:pt idx="263">
                  <c:v>45730</c:v>
                </c:pt>
                <c:pt idx="264">
                  <c:v>45729</c:v>
                </c:pt>
                <c:pt idx="265">
                  <c:v>45728</c:v>
                </c:pt>
                <c:pt idx="266">
                  <c:v>45727</c:v>
                </c:pt>
                <c:pt idx="267">
                  <c:v>45726</c:v>
                </c:pt>
                <c:pt idx="268">
                  <c:v>45725</c:v>
                </c:pt>
                <c:pt idx="269">
                  <c:v>45724</c:v>
                </c:pt>
                <c:pt idx="270">
                  <c:v>45723</c:v>
                </c:pt>
                <c:pt idx="271">
                  <c:v>45722</c:v>
                </c:pt>
                <c:pt idx="272">
                  <c:v>45721</c:v>
                </c:pt>
                <c:pt idx="273">
                  <c:v>45720</c:v>
                </c:pt>
                <c:pt idx="274">
                  <c:v>45719</c:v>
                </c:pt>
                <c:pt idx="275">
                  <c:v>45718</c:v>
                </c:pt>
                <c:pt idx="276">
                  <c:v>45717</c:v>
                </c:pt>
                <c:pt idx="277">
                  <c:v>45716</c:v>
                </c:pt>
                <c:pt idx="278">
                  <c:v>45715</c:v>
                </c:pt>
                <c:pt idx="279">
                  <c:v>45714</c:v>
                </c:pt>
                <c:pt idx="280">
                  <c:v>45713</c:v>
                </c:pt>
                <c:pt idx="281">
                  <c:v>45712</c:v>
                </c:pt>
                <c:pt idx="282">
                  <c:v>45711</c:v>
                </c:pt>
                <c:pt idx="283">
                  <c:v>45710</c:v>
                </c:pt>
                <c:pt idx="284">
                  <c:v>45709</c:v>
                </c:pt>
                <c:pt idx="285">
                  <c:v>45708</c:v>
                </c:pt>
                <c:pt idx="286">
                  <c:v>45707</c:v>
                </c:pt>
                <c:pt idx="287">
                  <c:v>45706</c:v>
                </c:pt>
                <c:pt idx="288">
                  <c:v>45705</c:v>
                </c:pt>
                <c:pt idx="289">
                  <c:v>45704</c:v>
                </c:pt>
                <c:pt idx="290">
                  <c:v>45703</c:v>
                </c:pt>
                <c:pt idx="291">
                  <c:v>45702</c:v>
                </c:pt>
                <c:pt idx="292">
                  <c:v>45701</c:v>
                </c:pt>
                <c:pt idx="293">
                  <c:v>45700</c:v>
                </c:pt>
                <c:pt idx="294">
                  <c:v>45699</c:v>
                </c:pt>
                <c:pt idx="295">
                  <c:v>45698</c:v>
                </c:pt>
                <c:pt idx="296">
                  <c:v>45697</c:v>
                </c:pt>
                <c:pt idx="297">
                  <c:v>45696</c:v>
                </c:pt>
                <c:pt idx="298">
                  <c:v>45695</c:v>
                </c:pt>
                <c:pt idx="299">
                  <c:v>45694</c:v>
                </c:pt>
                <c:pt idx="300">
                  <c:v>45693</c:v>
                </c:pt>
                <c:pt idx="301">
                  <c:v>45692</c:v>
                </c:pt>
                <c:pt idx="302">
                  <c:v>45691</c:v>
                </c:pt>
                <c:pt idx="303">
                  <c:v>45690</c:v>
                </c:pt>
                <c:pt idx="304">
                  <c:v>45689</c:v>
                </c:pt>
                <c:pt idx="305">
                  <c:v>45688</c:v>
                </c:pt>
                <c:pt idx="306">
                  <c:v>45687</c:v>
                </c:pt>
                <c:pt idx="307">
                  <c:v>45686</c:v>
                </c:pt>
                <c:pt idx="308">
                  <c:v>45685</c:v>
                </c:pt>
                <c:pt idx="309">
                  <c:v>45684</c:v>
                </c:pt>
                <c:pt idx="310">
                  <c:v>45683</c:v>
                </c:pt>
                <c:pt idx="311">
                  <c:v>45682</c:v>
                </c:pt>
                <c:pt idx="312">
                  <c:v>45681</c:v>
                </c:pt>
                <c:pt idx="313">
                  <c:v>45680</c:v>
                </c:pt>
                <c:pt idx="314">
                  <c:v>45679</c:v>
                </c:pt>
                <c:pt idx="315">
                  <c:v>45678</c:v>
                </c:pt>
                <c:pt idx="316">
                  <c:v>45677</c:v>
                </c:pt>
                <c:pt idx="317">
                  <c:v>45676</c:v>
                </c:pt>
                <c:pt idx="318">
                  <c:v>45675</c:v>
                </c:pt>
                <c:pt idx="319">
                  <c:v>45674</c:v>
                </c:pt>
                <c:pt idx="320">
                  <c:v>45673</c:v>
                </c:pt>
                <c:pt idx="321">
                  <c:v>45672</c:v>
                </c:pt>
                <c:pt idx="322">
                  <c:v>45671</c:v>
                </c:pt>
                <c:pt idx="323">
                  <c:v>45670</c:v>
                </c:pt>
                <c:pt idx="324">
                  <c:v>45669</c:v>
                </c:pt>
                <c:pt idx="325">
                  <c:v>45668</c:v>
                </c:pt>
                <c:pt idx="326">
                  <c:v>45667</c:v>
                </c:pt>
                <c:pt idx="327">
                  <c:v>45666</c:v>
                </c:pt>
                <c:pt idx="328">
                  <c:v>45665</c:v>
                </c:pt>
                <c:pt idx="329">
                  <c:v>45664</c:v>
                </c:pt>
                <c:pt idx="330">
                  <c:v>45663</c:v>
                </c:pt>
                <c:pt idx="331">
                  <c:v>45662</c:v>
                </c:pt>
                <c:pt idx="332">
                  <c:v>45661</c:v>
                </c:pt>
                <c:pt idx="333">
                  <c:v>45660</c:v>
                </c:pt>
                <c:pt idx="334">
                  <c:v>45659</c:v>
                </c:pt>
                <c:pt idx="335">
                  <c:v>45658</c:v>
                </c:pt>
                <c:pt idx="336">
                  <c:v>45657</c:v>
                </c:pt>
                <c:pt idx="337">
                  <c:v>45656</c:v>
                </c:pt>
                <c:pt idx="338">
                  <c:v>45655</c:v>
                </c:pt>
                <c:pt idx="339">
                  <c:v>45654</c:v>
                </c:pt>
                <c:pt idx="340">
                  <c:v>45653</c:v>
                </c:pt>
                <c:pt idx="341">
                  <c:v>45652</c:v>
                </c:pt>
                <c:pt idx="342">
                  <c:v>45651</c:v>
                </c:pt>
                <c:pt idx="343">
                  <c:v>45650</c:v>
                </c:pt>
                <c:pt idx="344">
                  <c:v>45649</c:v>
                </c:pt>
                <c:pt idx="345">
                  <c:v>45648</c:v>
                </c:pt>
                <c:pt idx="346">
                  <c:v>45647</c:v>
                </c:pt>
                <c:pt idx="347">
                  <c:v>45646</c:v>
                </c:pt>
                <c:pt idx="348">
                  <c:v>45645</c:v>
                </c:pt>
                <c:pt idx="349">
                  <c:v>45644</c:v>
                </c:pt>
                <c:pt idx="350">
                  <c:v>45643</c:v>
                </c:pt>
                <c:pt idx="351">
                  <c:v>45642</c:v>
                </c:pt>
                <c:pt idx="352">
                  <c:v>45641</c:v>
                </c:pt>
                <c:pt idx="353">
                  <c:v>45640</c:v>
                </c:pt>
                <c:pt idx="354">
                  <c:v>45639</c:v>
                </c:pt>
                <c:pt idx="355">
                  <c:v>45638</c:v>
                </c:pt>
                <c:pt idx="356">
                  <c:v>45637</c:v>
                </c:pt>
                <c:pt idx="357">
                  <c:v>45636</c:v>
                </c:pt>
                <c:pt idx="358">
                  <c:v>45635</c:v>
                </c:pt>
                <c:pt idx="359">
                  <c:v>45634</c:v>
                </c:pt>
                <c:pt idx="360">
                  <c:v>45633</c:v>
                </c:pt>
                <c:pt idx="361">
                  <c:v>45632</c:v>
                </c:pt>
                <c:pt idx="362">
                  <c:v>45631</c:v>
                </c:pt>
                <c:pt idx="363">
                  <c:v>45630</c:v>
                </c:pt>
                <c:pt idx="364">
                  <c:v>45629</c:v>
                </c:pt>
                <c:pt idx="365">
                  <c:v>45628</c:v>
                </c:pt>
                <c:pt idx="366">
                  <c:v>45627</c:v>
                </c:pt>
                <c:pt idx="367">
                  <c:v>45626</c:v>
                </c:pt>
                <c:pt idx="368">
                  <c:v>45625</c:v>
                </c:pt>
                <c:pt idx="369">
                  <c:v>45624</c:v>
                </c:pt>
                <c:pt idx="370">
                  <c:v>45623</c:v>
                </c:pt>
                <c:pt idx="371">
                  <c:v>45622</c:v>
                </c:pt>
                <c:pt idx="372">
                  <c:v>45621</c:v>
                </c:pt>
                <c:pt idx="373">
                  <c:v>45620</c:v>
                </c:pt>
                <c:pt idx="374">
                  <c:v>45619</c:v>
                </c:pt>
                <c:pt idx="375">
                  <c:v>45618</c:v>
                </c:pt>
                <c:pt idx="376">
                  <c:v>45617</c:v>
                </c:pt>
                <c:pt idx="377">
                  <c:v>45616</c:v>
                </c:pt>
                <c:pt idx="378">
                  <c:v>45615</c:v>
                </c:pt>
                <c:pt idx="379">
                  <c:v>45614</c:v>
                </c:pt>
                <c:pt idx="380">
                  <c:v>45613</c:v>
                </c:pt>
                <c:pt idx="381">
                  <c:v>45612</c:v>
                </c:pt>
                <c:pt idx="382">
                  <c:v>45611</c:v>
                </c:pt>
                <c:pt idx="383">
                  <c:v>45610</c:v>
                </c:pt>
                <c:pt idx="384">
                  <c:v>45609</c:v>
                </c:pt>
                <c:pt idx="385">
                  <c:v>45608</c:v>
                </c:pt>
                <c:pt idx="386">
                  <c:v>45607</c:v>
                </c:pt>
                <c:pt idx="387">
                  <c:v>45606</c:v>
                </c:pt>
                <c:pt idx="388">
                  <c:v>45605</c:v>
                </c:pt>
                <c:pt idx="389">
                  <c:v>45604</c:v>
                </c:pt>
                <c:pt idx="390">
                  <c:v>45603</c:v>
                </c:pt>
                <c:pt idx="391">
                  <c:v>45602</c:v>
                </c:pt>
                <c:pt idx="392">
                  <c:v>45601</c:v>
                </c:pt>
                <c:pt idx="393">
                  <c:v>45600</c:v>
                </c:pt>
                <c:pt idx="394">
                  <c:v>45599</c:v>
                </c:pt>
                <c:pt idx="395">
                  <c:v>45598</c:v>
                </c:pt>
                <c:pt idx="396">
                  <c:v>45597</c:v>
                </c:pt>
                <c:pt idx="397">
                  <c:v>45596</c:v>
                </c:pt>
                <c:pt idx="398">
                  <c:v>45595</c:v>
                </c:pt>
                <c:pt idx="399">
                  <c:v>45594</c:v>
                </c:pt>
                <c:pt idx="400">
                  <c:v>45593</c:v>
                </c:pt>
                <c:pt idx="401">
                  <c:v>45592</c:v>
                </c:pt>
                <c:pt idx="402">
                  <c:v>45591</c:v>
                </c:pt>
                <c:pt idx="403">
                  <c:v>45590</c:v>
                </c:pt>
                <c:pt idx="404">
                  <c:v>45589</c:v>
                </c:pt>
              </c:numCache>
            </c:numRef>
          </c:cat>
          <c:val>
            <c:numRef>
              <c:f>Dashboard!$D$154:$D$558</c:f>
              <c:numCache>
                <c:formatCode>General</c:formatCode>
                <c:ptCount val="405"/>
                <c:pt idx="39">
                  <c:v>32.229999999999997</c:v>
                </c:pt>
                <c:pt idx="40">
                  <c:v>32.229999999999997</c:v>
                </c:pt>
                <c:pt idx="41">
                  <c:v>32.869999999999997</c:v>
                </c:pt>
                <c:pt idx="42">
                  <c:v>32.869999999999997</c:v>
                </c:pt>
                <c:pt idx="43">
                  <c:v>32.869999999999997</c:v>
                </c:pt>
                <c:pt idx="44">
                  <c:v>33.24</c:v>
                </c:pt>
                <c:pt idx="45">
                  <c:v>33.53</c:v>
                </c:pt>
                <c:pt idx="46">
                  <c:v>33.774999999999999</c:v>
                </c:pt>
                <c:pt idx="47">
                  <c:v>34.695</c:v>
                </c:pt>
                <c:pt idx="48">
                  <c:v>34.905000000000001</c:v>
                </c:pt>
                <c:pt idx="49">
                  <c:v>34.905000000000001</c:v>
                </c:pt>
                <c:pt idx="50">
                  <c:v>34.905000000000001</c:v>
                </c:pt>
                <c:pt idx="51">
                  <c:v>34.905000000000001</c:v>
                </c:pt>
                <c:pt idx="52">
                  <c:v>34.564999999999998</c:v>
                </c:pt>
                <c:pt idx="53">
                  <c:v>33.9</c:v>
                </c:pt>
                <c:pt idx="54">
                  <c:v>33.44</c:v>
                </c:pt>
                <c:pt idx="55">
                  <c:v>33.08</c:v>
                </c:pt>
                <c:pt idx="56">
                  <c:v>33.08</c:v>
                </c:pt>
                <c:pt idx="57">
                  <c:v>33.08</c:v>
                </c:pt>
                <c:pt idx="58">
                  <c:v>31.28</c:v>
                </c:pt>
                <c:pt idx="59">
                  <c:v>31.34</c:v>
                </c:pt>
                <c:pt idx="60">
                  <c:v>32.494999999999997</c:v>
                </c:pt>
                <c:pt idx="61">
                  <c:v>34.024999999999999</c:v>
                </c:pt>
                <c:pt idx="62">
                  <c:v>32.85</c:v>
                </c:pt>
                <c:pt idx="63">
                  <c:v>32.85</c:v>
                </c:pt>
                <c:pt idx="64">
                  <c:v>32.85</c:v>
                </c:pt>
                <c:pt idx="65">
                  <c:v>32.045000000000002</c:v>
                </c:pt>
                <c:pt idx="66">
                  <c:v>33.085000000000001</c:v>
                </c:pt>
                <c:pt idx="67">
                  <c:v>34.344999999999999</c:v>
                </c:pt>
                <c:pt idx="68">
                  <c:v>33.274999999999999</c:v>
                </c:pt>
                <c:pt idx="69">
                  <c:v>35.405000000000001</c:v>
                </c:pt>
                <c:pt idx="70">
                  <c:v>35.405000000000001</c:v>
                </c:pt>
                <c:pt idx="71">
                  <c:v>35.405000000000001</c:v>
                </c:pt>
                <c:pt idx="72">
                  <c:v>38.024999999999999</c:v>
                </c:pt>
                <c:pt idx="73">
                  <c:v>36.935000000000002</c:v>
                </c:pt>
                <c:pt idx="74">
                  <c:v>35.604999999999997</c:v>
                </c:pt>
                <c:pt idx="75">
                  <c:v>35.229999999999997</c:v>
                </c:pt>
                <c:pt idx="76">
                  <c:v>35.270000000000003</c:v>
                </c:pt>
                <c:pt idx="77">
                  <c:v>35.270000000000003</c:v>
                </c:pt>
                <c:pt idx="78">
                  <c:v>35.270000000000003</c:v>
                </c:pt>
                <c:pt idx="79">
                  <c:v>35.69</c:v>
                </c:pt>
                <c:pt idx="80">
                  <c:v>36.69</c:v>
                </c:pt>
                <c:pt idx="81">
                  <c:v>35.67</c:v>
                </c:pt>
                <c:pt idx="82">
                  <c:v>35.18</c:v>
                </c:pt>
                <c:pt idx="83">
                  <c:v>36.365000000000002</c:v>
                </c:pt>
                <c:pt idx="84">
                  <c:v>36.365000000000002</c:v>
                </c:pt>
                <c:pt idx="85">
                  <c:v>36.365000000000002</c:v>
                </c:pt>
                <c:pt idx="86">
                  <c:v>36.549999999999997</c:v>
                </c:pt>
                <c:pt idx="87">
                  <c:v>37.17</c:v>
                </c:pt>
                <c:pt idx="88">
                  <c:v>35.99</c:v>
                </c:pt>
                <c:pt idx="89">
                  <c:v>35.54</c:v>
                </c:pt>
                <c:pt idx="90">
                  <c:v>35.695</c:v>
                </c:pt>
                <c:pt idx="91">
                  <c:v>35.695</c:v>
                </c:pt>
                <c:pt idx="92">
                  <c:v>35.695</c:v>
                </c:pt>
                <c:pt idx="93">
                  <c:v>36.384999999999998</c:v>
                </c:pt>
                <c:pt idx="94">
                  <c:v>36.22</c:v>
                </c:pt>
                <c:pt idx="95">
                  <c:v>36.200000000000003</c:v>
                </c:pt>
                <c:pt idx="96">
                  <c:v>35.1</c:v>
                </c:pt>
                <c:pt idx="97">
                  <c:v>35.615000000000002</c:v>
                </c:pt>
                <c:pt idx="98">
                  <c:v>35.615000000000002</c:v>
                </c:pt>
                <c:pt idx="99">
                  <c:v>35.615000000000002</c:v>
                </c:pt>
                <c:pt idx="100">
                  <c:v>36.475000000000001</c:v>
                </c:pt>
                <c:pt idx="101">
                  <c:v>36.96</c:v>
                </c:pt>
                <c:pt idx="102">
                  <c:v>38.69</c:v>
                </c:pt>
                <c:pt idx="103">
                  <c:v>40.274999999999999</c:v>
                </c:pt>
                <c:pt idx="104">
                  <c:v>41.1</c:v>
                </c:pt>
                <c:pt idx="105">
                  <c:v>41.1</c:v>
                </c:pt>
                <c:pt idx="106">
                  <c:v>41.1</c:v>
                </c:pt>
                <c:pt idx="107">
                  <c:v>40.96</c:v>
                </c:pt>
                <c:pt idx="108">
                  <c:v>39.57</c:v>
                </c:pt>
                <c:pt idx="109">
                  <c:v>41.104999999999997</c:v>
                </c:pt>
                <c:pt idx="110">
                  <c:v>42.96</c:v>
                </c:pt>
                <c:pt idx="111">
                  <c:v>41.045000000000002</c:v>
                </c:pt>
                <c:pt idx="112">
                  <c:v>41.045000000000002</c:v>
                </c:pt>
                <c:pt idx="113">
                  <c:v>41.045000000000002</c:v>
                </c:pt>
                <c:pt idx="114">
                  <c:v>40.83</c:v>
                </c:pt>
                <c:pt idx="115">
                  <c:v>38.545000000000002</c:v>
                </c:pt>
                <c:pt idx="116">
                  <c:v>40.375</c:v>
                </c:pt>
                <c:pt idx="117">
                  <c:v>38.619999999999997</c:v>
                </c:pt>
                <c:pt idx="118">
                  <c:v>40.265000000000001</c:v>
                </c:pt>
                <c:pt idx="119">
                  <c:v>40.265000000000001</c:v>
                </c:pt>
                <c:pt idx="120">
                  <c:v>40.265000000000001</c:v>
                </c:pt>
                <c:pt idx="121">
                  <c:v>41.295000000000002</c:v>
                </c:pt>
                <c:pt idx="122">
                  <c:v>41.295000000000002</c:v>
                </c:pt>
                <c:pt idx="123">
                  <c:v>40.590000000000003</c:v>
                </c:pt>
                <c:pt idx="124">
                  <c:v>41.734999999999999</c:v>
                </c:pt>
                <c:pt idx="125">
                  <c:v>41.145000000000003</c:v>
                </c:pt>
                <c:pt idx="126">
                  <c:v>41.145000000000003</c:v>
                </c:pt>
                <c:pt idx="127">
                  <c:v>41.145000000000003</c:v>
                </c:pt>
                <c:pt idx="128">
                  <c:v>42.53</c:v>
                </c:pt>
                <c:pt idx="129">
                  <c:v>41.795000000000002</c:v>
                </c:pt>
                <c:pt idx="130">
                  <c:v>42.844999999999999</c:v>
                </c:pt>
                <c:pt idx="131">
                  <c:v>42.204999999999998</c:v>
                </c:pt>
                <c:pt idx="132">
                  <c:v>42.78</c:v>
                </c:pt>
                <c:pt idx="133">
                  <c:v>42.78</c:v>
                </c:pt>
                <c:pt idx="134">
                  <c:v>42.78</c:v>
                </c:pt>
                <c:pt idx="135">
                  <c:v>43.564999999999998</c:v>
                </c:pt>
                <c:pt idx="136">
                  <c:v>43.69</c:v>
                </c:pt>
                <c:pt idx="137">
                  <c:v>44.884999999999998</c:v>
                </c:pt>
                <c:pt idx="138">
                  <c:v>45.225000000000001</c:v>
                </c:pt>
                <c:pt idx="139">
                  <c:v>44.14</c:v>
                </c:pt>
                <c:pt idx="140">
                  <c:v>44.14</c:v>
                </c:pt>
                <c:pt idx="141">
                  <c:v>44.14</c:v>
                </c:pt>
                <c:pt idx="142">
                  <c:v>42.564999999999998</c:v>
                </c:pt>
                <c:pt idx="143">
                  <c:v>41.854999999999997</c:v>
                </c:pt>
                <c:pt idx="144">
                  <c:v>41.975000000000001</c:v>
                </c:pt>
                <c:pt idx="145">
                  <c:v>39.47</c:v>
                </c:pt>
                <c:pt idx="146">
                  <c:v>38.71</c:v>
                </c:pt>
                <c:pt idx="147">
                  <c:v>38.71</c:v>
                </c:pt>
                <c:pt idx="148">
                  <c:v>38.71</c:v>
                </c:pt>
                <c:pt idx="149">
                  <c:v>41.174999999999997</c:v>
                </c:pt>
                <c:pt idx="150">
                  <c:v>41.445</c:v>
                </c:pt>
                <c:pt idx="151">
                  <c:v>43.905000000000001</c:v>
                </c:pt>
                <c:pt idx="152">
                  <c:v>44.98</c:v>
                </c:pt>
                <c:pt idx="153">
                  <c:v>43.81</c:v>
                </c:pt>
                <c:pt idx="154">
                  <c:v>43.81</c:v>
                </c:pt>
                <c:pt idx="155">
                  <c:v>43.81</c:v>
                </c:pt>
                <c:pt idx="156">
                  <c:v>43.185000000000002</c:v>
                </c:pt>
                <c:pt idx="157">
                  <c:v>41.854999999999997</c:v>
                </c:pt>
                <c:pt idx="158">
                  <c:v>41.244999999999997</c:v>
                </c:pt>
                <c:pt idx="159">
                  <c:v>39.4</c:v>
                </c:pt>
                <c:pt idx="160">
                  <c:v>38.19</c:v>
                </c:pt>
                <c:pt idx="161">
                  <c:v>38.19</c:v>
                </c:pt>
                <c:pt idx="162">
                  <c:v>38.19</c:v>
                </c:pt>
                <c:pt idx="163">
                  <c:v>38.424999999999997</c:v>
                </c:pt>
                <c:pt idx="164">
                  <c:v>31.63</c:v>
                </c:pt>
                <c:pt idx="165">
                  <c:v>32.75</c:v>
                </c:pt>
                <c:pt idx="166">
                  <c:v>32.79</c:v>
                </c:pt>
                <c:pt idx="167">
                  <c:v>31.745000000000001</c:v>
                </c:pt>
                <c:pt idx="168">
                  <c:v>31.745000000000001</c:v>
                </c:pt>
                <c:pt idx="169">
                  <c:v>31.745000000000001</c:v>
                </c:pt>
                <c:pt idx="170">
                  <c:v>31.625</c:v>
                </c:pt>
                <c:pt idx="171">
                  <c:v>31.625</c:v>
                </c:pt>
                <c:pt idx="172">
                  <c:v>30.895</c:v>
                </c:pt>
                <c:pt idx="173">
                  <c:v>30.905000000000001</c:v>
                </c:pt>
                <c:pt idx="174">
                  <c:v>30.344999999999999</c:v>
                </c:pt>
                <c:pt idx="175">
                  <c:v>30.344999999999999</c:v>
                </c:pt>
                <c:pt idx="176">
                  <c:v>30.344999999999999</c:v>
                </c:pt>
                <c:pt idx="177">
                  <c:v>29.614999999999998</c:v>
                </c:pt>
                <c:pt idx="178">
                  <c:v>28.274999999999999</c:v>
                </c:pt>
                <c:pt idx="179">
                  <c:v>28.01</c:v>
                </c:pt>
                <c:pt idx="180">
                  <c:v>27.57</c:v>
                </c:pt>
                <c:pt idx="181">
                  <c:v>27.57</c:v>
                </c:pt>
                <c:pt idx="182">
                  <c:v>27.57</c:v>
                </c:pt>
                <c:pt idx="183">
                  <c:v>27.57</c:v>
                </c:pt>
                <c:pt idx="184">
                  <c:v>27.57</c:v>
                </c:pt>
                <c:pt idx="185">
                  <c:v>27.204999999999998</c:v>
                </c:pt>
                <c:pt idx="186">
                  <c:v>27</c:v>
                </c:pt>
                <c:pt idx="187">
                  <c:v>26.765000000000001</c:v>
                </c:pt>
                <c:pt idx="188">
                  <c:v>26.234999999999999</c:v>
                </c:pt>
                <c:pt idx="189">
                  <c:v>26.234999999999999</c:v>
                </c:pt>
                <c:pt idx="190">
                  <c:v>26.234999999999999</c:v>
                </c:pt>
                <c:pt idx="191">
                  <c:v>25.245000000000001</c:v>
                </c:pt>
                <c:pt idx="192">
                  <c:v>25.74</c:v>
                </c:pt>
                <c:pt idx="193">
                  <c:v>24.7</c:v>
                </c:pt>
                <c:pt idx="194">
                  <c:v>24.17</c:v>
                </c:pt>
                <c:pt idx="195">
                  <c:v>24.59</c:v>
                </c:pt>
                <c:pt idx="196">
                  <c:v>24.59</c:v>
                </c:pt>
                <c:pt idx="197">
                  <c:v>24.59</c:v>
                </c:pt>
                <c:pt idx="198">
                  <c:v>25.585000000000001</c:v>
                </c:pt>
                <c:pt idx="199">
                  <c:v>25.045000000000002</c:v>
                </c:pt>
                <c:pt idx="200">
                  <c:v>24.704999999999998</c:v>
                </c:pt>
                <c:pt idx="201">
                  <c:v>24.504999999999999</c:v>
                </c:pt>
                <c:pt idx="202">
                  <c:v>24.72</c:v>
                </c:pt>
                <c:pt idx="203">
                  <c:v>24.72</c:v>
                </c:pt>
                <c:pt idx="204">
                  <c:v>24.72</c:v>
                </c:pt>
                <c:pt idx="205">
                  <c:v>24.934999999999999</c:v>
                </c:pt>
                <c:pt idx="206">
                  <c:v>24.225000000000001</c:v>
                </c:pt>
                <c:pt idx="207">
                  <c:v>23.844999999999999</c:v>
                </c:pt>
                <c:pt idx="208">
                  <c:v>23.954999999999998</c:v>
                </c:pt>
                <c:pt idx="209">
                  <c:v>24.004999999999999</c:v>
                </c:pt>
                <c:pt idx="210">
                  <c:v>24.004999999999999</c:v>
                </c:pt>
                <c:pt idx="211">
                  <c:v>24.004999999999999</c:v>
                </c:pt>
                <c:pt idx="212">
                  <c:v>23.76</c:v>
                </c:pt>
                <c:pt idx="213">
                  <c:v>23.44</c:v>
                </c:pt>
                <c:pt idx="214">
                  <c:v>23.004999999999999</c:v>
                </c:pt>
                <c:pt idx="215">
                  <c:v>21.754999999999999</c:v>
                </c:pt>
                <c:pt idx="216">
                  <c:v>21.49</c:v>
                </c:pt>
                <c:pt idx="217">
                  <c:v>21.49</c:v>
                </c:pt>
                <c:pt idx="218">
                  <c:v>21.49</c:v>
                </c:pt>
                <c:pt idx="219">
                  <c:v>23.99</c:v>
                </c:pt>
                <c:pt idx="220">
                  <c:v>22.925000000000001</c:v>
                </c:pt>
                <c:pt idx="221">
                  <c:v>26.515000000000001</c:v>
                </c:pt>
                <c:pt idx="222">
                  <c:v>26.265000000000001</c:v>
                </c:pt>
                <c:pt idx="223">
                  <c:v>26.65</c:v>
                </c:pt>
                <c:pt idx="224">
                  <c:v>26.65</c:v>
                </c:pt>
                <c:pt idx="225">
                  <c:v>26.65</c:v>
                </c:pt>
                <c:pt idx="226">
                  <c:v>25.8</c:v>
                </c:pt>
                <c:pt idx="227">
                  <c:v>25.73</c:v>
                </c:pt>
                <c:pt idx="228">
                  <c:v>26.02</c:v>
                </c:pt>
                <c:pt idx="229">
                  <c:v>26.02</c:v>
                </c:pt>
                <c:pt idx="230">
                  <c:v>26.02</c:v>
                </c:pt>
                <c:pt idx="231">
                  <c:v>26.02</c:v>
                </c:pt>
                <c:pt idx="232">
                  <c:v>26.02</c:v>
                </c:pt>
                <c:pt idx="233">
                  <c:v>27.045000000000002</c:v>
                </c:pt>
                <c:pt idx="234">
                  <c:v>26.72</c:v>
                </c:pt>
                <c:pt idx="235">
                  <c:v>27.715</c:v>
                </c:pt>
                <c:pt idx="236">
                  <c:v>28.69</c:v>
                </c:pt>
                <c:pt idx="237">
                  <c:v>31.024999999999999</c:v>
                </c:pt>
                <c:pt idx="238">
                  <c:v>31.024999999999999</c:v>
                </c:pt>
                <c:pt idx="239">
                  <c:v>31.024999999999999</c:v>
                </c:pt>
                <c:pt idx="240">
                  <c:v>31.84</c:v>
                </c:pt>
                <c:pt idx="241">
                  <c:v>31.725000000000001</c:v>
                </c:pt>
                <c:pt idx="242">
                  <c:v>32.85</c:v>
                </c:pt>
                <c:pt idx="243">
                  <c:v>31.96</c:v>
                </c:pt>
                <c:pt idx="244">
                  <c:v>32.034999999999997</c:v>
                </c:pt>
                <c:pt idx="245">
                  <c:v>32.034999999999997</c:v>
                </c:pt>
                <c:pt idx="246">
                  <c:v>32.034999999999997</c:v>
                </c:pt>
                <c:pt idx="247">
                  <c:v>31.15</c:v>
                </c:pt>
                <c:pt idx="248">
                  <c:v>31.425000000000001</c:v>
                </c:pt>
                <c:pt idx="249">
                  <c:v>32.71</c:v>
                </c:pt>
                <c:pt idx="250">
                  <c:v>33.299999999999997</c:v>
                </c:pt>
                <c:pt idx="251">
                  <c:v>33.83</c:v>
                </c:pt>
                <c:pt idx="252">
                  <c:v>33.83</c:v>
                </c:pt>
                <c:pt idx="253">
                  <c:v>33.83</c:v>
                </c:pt>
                <c:pt idx="254">
                  <c:v>34.32</c:v>
                </c:pt>
                <c:pt idx="255">
                  <c:v>33.475000000000001</c:v>
                </c:pt>
                <c:pt idx="256">
                  <c:v>33.68</c:v>
                </c:pt>
                <c:pt idx="257">
                  <c:v>34.164999999999999</c:v>
                </c:pt>
                <c:pt idx="258">
                  <c:v>34.17</c:v>
                </c:pt>
                <c:pt idx="259">
                  <c:v>34.17</c:v>
                </c:pt>
                <c:pt idx="260">
                  <c:v>34.17</c:v>
                </c:pt>
                <c:pt idx="261">
                  <c:v>34.755000000000003</c:v>
                </c:pt>
                <c:pt idx="262">
                  <c:v>33.65</c:v>
                </c:pt>
                <c:pt idx="263">
                  <c:v>33.734999999999999</c:v>
                </c:pt>
                <c:pt idx="264">
                  <c:v>33.234999999999999</c:v>
                </c:pt>
                <c:pt idx="265">
                  <c:v>31.82</c:v>
                </c:pt>
                <c:pt idx="266">
                  <c:v>31.82</c:v>
                </c:pt>
                <c:pt idx="267">
                  <c:v>31.82</c:v>
                </c:pt>
                <c:pt idx="268">
                  <c:v>32.164999999999999</c:v>
                </c:pt>
                <c:pt idx="269">
                  <c:v>32.18</c:v>
                </c:pt>
                <c:pt idx="270">
                  <c:v>31.475000000000001</c:v>
                </c:pt>
                <c:pt idx="271">
                  <c:v>31.385000000000002</c:v>
                </c:pt>
                <c:pt idx="272">
                  <c:v>30.35</c:v>
                </c:pt>
                <c:pt idx="273">
                  <c:v>30.35</c:v>
                </c:pt>
                <c:pt idx="274">
                  <c:v>30.35</c:v>
                </c:pt>
                <c:pt idx="275">
                  <c:v>30.69</c:v>
                </c:pt>
                <c:pt idx="276">
                  <c:v>31.405000000000001</c:v>
                </c:pt>
                <c:pt idx="277">
                  <c:v>30.29</c:v>
                </c:pt>
                <c:pt idx="278">
                  <c:v>29.725000000000001</c:v>
                </c:pt>
                <c:pt idx="279">
                  <c:v>30.12</c:v>
                </c:pt>
                <c:pt idx="280">
                  <c:v>30.12</c:v>
                </c:pt>
                <c:pt idx="281">
                  <c:v>30.12</c:v>
                </c:pt>
                <c:pt idx="282">
                  <c:v>30.585000000000001</c:v>
                </c:pt>
                <c:pt idx="283">
                  <c:v>30.675000000000001</c:v>
                </c:pt>
                <c:pt idx="284">
                  <c:v>31.36</c:v>
                </c:pt>
                <c:pt idx="285">
                  <c:v>30.515000000000001</c:v>
                </c:pt>
                <c:pt idx="286">
                  <c:v>28.925000000000001</c:v>
                </c:pt>
                <c:pt idx="287">
                  <c:v>28.925000000000001</c:v>
                </c:pt>
                <c:pt idx="288">
                  <c:v>28.925000000000001</c:v>
                </c:pt>
                <c:pt idx="289">
                  <c:v>29.135000000000002</c:v>
                </c:pt>
                <c:pt idx="290">
                  <c:v>29.5</c:v>
                </c:pt>
                <c:pt idx="291">
                  <c:v>29.5</c:v>
                </c:pt>
                <c:pt idx="292">
                  <c:v>29.5</c:v>
                </c:pt>
                <c:pt idx="293">
                  <c:v>29.11</c:v>
                </c:pt>
                <c:pt idx="294">
                  <c:v>29.11</c:v>
                </c:pt>
                <c:pt idx="295">
                  <c:v>29.11</c:v>
                </c:pt>
                <c:pt idx="296">
                  <c:v>28.785</c:v>
                </c:pt>
                <c:pt idx="297">
                  <c:v>29.335000000000001</c:v>
                </c:pt>
                <c:pt idx="298">
                  <c:v>29.335000000000001</c:v>
                </c:pt>
                <c:pt idx="299">
                  <c:v>29.335000000000001</c:v>
                </c:pt>
                <c:pt idx="300">
                  <c:v>30.88</c:v>
                </c:pt>
                <c:pt idx="301">
                  <c:v>30.88</c:v>
                </c:pt>
                <c:pt idx="302">
                  <c:v>30.88</c:v>
                </c:pt>
                <c:pt idx="303">
                  <c:v>29.46</c:v>
                </c:pt>
                <c:pt idx="304">
                  <c:v>28.925000000000001</c:v>
                </c:pt>
                <c:pt idx="305">
                  <c:v>30.84</c:v>
                </c:pt>
                <c:pt idx="306">
                  <c:v>30.58</c:v>
                </c:pt>
                <c:pt idx="307">
                  <c:v>30.885000000000002</c:v>
                </c:pt>
                <c:pt idx="308">
                  <c:v>30.885000000000002</c:v>
                </c:pt>
                <c:pt idx="309">
                  <c:v>30.885000000000002</c:v>
                </c:pt>
                <c:pt idx="310">
                  <c:v>32.075000000000003</c:v>
                </c:pt>
                <c:pt idx="311">
                  <c:v>33.89</c:v>
                </c:pt>
                <c:pt idx="312">
                  <c:v>33.93</c:v>
                </c:pt>
                <c:pt idx="313">
                  <c:v>32.674999999999997</c:v>
                </c:pt>
                <c:pt idx="314">
                  <c:v>33.875</c:v>
                </c:pt>
                <c:pt idx="315">
                  <c:v>33.875</c:v>
                </c:pt>
                <c:pt idx="316">
                  <c:v>33.875</c:v>
                </c:pt>
                <c:pt idx="317">
                  <c:v>35.395000000000003</c:v>
                </c:pt>
                <c:pt idx="318">
                  <c:v>35.11</c:v>
                </c:pt>
                <c:pt idx="319">
                  <c:v>36.685000000000002</c:v>
                </c:pt>
                <c:pt idx="320">
                  <c:v>36.875</c:v>
                </c:pt>
                <c:pt idx="321">
                  <c:v>36.700000000000003</c:v>
                </c:pt>
                <c:pt idx="322">
                  <c:v>36.700000000000003</c:v>
                </c:pt>
                <c:pt idx="323">
                  <c:v>36.700000000000003</c:v>
                </c:pt>
                <c:pt idx="324">
                  <c:v>35.625</c:v>
                </c:pt>
                <c:pt idx="325">
                  <c:v>39.274999999999999</c:v>
                </c:pt>
                <c:pt idx="326">
                  <c:v>42.53</c:v>
                </c:pt>
                <c:pt idx="327">
                  <c:v>41.8</c:v>
                </c:pt>
                <c:pt idx="328">
                  <c:v>40.799999999999997</c:v>
                </c:pt>
                <c:pt idx="329">
                  <c:v>40.799999999999997</c:v>
                </c:pt>
                <c:pt idx="330">
                  <c:v>40.799999999999997</c:v>
                </c:pt>
                <c:pt idx="331">
                  <c:v>39.805</c:v>
                </c:pt>
                <c:pt idx="332">
                  <c:v>41.134999999999998</c:v>
                </c:pt>
                <c:pt idx="333">
                  <c:v>41.134999999999998</c:v>
                </c:pt>
                <c:pt idx="334">
                  <c:v>41.82</c:v>
                </c:pt>
                <c:pt idx="335">
                  <c:v>42.115000000000002</c:v>
                </c:pt>
                <c:pt idx="336">
                  <c:v>42.115000000000002</c:v>
                </c:pt>
                <c:pt idx="337">
                  <c:v>42.115000000000002</c:v>
                </c:pt>
                <c:pt idx="338">
                  <c:v>42.115000000000002</c:v>
                </c:pt>
                <c:pt idx="339">
                  <c:v>41.18</c:v>
                </c:pt>
                <c:pt idx="340">
                  <c:v>40.125</c:v>
                </c:pt>
                <c:pt idx="341">
                  <c:v>40.44</c:v>
                </c:pt>
                <c:pt idx="342">
                  <c:v>40.25</c:v>
                </c:pt>
                <c:pt idx="343">
                  <c:v>40.25</c:v>
                </c:pt>
                <c:pt idx="344">
                  <c:v>40.25</c:v>
                </c:pt>
                <c:pt idx="345">
                  <c:v>40.365000000000002</c:v>
                </c:pt>
                <c:pt idx="346">
                  <c:v>41.005000000000003</c:v>
                </c:pt>
                <c:pt idx="347">
                  <c:v>41.354999999999997</c:v>
                </c:pt>
                <c:pt idx="348">
                  <c:v>41.44</c:v>
                </c:pt>
                <c:pt idx="349">
                  <c:v>40.1</c:v>
                </c:pt>
                <c:pt idx="350">
                  <c:v>40.1</c:v>
                </c:pt>
                <c:pt idx="351">
                  <c:v>40.1</c:v>
                </c:pt>
                <c:pt idx="352">
                  <c:v>41.23</c:v>
                </c:pt>
                <c:pt idx="353">
                  <c:v>40.695</c:v>
                </c:pt>
                <c:pt idx="354">
                  <c:v>40.164999999999999</c:v>
                </c:pt>
                <c:pt idx="355">
                  <c:v>40.85</c:v>
                </c:pt>
                <c:pt idx="356">
                  <c:v>40.534999999999997</c:v>
                </c:pt>
                <c:pt idx="357">
                  <c:v>40.534999999999997</c:v>
                </c:pt>
                <c:pt idx="358">
                  <c:v>40.534999999999997</c:v>
                </c:pt>
                <c:pt idx="359">
                  <c:v>41.524999999999999</c:v>
                </c:pt>
                <c:pt idx="360">
                  <c:v>40.305</c:v>
                </c:pt>
                <c:pt idx="361">
                  <c:v>40.234999999999999</c:v>
                </c:pt>
                <c:pt idx="362">
                  <c:v>40.880000000000003</c:v>
                </c:pt>
                <c:pt idx="363">
                  <c:v>40.39</c:v>
                </c:pt>
                <c:pt idx="364">
                  <c:v>40.39</c:v>
                </c:pt>
                <c:pt idx="365">
                  <c:v>40.39</c:v>
                </c:pt>
                <c:pt idx="366">
                  <c:v>41.01</c:v>
                </c:pt>
                <c:pt idx="367">
                  <c:v>41.354999999999997</c:v>
                </c:pt>
                <c:pt idx="368">
                  <c:v>42.024999999999999</c:v>
                </c:pt>
                <c:pt idx="369">
                  <c:v>42.04</c:v>
                </c:pt>
                <c:pt idx="370">
                  <c:v>41.805</c:v>
                </c:pt>
                <c:pt idx="371">
                  <c:v>41.805</c:v>
                </c:pt>
                <c:pt idx="372">
                  <c:v>41.805</c:v>
                </c:pt>
                <c:pt idx="373">
                  <c:v>41.325000000000003</c:v>
                </c:pt>
                <c:pt idx="374">
                  <c:v>41.31</c:v>
                </c:pt>
                <c:pt idx="375">
                  <c:v>41.844999999999999</c:v>
                </c:pt>
                <c:pt idx="376">
                  <c:v>40.914999999999999</c:v>
                </c:pt>
                <c:pt idx="377">
                  <c:v>41.545000000000002</c:v>
                </c:pt>
                <c:pt idx="378">
                  <c:v>41.545000000000002</c:v>
                </c:pt>
                <c:pt idx="379">
                  <c:v>41.545000000000002</c:v>
                </c:pt>
                <c:pt idx="380">
                  <c:v>40.53</c:v>
                </c:pt>
                <c:pt idx="381">
                  <c:v>42.244999999999997</c:v>
                </c:pt>
                <c:pt idx="382">
                  <c:v>41.744999999999997</c:v>
                </c:pt>
                <c:pt idx="383">
                  <c:v>42.15</c:v>
                </c:pt>
                <c:pt idx="384">
                  <c:v>42.905000000000001</c:v>
                </c:pt>
                <c:pt idx="385">
                  <c:v>42.905000000000001</c:v>
                </c:pt>
                <c:pt idx="386">
                  <c:v>42.905000000000001</c:v>
                </c:pt>
                <c:pt idx="387">
                  <c:v>42.43</c:v>
                </c:pt>
                <c:pt idx="388">
                  <c:v>42.965000000000003</c:v>
                </c:pt>
                <c:pt idx="389">
                  <c:v>44.83</c:v>
                </c:pt>
                <c:pt idx="390">
                  <c:v>45.19</c:v>
                </c:pt>
                <c:pt idx="391">
                  <c:v>44.655000000000001</c:v>
                </c:pt>
                <c:pt idx="392">
                  <c:v>44.655000000000001</c:v>
                </c:pt>
                <c:pt idx="393">
                  <c:v>44.655000000000001</c:v>
                </c:pt>
                <c:pt idx="394">
                  <c:v>46.325000000000003</c:v>
                </c:pt>
                <c:pt idx="395">
                  <c:v>47.76</c:v>
                </c:pt>
                <c:pt idx="396">
                  <c:v>47.134999999999998</c:v>
                </c:pt>
                <c:pt idx="397">
                  <c:v>47.76</c:v>
                </c:pt>
                <c:pt idx="398">
                  <c:v>48.295000000000002</c:v>
                </c:pt>
                <c:pt idx="399">
                  <c:v>48.295000000000002</c:v>
                </c:pt>
                <c:pt idx="400">
                  <c:v>48.295000000000002</c:v>
                </c:pt>
                <c:pt idx="401">
                  <c:v>47.524999999999999</c:v>
                </c:pt>
                <c:pt idx="402">
                  <c:v>48.225000000000001</c:v>
                </c:pt>
                <c:pt idx="403">
                  <c:v>47.505000000000003</c:v>
                </c:pt>
                <c:pt idx="404">
                  <c:v>46.505000000000003</c:v>
                </c:pt>
              </c:numCache>
            </c:numRef>
          </c:val>
          <c:smooth val="0"/>
          <c:extLst>
            <c:ext xmlns:c16="http://schemas.microsoft.com/office/drawing/2014/chart" uri="{C3380CC4-5D6E-409C-BE32-E72D297353CC}">
              <c16:uniqueId val="{00000000-7945-4CFF-8C44-39088B05CB15}"/>
            </c:ext>
          </c:extLst>
        </c:ser>
        <c:dLbls>
          <c:showLegendKey val="0"/>
          <c:showVal val="0"/>
          <c:showCatName val="0"/>
          <c:showSerName val="0"/>
          <c:showPercent val="0"/>
          <c:showBubbleSize val="0"/>
        </c:dLbls>
        <c:marker val="1"/>
        <c:smooth val="0"/>
        <c:axId val="464131055"/>
        <c:axId val="464129135"/>
      </c:lineChart>
      <c:dateAx>
        <c:axId val="777888655"/>
        <c:scaling>
          <c:orientation val="minMax"/>
        </c:scaling>
        <c:delete val="0"/>
        <c:axPos val="b"/>
        <c:numFmt formatCode="[$-816]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777885295"/>
        <c:crosses val="autoZero"/>
        <c:auto val="1"/>
        <c:lblOffset val="100"/>
        <c:baseTimeUnit val="days"/>
      </c:dateAx>
      <c:valAx>
        <c:axId val="777885295"/>
        <c:scaling>
          <c:orientation val="minMax"/>
        </c:scaling>
        <c:delete val="1"/>
        <c:axPos val="l"/>
        <c:majorGridlines>
          <c:spPr>
            <a:ln w="9525" cap="flat" cmpd="sng" algn="ctr">
              <a:solidFill>
                <a:schemeClr val="accent1">
                  <a:lumMod val="20000"/>
                  <a:lumOff val="80000"/>
                  <a:alpha val="20000"/>
                </a:schemeClr>
              </a:solidFill>
              <a:round/>
            </a:ln>
            <a:effectLst/>
          </c:spPr>
        </c:majorGridlines>
        <c:numFmt formatCode="General" sourceLinked="1"/>
        <c:majorTickMark val="none"/>
        <c:minorTickMark val="none"/>
        <c:tickLblPos val="nextTo"/>
        <c:crossAx val="777888655"/>
        <c:crosses val="autoZero"/>
        <c:crossBetween val="between"/>
      </c:valAx>
      <c:valAx>
        <c:axId val="46412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4131055"/>
        <c:crosses val="max"/>
        <c:crossBetween val="between"/>
      </c:valAx>
      <c:dateAx>
        <c:axId val="464131055"/>
        <c:scaling>
          <c:orientation val="minMax"/>
        </c:scaling>
        <c:delete val="1"/>
        <c:axPos val="b"/>
        <c:numFmt formatCode="yyyy\-mm\-dd;@" sourceLinked="1"/>
        <c:majorTickMark val="out"/>
        <c:minorTickMark val="none"/>
        <c:tickLblPos val="nextTo"/>
        <c:crossAx val="464129135"/>
        <c:crosses val="autoZero"/>
        <c:auto val="1"/>
        <c:lblOffset val="100"/>
        <c:baseTimeUnit val="days"/>
      </c:dateAx>
      <c:spPr>
        <a:noFill/>
        <a:ln>
          <a:noFill/>
        </a:ln>
        <a:effectLst>
          <a:glow rad="63500">
            <a:schemeClr val="accent1">
              <a:satMod val="175000"/>
              <a:alpha val="40000"/>
            </a:schemeClr>
          </a:glow>
        </a:effectLst>
      </c:spPr>
    </c:plotArea>
    <c:plotVisOnly val="1"/>
    <c:dispBlanksAs val="gap"/>
    <c:showDLblsOverMax val="0"/>
  </c:chart>
  <c:spPr>
    <a:noFill/>
    <a:ln w="9525" cap="flat" cmpd="sng" algn="ctr">
      <a:noFill/>
      <a:round/>
    </a:ln>
    <a:effectLst/>
  </c:spPr>
  <c:txPr>
    <a:bodyPr/>
    <a:lstStyle/>
    <a:p>
      <a:pPr>
        <a:defRPr sz="110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Capex Intensity</c:v>
                </c:pt>
                <c:pt idx="1">
                  <c:v>Terminal g</c:v>
                </c:pt>
                <c:pt idx="2">
                  <c:v>SG&amp;A Margin</c:v>
                </c:pt>
                <c:pt idx="3">
                  <c:v>WACC</c:v>
                </c:pt>
                <c:pt idx="4">
                  <c:v>COGS Margin</c:v>
                </c:pt>
                <c:pt idx="5">
                  <c:v>EBITDA Exit</c:v>
                </c:pt>
                <c:pt idx="6">
                  <c:v>Revenue Exit</c:v>
                </c:pt>
              </c:strCache>
            </c:strRef>
          </c:cat>
          <c:val>
            <c:numRef>
              <c:f>Sensitivity!$AJ$28:$AJ$34</c:f>
              <c:numCache>
                <c:formatCode>General</c:formatCode>
                <c:ptCount val="7"/>
                <c:pt idx="0">
                  <c:v>-5.9999999999998721E-2</c:v>
                </c:pt>
                <c:pt idx="1">
                  <c:v>-0.33999999999999986</c:v>
                </c:pt>
                <c:pt idx="2">
                  <c:v>-1.0899999999999999</c:v>
                </c:pt>
                <c:pt idx="3">
                  <c:v>-1.0899999999999999</c:v>
                </c:pt>
                <c:pt idx="4">
                  <c:v>-1.9400000000000013</c:v>
                </c:pt>
                <c:pt idx="5">
                  <c:v>-7.8299999999999983</c:v>
                </c:pt>
                <c:pt idx="6">
                  <c:v>-16.759999999999998</c:v>
                </c:pt>
              </c:numCache>
            </c:numRef>
          </c:val>
          <c:extLst>
            <c:ext xmlns:c16="http://schemas.microsoft.com/office/drawing/2014/chart" uri="{C3380CC4-5D6E-409C-BE32-E72D297353CC}">
              <c16:uniqueId val="{00000000-A159-48F8-BF02-8287E1A6D51E}"/>
            </c:ext>
          </c:extLst>
        </c:ser>
        <c:ser>
          <c:idx val="1"/>
          <c:order val="1"/>
          <c:spPr>
            <a:solidFill>
              <a:srgbClr val="7B1314"/>
            </a:solidFill>
            <a:ln>
              <a:noFill/>
            </a:ln>
            <a:effectLst/>
          </c:spPr>
          <c:invertIfNegative val="0"/>
          <c:cat>
            <c:strRef>
              <c:f>Sensitivity!$AD$28:$AD$34</c:f>
              <c:strCache>
                <c:ptCount val="7"/>
                <c:pt idx="0">
                  <c:v>Capex Intensity</c:v>
                </c:pt>
                <c:pt idx="1">
                  <c:v>Terminal g</c:v>
                </c:pt>
                <c:pt idx="2">
                  <c:v>SG&amp;A Margin</c:v>
                </c:pt>
                <c:pt idx="3">
                  <c:v>WACC</c:v>
                </c:pt>
                <c:pt idx="4">
                  <c:v>COGS Margin</c:v>
                </c:pt>
                <c:pt idx="5">
                  <c:v>EBITDA Exit</c:v>
                </c:pt>
                <c:pt idx="6">
                  <c:v>Revenue Exit</c:v>
                </c:pt>
              </c:strCache>
            </c:strRef>
          </c:cat>
          <c:val>
            <c:numRef>
              <c:f>Sensitivity!$AK$28:$AK$34</c:f>
              <c:numCache>
                <c:formatCode>General</c:formatCode>
                <c:ptCount val="7"/>
                <c:pt idx="0">
                  <c:v>5.9999999999998721E-2</c:v>
                </c:pt>
                <c:pt idx="1">
                  <c:v>0.66000000000000014</c:v>
                </c:pt>
                <c:pt idx="2">
                  <c:v>1.1000000000000014</c:v>
                </c:pt>
                <c:pt idx="3">
                  <c:v>1.1400000000000006</c:v>
                </c:pt>
                <c:pt idx="4">
                  <c:v>1.9699999999999989</c:v>
                </c:pt>
                <c:pt idx="5">
                  <c:v>4.9600000000000009</c:v>
                </c:pt>
                <c:pt idx="6">
                  <c:v>16.77</c:v>
                </c:pt>
              </c:numCache>
            </c:numRef>
          </c:val>
          <c:extLst>
            <c:ext xmlns:c16="http://schemas.microsoft.com/office/drawing/2014/chart" uri="{C3380CC4-5D6E-409C-BE32-E72D297353CC}">
              <c16:uniqueId val="{00000001-A159-48F8-BF02-8287E1A6D51E}"/>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93387591256972E-2"/>
          <c:y val="7.8866461489268153E-2"/>
          <c:w val="0.89126506245542836"/>
          <c:h val="0.642440278721505"/>
        </c:manualLayout>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0.17581592535815022</c:v>
                </c:pt>
                <c:pt idx="1">
                  <c:v>0.19872845139651873</c:v>
                </c:pt>
                <c:pt idx="2">
                  <c:v>0.16326349010455257</c:v>
                </c:pt>
                <c:pt idx="3">
                  <c:v>0.16521357144782242</c:v>
                </c:pt>
                <c:pt idx="4">
                  <c:v>0.20735210211387742</c:v>
                </c:pt>
              </c:numCache>
            </c:numRef>
          </c:val>
          <c:smooth val="0"/>
          <c:extLst>
            <c:ext xmlns:c16="http://schemas.microsoft.com/office/drawing/2014/chart" uri="{C3380CC4-5D6E-409C-BE32-E72D297353CC}">
              <c16:uniqueId val="{00000000-A5B1-4B7A-ABE2-D56A1EFBD778}"/>
            </c:ext>
          </c:extLst>
        </c:ser>
        <c:ser>
          <c:idx val="1"/>
          <c:order val="1"/>
          <c:tx>
            <c:v>ROIC</c:v>
          </c:tx>
          <c:spPr>
            <a:ln w="28575" cap="rnd">
              <a:solidFill>
                <a:schemeClr val="accent1">
                  <a:lumMod val="60000"/>
                  <a:lumOff val="40000"/>
                </a:schemeClr>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0.18705402119828507</c:v>
                </c:pt>
                <c:pt idx="1">
                  <c:v>0.10866561753943899</c:v>
                </c:pt>
                <c:pt idx="2">
                  <c:v>0.14074006383763055</c:v>
                </c:pt>
                <c:pt idx="3">
                  <c:v>0.15571345583090157</c:v>
                </c:pt>
                <c:pt idx="4">
                  <c:v>0.15408386503176269</c:v>
                </c:pt>
              </c:numCache>
            </c:numRef>
          </c:val>
          <c:smooth val="0"/>
          <c:extLst>
            <c:ext xmlns:c16="http://schemas.microsoft.com/office/drawing/2014/chart" uri="{C3380CC4-5D6E-409C-BE32-E72D297353CC}">
              <c16:uniqueId val="{00000001-A5B1-4B7A-ABE2-D56A1EFBD778}"/>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Volume</c:v>
          </c:tx>
          <c:spPr>
            <a:solidFill>
              <a:schemeClr val="accent1">
                <a:lumMod val="20000"/>
                <a:lumOff val="80000"/>
              </a:schemeClr>
            </a:solidFill>
            <a:ln>
              <a:noFill/>
            </a:ln>
            <a:effectLst/>
          </c:spPr>
          <c:invertIfNegative val="0"/>
          <c:cat>
            <c:numRef>
              <c:f>'Stock Data'!$AM$4:$AM$1048</c:f>
              <c:numCache>
                <c:formatCode>m/d/yy;@</c:formatCode>
                <c:ptCount val="1045"/>
                <c:pt idx="0">
                  <c:v>45954</c:v>
                </c:pt>
                <c:pt idx="1">
                  <c:v>45953</c:v>
                </c:pt>
                <c:pt idx="2">
                  <c:v>45952</c:v>
                </c:pt>
                <c:pt idx="3">
                  <c:v>45951</c:v>
                </c:pt>
                <c:pt idx="4">
                  <c:v>45950</c:v>
                </c:pt>
                <c:pt idx="5">
                  <c:v>45949</c:v>
                </c:pt>
                <c:pt idx="6">
                  <c:v>45948</c:v>
                </c:pt>
                <c:pt idx="7">
                  <c:v>45947</c:v>
                </c:pt>
                <c:pt idx="8">
                  <c:v>45946</c:v>
                </c:pt>
                <c:pt idx="9">
                  <c:v>45945</c:v>
                </c:pt>
                <c:pt idx="10">
                  <c:v>45944</c:v>
                </c:pt>
                <c:pt idx="11">
                  <c:v>45943</c:v>
                </c:pt>
                <c:pt idx="12">
                  <c:v>45942</c:v>
                </c:pt>
                <c:pt idx="13">
                  <c:v>45941</c:v>
                </c:pt>
                <c:pt idx="14">
                  <c:v>45940</c:v>
                </c:pt>
                <c:pt idx="15">
                  <c:v>45939</c:v>
                </c:pt>
                <c:pt idx="16">
                  <c:v>45938</c:v>
                </c:pt>
                <c:pt idx="17">
                  <c:v>45937</c:v>
                </c:pt>
                <c:pt idx="18">
                  <c:v>45936</c:v>
                </c:pt>
                <c:pt idx="19">
                  <c:v>45935</c:v>
                </c:pt>
                <c:pt idx="20">
                  <c:v>45934</c:v>
                </c:pt>
                <c:pt idx="21">
                  <c:v>45933</c:v>
                </c:pt>
                <c:pt idx="22">
                  <c:v>45932</c:v>
                </c:pt>
                <c:pt idx="23">
                  <c:v>45931</c:v>
                </c:pt>
                <c:pt idx="24">
                  <c:v>45930</c:v>
                </c:pt>
                <c:pt idx="25">
                  <c:v>45929</c:v>
                </c:pt>
                <c:pt idx="26">
                  <c:v>45928</c:v>
                </c:pt>
                <c:pt idx="27">
                  <c:v>45927</c:v>
                </c:pt>
                <c:pt idx="28">
                  <c:v>45926</c:v>
                </c:pt>
                <c:pt idx="29">
                  <c:v>45925</c:v>
                </c:pt>
                <c:pt idx="30">
                  <c:v>45924</c:v>
                </c:pt>
                <c:pt idx="31">
                  <c:v>45923</c:v>
                </c:pt>
                <c:pt idx="32">
                  <c:v>45922</c:v>
                </c:pt>
                <c:pt idx="33">
                  <c:v>45921</c:v>
                </c:pt>
                <c:pt idx="34">
                  <c:v>45920</c:v>
                </c:pt>
                <c:pt idx="35">
                  <c:v>45919</c:v>
                </c:pt>
                <c:pt idx="36">
                  <c:v>45918</c:v>
                </c:pt>
                <c:pt idx="37">
                  <c:v>45917</c:v>
                </c:pt>
                <c:pt idx="38">
                  <c:v>45916</c:v>
                </c:pt>
                <c:pt idx="39">
                  <c:v>45915</c:v>
                </c:pt>
                <c:pt idx="40">
                  <c:v>45914</c:v>
                </c:pt>
                <c:pt idx="41">
                  <c:v>45913</c:v>
                </c:pt>
                <c:pt idx="42">
                  <c:v>45912</c:v>
                </c:pt>
                <c:pt idx="43">
                  <c:v>45911</c:v>
                </c:pt>
                <c:pt idx="44">
                  <c:v>45910</c:v>
                </c:pt>
                <c:pt idx="45">
                  <c:v>45909</c:v>
                </c:pt>
                <c:pt idx="46">
                  <c:v>45908</c:v>
                </c:pt>
                <c:pt idx="47">
                  <c:v>45907</c:v>
                </c:pt>
                <c:pt idx="48">
                  <c:v>45906</c:v>
                </c:pt>
                <c:pt idx="49">
                  <c:v>45905</c:v>
                </c:pt>
                <c:pt idx="50">
                  <c:v>45904</c:v>
                </c:pt>
                <c:pt idx="51">
                  <c:v>45903</c:v>
                </c:pt>
                <c:pt idx="52">
                  <c:v>45902</c:v>
                </c:pt>
                <c:pt idx="53">
                  <c:v>45901</c:v>
                </c:pt>
                <c:pt idx="54">
                  <c:v>45900</c:v>
                </c:pt>
                <c:pt idx="55">
                  <c:v>45899</c:v>
                </c:pt>
                <c:pt idx="56">
                  <c:v>45898</c:v>
                </c:pt>
                <c:pt idx="57">
                  <c:v>45897</c:v>
                </c:pt>
                <c:pt idx="58">
                  <c:v>45896</c:v>
                </c:pt>
                <c:pt idx="59">
                  <c:v>45895</c:v>
                </c:pt>
                <c:pt idx="60">
                  <c:v>45894</c:v>
                </c:pt>
                <c:pt idx="61">
                  <c:v>45893</c:v>
                </c:pt>
                <c:pt idx="62">
                  <c:v>45892</c:v>
                </c:pt>
                <c:pt idx="63">
                  <c:v>45891</c:v>
                </c:pt>
                <c:pt idx="64">
                  <c:v>45890</c:v>
                </c:pt>
                <c:pt idx="65">
                  <c:v>45889</c:v>
                </c:pt>
                <c:pt idx="66">
                  <c:v>45888</c:v>
                </c:pt>
                <c:pt idx="67">
                  <c:v>45887</c:v>
                </c:pt>
                <c:pt idx="68">
                  <c:v>45886</c:v>
                </c:pt>
                <c:pt idx="69">
                  <c:v>45885</c:v>
                </c:pt>
                <c:pt idx="70">
                  <c:v>45884</c:v>
                </c:pt>
                <c:pt idx="71">
                  <c:v>45883</c:v>
                </c:pt>
                <c:pt idx="72">
                  <c:v>45882</c:v>
                </c:pt>
                <c:pt idx="73">
                  <c:v>45881</c:v>
                </c:pt>
                <c:pt idx="74">
                  <c:v>45880</c:v>
                </c:pt>
                <c:pt idx="75">
                  <c:v>45879</c:v>
                </c:pt>
                <c:pt idx="76">
                  <c:v>45878</c:v>
                </c:pt>
                <c:pt idx="77">
                  <c:v>45877</c:v>
                </c:pt>
                <c:pt idx="78">
                  <c:v>45876</c:v>
                </c:pt>
                <c:pt idx="79">
                  <c:v>45875</c:v>
                </c:pt>
                <c:pt idx="80">
                  <c:v>45874</c:v>
                </c:pt>
                <c:pt idx="81">
                  <c:v>45873</c:v>
                </c:pt>
                <c:pt idx="82">
                  <c:v>45872</c:v>
                </c:pt>
                <c:pt idx="83">
                  <c:v>45871</c:v>
                </c:pt>
                <c:pt idx="84">
                  <c:v>45870</c:v>
                </c:pt>
                <c:pt idx="85">
                  <c:v>45869</c:v>
                </c:pt>
                <c:pt idx="86">
                  <c:v>45868</c:v>
                </c:pt>
                <c:pt idx="87">
                  <c:v>45867</c:v>
                </c:pt>
                <c:pt idx="88">
                  <c:v>45866</c:v>
                </c:pt>
                <c:pt idx="89">
                  <c:v>45865</c:v>
                </c:pt>
                <c:pt idx="90">
                  <c:v>45864</c:v>
                </c:pt>
                <c:pt idx="91">
                  <c:v>45863</c:v>
                </c:pt>
                <c:pt idx="92">
                  <c:v>45862</c:v>
                </c:pt>
                <c:pt idx="93">
                  <c:v>45861</c:v>
                </c:pt>
                <c:pt idx="94">
                  <c:v>45860</c:v>
                </c:pt>
                <c:pt idx="95">
                  <c:v>45859</c:v>
                </c:pt>
                <c:pt idx="96">
                  <c:v>45858</c:v>
                </c:pt>
                <c:pt idx="97">
                  <c:v>45857</c:v>
                </c:pt>
                <c:pt idx="98">
                  <c:v>45856</c:v>
                </c:pt>
                <c:pt idx="99">
                  <c:v>45855</c:v>
                </c:pt>
                <c:pt idx="100">
                  <c:v>45854</c:v>
                </c:pt>
                <c:pt idx="101">
                  <c:v>45853</c:v>
                </c:pt>
                <c:pt idx="102">
                  <c:v>45852</c:v>
                </c:pt>
                <c:pt idx="103">
                  <c:v>45851</c:v>
                </c:pt>
                <c:pt idx="104">
                  <c:v>45850</c:v>
                </c:pt>
                <c:pt idx="105">
                  <c:v>45849</c:v>
                </c:pt>
                <c:pt idx="106">
                  <c:v>45848</c:v>
                </c:pt>
                <c:pt idx="107">
                  <c:v>45847</c:v>
                </c:pt>
                <c:pt idx="108">
                  <c:v>45846</c:v>
                </c:pt>
                <c:pt idx="109">
                  <c:v>45845</c:v>
                </c:pt>
                <c:pt idx="110">
                  <c:v>45844</c:v>
                </c:pt>
                <c:pt idx="111">
                  <c:v>45843</c:v>
                </c:pt>
                <c:pt idx="112">
                  <c:v>45842</c:v>
                </c:pt>
                <c:pt idx="113">
                  <c:v>45841</c:v>
                </c:pt>
                <c:pt idx="114">
                  <c:v>45840</c:v>
                </c:pt>
                <c:pt idx="115">
                  <c:v>45839</c:v>
                </c:pt>
                <c:pt idx="116">
                  <c:v>45838</c:v>
                </c:pt>
                <c:pt idx="117">
                  <c:v>45837</c:v>
                </c:pt>
                <c:pt idx="118">
                  <c:v>45836</c:v>
                </c:pt>
                <c:pt idx="119">
                  <c:v>45835</c:v>
                </c:pt>
                <c:pt idx="120">
                  <c:v>45834</c:v>
                </c:pt>
                <c:pt idx="121">
                  <c:v>45833</c:v>
                </c:pt>
                <c:pt idx="122">
                  <c:v>45832</c:v>
                </c:pt>
                <c:pt idx="123">
                  <c:v>45831</c:v>
                </c:pt>
                <c:pt idx="124">
                  <c:v>45830</c:v>
                </c:pt>
                <c:pt idx="125">
                  <c:v>45829</c:v>
                </c:pt>
                <c:pt idx="126">
                  <c:v>45828</c:v>
                </c:pt>
                <c:pt idx="127">
                  <c:v>45827</c:v>
                </c:pt>
                <c:pt idx="128">
                  <c:v>45826</c:v>
                </c:pt>
                <c:pt idx="129">
                  <c:v>45825</c:v>
                </c:pt>
                <c:pt idx="130">
                  <c:v>45824</c:v>
                </c:pt>
                <c:pt idx="131">
                  <c:v>45823</c:v>
                </c:pt>
                <c:pt idx="132">
                  <c:v>45822</c:v>
                </c:pt>
                <c:pt idx="133">
                  <c:v>45821</c:v>
                </c:pt>
                <c:pt idx="134">
                  <c:v>45820</c:v>
                </c:pt>
                <c:pt idx="135">
                  <c:v>45819</c:v>
                </c:pt>
                <c:pt idx="136">
                  <c:v>45818</c:v>
                </c:pt>
                <c:pt idx="137">
                  <c:v>45817</c:v>
                </c:pt>
                <c:pt idx="138">
                  <c:v>45816</c:v>
                </c:pt>
                <c:pt idx="139">
                  <c:v>45815</c:v>
                </c:pt>
                <c:pt idx="140">
                  <c:v>45814</c:v>
                </c:pt>
                <c:pt idx="141">
                  <c:v>45813</c:v>
                </c:pt>
                <c:pt idx="142">
                  <c:v>45812</c:v>
                </c:pt>
                <c:pt idx="143">
                  <c:v>45811</c:v>
                </c:pt>
                <c:pt idx="144">
                  <c:v>45810</c:v>
                </c:pt>
                <c:pt idx="145">
                  <c:v>45809</c:v>
                </c:pt>
                <c:pt idx="146">
                  <c:v>45808</c:v>
                </c:pt>
                <c:pt idx="147">
                  <c:v>45807</c:v>
                </c:pt>
                <c:pt idx="148">
                  <c:v>45806</c:v>
                </c:pt>
                <c:pt idx="149">
                  <c:v>45805</c:v>
                </c:pt>
                <c:pt idx="150">
                  <c:v>45804</c:v>
                </c:pt>
                <c:pt idx="151">
                  <c:v>45803</c:v>
                </c:pt>
                <c:pt idx="152">
                  <c:v>45802</c:v>
                </c:pt>
                <c:pt idx="153">
                  <c:v>45801</c:v>
                </c:pt>
                <c:pt idx="154">
                  <c:v>45800</c:v>
                </c:pt>
                <c:pt idx="155">
                  <c:v>45799</c:v>
                </c:pt>
                <c:pt idx="156">
                  <c:v>45798</c:v>
                </c:pt>
                <c:pt idx="157">
                  <c:v>45797</c:v>
                </c:pt>
                <c:pt idx="158">
                  <c:v>45796</c:v>
                </c:pt>
                <c:pt idx="159">
                  <c:v>45795</c:v>
                </c:pt>
                <c:pt idx="160">
                  <c:v>45794</c:v>
                </c:pt>
                <c:pt idx="161">
                  <c:v>45793</c:v>
                </c:pt>
                <c:pt idx="162">
                  <c:v>45792</c:v>
                </c:pt>
                <c:pt idx="163">
                  <c:v>45791</c:v>
                </c:pt>
                <c:pt idx="164">
                  <c:v>45790</c:v>
                </c:pt>
                <c:pt idx="165">
                  <c:v>45789</c:v>
                </c:pt>
                <c:pt idx="166">
                  <c:v>45788</c:v>
                </c:pt>
                <c:pt idx="167">
                  <c:v>45787</c:v>
                </c:pt>
                <c:pt idx="168">
                  <c:v>45786</c:v>
                </c:pt>
                <c:pt idx="169">
                  <c:v>45785</c:v>
                </c:pt>
                <c:pt idx="170">
                  <c:v>45784</c:v>
                </c:pt>
                <c:pt idx="171">
                  <c:v>45783</c:v>
                </c:pt>
                <c:pt idx="172">
                  <c:v>45782</c:v>
                </c:pt>
                <c:pt idx="173">
                  <c:v>45781</c:v>
                </c:pt>
                <c:pt idx="174">
                  <c:v>45780</c:v>
                </c:pt>
                <c:pt idx="175">
                  <c:v>45779</c:v>
                </c:pt>
                <c:pt idx="176">
                  <c:v>45778</c:v>
                </c:pt>
                <c:pt idx="177">
                  <c:v>45777</c:v>
                </c:pt>
                <c:pt idx="178">
                  <c:v>45776</c:v>
                </c:pt>
                <c:pt idx="179">
                  <c:v>45775</c:v>
                </c:pt>
                <c:pt idx="180">
                  <c:v>45774</c:v>
                </c:pt>
                <c:pt idx="181">
                  <c:v>45773</c:v>
                </c:pt>
                <c:pt idx="182">
                  <c:v>45772</c:v>
                </c:pt>
                <c:pt idx="183">
                  <c:v>45771</c:v>
                </c:pt>
                <c:pt idx="184">
                  <c:v>45770</c:v>
                </c:pt>
                <c:pt idx="185">
                  <c:v>45769</c:v>
                </c:pt>
                <c:pt idx="186">
                  <c:v>45768</c:v>
                </c:pt>
                <c:pt idx="187">
                  <c:v>45767</c:v>
                </c:pt>
                <c:pt idx="188">
                  <c:v>45766</c:v>
                </c:pt>
                <c:pt idx="189">
                  <c:v>45765</c:v>
                </c:pt>
                <c:pt idx="190">
                  <c:v>45764</c:v>
                </c:pt>
                <c:pt idx="191">
                  <c:v>45763</c:v>
                </c:pt>
                <c:pt idx="192">
                  <c:v>45762</c:v>
                </c:pt>
                <c:pt idx="193">
                  <c:v>45761</c:v>
                </c:pt>
                <c:pt idx="194">
                  <c:v>45760</c:v>
                </c:pt>
                <c:pt idx="195">
                  <c:v>45759</c:v>
                </c:pt>
                <c:pt idx="196">
                  <c:v>45758</c:v>
                </c:pt>
                <c:pt idx="197">
                  <c:v>45757</c:v>
                </c:pt>
                <c:pt idx="198">
                  <c:v>45756</c:v>
                </c:pt>
                <c:pt idx="199">
                  <c:v>45755</c:v>
                </c:pt>
                <c:pt idx="200">
                  <c:v>45754</c:v>
                </c:pt>
                <c:pt idx="201">
                  <c:v>45753</c:v>
                </c:pt>
                <c:pt idx="202">
                  <c:v>45752</c:v>
                </c:pt>
                <c:pt idx="203">
                  <c:v>45751</c:v>
                </c:pt>
                <c:pt idx="204">
                  <c:v>45750</c:v>
                </c:pt>
                <c:pt idx="205">
                  <c:v>45749</c:v>
                </c:pt>
                <c:pt idx="206">
                  <c:v>45748</c:v>
                </c:pt>
                <c:pt idx="207">
                  <c:v>45747</c:v>
                </c:pt>
                <c:pt idx="208">
                  <c:v>45746</c:v>
                </c:pt>
                <c:pt idx="209">
                  <c:v>45745</c:v>
                </c:pt>
                <c:pt idx="210">
                  <c:v>45744</c:v>
                </c:pt>
                <c:pt idx="211">
                  <c:v>45743</c:v>
                </c:pt>
                <c:pt idx="212">
                  <c:v>45742</c:v>
                </c:pt>
                <c:pt idx="213">
                  <c:v>45741</c:v>
                </c:pt>
                <c:pt idx="214">
                  <c:v>45740</c:v>
                </c:pt>
                <c:pt idx="215">
                  <c:v>45739</c:v>
                </c:pt>
                <c:pt idx="216">
                  <c:v>45738</c:v>
                </c:pt>
                <c:pt idx="217">
                  <c:v>45737</c:v>
                </c:pt>
                <c:pt idx="218">
                  <c:v>45736</c:v>
                </c:pt>
                <c:pt idx="219">
                  <c:v>45735</c:v>
                </c:pt>
                <c:pt idx="220">
                  <c:v>45734</c:v>
                </c:pt>
                <c:pt idx="221">
                  <c:v>45733</c:v>
                </c:pt>
                <c:pt idx="222">
                  <c:v>45732</c:v>
                </c:pt>
                <c:pt idx="223">
                  <c:v>45731</c:v>
                </c:pt>
                <c:pt idx="224">
                  <c:v>45730</c:v>
                </c:pt>
                <c:pt idx="225">
                  <c:v>45729</c:v>
                </c:pt>
                <c:pt idx="226">
                  <c:v>45728</c:v>
                </c:pt>
                <c:pt idx="227">
                  <c:v>45727</c:v>
                </c:pt>
                <c:pt idx="228">
                  <c:v>45726</c:v>
                </c:pt>
                <c:pt idx="229">
                  <c:v>45725</c:v>
                </c:pt>
                <c:pt idx="230">
                  <c:v>45724</c:v>
                </c:pt>
                <c:pt idx="231">
                  <c:v>45723</c:v>
                </c:pt>
                <c:pt idx="232">
                  <c:v>45722</c:v>
                </c:pt>
                <c:pt idx="233">
                  <c:v>45721</c:v>
                </c:pt>
                <c:pt idx="234">
                  <c:v>45720</c:v>
                </c:pt>
                <c:pt idx="235">
                  <c:v>45719</c:v>
                </c:pt>
                <c:pt idx="236">
                  <c:v>45718</c:v>
                </c:pt>
                <c:pt idx="237">
                  <c:v>45717</c:v>
                </c:pt>
                <c:pt idx="238">
                  <c:v>45716</c:v>
                </c:pt>
                <c:pt idx="239">
                  <c:v>45715</c:v>
                </c:pt>
                <c:pt idx="240">
                  <c:v>45714</c:v>
                </c:pt>
                <c:pt idx="241">
                  <c:v>45713</c:v>
                </c:pt>
                <c:pt idx="242">
                  <c:v>45712</c:v>
                </c:pt>
                <c:pt idx="243">
                  <c:v>45711</c:v>
                </c:pt>
                <c:pt idx="244">
                  <c:v>45710</c:v>
                </c:pt>
                <c:pt idx="245">
                  <c:v>45709</c:v>
                </c:pt>
                <c:pt idx="246">
                  <c:v>45708</c:v>
                </c:pt>
                <c:pt idx="247">
                  <c:v>45707</c:v>
                </c:pt>
                <c:pt idx="248">
                  <c:v>45706</c:v>
                </c:pt>
                <c:pt idx="249">
                  <c:v>45705</c:v>
                </c:pt>
                <c:pt idx="250">
                  <c:v>45704</c:v>
                </c:pt>
                <c:pt idx="251">
                  <c:v>45703</c:v>
                </c:pt>
                <c:pt idx="252">
                  <c:v>45702</c:v>
                </c:pt>
                <c:pt idx="253">
                  <c:v>45701</c:v>
                </c:pt>
                <c:pt idx="254">
                  <c:v>45700</c:v>
                </c:pt>
                <c:pt idx="255">
                  <c:v>45699</c:v>
                </c:pt>
                <c:pt idx="256">
                  <c:v>45698</c:v>
                </c:pt>
                <c:pt idx="257">
                  <c:v>45697</c:v>
                </c:pt>
                <c:pt idx="258">
                  <c:v>45696</c:v>
                </c:pt>
                <c:pt idx="259">
                  <c:v>45695</c:v>
                </c:pt>
                <c:pt idx="260">
                  <c:v>45694</c:v>
                </c:pt>
                <c:pt idx="261">
                  <c:v>45693</c:v>
                </c:pt>
                <c:pt idx="262">
                  <c:v>45692</c:v>
                </c:pt>
                <c:pt idx="263">
                  <c:v>45691</c:v>
                </c:pt>
                <c:pt idx="264">
                  <c:v>45690</c:v>
                </c:pt>
                <c:pt idx="265">
                  <c:v>45689</c:v>
                </c:pt>
                <c:pt idx="266">
                  <c:v>45688</c:v>
                </c:pt>
                <c:pt idx="267">
                  <c:v>45687</c:v>
                </c:pt>
                <c:pt idx="268">
                  <c:v>45686</c:v>
                </c:pt>
                <c:pt idx="269">
                  <c:v>45685</c:v>
                </c:pt>
                <c:pt idx="270">
                  <c:v>45684</c:v>
                </c:pt>
                <c:pt idx="271">
                  <c:v>45683</c:v>
                </c:pt>
                <c:pt idx="272">
                  <c:v>45682</c:v>
                </c:pt>
                <c:pt idx="273">
                  <c:v>45681</c:v>
                </c:pt>
                <c:pt idx="274">
                  <c:v>45680</c:v>
                </c:pt>
                <c:pt idx="275">
                  <c:v>45679</c:v>
                </c:pt>
                <c:pt idx="276">
                  <c:v>45678</c:v>
                </c:pt>
                <c:pt idx="277">
                  <c:v>45677</c:v>
                </c:pt>
                <c:pt idx="278">
                  <c:v>45676</c:v>
                </c:pt>
                <c:pt idx="279">
                  <c:v>45675</c:v>
                </c:pt>
                <c:pt idx="280">
                  <c:v>45674</c:v>
                </c:pt>
                <c:pt idx="281">
                  <c:v>45673</c:v>
                </c:pt>
                <c:pt idx="282">
                  <c:v>45672</c:v>
                </c:pt>
                <c:pt idx="283">
                  <c:v>45671</c:v>
                </c:pt>
                <c:pt idx="284">
                  <c:v>45670</c:v>
                </c:pt>
                <c:pt idx="285">
                  <c:v>45669</c:v>
                </c:pt>
                <c:pt idx="286">
                  <c:v>45668</c:v>
                </c:pt>
                <c:pt idx="287">
                  <c:v>45667</c:v>
                </c:pt>
                <c:pt idx="288">
                  <c:v>45666</c:v>
                </c:pt>
                <c:pt idx="289">
                  <c:v>45665</c:v>
                </c:pt>
                <c:pt idx="290">
                  <c:v>45664</c:v>
                </c:pt>
                <c:pt idx="291">
                  <c:v>45663</c:v>
                </c:pt>
                <c:pt idx="292">
                  <c:v>45662</c:v>
                </c:pt>
                <c:pt idx="293">
                  <c:v>45661</c:v>
                </c:pt>
                <c:pt idx="294">
                  <c:v>45660</c:v>
                </c:pt>
                <c:pt idx="295">
                  <c:v>45659</c:v>
                </c:pt>
                <c:pt idx="296">
                  <c:v>45658</c:v>
                </c:pt>
                <c:pt idx="297">
                  <c:v>45657</c:v>
                </c:pt>
                <c:pt idx="298">
                  <c:v>45656</c:v>
                </c:pt>
                <c:pt idx="299">
                  <c:v>45655</c:v>
                </c:pt>
                <c:pt idx="300">
                  <c:v>45654</c:v>
                </c:pt>
                <c:pt idx="301">
                  <c:v>45653</c:v>
                </c:pt>
                <c:pt idx="302">
                  <c:v>45652</c:v>
                </c:pt>
                <c:pt idx="303">
                  <c:v>45651</c:v>
                </c:pt>
                <c:pt idx="304">
                  <c:v>45650</c:v>
                </c:pt>
                <c:pt idx="305">
                  <c:v>45649</c:v>
                </c:pt>
                <c:pt idx="306">
                  <c:v>45648</c:v>
                </c:pt>
                <c:pt idx="307">
                  <c:v>45647</c:v>
                </c:pt>
                <c:pt idx="308">
                  <c:v>45646</c:v>
                </c:pt>
                <c:pt idx="309">
                  <c:v>45645</c:v>
                </c:pt>
                <c:pt idx="310">
                  <c:v>45644</c:v>
                </c:pt>
                <c:pt idx="311">
                  <c:v>45643</c:v>
                </c:pt>
                <c:pt idx="312">
                  <c:v>45642</c:v>
                </c:pt>
                <c:pt idx="313">
                  <c:v>45641</c:v>
                </c:pt>
                <c:pt idx="314">
                  <c:v>45640</c:v>
                </c:pt>
                <c:pt idx="315">
                  <c:v>45639</c:v>
                </c:pt>
                <c:pt idx="316">
                  <c:v>45638</c:v>
                </c:pt>
                <c:pt idx="317">
                  <c:v>45637</c:v>
                </c:pt>
                <c:pt idx="318">
                  <c:v>45636</c:v>
                </c:pt>
                <c:pt idx="319">
                  <c:v>45635</c:v>
                </c:pt>
                <c:pt idx="320">
                  <c:v>45634</c:v>
                </c:pt>
                <c:pt idx="321">
                  <c:v>45633</c:v>
                </c:pt>
                <c:pt idx="322">
                  <c:v>45632</c:v>
                </c:pt>
                <c:pt idx="323">
                  <c:v>45631</c:v>
                </c:pt>
                <c:pt idx="324">
                  <c:v>45630</c:v>
                </c:pt>
                <c:pt idx="325">
                  <c:v>45629</c:v>
                </c:pt>
                <c:pt idx="326">
                  <c:v>45628</c:v>
                </c:pt>
                <c:pt idx="327">
                  <c:v>45627</c:v>
                </c:pt>
                <c:pt idx="328">
                  <c:v>45626</c:v>
                </c:pt>
                <c:pt idx="329">
                  <c:v>45625</c:v>
                </c:pt>
                <c:pt idx="330">
                  <c:v>45624</c:v>
                </c:pt>
                <c:pt idx="331">
                  <c:v>45623</c:v>
                </c:pt>
                <c:pt idx="332">
                  <c:v>45622</c:v>
                </c:pt>
                <c:pt idx="333">
                  <c:v>45621</c:v>
                </c:pt>
                <c:pt idx="334">
                  <c:v>45620</c:v>
                </c:pt>
                <c:pt idx="335">
                  <c:v>45619</c:v>
                </c:pt>
                <c:pt idx="336">
                  <c:v>45618</c:v>
                </c:pt>
                <c:pt idx="337">
                  <c:v>45617</c:v>
                </c:pt>
                <c:pt idx="338">
                  <c:v>45616</c:v>
                </c:pt>
                <c:pt idx="339">
                  <c:v>45615</c:v>
                </c:pt>
                <c:pt idx="340">
                  <c:v>45614</c:v>
                </c:pt>
                <c:pt idx="341">
                  <c:v>45613</c:v>
                </c:pt>
                <c:pt idx="342">
                  <c:v>45612</c:v>
                </c:pt>
                <c:pt idx="343">
                  <c:v>45611</c:v>
                </c:pt>
                <c:pt idx="344">
                  <c:v>45610</c:v>
                </c:pt>
                <c:pt idx="345">
                  <c:v>45609</c:v>
                </c:pt>
                <c:pt idx="346">
                  <c:v>45608</c:v>
                </c:pt>
                <c:pt idx="347">
                  <c:v>45607</c:v>
                </c:pt>
                <c:pt idx="348">
                  <c:v>45606</c:v>
                </c:pt>
                <c:pt idx="349">
                  <c:v>45605</c:v>
                </c:pt>
                <c:pt idx="350">
                  <c:v>45604</c:v>
                </c:pt>
                <c:pt idx="351">
                  <c:v>45603</c:v>
                </c:pt>
                <c:pt idx="352">
                  <c:v>45602</c:v>
                </c:pt>
                <c:pt idx="353">
                  <c:v>45601</c:v>
                </c:pt>
                <c:pt idx="354">
                  <c:v>45600</c:v>
                </c:pt>
                <c:pt idx="355">
                  <c:v>45599</c:v>
                </c:pt>
                <c:pt idx="356">
                  <c:v>45598</c:v>
                </c:pt>
                <c:pt idx="357">
                  <c:v>45597</c:v>
                </c:pt>
                <c:pt idx="358">
                  <c:v>45596</c:v>
                </c:pt>
                <c:pt idx="359">
                  <c:v>45595</c:v>
                </c:pt>
                <c:pt idx="360">
                  <c:v>45594</c:v>
                </c:pt>
                <c:pt idx="361">
                  <c:v>45593</c:v>
                </c:pt>
                <c:pt idx="362">
                  <c:v>45592</c:v>
                </c:pt>
                <c:pt idx="363">
                  <c:v>45591</c:v>
                </c:pt>
                <c:pt idx="364">
                  <c:v>45590</c:v>
                </c:pt>
                <c:pt idx="365">
                  <c:v>45589</c:v>
                </c:pt>
                <c:pt idx="366">
                  <c:v>45588</c:v>
                </c:pt>
                <c:pt idx="367">
                  <c:v>45587</c:v>
                </c:pt>
                <c:pt idx="368">
                  <c:v>45586</c:v>
                </c:pt>
                <c:pt idx="369">
                  <c:v>45585</c:v>
                </c:pt>
                <c:pt idx="370">
                  <c:v>45584</c:v>
                </c:pt>
                <c:pt idx="371">
                  <c:v>45583</c:v>
                </c:pt>
                <c:pt idx="372">
                  <c:v>45582</c:v>
                </c:pt>
                <c:pt idx="373">
                  <c:v>45581</c:v>
                </c:pt>
                <c:pt idx="374">
                  <c:v>45580</c:v>
                </c:pt>
                <c:pt idx="375">
                  <c:v>45579</c:v>
                </c:pt>
                <c:pt idx="376">
                  <c:v>45578</c:v>
                </c:pt>
                <c:pt idx="377">
                  <c:v>45577</c:v>
                </c:pt>
                <c:pt idx="378">
                  <c:v>45576</c:v>
                </c:pt>
                <c:pt idx="379">
                  <c:v>45575</c:v>
                </c:pt>
                <c:pt idx="380">
                  <c:v>45574</c:v>
                </c:pt>
                <c:pt idx="381">
                  <c:v>45573</c:v>
                </c:pt>
                <c:pt idx="382">
                  <c:v>45572</c:v>
                </c:pt>
                <c:pt idx="383">
                  <c:v>45571</c:v>
                </c:pt>
                <c:pt idx="384">
                  <c:v>45570</c:v>
                </c:pt>
                <c:pt idx="385">
                  <c:v>45569</c:v>
                </c:pt>
                <c:pt idx="386">
                  <c:v>45568</c:v>
                </c:pt>
                <c:pt idx="387">
                  <c:v>45567</c:v>
                </c:pt>
                <c:pt idx="388">
                  <c:v>45566</c:v>
                </c:pt>
                <c:pt idx="389">
                  <c:v>45565</c:v>
                </c:pt>
                <c:pt idx="390">
                  <c:v>45564</c:v>
                </c:pt>
                <c:pt idx="391">
                  <c:v>45563</c:v>
                </c:pt>
                <c:pt idx="392">
                  <c:v>45562</c:v>
                </c:pt>
                <c:pt idx="393">
                  <c:v>45561</c:v>
                </c:pt>
                <c:pt idx="394">
                  <c:v>45560</c:v>
                </c:pt>
                <c:pt idx="395">
                  <c:v>45559</c:v>
                </c:pt>
                <c:pt idx="396">
                  <c:v>45558</c:v>
                </c:pt>
                <c:pt idx="397">
                  <c:v>45557</c:v>
                </c:pt>
                <c:pt idx="398">
                  <c:v>45556</c:v>
                </c:pt>
                <c:pt idx="399">
                  <c:v>45555</c:v>
                </c:pt>
                <c:pt idx="400">
                  <c:v>45554</c:v>
                </c:pt>
                <c:pt idx="401">
                  <c:v>45553</c:v>
                </c:pt>
                <c:pt idx="402">
                  <c:v>45552</c:v>
                </c:pt>
                <c:pt idx="403">
                  <c:v>45551</c:v>
                </c:pt>
                <c:pt idx="404">
                  <c:v>45550</c:v>
                </c:pt>
                <c:pt idx="405">
                  <c:v>45549</c:v>
                </c:pt>
                <c:pt idx="406">
                  <c:v>45548</c:v>
                </c:pt>
                <c:pt idx="407">
                  <c:v>45547</c:v>
                </c:pt>
                <c:pt idx="408">
                  <c:v>45546</c:v>
                </c:pt>
                <c:pt idx="409">
                  <c:v>45545</c:v>
                </c:pt>
                <c:pt idx="410">
                  <c:v>45544</c:v>
                </c:pt>
                <c:pt idx="411">
                  <c:v>45543</c:v>
                </c:pt>
                <c:pt idx="412">
                  <c:v>45542</c:v>
                </c:pt>
                <c:pt idx="413">
                  <c:v>45541</c:v>
                </c:pt>
                <c:pt idx="414">
                  <c:v>45540</c:v>
                </c:pt>
                <c:pt idx="415">
                  <c:v>45539</c:v>
                </c:pt>
                <c:pt idx="416">
                  <c:v>45538</c:v>
                </c:pt>
                <c:pt idx="417">
                  <c:v>45537</c:v>
                </c:pt>
                <c:pt idx="418">
                  <c:v>45536</c:v>
                </c:pt>
                <c:pt idx="419">
                  <c:v>45535</c:v>
                </c:pt>
                <c:pt idx="420">
                  <c:v>45534</c:v>
                </c:pt>
                <c:pt idx="421">
                  <c:v>45533</c:v>
                </c:pt>
                <c:pt idx="422">
                  <c:v>45532</c:v>
                </c:pt>
                <c:pt idx="423">
                  <c:v>45531</c:v>
                </c:pt>
                <c:pt idx="424">
                  <c:v>45530</c:v>
                </c:pt>
                <c:pt idx="425">
                  <c:v>45529</c:v>
                </c:pt>
                <c:pt idx="426">
                  <c:v>45528</c:v>
                </c:pt>
                <c:pt idx="427">
                  <c:v>45527</c:v>
                </c:pt>
                <c:pt idx="428">
                  <c:v>45526</c:v>
                </c:pt>
                <c:pt idx="429">
                  <c:v>45525</c:v>
                </c:pt>
                <c:pt idx="430">
                  <c:v>45524</c:v>
                </c:pt>
                <c:pt idx="431">
                  <c:v>45523</c:v>
                </c:pt>
                <c:pt idx="432">
                  <c:v>45522</c:v>
                </c:pt>
                <c:pt idx="433">
                  <c:v>45521</c:v>
                </c:pt>
                <c:pt idx="434">
                  <c:v>45520</c:v>
                </c:pt>
                <c:pt idx="435">
                  <c:v>45519</c:v>
                </c:pt>
                <c:pt idx="436">
                  <c:v>45518</c:v>
                </c:pt>
                <c:pt idx="437">
                  <c:v>45517</c:v>
                </c:pt>
                <c:pt idx="438">
                  <c:v>45516</c:v>
                </c:pt>
                <c:pt idx="439">
                  <c:v>45515</c:v>
                </c:pt>
                <c:pt idx="440">
                  <c:v>45514</c:v>
                </c:pt>
                <c:pt idx="441">
                  <c:v>45513</c:v>
                </c:pt>
                <c:pt idx="442">
                  <c:v>45512</c:v>
                </c:pt>
                <c:pt idx="443">
                  <c:v>45511</c:v>
                </c:pt>
                <c:pt idx="444">
                  <c:v>45510</c:v>
                </c:pt>
                <c:pt idx="445">
                  <c:v>45509</c:v>
                </c:pt>
                <c:pt idx="446">
                  <c:v>45508</c:v>
                </c:pt>
                <c:pt idx="447">
                  <c:v>45507</c:v>
                </c:pt>
                <c:pt idx="448">
                  <c:v>45506</c:v>
                </c:pt>
                <c:pt idx="449">
                  <c:v>45505</c:v>
                </c:pt>
                <c:pt idx="450">
                  <c:v>45504</c:v>
                </c:pt>
                <c:pt idx="451">
                  <c:v>45503</c:v>
                </c:pt>
                <c:pt idx="452">
                  <c:v>45502</c:v>
                </c:pt>
                <c:pt idx="453">
                  <c:v>45501</c:v>
                </c:pt>
                <c:pt idx="454">
                  <c:v>45500</c:v>
                </c:pt>
                <c:pt idx="455">
                  <c:v>45499</c:v>
                </c:pt>
                <c:pt idx="456">
                  <c:v>45498</c:v>
                </c:pt>
                <c:pt idx="457">
                  <c:v>45497</c:v>
                </c:pt>
                <c:pt idx="458">
                  <c:v>45496</c:v>
                </c:pt>
                <c:pt idx="459">
                  <c:v>45495</c:v>
                </c:pt>
                <c:pt idx="460">
                  <c:v>45494</c:v>
                </c:pt>
                <c:pt idx="461">
                  <c:v>45493</c:v>
                </c:pt>
                <c:pt idx="462">
                  <c:v>45492</c:v>
                </c:pt>
                <c:pt idx="463">
                  <c:v>45491</c:v>
                </c:pt>
                <c:pt idx="464">
                  <c:v>45490</c:v>
                </c:pt>
                <c:pt idx="465">
                  <c:v>45489</c:v>
                </c:pt>
                <c:pt idx="466">
                  <c:v>45488</c:v>
                </c:pt>
                <c:pt idx="467">
                  <c:v>45487</c:v>
                </c:pt>
                <c:pt idx="468">
                  <c:v>45486</c:v>
                </c:pt>
                <c:pt idx="469">
                  <c:v>45485</c:v>
                </c:pt>
                <c:pt idx="470">
                  <c:v>45484</c:v>
                </c:pt>
                <c:pt idx="471">
                  <c:v>45483</c:v>
                </c:pt>
                <c:pt idx="472">
                  <c:v>45482</c:v>
                </c:pt>
                <c:pt idx="473">
                  <c:v>45481</c:v>
                </c:pt>
                <c:pt idx="474">
                  <c:v>45480</c:v>
                </c:pt>
                <c:pt idx="475">
                  <c:v>45479</c:v>
                </c:pt>
                <c:pt idx="476">
                  <c:v>45478</c:v>
                </c:pt>
                <c:pt idx="477">
                  <c:v>45477</c:v>
                </c:pt>
                <c:pt idx="478">
                  <c:v>45476</c:v>
                </c:pt>
                <c:pt idx="479">
                  <c:v>45475</c:v>
                </c:pt>
                <c:pt idx="480">
                  <c:v>45474</c:v>
                </c:pt>
                <c:pt idx="481">
                  <c:v>45473</c:v>
                </c:pt>
                <c:pt idx="482">
                  <c:v>45472</c:v>
                </c:pt>
                <c:pt idx="483">
                  <c:v>45471</c:v>
                </c:pt>
                <c:pt idx="484">
                  <c:v>45470</c:v>
                </c:pt>
                <c:pt idx="485">
                  <c:v>45469</c:v>
                </c:pt>
                <c:pt idx="486">
                  <c:v>45468</c:v>
                </c:pt>
                <c:pt idx="487">
                  <c:v>45467</c:v>
                </c:pt>
                <c:pt idx="488">
                  <c:v>45466</c:v>
                </c:pt>
                <c:pt idx="489">
                  <c:v>45465</c:v>
                </c:pt>
                <c:pt idx="490">
                  <c:v>45464</c:v>
                </c:pt>
                <c:pt idx="491">
                  <c:v>45463</c:v>
                </c:pt>
                <c:pt idx="492">
                  <c:v>45462</c:v>
                </c:pt>
                <c:pt idx="493">
                  <c:v>45461</c:v>
                </c:pt>
                <c:pt idx="494">
                  <c:v>45460</c:v>
                </c:pt>
                <c:pt idx="495">
                  <c:v>45459</c:v>
                </c:pt>
                <c:pt idx="496">
                  <c:v>45458</c:v>
                </c:pt>
                <c:pt idx="497">
                  <c:v>45457</c:v>
                </c:pt>
                <c:pt idx="498">
                  <c:v>45456</c:v>
                </c:pt>
                <c:pt idx="499">
                  <c:v>45455</c:v>
                </c:pt>
                <c:pt idx="500">
                  <c:v>45454</c:v>
                </c:pt>
                <c:pt idx="501">
                  <c:v>45453</c:v>
                </c:pt>
                <c:pt idx="502">
                  <c:v>45452</c:v>
                </c:pt>
                <c:pt idx="503">
                  <c:v>45451</c:v>
                </c:pt>
                <c:pt idx="504">
                  <c:v>45450</c:v>
                </c:pt>
                <c:pt idx="505">
                  <c:v>45449</c:v>
                </c:pt>
                <c:pt idx="506">
                  <c:v>45448</c:v>
                </c:pt>
                <c:pt idx="507">
                  <c:v>45447</c:v>
                </c:pt>
                <c:pt idx="508">
                  <c:v>45446</c:v>
                </c:pt>
                <c:pt idx="509">
                  <c:v>45445</c:v>
                </c:pt>
                <c:pt idx="510">
                  <c:v>45444</c:v>
                </c:pt>
                <c:pt idx="511">
                  <c:v>45443</c:v>
                </c:pt>
                <c:pt idx="512">
                  <c:v>45442</c:v>
                </c:pt>
                <c:pt idx="513">
                  <c:v>45441</c:v>
                </c:pt>
                <c:pt idx="514">
                  <c:v>45440</c:v>
                </c:pt>
                <c:pt idx="515">
                  <c:v>45439</c:v>
                </c:pt>
                <c:pt idx="516">
                  <c:v>45438</c:v>
                </c:pt>
                <c:pt idx="517">
                  <c:v>45437</c:v>
                </c:pt>
                <c:pt idx="518">
                  <c:v>45436</c:v>
                </c:pt>
                <c:pt idx="519">
                  <c:v>45435</c:v>
                </c:pt>
                <c:pt idx="520">
                  <c:v>45434</c:v>
                </c:pt>
                <c:pt idx="521">
                  <c:v>45433</c:v>
                </c:pt>
                <c:pt idx="522">
                  <c:v>45432</c:v>
                </c:pt>
                <c:pt idx="523">
                  <c:v>45431</c:v>
                </c:pt>
                <c:pt idx="524">
                  <c:v>45430</c:v>
                </c:pt>
                <c:pt idx="525">
                  <c:v>45429</c:v>
                </c:pt>
                <c:pt idx="526">
                  <c:v>45428</c:v>
                </c:pt>
                <c:pt idx="527">
                  <c:v>45427</c:v>
                </c:pt>
                <c:pt idx="528">
                  <c:v>45426</c:v>
                </c:pt>
                <c:pt idx="529">
                  <c:v>45425</c:v>
                </c:pt>
                <c:pt idx="530">
                  <c:v>45424</c:v>
                </c:pt>
                <c:pt idx="531">
                  <c:v>45423</c:v>
                </c:pt>
                <c:pt idx="532">
                  <c:v>45422</c:v>
                </c:pt>
                <c:pt idx="533">
                  <c:v>45421</c:v>
                </c:pt>
                <c:pt idx="534">
                  <c:v>45420</c:v>
                </c:pt>
                <c:pt idx="535">
                  <c:v>45419</c:v>
                </c:pt>
                <c:pt idx="536">
                  <c:v>45418</c:v>
                </c:pt>
                <c:pt idx="537">
                  <c:v>45417</c:v>
                </c:pt>
                <c:pt idx="538">
                  <c:v>45416</c:v>
                </c:pt>
                <c:pt idx="539">
                  <c:v>45415</c:v>
                </c:pt>
                <c:pt idx="540">
                  <c:v>45414</c:v>
                </c:pt>
                <c:pt idx="541">
                  <c:v>45413</c:v>
                </c:pt>
                <c:pt idx="542">
                  <c:v>45412</c:v>
                </c:pt>
                <c:pt idx="543">
                  <c:v>45411</c:v>
                </c:pt>
                <c:pt idx="544">
                  <c:v>45410</c:v>
                </c:pt>
                <c:pt idx="545">
                  <c:v>45409</c:v>
                </c:pt>
                <c:pt idx="546">
                  <c:v>45408</c:v>
                </c:pt>
                <c:pt idx="547">
                  <c:v>45407</c:v>
                </c:pt>
                <c:pt idx="548">
                  <c:v>45406</c:v>
                </c:pt>
                <c:pt idx="549">
                  <c:v>45405</c:v>
                </c:pt>
                <c:pt idx="550">
                  <c:v>45404</c:v>
                </c:pt>
                <c:pt idx="551">
                  <c:v>45403</c:v>
                </c:pt>
                <c:pt idx="552">
                  <c:v>45402</c:v>
                </c:pt>
                <c:pt idx="553">
                  <c:v>45401</c:v>
                </c:pt>
                <c:pt idx="554">
                  <c:v>45400</c:v>
                </c:pt>
                <c:pt idx="555">
                  <c:v>45399</c:v>
                </c:pt>
                <c:pt idx="556">
                  <c:v>45398</c:v>
                </c:pt>
                <c:pt idx="557">
                  <c:v>45397</c:v>
                </c:pt>
                <c:pt idx="558">
                  <c:v>45396</c:v>
                </c:pt>
                <c:pt idx="559">
                  <c:v>45395</c:v>
                </c:pt>
                <c:pt idx="560">
                  <c:v>45394</c:v>
                </c:pt>
                <c:pt idx="561">
                  <c:v>45393</c:v>
                </c:pt>
                <c:pt idx="562">
                  <c:v>45392</c:v>
                </c:pt>
                <c:pt idx="563">
                  <c:v>45391</c:v>
                </c:pt>
                <c:pt idx="564">
                  <c:v>45390</c:v>
                </c:pt>
                <c:pt idx="565">
                  <c:v>45389</c:v>
                </c:pt>
                <c:pt idx="566">
                  <c:v>45388</c:v>
                </c:pt>
                <c:pt idx="567">
                  <c:v>45387</c:v>
                </c:pt>
                <c:pt idx="568">
                  <c:v>45386</c:v>
                </c:pt>
                <c:pt idx="569">
                  <c:v>45385</c:v>
                </c:pt>
                <c:pt idx="570">
                  <c:v>45384</c:v>
                </c:pt>
                <c:pt idx="571">
                  <c:v>45383</c:v>
                </c:pt>
                <c:pt idx="572">
                  <c:v>45382</c:v>
                </c:pt>
                <c:pt idx="573">
                  <c:v>45381</c:v>
                </c:pt>
                <c:pt idx="574">
                  <c:v>45380</c:v>
                </c:pt>
                <c:pt idx="575">
                  <c:v>45379</c:v>
                </c:pt>
                <c:pt idx="576">
                  <c:v>45378</c:v>
                </c:pt>
                <c:pt idx="577">
                  <c:v>45377</c:v>
                </c:pt>
                <c:pt idx="578">
                  <c:v>45376</c:v>
                </c:pt>
                <c:pt idx="579">
                  <c:v>45375</c:v>
                </c:pt>
                <c:pt idx="580">
                  <c:v>45374</c:v>
                </c:pt>
                <c:pt idx="581">
                  <c:v>45373</c:v>
                </c:pt>
                <c:pt idx="582">
                  <c:v>45372</c:v>
                </c:pt>
                <c:pt idx="583">
                  <c:v>45371</c:v>
                </c:pt>
                <c:pt idx="584">
                  <c:v>45370</c:v>
                </c:pt>
                <c:pt idx="585">
                  <c:v>45369</c:v>
                </c:pt>
                <c:pt idx="586">
                  <c:v>45368</c:v>
                </c:pt>
                <c:pt idx="587">
                  <c:v>45367</c:v>
                </c:pt>
                <c:pt idx="588">
                  <c:v>45366</c:v>
                </c:pt>
                <c:pt idx="589">
                  <c:v>45365</c:v>
                </c:pt>
                <c:pt idx="590">
                  <c:v>45364</c:v>
                </c:pt>
                <c:pt idx="591">
                  <c:v>45363</c:v>
                </c:pt>
                <c:pt idx="592">
                  <c:v>45362</c:v>
                </c:pt>
                <c:pt idx="593">
                  <c:v>45361</c:v>
                </c:pt>
                <c:pt idx="594">
                  <c:v>45360</c:v>
                </c:pt>
                <c:pt idx="595">
                  <c:v>45359</c:v>
                </c:pt>
                <c:pt idx="596">
                  <c:v>45358</c:v>
                </c:pt>
                <c:pt idx="597">
                  <c:v>45357</c:v>
                </c:pt>
                <c:pt idx="598">
                  <c:v>45356</c:v>
                </c:pt>
                <c:pt idx="599">
                  <c:v>45355</c:v>
                </c:pt>
                <c:pt idx="600">
                  <c:v>45354</c:v>
                </c:pt>
                <c:pt idx="601">
                  <c:v>45353</c:v>
                </c:pt>
                <c:pt idx="602">
                  <c:v>45352</c:v>
                </c:pt>
                <c:pt idx="603">
                  <c:v>45351</c:v>
                </c:pt>
                <c:pt idx="604">
                  <c:v>45350</c:v>
                </c:pt>
                <c:pt idx="605">
                  <c:v>45349</c:v>
                </c:pt>
                <c:pt idx="606">
                  <c:v>45348</c:v>
                </c:pt>
                <c:pt idx="607">
                  <c:v>45347</c:v>
                </c:pt>
                <c:pt idx="608">
                  <c:v>45346</c:v>
                </c:pt>
                <c:pt idx="609">
                  <c:v>45345</c:v>
                </c:pt>
                <c:pt idx="610">
                  <c:v>45344</c:v>
                </c:pt>
                <c:pt idx="611">
                  <c:v>45343</c:v>
                </c:pt>
                <c:pt idx="612">
                  <c:v>45342</c:v>
                </c:pt>
                <c:pt idx="613">
                  <c:v>45341</c:v>
                </c:pt>
                <c:pt idx="614">
                  <c:v>45340</c:v>
                </c:pt>
                <c:pt idx="615">
                  <c:v>45339</c:v>
                </c:pt>
                <c:pt idx="616">
                  <c:v>45338</c:v>
                </c:pt>
                <c:pt idx="617">
                  <c:v>45337</c:v>
                </c:pt>
                <c:pt idx="618">
                  <c:v>45336</c:v>
                </c:pt>
                <c:pt idx="619">
                  <c:v>45335</c:v>
                </c:pt>
                <c:pt idx="620">
                  <c:v>45334</c:v>
                </c:pt>
                <c:pt idx="621">
                  <c:v>45333</c:v>
                </c:pt>
                <c:pt idx="622">
                  <c:v>45332</c:v>
                </c:pt>
                <c:pt idx="623">
                  <c:v>45331</c:v>
                </c:pt>
                <c:pt idx="624">
                  <c:v>45330</c:v>
                </c:pt>
                <c:pt idx="625">
                  <c:v>45329</c:v>
                </c:pt>
                <c:pt idx="626">
                  <c:v>45328</c:v>
                </c:pt>
                <c:pt idx="627">
                  <c:v>45327</c:v>
                </c:pt>
                <c:pt idx="628">
                  <c:v>45326</c:v>
                </c:pt>
                <c:pt idx="629">
                  <c:v>45325</c:v>
                </c:pt>
                <c:pt idx="630">
                  <c:v>45324</c:v>
                </c:pt>
                <c:pt idx="631">
                  <c:v>45323</c:v>
                </c:pt>
                <c:pt idx="632">
                  <c:v>45322</c:v>
                </c:pt>
                <c:pt idx="633">
                  <c:v>45321</c:v>
                </c:pt>
                <c:pt idx="634">
                  <c:v>45320</c:v>
                </c:pt>
                <c:pt idx="635">
                  <c:v>45319</c:v>
                </c:pt>
                <c:pt idx="636">
                  <c:v>45318</c:v>
                </c:pt>
                <c:pt idx="637">
                  <c:v>45317</c:v>
                </c:pt>
                <c:pt idx="638">
                  <c:v>45316</c:v>
                </c:pt>
                <c:pt idx="639">
                  <c:v>45315</c:v>
                </c:pt>
                <c:pt idx="640">
                  <c:v>45314</c:v>
                </c:pt>
                <c:pt idx="641">
                  <c:v>45313</c:v>
                </c:pt>
                <c:pt idx="642">
                  <c:v>45312</c:v>
                </c:pt>
                <c:pt idx="643">
                  <c:v>45311</c:v>
                </c:pt>
                <c:pt idx="644">
                  <c:v>45310</c:v>
                </c:pt>
                <c:pt idx="645">
                  <c:v>45309</c:v>
                </c:pt>
                <c:pt idx="646">
                  <c:v>45308</c:v>
                </c:pt>
                <c:pt idx="647">
                  <c:v>45307</c:v>
                </c:pt>
                <c:pt idx="648">
                  <c:v>45306</c:v>
                </c:pt>
                <c:pt idx="649">
                  <c:v>45305</c:v>
                </c:pt>
                <c:pt idx="650">
                  <c:v>45304</c:v>
                </c:pt>
                <c:pt idx="651">
                  <c:v>45303</c:v>
                </c:pt>
                <c:pt idx="652">
                  <c:v>45302</c:v>
                </c:pt>
                <c:pt idx="653">
                  <c:v>45301</c:v>
                </c:pt>
                <c:pt idx="654">
                  <c:v>45300</c:v>
                </c:pt>
                <c:pt idx="655">
                  <c:v>45299</c:v>
                </c:pt>
                <c:pt idx="656">
                  <c:v>45298</c:v>
                </c:pt>
                <c:pt idx="657">
                  <c:v>45297</c:v>
                </c:pt>
                <c:pt idx="658">
                  <c:v>45296</c:v>
                </c:pt>
                <c:pt idx="659">
                  <c:v>45295</c:v>
                </c:pt>
                <c:pt idx="660">
                  <c:v>45294</c:v>
                </c:pt>
                <c:pt idx="661">
                  <c:v>45293</c:v>
                </c:pt>
                <c:pt idx="662">
                  <c:v>45292</c:v>
                </c:pt>
                <c:pt idx="663">
                  <c:v>45291</c:v>
                </c:pt>
                <c:pt idx="664">
                  <c:v>45290</c:v>
                </c:pt>
                <c:pt idx="665">
                  <c:v>45289</c:v>
                </c:pt>
                <c:pt idx="666">
                  <c:v>45288</c:v>
                </c:pt>
                <c:pt idx="667">
                  <c:v>45287</c:v>
                </c:pt>
                <c:pt idx="668">
                  <c:v>45286</c:v>
                </c:pt>
                <c:pt idx="669">
                  <c:v>45285</c:v>
                </c:pt>
                <c:pt idx="670">
                  <c:v>45284</c:v>
                </c:pt>
                <c:pt idx="671">
                  <c:v>45283</c:v>
                </c:pt>
                <c:pt idx="672">
                  <c:v>45282</c:v>
                </c:pt>
                <c:pt idx="673">
                  <c:v>45281</c:v>
                </c:pt>
                <c:pt idx="674">
                  <c:v>45280</c:v>
                </c:pt>
                <c:pt idx="675">
                  <c:v>45279</c:v>
                </c:pt>
                <c:pt idx="676">
                  <c:v>45278</c:v>
                </c:pt>
                <c:pt idx="677">
                  <c:v>45277</c:v>
                </c:pt>
                <c:pt idx="678">
                  <c:v>45276</c:v>
                </c:pt>
                <c:pt idx="679">
                  <c:v>45275</c:v>
                </c:pt>
                <c:pt idx="680">
                  <c:v>45274</c:v>
                </c:pt>
                <c:pt idx="681">
                  <c:v>45273</c:v>
                </c:pt>
                <c:pt idx="682">
                  <c:v>45272</c:v>
                </c:pt>
                <c:pt idx="683">
                  <c:v>45271</c:v>
                </c:pt>
                <c:pt idx="684">
                  <c:v>45270</c:v>
                </c:pt>
                <c:pt idx="685">
                  <c:v>45269</c:v>
                </c:pt>
                <c:pt idx="686">
                  <c:v>45268</c:v>
                </c:pt>
                <c:pt idx="687">
                  <c:v>45267</c:v>
                </c:pt>
                <c:pt idx="688">
                  <c:v>45266</c:v>
                </c:pt>
                <c:pt idx="689">
                  <c:v>45265</c:v>
                </c:pt>
                <c:pt idx="690">
                  <c:v>45264</c:v>
                </c:pt>
                <c:pt idx="691">
                  <c:v>45263</c:v>
                </c:pt>
                <c:pt idx="692">
                  <c:v>45262</c:v>
                </c:pt>
                <c:pt idx="693">
                  <c:v>45261</c:v>
                </c:pt>
                <c:pt idx="694">
                  <c:v>45260</c:v>
                </c:pt>
                <c:pt idx="695">
                  <c:v>45259</c:v>
                </c:pt>
                <c:pt idx="696">
                  <c:v>45258</c:v>
                </c:pt>
                <c:pt idx="697">
                  <c:v>45257</c:v>
                </c:pt>
                <c:pt idx="698">
                  <c:v>45256</c:v>
                </c:pt>
                <c:pt idx="699">
                  <c:v>45255</c:v>
                </c:pt>
                <c:pt idx="700">
                  <c:v>45254</c:v>
                </c:pt>
                <c:pt idx="701">
                  <c:v>45253</c:v>
                </c:pt>
                <c:pt idx="702">
                  <c:v>45252</c:v>
                </c:pt>
                <c:pt idx="703">
                  <c:v>45251</c:v>
                </c:pt>
                <c:pt idx="704">
                  <c:v>45250</c:v>
                </c:pt>
                <c:pt idx="705">
                  <c:v>45249</c:v>
                </c:pt>
                <c:pt idx="706">
                  <c:v>45248</c:v>
                </c:pt>
                <c:pt idx="707">
                  <c:v>45247</c:v>
                </c:pt>
                <c:pt idx="708">
                  <c:v>45246</c:v>
                </c:pt>
                <c:pt idx="709">
                  <c:v>45245</c:v>
                </c:pt>
                <c:pt idx="710">
                  <c:v>45244</c:v>
                </c:pt>
                <c:pt idx="711">
                  <c:v>45243</c:v>
                </c:pt>
                <c:pt idx="712">
                  <c:v>45242</c:v>
                </c:pt>
                <c:pt idx="713">
                  <c:v>45241</c:v>
                </c:pt>
                <c:pt idx="714">
                  <c:v>45240</c:v>
                </c:pt>
                <c:pt idx="715">
                  <c:v>45239</c:v>
                </c:pt>
                <c:pt idx="716">
                  <c:v>45238</c:v>
                </c:pt>
                <c:pt idx="717">
                  <c:v>45237</c:v>
                </c:pt>
                <c:pt idx="718">
                  <c:v>45236</c:v>
                </c:pt>
                <c:pt idx="719">
                  <c:v>45235</c:v>
                </c:pt>
                <c:pt idx="720">
                  <c:v>45234</c:v>
                </c:pt>
                <c:pt idx="721">
                  <c:v>45233</c:v>
                </c:pt>
                <c:pt idx="722">
                  <c:v>45232</c:v>
                </c:pt>
                <c:pt idx="723">
                  <c:v>45231</c:v>
                </c:pt>
                <c:pt idx="724">
                  <c:v>45230</c:v>
                </c:pt>
                <c:pt idx="725">
                  <c:v>45229</c:v>
                </c:pt>
                <c:pt idx="726">
                  <c:v>45228</c:v>
                </c:pt>
                <c:pt idx="727">
                  <c:v>45227</c:v>
                </c:pt>
                <c:pt idx="728">
                  <c:v>45226</c:v>
                </c:pt>
                <c:pt idx="729">
                  <c:v>45225</c:v>
                </c:pt>
                <c:pt idx="730">
                  <c:v>45224</c:v>
                </c:pt>
                <c:pt idx="731">
                  <c:v>45223</c:v>
                </c:pt>
                <c:pt idx="732">
                  <c:v>45222</c:v>
                </c:pt>
                <c:pt idx="733">
                  <c:v>45221</c:v>
                </c:pt>
                <c:pt idx="734">
                  <c:v>45220</c:v>
                </c:pt>
                <c:pt idx="735">
                  <c:v>45219</c:v>
                </c:pt>
                <c:pt idx="736">
                  <c:v>45218</c:v>
                </c:pt>
                <c:pt idx="737">
                  <c:v>45217</c:v>
                </c:pt>
                <c:pt idx="738">
                  <c:v>45216</c:v>
                </c:pt>
                <c:pt idx="739">
                  <c:v>45215</c:v>
                </c:pt>
                <c:pt idx="740">
                  <c:v>45214</c:v>
                </c:pt>
                <c:pt idx="741">
                  <c:v>45213</c:v>
                </c:pt>
                <c:pt idx="742">
                  <c:v>45212</c:v>
                </c:pt>
                <c:pt idx="743">
                  <c:v>45211</c:v>
                </c:pt>
                <c:pt idx="744">
                  <c:v>45210</c:v>
                </c:pt>
                <c:pt idx="745">
                  <c:v>45209</c:v>
                </c:pt>
                <c:pt idx="746">
                  <c:v>45208</c:v>
                </c:pt>
                <c:pt idx="747">
                  <c:v>45207</c:v>
                </c:pt>
                <c:pt idx="748">
                  <c:v>45206</c:v>
                </c:pt>
                <c:pt idx="749">
                  <c:v>45205</c:v>
                </c:pt>
                <c:pt idx="750">
                  <c:v>45204</c:v>
                </c:pt>
                <c:pt idx="751">
                  <c:v>45203</c:v>
                </c:pt>
                <c:pt idx="752">
                  <c:v>45202</c:v>
                </c:pt>
                <c:pt idx="753">
                  <c:v>45201</c:v>
                </c:pt>
                <c:pt idx="754">
                  <c:v>45200</c:v>
                </c:pt>
                <c:pt idx="755">
                  <c:v>45199</c:v>
                </c:pt>
                <c:pt idx="756">
                  <c:v>45198</c:v>
                </c:pt>
                <c:pt idx="757">
                  <c:v>45197</c:v>
                </c:pt>
                <c:pt idx="758">
                  <c:v>45196</c:v>
                </c:pt>
                <c:pt idx="759">
                  <c:v>45195</c:v>
                </c:pt>
                <c:pt idx="760">
                  <c:v>45194</c:v>
                </c:pt>
                <c:pt idx="761">
                  <c:v>45193</c:v>
                </c:pt>
                <c:pt idx="762">
                  <c:v>45192</c:v>
                </c:pt>
                <c:pt idx="763">
                  <c:v>45191</c:v>
                </c:pt>
                <c:pt idx="764">
                  <c:v>45190</c:v>
                </c:pt>
                <c:pt idx="765">
                  <c:v>45189</c:v>
                </c:pt>
                <c:pt idx="766">
                  <c:v>45188</c:v>
                </c:pt>
                <c:pt idx="767">
                  <c:v>45187</c:v>
                </c:pt>
                <c:pt idx="768">
                  <c:v>45186</c:v>
                </c:pt>
                <c:pt idx="769">
                  <c:v>45185</c:v>
                </c:pt>
                <c:pt idx="770">
                  <c:v>45184</c:v>
                </c:pt>
                <c:pt idx="771">
                  <c:v>45183</c:v>
                </c:pt>
                <c:pt idx="772">
                  <c:v>45182</c:v>
                </c:pt>
                <c:pt idx="773">
                  <c:v>45181</c:v>
                </c:pt>
                <c:pt idx="774">
                  <c:v>45180</c:v>
                </c:pt>
                <c:pt idx="775">
                  <c:v>45179</c:v>
                </c:pt>
                <c:pt idx="776">
                  <c:v>45178</c:v>
                </c:pt>
                <c:pt idx="777">
                  <c:v>45177</c:v>
                </c:pt>
                <c:pt idx="778">
                  <c:v>45176</c:v>
                </c:pt>
                <c:pt idx="779">
                  <c:v>45175</c:v>
                </c:pt>
                <c:pt idx="780">
                  <c:v>45174</c:v>
                </c:pt>
                <c:pt idx="781">
                  <c:v>45173</c:v>
                </c:pt>
                <c:pt idx="782">
                  <c:v>45172</c:v>
                </c:pt>
                <c:pt idx="783">
                  <c:v>45171</c:v>
                </c:pt>
                <c:pt idx="784">
                  <c:v>45170</c:v>
                </c:pt>
                <c:pt idx="785">
                  <c:v>45169</c:v>
                </c:pt>
                <c:pt idx="786">
                  <c:v>45168</c:v>
                </c:pt>
                <c:pt idx="787">
                  <c:v>45167</c:v>
                </c:pt>
                <c:pt idx="788">
                  <c:v>45166</c:v>
                </c:pt>
                <c:pt idx="789">
                  <c:v>45165</c:v>
                </c:pt>
                <c:pt idx="790">
                  <c:v>45164</c:v>
                </c:pt>
                <c:pt idx="791">
                  <c:v>45163</c:v>
                </c:pt>
                <c:pt idx="792">
                  <c:v>45162</c:v>
                </c:pt>
                <c:pt idx="793">
                  <c:v>45161</c:v>
                </c:pt>
                <c:pt idx="794">
                  <c:v>45160</c:v>
                </c:pt>
                <c:pt idx="795">
                  <c:v>45159</c:v>
                </c:pt>
                <c:pt idx="796">
                  <c:v>45158</c:v>
                </c:pt>
                <c:pt idx="797">
                  <c:v>45157</c:v>
                </c:pt>
                <c:pt idx="798">
                  <c:v>45156</c:v>
                </c:pt>
                <c:pt idx="799">
                  <c:v>45155</c:v>
                </c:pt>
                <c:pt idx="800">
                  <c:v>45154</c:v>
                </c:pt>
                <c:pt idx="801">
                  <c:v>45153</c:v>
                </c:pt>
                <c:pt idx="802">
                  <c:v>45152</c:v>
                </c:pt>
                <c:pt idx="803">
                  <c:v>45151</c:v>
                </c:pt>
                <c:pt idx="804">
                  <c:v>45150</c:v>
                </c:pt>
                <c:pt idx="805">
                  <c:v>45149</c:v>
                </c:pt>
                <c:pt idx="806">
                  <c:v>45148</c:v>
                </c:pt>
                <c:pt idx="807">
                  <c:v>45147</c:v>
                </c:pt>
                <c:pt idx="808">
                  <c:v>45146</c:v>
                </c:pt>
                <c:pt idx="809">
                  <c:v>45145</c:v>
                </c:pt>
                <c:pt idx="810">
                  <c:v>45144</c:v>
                </c:pt>
                <c:pt idx="811">
                  <c:v>45143</c:v>
                </c:pt>
                <c:pt idx="812">
                  <c:v>45142</c:v>
                </c:pt>
                <c:pt idx="813">
                  <c:v>45141</c:v>
                </c:pt>
                <c:pt idx="814">
                  <c:v>45140</c:v>
                </c:pt>
                <c:pt idx="815">
                  <c:v>45139</c:v>
                </c:pt>
                <c:pt idx="816">
                  <c:v>45138</c:v>
                </c:pt>
                <c:pt idx="817">
                  <c:v>45137</c:v>
                </c:pt>
                <c:pt idx="818">
                  <c:v>45136</c:v>
                </c:pt>
                <c:pt idx="819">
                  <c:v>45135</c:v>
                </c:pt>
                <c:pt idx="820">
                  <c:v>45134</c:v>
                </c:pt>
                <c:pt idx="821">
                  <c:v>45133</c:v>
                </c:pt>
                <c:pt idx="822">
                  <c:v>45132</c:v>
                </c:pt>
                <c:pt idx="823">
                  <c:v>45131</c:v>
                </c:pt>
                <c:pt idx="824">
                  <c:v>45130</c:v>
                </c:pt>
                <c:pt idx="825">
                  <c:v>45129</c:v>
                </c:pt>
                <c:pt idx="826">
                  <c:v>45128</c:v>
                </c:pt>
                <c:pt idx="827">
                  <c:v>45127</c:v>
                </c:pt>
                <c:pt idx="828">
                  <c:v>45126</c:v>
                </c:pt>
                <c:pt idx="829">
                  <c:v>45125</c:v>
                </c:pt>
                <c:pt idx="830">
                  <c:v>45124</c:v>
                </c:pt>
                <c:pt idx="831">
                  <c:v>45123</c:v>
                </c:pt>
                <c:pt idx="832">
                  <c:v>45122</c:v>
                </c:pt>
                <c:pt idx="833">
                  <c:v>45121</c:v>
                </c:pt>
                <c:pt idx="834">
                  <c:v>45120</c:v>
                </c:pt>
                <c:pt idx="835">
                  <c:v>45119</c:v>
                </c:pt>
                <c:pt idx="836">
                  <c:v>45118</c:v>
                </c:pt>
                <c:pt idx="837">
                  <c:v>45117</c:v>
                </c:pt>
                <c:pt idx="838">
                  <c:v>45116</c:v>
                </c:pt>
                <c:pt idx="839">
                  <c:v>45115</c:v>
                </c:pt>
                <c:pt idx="840">
                  <c:v>45114</c:v>
                </c:pt>
                <c:pt idx="841">
                  <c:v>45113</c:v>
                </c:pt>
                <c:pt idx="842">
                  <c:v>45112</c:v>
                </c:pt>
                <c:pt idx="843">
                  <c:v>45111</c:v>
                </c:pt>
                <c:pt idx="844">
                  <c:v>45110</c:v>
                </c:pt>
                <c:pt idx="845">
                  <c:v>45109</c:v>
                </c:pt>
                <c:pt idx="846">
                  <c:v>45108</c:v>
                </c:pt>
                <c:pt idx="847">
                  <c:v>45107</c:v>
                </c:pt>
                <c:pt idx="848">
                  <c:v>45106</c:v>
                </c:pt>
                <c:pt idx="849">
                  <c:v>45105</c:v>
                </c:pt>
                <c:pt idx="850">
                  <c:v>45104</c:v>
                </c:pt>
                <c:pt idx="851">
                  <c:v>45103</c:v>
                </c:pt>
                <c:pt idx="852">
                  <c:v>45102</c:v>
                </c:pt>
                <c:pt idx="853">
                  <c:v>45101</c:v>
                </c:pt>
                <c:pt idx="854">
                  <c:v>45100</c:v>
                </c:pt>
                <c:pt idx="855">
                  <c:v>45099</c:v>
                </c:pt>
                <c:pt idx="856">
                  <c:v>45098</c:v>
                </c:pt>
                <c:pt idx="857">
                  <c:v>45097</c:v>
                </c:pt>
                <c:pt idx="858">
                  <c:v>45096</c:v>
                </c:pt>
                <c:pt idx="859">
                  <c:v>45095</c:v>
                </c:pt>
                <c:pt idx="860">
                  <c:v>45094</c:v>
                </c:pt>
                <c:pt idx="861">
                  <c:v>45093</c:v>
                </c:pt>
                <c:pt idx="862">
                  <c:v>45092</c:v>
                </c:pt>
                <c:pt idx="863">
                  <c:v>45091</c:v>
                </c:pt>
                <c:pt idx="864">
                  <c:v>45090</c:v>
                </c:pt>
                <c:pt idx="865">
                  <c:v>45089</c:v>
                </c:pt>
                <c:pt idx="866">
                  <c:v>45088</c:v>
                </c:pt>
                <c:pt idx="867">
                  <c:v>45087</c:v>
                </c:pt>
                <c:pt idx="868">
                  <c:v>45086</c:v>
                </c:pt>
                <c:pt idx="869">
                  <c:v>45085</c:v>
                </c:pt>
                <c:pt idx="870">
                  <c:v>45084</c:v>
                </c:pt>
                <c:pt idx="871">
                  <c:v>45083</c:v>
                </c:pt>
                <c:pt idx="872">
                  <c:v>45082</c:v>
                </c:pt>
                <c:pt idx="873">
                  <c:v>45081</c:v>
                </c:pt>
                <c:pt idx="874">
                  <c:v>45080</c:v>
                </c:pt>
                <c:pt idx="875">
                  <c:v>45079</c:v>
                </c:pt>
                <c:pt idx="876">
                  <c:v>45078</c:v>
                </c:pt>
                <c:pt idx="877">
                  <c:v>45077</c:v>
                </c:pt>
                <c:pt idx="878">
                  <c:v>45076</c:v>
                </c:pt>
                <c:pt idx="879">
                  <c:v>45075</c:v>
                </c:pt>
                <c:pt idx="880">
                  <c:v>45074</c:v>
                </c:pt>
                <c:pt idx="881">
                  <c:v>45073</c:v>
                </c:pt>
                <c:pt idx="882">
                  <c:v>45072</c:v>
                </c:pt>
                <c:pt idx="883">
                  <c:v>45071</c:v>
                </c:pt>
                <c:pt idx="884">
                  <c:v>45070</c:v>
                </c:pt>
                <c:pt idx="885">
                  <c:v>45069</c:v>
                </c:pt>
                <c:pt idx="886">
                  <c:v>45068</c:v>
                </c:pt>
                <c:pt idx="887">
                  <c:v>45067</c:v>
                </c:pt>
                <c:pt idx="888">
                  <c:v>45066</c:v>
                </c:pt>
                <c:pt idx="889">
                  <c:v>45065</c:v>
                </c:pt>
                <c:pt idx="890">
                  <c:v>45064</c:v>
                </c:pt>
                <c:pt idx="891">
                  <c:v>45063</c:v>
                </c:pt>
                <c:pt idx="892">
                  <c:v>45062</c:v>
                </c:pt>
                <c:pt idx="893">
                  <c:v>45061</c:v>
                </c:pt>
                <c:pt idx="894">
                  <c:v>45060</c:v>
                </c:pt>
                <c:pt idx="895">
                  <c:v>45059</c:v>
                </c:pt>
                <c:pt idx="896">
                  <c:v>45058</c:v>
                </c:pt>
                <c:pt idx="897">
                  <c:v>45057</c:v>
                </c:pt>
                <c:pt idx="898">
                  <c:v>45056</c:v>
                </c:pt>
                <c:pt idx="899">
                  <c:v>45055</c:v>
                </c:pt>
                <c:pt idx="900">
                  <c:v>45054</c:v>
                </c:pt>
                <c:pt idx="901">
                  <c:v>45053</c:v>
                </c:pt>
                <c:pt idx="902">
                  <c:v>45052</c:v>
                </c:pt>
                <c:pt idx="903">
                  <c:v>45051</c:v>
                </c:pt>
                <c:pt idx="904">
                  <c:v>45050</c:v>
                </c:pt>
                <c:pt idx="905">
                  <c:v>45049</c:v>
                </c:pt>
                <c:pt idx="906">
                  <c:v>45048</c:v>
                </c:pt>
                <c:pt idx="907">
                  <c:v>45047</c:v>
                </c:pt>
                <c:pt idx="908">
                  <c:v>45046</c:v>
                </c:pt>
                <c:pt idx="909">
                  <c:v>45045</c:v>
                </c:pt>
                <c:pt idx="910">
                  <c:v>45044</c:v>
                </c:pt>
                <c:pt idx="911">
                  <c:v>45043</c:v>
                </c:pt>
                <c:pt idx="912">
                  <c:v>45042</c:v>
                </c:pt>
                <c:pt idx="913">
                  <c:v>45041</c:v>
                </c:pt>
                <c:pt idx="914">
                  <c:v>45040</c:v>
                </c:pt>
                <c:pt idx="915">
                  <c:v>45039</c:v>
                </c:pt>
                <c:pt idx="916">
                  <c:v>45038</c:v>
                </c:pt>
                <c:pt idx="917">
                  <c:v>45037</c:v>
                </c:pt>
                <c:pt idx="918">
                  <c:v>45036</c:v>
                </c:pt>
                <c:pt idx="919">
                  <c:v>45035</c:v>
                </c:pt>
                <c:pt idx="920">
                  <c:v>45034</c:v>
                </c:pt>
                <c:pt idx="921">
                  <c:v>45033</c:v>
                </c:pt>
                <c:pt idx="922">
                  <c:v>45032</c:v>
                </c:pt>
                <c:pt idx="923">
                  <c:v>45031</c:v>
                </c:pt>
                <c:pt idx="924">
                  <c:v>45030</c:v>
                </c:pt>
                <c:pt idx="925">
                  <c:v>45029</c:v>
                </c:pt>
                <c:pt idx="926">
                  <c:v>45028</c:v>
                </c:pt>
                <c:pt idx="927">
                  <c:v>45027</c:v>
                </c:pt>
                <c:pt idx="928">
                  <c:v>45026</c:v>
                </c:pt>
                <c:pt idx="929">
                  <c:v>45025</c:v>
                </c:pt>
                <c:pt idx="930">
                  <c:v>45024</c:v>
                </c:pt>
                <c:pt idx="931">
                  <c:v>45023</c:v>
                </c:pt>
                <c:pt idx="932">
                  <c:v>45022</c:v>
                </c:pt>
                <c:pt idx="933">
                  <c:v>45021</c:v>
                </c:pt>
                <c:pt idx="934">
                  <c:v>45020</c:v>
                </c:pt>
                <c:pt idx="935">
                  <c:v>45019</c:v>
                </c:pt>
                <c:pt idx="936">
                  <c:v>45018</c:v>
                </c:pt>
                <c:pt idx="937">
                  <c:v>45017</c:v>
                </c:pt>
                <c:pt idx="938">
                  <c:v>45016</c:v>
                </c:pt>
                <c:pt idx="939">
                  <c:v>45015</c:v>
                </c:pt>
                <c:pt idx="940">
                  <c:v>45014</c:v>
                </c:pt>
                <c:pt idx="941">
                  <c:v>45013</c:v>
                </c:pt>
                <c:pt idx="942">
                  <c:v>45012</c:v>
                </c:pt>
                <c:pt idx="943">
                  <c:v>45011</c:v>
                </c:pt>
                <c:pt idx="944">
                  <c:v>45010</c:v>
                </c:pt>
                <c:pt idx="945">
                  <c:v>45009</c:v>
                </c:pt>
                <c:pt idx="946">
                  <c:v>45008</c:v>
                </c:pt>
                <c:pt idx="947">
                  <c:v>45007</c:v>
                </c:pt>
                <c:pt idx="948">
                  <c:v>45006</c:v>
                </c:pt>
                <c:pt idx="949">
                  <c:v>45005</c:v>
                </c:pt>
                <c:pt idx="950">
                  <c:v>45004</c:v>
                </c:pt>
                <c:pt idx="951">
                  <c:v>45003</c:v>
                </c:pt>
                <c:pt idx="952">
                  <c:v>45002</c:v>
                </c:pt>
                <c:pt idx="953">
                  <c:v>45001</c:v>
                </c:pt>
                <c:pt idx="954">
                  <c:v>45000</c:v>
                </c:pt>
                <c:pt idx="955">
                  <c:v>44999</c:v>
                </c:pt>
                <c:pt idx="956">
                  <c:v>44998</c:v>
                </c:pt>
                <c:pt idx="957">
                  <c:v>44997</c:v>
                </c:pt>
                <c:pt idx="958">
                  <c:v>44996</c:v>
                </c:pt>
                <c:pt idx="959">
                  <c:v>44995</c:v>
                </c:pt>
                <c:pt idx="960">
                  <c:v>44994</c:v>
                </c:pt>
                <c:pt idx="961">
                  <c:v>44993</c:v>
                </c:pt>
                <c:pt idx="962">
                  <c:v>44992</c:v>
                </c:pt>
                <c:pt idx="963">
                  <c:v>44991</c:v>
                </c:pt>
                <c:pt idx="964">
                  <c:v>44990</c:v>
                </c:pt>
                <c:pt idx="965">
                  <c:v>44989</c:v>
                </c:pt>
                <c:pt idx="966">
                  <c:v>44988</c:v>
                </c:pt>
                <c:pt idx="967">
                  <c:v>44987</c:v>
                </c:pt>
                <c:pt idx="968">
                  <c:v>44986</c:v>
                </c:pt>
                <c:pt idx="969">
                  <c:v>44985</c:v>
                </c:pt>
                <c:pt idx="970">
                  <c:v>44984</c:v>
                </c:pt>
                <c:pt idx="971">
                  <c:v>44983</c:v>
                </c:pt>
                <c:pt idx="972">
                  <c:v>44982</c:v>
                </c:pt>
                <c:pt idx="973">
                  <c:v>44981</c:v>
                </c:pt>
                <c:pt idx="974">
                  <c:v>44980</c:v>
                </c:pt>
                <c:pt idx="975">
                  <c:v>44979</c:v>
                </c:pt>
                <c:pt idx="976">
                  <c:v>44978</c:v>
                </c:pt>
                <c:pt idx="977">
                  <c:v>44977</c:v>
                </c:pt>
                <c:pt idx="978">
                  <c:v>44976</c:v>
                </c:pt>
                <c:pt idx="979">
                  <c:v>44975</c:v>
                </c:pt>
                <c:pt idx="980">
                  <c:v>44974</c:v>
                </c:pt>
                <c:pt idx="981">
                  <c:v>44973</c:v>
                </c:pt>
                <c:pt idx="982">
                  <c:v>44972</c:v>
                </c:pt>
                <c:pt idx="983">
                  <c:v>44971</c:v>
                </c:pt>
                <c:pt idx="984">
                  <c:v>44970</c:v>
                </c:pt>
                <c:pt idx="985">
                  <c:v>44969</c:v>
                </c:pt>
                <c:pt idx="986">
                  <c:v>44968</c:v>
                </c:pt>
                <c:pt idx="987">
                  <c:v>44967</c:v>
                </c:pt>
                <c:pt idx="988">
                  <c:v>44966</c:v>
                </c:pt>
                <c:pt idx="989">
                  <c:v>44965</c:v>
                </c:pt>
                <c:pt idx="990">
                  <c:v>44964</c:v>
                </c:pt>
                <c:pt idx="991">
                  <c:v>44963</c:v>
                </c:pt>
                <c:pt idx="992">
                  <c:v>44962</c:v>
                </c:pt>
                <c:pt idx="993">
                  <c:v>44961</c:v>
                </c:pt>
                <c:pt idx="994">
                  <c:v>44960</c:v>
                </c:pt>
                <c:pt idx="995">
                  <c:v>44959</c:v>
                </c:pt>
                <c:pt idx="996">
                  <c:v>44958</c:v>
                </c:pt>
                <c:pt idx="997">
                  <c:v>44957</c:v>
                </c:pt>
                <c:pt idx="998">
                  <c:v>44956</c:v>
                </c:pt>
                <c:pt idx="999">
                  <c:v>44955</c:v>
                </c:pt>
                <c:pt idx="1000">
                  <c:v>44954</c:v>
                </c:pt>
                <c:pt idx="1001">
                  <c:v>44953</c:v>
                </c:pt>
                <c:pt idx="1002">
                  <c:v>44952</c:v>
                </c:pt>
                <c:pt idx="1003">
                  <c:v>44951</c:v>
                </c:pt>
                <c:pt idx="1004">
                  <c:v>44950</c:v>
                </c:pt>
                <c:pt idx="1005">
                  <c:v>44949</c:v>
                </c:pt>
                <c:pt idx="1006">
                  <c:v>44948</c:v>
                </c:pt>
                <c:pt idx="1007">
                  <c:v>44947</c:v>
                </c:pt>
                <c:pt idx="1008">
                  <c:v>44946</c:v>
                </c:pt>
                <c:pt idx="1009">
                  <c:v>44945</c:v>
                </c:pt>
                <c:pt idx="1010">
                  <c:v>44944</c:v>
                </c:pt>
                <c:pt idx="1011">
                  <c:v>44943</c:v>
                </c:pt>
                <c:pt idx="1012">
                  <c:v>44942</c:v>
                </c:pt>
                <c:pt idx="1013">
                  <c:v>44941</c:v>
                </c:pt>
                <c:pt idx="1014">
                  <c:v>44940</c:v>
                </c:pt>
                <c:pt idx="1015">
                  <c:v>44939</c:v>
                </c:pt>
                <c:pt idx="1016">
                  <c:v>44938</c:v>
                </c:pt>
                <c:pt idx="1017">
                  <c:v>44937</c:v>
                </c:pt>
                <c:pt idx="1018">
                  <c:v>44936</c:v>
                </c:pt>
                <c:pt idx="1019">
                  <c:v>44935</c:v>
                </c:pt>
                <c:pt idx="1020">
                  <c:v>44934</c:v>
                </c:pt>
                <c:pt idx="1021">
                  <c:v>44933</c:v>
                </c:pt>
                <c:pt idx="1022">
                  <c:v>44932</c:v>
                </c:pt>
                <c:pt idx="1023">
                  <c:v>44931</c:v>
                </c:pt>
                <c:pt idx="1024">
                  <c:v>44930</c:v>
                </c:pt>
                <c:pt idx="1025">
                  <c:v>44929</c:v>
                </c:pt>
                <c:pt idx="1026">
                  <c:v>44928</c:v>
                </c:pt>
                <c:pt idx="1027">
                  <c:v>44927</c:v>
                </c:pt>
                <c:pt idx="1028">
                  <c:v>44926</c:v>
                </c:pt>
                <c:pt idx="1029">
                  <c:v>44925</c:v>
                </c:pt>
                <c:pt idx="1030">
                  <c:v>44924</c:v>
                </c:pt>
                <c:pt idx="1031">
                  <c:v>44923</c:v>
                </c:pt>
                <c:pt idx="1032">
                  <c:v>44922</c:v>
                </c:pt>
                <c:pt idx="1033">
                  <c:v>44921</c:v>
                </c:pt>
                <c:pt idx="1034">
                  <c:v>44920</c:v>
                </c:pt>
                <c:pt idx="1035">
                  <c:v>44919</c:v>
                </c:pt>
                <c:pt idx="1036">
                  <c:v>44918</c:v>
                </c:pt>
                <c:pt idx="1037">
                  <c:v>44917</c:v>
                </c:pt>
                <c:pt idx="1038">
                  <c:v>44916</c:v>
                </c:pt>
                <c:pt idx="1039">
                  <c:v>44915</c:v>
                </c:pt>
                <c:pt idx="1040">
                  <c:v>44914</c:v>
                </c:pt>
                <c:pt idx="1041">
                  <c:v>44913</c:v>
                </c:pt>
                <c:pt idx="1042">
                  <c:v>44912</c:v>
                </c:pt>
                <c:pt idx="1043">
                  <c:v>44911</c:v>
                </c:pt>
                <c:pt idx="1044">
                  <c:v>44910</c:v>
                </c:pt>
              </c:numCache>
            </c:numRef>
          </c:cat>
          <c:val>
            <c:numRef>
              <c:f>'Stock Data'!$AO$4:$AO$1048</c:f>
              <c:numCache>
                <c:formatCode>#,##0.00_);\(#,##0.00\)</c:formatCode>
                <c:ptCount val="1045"/>
                <c:pt idx="0">
                  <c:v>2714800</c:v>
                </c:pt>
                <c:pt idx="1">
                  <c:v>2714800</c:v>
                </c:pt>
                <c:pt idx="2">
                  <c:v>4000000</c:v>
                </c:pt>
                <c:pt idx="3">
                  <c:v>4000000</c:v>
                </c:pt>
                <c:pt idx="4">
                  <c:v>4000000</c:v>
                </c:pt>
                <c:pt idx="5">
                  <c:v>2395400</c:v>
                </c:pt>
                <c:pt idx="6">
                  <c:v>1267600</c:v>
                </c:pt>
                <c:pt idx="7">
                  <c:v>1714300</c:v>
                </c:pt>
                <c:pt idx="8">
                  <c:v>830900</c:v>
                </c:pt>
                <c:pt idx="9">
                  <c:v>962100</c:v>
                </c:pt>
                <c:pt idx="10">
                  <c:v>962100</c:v>
                </c:pt>
                <c:pt idx="11">
                  <c:v>962100</c:v>
                </c:pt>
                <c:pt idx="12">
                  <c:v>1773600</c:v>
                </c:pt>
                <c:pt idx="13">
                  <c:v>1041900</c:v>
                </c:pt>
                <c:pt idx="14">
                  <c:v>1579700</c:v>
                </c:pt>
                <c:pt idx="15">
                  <c:v>1632200</c:v>
                </c:pt>
                <c:pt idx="16">
                  <c:v>1914800</c:v>
                </c:pt>
                <c:pt idx="17">
                  <c:v>1914800</c:v>
                </c:pt>
                <c:pt idx="18">
                  <c:v>1914800</c:v>
                </c:pt>
                <c:pt idx="19">
                  <c:v>1431900</c:v>
                </c:pt>
                <c:pt idx="20">
                  <c:v>2932400</c:v>
                </c:pt>
                <c:pt idx="21">
                  <c:v>1623500</c:v>
                </c:pt>
                <c:pt idx="22">
                  <c:v>1861200</c:v>
                </c:pt>
                <c:pt idx="23">
                  <c:v>1799000</c:v>
                </c:pt>
                <c:pt idx="24">
                  <c:v>1799000</c:v>
                </c:pt>
                <c:pt idx="25">
                  <c:v>1799000</c:v>
                </c:pt>
                <c:pt idx="26">
                  <c:v>3073700</c:v>
                </c:pt>
                <c:pt idx="27">
                  <c:v>3495000</c:v>
                </c:pt>
                <c:pt idx="28">
                  <c:v>2987200</c:v>
                </c:pt>
                <c:pt idx="29">
                  <c:v>5990900</c:v>
                </c:pt>
                <c:pt idx="30">
                  <c:v>8061200</c:v>
                </c:pt>
                <c:pt idx="31">
                  <c:v>8061200</c:v>
                </c:pt>
                <c:pt idx="32">
                  <c:v>8061200</c:v>
                </c:pt>
                <c:pt idx="33">
                  <c:v>2507600</c:v>
                </c:pt>
                <c:pt idx="34">
                  <c:v>1410800</c:v>
                </c:pt>
                <c:pt idx="35">
                  <c:v>1137500</c:v>
                </c:pt>
                <c:pt idx="36">
                  <c:v>1235200</c:v>
                </c:pt>
                <c:pt idx="37">
                  <c:v>1877000</c:v>
                </c:pt>
                <c:pt idx="38">
                  <c:v>1877000</c:v>
                </c:pt>
                <c:pt idx="39">
                  <c:v>1877000</c:v>
                </c:pt>
                <c:pt idx="40">
                  <c:v>1187700</c:v>
                </c:pt>
                <c:pt idx="41">
                  <c:v>786100</c:v>
                </c:pt>
                <c:pt idx="42">
                  <c:v>582700</c:v>
                </c:pt>
                <c:pt idx="43">
                  <c:v>684500</c:v>
                </c:pt>
                <c:pt idx="44">
                  <c:v>602100</c:v>
                </c:pt>
                <c:pt idx="45">
                  <c:v>602100</c:v>
                </c:pt>
                <c:pt idx="46">
                  <c:v>602100</c:v>
                </c:pt>
                <c:pt idx="47">
                  <c:v>904200</c:v>
                </c:pt>
                <c:pt idx="48">
                  <c:v>1491800</c:v>
                </c:pt>
                <c:pt idx="49">
                  <c:v>1028400</c:v>
                </c:pt>
                <c:pt idx="50">
                  <c:v>855600</c:v>
                </c:pt>
                <c:pt idx="51">
                  <c:v>2625200</c:v>
                </c:pt>
                <c:pt idx="52">
                  <c:v>2625200</c:v>
                </c:pt>
                <c:pt idx="53">
                  <c:v>2625200</c:v>
                </c:pt>
                <c:pt idx="54">
                  <c:v>1955400</c:v>
                </c:pt>
                <c:pt idx="55">
                  <c:v>1610200</c:v>
                </c:pt>
                <c:pt idx="56">
                  <c:v>2385800</c:v>
                </c:pt>
                <c:pt idx="57">
                  <c:v>2370200</c:v>
                </c:pt>
                <c:pt idx="58">
                  <c:v>1759000</c:v>
                </c:pt>
                <c:pt idx="59">
                  <c:v>1759000</c:v>
                </c:pt>
                <c:pt idx="60">
                  <c:v>1759000</c:v>
                </c:pt>
                <c:pt idx="61">
                  <c:v>5381000</c:v>
                </c:pt>
                <c:pt idx="62">
                  <c:v>4716300</c:v>
                </c:pt>
                <c:pt idx="63">
                  <c:v>2442600</c:v>
                </c:pt>
                <c:pt idx="64">
                  <c:v>821500</c:v>
                </c:pt>
                <c:pt idx="65">
                  <c:v>757200</c:v>
                </c:pt>
                <c:pt idx="66">
                  <c:v>757200</c:v>
                </c:pt>
                <c:pt idx="67">
                  <c:v>757200</c:v>
                </c:pt>
                <c:pt idx="68">
                  <c:v>1525800</c:v>
                </c:pt>
                <c:pt idx="69">
                  <c:v>2555500</c:v>
                </c:pt>
                <c:pt idx="70">
                  <c:v>3061100</c:v>
                </c:pt>
                <c:pt idx="71">
                  <c:v>4304600</c:v>
                </c:pt>
                <c:pt idx="72">
                  <c:v>1959300</c:v>
                </c:pt>
                <c:pt idx="73">
                  <c:v>1959300</c:v>
                </c:pt>
                <c:pt idx="74">
                  <c:v>1959300</c:v>
                </c:pt>
                <c:pt idx="75">
                  <c:v>2668600</c:v>
                </c:pt>
                <c:pt idx="76">
                  <c:v>2545400</c:v>
                </c:pt>
                <c:pt idx="77">
                  <c:v>3410500</c:v>
                </c:pt>
                <c:pt idx="78">
                  <c:v>2233400</c:v>
                </c:pt>
                <c:pt idx="79">
                  <c:v>1586200</c:v>
                </c:pt>
                <c:pt idx="80">
                  <c:v>1586200</c:v>
                </c:pt>
                <c:pt idx="81">
                  <c:v>1586200</c:v>
                </c:pt>
                <c:pt idx="82">
                  <c:v>1365200</c:v>
                </c:pt>
                <c:pt idx="83">
                  <c:v>1365200</c:v>
                </c:pt>
                <c:pt idx="84">
                  <c:v>3040400</c:v>
                </c:pt>
                <c:pt idx="85">
                  <c:v>5046100</c:v>
                </c:pt>
                <c:pt idx="86">
                  <c:v>3975400</c:v>
                </c:pt>
                <c:pt idx="87">
                  <c:v>3975400</c:v>
                </c:pt>
                <c:pt idx="88">
                  <c:v>3975400</c:v>
                </c:pt>
                <c:pt idx="89">
                  <c:v>2987500</c:v>
                </c:pt>
                <c:pt idx="90">
                  <c:v>3015700</c:v>
                </c:pt>
                <c:pt idx="91">
                  <c:v>3549900</c:v>
                </c:pt>
                <c:pt idx="92">
                  <c:v>3098400</c:v>
                </c:pt>
                <c:pt idx="93">
                  <c:v>5855000</c:v>
                </c:pt>
                <c:pt idx="94">
                  <c:v>5855000</c:v>
                </c:pt>
                <c:pt idx="95">
                  <c:v>5855000</c:v>
                </c:pt>
                <c:pt idx="96">
                  <c:v>2305200</c:v>
                </c:pt>
                <c:pt idx="97">
                  <c:v>3744300</c:v>
                </c:pt>
                <c:pt idx="98">
                  <c:v>1178900</c:v>
                </c:pt>
                <c:pt idx="99">
                  <c:v>2295900</c:v>
                </c:pt>
                <c:pt idx="100">
                  <c:v>3442700</c:v>
                </c:pt>
                <c:pt idx="101">
                  <c:v>3442700</c:v>
                </c:pt>
                <c:pt idx="102">
                  <c:v>3442700</c:v>
                </c:pt>
                <c:pt idx="103">
                  <c:v>2200100</c:v>
                </c:pt>
                <c:pt idx="104">
                  <c:v>1235200</c:v>
                </c:pt>
                <c:pt idx="105">
                  <c:v>3637700</c:v>
                </c:pt>
                <c:pt idx="106">
                  <c:v>1871700</c:v>
                </c:pt>
                <c:pt idx="107">
                  <c:v>6159600</c:v>
                </c:pt>
                <c:pt idx="108">
                  <c:v>6159600</c:v>
                </c:pt>
                <c:pt idx="109">
                  <c:v>6159600</c:v>
                </c:pt>
                <c:pt idx="110">
                  <c:v>3122400</c:v>
                </c:pt>
                <c:pt idx="111">
                  <c:v>2554800</c:v>
                </c:pt>
                <c:pt idx="112">
                  <c:v>1603100</c:v>
                </c:pt>
                <c:pt idx="113">
                  <c:v>1792800</c:v>
                </c:pt>
                <c:pt idx="114">
                  <c:v>1568300</c:v>
                </c:pt>
                <c:pt idx="115">
                  <c:v>1568300</c:v>
                </c:pt>
                <c:pt idx="116">
                  <c:v>1568300</c:v>
                </c:pt>
                <c:pt idx="117">
                  <c:v>2915100</c:v>
                </c:pt>
                <c:pt idx="118">
                  <c:v>1979500</c:v>
                </c:pt>
                <c:pt idx="119">
                  <c:v>3370300</c:v>
                </c:pt>
                <c:pt idx="120">
                  <c:v>2585600</c:v>
                </c:pt>
                <c:pt idx="121">
                  <c:v>3984900</c:v>
                </c:pt>
                <c:pt idx="122">
                  <c:v>3984900</c:v>
                </c:pt>
                <c:pt idx="123">
                  <c:v>3984900</c:v>
                </c:pt>
                <c:pt idx="124">
                  <c:v>13144600</c:v>
                </c:pt>
                <c:pt idx="125">
                  <c:v>2583800</c:v>
                </c:pt>
                <c:pt idx="126">
                  <c:v>2955700</c:v>
                </c:pt>
                <c:pt idx="127">
                  <c:v>3015400</c:v>
                </c:pt>
                <c:pt idx="128">
                  <c:v>1570800</c:v>
                </c:pt>
                <c:pt idx="129">
                  <c:v>1570800</c:v>
                </c:pt>
                <c:pt idx="130">
                  <c:v>1570800</c:v>
                </c:pt>
                <c:pt idx="131">
                  <c:v>2365200</c:v>
                </c:pt>
                <c:pt idx="132">
                  <c:v>2365200</c:v>
                </c:pt>
                <c:pt idx="133">
                  <c:v>1697000</c:v>
                </c:pt>
                <c:pt idx="134">
                  <c:v>2648700</c:v>
                </c:pt>
                <c:pt idx="135">
                  <c:v>2127600</c:v>
                </c:pt>
                <c:pt idx="136">
                  <c:v>2127600</c:v>
                </c:pt>
                <c:pt idx="137">
                  <c:v>2127600</c:v>
                </c:pt>
                <c:pt idx="138">
                  <c:v>1826300</c:v>
                </c:pt>
                <c:pt idx="139">
                  <c:v>1710400</c:v>
                </c:pt>
                <c:pt idx="140">
                  <c:v>1246800</c:v>
                </c:pt>
                <c:pt idx="141">
                  <c:v>2002600</c:v>
                </c:pt>
                <c:pt idx="142">
                  <c:v>2002600</c:v>
                </c:pt>
                <c:pt idx="143">
                  <c:v>2002600</c:v>
                </c:pt>
                <c:pt idx="144">
                  <c:v>2002600</c:v>
                </c:pt>
                <c:pt idx="145">
                  <c:v>2002600</c:v>
                </c:pt>
                <c:pt idx="146">
                  <c:v>2343100</c:v>
                </c:pt>
                <c:pt idx="147">
                  <c:v>1127500</c:v>
                </c:pt>
                <c:pt idx="148">
                  <c:v>1063300</c:v>
                </c:pt>
                <c:pt idx="149">
                  <c:v>2167800</c:v>
                </c:pt>
                <c:pt idx="150">
                  <c:v>2167800</c:v>
                </c:pt>
                <c:pt idx="151">
                  <c:v>2167800</c:v>
                </c:pt>
                <c:pt idx="152">
                  <c:v>973200</c:v>
                </c:pt>
                <c:pt idx="153">
                  <c:v>3623600</c:v>
                </c:pt>
                <c:pt idx="154">
                  <c:v>2780800</c:v>
                </c:pt>
                <c:pt idx="155">
                  <c:v>2822900</c:v>
                </c:pt>
                <c:pt idx="156">
                  <c:v>2545700</c:v>
                </c:pt>
                <c:pt idx="157">
                  <c:v>2545700</c:v>
                </c:pt>
                <c:pt idx="158">
                  <c:v>2545700</c:v>
                </c:pt>
                <c:pt idx="159">
                  <c:v>1570300</c:v>
                </c:pt>
                <c:pt idx="160">
                  <c:v>1861400</c:v>
                </c:pt>
                <c:pt idx="161">
                  <c:v>1319600</c:v>
                </c:pt>
                <c:pt idx="162">
                  <c:v>1909400</c:v>
                </c:pt>
                <c:pt idx="163">
                  <c:v>2258800</c:v>
                </c:pt>
                <c:pt idx="164">
                  <c:v>2258800</c:v>
                </c:pt>
                <c:pt idx="165">
                  <c:v>2258800</c:v>
                </c:pt>
                <c:pt idx="166">
                  <c:v>2007400</c:v>
                </c:pt>
                <c:pt idx="167">
                  <c:v>2460800</c:v>
                </c:pt>
                <c:pt idx="168">
                  <c:v>3117800</c:v>
                </c:pt>
                <c:pt idx="169">
                  <c:v>2148000</c:v>
                </c:pt>
                <c:pt idx="170">
                  <c:v>2878000</c:v>
                </c:pt>
                <c:pt idx="171">
                  <c:v>2878000</c:v>
                </c:pt>
                <c:pt idx="172">
                  <c:v>2878000</c:v>
                </c:pt>
                <c:pt idx="173">
                  <c:v>2751100</c:v>
                </c:pt>
                <c:pt idx="174">
                  <c:v>6384400</c:v>
                </c:pt>
                <c:pt idx="175">
                  <c:v>8450600</c:v>
                </c:pt>
                <c:pt idx="176">
                  <c:v>10090600</c:v>
                </c:pt>
                <c:pt idx="177">
                  <c:v>12686700</c:v>
                </c:pt>
                <c:pt idx="178">
                  <c:v>12686700</c:v>
                </c:pt>
                <c:pt idx="179">
                  <c:v>12686700</c:v>
                </c:pt>
                <c:pt idx="180">
                  <c:v>5550300</c:v>
                </c:pt>
                <c:pt idx="181">
                  <c:v>16295500</c:v>
                </c:pt>
                <c:pt idx="182">
                  <c:v>1295500</c:v>
                </c:pt>
                <c:pt idx="183">
                  <c:v>1319600</c:v>
                </c:pt>
                <c:pt idx="184">
                  <c:v>1734900</c:v>
                </c:pt>
                <c:pt idx="185">
                  <c:v>1734900</c:v>
                </c:pt>
                <c:pt idx="186">
                  <c:v>1734900</c:v>
                </c:pt>
                <c:pt idx="187">
                  <c:v>1430000</c:v>
                </c:pt>
                <c:pt idx="188">
                  <c:v>1118900</c:v>
                </c:pt>
                <c:pt idx="189">
                  <c:v>2143100</c:v>
                </c:pt>
                <c:pt idx="190">
                  <c:v>2143100</c:v>
                </c:pt>
                <c:pt idx="191">
                  <c:v>2143100</c:v>
                </c:pt>
                <c:pt idx="192">
                  <c:v>2143100</c:v>
                </c:pt>
                <c:pt idx="193">
                  <c:v>2143100</c:v>
                </c:pt>
                <c:pt idx="194">
                  <c:v>1964400</c:v>
                </c:pt>
                <c:pt idx="195">
                  <c:v>3126200</c:v>
                </c:pt>
                <c:pt idx="196">
                  <c:v>2764700</c:v>
                </c:pt>
                <c:pt idx="197">
                  <c:v>1631400</c:v>
                </c:pt>
                <c:pt idx="198">
                  <c:v>2264400</c:v>
                </c:pt>
                <c:pt idx="199">
                  <c:v>2264400</c:v>
                </c:pt>
                <c:pt idx="200">
                  <c:v>2264400</c:v>
                </c:pt>
                <c:pt idx="201">
                  <c:v>1656800</c:v>
                </c:pt>
                <c:pt idx="202">
                  <c:v>2434100</c:v>
                </c:pt>
                <c:pt idx="203">
                  <c:v>2180900</c:v>
                </c:pt>
                <c:pt idx="204">
                  <c:v>2760000</c:v>
                </c:pt>
                <c:pt idx="205">
                  <c:v>2174300</c:v>
                </c:pt>
                <c:pt idx="206">
                  <c:v>2174300</c:v>
                </c:pt>
                <c:pt idx="207">
                  <c:v>2174300</c:v>
                </c:pt>
                <c:pt idx="208">
                  <c:v>1604500</c:v>
                </c:pt>
                <c:pt idx="209">
                  <c:v>2165100</c:v>
                </c:pt>
                <c:pt idx="210">
                  <c:v>1623500</c:v>
                </c:pt>
                <c:pt idx="211">
                  <c:v>994400</c:v>
                </c:pt>
                <c:pt idx="212">
                  <c:v>3115700</c:v>
                </c:pt>
                <c:pt idx="213">
                  <c:v>3115700</c:v>
                </c:pt>
                <c:pt idx="214">
                  <c:v>3115700</c:v>
                </c:pt>
                <c:pt idx="215">
                  <c:v>2612500</c:v>
                </c:pt>
                <c:pt idx="216">
                  <c:v>2211300</c:v>
                </c:pt>
                <c:pt idx="217">
                  <c:v>1918600</c:v>
                </c:pt>
                <c:pt idx="218">
                  <c:v>1293900</c:v>
                </c:pt>
                <c:pt idx="219">
                  <c:v>1733600</c:v>
                </c:pt>
                <c:pt idx="220">
                  <c:v>1733600</c:v>
                </c:pt>
                <c:pt idx="221">
                  <c:v>1733600</c:v>
                </c:pt>
                <c:pt idx="222">
                  <c:v>3346500</c:v>
                </c:pt>
                <c:pt idx="223">
                  <c:v>1230400</c:v>
                </c:pt>
                <c:pt idx="224">
                  <c:v>1369500</c:v>
                </c:pt>
                <c:pt idx="225">
                  <c:v>1976200</c:v>
                </c:pt>
                <c:pt idx="226">
                  <c:v>905300</c:v>
                </c:pt>
                <c:pt idx="227">
                  <c:v>905300</c:v>
                </c:pt>
                <c:pt idx="228">
                  <c:v>905300</c:v>
                </c:pt>
                <c:pt idx="229">
                  <c:v>2031700</c:v>
                </c:pt>
                <c:pt idx="230">
                  <c:v>2873800</c:v>
                </c:pt>
                <c:pt idx="231">
                  <c:v>1121800</c:v>
                </c:pt>
                <c:pt idx="232">
                  <c:v>1575900</c:v>
                </c:pt>
                <c:pt idx="233">
                  <c:v>1823300</c:v>
                </c:pt>
                <c:pt idx="234">
                  <c:v>1823300</c:v>
                </c:pt>
                <c:pt idx="235">
                  <c:v>1823300</c:v>
                </c:pt>
                <c:pt idx="236">
                  <c:v>1165000</c:v>
                </c:pt>
                <c:pt idx="237">
                  <c:v>1621400</c:v>
                </c:pt>
                <c:pt idx="238">
                  <c:v>1490300</c:v>
                </c:pt>
                <c:pt idx="239">
                  <c:v>1702200</c:v>
                </c:pt>
                <c:pt idx="240">
                  <c:v>785700</c:v>
                </c:pt>
                <c:pt idx="241">
                  <c:v>785700</c:v>
                </c:pt>
                <c:pt idx="242">
                  <c:v>785700</c:v>
                </c:pt>
                <c:pt idx="243">
                  <c:v>777000</c:v>
                </c:pt>
                <c:pt idx="244">
                  <c:v>1000400</c:v>
                </c:pt>
                <c:pt idx="245">
                  <c:v>2623200</c:v>
                </c:pt>
                <c:pt idx="246">
                  <c:v>1856700</c:v>
                </c:pt>
                <c:pt idx="247">
                  <c:v>1559300</c:v>
                </c:pt>
                <c:pt idx="248">
                  <c:v>1559300</c:v>
                </c:pt>
                <c:pt idx="249">
                  <c:v>1559300</c:v>
                </c:pt>
                <c:pt idx="250">
                  <c:v>2199700</c:v>
                </c:pt>
                <c:pt idx="251">
                  <c:v>1257400</c:v>
                </c:pt>
                <c:pt idx="252">
                  <c:v>1257400</c:v>
                </c:pt>
                <c:pt idx="253">
                  <c:v>1257400</c:v>
                </c:pt>
                <c:pt idx="254">
                  <c:v>1625000</c:v>
                </c:pt>
                <c:pt idx="255">
                  <c:v>1625000</c:v>
                </c:pt>
                <c:pt idx="256">
                  <c:v>1625000</c:v>
                </c:pt>
                <c:pt idx="257">
                  <c:v>2312500</c:v>
                </c:pt>
                <c:pt idx="258">
                  <c:v>1580200</c:v>
                </c:pt>
                <c:pt idx="259">
                  <c:v>1580200</c:v>
                </c:pt>
                <c:pt idx="260">
                  <c:v>1580200</c:v>
                </c:pt>
                <c:pt idx="261">
                  <c:v>3665800</c:v>
                </c:pt>
                <c:pt idx="262">
                  <c:v>3665800</c:v>
                </c:pt>
                <c:pt idx="263">
                  <c:v>3665800</c:v>
                </c:pt>
                <c:pt idx="264">
                  <c:v>3489800</c:v>
                </c:pt>
                <c:pt idx="265">
                  <c:v>4361500</c:v>
                </c:pt>
                <c:pt idx="266">
                  <c:v>1921500</c:v>
                </c:pt>
                <c:pt idx="267">
                  <c:v>2873100</c:v>
                </c:pt>
                <c:pt idx="268">
                  <c:v>3657200</c:v>
                </c:pt>
                <c:pt idx="269">
                  <c:v>3657200</c:v>
                </c:pt>
                <c:pt idx="270">
                  <c:v>3657200</c:v>
                </c:pt>
                <c:pt idx="271">
                  <c:v>2314200</c:v>
                </c:pt>
                <c:pt idx="272">
                  <c:v>3335800</c:v>
                </c:pt>
                <c:pt idx="273">
                  <c:v>4487900</c:v>
                </c:pt>
                <c:pt idx="274">
                  <c:v>2651300</c:v>
                </c:pt>
                <c:pt idx="275">
                  <c:v>2726700</c:v>
                </c:pt>
                <c:pt idx="276">
                  <c:v>2726700</c:v>
                </c:pt>
                <c:pt idx="277">
                  <c:v>2726700</c:v>
                </c:pt>
                <c:pt idx="278">
                  <c:v>2721800</c:v>
                </c:pt>
                <c:pt idx="279">
                  <c:v>2725700</c:v>
                </c:pt>
                <c:pt idx="280">
                  <c:v>1047700</c:v>
                </c:pt>
                <c:pt idx="281">
                  <c:v>1550800</c:v>
                </c:pt>
                <c:pt idx="282">
                  <c:v>4103200</c:v>
                </c:pt>
                <c:pt idx="283">
                  <c:v>4103200</c:v>
                </c:pt>
                <c:pt idx="284">
                  <c:v>4103200</c:v>
                </c:pt>
                <c:pt idx="285">
                  <c:v>3653300</c:v>
                </c:pt>
                <c:pt idx="286">
                  <c:v>2226900</c:v>
                </c:pt>
                <c:pt idx="287">
                  <c:v>1907300</c:v>
                </c:pt>
                <c:pt idx="288">
                  <c:v>1556400</c:v>
                </c:pt>
                <c:pt idx="289">
                  <c:v>1060700</c:v>
                </c:pt>
                <c:pt idx="290">
                  <c:v>1060700</c:v>
                </c:pt>
                <c:pt idx="291">
                  <c:v>1060700</c:v>
                </c:pt>
                <c:pt idx="292">
                  <c:v>1691500</c:v>
                </c:pt>
                <c:pt idx="293">
                  <c:v>1624800</c:v>
                </c:pt>
                <c:pt idx="294">
                  <c:v>1624800</c:v>
                </c:pt>
                <c:pt idx="295">
                  <c:v>2369800</c:v>
                </c:pt>
                <c:pt idx="296">
                  <c:v>3400800</c:v>
                </c:pt>
                <c:pt idx="297">
                  <c:v>3400800</c:v>
                </c:pt>
                <c:pt idx="298">
                  <c:v>3400800</c:v>
                </c:pt>
                <c:pt idx="299">
                  <c:v>3400800</c:v>
                </c:pt>
                <c:pt idx="300">
                  <c:v>1643000</c:v>
                </c:pt>
                <c:pt idx="301">
                  <c:v>951400</c:v>
                </c:pt>
                <c:pt idx="302">
                  <c:v>1323200</c:v>
                </c:pt>
                <c:pt idx="303">
                  <c:v>2244600</c:v>
                </c:pt>
                <c:pt idx="304">
                  <c:v>2244600</c:v>
                </c:pt>
                <c:pt idx="305">
                  <c:v>2244600</c:v>
                </c:pt>
                <c:pt idx="306">
                  <c:v>1032000</c:v>
                </c:pt>
                <c:pt idx="307">
                  <c:v>1833500</c:v>
                </c:pt>
                <c:pt idx="308">
                  <c:v>1238300</c:v>
                </c:pt>
                <c:pt idx="309">
                  <c:v>2131400</c:v>
                </c:pt>
                <c:pt idx="310">
                  <c:v>1688200</c:v>
                </c:pt>
                <c:pt idx="311">
                  <c:v>1688200</c:v>
                </c:pt>
                <c:pt idx="312">
                  <c:v>1688200</c:v>
                </c:pt>
                <c:pt idx="313">
                  <c:v>1308800</c:v>
                </c:pt>
                <c:pt idx="314">
                  <c:v>1411900</c:v>
                </c:pt>
                <c:pt idx="315">
                  <c:v>2387800</c:v>
                </c:pt>
                <c:pt idx="316">
                  <c:v>1015100</c:v>
                </c:pt>
                <c:pt idx="317">
                  <c:v>1345200</c:v>
                </c:pt>
                <c:pt idx="318">
                  <c:v>1345200</c:v>
                </c:pt>
                <c:pt idx="319">
                  <c:v>1345200</c:v>
                </c:pt>
                <c:pt idx="320">
                  <c:v>1257000</c:v>
                </c:pt>
                <c:pt idx="321">
                  <c:v>1003000</c:v>
                </c:pt>
                <c:pt idx="322">
                  <c:v>1645200</c:v>
                </c:pt>
                <c:pt idx="323">
                  <c:v>678300</c:v>
                </c:pt>
                <c:pt idx="324">
                  <c:v>1522000</c:v>
                </c:pt>
                <c:pt idx="325">
                  <c:v>1522000</c:v>
                </c:pt>
                <c:pt idx="326">
                  <c:v>1522000</c:v>
                </c:pt>
                <c:pt idx="327">
                  <c:v>1130700</c:v>
                </c:pt>
                <c:pt idx="328">
                  <c:v>2316700</c:v>
                </c:pt>
                <c:pt idx="329">
                  <c:v>1567400</c:v>
                </c:pt>
                <c:pt idx="330">
                  <c:v>940400</c:v>
                </c:pt>
                <c:pt idx="331">
                  <c:v>1402000</c:v>
                </c:pt>
                <c:pt idx="332">
                  <c:v>1402000</c:v>
                </c:pt>
                <c:pt idx="333">
                  <c:v>1402000</c:v>
                </c:pt>
                <c:pt idx="334">
                  <c:v>1146800</c:v>
                </c:pt>
                <c:pt idx="335">
                  <c:v>1835500</c:v>
                </c:pt>
                <c:pt idx="336">
                  <c:v>1815300</c:v>
                </c:pt>
                <c:pt idx="337">
                  <c:v>1214300</c:v>
                </c:pt>
                <c:pt idx="338">
                  <c:v>1909600</c:v>
                </c:pt>
                <c:pt idx="339">
                  <c:v>1909600</c:v>
                </c:pt>
                <c:pt idx="340">
                  <c:v>1909600</c:v>
                </c:pt>
                <c:pt idx="341">
                  <c:v>2523600</c:v>
                </c:pt>
                <c:pt idx="342">
                  <c:v>4913600</c:v>
                </c:pt>
                <c:pt idx="343">
                  <c:v>4024200</c:v>
                </c:pt>
                <c:pt idx="344">
                  <c:v>2994100</c:v>
                </c:pt>
                <c:pt idx="345">
                  <c:v>2086300</c:v>
                </c:pt>
                <c:pt idx="346">
                  <c:v>2086300</c:v>
                </c:pt>
                <c:pt idx="347">
                  <c:v>2086300</c:v>
                </c:pt>
                <c:pt idx="348">
                  <c:v>1145300</c:v>
                </c:pt>
                <c:pt idx="349">
                  <c:v>1487100</c:v>
                </c:pt>
                <c:pt idx="350">
                  <c:v>1733800</c:v>
                </c:pt>
                <c:pt idx="351">
                  <c:v>2051300</c:v>
                </c:pt>
                <c:pt idx="352">
                  <c:v>3283400</c:v>
                </c:pt>
                <c:pt idx="353">
                  <c:v>3283400</c:v>
                </c:pt>
                <c:pt idx="354">
                  <c:v>3283400</c:v>
                </c:pt>
                <c:pt idx="355">
                  <c:v>1548700</c:v>
                </c:pt>
                <c:pt idx="356">
                  <c:v>3879900</c:v>
                </c:pt>
                <c:pt idx="357">
                  <c:v>1767100</c:v>
                </c:pt>
                <c:pt idx="358">
                  <c:v>1419600</c:v>
                </c:pt>
                <c:pt idx="359">
                  <c:v>2391700</c:v>
                </c:pt>
                <c:pt idx="360">
                  <c:v>2391700</c:v>
                </c:pt>
                <c:pt idx="361">
                  <c:v>2391700</c:v>
                </c:pt>
                <c:pt idx="362">
                  <c:v>2115700</c:v>
                </c:pt>
                <c:pt idx="363">
                  <c:v>1690200</c:v>
                </c:pt>
                <c:pt idx="364">
                  <c:v>1891500</c:v>
                </c:pt>
                <c:pt idx="365">
                  <c:v>2569000</c:v>
                </c:pt>
                <c:pt idx="366">
                  <c:v>1469400</c:v>
                </c:pt>
                <c:pt idx="367">
                  <c:v>1469400</c:v>
                </c:pt>
                <c:pt idx="368">
                  <c:v>1469400</c:v>
                </c:pt>
                <c:pt idx="369">
                  <c:v>3303500</c:v>
                </c:pt>
                <c:pt idx="370">
                  <c:v>1805000</c:v>
                </c:pt>
                <c:pt idx="371">
                  <c:v>2250800</c:v>
                </c:pt>
                <c:pt idx="372">
                  <c:v>1921100</c:v>
                </c:pt>
                <c:pt idx="373">
                  <c:v>4731200</c:v>
                </c:pt>
                <c:pt idx="374">
                  <c:v>4731200</c:v>
                </c:pt>
                <c:pt idx="375">
                  <c:v>4731200</c:v>
                </c:pt>
                <c:pt idx="376">
                  <c:v>3540400</c:v>
                </c:pt>
                <c:pt idx="377">
                  <c:v>1161300</c:v>
                </c:pt>
                <c:pt idx="378">
                  <c:v>1511000</c:v>
                </c:pt>
                <c:pt idx="379">
                  <c:v>863400</c:v>
                </c:pt>
                <c:pt idx="380">
                  <c:v>1437600</c:v>
                </c:pt>
                <c:pt idx="381">
                  <c:v>1437600</c:v>
                </c:pt>
                <c:pt idx="382">
                  <c:v>1437600</c:v>
                </c:pt>
                <c:pt idx="383">
                  <c:v>1251900</c:v>
                </c:pt>
                <c:pt idx="384">
                  <c:v>977400</c:v>
                </c:pt>
                <c:pt idx="385">
                  <c:v>1075800</c:v>
                </c:pt>
                <c:pt idx="386">
                  <c:v>1655100</c:v>
                </c:pt>
                <c:pt idx="387">
                  <c:v>3142700</c:v>
                </c:pt>
                <c:pt idx="388">
                  <c:v>3142700</c:v>
                </c:pt>
                <c:pt idx="389">
                  <c:v>3142700</c:v>
                </c:pt>
                <c:pt idx="390">
                  <c:v>2644200</c:v>
                </c:pt>
                <c:pt idx="391">
                  <c:v>2141800</c:v>
                </c:pt>
                <c:pt idx="392">
                  <c:v>1274600</c:v>
                </c:pt>
                <c:pt idx="393">
                  <c:v>1412200</c:v>
                </c:pt>
                <c:pt idx="394">
                  <c:v>3482000</c:v>
                </c:pt>
                <c:pt idx="395">
                  <c:v>3482000</c:v>
                </c:pt>
                <c:pt idx="396">
                  <c:v>3482000</c:v>
                </c:pt>
                <c:pt idx="397">
                  <c:v>1663200</c:v>
                </c:pt>
                <c:pt idx="398">
                  <c:v>1129200</c:v>
                </c:pt>
                <c:pt idx="399">
                  <c:v>1127300</c:v>
                </c:pt>
                <c:pt idx="400">
                  <c:v>2085600</c:v>
                </c:pt>
                <c:pt idx="401">
                  <c:v>1276400</c:v>
                </c:pt>
                <c:pt idx="402">
                  <c:v>1276400</c:v>
                </c:pt>
                <c:pt idx="403">
                  <c:v>1276400</c:v>
                </c:pt>
                <c:pt idx="404">
                  <c:v>1160300</c:v>
                </c:pt>
                <c:pt idx="405">
                  <c:v>1740500</c:v>
                </c:pt>
                <c:pt idx="406">
                  <c:v>943200</c:v>
                </c:pt>
                <c:pt idx="407">
                  <c:v>932600</c:v>
                </c:pt>
                <c:pt idx="408">
                  <c:v>797100</c:v>
                </c:pt>
                <c:pt idx="409">
                  <c:v>797100</c:v>
                </c:pt>
                <c:pt idx="410">
                  <c:v>797100</c:v>
                </c:pt>
                <c:pt idx="411">
                  <c:v>1040000</c:v>
                </c:pt>
                <c:pt idx="412">
                  <c:v>1042600</c:v>
                </c:pt>
                <c:pt idx="413">
                  <c:v>891500</c:v>
                </c:pt>
                <c:pt idx="414">
                  <c:v>1302500</c:v>
                </c:pt>
                <c:pt idx="415">
                  <c:v>807800</c:v>
                </c:pt>
                <c:pt idx="416">
                  <c:v>807800</c:v>
                </c:pt>
                <c:pt idx="417">
                  <c:v>807800</c:v>
                </c:pt>
                <c:pt idx="418">
                  <c:v>2117800</c:v>
                </c:pt>
                <c:pt idx="419">
                  <c:v>996600</c:v>
                </c:pt>
                <c:pt idx="420">
                  <c:v>1494600</c:v>
                </c:pt>
                <c:pt idx="421">
                  <c:v>1477100</c:v>
                </c:pt>
                <c:pt idx="422">
                  <c:v>1543700</c:v>
                </c:pt>
                <c:pt idx="423">
                  <c:v>1543700</c:v>
                </c:pt>
                <c:pt idx="424">
                  <c:v>1543700</c:v>
                </c:pt>
                <c:pt idx="425">
                  <c:v>1247300</c:v>
                </c:pt>
                <c:pt idx="426">
                  <c:v>1805200</c:v>
                </c:pt>
                <c:pt idx="427">
                  <c:v>1936400</c:v>
                </c:pt>
                <c:pt idx="428">
                  <c:v>1348900</c:v>
                </c:pt>
                <c:pt idx="429">
                  <c:v>881800</c:v>
                </c:pt>
                <c:pt idx="430">
                  <c:v>881800</c:v>
                </c:pt>
                <c:pt idx="431">
                  <c:v>881800</c:v>
                </c:pt>
                <c:pt idx="432">
                  <c:v>1282700</c:v>
                </c:pt>
                <c:pt idx="433">
                  <c:v>1595300</c:v>
                </c:pt>
                <c:pt idx="434">
                  <c:v>1233500</c:v>
                </c:pt>
                <c:pt idx="435">
                  <c:v>1003900</c:v>
                </c:pt>
                <c:pt idx="436">
                  <c:v>1426700</c:v>
                </c:pt>
                <c:pt idx="437">
                  <c:v>1426700</c:v>
                </c:pt>
                <c:pt idx="438">
                  <c:v>1426700</c:v>
                </c:pt>
                <c:pt idx="439">
                  <c:v>2119200</c:v>
                </c:pt>
                <c:pt idx="440">
                  <c:v>821700</c:v>
                </c:pt>
                <c:pt idx="441">
                  <c:v>1188500</c:v>
                </c:pt>
                <c:pt idx="442">
                  <c:v>1597200</c:v>
                </c:pt>
                <c:pt idx="443">
                  <c:v>3004000</c:v>
                </c:pt>
                <c:pt idx="444">
                  <c:v>3004000</c:v>
                </c:pt>
                <c:pt idx="445">
                  <c:v>3004000</c:v>
                </c:pt>
                <c:pt idx="446">
                  <c:v>2818000</c:v>
                </c:pt>
                <c:pt idx="447">
                  <c:v>2150900</c:v>
                </c:pt>
                <c:pt idx="448">
                  <c:v>2842900</c:v>
                </c:pt>
                <c:pt idx="449">
                  <c:v>1648100</c:v>
                </c:pt>
                <c:pt idx="450">
                  <c:v>1971100</c:v>
                </c:pt>
                <c:pt idx="451">
                  <c:v>1971100</c:v>
                </c:pt>
                <c:pt idx="452">
                  <c:v>1971100</c:v>
                </c:pt>
                <c:pt idx="453">
                  <c:v>2031900</c:v>
                </c:pt>
                <c:pt idx="454">
                  <c:v>3061900</c:v>
                </c:pt>
                <c:pt idx="455">
                  <c:v>2071700</c:v>
                </c:pt>
                <c:pt idx="456">
                  <c:v>1798300</c:v>
                </c:pt>
                <c:pt idx="457">
                  <c:v>1563200</c:v>
                </c:pt>
                <c:pt idx="458">
                  <c:v>1563200</c:v>
                </c:pt>
                <c:pt idx="459">
                  <c:v>1563200</c:v>
                </c:pt>
                <c:pt idx="460">
                  <c:v>1220600</c:v>
                </c:pt>
                <c:pt idx="461">
                  <c:v>2280100</c:v>
                </c:pt>
                <c:pt idx="462">
                  <c:v>1930800</c:v>
                </c:pt>
                <c:pt idx="463">
                  <c:v>1982400</c:v>
                </c:pt>
                <c:pt idx="464">
                  <c:v>1214000</c:v>
                </c:pt>
                <c:pt idx="465">
                  <c:v>1214000</c:v>
                </c:pt>
                <c:pt idx="466">
                  <c:v>1214000</c:v>
                </c:pt>
                <c:pt idx="467">
                  <c:v>1899600</c:v>
                </c:pt>
                <c:pt idx="468">
                  <c:v>1899600</c:v>
                </c:pt>
                <c:pt idx="469">
                  <c:v>1500200</c:v>
                </c:pt>
                <c:pt idx="470">
                  <c:v>1027800</c:v>
                </c:pt>
                <c:pt idx="471">
                  <c:v>1417100</c:v>
                </c:pt>
                <c:pt idx="472">
                  <c:v>1417100</c:v>
                </c:pt>
                <c:pt idx="473">
                  <c:v>1417100</c:v>
                </c:pt>
                <c:pt idx="474">
                  <c:v>3576400</c:v>
                </c:pt>
                <c:pt idx="475">
                  <c:v>7156200</c:v>
                </c:pt>
                <c:pt idx="476">
                  <c:v>2137600</c:v>
                </c:pt>
                <c:pt idx="477">
                  <c:v>1864500</c:v>
                </c:pt>
                <c:pt idx="478">
                  <c:v>1637200</c:v>
                </c:pt>
                <c:pt idx="479">
                  <c:v>1637200</c:v>
                </c:pt>
                <c:pt idx="480">
                  <c:v>1637200</c:v>
                </c:pt>
                <c:pt idx="481">
                  <c:v>1547700</c:v>
                </c:pt>
                <c:pt idx="482">
                  <c:v>3029700</c:v>
                </c:pt>
                <c:pt idx="483">
                  <c:v>2147000</c:v>
                </c:pt>
                <c:pt idx="484">
                  <c:v>1931800</c:v>
                </c:pt>
                <c:pt idx="485">
                  <c:v>2999800</c:v>
                </c:pt>
                <c:pt idx="486">
                  <c:v>2999800</c:v>
                </c:pt>
                <c:pt idx="487">
                  <c:v>2999800</c:v>
                </c:pt>
                <c:pt idx="488">
                  <c:v>4581800</c:v>
                </c:pt>
                <c:pt idx="489">
                  <c:v>1735900</c:v>
                </c:pt>
                <c:pt idx="490">
                  <c:v>1764800</c:v>
                </c:pt>
                <c:pt idx="491">
                  <c:v>2125500</c:v>
                </c:pt>
                <c:pt idx="492">
                  <c:v>2700900</c:v>
                </c:pt>
                <c:pt idx="493">
                  <c:v>2700900</c:v>
                </c:pt>
                <c:pt idx="494">
                  <c:v>2700900</c:v>
                </c:pt>
                <c:pt idx="495">
                  <c:v>1806000</c:v>
                </c:pt>
                <c:pt idx="496">
                  <c:v>3201400</c:v>
                </c:pt>
                <c:pt idx="497">
                  <c:v>3201400</c:v>
                </c:pt>
                <c:pt idx="498">
                  <c:v>2121900</c:v>
                </c:pt>
                <c:pt idx="499">
                  <c:v>1935300</c:v>
                </c:pt>
                <c:pt idx="500">
                  <c:v>1935300</c:v>
                </c:pt>
                <c:pt idx="501">
                  <c:v>1935300</c:v>
                </c:pt>
                <c:pt idx="502">
                  <c:v>1535600</c:v>
                </c:pt>
                <c:pt idx="503">
                  <c:v>1908100</c:v>
                </c:pt>
                <c:pt idx="504">
                  <c:v>2330900</c:v>
                </c:pt>
                <c:pt idx="505">
                  <c:v>1747200</c:v>
                </c:pt>
                <c:pt idx="506">
                  <c:v>2458300</c:v>
                </c:pt>
                <c:pt idx="507">
                  <c:v>2458300</c:v>
                </c:pt>
                <c:pt idx="508">
                  <c:v>2458300</c:v>
                </c:pt>
                <c:pt idx="509">
                  <c:v>2358300</c:v>
                </c:pt>
                <c:pt idx="510">
                  <c:v>3023100</c:v>
                </c:pt>
                <c:pt idx="511">
                  <c:v>2986500</c:v>
                </c:pt>
                <c:pt idx="512">
                  <c:v>3709200</c:v>
                </c:pt>
                <c:pt idx="513">
                  <c:v>2519900</c:v>
                </c:pt>
                <c:pt idx="514">
                  <c:v>2519900</c:v>
                </c:pt>
                <c:pt idx="515">
                  <c:v>2519900</c:v>
                </c:pt>
                <c:pt idx="516">
                  <c:v>2448700</c:v>
                </c:pt>
                <c:pt idx="517">
                  <c:v>4343000</c:v>
                </c:pt>
                <c:pt idx="518">
                  <c:v>1725100</c:v>
                </c:pt>
                <c:pt idx="519">
                  <c:v>1704700</c:v>
                </c:pt>
                <c:pt idx="520">
                  <c:v>2024200</c:v>
                </c:pt>
                <c:pt idx="521">
                  <c:v>2024200</c:v>
                </c:pt>
                <c:pt idx="522">
                  <c:v>2024200</c:v>
                </c:pt>
                <c:pt idx="523">
                  <c:v>3480400</c:v>
                </c:pt>
                <c:pt idx="524">
                  <c:v>4614700</c:v>
                </c:pt>
                <c:pt idx="525">
                  <c:v>1777300</c:v>
                </c:pt>
                <c:pt idx="526">
                  <c:v>1442300</c:v>
                </c:pt>
                <c:pt idx="527">
                  <c:v>2026400</c:v>
                </c:pt>
                <c:pt idx="528">
                  <c:v>2026400</c:v>
                </c:pt>
                <c:pt idx="529">
                  <c:v>2026400</c:v>
                </c:pt>
                <c:pt idx="530">
                  <c:v>2026400</c:v>
                </c:pt>
                <c:pt idx="531">
                  <c:v>3436900</c:v>
                </c:pt>
                <c:pt idx="532">
                  <c:v>2652700</c:v>
                </c:pt>
                <c:pt idx="533">
                  <c:v>1970000</c:v>
                </c:pt>
                <c:pt idx="534">
                  <c:v>1737400</c:v>
                </c:pt>
                <c:pt idx="535">
                  <c:v>1737400</c:v>
                </c:pt>
                <c:pt idx="536">
                  <c:v>1737400</c:v>
                </c:pt>
                <c:pt idx="537">
                  <c:v>2187200</c:v>
                </c:pt>
                <c:pt idx="538">
                  <c:v>4708700</c:v>
                </c:pt>
                <c:pt idx="539">
                  <c:v>1452700</c:v>
                </c:pt>
                <c:pt idx="540">
                  <c:v>1274100</c:v>
                </c:pt>
                <c:pt idx="541">
                  <c:v>1678600</c:v>
                </c:pt>
                <c:pt idx="542">
                  <c:v>1678600</c:v>
                </c:pt>
                <c:pt idx="543">
                  <c:v>1678600</c:v>
                </c:pt>
                <c:pt idx="544">
                  <c:v>1837800</c:v>
                </c:pt>
                <c:pt idx="545">
                  <c:v>2331500</c:v>
                </c:pt>
                <c:pt idx="546">
                  <c:v>1972200</c:v>
                </c:pt>
                <c:pt idx="547">
                  <c:v>970900</c:v>
                </c:pt>
                <c:pt idx="548">
                  <c:v>2069100</c:v>
                </c:pt>
                <c:pt idx="549">
                  <c:v>2069100</c:v>
                </c:pt>
                <c:pt idx="550">
                  <c:v>2069100</c:v>
                </c:pt>
                <c:pt idx="551">
                  <c:v>1757800</c:v>
                </c:pt>
                <c:pt idx="552">
                  <c:v>1904300</c:v>
                </c:pt>
                <c:pt idx="553">
                  <c:v>1867600</c:v>
                </c:pt>
                <c:pt idx="554">
                  <c:v>2470600</c:v>
                </c:pt>
                <c:pt idx="555">
                  <c:v>1395300</c:v>
                </c:pt>
                <c:pt idx="556">
                  <c:v>1395300</c:v>
                </c:pt>
                <c:pt idx="557">
                  <c:v>1395300</c:v>
                </c:pt>
                <c:pt idx="558">
                  <c:v>1591000</c:v>
                </c:pt>
                <c:pt idx="559">
                  <c:v>1634300</c:v>
                </c:pt>
                <c:pt idx="560">
                  <c:v>2965100</c:v>
                </c:pt>
                <c:pt idx="561">
                  <c:v>3189500</c:v>
                </c:pt>
                <c:pt idx="562">
                  <c:v>2054400</c:v>
                </c:pt>
                <c:pt idx="563">
                  <c:v>2054400</c:v>
                </c:pt>
                <c:pt idx="564">
                  <c:v>2054400</c:v>
                </c:pt>
                <c:pt idx="565">
                  <c:v>1530600</c:v>
                </c:pt>
                <c:pt idx="566">
                  <c:v>1406700</c:v>
                </c:pt>
                <c:pt idx="567">
                  <c:v>2079800</c:v>
                </c:pt>
                <c:pt idx="568">
                  <c:v>1139900</c:v>
                </c:pt>
                <c:pt idx="569">
                  <c:v>2057100</c:v>
                </c:pt>
                <c:pt idx="570">
                  <c:v>2057100</c:v>
                </c:pt>
                <c:pt idx="571">
                  <c:v>2057100</c:v>
                </c:pt>
                <c:pt idx="572">
                  <c:v>1821000</c:v>
                </c:pt>
                <c:pt idx="573">
                  <c:v>1043200</c:v>
                </c:pt>
                <c:pt idx="574">
                  <c:v>2102500</c:v>
                </c:pt>
                <c:pt idx="575">
                  <c:v>2102500</c:v>
                </c:pt>
                <c:pt idx="576">
                  <c:v>2102500</c:v>
                </c:pt>
                <c:pt idx="577">
                  <c:v>2102500</c:v>
                </c:pt>
                <c:pt idx="578">
                  <c:v>2102500</c:v>
                </c:pt>
                <c:pt idx="579">
                  <c:v>1720900</c:v>
                </c:pt>
                <c:pt idx="580">
                  <c:v>2379400</c:v>
                </c:pt>
                <c:pt idx="581">
                  <c:v>2889200</c:v>
                </c:pt>
                <c:pt idx="582">
                  <c:v>7243800</c:v>
                </c:pt>
                <c:pt idx="583">
                  <c:v>4615500</c:v>
                </c:pt>
                <c:pt idx="584">
                  <c:v>4615500</c:v>
                </c:pt>
                <c:pt idx="585">
                  <c:v>4615500</c:v>
                </c:pt>
                <c:pt idx="586">
                  <c:v>6980400</c:v>
                </c:pt>
                <c:pt idx="587">
                  <c:v>12581700</c:v>
                </c:pt>
                <c:pt idx="588">
                  <c:v>1987400</c:v>
                </c:pt>
                <c:pt idx="589">
                  <c:v>1650900</c:v>
                </c:pt>
                <c:pt idx="590">
                  <c:v>3511600</c:v>
                </c:pt>
                <c:pt idx="591">
                  <c:v>3511600</c:v>
                </c:pt>
                <c:pt idx="592">
                  <c:v>3511600</c:v>
                </c:pt>
                <c:pt idx="593">
                  <c:v>2413300</c:v>
                </c:pt>
                <c:pt idx="594">
                  <c:v>4785200</c:v>
                </c:pt>
                <c:pt idx="595">
                  <c:v>1546200</c:v>
                </c:pt>
                <c:pt idx="596">
                  <c:v>1969500</c:v>
                </c:pt>
                <c:pt idx="597">
                  <c:v>3288800</c:v>
                </c:pt>
                <c:pt idx="598">
                  <c:v>3288800</c:v>
                </c:pt>
                <c:pt idx="599">
                  <c:v>3288800</c:v>
                </c:pt>
                <c:pt idx="600">
                  <c:v>2361900</c:v>
                </c:pt>
                <c:pt idx="601">
                  <c:v>3826600</c:v>
                </c:pt>
                <c:pt idx="602">
                  <c:v>2150500</c:v>
                </c:pt>
                <c:pt idx="603">
                  <c:v>1991700</c:v>
                </c:pt>
                <c:pt idx="604">
                  <c:v>1699900</c:v>
                </c:pt>
                <c:pt idx="605">
                  <c:v>1699900</c:v>
                </c:pt>
                <c:pt idx="606">
                  <c:v>1699900</c:v>
                </c:pt>
                <c:pt idx="607">
                  <c:v>1027400</c:v>
                </c:pt>
                <c:pt idx="608">
                  <c:v>1338800</c:v>
                </c:pt>
                <c:pt idx="609">
                  <c:v>1493900</c:v>
                </c:pt>
                <c:pt idx="610">
                  <c:v>2261100</c:v>
                </c:pt>
                <c:pt idx="611">
                  <c:v>1506100</c:v>
                </c:pt>
                <c:pt idx="612">
                  <c:v>1506100</c:v>
                </c:pt>
                <c:pt idx="613">
                  <c:v>1506100</c:v>
                </c:pt>
                <c:pt idx="614">
                  <c:v>1756100</c:v>
                </c:pt>
                <c:pt idx="615">
                  <c:v>1754000</c:v>
                </c:pt>
                <c:pt idx="616">
                  <c:v>2316200</c:v>
                </c:pt>
                <c:pt idx="617">
                  <c:v>1364500</c:v>
                </c:pt>
                <c:pt idx="618">
                  <c:v>1364500</c:v>
                </c:pt>
                <c:pt idx="619">
                  <c:v>1364500</c:v>
                </c:pt>
                <c:pt idx="620">
                  <c:v>1364500</c:v>
                </c:pt>
                <c:pt idx="621">
                  <c:v>1364500</c:v>
                </c:pt>
                <c:pt idx="622">
                  <c:v>840800</c:v>
                </c:pt>
                <c:pt idx="623">
                  <c:v>1209700</c:v>
                </c:pt>
                <c:pt idx="624">
                  <c:v>1503200</c:v>
                </c:pt>
                <c:pt idx="625">
                  <c:v>1503200</c:v>
                </c:pt>
                <c:pt idx="626">
                  <c:v>1503200</c:v>
                </c:pt>
                <c:pt idx="627">
                  <c:v>1503200</c:v>
                </c:pt>
                <c:pt idx="628">
                  <c:v>1311100</c:v>
                </c:pt>
                <c:pt idx="629">
                  <c:v>1787900</c:v>
                </c:pt>
                <c:pt idx="630">
                  <c:v>1432700</c:v>
                </c:pt>
                <c:pt idx="631">
                  <c:v>1265200</c:v>
                </c:pt>
                <c:pt idx="632">
                  <c:v>2444100</c:v>
                </c:pt>
                <c:pt idx="633">
                  <c:v>2444100</c:v>
                </c:pt>
                <c:pt idx="634">
                  <c:v>2444100</c:v>
                </c:pt>
                <c:pt idx="635">
                  <c:v>3166100</c:v>
                </c:pt>
                <c:pt idx="636">
                  <c:v>1823500</c:v>
                </c:pt>
                <c:pt idx="637">
                  <c:v>1637500</c:v>
                </c:pt>
                <c:pt idx="638">
                  <c:v>2443900</c:v>
                </c:pt>
                <c:pt idx="639">
                  <c:v>2995000</c:v>
                </c:pt>
                <c:pt idx="640">
                  <c:v>2995000</c:v>
                </c:pt>
                <c:pt idx="641">
                  <c:v>2995000</c:v>
                </c:pt>
                <c:pt idx="642">
                  <c:v>2653800</c:v>
                </c:pt>
                <c:pt idx="643">
                  <c:v>1964100</c:v>
                </c:pt>
                <c:pt idx="644">
                  <c:v>1755800</c:v>
                </c:pt>
                <c:pt idx="645">
                  <c:v>1787700</c:v>
                </c:pt>
                <c:pt idx="646">
                  <c:v>2341400</c:v>
                </c:pt>
                <c:pt idx="647">
                  <c:v>2341400</c:v>
                </c:pt>
                <c:pt idx="648">
                  <c:v>2341400</c:v>
                </c:pt>
                <c:pt idx="649">
                  <c:v>2879900</c:v>
                </c:pt>
                <c:pt idx="650">
                  <c:v>2972500</c:v>
                </c:pt>
                <c:pt idx="651">
                  <c:v>2268800</c:v>
                </c:pt>
                <c:pt idx="652">
                  <c:v>1285700</c:v>
                </c:pt>
                <c:pt idx="653">
                  <c:v>1441200</c:v>
                </c:pt>
                <c:pt idx="654">
                  <c:v>1441200</c:v>
                </c:pt>
                <c:pt idx="655">
                  <c:v>1441200</c:v>
                </c:pt>
                <c:pt idx="656">
                  <c:v>1394700</c:v>
                </c:pt>
                <c:pt idx="657">
                  <c:v>2300100</c:v>
                </c:pt>
                <c:pt idx="658">
                  <c:v>2209900</c:v>
                </c:pt>
                <c:pt idx="659">
                  <c:v>1468400</c:v>
                </c:pt>
                <c:pt idx="660">
                  <c:v>2579100</c:v>
                </c:pt>
                <c:pt idx="661">
                  <c:v>2579100</c:v>
                </c:pt>
                <c:pt idx="662">
                  <c:v>2579100</c:v>
                </c:pt>
                <c:pt idx="663">
                  <c:v>2155000</c:v>
                </c:pt>
                <c:pt idx="664">
                  <c:v>2231100</c:v>
                </c:pt>
                <c:pt idx="665">
                  <c:v>2231100</c:v>
                </c:pt>
                <c:pt idx="666">
                  <c:v>1600500</c:v>
                </c:pt>
                <c:pt idx="667">
                  <c:v>2627600</c:v>
                </c:pt>
                <c:pt idx="668">
                  <c:v>2627600</c:v>
                </c:pt>
                <c:pt idx="669">
                  <c:v>2627600</c:v>
                </c:pt>
                <c:pt idx="670">
                  <c:v>2308900</c:v>
                </c:pt>
                <c:pt idx="671">
                  <c:v>4050600</c:v>
                </c:pt>
                <c:pt idx="672">
                  <c:v>3857500</c:v>
                </c:pt>
                <c:pt idx="673">
                  <c:v>1638400</c:v>
                </c:pt>
                <c:pt idx="674">
                  <c:v>1542600</c:v>
                </c:pt>
                <c:pt idx="675">
                  <c:v>1542600</c:v>
                </c:pt>
                <c:pt idx="676">
                  <c:v>1542600</c:v>
                </c:pt>
                <c:pt idx="677">
                  <c:v>2264300</c:v>
                </c:pt>
                <c:pt idx="678">
                  <c:v>2264300</c:v>
                </c:pt>
                <c:pt idx="679">
                  <c:v>1146700</c:v>
                </c:pt>
                <c:pt idx="680">
                  <c:v>1004200</c:v>
                </c:pt>
                <c:pt idx="681">
                  <c:v>1343000</c:v>
                </c:pt>
                <c:pt idx="682">
                  <c:v>1343000</c:v>
                </c:pt>
                <c:pt idx="683">
                  <c:v>1343000</c:v>
                </c:pt>
                <c:pt idx="684">
                  <c:v>1203200</c:v>
                </c:pt>
                <c:pt idx="685">
                  <c:v>975700</c:v>
                </c:pt>
                <c:pt idx="686">
                  <c:v>1107400</c:v>
                </c:pt>
                <c:pt idx="687">
                  <c:v>2006800</c:v>
                </c:pt>
                <c:pt idx="688">
                  <c:v>3639700</c:v>
                </c:pt>
                <c:pt idx="689">
                  <c:v>3639700</c:v>
                </c:pt>
                <c:pt idx="690">
                  <c:v>3639700</c:v>
                </c:pt>
                <c:pt idx="691">
                  <c:v>3224100</c:v>
                </c:pt>
                <c:pt idx="692">
                  <c:v>2254100</c:v>
                </c:pt>
                <c:pt idx="693">
                  <c:v>722300</c:v>
                </c:pt>
                <c:pt idx="694">
                  <c:v>1324000</c:v>
                </c:pt>
                <c:pt idx="695">
                  <c:v>1118000</c:v>
                </c:pt>
                <c:pt idx="696">
                  <c:v>1118000</c:v>
                </c:pt>
                <c:pt idx="697">
                  <c:v>1118000</c:v>
                </c:pt>
                <c:pt idx="698">
                  <c:v>1098400</c:v>
                </c:pt>
                <c:pt idx="699">
                  <c:v>1098400</c:v>
                </c:pt>
                <c:pt idx="700">
                  <c:v>2359400</c:v>
                </c:pt>
                <c:pt idx="701">
                  <c:v>1001600</c:v>
                </c:pt>
                <c:pt idx="702">
                  <c:v>1335500</c:v>
                </c:pt>
                <c:pt idx="703">
                  <c:v>1335500</c:v>
                </c:pt>
                <c:pt idx="704">
                  <c:v>1335500</c:v>
                </c:pt>
                <c:pt idx="705">
                  <c:v>1799400</c:v>
                </c:pt>
                <c:pt idx="706">
                  <c:v>3862900</c:v>
                </c:pt>
                <c:pt idx="707">
                  <c:v>955100</c:v>
                </c:pt>
                <c:pt idx="708">
                  <c:v>1190800</c:v>
                </c:pt>
                <c:pt idx="709">
                  <c:v>2037300</c:v>
                </c:pt>
                <c:pt idx="710">
                  <c:v>2037300</c:v>
                </c:pt>
                <c:pt idx="711">
                  <c:v>2037300</c:v>
                </c:pt>
                <c:pt idx="712">
                  <c:v>2329700</c:v>
                </c:pt>
                <c:pt idx="713">
                  <c:v>2032800</c:v>
                </c:pt>
                <c:pt idx="714">
                  <c:v>4469100</c:v>
                </c:pt>
                <c:pt idx="715">
                  <c:v>953100</c:v>
                </c:pt>
                <c:pt idx="716">
                  <c:v>1313500</c:v>
                </c:pt>
                <c:pt idx="717">
                  <c:v>1313500</c:v>
                </c:pt>
                <c:pt idx="718">
                  <c:v>1313500</c:v>
                </c:pt>
                <c:pt idx="719">
                  <c:v>1563900</c:v>
                </c:pt>
                <c:pt idx="720">
                  <c:v>1363700</c:v>
                </c:pt>
                <c:pt idx="721">
                  <c:v>1091700</c:v>
                </c:pt>
                <c:pt idx="722">
                  <c:v>561100</c:v>
                </c:pt>
                <c:pt idx="723">
                  <c:v>889100</c:v>
                </c:pt>
                <c:pt idx="724">
                  <c:v>889100</c:v>
                </c:pt>
                <c:pt idx="725">
                  <c:v>889100</c:v>
                </c:pt>
                <c:pt idx="726">
                  <c:v>809000</c:v>
                </c:pt>
                <c:pt idx="727">
                  <c:v>1221500</c:v>
                </c:pt>
                <c:pt idx="728">
                  <c:v>643700</c:v>
                </c:pt>
                <c:pt idx="729">
                  <c:v>771900</c:v>
                </c:pt>
                <c:pt idx="730">
                  <c:v>1277800</c:v>
                </c:pt>
                <c:pt idx="731">
                  <c:v>1277800</c:v>
                </c:pt>
                <c:pt idx="732">
                  <c:v>1277800</c:v>
                </c:pt>
                <c:pt idx="733">
                  <c:v>1898800</c:v>
                </c:pt>
                <c:pt idx="734">
                  <c:v>1898800</c:v>
                </c:pt>
                <c:pt idx="735">
                  <c:v>954000</c:v>
                </c:pt>
                <c:pt idx="736">
                  <c:v>734500</c:v>
                </c:pt>
                <c:pt idx="737">
                  <c:v>1806100</c:v>
                </c:pt>
                <c:pt idx="738">
                  <c:v>1806100</c:v>
                </c:pt>
                <c:pt idx="739">
                  <c:v>1806100</c:v>
                </c:pt>
                <c:pt idx="740">
                  <c:v>2298000</c:v>
                </c:pt>
                <c:pt idx="741">
                  <c:v>1402900</c:v>
                </c:pt>
                <c:pt idx="742">
                  <c:v>1445200</c:v>
                </c:pt>
                <c:pt idx="743">
                  <c:v>1760700</c:v>
                </c:pt>
                <c:pt idx="744">
                  <c:v>1233100</c:v>
                </c:pt>
                <c:pt idx="745">
                  <c:v>1233100</c:v>
                </c:pt>
                <c:pt idx="746">
                  <c:v>1233100</c:v>
                </c:pt>
                <c:pt idx="747">
                  <c:v>1229100</c:v>
                </c:pt>
                <c:pt idx="748">
                  <c:v>1281600</c:v>
                </c:pt>
                <c:pt idx="749">
                  <c:v>1526600</c:v>
                </c:pt>
                <c:pt idx="750">
                  <c:v>2019500</c:v>
                </c:pt>
                <c:pt idx="751">
                  <c:v>1094300</c:v>
                </c:pt>
                <c:pt idx="752">
                  <c:v>1094300</c:v>
                </c:pt>
                <c:pt idx="753">
                  <c:v>1094300</c:v>
                </c:pt>
                <c:pt idx="754">
                  <c:v>1981700</c:v>
                </c:pt>
                <c:pt idx="755">
                  <c:v>1111500</c:v>
                </c:pt>
                <c:pt idx="756">
                  <c:v>1587000</c:v>
                </c:pt>
                <c:pt idx="757">
                  <c:v>1832400</c:v>
                </c:pt>
                <c:pt idx="758">
                  <c:v>3655500</c:v>
                </c:pt>
                <c:pt idx="759">
                  <c:v>3655500</c:v>
                </c:pt>
                <c:pt idx="760">
                  <c:v>3655500</c:v>
                </c:pt>
                <c:pt idx="761">
                  <c:v>2785600</c:v>
                </c:pt>
                <c:pt idx="762">
                  <c:v>1179600</c:v>
                </c:pt>
                <c:pt idx="763">
                  <c:v>1046100</c:v>
                </c:pt>
                <c:pt idx="764">
                  <c:v>992200</c:v>
                </c:pt>
                <c:pt idx="765">
                  <c:v>1606600</c:v>
                </c:pt>
                <c:pt idx="766">
                  <c:v>1606600</c:v>
                </c:pt>
                <c:pt idx="767">
                  <c:v>1606600</c:v>
                </c:pt>
                <c:pt idx="768">
                  <c:v>1785200</c:v>
                </c:pt>
                <c:pt idx="769">
                  <c:v>1087300</c:v>
                </c:pt>
                <c:pt idx="770">
                  <c:v>2125900</c:v>
                </c:pt>
                <c:pt idx="771">
                  <c:v>1176800</c:v>
                </c:pt>
                <c:pt idx="772">
                  <c:v>986300</c:v>
                </c:pt>
                <c:pt idx="773">
                  <c:v>986300</c:v>
                </c:pt>
                <c:pt idx="774">
                  <c:v>986300</c:v>
                </c:pt>
                <c:pt idx="775">
                  <c:v>2104500</c:v>
                </c:pt>
                <c:pt idx="776">
                  <c:v>1287000</c:v>
                </c:pt>
                <c:pt idx="777">
                  <c:v>1321000</c:v>
                </c:pt>
                <c:pt idx="778">
                  <c:v>493900</c:v>
                </c:pt>
                <c:pt idx="779">
                  <c:v>1203100</c:v>
                </c:pt>
                <c:pt idx="780">
                  <c:v>1203100</c:v>
                </c:pt>
                <c:pt idx="781">
                  <c:v>1203100</c:v>
                </c:pt>
                <c:pt idx="782">
                  <c:v>958200</c:v>
                </c:pt>
                <c:pt idx="783">
                  <c:v>1715200</c:v>
                </c:pt>
                <c:pt idx="784">
                  <c:v>712100</c:v>
                </c:pt>
                <c:pt idx="785">
                  <c:v>975800</c:v>
                </c:pt>
                <c:pt idx="786">
                  <c:v>1786700</c:v>
                </c:pt>
                <c:pt idx="787">
                  <c:v>1786700</c:v>
                </c:pt>
                <c:pt idx="788">
                  <c:v>1786700</c:v>
                </c:pt>
                <c:pt idx="789">
                  <c:v>1933400</c:v>
                </c:pt>
                <c:pt idx="790">
                  <c:v>1747000</c:v>
                </c:pt>
                <c:pt idx="791">
                  <c:v>1010000</c:v>
                </c:pt>
                <c:pt idx="792">
                  <c:v>1121900</c:v>
                </c:pt>
                <c:pt idx="793">
                  <c:v>1057000</c:v>
                </c:pt>
                <c:pt idx="794">
                  <c:v>1057000</c:v>
                </c:pt>
                <c:pt idx="795">
                  <c:v>1057000</c:v>
                </c:pt>
                <c:pt idx="796">
                  <c:v>1436600</c:v>
                </c:pt>
                <c:pt idx="797">
                  <c:v>3132400</c:v>
                </c:pt>
                <c:pt idx="798">
                  <c:v>843800</c:v>
                </c:pt>
                <c:pt idx="799">
                  <c:v>1736000</c:v>
                </c:pt>
                <c:pt idx="800">
                  <c:v>3200600</c:v>
                </c:pt>
                <c:pt idx="801">
                  <c:v>3200600</c:v>
                </c:pt>
                <c:pt idx="802">
                  <c:v>3200600</c:v>
                </c:pt>
                <c:pt idx="803">
                  <c:v>1234100</c:v>
                </c:pt>
                <c:pt idx="804">
                  <c:v>1099200</c:v>
                </c:pt>
                <c:pt idx="805">
                  <c:v>1996600</c:v>
                </c:pt>
                <c:pt idx="806">
                  <c:v>979200</c:v>
                </c:pt>
                <c:pt idx="807">
                  <c:v>2625700</c:v>
                </c:pt>
                <c:pt idx="808">
                  <c:v>2625700</c:v>
                </c:pt>
                <c:pt idx="809">
                  <c:v>2625700</c:v>
                </c:pt>
                <c:pt idx="810">
                  <c:v>2338300</c:v>
                </c:pt>
                <c:pt idx="811">
                  <c:v>2709200</c:v>
                </c:pt>
                <c:pt idx="812">
                  <c:v>3032200</c:v>
                </c:pt>
                <c:pt idx="813">
                  <c:v>880300</c:v>
                </c:pt>
                <c:pt idx="814">
                  <c:v>1838300</c:v>
                </c:pt>
                <c:pt idx="815">
                  <c:v>1838300</c:v>
                </c:pt>
                <c:pt idx="816">
                  <c:v>1838300</c:v>
                </c:pt>
                <c:pt idx="817">
                  <c:v>1145500</c:v>
                </c:pt>
                <c:pt idx="818">
                  <c:v>1655200</c:v>
                </c:pt>
                <c:pt idx="819">
                  <c:v>1660800</c:v>
                </c:pt>
                <c:pt idx="820">
                  <c:v>938200</c:v>
                </c:pt>
                <c:pt idx="821">
                  <c:v>1649100</c:v>
                </c:pt>
                <c:pt idx="822">
                  <c:v>1649100</c:v>
                </c:pt>
                <c:pt idx="823">
                  <c:v>1649100</c:v>
                </c:pt>
                <c:pt idx="824">
                  <c:v>1192800</c:v>
                </c:pt>
                <c:pt idx="825">
                  <c:v>1192800</c:v>
                </c:pt>
                <c:pt idx="826">
                  <c:v>966300</c:v>
                </c:pt>
                <c:pt idx="827">
                  <c:v>1412800</c:v>
                </c:pt>
                <c:pt idx="828">
                  <c:v>1962100</c:v>
                </c:pt>
                <c:pt idx="829">
                  <c:v>1962100</c:v>
                </c:pt>
                <c:pt idx="830">
                  <c:v>1962100</c:v>
                </c:pt>
                <c:pt idx="831">
                  <c:v>1483500</c:v>
                </c:pt>
                <c:pt idx="832">
                  <c:v>844300</c:v>
                </c:pt>
                <c:pt idx="833">
                  <c:v>1809800</c:v>
                </c:pt>
                <c:pt idx="834">
                  <c:v>900400</c:v>
                </c:pt>
                <c:pt idx="835">
                  <c:v>1848300</c:v>
                </c:pt>
                <c:pt idx="836">
                  <c:v>1848300</c:v>
                </c:pt>
                <c:pt idx="837">
                  <c:v>1848300</c:v>
                </c:pt>
                <c:pt idx="838">
                  <c:v>1370300</c:v>
                </c:pt>
                <c:pt idx="839">
                  <c:v>1930900</c:v>
                </c:pt>
                <c:pt idx="840">
                  <c:v>1273300</c:v>
                </c:pt>
                <c:pt idx="841">
                  <c:v>1128400</c:v>
                </c:pt>
                <c:pt idx="842">
                  <c:v>2001500</c:v>
                </c:pt>
                <c:pt idx="843">
                  <c:v>2001500</c:v>
                </c:pt>
                <c:pt idx="844">
                  <c:v>2001500</c:v>
                </c:pt>
                <c:pt idx="845">
                  <c:v>2058300</c:v>
                </c:pt>
                <c:pt idx="846">
                  <c:v>2223300</c:v>
                </c:pt>
                <c:pt idx="847">
                  <c:v>1795500</c:v>
                </c:pt>
                <c:pt idx="848">
                  <c:v>1336800</c:v>
                </c:pt>
                <c:pt idx="849">
                  <c:v>1933300</c:v>
                </c:pt>
                <c:pt idx="850">
                  <c:v>1933300</c:v>
                </c:pt>
                <c:pt idx="851">
                  <c:v>1933300</c:v>
                </c:pt>
                <c:pt idx="852">
                  <c:v>3384900</c:v>
                </c:pt>
                <c:pt idx="853">
                  <c:v>2060600</c:v>
                </c:pt>
                <c:pt idx="854">
                  <c:v>2215000</c:v>
                </c:pt>
                <c:pt idx="855">
                  <c:v>1895700</c:v>
                </c:pt>
                <c:pt idx="856">
                  <c:v>1887400</c:v>
                </c:pt>
                <c:pt idx="857">
                  <c:v>1887400</c:v>
                </c:pt>
                <c:pt idx="858">
                  <c:v>1887400</c:v>
                </c:pt>
                <c:pt idx="859">
                  <c:v>3142800</c:v>
                </c:pt>
                <c:pt idx="860">
                  <c:v>2419200</c:v>
                </c:pt>
                <c:pt idx="861">
                  <c:v>1385200</c:v>
                </c:pt>
                <c:pt idx="862">
                  <c:v>2039500</c:v>
                </c:pt>
                <c:pt idx="863">
                  <c:v>2039500</c:v>
                </c:pt>
                <c:pt idx="864">
                  <c:v>2039500</c:v>
                </c:pt>
                <c:pt idx="865">
                  <c:v>2039500</c:v>
                </c:pt>
                <c:pt idx="866">
                  <c:v>3022200</c:v>
                </c:pt>
                <c:pt idx="867">
                  <c:v>2608300</c:v>
                </c:pt>
                <c:pt idx="868">
                  <c:v>1828800</c:v>
                </c:pt>
                <c:pt idx="869">
                  <c:v>1090400</c:v>
                </c:pt>
                <c:pt idx="870">
                  <c:v>1490400</c:v>
                </c:pt>
                <c:pt idx="871">
                  <c:v>1490400</c:v>
                </c:pt>
                <c:pt idx="872">
                  <c:v>1490400</c:v>
                </c:pt>
                <c:pt idx="873">
                  <c:v>1490400</c:v>
                </c:pt>
                <c:pt idx="874">
                  <c:v>1514700</c:v>
                </c:pt>
                <c:pt idx="875">
                  <c:v>1601600</c:v>
                </c:pt>
                <c:pt idx="876">
                  <c:v>1070700</c:v>
                </c:pt>
                <c:pt idx="877">
                  <c:v>1161500</c:v>
                </c:pt>
                <c:pt idx="878">
                  <c:v>1161500</c:v>
                </c:pt>
                <c:pt idx="879">
                  <c:v>1161500</c:v>
                </c:pt>
                <c:pt idx="880">
                  <c:v>1855400</c:v>
                </c:pt>
                <c:pt idx="881">
                  <c:v>2243900</c:v>
                </c:pt>
                <c:pt idx="882">
                  <c:v>3872900</c:v>
                </c:pt>
                <c:pt idx="883">
                  <c:v>1309600</c:v>
                </c:pt>
                <c:pt idx="884">
                  <c:v>1878400</c:v>
                </c:pt>
                <c:pt idx="885">
                  <c:v>1878400</c:v>
                </c:pt>
                <c:pt idx="886">
                  <c:v>1878400</c:v>
                </c:pt>
                <c:pt idx="887">
                  <c:v>1878400</c:v>
                </c:pt>
                <c:pt idx="888">
                  <c:v>3501200</c:v>
                </c:pt>
                <c:pt idx="889">
                  <c:v>1481800</c:v>
                </c:pt>
                <c:pt idx="890">
                  <c:v>2816800</c:v>
                </c:pt>
                <c:pt idx="891">
                  <c:v>3841600</c:v>
                </c:pt>
                <c:pt idx="892">
                  <c:v>3841600</c:v>
                </c:pt>
                <c:pt idx="893">
                  <c:v>3841600</c:v>
                </c:pt>
                <c:pt idx="894">
                  <c:v>1885800</c:v>
                </c:pt>
                <c:pt idx="895">
                  <c:v>1829600</c:v>
                </c:pt>
                <c:pt idx="896">
                  <c:v>1563200</c:v>
                </c:pt>
                <c:pt idx="897">
                  <c:v>575600</c:v>
                </c:pt>
                <c:pt idx="898">
                  <c:v>992700</c:v>
                </c:pt>
                <c:pt idx="899">
                  <c:v>992700</c:v>
                </c:pt>
                <c:pt idx="900">
                  <c:v>992700</c:v>
                </c:pt>
                <c:pt idx="901">
                  <c:v>2262400</c:v>
                </c:pt>
                <c:pt idx="902">
                  <c:v>1630000</c:v>
                </c:pt>
                <c:pt idx="903">
                  <c:v>1995400</c:v>
                </c:pt>
                <c:pt idx="904">
                  <c:v>1565200</c:v>
                </c:pt>
                <c:pt idx="905">
                  <c:v>2502700</c:v>
                </c:pt>
                <c:pt idx="906">
                  <c:v>2502700</c:v>
                </c:pt>
                <c:pt idx="907">
                  <c:v>2502700</c:v>
                </c:pt>
                <c:pt idx="908">
                  <c:v>1429000</c:v>
                </c:pt>
                <c:pt idx="909">
                  <c:v>1939600</c:v>
                </c:pt>
                <c:pt idx="910">
                  <c:v>2050100</c:v>
                </c:pt>
                <c:pt idx="911">
                  <c:v>1777900</c:v>
                </c:pt>
                <c:pt idx="912">
                  <c:v>7245300</c:v>
                </c:pt>
                <c:pt idx="913">
                  <c:v>7245300</c:v>
                </c:pt>
                <c:pt idx="914">
                  <c:v>7245300</c:v>
                </c:pt>
                <c:pt idx="915">
                  <c:v>1667500</c:v>
                </c:pt>
                <c:pt idx="916">
                  <c:v>1940100</c:v>
                </c:pt>
                <c:pt idx="917">
                  <c:v>1087000</c:v>
                </c:pt>
                <c:pt idx="918">
                  <c:v>2200900</c:v>
                </c:pt>
                <c:pt idx="919">
                  <c:v>1750900</c:v>
                </c:pt>
                <c:pt idx="920">
                  <c:v>1750900</c:v>
                </c:pt>
                <c:pt idx="921">
                  <c:v>1750900</c:v>
                </c:pt>
                <c:pt idx="922">
                  <c:v>609000</c:v>
                </c:pt>
                <c:pt idx="923">
                  <c:v>825300</c:v>
                </c:pt>
                <c:pt idx="924">
                  <c:v>1051400</c:v>
                </c:pt>
                <c:pt idx="925">
                  <c:v>595600</c:v>
                </c:pt>
                <c:pt idx="926">
                  <c:v>1203600</c:v>
                </c:pt>
                <c:pt idx="927">
                  <c:v>1203600</c:v>
                </c:pt>
                <c:pt idx="928">
                  <c:v>1203600</c:v>
                </c:pt>
                <c:pt idx="929">
                  <c:v>873700</c:v>
                </c:pt>
                <c:pt idx="930">
                  <c:v>583600</c:v>
                </c:pt>
                <c:pt idx="931">
                  <c:v>849900</c:v>
                </c:pt>
                <c:pt idx="932">
                  <c:v>849900</c:v>
                </c:pt>
                <c:pt idx="933">
                  <c:v>849900</c:v>
                </c:pt>
                <c:pt idx="934">
                  <c:v>849900</c:v>
                </c:pt>
                <c:pt idx="935">
                  <c:v>849900</c:v>
                </c:pt>
                <c:pt idx="936">
                  <c:v>1141900</c:v>
                </c:pt>
                <c:pt idx="937">
                  <c:v>1510700</c:v>
                </c:pt>
                <c:pt idx="938">
                  <c:v>1463200</c:v>
                </c:pt>
                <c:pt idx="939">
                  <c:v>1173200</c:v>
                </c:pt>
                <c:pt idx="940">
                  <c:v>2640200</c:v>
                </c:pt>
                <c:pt idx="941">
                  <c:v>2640200</c:v>
                </c:pt>
                <c:pt idx="942">
                  <c:v>2640200</c:v>
                </c:pt>
                <c:pt idx="943">
                  <c:v>1263000</c:v>
                </c:pt>
                <c:pt idx="944">
                  <c:v>947600</c:v>
                </c:pt>
                <c:pt idx="945">
                  <c:v>1322800</c:v>
                </c:pt>
                <c:pt idx="946">
                  <c:v>701100</c:v>
                </c:pt>
                <c:pt idx="947">
                  <c:v>1435200</c:v>
                </c:pt>
                <c:pt idx="948">
                  <c:v>1435200</c:v>
                </c:pt>
                <c:pt idx="949">
                  <c:v>1435200</c:v>
                </c:pt>
                <c:pt idx="950">
                  <c:v>1464600</c:v>
                </c:pt>
                <c:pt idx="951">
                  <c:v>871100</c:v>
                </c:pt>
                <c:pt idx="952">
                  <c:v>1366700</c:v>
                </c:pt>
                <c:pt idx="953">
                  <c:v>2059600</c:v>
                </c:pt>
                <c:pt idx="954">
                  <c:v>651400</c:v>
                </c:pt>
                <c:pt idx="955">
                  <c:v>651400</c:v>
                </c:pt>
                <c:pt idx="956">
                  <c:v>651400</c:v>
                </c:pt>
                <c:pt idx="957">
                  <c:v>1180200</c:v>
                </c:pt>
                <c:pt idx="958">
                  <c:v>984300</c:v>
                </c:pt>
                <c:pt idx="959">
                  <c:v>707500</c:v>
                </c:pt>
                <c:pt idx="960">
                  <c:v>1181700</c:v>
                </c:pt>
                <c:pt idx="961">
                  <c:v>1291300</c:v>
                </c:pt>
                <c:pt idx="962">
                  <c:v>1291300</c:v>
                </c:pt>
                <c:pt idx="963">
                  <c:v>1291300</c:v>
                </c:pt>
                <c:pt idx="964">
                  <c:v>1331700</c:v>
                </c:pt>
                <c:pt idx="965">
                  <c:v>1558400</c:v>
                </c:pt>
                <c:pt idx="966">
                  <c:v>1390300</c:v>
                </c:pt>
                <c:pt idx="967">
                  <c:v>919600</c:v>
                </c:pt>
                <c:pt idx="968">
                  <c:v>2095300</c:v>
                </c:pt>
                <c:pt idx="969">
                  <c:v>2095300</c:v>
                </c:pt>
                <c:pt idx="970">
                  <c:v>2095300</c:v>
                </c:pt>
                <c:pt idx="971">
                  <c:v>1208200</c:v>
                </c:pt>
                <c:pt idx="972">
                  <c:v>1046000</c:v>
                </c:pt>
                <c:pt idx="973">
                  <c:v>1778600</c:v>
                </c:pt>
                <c:pt idx="974">
                  <c:v>567200</c:v>
                </c:pt>
                <c:pt idx="975">
                  <c:v>774500</c:v>
                </c:pt>
                <c:pt idx="976">
                  <c:v>774500</c:v>
                </c:pt>
                <c:pt idx="977">
                  <c:v>774500</c:v>
                </c:pt>
                <c:pt idx="978">
                  <c:v>1661300</c:v>
                </c:pt>
                <c:pt idx="979">
                  <c:v>1547600</c:v>
                </c:pt>
                <c:pt idx="980">
                  <c:v>1359000</c:v>
                </c:pt>
                <c:pt idx="981">
                  <c:v>1008600</c:v>
                </c:pt>
                <c:pt idx="982">
                  <c:v>1199700</c:v>
                </c:pt>
                <c:pt idx="983">
                  <c:v>1199700</c:v>
                </c:pt>
                <c:pt idx="984">
                  <c:v>1199700</c:v>
                </c:pt>
                <c:pt idx="985">
                  <c:v>1199700</c:v>
                </c:pt>
                <c:pt idx="986">
                  <c:v>970700</c:v>
                </c:pt>
                <c:pt idx="987">
                  <c:v>1218700</c:v>
                </c:pt>
                <c:pt idx="988">
                  <c:v>525600</c:v>
                </c:pt>
                <c:pt idx="989">
                  <c:v>2281900</c:v>
                </c:pt>
                <c:pt idx="990">
                  <c:v>2281900</c:v>
                </c:pt>
                <c:pt idx="991">
                  <c:v>2281900</c:v>
                </c:pt>
                <c:pt idx="992">
                  <c:v>953600</c:v>
                </c:pt>
                <c:pt idx="993">
                  <c:v>2327100</c:v>
                </c:pt>
                <c:pt idx="994">
                  <c:v>2464500</c:v>
                </c:pt>
                <c:pt idx="995">
                  <c:v>1155000</c:v>
                </c:pt>
                <c:pt idx="996">
                  <c:v>1384700</c:v>
                </c:pt>
                <c:pt idx="997">
                  <c:v>1384700</c:v>
                </c:pt>
                <c:pt idx="998">
                  <c:v>1384700</c:v>
                </c:pt>
                <c:pt idx="999">
                  <c:v>1341200</c:v>
                </c:pt>
                <c:pt idx="1000">
                  <c:v>3294900</c:v>
                </c:pt>
                <c:pt idx="1001">
                  <c:v>1022200</c:v>
                </c:pt>
                <c:pt idx="1002">
                  <c:v>1356700</c:v>
                </c:pt>
                <c:pt idx="1003">
                  <c:v>1256500</c:v>
                </c:pt>
                <c:pt idx="1004">
                  <c:v>1256500</c:v>
                </c:pt>
                <c:pt idx="1005">
                  <c:v>1256500</c:v>
                </c:pt>
                <c:pt idx="1006">
                  <c:v>1761100</c:v>
                </c:pt>
                <c:pt idx="1007">
                  <c:v>681600</c:v>
                </c:pt>
                <c:pt idx="1008">
                  <c:v>1941200</c:v>
                </c:pt>
                <c:pt idx="1009">
                  <c:v>1258500</c:v>
                </c:pt>
                <c:pt idx="1010">
                  <c:v>1410600</c:v>
                </c:pt>
                <c:pt idx="1011">
                  <c:v>1410600</c:v>
                </c:pt>
                <c:pt idx="1012">
                  <c:v>1410600</c:v>
                </c:pt>
                <c:pt idx="1013">
                  <c:v>2177700</c:v>
                </c:pt>
                <c:pt idx="1014">
                  <c:v>1487000</c:v>
                </c:pt>
                <c:pt idx="1015">
                  <c:v>864600</c:v>
                </c:pt>
                <c:pt idx="1016">
                  <c:v>556400</c:v>
                </c:pt>
                <c:pt idx="1017">
                  <c:v>744400</c:v>
                </c:pt>
                <c:pt idx="1018">
                  <c:v>744400</c:v>
                </c:pt>
                <c:pt idx="1019">
                  <c:v>744400</c:v>
                </c:pt>
                <c:pt idx="1020">
                  <c:v>780100</c:v>
                </c:pt>
                <c:pt idx="1021">
                  <c:v>952700</c:v>
                </c:pt>
                <c:pt idx="1022">
                  <c:v>1479700</c:v>
                </c:pt>
                <c:pt idx="1023">
                  <c:v>2289000</c:v>
                </c:pt>
                <c:pt idx="1024">
                  <c:v>1668700</c:v>
                </c:pt>
                <c:pt idx="1025">
                  <c:v>1668700</c:v>
                </c:pt>
                <c:pt idx="1026">
                  <c:v>1668700</c:v>
                </c:pt>
                <c:pt idx="1027">
                  <c:v>2692000</c:v>
                </c:pt>
                <c:pt idx="1028">
                  <c:v>1662400</c:v>
                </c:pt>
                <c:pt idx="1029">
                  <c:v>1412600</c:v>
                </c:pt>
                <c:pt idx="1030">
                  <c:v>1412600</c:v>
                </c:pt>
                <c:pt idx="1031">
                  <c:v>2664600</c:v>
                </c:pt>
                <c:pt idx="1032">
                  <c:v>2664600</c:v>
                </c:pt>
                <c:pt idx="1033">
                  <c:v>2664600</c:v>
                </c:pt>
                <c:pt idx="1034">
                  <c:v>3642000</c:v>
                </c:pt>
                <c:pt idx="1035">
                  <c:v>2178800</c:v>
                </c:pt>
                <c:pt idx="1036">
                  <c:v>969800</c:v>
                </c:pt>
                <c:pt idx="1037">
                  <c:v>1274000</c:v>
                </c:pt>
                <c:pt idx="1038">
                  <c:v>1234800</c:v>
                </c:pt>
                <c:pt idx="1039">
                  <c:v>1234800</c:v>
                </c:pt>
                <c:pt idx="1040">
                  <c:v>1234800</c:v>
                </c:pt>
                <c:pt idx="1041">
                  <c:v>1298300</c:v>
                </c:pt>
                <c:pt idx="1042">
                  <c:v>1232800</c:v>
                </c:pt>
                <c:pt idx="1043">
                  <c:v>1232800</c:v>
                </c:pt>
                <c:pt idx="1044">
                  <c:v>1604100</c:v>
                </c:pt>
              </c:numCache>
            </c:numRef>
          </c:val>
          <c:extLst>
            <c:ext xmlns:c16="http://schemas.microsoft.com/office/drawing/2014/chart" uri="{C3380CC4-5D6E-409C-BE32-E72D297353CC}">
              <c16:uniqueId val="{00000000-D1DC-4E4A-A246-46D1BC992423}"/>
            </c:ext>
          </c:extLst>
        </c:ser>
        <c:dLbls>
          <c:showLegendKey val="0"/>
          <c:showVal val="0"/>
          <c:showCatName val="0"/>
          <c:showSerName val="0"/>
          <c:showPercent val="0"/>
          <c:showBubbleSize val="0"/>
        </c:dLbls>
        <c:gapWidth val="219"/>
        <c:axId val="33469023"/>
        <c:axId val="33476223"/>
      </c:barChart>
      <c:lineChart>
        <c:grouping val="standard"/>
        <c:varyColors val="0"/>
        <c:ser>
          <c:idx val="0"/>
          <c:order val="0"/>
          <c:tx>
            <c:v>Price</c:v>
          </c:tx>
          <c:spPr>
            <a:ln w="28575" cap="rnd">
              <a:solidFill>
                <a:schemeClr val="accent1"/>
              </a:solidFill>
              <a:round/>
            </a:ln>
            <a:effectLst/>
          </c:spPr>
          <c:marker>
            <c:symbol val="none"/>
          </c:marker>
          <c:cat>
            <c:numRef>
              <c:f>'Stock Data'!$AM$4:$AM$1048</c:f>
              <c:numCache>
                <c:formatCode>m/d/yy;@</c:formatCode>
                <c:ptCount val="1045"/>
                <c:pt idx="0">
                  <c:v>45954</c:v>
                </c:pt>
                <c:pt idx="1">
                  <c:v>45953</c:v>
                </c:pt>
                <c:pt idx="2">
                  <c:v>45952</c:v>
                </c:pt>
                <c:pt idx="3">
                  <c:v>45951</c:v>
                </c:pt>
                <c:pt idx="4">
                  <c:v>45950</c:v>
                </c:pt>
                <c:pt idx="5">
                  <c:v>45949</c:v>
                </c:pt>
                <c:pt idx="6">
                  <c:v>45948</c:v>
                </c:pt>
                <c:pt idx="7">
                  <c:v>45947</c:v>
                </c:pt>
                <c:pt idx="8">
                  <c:v>45946</c:v>
                </c:pt>
                <c:pt idx="9">
                  <c:v>45945</c:v>
                </c:pt>
                <c:pt idx="10">
                  <c:v>45944</c:v>
                </c:pt>
                <c:pt idx="11">
                  <c:v>45943</c:v>
                </c:pt>
                <c:pt idx="12">
                  <c:v>45942</c:v>
                </c:pt>
                <c:pt idx="13">
                  <c:v>45941</c:v>
                </c:pt>
                <c:pt idx="14">
                  <c:v>45940</c:v>
                </c:pt>
                <c:pt idx="15">
                  <c:v>45939</c:v>
                </c:pt>
                <c:pt idx="16">
                  <c:v>45938</c:v>
                </c:pt>
                <c:pt idx="17">
                  <c:v>45937</c:v>
                </c:pt>
                <c:pt idx="18">
                  <c:v>45936</c:v>
                </c:pt>
                <c:pt idx="19">
                  <c:v>45935</c:v>
                </c:pt>
                <c:pt idx="20">
                  <c:v>45934</c:v>
                </c:pt>
                <c:pt idx="21">
                  <c:v>45933</c:v>
                </c:pt>
                <c:pt idx="22">
                  <c:v>45932</c:v>
                </c:pt>
                <c:pt idx="23">
                  <c:v>45931</c:v>
                </c:pt>
                <c:pt idx="24">
                  <c:v>45930</c:v>
                </c:pt>
                <c:pt idx="25">
                  <c:v>45929</c:v>
                </c:pt>
                <c:pt idx="26">
                  <c:v>45928</c:v>
                </c:pt>
                <c:pt idx="27">
                  <c:v>45927</c:v>
                </c:pt>
                <c:pt idx="28">
                  <c:v>45926</c:v>
                </c:pt>
                <c:pt idx="29">
                  <c:v>45925</c:v>
                </c:pt>
                <c:pt idx="30">
                  <c:v>45924</c:v>
                </c:pt>
                <c:pt idx="31">
                  <c:v>45923</c:v>
                </c:pt>
                <c:pt idx="32">
                  <c:v>45922</c:v>
                </c:pt>
                <c:pt idx="33">
                  <c:v>45921</c:v>
                </c:pt>
                <c:pt idx="34">
                  <c:v>45920</c:v>
                </c:pt>
                <c:pt idx="35">
                  <c:v>45919</c:v>
                </c:pt>
                <c:pt idx="36">
                  <c:v>45918</c:v>
                </c:pt>
                <c:pt idx="37">
                  <c:v>45917</c:v>
                </c:pt>
                <c:pt idx="38">
                  <c:v>45916</c:v>
                </c:pt>
                <c:pt idx="39">
                  <c:v>45915</c:v>
                </c:pt>
                <c:pt idx="40">
                  <c:v>45914</c:v>
                </c:pt>
                <c:pt idx="41">
                  <c:v>45913</c:v>
                </c:pt>
                <c:pt idx="42">
                  <c:v>45912</c:v>
                </c:pt>
                <c:pt idx="43">
                  <c:v>45911</c:v>
                </c:pt>
                <c:pt idx="44">
                  <c:v>45910</c:v>
                </c:pt>
                <c:pt idx="45">
                  <c:v>45909</c:v>
                </c:pt>
                <c:pt idx="46">
                  <c:v>45908</c:v>
                </c:pt>
                <c:pt idx="47">
                  <c:v>45907</c:v>
                </c:pt>
                <c:pt idx="48">
                  <c:v>45906</c:v>
                </c:pt>
                <c:pt idx="49">
                  <c:v>45905</c:v>
                </c:pt>
                <c:pt idx="50">
                  <c:v>45904</c:v>
                </c:pt>
                <c:pt idx="51">
                  <c:v>45903</c:v>
                </c:pt>
                <c:pt idx="52">
                  <c:v>45902</c:v>
                </c:pt>
                <c:pt idx="53">
                  <c:v>45901</c:v>
                </c:pt>
                <c:pt idx="54">
                  <c:v>45900</c:v>
                </c:pt>
                <c:pt idx="55">
                  <c:v>45899</c:v>
                </c:pt>
                <c:pt idx="56">
                  <c:v>45898</c:v>
                </c:pt>
                <c:pt idx="57">
                  <c:v>45897</c:v>
                </c:pt>
                <c:pt idx="58">
                  <c:v>45896</c:v>
                </c:pt>
                <c:pt idx="59">
                  <c:v>45895</c:v>
                </c:pt>
                <c:pt idx="60">
                  <c:v>45894</c:v>
                </c:pt>
                <c:pt idx="61">
                  <c:v>45893</c:v>
                </c:pt>
                <c:pt idx="62">
                  <c:v>45892</c:v>
                </c:pt>
                <c:pt idx="63">
                  <c:v>45891</c:v>
                </c:pt>
                <c:pt idx="64">
                  <c:v>45890</c:v>
                </c:pt>
                <c:pt idx="65">
                  <c:v>45889</c:v>
                </c:pt>
                <c:pt idx="66">
                  <c:v>45888</c:v>
                </c:pt>
                <c:pt idx="67">
                  <c:v>45887</c:v>
                </c:pt>
                <c:pt idx="68">
                  <c:v>45886</c:v>
                </c:pt>
                <c:pt idx="69">
                  <c:v>45885</c:v>
                </c:pt>
                <c:pt idx="70">
                  <c:v>45884</c:v>
                </c:pt>
                <c:pt idx="71">
                  <c:v>45883</c:v>
                </c:pt>
                <c:pt idx="72">
                  <c:v>45882</c:v>
                </c:pt>
                <c:pt idx="73">
                  <c:v>45881</c:v>
                </c:pt>
                <c:pt idx="74">
                  <c:v>45880</c:v>
                </c:pt>
                <c:pt idx="75">
                  <c:v>45879</c:v>
                </c:pt>
                <c:pt idx="76">
                  <c:v>45878</c:v>
                </c:pt>
                <c:pt idx="77">
                  <c:v>45877</c:v>
                </c:pt>
                <c:pt idx="78">
                  <c:v>45876</c:v>
                </c:pt>
                <c:pt idx="79">
                  <c:v>45875</c:v>
                </c:pt>
                <c:pt idx="80">
                  <c:v>45874</c:v>
                </c:pt>
                <c:pt idx="81">
                  <c:v>45873</c:v>
                </c:pt>
                <c:pt idx="82">
                  <c:v>45872</c:v>
                </c:pt>
                <c:pt idx="83">
                  <c:v>45871</c:v>
                </c:pt>
                <c:pt idx="84">
                  <c:v>45870</c:v>
                </c:pt>
                <c:pt idx="85">
                  <c:v>45869</c:v>
                </c:pt>
                <c:pt idx="86">
                  <c:v>45868</c:v>
                </c:pt>
                <c:pt idx="87">
                  <c:v>45867</c:v>
                </c:pt>
                <c:pt idx="88">
                  <c:v>45866</c:v>
                </c:pt>
                <c:pt idx="89">
                  <c:v>45865</c:v>
                </c:pt>
                <c:pt idx="90">
                  <c:v>45864</c:v>
                </c:pt>
                <c:pt idx="91">
                  <c:v>45863</c:v>
                </c:pt>
                <c:pt idx="92">
                  <c:v>45862</c:v>
                </c:pt>
                <c:pt idx="93">
                  <c:v>45861</c:v>
                </c:pt>
                <c:pt idx="94">
                  <c:v>45860</c:v>
                </c:pt>
                <c:pt idx="95">
                  <c:v>45859</c:v>
                </c:pt>
                <c:pt idx="96">
                  <c:v>45858</c:v>
                </c:pt>
                <c:pt idx="97">
                  <c:v>45857</c:v>
                </c:pt>
                <c:pt idx="98">
                  <c:v>45856</c:v>
                </c:pt>
                <c:pt idx="99">
                  <c:v>45855</c:v>
                </c:pt>
                <c:pt idx="100">
                  <c:v>45854</c:v>
                </c:pt>
                <c:pt idx="101">
                  <c:v>45853</c:v>
                </c:pt>
                <c:pt idx="102">
                  <c:v>45852</c:v>
                </c:pt>
                <c:pt idx="103">
                  <c:v>45851</c:v>
                </c:pt>
                <c:pt idx="104">
                  <c:v>45850</c:v>
                </c:pt>
                <c:pt idx="105">
                  <c:v>45849</c:v>
                </c:pt>
                <c:pt idx="106">
                  <c:v>45848</c:v>
                </c:pt>
                <c:pt idx="107">
                  <c:v>45847</c:v>
                </c:pt>
                <c:pt idx="108">
                  <c:v>45846</c:v>
                </c:pt>
                <c:pt idx="109">
                  <c:v>45845</c:v>
                </c:pt>
                <c:pt idx="110">
                  <c:v>45844</c:v>
                </c:pt>
                <c:pt idx="111">
                  <c:v>45843</c:v>
                </c:pt>
                <c:pt idx="112">
                  <c:v>45842</c:v>
                </c:pt>
                <c:pt idx="113">
                  <c:v>45841</c:v>
                </c:pt>
                <c:pt idx="114">
                  <c:v>45840</c:v>
                </c:pt>
                <c:pt idx="115">
                  <c:v>45839</c:v>
                </c:pt>
                <c:pt idx="116">
                  <c:v>45838</c:v>
                </c:pt>
                <c:pt idx="117">
                  <c:v>45837</c:v>
                </c:pt>
                <c:pt idx="118">
                  <c:v>45836</c:v>
                </c:pt>
                <c:pt idx="119">
                  <c:v>45835</c:v>
                </c:pt>
                <c:pt idx="120">
                  <c:v>45834</c:v>
                </c:pt>
                <c:pt idx="121">
                  <c:v>45833</c:v>
                </c:pt>
                <c:pt idx="122">
                  <c:v>45832</c:v>
                </c:pt>
                <c:pt idx="123">
                  <c:v>45831</c:v>
                </c:pt>
                <c:pt idx="124">
                  <c:v>45830</c:v>
                </c:pt>
                <c:pt idx="125">
                  <c:v>45829</c:v>
                </c:pt>
                <c:pt idx="126">
                  <c:v>45828</c:v>
                </c:pt>
                <c:pt idx="127">
                  <c:v>45827</c:v>
                </c:pt>
                <c:pt idx="128">
                  <c:v>45826</c:v>
                </c:pt>
                <c:pt idx="129">
                  <c:v>45825</c:v>
                </c:pt>
                <c:pt idx="130">
                  <c:v>45824</c:v>
                </c:pt>
                <c:pt idx="131">
                  <c:v>45823</c:v>
                </c:pt>
                <c:pt idx="132">
                  <c:v>45822</c:v>
                </c:pt>
                <c:pt idx="133">
                  <c:v>45821</c:v>
                </c:pt>
                <c:pt idx="134">
                  <c:v>45820</c:v>
                </c:pt>
                <c:pt idx="135">
                  <c:v>45819</c:v>
                </c:pt>
                <c:pt idx="136">
                  <c:v>45818</c:v>
                </c:pt>
                <c:pt idx="137">
                  <c:v>45817</c:v>
                </c:pt>
                <c:pt idx="138">
                  <c:v>45816</c:v>
                </c:pt>
                <c:pt idx="139">
                  <c:v>45815</c:v>
                </c:pt>
                <c:pt idx="140">
                  <c:v>45814</c:v>
                </c:pt>
                <c:pt idx="141">
                  <c:v>45813</c:v>
                </c:pt>
                <c:pt idx="142">
                  <c:v>45812</c:v>
                </c:pt>
                <c:pt idx="143">
                  <c:v>45811</c:v>
                </c:pt>
                <c:pt idx="144">
                  <c:v>45810</c:v>
                </c:pt>
                <c:pt idx="145">
                  <c:v>45809</c:v>
                </c:pt>
                <c:pt idx="146">
                  <c:v>45808</c:v>
                </c:pt>
                <c:pt idx="147">
                  <c:v>45807</c:v>
                </c:pt>
                <c:pt idx="148">
                  <c:v>45806</c:v>
                </c:pt>
                <c:pt idx="149">
                  <c:v>45805</c:v>
                </c:pt>
                <c:pt idx="150">
                  <c:v>45804</c:v>
                </c:pt>
                <c:pt idx="151">
                  <c:v>45803</c:v>
                </c:pt>
                <c:pt idx="152">
                  <c:v>45802</c:v>
                </c:pt>
                <c:pt idx="153">
                  <c:v>45801</c:v>
                </c:pt>
                <c:pt idx="154">
                  <c:v>45800</c:v>
                </c:pt>
                <c:pt idx="155">
                  <c:v>45799</c:v>
                </c:pt>
                <c:pt idx="156">
                  <c:v>45798</c:v>
                </c:pt>
                <c:pt idx="157">
                  <c:v>45797</c:v>
                </c:pt>
                <c:pt idx="158">
                  <c:v>45796</c:v>
                </c:pt>
                <c:pt idx="159">
                  <c:v>45795</c:v>
                </c:pt>
                <c:pt idx="160">
                  <c:v>45794</c:v>
                </c:pt>
                <c:pt idx="161">
                  <c:v>45793</c:v>
                </c:pt>
                <c:pt idx="162">
                  <c:v>45792</c:v>
                </c:pt>
                <c:pt idx="163">
                  <c:v>45791</c:v>
                </c:pt>
                <c:pt idx="164">
                  <c:v>45790</c:v>
                </c:pt>
                <c:pt idx="165">
                  <c:v>45789</c:v>
                </c:pt>
                <c:pt idx="166">
                  <c:v>45788</c:v>
                </c:pt>
                <c:pt idx="167">
                  <c:v>45787</c:v>
                </c:pt>
                <c:pt idx="168">
                  <c:v>45786</c:v>
                </c:pt>
                <c:pt idx="169">
                  <c:v>45785</c:v>
                </c:pt>
                <c:pt idx="170">
                  <c:v>45784</c:v>
                </c:pt>
                <c:pt idx="171">
                  <c:v>45783</c:v>
                </c:pt>
                <c:pt idx="172">
                  <c:v>45782</c:v>
                </c:pt>
                <c:pt idx="173">
                  <c:v>45781</c:v>
                </c:pt>
                <c:pt idx="174">
                  <c:v>45780</c:v>
                </c:pt>
                <c:pt idx="175">
                  <c:v>45779</c:v>
                </c:pt>
                <c:pt idx="176">
                  <c:v>45778</c:v>
                </c:pt>
                <c:pt idx="177">
                  <c:v>45777</c:v>
                </c:pt>
                <c:pt idx="178">
                  <c:v>45776</c:v>
                </c:pt>
                <c:pt idx="179">
                  <c:v>45775</c:v>
                </c:pt>
                <c:pt idx="180">
                  <c:v>45774</c:v>
                </c:pt>
                <c:pt idx="181">
                  <c:v>45773</c:v>
                </c:pt>
                <c:pt idx="182">
                  <c:v>45772</c:v>
                </c:pt>
                <c:pt idx="183">
                  <c:v>45771</c:v>
                </c:pt>
                <c:pt idx="184">
                  <c:v>45770</c:v>
                </c:pt>
                <c:pt idx="185">
                  <c:v>45769</c:v>
                </c:pt>
                <c:pt idx="186">
                  <c:v>45768</c:v>
                </c:pt>
                <c:pt idx="187">
                  <c:v>45767</c:v>
                </c:pt>
                <c:pt idx="188">
                  <c:v>45766</c:v>
                </c:pt>
                <c:pt idx="189">
                  <c:v>45765</c:v>
                </c:pt>
                <c:pt idx="190">
                  <c:v>45764</c:v>
                </c:pt>
                <c:pt idx="191">
                  <c:v>45763</c:v>
                </c:pt>
                <c:pt idx="192">
                  <c:v>45762</c:v>
                </c:pt>
                <c:pt idx="193">
                  <c:v>45761</c:v>
                </c:pt>
                <c:pt idx="194">
                  <c:v>45760</c:v>
                </c:pt>
                <c:pt idx="195">
                  <c:v>45759</c:v>
                </c:pt>
                <c:pt idx="196">
                  <c:v>45758</c:v>
                </c:pt>
                <c:pt idx="197">
                  <c:v>45757</c:v>
                </c:pt>
                <c:pt idx="198">
                  <c:v>45756</c:v>
                </c:pt>
                <c:pt idx="199">
                  <c:v>45755</c:v>
                </c:pt>
                <c:pt idx="200">
                  <c:v>45754</c:v>
                </c:pt>
                <c:pt idx="201">
                  <c:v>45753</c:v>
                </c:pt>
                <c:pt idx="202">
                  <c:v>45752</c:v>
                </c:pt>
                <c:pt idx="203">
                  <c:v>45751</c:v>
                </c:pt>
                <c:pt idx="204">
                  <c:v>45750</c:v>
                </c:pt>
                <c:pt idx="205">
                  <c:v>45749</c:v>
                </c:pt>
                <c:pt idx="206">
                  <c:v>45748</c:v>
                </c:pt>
                <c:pt idx="207">
                  <c:v>45747</c:v>
                </c:pt>
                <c:pt idx="208">
                  <c:v>45746</c:v>
                </c:pt>
                <c:pt idx="209">
                  <c:v>45745</c:v>
                </c:pt>
                <c:pt idx="210">
                  <c:v>45744</c:v>
                </c:pt>
                <c:pt idx="211">
                  <c:v>45743</c:v>
                </c:pt>
                <c:pt idx="212">
                  <c:v>45742</c:v>
                </c:pt>
                <c:pt idx="213">
                  <c:v>45741</c:v>
                </c:pt>
                <c:pt idx="214">
                  <c:v>45740</c:v>
                </c:pt>
                <c:pt idx="215">
                  <c:v>45739</c:v>
                </c:pt>
                <c:pt idx="216">
                  <c:v>45738</c:v>
                </c:pt>
                <c:pt idx="217">
                  <c:v>45737</c:v>
                </c:pt>
                <c:pt idx="218">
                  <c:v>45736</c:v>
                </c:pt>
                <c:pt idx="219">
                  <c:v>45735</c:v>
                </c:pt>
                <c:pt idx="220">
                  <c:v>45734</c:v>
                </c:pt>
                <c:pt idx="221">
                  <c:v>45733</c:v>
                </c:pt>
                <c:pt idx="222">
                  <c:v>45732</c:v>
                </c:pt>
                <c:pt idx="223">
                  <c:v>45731</c:v>
                </c:pt>
                <c:pt idx="224">
                  <c:v>45730</c:v>
                </c:pt>
                <c:pt idx="225">
                  <c:v>45729</c:v>
                </c:pt>
                <c:pt idx="226">
                  <c:v>45728</c:v>
                </c:pt>
                <c:pt idx="227">
                  <c:v>45727</c:v>
                </c:pt>
                <c:pt idx="228">
                  <c:v>45726</c:v>
                </c:pt>
                <c:pt idx="229">
                  <c:v>45725</c:v>
                </c:pt>
                <c:pt idx="230">
                  <c:v>45724</c:v>
                </c:pt>
                <c:pt idx="231">
                  <c:v>45723</c:v>
                </c:pt>
                <c:pt idx="232">
                  <c:v>45722</c:v>
                </c:pt>
                <c:pt idx="233">
                  <c:v>45721</c:v>
                </c:pt>
                <c:pt idx="234">
                  <c:v>45720</c:v>
                </c:pt>
                <c:pt idx="235">
                  <c:v>45719</c:v>
                </c:pt>
                <c:pt idx="236">
                  <c:v>45718</c:v>
                </c:pt>
                <c:pt idx="237">
                  <c:v>45717</c:v>
                </c:pt>
                <c:pt idx="238">
                  <c:v>45716</c:v>
                </c:pt>
                <c:pt idx="239">
                  <c:v>45715</c:v>
                </c:pt>
                <c:pt idx="240">
                  <c:v>45714</c:v>
                </c:pt>
                <c:pt idx="241">
                  <c:v>45713</c:v>
                </c:pt>
                <c:pt idx="242">
                  <c:v>45712</c:v>
                </c:pt>
                <c:pt idx="243">
                  <c:v>45711</c:v>
                </c:pt>
                <c:pt idx="244">
                  <c:v>45710</c:v>
                </c:pt>
                <c:pt idx="245">
                  <c:v>45709</c:v>
                </c:pt>
                <c:pt idx="246">
                  <c:v>45708</c:v>
                </c:pt>
                <c:pt idx="247">
                  <c:v>45707</c:v>
                </c:pt>
                <c:pt idx="248">
                  <c:v>45706</c:v>
                </c:pt>
                <c:pt idx="249">
                  <c:v>45705</c:v>
                </c:pt>
                <c:pt idx="250">
                  <c:v>45704</c:v>
                </c:pt>
                <c:pt idx="251">
                  <c:v>45703</c:v>
                </c:pt>
                <c:pt idx="252">
                  <c:v>45702</c:v>
                </c:pt>
                <c:pt idx="253">
                  <c:v>45701</c:v>
                </c:pt>
                <c:pt idx="254">
                  <c:v>45700</c:v>
                </c:pt>
                <c:pt idx="255">
                  <c:v>45699</c:v>
                </c:pt>
                <c:pt idx="256">
                  <c:v>45698</c:v>
                </c:pt>
                <c:pt idx="257">
                  <c:v>45697</c:v>
                </c:pt>
                <c:pt idx="258">
                  <c:v>45696</c:v>
                </c:pt>
                <c:pt idx="259">
                  <c:v>45695</c:v>
                </c:pt>
                <c:pt idx="260">
                  <c:v>45694</c:v>
                </c:pt>
                <c:pt idx="261">
                  <c:v>45693</c:v>
                </c:pt>
                <c:pt idx="262">
                  <c:v>45692</c:v>
                </c:pt>
                <c:pt idx="263">
                  <c:v>45691</c:v>
                </c:pt>
                <c:pt idx="264">
                  <c:v>45690</c:v>
                </c:pt>
                <c:pt idx="265">
                  <c:v>45689</c:v>
                </c:pt>
                <c:pt idx="266">
                  <c:v>45688</c:v>
                </c:pt>
                <c:pt idx="267">
                  <c:v>45687</c:v>
                </c:pt>
                <c:pt idx="268">
                  <c:v>45686</c:v>
                </c:pt>
                <c:pt idx="269">
                  <c:v>45685</c:v>
                </c:pt>
                <c:pt idx="270">
                  <c:v>45684</c:v>
                </c:pt>
                <c:pt idx="271">
                  <c:v>45683</c:v>
                </c:pt>
                <c:pt idx="272">
                  <c:v>45682</c:v>
                </c:pt>
                <c:pt idx="273">
                  <c:v>45681</c:v>
                </c:pt>
                <c:pt idx="274">
                  <c:v>45680</c:v>
                </c:pt>
                <c:pt idx="275">
                  <c:v>45679</c:v>
                </c:pt>
                <c:pt idx="276">
                  <c:v>45678</c:v>
                </c:pt>
                <c:pt idx="277">
                  <c:v>45677</c:v>
                </c:pt>
                <c:pt idx="278">
                  <c:v>45676</c:v>
                </c:pt>
                <c:pt idx="279">
                  <c:v>45675</c:v>
                </c:pt>
                <c:pt idx="280">
                  <c:v>45674</c:v>
                </c:pt>
                <c:pt idx="281">
                  <c:v>45673</c:v>
                </c:pt>
                <c:pt idx="282">
                  <c:v>45672</c:v>
                </c:pt>
                <c:pt idx="283">
                  <c:v>45671</c:v>
                </c:pt>
                <c:pt idx="284">
                  <c:v>45670</c:v>
                </c:pt>
                <c:pt idx="285">
                  <c:v>45669</c:v>
                </c:pt>
                <c:pt idx="286">
                  <c:v>45668</c:v>
                </c:pt>
                <c:pt idx="287">
                  <c:v>45667</c:v>
                </c:pt>
                <c:pt idx="288">
                  <c:v>45666</c:v>
                </c:pt>
                <c:pt idx="289">
                  <c:v>45665</c:v>
                </c:pt>
                <c:pt idx="290">
                  <c:v>45664</c:v>
                </c:pt>
                <c:pt idx="291">
                  <c:v>45663</c:v>
                </c:pt>
                <c:pt idx="292">
                  <c:v>45662</c:v>
                </c:pt>
                <c:pt idx="293">
                  <c:v>45661</c:v>
                </c:pt>
                <c:pt idx="294">
                  <c:v>45660</c:v>
                </c:pt>
                <c:pt idx="295">
                  <c:v>45659</c:v>
                </c:pt>
                <c:pt idx="296">
                  <c:v>45658</c:v>
                </c:pt>
                <c:pt idx="297">
                  <c:v>45657</c:v>
                </c:pt>
                <c:pt idx="298">
                  <c:v>45656</c:v>
                </c:pt>
                <c:pt idx="299">
                  <c:v>45655</c:v>
                </c:pt>
                <c:pt idx="300">
                  <c:v>45654</c:v>
                </c:pt>
                <c:pt idx="301">
                  <c:v>45653</c:v>
                </c:pt>
                <c:pt idx="302">
                  <c:v>45652</c:v>
                </c:pt>
                <c:pt idx="303">
                  <c:v>45651</c:v>
                </c:pt>
                <c:pt idx="304">
                  <c:v>45650</c:v>
                </c:pt>
                <c:pt idx="305">
                  <c:v>45649</c:v>
                </c:pt>
                <c:pt idx="306">
                  <c:v>45648</c:v>
                </c:pt>
                <c:pt idx="307">
                  <c:v>45647</c:v>
                </c:pt>
                <c:pt idx="308">
                  <c:v>45646</c:v>
                </c:pt>
                <c:pt idx="309">
                  <c:v>45645</c:v>
                </c:pt>
                <c:pt idx="310">
                  <c:v>45644</c:v>
                </c:pt>
                <c:pt idx="311">
                  <c:v>45643</c:v>
                </c:pt>
                <c:pt idx="312">
                  <c:v>45642</c:v>
                </c:pt>
                <c:pt idx="313">
                  <c:v>45641</c:v>
                </c:pt>
                <c:pt idx="314">
                  <c:v>45640</c:v>
                </c:pt>
                <c:pt idx="315">
                  <c:v>45639</c:v>
                </c:pt>
                <c:pt idx="316">
                  <c:v>45638</c:v>
                </c:pt>
                <c:pt idx="317">
                  <c:v>45637</c:v>
                </c:pt>
                <c:pt idx="318">
                  <c:v>45636</c:v>
                </c:pt>
                <c:pt idx="319">
                  <c:v>45635</c:v>
                </c:pt>
                <c:pt idx="320">
                  <c:v>45634</c:v>
                </c:pt>
                <c:pt idx="321">
                  <c:v>45633</c:v>
                </c:pt>
                <c:pt idx="322">
                  <c:v>45632</c:v>
                </c:pt>
                <c:pt idx="323">
                  <c:v>45631</c:v>
                </c:pt>
                <c:pt idx="324">
                  <c:v>45630</c:v>
                </c:pt>
                <c:pt idx="325">
                  <c:v>45629</c:v>
                </c:pt>
                <c:pt idx="326">
                  <c:v>45628</c:v>
                </c:pt>
                <c:pt idx="327">
                  <c:v>45627</c:v>
                </c:pt>
                <c:pt idx="328">
                  <c:v>45626</c:v>
                </c:pt>
                <c:pt idx="329">
                  <c:v>45625</c:v>
                </c:pt>
                <c:pt idx="330">
                  <c:v>45624</c:v>
                </c:pt>
                <c:pt idx="331">
                  <c:v>45623</c:v>
                </c:pt>
                <c:pt idx="332">
                  <c:v>45622</c:v>
                </c:pt>
                <c:pt idx="333">
                  <c:v>45621</c:v>
                </c:pt>
                <c:pt idx="334">
                  <c:v>45620</c:v>
                </c:pt>
                <c:pt idx="335">
                  <c:v>45619</c:v>
                </c:pt>
                <c:pt idx="336">
                  <c:v>45618</c:v>
                </c:pt>
                <c:pt idx="337">
                  <c:v>45617</c:v>
                </c:pt>
                <c:pt idx="338">
                  <c:v>45616</c:v>
                </c:pt>
                <c:pt idx="339">
                  <c:v>45615</c:v>
                </c:pt>
                <c:pt idx="340">
                  <c:v>45614</c:v>
                </c:pt>
                <c:pt idx="341">
                  <c:v>45613</c:v>
                </c:pt>
                <c:pt idx="342">
                  <c:v>45612</c:v>
                </c:pt>
                <c:pt idx="343">
                  <c:v>45611</c:v>
                </c:pt>
                <c:pt idx="344">
                  <c:v>45610</c:v>
                </c:pt>
                <c:pt idx="345">
                  <c:v>45609</c:v>
                </c:pt>
                <c:pt idx="346">
                  <c:v>45608</c:v>
                </c:pt>
                <c:pt idx="347">
                  <c:v>45607</c:v>
                </c:pt>
                <c:pt idx="348">
                  <c:v>45606</c:v>
                </c:pt>
                <c:pt idx="349">
                  <c:v>45605</c:v>
                </c:pt>
                <c:pt idx="350">
                  <c:v>45604</c:v>
                </c:pt>
                <c:pt idx="351">
                  <c:v>45603</c:v>
                </c:pt>
                <c:pt idx="352">
                  <c:v>45602</c:v>
                </c:pt>
                <c:pt idx="353">
                  <c:v>45601</c:v>
                </c:pt>
                <c:pt idx="354">
                  <c:v>45600</c:v>
                </c:pt>
                <c:pt idx="355">
                  <c:v>45599</c:v>
                </c:pt>
                <c:pt idx="356">
                  <c:v>45598</c:v>
                </c:pt>
                <c:pt idx="357">
                  <c:v>45597</c:v>
                </c:pt>
                <c:pt idx="358">
                  <c:v>45596</c:v>
                </c:pt>
                <c:pt idx="359">
                  <c:v>45595</c:v>
                </c:pt>
                <c:pt idx="360">
                  <c:v>45594</c:v>
                </c:pt>
                <c:pt idx="361">
                  <c:v>45593</c:v>
                </c:pt>
                <c:pt idx="362">
                  <c:v>45592</c:v>
                </c:pt>
                <c:pt idx="363">
                  <c:v>45591</c:v>
                </c:pt>
                <c:pt idx="364">
                  <c:v>45590</c:v>
                </c:pt>
                <c:pt idx="365">
                  <c:v>45589</c:v>
                </c:pt>
                <c:pt idx="366">
                  <c:v>45588</c:v>
                </c:pt>
                <c:pt idx="367">
                  <c:v>45587</c:v>
                </c:pt>
                <c:pt idx="368">
                  <c:v>45586</c:v>
                </c:pt>
                <c:pt idx="369">
                  <c:v>45585</c:v>
                </c:pt>
                <c:pt idx="370">
                  <c:v>45584</c:v>
                </c:pt>
                <c:pt idx="371">
                  <c:v>45583</c:v>
                </c:pt>
                <c:pt idx="372">
                  <c:v>45582</c:v>
                </c:pt>
                <c:pt idx="373">
                  <c:v>45581</c:v>
                </c:pt>
                <c:pt idx="374">
                  <c:v>45580</c:v>
                </c:pt>
                <c:pt idx="375">
                  <c:v>45579</c:v>
                </c:pt>
                <c:pt idx="376">
                  <c:v>45578</c:v>
                </c:pt>
                <c:pt idx="377">
                  <c:v>45577</c:v>
                </c:pt>
                <c:pt idx="378">
                  <c:v>45576</c:v>
                </c:pt>
                <c:pt idx="379">
                  <c:v>45575</c:v>
                </c:pt>
                <c:pt idx="380">
                  <c:v>45574</c:v>
                </c:pt>
                <c:pt idx="381">
                  <c:v>45573</c:v>
                </c:pt>
                <c:pt idx="382">
                  <c:v>45572</c:v>
                </c:pt>
                <c:pt idx="383">
                  <c:v>45571</c:v>
                </c:pt>
                <c:pt idx="384">
                  <c:v>45570</c:v>
                </c:pt>
                <c:pt idx="385">
                  <c:v>45569</c:v>
                </c:pt>
                <c:pt idx="386">
                  <c:v>45568</c:v>
                </c:pt>
                <c:pt idx="387">
                  <c:v>45567</c:v>
                </c:pt>
                <c:pt idx="388">
                  <c:v>45566</c:v>
                </c:pt>
                <c:pt idx="389">
                  <c:v>45565</c:v>
                </c:pt>
                <c:pt idx="390">
                  <c:v>45564</c:v>
                </c:pt>
                <c:pt idx="391">
                  <c:v>45563</c:v>
                </c:pt>
                <c:pt idx="392">
                  <c:v>45562</c:v>
                </c:pt>
                <c:pt idx="393">
                  <c:v>45561</c:v>
                </c:pt>
                <c:pt idx="394">
                  <c:v>45560</c:v>
                </c:pt>
                <c:pt idx="395">
                  <c:v>45559</c:v>
                </c:pt>
                <c:pt idx="396">
                  <c:v>45558</c:v>
                </c:pt>
                <c:pt idx="397">
                  <c:v>45557</c:v>
                </c:pt>
                <c:pt idx="398">
                  <c:v>45556</c:v>
                </c:pt>
                <c:pt idx="399">
                  <c:v>45555</c:v>
                </c:pt>
                <c:pt idx="400">
                  <c:v>45554</c:v>
                </c:pt>
                <c:pt idx="401">
                  <c:v>45553</c:v>
                </c:pt>
                <c:pt idx="402">
                  <c:v>45552</c:v>
                </c:pt>
                <c:pt idx="403">
                  <c:v>45551</c:v>
                </c:pt>
                <c:pt idx="404">
                  <c:v>45550</c:v>
                </c:pt>
                <c:pt idx="405">
                  <c:v>45549</c:v>
                </c:pt>
                <c:pt idx="406">
                  <c:v>45548</c:v>
                </c:pt>
                <c:pt idx="407">
                  <c:v>45547</c:v>
                </c:pt>
                <c:pt idx="408">
                  <c:v>45546</c:v>
                </c:pt>
                <c:pt idx="409">
                  <c:v>45545</c:v>
                </c:pt>
                <c:pt idx="410">
                  <c:v>45544</c:v>
                </c:pt>
                <c:pt idx="411">
                  <c:v>45543</c:v>
                </c:pt>
                <c:pt idx="412">
                  <c:v>45542</c:v>
                </c:pt>
                <c:pt idx="413">
                  <c:v>45541</c:v>
                </c:pt>
                <c:pt idx="414">
                  <c:v>45540</c:v>
                </c:pt>
                <c:pt idx="415">
                  <c:v>45539</c:v>
                </c:pt>
                <c:pt idx="416">
                  <c:v>45538</c:v>
                </c:pt>
                <c:pt idx="417">
                  <c:v>45537</c:v>
                </c:pt>
                <c:pt idx="418">
                  <c:v>45536</c:v>
                </c:pt>
                <c:pt idx="419">
                  <c:v>45535</c:v>
                </c:pt>
                <c:pt idx="420">
                  <c:v>45534</c:v>
                </c:pt>
                <c:pt idx="421">
                  <c:v>45533</c:v>
                </c:pt>
                <c:pt idx="422">
                  <c:v>45532</c:v>
                </c:pt>
                <c:pt idx="423">
                  <c:v>45531</c:v>
                </c:pt>
                <c:pt idx="424">
                  <c:v>45530</c:v>
                </c:pt>
                <c:pt idx="425">
                  <c:v>45529</c:v>
                </c:pt>
                <c:pt idx="426">
                  <c:v>45528</c:v>
                </c:pt>
                <c:pt idx="427">
                  <c:v>45527</c:v>
                </c:pt>
                <c:pt idx="428">
                  <c:v>45526</c:v>
                </c:pt>
                <c:pt idx="429">
                  <c:v>45525</c:v>
                </c:pt>
                <c:pt idx="430">
                  <c:v>45524</c:v>
                </c:pt>
                <c:pt idx="431">
                  <c:v>45523</c:v>
                </c:pt>
                <c:pt idx="432">
                  <c:v>45522</c:v>
                </c:pt>
                <c:pt idx="433">
                  <c:v>45521</c:v>
                </c:pt>
                <c:pt idx="434">
                  <c:v>45520</c:v>
                </c:pt>
                <c:pt idx="435">
                  <c:v>45519</c:v>
                </c:pt>
                <c:pt idx="436">
                  <c:v>45518</c:v>
                </c:pt>
                <c:pt idx="437">
                  <c:v>45517</c:v>
                </c:pt>
                <c:pt idx="438">
                  <c:v>45516</c:v>
                </c:pt>
                <c:pt idx="439">
                  <c:v>45515</c:v>
                </c:pt>
                <c:pt idx="440">
                  <c:v>45514</c:v>
                </c:pt>
                <c:pt idx="441">
                  <c:v>45513</c:v>
                </c:pt>
                <c:pt idx="442">
                  <c:v>45512</c:v>
                </c:pt>
                <c:pt idx="443">
                  <c:v>45511</c:v>
                </c:pt>
                <c:pt idx="444">
                  <c:v>45510</c:v>
                </c:pt>
                <c:pt idx="445">
                  <c:v>45509</c:v>
                </c:pt>
                <c:pt idx="446">
                  <c:v>45508</c:v>
                </c:pt>
                <c:pt idx="447">
                  <c:v>45507</c:v>
                </c:pt>
                <c:pt idx="448">
                  <c:v>45506</c:v>
                </c:pt>
                <c:pt idx="449">
                  <c:v>45505</c:v>
                </c:pt>
                <c:pt idx="450">
                  <c:v>45504</c:v>
                </c:pt>
                <c:pt idx="451">
                  <c:v>45503</c:v>
                </c:pt>
                <c:pt idx="452">
                  <c:v>45502</c:v>
                </c:pt>
                <c:pt idx="453">
                  <c:v>45501</c:v>
                </c:pt>
                <c:pt idx="454">
                  <c:v>45500</c:v>
                </c:pt>
                <c:pt idx="455">
                  <c:v>45499</c:v>
                </c:pt>
                <c:pt idx="456">
                  <c:v>45498</c:v>
                </c:pt>
                <c:pt idx="457">
                  <c:v>45497</c:v>
                </c:pt>
                <c:pt idx="458">
                  <c:v>45496</c:v>
                </c:pt>
                <c:pt idx="459">
                  <c:v>45495</c:v>
                </c:pt>
                <c:pt idx="460">
                  <c:v>45494</c:v>
                </c:pt>
                <c:pt idx="461">
                  <c:v>45493</c:v>
                </c:pt>
                <c:pt idx="462">
                  <c:v>45492</c:v>
                </c:pt>
                <c:pt idx="463">
                  <c:v>45491</c:v>
                </c:pt>
                <c:pt idx="464">
                  <c:v>45490</c:v>
                </c:pt>
                <c:pt idx="465">
                  <c:v>45489</c:v>
                </c:pt>
                <c:pt idx="466">
                  <c:v>45488</c:v>
                </c:pt>
                <c:pt idx="467">
                  <c:v>45487</c:v>
                </c:pt>
                <c:pt idx="468">
                  <c:v>45486</c:v>
                </c:pt>
                <c:pt idx="469">
                  <c:v>45485</c:v>
                </c:pt>
                <c:pt idx="470">
                  <c:v>45484</c:v>
                </c:pt>
                <c:pt idx="471">
                  <c:v>45483</c:v>
                </c:pt>
                <c:pt idx="472">
                  <c:v>45482</c:v>
                </c:pt>
                <c:pt idx="473">
                  <c:v>45481</c:v>
                </c:pt>
                <c:pt idx="474">
                  <c:v>45480</c:v>
                </c:pt>
                <c:pt idx="475">
                  <c:v>45479</c:v>
                </c:pt>
                <c:pt idx="476">
                  <c:v>45478</c:v>
                </c:pt>
                <c:pt idx="477">
                  <c:v>45477</c:v>
                </c:pt>
                <c:pt idx="478">
                  <c:v>45476</c:v>
                </c:pt>
                <c:pt idx="479">
                  <c:v>45475</c:v>
                </c:pt>
                <c:pt idx="480">
                  <c:v>45474</c:v>
                </c:pt>
                <c:pt idx="481">
                  <c:v>45473</c:v>
                </c:pt>
                <c:pt idx="482">
                  <c:v>45472</c:v>
                </c:pt>
                <c:pt idx="483">
                  <c:v>45471</c:v>
                </c:pt>
                <c:pt idx="484">
                  <c:v>45470</c:v>
                </c:pt>
                <c:pt idx="485">
                  <c:v>45469</c:v>
                </c:pt>
                <c:pt idx="486">
                  <c:v>45468</c:v>
                </c:pt>
                <c:pt idx="487">
                  <c:v>45467</c:v>
                </c:pt>
                <c:pt idx="488">
                  <c:v>45466</c:v>
                </c:pt>
                <c:pt idx="489">
                  <c:v>45465</c:v>
                </c:pt>
                <c:pt idx="490">
                  <c:v>45464</c:v>
                </c:pt>
                <c:pt idx="491">
                  <c:v>45463</c:v>
                </c:pt>
                <c:pt idx="492">
                  <c:v>45462</c:v>
                </c:pt>
                <c:pt idx="493">
                  <c:v>45461</c:v>
                </c:pt>
                <c:pt idx="494">
                  <c:v>45460</c:v>
                </c:pt>
                <c:pt idx="495">
                  <c:v>45459</c:v>
                </c:pt>
                <c:pt idx="496">
                  <c:v>45458</c:v>
                </c:pt>
                <c:pt idx="497">
                  <c:v>45457</c:v>
                </c:pt>
                <c:pt idx="498">
                  <c:v>45456</c:v>
                </c:pt>
                <c:pt idx="499">
                  <c:v>45455</c:v>
                </c:pt>
                <c:pt idx="500">
                  <c:v>45454</c:v>
                </c:pt>
                <c:pt idx="501">
                  <c:v>45453</c:v>
                </c:pt>
                <c:pt idx="502">
                  <c:v>45452</c:v>
                </c:pt>
                <c:pt idx="503">
                  <c:v>45451</c:v>
                </c:pt>
                <c:pt idx="504">
                  <c:v>45450</c:v>
                </c:pt>
                <c:pt idx="505">
                  <c:v>45449</c:v>
                </c:pt>
                <c:pt idx="506">
                  <c:v>45448</c:v>
                </c:pt>
                <c:pt idx="507">
                  <c:v>45447</c:v>
                </c:pt>
                <c:pt idx="508">
                  <c:v>45446</c:v>
                </c:pt>
                <c:pt idx="509">
                  <c:v>45445</c:v>
                </c:pt>
                <c:pt idx="510">
                  <c:v>45444</c:v>
                </c:pt>
                <c:pt idx="511">
                  <c:v>45443</c:v>
                </c:pt>
                <c:pt idx="512">
                  <c:v>45442</c:v>
                </c:pt>
                <c:pt idx="513">
                  <c:v>45441</c:v>
                </c:pt>
                <c:pt idx="514">
                  <c:v>45440</c:v>
                </c:pt>
                <c:pt idx="515">
                  <c:v>45439</c:v>
                </c:pt>
                <c:pt idx="516">
                  <c:v>45438</c:v>
                </c:pt>
                <c:pt idx="517">
                  <c:v>45437</c:v>
                </c:pt>
                <c:pt idx="518">
                  <c:v>45436</c:v>
                </c:pt>
                <c:pt idx="519">
                  <c:v>45435</c:v>
                </c:pt>
                <c:pt idx="520">
                  <c:v>45434</c:v>
                </c:pt>
                <c:pt idx="521">
                  <c:v>45433</c:v>
                </c:pt>
                <c:pt idx="522">
                  <c:v>45432</c:v>
                </c:pt>
                <c:pt idx="523">
                  <c:v>45431</c:v>
                </c:pt>
                <c:pt idx="524">
                  <c:v>45430</c:v>
                </c:pt>
                <c:pt idx="525">
                  <c:v>45429</c:v>
                </c:pt>
                <c:pt idx="526">
                  <c:v>45428</c:v>
                </c:pt>
                <c:pt idx="527">
                  <c:v>45427</c:v>
                </c:pt>
                <c:pt idx="528">
                  <c:v>45426</c:v>
                </c:pt>
                <c:pt idx="529">
                  <c:v>45425</c:v>
                </c:pt>
                <c:pt idx="530">
                  <c:v>45424</c:v>
                </c:pt>
                <c:pt idx="531">
                  <c:v>45423</c:v>
                </c:pt>
                <c:pt idx="532">
                  <c:v>45422</c:v>
                </c:pt>
                <c:pt idx="533">
                  <c:v>45421</c:v>
                </c:pt>
                <c:pt idx="534">
                  <c:v>45420</c:v>
                </c:pt>
                <c:pt idx="535">
                  <c:v>45419</c:v>
                </c:pt>
                <c:pt idx="536">
                  <c:v>45418</c:v>
                </c:pt>
                <c:pt idx="537">
                  <c:v>45417</c:v>
                </c:pt>
                <c:pt idx="538">
                  <c:v>45416</c:v>
                </c:pt>
                <c:pt idx="539">
                  <c:v>45415</c:v>
                </c:pt>
                <c:pt idx="540">
                  <c:v>45414</c:v>
                </c:pt>
                <c:pt idx="541">
                  <c:v>45413</c:v>
                </c:pt>
                <c:pt idx="542">
                  <c:v>45412</c:v>
                </c:pt>
                <c:pt idx="543">
                  <c:v>45411</c:v>
                </c:pt>
                <c:pt idx="544">
                  <c:v>45410</c:v>
                </c:pt>
                <c:pt idx="545">
                  <c:v>45409</c:v>
                </c:pt>
                <c:pt idx="546">
                  <c:v>45408</c:v>
                </c:pt>
                <c:pt idx="547">
                  <c:v>45407</c:v>
                </c:pt>
                <c:pt idx="548">
                  <c:v>45406</c:v>
                </c:pt>
                <c:pt idx="549">
                  <c:v>45405</c:v>
                </c:pt>
                <c:pt idx="550">
                  <c:v>45404</c:v>
                </c:pt>
                <c:pt idx="551">
                  <c:v>45403</c:v>
                </c:pt>
                <c:pt idx="552">
                  <c:v>45402</c:v>
                </c:pt>
                <c:pt idx="553">
                  <c:v>45401</c:v>
                </c:pt>
                <c:pt idx="554">
                  <c:v>45400</c:v>
                </c:pt>
                <c:pt idx="555">
                  <c:v>45399</c:v>
                </c:pt>
                <c:pt idx="556">
                  <c:v>45398</c:v>
                </c:pt>
                <c:pt idx="557">
                  <c:v>45397</c:v>
                </c:pt>
                <c:pt idx="558">
                  <c:v>45396</c:v>
                </c:pt>
                <c:pt idx="559">
                  <c:v>45395</c:v>
                </c:pt>
                <c:pt idx="560">
                  <c:v>45394</c:v>
                </c:pt>
                <c:pt idx="561">
                  <c:v>45393</c:v>
                </c:pt>
                <c:pt idx="562">
                  <c:v>45392</c:v>
                </c:pt>
                <c:pt idx="563">
                  <c:v>45391</c:v>
                </c:pt>
                <c:pt idx="564">
                  <c:v>45390</c:v>
                </c:pt>
                <c:pt idx="565">
                  <c:v>45389</c:v>
                </c:pt>
                <c:pt idx="566">
                  <c:v>45388</c:v>
                </c:pt>
                <c:pt idx="567">
                  <c:v>45387</c:v>
                </c:pt>
                <c:pt idx="568">
                  <c:v>45386</c:v>
                </c:pt>
                <c:pt idx="569">
                  <c:v>45385</c:v>
                </c:pt>
                <c:pt idx="570">
                  <c:v>45384</c:v>
                </c:pt>
                <c:pt idx="571">
                  <c:v>45383</c:v>
                </c:pt>
                <c:pt idx="572">
                  <c:v>45382</c:v>
                </c:pt>
                <c:pt idx="573">
                  <c:v>45381</c:v>
                </c:pt>
                <c:pt idx="574">
                  <c:v>45380</c:v>
                </c:pt>
                <c:pt idx="575">
                  <c:v>45379</c:v>
                </c:pt>
                <c:pt idx="576">
                  <c:v>45378</c:v>
                </c:pt>
                <c:pt idx="577">
                  <c:v>45377</c:v>
                </c:pt>
                <c:pt idx="578">
                  <c:v>45376</c:v>
                </c:pt>
                <c:pt idx="579">
                  <c:v>45375</c:v>
                </c:pt>
                <c:pt idx="580">
                  <c:v>45374</c:v>
                </c:pt>
                <c:pt idx="581">
                  <c:v>45373</c:v>
                </c:pt>
                <c:pt idx="582">
                  <c:v>45372</c:v>
                </c:pt>
                <c:pt idx="583">
                  <c:v>45371</c:v>
                </c:pt>
                <c:pt idx="584">
                  <c:v>45370</c:v>
                </c:pt>
                <c:pt idx="585">
                  <c:v>45369</c:v>
                </c:pt>
                <c:pt idx="586">
                  <c:v>45368</c:v>
                </c:pt>
                <c:pt idx="587">
                  <c:v>45367</c:v>
                </c:pt>
                <c:pt idx="588">
                  <c:v>45366</c:v>
                </c:pt>
                <c:pt idx="589">
                  <c:v>45365</c:v>
                </c:pt>
                <c:pt idx="590">
                  <c:v>45364</c:v>
                </c:pt>
                <c:pt idx="591">
                  <c:v>45363</c:v>
                </c:pt>
                <c:pt idx="592">
                  <c:v>45362</c:v>
                </c:pt>
                <c:pt idx="593">
                  <c:v>45361</c:v>
                </c:pt>
                <c:pt idx="594">
                  <c:v>45360</c:v>
                </c:pt>
                <c:pt idx="595">
                  <c:v>45359</c:v>
                </c:pt>
                <c:pt idx="596">
                  <c:v>45358</c:v>
                </c:pt>
                <c:pt idx="597">
                  <c:v>45357</c:v>
                </c:pt>
                <c:pt idx="598">
                  <c:v>45356</c:v>
                </c:pt>
                <c:pt idx="599">
                  <c:v>45355</c:v>
                </c:pt>
                <c:pt idx="600">
                  <c:v>45354</c:v>
                </c:pt>
                <c:pt idx="601">
                  <c:v>45353</c:v>
                </c:pt>
                <c:pt idx="602">
                  <c:v>45352</c:v>
                </c:pt>
                <c:pt idx="603">
                  <c:v>45351</c:v>
                </c:pt>
                <c:pt idx="604">
                  <c:v>45350</c:v>
                </c:pt>
                <c:pt idx="605">
                  <c:v>45349</c:v>
                </c:pt>
                <c:pt idx="606">
                  <c:v>45348</c:v>
                </c:pt>
                <c:pt idx="607">
                  <c:v>45347</c:v>
                </c:pt>
                <c:pt idx="608">
                  <c:v>45346</c:v>
                </c:pt>
                <c:pt idx="609">
                  <c:v>45345</c:v>
                </c:pt>
                <c:pt idx="610">
                  <c:v>45344</c:v>
                </c:pt>
                <c:pt idx="611">
                  <c:v>45343</c:v>
                </c:pt>
                <c:pt idx="612">
                  <c:v>45342</c:v>
                </c:pt>
                <c:pt idx="613">
                  <c:v>45341</c:v>
                </c:pt>
                <c:pt idx="614">
                  <c:v>45340</c:v>
                </c:pt>
                <c:pt idx="615">
                  <c:v>45339</c:v>
                </c:pt>
                <c:pt idx="616">
                  <c:v>45338</c:v>
                </c:pt>
                <c:pt idx="617">
                  <c:v>45337</c:v>
                </c:pt>
                <c:pt idx="618">
                  <c:v>45336</c:v>
                </c:pt>
                <c:pt idx="619">
                  <c:v>45335</c:v>
                </c:pt>
                <c:pt idx="620">
                  <c:v>45334</c:v>
                </c:pt>
                <c:pt idx="621">
                  <c:v>45333</c:v>
                </c:pt>
                <c:pt idx="622">
                  <c:v>45332</c:v>
                </c:pt>
                <c:pt idx="623">
                  <c:v>45331</c:v>
                </c:pt>
                <c:pt idx="624">
                  <c:v>45330</c:v>
                </c:pt>
                <c:pt idx="625">
                  <c:v>45329</c:v>
                </c:pt>
                <c:pt idx="626">
                  <c:v>45328</c:v>
                </c:pt>
                <c:pt idx="627">
                  <c:v>45327</c:v>
                </c:pt>
                <c:pt idx="628">
                  <c:v>45326</c:v>
                </c:pt>
                <c:pt idx="629">
                  <c:v>45325</c:v>
                </c:pt>
                <c:pt idx="630">
                  <c:v>45324</c:v>
                </c:pt>
                <c:pt idx="631">
                  <c:v>45323</c:v>
                </c:pt>
                <c:pt idx="632">
                  <c:v>45322</c:v>
                </c:pt>
                <c:pt idx="633">
                  <c:v>45321</c:v>
                </c:pt>
                <c:pt idx="634">
                  <c:v>45320</c:v>
                </c:pt>
                <c:pt idx="635">
                  <c:v>45319</c:v>
                </c:pt>
                <c:pt idx="636">
                  <c:v>45318</c:v>
                </c:pt>
                <c:pt idx="637">
                  <c:v>45317</c:v>
                </c:pt>
                <c:pt idx="638">
                  <c:v>45316</c:v>
                </c:pt>
                <c:pt idx="639">
                  <c:v>45315</c:v>
                </c:pt>
                <c:pt idx="640">
                  <c:v>45314</c:v>
                </c:pt>
                <c:pt idx="641">
                  <c:v>45313</c:v>
                </c:pt>
                <c:pt idx="642">
                  <c:v>45312</c:v>
                </c:pt>
                <c:pt idx="643">
                  <c:v>45311</c:v>
                </c:pt>
                <c:pt idx="644">
                  <c:v>45310</c:v>
                </c:pt>
                <c:pt idx="645">
                  <c:v>45309</c:v>
                </c:pt>
                <c:pt idx="646">
                  <c:v>45308</c:v>
                </c:pt>
                <c:pt idx="647">
                  <c:v>45307</c:v>
                </c:pt>
                <c:pt idx="648">
                  <c:v>45306</c:v>
                </c:pt>
                <c:pt idx="649">
                  <c:v>45305</c:v>
                </c:pt>
                <c:pt idx="650">
                  <c:v>45304</c:v>
                </c:pt>
                <c:pt idx="651">
                  <c:v>45303</c:v>
                </c:pt>
                <c:pt idx="652">
                  <c:v>45302</c:v>
                </c:pt>
                <c:pt idx="653">
                  <c:v>45301</c:v>
                </c:pt>
                <c:pt idx="654">
                  <c:v>45300</c:v>
                </c:pt>
                <c:pt idx="655">
                  <c:v>45299</c:v>
                </c:pt>
                <c:pt idx="656">
                  <c:v>45298</c:v>
                </c:pt>
                <c:pt idx="657">
                  <c:v>45297</c:v>
                </c:pt>
                <c:pt idx="658">
                  <c:v>45296</c:v>
                </c:pt>
                <c:pt idx="659">
                  <c:v>45295</c:v>
                </c:pt>
                <c:pt idx="660">
                  <c:v>45294</c:v>
                </c:pt>
                <c:pt idx="661">
                  <c:v>45293</c:v>
                </c:pt>
                <c:pt idx="662">
                  <c:v>45292</c:v>
                </c:pt>
                <c:pt idx="663">
                  <c:v>45291</c:v>
                </c:pt>
                <c:pt idx="664">
                  <c:v>45290</c:v>
                </c:pt>
                <c:pt idx="665">
                  <c:v>45289</c:v>
                </c:pt>
                <c:pt idx="666">
                  <c:v>45288</c:v>
                </c:pt>
                <c:pt idx="667">
                  <c:v>45287</c:v>
                </c:pt>
                <c:pt idx="668">
                  <c:v>45286</c:v>
                </c:pt>
                <c:pt idx="669">
                  <c:v>45285</c:v>
                </c:pt>
                <c:pt idx="670">
                  <c:v>45284</c:v>
                </c:pt>
                <c:pt idx="671">
                  <c:v>45283</c:v>
                </c:pt>
                <c:pt idx="672">
                  <c:v>45282</c:v>
                </c:pt>
                <c:pt idx="673">
                  <c:v>45281</c:v>
                </c:pt>
                <c:pt idx="674">
                  <c:v>45280</c:v>
                </c:pt>
                <c:pt idx="675">
                  <c:v>45279</c:v>
                </c:pt>
                <c:pt idx="676">
                  <c:v>45278</c:v>
                </c:pt>
                <c:pt idx="677">
                  <c:v>45277</c:v>
                </c:pt>
                <c:pt idx="678">
                  <c:v>45276</c:v>
                </c:pt>
                <c:pt idx="679">
                  <c:v>45275</c:v>
                </c:pt>
                <c:pt idx="680">
                  <c:v>45274</c:v>
                </c:pt>
                <c:pt idx="681">
                  <c:v>45273</c:v>
                </c:pt>
                <c:pt idx="682">
                  <c:v>45272</c:v>
                </c:pt>
                <c:pt idx="683">
                  <c:v>45271</c:v>
                </c:pt>
                <c:pt idx="684">
                  <c:v>45270</c:v>
                </c:pt>
                <c:pt idx="685">
                  <c:v>45269</c:v>
                </c:pt>
                <c:pt idx="686">
                  <c:v>45268</c:v>
                </c:pt>
                <c:pt idx="687">
                  <c:v>45267</c:v>
                </c:pt>
                <c:pt idx="688">
                  <c:v>45266</c:v>
                </c:pt>
                <c:pt idx="689">
                  <c:v>45265</c:v>
                </c:pt>
                <c:pt idx="690">
                  <c:v>45264</c:v>
                </c:pt>
                <c:pt idx="691">
                  <c:v>45263</c:v>
                </c:pt>
                <c:pt idx="692">
                  <c:v>45262</c:v>
                </c:pt>
                <c:pt idx="693">
                  <c:v>45261</c:v>
                </c:pt>
                <c:pt idx="694">
                  <c:v>45260</c:v>
                </c:pt>
                <c:pt idx="695">
                  <c:v>45259</c:v>
                </c:pt>
                <c:pt idx="696">
                  <c:v>45258</c:v>
                </c:pt>
                <c:pt idx="697">
                  <c:v>45257</c:v>
                </c:pt>
                <c:pt idx="698">
                  <c:v>45256</c:v>
                </c:pt>
                <c:pt idx="699">
                  <c:v>45255</c:v>
                </c:pt>
                <c:pt idx="700">
                  <c:v>45254</c:v>
                </c:pt>
                <c:pt idx="701">
                  <c:v>45253</c:v>
                </c:pt>
                <c:pt idx="702">
                  <c:v>45252</c:v>
                </c:pt>
                <c:pt idx="703">
                  <c:v>45251</c:v>
                </c:pt>
                <c:pt idx="704">
                  <c:v>45250</c:v>
                </c:pt>
                <c:pt idx="705">
                  <c:v>45249</c:v>
                </c:pt>
                <c:pt idx="706">
                  <c:v>45248</c:v>
                </c:pt>
                <c:pt idx="707">
                  <c:v>45247</c:v>
                </c:pt>
                <c:pt idx="708">
                  <c:v>45246</c:v>
                </c:pt>
                <c:pt idx="709">
                  <c:v>45245</c:v>
                </c:pt>
                <c:pt idx="710">
                  <c:v>45244</c:v>
                </c:pt>
                <c:pt idx="711">
                  <c:v>45243</c:v>
                </c:pt>
                <c:pt idx="712">
                  <c:v>45242</c:v>
                </c:pt>
                <c:pt idx="713">
                  <c:v>45241</c:v>
                </c:pt>
                <c:pt idx="714">
                  <c:v>45240</c:v>
                </c:pt>
                <c:pt idx="715">
                  <c:v>45239</c:v>
                </c:pt>
                <c:pt idx="716">
                  <c:v>45238</c:v>
                </c:pt>
                <c:pt idx="717">
                  <c:v>45237</c:v>
                </c:pt>
                <c:pt idx="718">
                  <c:v>45236</c:v>
                </c:pt>
                <c:pt idx="719">
                  <c:v>45235</c:v>
                </c:pt>
                <c:pt idx="720">
                  <c:v>45234</c:v>
                </c:pt>
                <c:pt idx="721">
                  <c:v>45233</c:v>
                </c:pt>
                <c:pt idx="722">
                  <c:v>45232</c:v>
                </c:pt>
                <c:pt idx="723">
                  <c:v>45231</c:v>
                </c:pt>
                <c:pt idx="724">
                  <c:v>45230</c:v>
                </c:pt>
                <c:pt idx="725">
                  <c:v>45229</c:v>
                </c:pt>
                <c:pt idx="726">
                  <c:v>45228</c:v>
                </c:pt>
                <c:pt idx="727">
                  <c:v>45227</c:v>
                </c:pt>
                <c:pt idx="728">
                  <c:v>45226</c:v>
                </c:pt>
                <c:pt idx="729">
                  <c:v>45225</c:v>
                </c:pt>
                <c:pt idx="730">
                  <c:v>45224</c:v>
                </c:pt>
                <c:pt idx="731">
                  <c:v>45223</c:v>
                </c:pt>
                <c:pt idx="732">
                  <c:v>45222</c:v>
                </c:pt>
                <c:pt idx="733">
                  <c:v>45221</c:v>
                </c:pt>
                <c:pt idx="734">
                  <c:v>45220</c:v>
                </c:pt>
                <c:pt idx="735">
                  <c:v>45219</c:v>
                </c:pt>
                <c:pt idx="736">
                  <c:v>45218</c:v>
                </c:pt>
                <c:pt idx="737">
                  <c:v>45217</c:v>
                </c:pt>
                <c:pt idx="738">
                  <c:v>45216</c:v>
                </c:pt>
                <c:pt idx="739">
                  <c:v>45215</c:v>
                </c:pt>
                <c:pt idx="740">
                  <c:v>45214</c:v>
                </c:pt>
                <c:pt idx="741">
                  <c:v>45213</c:v>
                </c:pt>
                <c:pt idx="742">
                  <c:v>45212</c:v>
                </c:pt>
                <c:pt idx="743">
                  <c:v>45211</c:v>
                </c:pt>
                <c:pt idx="744">
                  <c:v>45210</c:v>
                </c:pt>
                <c:pt idx="745">
                  <c:v>45209</c:v>
                </c:pt>
                <c:pt idx="746">
                  <c:v>45208</c:v>
                </c:pt>
                <c:pt idx="747">
                  <c:v>45207</c:v>
                </c:pt>
                <c:pt idx="748">
                  <c:v>45206</c:v>
                </c:pt>
                <c:pt idx="749">
                  <c:v>45205</c:v>
                </c:pt>
                <c:pt idx="750">
                  <c:v>45204</c:v>
                </c:pt>
                <c:pt idx="751">
                  <c:v>45203</c:v>
                </c:pt>
                <c:pt idx="752">
                  <c:v>45202</c:v>
                </c:pt>
                <c:pt idx="753">
                  <c:v>45201</c:v>
                </c:pt>
                <c:pt idx="754">
                  <c:v>45200</c:v>
                </c:pt>
                <c:pt idx="755">
                  <c:v>45199</c:v>
                </c:pt>
                <c:pt idx="756">
                  <c:v>45198</c:v>
                </c:pt>
                <c:pt idx="757">
                  <c:v>45197</c:v>
                </c:pt>
                <c:pt idx="758">
                  <c:v>45196</c:v>
                </c:pt>
                <c:pt idx="759">
                  <c:v>45195</c:v>
                </c:pt>
                <c:pt idx="760">
                  <c:v>45194</c:v>
                </c:pt>
                <c:pt idx="761">
                  <c:v>45193</c:v>
                </c:pt>
                <c:pt idx="762">
                  <c:v>45192</c:v>
                </c:pt>
                <c:pt idx="763">
                  <c:v>45191</c:v>
                </c:pt>
                <c:pt idx="764">
                  <c:v>45190</c:v>
                </c:pt>
                <c:pt idx="765">
                  <c:v>45189</c:v>
                </c:pt>
                <c:pt idx="766">
                  <c:v>45188</c:v>
                </c:pt>
                <c:pt idx="767">
                  <c:v>45187</c:v>
                </c:pt>
                <c:pt idx="768">
                  <c:v>45186</c:v>
                </c:pt>
                <c:pt idx="769">
                  <c:v>45185</c:v>
                </c:pt>
                <c:pt idx="770">
                  <c:v>45184</c:v>
                </c:pt>
                <c:pt idx="771">
                  <c:v>45183</c:v>
                </c:pt>
                <c:pt idx="772">
                  <c:v>45182</c:v>
                </c:pt>
                <c:pt idx="773">
                  <c:v>45181</c:v>
                </c:pt>
                <c:pt idx="774">
                  <c:v>45180</c:v>
                </c:pt>
                <c:pt idx="775">
                  <c:v>45179</c:v>
                </c:pt>
                <c:pt idx="776">
                  <c:v>45178</c:v>
                </c:pt>
                <c:pt idx="777">
                  <c:v>45177</c:v>
                </c:pt>
                <c:pt idx="778">
                  <c:v>45176</c:v>
                </c:pt>
                <c:pt idx="779">
                  <c:v>45175</c:v>
                </c:pt>
                <c:pt idx="780">
                  <c:v>45174</c:v>
                </c:pt>
                <c:pt idx="781">
                  <c:v>45173</c:v>
                </c:pt>
                <c:pt idx="782">
                  <c:v>45172</c:v>
                </c:pt>
                <c:pt idx="783">
                  <c:v>45171</c:v>
                </c:pt>
                <c:pt idx="784">
                  <c:v>45170</c:v>
                </c:pt>
                <c:pt idx="785">
                  <c:v>45169</c:v>
                </c:pt>
                <c:pt idx="786">
                  <c:v>45168</c:v>
                </c:pt>
                <c:pt idx="787">
                  <c:v>45167</c:v>
                </c:pt>
                <c:pt idx="788">
                  <c:v>45166</c:v>
                </c:pt>
                <c:pt idx="789">
                  <c:v>45165</c:v>
                </c:pt>
                <c:pt idx="790">
                  <c:v>45164</c:v>
                </c:pt>
                <c:pt idx="791">
                  <c:v>45163</c:v>
                </c:pt>
                <c:pt idx="792">
                  <c:v>45162</c:v>
                </c:pt>
                <c:pt idx="793">
                  <c:v>45161</c:v>
                </c:pt>
                <c:pt idx="794">
                  <c:v>45160</c:v>
                </c:pt>
                <c:pt idx="795">
                  <c:v>45159</c:v>
                </c:pt>
                <c:pt idx="796">
                  <c:v>45158</c:v>
                </c:pt>
                <c:pt idx="797">
                  <c:v>45157</c:v>
                </c:pt>
                <c:pt idx="798">
                  <c:v>45156</c:v>
                </c:pt>
                <c:pt idx="799">
                  <c:v>45155</c:v>
                </c:pt>
                <c:pt idx="800">
                  <c:v>45154</c:v>
                </c:pt>
                <c:pt idx="801">
                  <c:v>45153</c:v>
                </c:pt>
                <c:pt idx="802">
                  <c:v>45152</c:v>
                </c:pt>
                <c:pt idx="803">
                  <c:v>45151</c:v>
                </c:pt>
                <c:pt idx="804">
                  <c:v>45150</c:v>
                </c:pt>
                <c:pt idx="805">
                  <c:v>45149</c:v>
                </c:pt>
                <c:pt idx="806">
                  <c:v>45148</c:v>
                </c:pt>
                <c:pt idx="807">
                  <c:v>45147</c:v>
                </c:pt>
                <c:pt idx="808">
                  <c:v>45146</c:v>
                </c:pt>
                <c:pt idx="809">
                  <c:v>45145</c:v>
                </c:pt>
                <c:pt idx="810">
                  <c:v>45144</c:v>
                </c:pt>
                <c:pt idx="811">
                  <c:v>45143</c:v>
                </c:pt>
                <c:pt idx="812">
                  <c:v>45142</c:v>
                </c:pt>
                <c:pt idx="813">
                  <c:v>45141</c:v>
                </c:pt>
                <c:pt idx="814">
                  <c:v>45140</c:v>
                </c:pt>
                <c:pt idx="815">
                  <c:v>45139</c:v>
                </c:pt>
                <c:pt idx="816">
                  <c:v>45138</c:v>
                </c:pt>
                <c:pt idx="817">
                  <c:v>45137</c:v>
                </c:pt>
                <c:pt idx="818">
                  <c:v>45136</c:v>
                </c:pt>
                <c:pt idx="819">
                  <c:v>45135</c:v>
                </c:pt>
                <c:pt idx="820">
                  <c:v>45134</c:v>
                </c:pt>
                <c:pt idx="821">
                  <c:v>45133</c:v>
                </c:pt>
                <c:pt idx="822">
                  <c:v>45132</c:v>
                </c:pt>
                <c:pt idx="823">
                  <c:v>45131</c:v>
                </c:pt>
                <c:pt idx="824">
                  <c:v>45130</c:v>
                </c:pt>
                <c:pt idx="825">
                  <c:v>45129</c:v>
                </c:pt>
                <c:pt idx="826">
                  <c:v>45128</c:v>
                </c:pt>
                <c:pt idx="827">
                  <c:v>45127</c:v>
                </c:pt>
                <c:pt idx="828">
                  <c:v>45126</c:v>
                </c:pt>
                <c:pt idx="829">
                  <c:v>45125</c:v>
                </c:pt>
                <c:pt idx="830">
                  <c:v>45124</c:v>
                </c:pt>
                <c:pt idx="831">
                  <c:v>45123</c:v>
                </c:pt>
                <c:pt idx="832">
                  <c:v>45122</c:v>
                </c:pt>
                <c:pt idx="833">
                  <c:v>45121</c:v>
                </c:pt>
                <c:pt idx="834">
                  <c:v>45120</c:v>
                </c:pt>
                <c:pt idx="835">
                  <c:v>45119</c:v>
                </c:pt>
                <c:pt idx="836">
                  <c:v>45118</c:v>
                </c:pt>
                <c:pt idx="837">
                  <c:v>45117</c:v>
                </c:pt>
                <c:pt idx="838">
                  <c:v>45116</c:v>
                </c:pt>
                <c:pt idx="839">
                  <c:v>45115</c:v>
                </c:pt>
                <c:pt idx="840">
                  <c:v>45114</c:v>
                </c:pt>
                <c:pt idx="841">
                  <c:v>45113</c:v>
                </c:pt>
                <c:pt idx="842">
                  <c:v>45112</c:v>
                </c:pt>
                <c:pt idx="843">
                  <c:v>45111</c:v>
                </c:pt>
                <c:pt idx="844">
                  <c:v>45110</c:v>
                </c:pt>
                <c:pt idx="845">
                  <c:v>45109</c:v>
                </c:pt>
                <c:pt idx="846">
                  <c:v>45108</c:v>
                </c:pt>
                <c:pt idx="847">
                  <c:v>45107</c:v>
                </c:pt>
                <c:pt idx="848">
                  <c:v>45106</c:v>
                </c:pt>
                <c:pt idx="849">
                  <c:v>45105</c:v>
                </c:pt>
                <c:pt idx="850">
                  <c:v>45104</c:v>
                </c:pt>
                <c:pt idx="851">
                  <c:v>45103</c:v>
                </c:pt>
                <c:pt idx="852">
                  <c:v>45102</c:v>
                </c:pt>
                <c:pt idx="853">
                  <c:v>45101</c:v>
                </c:pt>
                <c:pt idx="854">
                  <c:v>45100</c:v>
                </c:pt>
                <c:pt idx="855">
                  <c:v>45099</c:v>
                </c:pt>
                <c:pt idx="856">
                  <c:v>45098</c:v>
                </c:pt>
                <c:pt idx="857">
                  <c:v>45097</c:v>
                </c:pt>
                <c:pt idx="858">
                  <c:v>45096</c:v>
                </c:pt>
                <c:pt idx="859">
                  <c:v>45095</c:v>
                </c:pt>
                <c:pt idx="860">
                  <c:v>45094</c:v>
                </c:pt>
                <c:pt idx="861">
                  <c:v>45093</c:v>
                </c:pt>
                <c:pt idx="862">
                  <c:v>45092</c:v>
                </c:pt>
                <c:pt idx="863">
                  <c:v>45091</c:v>
                </c:pt>
                <c:pt idx="864">
                  <c:v>45090</c:v>
                </c:pt>
                <c:pt idx="865">
                  <c:v>45089</c:v>
                </c:pt>
                <c:pt idx="866">
                  <c:v>45088</c:v>
                </c:pt>
                <c:pt idx="867">
                  <c:v>45087</c:v>
                </c:pt>
                <c:pt idx="868">
                  <c:v>45086</c:v>
                </c:pt>
                <c:pt idx="869">
                  <c:v>45085</c:v>
                </c:pt>
                <c:pt idx="870">
                  <c:v>45084</c:v>
                </c:pt>
                <c:pt idx="871">
                  <c:v>45083</c:v>
                </c:pt>
                <c:pt idx="872">
                  <c:v>45082</c:v>
                </c:pt>
                <c:pt idx="873">
                  <c:v>45081</c:v>
                </c:pt>
                <c:pt idx="874">
                  <c:v>45080</c:v>
                </c:pt>
                <c:pt idx="875">
                  <c:v>45079</c:v>
                </c:pt>
                <c:pt idx="876">
                  <c:v>45078</c:v>
                </c:pt>
                <c:pt idx="877">
                  <c:v>45077</c:v>
                </c:pt>
                <c:pt idx="878">
                  <c:v>45076</c:v>
                </c:pt>
                <c:pt idx="879">
                  <c:v>45075</c:v>
                </c:pt>
                <c:pt idx="880">
                  <c:v>45074</c:v>
                </c:pt>
                <c:pt idx="881">
                  <c:v>45073</c:v>
                </c:pt>
                <c:pt idx="882">
                  <c:v>45072</c:v>
                </c:pt>
                <c:pt idx="883">
                  <c:v>45071</c:v>
                </c:pt>
                <c:pt idx="884">
                  <c:v>45070</c:v>
                </c:pt>
                <c:pt idx="885">
                  <c:v>45069</c:v>
                </c:pt>
                <c:pt idx="886">
                  <c:v>45068</c:v>
                </c:pt>
                <c:pt idx="887">
                  <c:v>45067</c:v>
                </c:pt>
                <c:pt idx="888">
                  <c:v>45066</c:v>
                </c:pt>
                <c:pt idx="889">
                  <c:v>45065</c:v>
                </c:pt>
                <c:pt idx="890">
                  <c:v>45064</c:v>
                </c:pt>
                <c:pt idx="891">
                  <c:v>45063</c:v>
                </c:pt>
                <c:pt idx="892">
                  <c:v>45062</c:v>
                </c:pt>
                <c:pt idx="893">
                  <c:v>45061</c:v>
                </c:pt>
                <c:pt idx="894">
                  <c:v>45060</c:v>
                </c:pt>
                <c:pt idx="895">
                  <c:v>45059</c:v>
                </c:pt>
                <c:pt idx="896">
                  <c:v>45058</c:v>
                </c:pt>
                <c:pt idx="897">
                  <c:v>45057</c:v>
                </c:pt>
                <c:pt idx="898">
                  <c:v>45056</c:v>
                </c:pt>
                <c:pt idx="899">
                  <c:v>45055</c:v>
                </c:pt>
                <c:pt idx="900">
                  <c:v>45054</c:v>
                </c:pt>
                <c:pt idx="901">
                  <c:v>45053</c:v>
                </c:pt>
                <c:pt idx="902">
                  <c:v>45052</c:v>
                </c:pt>
                <c:pt idx="903">
                  <c:v>45051</c:v>
                </c:pt>
                <c:pt idx="904">
                  <c:v>45050</c:v>
                </c:pt>
                <c:pt idx="905">
                  <c:v>45049</c:v>
                </c:pt>
                <c:pt idx="906">
                  <c:v>45048</c:v>
                </c:pt>
                <c:pt idx="907">
                  <c:v>45047</c:v>
                </c:pt>
                <c:pt idx="908">
                  <c:v>45046</c:v>
                </c:pt>
                <c:pt idx="909">
                  <c:v>45045</c:v>
                </c:pt>
                <c:pt idx="910">
                  <c:v>45044</c:v>
                </c:pt>
                <c:pt idx="911">
                  <c:v>45043</c:v>
                </c:pt>
                <c:pt idx="912">
                  <c:v>45042</c:v>
                </c:pt>
                <c:pt idx="913">
                  <c:v>45041</c:v>
                </c:pt>
                <c:pt idx="914">
                  <c:v>45040</c:v>
                </c:pt>
                <c:pt idx="915">
                  <c:v>45039</c:v>
                </c:pt>
                <c:pt idx="916">
                  <c:v>45038</c:v>
                </c:pt>
                <c:pt idx="917">
                  <c:v>45037</c:v>
                </c:pt>
                <c:pt idx="918">
                  <c:v>45036</c:v>
                </c:pt>
                <c:pt idx="919">
                  <c:v>45035</c:v>
                </c:pt>
                <c:pt idx="920">
                  <c:v>45034</c:v>
                </c:pt>
                <c:pt idx="921">
                  <c:v>45033</c:v>
                </c:pt>
                <c:pt idx="922">
                  <c:v>45032</c:v>
                </c:pt>
                <c:pt idx="923">
                  <c:v>45031</c:v>
                </c:pt>
                <c:pt idx="924">
                  <c:v>45030</c:v>
                </c:pt>
                <c:pt idx="925">
                  <c:v>45029</c:v>
                </c:pt>
                <c:pt idx="926">
                  <c:v>45028</c:v>
                </c:pt>
                <c:pt idx="927">
                  <c:v>45027</c:v>
                </c:pt>
                <c:pt idx="928">
                  <c:v>45026</c:v>
                </c:pt>
                <c:pt idx="929">
                  <c:v>45025</c:v>
                </c:pt>
                <c:pt idx="930">
                  <c:v>45024</c:v>
                </c:pt>
                <c:pt idx="931">
                  <c:v>45023</c:v>
                </c:pt>
                <c:pt idx="932">
                  <c:v>45022</c:v>
                </c:pt>
                <c:pt idx="933">
                  <c:v>45021</c:v>
                </c:pt>
                <c:pt idx="934">
                  <c:v>45020</c:v>
                </c:pt>
                <c:pt idx="935">
                  <c:v>45019</c:v>
                </c:pt>
                <c:pt idx="936">
                  <c:v>45018</c:v>
                </c:pt>
                <c:pt idx="937">
                  <c:v>45017</c:v>
                </c:pt>
                <c:pt idx="938">
                  <c:v>45016</c:v>
                </c:pt>
                <c:pt idx="939">
                  <c:v>45015</c:v>
                </c:pt>
                <c:pt idx="940">
                  <c:v>45014</c:v>
                </c:pt>
                <c:pt idx="941">
                  <c:v>45013</c:v>
                </c:pt>
                <c:pt idx="942">
                  <c:v>45012</c:v>
                </c:pt>
                <c:pt idx="943">
                  <c:v>45011</c:v>
                </c:pt>
                <c:pt idx="944">
                  <c:v>45010</c:v>
                </c:pt>
                <c:pt idx="945">
                  <c:v>45009</c:v>
                </c:pt>
                <c:pt idx="946">
                  <c:v>45008</c:v>
                </c:pt>
                <c:pt idx="947">
                  <c:v>45007</c:v>
                </c:pt>
                <c:pt idx="948">
                  <c:v>45006</c:v>
                </c:pt>
                <c:pt idx="949">
                  <c:v>45005</c:v>
                </c:pt>
                <c:pt idx="950">
                  <c:v>45004</c:v>
                </c:pt>
                <c:pt idx="951">
                  <c:v>45003</c:v>
                </c:pt>
                <c:pt idx="952">
                  <c:v>45002</c:v>
                </c:pt>
                <c:pt idx="953">
                  <c:v>45001</c:v>
                </c:pt>
                <c:pt idx="954">
                  <c:v>45000</c:v>
                </c:pt>
                <c:pt idx="955">
                  <c:v>44999</c:v>
                </c:pt>
                <c:pt idx="956">
                  <c:v>44998</c:v>
                </c:pt>
                <c:pt idx="957">
                  <c:v>44997</c:v>
                </c:pt>
                <c:pt idx="958">
                  <c:v>44996</c:v>
                </c:pt>
                <c:pt idx="959">
                  <c:v>44995</c:v>
                </c:pt>
                <c:pt idx="960">
                  <c:v>44994</c:v>
                </c:pt>
                <c:pt idx="961">
                  <c:v>44993</c:v>
                </c:pt>
                <c:pt idx="962">
                  <c:v>44992</c:v>
                </c:pt>
                <c:pt idx="963">
                  <c:v>44991</c:v>
                </c:pt>
                <c:pt idx="964">
                  <c:v>44990</c:v>
                </c:pt>
                <c:pt idx="965">
                  <c:v>44989</c:v>
                </c:pt>
                <c:pt idx="966">
                  <c:v>44988</c:v>
                </c:pt>
                <c:pt idx="967">
                  <c:v>44987</c:v>
                </c:pt>
                <c:pt idx="968">
                  <c:v>44986</c:v>
                </c:pt>
                <c:pt idx="969">
                  <c:v>44985</c:v>
                </c:pt>
                <c:pt idx="970">
                  <c:v>44984</c:v>
                </c:pt>
                <c:pt idx="971">
                  <c:v>44983</c:v>
                </c:pt>
                <c:pt idx="972">
                  <c:v>44982</c:v>
                </c:pt>
                <c:pt idx="973">
                  <c:v>44981</c:v>
                </c:pt>
                <c:pt idx="974">
                  <c:v>44980</c:v>
                </c:pt>
                <c:pt idx="975">
                  <c:v>44979</c:v>
                </c:pt>
                <c:pt idx="976">
                  <c:v>44978</c:v>
                </c:pt>
                <c:pt idx="977">
                  <c:v>44977</c:v>
                </c:pt>
                <c:pt idx="978">
                  <c:v>44976</c:v>
                </c:pt>
                <c:pt idx="979">
                  <c:v>44975</c:v>
                </c:pt>
                <c:pt idx="980">
                  <c:v>44974</c:v>
                </c:pt>
                <c:pt idx="981">
                  <c:v>44973</c:v>
                </c:pt>
                <c:pt idx="982">
                  <c:v>44972</c:v>
                </c:pt>
                <c:pt idx="983">
                  <c:v>44971</c:v>
                </c:pt>
                <c:pt idx="984">
                  <c:v>44970</c:v>
                </c:pt>
                <c:pt idx="985">
                  <c:v>44969</c:v>
                </c:pt>
                <c:pt idx="986">
                  <c:v>44968</c:v>
                </c:pt>
                <c:pt idx="987">
                  <c:v>44967</c:v>
                </c:pt>
                <c:pt idx="988">
                  <c:v>44966</c:v>
                </c:pt>
                <c:pt idx="989">
                  <c:v>44965</c:v>
                </c:pt>
                <c:pt idx="990">
                  <c:v>44964</c:v>
                </c:pt>
                <c:pt idx="991">
                  <c:v>44963</c:v>
                </c:pt>
                <c:pt idx="992">
                  <c:v>44962</c:v>
                </c:pt>
                <c:pt idx="993">
                  <c:v>44961</c:v>
                </c:pt>
                <c:pt idx="994">
                  <c:v>44960</c:v>
                </c:pt>
                <c:pt idx="995">
                  <c:v>44959</c:v>
                </c:pt>
                <c:pt idx="996">
                  <c:v>44958</c:v>
                </c:pt>
                <c:pt idx="997">
                  <c:v>44957</c:v>
                </c:pt>
                <c:pt idx="998">
                  <c:v>44956</c:v>
                </c:pt>
                <c:pt idx="999">
                  <c:v>44955</c:v>
                </c:pt>
                <c:pt idx="1000">
                  <c:v>44954</c:v>
                </c:pt>
                <c:pt idx="1001">
                  <c:v>44953</c:v>
                </c:pt>
                <c:pt idx="1002">
                  <c:v>44952</c:v>
                </c:pt>
                <c:pt idx="1003">
                  <c:v>44951</c:v>
                </c:pt>
                <c:pt idx="1004">
                  <c:v>44950</c:v>
                </c:pt>
                <c:pt idx="1005">
                  <c:v>44949</c:v>
                </c:pt>
                <c:pt idx="1006">
                  <c:v>44948</c:v>
                </c:pt>
                <c:pt idx="1007">
                  <c:v>44947</c:v>
                </c:pt>
                <c:pt idx="1008">
                  <c:v>44946</c:v>
                </c:pt>
                <c:pt idx="1009">
                  <c:v>44945</c:v>
                </c:pt>
                <c:pt idx="1010">
                  <c:v>44944</c:v>
                </c:pt>
                <c:pt idx="1011">
                  <c:v>44943</c:v>
                </c:pt>
                <c:pt idx="1012">
                  <c:v>44942</c:v>
                </c:pt>
                <c:pt idx="1013">
                  <c:v>44941</c:v>
                </c:pt>
                <c:pt idx="1014">
                  <c:v>44940</c:v>
                </c:pt>
                <c:pt idx="1015">
                  <c:v>44939</c:v>
                </c:pt>
                <c:pt idx="1016">
                  <c:v>44938</c:v>
                </c:pt>
                <c:pt idx="1017">
                  <c:v>44937</c:v>
                </c:pt>
                <c:pt idx="1018">
                  <c:v>44936</c:v>
                </c:pt>
                <c:pt idx="1019">
                  <c:v>44935</c:v>
                </c:pt>
                <c:pt idx="1020">
                  <c:v>44934</c:v>
                </c:pt>
                <c:pt idx="1021">
                  <c:v>44933</c:v>
                </c:pt>
                <c:pt idx="1022">
                  <c:v>44932</c:v>
                </c:pt>
                <c:pt idx="1023">
                  <c:v>44931</c:v>
                </c:pt>
                <c:pt idx="1024">
                  <c:v>44930</c:v>
                </c:pt>
                <c:pt idx="1025">
                  <c:v>44929</c:v>
                </c:pt>
                <c:pt idx="1026">
                  <c:v>44928</c:v>
                </c:pt>
                <c:pt idx="1027">
                  <c:v>44927</c:v>
                </c:pt>
                <c:pt idx="1028">
                  <c:v>44926</c:v>
                </c:pt>
                <c:pt idx="1029">
                  <c:v>44925</c:v>
                </c:pt>
                <c:pt idx="1030">
                  <c:v>44924</c:v>
                </c:pt>
                <c:pt idx="1031">
                  <c:v>44923</c:v>
                </c:pt>
                <c:pt idx="1032">
                  <c:v>44922</c:v>
                </c:pt>
                <c:pt idx="1033">
                  <c:v>44921</c:v>
                </c:pt>
                <c:pt idx="1034">
                  <c:v>44920</c:v>
                </c:pt>
                <c:pt idx="1035">
                  <c:v>44919</c:v>
                </c:pt>
                <c:pt idx="1036">
                  <c:v>44918</c:v>
                </c:pt>
                <c:pt idx="1037">
                  <c:v>44917</c:v>
                </c:pt>
                <c:pt idx="1038">
                  <c:v>44916</c:v>
                </c:pt>
                <c:pt idx="1039">
                  <c:v>44915</c:v>
                </c:pt>
                <c:pt idx="1040">
                  <c:v>44914</c:v>
                </c:pt>
                <c:pt idx="1041">
                  <c:v>44913</c:v>
                </c:pt>
                <c:pt idx="1042">
                  <c:v>44912</c:v>
                </c:pt>
                <c:pt idx="1043">
                  <c:v>44911</c:v>
                </c:pt>
                <c:pt idx="1044">
                  <c:v>44910</c:v>
                </c:pt>
              </c:numCache>
            </c:numRef>
          </c:cat>
          <c:val>
            <c:numRef>
              <c:f>'Stock Data'!$AN$4:$AN$1048</c:f>
              <c:numCache>
                <c:formatCode>#,##0.00_);\(#,##0.00\)</c:formatCode>
                <c:ptCount val="1045"/>
                <c:pt idx="0">
                  <c:v>32.229999999999997</c:v>
                </c:pt>
                <c:pt idx="1">
                  <c:v>32.229999999999997</c:v>
                </c:pt>
                <c:pt idx="2">
                  <c:v>32.869999999999997</c:v>
                </c:pt>
                <c:pt idx="3">
                  <c:v>32.869999999999997</c:v>
                </c:pt>
                <c:pt idx="4">
                  <c:v>32.869999999999997</c:v>
                </c:pt>
                <c:pt idx="5">
                  <c:v>33.24</c:v>
                </c:pt>
                <c:pt idx="6">
                  <c:v>33.53</c:v>
                </c:pt>
                <c:pt idx="7">
                  <c:v>33.774999999999999</c:v>
                </c:pt>
                <c:pt idx="8">
                  <c:v>34.695</c:v>
                </c:pt>
                <c:pt idx="9">
                  <c:v>34.905000000000001</c:v>
                </c:pt>
                <c:pt idx="10">
                  <c:v>34.905000000000001</c:v>
                </c:pt>
                <c:pt idx="11">
                  <c:v>34.905000000000001</c:v>
                </c:pt>
                <c:pt idx="12">
                  <c:v>34.905000000000001</c:v>
                </c:pt>
                <c:pt idx="13">
                  <c:v>34.564999999999998</c:v>
                </c:pt>
                <c:pt idx="14">
                  <c:v>33.9</c:v>
                </c:pt>
                <c:pt idx="15">
                  <c:v>33.44</c:v>
                </c:pt>
                <c:pt idx="16">
                  <c:v>33.08</c:v>
                </c:pt>
                <c:pt idx="17">
                  <c:v>33.08</c:v>
                </c:pt>
                <c:pt idx="18">
                  <c:v>33.08</c:v>
                </c:pt>
                <c:pt idx="19">
                  <c:v>31.28</c:v>
                </c:pt>
                <c:pt idx="20">
                  <c:v>31.34</c:v>
                </c:pt>
                <c:pt idx="21">
                  <c:v>32.494999999999997</c:v>
                </c:pt>
                <c:pt idx="22">
                  <c:v>34.024999999999999</c:v>
                </c:pt>
                <c:pt idx="23">
                  <c:v>32.85</c:v>
                </c:pt>
                <c:pt idx="24">
                  <c:v>32.85</c:v>
                </c:pt>
                <c:pt idx="25">
                  <c:v>32.85</c:v>
                </c:pt>
                <c:pt idx="26">
                  <c:v>32.045000000000002</c:v>
                </c:pt>
                <c:pt idx="27">
                  <c:v>33.085000000000001</c:v>
                </c:pt>
                <c:pt idx="28">
                  <c:v>34.344999999999999</c:v>
                </c:pt>
                <c:pt idx="29">
                  <c:v>33.274999999999999</c:v>
                </c:pt>
                <c:pt idx="30">
                  <c:v>35.405000000000001</c:v>
                </c:pt>
                <c:pt idx="31">
                  <c:v>35.405000000000001</c:v>
                </c:pt>
                <c:pt idx="32">
                  <c:v>35.405000000000001</c:v>
                </c:pt>
                <c:pt idx="33">
                  <c:v>38.024999999999999</c:v>
                </c:pt>
                <c:pt idx="34">
                  <c:v>36.935000000000002</c:v>
                </c:pt>
                <c:pt idx="35">
                  <c:v>35.604999999999997</c:v>
                </c:pt>
                <c:pt idx="36">
                  <c:v>35.229999999999997</c:v>
                </c:pt>
                <c:pt idx="37">
                  <c:v>35.270000000000003</c:v>
                </c:pt>
                <c:pt idx="38">
                  <c:v>35.270000000000003</c:v>
                </c:pt>
                <c:pt idx="39">
                  <c:v>35.270000000000003</c:v>
                </c:pt>
                <c:pt idx="40">
                  <c:v>35.69</c:v>
                </c:pt>
                <c:pt idx="41">
                  <c:v>36.69</c:v>
                </c:pt>
                <c:pt idx="42">
                  <c:v>35.67</c:v>
                </c:pt>
                <c:pt idx="43">
                  <c:v>35.18</c:v>
                </c:pt>
                <c:pt idx="44">
                  <c:v>36.365000000000002</c:v>
                </c:pt>
                <c:pt idx="45">
                  <c:v>36.365000000000002</c:v>
                </c:pt>
                <c:pt idx="46">
                  <c:v>36.365000000000002</c:v>
                </c:pt>
                <c:pt idx="47">
                  <c:v>36.549999999999997</c:v>
                </c:pt>
                <c:pt idx="48">
                  <c:v>37.17</c:v>
                </c:pt>
                <c:pt idx="49">
                  <c:v>35.99</c:v>
                </c:pt>
                <c:pt idx="50">
                  <c:v>35.54</c:v>
                </c:pt>
                <c:pt idx="51">
                  <c:v>35.695</c:v>
                </c:pt>
                <c:pt idx="52">
                  <c:v>35.695</c:v>
                </c:pt>
                <c:pt idx="53">
                  <c:v>35.695</c:v>
                </c:pt>
                <c:pt idx="54">
                  <c:v>36.384999999999998</c:v>
                </c:pt>
                <c:pt idx="55">
                  <c:v>36.22</c:v>
                </c:pt>
                <c:pt idx="56">
                  <c:v>36.200000000000003</c:v>
                </c:pt>
                <c:pt idx="57">
                  <c:v>35.1</c:v>
                </c:pt>
                <c:pt idx="58">
                  <c:v>35.615000000000002</c:v>
                </c:pt>
                <c:pt idx="59">
                  <c:v>35.615000000000002</c:v>
                </c:pt>
                <c:pt idx="60">
                  <c:v>35.615000000000002</c:v>
                </c:pt>
                <c:pt idx="61">
                  <c:v>36.475000000000001</c:v>
                </c:pt>
                <c:pt idx="62">
                  <c:v>36.96</c:v>
                </c:pt>
                <c:pt idx="63">
                  <c:v>38.69</c:v>
                </c:pt>
                <c:pt idx="64">
                  <c:v>40.274999999999999</c:v>
                </c:pt>
                <c:pt idx="65">
                  <c:v>41.1</c:v>
                </c:pt>
                <c:pt idx="66">
                  <c:v>41.1</c:v>
                </c:pt>
                <c:pt idx="67">
                  <c:v>41.1</c:v>
                </c:pt>
                <c:pt idx="68">
                  <c:v>40.96</c:v>
                </c:pt>
                <c:pt idx="69">
                  <c:v>39.57</c:v>
                </c:pt>
                <c:pt idx="70">
                  <c:v>41.104999999999997</c:v>
                </c:pt>
                <c:pt idx="71">
                  <c:v>42.96</c:v>
                </c:pt>
                <c:pt idx="72">
                  <c:v>41.045000000000002</c:v>
                </c:pt>
                <c:pt idx="73">
                  <c:v>41.045000000000002</c:v>
                </c:pt>
                <c:pt idx="74">
                  <c:v>41.045000000000002</c:v>
                </c:pt>
                <c:pt idx="75">
                  <c:v>40.83</c:v>
                </c:pt>
                <c:pt idx="76">
                  <c:v>38.545000000000002</c:v>
                </c:pt>
                <c:pt idx="77">
                  <c:v>40.375</c:v>
                </c:pt>
                <c:pt idx="78">
                  <c:v>38.619999999999997</c:v>
                </c:pt>
                <c:pt idx="79">
                  <c:v>40.265000000000001</c:v>
                </c:pt>
                <c:pt idx="80">
                  <c:v>40.265000000000001</c:v>
                </c:pt>
                <c:pt idx="81">
                  <c:v>40.265000000000001</c:v>
                </c:pt>
                <c:pt idx="82">
                  <c:v>41.295000000000002</c:v>
                </c:pt>
                <c:pt idx="83">
                  <c:v>41.295000000000002</c:v>
                </c:pt>
                <c:pt idx="84">
                  <c:v>40.590000000000003</c:v>
                </c:pt>
                <c:pt idx="85">
                  <c:v>41.734999999999999</c:v>
                </c:pt>
                <c:pt idx="86">
                  <c:v>41.145000000000003</c:v>
                </c:pt>
                <c:pt idx="87">
                  <c:v>41.145000000000003</c:v>
                </c:pt>
                <c:pt idx="88">
                  <c:v>41.145000000000003</c:v>
                </c:pt>
                <c:pt idx="89">
                  <c:v>42.53</c:v>
                </c:pt>
                <c:pt idx="90">
                  <c:v>41.795000000000002</c:v>
                </c:pt>
                <c:pt idx="91">
                  <c:v>42.844999999999999</c:v>
                </c:pt>
                <c:pt idx="92">
                  <c:v>42.204999999999998</c:v>
                </c:pt>
                <c:pt idx="93">
                  <c:v>42.78</c:v>
                </c:pt>
                <c:pt idx="94">
                  <c:v>42.78</c:v>
                </c:pt>
                <c:pt idx="95">
                  <c:v>42.78</c:v>
                </c:pt>
                <c:pt idx="96">
                  <c:v>43.564999999999998</c:v>
                </c:pt>
                <c:pt idx="97">
                  <c:v>43.69</c:v>
                </c:pt>
                <c:pt idx="98">
                  <c:v>44.884999999999998</c:v>
                </c:pt>
                <c:pt idx="99">
                  <c:v>45.225000000000001</c:v>
                </c:pt>
                <c:pt idx="100">
                  <c:v>44.14</c:v>
                </c:pt>
                <c:pt idx="101">
                  <c:v>44.14</c:v>
                </c:pt>
                <c:pt idx="102">
                  <c:v>44.14</c:v>
                </c:pt>
                <c:pt idx="103">
                  <c:v>42.564999999999998</c:v>
                </c:pt>
                <c:pt idx="104">
                  <c:v>41.854999999999997</c:v>
                </c:pt>
                <c:pt idx="105">
                  <c:v>41.975000000000001</c:v>
                </c:pt>
                <c:pt idx="106">
                  <c:v>39.47</c:v>
                </c:pt>
                <c:pt idx="107">
                  <c:v>38.71</c:v>
                </c:pt>
                <c:pt idx="108">
                  <c:v>38.71</c:v>
                </c:pt>
                <c:pt idx="109">
                  <c:v>38.71</c:v>
                </c:pt>
                <c:pt idx="110">
                  <c:v>41.174999999999997</c:v>
                </c:pt>
                <c:pt idx="111">
                  <c:v>41.445</c:v>
                </c:pt>
                <c:pt idx="112">
                  <c:v>43.905000000000001</c:v>
                </c:pt>
                <c:pt idx="113">
                  <c:v>44.98</c:v>
                </c:pt>
                <c:pt idx="114">
                  <c:v>43.81</c:v>
                </c:pt>
                <c:pt idx="115">
                  <c:v>43.81</c:v>
                </c:pt>
                <c:pt idx="116">
                  <c:v>43.81</c:v>
                </c:pt>
                <c:pt idx="117">
                  <c:v>43.185000000000002</c:v>
                </c:pt>
                <c:pt idx="118">
                  <c:v>41.854999999999997</c:v>
                </c:pt>
                <c:pt idx="119">
                  <c:v>41.244999999999997</c:v>
                </c:pt>
                <c:pt idx="120">
                  <c:v>39.4</c:v>
                </c:pt>
                <c:pt idx="121">
                  <c:v>38.19</c:v>
                </c:pt>
                <c:pt idx="122">
                  <c:v>38.19</c:v>
                </c:pt>
                <c:pt idx="123">
                  <c:v>38.19</c:v>
                </c:pt>
                <c:pt idx="124">
                  <c:v>38.424999999999997</c:v>
                </c:pt>
                <c:pt idx="125">
                  <c:v>31.63</c:v>
                </c:pt>
                <c:pt idx="126">
                  <c:v>32.75</c:v>
                </c:pt>
                <c:pt idx="127">
                  <c:v>32.79</c:v>
                </c:pt>
                <c:pt idx="128">
                  <c:v>31.745000000000001</c:v>
                </c:pt>
                <c:pt idx="129">
                  <c:v>31.745000000000001</c:v>
                </c:pt>
                <c:pt idx="130">
                  <c:v>31.745000000000001</c:v>
                </c:pt>
                <c:pt idx="131">
                  <c:v>31.625</c:v>
                </c:pt>
                <c:pt idx="132">
                  <c:v>31.625</c:v>
                </c:pt>
                <c:pt idx="133">
                  <c:v>30.895</c:v>
                </c:pt>
                <c:pt idx="134">
                  <c:v>30.905000000000001</c:v>
                </c:pt>
                <c:pt idx="135">
                  <c:v>30.344999999999999</c:v>
                </c:pt>
                <c:pt idx="136">
                  <c:v>30.344999999999999</c:v>
                </c:pt>
                <c:pt idx="137">
                  <c:v>30.344999999999999</c:v>
                </c:pt>
                <c:pt idx="138">
                  <c:v>29.614999999999998</c:v>
                </c:pt>
                <c:pt idx="139">
                  <c:v>28.274999999999999</c:v>
                </c:pt>
                <c:pt idx="140">
                  <c:v>28.01</c:v>
                </c:pt>
                <c:pt idx="141">
                  <c:v>27.57</c:v>
                </c:pt>
                <c:pt idx="142">
                  <c:v>27.57</c:v>
                </c:pt>
                <c:pt idx="143">
                  <c:v>27.57</c:v>
                </c:pt>
                <c:pt idx="144">
                  <c:v>27.57</c:v>
                </c:pt>
                <c:pt idx="145">
                  <c:v>27.57</c:v>
                </c:pt>
                <c:pt idx="146">
                  <c:v>27.204999999999998</c:v>
                </c:pt>
                <c:pt idx="147">
                  <c:v>27</c:v>
                </c:pt>
                <c:pt idx="148">
                  <c:v>26.765000000000001</c:v>
                </c:pt>
                <c:pt idx="149">
                  <c:v>26.234999999999999</c:v>
                </c:pt>
                <c:pt idx="150">
                  <c:v>26.234999999999999</c:v>
                </c:pt>
                <c:pt idx="151">
                  <c:v>26.234999999999999</c:v>
                </c:pt>
                <c:pt idx="152">
                  <c:v>25.245000000000001</c:v>
                </c:pt>
                <c:pt idx="153">
                  <c:v>25.74</c:v>
                </c:pt>
                <c:pt idx="154">
                  <c:v>24.7</c:v>
                </c:pt>
                <c:pt idx="155">
                  <c:v>24.17</c:v>
                </c:pt>
                <c:pt idx="156">
                  <c:v>24.59</c:v>
                </c:pt>
                <c:pt idx="157">
                  <c:v>24.59</c:v>
                </c:pt>
                <c:pt idx="158">
                  <c:v>24.59</c:v>
                </c:pt>
                <c:pt idx="159">
                  <c:v>25.585000000000001</c:v>
                </c:pt>
                <c:pt idx="160">
                  <c:v>25.045000000000002</c:v>
                </c:pt>
                <c:pt idx="161">
                  <c:v>24.704999999999998</c:v>
                </c:pt>
                <c:pt idx="162">
                  <c:v>24.504999999999999</c:v>
                </c:pt>
                <c:pt idx="163">
                  <c:v>24.72</c:v>
                </c:pt>
                <c:pt idx="164">
                  <c:v>24.72</c:v>
                </c:pt>
                <c:pt idx="165">
                  <c:v>24.72</c:v>
                </c:pt>
                <c:pt idx="166">
                  <c:v>24.934999999999999</c:v>
                </c:pt>
                <c:pt idx="167">
                  <c:v>24.225000000000001</c:v>
                </c:pt>
                <c:pt idx="168">
                  <c:v>23.844999999999999</c:v>
                </c:pt>
                <c:pt idx="169">
                  <c:v>23.954999999999998</c:v>
                </c:pt>
                <c:pt idx="170">
                  <c:v>24.004999999999999</c:v>
                </c:pt>
                <c:pt idx="171">
                  <c:v>24.004999999999999</c:v>
                </c:pt>
                <c:pt idx="172">
                  <c:v>24.004999999999999</c:v>
                </c:pt>
                <c:pt idx="173">
                  <c:v>23.76</c:v>
                </c:pt>
                <c:pt idx="174">
                  <c:v>23.44</c:v>
                </c:pt>
                <c:pt idx="175">
                  <c:v>23.004999999999999</c:v>
                </c:pt>
                <c:pt idx="176">
                  <c:v>21.754999999999999</c:v>
                </c:pt>
                <c:pt idx="177">
                  <c:v>21.49</c:v>
                </c:pt>
                <c:pt idx="178">
                  <c:v>21.49</c:v>
                </c:pt>
                <c:pt idx="179">
                  <c:v>21.49</c:v>
                </c:pt>
                <c:pt idx="180">
                  <c:v>23.99</c:v>
                </c:pt>
                <c:pt idx="181">
                  <c:v>22.925000000000001</c:v>
                </c:pt>
                <c:pt idx="182">
                  <c:v>26.515000000000001</c:v>
                </c:pt>
                <c:pt idx="183">
                  <c:v>26.265000000000001</c:v>
                </c:pt>
                <c:pt idx="184">
                  <c:v>26.65</c:v>
                </c:pt>
                <c:pt idx="185">
                  <c:v>26.65</c:v>
                </c:pt>
                <c:pt idx="186">
                  <c:v>26.65</c:v>
                </c:pt>
                <c:pt idx="187">
                  <c:v>25.8</c:v>
                </c:pt>
                <c:pt idx="188">
                  <c:v>25.73</c:v>
                </c:pt>
                <c:pt idx="189">
                  <c:v>26.02</c:v>
                </c:pt>
                <c:pt idx="190">
                  <c:v>26.02</c:v>
                </c:pt>
                <c:pt idx="191">
                  <c:v>26.02</c:v>
                </c:pt>
                <c:pt idx="192">
                  <c:v>26.02</c:v>
                </c:pt>
                <c:pt idx="193">
                  <c:v>26.02</c:v>
                </c:pt>
                <c:pt idx="194">
                  <c:v>27.045000000000002</c:v>
                </c:pt>
                <c:pt idx="195">
                  <c:v>26.72</c:v>
                </c:pt>
                <c:pt idx="196">
                  <c:v>27.715</c:v>
                </c:pt>
                <c:pt idx="197">
                  <c:v>28.69</c:v>
                </c:pt>
                <c:pt idx="198">
                  <c:v>31.024999999999999</c:v>
                </c:pt>
                <c:pt idx="199">
                  <c:v>31.024999999999999</c:v>
                </c:pt>
                <c:pt idx="200">
                  <c:v>31.024999999999999</c:v>
                </c:pt>
                <c:pt idx="201">
                  <c:v>31.84</c:v>
                </c:pt>
                <c:pt idx="202">
                  <c:v>31.725000000000001</c:v>
                </c:pt>
                <c:pt idx="203">
                  <c:v>32.85</c:v>
                </c:pt>
                <c:pt idx="204">
                  <c:v>31.96</c:v>
                </c:pt>
                <c:pt idx="205">
                  <c:v>32.034999999999997</c:v>
                </c:pt>
                <c:pt idx="206">
                  <c:v>32.034999999999997</c:v>
                </c:pt>
                <c:pt idx="207">
                  <c:v>32.034999999999997</c:v>
                </c:pt>
                <c:pt idx="208">
                  <c:v>31.15</c:v>
                </c:pt>
                <c:pt idx="209">
                  <c:v>31.425000000000001</c:v>
                </c:pt>
                <c:pt idx="210">
                  <c:v>32.71</c:v>
                </c:pt>
                <c:pt idx="211">
                  <c:v>33.299999999999997</c:v>
                </c:pt>
                <c:pt idx="212">
                  <c:v>33.83</c:v>
                </c:pt>
                <c:pt idx="213">
                  <c:v>33.83</c:v>
                </c:pt>
                <c:pt idx="214">
                  <c:v>33.83</c:v>
                </c:pt>
                <c:pt idx="215">
                  <c:v>34.32</c:v>
                </c:pt>
                <c:pt idx="216">
                  <c:v>33.475000000000001</c:v>
                </c:pt>
                <c:pt idx="217">
                  <c:v>33.68</c:v>
                </c:pt>
                <c:pt idx="218">
                  <c:v>34.164999999999999</c:v>
                </c:pt>
                <c:pt idx="219">
                  <c:v>34.17</c:v>
                </c:pt>
                <c:pt idx="220">
                  <c:v>34.17</c:v>
                </c:pt>
                <c:pt idx="221">
                  <c:v>34.17</c:v>
                </c:pt>
                <c:pt idx="222">
                  <c:v>34.755000000000003</c:v>
                </c:pt>
                <c:pt idx="223">
                  <c:v>33.65</c:v>
                </c:pt>
                <c:pt idx="224">
                  <c:v>33.734999999999999</c:v>
                </c:pt>
                <c:pt idx="225">
                  <c:v>33.234999999999999</c:v>
                </c:pt>
                <c:pt idx="226">
                  <c:v>31.82</c:v>
                </c:pt>
                <c:pt idx="227">
                  <c:v>31.82</c:v>
                </c:pt>
                <c:pt idx="228">
                  <c:v>31.82</c:v>
                </c:pt>
                <c:pt idx="229">
                  <c:v>32.164999999999999</c:v>
                </c:pt>
                <c:pt idx="230">
                  <c:v>32.18</c:v>
                </c:pt>
                <c:pt idx="231">
                  <c:v>31.475000000000001</c:v>
                </c:pt>
                <c:pt idx="232">
                  <c:v>31.385000000000002</c:v>
                </c:pt>
                <c:pt idx="233">
                  <c:v>30.35</c:v>
                </c:pt>
                <c:pt idx="234">
                  <c:v>30.35</c:v>
                </c:pt>
                <c:pt idx="235">
                  <c:v>30.35</c:v>
                </c:pt>
                <c:pt idx="236">
                  <c:v>30.69</c:v>
                </c:pt>
                <c:pt idx="237">
                  <c:v>31.405000000000001</c:v>
                </c:pt>
                <c:pt idx="238">
                  <c:v>30.29</c:v>
                </c:pt>
                <c:pt idx="239">
                  <c:v>29.725000000000001</c:v>
                </c:pt>
                <c:pt idx="240">
                  <c:v>30.12</c:v>
                </c:pt>
                <c:pt idx="241">
                  <c:v>30.12</c:v>
                </c:pt>
                <c:pt idx="242">
                  <c:v>30.12</c:v>
                </c:pt>
                <c:pt idx="243">
                  <c:v>30.585000000000001</c:v>
                </c:pt>
                <c:pt idx="244">
                  <c:v>30.675000000000001</c:v>
                </c:pt>
                <c:pt idx="245">
                  <c:v>31.36</c:v>
                </c:pt>
                <c:pt idx="246">
                  <c:v>30.515000000000001</c:v>
                </c:pt>
                <c:pt idx="247">
                  <c:v>28.925000000000001</c:v>
                </c:pt>
                <c:pt idx="248">
                  <c:v>28.925000000000001</c:v>
                </c:pt>
                <c:pt idx="249">
                  <c:v>28.925000000000001</c:v>
                </c:pt>
                <c:pt idx="250">
                  <c:v>29.135000000000002</c:v>
                </c:pt>
                <c:pt idx="251">
                  <c:v>29.5</c:v>
                </c:pt>
                <c:pt idx="252">
                  <c:v>29.5</c:v>
                </c:pt>
                <c:pt idx="253">
                  <c:v>29.5</c:v>
                </c:pt>
                <c:pt idx="254">
                  <c:v>29.11</c:v>
                </c:pt>
                <c:pt idx="255">
                  <c:v>29.11</c:v>
                </c:pt>
                <c:pt idx="256">
                  <c:v>29.11</c:v>
                </c:pt>
                <c:pt idx="257">
                  <c:v>28.785</c:v>
                </c:pt>
                <c:pt idx="258">
                  <c:v>29.335000000000001</c:v>
                </c:pt>
                <c:pt idx="259">
                  <c:v>29.335000000000001</c:v>
                </c:pt>
                <c:pt idx="260">
                  <c:v>29.335000000000001</c:v>
                </c:pt>
                <c:pt idx="261">
                  <c:v>30.88</c:v>
                </c:pt>
                <c:pt idx="262">
                  <c:v>30.88</c:v>
                </c:pt>
                <c:pt idx="263">
                  <c:v>30.88</c:v>
                </c:pt>
                <c:pt idx="264">
                  <c:v>29.46</c:v>
                </c:pt>
                <c:pt idx="265">
                  <c:v>28.925000000000001</c:v>
                </c:pt>
                <c:pt idx="266">
                  <c:v>30.84</c:v>
                </c:pt>
                <c:pt idx="267">
                  <c:v>30.58</c:v>
                </c:pt>
                <c:pt idx="268">
                  <c:v>30.885000000000002</c:v>
                </c:pt>
                <c:pt idx="269">
                  <c:v>30.885000000000002</c:v>
                </c:pt>
                <c:pt idx="270">
                  <c:v>30.885000000000002</c:v>
                </c:pt>
                <c:pt idx="271">
                  <c:v>32.075000000000003</c:v>
                </c:pt>
                <c:pt idx="272">
                  <c:v>33.89</c:v>
                </c:pt>
                <c:pt idx="273">
                  <c:v>33.93</c:v>
                </c:pt>
                <c:pt idx="274">
                  <c:v>32.674999999999997</c:v>
                </c:pt>
                <c:pt idx="275">
                  <c:v>33.875</c:v>
                </c:pt>
                <c:pt idx="276">
                  <c:v>33.875</c:v>
                </c:pt>
                <c:pt idx="277">
                  <c:v>33.875</c:v>
                </c:pt>
                <c:pt idx="278">
                  <c:v>35.395000000000003</c:v>
                </c:pt>
                <c:pt idx="279">
                  <c:v>35.11</c:v>
                </c:pt>
                <c:pt idx="280">
                  <c:v>36.685000000000002</c:v>
                </c:pt>
                <c:pt idx="281">
                  <c:v>36.875</c:v>
                </c:pt>
                <c:pt idx="282">
                  <c:v>36.700000000000003</c:v>
                </c:pt>
                <c:pt idx="283">
                  <c:v>36.700000000000003</c:v>
                </c:pt>
                <c:pt idx="284">
                  <c:v>36.700000000000003</c:v>
                </c:pt>
                <c:pt idx="285">
                  <c:v>35.625</c:v>
                </c:pt>
                <c:pt idx="286">
                  <c:v>39.274999999999999</c:v>
                </c:pt>
                <c:pt idx="287">
                  <c:v>42.53</c:v>
                </c:pt>
                <c:pt idx="288">
                  <c:v>41.8</c:v>
                </c:pt>
                <c:pt idx="289">
                  <c:v>40.799999999999997</c:v>
                </c:pt>
                <c:pt idx="290">
                  <c:v>40.799999999999997</c:v>
                </c:pt>
                <c:pt idx="291">
                  <c:v>40.799999999999997</c:v>
                </c:pt>
                <c:pt idx="292">
                  <c:v>39.805</c:v>
                </c:pt>
                <c:pt idx="293">
                  <c:v>41.134999999999998</c:v>
                </c:pt>
                <c:pt idx="294">
                  <c:v>41.134999999999998</c:v>
                </c:pt>
                <c:pt idx="295">
                  <c:v>41.82</c:v>
                </c:pt>
                <c:pt idx="296">
                  <c:v>42.115000000000002</c:v>
                </c:pt>
                <c:pt idx="297">
                  <c:v>42.115000000000002</c:v>
                </c:pt>
                <c:pt idx="298">
                  <c:v>42.115000000000002</c:v>
                </c:pt>
                <c:pt idx="299">
                  <c:v>42.115000000000002</c:v>
                </c:pt>
                <c:pt idx="300">
                  <c:v>41.18</c:v>
                </c:pt>
                <c:pt idx="301">
                  <c:v>40.125</c:v>
                </c:pt>
                <c:pt idx="302">
                  <c:v>40.44</c:v>
                </c:pt>
                <c:pt idx="303">
                  <c:v>40.25</c:v>
                </c:pt>
                <c:pt idx="304">
                  <c:v>40.25</c:v>
                </c:pt>
                <c:pt idx="305">
                  <c:v>40.25</c:v>
                </c:pt>
                <c:pt idx="306">
                  <c:v>40.365000000000002</c:v>
                </c:pt>
                <c:pt idx="307">
                  <c:v>41.005000000000003</c:v>
                </c:pt>
                <c:pt idx="308">
                  <c:v>41.354999999999997</c:v>
                </c:pt>
                <c:pt idx="309">
                  <c:v>41.44</c:v>
                </c:pt>
                <c:pt idx="310">
                  <c:v>40.1</c:v>
                </c:pt>
                <c:pt idx="311">
                  <c:v>40.1</c:v>
                </c:pt>
                <c:pt idx="312">
                  <c:v>40.1</c:v>
                </c:pt>
                <c:pt idx="313">
                  <c:v>41.23</c:v>
                </c:pt>
                <c:pt idx="314">
                  <c:v>40.695</c:v>
                </c:pt>
                <c:pt idx="315">
                  <c:v>40.164999999999999</c:v>
                </c:pt>
                <c:pt idx="316">
                  <c:v>40.85</c:v>
                </c:pt>
                <c:pt idx="317">
                  <c:v>40.534999999999997</c:v>
                </c:pt>
                <c:pt idx="318">
                  <c:v>40.534999999999997</c:v>
                </c:pt>
                <c:pt idx="319">
                  <c:v>40.534999999999997</c:v>
                </c:pt>
                <c:pt idx="320">
                  <c:v>41.524999999999999</c:v>
                </c:pt>
                <c:pt idx="321">
                  <c:v>40.305</c:v>
                </c:pt>
                <c:pt idx="322">
                  <c:v>40.234999999999999</c:v>
                </c:pt>
                <c:pt idx="323">
                  <c:v>40.880000000000003</c:v>
                </c:pt>
                <c:pt idx="324">
                  <c:v>40.39</c:v>
                </c:pt>
                <c:pt idx="325">
                  <c:v>40.39</c:v>
                </c:pt>
                <c:pt idx="326">
                  <c:v>40.39</c:v>
                </c:pt>
                <c:pt idx="327">
                  <c:v>41.01</c:v>
                </c:pt>
                <c:pt idx="328">
                  <c:v>41.354999999999997</c:v>
                </c:pt>
                <c:pt idx="329">
                  <c:v>42.024999999999999</c:v>
                </c:pt>
                <c:pt idx="330">
                  <c:v>42.04</c:v>
                </c:pt>
                <c:pt idx="331">
                  <c:v>41.805</c:v>
                </c:pt>
                <c:pt idx="332">
                  <c:v>41.805</c:v>
                </c:pt>
                <c:pt idx="333">
                  <c:v>41.805</c:v>
                </c:pt>
                <c:pt idx="334">
                  <c:v>41.325000000000003</c:v>
                </c:pt>
                <c:pt idx="335">
                  <c:v>41.31</c:v>
                </c:pt>
                <c:pt idx="336">
                  <c:v>41.844999999999999</c:v>
                </c:pt>
                <c:pt idx="337">
                  <c:v>40.914999999999999</c:v>
                </c:pt>
                <c:pt idx="338">
                  <c:v>41.545000000000002</c:v>
                </c:pt>
                <c:pt idx="339">
                  <c:v>41.545000000000002</c:v>
                </c:pt>
                <c:pt idx="340">
                  <c:v>41.545000000000002</c:v>
                </c:pt>
                <c:pt idx="341">
                  <c:v>40.53</c:v>
                </c:pt>
                <c:pt idx="342">
                  <c:v>42.244999999999997</c:v>
                </c:pt>
                <c:pt idx="343">
                  <c:v>41.744999999999997</c:v>
                </c:pt>
                <c:pt idx="344">
                  <c:v>42.15</c:v>
                </c:pt>
                <c:pt idx="345">
                  <c:v>42.905000000000001</c:v>
                </c:pt>
                <c:pt idx="346">
                  <c:v>42.905000000000001</c:v>
                </c:pt>
                <c:pt idx="347">
                  <c:v>42.905000000000001</c:v>
                </c:pt>
                <c:pt idx="348">
                  <c:v>42.43</c:v>
                </c:pt>
                <c:pt idx="349">
                  <c:v>42.965000000000003</c:v>
                </c:pt>
                <c:pt idx="350">
                  <c:v>44.83</c:v>
                </c:pt>
                <c:pt idx="351">
                  <c:v>45.19</c:v>
                </c:pt>
                <c:pt idx="352">
                  <c:v>44.655000000000001</c:v>
                </c:pt>
                <c:pt idx="353">
                  <c:v>44.655000000000001</c:v>
                </c:pt>
                <c:pt idx="354">
                  <c:v>44.655000000000001</c:v>
                </c:pt>
                <c:pt idx="355">
                  <c:v>46.325000000000003</c:v>
                </c:pt>
                <c:pt idx="356">
                  <c:v>47.76</c:v>
                </c:pt>
                <c:pt idx="357">
                  <c:v>47.134999999999998</c:v>
                </c:pt>
                <c:pt idx="358">
                  <c:v>47.76</c:v>
                </c:pt>
                <c:pt idx="359">
                  <c:v>48.295000000000002</c:v>
                </c:pt>
                <c:pt idx="360">
                  <c:v>48.295000000000002</c:v>
                </c:pt>
                <c:pt idx="361">
                  <c:v>48.295000000000002</c:v>
                </c:pt>
                <c:pt idx="362">
                  <c:v>47.524999999999999</c:v>
                </c:pt>
                <c:pt idx="363">
                  <c:v>48.225000000000001</c:v>
                </c:pt>
                <c:pt idx="364">
                  <c:v>47.505000000000003</c:v>
                </c:pt>
                <c:pt idx="365">
                  <c:v>46.505000000000003</c:v>
                </c:pt>
                <c:pt idx="366">
                  <c:v>47.305</c:v>
                </c:pt>
                <c:pt idx="367">
                  <c:v>47.305</c:v>
                </c:pt>
                <c:pt idx="368">
                  <c:v>47.305</c:v>
                </c:pt>
                <c:pt idx="369">
                  <c:v>47.51</c:v>
                </c:pt>
                <c:pt idx="370">
                  <c:v>48.005000000000003</c:v>
                </c:pt>
                <c:pt idx="371">
                  <c:v>47.42</c:v>
                </c:pt>
                <c:pt idx="372">
                  <c:v>48.03</c:v>
                </c:pt>
                <c:pt idx="373">
                  <c:v>49.05</c:v>
                </c:pt>
                <c:pt idx="374">
                  <c:v>49.05</c:v>
                </c:pt>
                <c:pt idx="375">
                  <c:v>49.05</c:v>
                </c:pt>
                <c:pt idx="376">
                  <c:v>50.71</c:v>
                </c:pt>
                <c:pt idx="377">
                  <c:v>53.015000000000001</c:v>
                </c:pt>
                <c:pt idx="378">
                  <c:v>53.81</c:v>
                </c:pt>
                <c:pt idx="379">
                  <c:v>52.56</c:v>
                </c:pt>
                <c:pt idx="380">
                  <c:v>52.45</c:v>
                </c:pt>
                <c:pt idx="381">
                  <c:v>52.45</c:v>
                </c:pt>
                <c:pt idx="382">
                  <c:v>52.45</c:v>
                </c:pt>
                <c:pt idx="383">
                  <c:v>50.22</c:v>
                </c:pt>
                <c:pt idx="384">
                  <c:v>51.825000000000003</c:v>
                </c:pt>
                <c:pt idx="385">
                  <c:v>52.16</c:v>
                </c:pt>
                <c:pt idx="386">
                  <c:v>52.365000000000002</c:v>
                </c:pt>
                <c:pt idx="387">
                  <c:v>51.094999999999999</c:v>
                </c:pt>
                <c:pt idx="388">
                  <c:v>51.094999999999999</c:v>
                </c:pt>
                <c:pt idx="389">
                  <c:v>51.094999999999999</c:v>
                </c:pt>
                <c:pt idx="390">
                  <c:v>53.954999999999998</c:v>
                </c:pt>
                <c:pt idx="391">
                  <c:v>55.155000000000001</c:v>
                </c:pt>
                <c:pt idx="392">
                  <c:v>54.405000000000001</c:v>
                </c:pt>
                <c:pt idx="393">
                  <c:v>53.484999999999999</c:v>
                </c:pt>
                <c:pt idx="394">
                  <c:v>53.86</c:v>
                </c:pt>
                <c:pt idx="395">
                  <c:v>53.86</c:v>
                </c:pt>
                <c:pt idx="396">
                  <c:v>53.86</c:v>
                </c:pt>
                <c:pt idx="397">
                  <c:v>51.36</c:v>
                </c:pt>
                <c:pt idx="398">
                  <c:v>50.354999999999997</c:v>
                </c:pt>
                <c:pt idx="399">
                  <c:v>49.384999999999998</c:v>
                </c:pt>
                <c:pt idx="400">
                  <c:v>49.284999999999997</c:v>
                </c:pt>
                <c:pt idx="401">
                  <c:v>50.32</c:v>
                </c:pt>
                <c:pt idx="402">
                  <c:v>50.32</c:v>
                </c:pt>
                <c:pt idx="403">
                  <c:v>50.32</c:v>
                </c:pt>
                <c:pt idx="404">
                  <c:v>50.17</c:v>
                </c:pt>
                <c:pt idx="405">
                  <c:v>48.685000000000002</c:v>
                </c:pt>
                <c:pt idx="406">
                  <c:v>48.67</c:v>
                </c:pt>
                <c:pt idx="407">
                  <c:v>49.74</c:v>
                </c:pt>
                <c:pt idx="408">
                  <c:v>50.975000000000001</c:v>
                </c:pt>
                <c:pt idx="409">
                  <c:v>50.975000000000001</c:v>
                </c:pt>
                <c:pt idx="410">
                  <c:v>50.975000000000001</c:v>
                </c:pt>
                <c:pt idx="411">
                  <c:v>50.344999999999999</c:v>
                </c:pt>
                <c:pt idx="412">
                  <c:v>51.545000000000002</c:v>
                </c:pt>
                <c:pt idx="413">
                  <c:v>52.625</c:v>
                </c:pt>
                <c:pt idx="414">
                  <c:v>53.53</c:v>
                </c:pt>
                <c:pt idx="415">
                  <c:v>52.265000000000001</c:v>
                </c:pt>
                <c:pt idx="416">
                  <c:v>52.265000000000001</c:v>
                </c:pt>
                <c:pt idx="417">
                  <c:v>52.265000000000001</c:v>
                </c:pt>
                <c:pt idx="418">
                  <c:v>52.564999999999998</c:v>
                </c:pt>
                <c:pt idx="419">
                  <c:v>53.895000000000003</c:v>
                </c:pt>
                <c:pt idx="420">
                  <c:v>53.384999999999998</c:v>
                </c:pt>
                <c:pt idx="421">
                  <c:v>53.875</c:v>
                </c:pt>
                <c:pt idx="422">
                  <c:v>54.25</c:v>
                </c:pt>
                <c:pt idx="423">
                  <c:v>54.25</c:v>
                </c:pt>
                <c:pt idx="424">
                  <c:v>54.25</c:v>
                </c:pt>
                <c:pt idx="425">
                  <c:v>53.895000000000003</c:v>
                </c:pt>
                <c:pt idx="426">
                  <c:v>53.76</c:v>
                </c:pt>
                <c:pt idx="427">
                  <c:v>53.914999999999999</c:v>
                </c:pt>
                <c:pt idx="428">
                  <c:v>53.13</c:v>
                </c:pt>
                <c:pt idx="429">
                  <c:v>52.884999999999998</c:v>
                </c:pt>
                <c:pt idx="430">
                  <c:v>52.884999999999998</c:v>
                </c:pt>
                <c:pt idx="431">
                  <c:v>52.884999999999998</c:v>
                </c:pt>
                <c:pt idx="432">
                  <c:v>51.935000000000002</c:v>
                </c:pt>
                <c:pt idx="433">
                  <c:v>51.295000000000002</c:v>
                </c:pt>
                <c:pt idx="434">
                  <c:v>50.835000000000001</c:v>
                </c:pt>
                <c:pt idx="435">
                  <c:v>51.045000000000002</c:v>
                </c:pt>
                <c:pt idx="436">
                  <c:v>51.37</c:v>
                </c:pt>
                <c:pt idx="437">
                  <c:v>51.37</c:v>
                </c:pt>
                <c:pt idx="438">
                  <c:v>51.37</c:v>
                </c:pt>
                <c:pt idx="439">
                  <c:v>51.814999999999998</c:v>
                </c:pt>
                <c:pt idx="440">
                  <c:v>50.475000000000001</c:v>
                </c:pt>
                <c:pt idx="441">
                  <c:v>50.98</c:v>
                </c:pt>
                <c:pt idx="442">
                  <c:v>50.204999999999998</c:v>
                </c:pt>
                <c:pt idx="443">
                  <c:v>49.585000000000001</c:v>
                </c:pt>
                <c:pt idx="444">
                  <c:v>49.585000000000001</c:v>
                </c:pt>
                <c:pt idx="445">
                  <c:v>49.585000000000001</c:v>
                </c:pt>
                <c:pt idx="446">
                  <c:v>49.92</c:v>
                </c:pt>
                <c:pt idx="447">
                  <c:v>49.93</c:v>
                </c:pt>
                <c:pt idx="448">
                  <c:v>50.09</c:v>
                </c:pt>
                <c:pt idx="449">
                  <c:v>50.41</c:v>
                </c:pt>
                <c:pt idx="450">
                  <c:v>50.234999999999999</c:v>
                </c:pt>
                <c:pt idx="451">
                  <c:v>50.234999999999999</c:v>
                </c:pt>
                <c:pt idx="452">
                  <c:v>50.234999999999999</c:v>
                </c:pt>
                <c:pt idx="453">
                  <c:v>49.104999999999997</c:v>
                </c:pt>
                <c:pt idx="454">
                  <c:v>49.11</c:v>
                </c:pt>
                <c:pt idx="455">
                  <c:v>49.564999999999998</c:v>
                </c:pt>
                <c:pt idx="456">
                  <c:v>48.384999999999998</c:v>
                </c:pt>
                <c:pt idx="457">
                  <c:v>50.475000000000001</c:v>
                </c:pt>
                <c:pt idx="458">
                  <c:v>50.475000000000001</c:v>
                </c:pt>
                <c:pt idx="459">
                  <c:v>50.475000000000001</c:v>
                </c:pt>
                <c:pt idx="460">
                  <c:v>51.13</c:v>
                </c:pt>
                <c:pt idx="461">
                  <c:v>50.935000000000002</c:v>
                </c:pt>
                <c:pt idx="462">
                  <c:v>50.72</c:v>
                </c:pt>
                <c:pt idx="463">
                  <c:v>50.814999999999998</c:v>
                </c:pt>
                <c:pt idx="464">
                  <c:v>49.31</c:v>
                </c:pt>
                <c:pt idx="465">
                  <c:v>49.31</c:v>
                </c:pt>
                <c:pt idx="466">
                  <c:v>49.31</c:v>
                </c:pt>
                <c:pt idx="467">
                  <c:v>50.17</c:v>
                </c:pt>
                <c:pt idx="468">
                  <c:v>50.17</c:v>
                </c:pt>
                <c:pt idx="469">
                  <c:v>50.965000000000003</c:v>
                </c:pt>
                <c:pt idx="470">
                  <c:v>50.984999999999999</c:v>
                </c:pt>
                <c:pt idx="471">
                  <c:v>50.99</c:v>
                </c:pt>
                <c:pt idx="472">
                  <c:v>50.99</c:v>
                </c:pt>
                <c:pt idx="473">
                  <c:v>50.99</c:v>
                </c:pt>
                <c:pt idx="474">
                  <c:v>50.935000000000002</c:v>
                </c:pt>
                <c:pt idx="475">
                  <c:v>50.695</c:v>
                </c:pt>
                <c:pt idx="476">
                  <c:v>49.975000000000001</c:v>
                </c:pt>
                <c:pt idx="477">
                  <c:v>49.454999999999998</c:v>
                </c:pt>
                <c:pt idx="478">
                  <c:v>49.195</c:v>
                </c:pt>
                <c:pt idx="479">
                  <c:v>49.195</c:v>
                </c:pt>
                <c:pt idx="480">
                  <c:v>49.195</c:v>
                </c:pt>
                <c:pt idx="481">
                  <c:v>48.75</c:v>
                </c:pt>
                <c:pt idx="482">
                  <c:v>48.134999999999998</c:v>
                </c:pt>
                <c:pt idx="483">
                  <c:v>46.854999999999997</c:v>
                </c:pt>
                <c:pt idx="484">
                  <c:v>47.204999999999998</c:v>
                </c:pt>
                <c:pt idx="485">
                  <c:v>47.844999999999999</c:v>
                </c:pt>
                <c:pt idx="486">
                  <c:v>47.844999999999999</c:v>
                </c:pt>
                <c:pt idx="487">
                  <c:v>47.844999999999999</c:v>
                </c:pt>
                <c:pt idx="488">
                  <c:v>49.74</c:v>
                </c:pt>
                <c:pt idx="489">
                  <c:v>51.9</c:v>
                </c:pt>
                <c:pt idx="490">
                  <c:v>51.84</c:v>
                </c:pt>
                <c:pt idx="491">
                  <c:v>51.765000000000001</c:v>
                </c:pt>
                <c:pt idx="492">
                  <c:v>52.63</c:v>
                </c:pt>
                <c:pt idx="493">
                  <c:v>52.63</c:v>
                </c:pt>
                <c:pt idx="494">
                  <c:v>52.63</c:v>
                </c:pt>
                <c:pt idx="495">
                  <c:v>52.534999999999997</c:v>
                </c:pt>
                <c:pt idx="496">
                  <c:v>51.95</c:v>
                </c:pt>
                <c:pt idx="497">
                  <c:v>51.95</c:v>
                </c:pt>
                <c:pt idx="498">
                  <c:v>51.77</c:v>
                </c:pt>
                <c:pt idx="499">
                  <c:v>51.975000000000001</c:v>
                </c:pt>
                <c:pt idx="500">
                  <c:v>51.975000000000001</c:v>
                </c:pt>
                <c:pt idx="501">
                  <c:v>51.975000000000001</c:v>
                </c:pt>
                <c:pt idx="502">
                  <c:v>51.56</c:v>
                </c:pt>
                <c:pt idx="503">
                  <c:v>52.34</c:v>
                </c:pt>
                <c:pt idx="504">
                  <c:v>52.274999999999999</c:v>
                </c:pt>
                <c:pt idx="505">
                  <c:v>52.87</c:v>
                </c:pt>
                <c:pt idx="506">
                  <c:v>51.365000000000002</c:v>
                </c:pt>
                <c:pt idx="507">
                  <c:v>51.365000000000002</c:v>
                </c:pt>
                <c:pt idx="508">
                  <c:v>51.365000000000002</c:v>
                </c:pt>
                <c:pt idx="509">
                  <c:v>50.63</c:v>
                </c:pt>
                <c:pt idx="510">
                  <c:v>50.87</c:v>
                </c:pt>
                <c:pt idx="511">
                  <c:v>51.405000000000001</c:v>
                </c:pt>
                <c:pt idx="512">
                  <c:v>50.954999999999998</c:v>
                </c:pt>
                <c:pt idx="513">
                  <c:v>52.65</c:v>
                </c:pt>
                <c:pt idx="514">
                  <c:v>52.65</c:v>
                </c:pt>
                <c:pt idx="515">
                  <c:v>52.65</c:v>
                </c:pt>
                <c:pt idx="516">
                  <c:v>53.97</c:v>
                </c:pt>
                <c:pt idx="517">
                  <c:v>53.96</c:v>
                </c:pt>
                <c:pt idx="518">
                  <c:v>56.81</c:v>
                </c:pt>
                <c:pt idx="519">
                  <c:v>56.674999999999997</c:v>
                </c:pt>
                <c:pt idx="520">
                  <c:v>56.59</c:v>
                </c:pt>
                <c:pt idx="521">
                  <c:v>56.59</c:v>
                </c:pt>
                <c:pt idx="522">
                  <c:v>56.59</c:v>
                </c:pt>
                <c:pt idx="523">
                  <c:v>57.015000000000001</c:v>
                </c:pt>
                <c:pt idx="524">
                  <c:v>58.774999999999999</c:v>
                </c:pt>
                <c:pt idx="525">
                  <c:v>62.645000000000003</c:v>
                </c:pt>
                <c:pt idx="526">
                  <c:v>62.405000000000001</c:v>
                </c:pt>
                <c:pt idx="527">
                  <c:v>64.260000000000005</c:v>
                </c:pt>
                <c:pt idx="528">
                  <c:v>64.260000000000005</c:v>
                </c:pt>
                <c:pt idx="529">
                  <c:v>64.260000000000005</c:v>
                </c:pt>
                <c:pt idx="530">
                  <c:v>64.260000000000005</c:v>
                </c:pt>
                <c:pt idx="531">
                  <c:v>63.475000000000001</c:v>
                </c:pt>
                <c:pt idx="532">
                  <c:v>62.18</c:v>
                </c:pt>
                <c:pt idx="533">
                  <c:v>61.41</c:v>
                </c:pt>
                <c:pt idx="534">
                  <c:v>60.61</c:v>
                </c:pt>
                <c:pt idx="535">
                  <c:v>60.61</c:v>
                </c:pt>
                <c:pt idx="536">
                  <c:v>60.61</c:v>
                </c:pt>
                <c:pt idx="537">
                  <c:v>62.664999999999999</c:v>
                </c:pt>
                <c:pt idx="538">
                  <c:v>63.195</c:v>
                </c:pt>
                <c:pt idx="539">
                  <c:v>59.625</c:v>
                </c:pt>
                <c:pt idx="540">
                  <c:v>59.405000000000001</c:v>
                </c:pt>
                <c:pt idx="541">
                  <c:v>59.905000000000001</c:v>
                </c:pt>
                <c:pt idx="542">
                  <c:v>59.905000000000001</c:v>
                </c:pt>
                <c:pt idx="543">
                  <c:v>59.905000000000001</c:v>
                </c:pt>
                <c:pt idx="544">
                  <c:v>62.03</c:v>
                </c:pt>
                <c:pt idx="545">
                  <c:v>61.515000000000001</c:v>
                </c:pt>
                <c:pt idx="546">
                  <c:v>60.55</c:v>
                </c:pt>
                <c:pt idx="547">
                  <c:v>58.54</c:v>
                </c:pt>
                <c:pt idx="548">
                  <c:v>58.79</c:v>
                </c:pt>
                <c:pt idx="549">
                  <c:v>58.79</c:v>
                </c:pt>
                <c:pt idx="550">
                  <c:v>58.79</c:v>
                </c:pt>
                <c:pt idx="551">
                  <c:v>58.774999999999999</c:v>
                </c:pt>
                <c:pt idx="552">
                  <c:v>59.075000000000003</c:v>
                </c:pt>
                <c:pt idx="553">
                  <c:v>57.92</c:v>
                </c:pt>
                <c:pt idx="554">
                  <c:v>56.865000000000002</c:v>
                </c:pt>
                <c:pt idx="555">
                  <c:v>59.284999999999997</c:v>
                </c:pt>
                <c:pt idx="556">
                  <c:v>59.284999999999997</c:v>
                </c:pt>
                <c:pt idx="557">
                  <c:v>59.284999999999997</c:v>
                </c:pt>
                <c:pt idx="558">
                  <c:v>59.215000000000003</c:v>
                </c:pt>
                <c:pt idx="559">
                  <c:v>59.384999999999998</c:v>
                </c:pt>
                <c:pt idx="560">
                  <c:v>59.445</c:v>
                </c:pt>
                <c:pt idx="561">
                  <c:v>58.28</c:v>
                </c:pt>
                <c:pt idx="562">
                  <c:v>59.865000000000002</c:v>
                </c:pt>
                <c:pt idx="563">
                  <c:v>59.865000000000002</c:v>
                </c:pt>
                <c:pt idx="564">
                  <c:v>59.865000000000002</c:v>
                </c:pt>
                <c:pt idx="565">
                  <c:v>60.07</c:v>
                </c:pt>
                <c:pt idx="566">
                  <c:v>60.024999999999999</c:v>
                </c:pt>
                <c:pt idx="567">
                  <c:v>60.32</c:v>
                </c:pt>
                <c:pt idx="568">
                  <c:v>59.005000000000003</c:v>
                </c:pt>
                <c:pt idx="569">
                  <c:v>58.74</c:v>
                </c:pt>
                <c:pt idx="570">
                  <c:v>58.74</c:v>
                </c:pt>
                <c:pt idx="571">
                  <c:v>58.74</c:v>
                </c:pt>
                <c:pt idx="572">
                  <c:v>58.47</c:v>
                </c:pt>
                <c:pt idx="573">
                  <c:v>58.77</c:v>
                </c:pt>
                <c:pt idx="574">
                  <c:v>60.3</c:v>
                </c:pt>
                <c:pt idx="575">
                  <c:v>60.3</c:v>
                </c:pt>
                <c:pt idx="576">
                  <c:v>60.3</c:v>
                </c:pt>
                <c:pt idx="577">
                  <c:v>60.3</c:v>
                </c:pt>
                <c:pt idx="578">
                  <c:v>60.3</c:v>
                </c:pt>
                <c:pt idx="579">
                  <c:v>58.494999999999997</c:v>
                </c:pt>
                <c:pt idx="580">
                  <c:v>60.01</c:v>
                </c:pt>
                <c:pt idx="581">
                  <c:v>59.42</c:v>
                </c:pt>
                <c:pt idx="582">
                  <c:v>59.4</c:v>
                </c:pt>
                <c:pt idx="583">
                  <c:v>62.89</c:v>
                </c:pt>
                <c:pt idx="584">
                  <c:v>62.89</c:v>
                </c:pt>
                <c:pt idx="585">
                  <c:v>62.89</c:v>
                </c:pt>
                <c:pt idx="586">
                  <c:v>62.9</c:v>
                </c:pt>
                <c:pt idx="587">
                  <c:v>62.62</c:v>
                </c:pt>
                <c:pt idx="588">
                  <c:v>55.83</c:v>
                </c:pt>
                <c:pt idx="589">
                  <c:v>57.1</c:v>
                </c:pt>
                <c:pt idx="590">
                  <c:v>57.89</c:v>
                </c:pt>
                <c:pt idx="591">
                  <c:v>57.89</c:v>
                </c:pt>
                <c:pt idx="592">
                  <c:v>57.89</c:v>
                </c:pt>
                <c:pt idx="593">
                  <c:v>57.24</c:v>
                </c:pt>
                <c:pt idx="594">
                  <c:v>55.6</c:v>
                </c:pt>
                <c:pt idx="595">
                  <c:v>57.43</c:v>
                </c:pt>
                <c:pt idx="596">
                  <c:v>57.15</c:v>
                </c:pt>
                <c:pt idx="597">
                  <c:v>58.66</c:v>
                </c:pt>
                <c:pt idx="598">
                  <c:v>58.66</c:v>
                </c:pt>
                <c:pt idx="599">
                  <c:v>58.66</c:v>
                </c:pt>
                <c:pt idx="600">
                  <c:v>57.99</c:v>
                </c:pt>
                <c:pt idx="601">
                  <c:v>59.024999999999999</c:v>
                </c:pt>
                <c:pt idx="602">
                  <c:v>60.695</c:v>
                </c:pt>
                <c:pt idx="603">
                  <c:v>61.37</c:v>
                </c:pt>
                <c:pt idx="604">
                  <c:v>63.325000000000003</c:v>
                </c:pt>
                <c:pt idx="605">
                  <c:v>63.325000000000003</c:v>
                </c:pt>
                <c:pt idx="606">
                  <c:v>63.325000000000003</c:v>
                </c:pt>
                <c:pt idx="607">
                  <c:v>63.405000000000001</c:v>
                </c:pt>
                <c:pt idx="608">
                  <c:v>63.984999999999999</c:v>
                </c:pt>
                <c:pt idx="609">
                  <c:v>64.064999999999998</c:v>
                </c:pt>
                <c:pt idx="610">
                  <c:v>63.98</c:v>
                </c:pt>
                <c:pt idx="611">
                  <c:v>60.67</c:v>
                </c:pt>
                <c:pt idx="612">
                  <c:v>60.67</c:v>
                </c:pt>
                <c:pt idx="613">
                  <c:v>60.67</c:v>
                </c:pt>
                <c:pt idx="614">
                  <c:v>58.774999999999999</c:v>
                </c:pt>
                <c:pt idx="615">
                  <c:v>61.564999999999998</c:v>
                </c:pt>
                <c:pt idx="616">
                  <c:v>62.365000000000002</c:v>
                </c:pt>
                <c:pt idx="617">
                  <c:v>64.64</c:v>
                </c:pt>
                <c:pt idx="618">
                  <c:v>64.64</c:v>
                </c:pt>
                <c:pt idx="619">
                  <c:v>64.64</c:v>
                </c:pt>
                <c:pt idx="620">
                  <c:v>64.64</c:v>
                </c:pt>
                <c:pt idx="621">
                  <c:v>64.64</c:v>
                </c:pt>
                <c:pt idx="622">
                  <c:v>66.650000000000006</c:v>
                </c:pt>
                <c:pt idx="623">
                  <c:v>66.275000000000006</c:v>
                </c:pt>
                <c:pt idx="624">
                  <c:v>66.495000000000005</c:v>
                </c:pt>
                <c:pt idx="625">
                  <c:v>66.495000000000005</c:v>
                </c:pt>
                <c:pt idx="626">
                  <c:v>66.495000000000005</c:v>
                </c:pt>
                <c:pt idx="627">
                  <c:v>66.495000000000005</c:v>
                </c:pt>
                <c:pt idx="628">
                  <c:v>66.194999999999993</c:v>
                </c:pt>
                <c:pt idx="629">
                  <c:v>65.489999999999995</c:v>
                </c:pt>
                <c:pt idx="630">
                  <c:v>66.45</c:v>
                </c:pt>
                <c:pt idx="631">
                  <c:v>66.025000000000006</c:v>
                </c:pt>
                <c:pt idx="632">
                  <c:v>65.665000000000006</c:v>
                </c:pt>
                <c:pt idx="633">
                  <c:v>65.665000000000006</c:v>
                </c:pt>
                <c:pt idx="634">
                  <c:v>65.665000000000006</c:v>
                </c:pt>
                <c:pt idx="635">
                  <c:v>68.814999999999998</c:v>
                </c:pt>
                <c:pt idx="636">
                  <c:v>66.8</c:v>
                </c:pt>
                <c:pt idx="637">
                  <c:v>64.864999999999995</c:v>
                </c:pt>
                <c:pt idx="638">
                  <c:v>64.25</c:v>
                </c:pt>
                <c:pt idx="639">
                  <c:v>64.844999999999999</c:v>
                </c:pt>
                <c:pt idx="640">
                  <c:v>64.844999999999999</c:v>
                </c:pt>
                <c:pt idx="641">
                  <c:v>64.844999999999999</c:v>
                </c:pt>
                <c:pt idx="642">
                  <c:v>62.725000000000001</c:v>
                </c:pt>
                <c:pt idx="643">
                  <c:v>61.164999999999999</c:v>
                </c:pt>
                <c:pt idx="644">
                  <c:v>59.7</c:v>
                </c:pt>
                <c:pt idx="645">
                  <c:v>57.6</c:v>
                </c:pt>
                <c:pt idx="646">
                  <c:v>59.41</c:v>
                </c:pt>
                <c:pt idx="647">
                  <c:v>59.41</c:v>
                </c:pt>
                <c:pt idx="648">
                  <c:v>59.41</c:v>
                </c:pt>
                <c:pt idx="649">
                  <c:v>59.32</c:v>
                </c:pt>
                <c:pt idx="650">
                  <c:v>59.984999999999999</c:v>
                </c:pt>
                <c:pt idx="651">
                  <c:v>60.85</c:v>
                </c:pt>
                <c:pt idx="652">
                  <c:v>60.125</c:v>
                </c:pt>
                <c:pt idx="653">
                  <c:v>59.42</c:v>
                </c:pt>
                <c:pt idx="654">
                  <c:v>59.42</c:v>
                </c:pt>
                <c:pt idx="655">
                  <c:v>59.42</c:v>
                </c:pt>
                <c:pt idx="656">
                  <c:v>60.68</c:v>
                </c:pt>
                <c:pt idx="657">
                  <c:v>60.88</c:v>
                </c:pt>
                <c:pt idx="658">
                  <c:v>61.2</c:v>
                </c:pt>
                <c:pt idx="659">
                  <c:v>63.204999999999998</c:v>
                </c:pt>
                <c:pt idx="660">
                  <c:v>62.045000000000002</c:v>
                </c:pt>
                <c:pt idx="661">
                  <c:v>62.045000000000002</c:v>
                </c:pt>
                <c:pt idx="662">
                  <c:v>62.045000000000002</c:v>
                </c:pt>
                <c:pt idx="663">
                  <c:v>62.16</c:v>
                </c:pt>
                <c:pt idx="664">
                  <c:v>60.52</c:v>
                </c:pt>
                <c:pt idx="665">
                  <c:v>60.52</c:v>
                </c:pt>
                <c:pt idx="666">
                  <c:v>57.825000000000003</c:v>
                </c:pt>
                <c:pt idx="667">
                  <c:v>59.17</c:v>
                </c:pt>
                <c:pt idx="668">
                  <c:v>59.17</c:v>
                </c:pt>
                <c:pt idx="669">
                  <c:v>59.17</c:v>
                </c:pt>
                <c:pt idx="670">
                  <c:v>57.86</c:v>
                </c:pt>
                <c:pt idx="671">
                  <c:v>59.664999999999999</c:v>
                </c:pt>
                <c:pt idx="672">
                  <c:v>62.65</c:v>
                </c:pt>
                <c:pt idx="673">
                  <c:v>58.23</c:v>
                </c:pt>
                <c:pt idx="674">
                  <c:v>60.7</c:v>
                </c:pt>
                <c:pt idx="675">
                  <c:v>60.7</c:v>
                </c:pt>
                <c:pt idx="676">
                  <c:v>60.7</c:v>
                </c:pt>
                <c:pt idx="677">
                  <c:v>58.115000000000002</c:v>
                </c:pt>
                <c:pt idx="678">
                  <c:v>58.115000000000002</c:v>
                </c:pt>
                <c:pt idx="679">
                  <c:v>58.524999999999999</c:v>
                </c:pt>
                <c:pt idx="680">
                  <c:v>57.865000000000002</c:v>
                </c:pt>
                <c:pt idx="681">
                  <c:v>58.895000000000003</c:v>
                </c:pt>
                <c:pt idx="682">
                  <c:v>58.895000000000003</c:v>
                </c:pt>
                <c:pt idx="683">
                  <c:v>58.895000000000003</c:v>
                </c:pt>
                <c:pt idx="684">
                  <c:v>61.104999999999997</c:v>
                </c:pt>
                <c:pt idx="685">
                  <c:v>59.215000000000003</c:v>
                </c:pt>
                <c:pt idx="686">
                  <c:v>60.53</c:v>
                </c:pt>
                <c:pt idx="687">
                  <c:v>60.064999999999998</c:v>
                </c:pt>
                <c:pt idx="688">
                  <c:v>58.9</c:v>
                </c:pt>
                <c:pt idx="689">
                  <c:v>58.9</c:v>
                </c:pt>
                <c:pt idx="690">
                  <c:v>58.9</c:v>
                </c:pt>
                <c:pt idx="691">
                  <c:v>58.715000000000003</c:v>
                </c:pt>
                <c:pt idx="692">
                  <c:v>59.505000000000003</c:v>
                </c:pt>
                <c:pt idx="693">
                  <c:v>62.88</c:v>
                </c:pt>
                <c:pt idx="694">
                  <c:v>63.26</c:v>
                </c:pt>
                <c:pt idx="695">
                  <c:v>63.865000000000002</c:v>
                </c:pt>
                <c:pt idx="696">
                  <c:v>63.865000000000002</c:v>
                </c:pt>
                <c:pt idx="697">
                  <c:v>63.865000000000002</c:v>
                </c:pt>
                <c:pt idx="698">
                  <c:v>66.784999999999997</c:v>
                </c:pt>
                <c:pt idx="699">
                  <c:v>66.784999999999997</c:v>
                </c:pt>
                <c:pt idx="700">
                  <c:v>67.405000000000001</c:v>
                </c:pt>
                <c:pt idx="701">
                  <c:v>64.5</c:v>
                </c:pt>
                <c:pt idx="702">
                  <c:v>63.72</c:v>
                </c:pt>
                <c:pt idx="703">
                  <c:v>63.72</c:v>
                </c:pt>
                <c:pt idx="704">
                  <c:v>63.72</c:v>
                </c:pt>
                <c:pt idx="705">
                  <c:v>64.844999999999999</c:v>
                </c:pt>
                <c:pt idx="706">
                  <c:v>65.564999999999998</c:v>
                </c:pt>
                <c:pt idx="707">
                  <c:v>61.76</c:v>
                </c:pt>
                <c:pt idx="708">
                  <c:v>63.91</c:v>
                </c:pt>
                <c:pt idx="709">
                  <c:v>64.98</c:v>
                </c:pt>
                <c:pt idx="710">
                  <c:v>64.98</c:v>
                </c:pt>
                <c:pt idx="711">
                  <c:v>64.98</c:v>
                </c:pt>
                <c:pt idx="712">
                  <c:v>63.515000000000001</c:v>
                </c:pt>
                <c:pt idx="713">
                  <c:v>61.03</c:v>
                </c:pt>
                <c:pt idx="714">
                  <c:v>61.36</c:v>
                </c:pt>
                <c:pt idx="715">
                  <c:v>63.405000000000001</c:v>
                </c:pt>
                <c:pt idx="716">
                  <c:v>63.725000000000001</c:v>
                </c:pt>
                <c:pt idx="717">
                  <c:v>63.725000000000001</c:v>
                </c:pt>
                <c:pt idx="718">
                  <c:v>63.725000000000001</c:v>
                </c:pt>
                <c:pt idx="719">
                  <c:v>64.954999999999998</c:v>
                </c:pt>
                <c:pt idx="720">
                  <c:v>68.87</c:v>
                </c:pt>
                <c:pt idx="721">
                  <c:v>69.45</c:v>
                </c:pt>
                <c:pt idx="722">
                  <c:v>70.174999999999997</c:v>
                </c:pt>
                <c:pt idx="723">
                  <c:v>70.3</c:v>
                </c:pt>
                <c:pt idx="724">
                  <c:v>70.3</c:v>
                </c:pt>
                <c:pt idx="725">
                  <c:v>70.3</c:v>
                </c:pt>
                <c:pt idx="726">
                  <c:v>72.275000000000006</c:v>
                </c:pt>
                <c:pt idx="727">
                  <c:v>72.08</c:v>
                </c:pt>
                <c:pt idx="728">
                  <c:v>70.385000000000005</c:v>
                </c:pt>
                <c:pt idx="729">
                  <c:v>68.760000000000005</c:v>
                </c:pt>
                <c:pt idx="730">
                  <c:v>67.58</c:v>
                </c:pt>
                <c:pt idx="731">
                  <c:v>67.58</c:v>
                </c:pt>
                <c:pt idx="732">
                  <c:v>67.58</c:v>
                </c:pt>
                <c:pt idx="733">
                  <c:v>68.935000000000002</c:v>
                </c:pt>
                <c:pt idx="734">
                  <c:v>68.935000000000002</c:v>
                </c:pt>
                <c:pt idx="735">
                  <c:v>71.91</c:v>
                </c:pt>
                <c:pt idx="736">
                  <c:v>73.605000000000004</c:v>
                </c:pt>
                <c:pt idx="737">
                  <c:v>73.58</c:v>
                </c:pt>
                <c:pt idx="738">
                  <c:v>73.58</c:v>
                </c:pt>
                <c:pt idx="739">
                  <c:v>73.58</c:v>
                </c:pt>
                <c:pt idx="740">
                  <c:v>70.685000000000002</c:v>
                </c:pt>
                <c:pt idx="741">
                  <c:v>74.004999999999995</c:v>
                </c:pt>
                <c:pt idx="742">
                  <c:v>73.704999999999998</c:v>
                </c:pt>
                <c:pt idx="743">
                  <c:v>75.415000000000006</c:v>
                </c:pt>
                <c:pt idx="744">
                  <c:v>76.459999999999994</c:v>
                </c:pt>
                <c:pt idx="745">
                  <c:v>76.459999999999994</c:v>
                </c:pt>
                <c:pt idx="746">
                  <c:v>76.459999999999994</c:v>
                </c:pt>
                <c:pt idx="747">
                  <c:v>79.900000000000006</c:v>
                </c:pt>
                <c:pt idx="748">
                  <c:v>82.75</c:v>
                </c:pt>
                <c:pt idx="749">
                  <c:v>80.834999999999994</c:v>
                </c:pt>
                <c:pt idx="750">
                  <c:v>76.575000000000003</c:v>
                </c:pt>
                <c:pt idx="751">
                  <c:v>80.3</c:v>
                </c:pt>
                <c:pt idx="752">
                  <c:v>80.3</c:v>
                </c:pt>
                <c:pt idx="753">
                  <c:v>80.3</c:v>
                </c:pt>
                <c:pt idx="754">
                  <c:v>80.3</c:v>
                </c:pt>
                <c:pt idx="755">
                  <c:v>81.040000000000006</c:v>
                </c:pt>
                <c:pt idx="756">
                  <c:v>80.995000000000005</c:v>
                </c:pt>
                <c:pt idx="757">
                  <c:v>78.36</c:v>
                </c:pt>
                <c:pt idx="758">
                  <c:v>79.495000000000005</c:v>
                </c:pt>
                <c:pt idx="759">
                  <c:v>79.495000000000005</c:v>
                </c:pt>
                <c:pt idx="760">
                  <c:v>79.495000000000005</c:v>
                </c:pt>
                <c:pt idx="761">
                  <c:v>81.165000000000006</c:v>
                </c:pt>
                <c:pt idx="762">
                  <c:v>82.85</c:v>
                </c:pt>
                <c:pt idx="763">
                  <c:v>82.375</c:v>
                </c:pt>
                <c:pt idx="764">
                  <c:v>82.855000000000004</c:v>
                </c:pt>
                <c:pt idx="765">
                  <c:v>82.515000000000001</c:v>
                </c:pt>
                <c:pt idx="766">
                  <c:v>82.515000000000001</c:v>
                </c:pt>
                <c:pt idx="767">
                  <c:v>82.515000000000001</c:v>
                </c:pt>
                <c:pt idx="768">
                  <c:v>81.180000000000007</c:v>
                </c:pt>
                <c:pt idx="769">
                  <c:v>80.594999999999999</c:v>
                </c:pt>
                <c:pt idx="770">
                  <c:v>79.709999999999994</c:v>
                </c:pt>
                <c:pt idx="771">
                  <c:v>82.534999999999997</c:v>
                </c:pt>
                <c:pt idx="772">
                  <c:v>82.215000000000003</c:v>
                </c:pt>
                <c:pt idx="773">
                  <c:v>82.215000000000003</c:v>
                </c:pt>
                <c:pt idx="774">
                  <c:v>82.215000000000003</c:v>
                </c:pt>
                <c:pt idx="775">
                  <c:v>82.825000000000003</c:v>
                </c:pt>
                <c:pt idx="776">
                  <c:v>83.17</c:v>
                </c:pt>
                <c:pt idx="777">
                  <c:v>82.995000000000005</c:v>
                </c:pt>
                <c:pt idx="778">
                  <c:v>81.844999999999999</c:v>
                </c:pt>
                <c:pt idx="779">
                  <c:v>82.4</c:v>
                </c:pt>
                <c:pt idx="780">
                  <c:v>82.4</c:v>
                </c:pt>
                <c:pt idx="781">
                  <c:v>82.4</c:v>
                </c:pt>
                <c:pt idx="782">
                  <c:v>80.015000000000001</c:v>
                </c:pt>
                <c:pt idx="783">
                  <c:v>79.185000000000002</c:v>
                </c:pt>
                <c:pt idx="784">
                  <c:v>78.915000000000006</c:v>
                </c:pt>
                <c:pt idx="785">
                  <c:v>78.094999999999999</c:v>
                </c:pt>
                <c:pt idx="786">
                  <c:v>77.885000000000005</c:v>
                </c:pt>
                <c:pt idx="787">
                  <c:v>77.885000000000005</c:v>
                </c:pt>
                <c:pt idx="788">
                  <c:v>77.885000000000005</c:v>
                </c:pt>
                <c:pt idx="789">
                  <c:v>80.204999999999998</c:v>
                </c:pt>
                <c:pt idx="790">
                  <c:v>81.16</c:v>
                </c:pt>
                <c:pt idx="791">
                  <c:v>80.739999999999995</c:v>
                </c:pt>
                <c:pt idx="792">
                  <c:v>81.825000000000003</c:v>
                </c:pt>
                <c:pt idx="793">
                  <c:v>83.63</c:v>
                </c:pt>
                <c:pt idx="794">
                  <c:v>83.63</c:v>
                </c:pt>
                <c:pt idx="795">
                  <c:v>83.63</c:v>
                </c:pt>
                <c:pt idx="796">
                  <c:v>83.69</c:v>
                </c:pt>
                <c:pt idx="797">
                  <c:v>85.12</c:v>
                </c:pt>
                <c:pt idx="798">
                  <c:v>81.3</c:v>
                </c:pt>
                <c:pt idx="799">
                  <c:v>80.924999999999997</c:v>
                </c:pt>
                <c:pt idx="800">
                  <c:v>79.084999999999994</c:v>
                </c:pt>
                <c:pt idx="801">
                  <c:v>79.084999999999994</c:v>
                </c:pt>
                <c:pt idx="802">
                  <c:v>79.084999999999994</c:v>
                </c:pt>
                <c:pt idx="803">
                  <c:v>77.875</c:v>
                </c:pt>
                <c:pt idx="804">
                  <c:v>75.495000000000005</c:v>
                </c:pt>
                <c:pt idx="805">
                  <c:v>75.515000000000001</c:v>
                </c:pt>
                <c:pt idx="806">
                  <c:v>77.31</c:v>
                </c:pt>
                <c:pt idx="807">
                  <c:v>79.715000000000003</c:v>
                </c:pt>
                <c:pt idx="808">
                  <c:v>79.715000000000003</c:v>
                </c:pt>
                <c:pt idx="809">
                  <c:v>79.715000000000003</c:v>
                </c:pt>
                <c:pt idx="810">
                  <c:v>78.155000000000001</c:v>
                </c:pt>
                <c:pt idx="811">
                  <c:v>79.855000000000004</c:v>
                </c:pt>
                <c:pt idx="812">
                  <c:v>77.14</c:v>
                </c:pt>
                <c:pt idx="813">
                  <c:v>75.13</c:v>
                </c:pt>
                <c:pt idx="814">
                  <c:v>74.87</c:v>
                </c:pt>
                <c:pt idx="815">
                  <c:v>74.87</c:v>
                </c:pt>
                <c:pt idx="816">
                  <c:v>74.87</c:v>
                </c:pt>
                <c:pt idx="817">
                  <c:v>76.13</c:v>
                </c:pt>
                <c:pt idx="818">
                  <c:v>76.31</c:v>
                </c:pt>
                <c:pt idx="819">
                  <c:v>75.584999999999994</c:v>
                </c:pt>
                <c:pt idx="820">
                  <c:v>79.075000000000003</c:v>
                </c:pt>
                <c:pt idx="821">
                  <c:v>79.084999999999994</c:v>
                </c:pt>
                <c:pt idx="822">
                  <c:v>79.084999999999994</c:v>
                </c:pt>
                <c:pt idx="823">
                  <c:v>79.084999999999994</c:v>
                </c:pt>
                <c:pt idx="824">
                  <c:v>78.599999999999994</c:v>
                </c:pt>
                <c:pt idx="825">
                  <c:v>78.599999999999994</c:v>
                </c:pt>
                <c:pt idx="826">
                  <c:v>77.584999999999994</c:v>
                </c:pt>
                <c:pt idx="827">
                  <c:v>76.004999999999995</c:v>
                </c:pt>
                <c:pt idx="828">
                  <c:v>75.805000000000007</c:v>
                </c:pt>
                <c:pt idx="829">
                  <c:v>75.805000000000007</c:v>
                </c:pt>
                <c:pt idx="830">
                  <c:v>75.805000000000007</c:v>
                </c:pt>
                <c:pt idx="831">
                  <c:v>75.954999999999998</c:v>
                </c:pt>
                <c:pt idx="832">
                  <c:v>73.704999999999998</c:v>
                </c:pt>
                <c:pt idx="833">
                  <c:v>73.775000000000006</c:v>
                </c:pt>
                <c:pt idx="834">
                  <c:v>74.34</c:v>
                </c:pt>
                <c:pt idx="835">
                  <c:v>74.930000000000007</c:v>
                </c:pt>
                <c:pt idx="836">
                  <c:v>74.930000000000007</c:v>
                </c:pt>
                <c:pt idx="837">
                  <c:v>74.930000000000007</c:v>
                </c:pt>
                <c:pt idx="838">
                  <c:v>72.14</c:v>
                </c:pt>
                <c:pt idx="839">
                  <c:v>69.734999999999999</c:v>
                </c:pt>
                <c:pt idx="840">
                  <c:v>69.424999999999997</c:v>
                </c:pt>
                <c:pt idx="841">
                  <c:v>70.83</c:v>
                </c:pt>
                <c:pt idx="842">
                  <c:v>70.900000000000006</c:v>
                </c:pt>
                <c:pt idx="843">
                  <c:v>70.900000000000006</c:v>
                </c:pt>
                <c:pt idx="844">
                  <c:v>70.900000000000006</c:v>
                </c:pt>
                <c:pt idx="845">
                  <c:v>72.454999999999998</c:v>
                </c:pt>
                <c:pt idx="846">
                  <c:v>71.55</c:v>
                </c:pt>
                <c:pt idx="847">
                  <c:v>68.564999999999998</c:v>
                </c:pt>
                <c:pt idx="848">
                  <c:v>69.825000000000003</c:v>
                </c:pt>
                <c:pt idx="849">
                  <c:v>67.745000000000005</c:v>
                </c:pt>
                <c:pt idx="850">
                  <c:v>67.745000000000005</c:v>
                </c:pt>
                <c:pt idx="851">
                  <c:v>67.745000000000005</c:v>
                </c:pt>
                <c:pt idx="852">
                  <c:v>67.36</c:v>
                </c:pt>
                <c:pt idx="853">
                  <c:v>65.489999999999995</c:v>
                </c:pt>
                <c:pt idx="854">
                  <c:v>64.495000000000005</c:v>
                </c:pt>
                <c:pt idx="855">
                  <c:v>62.625</c:v>
                </c:pt>
                <c:pt idx="856">
                  <c:v>63.305</c:v>
                </c:pt>
                <c:pt idx="857">
                  <c:v>63.305</c:v>
                </c:pt>
                <c:pt idx="858">
                  <c:v>63.305</c:v>
                </c:pt>
                <c:pt idx="859">
                  <c:v>59.494999999999997</c:v>
                </c:pt>
                <c:pt idx="860">
                  <c:v>60.39</c:v>
                </c:pt>
                <c:pt idx="861">
                  <c:v>63.914999999999999</c:v>
                </c:pt>
                <c:pt idx="862">
                  <c:v>66.364999999999995</c:v>
                </c:pt>
                <c:pt idx="863">
                  <c:v>66.364999999999995</c:v>
                </c:pt>
                <c:pt idx="864">
                  <c:v>66.364999999999995</c:v>
                </c:pt>
                <c:pt idx="865">
                  <c:v>66.364999999999995</c:v>
                </c:pt>
                <c:pt idx="866">
                  <c:v>63.64</c:v>
                </c:pt>
                <c:pt idx="867">
                  <c:v>62.634999999999998</c:v>
                </c:pt>
                <c:pt idx="868">
                  <c:v>62.37</c:v>
                </c:pt>
                <c:pt idx="869">
                  <c:v>64.650000000000006</c:v>
                </c:pt>
                <c:pt idx="870">
                  <c:v>66.09</c:v>
                </c:pt>
                <c:pt idx="871">
                  <c:v>66.09</c:v>
                </c:pt>
                <c:pt idx="872">
                  <c:v>66.09</c:v>
                </c:pt>
                <c:pt idx="873">
                  <c:v>66.09</c:v>
                </c:pt>
                <c:pt idx="874">
                  <c:v>64.260000000000005</c:v>
                </c:pt>
                <c:pt idx="875">
                  <c:v>67.114999999999995</c:v>
                </c:pt>
                <c:pt idx="876">
                  <c:v>67.73</c:v>
                </c:pt>
                <c:pt idx="877">
                  <c:v>67.849999999999994</c:v>
                </c:pt>
                <c:pt idx="878">
                  <c:v>67.849999999999994</c:v>
                </c:pt>
                <c:pt idx="879">
                  <c:v>67.849999999999994</c:v>
                </c:pt>
                <c:pt idx="880">
                  <c:v>68.864999999999995</c:v>
                </c:pt>
                <c:pt idx="881">
                  <c:v>68.905000000000001</c:v>
                </c:pt>
                <c:pt idx="882">
                  <c:v>68.98</c:v>
                </c:pt>
                <c:pt idx="883">
                  <c:v>63.555</c:v>
                </c:pt>
                <c:pt idx="884">
                  <c:v>62.45</c:v>
                </c:pt>
                <c:pt idx="885">
                  <c:v>62.45</c:v>
                </c:pt>
                <c:pt idx="886">
                  <c:v>62.45</c:v>
                </c:pt>
                <c:pt idx="887">
                  <c:v>62.45</c:v>
                </c:pt>
                <c:pt idx="888">
                  <c:v>59.674999999999997</c:v>
                </c:pt>
                <c:pt idx="889">
                  <c:v>62.854999999999997</c:v>
                </c:pt>
                <c:pt idx="890">
                  <c:v>62.104999999999997</c:v>
                </c:pt>
                <c:pt idx="891">
                  <c:v>63.515000000000001</c:v>
                </c:pt>
                <c:pt idx="892">
                  <c:v>63.515000000000001</c:v>
                </c:pt>
                <c:pt idx="893">
                  <c:v>63.515000000000001</c:v>
                </c:pt>
                <c:pt idx="894">
                  <c:v>65.954999999999998</c:v>
                </c:pt>
                <c:pt idx="895">
                  <c:v>64.27</c:v>
                </c:pt>
                <c:pt idx="896">
                  <c:v>64.41</c:v>
                </c:pt>
                <c:pt idx="897">
                  <c:v>62.354999999999997</c:v>
                </c:pt>
                <c:pt idx="898">
                  <c:v>62.06</c:v>
                </c:pt>
                <c:pt idx="899">
                  <c:v>62.06</c:v>
                </c:pt>
                <c:pt idx="900">
                  <c:v>62.06</c:v>
                </c:pt>
                <c:pt idx="901">
                  <c:v>61.155000000000001</c:v>
                </c:pt>
                <c:pt idx="902">
                  <c:v>62.505000000000003</c:v>
                </c:pt>
                <c:pt idx="903">
                  <c:v>64.224999999999994</c:v>
                </c:pt>
                <c:pt idx="904">
                  <c:v>63.98</c:v>
                </c:pt>
                <c:pt idx="905">
                  <c:v>66.795000000000002</c:v>
                </c:pt>
                <c:pt idx="906">
                  <c:v>66.795000000000002</c:v>
                </c:pt>
                <c:pt idx="907">
                  <c:v>66.795000000000002</c:v>
                </c:pt>
                <c:pt idx="908">
                  <c:v>68.924999999999997</c:v>
                </c:pt>
                <c:pt idx="909">
                  <c:v>67.894999999999996</c:v>
                </c:pt>
                <c:pt idx="910">
                  <c:v>66.984999999999999</c:v>
                </c:pt>
                <c:pt idx="911">
                  <c:v>68.665000000000006</c:v>
                </c:pt>
                <c:pt idx="912">
                  <c:v>68.599999999999994</c:v>
                </c:pt>
                <c:pt idx="913">
                  <c:v>68.599999999999994</c:v>
                </c:pt>
                <c:pt idx="914">
                  <c:v>68.599999999999994</c:v>
                </c:pt>
                <c:pt idx="915">
                  <c:v>78.284999999999997</c:v>
                </c:pt>
                <c:pt idx="916">
                  <c:v>77.484999999999999</c:v>
                </c:pt>
                <c:pt idx="917">
                  <c:v>74.864999999999995</c:v>
                </c:pt>
                <c:pt idx="918">
                  <c:v>74.8</c:v>
                </c:pt>
                <c:pt idx="919">
                  <c:v>74.13</c:v>
                </c:pt>
                <c:pt idx="920">
                  <c:v>74.13</c:v>
                </c:pt>
                <c:pt idx="921">
                  <c:v>74.13</c:v>
                </c:pt>
                <c:pt idx="922">
                  <c:v>72.734999999999999</c:v>
                </c:pt>
                <c:pt idx="923">
                  <c:v>74.010000000000005</c:v>
                </c:pt>
                <c:pt idx="924">
                  <c:v>74.625</c:v>
                </c:pt>
                <c:pt idx="925">
                  <c:v>74.885000000000005</c:v>
                </c:pt>
                <c:pt idx="926">
                  <c:v>74.67</c:v>
                </c:pt>
                <c:pt idx="927">
                  <c:v>74.67</c:v>
                </c:pt>
                <c:pt idx="928">
                  <c:v>74.67</c:v>
                </c:pt>
                <c:pt idx="929">
                  <c:v>76.665000000000006</c:v>
                </c:pt>
                <c:pt idx="930">
                  <c:v>76.599999999999994</c:v>
                </c:pt>
                <c:pt idx="931">
                  <c:v>79.454999999999998</c:v>
                </c:pt>
                <c:pt idx="932">
                  <c:v>79.454999999999998</c:v>
                </c:pt>
                <c:pt idx="933">
                  <c:v>79.454999999999998</c:v>
                </c:pt>
                <c:pt idx="934">
                  <c:v>79.454999999999998</c:v>
                </c:pt>
                <c:pt idx="935">
                  <c:v>79.454999999999998</c:v>
                </c:pt>
                <c:pt idx="936">
                  <c:v>78.635000000000005</c:v>
                </c:pt>
                <c:pt idx="937">
                  <c:v>78.194999999999993</c:v>
                </c:pt>
                <c:pt idx="938">
                  <c:v>77.555000000000007</c:v>
                </c:pt>
                <c:pt idx="939">
                  <c:v>79.924999999999997</c:v>
                </c:pt>
                <c:pt idx="940">
                  <c:v>77.385000000000005</c:v>
                </c:pt>
                <c:pt idx="941">
                  <c:v>77.385000000000005</c:v>
                </c:pt>
                <c:pt idx="942">
                  <c:v>77.385000000000005</c:v>
                </c:pt>
                <c:pt idx="943">
                  <c:v>81.064999999999998</c:v>
                </c:pt>
                <c:pt idx="944">
                  <c:v>84.33</c:v>
                </c:pt>
                <c:pt idx="945">
                  <c:v>83.405000000000001</c:v>
                </c:pt>
                <c:pt idx="946">
                  <c:v>85.3</c:v>
                </c:pt>
                <c:pt idx="947">
                  <c:v>86.85</c:v>
                </c:pt>
                <c:pt idx="948">
                  <c:v>86.85</c:v>
                </c:pt>
                <c:pt idx="949">
                  <c:v>86.85</c:v>
                </c:pt>
                <c:pt idx="950">
                  <c:v>88.715000000000003</c:v>
                </c:pt>
                <c:pt idx="951">
                  <c:v>88.21</c:v>
                </c:pt>
                <c:pt idx="952">
                  <c:v>87.6</c:v>
                </c:pt>
                <c:pt idx="953">
                  <c:v>88.094999999999999</c:v>
                </c:pt>
                <c:pt idx="954">
                  <c:v>82.73</c:v>
                </c:pt>
                <c:pt idx="955">
                  <c:v>82.73</c:v>
                </c:pt>
                <c:pt idx="956">
                  <c:v>82.73</c:v>
                </c:pt>
                <c:pt idx="957">
                  <c:v>83.47</c:v>
                </c:pt>
                <c:pt idx="958">
                  <c:v>84.4</c:v>
                </c:pt>
                <c:pt idx="959">
                  <c:v>82.885000000000005</c:v>
                </c:pt>
                <c:pt idx="960">
                  <c:v>82.155000000000001</c:v>
                </c:pt>
                <c:pt idx="961">
                  <c:v>81.48</c:v>
                </c:pt>
                <c:pt idx="962">
                  <c:v>81.48</c:v>
                </c:pt>
                <c:pt idx="963">
                  <c:v>81.48</c:v>
                </c:pt>
                <c:pt idx="964">
                  <c:v>81.93</c:v>
                </c:pt>
                <c:pt idx="965">
                  <c:v>80.3</c:v>
                </c:pt>
                <c:pt idx="966">
                  <c:v>79.900000000000006</c:v>
                </c:pt>
                <c:pt idx="967">
                  <c:v>77.265000000000001</c:v>
                </c:pt>
                <c:pt idx="968">
                  <c:v>78.760000000000005</c:v>
                </c:pt>
                <c:pt idx="969">
                  <c:v>78.760000000000005</c:v>
                </c:pt>
                <c:pt idx="970">
                  <c:v>78.760000000000005</c:v>
                </c:pt>
                <c:pt idx="971">
                  <c:v>79.41</c:v>
                </c:pt>
                <c:pt idx="972">
                  <c:v>78.900000000000006</c:v>
                </c:pt>
                <c:pt idx="973">
                  <c:v>77.004999999999995</c:v>
                </c:pt>
                <c:pt idx="974">
                  <c:v>74.95</c:v>
                </c:pt>
                <c:pt idx="975">
                  <c:v>75.760000000000005</c:v>
                </c:pt>
                <c:pt idx="976">
                  <c:v>75.760000000000005</c:v>
                </c:pt>
                <c:pt idx="977">
                  <c:v>75.760000000000005</c:v>
                </c:pt>
                <c:pt idx="978">
                  <c:v>74.484999999999999</c:v>
                </c:pt>
                <c:pt idx="979">
                  <c:v>73.765000000000001</c:v>
                </c:pt>
                <c:pt idx="980">
                  <c:v>71.8</c:v>
                </c:pt>
                <c:pt idx="981">
                  <c:v>74.2</c:v>
                </c:pt>
                <c:pt idx="982">
                  <c:v>78.05</c:v>
                </c:pt>
                <c:pt idx="983">
                  <c:v>78.05</c:v>
                </c:pt>
                <c:pt idx="984">
                  <c:v>78.05</c:v>
                </c:pt>
                <c:pt idx="985">
                  <c:v>78.05</c:v>
                </c:pt>
                <c:pt idx="986">
                  <c:v>79.010000000000005</c:v>
                </c:pt>
                <c:pt idx="987">
                  <c:v>76.784999999999997</c:v>
                </c:pt>
                <c:pt idx="988">
                  <c:v>78.709999999999994</c:v>
                </c:pt>
                <c:pt idx="989">
                  <c:v>80.97</c:v>
                </c:pt>
                <c:pt idx="990">
                  <c:v>80.97</c:v>
                </c:pt>
                <c:pt idx="991">
                  <c:v>80.97</c:v>
                </c:pt>
                <c:pt idx="992">
                  <c:v>76.87</c:v>
                </c:pt>
                <c:pt idx="993">
                  <c:v>78.375</c:v>
                </c:pt>
                <c:pt idx="994">
                  <c:v>80.025000000000006</c:v>
                </c:pt>
                <c:pt idx="995">
                  <c:v>77.11</c:v>
                </c:pt>
                <c:pt idx="996">
                  <c:v>74.144999999999996</c:v>
                </c:pt>
                <c:pt idx="997">
                  <c:v>74.144999999999996</c:v>
                </c:pt>
                <c:pt idx="998">
                  <c:v>74.144999999999996</c:v>
                </c:pt>
                <c:pt idx="999">
                  <c:v>75.165000000000006</c:v>
                </c:pt>
                <c:pt idx="1000">
                  <c:v>74.5</c:v>
                </c:pt>
                <c:pt idx="1001">
                  <c:v>75.625</c:v>
                </c:pt>
                <c:pt idx="1002">
                  <c:v>77.795000000000002</c:v>
                </c:pt>
                <c:pt idx="1003">
                  <c:v>79.569999999999993</c:v>
                </c:pt>
                <c:pt idx="1004">
                  <c:v>79.569999999999993</c:v>
                </c:pt>
                <c:pt idx="1005">
                  <c:v>79.569999999999993</c:v>
                </c:pt>
                <c:pt idx="1006">
                  <c:v>82.13</c:v>
                </c:pt>
                <c:pt idx="1007">
                  <c:v>83.944999999999993</c:v>
                </c:pt>
                <c:pt idx="1008">
                  <c:v>83.52</c:v>
                </c:pt>
                <c:pt idx="1009">
                  <c:v>84.22</c:v>
                </c:pt>
                <c:pt idx="1010">
                  <c:v>87.295000000000002</c:v>
                </c:pt>
                <c:pt idx="1011">
                  <c:v>87.295000000000002</c:v>
                </c:pt>
                <c:pt idx="1012">
                  <c:v>87.295000000000002</c:v>
                </c:pt>
                <c:pt idx="1013">
                  <c:v>85.29</c:v>
                </c:pt>
                <c:pt idx="1014">
                  <c:v>89.76</c:v>
                </c:pt>
                <c:pt idx="1015">
                  <c:v>87.85</c:v>
                </c:pt>
                <c:pt idx="1016">
                  <c:v>85.935000000000002</c:v>
                </c:pt>
                <c:pt idx="1017">
                  <c:v>87.11</c:v>
                </c:pt>
                <c:pt idx="1018">
                  <c:v>87.11</c:v>
                </c:pt>
                <c:pt idx="1019">
                  <c:v>87.11</c:v>
                </c:pt>
                <c:pt idx="1020">
                  <c:v>90.6</c:v>
                </c:pt>
                <c:pt idx="1021">
                  <c:v>85.665000000000006</c:v>
                </c:pt>
                <c:pt idx="1022">
                  <c:v>88.944999999999993</c:v>
                </c:pt>
                <c:pt idx="1023">
                  <c:v>93.245000000000005</c:v>
                </c:pt>
                <c:pt idx="1024">
                  <c:v>88.3</c:v>
                </c:pt>
                <c:pt idx="1025">
                  <c:v>88.3</c:v>
                </c:pt>
                <c:pt idx="1026">
                  <c:v>88.3</c:v>
                </c:pt>
                <c:pt idx="1027">
                  <c:v>87.06</c:v>
                </c:pt>
                <c:pt idx="1028">
                  <c:v>86.05</c:v>
                </c:pt>
                <c:pt idx="1029">
                  <c:v>88.234999999999999</c:v>
                </c:pt>
                <c:pt idx="1030">
                  <c:v>88.234999999999999</c:v>
                </c:pt>
                <c:pt idx="1031">
                  <c:v>86.834999999999994</c:v>
                </c:pt>
                <c:pt idx="1032">
                  <c:v>86.834999999999994</c:v>
                </c:pt>
                <c:pt idx="1033">
                  <c:v>86.834999999999994</c:v>
                </c:pt>
                <c:pt idx="1034">
                  <c:v>86.405000000000001</c:v>
                </c:pt>
                <c:pt idx="1035">
                  <c:v>93.504999999999995</c:v>
                </c:pt>
                <c:pt idx="1036">
                  <c:v>97.74</c:v>
                </c:pt>
                <c:pt idx="1037">
                  <c:v>98.17</c:v>
                </c:pt>
                <c:pt idx="1038">
                  <c:v>101.815</c:v>
                </c:pt>
                <c:pt idx="1039">
                  <c:v>101.815</c:v>
                </c:pt>
                <c:pt idx="1040">
                  <c:v>101.815</c:v>
                </c:pt>
                <c:pt idx="1041">
                  <c:v>103.52500000000001</c:v>
                </c:pt>
                <c:pt idx="1042">
                  <c:v>102.94499999999999</c:v>
                </c:pt>
                <c:pt idx="1043">
                  <c:v>102.94499999999999</c:v>
                </c:pt>
                <c:pt idx="1044">
                  <c:v>104.4</c:v>
                </c:pt>
              </c:numCache>
            </c:numRef>
          </c:val>
          <c:smooth val="0"/>
          <c:extLst>
            <c:ext xmlns:c16="http://schemas.microsoft.com/office/drawing/2014/chart" uri="{C3380CC4-5D6E-409C-BE32-E72D297353CC}">
              <c16:uniqueId val="{00000001-D1DC-4E4A-A246-46D1BC992423}"/>
            </c:ext>
          </c:extLst>
        </c:ser>
        <c:dLbls>
          <c:showLegendKey val="0"/>
          <c:showVal val="0"/>
          <c:showCatName val="0"/>
          <c:showSerName val="0"/>
          <c:showPercent val="0"/>
          <c:showBubbleSize val="0"/>
        </c:dLbls>
        <c:marker val="1"/>
        <c:smooth val="0"/>
        <c:axId val="33539583"/>
        <c:axId val="33533343"/>
      </c:lineChart>
      <c:dateAx>
        <c:axId val="33469023"/>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76223"/>
        <c:crosses val="autoZero"/>
        <c:auto val="1"/>
        <c:lblOffset val="100"/>
        <c:baseTimeUnit val="days"/>
      </c:dateAx>
      <c:valAx>
        <c:axId val="3347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69023"/>
        <c:crosses val="autoZero"/>
        <c:crossBetween val="between"/>
      </c:valAx>
      <c:valAx>
        <c:axId val="3353334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539583"/>
        <c:crosses val="max"/>
        <c:crossBetween val="between"/>
      </c:valAx>
      <c:dateAx>
        <c:axId val="33539583"/>
        <c:scaling>
          <c:orientation val="minMax"/>
        </c:scaling>
        <c:delete val="1"/>
        <c:axPos val="b"/>
        <c:numFmt formatCode="m/d/yy;@" sourceLinked="1"/>
        <c:majorTickMark val="out"/>
        <c:minorTickMark val="none"/>
        <c:tickLblPos val="nextTo"/>
        <c:crossAx val="33533343"/>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49352580927384"/>
          <c:y val="0.14155876348789734"/>
          <c:w val="0.46233792650918637"/>
          <c:h val="0.7863269174686498"/>
        </c:manualLayout>
      </c:layout>
      <c:radarChart>
        <c:radarStyle val="filled"/>
        <c:varyColors val="0"/>
        <c:ser>
          <c:idx val="0"/>
          <c:order val="0"/>
          <c:spPr>
            <a:solidFill>
              <a:schemeClr val="accent1"/>
            </a:solidFill>
            <a:ln>
              <a:noFill/>
            </a:ln>
            <a:effectLst/>
          </c:spPr>
          <c:cat>
            <c:strRef>
              <c:f>Industry!$O$32:$O$36</c:f>
              <c:strCache>
                <c:ptCount val="5"/>
                <c:pt idx="0">
                  <c:v>Rivalry Among Existing Competitors</c:v>
                </c:pt>
                <c:pt idx="1">
                  <c:v>Threat of New Entrants</c:v>
                </c:pt>
                <c:pt idx="2">
                  <c:v>Threat of Substitutes</c:v>
                </c:pt>
                <c:pt idx="3">
                  <c:v>Bargaining Power of Customers</c:v>
                </c:pt>
                <c:pt idx="4">
                  <c:v>Bargaining Power of Suppliers</c:v>
                </c:pt>
              </c:strCache>
            </c:strRef>
          </c:cat>
          <c:val>
            <c:numRef>
              <c:f>Industry!$R$32:$R$36</c:f>
              <c:numCache>
                <c:formatCode>General</c:formatCode>
                <c:ptCount val="5"/>
                <c:pt idx="0">
                  <c:v>5</c:v>
                </c:pt>
                <c:pt idx="1">
                  <c:v>3</c:v>
                </c:pt>
                <c:pt idx="2">
                  <c:v>4</c:v>
                </c:pt>
                <c:pt idx="3">
                  <c:v>4</c:v>
                </c:pt>
                <c:pt idx="4">
                  <c:v>2</c:v>
                </c:pt>
              </c:numCache>
            </c:numRef>
          </c:val>
          <c:extLst>
            <c:ext xmlns:c16="http://schemas.microsoft.com/office/drawing/2014/chart" uri="{C3380CC4-5D6E-409C-BE32-E72D297353CC}">
              <c16:uniqueId val="{00000000-9C6F-43F2-8467-1824FEFC1A17}"/>
            </c:ext>
          </c:extLst>
        </c:ser>
        <c:dLbls>
          <c:showLegendKey val="0"/>
          <c:showVal val="0"/>
          <c:showCatName val="0"/>
          <c:showSerName val="0"/>
          <c:showPercent val="0"/>
          <c:showBubbleSize val="0"/>
        </c:dLbls>
        <c:axId val="936468056"/>
        <c:axId val="936462480"/>
      </c:radarChart>
      <c:catAx>
        <c:axId val="93646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936462480"/>
        <c:crosses val="autoZero"/>
        <c:auto val="1"/>
        <c:lblAlgn val="ctr"/>
        <c:lblOffset val="100"/>
        <c:noMultiLvlLbl val="0"/>
      </c:catAx>
      <c:valAx>
        <c:axId val="936462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6468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11471037341324E-2"/>
          <c:y val="9.4264761848210116E-2"/>
          <c:w val="0.90807390123367093"/>
          <c:h val="0.65465561310556841"/>
        </c:manualLayout>
      </c:layout>
      <c:lineChart>
        <c:grouping val="standard"/>
        <c:varyColors val="0"/>
        <c:ser>
          <c:idx val="0"/>
          <c:order val="0"/>
          <c:tx>
            <c:strRef>
              <c:f>'Stock Data'!$U$4</c:f>
              <c:strCache>
                <c:ptCount val="1"/>
                <c:pt idx="0">
                  <c:v>AZZA3 BZ Equity</c:v>
                </c:pt>
              </c:strCache>
            </c:strRef>
          </c:tx>
          <c:spPr>
            <a:ln w="28575" cap="rnd">
              <a:solidFill>
                <a:schemeClr val="accent1"/>
              </a:solidFill>
              <a:round/>
            </a:ln>
            <a:effectLst/>
          </c:spPr>
          <c:marker>
            <c:symbol val="none"/>
          </c:marker>
          <c:cat>
            <c:numRef>
              <c:f>'Stock Data'!$Q$5:$Q$159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Data'!$U$5:$U$159</c:f>
              <c:numCache>
                <c:formatCode>General</c:formatCode>
                <c:ptCount val="155"/>
                <c:pt idx="0">
                  <c:v>0.35015544041450775</c:v>
                </c:pt>
                <c:pt idx="1">
                  <c:v>0.35015544041450775</c:v>
                </c:pt>
                <c:pt idx="2">
                  <c:v>0.35025906735751294</c:v>
                </c:pt>
                <c:pt idx="3">
                  <c:v>0.33616580310880828</c:v>
                </c:pt>
                <c:pt idx="4">
                  <c:v>0.35585492227979276</c:v>
                </c:pt>
                <c:pt idx="5">
                  <c:v>0.36901554404145076</c:v>
                </c:pt>
                <c:pt idx="6">
                  <c:v>0.36943005181347149</c:v>
                </c:pt>
                <c:pt idx="7">
                  <c:v>0.3729533678756477</c:v>
                </c:pt>
                <c:pt idx="8">
                  <c:v>0.37512953367875651</c:v>
                </c:pt>
                <c:pt idx="9">
                  <c:v>0.40103626943005183</c:v>
                </c:pt>
                <c:pt idx="10">
                  <c:v>0.42590673575129534</c:v>
                </c:pt>
                <c:pt idx="11">
                  <c:v>0.41834196891191705</c:v>
                </c:pt>
                <c:pt idx="12">
                  <c:v>0.42155440414507772</c:v>
                </c:pt>
                <c:pt idx="13">
                  <c:v>0.44404145077720208</c:v>
                </c:pt>
                <c:pt idx="14">
                  <c:v>0.46497409326424866</c:v>
                </c:pt>
                <c:pt idx="15">
                  <c:v>0.43523316062176165</c:v>
                </c:pt>
                <c:pt idx="16">
                  <c:v>0.4545077720207254</c:v>
                </c:pt>
                <c:pt idx="17">
                  <c:v>0.42808290155440415</c:v>
                </c:pt>
                <c:pt idx="18">
                  <c:v>0.33886010362694302</c:v>
                </c:pt>
                <c:pt idx="19">
                  <c:v>0.32103626943005181</c:v>
                </c:pt>
                <c:pt idx="20">
                  <c:v>0.29015544041450775</c:v>
                </c:pt>
                <c:pt idx="21">
                  <c:v>0.27979274611398963</c:v>
                </c:pt>
                <c:pt idx="22">
                  <c:v>0.25647668393782386</c:v>
                </c:pt>
                <c:pt idx="23">
                  <c:v>0.25595854922279793</c:v>
                </c:pt>
                <c:pt idx="24">
                  <c:v>0.24652849740932642</c:v>
                </c:pt>
                <c:pt idx="25">
                  <c:v>0.23834196891191708</c:v>
                </c:pt>
                <c:pt idx="26">
                  <c:v>0.27388601036269428</c:v>
                </c:pt>
                <c:pt idx="27">
                  <c:v>0.28725388601036267</c:v>
                </c:pt>
                <c:pt idx="28">
                  <c:v>0.28725388601036267</c:v>
                </c:pt>
                <c:pt idx="29">
                  <c:v>0.34</c:v>
                </c:pt>
                <c:pt idx="30">
                  <c:v>0.33886010362694302</c:v>
                </c:pt>
                <c:pt idx="31">
                  <c:v>0.34870466321243521</c:v>
                </c:pt>
                <c:pt idx="32">
                  <c:v>0.34974093264248707</c:v>
                </c:pt>
                <c:pt idx="33">
                  <c:v>0.32590673575129531</c:v>
                </c:pt>
                <c:pt idx="34">
                  <c:v>0.31398963730569951</c:v>
                </c:pt>
                <c:pt idx="35">
                  <c:v>0.32455958549222796</c:v>
                </c:pt>
                <c:pt idx="36">
                  <c:v>0.32031088082901554</c:v>
                </c:pt>
                <c:pt idx="37">
                  <c:v>0.32031088082901554</c:v>
                </c:pt>
                <c:pt idx="38">
                  <c:v>0.32031088082901554</c:v>
                </c:pt>
                <c:pt idx="39">
                  <c:v>0.35129533678756475</c:v>
                </c:pt>
                <c:pt idx="40">
                  <c:v>0.38072538860103627</c:v>
                </c:pt>
                <c:pt idx="41">
                  <c:v>0.44</c:v>
                </c:pt>
                <c:pt idx="42">
                  <c:v>0.42673575129533681</c:v>
                </c:pt>
                <c:pt idx="43">
                  <c:v>0.41554404145077722</c:v>
                </c:pt>
                <c:pt idx="44">
                  <c:v>0.42829015544041449</c:v>
                </c:pt>
                <c:pt idx="45">
                  <c:v>0.41616580310880824</c:v>
                </c:pt>
                <c:pt idx="46">
                  <c:v>0.41689119170984451</c:v>
                </c:pt>
                <c:pt idx="47">
                  <c:v>0.43554404145077719</c:v>
                </c:pt>
                <c:pt idx="48">
                  <c:v>0.43347150259067357</c:v>
                </c:pt>
                <c:pt idx="49">
                  <c:v>0.4327461139896373</c:v>
                </c:pt>
                <c:pt idx="50">
                  <c:v>0.46435233160621764</c:v>
                </c:pt>
                <c:pt idx="51">
                  <c:v>0.48849740932642488</c:v>
                </c:pt>
                <c:pt idx="52">
                  <c:v>0.49316062176165809</c:v>
                </c:pt>
                <c:pt idx="53">
                  <c:v>0.49129533678756471</c:v>
                </c:pt>
                <c:pt idx="54">
                  <c:v>0.55751295336787565</c:v>
                </c:pt>
                <c:pt idx="55">
                  <c:v>0.54155440414507772</c:v>
                </c:pt>
                <c:pt idx="56">
                  <c:v>0.56321243523316067</c:v>
                </c:pt>
                <c:pt idx="57">
                  <c:v>0.51170984455958557</c:v>
                </c:pt>
                <c:pt idx="58">
                  <c:v>0.5045595854922279</c:v>
                </c:pt>
                <c:pt idx="59">
                  <c:v>0.54518134715025901</c:v>
                </c:pt>
                <c:pt idx="60">
                  <c:v>0.55316062176165803</c:v>
                </c:pt>
                <c:pt idx="61">
                  <c:v>0.55906735751295344</c:v>
                </c:pt>
                <c:pt idx="62">
                  <c:v>0.5265284974093265</c:v>
                </c:pt>
                <c:pt idx="63">
                  <c:v>0.52777202072538865</c:v>
                </c:pt>
                <c:pt idx="64">
                  <c:v>0.52010362694300516</c:v>
                </c:pt>
                <c:pt idx="65">
                  <c:v>0.51357512953367879</c:v>
                </c:pt>
                <c:pt idx="66">
                  <c:v>0.52621761658031085</c:v>
                </c:pt>
                <c:pt idx="67">
                  <c:v>0.52839378238341972</c:v>
                </c:pt>
                <c:pt idx="68">
                  <c:v>0.51792746113989629</c:v>
                </c:pt>
                <c:pt idx="69">
                  <c:v>0.48528497409326421</c:v>
                </c:pt>
                <c:pt idx="70">
                  <c:v>0.53668393782383417</c:v>
                </c:pt>
                <c:pt idx="71">
                  <c:v>0.53803108808290157</c:v>
                </c:pt>
                <c:pt idx="72">
                  <c:v>0.54145077720207258</c:v>
                </c:pt>
                <c:pt idx="73">
                  <c:v>0.53264248704663208</c:v>
                </c:pt>
                <c:pt idx="74">
                  <c:v>0.58860103626943006</c:v>
                </c:pt>
                <c:pt idx="75">
                  <c:v>0.64891191709844553</c:v>
                </c:pt>
                <c:pt idx="76">
                  <c:v>0.64414507772020724</c:v>
                </c:pt>
                <c:pt idx="77">
                  <c:v>0.61761658031088085</c:v>
                </c:pt>
                <c:pt idx="78">
                  <c:v>0.62797927461139902</c:v>
                </c:pt>
                <c:pt idx="79">
                  <c:v>0.6</c:v>
                </c:pt>
                <c:pt idx="80">
                  <c:v>0.61637305699481859</c:v>
                </c:pt>
                <c:pt idx="81">
                  <c:v>0.62559585492227976</c:v>
                </c:pt>
                <c:pt idx="82">
                  <c:v>0.61658031088082899</c:v>
                </c:pt>
                <c:pt idx="83">
                  <c:v>0.61658031088082899</c:v>
                </c:pt>
                <c:pt idx="84">
                  <c:v>0.57865284974093267</c:v>
                </c:pt>
                <c:pt idx="85">
                  <c:v>0.59585492227979275</c:v>
                </c:pt>
                <c:pt idx="86">
                  <c:v>0.62860103626942998</c:v>
                </c:pt>
                <c:pt idx="87">
                  <c:v>0.66352331606217618</c:v>
                </c:pt>
                <c:pt idx="88">
                  <c:v>0.64528497409326424</c:v>
                </c:pt>
                <c:pt idx="89">
                  <c:v>0.68808290155440421</c:v>
                </c:pt>
                <c:pt idx="90">
                  <c:v>0.68880829015544043</c:v>
                </c:pt>
                <c:pt idx="91">
                  <c:v>0.67253886010362696</c:v>
                </c:pt>
                <c:pt idx="92">
                  <c:v>0.61854922279792746</c:v>
                </c:pt>
                <c:pt idx="93">
                  <c:v>0.63005181347150252</c:v>
                </c:pt>
                <c:pt idx="94">
                  <c:v>0.63388601036269432</c:v>
                </c:pt>
                <c:pt idx="95">
                  <c:v>0.62715025906735755</c:v>
                </c:pt>
                <c:pt idx="96">
                  <c:v>0.64839378238341971</c:v>
                </c:pt>
                <c:pt idx="97">
                  <c:v>0.60507772020725392</c:v>
                </c:pt>
                <c:pt idx="98">
                  <c:v>0.62715025906735755</c:v>
                </c:pt>
                <c:pt idx="99">
                  <c:v>0.65056994818652847</c:v>
                </c:pt>
                <c:pt idx="100">
                  <c:v>0.70051813471502589</c:v>
                </c:pt>
                <c:pt idx="101">
                  <c:v>0.63948186528497408</c:v>
                </c:pt>
                <c:pt idx="102">
                  <c:v>0.63709844559585493</c:v>
                </c:pt>
                <c:pt idx="103">
                  <c:v>0.71917098445595862</c:v>
                </c:pt>
                <c:pt idx="104">
                  <c:v>0.72901554404145075</c:v>
                </c:pt>
                <c:pt idx="105">
                  <c:v>0.74435233160621761</c:v>
                </c:pt>
                <c:pt idx="106">
                  <c:v>0.76217616580310876</c:v>
                </c:pt>
                <c:pt idx="107">
                  <c:v>0.84134715025906737</c:v>
                </c:pt>
                <c:pt idx="108">
                  <c:v>0.84248704663212437</c:v>
                </c:pt>
                <c:pt idx="109">
                  <c:v>0.85336787564766836</c:v>
                </c:pt>
                <c:pt idx="110">
                  <c:v>0.82590673575129536</c:v>
                </c:pt>
                <c:pt idx="111">
                  <c:v>0.86010362694300513</c:v>
                </c:pt>
                <c:pt idx="112">
                  <c:v>0.81875647668393792</c:v>
                </c:pt>
                <c:pt idx="113">
                  <c:v>0.83678756476683935</c:v>
                </c:pt>
                <c:pt idx="114">
                  <c:v>0.84248704663212437</c:v>
                </c:pt>
                <c:pt idx="115">
                  <c:v>0.78238341968911918</c:v>
                </c:pt>
                <c:pt idx="116">
                  <c:v>0.79937823834196897</c:v>
                </c:pt>
                <c:pt idx="117">
                  <c:v>0.78310880829015539</c:v>
                </c:pt>
                <c:pt idx="118">
                  <c:v>0.80404145077720213</c:v>
                </c:pt>
                <c:pt idx="119">
                  <c:v>0.76476683937823831</c:v>
                </c:pt>
                <c:pt idx="120">
                  <c:v>0.71875647668393783</c:v>
                </c:pt>
                <c:pt idx="121">
                  <c:v>0.71067357512953366</c:v>
                </c:pt>
                <c:pt idx="122">
                  <c:v>0.66849740932642487</c:v>
                </c:pt>
                <c:pt idx="123">
                  <c:v>0.66248704663212432</c:v>
                </c:pt>
                <c:pt idx="124">
                  <c:v>0.64663212435233164</c:v>
                </c:pt>
                <c:pt idx="125">
                  <c:v>0.69606217616580313</c:v>
                </c:pt>
                <c:pt idx="126">
                  <c:v>0.71502590673575128</c:v>
                </c:pt>
                <c:pt idx="127">
                  <c:v>0.65139896373056994</c:v>
                </c:pt>
                <c:pt idx="128">
                  <c:v>0.66735751295336798</c:v>
                </c:pt>
                <c:pt idx="129">
                  <c:v>0.6653886010362694</c:v>
                </c:pt>
                <c:pt idx="130">
                  <c:v>0.69409326424870466</c:v>
                </c:pt>
                <c:pt idx="131">
                  <c:v>0.77865284974093263</c:v>
                </c:pt>
                <c:pt idx="132">
                  <c:v>0.77305699481865275</c:v>
                </c:pt>
                <c:pt idx="133">
                  <c:v>0.8033160621761658</c:v>
                </c:pt>
                <c:pt idx="134">
                  <c:v>0.8033160621761658</c:v>
                </c:pt>
                <c:pt idx="135">
                  <c:v>0.86528497409326421</c:v>
                </c:pt>
                <c:pt idx="136">
                  <c:v>0.90777202072538854</c:v>
                </c:pt>
                <c:pt idx="137">
                  <c:v>0.85875647668393784</c:v>
                </c:pt>
                <c:pt idx="138">
                  <c:v>0.82901554404145072</c:v>
                </c:pt>
                <c:pt idx="139">
                  <c:v>0.79865284974093254</c:v>
                </c:pt>
                <c:pt idx="140">
                  <c:v>0.74414507772020733</c:v>
                </c:pt>
                <c:pt idx="141">
                  <c:v>0.79347150259067345</c:v>
                </c:pt>
                <c:pt idx="142">
                  <c:v>0.83108808290155445</c:v>
                </c:pt>
                <c:pt idx="143">
                  <c:v>0.78393782383419697</c:v>
                </c:pt>
                <c:pt idx="144">
                  <c:v>0.86528497409326421</c:v>
                </c:pt>
                <c:pt idx="145">
                  <c:v>0.90984455958549215</c:v>
                </c:pt>
                <c:pt idx="146">
                  <c:v>0.92113989637305704</c:v>
                </c:pt>
                <c:pt idx="147">
                  <c:v>1.0127461139896374</c:v>
                </c:pt>
                <c:pt idx="148">
                  <c:v>1.0127461139896374</c:v>
                </c:pt>
                <c:pt idx="149">
                  <c:v>1.0668393782383421</c:v>
                </c:pt>
                <c:pt idx="150">
                  <c:v>1.0343005181347151</c:v>
                </c:pt>
                <c:pt idx="151">
                  <c:v>1.0426943005181348</c:v>
                </c:pt>
                <c:pt idx="152">
                  <c:v>1.0347150259067357</c:v>
                </c:pt>
                <c:pt idx="153">
                  <c:v>1.0466321243523315</c:v>
                </c:pt>
                <c:pt idx="154">
                  <c:v>1</c:v>
                </c:pt>
              </c:numCache>
            </c:numRef>
          </c:val>
          <c:smooth val="0"/>
          <c:extLst>
            <c:ext xmlns:c16="http://schemas.microsoft.com/office/drawing/2014/chart" uri="{C3380CC4-5D6E-409C-BE32-E72D297353CC}">
              <c16:uniqueId val="{00000000-FDC8-481D-BAD7-1015841AA028}"/>
            </c:ext>
          </c:extLst>
        </c:ser>
        <c:ser>
          <c:idx val="1"/>
          <c:order val="1"/>
          <c:tx>
            <c:strRef>
              <c:f>'Stock Data'!$V$4</c:f>
              <c:strCache>
                <c:ptCount val="1"/>
                <c:pt idx="0">
                  <c:v>IBOV Index</c:v>
                </c:pt>
              </c:strCache>
            </c:strRef>
          </c:tx>
          <c:spPr>
            <a:ln w="19050" cap="rnd">
              <a:solidFill>
                <a:schemeClr val="accent3"/>
              </a:solidFill>
              <a:round/>
            </a:ln>
            <a:effectLst/>
          </c:spPr>
          <c:marker>
            <c:symbol val="none"/>
          </c:marker>
          <c:cat>
            <c:numRef>
              <c:f>'Stock Data'!$Q$5:$Q$159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Data'!$V$5:$V$159</c:f>
              <c:numCache>
                <c:formatCode>General</c:formatCode>
                <c:ptCount val="155"/>
                <c:pt idx="0">
                  <c:v>1.2948873070554598</c:v>
                </c:pt>
                <c:pt idx="1">
                  <c:v>1.2948873070554598</c:v>
                </c:pt>
                <c:pt idx="2">
                  <c:v>1.2712311311462325</c:v>
                </c:pt>
                <c:pt idx="3">
                  <c:v>1.2404206268249485</c:v>
                </c:pt>
                <c:pt idx="4">
                  <c:v>1.2725440559679302</c:v>
                </c:pt>
                <c:pt idx="5">
                  <c:v>1.2286010739427926</c:v>
                </c:pt>
                <c:pt idx="6">
                  <c:v>1.2246738333593998</c:v>
                </c:pt>
                <c:pt idx="7">
                  <c:v>1.2367617104654289</c:v>
                </c:pt>
                <c:pt idx="8">
                  <c:v>1.2479669226727048</c:v>
                </c:pt>
                <c:pt idx="9">
                  <c:v>1.2853620739211091</c:v>
                </c:pt>
                <c:pt idx="10">
                  <c:v>1.2876372935608182</c:v>
                </c:pt>
                <c:pt idx="11">
                  <c:v>1.2656323081557921</c:v>
                </c:pt>
                <c:pt idx="12">
                  <c:v>1.2810914927472643</c:v>
                </c:pt>
                <c:pt idx="13">
                  <c:v>1.2589099928166985</c:v>
                </c:pt>
                <c:pt idx="14">
                  <c:v>1.2691538329164989</c:v>
                </c:pt>
                <c:pt idx="15">
                  <c:v>1.2875616312968652</c:v>
                </c:pt>
                <c:pt idx="16">
                  <c:v>1.2928063179835823</c:v>
                </c:pt>
                <c:pt idx="17">
                  <c:v>1.2822272571460469</c:v>
                </c:pt>
                <c:pt idx="18">
                  <c:v>1.2319645383886799</c:v>
                </c:pt>
                <c:pt idx="19">
                  <c:v>1.2465172521495693</c:v>
                </c:pt>
                <c:pt idx="20">
                  <c:v>1.2038085800084612</c:v>
                </c:pt>
                <c:pt idx="21">
                  <c:v>1.1925608308454749</c:v>
                </c:pt>
                <c:pt idx="22">
                  <c:v>1.1435326065142442</c:v>
                </c:pt>
                <c:pt idx="23">
                  <c:v>1.2101098625299709</c:v>
                </c:pt>
                <c:pt idx="24">
                  <c:v>1.2186024903034656</c:v>
                </c:pt>
                <c:pt idx="25">
                  <c:v>1.213131185909103</c:v>
                </c:pt>
                <c:pt idx="26">
                  <c:v>1.1396153312046402</c:v>
                </c:pt>
                <c:pt idx="27">
                  <c:v>1.1624261197207693</c:v>
                </c:pt>
                <c:pt idx="28">
                  <c:v>1.1624261197207693</c:v>
                </c:pt>
                <c:pt idx="29">
                  <c:v>1.1859756302920332</c:v>
                </c:pt>
                <c:pt idx="30">
                  <c:v>1.1674286871628359</c:v>
                </c:pt>
                <c:pt idx="31">
                  <c:v>1.154748429892684</c:v>
                </c:pt>
                <c:pt idx="32">
                  <c:v>1.144673169007814</c:v>
                </c:pt>
                <c:pt idx="33">
                  <c:v>1.1380558581277187</c:v>
                </c:pt>
                <c:pt idx="34">
                  <c:v>1.1007813974174254</c:v>
                </c:pt>
                <c:pt idx="35">
                  <c:v>1.1179806295377175</c:v>
                </c:pt>
                <c:pt idx="36">
                  <c:v>1.1506019532859335</c:v>
                </c:pt>
                <c:pt idx="37">
                  <c:v>1.1506019532859335</c:v>
                </c:pt>
                <c:pt idx="38">
                  <c:v>1.1506019532859335</c:v>
                </c:pt>
                <c:pt idx="39">
                  <c:v>1.1831777874047245</c:v>
                </c:pt>
                <c:pt idx="40">
                  <c:v>1.1638996884467874</c:v>
                </c:pt>
                <c:pt idx="41">
                  <c:v>1.1988074889032525</c:v>
                </c:pt>
                <c:pt idx="42">
                  <c:v>1.1828895326332727</c:v>
                </c:pt>
                <c:pt idx="43">
                  <c:v>1.1782858529559264</c:v>
                </c:pt>
                <c:pt idx="44">
                  <c:v>1.2056205066880366</c:v>
                </c:pt>
                <c:pt idx="45">
                  <c:v>1.2062588378368526</c:v>
                </c:pt>
                <c:pt idx="46">
                  <c:v>1.1990749826876435</c:v>
                </c:pt>
                <c:pt idx="47">
                  <c:v>1.2091500590304065</c:v>
                </c:pt>
                <c:pt idx="48">
                  <c:v>1.2134725888074289</c:v>
                </c:pt>
                <c:pt idx="49">
                  <c:v>1.2225468010317748</c:v>
                </c:pt>
                <c:pt idx="50">
                  <c:v>1.2194151214725353</c:v>
                </c:pt>
                <c:pt idx="51">
                  <c:v>1.2452918925577396</c:v>
                </c:pt>
                <c:pt idx="52">
                  <c:v>1.239380916592965</c:v>
                </c:pt>
                <c:pt idx="53">
                  <c:v>1.2396937154646748</c:v>
                </c:pt>
                <c:pt idx="54">
                  <c:v>1.2620457323022964</c:v>
                </c:pt>
                <c:pt idx="55">
                  <c:v>1.2556928702618237</c:v>
                </c:pt>
                <c:pt idx="56">
                  <c:v>1.2216500186618204</c:v>
                </c:pt>
                <c:pt idx="57">
                  <c:v>1.1650761443802082</c:v>
                </c:pt>
                <c:pt idx="58">
                  <c:v>1.1638997807178411</c:v>
                </c:pt>
                <c:pt idx="59">
                  <c:v>1.1680577912062917</c:v>
                </c:pt>
                <c:pt idx="60">
                  <c:v>1.1913150793507994</c:v>
                </c:pt>
                <c:pt idx="61">
                  <c:v>1.1728409380828935</c:v>
                </c:pt>
                <c:pt idx="62">
                  <c:v>1.1514235347472026</c:v>
                </c:pt>
                <c:pt idx="63">
                  <c:v>1.1287646243853018</c:v>
                </c:pt>
                <c:pt idx="64">
                  <c:v>1.1038426741627669</c:v>
                </c:pt>
                <c:pt idx="65">
                  <c:v>1.1223395141098587</c:v>
                </c:pt>
                <c:pt idx="66">
                  <c:v>1.123880440705006</c:v>
                </c:pt>
                <c:pt idx="67">
                  <c:v>1.1421268570126231</c:v>
                </c:pt>
                <c:pt idx="68">
                  <c:v>1.1756397959517921</c:v>
                </c:pt>
                <c:pt idx="69">
                  <c:v>1.1858259666430915</c:v>
                </c:pt>
                <c:pt idx="70">
                  <c:v>1.1922387125973517</c:v>
                </c:pt>
                <c:pt idx="71">
                  <c:v>1.1619157685232986</c:v>
                </c:pt>
                <c:pt idx="72">
                  <c:v>1.1547544275111683</c:v>
                </c:pt>
                <c:pt idx="73">
                  <c:v>1.1477469023453917</c:v>
                </c:pt>
                <c:pt idx="74">
                  <c:v>1.1985121292606735</c:v>
                </c:pt>
                <c:pt idx="75">
                  <c:v>1.1769036325729736</c:v>
                </c:pt>
                <c:pt idx="76">
                  <c:v>1.1705784518485813</c:v>
                </c:pt>
                <c:pt idx="77">
                  <c:v>1.1767221354105393</c:v>
                </c:pt>
                <c:pt idx="78">
                  <c:v>1.1780046107845483</c:v>
                </c:pt>
                <c:pt idx="79">
                  <c:v>1.1819747574078661</c:v>
                </c:pt>
                <c:pt idx="80">
                  <c:v>1.2151116918036082</c:v>
                </c:pt>
                <c:pt idx="81">
                  <c:v>1.1987496349526441</c:v>
                </c:pt>
                <c:pt idx="82">
                  <c:v>1.2033650330537982</c:v>
                </c:pt>
                <c:pt idx="83">
                  <c:v>1.2033650330537982</c:v>
                </c:pt>
                <c:pt idx="84">
                  <c:v>1.175549923945584</c:v>
                </c:pt>
                <c:pt idx="85">
                  <c:v>1.1834917858001308</c:v>
                </c:pt>
                <c:pt idx="86">
                  <c:v>1.193009729521247</c:v>
                </c:pt>
                <c:pt idx="87">
                  <c:v>1.2128715351642678</c:v>
                </c:pt>
                <c:pt idx="88">
                  <c:v>1.2244057859486872</c:v>
                </c:pt>
                <c:pt idx="89">
                  <c:v>1.2321223218903388</c:v>
                </c:pt>
                <c:pt idx="90">
                  <c:v>1.2166021461324357</c:v>
                </c:pt>
                <c:pt idx="91">
                  <c:v>1.1663340756539595</c:v>
                </c:pt>
                <c:pt idx="92">
                  <c:v>1.1709496582972208</c:v>
                </c:pt>
                <c:pt idx="93">
                  <c:v>1.1675824107381361</c:v>
                </c:pt>
                <c:pt idx="94">
                  <c:v>1.1591646147891121</c:v>
                </c:pt>
                <c:pt idx="95">
                  <c:v>1.1364634442846617</c:v>
                </c:pt>
                <c:pt idx="96">
                  <c:v>1.1004989557223508</c:v>
                </c:pt>
                <c:pt idx="97">
                  <c:v>1.0439885639256166</c:v>
                </c:pt>
                <c:pt idx="98">
                  <c:v>1.0496930372724307</c:v>
                </c:pt>
                <c:pt idx="99">
                  <c:v>1.0694992957411833</c:v>
                </c:pt>
                <c:pt idx="100">
                  <c:v>1.0771441370741863</c:v>
                </c:pt>
                <c:pt idx="101">
                  <c:v>1.0465294319286449</c:v>
                </c:pt>
                <c:pt idx="102">
                  <c:v>1.0536748100485021</c:v>
                </c:pt>
                <c:pt idx="103">
                  <c:v>1.0873754283106969</c:v>
                </c:pt>
                <c:pt idx="104">
                  <c:v>1.0885042723804592</c:v>
                </c:pt>
                <c:pt idx="105">
                  <c:v>1.0826282671449998</c:v>
                </c:pt>
                <c:pt idx="106">
                  <c:v>1.0925225844937572</c:v>
                </c:pt>
                <c:pt idx="107">
                  <c:v>1.0717837424862526</c:v>
                </c:pt>
                <c:pt idx="108">
                  <c:v>1.0719259321798529</c:v>
                </c:pt>
                <c:pt idx="109">
                  <c:v>1.0988581918472065</c:v>
                </c:pt>
                <c:pt idx="110">
                  <c:v>1.1187716692802443</c:v>
                </c:pt>
                <c:pt idx="111">
                  <c:v>1.1257785485486456</c:v>
                </c:pt>
                <c:pt idx="112">
                  <c:v>1.0873330758970938</c:v>
                </c:pt>
                <c:pt idx="113">
                  <c:v>1.0846969841667484</c:v>
                </c:pt>
                <c:pt idx="114">
                  <c:v>1.0987302118958608</c:v>
                </c:pt>
                <c:pt idx="115">
                  <c:v>1.0843959037188462</c:v>
                </c:pt>
                <c:pt idx="116">
                  <c:v>1.1037684882356713</c:v>
                </c:pt>
                <c:pt idx="117">
                  <c:v>1.077197285201061</c:v>
                </c:pt>
                <c:pt idx="118">
                  <c:v>1.0575194680389217</c:v>
                </c:pt>
                <c:pt idx="119">
                  <c:v>1.0054502665941416</c:v>
                </c:pt>
                <c:pt idx="120">
                  <c:v>1.0143221283979391</c:v>
                </c:pt>
                <c:pt idx="121">
                  <c:v>0.99831448466385875</c:v>
                </c:pt>
                <c:pt idx="122">
                  <c:v>0.98834902633277466</c:v>
                </c:pt>
                <c:pt idx="123">
                  <c:v>0.94049070669015877</c:v>
                </c:pt>
                <c:pt idx="124">
                  <c:v>0.9524226457156012</c:v>
                </c:pt>
                <c:pt idx="125">
                  <c:v>0.97957930858531395</c:v>
                </c:pt>
                <c:pt idx="126">
                  <c:v>0.98004555421916306</c:v>
                </c:pt>
                <c:pt idx="127">
                  <c:v>0.93996014813194939</c:v>
                </c:pt>
                <c:pt idx="128">
                  <c:v>0.93364548630766764</c:v>
                </c:pt>
                <c:pt idx="129">
                  <c:v>0.93192038668953148</c:v>
                </c:pt>
                <c:pt idx="130">
                  <c:v>0.94976791523242843</c:v>
                </c:pt>
                <c:pt idx="131">
                  <c:v>0.96172209158178867</c:v>
                </c:pt>
                <c:pt idx="132">
                  <c:v>0.96821797375534413</c:v>
                </c:pt>
                <c:pt idx="133">
                  <c:v>0.99513233283829905</c:v>
                </c:pt>
                <c:pt idx="134">
                  <c:v>0.99513233283829905</c:v>
                </c:pt>
                <c:pt idx="135">
                  <c:v>0.99495627966802713</c:v>
                </c:pt>
                <c:pt idx="136">
                  <c:v>1.0466355436402868</c:v>
                </c:pt>
                <c:pt idx="137">
                  <c:v>1.0429226487144103</c:v>
                </c:pt>
                <c:pt idx="138">
                  <c:v>1.0282605014839492</c:v>
                </c:pt>
                <c:pt idx="139">
                  <c:v>1.0225174588367296</c:v>
                </c:pt>
                <c:pt idx="140">
                  <c:v>0.96114825789944025</c:v>
                </c:pt>
                <c:pt idx="141">
                  <c:v>1.0018624912169489</c:v>
                </c:pt>
                <c:pt idx="142">
                  <c:v>0.98604640219014572</c:v>
                </c:pt>
                <c:pt idx="143">
                  <c:v>0.95537144404660235</c:v>
                </c:pt>
                <c:pt idx="144">
                  <c:v>1.0167215448757962</c:v>
                </c:pt>
                <c:pt idx="145">
                  <c:v>1.0233746569246889</c:v>
                </c:pt>
                <c:pt idx="146">
                  <c:v>1.0060916426877264</c:v>
                </c:pt>
                <c:pt idx="147">
                  <c:v>1.071823788123516</c:v>
                </c:pt>
                <c:pt idx="148">
                  <c:v>1.071823788123516</c:v>
                </c:pt>
                <c:pt idx="149">
                  <c:v>1.0789130654427834</c:v>
                </c:pt>
                <c:pt idx="150">
                  <c:v>1.0576623959009506</c:v>
                </c:pt>
                <c:pt idx="151">
                  <c:v>1.0679735015988268</c:v>
                </c:pt>
                <c:pt idx="152">
                  <c:v>1.0595219344441844</c:v>
                </c:pt>
                <c:pt idx="153">
                  <c:v>1.0724675632644944</c:v>
                </c:pt>
                <c:pt idx="154">
                  <c:v>1</c:v>
                </c:pt>
              </c:numCache>
            </c:numRef>
          </c:val>
          <c:smooth val="0"/>
          <c:extLst>
            <c:ext xmlns:c16="http://schemas.microsoft.com/office/drawing/2014/chart" uri="{C3380CC4-5D6E-409C-BE32-E72D297353CC}">
              <c16:uniqueId val="{00000001-FDC8-481D-BAD7-1015841AA028}"/>
            </c:ext>
          </c:extLst>
        </c:ser>
        <c:ser>
          <c:idx val="2"/>
          <c:order val="2"/>
          <c:tx>
            <c:strRef>
              <c:f>'Stock Data'!$W$4</c:f>
              <c:strCache>
                <c:ptCount val="1"/>
                <c:pt idx="0">
                  <c:v>0</c:v>
                </c:pt>
              </c:strCache>
            </c:strRef>
          </c:tx>
          <c:spPr>
            <a:ln w="19050" cap="rnd">
              <a:solidFill>
                <a:schemeClr val="accent1">
                  <a:lumMod val="60000"/>
                  <a:lumOff val="40000"/>
                </a:schemeClr>
              </a:solidFill>
              <a:round/>
            </a:ln>
            <a:effectLst/>
          </c:spPr>
          <c:marker>
            <c:symbol val="none"/>
          </c:marker>
          <c:cat>
            <c:numRef>
              <c:f>'Stock Data'!$Q$5:$Q$159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Data'!$W$5:$W$159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FDC8-481D-BAD7-1015841AA028}"/>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409]mm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30176"/>
        <c:crosses val="autoZero"/>
        <c:auto val="1"/>
        <c:lblOffset val="100"/>
        <c:baseTimeUnit val="days"/>
      </c:dateAx>
      <c:valAx>
        <c:axId val="1007330176"/>
        <c:scaling>
          <c:orientation val="minMax"/>
          <c:min val="0.8"/>
        </c:scaling>
        <c:delete val="0"/>
        <c:axPos val="l"/>
        <c:majorGridlines>
          <c:spPr>
            <a:ln w="381" cap="flat" cmpd="sng" algn="ctr">
              <a:solidFill>
                <a:schemeClr val="bg1">
                  <a:lumMod val="95000"/>
                </a:schemeClr>
              </a:solidFill>
              <a:round/>
            </a:ln>
            <a:effectLst/>
          </c:spPr>
        </c:majorGridlines>
        <c:numFmt formatCode="0.0\x"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29848"/>
        <c:crosses val="autoZero"/>
        <c:crossBetween val="between"/>
      </c:valAx>
      <c:spPr>
        <a:noFill/>
        <a:ln>
          <a:noFill/>
        </a:ln>
        <a:effectLst/>
      </c:spPr>
    </c:plotArea>
    <c:legend>
      <c:legendPos val="b"/>
      <c:layout>
        <c:manualLayout>
          <c:xMode val="edge"/>
          <c:yMode val="edge"/>
          <c:x val="0.1907301633466815"/>
          <c:y val="0.87846323471858223"/>
          <c:w val="0.61853944889233592"/>
          <c:h val="0.11296724147703503"/>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6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Inputs!$B$135</c:f>
              <c:strCache>
                <c:ptCount val="1"/>
                <c:pt idx="0">
                  <c:v>AZZAS 2154 SA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Inputs!$P$135:$W$135</c:f>
              <c:numCache>
                <c:formatCode>General</c:formatCode>
                <c:ptCount val="8"/>
                <c:pt idx="0">
                  <c:v>0</c:v>
                </c:pt>
                <c:pt idx="1">
                  <c:v>0</c:v>
                </c:pt>
                <c:pt idx="2">
                  <c:v>0</c:v>
                </c:pt>
                <c:pt idx="3">
                  <c:v>0</c:v>
                </c:pt>
                <c:pt idx="4">
                  <c:v>1.5972217234467019E-4</c:v>
                </c:pt>
                <c:pt idx="5">
                  <c:v>1.7384214283116102E-4</c:v>
                </c:pt>
                <c:pt idx="6">
                  <c:v>3.264030793303909E-4</c:v>
                </c:pt>
                <c:pt idx="7">
                  <c:v>1.4683010346486346E-3</c:v>
                </c:pt>
              </c:numCache>
            </c:numRef>
          </c:val>
          <c:smooth val="0"/>
          <c:extLst>
            <c:ext xmlns:c16="http://schemas.microsoft.com/office/drawing/2014/chart" uri="{C3380CC4-5D6E-409C-BE32-E72D297353CC}">
              <c16:uniqueId val="{00000000-1963-4974-94B4-575120D8A498}"/>
            </c:ext>
          </c:extLst>
        </c:ser>
        <c:ser>
          <c:idx val="1"/>
          <c:order val="1"/>
          <c:tx>
            <c:strRef>
              <c:f>Inputs!$B$136</c:f>
              <c:strCache>
                <c:ptCount val="1"/>
                <c:pt idx="0">
                  <c:v>GUARARAPES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Inputs!$P$136:$W$136</c:f>
              <c:numCache>
                <c:formatCode>General</c:formatCode>
                <c:ptCount val="8"/>
                <c:pt idx="0">
                  <c:v>0</c:v>
                </c:pt>
                <c:pt idx="1">
                  <c:v>0</c:v>
                </c:pt>
                <c:pt idx="2">
                  <c:v>3.9634766402443424E-3</c:v>
                </c:pt>
                <c:pt idx="3">
                  <c:v>4.1826171443430432E-3</c:v>
                </c:pt>
                <c:pt idx="4">
                  <c:v>4.5495328257247674E-3</c:v>
                </c:pt>
                <c:pt idx="5">
                  <c:v>4.3991585904297166E-3</c:v>
                </c:pt>
                <c:pt idx="6">
                  <c:v>3.2772865227290761E-3</c:v>
                </c:pt>
                <c:pt idx="7">
                  <c:v>3.5346967321752587E-3</c:v>
                </c:pt>
              </c:numCache>
            </c:numRef>
          </c:val>
          <c:smooth val="0"/>
          <c:extLst>
            <c:ext xmlns:c16="http://schemas.microsoft.com/office/drawing/2014/chart" uri="{C3380CC4-5D6E-409C-BE32-E72D297353CC}">
              <c16:uniqueId val="{00000001-1963-4974-94B4-575120D8A498}"/>
            </c:ext>
          </c:extLst>
        </c:ser>
        <c:ser>
          <c:idx val="2"/>
          <c:order val="2"/>
          <c:tx>
            <c:strRef>
              <c:f>Inputs!$B$137</c:f>
              <c:strCache>
                <c:ptCount val="1"/>
                <c:pt idx="0">
                  <c:v>LOJAS RENNER SA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Inputs!$P$137:$W$137</c:f>
              <c:numCache>
                <c:formatCode>General</c:formatCode>
                <c:ptCount val="8"/>
                <c:pt idx="0">
                  <c:v>7.5668581553281326E-4</c:v>
                </c:pt>
                <c:pt idx="1">
                  <c:v>3.9672268846730824E-4</c:v>
                </c:pt>
                <c:pt idx="2">
                  <c:v>3.5824399743148962E-4</c:v>
                </c:pt>
                <c:pt idx="3">
                  <c:v>6.51967977413303E-4</c:v>
                </c:pt>
                <c:pt idx="4">
                  <c:v>4.7807486610782168E-4</c:v>
                </c:pt>
                <c:pt idx="5">
                  <c:v>4.0192486898447353E-4</c:v>
                </c:pt>
                <c:pt idx="6">
                  <c:v>3.355840176719423E-4</c:v>
                </c:pt>
                <c:pt idx="7">
                  <c:v>3.0457803577437701E-4</c:v>
                </c:pt>
              </c:numCache>
            </c:numRef>
          </c:val>
          <c:smooth val="0"/>
          <c:extLst>
            <c:ext xmlns:c16="http://schemas.microsoft.com/office/drawing/2014/chart" uri="{C3380CC4-5D6E-409C-BE32-E72D297353CC}">
              <c16:uniqueId val="{00000002-1963-4974-94B4-575120D8A498}"/>
            </c:ext>
          </c:extLst>
        </c:ser>
        <c:ser>
          <c:idx val="3"/>
          <c:order val="3"/>
          <c:tx>
            <c:strRef>
              <c:f>Inputs!$B$138</c:f>
              <c:strCache>
                <c:ptCount val="1"/>
                <c:pt idx="0">
                  <c:v>C&amp;A MODAS LTDA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Inputs!$P$138:$W$138</c:f>
              <c:numCache>
                <c:formatCode>General</c:formatCode>
                <c:ptCount val="8"/>
                <c:pt idx="0">
                  <c:v>0</c:v>
                </c:pt>
                <c:pt idx="1">
                  <c:v>0</c:v>
                </c:pt>
                <c:pt idx="2">
                  <c:v>8.7792724405015088E-5</c:v>
                </c:pt>
                <c:pt idx="3">
                  <c:v>5.7363310019909505E-2</c:v>
                </c:pt>
                <c:pt idx="4">
                  <c:v>2.2626695425468228E-4</c:v>
                </c:pt>
                <c:pt idx="5">
                  <c:v>3.9540393463301823E-4</c:v>
                </c:pt>
                <c:pt idx="6">
                  <c:v>1.2197668304680372E-3</c:v>
                </c:pt>
                <c:pt idx="7">
                  <c:v>8.3205232108419798E-4</c:v>
                </c:pt>
              </c:numCache>
            </c:numRef>
          </c:val>
          <c:smooth val="0"/>
          <c:extLst>
            <c:ext xmlns:c16="http://schemas.microsoft.com/office/drawing/2014/chart" uri="{C3380CC4-5D6E-409C-BE32-E72D297353CC}">
              <c16:uniqueId val="{00000003-1963-4974-94B4-575120D8A498}"/>
            </c:ext>
          </c:extLst>
        </c:ser>
        <c:ser>
          <c:idx val="4"/>
          <c:order val="4"/>
          <c:tx>
            <c:strRef>
              <c:f>Inputs!$B$139</c:f>
              <c:strCache>
                <c:ptCount val="1"/>
                <c:pt idx="0">
                  <c:v>MARISA LOJAS SA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Inputs!$P$139:$W$139</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1963-4974-94B4-575120D8A498}"/>
            </c:ext>
          </c:extLst>
        </c:ser>
        <c:ser>
          <c:idx val="5"/>
          <c:order val="5"/>
          <c:tx>
            <c:strRef>
              <c:f>Inputs!$B$140</c:f>
              <c:strCache>
                <c:ptCount val="1"/>
                <c:pt idx="0">
                  <c:v>VESTE SA ESTILO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Inputs!$P$140:$W$140</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1963-4974-94B4-575120D8A49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Inputs!$B$144</c:f>
              <c:strCache>
                <c:ptCount val="1"/>
                <c:pt idx="0">
                  <c:v>AZZAS 2154 SA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Inputs!$P$144:$W$144</c:f>
              <c:numCache>
                <c:formatCode>General</c:formatCode>
                <c:ptCount val="8"/>
                <c:pt idx="0">
                  <c:v>0</c:v>
                </c:pt>
                <c:pt idx="1">
                  <c:v>0</c:v>
                </c:pt>
                <c:pt idx="2">
                  <c:v>0</c:v>
                </c:pt>
                <c:pt idx="3">
                  <c:v>0</c:v>
                </c:pt>
                <c:pt idx="4">
                  <c:v>4.4732468781497675E-3</c:v>
                </c:pt>
                <c:pt idx="5">
                  <c:v>3.8096466327768976E-3</c:v>
                </c:pt>
                <c:pt idx="6">
                  <c:v>3.8766039554606288E-3</c:v>
                </c:pt>
                <c:pt idx="7">
                  <c:v>2.2067118207422104E-2</c:v>
                </c:pt>
              </c:numCache>
            </c:numRef>
          </c:val>
          <c:smooth val="0"/>
          <c:extLst>
            <c:ext xmlns:c16="http://schemas.microsoft.com/office/drawing/2014/chart" uri="{C3380CC4-5D6E-409C-BE32-E72D297353CC}">
              <c16:uniqueId val="{00000000-6538-4B8D-A781-ADEA5CE732E8}"/>
            </c:ext>
          </c:extLst>
        </c:ser>
        <c:ser>
          <c:idx val="1"/>
          <c:order val="1"/>
          <c:tx>
            <c:strRef>
              <c:f>Inputs!$B$145</c:f>
              <c:strCache>
                <c:ptCount val="1"/>
                <c:pt idx="0">
                  <c:v>GUARARAPES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Inputs!$P$145:$W$145</c:f>
              <c:numCache>
                <c:formatCode>General</c:formatCode>
                <c:ptCount val="8"/>
                <c:pt idx="0">
                  <c:v>0</c:v>
                </c:pt>
                <c:pt idx="1">
                  <c:v>0</c:v>
                </c:pt>
                <c:pt idx="2">
                  <c:v>3.418282478940949E-2</c:v>
                </c:pt>
                <c:pt idx="3">
                  <c:v>4.5898627015332309E-2</c:v>
                </c:pt>
                <c:pt idx="4">
                  <c:v>4.7231747826290471E-2</c:v>
                </c:pt>
                <c:pt idx="5">
                  <c:v>4.1542144426370928E-2</c:v>
                </c:pt>
                <c:pt idx="6">
                  <c:v>5.1299851990577787E-2</c:v>
                </c:pt>
                <c:pt idx="7">
                  <c:v>3.6862608411880708E-2</c:v>
                </c:pt>
              </c:numCache>
            </c:numRef>
          </c:val>
          <c:smooth val="0"/>
          <c:extLst>
            <c:ext xmlns:c16="http://schemas.microsoft.com/office/drawing/2014/chart" uri="{C3380CC4-5D6E-409C-BE32-E72D297353CC}">
              <c16:uniqueId val="{00000001-6538-4B8D-A781-ADEA5CE732E8}"/>
            </c:ext>
          </c:extLst>
        </c:ser>
        <c:ser>
          <c:idx val="2"/>
          <c:order val="2"/>
          <c:tx>
            <c:strRef>
              <c:f>Inputs!$B$146</c:f>
              <c:strCache>
                <c:ptCount val="1"/>
                <c:pt idx="0">
                  <c:v>LOJAS RENNER SA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Inputs!$P$146:$W$146</c:f>
              <c:numCache>
                <c:formatCode>General</c:formatCode>
                <c:ptCount val="8"/>
                <c:pt idx="0">
                  <c:v>2.6143474777027539E-2</c:v>
                </c:pt>
                <c:pt idx="1">
                  <c:v>2.1530542603424112E-2</c:v>
                </c:pt>
                <c:pt idx="2">
                  <c:v>1.9099984700321856E-2</c:v>
                </c:pt>
                <c:pt idx="3">
                  <c:v>1.82428972108932E-2</c:v>
                </c:pt>
                <c:pt idx="4">
                  <c:v>1.7559460916197277E-2</c:v>
                </c:pt>
                <c:pt idx="5">
                  <c:v>1.56880303473621E-2</c:v>
                </c:pt>
                <c:pt idx="6">
                  <c:v>1.663045949585169E-2</c:v>
                </c:pt>
                <c:pt idx="7">
                  <c:v>1.6430312171359467E-2</c:v>
                </c:pt>
              </c:numCache>
            </c:numRef>
          </c:val>
          <c:smooth val="0"/>
          <c:extLst>
            <c:ext xmlns:c16="http://schemas.microsoft.com/office/drawing/2014/chart" uri="{C3380CC4-5D6E-409C-BE32-E72D297353CC}">
              <c16:uniqueId val="{00000002-6538-4B8D-A781-ADEA5CE732E8}"/>
            </c:ext>
          </c:extLst>
        </c:ser>
        <c:ser>
          <c:idx val="3"/>
          <c:order val="3"/>
          <c:tx>
            <c:strRef>
              <c:f>Inputs!$B$147</c:f>
              <c:strCache>
                <c:ptCount val="1"/>
                <c:pt idx="0">
                  <c:v>C&amp;A MODAS LTDA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Inputs!$P$147:$W$147</c:f>
              <c:numCache>
                <c:formatCode>General</c:formatCode>
                <c:ptCount val="8"/>
                <c:pt idx="0">
                  <c:v>0</c:v>
                </c:pt>
                <c:pt idx="1">
                  <c:v>0</c:v>
                </c:pt>
                <c:pt idx="2">
                  <c:v>3.4660718961866163E-2</c:v>
                </c:pt>
                <c:pt idx="3">
                  <c:v>3.4177818746655847E-2</c:v>
                </c:pt>
                <c:pt idx="4">
                  <c:v>0</c:v>
                </c:pt>
                <c:pt idx="5">
                  <c:v>3.0472463229051273E-2</c:v>
                </c:pt>
                <c:pt idx="6">
                  <c:v>2.671923351733517E-2</c:v>
                </c:pt>
                <c:pt idx="7">
                  <c:v>0</c:v>
                </c:pt>
              </c:numCache>
            </c:numRef>
          </c:val>
          <c:smooth val="0"/>
          <c:extLst>
            <c:ext xmlns:c16="http://schemas.microsoft.com/office/drawing/2014/chart" uri="{C3380CC4-5D6E-409C-BE32-E72D297353CC}">
              <c16:uniqueId val="{00000003-6538-4B8D-A781-ADEA5CE732E8}"/>
            </c:ext>
          </c:extLst>
        </c:ser>
        <c:ser>
          <c:idx val="4"/>
          <c:order val="4"/>
          <c:tx>
            <c:strRef>
              <c:f>Inputs!$B$148</c:f>
              <c:strCache>
                <c:ptCount val="1"/>
                <c:pt idx="0">
                  <c:v>MARISA LOJAS SA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Inputs!$P$148:$W$148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6538-4B8D-A781-ADEA5CE732E8}"/>
            </c:ext>
          </c:extLst>
        </c:ser>
        <c:ser>
          <c:idx val="5"/>
          <c:order val="5"/>
          <c:tx>
            <c:strRef>
              <c:f>Inputs!$B$149</c:f>
              <c:strCache>
                <c:ptCount val="1"/>
                <c:pt idx="0">
                  <c:v>VESTE SA ESTILO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Inputs!$P$149:$W$149</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6538-4B8D-A781-ADEA5CE732E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Inputs!$B$153</c:f>
              <c:strCache>
                <c:ptCount val="1"/>
                <c:pt idx="0">
                  <c:v>AZZAS 2154 SA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Inputs!$P$153:$W$153</c:f>
              <c:numCache>
                <c:formatCode>General</c:formatCode>
                <c:ptCount val="8"/>
                <c:pt idx="0">
                  <c:v>0</c:v>
                </c:pt>
                <c:pt idx="1">
                  <c:v>0</c:v>
                </c:pt>
                <c:pt idx="2">
                  <c:v>0</c:v>
                </c:pt>
                <c:pt idx="3">
                  <c:v>0</c:v>
                </c:pt>
                <c:pt idx="4">
                  <c:v>0</c:v>
                </c:pt>
                <c:pt idx="5">
                  <c:v>0</c:v>
                </c:pt>
                <c:pt idx="6">
                  <c:v>0</c:v>
                </c:pt>
                <c:pt idx="7">
                  <c:v>0.14365220550056784</c:v>
                </c:pt>
              </c:numCache>
            </c:numRef>
          </c:val>
          <c:smooth val="0"/>
          <c:extLst>
            <c:ext xmlns:c16="http://schemas.microsoft.com/office/drawing/2014/chart" uri="{C3380CC4-5D6E-409C-BE32-E72D297353CC}">
              <c16:uniqueId val="{00000000-CA57-4752-9501-BC58D601A18E}"/>
            </c:ext>
          </c:extLst>
        </c:ser>
        <c:ser>
          <c:idx val="1"/>
          <c:order val="1"/>
          <c:tx>
            <c:strRef>
              <c:f>Inputs!$B$154</c:f>
              <c:strCache>
                <c:ptCount val="1"/>
                <c:pt idx="0">
                  <c:v>GUARARAPES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Inputs!$P$154:$W$154</c:f>
              <c:numCache>
                <c:formatCode>General</c:formatCode>
                <c:ptCount val="8"/>
                <c:pt idx="0">
                  <c:v>0</c:v>
                </c:pt>
                <c:pt idx="1">
                  <c:v>0</c:v>
                </c:pt>
                <c:pt idx="2">
                  <c:v>0</c:v>
                </c:pt>
                <c:pt idx="3">
                  <c:v>45.772773823560868</c:v>
                </c:pt>
                <c:pt idx="4">
                  <c:v>43.516566057546548</c:v>
                </c:pt>
                <c:pt idx="5">
                  <c:v>2.5063062566743701E-2</c:v>
                </c:pt>
                <c:pt idx="6">
                  <c:v>2.6696952242914636E-2</c:v>
                </c:pt>
                <c:pt idx="7">
                  <c:v>3.3977887334162529E-2</c:v>
                </c:pt>
              </c:numCache>
            </c:numRef>
          </c:val>
          <c:smooth val="0"/>
          <c:extLst>
            <c:ext xmlns:c16="http://schemas.microsoft.com/office/drawing/2014/chart" uri="{C3380CC4-5D6E-409C-BE32-E72D297353CC}">
              <c16:uniqueId val="{00000001-CA57-4752-9501-BC58D601A18E}"/>
            </c:ext>
          </c:extLst>
        </c:ser>
        <c:ser>
          <c:idx val="2"/>
          <c:order val="2"/>
          <c:tx>
            <c:strRef>
              <c:f>Inputs!$B$155</c:f>
              <c:strCache>
                <c:ptCount val="1"/>
                <c:pt idx="0">
                  <c:v>LOJAS RENNER SA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Inputs!$P$155:$W$155</c:f>
              <c:numCache>
                <c:formatCode>General</c:formatCode>
                <c:ptCount val="8"/>
                <c:pt idx="0">
                  <c:v>0</c:v>
                </c:pt>
                <c:pt idx="1">
                  <c:v>0</c:v>
                </c:pt>
                <c:pt idx="2">
                  <c:v>0</c:v>
                </c:pt>
                <c:pt idx="3">
                  <c:v>0</c:v>
                </c:pt>
                <c:pt idx="4">
                  <c:v>0</c:v>
                </c:pt>
                <c:pt idx="5">
                  <c:v>0</c:v>
                </c:pt>
                <c:pt idx="6">
                  <c:v>7.6508759732028106E-3</c:v>
                </c:pt>
                <c:pt idx="7">
                  <c:v>5.6492748936955465E-3</c:v>
                </c:pt>
              </c:numCache>
            </c:numRef>
          </c:val>
          <c:smooth val="0"/>
          <c:extLst>
            <c:ext xmlns:c16="http://schemas.microsoft.com/office/drawing/2014/chart" uri="{C3380CC4-5D6E-409C-BE32-E72D297353CC}">
              <c16:uniqueId val="{00000002-CA57-4752-9501-BC58D601A18E}"/>
            </c:ext>
          </c:extLst>
        </c:ser>
        <c:ser>
          <c:idx val="3"/>
          <c:order val="3"/>
          <c:tx>
            <c:strRef>
              <c:f>Inputs!$B$156</c:f>
              <c:strCache>
                <c:ptCount val="1"/>
                <c:pt idx="0">
                  <c:v>C&amp;A MODAS LTDA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Inputs!$P$156:$W$156</c:f>
              <c:numCache>
                <c:formatCode>General</c:formatCode>
                <c:ptCount val="8"/>
                <c:pt idx="0">
                  <c:v>0</c:v>
                </c:pt>
                <c:pt idx="1">
                  <c:v>0</c:v>
                </c:pt>
                <c:pt idx="2">
                  <c:v>3.5003564687344373E-5</c:v>
                </c:pt>
                <c:pt idx="3">
                  <c:v>3.7204875992721549E-5</c:v>
                </c:pt>
                <c:pt idx="4">
                  <c:v>3.2212962612587699E-5</c:v>
                </c:pt>
                <c:pt idx="5">
                  <c:v>0</c:v>
                </c:pt>
                <c:pt idx="6">
                  <c:v>0</c:v>
                </c:pt>
                <c:pt idx="7">
                  <c:v>0</c:v>
                </c:pt>
              </c:numCache>
            </c:numRef>
          </c:val>
          <c:smooth val="0"/>
          <c:extLst>
            <c:ext xmlns:c16="http://schemas.microsoft.com/office/drawing/2014/chart" uri="{C3380CC4-5D6E-409C-BE32-E72D297353CC}">
              <c16:uniqueId val="{00000003-CA57-4752-9501-BC58D601A18E}"/>
            </c:ext>
          </c:extLst>
        </c:ser>
        <c:ser>
          <c:idx val="4"/>
          <c:order val="4"/>
          <c:tx>
            <c:strRef>
              <c:f>Inputs!$B$157</c:f>
              <c:strCache>
                <c:ptCount val="1"/>
                <c:pt idx="0">
                  <c:v>MARISA LOJAS SA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Inputs!$P$157:$W$157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CA57-4752-9501-BC58D601A18E}"/>
            </c:ext>
          </c:extLst>
        </c:ser>
        <c:ser>
          <c:idx val="5"/>
          <c:order val="5"/>
          <c:tx>
            <c:strRef>
              <c:f>Inputs!$B$158</c:f>
              <c:strCache>
                <c:ptCount val="1"/>
                <c:pt idx="0">
                  <c:v>VESTE SA ESTILO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Inputs!$P$158:$W$158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CA57-4752-9501-BC58D601A18E}"/>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Inputs!$B$162</c:f>
              <c:strCache>
                <c:ptCount val="1"/>
                <c:pt idx="0">
                  <c:v>AZZAS 2154 SA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Inputs!$P$162:$W$162</c:f>
              <c:numCache>
                <c:formatCode>General</c:formatCode>
                <c:ptCount val="8"/>
                <c:pt idx="0">
                  <c:v>0</c:v>
                </c:pt>
                <c:pt idx="1">
                  <c:v>0</c:v>
                </c:pt>
                <c:pt idx="2">
                  <c:v>0</c:v>
                </c:pt>
                <c:pt idx="3">
                  <c:v>0</c:v>
                </c:pt>
                <c:pt idx="4">
                  <c:v>2.7771820972991902E-4</c:v>
                </c:pt>
                <c:pt idx="5">
                  <c:v>2.7162834817368909E-4</c:v>
                </c:pt>
                <c:pt idx="6">
                  <c:v>3.6189064547756362E-4</c:v>
                </c:pt>
                <c:pt idx="7">
                  <c:v>1.2230670760820755E-3</c:v>
                </c:pt>
              </c:numCache>
            </c:numRef>
          </c:val>
          <c:smooth val="0"/>
          <c:extLst>
            <c:ext xmlns:c16="http://schemas.microsoft.com/office/drawing/2014/chart" uri="{C3380CC4-5D6E-409C-BE32-E72D297353CC}">
              <c16:uniqueId val="{00000000-9609-4658-84FF-6EC47A5047A6}"/>
            </c:ext>
          </c:extLst>
        </c:ser>
        <c:ser>
          <c:idx val="1"/>
          <c:order val="1"/>
          <c:tx>
            <c:strRef>
              <c:f>Inputs!$B$163</c:f>
              <c:strCache>
                <c:ptCount val="1"/>
                <c:pt idx="0">
                  <c:v>GUARARAPES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Inputs!$P$163:$W$163</c:f>
              <c:numCache>
                <c:formatCode>General</c:formatCode>
                <c:ptCount val="8"/>
                <c:pt idx="0">
                  <c:v>0</c:v>
                </c:pt>
                <c:pt idx="1">
                  <c:v>0</c:v>
                </c:pt>
                <c:pt idx="2">
                  <c:v>1.6229416739967143E-3</c:v>
                </c:pt>
                <c:pt idx="3">
                  <c:v>1.3903094963758763E-3</c:v>
                </c:pt>
                <c:pt idx="4">
                  <c:v>1.6775649301686249E-3</c:v>
                </c:pt>
                <c:pt idx="5">
                  <c:v>1.4160630350210192E-3</c:v>
                </c:pt>
                <c:pt idx="6">
                  <c:v>1.1709548620151518E-3</c:v>
                </c:pt>
                <c:pt idx="7">
                  <c:v>1.2205467455702374E-3</c:v>
                </c:pt>
              </c:numCache>
            </c:numRef>
          </c:val>
          <c:smooth val="0"/>
          <c:extLst>
            <c:ext xmlns:c16="http://schemas.microsoft.com/office/drawing/2014/chart" uri="{C3380CC4-5D6E-409C-BE32-E72D297353CC}">
              <c16:uniqueId val="{00000001-9609-4658-84FF-6EC47A5047A6}"/>
            </c:ext>
          </c:extLst>
        </c:ser>
        <c:ser>
          <c:idx val="2"/>
          <c:order val="2"/>
          <c:tx>
            <c:strRef>
              <c:f>Inputs!$B$164</c:f>
              <c:strCache>
                <c:ptCount val="1"/>
                <c:pt idx="0">
                  <c:v>LOJAS RENNER SA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Inputs!$P$164:$W$164</c:f>
              <c:numCache>
                <c:formatCode>General</c:formatCode>
                <c:ptCount val="8"/>
                <c:pt idx="0">
                  <c:v>3.2803599530110603E-4</c:v>
                </c:pt>
                <c:pt idx="1">
                  <c:v>2.7626994279147281E-4</c:v>
                </c:pt>
                <c:pt idx="2">
                  <c:v>3.1120817709914556E-4</c:v>
                </c:pt>
                <c:pt idx="3">
                  <c:v>3.1192037340225387E-4</c:v>
                </c:pt>
                <c:pt idx="4">
                  <c:v>2.6221280744971934E-4</c:v>
                </c:pt>
                <c:pt idx="5">
                  <c:v>2.6659358576435458E-4</c:v>
                </c:pt>
                <c:pt idx="6">
                  <c:v>4.4212095253984708E-4</c:v>
                </c:pt>
                <c:pt idx="7">
                  <c:v>6.6512583568468684E-4</c:v>
                </c:pt>
              </c:numCache>
            </c:numRef>
          </c:val>
          <c:smooth val="0"/>
          <c:extLst>
            <c:ext xmlns:c16="http://schemas.microsoft.com/office/drawing/2014/chart" uri="{C3380CC4-5D6E-409C-BE32-E72D297353CC}">
              <c16:uniqueId val="{00000002-9609-4658-84FF-6EC47A5047A6}"/>
            </c:ext>
          </c:extLst>
        </c:ser>
        <c:ser>
          <c:idx val="3"/>
          <c:order val="3"/>
          <c:tx>
            <c:strRef>
              <c:f>Inputs!$B$165</c:f>
              <c:strCache>
                <c:ptCount val="1"/>
                <c:pt idx="0">
                  <c:v>C&amp;A MODAS LTDA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Inputs!$P$165:$W$165</c:f>
              <c:numCache>
                <c:formatCode>General</c:formatCode>
                <c:ptCount val="8"/>
                <c:pt idx="0">
                  <c:v>0</c:v>
                </c:pt>
                <c:pt idx="1">
                  <c:v>0</c:v>
                </c:pt>
                <c:pt idx="2">
                  <c:v>1.9062752120269975E-3</c:v>
                </c:pt>
                <c:pt idx="3">
                  <c:v>1.5946695203459269E-3</c:v>
                </c:pt>
                <c:pt idx="4">
                  <c:v>1.3447941620797154E-3</c:v>
                </c:pt>
                <c:pt idx="5">
                  <c:v>1.9309296439747392E-4</c:v>
                </c:pt>
                <c:pt idx="6">
                  <c:v>2.5152854077281962E-3</c:v>
                </c:pt>
                <c:pt idx="7">
                  <c:v>1.4181817181841146E-4</c:v>
                </c:pt>
              </c:numCache>
            </c:numRef>
          </c:val>
          <c:smooth val="0"/>
          <c:extLst>
            <c:ext xmlns:c16="http://schemas.microsoft.com/office/drawing/2014/chart" uri="{C3380CC4-5D6E-409C-BE32-E72D297353CC}">
              <c16:uniqueId val="{00000003-9609-4658-84FF-6EC47A5047A6}"/>
            </c:ext>
          </c:extLst>
        </c:ser>
        <c:ser>
          <c:idx val="4"/>
          <c:order val="4"/>
          <c:tx>
            <c:strRef>
              <c:f>Inputs!$B$166</c:f>
              <c:strCache>
                <c:ptCount val="1"/>
                <c:pt idx="0">
                  <c:v>MARISA LOJAS SA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Inputs!$P$166:$W$166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9609-4658-84FF-6EC47A5047A6}"/>
            </c:ext>
          </c:extLst>
        </c:ser>
        <c:ser>
          <c:idx val="5"/>
          <c:order val="5"/>
          <c:tx>
            <c:strRef>
              <c:f>Inputs!$B$167</c:f>
              <c:strCache>
                <c:ptCount val="1"/>
                <c:pt idx="0">
                  <c:v>VESTE SA ESTILO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Inputs!$P$167:$W$167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9609-4658-84FF-6EC47A5047A6}"/>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38004640808441E-2"/>
          <c:y val="3.0345668095936522E-2"/>
          <c:w val="0.93523711516124797"/>
          <c:h val="0.62974320566006659"/>
        </c:manualLayout>
      </c:layout>
      <c:lineChart>
        <c:grouping val="standard"/>
        <c:varyColors val="0"/>
        <c:ser>
          <c:idx val="0"/>
          <c:order val="0"/>
          <c:tx>
            <c:strRef>
              <c:f>Inputs!$S$7</c:f>
              <c:strCache>
                <c:ptCount val="1"/>
                <c:pt idx="0">
                  <c:v>AZZAS 2154 SA</c:v>
                </c:pt>
              </c:strCache>
            </c:strRef>
          </c:tx>
          <c:spPr>
            <a:ln w="28575" cap="rnd">
              <a:solidFill>
                <a:schemeClr val="accent1"/>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Data'!$C$5:$C$159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C6A3-42EA-AD84-0EA2783F3814}"/>
            </c:ext>
          </c:extLst>
        </c:ser>
        <c:ser>
          <c:idx val="1"/>
          <c:order val="1"/>
          <c:tx>
            <c:strRef>
              <c:f>Inputs!$B$21</c:f>
              <c:strCache>
                <c:ptCount val="1"/>
                <c:pt idx="0">
                  <c:v>GUARARAPES</c:v>
                </c:pt>
              </c:strCache>
            </c:strRef>
          </c:tx>
          <c:spPr>
            <a:ln w="28575" cap="rnd">
              <a:solidFill>
                <a:schemeClr val="accent3"/>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Data'!$D$5:$D$159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C6A3-42EA-AD84-0EA2783F3814}"/>
            </c:ext>
          </c:extLst>
        </c:ser>
        <c:ser>
          <c:idx val="2"/>
          <c:order val="2"/>
          <c:tx>
            <c:strRef>
              <c:f>Inputs!$B$22</c:f>
              <c:strCache>
                <c:ptCount val="1"/>
                <c:pt idx="0">
                  <c:v>LOJAS RENNER SA</c:v>
                </c:pt>
              </c:strCache>
            </c:strRef>
          </c:tx>
          <c:spPr>
            <a:ln w="28575" cap="rnd">
              <a:solidFill>
                <a:schemeClr val="accent5"/>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Data'!$E$5:$E$159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C6A3-42EA-AD84-0EA2783F3814}"/>
            </c:ext>
          </c:extLst>
        </c:ser>
        <c:ser>
          <c:idx val="3"/>
          <c:order val="3"/>
          <c:tx>
            <c:strRef>
              <c:f>Inputs!$B$23</c:f>
              <c:strCache>
                <c:ptCount val="1"/>
                <c:pt idx="0">
                  <c:v>C&amp;A MODAS LTDA</c:v>
                </c:pt>
              </c:strCache>
            </c:strRef>
          </c:tx>
          <c:spPr>
            <a:ln w="28575" cap="rnd">
              <a:solidFill>
                <a:schemeClr val="accent1">
                  <a:lumMod val="60000"/>
                </a:schemeClr>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Data'!$F$5:$F$159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C6A3-42EA-AD84-0EA2783F3814}"/>
            </c:ext>
          </c:extLst>
        </c:ser>
        <c:ser>
          <c:idx val="4"/>
          <c:order val="4"/>
          <c:tx>
            <c:strRef>
              <c:f>Inputs!$B$24</c:f>
              <c:strCache>
                <c:ptCount val="1"/>
                <c:pt idx="0">
                  <c:v>MARISA LOJAS SA</c:v>
                </c:pt>
              </c:strCache>
            </c:strRef>
          </c:tx>
          <c:spPr>
            <a:ln w="28575" cap="rnd">
              <a:solidFill>
                <a:schemeClr val="accent3">
                  <a:lumMod val="60000"/>
                </a:schemeClr>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Data'!$G$5:$G$159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C6A3-42EA-AD84-0EA2783F3814}"/>
            </c:ext>
          </c:extLst>
        </c:ser>
        <c:ser>
          <c:idx val="5"/>
          <c:order val="5"/>
          <c:tx>
            <c:strRef>
              <c:f>Inputs!$B$25</c:f>
              <c:strCache>
                <c:ptCount val="1"/>
                <c:pt idx="0">
                  <c:v>VESTE SA ESTILO</c:v>
                </c:pt>
              </c:strCache>
            </c:strRef>
          </c:tx>
          <c:spPr>
            <a:ln w="28575" cap="rnd">
              <a:solidFill>
                <a:schemeClr val="accent5">
                  <a:lumMod val="60000"/>
                </a:schemeClr>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Data'!$H$5:$H$159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C6A3-42EA-AD84-0EA2783F3814}"/>
            </c:ext>
          </c:extLst>
        </c:ser>
        <c:dLbls>
          <c:showLegendKey val="0"/>
          <c:showVal val="0"/>
          <c:showCatName val="0"/>
          <c:showSerName val="0"/>
          <c:showPercent val="0"/>
          <c:showBubbleSize val="0"/>
        </c:dLbls>
        <c:smooth val="0"/>
        <c:axId val="1005203632"/>
        <c:axId val="1005201992"/>
      </c:lineChart>
      <c:dateAx>
        <c:axId val="100520363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1992"/>
        <c:crosses val="autoZero"/>
        <c:auto val="1"/>
        <c:lblOffset val="100"/>
        <c:baseTimeUnit val="days"/>
      </c:dateAx>
      <c:valAx>
        <c:axId val="1005201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3632"/>
        <c:crosses val="autoZero"/>
        <c:crossBetween val="between"/>
      </c:valAx>
      <c:spPr>
        <a:noFill/>
        <a:ln>
          <a:noFill/>
        </a:ln>
        <a:effectLst/>
      </c:spPr>
    </c:plotArea>
    <c:legend>
      <c:legendPos val="b"/>
      <c:layout>
        <c:manualLayout>
          <c:xMode val="edge"/>
          <c:yMode val="edge"/>
          <c:x val="0"/>
          <c:y val="0.86544143226760495"/>
          <c:w val="1"/>
          <c:h val="0.1221800355186462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31273488503296E-2"/>
          <c:y val="2.7170920220962923E-2"/>
          <c:w val="0.93718334849858898"/>
          <c:h val="0.72263983284481992"/>
        </c:manualLayout>
      </c:layout>
      <c:lineChart>
        <c:grouping val="standard"/>
        <c:varyColors val="0"/>
        <c:ser>
          <c:idx val="0"/>
          <c:order val="0"/>
          <c:tx>
            <c:strRef>
              <c:f>Inputs!$S$7</c:f>
              <c:strCache>
                <c:ptCount val="1"/>
                <c:pt idx="0">
                  <c:v>AZZAS 2154 SA</c:v>
                </c:pt>
              </c:strCache>
            </c:strRef>
          </c:tx>
          <c:spPr>
            <a:ln w="28575" cap="rnd">
              <a:solidFill>
                <a:schemeClr val="accent1"/>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Data'!$J$5:$J$159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D72A-4DDA-A333-B3FDE0305032}"/>
            </c:ext>
          </c:extLst>
        </c:ser>
        <c:ser>
          <c:idx val="1"/>
          <c:order val="1"/>
          <c:tx>
            <c:strRef>
              <c:f>Inputs!$B$21</c:f>
              <c:strCache>
                <c:ptCount val="1"/>
                <c:pt idx="0">
                  <c:v>GUARARAPES</c:v>
                </c:pt>
              </c:strCache>
            </c:strRef>
          </c:tx>
          <c:spPr>
            <a:ln w="28575" cap="rnd">
              <a:solidFill>
                <a:schemeClr val="accent2"/>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Data'!$K$5:$K$159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D72A-4DDA-A333-B3FDE0305032}"/>
            </c:ext>
          </c:extLst>
        </c:ser>
        <c:ser>
          <c:idx val="2"/>
          <c:order val="2"/>
          <c:tx>
            <c:strRef>
              <c:f>Inputs!$B$22</c:f>
              <c:strCache>
                <c:ptCount val="1"/>
                <c:pt idx="0">
                  <c:v>LOJAS RENNER SA</c:v>
                </c:pt>
              </c:strCache>
            </c:strRef>
          </c:tx>
          <c:spPr>
            <a:ln w="28575" cap="rnd">
              <a:solidFill>
                <a:schemeClr val="accent3"/>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Data'!$L$5:$L$159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D72A-4DDA-A333-B3FDE0305032}"/>
            </c:ext>
          </c:extLst>
        </c:ser>
        <c:ser>
          <c:idx val="3"/>
          <c:order val="3"/>
          <c:tx>
            <c:strRef>
              <c:f>Inputs!$B$23</c:f>
              <c:strCache>
                <c:ptCount val="1"/>
                <c:pt idx="0">
                  <c:v>C&amp;A MODAS LTDA</c:v>
                </c:pt>
              </c:strCache>
            </c:strRef>
          </c:tx>
          <c:spPr>
            <a:ln w="28575" cap="rnd">
              <a:solidFill>
                <a:schemeClr val="accent4"/>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Data'!$M$5:$M$159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D72A-4DDA-A333-B3FDE0305032}"/>
            </c:ext>
          </c:extLst>
        </c:ser>
        <c:ser>
          <c:idx val="4"/>
          <c:order val="4"/>
          <c:tx>
            <c:strRef>
              <c:f>Inputs!$B$24</c:f>
              <c:strCache>
                <c:ptCount val="1"/>
                <c:pt idx="0">
                  <c:v>MARISA LOJAS SA</c:v>
                </c:pt>
              </c:strCache>
            </c:strRef>
          </c:tx>
          <c:spPr>
            <a:ln w="28575" cap="rnd">
              <a:solidFill>
                <a:schemeClr val="accent5"/>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Data'!$N$5:$N$159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D72A-4DDA-A333-B3FDE0305032}"/>
            </c:ext>
          </c:extLst>
        </c:ser>
        <c:ser>
          <c:idx val="5"/>
          <c:order val="5"/>
          <c:tx>
            <c:strRef>
              <c:f>Inputs!$B$25</c:f>
              <c:strCache>
                <c:ptCount val="1"/>
                <c:pt idx="0">
                  <c:v>VESTE SA ESTILO</c:v>
                </c:pt>
              </c:strCache>
            </c:strRef>
          </c:tx>
          <c:spPr>
            <a:ln w="28575" cap="rnd">
              <a:solidFill>
                <a:schemeClr val="accent6"/>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Data'!$O$5:$O$159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D72A-4DDA-A333-B3FDE0305032}"/>
            </c:ext>
          </c:extLst>
        </c:ser>
        <c:dLbls>
          <c:showLegendKey val="0"/>
          <c:showVal val="0"/>
          <c:showCatName val="0"/>
          <c:showSerName val="0"/>
          <c:showPercent val="0"/>
          <c:showBubbleSize val="0"/>
        </c:dLbls>
        <c:smooth val="0"/>
        <c:axId val="1000053640"/>
        <c:axId val="1000054296"/>
      </c:lineChart>
      <c:dateAx>
        <c:axId val="10000536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4296"/>
        <c:crosses val="autoZero"/>
        <c:auto val="1"/>
        <c:lblOffset val="100"/>
        <c:baseTimeUnit val="days"/>
      </c:dateAx>
      <c:valAx>
        <c:axId val="1000054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3640"/>
        <c:crosses val="autoZero"/>
        <c:crossBetween val="between"/>
      </c:valAx>
      <c:spPr>
        <a:noFill/>
        <a:ln>
          <a:noFill/>
        </a:ln>
        <a:effectLst/>
      </c:spPr>
    </c:plotArea>
    <c:legend>
      <c:legendPos val="b"/>
      <c:layout>
        <c:manualLayout>
          <c:xMode val="edge"/>
          <c:yMode val="edge"/>
          <c:x val="0"/>
          <c:y val="0.8997184117325594"/>
          <c:w val="0.99565370984190071"/>
          <c:h val="8.698150398121092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38004640808441E-2"/>
          <c:y val="3.0345668095936522E-2"/>
          <c:w val="0.93523711516124797"/>
          <c:h val="0.62974320566006659"/>
        </c:manualLayout>
      </c:layout>
      <c:lineChart>
        <c:grouping val="standard"/>
        <c:varyColors val="0"/>
        <c:ser>
          <c:idx val="0"/>
          <c:order val="0"/>
          <c:tx>
            <c:strRef>
              <c:f>Inputs!$S$7</c:f>
              <c:strCache>
                <c:ptCount val="1"/>
                <c:pt idx="0">
                  <c:v>AZZAS 2154 SA</c:v>
                </c:pt>
              </c:strCache>
            </c:strRef>
          </c:tx>
          <c:spPr>
            <a:ln w="28575" cap="rnd">
              <a:solidFill>
                <a:schemeClr val="accent1"/>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Data'!$C$5:$C$159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5791-4FFF-84D0-2805C47685B5}"/>
            </c:ext>
          </c:extLst>
        </c:ser>
        <c:ser>
          <c:idx val="1"/>
          <c:order val="1"/>
          <c:tx>
            <c:strRef>
              <c:f>Inputs!$B$21</c:f>
              <c:strCache>
                <c:ptCount val="1"/>
                <c:pt idx="0">
                  <c:v>GUARARAPES</c:v>
                </c:pt>
              </c:strCache>
            </c:strRef>
          </c:tx>
          <c:spPr>
            <a:ln w="28575" cap="rnd">
              <a:solidFill>
                <a:schemeClr val="accent3"/>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Data'!$D$5:$D$159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5791-4FFF-84D0-2805C47685B5}"/>
            </c:ext>
          </c:extLst>
        </c:ser>
        <c:ser>
          <c:idx val="2"/>
          <c:order val="2"/>
          <c:tx>
            <c:strRef>
              <c:f>Inputs!$B$22</c:f>
              <c:strCache>
                <c:ptCount val="1"/>
                <c:pt idx="0">
                  <c:v>LOJAS RENNER SA</c:v>
                </c:pt>
              </c:strCache>
            </c:strRef>
          </c:tx>
          <c:spPr>
            <a:ln w="28575" cap="rnd">
              <a:solidFill>
                <a:schemeClr val="accent5"/>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Data'!$E$5:$E$159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5791-4FFF-84D0-2805C47685B5}"/>
            </c:ext>
          </c:extLst>
        </c:ser>
        <c:ser>
          <c:idx val="3"/>
          <c:order val="3"/>
          <c:tx>
            <c:strRef>
              <c:f>Inputs!$B$23</c:f>
              <c:strCache>
                <c:ptCount val="1"/>
                <c:pt idx="0">
                  <c:v>C&amp;A MODAS LTDA</c:v>
                </c:pt>
              </c:strCache>
            </c:strRef>
          </c:tx>
          <c:spPr>
            <a:ln w="28575" cap="rnd">
              <a:solidFill>
                <a:schemeClr val="accent1">
                  <a:lumMod val="60000"/>
                </a:schemeClr>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Data'!$F$5:$F$159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5791-4FFF-84D0-2805C47685B5}"/>
            </c:ext>
          </c:extLst>
        </c:ser>
        <c:ser>
          <c:idx val="4"/>
          <c:order val="4"/>
          <c:tx>
            <c:strRef>
              <c:f>Inputs!$B$24</c:f>
              <c:strCache>
                <c:ptCount val="1"/>
                <c:pt idx="0">
                  <c:v>MARISA LOJAS SA</c:v>
                </c:pt>
              </c:strCache>
            </c:strRef>
          </c:tx>
          <c:spPr>
            <a:ln w="28575" cap="rnd">
              <a:solidFill>
                <a:schemeClr val="accent3">
                  <a:lumMod val="60000"/>
                </a:schemeClr>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Data'!$G$5:$G$159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5791-4FFF-84D0-2805C47685B5}"/>
            </c:ext>
          </c:extLst>
        </c:ser>
        <c:ser>
          <c:idx val="5"/>
          <c:order val="5"/>
          <c:tx>
            <c:strRef>
              <c:f>Inputs!$B$25</c:f>
              <c:strCache>
                <c:ptCount val="1"/>
                <c:pt idx="0">
                  <c:v>VESTE SA ESTILO</c:v>
                </c:pt>
              </c:strCache>
            </c:strRef>
          </c:tx>
          <c:spPr>
            <a:ln w="28575" cap="rnd">
              <a:solidFill>
                <a:schemeClr val="accent5">
                  <a:lumMod val="60000"/>
                </a:schemeClr>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Data'!$H$5:$H$159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5791-4FFF-84D0-2805C47685B5}"/>
            </c:ext>
          </c:extLst>
        </c:ser>
        <c:dLbls>
          <c:showLegendKey val="0"/>
          <c:showVal val="0"/>
          <c:showCatName val="0"/>
          <c:showSerName val="0"/>
          <c:showPercent val="0"/>
          <c:showBubbleSize val="0"/>
        </c:dLbls>
        <c:smooth val="0"/>
        <c:axId val="1005203632"/>
        <c:axId val="1005201992"/>
      </c:lineChart>
      <c:dateAx>
        <c:axId val="100520363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1992"/>
        <c:crosses val="autoZero"/>
        <c:auto val="1"/>
        <c:lblOffset val="100"/>
        <c:baseTimeUnit val="days"/>
      </c:dateAx>
      <c:valAx>
        <c:axId val="1005201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3632"/>
        <c:crosses val="autoZero"/>
        <c:crossBetween val="between"/>
      </c:valAx>
      <c:spPr>
        <a:noFill/>
        <a:ln>
          <a:noFill/>
        </a:ln>
        <a:effectLst/>
      </c:spPr>
    </c:plotArea>
    <c:legend>
      <c:legendPos val="b"/>
      <c:layout>
        <c:manualLayout>
          <c:xMode val="edge"/>
          <c:yMode val="edge"/>
          <c:x val="0"/>
          <c:y val="0.86544143226760495"/>
          <c:w val="1"/>
          <c:h val="0.1221800355186462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31273488503296E-2"/>
          <c:y val="2.7170920220962923E-2"/>
          <c:w val="0.93718334849858898"/>
          <c:h val="0.72263983284481992"/>
        </c:manualLayout>
      </c:layout>
      <c:lineChart>
        <c:grouping val="standard"/>
        <c:varyColors val="0"/>
        <c:ser>
          <c:idx val="0"/>
          <c:order val="0"/>
          <c:tx>
            <c:strRef>
              <c:f>Inputs!$S$7</c:f>
              <c:strCache>
                <c:ptCount val="1"/>
                <c:pt idx="0">
                  <c:v>AZZAS 2154 SA</c:v>
                </c:pt>
              </c:strCache>
            </c:strRef>
          </c:tx>
          <c:spPr>
            <a:ln w="28575" cap="rnd">
              <a:solidFill>
                <a:schemeClr val="accent1"/>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Data'!$J$5:$J$159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8EAA-4245-B436-E66BE22C5AC2}"/>
            </c:ext>
          </c:extLst>
        </c:ser>
        <c:ser>
          <c:idx val="1"/>
          <c:order val="1"/>
          <c:tx>
            <c:strRef>
              <c:f>Inputs!$B$21</c:f>
              <c:strCache>
                <c:ptCount val="1"/>
                <c:pt idx="0">
                  <c:v>GUARARAPES</c:v>
                </c:pt>
              </c:strCache>
            </c:strRef>
          </c:tx>
          <c:spPr>
            <a:ln w="28575" cap="rnd">
              <a:solidFill>
                <a:schemeClr val="accent2"/>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Data'!$K$5:$K$159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8EAA-4245-B436-E66BE22C5AC2}"/>
            </c:ext>
          </c:extLst>
        </c:ser>
        <c:ser>
          <c:idx val="2"/>
          <c:order val="2"/>
          <c:tx>
            <c:strRef>
              <c:f>Inputs!$B$22</c:f>
              <c:strCache>
                <c:ptCount val="1"/>
                <c:pt idx="0">
                  <c:v>LOJAS RENNER SA</c:v>
                </c:pt>
              </c:strCache>
            </c:strRef>
          </c:tx>
          <c:spPr>
            <a:ln w="28575" cap="rnd">
              <a:solidFill>
                <a:schemeClr val="accent3"/>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Data'!$L$5:$L$159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8EAA-4245-B436-E66BE22C5AC2}"/>
            </c:ext>
          </c:extLst>
        </c:ser>
        <c:ser>
          <c:idx val="3"/>
          <c:order val="3"/>
          <c:tx>
            <c:strRef>
              <c:f>Inputs!$B$23</c:f>
              <c:strCache>
                <c:ptCount val="1"/>
                <c:pt idx="0">
                  <c:v>C&amp;A MODAS LTDA</c:v>
                </c:pt>
              </c:strCache>
            </c:strRef>
          </c:tx>
          <c:spPr>
            <a:ln w="28575" cap="rnd">
              <a:solidFill>
                <a:schemeClr val="accent4"/>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Data'!$M$5:$M$159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8EAA-4245-B436-E66BE22C5AC2}"/>
            </c:ext>
          </c:extLst>
        </c:ser>
        <c:ser>
          <c:idx val="4"/>
          <c:order val="4"/>
          <c:tx>
            <c:strRef>
              <c:f>Inputs!$B$24</c:f>
              <c:strCache>
                <c:ptCount val="1"/>
                <c:pt idx="0">
                  <c:v>MARISA LOJAS SA</c:v>
                </c:pt>
              </c:strCache>
            </c:strRef>
          </c:tx>
          <c:spPr>
            <a:ln w="28575" cap="rnd">
              <a:solidFill>
                <a:schemeClr val="accent5"/>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Data'!$N$5:$N$159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8EAA-4245-B436-E66BE22C5AC2}"/>
            </c:ext>
          </c:extLst>
        </c:ser>
        <c:ser>
          <c:idx val="5"/>
          <c:order val="5"/>
          <c:tx>
            <c:strRef>
              <c:f>Inputs!$B$25</c:f>
              <c:strCache>
                <c:ptCount val="1"/>
                <c:pt idx="0">
                  <c:v>VESTE SA ESTILO</c:v>
                </c:pt>
              </c:strCache>
            </c:strRef>
          </c:tx>
          <c:spPr>
            <a:ln w="28575" cap="rnd">
              <a:solidFill>
                <a:schemeClr val="accent6"/>
              </a:solidFill>
              <a:round/>
            </a:ln>
            <a:effectLst/>
          </c:spPr>
          <c:marker>
            <c:symbol val="none"/>
          </c:marker>
          <c:cat>
            <c:numRef>
              <c:f>'Stock Data'!$B$5:$B$159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Data'!$O$5:$O$159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8EAA-4245-B436-E66BE22C5AC2}"/>
            </c:ext>
          </c:extLst>
        </c:ser>
        <c:dLbls>
          <c:showLegendKey val="0"/>
          <c:showVal val="0"/>
          <c:showCatName val="0"/>
          <c:showSerName val="0"/>
          <c:showPercent val="0"/>
          <c:showBubbleSize val="0"/>
        </c:dLbls>
        <c:smooth val="0"/>
        <c:axId val="1000053640"/>
        <c:axId val="1000054296"/>
      </c:lineChart>
      <c:dateAx>
        <c:axId val="10000536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4296"/>
        <c:crosses val="autoZero"/>
        <c:auto val="1"/>
        <c:lblOffset val="100"/>
        <c:baseTimeUnit val="days"/>
      </c:dateAx>
      <c:valAx>
        <c:axId val="1000054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3640"/>
        <c:crosses val="autoZero"/>
        <c:crossBetween val="between"/>
      </c:valAx>
      <c:spPr>
        <a:noFill/>
        <a:ln>
          <a:noFill/>
        </a:ln>
        <a:effectLst/>
      </c:spPr>
    </c:plotArea>
    <c:legend>
      <c:legendPos val="b"/>
      <c:layout>
        <c:manualLayout>
          <c:xMode val="edge"/>
          <c:yMode val="edge"/>
          <c:x val="0"/>
          <c:y val="0.8997184117325594"/>
          <c:w val="0.99565370984190071"/>
          <c:h val="8.698150398121092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0.17581592535815022</c:v>
                </c:pt>
                <c:pt idx="1">
                  <c:v>0.19872845139651873</c:v>
                </c:pt>
                <c:pt idx="2">
                  <c:v>0.16326349010455257</c:v>
                </c:pt>
                <c:pt idx="3">
                  <c:v>0.16521357144782242</c:v>
                </c:pt>
                <c:pt idx="4">
                  <c:v>0.20735210211387742</c:v>
                </c:pt>
              </c:numCache>
            </c:numRef>
          </c:val>
          <c:smooth val="0"/>
          <c:extLst>
            <c:ext xmlns:c16="http://schemas.microsoft.com/office/drawing/2014/chart" uri="{C3380CC4-5D6E-409C-BE32-E72D297353CC}">
              <c16:uniqueId val="{00000000-F72C-4B80-A6C6-9C2F6C2F1E75}"/>
            </c:ext>
          </c:extLst>
        </c:ser>
        <c:ser>
          <c:idx val="1"/>
          <c:order val="1"/>
          <c:tx>
            <c:v>ROIC</c:v>
          </c:tx>
          <c:spPr>
            <a:ln w="28575" cap="rnd">
              <a:solidFill>
                <a:schemeClr val="accent2"/>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0.18705402119828507</c:v>
                </c:pt>
                <c:pt idx="1">
                  <c:v>0.10866561753943899</c:v>
                </c:pt>
                <c:pt idx="2">
                  <c:v>0.14074006383763055</c:v>
                </c:pt>
                <c:pt idx="3">
                  <c:v>0.15571345583090157</c:v>
                </c:pt>
                <c:pt idx="4">
                  <c:v>0.15408386503176269</c:v>
                </c:pt>
              </c:numCache>
            </c:numRef>
          </c:val>
          <c:smooth val="0"/>
          <c:extLst>
            <c:ext xmlns:c16="http://schemas.microsoft.com/office/drawing/2014/chart" uri="{C3380CC4-5D6E-409C-BE32-E72D297353CC}">
              <c16:uniqueId val="{00000001-F72C-4B80-A6C6-9C2F6C2F1E75}"/>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Capex Intensity</c:v>
                </c:pt>
                <c:pt idx="1">
                  <c:v>Terminal g</c:v>
                </c:pt>
                <c:pt idx="2">
                  <c:v>SG&amp;A Margin</c:v>
                </c:pt>
                <c:pt idx="3">
                  <c:v>WACC</c:v>
                </c:pt>
                <c:pt idx="4">
                  <c:v>COGS Margin</c:v>
                </c:pt>
                <c:pt idx="5">
                  <c:v>EBITDA Exit</c:v>
                </c:pt>
                <c:pt idx="6">
                  <c:v>Revenue Exit</c:v>
                </c:pt>
              </c:strCache>
            </c:strRef>
          </c:cat>
          <c:val>
            <c:numRef>
              <c:f>Sensitivity!$AJ$28:$AJ$34</c:f>
              <c:numCache>
                <c:formatCode>General</c:formatCode>
                <c:ptCount val="7"/>
                <c:pt idx="0">
                  <c:v>-5.9999999999998721E-2</c:v>
                </c:pt>
                <c:pt idx="1">
                  <c:v>-0.33999999999999986</c:v>
                </c:pt>
                <c:pt idx="2">
                  <c:v>-1.0899999999999999</c:v>
                </c:pt>
                <c:pt idx="3">
                  <c:v>-1.0899999999999999</c:v>
                </c:pt>
                <c:pt idx="4">
                  <c:v>-1.9400000000000013</c:v>
                </c:pt>
                <c:pt idx="5">
                  <c:v>-7.8299999999999983</c:v>
                </c:pt>
                <c:pt idx="6">
                  <c:v>-16.759999999999998</c:v>
                </c:pt>
              </c:numCache>
            </c:numRef>
          </c:val>
          <c:extLst>
            <c:ext xmlns:c16="http://schemas.microsoft.com/office/drawing/2014/chart" uri="{C3380CC4-5D6E-409C-BE32-E72D297353CC}">
              <c16:uniqueId val="{00000000-F77E-4420-9A9D-82C0544507CB}"/>
            </c:ext>
          </c:extLst>
        </c:ser>
        <c:ser>
          <c:idx val="1"/>
          <c:order val="1"/>
          <c:spPr>
            <a:solidFill>
              <a:srgbClr val="7B1314"/>
            </a:solidFill>
            <a:ln>
              <a:noFill/>
            </a:ln>
            <a:effectLst/>
          </c:spPr>
          <c:invertIfNegative val="0"/>
          <c:cat>
            <c:strRef>
              <c:f>Sensitivity!$AD$28:$AD$34</c:f>
              <c:strCache>
                <c:ptCount val="7"/>
                <c:pt idx="0">
                  <c:v>Capex Intensity</c:v>
                </c:pt>
                <c:pt idx="1">
                  <c:v>Terminal g</c:v>
                </c:pt>
                <c:pt idx="2">
                  <c:v>SG&amp;A Margin</c:v>
                </c:pt>
                <c:pt idx="3">
                  <c:v>WACC</c:v>
                </c:pt>
                <c:pt idx="4">
                  <c:v>COGS Margin</c:v>
                </c:pt>
                <c:pt idx="5">
                  <c:v>EBITDA Exit</c:v>
                </c:pt>
                <c:pt idx="6">
                  <c:v>Revenue Exit</c:v>
                </c:pt>
              </c:strCache>
            </c:strRef>
          </c:cat>
          <c:val>
            <c:numRef>
              <c:f>Sensitivity!$AK$28:$AK$34</c:f>
              <c:numCache>
                <c:formatCode>General</c:formatCode>
                <c:ptCount val="7"/>
                <c:pt idx="0">
                  <c:v>5.9999999999998721E-2</c:v>
                </c:pt>
                <c:pt idx="1">
                  <c:v>0.66000000000000014</c:v>
                </c:pt>
                <c:pt idx="2">
                  <c:v>1.1000000000000014</c:v>
                </c:pt>
                <c:pt idx="3">
                  <c:v>1.1400000000000006</c:v>
                </c:pt>
                <c:pt idx="4">
                  <c:v>1.9699999999999989</c:v>
                </c:pt>
                <c:pt idx="5">
                  <c:v>4.9600000000000009</c:v>
                </c:pt>
                <c:pt idx="6">
                  <c:v>16.77</c:v>
                </c:pt>
              </c:numCache>
            </c:numRef>
          </c:val>
          <c:extLst>
            <c:ext xmlns:c16="http://schemas.microsoft.com/office/drawing/2014/chart" uri="{C3380CC4-5D6E-409C-BE32-E72D297353CC}">
              <c16:uniqueId val="{00000001-F77E-4420-9A9D-82C0544507CB}"/>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'Stock Data'!$U$4</c:f>
              <c:strCache>
                <c:ptCount val="1"/>
                <c:pt idx="0">
                  <c:v>AZZA3 BZ Equity</c:v>
                </c:pt>
              </c:strCache>
            </c:strRef>
          </c:tx>
          <c:spPr>
            <a:ln w="28575" cap="rnd">
              <a:solidFill>
                <a:schemeClr val="accent1"/>
              </a:solidFill>
              <a:round/>
            </a:ln>
            <a:effectLst/>
          </c:spPr>
          <c:marker>
            <c:symbol val="none"/>
          </c:marker>
          <c:cat>
            <c:numRef>
              <c:f>'Stock Data'!$Q$5:$Q$159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Data'!$U$5:$U$159</c:f>
              <c:numCache>
                <c:formatCode>General</c:formatCode>
                <c:ptCount val="155"/>
                <c:pt idx="0">
                  <c:v>0.35015544041450775</c:v>
                </c:pt>
                <c:pt idx="1">
                  <c:v>0.35015544041450775</c:v>
                </c:pt>
                <c:pt idx="2">
                  <c:v>0.35025906735751294</c:v>
                </c:pt>
                <c:pt idx="3">
                  <c:v>0.33616580310880828</c:v>
                </c:pt>
                <c:pt idx="4">
                  <c:v>0.35585492227979276</c:v>
                </c:pt>
                <c:pt idx="5">
                  <c:v>0.36901554404145076</c:v>
                </c:pt>
                <c:pt idx="6">
                  <c:v>0.36943005181347149</c:v>
                </c:pt>
                <c:pt idx="7">
                  <c:v>0.3729533678756477</c:v>
                </c:pt>
                <c:pt idx="8">
                  <c:v>0.37512953367875651</c:v>
                </c:pt>
                <c:pt idx="9">
                  <c:v>0.40103626943005183</c:v>
                </c:pt>
                <c:pt idx="10">
                  <c:v>0.42590673575129534</c:v>
                </c:pt>
                <c:pt idx="11">
                  <c:v>0.41834196891191705</c:v>
                </c:pt>
                <c:pt idx="12">
                  <c:v>0.42155440414507772</c:v>
                </c:pt>
                <c:pt idx="13">
                  <c:v>0.44404145077720208</c:v>
                </c:pt>
                <c:pt idx="14">
                  <c:v>0.46497409326424866</c:v>
                </c:pt>
                <c:pt idx="15">
                  <c:v>0.43523316062176165</c:v>
                </c:pt>
                <c:pt idx="16">
                  <c:v>0.4545077720207254</c:v>
                </c:pt>
                <c:pt idx="17">
                  <c:v>0.42808290155440415</c:v>
                </c:pt>
                <c:pt idx="18">
                  <c:v>0.33886010362694302</c:v>
                </c:pt>
                <c:pt idx="19">
                  <c:v>0.32103626943005181</c:v>
                </c:pt>
                <c:pt idx="20">
                  <c:v>0.29015544041450775</c:v>
                </c:pt>
                <c:pt idx="21">
                  <c:v>0.27979274611398963</c:v>
                </c:pt>
                <c:pt idx="22">
                  <c:v>0.25647668393782386</c:v>
                </c:pt>
                <c:pt idx="23">
                  <c:v>0.25595854922279793</c:v>
                </c:pt>
                <c:pt idx="24">
                  <c:v>0.24652849740932642</c:v>
                </c:pt>
                <c:pt idx="25">
                  <c:v>0.23834196891191708</c:v>
                </c:pt>
                <c:pt idx="26">
                  <c:v>0.27388601036269428</c:v>
                </c:pt>
                <c:pt idx="27">
                  <c:v>0.28725388601036267</c:v>
                </c:pt>
                <c:pt idx="28">
                  <c:v>0.28725388601036267</c:v>
                </c:pt>
                <c:pt idx="29">
                  <c:v>0.34</c:v>
                </c:pt>
                <c:pt idx="30">
                  <c:v>0.33886010362694302</c:v>
                </c:pt>
                <c:pt idx="31">
                  <c:v>0.34870466321243521</c:v>
                </c:pt>
                <c:pt idx="32">
                  <c:v>0.34974093264248707</c:v>
                </c:pt>
                <c:pt idx="33">
                  <c:v>0.32590673575129531</c:v>
                </c:pt>
                <c:pt idx="34">
                  <c:v>0.31398963730569951</c:v>
                </c:pt>
                <c:pt idx="35">
                  <c:v>0.32455958549222796</c:v>
                </c:pt>
                <c:pt idx="36">
                  <c:v>0.32031088082901554</c:v>
                </c:pt>
                <c:pt idx="37">
                  <c:v>0.32031088082901554</c:v>
                </c:pt>
                <c:pt idx="38">
                  <c:v>0.32031088082901554</c:v>
                </c:pt>
                <c:pt idx="39">
                  <c:v>0.35129533678756475</c:v>
                </c:pt>
                <c:pt idx="40">
                  <c:v>0.38072538860103627</c:v>
                </c:pt>
                <c:pt idx="41">
                  <c:v>0.44</c:v>
                </c:pt>
                <c:pt idx="42">
                  <c:v>0.42673575129533681</c:v>
                </c:pt>
                <c:pt idx="43">
                  <c:v>0.41554404145077722</c:v>
                </c:pt>
                <c:pt idx="44">
                  <c:v>0.42829015544041449</c:v>
                </c:pt>
                <c:pt idx="45">
                  <c:v>0.41616580310880824</c:v>
                </c:pt>
                <c:pt idx="46">
                  <c:v>0.41689119170984451</c:v>
                </c:pt>
                <c:pt idx="47">
                  <c:v>0.43554404145077719</c:v>
                </c:pt>
                <c:pt idx="48">
                  <c:v>0.43347150259067357</c:v>
                </c:pt>
                <c:pt idx="49">
                  <c:v>0.4327461139896373</c:v>
                </c:pt>
                <c:pt idx="50">
                  <c:v>0.46435233160621764</c:v>
                </c:pt>
                <c:pt idx="51">
                  <c:v>0.48849740932642488</c:v>
                </c:pt>
                <c:pt idx="52">
                  <c:v>0.49316062176165809</c:v>
                </c:pt>
                <c:pt idx="53">
                  <c:v>0.49129533678756471</c:v>
                </c:pt>
                <c:pt idx="54">
                  <c:v>0.55751295336787565</c:v>
                </c:pt>
                <c:pt idx="55">
                  <c:v>0.54155440414507772</c:v>
                </c:pt>
                <c:pt idx="56">
                  <c:v>0.56321243523316067</c:v>
                </c:pt>
                <c:pt idx="57">
                  <c:v>0.51170984455958557</c:v>
                </c:pt>
                <c:pt idx="58">
                  <c:v>0.5045595854922279</c:v>
                </c:pt>
                <c:pt idx="59">
                  <c:v>0.54518134715025901</c:v>
                </c:pt>
                <c:pt idx="60">
                  <c:v>0.55316062176165803</c:v>
                </c:pt>
                <c:pt idx="61">
                  <c:v>0.55906735751295344</c:v>
                </c:pt>
                <c:pt idx="62">
                  <c:v>0.5265284974093265</c:v>
                </c:pt>
                <c:pt idx="63">
                  <c:v>0.52777202072538865</c:v>
                </c:pt>
                <c:pt idx="64">
                  <c:v>0.52010362694300516</c:v>
                </c:pt>
                <c:pt idx="65">
                  <c:v>0.51357512953367879</c:v>
                </c:pt>
                <c:pt idx="66">
                  <c:v>0.52621761658031085</c:v>
                </c:pt>
                <c:pt idx="67">
                  <c:v>0.52839378238341972</c:v>
                </c:pt>
                <c:pt idx="68">
                  <c:v>0.51792746113989629</c:v>
                </c:pt>
                <c:pt idx="69">
                  <c:v>0.48528497409326421</c:v>
                </c:pt>
                <c:pt idx="70">
                  <c:v>0.53668393782383417</c:v>
                </c:pt>
                <c:pt idx="71">
                  <c:v>0.53803108808290157</c:v>
                </c:pt>
                <c:pt idx="72">
                  <c:v>0.54145077720207258</c:v>
                </c:pt>
                <c:pt idx="73">
                  <c:v>0.53264248704663208</c:v>
                </c:pt>
                <c:pt idx="74">
                  <c:v>0.58860103626943006</c:v>
                </c:pt>
                <c:pt idx="75">
                  <c:v>0.64891191709844553</c:v>
                </c:pt>
                <c:pt idx="76">
                  <c:v>0.64414507772020724</c:v>
                </c:pt>
                <c:pt idx="77">
                  <c:v>0.61761658031088085</c:v>
                </c:pt>
                <c:pt idx="78">
                  <c:v>0.62797927461139902</c:v>
                </c:pt>
                <c:pt idx="79">
                  <c:v>0.6</c:v>
                </c:pt>
                <c:pt idx="80">
                  <c:v>0.61637305699481859</c:v>
                </c:pt>
                <c:pt idx="81">
                  <c:v>0.62559585492227976</c:v>
                </c:pt>
                <c:pt idx="82">
                  <c:v>0.61658031088082899</c:v>
                </c:pt>
                <c:pt idx="83">
                  <c:v>0.61658031088082899</c:v>
                </c:pt>
                <c:pt idx="84">
                  <c:v>0.57865284974093267</c:v>
                </c:pt>
                <c:pt idx="85">
                  <c:v>0.59585492227979275</c:v>
                </c:pt>
                <c:pt idx="86">
                  <c:v>0.62860103626942998</c:v>
                </c:pt>
                <c:pt idx="87">
                  <c:v>0.66352331606217618</c:v>
                </c:pt>
                <c:pt idx="88">
                  <c:v>0.64528497409326424</c:v>
                </c:pt>
                <c:pt idx="89">
                  <c:v>0.68808290155440421</c:v>
                </c:pt>
                <c:pt idx="90">
                  <c:v>0.68880829015544043</c:v>
                </c:pt>
                <c:pt idx="91">
                  <c:v>0.67253886010362696</c:v>
                </c:pt>
                <c:pt idx="92">
                  <c:v>0.61854922279792746</c:v>
                </c:pt>
                <c:pt idx="93">
                  <c:v>0.63005181347150252</c:v>
                </c:pt>
                <c:pt idx="94">
                  <c:v>0.63388601036269432</c:v>
                </c:pt>
                <c:pt idx="95">
                  <c:v>0.62715025906735755</c:v>
                </c:pt>
                <c:pt idx="96">
                  <c:v>0.64839378238341971</c:v>
                </c:pt>
                <c:pt idx="97">
                  <c:v>0.60507772020725392</c:v>
                </c:pt>
                <c:pt idx="98">
                  <c:v>0.62715025906735755</c:v>
                </c:pt>
                <c:pt idx="99">
                  <c:v>0.65056994818652847</c:v>
                </c:pt>
                <c:pt idx="100">
                  <c:v>0.70051813471502589</c:v>
                </c:pt>
                <c:pt idx="101">
                  <c:v>0.63948186528497408</c:v>
                </c:pt>
                <c:pt idx="102">
                  <c:v>0.63709844559585493</c:v>
                </c:pt>
                <c:pt idx="103">
                  <c:v>0.71917098445595862</c:v>
                </c:pt>
                <c:pt idx="104">
                  <c:v>0.72901554404145075</c:v>
                </c:pt>
                <c:pt idx="105">
                  <c:v>0.74435233160621761</c:v>
                </c:pt>
                <c:pt idx="106">
                  <c:v>0.76217616580310876</c:v>
                </c:pt>
                <c:pt idx="107">
                  <c:v>0.84134715025906737</c:v>
                </c:pt>
                <c:pt idx="108">
                  <c:v>0.84248704663212437</c:v>
                </c:pt>
                <c:pt idx="109">
                  <c:v>0.85336787564766836</c:v>
                </c:pt>
                <c:pt idx="110">
                  <c:v>0.82590673575129536</c:v>
                </c:pt>
                <c:pt idx="111">
                  <c:v>0.86010362694300513</c:v>
                </c:pt>
                <c:pt idx="112">
                  <c:v>0.81875647668393792</c:v>
                </c:pt>
                <c:pt idx="113">
                  <c:v>0.83678756476683935</c:v>
                </c:pt>
                <c:pt idx="114">
                  <c:v>0.84248704663212437</c:v>
                </c:pt>
                <c:pt idx="115">
                  <c:v>0.78238341968911918</c:v>
                </c:pt>
                <c:pt idx="116">
                  <c:v>0.79937823834196897</c:v>
                </c:pt>
                <c:pt idx="117">
                  <c:v>0.78310880829015539</c:v>
                </c:pt>
                <c:pt idx="118">
                  <c:v>0.80404145077720213</c:v>
                </c:pt>
                <c:pt idx="119">
                  <c:v>0.76476683937823831</c:v>
                </c:pt>
                <c:pt idx="120">
                  <c:v>0.71875647668393783</c:v>
                </c:pt>
                <c:pt idx="121">
                  <c:v>0.71067357512953366</c:v>
                </c:pt>
                <c:pt idx="122">
                  <c:v>0.66849740932642487</c:v>
                </c:pt>
                <c:pt idx="123">
                  <c:v>0.66248704663212432</c:v>
                </c:pt>
                <c:pt idx="124">
                  <c:v>0.64663212435233164</c:v>
                </c:pt>
                <c:pt idx="125">
                  <c:v>0.69606217616580313</c:v>
                </c:pt>
                <c:pt idx="126">
                  <c:v>0.71502590673575128</c:v>
                </c:pt>
                <c:pt idx="127">
                  <c:v>0.65139896373056994</c:v>
                </c:pt>
                <c:pt idx="128">
                  <c:v>0.66735751295336798</c:v>
                </c:pt>
                <c:pt idx="129">
                  <c:v>0.6653886010362694</c:v>
                </c:pt>
                <c:pt idx="130">
                  <c:v>0.69409326424870466</c:v>
                </c:pt>
                <c:pt idx="131">
                  <c:v>0.77865284974093263</c:v>
                </c:pt>
                <c:pt idx="132">
                  <c:v>0.77305699481865275</c:v>
                </c:pt>
                <c:pt idx="133">
                  <c:v>0.8033160621761658</c:v>
                </c:pt>
                <c:pt idx="134">
                  <c:v>0.8033160621761658</c:v>
                </c:pt>
                <c:pt idx="135">
                  <c:v>0.86528497409326421</c:v>
                </c:pt>
                <c:pt idx="136">
                  <c:v>0.90777202072538854</c:v>
                </c:pt>
                <c:pt idx="137">
                  <c:v>0.85875647668393784</c:v>
                </c:pt>
                <c:pt idx="138">
                  <c:v>0.82901554404145072</c:v>
                </c:pt>
                <c:pt idx="139">
                  <c:v>0.79865284974093254</c:v>
                </c:pt>
                <c:pt idx="140">
                  <c:v>0.74414507772020733</c:v>
                </c:pt>
                <c:pt idx="141">
                  <c:v>0.79347150259067345</c:v>
                </c:pt>
                <c:pt idx="142">
                  <c:v>0.83108808290155445</c:v>
                </c:pt>
                <c:pt idx="143">
                  <c:v>0.78393782383419697</c:v>
                </c:pt>
                <c:pt idx="144">
                  <c:v>0.86528497409326421</c:v>
                </c:pt>
                <c:pt idx="145">
                  <c:v>0.90984455958549215</c:v>
                </c:pt>
                <c:pt idx="146">
                  <c:v>0.92113989637305704</c:v>
                </c:pt>
                <c:pt idx="147">
                  <c:v>1.0127461139896374</c:v>
                </c:pt>
                <c:pt idx="148">
                  <c:v>1.0127461139896374</c:v>
                </c:pt>
                <c:pt idx="149">
                  <c:v>1.0668393782383421</c:v>
                </c:pt>
                <c:pt idx="150">
                  <c:v>1.0343005181347151</c:v>
                </c:pt>
                <c:pt idx="151">
                  <c:v>1.0426943005181348</c:v>
                </c:pt>
                <c:pt idx="152">
                  <c:v>1.0347150259067357</c:v>
                </c:pt>
                <c:pt idx="153">
                  <c:v>1.0466321243523315</c:v>
                </c:pt>
                <c:pt idx="154">
                  <c:v>1</c:v>
                </c:pt>
              </c:numCache>
            </c:numRef>
          </c:val>
          <c:smooth val="0"/>
          <c:extLst>
            <c:ext xmlns:c16="http://schemas.microsoft.com/office/drawing/2014/chart" uri="{C3380CC4-5D6E-409C-BE32-E72D297353CC}">
              <c16:uniqueId val="{00000000-0BFC-4092-BBEE-7B7B9EC025B0}"/>
            </c:ext>
          </c:extLst>
        </c:ser>
        <c:ser>
          <c:idx val="1"/>
          <c:order val="1"/>
          <c:tx>
            <c:strRef>
              <c:f>'Stock Data'!$V$4</c:f>
              <c:strCache>
                <c:ptCount val="1"/>
                <c:pt idx="0">
                  <c:v>IBOV Index</c:v>
                </c:pt>
              </c:strCache>
            </c:strRef>
          </c:tx>
          <c:spPr>
            <a:ln w="28575" cap="rnd">
              <a:solidFill>
                <a:schemeClr val="accent3"/>
              </a:solidFill>
              <a:round/>
            </a:ln>
            <a:effectLst/>
          </c:spPr>
          <c:marker>
            <c:symbol val="none"/>
          </c:marker>
          <c:cat>
            <c:numRef>
              <c:f>'Stock Data'!$Q$5:$Q$159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Data'!$V$5:$V$159</c:f>
              <c:numCache>
                <c:formatCode>General</c:formatCode>
                <c:ptCount val="155"/>
                <c:pt idx="0">
                  <c:v>1.2948873070554598</c:v>
                </c:pt>
                <c:pt idx="1">
                  <c:v>1.2948873070554598</c:v>
                </c:pt>
                <c:pt idx="2">
                  <c:v>1.2712311311462325</c:v>
                </c:pt>
                <c:pt idx="3">
                  <c:v>1.2404206268249485</c:v>
                </c:pt>
                <c:pt idx="4">
                  <c:v>1.2725440559679302</c:v>
                </c:pt>
                <c:pt idx="5">
                  <c:v>1.2286010739427926</c:v>
                </c:pt>
                <c:pt idx="6">
                  <c:v>1.2246738333593998</c:v>
                </c:pt>
                <c:pt idx="7">
                  <c:v>1.2367617104654289</c:v>
                </c:pt>
                <c:pt idx="8">
                  <c:v>1.2479669226727048</c:v>
                </c:pt>
                <c:pt idx="9">
                  <c:v>1.2853620739211091</c:v>
                </c:pt>
                <c:pt idx="10">
                  <c:v>1.2876372935608182</c:v>
                </c:pt>
                <c:pt idx="11">
                  <c:v>1.2656323081557921</c:v>
                </c:pt>
                <c:pt idx="12">
                  <c:v>1.2810914927472643</c:v>
                </c:pt>
                <c:pt idx="13">
                  <c:v>1.2589099928166985</c:v>
                </c:pt>
                <c:pt idx="14">
                  <c:v>1.2691538329164989</c:v>
                </c:pt>
                <c:pt idx="15">
                  <c:v>1.2875616312968652</c:v>
                </c:pt>
                <c:pt idx="16">
                  <c:v>1.2928063179835823</c:v>
                </c:pt>
                <c:pt idx="17">
                  <c:v>1.2822272571460469</c:v>
                </c:pt>
                <c:pt idx="18">
                  <c:v>1.2319645383886799</c:v>
                </c:pt>
                <c:pt idx="19">
                  <c:v>1.2465172521495693</c:v>
                </c:pt>
                <c:pt idx="20">
                  <c:v>1.2038085800084612</c:v>
                </c:pt>
                <c:pt idx="21">
                  <c:v>1.1925608308454749</c:v>
                </c:pt>
                <c:pt idx="22">
                  <c:v>1.1435326065142442</c:v>
                </c:pt>
                <c:pt idx="23">
                  <c:v>1.2101098625299709</c:v>
                </c:pt>
                <c:pt idx="24">
                  <c:v>1.2186024903034656</c:v>
                </c:pt>
                <c:pt idx="25">
                  <c:v>1.213131185909103</c:v>
                </c:pt>
                <c:pt idx="26">
                  <c:v>1.1396153312046402</c:v>
                </c:pt>
                <c:pt idx="27">
                  <c:v>1.1624261197207693</c:v>
                </c:pt>
                <c:pt idx="28">
                  <c:v>1.1624261197207693</c:v>
                </c:pt>
                <c:pt idx="29">
                  <c:v>1.1859756302920332</c:v>
                </c:pt>
                <c:pt idx="30">
                  <c:v>1.1674286871628359</c:v>
                </c:pt>
                <c:pt idx="31">
                  <c:v>1.154748429892684</c:v>
                </c:pt>
                <c:pt idx="32">
                  <c:v>1.144673169007814</c:v>
                </c:pt>
                <c:pt idx="33">
                  <c:v>1.1380558581277187</c:v>
                </c:pt>
                <c:pt idx="34">
                  <c:v>1.1007813974174254</c:v>
                </c:pt>
                <c:pt idx="35">
                  <c:v>1.1179806295377175</c:v>
                </c:pt>
                <c:pt idx="36">
                  <c:v>1.1506019532859335</c:v>
                </c:pt>
                <c:pt idx="37">
                  <c:v>1.1506019532859335</c:v>
                </c:pt>
                <c:pt idx="38">
                  <c:v>1.1506019532859335</c:v>
                </c:pt>
                <c:pt idx="39">
                  <c:v>1.1831777874047245</c:v>
                </c:pt>
                <c:pt idx="40">
                  <c:v>1.1638996884467874</c:v>
                </c:pt>
                <c:pt idx="41">
                  <c:v>1.1988074889032525</c:v>
                </c:pt>
                <c:pt idx="42">
                  <c:v>1.1828895326332727</c:v>
                </c:pt>
                <c:pt idx="43">
                  <c:v>1.1782858529559264</c:v>
                </c:pt>
                <c:pt idx="44">
                  <c:v>1.2056205066880366</c:v>
                </c:pt>
                <c:pt idx="45">
                  <c:v>1.2062588378368526</c:v>
                </c:pt>
                <c:pt idx="46">
                  <c:v>1.1990749826876435</c:v>
                </c:pt>
                <c:pt idx="47">
                  <c:v>1.2091500590304065</c:v>
                </c:pt>
                <c:pt idx="48">
                  <c:v>1.2134725888074289</c:v>
                </c:pt>
                <c:pt idx="49">
                  <c:v>1.2225468010317748</c:v>
                </c:pt>
                <c:pt idx="50">
                  <c:v>1.2194151214725353</c:v>
                </c:pt>
                <c:pt idx="51">
                  <c:v>1.2452918925577396</c:v>
                </c:pt>
                <c:pt idx="52">
                  <c:v>1.239380916592965</c:v>
                </c:pt>
                <c:pt idx="53">
                  <c:v>1.2396937154646748</c:v>
                </c:pt>
                <c:pt idx="54">
                  <c:v>1.2620457323022964</c:v>
                </c:pt>
                <c:pt idx="55">
                  <c:v>1.2556928702618237</c:v>
                </c:pt>
                <c:pt idx="56">
                  <c:v>1.2216500186618204</c:v>
                </c:pt>
                <c:pt idx="57">
                  <c:v>1.1650761443802082</c:v>
                </c:pt>
                <c:pt idx="58">
                  <c:v>1.1638997807178411</c:v>
                </c:pt>
                <c:pt idx="59">
                  <c:v>1.1680577912062917</c:v>
                </c:pt>
                <c:pt idx="60">
                  <c:v>1.1913150793507994</c:v>
                </c:pt>
                <c:pt idx="61">
                  <c:v>1.1728409380828935</c:v>
                </c:pt>
                <c:pt idx="62">
                  <c:v>1.1514235347472026</c:v>
                </c:pt>
                <c:pt idx="63">
                  <c:v>1.1287646243853018</c:v>
                </c:pt>
                <c:pt idx="64">
                  <c:v>1.1038426741627669</c:v>
                </c:pt>
                <c:pt idx="65">
                  <c:v>1.1223395141098587</c:v>
                </c:pt>
                <c:pt idx="66">
                  <c:v>1.123880440705006</c:v>
                </c:pt>
                <c:pt idx="67">
                  <c:v>1.1421268570126231</c:v>
                </c:pt>
                <c:pt idx="68">
                  <c:v>1.1756397959517921</c:v>
                </c:pt>
                <c:pt idx="69">
                  <c:v>1.1858259666430915</c:v>
                </c:pt>
                <c:pt idx="70">
                  <c:v>1.1922387125973517</c:v>
                </c:pt>
                <c:pt idx="71">
                  <c:v>1.1619157685232986</c:v>
                </c:pt>
                <c:pt idx="72">
                  <c:v>1.1547544275111683</c:v>
                </c:pt>
                <c:pt idx="73">
                  <c:v>1.1477469023453917</c:v>
                </c:pt>
                <c:pt idx="74">
                  <c:v>1.1985121292606735</c:v>
                </c:pt>
                <c:pt idx="75">
                  <c:v>1.1769036325729736</c:v>
                </c:pt>
                <c:pt idx="76">
                  <c:v>1.1705784518485813</c:v>
                </c:pt>
                <c:pt idx="77">
                  <c:v>1.1767221354105393</c:v>
                </c:pt>
                <c:pt idx="78">
                  <c:v>1.1780046107845483</c:v>
                </c:pt>
                <c:pt idx="79">
                  <c:v>1.1819747574078661</c:v>
                </c:pt>
                <c:pt idx="80">
                  <c:v>1.2151116918036082</c:v>
                </c:pt>
                <c:pt idx="81">
                  <c:v>1.1987496349526441</c:v>
                </c:pt>
                <c:pt idx="82">
                  <c:v>1.2033650330537982</c:v>
                </c:pt>
                <c:pt idx="83">
                  <c:v>1.2033650330537982</c:v>
                </c:pt>
                <c:pt idx="84">
                  <c:v>1.175549923945584</c:v>
                </c:pt>
                <c:pt idx="85">
                  <c:v>1.1834917858001308</c:v>
                </c:pt>
                <c:pt idx="86">
                  <c:v>1.193009729521247</c:v>
                </c:pt>
                <c:pt idx="87">
                  <c:v>1.2128715351642678</c:v>
                </c:pt>
                <c:pt idx="88">
                  <c:v>1.2244057859486872</c:v>
                </c:pt>
                <c:pt idx="89">
                  <c:v>1.2321223218903388</c:v>
                </c:pt>
                <c:pt idx="90">
                  <c:v>1.2166021461324357</c:v>
                </c:pt>
                <c:pt idx="91">
                  <c:v>1.1663340756539595</c:v>
                </c:pt>
                <c:pt idx="92">
                  <c:v>1.1709496582972208</c:v>
                </c:pt>
                <c:pt idx="93">
                  <c:v>1.1675824107381361</c:v>
                </c:pt>
                <c:pt idx="94">
                  <c:v>1.1591646147891121</c:v>
                </c:pt>
                <c:pt idx="95">
                  <c:v>1.1364634442846617</c:v>
                </c:pt>
                <c:pt idx="96">
                  <c:v>1.1004989557223508</c:v>
                </c:pt>
                <c:pt idx="97">
                  <c:v>1.0439885639256166</c:v>
                </c:pt>
                <c:pt idx="98">
                  <c:v>1.0496930372724307</c:v>
                </c:pt>
                <c:pt idx="99">
                  <c:v>1.0694992957411833</c:v>
                </c:pt>
                <c:pt idx="100">
                  <c:v>1.0771441370741863</c:v>
                </c:pt>
                <c:pt idx="101">
                  <c:v>1.0465294319286449</c:v>
                </c:pt>
                <c:pt idx="102">
                  <c:v>1.0536748100485021</c:v>
                </c:pt>
                <c:pt idx="103">
                  <c:v>1.0873754283106969</c:v>
                </c:pt>
                <c:pt idx="104">
                  <c:v>1.0885042723804592</c:v>
                </c:pt>
                <c:pt idx="105">
                  <c:v>1.0826282671449998</c:v>
                </c:pt>
                <c:pt idx="106">
                  <c:v>1.0925225844937572</c:v>
                </c:pt>
                <c:pt idx="107">
                  <c:v>1.0717837424862526</c:v>
                </c:pt>
                <c:pt idx="108">
                  <c:v>1.0719259321798529</c:v>
                </c:pt>
                <c:pt idx="109">
                  <c:v>1.0988581918472065</c:v>
                </c:pt>
                <c:pt idx="110">
                  <c:v>1.1187716692802443</c:v>
                </c:pt>
                <c:pt idx="111">
                  <c:v>1.1257785485486456</c:v>
                </c:pt>
                <c:pt idx="112">
                  <c:v>1.0873330758970938</c:v>
                </c:pt>
                <c:pt idx="113">
                  <c:v>1.0846969841667484</c:v>
                </c:pt>
                <c:pt idx="114">
                  <c:v>1.0987302118958608</c:v>
                </c:pt>
                <c:pt idx="115">
                  <c:v>1.0843959037188462</c:v>
                </c:pt>
                <c:pt idx="116">
                  <c:v>1.1037684882356713</c:v>
                </c:pt>
                <c:pt idx="117">
                  <c:v>1.077197285201061</c:v>
                </c:pt>
                <c:pt idx="118">
                  <c:v>1.0575194680389217</c:v>
                </c:pt>
                <c:pt idx="119">
                  <c:v>1.0054502665941416</c:v>
                </c:pt>
                <c:pt idx="120">
                  <c:v>1.0143221283979391</c:v>
                </c:pt>
                <c:pt idx="121">
                  <c:v>0.99831448466385875</c:v>
                </c:pt>
                <c:pt idx="122">
                  <c:v>0.98834902633277466</c:v>
                </c:pt>
                <c:pt idx="123">
                  <c:v>0.94049070669015877</c:v>
                </c:pt>
                <c:pt idx="124">
                  <c:v>0.9524226457156012</c:v>
                </c:pt>
                <c:pt idx="125">
                  <c:v>0.97957930858531395</c:v>
                </c:pt>
                <c:pt idx="126">
                  <c:v>0.98004555421916306</c:v>
                </c:pt>
                <c:pt idx="127">
                  <c:v>0.93996014813194939</c:v>
                </c:pt>
                <c:pt idx="128">
                  <c:v>0.93364548630766764</c:v>
                </c:pt>
                <c:pt idx="129">
                  <c:v>0.93192038668953148</c:v>
                </c:pt>
                <c:pt idx="130">
                  <c:v>0.94976791523242843</c:v>
                </c:pt>
                <c:pt idx="131">
                  <c:v>0.96172209158178867</c:v>
                </c:pt>
                <c:pt idx="132">
                  <c:v>0.96821797375534413</c:v>
                </c:pt>
                <c:pt idx="133">
                  <c:v>0.99513233283829905</c:v>
                </c:pt>
                <c:pt idx="134">
                  <c:v>0.99513233283829905</c:v>
                </c:pt>
                <c:pt idx="135">
                  <c:v>0.99495627966802713</c:v>
                </c:pt>
                <c:pt idx="136">
                  <c:v>1.0466355436402868</c:v>
                </c:pt>
                <c:pt idx="137">
                  <c:v>1.0429226487144103</c:v>
                </c:pt>
                <c:pt idx="138">
                  <c:v>1.0282605014839492</c:v>
                </c:pt>
                <c:pt idx="139">
                  <c:v>1.0225174588367296</c:v>
                </c:pt>
                <c:pt idx="140">
                  <c:v>0.96114825789944025</c:v>
                </c:pt>
                <c:pt idx="141">
                  <c:v>1.0018624912169489</c:v>
                </c:pt>
                <c:pt idx="142">
                  <c:v>0.98604640219014572</c:v>
                </c:pt>
                <c:pt idx="143">
                  <c:v>0.95537144404660235</c:v>
                </c:pt>
                <c:pt idx="144">
                  <c:v>1.0167215448757962</c:v>
                </c:pt>
                <c:pt idx="145">
                  <c:v>1.0233746569246889</c:v>
                </c:pt>
                <c:pt idx="146">
                  <c:v>1.0060916426877264</c:v>
                </c:pt>
                <c:pt idx="147">
                  <c:v>1.071823788123516</c:v>
                </c:pt>
                <c:pt idx="148">
                  <c:v>1.071823788123516</c:v>
                </c:pt>
                <c:pt idx="149">
                  <c:v>1.0789130654427834</c:v>
                </c:pt>
                <c:pt idx="150">
                  <c:v>1.0576623959009506</c:v>
                </c:pt>
                <c:pt idx="151">
                  <c:v>1.0679735015988268</c:v>
                </c:pt>
                <c:pt idx="152">
                  <c:v>1.0595219344441844</c:v>
                </c:pt>
                <c:pt idx="153">
                  <c:v>1.0724675632644944</c:v>
                </c:pt>
                <c:pt idx="154">
                  <c:v>1</c:v>
                </c:pt>
              </c:numCache>
            </c:numRef>
          </c:val>
          <c:smooth val="0"/>
          <c:extLst>
            <c:ext xmlns:c16="http://schemas.microsoft.com/office/drawing/2014/chart" uri="{C3380CC4-5D6E-409C-BE32-E72D297353CC}">
              <c16:uniqueId val="{00000001-0BFC-4092-BBEE-7B7B9EC025B0}"/>
            </c:ext>
          </c:extLst>
        </c:ser>
        <c:ser>
          <c:idx val="2"/>
          <c:order val="2"/>
          <c:tx>
            <c:strRef>
              <c:f>'Stock Data'!$W$4</c:f>
              <c:strCache>
                <c:ptCount val="1"/>
                <c:pt idx="0">
                  <c:v>0</c:v>
                </c:pt>
              </c:strCache>
            </c:strRef>
          </c:tx>
          <c:spPr>
            <a:ln w="28575" cap="rnd">
              <a:solidFill>
                <a:schemeClr val="accent5"/>
              </a:solidFill>
              <a:round/>
            </a:ln>
            <a:effectLst/>
          </c:spPr>
          <c:marker>
            <c:symbol val="none"/>
          </c:marker>
          <c:cat>
            <c:numRef>
              <c:f>'Stock Data'!$Q$5:$Q$159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Data'!$W$5:$W$159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0BFC-4092-BBEE-7B7B9EC025B0}"/>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7330176"/>
        <c:crosses val="autoZero"/>
        <c:auto val="1"/>
        <c:lblOffset val="100"/>
        <c:baseTimeUnit val="days"/>
      </c:dateAx>
      <c:valAx>
        <c:axId val="100733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7329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06198353200924E-2"/>
          <c:y val="3.4470114165230686E-2"/>
          <c:w val="0.93213475215892583"/>
          <c:h val="0.63969330964910764"/>
        </c:manualLayout>
      </c:layout>
      <c:lineChart>
        <c:grouping val="standard"/>
        <c:varyColors val="0"/>
        <c:ser>
          <c:idx val="0"/>
          <c:order val="0"/>
          <c:tx>
            <c:strRef>
              <c:f>Inputs!$S$7</c:f>
              <c:strCache>
                <c:ptCount val="1"/>
                <c:pt idx="0">
                  <c:v>AZZAS 2154 SA</c:v>
                </c:pt>
              </c:strCache>
            </c:strRef>
          </c:tx>
          <c:spPr>
            <a:ln w="28575" cap="rnd">
              <a:solidFill>
                <a:schemeClr val="accent1"/>
              </a:solidFill>
              <a:round/>
            </a:ln>
            <a:effectLst/>
          </c:spPr>
          <c:marker>
            <c:symbol val="none"/>
          </c:marker>
          <c:cat>
            <c:numRef>
              <c:f>'Stock Data'!$Q$5:$Q$159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Data'!$AF$5:$AF$159</c:f>
              <c:numCache>
                <c:formatCode>General</c:formatCode>
                <c:ptCount val="155"/>
                <c:pt idx="0">
                  <c:v>0.35015544041450775</c:v>
                </c:pt>
                <c:pt idx="1">
                  <c:v>0.35015544041450775</c:v>
                </c:pt>
                <c:pt idx="2">
                  <c:v>0.35025906735751294</c:v>
                </c:pt>
                <c:pt idx="3">
                  <c:v>0.33616580310880828</c:v>
                </c:pt>
                <c:pt idx="4">
                  <c:v>0.35585492227979276</c:v>
                </c:pt>
                <c:pt idx="5">
                  <c:v>0.36901554404145076</c:v>
                </c:pt>
                <c:pt idx="6">
                  <c:v>0.36943005181347149</c:v>
                </c:pt>
                <c:pt idx="7">
                  <c:v>0.3729533678756477</c:v>
                </c:pt>
                <c:pt idx="8">
                  <c:v>0.37512953367875651</c:v>
                </c:pt>
                <c:pt idx="9">
                  <c:v>0.40103626943005183</c:v>
                </c:pt>
                <c:pt idx="10">
                  <c:v>0.42590673575129534</c:v>
                </c:pt>
                <c:pt idx="11">
                  <c:v>0.41834196891191705</c:v>
                </c:pt>
                <c:pt idx="12">
                  <c:v>0.42155440414507772</c:v>
                </c:pt>
                <c:pt idx="13">
                  <c:v>0.44404145077720208</c:v>
                </c:pt>
                <c:pt idx="14">
                  <c:v>0.46497409326424866</c:v>
                </c:pt>
                <c:pt idx="15">
                  <c:v>0.43523316062176165</c:v>
                </c:pt>
                <c:pt idx="16">
                  <c:v>0.4545077720207254</c:v>
                </c:pt>
                <c:pt idx="17">
                  <c:v>0.42808290155440415</c:v>
                </c:pt>
                <c:pt idx="18">
                  <c:v>0.33886010362694302</c:v>
                </c:pt>
                <c:pt idx="19">
                  <c:v>0.32103626943005181</c:v>
                </c:pt>
                <c:pt idx="20">
                  <c:v>0.29015544041450775</c:v>
                </c:pt>
                <c:pt idx="21">
                  <c:v>0.27979274611398963</c:v>
                </c:pt>
                <c:pt idx="22">
                  <c:v>0.25647668393782386</c:v>
                </c:pt>
                <c:pt idx="23">
                  <c:v>0.25595854922279793</c:v>
                </c:pt>
                <c:pt idx="24">
                  <c:v>0.24652849740932642</c:v>
                </c:pt>
                <c:pt idx="25">
                  <c:v>0.23834196891191708</c:v>
                </c:pt>
                <c:pt idx="26">
                  <c:v>0.27388601036269428</c:v>
                </c:pt>
                <c:pt idx="27">
                  <c:v>0.28725388601036267</c:v>
                </c:pt>
                <c:pt idx="28">
                  <c:v>0.28725388601036267</c:v>
                </c:pt>
                <c:pt idx="29">
                  <c:v>0.34</c:v>
                </c:pt>
                <c:pt idx="30">
                  <c:v>0.33886010362694302</c:v>
                </c:pt>
                <c:pt idx="31">
                  <c:v>0.34870466321243521</c:v>
                </c:pt>
                <c:pt idx="32">
                  <c:v>0.34974093264248707</c:v>
                </c:pt>
                <c:pt idx="33">
                  <c:v>0.32590673575129531</c:v>
                </c:pt>
                <c:pt idx="34">
                  <c:v>0.31398963730569951</c:v>
                </c:pt>
                <c:pt idx="35">
                  <c:v>0.32455958549222796</c:v>
                </c:pt>
                <c:pt idx="36">
                  <c:v>0.32031088082901554</c:v>
                </c:pt>
                <c:pt idx="37">
                  <c:v>0.32031088082901554</c:v>
                </c:pt>
                <c:pt idx="38">
                  <c:v>0.32031088082901554</c:v>
                </c:pt>
                <c:pt idx="39">
                  <c:v>0.35129533678756475</c:v>
                </c:pt>
                <c:pt idx="40">
                  <c:v>0.38072538860103627</c:v>
                </c:pt>
                <c:pt idx="41">
                  <c:v>0.44</c:v>
                </c:pt>
                <c:pt idx="42">
                  <c:v>0.42673575129533681</c:v>
                </c:pt>
                <c:pt idx="43">
                  <c:v>0.41554404145077722</c:v>
                </c:pt>
                <c:pt idx="44">
                  <c:v>0.42829015544041449</c:v>
                </c:pt>
                <c:pt idx="45">
                  <c:v>0.41616580310880824</c:v>
                </c:pt>
                <c:pt idx="46">
                  <c:v>0.41689119170984451</c:v>
                </c:pt>
                <c:pt idx="47">
                  <c:v>0.43554404145077719</c:v>
                </c:pt>
                <c:pt idx="48">
                  <c:v>0.43347150259067357</c:v>
                </c:pt>
                <c:pt idx="49">
                  <c:v>0.4327461139896373</c:v>
                </c:pt>
                <c:pt idx="50">
                  <c:v>0.46435233160621764</c:v>
                </c:pt>
                <c:pt idx="51">
                  <c:v>0.48849740932642488</c:v>
                </c:pt>
                <c:pt idx="52">
                  <c:v>0.49316062176165809</c:v>
                </c:pt>
                <c:pt idx="53">
                  <c:v>0.49129533678756471</c:v>
                </c:pt>
                <c:pt idx="54">
                  <c:v>0.55751295336787565</c:v>
                </c:pt>
                <c:pt idx="55">
                  <c:v>0.54155440414507772</c:v>
                </c:pt>
                <c:pt idx="56">
                  <c:v>0.56321243523316067</c:v>
                </c:pt>
                <c:pt idx="57">
                  <c:v>0.51170984455958557</c:v>
                </c:pt>
                <c:pt idx="58">
                  <c:v>0.5045595854922279</c:v>
                </c:pt>
                <c:pt idx="59">
                  <c:v>0.54518134715025901</c:v>
                </c:pt>
                <c:pt idx="60">
                  <c:v>0.55316062176165803</c:v>
                </c:pt>
                <c:pt idx="61">
                  <c:v>0.55906735751295344</c:v>
                </c:pt>
                <c:pt idx="62">
                  <c:v>0.5265284974093265</c:v>
                </c:pt>
                <c:pt idx="63">
                  <c:v>0.52777202072538865</c:v>
                </c:pt>
                <c:pt idx="64">
                  <c:v>0.52010362694300516</c:v>
                </c:pt>
                <c:pt idx="65">
                  <c:v>0.51357512953367879</c:v>
                </c:pt>
                <c:pt idx="66">
                  <c:v>0.52621761658031085</c:v>
                </c:pt>
                <c:pt idx="67">
                  <c:v>0.52839378238341972</c:v>
                </c:pt>
                <c:pt idx="68">
                  <c:v>0.51792746113989629</c:v>
                </c:pt>
                <c:pt idx="69">
                  <c:v>0.48528497409326421</c:v>
                </c:pt>
                <c:pt idx="70">
                  <c:v>0.53668393782383417</c:v>
                </c:pt>
                <c:pt idx="71">
                  <c:v>0.53803108808290157</c:v>
                </c:pt>
                <c:pt idx="72">
                  <c:v>0.54145077720207258</c:v>
                </c:pt>
                <c:pt idx="73">
                  <c:v>0.53264248704663208</c:v>
                </c:pt>
                <c:pt idx="74">
                  <c:v>0.58860103626943006</c:v>
                </c:pt>
                <c:pt idx="75">
                  <c:v>0.64891191709844553</c:v>
                </c:pt>
                <c:pt idx="76">
                  <c:v>0.64414507772020724</c:v>
                </c:pt>
                <c:pt idx="77">
                  <c:v>0.61761658031088085</c:v>
                </c:pt>
                <c:pt idx="78">
                  <c:v>0.62797927461139902</c:v>
                </c:pt>
                <c:pt idx="79">
                  <c:v>0.6</c:v>
                </c:pt>
                <c:pt idx="80">
                  <c:v>0.61637305699481859</c:v>
                </c:pt>
                <c:pt idx="81">
                  <c:v>0.62559585492227976</c:v>
                </c:pt>
                <c:pt idx="82">
                  <c:v>0.61658031088082899</c:v>
                </c:pt>
                <c:pt idx="83">
                  <c:v>0.61658031088082899</c:v>
                </c:pt>
                <c:pt idx="84">
                  <c:v>0.57865284974093267</c:v>
                </c:pt>
                <c:pt idx="85">
                  <c:v>0.59585492227979275</c:v>
                </c:pt>
                <c:pt idx="86">
                  <c:v>0.62860103626942998</c:v>
                </c:pt>
                <c:pt idx="87">
                  <c:v>0.66352331606217618</c:v>
                </c:pt>
                <c:pt idx="88">
                  <c:v>0.64528497409326424</c:v>
                </c:pt>
                <c:pt idx="89">
                  <c:v>0.68808290155440421</c:v>
                </c:pt>
                <c:pt idx="90">
                  <c:v>0.68880829015544043</c:v>
                </c:pt>
                <c:pt idx="91">
                  <c:v>0.67253886010362696</c:v>
                </c:pt>
                <c:pt idx="92">
                  <c:v>0.61854922279792746</c:v>
                </c:pt>
                <c:pt idx="93">
                  <c:v>0.63005181347150252</c:v>
                </c:pt>
                <c:pt idx="94">
                  <c:v>0.63388601036269432</c:v>
                </c:pt>
                <c:pt idx="95">
                  <c:v>0.62715025906735755</c:v>
                </c:pt>
                <c:pt idx="96">
                  <c:v>0.64839378238341971</c:v>
                </c:pt>
                <c:pt idx="97">
                  <c:v>0.60507772020725392</c:v>
                </c:pt>
                <c:pt idx="98">
                  <c:v>0.62715025906735755</c:v>
                </c:pt>
                <c:pt idx="99">
                  <c:v>0.65056994818652847</c:v>
                </c:pt>
                <c:pt idx="100">
                  <c:v>0.70051813471502589</c:v>
                </c:pt>
                <c:pt idx="101">
                  <c:v>0.63948186528497408</c:v>
                </c:pt>
                <c:pt idx="102">
                  <c:v>0.63709844559585493</c:v>
                </c:pt>
                <c:pt idx="103">
                  <c:v>0.71917098445595862</c:v>
                </c:pt>
                <c:pt idx="104">
                  <c:v>0.72901554404145075</c:v>
                </c:pt>
                <c:pt idx="105">
                  <c:v>0.74435233160621761</c:v>
                </c:pt>
                <c:pt idx="106">
                  <c:v>0.76217616580310876</c:v>
                </c:pt>
                <c:pt idx="107">
                  <c:v>0.84134715025906737</c:v>
                </c:pt>
                <c:pt idx="108">
                  <c:v>0.84248704663212437</c:v>
                </c:pt>
                <c:pt idx="109">
                  <c:v>0.85336787564766836</c:v>
                </c:pt>
                <c:pt idx="110">
                  <c:v>0.82590673575129536</c:v>
                </c:pt>
                <c:pt idx="111">
                  <c:v>0.86010362694300513</c:v>
                </c:pt>
                <c:pt idx="112">
                  <c:v>0.81875647668393792</c:v>
                </c:pt>
                <c:pt idx="113">
                  <c:v>0.83678756476683935</c:v>
                </c:pt>
                <c:pt idx="114">
                  <c:v>0.84248704663212437</c:v>
                </c:pt>
                <c:pt idx="115">
                  <c:v>0.78238341968911918</c:v>
                </c:pt>
                <c:pt idx="116">
                  <c:v>0.79937823834196897</c:v>
                </c:pt>
                <c:pt idx="117">
                  <c:v>0.78310880829015539</c:v>
                </c:pt>
                <c:pt idx="118">
                  <c:v>0.80404145077720213</c:v>
                </c:pt>
                <c:pt idx="119">
                  <c:v>0.76476683937823831</c:v>
                </c:pt>
                <c:pt idx="120">
                  <c:v>0.71875647668393783</c:v>
                </c:pt>
                <c:pt idx="121">
                  <c:v>0.71067357512953366</c:v>
                </c:pt>
                <c:pt idx="122">
                  <c:v>0.66849740932642487</c:v>
                </c:pt>
                <c:pt idx="123">
                  <c:v>0.66248704663212432</c:v>
                </c:pt>
                <c:pt idx="124">
                  <c:v>0.64663212435233164</c:v>
                </c:pt>
                <c:pt idx="125">
                  <c:v>0.69606217616580313</c:v>
                </c:pt>
                <c:pt idx="126">
                  <c:v>0.71502590673575128</c:v>
                </c:pt>
                <c:pt idx="127">
                  <c:v>0.65139896373056994</c:v>
                </c:pt>
                <c:pt idx="128">
                  <c:v>0.66735751295336798</c:v>
                </c:pt>
                <c:pt idx="129">
                  <c:v>0.6653886010362694</c:v>
                </c:pt>
                <c:pt idx="130">
                  <c:v>0.69409326424870466</c:v>
                </c:pt>
                <c:pt idx="131">
                  <c:v>0.77865284974093263</c:v>
                </c:pt>
                <c:pt idx="132">
                  <c:v>0.77305699481865275</c:v>
                </c:pt>
                <c:pt idx="133">
                  <c:v>0.8033160621761658</c:v>
                </c:pt>
                <c:pt idx="134">
                  <c:v>0.8033160621761658</c:v>
                </c:pt>
                <c:pt idx="135">
                  <c:v>0.86528497409326421</c:v>
                </c:pt>
                <c:pt idx="136">
                  <c:v>0.90777202072538854</c:v>
                </c:pt>
                <c:pt idx="137">
                  <c:v>0.85875647668393784</c:v>
                </c:pt>
                <c:pt idx="138">
                  <c:v>0.82901554404145072</c:v>
                </c:pt>
                <c:pt idx="139">
                  <c:v>0.79865284974093254</c:v>
                </c:pt>
                <c:pt idx="140">
                  <c:v>0.74414507772020733</c:v>
                </c:pt>
                <c:pt idx="141">
                  <c:v>0.79347150259067345</c:v>
                </c:pt>
                <c:pt idx="142">
                  <c:v>0.83108808290155445</c:v>
                </c:pt>
                <c:pt idx="143">
                  <c:v>0.78393782383419697</c:v>
                </c:pt>
                <c:pt idx="144">
                  <c:v>0.86528497409326421</c:v>
                </c:pt>
                <c:pt idx="145">
                  <c:v>0.90984455958549215</c:v>
                </c:pt>
                <c:pt idx="146">
                  <c:v>0.92113989637305704</c:v>
                </c:pt>
                <c:pt idx="147">
                  <c:v>1.0127461139896374</c:v>
                </c:pt>
                <c:pt idx="148">
                  <c:v>1.0127461139896374</c:v>
                </c:pt>
                <c:pt idx="149">
                  <c:v>1.0668393782383421</c:v>
                </c:pt>
                <c:pt idx="150">
                  <c:v>1.0343005181347151</c:v>
                </c:pt>
                <c:pt idx="151">
                  <c:v>1.0426943005181348</c:v>
                </c:pt>
                <c:pt idx="152">
                  <c:v>1.0347150259067357</c:v>
                </c:pt>
                <c:pt idx="153">
                  <c:v>1.0466321243523315</c:v>
                </c:pt>
                <c:pt idx="154">
                  <c:v>1</c:v>
                </c:pt>
              </c:numCache>
            </c:numRef>
          </c:val>
          <c:smooth val="0"/>
          <c:extLst>
            <c:ext xmlns:c16="http://schemas.microsoft.com/office/drawing/2014/chart" uri="{C3380CC4-5D6E-409C-BE32-E72D297353CC}">
              <c16:uniqueId val="{00000000-7FCB-4865-8E32-ABAA033EDCFC}"/>
            </c:ext>
          </c:extLst>
        </c:ser>
        <c:ser>
          <c:idx val="1"/>
          <c:order val="1"/>
          <c:tx>
            <c:strRef>
              <c:f>Inputs!$B$21</c:f>
              <c:strCache>
                <c:ptCount val="1"/>
                <c:pt idx="0">
                  <c:v>GUARARAPES</c:v>
                </c:pt>
              </c:strCache>
            </c:strRef>
          </c:tx>
          <c:spPr>
            <a:ln w="28575" cap="rnd">
              <a:solidFill>
                <a:schemeClr val="accent3"/>
              </a:solidFill>
              <a:round/>
            </a:ln>
            <a:effectLst/>
          </c:spPr>
          <c:marker>
            <c:symbol val="none"/>
          </c:marker>
          <c:cat>
            <c:numRef>
              <c:f>'Stock Data'!$Q$5:$Q$159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Data'!$AG$5:$AG$159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7FCB-4865-8E32-ABAA033EDCFC}"/>
            </c:ext>
          </c:extLst>
        </c:ser>
        <c:ser>
          <c:idx val="2"/>
          <c:order val="2"/>
          <c:tx>
            <c:strRef>
              <c:f>Inputs!$B$22</c:f>
              <c:strCache>
                <c:ptCount val="1"/>
                <c:pt idx="0">
                  <c:v>LOJAS RENNER SA</c:v>
                </c:pt>
              </c:strCache>
            </c:strRef>
          </c:tx>
          <c:spPr>
            <a:ln w="28575" cap="rnd">
              <a:solidFill>
                <a:schemeClr val="accent5"/>
              </a:solidFill>
              <a:round/>
            </a:ln>
            <a:effectLst/>
          </c:spPr>
          <c:marker>
            <c:symbol val="none"/>
          </c:marker>
          <c:cat>
            <c:numRef>
              <c:f>'Stock Data'!$Q$5:$Q$159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Data'!$AH$5:$AH$159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7FCB-4865-8E32-ABAA033EDCFC}"/>
            </c:ext>
          </c:extLst>
        </c:ser>
        <c:ser>
          <c:idx val="3"/>
          <c:order val="3"/>
          <c:tx>
            <c:strRef>
              <c:f>Inputs!$B$23</c:f>
              <c:strCache>
                <c:ptCount val="1"/>
                <c:pt idx="0">
                  <c:v>C&amp;A MODAS LTDA</c:v>
                </c:pt>
              </c:strCache>
            </c:strRef>
          </c:tx>
          <c:spPr>
            <a:ln w="28575" cap="rnd">
              <a:solidFill>
                <a:schemeClr val="accent1">
                  <a:lumMod val="60000"/>
                </a:schemeClr>
              </a:solidFill>
              <a:round/>
            </a:ln>
            <a:effectLst/>
          </c:spPr>
          <c:marker>
            <c:symbol val="none"/>
          </c:marker>
          <c:cat>
            <c:numRef>
              <c:f>'Stock Data'!$Q$5:$Q$159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Data'!$AI$5:$AI$159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7FCB-4865-8E32-ABAA033EDCFC}"/>
            </c:ext>
          </c:extLst>
        </c:ser>
        <c:ser>
          <c:idx val="4"/>
          <c:order val="4"/>
          <c:tx>
            <c:strRef>
              <c:f>Inputs!$B$24</c:f>
              <c:strCache>
                <c:ptCount val="1"/>
                <c:pt idx="0">
                  <c:v>MARISA LOJAS SA</c:v>
                </c:pt>
              </c:strCache>
            </c:strRef>
          </c:tx>
          <c:spPr>
            <a:ln w="28575" cap="rnd">
              <a:solidFill>
                <a:schemeClr val="accent3">
                  <a:lumMod val="60000"/>
                </a:schemeClr>
              </a:solidFill>
              <a:round/>
            </a:ln>
            <a:effectLst/>
          </c:spPr>
          <c:marker>
            <c:symbol val="none"/>
          </c:marker>
          <c:cat>
            <c:numRef>
              <c:f>'Stock Data'!$Q$5:$Q$159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Data'!$AJ$5:$AJ$159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7FCB-4865-8E32-ABAA033EDCFC}"/>
            </c:ext>
          </c:extLst>
        </c:ser>
        <c:ser>
          <c:idx val="5"/>
          <c:order val="5"/>
          <c:tx>
            <c:strRef>
              <c:f>Inputs!$B$25</c:f>
              <c:strCache>
                <c:ptCount val="1"/>
                <c:pt idx="0">
                  <c:v>VESTE SA ESTILO</c:v>
                </c:pt>
              </c:strCache>
            </c:strRef>
          </c:tx>
          <c:spPr>
            <a:ln w="28575" cap="rnd">
              <a:solidFill>
                <a:schemeClr val="accent5">
                  <a:lumMod val="60000"/>
                </a:schemeClr>
              </a:solidFill>
              <a:round/>
            </a:ln>
            <a:effectLst/>
          </c:spPr>
          <c:marker>
            <c:symbol val="none"/>
          </c:marker>
          <c:cat>
            <c:numRef>
              <c:f>'Stock Data'!$Q$5:$Q$159</c:f>
              <c:numCache>
                <c:formatCode>m/d/yyyy</c:formatCode>
                <c:ptCount val="155"/>
                <c:pt idx="0">
                  <c:v>45954</c:v>
                </c:pt>
                <c:pt idx="1">
                  <c:v>45947</c:v>
                </c:pt>
                <c:pt idx="2">
                  <c:v>45940</c:v>
                </c:pt>
                <c:pt idx="3">
                  <c:v>45933</c:v>
                </c:pt>
                <c:pt idx="4">
                  <c:v>45926</c:v>
                </c:pt>
                <c:pt idx="5">
                  <c:v>45919</c:v>
                </c:pt>
                <c:pt idx="6">
                  <c:v>45912</c:v>
                </c:pt>
                <c:pt idx="7">
                  <c:v>45905</c:v>
                </c:pt>
                <c:pt idx="8">
                  <c:v>45898</c:v>
                </c:pt>
                <c:pt idx="9">
                  <c:v>45891</c:v>
                </c:pt>
                <c:pt idx="10">
                  <c:v>45884</c:v>
                </c:pt>
                <c:pt idx="11">
                  <c:v>45877</c:v>
                </c:pt>
                <c:pt idx="12">
                  <c:v>45870</c:v>
                </c:pt>
                <c:pt idx="13">
                  <c:v>45863</c:v>
                </c:pt>
                <c:pt idx="14">
                  <c:v>45856</c:v>
                </c:pt>
                <c:pt idx="15">
                  <c:v>45849</c:v>
                </c:pt>
                <c:pt idx="16">
                  <c:v>45842</c:v>
                </c:pt>
                <c:pt idx="17">
                  <c:v>45835</c:v>
                </c:pt>
                <c:pt idx="18">
                  <c:v>45828</c:v>
                </c:pt>
                <c:pt idx="19">
                  <c:v>45821</c:v>
                </c:pt>
                <c:pt idx="20">
                  <c:v>45814</c:v>
                </c:pt>
                <c:pt idx="21">
                  <c:v>45807</c:v>
                </c:pt>
                <c:pt idx="22">
                  <c:v>45800</c:v>
                </c:pt>
                <c:pt idx="23">
                  <c:v>45793</c:v>
                </c:pt>
                <c:pt idx="24">
                  <c:v>45786</c:v>
                </c:pt>
                <c:pt idx="25">
                  <c:v>45779</c:v>
                </c:pt>
                <c:pt idx="26">
                  <c:v>45772</c:v>
                </c:pt>
                <c:pt idx="27">
                  <c:v>45765</c:v>
                </c:pt>
                <c:pt idx="28">
                  <c:v>45758</c:v>
                </c:pt>
                <c:pt idx="29">
                  <c:v>45751</c:v>
                </c:pt>
                <c:pt idx="30">
                  <c:v>45744</c:v>
                </c:pt>
                <c:pt idx="31">
                  <c:v>45737</c:v>
                </c:pt>
                <c:pt idx="32">
                  <c:v>45730</c:v>
                </c:pt>
                <c:pt idx="33">
                  <c:v>45723</c:v>
                </c:pt>
                <c:pt idx="34">
                  <c:v>45716</c:v>
                </c:pt>
                <c:pt idx="35">
                  <c:v>45709</c:v>
                </c:pt>
                <c:pt idx="36">
                  <c:v>45702</c:v>
                </c:pt>
                <c:pt idx="37">
                  <c:v>45695</c:v>
                </c:pt>
                <c:pt idx="38">
                  <c:v>45688</c:v>
                </c:pt>
                <c:pt idx="39">
                  <c:v>45681</c:v>
                </c:pt>
                <c:pt idx="40">
                  <c:v>45674</c:v>
                </c:pt>
                <c:pt idx="41">
                  <c:v>45667</c:v>
                </c:pt>
                <c:pt idx="42">
                  <c:v>45660</c:v>
                </c:pt>
                <c:pt idx="43">
                  <c:v>45653</c:v>
                </c:pt>
                <c:pt idx="44">
                  <c:v>45646</c:v>
                </c:pt>
                <c:pt idx="45">
                  <c:v>45639</c:v>
                </c:pt>
                <c:pt idx="46">
                  <c:v>45632</c:v>
                </c:pt>
                <c:pt idx="47">
                  <c:v>45625</c:v>
                </c:pt>
                <c:pt idx="48">
                  <c:v>45618</c:v>
                </c:pt>
                <c:pt idx="49">
                  <c:v>45611</c:v>
                </c:pt>
                <c:pt idx="50">
                  <c:v>45604</c:v>
                </c:pt>
                <c:pt idx="51">
                  <c:v>45597</c:v>
                </c:pt>
                <c:pt idx="52">
                  <c:v>45590</c:v>
                </c:pt>
                <c:pt idx="53">
                  <c:v>45583</c:v>
                </c:pt>
                <c:pt idx="54">
                  <c:v>45576</c:v>
                </c:pt>
                <c:pt idx="55">
                  <c:v>45569</c:v>
                </c:pt>
                <c:pt idx="56">
                  <c:v>45562</c:v>
                </c:pt>
                <c:pt idx="57">
                  <c:v>45555</c:v>
                </c:pt>
                <c:pt idx="58">
                  <c:v>45548</c:v>
                </c:pt>
                <c:pt idx="59">
                  <c:v>45541</c:v>
                </c:pt>
                <c:pt idx="60">
                  <c:v>45534</c:v>
                </c:pt>
                <c:pt idx="61">
                  <c:v>45527</c:v>
                </c:pt>
                <c:pt idx="62">
                  <c:v>45520</c:v>
                </c:pt>
                <c:pt idx="63">
                  <c:v>45513</c:v>
                </c:pt>
                <c:pt idx="64">
                  <c:v>45506</c:v>
                </c:pt>
                <c:pt idx="65">
                  <c:v>45499</c:v>
                </c:pt>
                <c:pt idx="66">
                  <c:v>45492</c:v>
                </c:pt>
                <c:pt idx="67">
                  <c:v>45485</c:v>
                </c:pt>
                <c:pt idx="68">
                  <c:v>45478</c:v>
                </c:pt>
                <c:pt idx="69">
                  <c:v>45471</c:v>
                </c:pt>
                <c:pt idx="70">
                  <c:v>45464</c:v>
                </c:pt>
                <c:pt idx="71">
                  <c:v>45457</c:v>
                </c:pt>
                <c:pt idx="72">
                  <c:v>45450</c:v>
                </c:pt>
                <c:pt idx="73">
                  <c:v>45443</c:v>
                </c:pt>
                <c:pt idx="74">
                  <c:v>45436</c:v>
                </c:pt>
                <c:pt idx="75">
                  <c:v>45429</c:v>
                </c:pt>
                <c:pt idx="76">
                  <c:v>45422</c:v>
                </c:pt>
                <c:pt idx="77">
                  <c:v>45415</c:v>
                </c:pt>
                <c:pt idx="78">
                  <c:v>45408</c:v>
                </c:pt>
                <c:pt idx="79">
                  <c:v>45401</c:v>
                </c:pt>
                <c:pt idx="80">
                  <c:v>45394</c:v>
                </c:pt>
                <c:pt idx="81">
                  <c:v>45387</c:v>
                </c:pt>
                <c:pt idx="82">
                  <c:v>45380</c:v>
                </c:pt>
                <c:pt idx="83">
                  <c:v>45373</c:v>
                </c:pt>
                <c:pt idx="84">
                  <c:v>45366</c:v>
                </c:pt>
                <c:pt idx="85">
                  <c:v>45359</c:v>
                </c:pt>
                <c:pt idx="86">
                  <c:v>45352</c:v>
                </c:pt>
                <c:pt idx="87">
                  <c:v>45345</c:v>
                </c:pt>
                <c:pt idx="88">
                  <c:v>45338</c:v>
                </c:pt>
                <c:pt idx="89">
                  <c:v>45331</c:v>
                </c:pt>
                <c:pt idx="90">
                  <c:v>45324</c:v>
                </c:pt>
                <c:pt idx="91">
                  <c:v>45317</c:v>
                </c:pt>
                <c:pt idx="92">
                  <c:v>45310</c:v>
                </c:pt>
                <c:pt idx="93">
                  <c:v>45303</c:v>
                </c:pt>
                <c:pt idx="94">
                  <c:v>45296</c:v>
                </c:pt>
                <c:pt idx="95">
                  <c:v>45289</c:v>
                </c:pt>
                <c:pt idx="96">
                  <c:v>45282</c:v>
                </c:pt>
                <c:pt idx="97">
                  <c:v>45275</c:v>
                </c:pt>
                <c:pt idx="98">
                  <c:v>45268</c:v>
                </c:pt>
                <c:pt idx="99">
                  <c:v>45261</c:v>
                </c:pt>
                <c:pt idx="100">
                  <c:v>45254</c:v>
                </c:pt>
                <c:pt idx="101">
                  <c:v>45247</c:v>
                </c:pt>
                <c:pt idx="102">
                  <c:v>45240</c:v>
                </c:pt>
                <c:pt idx="103">
                  <c:v>45233</c:v>
                </c:pt>
                <c:pt idx="104">
                  <c:v>45226</c:v>
                </c:pt>
                <c:pt idx="105">
                  <c:v>45219</c:v>
                </c:pt>
                <c:pt idx="106">
                  <c:v>45212</c:v>
                </c:pt>
                <c:pt idx="107">
                  <c:v>45205</c:v>
                </c:pt>
                <c:pt idx="108">
                  <c:v>45198</c:v>
                </c:pt>
                <c:pt idx="109">
                  <c:v>45191</c:v>
                </c:pt>
                <c:pt idx="110">
                  <c:v>45184</c:v>
                </c:pt>
                <c:pt idx="111">
                  <c:v>45177</c:v>
                </c:pt>
                <c:pt idx="112">
                  <c:v>45170</c:v>
                </c:pt>
                <c:pt idx="113">
                  <c:v>45163</c:v>
                </c:pt>
                <c:pt idx="114">
                  <c:v>45156</c:v>
                </c:pt>
                <c:pt idx="115">
                  <c:v>45149</c:v>
                </c:pt>
                <c:pt idx="116">
                  <c:v>45142</c:v>
                </c:pt>
                <c:pt idx="117">
                  <c:v>45135</c:v>
                </c:pt>
                <c:pt idx="118">
                  <c:v>45128</c:v>
                </c:pt>
                <c:pt idx="119">
                  <c:v>45121</c:v>
                </c:pt>
                <c:pt idx="120">
                  <c:v>45114</c:v>
                </c:pt>
                <c:pt idx="121">
                  <c:v>45107</c:v>
                </c:pt>
                <c:pt idx="122">
                  <c:v>45100</c:v>
                </c:pt>
                <c:pt idx="123">
                  <c:v>45093</c:v>
                </c:pt>
                <c:pt idx="124">
                  <c:v>45086</c:v>
                </c:pt>
                <c:pt idx="125">
                  <c:v>45079</c:v>
                </c:pt>
                <c:pt idx="126">
                  <c:v>45072</c:v>
                </c:pt>
                <c:pt idx="127">
                  <c:v>45065</c:v>
                </c:pt>
                <c:pt idx="128">
                  <c:v>45058</c:v>
                </c:pt>
                <c:pt idx="129">
                  <c:v>45051</c:v>
                </c:pt>
                <c:pt idx="130">
                  <c:v>45044</c:v>
                </c:pt>
                <c:pt idx="131">
                  <c:v>45037</c:v>
                </c:pt>
                <c:pt idx="132">
                  <c:v>45030</c:v>
                </c:pt>
                <c:pt idx="133">
                  <c:v>45023</c:v>
                </c:pt>
                <c:pt idx="134">
                  <c:v>45016</c:v>
                </c:pt>
                <c:pt idx="135">
                  <c:v>45009</c:v>
                </c:pt>
                <c:pt idx="136">
                  <c:v>45002</c:v>
                </c:pt>
                <c:pt idx="137">
                  <c:v>44995</c:v>
                </c:pt>
                <c:pt idx="138">
                  <c:v>44988</c:v>
                </c:pt>
                <c:pt idx="139">
                  <c:v>44981</c:v>
                </c:pt>
                <c:pt idx="140">
                  <c:v>44974</c:v>
                </c:pt>
                <c:pt idx="141">
                  <c:v>44967</c:v>
                </c:pt>
                <c:pt idx="142">
                  <c:v>44960</c:v>
                </c:pt>
                <c:pt idx="143">
                  <c:v>44953</c:v>
                </c:pt>
                <c:pt idx="144">
                  <c:v>44946</c:v>
                </c:pt>
                <c:pt idx="145">
                  <c:v>44939</c:v>
                </c:pt>
                <c:pt idx="146">
                  <c:v>44932</c:v>
                </c:pt>
                <c:pt idx="147">
                  <c:v>44925</c:v>
                </c:pt>
                <c:pt idx="148">
                  <c:v>44918</c:v>
                </c:pt>
                <c:pt idx="149">
                  <c:v>44911</c:v>
                </c:pt>
                <c:pt idx="150">
                  <c:v>44904</c:v>
                </c:pt>
                <c:pt idx="151">
                  <c:v>44897</c:v>
                </c:pt>
                <c:pt idx="152">
                  <c:v>44890</c:v>
                </c:pt>
                <c:pt idx="153">
                  <c:v>44883</c:v>
                </c:pt>
                <c:pt idx="154">
                  <c:v>44876</c:v>
                </c:pt>
              </c:numCache>
            </c:numRef>
          </c:cat>
          <c:val>
            <c:numRef>
              <c:f>'Stock Data'!$AK$5:$AK$159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7FCB-4865-8E32-ABAA033EDCFC}"/>
            </c:ext>
          </c:extLst>
        </c:ser>
        <c:dLbls>
          <c:showLegendKey val="0"/>
          <c:showVal val="0"/>
          <c:showCatName val="0"/>
          <c:showSerName val="0"/>
          <c:showPercent val="0"/>
          <c:showBubbleSize val="0"/>
        </c:dLbls>
        <c:smooth val="0"/>
        <c:axId val="1046459376"/>
        <c:axId val="1046460032"/>
      </c:lineChart>
      <c:dateAx>
        <c:axId val="104645937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60032"/>
        <c:crosses val="autoZero"/>
        <c:auto val="1"/>
        <c:lblOffset val="100"/>
        <c:baseTimeUnit val="days"/>
      </c:dateAx>
      <c:valAx>
        <c:axId val="104646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59376"/>
        <c:crosses val="autoZero"/>
        <c:crossBetween val="between"/>
      </c:valAx>
      <c:spPr>
        <a:noFill/>
        <a:ln>
          <a:noFill/>
        </a:ln>
        <a:effectLst/>
      </c:spPr>
    </c:plotArea>
    <c:legend>
      <c:legendPos val="b"/>
      <c:layout>
        <c:manualLayout>
          <c:xMode val="edge"/>
          <c:yMode val="edge"/>
          <c:x val="0"/>
          <c:y val="0.86841770168981003"/>
          <c:w val="1"/>
          <c:h val="0.1141308828675652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rading Comps'!A1"/><Relationship Id="rId13" Type="http://schemas.openxmlformats.org/officeDocument/2006/relationships/hyperlink" Target="#BS!A1"/><Relationship Id="rId18" Type="http://schemas.openxmlformats.org/officeDocument/2006/relationships/chart" Target="../charts/chart2.xml"/><Relationship Id="rId3" Type="http://schemas.openxmlformats.org/officeDocument/2006/relationships/hyperlink" Target="#'Key Info'!A1"/><Relationship Id="rId21" Type="http://schemas.openxmlformats.org/officeDocument/2006/relationships/chart" Target="../charts/chart5.xml"/><Relationship Id="rId7" Type="http://schemas.openxmlformats.org/officeDocument/2006/relationships/hyperlink" Target="#Peers!A1"/><Relationship Id="rId12" Type="http://schemas.openxmlformats.org/officeDocument/2006/relationships/hyperlink" Target="#IS!A1"/><Relationship Id="rId17" Type="http://schemas.openxmlformats.org/officeDocument/2006/relationships/chart" Target="../charts/chart1.xml"/><Relationship Id="rId2" Type="http://schemas.openxmlformats.org/officeDocument/2006/relationships/image" Target="../media/image1.png"/><Relationship Id="rId16" Type="http://schemas.openxmlformats.org/officeDocument/2006/relationships/hyperlink" Target="#Inputs!A1"/><Relationship Id="rId20" Type="http://schemas.openxmlformats.org/officeDocument/2006/relationships/chart" Target="../charts/chart4.xml"/><Relationship Id="rId1" Type="http://schemas.openxmlformats.org/officeDocument/2006/relationships/hyperlink" Target="#Sensitivity!A1"/><Relationship Id="rId6" Type="http://schemas.openxmlformats.org/officeDocument/2006/relationships/hyperlink" Target="#Segments!A1"/><Relationship Id="rId11" Type="http://schemas.openxmlformats.org/officeDocument/2006/relationships/hyperlink" Target="#LBO!A1"/><Relationship Id="rId5" Type="http://schemas.openxmlformats.org/officeDocument/2006/relationships/hyperlink" Target="#ESG!A1"/><Relationship Id="rId15" Type="http://schemas.openxmlformats.org/officeDocument/2006/relationships/hyperlink" Target="#'Error Check'!A1"/><Relationship Id="rId10" Type="http://schemas.openxmlformats.org/officeDocument/2006/relationships/hyperlink" Target="#FCFF!A1"/><Relationship Id="rId19" Type="http://schemas.openxmlformats.org/officeDocument/2006/relationships/chart" Target="../charts/chart3.xml"/><Relationship Id="rId4" Type="http://schemas.openxmlformats.org/officeDocument/2006/relationships/hyperlink" Target="#Industry!A1"/><Relationship Id="rId9" Type="http://schemas.openxmlformats.org/officeDocument/2006/relationships/hyperlink" Target="#WACC!A1"/><Relationship Id="rId14" Type="http://schemas.openxmlformats.org/officeDocument/2006/relationships/hyperlink" Target="#CF!A1"/><Relationship Id="rId22"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6.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3.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8.xml"/><Relationship Id="rId16" Type="http://schemas.openxmlformats.org/officeDocument/2006/relationships/hyperlink" Target="#BS!A1"/><Relationship Id="rId1" Type="http://schemas.openxmlformats.org/officeDocument/2006/relationships/chart" Target="../charts/chart7.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4.xml.rels><?xml version="1.0" encoding="UTF-8" standalone="yes"?>
<Relationships xmlns="http://schemas.openxmlformats.org/package/2006/relationships"><Relationship Id="rId8" Type="http://schemas.openxmlformats.org/officeDocument/2006/relationships/hyperlink" Target="#'Key Info'!A1"/><Relationship Id="rId13" Type="http://schemas.openxmlformats.org/officeDocument/2006/relationships/hyperlink" Target="#'Trading Comps'!A1"/><Relationship Id="rId18" Type="http://schemas.openxmlformats.org/officeDocument/2006/relationships/hyperlink" Target="#BS!A1"/><Relationship Id="rId3" Type="http://schemas.openxmlformats.org/officeDocument/2006/relationships/chart" Target="../charts/chart11.xml"/><Relationship Id="rId21" Type="http://schemas.openxmlformats.org/officeDocument/2006/relationships/hyperlink" Target="#Inputs!A1"/><Relationship Id="rId7" Type="http://schemas.openxmlformats.org/officeDocument/2006/relationships/hyperlink" Target="#Dashboard!A1"/><Relationship Id="rId12" Type="http://schemas.openxmlformats.org/officeDocument/2006/relationships/hyperlink" Target="#Peers!A1"/><Relationship Id="rId17" Type="http://schemas.openxmlformats.org/officeDocument/2006/relationships/hyperlink" Target="#IS!A1"/><Relationship Id="rId2" Type="http://schemas.openxmlformats.org/officeDocument/2006/relationships/chart" Target="../charts/chart10.xml"/><Relationship Id="rId16" Type="http://schemas.openxmlformats.org/officeDocument/2006/relationships/hyperlink" Target="#LBO!A1"/><Relationship Id="rId20" Type="http://schemas.openxmlformats.org/officeDocument/2006/relationships/hyperlink" Target="#'Error Check'!A1"/><Relationship Id="rId1" Type="http://schemas.openxmlformats.org/officeDocument/2006/relationships/chart" Target="../charts/chart9.xml"/><Relationship Id="rId6" Type="http://schemas.openxmlformats.org/officeDocument/2006/relationships/image" Target="../media/image1.png"/><Relationship Id="rId11" Type="http://schemas.openxmlformats.org/officeDocument/2006/relationships/hyperlink" Target="#Segments!A1"/><Relationship Id="rId5" Type="http://schemas.openxmlformats.org/officeDocument/2006/relationships/hyperlink" Target="#Sensitivity!A1"/><Relationship Id="rId15" Type="http://schemas.openxmlformats.org/officeDocument/2006/relationships/hyperlink" Target="#FCFF!A1"/><Relationship Id="rId10" Type="http://schemas.openxmlformats.org/officeDocument/2006/relationships/hyperlink" Target="#ESG!A1"/><Relationship Id="rId19" Type="http://schemas.openxmlformats.org/officeDocument/2006/relationships/hyperlink" Target="#CF!A1"/><Relationship Id="rId4" Type="http://schemas.openxmlformats.org/officeDocument/2006/relationships/chart" Target="../charts/chart12.xml"/><Relationship Id="rId9" Type="http://schemas.openxmlformats.org/officeDocument/2006/relationships/hyperlink" Target="#Industry!A1"/><Relationship Id="rId14" Type="http://schemas.openxmlformats.org/officeDocument/2006/relationships/hyperlink" Target="#WACC!A1"/></Relationships>
</file>

<file path=xl/drawings/_rels/drawing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6.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7.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21" Type="http://schemas.openxmlformats.org/officeDocument/2006/relationships/chart" Target="../charts/chart16.xml"/><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4.xml"/><Relationship Id="rId16" Type="http://schemas.openxmlformats.org/officeDocument/2006/relationships/hyperlink" Target="#BS!A1"/><Relationship Id="rId20" Type="http://schemas.openxmlformats.org/officeDocument/2006/relationships/chart" Target="../charts/chart15.xml"/><Relationship Id="rId1" Type="http://schemas.openxmlformats.org/officeDocument/2006/relationships/chart" Target="../charts/chart13.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8.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chart" Target="../charts/chart17.xml"/><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9.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0.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1.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18.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19" Type="http://schemas.openxmlformats.org/officeDocument/2006/relationships/image" Target="../media/image2.tmp"/><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2.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3.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4.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6.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20.xml"/><Relationship Id="rId16" Type="http://schemas.openxmlformats.org/officeDocument/2006/relationships/hyperlink" Target="#BS!A1"/><Relationship Id="rId1" Type="http://schemas.openxmlformats.org/officeDocument/2006/relationships/chart" Target="../charts/chart19.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drawing1.xml><?xml version="1.0" encoding="utf-8"?>
<xdr:wsDr xmlns:xdr="http://schemas.openxmlformats.org/drawingml/2006/spreadsheetDrawing" xmlns:a="http://schemas.openxmlformats.org/drawingml/2006/main">
  <xdr:twoCellAnchor>
    <xdr:from>
      <xdr:col>0</xdr:col>
      <xdr:colOff>234398</xdr:colOff>
      <xdr:row>5</xdr:row>
      <xdr:rowOff>61949</xdr:rowOff>
    </xdr:from>
    <xdr:to>
      <xdr:col>5</xdr:col>
      <xdr:colOff>596566</xdr:colOff>
      <xdr:row>17</xdr:row>
      <xdr:rowOff>116402</xdr:rowOff>
    </xdr:to>
    <xdr:sp macro="" textlink="">
      <xdr:nvSpPr>
        <xdr:cNvPr id="3" name="Rounded Rectangle 2">
          <a:extLst>
            <a:ext uri="{FF2B5EF4-FFF2-40B4-BE49-F238E27FC236}">
              <a16:creationId xmlns:a16="http://schemas.microsoft.com/office/drawing/2014/main" id="{00000000-0008-0000-0000-000003000000}"/>
            </a:ext>
          </a:extLst>
        </xdr:cNvPr>
        <xdr:cNvSpPr/>
      </xdr:nvSpPr>
      <xdr:spPr>
        <a:xfrm>
          <a:off x="234398" y="871574"/>
          <a:ext cx="4048343" cy="2340453"/>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85726</xdr:colOff>
      <xdr:row>7</xdr:row>
      <xdr:rowOff>112059</xdr:rowOff>
    </xdr:from>
    <xdr:to>
      <xdr:col>5</xdr:col>
      <xdr:colOff>307666</xdr:colOff>
      <xdr:row>21</xdr:row>
      <xdr:rowOff>73960</xdr:rowOff>
    </xdr:to>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769285" y="1445559"/>
          <a:ext cx="2956175" cy="26289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296310</xdr:colOff>
      <xdr:row>5</xdr:row>
      <xdr:rowOff>127796</xdr:rowOff>
    </xdr:from>
    <xdr:to>
      <xdr:col>5</xdr:col>
      <xdr:colOff>505497</xdr:colOff>
      <xdr:row>17</xdr:row>
      <xdr:rowOff>4637</xdr:rowOff>
    </xdr:to>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296310" y="937421"/>
          <a:ext cx="3895362" cy="21628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366163</xdr:colOff>
      <xdr:row>5</xdr:row>
      <xdr:rowOff>175421</xdr:rowOff>
    </xdr:from>
    <xdr:to>
      <xdr:col>5</xdr:col>
      <xdr:colOff>457200</xdr:colOff>
      <xdr:row>16</xdr:row>
      <xdr:rowOff>114300</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366163" y="985046"/>
          <a:ext cx="3777212" cy="2034379"/>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566944</xdr:colOff>
      <xdr:row>11</xdr:row>
      <xdr:rowOff>133265</xdr:rowOff>
    </xdr:from>
    <xdr:to>
      <xdr:col>4</xdr:col>
      <xdr:colOff>395494</xdr:colOff>
      <xdr:row>16</xdr:row>
      <xdr:rowOff>76116</xdr:rowOff>
    </xdr:to>
    <xdr:sp macro="" textlink="FCFF!R162">
      <xdr:nvSpPr>
        <xdr:cNvPr id="6" name="TextBox 5">
          <a:extLst>
            <a:ext uri="{FF2B5EF4-FFF2-40B4-BE49-F238E27FC236}">
              <a16:creationId xmlns:a16="http://schemas.microsoft.com/office/drawing/2014/main" id="{00000000-0008-0000-0000-000006000000}"/>
            </a:ext>
          </a:extLst>
        </xdr:cNvPr>
        <xdr:cNvSpPr txBox="1"/>
      </xdr:nvSpPr>
      <xdr:spPr>
        <a:xfrm>
          <a:off x="566944" y="2085890"/>
          <a:ext cx="2743200" cy="89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65EA20-3753-4CCE-BFB8-4A3D51EE86A5}" type="TxLink">
            <a:rPr lang="en-US" sz="2400" b="0" i="0" u="none" strike="noStrike" cap="none" spc="0">
              <a:ln w="0"/>
              <a:solidFill>
                <a:schemeClr val="accent1"/>
              </a:solidFill>
              <a:effectLst>
                <a:outerShdw blurRad="50800" dist="38100" dir="2700000" algn="tl" rotWithShape="0">
                  <a:prstClr val="black">
                    <a:alpha val="40000"/>
                  </a:prstClr>
                </a:outerShdw>
              </a:effectLst>
              <a:latin typeface="Arial Nova"/>
              <a:cs typeface="Arial"/>
            </a:rPr>
            <a:pPr/>
            <a:t>Downside</a:t>
          </a:fld>
          <a:endParaRPr lang="en-US" sz="6600" b="0" cap="none" spc="0">
            <a:ln w="0"/>
            <a:solidFill>
              <a:schemeClr val="accent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1</xdr:col>
      <xdr:colOff>95251</xdr:colOff>
      <xdr:row>7</xdr:row>
      <xdr:rowOff>112059</xdr:rowOff>
    </xdr:from>
    <xdr:to>
      <xdr:col>5</xdr:col>
      <xdr:colOff>317191</xdr:colOff>
      <xdr:row>21</xdr:row>
      <xdr:rowOff>112060</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778810" y="1445559"/>
          <a:ext cx="2956175" cy="26670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18</xdr:row>
      <xdr:rowOff>26335</xdr:rowOff>
    </xdr:from>
    <xdr:to>
      <xdr:col>8</xdr:col>
      <xdr:colOff>522194</xdr:colOff>
      <xdr:row>35</xdr:row>
      <xdr:rowOff>122647</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171450" y="3312460"/>
          <a:ext cx="6094319"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218419</xdr:colOff>
      <xdr:row>18</xdr:row>
      <xdr:rowOff>73959</xdr:rowOff>
    </xdr:from>
    <xdr:to>
      <xdr:col>8</xdr:col>
      <xdr:colOff>435252</xdr:colOff>
      <xdr:row>35</xdr:row>
      <xdr:rowOff>76200</xdr:rowOff>
    </xdr:to>
    <xdr:sp macro="" textlink="">
      <xdr:nvSpPr>
        <xdr:cNvPr id="12" name="Rounded Rectangle 11">
          <a:extLst>
            <a:ext uri="{FF2B5EF4-FFF2-40B4-BE49-F238E27FC236}">
              <a16:creationId xmlns:a16="http://schemas.microsoft.com/office/drawing/2014/main" id="{00000000-0008-0000-0000-00000C000000}"/>
            </a:ext>
          </a:extLst>
        </xdr:cNvPr>
        <xdr:cNvSpPr/>
      </xdr:nvSpPr>
      <xdr:spPr>
        <a:xfrm>
          <a:off x="218419" y="3358442"/>
          <a:ext cx="5938402"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0</xdr:col>
      <xdr:colOff>304799</xdr:colOff>
      <xdr:row>18</xdr:row>
      <xdr:rowOff>140635</xdr:rowOff>
    </xdr:from>
    <xdr:to>
      <xdr:col>8</xdr:col>
      <xdr:colOff>398929</xdr:colOff>
      <xdr:row>35</xdr:row>
      <xdr:rowOff>24415</xdr:rowOff>
    </xdr:to>
    <xdr:sp macro="" textlink="">
      <xdr:nvSpPr>
        <xdr:cNvPr id="15" name="Rounded Rectangle 14">
          <a:extLst>
            <a:ext uri="{FF2B5EF4-FFF2-40B4-BE49-F238E27FC236}">
              <a16:creationId xmlns:a16="http://schemas.microsoft.com/office/drawing/2014/main" id="{00000000-0008-0000-0000-00000F000000}"/>
            </a:ext>
          </a:extLst>
        </xdr:cNvPr>
        <xdr:cNvSpPr/>
      </xdr:nvSpPr>
      <xdr:spPr>
        <a:xfrm>
          <a:off x="304799" y="3426760"/>
          <a:ext cx="5837705"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5</xdr:col>
      <xdr:colOff>676275</xdr:colOff>
      <xdr:row>5</xdr:row>
      <xdr:rowOff>92221</xdr:rowOff>
    </xdr:from>
    <xdr:to>
      <xdr:col>16</xdr:col>
      <xdr:colOff>438150</xdr:colOff>
      <xdr:row>17</xdr:row>
      <xdr:rowOff>123825</xdr:rowOff>
    </xdr:to>
    <xdr:sp macro="" textlink="">
      <xdr:nvSpPr>
        <xdr:cNvPr id="17" name="Rounded Rectangle 16">
          <a:extLst>
            <a:ext uri="{FF2B5EF4-FFF2-40B4-BE49-F238E27FC236}">
              <a16:creationId xmlns:a16="http://schemas.microsoft.com/office/drawing/2014/main" id="{00000000-0008-0000-0000-000011000000}"/>
            </a:ext>
          </a:extLst>
        </xdr:cNvPr>
        <xdr:cNvSpPr/>
      </xdr:nvSpPr>
      <xdr:spPr>
        <a:xfrm>
          <a:off x="4362450" y="901846"/>
          <a:ext cx="7305675" cy="23176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45190</xdr:colOff>
      <xdr:row>5</xdr:row>
      <xdr:rowOff>171451</xdr:rowOff>
    </xdr:from>
    <xdr:to>
      <xdr:col>16</xdr:col>
      <xdr:colOff>381000</xdr:colOff>
      <xdr:row>17</xdr:row>
      <xdr:rowOff>24233</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4417165" y="981076"/>
          <a:ext cx="7193810" cy="213878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98986</xdr:colOff>
      <xdr:row>6</xdr:row>
      <xdr:rowOff>48394</xdr:rowOff>
    </xdr:from>
    <xdr:to>
      <xdr:col>16</xdr:col>
      <xdr:colOff>314326</xdr:colOff>
      <xdr:row>16</xdr:row>
      <xdr:rowOff>135568</xdr:rowOff>
    </xdr:to>
    <xdr:sp macro="" textlink="">
      <xdr:nvSpPr>
        <xdr:cNvPr id="19" name="Rounded Rectangle 18">
          <a:extLst>
            <a:ext uri="{FF2B5EF4-FFF2-40B4-BE49-F238E27FC236}">
              <a16:creationId xmlns:a16="http://schemas.microsoft.com/office/drawing/2014/main" id="{00000000-0008-0000-0000-000013000000}"/>
            </a:ext>
          </a:extLst>
        </xdr:cNvPr>
        <xdr:cNvSpPr/>
      </xdr:nvSpPr>
      <xdr:spPr>
        <a:xfrm>
          <a:off x="4470961" y="1048519"/>
          <a:ext cx="7073340" cy="1992174"/>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solidFill>
              <a:schemeClr val="accent1">
                <a:lumMod val="50000"/>
              </a:schemeClr>
            </a:solidFill>
          </a:endParaRPr>
        </a:p>
      </xdr:txBody>
    </xdr:sp>
    <xdr:clientData/>
  </xdr:twoCellAnchor>
  <xdr:twoCellAnchor>
    <xdr:from>
      <xdr:col>0</xdr:col>
      <xdr:colOff>0</xdr:colOff>
      <xdr:row>0</xdr:row>
      <xdr:rowOff>0</xdr:rowOff>
    </xdr:from>
    <xdr:to>
      <xdr:col>62</xdr:col>
      <xdr:colOff>589561</xdr:colOff>
      <xdr:row>4</xdr:row>
      <xdr:rowOff>0</xdr:rowOff>
    </xdr:to>
    <xdr:sp macro="" textlink="">
      <xdr:nvSpPr>
        <xdr:cNvPr id="58" name="Rectangle 57">
          <a:extLst>
            <a:ext uri="{FF2B5EF4-FFF2-40B4-BE49-F238E27FC236}">
              <a16:creationId xmlns:a16="http://schemas.microsoft.com/office/drawing/2014/main" id="{AF733DE3-35E1-4EEC-B834-C1DBBEAA33B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208947</xdr:colOff>
      <xdr:row>1</xdr:row>
      <xdr:rowOff>19879</xdr:rowOff>
    </xdr:from>
    <xdr:to>
      <xdr:col>19</xdr:col>
      <xdr:colOff>474115</xdr:colOff>
      <xdr:row>3</xdr:row>
      <xdr:rowOff>10354</xdr:rowOff>
    </xdr:to>
    <xdr:sp macro="" textlink="">
      <xdr:nvSpPr>
        <xdr:cNvPr id="59" name="TextBox 58">
          <a:hlinkClick xmlns:r="http://schemas.openxmlformats.org/officeDocument/2006/relationships" r:id="rId1"/>
          <a:extLst>
            <a:ext uri="{FF2B5EF4-FFF2-40B4-BE49-F238E27FC236}">
              <a16:creationId xmlns:a16="http://schemas.microsoft.com/office/drawing/2014/main" id="{1FCA6EB7-95F6-4D97-9B19-5BAE7D22A7E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0" name="Picture 59">
          <a:extLst>
            <a:ext uri="{FF2B5EF4-FFF2-40B4-BE49-F238E27FC236}">
              <a16:creationId xmlns:a16="http://schemas.microsoft.com/office/drawing/2014/main" id="{1F2B1FCB-97BE-434F-9A93-E40D6B8F057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88127</xdr:colOff>
      <xdr:row>1</xdr:row>
      <xdr:rowOff>28201</xdr:rowOff>
    </xdr:from>
    <xdr:to>
      <xdr:col>2</xdr:col>
      <xdr:colOff>88127</xdr:colOff>
      <xdr:row>2</xdr:row>
      <xdr:rowOff>138545</xdr:rowOff>
    </xdr:to>
    <xdr:cxnSp macro="">
      <xdr:nvCxnSpPr>
        <xdr:cNvPr id="62" name="Straight Connector 61">
          <a:extLst>
            <a:ext uri="{FF2B5EF4-FFF2-40B4-BE49-F238E27FC236}">
              <a16:creationId xmlns:a16="http://schemas.microsoft.com/office/drawing/2014/main" id="{7F983B49-BEA6-4327-A2CC-6E44AC24A0E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20378</xdr:colOff>
      <xdr:row>1</xdr:row>
      <xdr:rowOff>19879</xdr:rowOff>
    </xdr:from>
    <xdr:to>
      <xdr:col>8</xdr:col>
      <xdr:colOff>293001</xdr:colOff>
      <xdr:row>3</xdr:row>
      <xdr:rowOff>10354</xdr:rowOff>
    </xdr:to>
    <xdr:sp macro="" textlink="">
      <xdr:nvSpPr>
        <xdr:cNvPr id="64" name="TextBox 63">
          <a:hlinkClick xmlns:r="http://schemas.openxmlformats.org/officeDocument/2006/relationships" r:id="rId3"/>
          <a:extLst>
            <a:ext uri="{FF2B5EF4-FFF2-40B4-BE49-F238E27FC236}">
              <a16:creationId xmlns:a16="http://schemas.microsoft.com/office/drawing/2014/main" id="{6BB4CA84-4E6D-4A61-8FD7-E93FE7FC9BD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8</xdr:col>
      <xdr:colOff>195727</xdr:colOff>
      <xdr:row>1</xdr:row>
      <xdr:rowOff>19879</xdr:rowOff>
    </xdr:from>
    <xdr:to>
      <xdr:col>9</xdr:col>
      <xdr:colOff>462291</xdr:colOff>
      <xdr:row>3</xdr:row>
      <xdr:rowOff>10354</xdr:rowOff>
    </xdr:to>
    <xdr:sp macro="" textlink="">
      <xdr:nvSpPr>
        <xdr:cNvPr id="65" name="TextBox 64">
          <a:hlinkClick xmlns:r="http://schemas.openxmlformats.org/officeDocument/2006/relationships" r:id="rId4"/>
          <a:extLst>
            <a:ext uri="{FF2B5EF4-FFF2-40B4-BE49-F238E27FC236}">
              <a16:creationId xmlns:a16="http://schemas.microsoft.com/office/drawing/2014/main" id="{5E788863-28A2-4C8D-A16F-D4A62DF4ED6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9</xdr:col>
      <xdr:colOff>365017</xdr:colOff>
      <xdr:row>1</xdr:row>
      <xdr:rowOff>19879</xdr:rowOff>
    </xdr:from>
    <xdr:to>
      <xdr:col>10</xdr:col>
      <xdr:colOff>637612</xdr:colOff>
      <xdr:row>3</xdr:row>
      <xdr:rowOff>10354</xdr:rowOff>
    </xdr:to>
    <xdr:sp macro="" textlink="">
      <xdr:nvSpPr>
        <xdr:cNvPr id="66" name="TextBox 65">
          <a:hlinkClick xmlns:r="http://schemas.openxmlformats.org/officeDocument/2006/relationships" r:id="rId5"/>
          <a:extLst>
            <a:ext uri="{FF2B5EF4-FFF2-40B4-BE49-F238E27FC236}">
              <a16:creationId xmlns:a16="http://schemas.microsoft.com/office/drawing/2014/main" id="{8E63717A-9DA7-4A62-9F4B-5EC2C4B8275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10</xdr:col>
      <xdr:colOff>540338</xdr:colOff>
      <xdr:row>1</xdr:row>
      <xdr:rowOff>19879</xdr:rowOff>
    </xdr:from>
    <xdr:to>
      <xdr:col>12</xdr:col>
      <xdr:colOff>131214</xdr:colOff>
      <xdr:row>3</xdr:row>
      <xdr:rowOff>10354</xdr:rowOff>
    </xdr:to>
    <xdr:sp macro="" textlink="">
      <xdr:nvSpPr>
        <xdr:cNvPr id="67" name="TextBox 66">
          <a:hlinkClick xmlns:r="http://schemas.openxmlformats.org/officeDocument/2006/relationships" r:id="rId6"/>
          <a:extLst>
            <a:ext uri="{FF2B5EF4-FFF2-40B4-BE49-F238E27FC236}">
              <a16:creationId xmlns:a16="http://schemas.microsoft.com/office/drawing/2014/main" id="{DAA5A255-A636-4B09-AAFE-9A04E9CCB95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33940</xdr:colOff>
      <xdr:row>1</xdr:row>
      <xdr:rowOff>19879</xdr:rowOff>
    </xdr:from>
    <xdr:to>
      <xdr:col>13</xdr:col>
      <xdr:colOff>303545</xdr:colOff>
      <xdr:row>3</xdr:row>
      <xdr:rowOff>10354</xdr:rowOff>
    </xdr:to>
    <xdr:sp macro="" textlink="">
      <xdr:nvSpPr>
        <xdr:cNvPr id="68" name="TextBox 67">
          <a:hlinkClick xmlns:r="http://schemas.openxmlformats.org/officeDocument/2006/relationships" r:id="rId7"/>
          <a:extLst>
            <a:ext uri="{FF2B5EF4-FFF2-40B4-BE49-F238E27FC236}">
              <a16:creationId xmlns:a16="http://schemas.microsoft.com/office/drawing/2014/main" id="{03EC94A1-4B9F-45EB-AEFA-6A8A5D8CDCD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13</xdr:col>
      <xdr:colOff>207952</xdr:colOff>
      <xdr:row>1</xdr:row>
      <xdr:rowOff>19879</xdr:rowOff>
    </xdr:from>
    <xdr:to>
      <xdr:col>14</xdr:col>
      <xdr:colOff>475877</xdr:colOff>
      <xdr:row>3</xdr:row>
      <xdr:rowOff>10354</xdr:rowOff>
    </xdr:to>
    <xdr:sp macro="" textlink="">
      <xdr:nvSpPr>
        <xdr:cNvPr id="69" name="TextBox 68">
          <a:hlinkClick xmlns:r="http://schemas.openxmlformats.org/officeDocument/2006/relationships" r:id="rId8"/>
          <a:extLst>
            <a:ext uri="{FF2B5EF4-FFF2-40B4-BE49-F238E27FC236}">
              <a16:creationId xmlns:a16="http://schemas.microsoft.com/office/drawing/2014/main" id="{B182EBCB-B912-4705-89AA-5FC7543697B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14</xdr:col>
      <xdr:colOff>380284</xdr:colOff>
      <xdr:row>1</xdr:row>
      <xdr:rowOff>19879</xdr:rowOff>
    </xdr:from>
    <xdr:to>
      <xdr:col>15</xdr:col>
      <xdr:colOff>650667</xdr:colOff>
      <xdr:row>3</xdr:row>
      <xdr:rowOff>10354</xdr:rowOff>
    </xdr:to>
    <xdr:sp macro="" textlink="">
      <xdr:nvSpPr>
        <xdr:cNvPr id="70" name="TextBox 69">
          <a:hlinkClick xmlns:r="http://schemas.openxmlformats.org/officeDocument/2006/relationships" r:id="rId9"/>
          <a:extLst>
            <a:ext uri="{FF2B5EF4-FFF2-40B4-BE49-F238E27FC236}">
              <a16:creationId xmlns:a16="http://schemas.microsoft.com/office/drawing/2014/main" id="{8E24EAE8-D0D9-4385-9FCB-AE319BD9AF4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15</xdr:col>
      <xdr:colOff>553393</xdr:colOff>
      <xdr:row>1</xdr:row>
      <xdr:rowOff>19879</xdr:rowOff>
    </xdr:from>
    <xdr:to>
      <xdr:col>17</xdr:col>
      <xdr:colOff>138329</xdr:colOff>
      <xdr:row>3</xdr:row>
      <xdr:rowOff>10354</xdr:rowOff>
    </xdr:to>
    <xdr:sp macro="" textlink="">
      <xdr:nvSpPr>
        <xdr:cNvPr id="71" name="TextBox 70">
          <a:hlinkClick xmlns:r="http://schemas.openxmlformats.org/officeDocument/2006/relationships" r:id="rId10"/>
          <a:extLst>
            <a:ext uri="{FF2B5EF4-FFF2-40B4-BE49-F238E27FC236}">
              <a16:creationId xmlns:a16="http://schemas.microsoft.com/office/drawing/2014/main" id="{FBA45ED2-1CB1-4705-8D68-282891BF6B4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41055</xdr:colOff>
      <xdr:row>1</xdr:row>
      <xdr:rowOff>19879</xdr:rowOff>
    </xdr:from>
    <xdr:to>
      <xdr:col>18</xdr:col>
      <xdr:colOff>306221</xdr:colOff>
      <xdr:row>3</xdr:row>
      <xdr:rowOff>10354</xdr:rowOff>
    </xdr:to>
    <xdr:sp macro="" textlink="">
      <xdr:nvSpPr>
        <xdr:cNvPr id="72" name="TextBox 71">
          <a:hlinkClick xmlns:r="http://schemas.openxmlformats.org/officeDocument/2006/relationships" r:id="rId11"/>
          <a:extLst>
            <a:ext uri="{FF2B5EF4-FFF2-40B4-BE49-F238E27FC236}">
              <a16:creationId xmlns:a16="http://schemas.microsoft.com/office/drawing/2014/main" id="{CBD6013A-3815-459D-99CC-C5FB0FCD93D7}"/>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19</xdr:col>
      <xdr:colOff>376841</xdr:colOff>
      <xdr:row>1</xdr:row>
      <xdr:rowOff>19879</xdr:rowOff>
    </xdr:from>
    <xdr:to>
      <xdr:col>20</xdr:col>
      <xdr:colOff>645182</xdr:colOff>
      <xdr:row>3</xdr:row>
      <xdr:rowOff>10354</xdr:rowOff>
    </xdr:to>
    <xdr:sp macro="" textlink="">
      <xdr:nvSpPr>
        <xdr:cNvPr id="73" name="TextBox 72">
          <a:hlinkClick xmlns:r="http://schemas.openxmlformats.org/officeDocument/2006/relationships" r:id="rId12"/>
          <a:extLst>
            <a:ext uri="{FF2B5EF4-FFF2-40B4-BE49-F238E27FC236}">
              <a16:creationId xmlns:a16="http://schemas.microsoft.com/office/drawing/2014/main" id="{AD8B6910-B64A-4111-B4E8-DE5B9C57855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20</xdr:col>
      <xdr:colOff>547908</xdr:colOff>
      <xdr:row>1</xdr:row>
      <xdr:rowOff>19879</xdr:rowOff>
    </xdr:from>
    <xdr:to>
      <xdr:col>22</xdr:col>
      <xdr:colOff>133461</xdr:colOff>
      <xdr:row>3</xdr:row>
      <xdr:rowOff>10354</xdr:rowOff>
    </xdr:to>
    <xdr:sp macro="" textlink="">
      <xdr:nvSpPr>
        <xdr:cNvPr id="74" name="TextBox 73">
          <a:hlinkClick xmlns:r="http://schemas.openxmlformats.org/officeDocument/2006/relationships" r:id="rId13"/>
          <a:extLst>
            <a:ext uri="{FF2B5EF4-FFF2-40B4-BE49-F238E27FC236}">
              <a16:creationId xmlns:a16="http://schemas.microsoft.com/office/drawing/2014/main" id="{ECD5056D-985C-4AF7-9F8A-C26477B1CD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36187</xdr:colOff>
      <xdr:row>1</xdr:row>
      <xdr:rowOff>19879</xdr:rowOff>
    </xdr:from>
    <xdr:to>
      <xdr:col>23</xdr:col>
      <xdr:colOff>305882</xdr:colOff>
      <xdr:row>3</xdr:row>
      <xdr:rowOff>10354</xdr:rowOff>
    </xdr:to>
    <xdr:sp macro="" textlink="">
      <xdr:nvSpPr>
        <xdr:cNvPr id="75" name="TextBox 74">
          <a:hlinkClick xmlns:r="http://schemas.openxmlformats.org/officeDocument/2006/relationships" r:id="rId14"/>
          <a:extLst>
            <a:ext uri="{FF2B5EF4-FFF2-40B4-BE49-F238E27FC236}">
              <a16:creationId xmlns:a16="http://schemas.microsoft.com/office/drawing/2014/main" id="{C1402E3A-702D-48FC-800A-114E0117A9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23</xdr:col>
      <xdr:colOff>208608</xdr:colOff>
      <xdr:row>1</xdr:row>
      <xdr:rowOff>19879</xdr:rowOff>
    </xdr:from>
    <xdr:to>
      <xdr:col>24</xdr:col>
      <xdr:colOff>482000</xdr:colOff>
      <xdr:row>3</xdr:row>
      <xdr:rowOff>10354</xdr:rowOff>
    </xdr:to>
    <xdr:sp macro="" textlink="">
      <xdr:nvSpPr>
        <xdr:cNvPr id="76" name="TextBox 75">
          <a:hlinkClick xmlns:r="http://schemas.openxmlformats.org/officeDocument/2006/relationships" r:id="rId15"/>
          <a:extLst>
            <a:ext uri="{FF2B5EF4-FFF2-40B4-BE49-F238E27FC236}">
              <a16:creationId xmlns:a16="http://schemas.microsoft.com/office/drawing/2014/main" id="{DE123833-0431-4A06-BDDC-57CDB371FE2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24</xdr:col>
      <xdr:colOff>384737</xdr:colOff>
      <xdr:row>1</xdr:row>
      <xdr:rowOff>19879</xdr:rowOff>
    </xdr:from>
    <xdr:to>
      <xdr:col>25</xdr:col>
      <xdr:colOff>655702</xdr:colOff>
      <xdr:row>3</xdr:row>
      <xdr:rowOff>10354</xdr:rowOff>
    </xdr:to>
    <xdr:sp macro="" textlink="">
      <xdr:nvSpPr>
        <xdr:cNvPr id="77" name="TextBox 76">
          <a:hlinkClick xmlns:r="http://schemas.openxmlformats.org/officeDocument/2006/relationships" r:id="rId16"/>
          <a:extLst>
            <a:ext uri="{FF2B5EF4-FFF2-40B4-BE49-F238E27FC236}">
              <a16:creationId xmlns:a16="http://schemas.microsoft.com/office/drawing/2014/main" id="{B83CB797-6225-4825-B7D8-45F4AD76229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9</xdr:col>
      <xdr:colOff>413654</xdr:colOff>
      <xdr:row>1</xdr:row>
      <xdr:rowOff>103586</xdr:rowOff>
    </xdr:from>
    <xdr:to>
      <xdr:col>9</xdr:col>
      <xdr:colOff>413654</xdr:colOff>
      <xdr:row>2</xdr:row>
      <xdr:rowOff>117146</xdr:rowOff>
    </xdr:to>
    <xdr:cxnSp macro="">
      <xdr:nvCxnSpPr>
        <xdr:cNvPr id="78" name="Straight Connector 77">
          <a:extLst>
            <a:ext uri="{FF2B5EF4-FFF2-40B4-BE49-F238E27FC236}">
              <a16:creationId xmlns:a16="http://schemas.microsoft.com/office/drawing/2014/main" id="{E67AEF58-80F3-420C-B0AE-F034D5E73C5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244364</xdr:colOff>
      <xdr:row>1</xdr:row>
      <xdr:rowOff>103586</xdr:rowOff>
    </xdr:from>
    <xdr:to>
      <xdr:col>8</xdr:col>
      <xdr:colOff>244364</xdr:colOff>
      <xdr:row>2</xdr:row>
      <xdr:rowOff>117146</xdr:rowOff>
    </xdr:to>
    <xdr:cxnSp macro="">
      <xdr:nvCxnSpPr>
        <xdr:cNvPr id="79" name="Straight Connector 78">
          <a:extLst>
            <a:ext uri="{FF2B5EF4-FFF2-40B4-BE49-F238E27FC236}">
              <a16:creationId xmlns:a16="http://schemas.microsoft.com/office/drawing/2014/main" id="{0F22A2E0-A526-47DB-B928-1D0F3C6D6A5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69015</xdr:colOff>
      <xdr:row>1</xdr:row>
      <xdr:rowOff>103586</xdr:rowOff>
    </xdr:from>
    <xdr:to>
      <xdr:col>7</xdr:col>
      <xdr:colOff>69015</xdr:colOff>
      <xdr:row>2</xdr:row>
      <xdr:rowOff>117146</xdr:rowOff>
    </xdr:to>
    <xdr:cxnSp macro="">
      <xdr:nvCxnSpPr>
        <xdr:cNvPr id="80" name="Straight Connector 79">
          <a:extLst>
            <a:ext uri="{FF2B5EF4-FFF2-40B4-BE49-F238E27FC236}">
              <a16:creationId xmlns:a16="http://schemas.microsoft.com/office/drawing/2014/main" id="{DFD3ED74-129F-409A-BA13-111C6924F81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588975</xdr:colOff>
      <xdr:row>1</xdr:row>
      <xdr:rowOff>103586</xdr:rowOff>
    </xdr:from>
    <xdr:to>
      <xdr:col>10</xdr:col>
      <xdr:colOff>588975</xdr:colOff>
      <xdr:row>2</xdr:row>
      <xdr:rowOff>117146</xdr:rowOff>
    </xdr:to>
    <xdr:cxnSp macro="">
      <xdr:nvCxnSpPr>
        <xdr:cNvPr id="81" name="Straight Connector 80">
          <a:extLst>
            <a:ext uri="{FF2B5EF4-FFF2-40B4-BE49-F238E27FC236}">
              <a16:creationId xmlns:a16="http://schemas.microsoft.com/office/drawing/2014/main" id="{C2FB533F-14DF-4A4A-A9A5-B03B6FFEEEB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82577</xdr:colOff>
      <xdr:row>1</xdr:row>
      <xdr:rowOff>103586</xdr:rowOff>
    </xdr:from>
    <xdr:to>
      <xdr:col>12</xdr:col>
      <xdr:colOff>82577</xdr:colOff>
      <xdr:row>2</xdr:row>
      <xdr:rowOff>117146</xdr:rowOff>
    </xdr:to>
    <xdr:cxnSp macro="">
      <xdr:nvCxnSpPr>
        <xdr:cNvPr id="82" name="Straight Connector 81">
          <a:extLst>
            <a:ext uri="{FF2B5EF4-FFF2-40B4-BE49-F238E27FC236}">
              <a16:creationId xmlns:a16="http://schemas.microsoft.com/office/drawing/2014/main" id="{37B60877-9501-43BB-A948-11B4D2AE22A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254908</xdr:colOff>
      <xdr:row>1</xdr:row>
      <xdr:rowOff>103586</xdr:rowOff>
    </xdr:from>
    <xdr:to>
      <xdr:col>13</xdr:col>
      <xdr:colOff>254908</xdr:colOff>
      <xdr:row>2</xdr:row>
      <xdr:rowOff>117146</xdr:rowOff>
    </xdr:to>
    <xdr:cxnSp macro="">
      <xdr:nvCxnSpPr>
        <xdr:cNvPr id="84" name="Straight Connector 83">
          <a:extLst>
            <a:ext uri="{FF2B5EF4-FFF2-40B4-BE49-F238E27FC236}">
              <a16:creationId xmlns:a16="http://schemas.microsoft.com/office/drawing/2014/main" id="{876F524B-14A9-48AD-923A-496857E5563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428921</xdr:colOff>
      <xdr:row>1</xdr:row>
      <xdr:rowOff>103586</xdr:rowOff>
    </xdr:from>
    <xdr:to>
      <xdr:col>14</xdr:col>
      <xdr:colOff>428921</xdr:colOff>
      <xdr:row>2</xdr:row>
      <xdr:rowOff>117146</xdr:rowOff>
    </xdr:to>
    <xdr:cxnSp macro="">
      <xdr:nvCxnSpPr>
        <xdr:cNvPr id="85" name="Straight Connector 84">
          <a:extLst>
            <a:ext uri="{FF2B5EF4-FFF2-40B4-BE49-F238E27FC236}">
              <a16:creationId xmlns:a16="http://schemas.microsoft.com/office/drawing/2014/main" id="{20BC7918-103B-4AFF-B156-967F87A7034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602030</xdr:colOff>
      <xdr:row>1</xdr:row>
      <xdr:rowOff>103586</xdr:rowOff>
    </xdr:from>
    <xdr:to>
      <xdr:col>15</xdr:col>
      <xdr:colOff>602030</xdr:colOff>
      <xdr:row>2</xdr:row>
      <xdr:rowOff>117146</xdr:rowOff>
    </xdr:to>
    <xdr:cxnSp macro="">
      <xdr:nvCxnSpPr>
        <xdr:cNvPr id="115" name="Straight Connector 114">
          <a:extLst>
            <a:ext uri="{FF2B5EF4-FFF2-40B4-BE49-F238E27FC236}">
              <a16:creationId xmlns:a16="http://schemas.microsoft.com/office/drawing/2014/main" id="{1E18C591-8FE2-4FE4-B845-7E94E82E8E6E}"/>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89692</xdr:colOff>
      <xdr:row>1</xdr:row>
      <xdr:rowOff>103586</xdr:rowOff>
    </xdr:from>
    <xdr:to>
      <xdr:col>17</xdr:col>
      <xdr:colOff>89692</xdr:colOff>
      <xdr:row>2</xdr:row>
      <xdr:rowOff>117146</xdr:rowOff>
    </xdr:to>
    <xdr:cxnSp macro="">
      <xdr:nvCxnSpPr>
        <xdr:cNvPr id="116" name="Straight Connector 115">
          <a:extLst>
            <a:ext uri="{FF2B5EF4-FFF2-40B4-BE49-F238E27FC236}">
              <a16:creationId xmlns:a16="http://schemas.microsoft.com/office/drawing/2014/main" id="{316B61E2-D170-477F-A2C7-E319C4D145F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425478</xdr:colOff>
      <xdr:row>1</xdr:row>
      <xdr:rowOff>103586</xdr:rowOff>
    </xdr:from>
    <xdr:to>
      <xdr:col>19</xdr:col>
      <xdr:colOff>425478</xdr:colOff>
      <xdr:row>2</xdr:row>
      <xdr:rowOff>117146</xdr:rowOff>
    </xdr:to>
    <xdr:cxnSp macro="">
      <xdr:nvCxnSpPr>
        <xdr:cNvPr id="117" name="Straight Connector 116">
          <a:extLst>
            <a:ext uri="{FF2B5EF4-FFF2-40B4-BE49-F238E27FC236}">
              <a16:creationId xmlns:a16="http://schemas.microsoft.com/office/drawing/2014/main" id="{A82630A1-8FF0-4992-870A-786C9D8460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596545</xdr:colOff>
      <xdr:row>1</xdr:row>
      <xdr:rowOff>103586</xdr:rowOff>
    </xdr:from>
    <xdr:to>
      <xdr:col>20</xdr:col>
      <xdr:colOff>596545</xdr:colOff>
      <xdr:row>2</xdr:row>
      <xdr:rowOff>117146</xdr:rowOff>
    </xdr:to>
    <xdr:cxnSp macro="">
      <xdr:nvCxnSpPr>
        <xdr:cNvPr id="118" name="Straight Connector 117">
          <a:extLst>
            <a:ext uri="{FF2B5EF4-FFF2-40B4-BE49-F238E27FC236}">
              <a16:creationId xmlns:a16="http://schemas.microsoft.com/office/drawing/2014/main" id="{279DE7FB-3DA7-4C33-9224-4380880BCD7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84824</xdr:colOff>
      <xdr:row>1</xdr:row>
      <xdr:rowOff>103586</xdr:rowOff>
    </xdr:from>
    <xdr:to>
      <xdr:col>22</xdr:col>
      <xdr:colOff>84824</xdr:colOff>
      <xdr:row>2</xdr:row>
      <xdr:rowOff>117146</xdr:rowOff>
    </xdr:to>
    <xdr:cxnSp macro="">
      <xdr:nvCxnSpPr>
        <xdr:cNvPr id="119" name="Straight Connector 118">
          <a:extLst>
            <a:ext uri="{FF2B5EF4-FFF2-40B4-BE49-F238E27FC236}">
              <a16:creationId xmlns:a16="http://schemas.microsoft.com/office/drawing/2014/main" id="{DF23A989-B048-49BE-AB98-C72B7DF6234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257245</xdr:colOff>
      <xdr:row>1</xdr:row>
      <xdr:rowOff>103586</xdr:rowOff>
    </xdr:from>
    <xdr:to>
      <xdr:col>23</xdr:col>
      <xdr:colOff>257245</xdr:colOff>
      <xdr:row>2</xdr:row>
      <xdr:rowOff>117146</xdr:rowOff>
    </xdr:to>
    <xdr:cxnSp macro="">
      <xdr:nvCxnSpPr>
        <xdr:cNvPr id="120" name="Straight Connector 119">
          <a:extLst>
            <a:ext uri="{FF2B5EF4-FFF2-40B4-BE49-F238E27FC236}">
              <a16:creationId xmlns:a16="http://schemas.microsoft.com/office/drawing/2014/main" id="{271AD687-A2BA-4C32-90BF-1361E0F6E18A}"/>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433363</xdr:colOff>
      <xdr:row>1</xdr:row>
      <xdr:rowOff>103586</xdr:rowOff>
    </xdr:from>
    <xdr:to>
      <xdr:col>24</xdr:col>
      <xdr:colOff>433363</xdr:colOff>
      <xdr:row>2</xdr:row>
      <xdr:rowOff>117146</xdr:rowOff>
    </xdr:to>
    <xdr:cxnSp macro="">
      <xdr:nvCxnSpPr>
        <xdr:cNvPr id="121" name="Straight Connector 120">
          <a:extLst>
            <a:ext uri="{FF2B5EF4-FFF2-40B4-BE49-F238E27FC236}">
              <a16:creationId xmlns:a16="http://schemas.microsoft.com/office/drawing/2014/main" id="{4C77FFF6-F4DC-4181-BAB8-F713C9DFF6D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257584</xdr:colOff>
      <xdr:row>1</xdr:row>
      <xdr:rowOff>103586</xdr:rowOff>
    </xdr:from>
    <xdr:to>
      <xdr:col>18</xdr:col>
      <xdr:colOff>257584</xdr:colOff>
      <xdr:row>2</xdr:row>
      <xdr:rowOff>117146</xdr:rowOff>
    </xdr:to>
    <xdr:cxnSp macro="">
      <xdr:nvCxnSpPr>
        <xdr:cNvPr id="122" name="Straight Connector 121">
          <a:extLst>
            <a:ext uri="{FF2B5EF4-FFF2-40B4-BE49-F238E27FC236}">
              <a16:creationId xmlns:a16="http://schemas.microsoft.com/office/drawing/2014/main" id="{2965A0F9-619F-4DF3-894C-8E792C0195F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xdr:row>
      <xdr:rowOff>47625</xdr:rowOff>
    </xdr:from>
    <xdr:to>
      <xdr:col>5</xdr:col>
      <xdr:colOff>371474</xdr:colOff>
      <xdr:row>16</xdr:row>
      <xdr:rowOff>123825</xdr:rowOff>
    </xdr:to>
    <xdr:graphicFrame macro="">
      <xdr:nvGraphicFramePr>
        <xdr:cNvPr id="26" name="Chart 25">
          <a:extLst>
            <a:ext uri="{FF2B5EF4-FFF2-40B4-BE49-F238E27FC236}">
              <a16:creationId xmlns:a16="http://schemas.microsoft.com/office/drawing/2014/main" id="{68539338-8E37-474B-81FD-5C005BA70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624111</xdr:colOff>
      <xdr:row>5</xdr:row>
      <xdr:rowOff>85725</xdr:rowOff>
    </xdr:from>
    <xdr:to>
      <xdr:col>25</xdr:col>
      <xdr:colOff>283509</xdr:colOff>
      <xdr:row>35</xdr:row>
      <xdr:rowOff>68829</xdr:rowOff>
    </xdr:to>
    <xdr:sp macro="" textlink="">
      <xdr:nvSpPr>
        <xdr:cNvPr id="32" name="Rounded Rectangle 16">
          <a:extLst>
            <a:ext uri="{FF2B5EF4-FFF2-40B4-BE49-F238E27FC236}">
              <a16:creationId xmlns:a16="http://schemas.microsoft.com/office/drawing/2014/main" id="{46D9BA80-56FC-4E28-8153-8EACCC6D2817}"/>
            </a:ext>
          </a:extLst>
        </xdr:cNvPr>
        <xdr:cNvSpPr/>
      </xdr:nvSpPr>
      <xdr:spPr>
        <a:xfrm>
          <a:off x="11854086" y="895350"/>
          <a:ext cx="5831598" cy="56981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656282</xdr:colOff>
      <xdr:row>5</xdr:row>
      <xdr:rowOff>133350</xdr:rowOff>
    </xdr:from>
    <xdr:to>
      <xdr:col>25</xdr:col>
      <xdr:colOff>226359</xdr:colOff>
      <xdr:row>34</xdr:row>
      <xdr:rowOff>178733</xdr:rowOff>
    </xdr:to>
    <xdr:sp macro="" textlink="">
      <xdr:nvSpPr>
        <xdr:cNvPr id="33" name="Rounded Rectangle 17">
          <a:extLst>
            <a:ext uri="{FF2B5EF4-FFF2-40B4-BE49-F238E27FC236}">
              <a16:creationId xmlns:a16="http://schemas.microsoft.com/office/drawing/2014/main" id="{67724C0E-2EEA-421E-9EBA-6368226C5899}"/>
            </a:ext>
          </a:extLst>
        </xdr:cNvPr>
        <xdr:cNvSpPr/>
      </xdr:nvSpPr>
      <xdr:spPr>
        <a:xfrm>
          <a:off x="11886257" y="942975"/>
          <a:ext cx="5742277" cy="5569883"/>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28575</xdr:colOff>
      <xdr:row>6</xdr:row>
      <xdr:rowOff>9525</xdr:rowOff>
    </xdr:from>
    <xdr:to>
      <xdr:col>25</xdr:col>
      <xdr:colOff>188260</xdr:colOff>
      <xdr:row>34</xdr:row>
      <xdr:rowOff>122705</xdr:rowOff>
    </xdr:to>
    <xdr:sp macro="" textlink="">
      <xdr:nvSpPr>
        <xdr:cNvPr id="34" name="Rounded Rectangle 18">
          <a:extLst>
            <a:ext uri="{FF2B5EF4-FFF2-40B4-BE49-F238E27FC236}">
              <a16:creationId xmlns:a16="http://schemas.microsoft.com/office/drawing/2014/main" id="{CDDB93CD-33C0-40F6-8B5D-2ED2511119D8}"/>
            </a:ext>
          </a:extLst>
        </xdr:cNvPr>
        <xdr:cNvSpPr/>
      </xdr:nvSpPr>
      <xdr:spPr>
        <a:xfrm>
          <a:off x="11944350" y="1009650"/>
          <a:ext cx="5646085" cy="54471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p>
      </xdr:txBody>
    </xdr:sp>
    <xdr:clientData/>
  </xdr:twoCellAnchor>
  <xdr:twoCellAnchor>
    <xdr:from>
      <xdr:col>17</xdr:col>
      <xdr:colOff>164139</xdr:colOff>
      <xdr:row>7</xdr:row>
      <xdr:rowOff>171451</xdr:rowOff>
    </xdr:from>
    <xdr:to>
      <xdr:col>24</xdr:col>
      <xdr:colOff>624729</xdr:colOff>
      <xdr:row>34</xdr:row>
      <xdr:rowOff>55471</xdr:rowOff>
    </xdr:to>
    <xdr:graphicFrame macro="">
      <xdr:nvGraphicFramePr>
        <xdr:cNvPr id="31" name="Chart 30">
          <a:extLst>
            <a:ext uri="{FF2B5EF4-FFF2-40B4-BE49-F238E27FC236}">
              <a16:creationId xmlns:a16="http://schemas.microsoft.com/office/drawing/2014/main" id="{F3A1A598-F56B-435F-B2BA-82065D656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381000</xdr:colOff>
      <xdr:row>19</xdr:row>
      <xdr:rowOff>77560</xdr:rowOff>
    </xdr:from>
    <xdr:to>
      <xdr:col>8</xdr:col>
      <xdr:colOff>283780</xdr:colOff>
      <xdr:row>34</xdr:row>
      <xdr:rowOff>96957</xdr:rowOff>
    </xdr:to>
    <xdr:graphicFrame macro="">
      <xdr:nvGraphicFramePr>
        <xdr:cNvPr id="36" name="Chart 35">
          <a:extLst>
            <a:ext uri="{FF2B5EF4-FFF2-40B4-BE49-F238E27FC236}">
              <a16:creationId xmlns:a16="http://schemas.microsoft.com/office/drawing/2014/main" id="{A62C2B4E-E52A-4877-B4D0-ADF4C95EC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389282</xdr:colOff>
      <xdr:row>7</xdr:row>
      <xdr:rowOff>75908</xdr:rowOff>
    </xdr:from>
    <xdr:to>
      <xdr:col>4</xdr:col>
      <xdr:colOff>361950</xdr:colOff>
      <xdr:row>13</xdr:row>
      <xdr:rowOff>66383</xdr:rowOff>
    </xdr:to>
    <xdr:sp macro="" textlink="FCFF!R160">
      <xdr:nvSpPr>
        <xdr:cNvPr id="5" name="TextBox 4">
          <a:extLst>
            <a:ext uri="{FF2B5EF4-FFF2-40B4-BE49-F238E27FC236}">
              <a16:creationId xmlns:a16="http://schemas.microsoft.com/office/drawing/2014/main" id="{00000000-0008-0000-0000-000005000000}"/>
            </a:ext>
          </a:extLst>
        </xdr:cNvPr>
        <xdr:cNvSpPr txBox="1"/>
      </xdr:nvSpPr>
      <xdr:spPr>
        <a:xfrm>
          <a:off x="389282" y="1266533"/>
          <a:ext cx="2887318" cy="1133475"/>
        </a:xfrm>
        <a:prstGeom prst="rect">
          <a:avLst/>
        </a:prstGeom>
        <a:noFill/>
        <a:ln w="9525" cmpd="sng">
          <a:no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B416593-3911-4086-9678-272915FA7569}" type="TxLink">
            <a:rPr lang="en-US" sz="6000" b="0" i="0" u="none" strike="noStrike" cap="none" spc="0">
              <a:ln w="0"/>
              <a:solidFill>
                <a:schemeClr val="accent1"/>
              </a:solidFill>
              <a:effectLst>
                <a:outerShdw blurRad="38100" dist="25400" dir="5400000" algn="ctr" rotWithShape="0">
                  <a:srgbClr val="6E747A">
                    <a:alpha val="43000"/>
                  </a:srgbClr>
                </a:outerShdw>
              </a:effectLst>
              <a:latin typeface="Arial Nova"/>
              <a:cs typeface="Arial"/>
            </a:rPr>
            <a:pPr/>
            <a:t>-24.5%</a:t>
          </a:fld>
          <a:endParaRPr lang="en-US" sz="413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endParaRPr>
        </a:p>
      </xdr:txBody>
    </xdr:sp>
    <xdr:clientData/>
  </xdr:twoCellAnchor>
  <xdr:twoCellAnchor>
    <xdr:from>
      <xdr:col>8</xdr:col>
      <xdr:colOff>680939</xdr:colOff>
      <xdr:row>18</xdr:row>
      <xdr:rowOff>26335</xdr:rowOff>
    </xdr:from>
    <xdr:to>
      <xdr:col>16</xdr:col>
      <xdr:colOff>480522</xdr:colOff>
      <xdr:row>35</xdr:row>
      <xdr:rowOff>122647</xdr:rowOff>
    </xdr:to>
    <xdr:sp macro="" textlink="">
      <xdr:nvSpPr>
        <xdr:cNvPr id="7" name="Rounded Rectangle 10">
          <a:extLst>
            <a:ext uri="{FF2B5EF4-FFF2-40B4-BE49-F238E27FC236}">
              <a16:creationId xmlns:a16="http://schemas.microsoft.com/office/drawing/2014/main" id="{8490BD13-3504-E948-E037-FA939D752C03}"/>
            </a:ext>
          </a:extLst>
        </xdr:cNvPr>
        <xdr:cNvSpPr/>
      </xdr:nvSpPr>
      <xdr:spPr>
        <a:xfrm>
          <a:off x="6425705" y="3312460"/>
          <a:ext cx="5276458"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45244</xdr:colOff>
      <xdr:row>18</xdr:row>
      <xdr:rowOff>73959</xdr:rowOff>
    </xdr:from>
    <xdr:to>
      <xdr:col>16</xdr:col>
      <xdr:colOff>413287</xdr:colOff>
      <xdr:row>35</xdr:row>
      <xdr:rowOff>76200</xdr:rowOff>
    </xdr:to>
    <xdr:sp macro="" textlink="">
      <xdr:nvSpPr>
        <xdr:cNvPr id="10" name="Rounded Rectangle 11">
          <a:extLst>
            <a:ext uri="{FF2B5EF4-FFF2-40B4-BE49-F238E27FC236}">
              <a16:creationId xmlns:a16="http://schemas.microsoft.com/office/drawing/2014/main" id="{B80D1CD0-7E40-B6FE-DBD7-6C70CAAA467B}"/>
            </a:ext>
          </a:extLst>
        </xdr:cNvPr>
        <xdr:cNvSpPr/>
      </xdr:nvSpPr>
      <xdr:spPr>
        <a:xfrm>
          <a:off x="6474619" y="3360084"/>
          <a:ext cx="5160309"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94451</xdr:colOff>
      <xdr:row>18</xdr:row>
      <xdr:rowOff>140635</xdr:rowOff>
    </xdr:from>
    <xdr:to>
      <xdr:col>16</xdr:col>
      <xdr:colOff>357257</xdr:colOff>
      <xdr:row>35</xdr:row>
      <xdr:rowOff>24415</xdr:rowOff>
    </xdr:to>
    <xdr:sp macro="" textlink="">
      <xdr:nvSpPr>
        <xdr:cNvPr id="13" name="Rounded Rectangle 14">
          <a:extLst>
            <a:ext uri="{FF2B5EF4-FFF2-40B4-BE49-F238E27FC236}">
              <a16:creationId xmlns:a16="http://schemas.microsoft.com/office/drawing/2014/main" id="{01C2A47D-4BD3-4EB9-C6AA-A4BE89298E14}"/>
            </a:ext>
          </a:extLst>
        </xdr:cNvPr>
        <xdr:cNvSpPr/>
      </xdr:nvSpPr>
      <xdr:spPr>
        <a:xfrm>
          <a:off x="6523826" y="3426760"/>
          <a:ext cx="5055072"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247649</xdr:colOff>
      <xdr:row>19</xdr:row>
      <xdr:rowOff>66675</xdr:rowOff>
    </xdr:from>
    <xdr:to>
      <xdr:col>16</xdr:col>
      <xdr:colOff>161924</xdr:colOff>
      <xdr:row>34</xdr:row>
      <xdr:rowOff>47624</xdr:rowOff>
    </xdr:to>
    <xdr:graphicFrame macro="">
      <xdr:nvGraphicFramePr>
        <xdr:cNvPr id="14" name="Chart 13">
          <a:extLst>
            <a:ext uri="{FF2B5EF4-FFF2-40B4-BE49-F238E27FC236}">
              <a16:creationId xmlns:a16="http://schemas.microsoft.com/office/drawing/2014/main" id="{BC41E0A5-4240-4AC5-A691-2AA770B95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219076</xdr:colOff>
      <xdr:row>6</xdr:row>
      <xdr:rowOff>171450</xdr:rowOff>
    </xdr:from>
    <xdr:to>
      <xdr:col>16</xdr:col>
      <xdr:colOff>161926</xdr:colOff>
      <xdr:row>16</xdr:row>
      <xdr:rowOff>142875</xdr:rowOff>
    </xdr:to>
    <xdr:graphicFrame macro="">
      <xdr:nvGraphicFramePr>
        <xdr:cNvPr id="16" name="Chart 15">
          <a:extLst>
            <a:ext uri="{FF2B5EF4-FFF2-40B4-BE49-F238E27FC236}">
              <a16:creationId xmlns:a16="http://schemas.microsoft.com/office/drawing/2014/main" id="{559FB92E-12C7-4529-B6C2-6C782CCCF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476250</xdr:colOff>
      <xdr:row>1</xdr:row>
      <xdr:rowOff>57151</xdr:rowOff>
    </xdr:from>
    <xdr:to>
      <xdr:col>7</xdr:col>
      <xdr:colOff>59177</xdr:colOff>
      <xdr:row>3</xdr:row>
      <xdr:rowOff>1</xdr:rowOff>
    </xdr:to>
    <xdr:sp macro="" textlink="">
      <xdr:nvSpPr>
        <xdr:cNvPr id="20" name="TextBox 19">
          <a:hlinkClick xmlns:r="http://schemas.openxmlformats.org/officeDocument/2006/relationships" r:id="rId22"/>
          <a:extLst>
            <a:ext uri="{FF2B5EF4-FFF2-40B4-BE49-F238E27FC236}">
              <a16:creationId xmlns:a16="http://schemas.microsoft.com/office/drawing/2014/main" id="{D480B2ED-49A9-429D-9590-86E5540912AD}"/>
            </a:ext>
          </a:extLst>
        </xdr:cNvPr>
        <xdr:cNvSpPr txBox="1"/>
      </xdr:nvSpPr>
      <xdr:spPr>
        <a:xfrm>
          <a:off x="4162425" y="247651"/>
          <a:ext cx="95452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9524</xdr:colOff>
      <xdr:row>10</xdr:row>
      <xdr:rowOff>19050</xdr:rowOff>
    </xdr:from>
    <xdr:to>
      <xdr:col>15</xdr:col>
      <xdr:colOff>857249</xdr:colOff>
      <xdr:row>32</xdr:row>
      <xdr:rowOff>38100</xdr:rowOff>
    </xdr:to>
    <xdr:graphicFrame macro="">
      <xdr:nvGraphicFramePr>
        <xdr:cNvPr id="2" name="Chart 1">
          <a:extLst>
            <a:ext uri="{FF2B5EF4-FFF2-40B4-BE49-F238E27FC236}">
              <a16:creationId xmlns:a16="http://schemas.microsoft.com/office/drawing/2014/main" id="{AF9BE819-4B5E-4E98-88F6-232A84C06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53</xdr:col>
      <xdr:colOff>179986</xdr:colOff>
      <xdr:row>4</xdr:row>
      <xdr:rowOff>0</xdr:rowOff>
    </xdr:to>
    <xdr:sp macro="" textlink="">
      <xdr:nvSpPr>
        <xdr:cNvPr id="104" name="Rectangle 103">
          <a:extLst>
            <a:ext uri="{FF2B5EF4-FFF2-40B4-BE49-F238E27FC236}">
              <a16:creationId xmlns:a16="http://schemas.microsoft.com/office/drawing/2014/main" id="{57657D92-280B-42FC-9A6A-1CE5D5EDB1D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399447</xdr:colOff>
      <xdr:row>1</xdr:row>
      <xdr:rowOff>19879</xdr:rowOff>
    </xdr:from>
    <xdr:to>
      <xdr:col>12</xdr:col>
      <xdr:colOff>464590</xdr:colOff>
      <xdr:row>3</xdr:row>
      <xdr:rowOff>10354</xdr:rowOff>
    </xdr:to>
    <xdr:sp macro="" textlink="">
      <xdr:nvSpPr>
        <xdr:cNvPr id="105" name="TextBox 104">
          <a:hlinkClick xmlns:r="http://schemas.openxmlformats.org/officeDocument/2006/relationships" r:id="rId2"/>
          <a:extLst>
            <a:ext uri="{FF2B5EF4-FFF2-40B4-BE49-F238E27FC236}">
              <a16:creationId xmlns:a16="http://schemas.microsoft.com/office/drawing/2014/main" id="{4A8BC603-917C-4312-AD03-F70B39DB27C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6" name="Picture 105">
          <a:extLst>
            <a:ext uri="{FF2B5EF4-FFF2-40B4-BE49-F238E27FC236}">
              <a16:creationId xmlns:a16="http://schemas.microsoft.com/office/drawing/2014/main" id="{9A92841C-F868-437E-A2FA-549C3053704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08" name="Straight Connector 107">
          <a:extLst>
            <a:ext uri="{FF2B5EF4-FFF2-40B4-BE49-F238E27FC236}">
              <a16:creationId xmlns:a16="http://schemas.microsoft.com/office/drawing/2014/main" id="{7DDFA2BF-2E64-43FC-8B97-700F774772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68000</xdr:colOff>
      <xdr:row>1</xdr:row>
      <xdr:rowOff>19879</xdr:rowOff>
    </xdr:from>
    <xdr:to>
      <xdr:col>5</xdr:col>
      <xdr:colOff>231952</xdr:colOff>
      <xdr:row>3</xdr:row>
      <xdr:rowOff>10354</xdr:rowOff>
    </xdr:to>
    <xdr:sp macro="" textlink="">
      <xdr:nvSpPr>
        <xdr:cNvPr id="109" name="TextBox 108">
          <a:hlinkClick xmlns:r="http://schemas.openxmlformats.org/officeDocument/2006/relationships" r:id="rId4"/>
          <a:extLst>
            <a:ext uri="{FF2B5EF4-FFF2-40B4-BE49-F238E27FC236}">
              <a16:creationId xmlns:a16="http://schemas.microsoft.com/office/drawing/2014/main" id="{EF79F394-B769-4EE4-A0F8-95BECC69126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134678</xdr:colOff>
      <xdr:row>1</xdr:row>
      <xdr:rowOff>19879</xdr:rowOff>
    </xdr:from>
    <xdr:to>
      <xdr:col>5</xdr:col>
      <xdr:colOff>1093101</xdr:colOff>
      <xdr:row>3</xdr:row>
      <xdr:rowOff>10354</xdr:rowOff>
    </xdr:to>
    <xdr:sp macro="" textlink="">
      <xdr:nvSpPr>
        <xdr:cNvPr id="110" name="TextBox 109">
          <a:hlinkClick xmlns:r="http://schemas.openxmlformats.org/officeDocument/2006/relationships" r:id="rId5"/>
          <a:extLst>
            <a:ext uri="{FF2B5EF4-FFF2-40B4-BE49-F238E27FC236}">
              <a16:creationId xmlns:a16="http://schemas.microsoft.com/office/drawing/2014/main" id="{EEA6EEE8-9D6F-48FC-9CC8-AED04F63E5C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Key Info</a:t>
          </a:r>
        </a:p>
      </xdr:txBody>
    </xdr:sp>
    <xdr:clientData/>
  </xdr:twoCellAnchor>
  <xdr:twoCellAnchor>
    <xdr:from>
      <xdr:col>5</xdr:col>
      <xdr:colOff>995827</xdr:colOff>
      <xdr:row>1</xdr:row>
      <xdr:rowOff>19879</xdr:rowOff>
    </xdr:from>
    <xdr:to>
      <xdr:col>5</xdr:col>
      <xdr:colOff>1948191</xdr:colOff>
      <xdr:row>3</xdr:row>
      <xdr:rowOff>10354</xdr:rowOff>
    </xdr:to>
    <xdr:sp macro="" textlink="">
      <xdr:nvSpPr>
        <xdr:cNvPr id="111" name="TextBox 110">
          <a:hlinkClick xmlns:r="http://schemas.openxmlformats.org/officeDocument/2006/relationships" r:id="rId6"/>
          <a:extLst>
            <a:ext uri="{FF2B5EF4-FFF2-40B4-BE49-F238E27FC236}">
              <a16:creationId xmlns:a16="http://schemas.microsoft.com/office/drawing/2014/main" id="{0E53F67B-95C7-43B6-BA1C-6D84DC643AD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1850917</xdr:colOff>
      <xdr:row>1</xdr:row>
      <xdr:rowOff>19879</xdr:rowOff>
    </xdr:from>
    <xdr:to>
      <xdr:col>6</xdr:col>
      <xdr:colOff>856687</xdr:colOff>
      <xdr:row>3</xdr:row>
      <xdr:rowOff>10354</xdr:rowOff>
    </xdr:to>
    <xdr:sp macro="" textlink="">
      <xdr:nvSpPr>
        <xdr:cNvPr id="112" name="TextBox 111">
          <a:hlinkClick xmlns:r="http://schemas.openxmlformats.org/officeDocument/2006/relationships" r:id="rId7"/>
          <a:extLst>
            <a:ext uri="{FF2B5EF4-FFF2-40B4-BE49-F238E27FC236}">
              <a16:creationId xmlns:a16="http://schemas.microsoft.com/office/drawing/2014/main" id="{D1AF7B02-6F90-4486-965E-29B00DA4D736}"/>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759413</xdr:colOff>
      <xdr:row>1</xdr:row>
      <xdr:rowOff>19879</xdr:rowOff>
    </xdr:from>
    <xdr:to>
      <xdr:col>7</xdr:col>
      <xdr:colOff>836064</xdr:colOff>
      <xdr:row>3</xdr:row>
      <xdr:rowOff>10354</xdr:rowOff>
    </xdr:to>
    <xdr:sp macro="" textlink="">
      <xdr:nvSpPr>
        <xdr:cNvPr id="113" name="TextBox 112">
          <a:hlinkClick xmlns:r="http://schemas.openxmlformats.org/officeDocument/2006/relationships" r:id="rId8"/>
          <a:extLst>
            <a:ext uri="{FF2B5EF4-FFF2-40B4-BE49-F238E27FC236}">
              <a16:creationId xmlns:a16="http://schemas.microsoft.com/office/drawing/2014/main" id="{A4AA8AE6-812C-49AD-9128-2B293C3C3949}"/>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738790</xdr:colOff>
      <xdr:row>1</xdr:row>
      <xdr:rowOff>19879</xdr:rowOff>
    </xdr:from>
    <xdr:to>
      <xdr:col>9</xdr:col>
      <xdr:colOff>17795</xdr:colOff>
      <xdr:row>3</xdr:row>
      <xdr:rowOff>10354</xdr:rowOff>
    </xdr:to>
    <xdr:sp macro="" textlink="">
      <xdr:nvSpPr>
        <xdr:cNvPr id="114" name="TextBox 113">
          <a:hlinkClick xmlns:r="http://schemas.openxmlformats.org/officeDocument/2006/relationships" r:id="rId9"/>
          <a:extLst>
            <a:ext uri="{FF2B5EF4-FFF2-40B4-BE49-F238E27FC236}">
              <a16:creationId xmlns:a16="http://schemas.microsoft.com/office/drawing/2014/main" id="{8E379378-BC3A-4D0E-AEC3-3BC8AFE1964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712777</xdr:colOff>
      <xdr:row>1</xdr:row>
      <xdr:rowOff>19879</xdr:rowOff>
    </xdr:from>
    <xdr:to>
      <xdr:col>9</xdr:col>
      <xdr:colOff>875927</xdr:colOff>
      <xdr:row>3</xdr:row>
      <xdr:rowOff>10354</xdr:rowOff>
    </xdr:to>
    <xdr:sp macro="" textlink="">
      <xdr:nvSpPr>
        <xdr:cNvPr id="115" name="TextBox 114">
          <a:hlinkClick xmlns:r="http://schemas.openxmlformats.org/officeDocument/2006/relationships" r:id="rId10"/>
          <a:extLst>
            <a:ext uri="{FF2B5EF4-FFF2-40B4-BE49-F238E27FC236}">
              <a16:creationId xmlns:a16="http://schemas.microsoft.com/office/drawing/2014/main" id="{FF61372D-A941-4732-8A1D-94E9F8CCFF7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780334</xdr:colOff>
      <xdr:row>1</xdr:row>
      <xdr:rowOff>19879</xdr:rowOff>
    </xdr:from>
    <xdr:to>
      <xdr:col>9</xdr:col>
      <xdr:colOff>1736517</xdr:colOff>
      <xdr:row>3</xdr:row>
      <xdr:rowOff>10354</xdr:rowOff>
    </xdr:to>
    <xdr:sp macro="" textlink="">
      <xdr:nvSpPr>
        <xdr:cNvPr id="116" name="TextBox 115">
          <a:hlinkClick xmlns:r="http://schemas.openxmlformats.org/officeDocument/2006/relationships" r:id="rId11"/>
          <a:extLst>
            <a:ext uri="{FF2B5EF4-FFF2-40B4-BE49-F238E27FC236}">
              <a16:creationId xmlns:a16="http://schemas.microsoft.com/office/drawing/2014/main" id="{F9E6172B-11F8-470F-BC5E-F77BB82A5135}"/>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1639243</xdr:colOff>
      <xdr:row>1</xdr:row>
      <xdr:rowOff>19879</xdr:rowOff>
    </xdr:from>
    <xdr:to>
      <xdr:col>10</xdr:col>
      <xdr:colOff>528854</xdr:colOff>
      <xdr:row>3</xdr:row>
      <xdr:rowOff>10354</xdr:rowOff>
    </xdr:to>
    <xdr:sp macro="" textlink="">
      <xdr:nvSpPr>
        <xdr:cNvPr id="117" name="TextBox 116">
          <a:hlinkClick xmlns:r="http://schemas.openxmlformats.org/officeDocument/2006/relationships" r:id="rId12"/>
          <a:extLst>
            <a:ext uri="{FF2B5EF4-FFF2-40B4-BE49-F238E27FC236}">
              <a16:creationId xmlns:a16="http://schemas.microsoft.com/office/drawing/2014/main" id="{B3E4E755-B2F5-4A70-A262-C456903CE5B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431580</xdr:colOff>
      <xdr:row>1</xdr:row>
      <xdr:rowOff>19879</xdr:rowOff>
    </xdr:from>
    <xdr:to>
      <xdr:col>11</xdr:col>
      <xdr:colOff>496721</xdr:colOff>
      <xdr:row>3</xdr:row>
      <xdr:rowOff>10354</xdr:rowOff>
    </xdr:to>
    <xdr:sp macro="" textlink="">
      <xdr:nvSpPr>
        <xdr:cNvPr id="118" name="TextBox 117">
          <a:hlinkClick xmlns:r="http://schemas.openxmlformats.org/officeDocument/2006/relationships" r:id="rId13"/>
          <a:extLst>
            <a:ext uri="{FF2B5EF4-FFF2-40B4-BE49-F238E27FC236}">
              <a16:creationId xmlns:a16="http://schemas.microsoft.com/office/drawing/2014/main" id="{2410C130-803E-447E-972A-FCA149336E75}"/>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367316</xdr:colOff>
      <xdr:row>1</xdr:row>
      <xdr:rowOff>19879</xdr:rowOff>
    </xdr:from>
    <xdr:to>
      <xdr:col>13</xdr:col>
      <xdr:colOff>530882</xdr:colOff>
      <xdr:row>3</xdr:row>
      <xdr:rowOff>10354</xdr:rowOff>
    </xdr:to>
    <xdr:sp macro="" textlink="">
      <xdr:nvSpPr>
        <xdr:cNvPr id="119" name="TextBox 118">
          <a:hlinkClick xmlns:r="http://schemas.openxmlformats.org/officeDocument/2006/relationships" r:id="rId14"/>
          <a:extLst>
            <a:ext uri="{FF2B5EF4-FFF2-40B4-BE49-F238E27FC236}">
              <a16:creationId xmlns:a16="http://schemas.microsoft.com/office/drawing/2014/main" id="{1DD2C0F1-50AB-45BB-BF1E-F7B516207F1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433608</xdr:colOff>
      <xdr:row>1</xdr:row>
      <xdr:rowOff>19879</xdr:rowOff>
    </xdr:from>
    <xdr:to>
      <xdr:col>13</xdr:col>
      <xdr:colOff>1390761</xdr:colOff>
      <xdr:row>3</xdr:row>
      <xdr:rowOff>10354</xdr:rowOff>
    </xdr:to>
    <xdr:sp macro="" textlink="">
      <xdr:nvSpPr>
        <xdr:cNvPr id="120" name="TextBox 119">
          <a:hlinkClick xmlns:r="http://schemas.openxmlformats.org/officeDocument/2006/relationships" r:id="rId15"/>
          <a:extLst>
            <a:ext uri="{FF2B5EF4-FFF2-40B4-BE49-F238E27FC236}">
              <a16:creationId xmlns:a16="http://schemas.microsoft.com/office/drawing/2014/main" id="{6DD29426-1DAB-41E6-B5F4-551151E5CC4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13</xdr:col>
      <xdr:colOff>1293487</xdr:colOff>
      <xdr:row>1</xdr:row>
      <xdr:rowOff>19879</xdr:rowOff>
    </xdr:from>
    <xdr:to>
      <xdr:col>14</xdr:col>
      <xdr:colOff>296357</xdr:colOff>
      <xdr:row>3</xdr:row>
      <xdr:rowOff>10354</xdr:rowOff>
    </xdr:to>
    <xdr:sp macro="" textlink="">
      <xdr:nvSpPr>
        <xdr:cNvPr id="121" name="TextBox 120">
          <a:hlinkClick xmlns:r="http://schemas.openxmlformats.org/officeDocument/2006/relationships" r:id="rId16"/>
          <a:extLst>
            <a:ext uri="{FF2B5EF4-FFF2-40B4-BE49-F238E27FC236}">
              <a16:creationId xmlns:a16="http://schemas.microsoft.com/office/drawing/2014/main" id="{1405F4E3-8C88-4340-97DF-CC3D9DE990B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14</xdr:col>
      <xdr:colOff>199083</xdr:colOff>
      <xdr:row>1</xdr:row>
      <xdr:rowOff>19879</xdr:rowOff>
    </xdr:from>
    <xdr:to>
      <xdr:col>15</xdr:col>
      <xdr:colOff>272450</xdr:colOff>
      <xdr:row>3</xdr:row>
      <xdr:rowOff>10354</xdr:rowOff>
    </xdr:to>
    <xdr:sp macro="" textlink="">
      <xdr:nvSpPr>
        <xdr:cNvPr id="122" name="TextBox 121">
          <a:hlinkClick xmlns:r="http://schemas.openxmlformats.org/officeDocument/2006/relationships" r:id="rId17"/>
          <a:extLst>
            <a:ext uri="{FF2B5EF4-FFF2-40B4-BE49-F238E27FC236}">
              <a16:creationId xmlns:a16="http://schemas.microsoft.com/office/drawing/2014/main" id="{6B491D50-0166-49DA-856F-2684C304AA9B}"/>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15</xdr:col>
      <xdr:colOff>175187</xdr:colOff>
      <xdr:row>1</xdr:row>
      <xdr:rowOff>19879</xdr:rowOff>
    </xdr:from>
    <xdr:to>
      <xdr:col>16</xdr:col>
      <xdr:colOff>246127</xdr:colOff>
      <xdr:row>3</xdr:row>
      <xdr:rowOff>10354</xdr:rowOff>
    </xdr:to>
    <xdr:sp macro="" textlink="">
      <xdr:nvSpPr>
        <xdr:cNvPr id="123" name="TextBox 122">
          <a:hlinkClick xmlns:r="http://schemas.openxmlformats.org/officeDocument/2006/relationships" r:id="rId18"/>
          <a:extLst>
            <a:ext uri="{FF2B5EF4-FFF2-40B4-BE49-F238E27FC236}">
              <a16:creationId xmlns:a16="http://schemas.microsoft.com/office/drawing/2014/main" id="{A080EC05-88CA-4C54-921B-0ABFA2109920}"/>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1899554</xdr:colOff>
      <xdr:row>1</xdr:row>
      <xdr:rowOff>103586</xdr:rowOff>
    </xdr:from>
    <xdr:to>
      <xdr:col>5</xdr:col>
      <xdr:colOff>1899554</xdr:colOff>
      <xdr:row>2</xdr:row>
      <xdr:rowOff>117146</xdr:rowOff>
    </xdr:to>
    <xdr:cxnSp macro="">
      <xdr:nvCxnSpPr>
        <xdr:cNvPr id="124" name="Straight Connector 123">
          <a:extLst>
            <a:ext uri="{FF2B5EF4-FFF2-40B4-BE49-F238E27FC236}">
              <a16:creationId xmlns:a16="http://schemas.microsoft.com/office/drawing/2014/main" id="{178D3161-2D13-4BE6-9CC2-929C9102E8E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1044464</xdr:colOff>
      <xdr:row>1</xdr:row>
      <xdr:rowOff>103586</xdr:rowOff>
    </xdr:from>
    <xdr:to>
      <xdr:col>5</xdr:col>
      <xdr:colOff>1044464</xdr:colOff>
      <xdr:row>2</xdr:row>
      <xdr:rowOff>117146</xdr:rowOff>
    </xdr:to>
    <xdr:cxnSp macro="">
      <xdr:nvCxnSpPr>
        <xdr:cNvPr id="125" name="Straight Connector 124">
          <a:extLst>
            <a:ext uri="{FF2B5EF4-FFF2-40B4-BE49-F238E27FC236}">
              <a16:creationId xmlns:a16="http://schemas.microsoft.com/office/drawing/2014/main" id="{B37800A8-30A6-4461-81D0-37EF3A8F2B5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183315</xdr:colOff>
      <xdr:row>1</xdr:row>
      <xdr:rowOff>103586</xdr:rowOff>
    </xdr:from>
    <xdr:to>
      <xdr:col>5</xdr:col>
      <xdr:colOff>183315</xdr:colOff>
      <xdr:row>2</xdr:row>
      <xdr:rowOff>117146</xdr:rowOff>
    </xdr:to>
    <xdr:cxnSp macro="">
      <xdr:nvCxnSpPr>
        <xdr:cNvPr id="126" name="Straight Connector 125">
          <a:extLst>
            <a:ext uri="{FF2B5EF4-FFF2-40B4-BE49-F238E27FC236}">
              <a16:creationId xmlns:a16="http://schemas.microsoft.com/office/drawing/2014/main" id="{F0F22154-9F04-4EFF-8F4F-556147166BE8}"/>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808050</xdr:colOff>
      <xdr:row>1</xdr:row>
      <xdr:rowOff>103586</xdr:rowOff>
    </xdr:from>
    <xdr:to>
      <xdr:col>6</xdr:col>
      <xdr:colOff>808050</xdr:colOff>
      <xdr:row>2</xdr:row>
      <xdr:rowOff>117146</xdr:rowOff>
    </xdr:to>
    <xdr:cxnSp macro="">
      <xdr:nvCxnSpPr>
        <xdr:cNvPr id="127" name="Straight Connector 126">
          <a:extLst>
            <a:ext uri="{FF2B5EF4-FFF2-40B4-BE49-F238E27FC236}">
              <a16:creationId xmlns:a16="http://schemas.microsoft.com/office/drawing/2014/main" id="{0E70E96E-3228-4355-BA9E-35C26000DF3A}"/>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787427</xdr:colOff>
      <xdr:row>1</xdr:row>
      <xdr:rowOff>103586</xdr:rowOff>
    </xdr:from>
    <xdr:to>
      <xdr:col>7</xdr:col>
      <xdr:colOff>787427</xdr:colOff>
      <xdr:row>2</xdr:row>
      <xdr:rowOff>117146</xdr:rowOff>
    </xdr:to>
    <xdr:cxnSp macro="">
      <xdr:nvCxnSpPr>
        <xdr:cNvPr id="128" name="Straight Connector 127">
          <a:extLst>
            <a:ext uri="{FF2B5EF4-FFF2-40B4-BE49-F238E27FC236}">
              <a16:creationId xmlns:a16="http://schemas.microsoft.com/office/drawing/2014/main" id="{AB148233-6296-4C69-8496-38A2C158D56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759733</xdr:colOff>
      <xdr:row>1</xdr:row>
      <xdr:rowOff>103586</xdr:rowOff>
    </xdr:from>
    <xdr:to>
      <xdr:col>8</xdr:col>
      <xdr:colOff>759733</xdr:colOff>
      <xdr:row>2</xdr:row>
      <xdr:rowOff>117146</xdr:rowOff>
    </xdr:to>
    <xdr:cxnSp macro="">
      <xdr:nvCxnSpPr>
        <xdr:cNvPr id="129" name="Straight Connector 128">
          <a:extLst>
            <a:ext uri="{FF2B5EF4-FFF2-40B4-BE49-F238E27FC236}">
              <a16:creationId xmlns:a16="http://schemas.microsoft.com/office/drawing/2014/main" id="{1199F015-6466-486D-B41F-18DC548827C7}"/>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828971</xdr:colOff>
      <xdr:row>1</xdr:row>
      <xdr:rowOff>103586</xdr:rowOff>
    </xdr:from>
    <xdr:to>
      <xdr:col>9</xdr:col>
      <xdr:colOff>828971</xdr:colOff>
      <xdr:row>2</xdr:row>
      <xdr:rowOff>117146</xdr:rowOff>
    </xdr:to>
    <xdr:cxnSp macro="">
      <xdr:nvCxnSpPr>
        <xdr:cNvPr id="130" name="Straight Connector 129">
          <a:extLst>
            <a:ext uri="{FF2B5EF4-FFF2-40B4-BE49-F238E27FC236}">
              <a16:creationId xmlns:a16="http://schemas.microsoft.com/office/drawing/2014/main" id="{8AB06CE8-9682-4789-9E58-135F9346D7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1687880</xdr:colOff>
      <xdr:row>1</xdr:row>
      <xdr:rowOff>103586</xdr:rowOff>
    </xdr:from>
    <xdr:to>
      <xdr:col>9</xdr:col>
      <xdr:colOff>1687880</xdr:colOff>
      <xdr:row>2</xdr:row>
      <xdr:rowOff>117146</xdr:rowOff>
    </xdr:to>
    <xdr:cxnSp macro="">
      <xdr:nvCxnSpPr>
        <xdr:cNvPr id="131" name="Straight Connector 130">
          <a:extLst>
            <a:ext uri="{FF2B5EF4-FFF2-40B4-BE49-F238E27FC236}">
              <a16:creationId xmlns:a16="http://schemas.microsoft.com/office/drawing/2014/main" id="{C535A05C-6995-4110-8F14-DD7FB6C055ED}"/>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480217</xdr:colOff>
      <xdr:row>1</xdr:row>
      <xdr:rowOff>103586</xdr:rowOff>
    </xdr:from>
    <xdr:to>
      <xdr:col>10</xdr:col>
      <xdr:colOff>480217</xdr:colOff>
      <xdr:row>2</xdr:row>
      <xdr:rowOff>117146</xdr:rowOff>
    </xdr:to>
    <xdr:cxnSp macro="">
      <xdr:nvCxnSpPr>
        <xdr:cNvPr id="132" name="Straight Connector 131">
          <a:extLst>
            <a:ext uri="{FF2B5EF4-FFF2-40B4-BE49-F238E27FC236}">
              <a16:creationId xmlns:a16="http://schemas.microsoft.com/office/drawing/2014/main" id="{02BAB117-69AE-417B-BB28-AB3D3675DB7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415953</xdr:colOff>
      <xdr:row>1</xdr:row>
      <xdr:rowOff>103586</xdr:rowOff>
    </xdr:from>
    <xdr:to>
      <xdr:col>12</xdr:col>
      <xdr:colOff>415953</xdr:colOff>
      <xdr:row>2</xdr:row>
      <xdr:rowOff>117146</xdr:rowOff>
    </xdr:to>
    <xdr:cxnSp macro="">
      <xdr:nvCxnSpPr>
        <xdr:cNvPr id="133" name="Straight Connector 132">
          <a:extLst>
            <a:ext uri="{FF2B5EF4-FFF2-40B4-BE49-F238E27FC236}">
              <a16:creationId xmlns:a16="http://schemas.microsoft.com/office/drawing/2014/main" id="{22ABD81A-6A8B-469C-8BDB-E310C6EEAA1B}"/>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482245</xdr:colOff>
      <xdr:row>1</xdr:row>
      <xdr:rowOff>103586</xdr:rowOff>
    </xdr:from>
    <xdr:to>
      <xdr:col>13</xdr:col>
      <xdr:colOff>482245</xdr:colOff>
      <xdr:row>2</xdr:row>
      <xdr:rowOff>117146</xdr:rowOff>
    </xdr:to>
    <xdr:cxnSp macro="">
      <xdr:nvCxnSpPr>
        <xdr:cNvPr id="134" name="Straight Connector 133">
          <a:extLst>
            <a:ext uri="{FF2B5EF4-FFF2-40B4-BE49-F238E27FC236}">
              <a16:creationId xmlns:a16="http://schemas.microsoft.com/office/drawing/2014/main" id="{6756448A-2C8C-432A-92A6-83363C333188}"/>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1342124</xdr:colOff>
      <xdr:row>1</xdr:row>
      <xdr:rowOff>103586</xdr:rowOff>
    </xdr:from>
    <xdr:to>
      <xdr:col>13</xdr:col>
      <xdr:colOff>1342124</xdr:colOff>
      <xdr:row>2</xdr:row>
      <xdr:rowOff>117146</xdr:rowOff>
    </xdr:to>
    <xdr:cxnSp macro="">
      <xdr:nvCxnSpPr>
        <xdr:cNvPr id="135" name="Straight Connector 134">
          <a:extLst>
            <a:ext uri="{FF2B5EF4-FFF2-40B4-BE49-F238E27FC236}">
              <a16:creationId xmlns:a16="http://schemas.microsoft.com/office/drawing/2014/main" id="{BEF46C0D-94AD-4D21-8973-7B01D9B7D8CA}"/>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247720</xdr:colOff>
      <xdr:row>1</xdr:row>
      <xdr:rowOff>103586</xdr:rowOff>
    </xdr:from>
    <xdr:to>
      <xdr:col>14</xdr:col>
      <xdr:colOff>247720</xdr:colOff>
      <xdr:row>2</xdr:row>
      <xdr:rowOff>117146</xdr:rowOff>
    </xdr:to>
    <xdr:cxnSp macro="">
      <xdr:nvCxnSpPr>
        <xdr:cNvPr id="136" name="Straight Connector 135">
          <a:extLst>
            <a:ext uri="{FF2B5EF4-FFF2-40B4-BE49-F238E27FC236}">
              <a16:creationId xmlns:a16="http://schemas.microsoft.com/office/drawing/2014/main" id="{99234C09-F0DD-4BC9-9719-39BDC27953B5}"/>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223813</xdr:colOff>
      <xdr:row>1</xdr:row>
      <xdr:rowOff>103586</xdr:rowOff>
    </xdr:from>
    <xdr:to>
      <xdr:col>15</xdr:col>
      <xdr:colOff>223813</xdr:colOff>
      <xdr:row>2</xdr:row>
      <xdr:rowOff>117146</xdr:rowOff>
    </xdr:to>
    <xdr:cxnSp macro="">
      <xdr:nvCxnSpPr>
        <xdr:cNvPr id="137" name="Straight Connector 136">
          <a:extLst>
            <a:ext uri="{FF2B5EF4-FFF2-40B4-BE49-F238E27FC236}">
              <a16:creationId xmlns:a16="http://schemas.microsoft.com/office/drawing/2014/main" id="{F07FA4A6-2BEB-4CF1-B875-68D7A65B32C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448084</xdr:colOff>
      <xdr:row>1</xdr:row>
      <xdr:rowOff>103586</xdr:rowOff>
    </xdr:from>
    <xdr:to>
      <xdr:col>11</xdr:col>
      <xdr:colOff>448084</xdr:colOff>
      <xdr:row>2</xdr:row>
      <xdr:rowOff>117146</xdr:rowOff>
    </xdr:to>
    <xdr:cxnSp macro="">
      <xdr:nvCxnSpPr>
        <xdr:cNvPr id="138" name="Straight Connector 137">
          <a:extLst>
            <a:ext uri="{FF2B5EF4-FFF2-40B4-BE49-F238E27FC236}">
              <a16:creationId xmlns:a16="http://schemas.microsoft.com/office/drawing/2014/main" id="{80CAE925-3ADF-41E9-88C2-FB6774223B50}"/>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742950</xdr:colOff>
      <xdr:row>26</xdr:row>
      <xdr:rowOff>9525</xdr:rowOff>
    </xdr:from>
    <xdr:to>
      <xdr:col>19</xdr:col>
      <xdr:colOff>200025</xdr:colOff>
      <xdr:row>29</xdr:row>
      <xdr:rowOff>704850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91106</xdr:colOff>
      <xdr:row>8</xdr:row>
      <xdr:rowOff>149678</xdr:rowOff>
    </xdr:from>
    <xdr:to>
      <xdr:col>19</xdr:col>
      <xdr:colOff>24847</xdr:colOff>
      <xdr:row>22</xdr:row>
      <xdr:rowOff>8283</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47</xdr:col>
      <xdr:colOff>656236</xdr:colOff>
      <xdr:row>4</xdr:row>
      <xdr:rowOff>0</xdr:rowOff>
    </xdr:to>
    <xdr:sp macro="" textlink="">
      <xdr:nvSpPr>
        <xdr:cNvPr id="71" name="Rectangle 70">
          <a:extLst>
            <a:ext uri="{FF2B5EF4-FFF2-40B4-BE49-F238E27FC236}">
              <a16:creationId xmlns:a16="http://schemas.microsoft.com/office/drawing/2014/main" id="{E1241B6F-0751-418E-B9A7-5E207E3086E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342297</xdr:colOff>
      <xdr:row>1</xdr:row>
      <xdr:rowOff>19879</xdr:rowOff>
    </xdr:from>
    <xdr:to>
      <xdr:col>14</xdr:col>
      <xdr:colOff>283615</xdr:colOff>
      <xdr:row>3</xdr:row>
      <xdr:rowOff>10354</xdr:rowOff>
    </xdr:to>
    <xdr:sp macro="" textlink="">
      <xdr:nvSpPr>
        <xdr:cNvPr id="72" name="TextBox 71">
          <a:hlinkClick xmlns:r="http://schemas.openxmlformats.org/officeDocument/2006/relationships" r:id="rId3"/>
          <a:extLst>
            <a:ext uri="{FF2B5EF4-FFF2-40B4-BE49-F238E27FC236}">
              <a16:creationId xmlns:a16="http://schemas.microsoft.com/office/drawing/2014/main" id="{55262863-9450-4F06-9D8D-4B0DB13D2C04}"/>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3" name="Picture 72">
          <a:extLst>
            <a:ext uri="{FF2B5EF4-FFF2-40B4-BE49-F238E27FC236}">
              <a16:creationId xmlns:a16="http://schemas.microsoft.com/office/drawing/2014/main" id="{ACDA3FA9-90A8-4F4D-B2B7-9F642B9D77E5}"/>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75" name="Straight Connector 74">
          <a:extLst>
            <a:ext uri="{FF2B5EF4-FFF2-40B4-BE49-F238E27FC236}">
              <a16:creationId xmlns:a16="http://schemas.microsoft.com/office/drawing/2014/main" id="{F3BC02EC-DB37-4C51-82C7-6785274B6873}"/>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220400</xdr:colOff>
      <xdr:row>1</xdr:row>
      <xdr:rowOff>19879</xdr:rowOff>
    </xdr:from>
    <xdr:to>
      <xdr:col>4</xdr:col>
      <xdr:colOff>12877</xdr:colOff>
      <xdr:row>3</xdr:row>
      <xdr:rowOff>10354</xdr:rowOff>
    </xdr:to>
    <xdr:sp macro="" textlink="">
      <xdr:nvSpPr>
        <xdr:cNvPr id="76" name="TextBox 75">
          <a:hlinkClick xmlns:r="http://schemas.openxmlformats.org/officeDocument/2006/relationships" r:id="rId5"/>
          <a:extLst>
            <a:ext uri="{FF2B5EF4-FFF2-40B4-BE49-F238E27FC236}">
              <a16:creationId xmlns:a16="http://schemas.microsoft.com/office/drawing/2014/main" id="{FA40318F-8EA5-4266-B37B-1326E6082E23}"/>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801428</xdr:colOff>
      <xdr:row>1</xdr:row>
      <xdr:rowOff>19879</xdr:rowOff>
    </xdr:from>
    <xdr:to>
      <xdr:col>4</xdr:col>
      <xdr:colOff>874026</xdr:colOff>
      <xdr:row>3</xdr:row>
      <xdr:rowOff>10354</xdr:rowOff>
    </xdr:to>
    <xdr:sp macro="" textlink="">
      <xdr:nvSpPr>
        <xdr:cNvPr id="77" name="TextBox 76">
          <a:hlinkClick xmlns:r="http://schemas.openxmlformats.org/officeDocument/2006/relationships" r:id="rId6"/>
          <a:extLst>
            <a:ext uri="{FF2B5EF4-FFF2-40B4-BE49-F238E27FC236}">
              <a16:creationId xmlns:a16="http://schemas.microsoft.com/office/drawing/2014/main" id="{27AEB8EA-3296-45A7-914E-71C82E31784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776752</xdr:colOff>
      <xdr:row>1</xdr:row>
      <xdr:rowOff>19879</xdr:rowOff>
    </xdr:from>
    <xdr:to>
      <xdr:col>5</xdr:col>
      <xdr:colOff>843291</xdr:colOff>
      <xdr:row>3</xdr:row>
      <xdr:rowOff>10354</xdr:rowOff>
    </xdr:to>
    <xdr:sp macro="" textlink="">
      <xdr:nvSpPr>
        <xdr:cNvPr id="78" name="TextBox 77">
          <a:hlinkClick xmlns:r="http://schemas.openxmlformats.org/officeDocument/2006/relationships" r:id="rId7"/>
          <a:extLst>
            <a:ext uri="{FF2B5EF4-FFF2-40B4-BE49-F238E27FC236}">
              <a16:creationId xmlns:a16="http://schemas.microsoft.com/office/drawing/2014/main" id="{6FBD5DF9-A775-4A19-A0FC-DAFEC5AD461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Industry</a:t>
          </a:r>
        </a:p>
      </xdr:txBody>
    </xdr:sp>
    <xdr:clientData/>
  </xdr:twoCellAnchor>
  <xdr:twoCellAnchor>
    <xdr:from>
      <xdr:col>5</xdr:col>
      <xdr:colOff>746017</xdr:colOff>
      <xdr:row>1</xdr:row>
      <xdr:rowOff>19879</xdr:rowOff>
    </xdr:from>
    <xdr:to>
      <xdr:col>6</xdr:col>
      <xdr:colOff>818587</xdr:colOff>
      <xdr:row>3</xdr:row>
      <xdr:rowOff>10354</xdr:rowOff>
    </xdr:to>
    <xdr:sp macro="" textlink="">
      <xdr:nvSpPr>
        <xdr:cNvPr id="79" name="TextBox 78">
          <a:hlinkClick xmlns:r="http://schemas.openxmlformats.org/officeDocument/2006/relationships" r:id="rId8"/>
          <a:extLst>
            <a:ext uri="{FF2B5EF4-FFF2-40B4-BE49-F238E27FC236}">
              <a16:creationId xmlns:a16="http://schemas.microsoft.com/office/drawing/2014/main" id="{2B667BDB-86AE-430E-9A58-F982FE6EFB57}"/>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721313</xdr:colOff>
      <xdr:row>1</xdr:row>
      <xdr:rowOff>19879</xdr:rowOff>
    </xdr:from>
    <xdr:to>
      <xdr:col>7</xdr:col>
      <xdr:colOff>797964</xdr:colOff>
      <xdr:row>3</xdr:row>
      <xdr:rowOff>10354</xdr:rowOff>
    </xdr:to>
    <xdr:sp macro="" textlink="">
      <xdr:nvSpPr>
        <xdr:cNvPr id="80" name="TextBox 79">
          <a:hlinkClick xmlns:r="http://schemas.openxmlformats.org/officeDocument/2006/relationships" r:id="rId9"/>
          <a:extLst>
            <a:ext uri="{FF2B5EF4-FFF2-40B4-BE49-F238E27FC236}">
              <a16:creationId xmlns:a16="http://schemas.microsoft.com/office/drawing/2014/main" id="{39078D2E-A3E2-4FEC-AE0B-7DC8830EBA7D}"/>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700690</xdr:colOff>
      <xdr:row>1</xdr:row>
      <xdr:rowOff>19879</xdr:rowOff>
    </xdr:from>
    <xdr:to>
      <xdr:col>8</xdr:col>
      <xdr:colOff>770270</xdr:colOff>
      <xdr:row>3</xdr:row>
      <xdr:rowOff>10354</xdr:rowOff>
    </xdr:to>
    <xdr:sp macro="" textlink="">
      <xdr:nvSpPr>
        <xdr:cNvPr id="81" name="TextBox 80">
          <a:hlinkClick xmlns:r="http://schemas.openxmlformats.org/officeDocument/2006/relationships" r:id="rId10"/>
          <a:extLst>
            <a:ext uri="{FF2B5EF4-FFF2-40B4-BE49-F238E27FC236}">
              <a16:creationId xmlns:a16="http://schemas.microsoft.com/office/drawing/2014/main" id="{AAB4944E-4E73-411F-B4A5-756BC5D2C033}"/>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674677</xdr:colOff>
      <xdr:row>1</xdr:row>
      <xdr:rowOff>19879</xdr:rowOff>
    </xdr:from>
    <xdr:to>
      <xdr:col>9</xdr:col>
      <xdr:colOff>742577</xdr:colOff>
      <xdr:row>3</xdr:row>
      <xdr:rowOff>10354</xdr:rowOff>
    </xdr:to>
    <xdr:sp macro="" textlink="">
      <xdr:nvSpPr>
        <xdr:cNvPr id="82" name="TextBox 81">
          <a:hlinkClick xmlns:r="http://schemas.openxmlformats.org/officeDocument/2006/relationships" r:id="rId11"/>
          <a:extLst>
            <a:ext uri="{FF2B5EF4-FFF2-40B4-BE49-F238E27FC236}">
              <a16:creationId xmlns:a16="http://schemas.microsoft.com/office/drawing/2014/main" id="{00378AD7-200D-4823-9A3D-4E9F6BF21DF7}"/>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646984</xdr:colOff>
      <xdr:row>1</xdr:row>
      <xdr:rowOff>19879</xdr:rowOff>
    </xdr:from>
    <xdr:to>
      <xdr:col>10</xdr:col>
      <xdr:colOff>717342</xdr:colOff>
      <xdr:row>3</xdr:row>
      <xdr:rowOff>10354</xdr:rowOff>
    </xdr:to>
    <xdr:sp macro="" textlink="">
      <xdr:nvSpPr>
        <xdr:cNvPr id="83" name="TextBox 82">
          <a:hlinkClick xmlns:r="http://schemas.openxmlformats.org/officeDocument/2006/relationships" r:id="rId12"/>
          <a:extLst>
            <a:ext uri="{FF2B5EF4-FFF2-40B4-BE49-F238E27FC236}">
              <a16:creationId xmlns:a16="http://schemas.microsoft.com/office/drawing/2014/main" id="{13CD9F07-E5CF-48F6-9184-836859EBEB3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620068</xdr:colOff>
      <xdr:row>1</xdr:row>
      <xdr:rowOff>19879</xdr:rowOff>
    </xdr:from>
    <xdr:to>
      <xdr:col>11</xdr:col>
      <xdr:colOff>690779</xdr:colOff>
      <xdr:row>3</xdr:row>
      <xdr:rowOff>10354</xdr:rowOff>
    </xdr:to>
    <xdr:sp macro="" textlink="">
      <xdr:nvSpPr>
        <xdr:cNvPr id="84" name="TextBox 83">
          <a:hlinkClick xmlns:r="http://schemas.openxmlformats.org/officeDocument/2006/relationships" r:id="rId13"/>
          <a:extLst>
            <a:ext uri="{FF2B5EF4-FFF2-40B4-BE49-F238E27FC236}">
              <a16:creationId xmlns:a16="http://schemas.microsoft.com/office/drawing/2014/main" id="{16D3EF2D-005E-4FA5-A0B1-2E3B767C86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593505</xdr:colOff>
      <xdr:row>1</xdr:row>
      <xdr:rowOff>19879</xdr:rowOff>
    </xdr:from>
    <xdr:to>
      <xdr:col>12</xdr:col>
      <xdr:colOff>439571</xdr:colOff>
      <xdr:row>3</xdr:row>
      <xdr:rowOff>10354</xdr:rowOff>
    </xdr:to>
    <xdr:sp macro="" textlink="">
      <xdr:nvSpPr>
        <xdr:cNvPr id="85" name="TextBox 84">
          <a:hlinkClick xmlns:r="http://schemas.openxmlformats.org/officeDocument/2006/relationships" r:id="rId14"/>
          <a:extLst>
            <a:ext uri="{FF2B5EF4-FFF2-40B4-BE49-F238E27FC236}">
              <a16:creationId xmlns:a16="http://schemas.microsoft.com/office/drawing/2014/main" id="{DCD746F1-AEED-4DDC-9DB6-0F72F937108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14</xdr:col>
      <xdr:colOff>186341</xdr:colOff>
      <xdr:row>1</xdr:row>
      <xdr:rowOff>19879</xdr:rowOff>
    </xdr:from>
    <xdr:to>
      <xdr:col>15</xdr:col>
      <xdr:colOff>254657</xdr:colOff>
      <xdr:row>3</xdr:row>
      <xdr:rowOff>10354</xdr:rowOff>
    </xdr:to>
    <xdr:sp macro="" textlink="">
      <xdr:nvSpPr>
        <xdr:cNvPr id="86" name="TextBox 85">
          <a:hlinkClick xmlns:r="http://schemas.openxmlformats.org/officeDocument/2006/relationships" r:id="rId15"/>
          <a:extLst>
            <a:ext uri="{FF2B5EF4-FFF2-40B4-BE49-F238E27FC236}">
              <a16:creationId xmlns:a16="http://schemas.microsoft.com/office/drawing/2014/main" id="{76A0016A-2D25-4BD4-ACF6-54E67BCCE60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15</xdr:col>
      <xdr:colOff>157383</xdr:colOff>
      <xdr:row>1</xdr:row>
      <xdr:rowOff>19879</xdr:rowOff>
    </xdr:from>
    <xdr:to>
      <xdr:col>16</xdr:col>
      <xdr:colOff>228711</xdr:colOff>
      <xdr:row>3</xdr:row>
      <xdr:rowOff>10354</xdr:rowOff>
    </xdr:to>
    <xdr:sp macro="" textlink="">
      <xdr:nvSpPr>
        <xdr:cNvPr id="87" name="TextBox 86">
          <a:hlinkClick xmlns:r="http://schemas.openxmlformats.org/officeDocument/2006/relationships" r:id="rId16"/>
          <a:extLst>
            <a:ext uri="{FF2B5EF4-FFF2-40B4-BE49-F238E27FC236}">
              <a16:creationId xmlns:a16="http://schemas.microsoft.com/office/drawing/2014/main" id="{562F5849-25BB-460A-9044-01A4A2CCD46D}"/>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16</xdr:col>
      <xdr:colOff>131437</xdr:colOff>
      <xdr:row>1</xdr:row>
      <xdr:rowOff>19879</xdr:rowOff>
    </xdr:from>
    <xdr:to>
      <xdr:col>17</xdr:col>
      <xdr:colOff>201107</xdr:colOff>
      <xdr:row>3</xdr:row>
      <xdr:rowOff>10354</xdr:rowOff>
    </xdr:to>
    <xdr:sp macro="" textlink="">
      <xdr:nvSpPr>
        <xdr:cNvPr id="88" name="TextBox 87">
          <a:hlinkClick xmlns:r="http://schemas.openxmlformats.org/officeDocument/2006/relationships" r:id="rId17"/>
          <a:extLst>
            <a:ext uri="{FF2B5EF4-FFF2-40B4-BE49-F238E27FC236}">
              <a16:creationId xmlns:a16="http://schemas.microsoft.com/office/drawing/2014/main" id="{C8CECC5E-129C-4B2F-B332-34F7BE435F0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17</xdr:col>
      <xdr:colOff>103833</xdr:colOff>
      <xdr:row>1</xdr:row>
      <xdr:rowOff>19879</xdr:rowOff>
    </xdr:from>
    <xdr:to>
      <xdr:col>18</xdr:col>
      <xdr:colOff>177200</xdr:colOff>
      <xdr:row>3</xdr:row>
      <xdr:rowOff>10354</xdr:rowOff>
    </xdr:to>
    <xdr:sp macro="" textlink="">
      <xdr:nvSpPr>
        <xdr:cNvPr id="89" name="TextBox 88">
          <a:hlinkClick xmlns:r="http://schemas.openxmlformats.org/officeDocument/2006/relationships" r:id="rId18"/>
          <a:extLst>
            <a:ext uri="{FF2B5EF4-FFF2-40B4-BE49-F238E27FC236}">
              <a16:creationId xmlns:a16="http://schemas.microsoft.com/office/drawing/2014/main" id="{B78E2BDF-970D-45E9-8152-7D4EEF801F1A}"/>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18</xdr:col>
      <xdr:colOff>79937</xdr:colOff>
      <xdr:row>1</xdr:row>
      <xdr:rowOff>19879</xdr:rowOff>
    </xdr:from>
    <xdr:to>
      <xdr:col>19</xdr:col>
      <xdr:colOff>150877</xdr:colOff>
      <xdr:row>3</xdr:row>
      <xdr:rowOff>10354</xdr:rowOff>
    </xdr:to>
    <xdr:sp macro="" textlink="">
      <xdr:nvSpPr>
        <xdr:cNvPr id="90" name="TextBox 89">
          <a:hlinkClick xmlns:r="http://schemas.openxmlformats.org/officeDocument/2006/relationships" r:id="rId19"/>
          <a:extLst>
            <a:ext uri="{FF2B5EF4-FFF2-40B4-BE49-F238E27FC236}">
              <a16:creationId xmlns:a16="http://schemas.microsoft.com/office/drawing/2014/main" id="{AD3BC0ED-DDDC-4A36-B3FC-1E977FE4AE7A}"/>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794654</xdr:colOff>
      <xdr:row>1</xdr:row>
      <xdr:rowOff>103586</xdr:rowOff>
    </xdr:from>
    <xdr:to>
      <xdr:col>5</xdr:col>
      <xdr:colOff>794654</xdr:colOff>
      <xdr:row>2</xdr:row>
      <xdr:rowOff>117146</xdr:rowOff>
    </xdr:to>
    <xdr:cxnSp macro="">
      <xdr:nvCxnSpPr>
        <xdr:cNvPr id="91" name="Straight Connector 90">
          <a:extLst>
            <a:ext uri="{FF2B5EF4-FFF2-40B4-BE49-F238E27FC236}">
              <a16:creationId xmlns:a16="http://schemas.microsoft.com/office/drawing/2014/main" id="{7D5929C8-00CD-47FB-AB74-6A387FB8D50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825389</xdr:colOff>
      <xdr:row>1</xdr:row>
      <xdr:rowOff>103586</xdr:rowOff>
    </xdr:from>
    <xdr:to>
      <xdr:col>4</xdr:col>
      <xdr:colOff>825389</xdr:colOff>
      <xdr:row>2</xdr:row>
      <xdr:rowOff>117146</xdr:rowOff>
    </xdr:to>
    <xdr:cxnSp macro="">
      <xdr:nvCxnSpPr>
        <xdr:cNvPr id="92" name="Straight Connector 91">
          <a:extLst>
            <a:ext uri="{FF2B5EF4-FFF2-40B4-BE49-F238E27FC236}">
              <a16:creationId xmlns:a16="http://schemas.microsoft.com/office/drawing/2014/main" id="{A9F9B8C9-B4AE-492A-B7D4-5771D83026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850065</xdr:colOff>
      <xdr:row>1</xdr:row>
      <xdr:rowOff>103586</xdr:rowOff>
    </xdr:from>
    <xdr:to>
      <xdr:col>3</xdr:col>
      <xdr:colOff>850065</xdr:colOff>
      <xdr:row>2</xdr:row>
      <xdr:rowOff>117146</xdr:rowOff>
    </xdr:to>
    <xdr:cxnSp macro="">
      <xdr:nvCxnSpPr>
        <xdr:cNvPr id="93" name="Straight Connector 92">
          <a:extLst>
            <a:ext uri="{FF2B5EF4-FFF2-40B4-BE49-F238E27FC236}">
              <a16:creationId xmlns:a16="http://schemas.microsoft.com/office/drawing/2014/main" id="{2AAD7027-BC14-447B-A7EB-46AB537CD46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769950</xdr:colOff>
      <xdr:row>1</xdr:row>
      <xdr:rowOff>103586</xdr:rowOff>
    </xdr:from>
    <xdr:to>
      <xdr:col>6</xdr:col>
      <xdr:colOff>769950</xdr:colOff>
      <xdr:row>2</xdr:row>
      <xdr:rowOff>117146</xdr:rowOff>
    </xdr:to>
    <xdr:cxnSp macro="">
      <xdr:nvCxnSpPr>
        <xdr:cNvPr id="94" name="Straight Connector 93">
          <a:extLst>
            <a:ext uri="{FF2B5EF4-FFF2-40B4-BE49-F238E27FC236}">
              <a16:creationId xmlns:a16="http://schemas.microsoft.com/office/drawing/2014/main" id="{5A2D9BCF-AECC-4C05-94F7-624274DC69BF}"/>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749327</xdr:colOff>
      <xdr:row>1</xdr:row>
      <xdr:rowOff>103586</xdr:rowOff>
    </xdr:from>
    <xdr:to>
      <xdr:col>7</xdr:col>
      <xdr:colOff>749327</xdr:colOff>
      <xdr:row>2</xdr:row>
      <xdr:rowOff>117146</xdr:rowOff>
    </xdr:to>
    <xdr:cxnSp macro="">
      <xdr:nvCxnSpPr>
        <xdr:cNvPr id="95" name="Straight Connector 94">
          <a:extLst>
            <a:ext uri="{FF2B5EF4-FFF2-40B4-BE49-F238E27FC236}">
              <a16:creationId xmlns:a16="http://schemas.microsoft.com/office/drawing/2014/main" id="{E95976A5-8AF1-403F-9D5D-80DA8204F8B1}"/>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721633</xdr:colOff>
      <xdr:row>1</xdr:row>
      <xdr:rowOff>103586</xdr:rowOff>
    </xdr:from>
    <xdr:to>
      <xdr:col>8</xdr:col>
      <xdr:colOff>721633</xdr:colOff>
      <xdr:row>2</xdr:row>
      <xdr:rowOff>117146</xdr:rowOff>
    </xdr:to>
    <xdr:cxnSp macro="">
      <xdr:nvCxnSpPr>
        <xdr:cNvPr id="96" name="Straight Connector 95">
          <a:extLst>
            <a:ext uri="{FF2B5EF4-FFF2-40B4-BE49-F238E27FC236}">
              <a16:creationId xmlns:a16="http://schemas.microsoft.com/office/drawing/2014/main" id="{22BBE922-EC59-4928-95BE-9A49D7E3334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695621</xdr:colOff>
      <xdr:row>1</xdr:row>
      <xdr:rowOff>103586</xdr:rowOff>
    </xdr:from>
    <xdr:to>
      <xdr:col>9</xdr:col>
      <xdr:colOff>695621</xdr:colOff>
      <xdr:row>2</xdr:row>
      <xdr:rowOff>117146</xdr:rowOff>
    </xdr:to>
    <xdr:cxnSp macro="">
      <xdr:nvCxnSpPr>
        <xdr:cNvPr id="97" name="Straight Connector 96">
          <a:extLst>
            <a:ext uri="{FF2B5EF4-FFF2-40B4-BE49-F238E27FC236}">
              <a16:creationId xmlns:a16="http://schemas.microsoft.com/office/drawing/2014/main" id="{34F2E49D-E718-4364-A1A3-53A843C6D1E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668705</xdr:colOff>
      <xdr:row>1</xdr:row>
      <xdr:rowOff>103586</xdr:rowOff>
    </xdr:from>
    <xdr:to>
      <xdr:col>10</xdr:col>
      <xdr:colOff>668705</xdr:colOff>
      <xdr:row>2</xdr:row>
      <xdr:rowOff>117146</xdr:rowOff>
    </xdr:to>
    <xdr:cxnSp macro="">
      <xdr:nvCxnSpPr>
        <xdr:cNvPr id="98" name="Straight Connector 97">
          <a:extLst>
            <a:ext uri="{FF2B5EF4-FFF2-40B4-BE49-F238E27FC236}">
              <a16:creationId xmlns:a16="http://schemas.microsoft.com/office/drawing/2014/main" id="{82F6FC6E-F9EE-4C82-B26B-6D250F2E7A2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642142</xdr:colOff>
      <xdr:row>1</xdr:row>
      <xdr:rowOff>103586</xdr:rowOff>
    </xdr:from>
    <xdr:to>
      <xdr:col>11</xdr:col>
      <xdr:colOff>642142</xdr:colOff>
      <xdr:row>2</xdr:row>
      <xdr:rowOff>117146</xdr:rowOff>
    </xdr:to>
    <xdr:cxnSp macro="">
      <xdr:nvCxnSpPr>
        <xdr:cNvPr id="99" name="Straight Connector 98">
          <a:extLst>
            <a:ext uri="{FF2B5EF4-FFF2-40B4-BE49-F238E27FC236}">
              <a16:creationId xmlns:a16="http://schemas.microsoft.com/office/drawing/2014/main" id="{2AE0B49E-8C88-442E-B832-D18FCC1359E5}"/>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234978</xdr:colOff>
      <xdr:row>1</xdr:row>
      <xdr:rowOff>103586</xdr:rowOff>
    </xdr:from>
    <xdr:to>
      <xdr:col>14</xdr:col>
      <xdr:colOff>234978</xdr:colOff>
      <xdr:row>2</xdr:row>
      <xdr:rowOff>117146</xdr:rowOff>
    </xdr:to>
    <xdr:cxnSp macro="">
      <xdr:nvCxnSpPr>
        <xdr:cNvPr id="100" name="Straight Connector 99">
          <a:extLst>
            <a:ext uri="{FF2B5EF4-FFF2-40B4-BE49-F238E27FC236}">
              <a16:creationId xmlns:a16="http://schemas.microsoft.com/office/drawing/2014/main" id="{1EA37724-E820-455C-809B-86BEE73E9D8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206020</xdr:colOff>
      <xdr:row>1</xdr:row>
      <xdr:rowOff>103586</xdr:rowOff>
    </xdr:from>
    <xdr:to>
      <xdr:col>15</xdr:col>
      <xdr:colOff>206020</xdr:colOff>
      <xdr:row>2</xdr:row>
      <xdr:rowOff>117146</xdr:rowOff>
    </xdr:to>
    <xdr:cxnSp macro="">
      <xdr:nvCxnSpPr>
        <xdr:cNvPr id="101" name="Straight Connector 100">
          <a:extLst>
            <a:ext uri="{FF2B5EF4-FFF2-40B4-BE49-F238E27FC236}">
              <a16:creationId xmlns:a16="http://schemas.microsoft.com/office/drawing/2014/main" id="{9F274298-0942-46F4-85F7-3EF3A72673EC}"/>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180074</xdr:colOff>
      <xdr:row>1</xdr:row>
      <xdr:rowOff>103586</xdr:rowOff>
    </xdr:from>
    <xdr:to>
      <xdr:col>16</xdr:col>
      <xdr:colOff>180074</xdr:colOff>
      <xdr:row>2</xdr:row>
      <xdr:rowOff>117146</xdr:rowOff>
    </xdr:to>
    <xdr:cxnSp macro="">
      <xdr:nvCxnSpPr>
        <xdr:cNvPr id="102" name="Straight Connector 101">
          <a:extLst>
            <a:ext uri="{FF2B5EF4-FFF2-40B4-BE49-F238E27FC236}">
              <a16:creationId xmlns:a16="http://schemas.microsoft.com/office/drawing/2014/main" id="{847E6BBA-5ADB-41FD-9151-F41645D30F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152470</xdr:colOff>
      <xdr:row>1</xdr:row>
      <xdr:rowOff>103586</xdr:rowOff>
    </xdr:from>
    <xdr:to>
      <xdr:col>17</xdr:col>
      <xdr:colOff>152470</xdr:colOff>
      <xdr:row>2</xdr:row>
      <xdr:rowOff>117146</xdr:rowOff>
    </xdr:to>
    <xdr:cxnSp macro="">
      <xdr:nvCxnSpPr>
        <xdr:cNvPr id="103" name="Straight Connector 102">
          <a:extLst>
            <a:ext uri="{FF2B5EF4-FFF2-40B4-BE49-F238E27FC236}">
              <a16:creationId xmlns:a16="http://schemas.microsoft.com/office/drawing/2014/main" id="{B0E7490D-3F92-4350-AD9E-FAAF082FE02C}"/>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128563</xdr:colOff>
      <xdr:row>1</xdr:row>
      <xdr:rowOff>103586</xdr:rowOff>
    </xdr:from>
    <xdr:to>
      <xdr:col>18</xdr:col>
      <xdr:colOff>128563</xdr:colOff>
      <xdr:row>2</xdr:row>
      <xdr:rowOff>117146</xdr:rowOff>
    </xdr:to>
    <xdr:cxnSp macro="">
      <xdr:nvCxnSpPr>
        <xdr:cNvPr id="104" name="Straight Connector 103">
          <a:extLst>
            <a:ext uri="{FF2B5EF4-FFF2-40B4-BE49-F238E27FC236}">
              <a16:creationId xmlns:a16="http://schemas.microsoft.com/office/drawing/2014/main" id="{B2514338-A737-460E-8958-448A77EDDA1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390934</xdr:colOff>
      <xdr:row>1</xdr:row>
      <xdr:rowOff>103586</xdr:rowOff>
    </xdr:from>
    <xdr:to>
      <xdr:col>12</xdr:col>
      <xdr:colOff>390934</xdr:colOff>
      <xdr:row>2</xdr:row>
      <xdr:rowOff>117146</xdr:rowOff>
    </xdr:to>
    <xdr:cxnSp macro="">
      <xdr:nvCxnSpPr>
        <xdr:cNvPr id="105" name="Straight Connector 104">
          <a:extLst>
            <a:ext uri="{FF2B5EF4-FFF2-40B4-BE49-F238E27FC236}">
              <a16:creationId xmlns:a16="http://schemas.microsoft.com/office/drawing/2014/main" id="{02DBF2A8-D2F7-4B3E-91AE-97412FD8F3D5}"/>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xdr:colOff>
      <xdr:row>14</xdr:row>
      <xdr:rowOff>0</xdr:rowOff>
    </xdr:from>
    <xdr:to>
      <xdr:col>8</xdr:col>
      <xdr:colOff>476249</xdr:colOff>
      <xdr:row>28</xdr:row>
      <xdr:rowOff>127747</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609849</xdr:colOff>
      <xdr:row>14</xdr:row>
      <xdr:rowOff>0</xdr:rowOff>
    </xdr:from>
    <xdr:to>
      <xdr:col>9</xdr:col>
      <xdr:colOff>1812800</xdr:colOff>
      <xdr:row>28</xdr:row>
      <xdr:rowOff>127747</xdr:rowOff>
    </xdr:to>
    <xdr:graphicFrame macro="">
      <xdr:nvGraphicFramePr>
        <xdr:cNvPr id="3" name="Chart 2">
          <a:extLst>
            <a:ext uri="{FF2B5EF4-FFF2-40B4-BE49-F238E27FC236}">
              <a16:creationId xmlns:a16="http://schemas.microsoft.com/office/drawing/2014/main" id="{45AAF55B-ABA2-43D3-A462-02A43BBC5DE3}"/>
            </a:ext>
            <a:ext uri="{147F2762-F138-4A5C-976F-8EAC2B608ADB}">
              <a16:predDERef xmlns:a16="http://schemas.microsoft.com/office/drawing/2014/main" pre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1946400</xdr:colOff>
      <xdr:row>14</xdr:row>
      <xdr:rowOff>0</xdr:rowOff>
    </xdr:from>
    <xdr:to>
      <xdr:col>10</xdr:col>
      <xdr:colOff>2415926</xdr:colOff>
      <xdr:row>28</xdr:row>
      <xdr:rowOff>127747</xdr:rowOff>
    </xdr:to>
    <xdr:graphicFrame macro="">
      <xdr:nvGraphicFramePr>
        <xdr:cNvPr id="4" name="Chart 3">
          <a:extLst>
            <a:ext uri="{FF2B5EF4-FFF2-40B4-BE49-F238E27FC236}">
              <a16:creationId xmlns:a16="http://schemas.microsoft.com/office/drawing/2014/main" id="{59F1BEDE-4F75-4221-A558-067C1F360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2549525</xdr:colOff>
      <xdr:row>14</xdr:row>
      <xdr:rowOff>0</xdr:rowOff>
    </xdr:from>
    <xdr:to>
      <xdr:col>10</xdr:col>
      <xdr:colOff>5657476</xdr:colOff>
      <xdr:row>28</xdr:row>
      <xdr:rowOff>127747</xdr:rowOff>
    </xdr:to>
    <xdr:graphicFrame macro="">
      <xdr:nvGraphicFramePr>
        <xdr:cNvPr id="9" name="Chart 8">
          <a:extLst>
            <a:ext uri="{FF2B5EF4-FFF2-40B4-BE49-F238E27FC236}">
              <a16:creationId xmlns:a16="http://schemas.microsoft.com/office/drawing/2014/main" id="{D3406B2A-6743-4D4D-90BD-D1A04B625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54</xdr:col>
      <xdr:colOff>503836</xdr:colOff>
      <xdr:row>4</xdr:row>
      <xdr:rowOff>0</xdr:rowOff>
    </xdr:to>
    <xdr:sp macro="" textlink="">
      <xdr:nvSpPr>
        <xdr:cNvPr id="43" name="Rectangle 42">
          <a:extLst>
            <a:ext uri="{FF2B5EF4-FFF2-40B4-BE49-F238E27FC236}">
              <a16:creationId xmlns:a16="http://schemas.microsoft.com/office/drawing/2014/main" id="{2D5DAF4E-9732-4941-8B7A-2D340E0A3B0A}"/>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685197</xdr:colOff>
      <xdr:row>1</xdr:row>
      <xdr:rowOff>19879</xdr:rowOff>
    </xdr:from>
    <xdr:to>
      <xdr:col>10</xdr:col>
      <xdr:colOff>1636165</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936ED9B2-D157-47DE-8E19-56A8E6CAEF03}"/>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5" name="Picture 44">
          <a:extLst>
            <a:ext uri="{FF2B5EF4-FFF2-40B4-BE49-F238E27FC236}">
              <a16:creationId xmlns:a16="http://schemas.microsoft.com/office/drawing/2014/main" id="{F420DE02-7D81-4670-8EBB-08948162F73D}"/>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1307327</xdr:colOff>
      <xdr:row>1</xdr:row>
      <xdr:rowOff>28201</xdr:rowOff>
    </xdr:from>
    <xdr:to>
      <xdr:col>1</xdr:col>
      <xdr:colOff>1307327</xdr:colOff>
      <xdr:row>2</xdr:row>
      <xdr:rowOff>138545</xdr:rowOff>
    </xdr:to>
    <xdr:cxnSp macro="">
      <xdr:nvCxnSpPr>
        <xdr:cNvPr id="51" name="Straight Connector 50">
          <a:extLst>
            <a:ext uri="{FF2B5EF4-FFF2-40B4-BE49-F238E27FC236}">
              <a16:creationId xmlns:a16="http://schemas.microsoft.com/office/drawing/2014/main" id="{58F14CEE-DFD4-4E2A-9A6A-517A0A8CC50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144200</xdr:colOff>
      <xdr:row>1</xdr:row>
      <xdr:rowOff>19879</xdr:rowOff>
    </xdr:from>
    <xdr:to>
      <xdr:col>6</xdr:col>
      <xdr:colOff>270052</xdr:colOff>
      <xdr:row>3</xdr:row>
      <xdr:rowOff>10354</xdr:rowOff>
    </xdr:to>
    <xdr:sp macro="" textlink="">
      <xdr:nvSpPr>
        <xdr:cNvPr id="52" name="TextBox 51">
          <a:hlinkClick xmlns:r="http://schemas.openxmlformats.org/officeDocument/2006/relationships" r:id="rId7"/>
          <a:extLst>
            <a:ext uri="{FF2B5EF4-FFF2-40B4-BE49-F238E27FC236}">
              <a16:creationId xmlns:a16="http://schemas.microsoft.com/office/drawing/2014/main" id="{B3AEE23F-2292-44FE-BD10-46B89F2C476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6</xdr:col>
      <xdr:colOff>172778</xdr:colOff>
      <xdr:row>1</xdr:row>
      <xdr:rowOff>19879</xdr:rowOff>
    </xdr:from>
    <xdr:to>
      <xdr:col>6</xdr:col>
      <xdr:colOff>1131201</xdr:colOff>
      <xdr:row>3</xdr:row>
      <xdr:rowOff>10354</xdr:rowOff>
    </xdr:to>
    <xdr:sp macro="" textlink="">
      <xdr:nvSpPr>
        <xdr:cNvPr id="53" name="TextBox 52">
          <a:hlinkClick xmlns:r="http://schemas.openxmlformats.org/officeDocument/2006/relationships" r:id="rId8"/>
          <a:extLst>
            <a:ext uri="{FF2B5EF4-FFF2-40B4-BE49-F238E27FC236}">
              <a16:creationId xmlns:a16="http://schemas.microsoft.com/office/drawing/2014/main" id="{A82773A0-E5AD-4523-BF90-33E3C369F9C2}"/>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1033927</xdr:colOff>
      <xdr:row>1</xdr:row>
      <xdr:rowOff>19879</xdr:rowOff>
    </xdr:from>
    <xdr:to>
      <xdr:col>7</xdr:col>
      <xdr:colOff>147966</xdr:colOff>
      <xdr:row>3</xdr:row>
      <xdr:rowOff>10354</xdr:rowOff>
    </xdr:to>
    <xdr:sp macro="" textlink="">
      <xdr:nvSpPr>
        <xdr:cNvPr id="54" name="TextBox 53">
          <a:hlinkClick xmlns:r="http://schemas.openxmlformats.org/officeDocument/2006/relationships" r:id="rId9"/>
          <a:extLst>
            <a:ext uri="{FF2B5EF4-FFF2-40B4-BE49-F238E27FC236}">
              <a16:creationId xmlns:a16="http://schemas.microsoft.com/office/drawing/2014/main" id="{81A68F13-42EF-41D9-B529-20CBF1058AD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7</xdr:col>
      <xdr:colOff>50692</xdr:colOff>
      <xdr:row>1</xdr:row>
      <xdr:rowOff>19879</xdr:rowOff>
    </xdr:from>
    <xdr:to>
      <xdr:col>8</xdr:col>
      <xdr:colOff>170887</xdr:colOff>
      <xdr:row>3</xdr:row>
      <xdr:rowOff>10354</xdr:rowOff>
    </xdr:to>
    <xdr:sp macro="" textlink="">
      <xdr:nvSpPr>
        <xdr:cNvPr id="55" name="TextBox 54">
          <a:hlinkClick xmlns:r="http://schemas.openxmlformats.org/officeDocument/2006/relationships" r:id="rId10"/>
          <a:extLst>
            <a:ext uri="{FF2B5EF4-FFF2-40B4-BE49-F238E27FC236}">
              <a16:creationId xmlns:a16="http://schemas.microsoft.com/office/drawing/2014/main" id="{0E9D3C7B-02DD-49BA-8D86-0D7FF286C16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ESG</a:t>
          </a:r>
        </a:p>
      </xdr:txBody>
    </xdr:sp>
    <xdr:clientData/>
  </xdr:twoCellAnchor>
  <xdr:twoCellAnchor>
    <xdr:from>
      <xdr:col>8</xdr:col>
      <xdr:colOff>73613</xdr:colOff>
      <xdr:row>1</xdr:row>
      <xdr:rowOff>19879</xdr:rowOff>
    </xdr:from>
    <xdr:to>
      <xdr:col>8</xdr:col>
      <xdr:colOff>1036089</xdr:colOff>
      <xdr:row>3</xdr:row>
      <xdr:rowOff>10354</xdr:rowOff>
    </xdr:to>
    <xdr:sp macro="" textlink="">
      <xdr:nvSpPr>
        <xdr:cNvPr id="56" name="TextBox 55">
          <a:hlinkClick xmlns:r="http://schemas.openxmlformats.org/officeDocument/2006/relationships" r:id="rId11"/>
          <a:extLst>
            <a:ext uri="{FF2B5EF4-FFF2-40B4-BE49-F238E27FC236}">
              <a16:creationId xmlns:a16="http://schemas.microsoft.com/office/drawing/2014/main" id="{932774EF-06A8-4B60-BD1C-7FCB6D2B409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938815</xdr:colOff>
      <xdr:row>1</xdr:row>
      <xdr:rowOff>19879</xdr:rowOff>
    </xdr:from>
    <xdr:to>
      <xdr:col>8</xdr:col>
      <xdr:colOff>1894220</xdr:colOff>
      <xdr:row>3</xdr:row>
      <xdr:rowOff>10354</xdr:rowOff>
    </xdr:to>
    <xdr:sp macro="" textlink="">
      <xdr:nvSpPr>
        <xdr:cNvPr id="57" name="TextBox 56">
          <a:hlinkClick xmlns:r="http://schemas.openxmlformats.org/officeDocument/2006/relationships" r:id="rId12"/>
          <a:extLst>
            <a:ext uri="{FF2B5EF4-FFF2-40B4-BE49-F238E27FC236}">
              <a16:creationId xmlns:a16="http://schemas.microsoft.com/office/drawing/2014/main" id="{E6194C28-81E4-448A-9874-07F92F0A667A}"/>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1798627</xdr:colOff>
      <xdr:row>1</xdr:row>
      <xdr:rowOff>19879</xdr:rowOff>
    </xdr:from>
    <xdr:to>
      <xdr:col>9</xdr:col>
      <xdr:colOff>847352</xdr:colOff>
      <xdr:row>3</xdr:row>
      <xdr:rowOff>10354</xdr:rowOff>
    </xdr:to>
    <xdr:sp macro="" textlink="">
      <xdr:nvSpPr>
        <xdr:cNvPr id="58" name="TextBox 57">
          <a:hlinkClick xmlns:r="http://schemas.openxmlformats.org/officeDocument/2006/relationships" r:id="rId13"/>
          <a:extLst>
            <a:ext uri="{FF2B5EF4-FFF2-40B4-BE49-F238E27FC236}">
              <a16:creationId xmlns:a16="http://schemas.microsoft.com/office/drawing/2014/main" id="{2536E05E-497B-4B02-9B27-D69AD832749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751759</xdr:colOff>
      <xdr:row>1</xdr:row>
      <xdr:rowOff>19879</xdr:rowOff>
    </xdr:from>
    <xdr:to>
      <xdr:col>9</xdr:col>
      <xdr:colOff>1707942</xdr:colOff>
      <xdr:row>3</xdr:row>
      <xdr:rowOff>10354</xdr:rowOff>
    </xdr:to>
    <xdr:sp macro="" textlink="">
      <xdr:nvSpPr>
        <xdr:cNvPr id="59" name="TextBox 58">
          <a:hlinkClick xmlns:r="http://schemas.openxmlformats.org/officeDocument/2006/relationships" r:id="rId14"/>
          <a:extLst>
            <a:ext uri="{FF2B5EF4-FFF2-40B4-BE49-F238E27FC236}">
              <a16:creationId xmlns:a16="http://schemas.microsoft.com/office/drawing/2014/main" id="{1626F59C-8810-4D52-AE76-2043817DE4A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1610668</xdr:colOff>
      <xdr:row>1</xdr:row>
      <xdr:rowOff>19879</xdr:rowOff>
    </xdr:from>
    <xdr:to>
      <xdr:col>9</xdr:col>
      <xdr:colOff>2567204</xdr:colOff>
      <xdr:row>3</xdr:row>
      <xdr:rowOff>10354</xdr:rowOff>
    </xdr:to>
    <xdr:sp macro="" textlink="">
      <xdr:nvSpPr>
        <xdr:cNvPr id="60" name="TextBox 59">
          <a:hlinkClick xmlns:r="http://schemas.openxmlformats.org/officeDocument/2006/relationships" r:id="rId15"/>
          <a:extLst>
            <a:ext uri="{FF2B5EF4-FFF2-40B4-BE49-F238E27FC236}">
              <a16:creationId xmlns:a16="http://schemas.microsoft.com/office/drawing/2014/main" id="{DF5727B1-0566-48CE-8B92-8D3099C94714}"/>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9</xdr:col>
      <xdr:colOff>2469930</xdr:colOff>
      <xdr:row>1</xdr:row>
      <xdr:rowOff>19879</xdr:rowOff>
    </xdr:from>
    <xdr:to>
      <xdr:col>10</xdr:col>
      <xdr:colOff>782471</xdr:colOff>
      <xdr:row>3</xdr:row>
      <xdr:rowOff>10354</xdr:rowOff>
    </xdr:to>
    <xdr:sp macro="" textlink="">
      <xdr:nvSpPr>
        <xdr:cNvPr id="61" name="TextBox 60">
          <a:hlinkClick xmlns:r="http://schemas.openxmlformats.org/officeDocument/2006/relationships" r:id="rId16"/>
          <a:extLst>
            <a:ext uri="{FF2B5EF4-FFF2-40B4-BE49-F238E27FC236}">
              <a16:creationId xmlns:a16="http://schemas.microsoft.com/office/drawing/2014/main" id="{49C8826F-B00F-452D-92A5-39AE4415F103}"/>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10</xdr:col>
      <xdr:colOff>1538891</xdr:colOff>
      <xdr:row>1</xdr:row>
      <xdr:rowOff>19879</xdr:rowOff>
    </xdr:from>
    <xdr:to>
      <xdr:col>10</xdr:col>
      <xdr:colOff>2493032</xdr:colOff>
      <xdr:row>3</xdr:row>
      <xdr:rowOff>10354</xdr:rowOff>
    </xdr:to>
    <xdr:sp macro="" textlink="">
      <xdr:nvSpPr>
        <xdr:cNvPr id="62" name="TextBox 61">
          <a:hlinkClick xmlns:r="http://schemas.openxmlformats.org/officeDocument/2006/relationships" r:id="rId17"/>
          <a:extLst>
            <a:ext uri="{FF2B5EF4-FFF2-40B4-BE49-F238E27FC236}">
              <a16:creationId xmlns:a16="http://schemas.microsoft.com/office/drawing/2014/main" id="{5C22341C-D040-4116-BD1F-3F77CE9188B7}"/>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10</xdr:col>
      <xdr:colOff>2395758</xdr:colOff>
      <xdr:row>1</xdr:row>
      <xdr:rowOff>19879</xdr:rowOff>
    </xdr:from>
    <xdr:to>
      <xdr:col>10</xdr:col>
      <xdr:colOff>3352911</xdr:colOff>
      <xdr:row>3</xdr:row>
      <xdr:rowOff>10354</xdr:rowOff>
    </xdr:to>
    <xdr:sp macro="" textlink="">
      <xdr:nvSpPr>
        <xdr:cNvPr id="63" name="TextBox 62">
          <a:hlinkClick xmlns:r="http://schemas.openxmlformats.org/officeDocument/2006/relationships" r:id="rId18"/>
          <a:extLst>
            <a:ext uri="{FF2B5EF4-FFF2-40B4-BE49-F238E27FC236}">
              <a16:creationId xmlns:a16="http://schemas.microsoft.com/office/drawing/2014/main" id="{F4B59316-069C-4887-BC5A-1C2F1FC0C5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10</xdr:col>
      <xdr:colOff>3255637</xdr:colOff>
      <xdr:row>1</xdr:row>
      <xdr:rowOff>19879</xdr:rowOff>
    </xdr:from>
    <xdr:to>
      <xdr:col>10</xdr:col>
      <xdr:colOff>4211132</xdr:colOff>
      <xdr:row>3</xdr:row>
      <xdr:rowOff>10354</xdr:rowOff>
    </xdr:to>
    <xdr:sp macro="" textlink="">
      <xdr:nvSpPr>
        <xdr:cNvPr id="64" name="TextBox 63">
          <a:hlinkClick xmlns:r="http://schemas.openxmlformats.org/officeDocument/2006/relationships" r:id="rId19"/>
          <a:extLst>
            <a:ext uri="{FF2B5EF4-FFF2-40B4-BE49-F238E27FC236}">
              <a16:creationId xmlns:a16="http://schemas.microsoft.com/office/drawing/2014/main" id="{1770C40B-EF14-43FC-8F73-C0925A407D4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10</xdr:col>
      <xdr:colOff>4113858</xdr:colOff>
      <xdr:row>1</xdr:row>
      <xdr:rowOff>19879</xdr:rowOff>
    </xdr:from>
    <xdr:to>
      <xdr:col>10</xdr:col>
      <xdr:colOff>5073050</xdr:colOff>
      <xdr:row>3</xdr:row>
      <xdr:rowOff>10354</xdr:rowOff>
    </xdr:to>
    <xdr:sp macro="" textlink="">
      <xdr:nvSpPr>
        <xdr:cNvPr id="65" name="TextBox 64">
          <a:hlinkClick xmlns:r="http://schemas.openxmlformats.org/officeDocument/2006/relationships" r:id="rId20"/>
          <a:extLst>
            <a:ext uri="{FF2B5EF4-FFF2-40B4-BE49-F238E27FC236}">
              <a16:creationId xmlns:a16="http://schemas.microsoft.com/office/drawing/2014/main" id="{98E2A19C-4626-4464-B80F-1A9A1DAEEC40}"/>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10</xdr:col>
      <xdr:colOff>4975787</xdr:colOff>
      <xdr:row>1</xdr:row>
      <xdr:rowOff>19879</xdr:rowOff>
    </xdr:from>
    <xdr:to>
      <xdr:col>11</xdr:col>
      <xdr:colOff>179452</xdr:colOff>
      <xdr:row>3</xdr:row>
      <xdr:rowOff>10354</xdr:rowOff>
    </xdr:to>
    <xdr:sp macro="" textlink="">
      <xdr:nvSpPr>
        <xdr:cNvPr id="66" name="TextBox 65">
          <a:hlinkClick xmlns:r="http://schemas.openxmlformats.org/officeDocument/2006/relationships" r:id="rId21"/>
          <a:extLst>
            <a:ext uri="{FF2B5EF4-FFF2-40B4-BE49-F238E27FC236}">
              <a16:creationId xmlns:a16="http://schemas.microsoft.com/office/drawing/2014/main" id="{3D592029-0980-4338-9F8A-86962E2B725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7</xdr:col>
      <xdr:colOff>99329</xdr:colOff>
      <xdr:row>1</xdr:row>
      <xdr:rowOff>103586</xdr:rowOff>
    </xdr:from>
    <xdr:to>
      <xdr:col>7</xdr:col>
      <xdr:colOff>99329</xdr:colOff>
      <xdr:row>2</xdr:row>
      <xdr:rowOff>117146</xdr:rowOff>
    </xdr:to>
    <xdr:cxnSp macro="">
      <xdr:nvCxnSpPr>
        <xdr:cNvPr id="67" name="Straight Connector 66">
          <a:extLst>
            <a:ext uri="{FF2B5EF4-FFF2-40B4-BE49-F238E27FC236}">
              <a16:creationId xmlns:a16="http://schemas.microsoft.com/office/drawing/2014/main" id="{B3DB3067-E04C-484F-878E-DF672E8A3837}"/>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1082564</xdr:colOff>
      <xdr:row>1</xdr:row>
      <xdr:rowOff>103586</xdr:rowOff>
    </xdr:from>
    <xdr:to>
      <xdr:col>6</xdr:col>
      <xdr:colOff>1082564</xdr:colOff>
      <xdr:row>2</xdr:row>
      <xdr:rowOff>117146</xdr:rowOff>
    </xdr:to>
    <xdr:cxnSp macro="">
      <xdr:nvCxnSpPr>
        <xdr:cNvPr id="68" name="Straight Connector 67">
          <a:extLst>
            <a:ext uri="{FF2B5EF4-FFF2-40B4-BE49-F238E27FC236}">
              <a16:creationId xmlns:a16="http://schemas.microsoft.com/office/drawing/2014/main" id="{6C783374-799C-4323-AA2F-8AF14084FF53}"/>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221415</xdr:colOff>
      <xdr:row>1</xdr:row>
      <xdr:rowOff>103586</xdr:rowOff>
    </xdr:from>
    <xdr:to>
      <xdr:col>6</xdr:col>
      <xdr:colOff>221415</xdr:colOff>
      <xdr:row>2</xdr:row>
      <xdr:rowOff>117146</xdr:rowOff>
    </xdr:to>
    <xdr:cxnSp macro="">
      <xdr:nvCxnSpPr>
        <xdr:cNvPr id="69" name="Straight Connector 68">
          <a:extLst>
            <a:ext uri="{FF2B5EF4-FFF2-40B4-BE49-F238E27FC236}">
              <a16:creationId xmlns:a16="http://schemas.microsoft.com/office/drawing/2014/main" id="{4D1A2F6C-CA2B-49B5-BB3E-0CB2B9910CF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122250</xdr:colOff>
      <xdr:row>1</xdr:row>
      <xdr:rowOff>103586</xdr:rowOff>
    </xdr:from>
    <xdr:to>
      <xdr:col>8</xdr:col>
      <xdr:colOff>122250</xdr:colOff>
      <xdr:row>2</xdr:row>
      <xdr:rowOff>117146</xdr:rowOff>
    </xdr:to>
    <xdr:cxnSp macro="">
      <xdr:nvCxnSpPr>
        <xdr:cNvPr id="70" name="Straight Connector 69">
          <a:extLst>
            <a:ext uri="{FF2B5EF4-FFF2-40B4-BE49-F238E27FC236}">
              <a16:creationId xmlns:a16="http://schemas.microsoft.com/office/drawing/2014/main" id="{70BB0FEB-E536-4982-B7AD-BEAD311C6358}"/>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987452</xdr:colOff>
      <xdr:row>1</xdr:row>
      <xdr:rowOff>103586</xdr:rowOff>
    </xdr:from>
    <xdr:to>
      <xdr:col>8</xdr:col>
      <xdr:colOff>987452</xdr:colOff>
      <xdr:row>2</xdr:row>
      <xdr:rowOff>117146</xdr:rowOff>
    </xdr:to>
    <xdr:cxnSp macro="">
      <xdr:nvCxnSpPr>
        <xdr:cNvPr id="71" name="Straight Connector 70">
          <a:extLst>
            <a:ext uri="{FF2B5EF4-FFF2-40B4-BE49-F238E27FC236}">
              <a16:creationId xmlns:a16="http://schemas.microsoft.com/office/drawing/2014/main" id="{233E56A2-967F-4E79-A677-780A4748719E}"/>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1845583</xdr:colOff>
      <xdr:row>1</xdr:row>
      <xdr:rowOff>103586</xdr:rowOff>
    </xdr:from>
    <xdr:to>
      <xdr:col>8</xdr:col>
      <xdr:colOff>1845583</xdr:colOff>
      <xdr:row>2</xdr:row>
      <xdr:rowOff>117146</xdr:rowOff>
    </xdr:to>
    <xdr:cxnSp macro="">
      <xdr:nvCxnSpPr>
        <xdr:cNvPr id="72" name="Straight Connector 71">
          <a:extLst>
            <a:ext uri="{FF2B5EF4-FFF2-40B4-BE49-F238E27FC236}">
              <a16:creationId xmlns:a16="http://schemas.microsoft.com/office/drawing/2014/main" id="{D57F8E60-EF2C-4989-BBBB-F588837B25C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800396</xdr:colOff>
      <xdr:row>1</xdr:row>
      <xdr:rowOff>103586</xdr:rowOff>
    </xdr:from>
    <xdr:to>
      <xdr:col>9</xdr:col>
      <xdr:colOff>800396</xdr:colOff>
      <xdr:row>2</xdr:row>
      <xdr:rowOff>117146</xdr:rowOff>
    </xdr:to>
    <xdr:cxnSp macro="">
      <xdr:nvCxnSpPr>
        <xdr:cNvPr id="73" name="Straight Connector 72">
          <a:extLst>
            <a:ext uri="{FF2B5EF4-FFF2-40B4-BE49-F238E27FC236}">
              <a16:creationId xmlns:a16="http://schemas.microsoft.com/office/drawing/2014/main" id="{58B2291A-611D-4E7F-90E2-A8279B0C62A7}"/>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1659305</xdr:colOff>
      <xdr:row>1</xdr:row>
      <xdr:rowOff>103586</xdr:rowOff>
    </xdr:from>
    <xdr:to>
      <xdr:col>9</xdr:col>
      <xdr:colOff>1659305</xdr:colOff>
      <xdr:row>2</xdr:row>
      <xdr:rowOff>117146</xdr:rowOff>
    </xdr:to>
    <xdr:cxnSp macro="">
      <xdr:nvCxnSpPr>
        <xdr:cNvPr id="74" name="Straight Connector 73">
          <a:extLst>
            <a:ext uri="{FF2B5EF4-FFF2-40B4-BE49-F238E27FC236}">
              <a16:creationId xmlns:a16="http://schemas.microsoft.com/office/drawing/2014/main" id="{AA1D5D3B-5E79-4F96-9F1F-023986BF46C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2518567</xdr:colOff>
      <xdr:row>1</xdr:row>
      <xdr:rowOff>103586</xdr:rowOff>
    </xdr:from>
    <xdr:to>
      <xdr:col>9</xdr:col>
      <xdr:colOff>2518567</xdr:colOff>
      <xdr:row>2</xdr:row>
      <xdr:rowOff>117146</xdr:rowOff>
    </xdr:to>
    <xdr:cxnSp macro="">
      <xdr:nvCxnSpPr>
        <xdr:cNvPr id="75" name="Straight Connector 74">
          <a:extLst>
            <a:ext uri="{FF2B5EF4-FFF2-40B4-BE49-F238E27FC236}">
              <a16:creationId xmlns:a16="http://schemas.microsoft.com/office/drawing/2014/main" id="{71571DC3-6957-484E-95E6-6597F95D39F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1587528</xdr:colOff>
      <xdr:row>1</xdr:row>
      <xdr:rowOff>103586</xdr:rowOff>
    </xdr:from>
    <xdr:to>
      <xdr:col>10</xdr:col>
      <xdr:colOff>1587528</xdr:colOff>
      <xdr:row>2</xdr:row>
      <xdr:rowOff>117146</xdr:rowOff>
    </xdr:to>
    <xdr:cxnSp macro="">
      <xdr:nvCxnSpPr>
        <xdr:cNvPr id="76" name="Straight Connector 75">
          <a:extLst>
            <a:ext uri="{FF2B5EF4-FFF2-40B4-BE49-F238E27FC236}">
              <a16:creationId xmlns:a16="http://schemas.microsoft.com/office/drawing/2014/main" id="{6DF897BB-1CFF-4049-96C0-4443041E8DB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2444395</xdr:colOff>
      <xdr:row>1</xdr:row>
      <xdr:rowOff>103586</xdr:rowOff>
    </xdr:from>
    <xdr:to>
      <xdr:col>10</xdr:col>
      <xdr:colOff>2444395</xdr:colOff>
      <xdr:row>2</xdr:row>
      <xdr:rowOff>117146</xdr:rowOff>
    </xdr:to>
    <xdr:cxnSp macro="">
      <xdr:nvCxnSpPr>
        <xdr:cNvPr id="77" name="Straight Connector 76">
          <a:extLst>
            <a:ext uri="{FF2B5EF4-FFF2-40B4-BE49-F238E27FC236}">
              <a16:creationId xmlns:a16="http://schemas.microsoft.com/office/drawing/2014/main" id="{F80B2848-EDCE-406E-8A77-1DDA340ADCA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3304274</xdr:colOff>
      <xdr:row>1</xdr:row>
      <xdr:rowOff>103586</xdr:rowOff>
    </xdr:from>
    <xdr:to>
      <xdr:col>10</xdr:col>
      <xdr:colOff>3304274</xdr:colOff>
      <xdr:row>2</xdr:row>
      <xdr:rowOff>117146</xdr:rowOff>
    </xdr:to>
    <xdr:cxnSp macro="">
      <xdr:nvCxnSpPr>
        <xdr:cNvPr id="78" name="Straight Connector 77">
          <a:extLst>
            <a:ext uri="{FF2B5EF4-FFF2-40B4-BE49-F238E27FC236}">
              <a16:creationId xmlns:a16="http://schemas.microsoft.com/office/drawing/2014/main" id="{A8C7F363-0742-4444-A3DD-A262D2D166E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4162495</xdr:colOff>
      <xdr:row>1</xdr:row>
      <xdr:rowOff>103586</xdr:rowOff>
    </xdr:from>
    <xdr:to>
      <xdr:col>10</xdr:col>
      <xdr:colOff>4162495</xdr:colOff>
      <xdr:row>2</xdr:row>
      <xdr:rowOff>117146</xdr:rowOff>
    </xdr:to>
    <xdr:cxnSp macro="">
      <xdr:nvCxnSpPr>
        <xdr:cNvPr id="79" name="Straight Connector 78">
          <a:extLst>
            <a:ext uri="{FF2B5EF4-FFF2-40B4-BE49-F238E27FC236}">
              <a16:creationId xmlns:a16="http://schemas.microsoft.com/office/drawing/2014/main" id="{489550C9-199B-4BDD-92D3-3A1AB1B95766}"/>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5024413</xdr:colOff>
      <xdr:row>1</xdr:row>
      <xdr:rowOff>103586</xdr:rowOff>
    </xdr:from>
    <xdr:to>
      <xdr:col>10</xdr:col>
      <xdr:colOff>5024413</xdr:colOff>
      <xdr:row>2</xdr:row>
      <xdr:rowOff>117146</xdr:rowOff>
    </xdr:to>
    <xdr:cxnSp macro="">
      <xdr:nvCxnSpPr>
        <xdr:cNvPr id="80" name="Straight Connector 79">
          <a:extLst>
            <a:ext uri="{FF2B5EF4-FFF2-40B4-BE49-F238E27FC236}">
              <a16:creationId xmlns:a16="http://schemas.microsoft.com/office/drawing/2014/main" id="{21CBBF81-2886-40AD-9D8A-2FD69AB5EFD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733834</xdr:colOff>
      <xdr:row>1</xdr:row>
      <xdr:rowOff>103586</xdr:rowOff>
    </xdr:from>
    <xdr:to>
      <xdr:col>10</xdr:col>
      <xdr:colOff>733834</xdr:colOff>
      <xdr:row>2</xdr:row>
      <xdr:rowOff>117146</xdr:rowOff>
    </xdr:to>
    <xdr:cxnSp macro="">
      <xdr:nvCxnSpPr>
        <xdr:cNvPr id="81" name="Straight Connector 80">
          <a:extLst>
            <a:ext uri="{FF2B5EF4-FFF2-40B4-BE49-F238E27FC236}">
              <a16:creationId xmlns:a16="http://schemas.microsoft.com/office/drawing/2014/main" id="{46F2A12C-3138-4B40-B951-42400345491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96</xdr:col>
      <xdr:colOff>94261</xdr:colOff>
      <xdr:row>4</xdr:row>
      <xdr:rowOff>0</xdr:rowOff>
    </xdr:to>
    <xdr:sp macro="" textlink="">
      <xdr:nvSpPr>
        <xdr:cNvPr id="3" name="Rectangle 2">
          <a:extLst>
            <a:ext uri="{FF2B5EF4-FFF2-40B4-BE49-F238E27FC236}">
              <a16:creationId xmlns:a16="http://schemas.microsoft.com/office/drawing/2014/main" id="{E0F6F19E-8CE6-4B78-82B3-BAF6916C1F3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399447</xdr:colOff>
      <xdr:row>1</xdr:row>
      <xdr:rowOff>19879</xdr:rowOff>
    </xdr:from>
    <xdr:to>
      <xdr:col>52</xdr:col>
      <xdr:colOff>664615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7E62D0B2-DCF8-4113-8E59-86B1A9E9AE3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FF5A37FA-46B3-44C4-94E1-2DCE330374C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41" name="Straight Connector 40">
          <a:extLst>
            <a:ext uri="{FF2B5EF4-FFF2-40B4-BE49-F238E27FC236}">
              <a16:creationId xmlns:a16="http://schemas.microsoft.com/office/drawing/2014/main" id="{3148ECBC-B2E3-49C9-9069-EF20F463CFD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10850</xdr:colOff>
      <xdr:row>1</xdr:row>
      <xdr:rowOff>19879</xdr:rowOff>
    </xdr:from>
    <xdr:to>
      <xdr:col>19</xdr:col>
      <xdr:colOff>841552</xdr:colOff>
      <xdr:row>3</xdr:row>
      <xdr:rowOff>10354</xdr:rowOff>
    </xdr:to>
    <xdr:sp macro="" textlink="">
      <xdr:nvSpPr>
        <xdr:cNvPr id="42" name="TextBox 41">
          <a:hlinkClick xmlns:r="http://schemas.openxmlformats.org/officeDocument/2006/relationships" r:id="rId3"/>
          <a:extLst>
            <a:ext uri="{FF2B5EF4-FFF2-40B4-BE49-F238E27FC236}">
              <a16:creationId xmlns:a16="http://schemas.microsoft.com/office/drawing/2014/main" id="{81270823-53A7-4901-B03B-587905477F8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19</xdr:col>
      <xdr:colOff>744278</xdr:colOff>
      <xdr:row>1</xdr:row>
      <xdr:rowOff>19879</xdr:rowOff>
    </xdr:from>
    <xdr:to>
      <xdr:col>25</xdr:col>
      <xdr:colOff>693051</xdr:colOff>
      <xdr:row>3</xdr:row>
      <xdr:rowOff>10354</xdr:rowOff>
    </xdr:to>
    <xdr:sp macro="" textlink="">
      <xdr:nvSpPr>
        <xdr:cNvPr id="43" name="TextBox 42">
          <a:hlinkClick xmlns:r="http://schemas.openxmlformats.org/officeDocument/2006/relationships" r:id="rId4"/>
          <a:extLst>
            <a:ext uri="{FF2B5EF4-FFF2-40B4-BE49-F238E27FC236}">
              <a16:creationId xmlns:a16="http://schemas.microsoft.com/office/drawing/2014/main" id="{F8F703D4-19D4-40B6-9858-B39AF3135DE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25</xdr:col>
      <xdr:colOff>595777</xdr:colOff>
      <xdr:row>1</xdr:row>
      <xdr:rowOff>19879</xdr:rowOff>
    </xdr:from>
    <xdr:to>
      <xdr:col>31</xdr:col>
      <xdr:colOff>538491</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CF4FDC66-3E0A-4302-9F9C-90E5851D24D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31</xdr:col>
      <xdr:colOff>441217</xdr:colOff>
      <xdr:row>1</xdr:row>
      <xdr:rowOff>19879</xdr:rowOff>
    </xdr:from>
    <xdr:to>
      <xdr:col>37</xdr:col>
      <xdr:colOff>389962</xdr:colOff>
      <xdr:row>3</xdr:row>
      <xdr:rowOff>10354</xdr:rowOff>
    </xdr:to>
    <xdr:sp macro="" textlink="">
      <xdr:nvSpPr>
        <xdr:cNvPr id="45" name="TextBox 44">
          <a:hlinkClick xmlns:r="http://schemas.openxmlformats.org/officeDocument/2006/relationships" r:id="rId6"/>
          <a:extLst>
            <a:ext uri="{FF2B5EF4-FFF2-40B4-BE49-F238E27FC236}">
              <a16:creationId xmlns:a16="http://schemas.microsoft.com/office/drawing/2014/main" id="{4C252BBB-0B6E-456F-978D-2101EBEF6CDC}"/>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37</xdr:col>
      <xdr:colOff>292688</xdr:colOff>
      <xdr:row>1</xdr:row>
      <xdr:rowOff>19879</xdr:rowOff>
    </xdr:from>
    <xdr:to>
      <xdr:col>43</xdr:col>
      <xdr:colOff>245514</xdr:colOff>
      <xdr:row>3</xdr:row>
      <xdr:rowOff>10354</xdr:rowOff>
    </xdr:to>
    <xdr:sp macro="" textlink="">
      <xdr:nvSpPr>
        <xdr:cNvPr id="46" name="TextBox 45">
          <a:hlinkClick xmlns:r="http://schemas.openxmlformats.org/officeDocument/2006/relationships" r:id="rId7"/>
          <a:extLst>
            <a:ext uri="{FF2B5EF4-FFF2-40B4-BE49-F238E27FC236}">
              <a16:creationId xmlns:a16="http://schemas.microsoft.com/office/drawing/2014/main" id="{76153269-34C8-4E0D-981C-7F463F8C6FD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Segments</a:t>
          </a:r>
        </a:p>
      </xdr:txBody>
    </xdr:sp>
    <xdr:clientData/>
  </xdr:twoCellAnchor>
  <xdr:twoCellAnchor>
    <xdr:from>
      <xdr:col>43</xdr:col>
      <xdr:colOff>148240</xdr:colOff>
      <xdr:row>1</xdr:row>
      <xdr:rowOff>19879</xdr:rowOff>
    </xdr:from>
    <xdr:to>
      <xdr:col>45</xdr:col>
      <xdr:colOff>93995</xdr:colOff>
      <xdr:row>3</xdr:row>
      <xdr:rowOff>10354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9C9C2AD0-CFC5-41B2-A7E9-1474D332654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44</xdr:col>
      <xdr:colOff>122227</xdr:colOff>
      <xdr:row>1</xdr:row>
      <xdr:rowOff>19879</xdr:rowOff>
    </xdr:from>
    <xdr:to>
      <xdr:col>46</xdr:col>
      <xdr:colOff>66302</xdr:colOff>
      <xdr:row>3</xdr:row>
      <xdr:rowOff>10354</xdr:rowOff>
    </xdr:to>
    <xdr:sp macro="" textlink="">
      <xdr:nvSpPr>
        <xdr:cNvPr id="48" name="TextBox 47">
          <a:hlinkClick xmlns:r="http://schemas.openxmlformats.org/officeDocument/2006/relationships" r:id="rId9"/>
          <a:extLst>
            <a:ext uri="{FF2B5EF4-FFF2-40B4-BE49-F238E27FC236}">
              <a16:creationId xmlns:a16="http://schemas.microsoft.com/office/drawing/2014/main" id="{924D78E9-0E7A-4154-8055-D55DFE4C532F}"/>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45</xdr:col>
      <xdr:colOff>856534</xdr:colOff>
      <xdr:row>1</xdr:row>
      <xdr:rowOff>19879</xdr:rowOff>
    </xdr:from>
    <xdr:to>
      <xdr:col>47</xdr:col>
      <xdr:colOff>803067</xdr:colOff>
      <xdr:row>3</xdr:row>
      <xdr:rowOff>10354</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48FB42B9-F425-4DE6-9CE7-AA4EB04FE3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47</xdr:col>
      <xdr:colOff>705793</xdr:colOff>
      <xdr:row>1</xdr:row>
      <xdr:rowOff>19879</xdr:rowOff>
    </xdr:from>
    <xdr:to>
      <xdr:col>49</xdr:col>
      <xdr:colOff>652679</xdr:colOff>
      <xdr:row>3</xdr:row>
      <xdr:rowOff>10354</xdr:rowOff>
    </xdr:to>
    <xdr:sp macro="" textlink="">
      <xdr:nvSpPr>
        <xdr:cNvPr id="50" name="TextBox 49">
          <a:hlinkClick xmlns:r="http://schemas.openxmlformats.org/officeDocument/2006/relationships" r:id="rId11"/>
          <a:extLst>
            <a:ext uri="{FF2B5EF4-FFF2-40B4-BE49-F238E27FC236}">
              <a16:creationId xmlns:a16="http://schemas.microsoft.com/office/drawing/2014/main" id="{2ADA61C7-CB7F-4DA1-94DB-07E4368C3DD3}"/>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49</xdr:col>
      <xdr:colOff>555405</xdr:colOff>
      <xdr:row>1</xdr:row>
      <xdr:rowOff>19879</xdr:rowOff>
    </xdr:from>
    <xdr:to>
      <xdr:col>51</xdr:col>
      <xdr:colOff>496721</xdr:colOff>
      <xdr:row>3</xdr:row>
      <xdr:rowOff>10354</xdr:rowOff>
    </xdr:to>
    <xdr:sp macro="" textlink="">
      <xdr:nvSpPr>
        <xdr:cNvPr id="51" name="TextBox 50">
          <a:hlinkClick xmlns:r="http://schemas.openxmlformats.org/officeDocument/2006/relationships" r:id="rId12"/>
          <a:extLst>
            <a:ext uri="{FF2B5EF4-FFF2-40B4-BE49-F238E27FC236}">
              <a16:creationId xmlns:a16="http://schemas.microsoft.com/office/drawing/2014/main" id="{61B8BF55-A4CE-481B-83F5-C204AB43856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52</xdr:col>
      <xdr:colOff>567341</xdr:colOff>
      <xdr:row>1</xdr:row>
      <xdr:rowOff>19879</xdr:rowOff>
    </xdr:from>
    <xdr:to>
      <xdr:col>54</xdr:col>
      <xdr:colOff>149882</xdr:colOff>
      <xdr:row>3</xdr:row>
      <xdr:rowOff>10354</xdr:rowOff>
    </xdr:to>
    <xdr:sp macro="" textlink="">
      <xdr:nvSpPr>
        <xdr:cNvPr id="52" name="TextBox 51">
          <a:hlinkClick xmlns:r="http://schemas.openxmlformats.org/officeDocument/2006/relationships" r:id="rId13"/>
          <a:extLst>
            <a:ext uri="{FF2B5EF4-FFF2-40B4-BE49-F238E27FC236}">
              <a16:creationId xmlns:a16="http://schemas.microsoft.com/office/drawing/2014/main" id="{6966545D-8C18-4C85-B6BD-0A3DFC2F38F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54</xdr:col>
      <xdr:colOff>52608</xdr:colOff>
      <xdr:row>1</xdr:row>
      <xdr:rowOff>19879</xdr:rowOff>
    </xdr:from>
    <xdr:to>
      <xdr:col>55</xdr:col>
      <xdr:colOff>323961</xdr:colOff>
      <xdr:row>3</xdr:row>
      <xdr:rowOff>10354</xdr:rowOff>
    </xdr:to>
    <xdr:sp macro="" textlink="">
      <xdr:nvSpPr>
        <xdr:cNvPr id="53" name="TextBox 52">
          <a:hlinkClick xmlns:r="http://schemas.openxmlformats.org/officeDocument/2006/relationships" r:id="rId14"/>
          <a:extLst>
            <a:ext uri="{FF2B5EF4-FFF2-40B4-BE49-F238E27FC236}">
              <a16:creationId xmlns:a16="http://schemas.microsoft.com/office/drawing/2014/main" id="{ABA38AA5-4F02-41B3-8C2C-B1777F6C10E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55</xdr:col>
      <xdr:colOff>226687</xdr:colOff>
      <xdr:row>1</xdr:row>
      <xdr:rowOff>19879</xdr:rowOff>
    </xdr:from>
    <xdr:to>
      <xdr:col>56</xdr:col>
      <xdr:colOff>496382</xdr:colOff>
      <xdr:row>3</xdr:row>
      <xdr:rowOff>10354</xdr:rowOff>
    </xdr:to>
    <xdr:sp macro="" textlink="">
      <xdr:nvSpPr>
        <xdr:cNvPr id="54" name="TextBox 53">
          <a:hlinkClick xmlns:r="http://schemas.openxmlformats.org/officeDocument/2006/relationships" r:id="rId15"/>
          <a:extLst>
            <a:ext uri="{FF2B5EF4-FFF2-40B4-BE49-F238E27FC236}">
              <a16:creationId xmlns:a16="http://schemas.microsoft.com/office/drawing/2014/main" id="{AA5EF000-3DA8-4126-A51C-29703D70DA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56</xdr:col>
      <xdr:colOff>399108</xdr:colOff>
      <xdr:row>1</xdr:row>
      <xdr:rowOff>19879</xdr:rowOff>
    </xdr:from>
    <xdr:to>
      <xdr:col>57</xdr:col>
      <xdr:colOff>672500</xdr:colOff>
      <xdr:row>3</xdr:row>
      <xdr:rowOff>10354</xdr:rowOff>
    </xdr:to>
    <xdr:sp macro="" textlink="">
      <xdr:nvSpPr>
        <xdr:cNvPr id="55" name="TextBox 54">
          <a:hlinkClick xmlns:r="http://schemas.openxmlformats.org/officeDocument/2006/relationships" r:id="rId16"/>
          <a:extLst>
            <a:ext uri="{FF2B5EF4-FFF2-40B4-BE49-F238E27FC236}">
              <a16:creationId xmlns:a16="http://schemas.microsoft.com/office/drawing/2014/main" id="{5BDBED4E-8D3A-4636-9BE1-3AB780D1291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57</xdr:col>
      <xdr:colOff>575237</xdr:colOff>
      <xdr:row>1</xdr:row>
      <xdr:rowOff>19879</xdr:rowOff>
    </xdr:from>
    <xdr:to>
      <xdr:col>59</xdr:col>
      <xdr:colOff>160402</xdr:colOff>
      <xdr:row>3</xdr:row>
      <xdr:rowOff>10354</xdr:rowOff>
    </xdr:to>
    <xdr:sp macro="" textlink="">
      <xdr:nvSpPr>
        <xdr:cNvPr id="56" name="TextBox 55">
          <a:hlinkClick xmlns:r="http://schemas.openxmlformats.org/officeDocument/2006/relationships" r:id="rId17"/>
          <a:extLst>
            <a:ext uri="{FF2B5EF4-FFF2-40B4-BE49-F238E27FC236}">
              <a16:creationId xmlns:a16="http://schemas.microsoft.com/office/drawing/2014/main" id="{B3D4D253-30F2-4D81-82C6-E5B3C7C7A80C}"/>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31</xdr:col>
      <xdr:colOff>489854</xdr:colOff>
      <xdr:row>1</xdr:row>
      <xdr:rowOff>103586</xdr:rowOff>
    </xdr:from>
    <xdr:to>
      <xdr:col>31</xdr:col>
      <xdr:colOff>489854</xdr:colOff>
      <xdr:row>2</xdr:row>
      <xdr:rowOff>117146</xdr:rowOff>
    </xdr:to>
    <xdr:cxnSp macro="">
      <xdr:nvCxnSpPr>
        <xdr:cNvPr id="57" name="Straight Connector 56">
          <a:extLst>
            <a:ext uri="{FF2B5EF4-FFF2-40B4-BE49-F238E27FC236}">
              <a16:creationId xmlns:a16="http://schemas.microsoft.com/office/drawing/2014/main" id="{61AB4289-2826-416C-8D9B-31DF189342A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644414</xdr:colOff>
      <xdr:row>1</xdr:row>
      <xdr:rowOff>103586</xdr:rowOff>
    </xdr:from>
    <xdr:to>
      <xdr:col>25</xdr:col>
      <xdr:colOff>644414</xdr:colOff>
      <xdr:row>2</xdr:row>
      <xdr:rowOff>117146</xdr:rowOff>
    </xdr:to>
    <xdr:cxnSp macro="">
      <xdr:nvCxnSpPr>
        <xdr:cNvPr id="58" name="Straight Connector 57">
          <a:extLst>
            <a:ext uri="{FF2B5EF4-FFF2-40B4-BE49-F238E27FC236}">
              <a16:creationId xmlns:a16="http://schemas.microsoft.com/office/drawing/2014/main" id="{69A3933C-3928-4B3A-81FE-0713AB4C16F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792915</xdr:colOff>
      <xdr:row>1</xdr:row>
      <xdr:rowOff>103586</xdr:rowOff>
    </xdr:from>
    <xdr:to>
      <xdr:col>19</xdr:col>
      <xdr:colOff>792915</xdr:colOff>
      <xdr:row>2</xdr:row>
      <xdr:rowOff>117146</xdr:rowOff>
    </xdr:to>
    <xdr:cxnSp macro="">
      <xdr:nvCxnSpPr>
        <xdr:cNvPr id="59" name="Straight Connector 58">
          <a:extLst>
            <a:ext uri="{FF2B5EF4-FFF2-40B4-BE49-F238E27FC236}">
              <a16:creationId xmlns:a16="http://schemas.microsoft.com/office/drawing/2014/main" id="{4C4C4B11-4595-453F-919C-520661D9307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341325</xdr:colOff>
      <xdr:row>1</xdr:row>
      <xdr:rowOff>103586</xdr:rowOff>
    </xdr:from>
    <xdr:to>
      <xdr:col>37</xdr:col>
      <xdr:colOff>341325</xdr:colOff>
      <xdr:row>2</xdr:row>
      <xdr:rowOff>117146</xdr:rowOff>
    </xdr:to>
    <xdr:cxnSp macro="">
      <xdr:nvCxnSpPr>
        <xdr:cNvPr id="60" name="Straight Connector 59">
          <a:extLst>
            <a:ext uri="{FF2B5EF4-FFF2-40B4-BE49-F238E27FC236}">
              <a16:creationId xmlns:a16="http://schemas.microsoft.com/office/drawing/2014/main" id="{59737CBE-7999-486B-AB2D-CF47DFE0C859}"/>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196877</xdr:colOff>
      <xdr:row>1</xdr:row>
      <xdr:rowOff>103586</xdr:rowOff>
    </xdr:from>
    <xdr:to>
      <xdr:col>43</xdr:col>
      <xdr:colOff>196877</xdr:colOff>
      <xdr:row>2</xdr:row>
      <xdr:rowOff>117146</xdr:rowOff>
    </xdr:to>
    <xdr:cxnSp macro="">
      <xdr:nvCxnSpPr>
        <xdr:cNvPr id="61" name="Straight Connector 60">
          <a:extLst>
            <a:ext uri="{FF2B5EF4-FFF2-40B4-BE49-F238E27FC236}">
              <a16:creationId xmlns:a16="http://schemas.microsoft.com/office/drawing/2014/main" id="{DDF0DDAB-F3DE-4E72-8324-9B205282AD9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45358</xdr:colOff>
      <xdr:row>1</xdr:row>
      <xdr:rowOff>103586</xdr:rowOff>
    </xdr:from>
    <xdr:to>
      <xdr:col>45</xdr:col>
      <xdr:colOff>45358</xdr:colOff>
      <xdr:row>2</xdr:row>
      <xdr:rowOff>117146</xdr:rowOff>
    </xdr:to>
    <xdr:cxnSp macro="">
      <xdr:nvCxnSpPr>
        <xdr:cNvPr id="62" name="Straight Connector 61">
          <a:extLst>
            <a:ext uri="{FF2B5EF4-FFF2-40B4-BE49-F238E27FC236}">
              <a16:creationId xmlns:a16="http://schemas.microsoft.com/office/drawing/2014/main" id="{E4B1C5AD-282E-4A58-8DBE-EEA5D6B7649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19346</xdr:colOff>
      <xdr:row>1</xdr:row>
      <xdr:rowOff>103586</xdr:rowOff>
    </xdr:from>
    <xdr:to>
      <xdr:col>46</xdr:col>
      <xdr:colOff>19346</xdr:colOff>
      <xdr:row>2</xdr:row>
      <xdr:rowOff>117146</xdr:rowOff>
    </xdr:to>
    <xdr:cxnSp macro="">
      <xdr:nvCxnSpPr>
        <xdr:cNvPr id="63" name="Straight Connector 62">
          <a:extLst>
            <a:ext uri="{FF2B5EF4-FFF2-40B4-BE49-F238E27FC236}">
              <a16:creationId xmlns:a16="http://schemas.microsoft.com/office/drawing/2014/main" id="{0AD78684-8BC1-4A2B-A4B1-BCBB1A34B1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754430</xdr:colOff>
      <xdr:row>1</xdr:row>
      <xdr:rowOff>103586</xdr:rowOff>
    </xdr:from>
    <xdr:to>
      <xdr:col>47</xdr:col>
      <xdr:colOff>754430</xdr:colOff>
      <xdr:row>2</xdr:row>
      <xdr:rowOff>117146</xdr:rowOff>
    </xdr:to>
    <xdr:cxnSp macro="">
      <xdr:nvCxnSpPr>
        <xdr:cNvPr id="64" name="Straight Connector 63">
          <a:extLst>
            <a:ext uri="{FF2B5EF4-FFF2-40B4-BE49-F238E27FC236}">
              <a16:creationId xmlns:a16="http://schemas.microsoft.com/office/drawing/2014/main" id="{C0741B33-E8E4-48E2-A968-F8BF720E4AB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604042</xdr:colOff>
      <xdr:row>1</xdr:row>
      <xdr:rowOff>103586</xdr:rowOff>
    </xdr:from>
    <xdr:to>
      <xdr:col>49</xdr:col>
      <xdr:colOff>604042</xdr:colOff>
      <xdr:row>2</xdr:row>
      <xdr:rowOff>117146</xdr:rowOff>
    </xdr:to>
    <xdr:cxnSp macro="">
      <xdr:nvCxnSpPr>
        <xdr:cNvPr id="65" name="Straight Connector 64">
          <a:extLst>
            <a:ext uri="{FF2B5EF4-FFF2-40B4-BE49-F238E27FC236}">
              <a16:creationId xmlns:a16="http://schemas.microsoft.com/office/drawing/2014/main" id="{3BBEE929-B4FD-45BF-88A1-408A318FFA62}"/>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615978</xdr:colOff>
      <xdr:row>1</xdr:row>
      <xdr:rowOff>103586</xdr:rowOff>
    </xdr:from>
    <xdr:to>
      <xdr:col>52</xdr:col>
      <xdr:colOff>615978</xdr:colOff>
      <xdr:row>2</xdr:row>
      <xdr:rowOff>117146</xdr:rowOff>
    </xdr:to>
    <xdr:cxnSp macro="">
      <xdr:nvCxnSpPr>
        <xdr:cNvPr id="66" name="Straight Connector 65">
          <a:extLst>
            <a:ext uri="{FF2B5EF4-FFF2-40B4-BE49-F238E27FC236}">
              <a16:creationId xmlns:a16="http://schemas.microsoft.com/office/drawing/2014/main" id="{F246B953-A577-4B16-912C-32FBCF20305A}"/>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101245</xdr:colOff>
      <xdr:row>1</xdr:row>
      <xdr:rowOff>103586</xdr:rowOff>
    </xdr:from>
    <xdr:to>
      <xdr:col>54</xdr:col>
      <xdr:colOff>101245</xdr:colOff>
      <xdr:row>2</xdr:row>
      <xdr:rowOff>117146</xdr:rowOff>
    </xdr:to>
    <xdr:cxnSp macro="">
      <xdr:nvCxnSpPr>
        <xdr:cNvPr id="67" name="Straight Connector 66">
          <a:extLst>
            <a:ext uri="{FF2B5EF4-FFF2-40B4-BE49-F238E27FC236}">
              <a16:creationId xmlns:a16="http://schemas.microsoft.com/office/drawing/2014/main" id="{CFCAA2B7-854B-4B34-A7AC-845B5C226D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275324</xdr:colOff>
      <xdr:row>1</xdr:row>
      <xdr:rowOff>103586</xdr:rowOff>
    </xdr:from>
    <xdr:to>
      <xdr:col>55</xdr:col>
      <xdr:colOff>275324</xdr:colOff>
      <xdr:row>2</xdr:row>
      <xdr:rowOff>117146</xdr:rowOff>
    </xdr:to>
    <xdr:cxnSp macro="">
      <xdr:nvCxnSpPr>
        <xdr:cNvPr id="68" name="Straight Connector 67">
          <a:extLst>
            <a:ext uri="{FF2B5EF4-FFF2-40B4-BE49-F238E27FC236}">
              <a16:creationId xmlns:a16="http://schemas.microsoft.com/office/drawing/2014/main" id="{18F95195-62A4-4354-8200-4F48D5A8D23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447745</xdr:colOff>
      <xdr:row>1</xdr:row>
      <xdr:rowOff>103586</xdr:rowOff>
    </xdr:from>
    <xdr:to>
      <xdr:col>56</xdr:col>
      <xdr:colOff>447745</xdr:colOff>
      <xdr:row>2</xdr:row>
      <xdr:rowOff>117146</xdr:rowOff>
    </xdr:to>
    <xdr:cxnSp macro="">
      <xdr:nvCxnSpPr>
        <xdr:cNvPr id="69" name="Straight Connector 68">
          <a:extLst>
            <a:ext uri="{FF2B5EF4-FFF2-40B4-BE49-F238E27FC236}">
              <a16:creationId xmlns:a16="http://schemas.microsoft.com/office/drawing/2014/main" id="{60FD960F-D7CB-4183-B7D3-7C29677B718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623863</xdr:colOff>
      <xdr:row>1</xdr:row>
      <xdr:rowOff>103586</xdr:rowOff>
    </xdr:from>
    <xdr:to>
      <xdr:col>57</xdr:col>
      <xdr:colOff>623863</xdr:colOff>
      <xdr:row>2</xdr:row>
      <xdr:rowOff>117146</xdr:rowOff>
    </xdr:to>
    <xdr:cxnSp macro="">
      <xdr:nvCxnSpPr>
        <xdr:cNvPr id="70" name="Straight Connector 69">
          <a:extLst>
            <a:ext uri="{FF2B5EF4-FFF2-40B4-BE49-F238E27FC236}">
              <a16:creationId xmlns:a16="http://schemas.microsoft.com/office/drawing/2014/main" id="{DB8813CF-D24B-4D97-B21D-8CD92B720A53}"/>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448084</xdr:colOff>
      <xdr:row>1</xdr:row>
      <xdr:rowOff>103586</xdr:rowOff>
    </xdr:from>
    <xdr:to>
      <xdr:col>51</xdr:col>
      <xdr:colOff>448084</xdr:colOff>
      <xdr:row>2</xdr:row>
      <xdr:rowOff>117146</xdr:rowOff>
    </xdr:to>
    <xdr:cxnSp macro="">
      <xdr:nvCxnSpPr>
        <xdr:cNvPr id="71" name="Straight Connector 70">
          <a:extLst>
            <a:ext uri="{FF2B5EF4-FFF2-40B4-BE49-F238E27FC236}">
              <a16:creationId xmlns:a16="http://schemas.microsoft.com/office/drawing/2014/main" id="{5C935EBB-8975-4ACE-95E5-F01198A12F4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46</xdr:col>
      <xdr:colOff>717308</xdr:colOff>
      <xdr:row>4</xdr:row>
      <xdr:rowOff>0</xdr:rowOff>
    </xdr:to>
    <xdr:sp macro="" textlink="">
      <xdr:nvSpPr>
        <xdr:cNvPr id="3" name="Rectangle 13">
          <a:extLst>
            <a:ext uri="{FF2B5EF4-FFF2-40B4-BE49-F238E27FC236}">
              <a16:creationId xmlns:a16="http://schemas.microsoft.com/office/drawing/2014/main" id="{1E4E01DA-1DC9-48D5-A5EF-A9F2B19DFC53}"/>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596671</xdr:colOff>
      <xdr:row>1</xdr:row>
      <xdr:rowOff>19879</xdr:rowOff>
    </xdr:from>
    <xdr:to>
      <xdr:col>13</xdr:col>
      <xdr:colOff>606344</xdr:colOff>
      <xdr:row>3</xdr:row>
      <xdr:rowOff>10354</xdr:rowOff>
    </xdr:to>
    <xdr:sp macro="" textlink="">
      <xdr:nvSpPr>
        <xdr:cNvPr id="50" name="TextBox 49">
          <a:hlinkClick xmlns:r="http://schemas.openxmlformats.org/officeDocument/2006/relationships" r:id="rId1"/>
          <a:extLst>
            <a:ext uri="{FF2B5EF4-FFF2-40B4-BE49-F238E27FC236}">
              <a16:creationId xmlns:a16="http://schemas.microsoft.com/office/drawing/2014/main" id="{21454B8A-C4D3-6865-B3C3-D55700FE5171}"/>
            </a:ext>
          </a:extLst>
        </xdr:cNvPr>
        <xdr:cNvSpPr txBox="1"/>
      </xdr:nvSpPr>
      <xdr:spPr>
        <a:xfrm>
          <a:off x="12569596" y="210379"/>
          <a:ext cx="9526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5" name="Picture 14">
          <a:extLst>
            <a:ext uri="{FF2B5EF4-FFF2-40B4-BE49-F238E27FC236}">
              <a16:creationId xmlns:a16="http://schemas.microsoft.com/office/drawing/2014/main" id="{1B452CBB-B668-4435-A503-6289600494F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20" name="Straight Connector 19">
          <a:extLst>
            <a:ext uri="{FF2B5EF4-FFF2-40B4-BE49-F238E27FC236}">
              <a16:creationId xmlns:a16="http://schemas.microsoft.com/office/drawing/2014/main" id="{48E59376-F131-46E6-B942-C61538DE54D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478696</xdr:colOff>
      <xdr:row>1</xdr:row>
      <xdr:rowOff>19879</xdr:rowOff>
    </xdr:from>
    <xdr:to>
      <xdr:col>4</xdr:col>
      <xdr:colOff>491928</xdr:colOff>
      <xdr:row>3</xdr:row>
      <xdr:rowOff>10354</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0747EBFC-B320-4A12-913B-15317D4CADAE}"/>
            </a:ext>
          </a:extLst>
        </xdr:cNvPr>
        <xdr:cNvSpPr txBox="1"/>
      </xdr:nvSpPr>
      <xdr:spPr>
        <a:xfrm>
          <a:off x="3964846" y="210379"/>
          <a:ext cx="95620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4</xdr:col>
      <xdr:colOff>394654</xdr:colOff>
      <xdr:row>1</xdr:row>
      <xdr:rowOff>19879</xdr:rowOff>
    </xdr:from>
    <xdr:to>
      <xdr:col>5</xdr:col>
      <xdr:colOff>411783</xdr:colOff>
      <xdr:row>3</xdr:row>
      <xdr:rowOff>10354</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5025120D-B8E6-439F-A184-45ED4C66B3DA}"/>
            </a:ext>
          </a:extLst>
        </xdr:cNvPr>
        <xdr:cNvSpPr txBox="1"/>
      </xdr:nvSpPr>
      <xdr:spPr>
        <a:xfrm>
          <a:off x="4823779" y="210379"/>
          <a:ext cx="96010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5</xdr:col>
      <xdr:colOff>314509</xdr:colOff>
      <xdr:row>1</xdr:row>
      <xdr:rowOff>19879</xdr:rowOff>
    </xdr:from>
    <xdr:to>
      <xdr:col>6</xdr:col>
      <xdr:colOff>325579</xdr:colOff>
      <xdr:row>3</xdr:row>
      <xdr:rowOff>10354</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0C8DEDFE-F7E4-49B6-83B6-2D746467EB11}"/>
            </a:ext>
          </a:extLst>
        </xdr:cNvPr>
        <xdr:cNvSpPr txBox="1"/>
      </xdr:nvSpPr>
      <xdr:spPr>
        <a:xfrm>
          <a:off x="5686609" y="210379"/>
          <a:ext cx="95404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228305</xdr:colOff>
      <xdr:row>1</xdr:row>
      <xdr:rowOff>19879</xdr:rowOff>
    </xdr:from>
    <xdr:to>
      <xdr:col>7</xdr:col>
      <xdr:colOff>245406</xdr:colOff>
      <xdr:row>3</xdr:row>
      <xdr:rowOff>10354</xdr:rowOff>
    </xdr:to>
    <xdr:sp macro="" textlink="">
      <xdr:nvSpPr>
        <xdr:cNvPr id="24" name="TextBox 23">
          <a:hlinkClick xmlns:r="http://schemas.openxmlformats.org/officeDocument/2006/relationships" r:id="rId6"/>
          <a:extLst>
            <a:ext uri="{FF2B5EF4-FFF2-40B4-BE49-F238E27FC236}">
              <a16:creationId xmlns:a16="http://schemas.microsoft.com/office/drawing/2014/main" id="{2FE398FD-278D-4CA2-8139-851E1E042DD9}"/>
            </a:ext>
          </a:extLst>
        </xdr:cNvPr>
        <xdr:cNvSpPr txBox="1"/>
      </xdr:nvSpPr>
      <xdr:spPr>
        <a:xfrm>
          <a:off x="6543380" y="210379"/>
          <a:ext cx="9600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148132</xdr:colOff>
      <xdr:row>1</xdr:row>
      <xdr:rowOff>19879</xdr:rowOff>
    </xdr:from>
    <xdr:to>
      <xdr:col>8</xdr:col>
      <xdr:colOff>169314</xdr:colOff>
      <xdr:row>3</xdr:row>
      <xdr:rowOff>10354</xdr:rowOff>
    </xdr:to>
    <xdr:sp macro="" textlink="">
      <xdr:nvSpPr>
        <xdr:cNvPr id="25" name="TextBox 24">
          <a:hlinkClick xmlns:r="http://schemas.openxmlformats.org/officeDocument/2006/relationships" r:id="rId7"/>
          <a:extLst>
            <a:ext uri="{FF2B5EF4-FFF2-40B4-BE49-F238E27FC236}">
              <a16:creationId xmlns:a16="http://schemas.microsoft.com/office/drawing/2014/main" id="{87CB0B90-D070-4E1B-9097-4A41690718FF}"/>
            </a:ext>
          </a:extLst>
        </xdr:cNvPr>
        <xdr:cNvSpPr txBox="1"/>
      </xdr:nvSpPr>
      <xdr:spPr>
        <a:xfrm>
          <a:off x="7406182" y="210379"/>
          <a:ext cx="96415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72040</xdr:colOff>
      <xdr:row>1</xdr:row>
      <xdr:rowOff>19879</xdr:rowOff>
    </xdr:from>
    <xdr:to>
      <xdr:col>9</xdr:col>
      <xdr:colOff>86151</xdr:colOff>
      <xdr:row>3</xdr:row>
      <xdr:rowOff>10354</xdr:rowOff>
    </xdr:to>
    <xdr:sp macro="" textlink="">
      <xdr:nvSpPr>
        <xdr:cNvPr id="26" name="TextBox 25">
          <a:hlinkClick xmlns:r="http://schemas.openxmlformats.org/officeDocument/2006/relationships" r:id="rId8"/>
          <a:extLst>
            <a:ext uri="{FF2B5EF4-FFF2-40B4-BE49-F238E27FC236}">
              <a16:creationId xmlns:a16="http://schemas.microsoft.com/office/drawing/2014/main" id="{1CA5F316-B070-4EB7-B411-84D833643542}"/>
            </a:ext>
          </a:extLst>
        </xdr:cNvPr>
        <xdr:cNvSpPr txBox="1"/>
      </xdr:nvSpPr>
      <xdr:spPr>
        <a:xfrm>
          <a:off x="8273065" y="210379"/>
          <a:ext cx="95708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Peers</a:t>
          </a:r>
        </a:p>
      </xdr:txBody>
    </xdr:sp>
    <xdr:clientData/>
  </xdr:twoCellAnchor>
  <xdr:twoCellAnchor>
    <xdr:from>
      <xdr:col>8</xdr:col>
      <xdr:colOff>931852</xdr:colOff>
      <xdr:row>1</xdr:row>
      <xdr:rowOff>19879</xdr:rowOff>
    </xdr:from>
    <xdr:to>
      <xdr:col>10</xdr:col>
      <xdr:colOff>2989</xdr:colOff>
      <xdr:row>3</xdr:row>
      <xdr:rowOff>10354</xdr:rowOff>
    </xdr:to>
    <xdr:sp macro="" textlink="">
      <xdr:nvSpPr>
        <xdr:cNvPr id="27" name="TextBox 26">
          <a:hlinkClick xmlns:r="http://schemas.openxmlformats.org/officeDocument/2006/relationships" r:id="rId9"/>
          <a:extLst>
            <a:ext uri="{FF2B5EF4-FFF2-40B4-BE49-F238E27FC236}">
              <a16:creationId xmlns:a16="http://schemas.microsoft.com/office/drawing/2014/main" id="{9D3B267E-8202-443D-B0D7-2995DF0AAD6C}"/>
            </a:ext>
          </a:extLst>
        </xdr:cNvPr>
        <xdr:cNvSpPr txBox="1"/>
      </xdr:nvSpPr>
      <xdr:spPr>
        <a:xfrm>
          <a:off x="9132877" y="210379"/>
          <a:ext cx="95708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848690</xdr:colOff>
      <xdr:row>1</xdr:row>
      <xdr:rowOff>19879</xdr:rowOff>
    </xdr:from>
    <xdr:to>
      <xdr:col>10</xdr:col>
      <xdr:colOff>863579</xdr:colOff>
      <xdr:row>3</xdr:row>
      <xdr:rowOff>10354</xdr:rowOff>
    </xdr:to>
    <xdr:sp macro="" textlink="">
      <xdr:nvSpPr>
        <xdr:cNvPr id="28" name="TextBox 27">
          <a:hlinkClick xmlns:r="http://schemas.openxmlformats.org/officeDocument/2006/relationships" r:id="rId10"/>
          <a:extLst>
            <a:ext uri="{FF2B5EF4-FFF2-40B4-BE49-F238E27FC236}">
              <a16:creationId xmlns:a16="http://schemas.microsoft.com/office/drawing/2014/main" id="{AAC15DD9-C0DE-4DFC-9719-B4F7DA2BF78D}"/>
            </a:ext>
          </a:extLst>
        </xdr:cNvPr>
        <xdr:cNvSpPr txBox="1"/>
      </xdr:nvSpPr>
      <xdr:spPr>
        <a:xfrm>
          <a:off x="9992690" y="210379"/>
          <a:ext cx="9578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766305</xdr:colOff>
      <xdr:row>1</xdr:row>
      <xdr:rowOff>19879</xdr:rowOff>
    </xdr:from>
    <xdr:to>
      <xdr:col>11</xdr:col>
      <xdr:colOff>781547</xdr:colOff>
      <xdr:row>3</xdr:row>
      <xdr:rowOff>10354</xdr:rowOff>
    </xdr:to>
    <xdr:sp macro="" textlink="">
      <xdr:nvSpPr>
        <xdr:cNvPr id="29" name="TextBox 28">
          <a:hlinkClick xmlns:r="http://schemas.openxmlformats.org/officeDocument/2006/relationships" r:id="rId11"/>
          <a:extLst>
            <a:ext uri="{FF2B5EF4-FFF2-40B4-BE49-F238E27FC236}">
              <a16:creationId xmlns:a16="http://schemas.microsoft.com/office/drawing/2014/main" id="{2C886B9A-40F0-4C77-A003-3C7709B577A6}"/>
            </a:ext>
          </a:extLst>
        </xdr:cNvPr>
        <xdr:cNvSpPr txBox="1"/>
      </xdr:nvSpPr>
      <xdr:spPr>
        <a:xfrm>
          <a:off x="10853280" y="210379"/>
          <a:ext cx="95821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684273</xdr:colOff>
      <xdr:row>1</xdr:row>
      <xdr:rowOff>19879</xdr:rowOff>
    </xdr:from>
    <xdr:to>
      <xdr:col>12</xdr:col>
      <xdr:colOff>693945</xdr:colOff>
      <xdr:row>3</xdr:row>
      <xdr:rowOff>10354</xdr:rowOff>
    </xdr:to>
    <xdr:sp macro="" textlink="">
      <xdr:nvSpPr>
        <xdr:cNvPr id="30" name="TextBox 29">
          <a:hlinkClick xmlns:r="http://schemas.openxmlformats.org/officeDocument/2006/relationships" r:id="rId12"/>
          <a:extLst>
            <a:ext uri="{FF2B5EF4-FFF2-40B4-BE49-F238E27FC236}">
              <a16:creationId xmlns:a16="http://schemas.microsoft.com/office/drawing/2014/main" id="{A52FF790-07C8-49ED-AF46-6ADD3F0B34B5}"/>
            </a:ext>
          </a:extLst>
        </xdr:cNvPr>
        <xdr:cNvSpPr txBox="1"/>
      </xdr:nvSpPr>
      <xdr:spPr>
        <a:xfrm>
          <a:off x="11714223" y="210379"/>
          <a:ext cx="95264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13</xdr:col>
      <xdr:colOff>509070</xdr:colOff>
      <xdr:row>1</xdr:row>
      <xdr:rowOff>19879</xdr:rowOff>
    </xdr:from>
    <xdr:to>
      <xdr:col>14</xdr:col>
      <xdr:colOff>521917</xdr:colOff>
      <xdr:row>3</xdr:row>
      <xdr:rowOff>10354</xdr:rowOff>
    </xdr:to>
    <xdr:sp macro="" textlink="">
      <xdr:nvSpPr>
        <xdr:cNvPr id="31" name="TextBox 30">
          <a:hlinkClick xmlns:r="http://schemas.openxmlformats.org/officeDocument/2006/relationships" r:id="rId13"/>
          <a:extLst>
            <a:ext uri="{FF2B5EF4-FFF2-40B4-BE49-F238E27FC236}">
              <a16:creationId xmlns:a16="http://schemas.microsoft.com/office/drawing/2014/main" id="{C3D526A2-0DC0-40BE-8F06-872D5D75B9F5}"/>
            </a:ext>
          </a:extLst>
        </xdr:cNvPr>
        <xdr:cNvSpPr txBox="1"/>
      </xdr:nvSpPr>
      <xdr:spPr>
        <a:xfrm>
          <a:off x="13424970" y="210379"/>
          <a:ext cx="95582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14</xdr:col>
      <xdr:colOff>424643</xdr:colOff>
      <xdr:row>1</xdr:row>
      <xdr:rowOff>19879</xdr:rowOff>
    </xdr:from>
    <xdr:to>
      <xdr:col>15</xdr:col>
      <xdr:colOff>440502</xdr:colOff>
      <xdr:row>3</xdr:row>
      <xdr:rowOff>10354</xdr:rowOff>
    </xdr:to>
    <xdr:sp macro="" textlink="">
      <xdr:nvSpPr>
        <xdr:cNvPr id="32" name="TextBox 31">
          <a:hlinkClick xmlns:r="http://schemas.openxmlformats.org/officeDocument/2006/relationships" r:id="rId14"/>
          <a:extLst>
            <a:ext uri="{FF2B5EF4-FFF2-40B4-BE49-F238E27FC236}">
              <a16:creationId xmlns:a16="http://schemas.microsoft.com/office/drawing/2014/main" id="{E06CA26A-A650-4852-8A98-8835F0FC3098}"/>
            </a:ext>
          </a:extLst>
        </xdr:cNvPr>
        <xdr:cNvSpPr txBox="1"/>
      </xdr:nvSpPr>
      <xdr:spPr>
        <a:xfrm>
          <a:off x="14283518" y="210379"/>
          <a:ext cx="95883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15</xdr:col>
      <xdr:colOff>343228</xdr:colOff>
      <xdr:row>1</xdr:row>
      <xdr:rowOff>19879</xdr:rowOff>
    </xdr:from>
    <xdr:to>
      <xdr:col>16</xdr:col>
      <xdr:colOff>357429</xdr:colOff>
      <xdr:row>3</xdr:row>
      <xdr:rowOff>10354</xdr:rowOff>
    </xdr:to>
    <xdr:sp macro="" textlink="">
      <xdr:nvSpPr>
        <xdr:cNvPr id="33" name="TextBox 32">
          <a:hlinkClick xmlns:r="http://schemas.openxmlformats.org/officeDocument/2006/relationships" r:id="rId15"/>
          <a:extLst>
            <a:ext uri="{FF2B5EF4-FFF2-40B4-BE49-F238E27FC236}">
              <a16:creationId xmlns:a16="http://schemas.microsoft.com/office/drawing/2014/main" id="{80ACEBD4-E58E-42D5-A36D-714FFA8B983B}"/>
            </a:ext>
          </a:extLst>
        </xdr:cNvPr>
        <xdr:cNvSpPr txBox="1"/>
      </xdr:nvSpPr>
      <xdr:spPr>
        <a:xfrm>
          <a:off x="15145078" y="210379"/>
          <a:ext cx="9571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16</xdr:col>
      <xdr:colOff>260155</xdr:colOff>
      <xdr:row>1</xdr:row>
      <xdr:rowOff>19879</xdr:rowOff>
    </xdr:from>
    <xdr:to>
      <xdr:col>17</xdr:col>
      <xdr:colOff>278053</xdr:colOff>
      <xdr:row>3</xdr:row>
      <xdr:rowOff>10354</xdr:rowOff>
    </xdr:to>
    <xdr:sp macro="" textlink="">
      <xdr:nvSpPr>
        <xdr:cNvPr id="34" name="TextBox 33">
          <a:hlinkClick xmlns:r="http://schemas.openxmlformats.org/officeDocument/2006/relationships" r:id="rId16"/>
          <a:extLst>
            <a:ext uri="{FF2B5EF4-FFF2-40B4-BE49-F238E27FC236}">
              <a16:creationId xmlns:a16="http://schemas.microsoft.com/office/drawing/2014/main" id="{6D2E25FA-794C-4798-A861-056447095CCD}"/>
            </a:ext>
          </a:extLst>
        </xdr:cNvPr>
        <xdr:cNvSpPr txBox="1"/>
      </xdr:nvSpPr>
      <xdr:spPr>
        <a:xfrm>
          <a:off x="16004980" y="210379"/>
          <a:ext cx="96087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180790</xdr:colOff>
      <xdr:row>1</xdr:row>
      <xdr:rowOff>19879</xdr:rowOff>
    </xdr:from>
    <xdr:to>
      <xdr:col>18</xdr:col>
      <xdr:colOff>196261</xdr:colOff>
      <xdr:row>3</xdr:row>
      <xdr:rowOff>10354</xdr:rowOff>
    </xdr:to>
    <xdr:sp macro="" textlink="">
      <xdr:nvSpPr>
        <xdr:cNvPr id="35" name="TextBox 34">
          <a:hlinkClick xmlns:r="http://schemas.openxmlformats.org/officeDocument/2006/relationships" r:id="rId17"/>
          <a:extLst>
            <a:ext uri="{FF2B5EF4-FFF2-40B4-BE49-F238E27FC236}">
              <a16:creationId xmlns:a16="http://schemas.microsoft.com/office/drawing/2014/main" id="{EEB218FE-5597-417C-A9EE-78C91D3344CE}"/>
            </a:ext>
          </a:extLst>
        </xdr:cNvPr>
        <xdr:cNvSpPr txBox="1"/>
      </xdr:nvSpPr>
      <xdr:spPr>
        <a:xfrm>
          <a:off x="16868590" y="210379"/>
          <a:ext cx="95844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276942</xdr:colOff>
      <xdr:row>1</xdr:row>
      <xdr:rowOff>103586</xdr:rowOff>
    </xdr:from>
    <xdr:to>
      <xdr:col>6</xdr:col>
      <xdr:colOff>276942</xdr:colOff>
      <xdr:row>2</xdr:row>
      <xdr:rowOff>117146</xdr:rowOff>
    </xdr:to>
    <xdr:cxnSp macro="">
      <xdr:nvCxnSpPr>
        <xdr:cNvPr id="36" name="Straight Connector 35">
          <a:extLst>
            <a:ext uri="{FF2B5EF4-FFF2-40B4-BE49-F238E27FC236}">
              <a16:creationId xmlns:a16="http://schemas.microsoft.com/office/drawing/2014/main" id="{CA4D56D3-E2DF-4E85-A6E2-321C6AAF4EBB}"/>
            </a:ext>
          </a:extLst>
        </xdr:cNvPr>
        <xdr:cNvCxnSpPr/>
      </xdr:nvCxnSpPr>
      <xdr:spPr>
        <a:xfrm>
          <a:off x="65920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363146</xdr:colOff>
      <xdr:row>1</xdr:row>
      <xdr:rowOff>103586</xdr:rowOff>
    </xdr:from>
    <xdr:to>
      <xdr:col>5</xdr:col>
      <xdr:colOff>363146</xdr:colOff>
      <xdr:row>2</xdr:row>
      <xdr:rowOff>117146</xdr:rowOff>
    </xdr:to>
    <xdr:cxnSp macro="">
      <xdr:nvCxnSpPr>
        <xdr:cNvPr id="37" name="Straight Connector 36">
          <a:extLst>
            <a:ext uri="{FF2B5EF4-FFF2-40B4-BE49-F238E27FC236}">
              <a16:creationId xmlns:a16="http://schemas.microsoft.com/office/drawing/2014/main" id="{856508DE-E573-4F77-8251-33A78FA7ADC8}"/>
            </a:ext>
          </a:extLst>
        </xdr:cNvPr>
        <xdr:cNvCxnSpPr/>
      </xdr:nvCxnSpPr>
      <xdr:spPr>
        <a:xfrm>
          <a:off x="57352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443291</xdr:colOff>
      <xdr:row>1</xdr:row>
      <xdr:rowOff>103586</xdr:rowOff>
    </xdr:from>
    <xdr:to>
      <xdr:col>4</xdr:col>
      <xdr:colOff>443291</xdr:colOff>
      <xdr:row>2</xdr:row>
      <xdr:rowOff>117146</xdr:rowOff>
    </xdr:to>
    <xdr:cxnSp macro="">
      <xdr:nvCxnSpPr>
        <xdr:cNvPr id="38" name="Straight Connector 37">
          <a:extLst>
            <a:ext uri="{FF2B5EF4-FFF2-40B4-BE49-F238E27FC236}">
              <a16:creationId xmlns:a16="http://schemas.microsoft.com/office/drawing/2014/main" id="{49C36CF0-6157-48E3-A665-FC3192E553FF}"/>
            </a:ext>
          </a:extLst>
        </xdr:cNvPr>
        <xdr:cNvCxnSpPr/>
      </xdr:nvCxnSpPr>
      <xdr:spPr>
        <a:xfrm>
          <a:off x="48724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196769</xdr:colOff>
      <xdr:row>1</xdr:row>
      <xdr:rowOff>103586</xdr:rowOff>
    </xdr:from>
    <xdr:to>
      <xdr:col>7</xdr:col>
      <xdr:colOff>196769</xdr:colOff>
      <xdr:row>2</xdr:row>
      <xdr:rowOff>117146</xdr:rowOff>
    </xdr:to>
    <xdr:cxnSp macro="">
      <xdr:nvCxnSpPr>
        <xdr:cNvPr id="39" name="Straight Connector 38">
          <a:extLst>
            <a:ext uri="{FF2B5EF4-FFF2-40B4-BE49-F238E27FC236}">
              <a16:creationId xmlns:a16="http://schemas.microsoft.com/office/drawing/2014/main" id="{8F8EF1EE-96AF-4671-A775-1C9E9F5B626E}"/>
            </a:ext>
          </a:extLst>
        </xdr:cNvPr>
        <xdr:cNvCxnSpPr/>
      </xdr:nvCxnSpPr>
      <xdr:spPr>
        <a:xfrm>
          <a:off x="74548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120677</xdr:colOff>
      <xdr:row>1</xdr:row>
      <xdr:rowOff>103586</xdr:rowOff>
    </xdr:from>
    <xdr:to>
      <xdr:col>8</xdr:col>
      <xdr:colOff>120677</xdr:colOff>
      <xdr:row>2</xdr:row>
      <xdr:rowOff>117146</xdr:rowOff>
    </xdr:to>
    <xdr:cxnSp macro="">
      <xdr:nvCxnSpPr>
        <xdr:cNvPr id="40" name="Straight Connector 39">
          <a:extLst>
            <a:ext uri="{FF2B5EF4-FFF2-40B4-BE49-F238E27FC236}">
              <a16:creationId xmlns:a16="http://schemas.microsoft.com/office/drawing/2014/main" id="{EF72FF29-A8AB-4618-BB08-B64525A726EA}"/>
            </a:ext>
          </a:extLst>
        </xdr:cNvPr>
        <xdr:cNvCxnSpPr/>
      </xdr:nvCxnSpPr>
      <xdr:spPr>
        <a:xfrm>
          <a:off x="832170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37514</xdr:colOff>
      <xdr:row>1</xdr:row>
      <xdr:rowOff>103586</xdr:rowOff>
    </xdr:from>
    <xdr:to>
      <xdr:col>9</xdr:col>
      <xdr:colOff>37514</xdr:colOff>
      <xdr:row>2</xdr:row>
      <xdr:rowOff>117146</xdr:rowOff>
    </xdr:to>
    <xdr:cxnSp macro="">
      <xdr:nvCxnSpPr>
        <xdr:cNvPr id="41" name="Straight Connector 40">
          <a:extLst>
            <a:ext uri="{FF2B5EF4-FFF2-40B4-BE49-F238E27FC236}">
              <a16:creationId xmlns:a16="http://schemas.microsoft.com/office/drawing/2014/main" id="{F7CD5FBC-0323-40DE-B30A-190FB0B1CF28}"/>
            </a:ext>
          </a:extLst>
        </xdr:cNvPr>
        <xdr:cNvCxnSpPr/>
      </xdr:nvCxnSpPr>
      <xdr:spPr>
        <a:xfrm>
          <a:off x="918151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897327</xdr:colOff>
      <xdr:row>1</xdr:row>
      <xdr:rowOff>103586</xdr:rowOff>
    </xdr:from>
    <xdr:to>
      <xdr:col>9</xdr:col>
      <xdr:colOff>897327</xdr:colOff>
      <xdr:row>2</xdr:row>
      <xdr:rowOff>117146</xdr:rowOff>
    </xdr:to>
    <xdr:cxnSp macro="">
      <xdr:nvCxnSpPr>
        <xdr:cNvPr id="42" name="Straight Connector 41">
          <a:extLst>
            <a:ext uri="{FF2B5EF4-FFF2-40B4-BE49-F238E27FC236}">
              <a16:creationId xmlns:a16="http://schemas.microsoft.com/office/drawing/2014/main" id="{A8F65D51-25F0-4F49-B8FC-E32BC41DA29D}"/>
            </a:ext>
          </a:extLst>
        </xdr:cNvPr>
        <xdr:cNvCxnSpPr/>
      </xdr:nvCxnSpPr>
      <xdr:spPr>
        <a:xfrm>
          <a:off x="1004132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814942</xdr:colOff>
      <xdr:row>1</xdr:row>
      <xdr:rowOff>103586</xdr:rowOff>
    </xdr:from>
    <xdr:to>
      <xdr:col>10</xdr:col>
      <xdr:colOff>814942</xdr:colOff>
      <xdr:row>2</xdr:row>
      <xdr:rowOff>117146</xdr:rowOff>
    </xdr:to>
    <xdr:cxnSp macro="">
      <xdr:nvCxnSpPr>
        <xdr:cNvPr id="43" name="Straight Connector 42">
          <a:extLst>
            <a:ext uri="{FF2B5EF4-FFF2-40B4-BE49-F238E27FC236}">
              <a16:creationId xmlns:a16="http://schemas.microsoft.com/office/drawing/2014/main" id="{20035DFA-7E48-40F1-B370-D7DE39ECD4F7}"/>
            </a:ext>
          </a:extLst>
        </xdr:cNvPr>
        <xdr:cNvCxnSpPr/>
      </xdr:nvCxnSpPr>
      <xdr:spPr>
        <a:xfrm>
          <a:off x="109019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732910</xdr:colOff>
      <xdr:row>1</xdr:row>
      <xdr:rowOff>103586</xdr:rowOff>
    </xdr:from>
    <xdr:to>
      <xdr:col>11</xdr:col>
      <xdr:colOff>732910</xdr:colOff>
      <xdr:row>2</xdr:row>
      <xdr:rowOff>117146</xdr:rowOff>
    </xdr:to>
    <xdr:cxnSp macro="">
      <xdr:nvCxnSpPr>
        <xdr:cNvPr id="44" name="Straight Connector 43">
          <a:extLst>
            <a:ext uri="{FF2B5EF4-FFF2-40B4-BE49-F238E27FC236}">
              <a16:creationId xmlns:a16="http://schemas.microsoft.com/office/drawing/2014/main" id="{98376886-A700-4FF5-9C1A-6AF850442586}"/>
            </a:ext>
          </a:extLst>
        </xdr:cNvPr>
        <xdr:cNvCxnSpPr/>
      </xdr:nvCxnSpPr>
      <xdr:spPr>
        <a:xfrm>
          <a:off x="1176286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557707</xdr:colOff>
      <xdr:row>1</xdr:row>
      <xdr:rowOff>103586</xdr:rowOff>
    </xdr:from>
    <xdr:to>
      <xdr:col>13</xdr:col>
      <xdr:colOff>557707</xdr:colOff>
      <xdr:row>2</xdr:row>
      <xdr:rowOff>117146</xdr:rowOff>
    </xdr:to>
    <xdr:cxnSp macro="">
      <xdr:nvCxnSpPr>
        <xdr:cNvPr id="45" name="Straight Connector 44">
          <a:extLst>
            <a:ext uri="{FF2B5EF4-FFF2-40B4-BE49-F238E27FC236}">
              <a16:creationId xmlns:a16="http://schemas.microsoft.com/office/drawing/2014/main" id="{60A9DF5B-DA09-4B07-BB18-EC1D71BE74FE}"/>
            </a:ext>
          </a:extLst>
        </xdr:cNvPr>
        <xdr:cNvCxnSpPr/>
      </xdr:nvCxnSpPr>
      <xdr:spPr>
        <a:xfrm>
          <a:off x="1347360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473280</xdr:colOff>
      <xdr:row>1</xdr:row>
      <xdr:rowOff>103586</xdr:rowOff>
    </xdr:from>
    <xdr:to>
      <xdr:col>14</xdr:col>
      <xdr:colOff>473280</xdr:colOff>
      <xdr:row>2</xdr:row>
      <xdr:rowOff>117146</xdr:rowOff>
    </xdr:to>
    <xdr:cxnSp macro="">
      <xdr:nvCxnSpPr>
        <xdr:cNvPr id="46" name="Straight Connector 45">
          <a:extLst>
            <a:ext uri="{FF2B5EF4-FFF2-40B4-BE49-F238E27FC236}">
              <a16:creationId xmlns:a16="http://schemas.microsoft.com/office/drawing/2014/main" id="{60C1472F-7466-47F0-8E97-567C273090D9}"/>
            </a:ext>
          </a:extLst>
        </xdr:cNvPr>
        <xdr:cNvCxnSpPr/>
      </xdr:nvCxnSpPr>
      <xdr:spPr>
        <a:xfrm>
          <a:off x="1433215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391865</xdr:colOff>
      <xdr:row>1</xdr:row>
      <xdr:rowOff>103586</xdr:rowOff>
    </xdr:from>
    <xdr:to>
      <xdr:col>15</xdr:col>
      <xdr:colOff>391865</xdr:colOff>
      <xdr:row>2</xdr:row>
      <xdr:rowOff>117146</xdr:rowOff>
    </xdr:to>
    <xdr:cxnSp macro="">
      <xdr:nvCxnSpPr>
        <xdr:cNvPr id="47" name="Straight Connector 46">
          <a:extLst>
            <a:ext uri="{FF2B5EF4-FFF2-40B4-BE49-F238E27FC236}">
              <a16:creationId xmlns:a16="http://schemas.microsoft.com/office/drawing/2014/main" id="{10E62865-ED04-4924-87A1-24E8CA340D9F}"/>
            </a:ext>
          </a:extLst>
        </xdr:cNvPr>
        <xdr:cNvCxnSpPr/>
      </xdr:nvCxnSpPr>
      <xdr:spPr>
        <a:xfrm>
          <a:off x="151937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308792</xdr:colOff>
      <xdr:row>1</xdr:row>
      <xdr:rowOff>103586</xdr:rowOff>
    </xdr:from>
    <xdr:to>
      <xdr:col>16</xdr:col>
      <xdr:colOff>308792</xdr:colOff>
      <xdr:row>2</xdr:row>
      <xdr:rowOff>117146</xdr:rowOff>
    </xdr:to>
    <xdr:cxnSp macro="">
      <xdr:nvCxnSpPr>
        <xdr:cNvPr id="48" name="Straight Connector 47">
          <a:extLst>
            <a:ext uri="{FF2B5EF4-FFF2-40B4-BE49-F238E27FC236}">
              <a16:creationId xmlns:a16="http://schemas.microsoft.com/office/drawing/2014/main" id="{A1D2C990-FFD6-499A-9A96-BA8441209923}"/>
            </a:ext>
          </a:extLst>
        </xdr:cNvPr>
        <xdr:cNvCxnSpPr/>
      </xdr:nvCxnSpPr>
      <xdr:spPr>
        <a:xfrm>
          <a:off x="160536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229416</xdr:colOff>
      <xdr:row>1</xdr:row>
      <xdr:rowOff>103586</xdr:rowOff>
    </xdr:from>
    <xdr:to>
      <xdr:col>17</xdr:col>
      <xdr:colOff>229416</xdr:colOff>
      <xdr:row>2</xdr:row>
      <xdr:rowOff>117146</xdr:rowOff>
    </xdr:to>
    <xdr:cxnSp macro="">
      <xdr:nvCxnSpPr>
        <xdr:cNvPr id="49" name="Straight Connector 48">
          <a:extLst>
            <a:ext uri="{FF2B5EF4-FFF2-40B4-BE49-F238E27FC236}">
              <a16:creationId xmlns:a16="http://schemas.microsoft.com/office/drawing/2014/main" id="{78977976-5838-4ACB-BE08-9CBD213047BF}"/>
            </a:ext>
          </a:extLst>
        </xdr:cNvPr>
        <xdr:cNvCxnSpPr/>
      </xdr:nvCxnSpPr>
      <xdr:spPr>
        <a:xfrm>
          <a:off x="169172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645308</xdr:colOff>
      <xdr:row>1</xdr:row>
      <xdr:rowOff>103586</xdr:rowOff>
    </xdr:from>
    <xdr:to>
      <xdr:col>12</xdr:col>
      <xdr:colOff>645308</xdr:colOff>
      <xdr:row>2</xdr:row>
      <xdr:rowOff>117146</xdr:rowOff>
    </xdr:to>
    <xdr:cxnSp macro="">
      <xdr:nvCxnSpPr>
        <xdr:cNvPr id="52" name="Straight Connector 51">
          <a:extLst>
            <a:ext uri="{FF2B5EF4-FFF2-40B4-BE49-F238E27FC236}">
              <a16:creationId xmlns:a16="http://schemas.microsoft.com/office/drawing/2014/main" id="{A8C13133-9535-FBE8-2786-E1B7418F22C9}"/>
            </a:ext>
          </a:extLst>
        </xdr:cNvPr>
        <xdr:cNvCxnSpPr/>
      </xdr:nvCxnSpPr>
      <xdr:spPr>
        <a:xfrm>
          <a:off x="1261823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42</xdr:col>
      <xdr:colOff>35378</xdr:colOff>
      <xdr:row>39</xdr:row>
      <xdr:rowOff>47625</xdr:rowOff>
    </xdr:from>
    <xdr:to>
      <xdr:col>50</xdr:col>
      <xdr:colOff>578303</xdr:colOff>
      <xdr:row>57</xdr:row>
      <xdr:rowOff>85725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193221</xdr:colOff>
      <xdr:row>5</xdr:row>
      <xdr:rowOff>136070</xdr:rowOff>
    </xdr:from>
    <xdr:to>
      <xdr:col>51</xdr:col>
      <xdr:colOff>370114</xdr:colOff>
      <xdr:row>35</xdr:row>
      <xdr:rowOff>54427</xdr:rowOff>
    </xdr:to>
    <xdr:graphicFrame macro="">
      <xdr:nvGraphicFramePr>
        <xdr:cNvPr id="5" name="Chart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63</xdr:col>
      <xdr:colOff>103786</xdr:colOff>
      <xdr:row>4</xdr:row>
      <xdr:rowOff>0</xdr:rowOff>
    </xdr:to>
    <xdr:sp macro="" textlink="">
      <xdr:nvSpPr>
        <xdr:cNvPr id="8" name="Rectangle 7">
          <a:extLst>
            <a:ext uri="{FF2B5EF4-FFF2-40B4-BE49-F238E27FC236}">
              <a16:creationId xmlns:a16="http://schemas.microsoft.com/office/drawing/2014/main" id="{FF63C986-8D71-401D-B4AF-72EDC146E81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199422</xdr:colOff>
      <xdr:row>1</xdr:row>
      <xdr:rowOff>19879</xdr:rowOff>
    </xdr:from>
    <xdr:to>
      <xdr:col>18</xdr:col>
      <xdr:colOff>293140</xdr:colOff>
      <xdr:row>3</xdr:row>
      <xdr:rowOff>10354</xdr:rowOff>
    </xdr:to>
    <xdr:sp macro="" textlink="">
      <xdr:nvSpPr>
        <xdr:cNvPr id="9" name="TextBox 8">
          <a:hlinkClick xmlns:r="http://schemas.openxmlformats.org/officeDocument/2006/relationships" r:id="rId3"/>
          <a:extLst>
            <a:ext uri="{FF2B5EF4-FFF2-40B4-BE49-F238E27FC236}">
              <a16:creationId xmlns:a16="http://schemas.microsoft.com/office/drawing/2014/main" id="{3728F7E1-2047-42C0-9F89-E756AE183D1A}"/>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 name="Picture 9">
          <a:extLst>
            <a:ext uri="{FF2B5EF4-FFF2-40B4-BE49-F238E27FC236}">
              <a16:creationId xmlns:a16="http://schemas.microsoft.com/office/drawing/2014/main" id="{60340CBF-200B-4C28-AF80-04F62DA58DC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2" name="Straight Connector 11">
          <a:extLst>
            <a:ext uri="{FF2B5EF4-FFF2-40B4-BE49-F238E27FC236}">
              <a16:creationId xmlns:a16="http://schemas.microsoft.com/office/drawing/2014/main" id="{122036AA-4706-4E36-95BE-9F75F0DC03AF}"/>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29900</xdr:colOff>
      <xdr:row>1</xdr:row>
      <xdr:rowOff>19879</xdr:rowOff>
    </xdr:from>
    <xdr:to>
      <xdr:col>5</xdr:col>
      <xdr:colOff>327202</xdr:colOff>
      <xdr:row>3</xdr:row>
      <xdr:rowOff>10354</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F2D11D64-7723-4E39-B640-051AE87B658F}"/>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229928</xdr:colOff>
      <xdr:row>1</xdr:row>
      <xdr:rowOff>19879</xdr:rowOff>
    </xdr:from>
    <xdr:to>
      <xdr:col>6</xdr:col>
      <xdr:colOff>302526</xdr:colOff>
      <xdr:row>3</xdr:row>
      <xdr:rowOff>10354</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ABC295F4-2EC6-4478-9802-9358DF15025F}"/>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205252</xdr:colOff>
      <xdr:row>1</xdr:row>
      <xdr:rowOff>19879</xdr:rowOff>
    </xdr:from>
    <xdr:to>
      <xdr:col>8</xdr:col>
      <xdr:colOff>147966</xdr:colOff>
      <xdr:row>3</xdr:row>
      <xdr:rowOff>10354</xdr:rowOff>
    </xdr:to>
    <xdr:sp macro="" textlink="">
      <xdr:nvSpPr>
        <xdr:cNvPr id="15" name="TextBox 14">
          <a:hlinkClick xmlns:r="http://schemas.openxmlformats.org/officeDocument/2006/relationships" r:id="rId7"/>
          <a:extLst>
            <a:ext uri="{FF2B5EF4-FFF2-40B4-BE49-F238E27FC236}">
              <a16:creationId xmlns:a16="http://schemas.microsoft.com/office/drawing/2014/main" id="{2F70E382-CEDB-4EAD-8775-41778042974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50692</xdr:colOff>
      <xdr:row>1</xdr:row>
      <xdr:rowOff>19879</xdr:rowOff>
    </xdr:from>
    <xdr:to>
      <xdr:col>9</xdr:col>
      <xdr:colOff>275662</xdr:colOff>
      <xdr:row>3</xdr:row>
      <xdr:rowOff>10354</xdr:rowOff>
    </xdr:to>
    <xdr:sp macro="" textlink="">
      <xdr:nvSpPr>
        <xdr:cNvPr id="16" name="TextBox 15">
          <a:hlinkClick xmlns:r="http://schemas.openxmlformats.org/officeDocument/2006/relationships" r:id="rId8"/>
          <a:extLst>
            <a:ext uri="{FF2B5EF4-FFF2-40B4-BE49-F238E27FC236}">
              <a16:creationId xmlns:a16="http://schemas.microsoft.com/office/drawing/2014/main" id="{B7A936BC-5727-42AA-A9B7-BE7AE58222E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178388</xdr:colOff>
      <xdr:row>1</xdr:row>
      <xdr:rowOff>19879</xdr:rowOff>
    </xdr:from>
    <xdr:to>
      <xdr:col>10</xdr:col>
      <xdr:colOff>407439</xdr:colOff>
      <xdr:row>3</xdr:row>
      <xdr:rowOff>10354</xdr:rowOff>
    </xdr:to>
    <xdr:sp macro="" textlink="">
      <xdr:nvSpPr>
        <xdr:cNvPr id="17" name="TextBox 16">
          <a:hlinkClick xmlns:r="http://schemas.openxmlformats.org/officeDocument/2006/relationships" r:id="rId9"/>
          <a:extLst>
            <a:ext uri="{FF2B5EF4-FFF2-40B4-BE49-F238E27FC236}">
              <a16:creationId xmlns:a16="http://schemas.microsoft.com/office/drawing/2014/main" id="{1DC994C1-707F-434C-9AFB-B6D67225FE95}"/>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310165</xdr:colOff>
      <xdr:row>1</xdr:row>
      <xdr:rowOff>19879</xdr:rowOff>
    </xdr:from>
    <xdr:to>
      <xdr:col>11</xdr:col>
      <xdr:colOff>532145</xdr:colOff>
      <xdr:row>3</xdr:row>
      <xdr:rowOff>10354</xdr:rowOff>
    </xdr:to>
    <xdr:sp macro="" textlink="">
      <xdr:nvSpPr>
        <xdr:cNvPr id="18" name="TextBox 17">
          <a:hlinkClick xmlns:r="http://schemas.openxmlformats.org/officeDocument/2006/relationships" r:id="rId10"/>
          <a:extLst>
            <a:ext uri="{FF2B5EF4-FFF2-40B4-BE49-F238E27FC236}">
              <a16:creationId xmlns:a16="http://schemas.microsoft.com/office/drawing/2014/main" id="{1D696733-FBFB-4AD7-9915-7EB3B04384F4}"/>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436552</xdr:colOff>
      <xdr:row>1</xdr:row>
      <xdr:rowOff>19879</xdr:rowOff>
    </xdr:from>
    <xdr:to>
      <xdr:col>12</xdr:col>
      <xdr:colOff>656852</xdr:colOff>
      <xdr:row>3</xdr:row>
      <xdr:rowOff>10354</xdr:rowOff>
    </xdr:to>
    <xdr:sp macro="" textlink="">
      <xdr:nvSpPr>
        <xdr:cNvPr id="19" name="TextBox 18">
          <a:hlinkClick xmlns:r="http://schemas.openxmlformats.org/officeDocument/2006/relationships" r:id="rId11"/>
          <a:extLst>
            <a:ext uri="{FF2B5EF4-FFF2-40B4-BE49-F238E27FC236}">
              <a16:creationId xmlns:a16="http://schemas.microsoft.com/office/drawing/2014/main" id="{4AEDF86B-A44F-4320-BD63-8AD036DF47A3}"/>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Comps</a:t>
          </a:r>
        </a:p>
      </xdr:txBody>
    </xdr:sp>
    <xdr:clientData/>
  </xdr:twoCellAnchor>
  <xdr:twoCellAnchor>
    <xdr:from>
      <xdr:col>12</xdr:col>
      <xdr:colOff>561259</xdr:colOff>
      <xdr:row>1</xdr:row>
      <xdr:rowOff>19879</xdr:rowOff>
    </xdr:from>
    <xdr:to>
      <xdr:col>14</xdr:col>
      <xdr:colOff>50592</xdr:colOff>
      <xdr:row>3</xdr:row>
      <xdr:rowOff>10354</xdr:rowOff>
    </xdr:to>
    <xdr:sp macro="" textlink="">
      <xdr:nvSpPr>
        <xdr:cNvPr id="20" name="TextBox 19">
          <a:hlinkClick xmlns:r="http://schemas.openxmlformats.org/officeDocument/2006/relationships" r:id="rId12"/>
          <a:extLst>
            <a:ext uri="{FF2B5EF4-FFF2-40B4-BE49-F238E27FC236}">
              <a16:creationId xmlns:a16="http://schemas.microsoft.com/office/drawing/2014/main" id="{2C3ECB15-2EB5-4959-8B0C-5DB65B08D364}"/>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13</xdr:col>
      <xdr:colOff>686743</xdr:colOff>
      <xdr:row>1</xdr:row>
      <xdr:rowOff>19879</xdr:rowOff>
    </xdr:from>
    <xdr:to>
      <xdr:col>15</xdr:col>
      <xdr:colOff>176429</xdr:colOff>
      <xdr:row>3</xdr:row>
      <xdr:rowOff>10354</xdr:rowOff>
    </xdr:to>
    <xdr:sp macro="" textlink="">
      <xdr:nvSpPr>
        <xdr:cNvPr id="21" name="TextBox 20">
          <a:hlinkClick xmlns:r="http://schemas.openxmlformats.org/officeDocument/2006/relationships" r:id="rId13"/>
          <a:extLst>
            <a:ext uri="{FF2B5EF4-FFF2-40B4-BE49-F238E27FC236}">
              <a16:creationId xmlns:a16="http://schemas.microsoft.com/office/drawing/2014/main" id="{D6B17FCC-B4EF-4BD6-B948-31A8839F04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79155</xdr:colOff>
      <xdr:row>1</xdr:row>
      <xdr:rowOff>19879</xdr:rowOff>
    </xdr:from>
    <xdr:to>
      <xdr:col>16</xdr:col>
      <xdr:colOff>296696</xdr:colOff>
      <xdr:row>3</xdr:row>
      <xdr:rowOff>10354</xdr:rowOff>
    </xdr:to>
    <xdr:sp macro="" textlink="">
      <xdr:nvSpPr>
        <xdr:cNvPr id="22" name="TextBox 21">
          <a:hlinkClick xmlns:r="http://schemas.openxmlformats.org/officeDocument/2006/relationships" r:id="rId14"/>
          <a:extLst>
            <a:ext uri="{FF2B5EF4-FFF2-40B4-BE49-F238E27FC236}">
              <a16:creationId xmlns:a16="http://schemas.microsoft.com/office/drawing/2014/main" id="{6FA96479-422C-488A-A6E5-B7219E89ECCD}"/>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18</xdr:col>
      <xdr:colOff>195866</xdr:colOff>
      <xdr:row>1</xdr:row>
      <xdr:rowOff>19879</xdr:rowOff>
    </xdr:from>
    <xdr:to>
      <xdr:col>19</xdr:col>
      <xdr:colOff>492782</xdr:colOff>
      <xdr:row>3</xdr:row>
      <xdr:rowOff>10354</xdr:rowOff>
    </xdr:to>
    <xdr:sp macro="" textlink="">
      <xdr:nvSpPr>
        <xdr:cNvPr id="23" name="TextBox 22">
          <a:hlinkClick xmlns:r="http://schemas.openxmlformats.org/officeDocument/2006/relationships" r:id="rId15"/>
          <a:extLst>
            <a:ext uri="{FF2B5EF4-FFF2-40B4-BE49-F238E27FC236}">
              <a16:creationId xmlns:a16="http://schemas.microsoft.com/office/drawing/2014/main" id="{CD836D8E-21B6-4ED2-8255-F3724A33E32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19</xdr:col>
      <xdr:colOff>395508</xdr:colOff>
      <xdr:row>1</xdr:row>
      <xdr:rowOff>19879</xdr:rowOff>
    </xdr:from>
    <xdr:to>
      <xdr:col>21</xdr:col>
      <xdr:colOff>571611</xdr:colOff>
      <xdr:row>3</xdr:row>
      <xdr:rowOff>10354</xdr:rowOff>
    </xdr:to>
    <xdr:sp macro="" textlink="">
      <xdr:nvSpPr>
        <xdr:cNvPr id="24" name="TextBox 23">
          <a:hlinkClick xmlns:r="http://schemas.openxmlformats.org/officeDocument/2006/relationships" r:id="rId16"/>
          <a:extLst>
            <a:ext uri="{FF2B5EF4-FFF2-40B4-BE49-F238E27FC236}">
              <a16:creationId xmlns:a16="http://schemas.microsoft.com/office/drawing/2014/main" id="{FD735354-CB34-458E-8908-A299E4730BBF}"/>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21</xdr:col>
      <xdr:colOff>474337</xdr:colOff>
      <xdr:row>1</xdr:row>
      <xdr:rowOff>19879</xdr:rowOff>
    </xdr:from>
    <xdr:to>
      <xdr:col>22</xdr:col>
      <xdr:colOff>696407</xdr:colOff>
      <xdr:row>3</xdr:row>
      <xdr:rowOff>10354</xdr:rowOff>
    </xdr:to>
    <xdr:sp macro="" textlink="">
      <xdr:nvSpPr>
        <xdr:cNvPr id="25" name="TextBox 24">
          <a:hlinkClick xmlns:r="http://schemas.openxmlformats.org/officeDocument/2006/relationships" r:id="rId17"/>
          <a:extLst>
            <a:ext uri="{FF2B5EF4-FFF2-40B4-BE49-F238E27FC236}">
              <a16:creationId xmlns:a16="http://schemas.microsoft.com/office/drawing/2014/main" id="{F69EC914-5A19-426F-A6B4-E94A747CFCE2}"/>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22</xdr:col>
      <xdr:colOff>599133</xdr:colOff>
      <xdr:row>1</xdr:row>
      <xdr:rowOff>19879</xdr:rowOff>
    </xdr:from>
    <xdr:to>
      <xdr:col>24</xdr:col>
      <xdr:colOff>91475</xdr:colOff>
      <xdr:row>3</xdr:row>
      <xdr:rowOff>10354</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02BDAC31-E597-4710-AC9D-5C26A8339DE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23</xdr:col>
      <xdr:colOff>727637</xdr:colOff>
      <xdr:row>1</xdr:row>
      <xdr:rowOff>19879</xdr:rowOff>
    </xdr:from>
    <xdr:to>
      <xdr:col>26</xdr:col>
      <xdr:colOff>169927</xdr:colOff>
      <xdr:row>3</xdr:row>
      <xdr:rowOff>10354</xdr:rowOff>
    </xdr:to>
    <xdr:sp macro="" textlink="">
      <xdr:nvSpPr>
        <xdr:cNvPr id="27" name="TextBox 26">
          <a:hlinkClick xmlns:r="http://schemas.openxmlformats.org/officeDocument/2006/relationships" r:id="rId19"/>
          <a:extLst>
            <a:ext uri="{FF2B5EF4-FFF2-40B4-BE49-F238E27FC236}">
              <a16:creationId xmlns:a16="http://schemas.microsoft.com/office/drawing/2014/main" id="{9B34A796-3306-415C-AFCD-05DC5497EA46}"/>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8</xdr:col>
      <xdr:colOff>99329</xdr:colOff>
      <xdr:row>1</xdr:row>
      <xdr:rowOff>103586</xdr:rowOff>
    </xdr:from>
    <xdr:to>
      <xdr:col>8</xdr:col>
      <xdr:colOff>99329</xdr:colOff>
      <xdr:row>2</xdr:row>
      <xdr:rowOff>117146</xdr:rowOff>
    </xdr:to>
    <xdr:cxnSp macro="">
      <xdr:nvCxnSpPr>
        <xdr:cNvPr id="28" name="Straight Connector 27">
          <a:extLst>
            <a:ext uri="{FF2B5EF4-FFF2-40B4-BE49-F238E27FC236}">
              <a16:creationId xmlns:a16="http://schemas.microsoft.com/office/drawing/2014/main" id="{7075BF25-EAF9-4F1A-9543-040213A4AAE3}"/>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253889</xdr:colOff>
      <xdr:row>1</xdr:row>
      <xdr:rowOff>103586</xdr:rowOff>
    </xdr:from>
    <xdr:to>
      <xdr:col>6</xdr:col>
      <xdr:colOff>253889</xdr:colOff>
      <xdr:row>2</xdr:row>
      <xdr:rowOff>117146</xdr:rowOff>
    </xdr:to>
    <xdr:cxnSp macro="">
      <xdr:nvCxnSpPr>
        <xdr:cNvPr id="29" name="Straight Connector 28">
          <a:extLst>
            <a:ext uri="{FF2B5EF4-FFF2-40B4-BE49-F238E27FC236}">
              <a16:creationId xmlns:a16="http://schemas.microsoft.com/office/drawing/2014/main" id="{D6942324-E6FE-453D-B649-8B9B8B680557}"/>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278565</xdr:colOff>
      <xdr:row>1</xdr:row>
      <xdr:rowOff>103586</xdr:rowOff>
    </xdr:from>
    <xdr:to>
      <xdr:col>5</xdr:col>
      <xdr:colOff>278565</xdr:colOff>
      <xdr:row>2</xdr:row>
      <xdr:rowOff>117146</xdr:rowOff>
    </xdr:to>
    <xdr:cxnSp macro="">
      <xdr:nvCxnSpPr>
        <xdr:cNvPr id="30" name="Straight Connector 29">
          <a:extLst>
            <a:ext uri="{FF2B5EF4-FFF2-40B4-BE49-F238E27FC236}">
              <a16:creationId xmlns:a16="http://schemas.microsoft.com/office/drawing/2014/main" id="{E3B06731-A9B6-4884-BA52-EEEFC191DB8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227025</xdr:colOff>
      <xdr:row>1</xdr:row>
      <xdr:rowOff>103586</xdr:rowOff>
    </xdr:from>
    <xdr:to>
      <xdr:col>9</xdr:col>
      <xdr:colOff>227025</xdr:colOff>
      <xdr:row>2</xdr:row>
      <xdr:rowOff>117146</xdr:rowOff>
    </xdr:to>
    <xdr:cxnSp macro="">
      <xdr:nvCxnSpPr>
        <xdr:cNvPr id="31" name="Straight Connector 30">
          <a:extLst>
            <a:ext uri="{FF2B5EF4-FFF2-40B4-BE49-F238E27FC236}">
              <a16:creationId xmlns:a16="http://schemas.microsoft.com/office/drawing/2014/main" id="{4893C342-97C2-4AE5-B65B-D7C7D5AD04B5}"/>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358802</xdr:colOff>
      <xdr:row>1</xdr:row>
      <xdr:rowOff>103586</xdr:rowOff>
    </xdr:from>
    <xdr:to>
      <xdr:col>10</xdr:col>
      <xdr:colOff>358802</xdr:colOff>
      <xdr:row>2</xdr:row>
      <xdr:rowOff>117146</xdr:rowOff>
    </xdr:to>
    <xdr:cxnSp macro="">
      <xdr:nvCxnSpPr>
        <xdr:cNvPr id="32" name="Straight Connector 31">
          <a:extLst>
            <a:ext uri="{FF2B5EF4-FFF2-40B4-BE49-F238E27FC236}">
              <a16:creationId xmlns:a16="http://schemas.microsoft.com/office/drawing/2014/main" id="{4F2FFEDA-14BB-4606-9AAE-CD6402C7EB7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483508</xdr:colOff>
      <xdr:row>1</xdr:row>
      <xdr:rowOff>103586</xdr:rowOff>
    </xdr:from>
    <xdr:to>
      <xdr:col>11</xdr:col>
      <xdr:colOff>483508</xdr:colOff>
      <xdr:row>2</xdr:row>
      <xdr:rowOff>117146</xdr:rowOff>
    </xdr:to>
    <xdr:cxnSp macro="">
      <xdr:nvCxnSpPr>
        <xdr:cNvPr id="33" name="Straight Connector 32">
          <a:extLst>
            <a:ext uri="{FF2B5EF4-FFF2-40B4-BE49-F238E27FC236}">
              <a16:creationId xmlns:a16="http://schemas.microsoft.com/office/drawing/2014/main" id="{DD18854D-0D8B-4225-BCF8-A4792433113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609896</xdr:colOff>
      <xdr:row>1</xdr:row>
      <xdr:rowOff>103586</xdr:rowOff>
    </xdr:from>
    <xdr:to>
      <xdr:col>12</xdr:col>
      <xdr:colOff>609896</xdr:colOff>
      <xdr:row>2</xdr:row>
      <xdr:rowOff>117146</xdr:rowOff>
    </xdr:to>
    <xdr:cxnSp macro="">
      <xdr:nvCxnSpPr>
        <xdr:cNvPr id="34" name="Straight Connector 33">
          <a:extLst>
            <a:ext uri="{FF2B5EF4-FFF2-40B4-BE49-F238E27FC236}">
              <a16:creationId xmlns:a16="http://schemas.microsoft.com/office/drawing/2014/main" id="{92336493-6D34-41A2-864E-6B7AEB0F06D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1955</xdr:colOff>
      <xdr:row>1</xdr:row>
      <xdr:rowOff>103586</xdr:rowOff>
    </xdr:from>
    <xdr:to>
      <xdr:col>14</xdr:col>
      <xdr:colOff>1955</xdr:colOff>
      <xdr:row>2</xdr:row>
      <xdr:rowOff>117146</xdr:rowOff>
    </xdr:to>
    <xdr:cxnSp macro="">
      <xdr:nvCxnSpPr>
        <xdr:cNvPr id="35" name="Straight Connector 34">
          <a:extLst>
            <a:ext uri="{FF2B5EF4-FFF2-40B4-BE49-F238E27FC236}">
              <a16:creationId xmlns:a16="http://schemas.microsoft.com/office/drawing/2014/main" id="{90B29F51-1840-4036-A79D-7DB86FBC543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127792</xdr:colOff>
      <xdr:row>1</xdr:row>
      <xdr:rowOff>103586</xdr:rowOff>
    </xdr:from>
    <xdr:to>
      <xdr:col>15</xdr:col>
      <xdr:colOff>127792</xdr:colOff>
      <xdr:row>2</xdr:row>
      <xdr:rowOff>117146</xdr:rowOff>
    </xdr:to>
    <xdr:cxnSp macro="">
      <xdr:nvCxnSpPr>
        <xdr:cNvPr id="36" name="Straight Connector 35">
          <a:extLst>
            <a:ext uri="{FF2B5EF4-FFF2-40B4-BE49-F238E27FC236}">
              <a16:creationId xmlns:a16="http://schemas.microsoft.com/office/drawing/2014/main" id="{079E2541-B8A5-480A-B289-BD8578800D97}"/>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244503</xdr:colOff>
      <xdr:row>1</xdr:row>
      <xdr:rowOff>103586</xdr:rowOff>
    </xdr:from>
    <xdr:to>
      <xdr:col>18</xdr:col>
      <xdr:colOff>244503</xdr:colOff>
      <xdr:row>2</xdr:row>
      <xdr:rowOff>117146</xdr:rowOff>
    </xdr:to>
    <xdr:cxnSp macro="">
      <xdr:nvCxnSpPr>
        <xdr:cNvPr id="37" name="Straight Connector 36">
          <a:extLst>
            <a:ext uri="{FF2B5EF4-FFF2-40B4-BE49-F238E27FC236}">
              <a16:creationId xmlns:a16="http://schemas.microsoft.com/office/drawing/2014/main" id="{1FE7A8E8-B19F-463B-B848-D466C03B2571}"/>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444145</xdr:colOff>
      <xdr:row>1</xdr:row>
      <xdr:rowOff>103586</xdr:rowOff>
    </xdr:from>
    <xdr:to>
      <xdr:col>19</xdr:col>
      <xdr:colOff>444145</xdr:colOff>
      <xdr:row>2</xdr:row>
      <xdr:rowOff>117146</xdr:rowOff>
    </xdr:to>
    <xdr:cxnSp macro="">
      <xdr:nvCxnSpPr>
        <xdr:cNvPr id="38" name="Straight Connector 37">
          <a:extLst>
            <a:ext uri="{FF2B5EF4-FFF2-40B4-BE49-F238E27FC236}">
              <a16:creationId xmlns:a16="http://schemas.microsoft.com/office/drawing/2014/main" id="{77A1B436-7905-41DE-A333-5D826CB45BC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522974</xdr:colOff>
      <xdr:row>1</xdr:row>
      <xdr:rowOff>103586</xdr:rowOff>
    </xdr:from>
    <xdr:to>
      <xdr:col>21</xdr:col>
      <xdr:colOff>522974</xdr:colOff>
      <xdr:row>2</xdr:row>
      <xdr:rowOff>117146</xdr:rowOff>
    </xdr:to>
    <xdr:cxnSp macro="">
      <xdr:nvCxnSpPr>
        <xdr:cNvPr id="39" name="Straight Connector 38">
          <a:extLst>
            <a:ext uri="{FF2B5EF4-FFF2-40B4-BE49-F238E27FC236}">
              <a16:creationId xmlns:a16="http://schemas.microsoft.com/office/drawing/2014/main" id="{FDC70FC8-FCA0-4BDF-BE85-190FF13196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647770</xdr:colOff>
      <xdr:row>1</xdr:row>
      <xdr:rowOff>103586</xdr:rowOff>
    </xdr:from>
    <xdr:to>
      <xdr:col>22</xdr:col>
      <xdr:colOff>647770</xdr:colOff>
      <xdr:row>2</xdr:row>
      <xdr:rowOff>117146</xdr:rowOff>
    </xdr:to>
    <xdr:cxnSp macro="">
      <xdr:nvCxnSpPr>
        <xdr:cNvPr id="40" name="Straight Connector 39">
          <a:extLst>
            <a:ext uri="{FF2B5EF4-FFF2-40B4-BE49-F238E27FC236}">
              <a16:creationId xmlns:a16="http://schemas.microsoft.com/office/drawing/2014/main" id="{F74BFD03-CBDC-4941-88CF-3E7AA92FBBF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42838</xdr:colOff>
      <xdr:row>1</xdr:row>
      <xdr:rowOff>103586</xdr:rowOff>
    </xdr:from>
    <xdr:to>
      <xdr:col>24</xdr:col>
      <xdr:colOff>42838</xdr:colOff>
      <xdr:row>2</xdr:row>
      <xdr:rowOff>117146</xdr:rowOff>
    </xdr:to>
    <xdr:cxnSp macro="">
      <xdr:nvCxnSpPr>
        <xdr:cNvPr id="70" name="Straight Connector 69">
          <a:extLst>
            <a:ext uri="{FF2B5EF4-FFF2-40B4-BE49-F238E27FC236}">
              <a16:creationId xmlns:a16="http://schemas.microsoft.com/office/drawing/2014/main" id="{F2F20398-E7FA-45C2-AA0F-5918096A07AF}"/>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248059</xdr:colOff>
      <xdr:row>1</xdr:row>
      <xdr:rowOff>103586</xdr:rowOff>
    </xdr:from>
    <xdr:to>
      <xdr:col>16</xdr:col>
      <xdr:colOff>248059</xdr:colOff>
      <xdr:row>2</xdr:row>
      <xdr:rowOff>117146</xdr:rowOff>
    </xdr:to>
    <xdr:cxnSp macro="">
      <xdr:nvCxnSpPr>
        <xdr:cNvPr id="71" name="Straight Connector 70">
          <a:extLst>
            <a:ext uri="{FF2B5EF4-FFF2-40B4-BE49-F238E27FC236}">
              <a16:creationId xmlns:a16="http://schemas.microsoft.com/office/drawing/2014/main" id="{BB6698CD-6856-4E3E-AB37-5F23446154D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35378</xdr:colOff>
      <xdr:row>39</xdr:row>
      <xdr:rowOff>47625</xdr:rowOff>
    </xdr:from>
    <xdr:to>
      <xdr:col>50</xdr:col>
      <xdr:colOff>578303</xdr:colOff>
      <xdr:row>57</xdr:row>
      <xdr:rowOff>85725</xdr:rowOff>
    </xdr:to>
    <xdr:graphicFrame macro="">
      <xdr:nvGraphicFramePr>
        <xdr:cNvPr id="2" name="Chart 1">
          <a:extLst>
            <a:ext uri="{FF2B5EF4-FFF2-40B4-BE49-F238E27FC236}">
              <a16:creationId xmlns:a16="http://schemas.microsoft.com/office/drawing/2014/main" id="{9B5C338C-2593-4C90-ABEE-D17E273AD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42</xdr:col>
      <xdr:colOff>193221</xdr:colOff>
      <xdr:row>5</xdr:row>
      <xdr:rowOff>136070</xdr:rowOff>
    </xdr:from>
    <xdr:to>
      <xdr:col>51</xdr:col>
      <xdr:colOff>370114</xdr:colOff>
      <xdr:row>35</xdr:row>
      <xdr:rowOff>54427</xdr:rowOff>
    </xdr:to>
    <xdr:graphicFrame macro="">
      <xdr:nvGraphicFramePr>
        <xdr:cNvPr id="3" name="Chart 2">
          <a:extLst>
            <a:ext uri="{FF2B5EF4-FFF2-40B4-BE49-F238E27FC236}">
              <a16:creationId xmlns:a16="http://schemas.microsoft.com/office/drawing/2014/main" id="{68203636-367B-4864-BD5D-570F799E7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0</xdr:colOff>
      <xdr:row>0</xdr:row>
      <xdr:rowOff>0</xdr:rowOff>
    </xdr:from>
    <xdr:to>
      <xdr:col>63</xdr:col>
      <xdr:colOff>103786</xdr:colOff>
      <xdr:row>4</xdr:row>
      <xdr:rowOff>0</xdr:rowOff>
    </xdr:to>
    <xdr:sp macro="" textlink="">
      <xdr:nvSpPr>
        <xdr:cNvPr id="6" name="Rectangle 5">
          <a:extLst>
            <a:ext uri="{FF2B5EF4-FFF2-40B4-BE49-F238E27FC236}">
              <a16:creationId xmlns:a16="http://schemas.microsoft.com/office/drawing/2014/main" id="{C4717E0F-D85C-471F-A1CC-73293C569E4E}"/>
            </a:ext>
          </a:extLst>
        </xdr:cNvPr>
        <xdr:cNvSpPr/>
      </xdr:nvSpPr>
      <xdr:spPr>
        <a:xfrm>
          <a:off x="0" y="0"/>
          <a:ext cx="43396447" cy="737419"/>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199422</xdr:colOff>
      <xdr:row>1</xdr:row>
      <xdr:rowOff>19879</xdr:rowOff>
    </xdr:from>
    <xdr:to>
      <xdr:col>18</xdr:col>
      <xdr:colOff>293140</xdr:colOff>
      <xdr:row>3</xdr:row>
      <xdr:rowOff>10354</xdr:rowOff>
    </xdr:to>
    <xdr:sp macro="" textlink="">
      <xdr:nvSpPr>
        <xdr:cNvPr id="7" name="TextBox 6">
          <a:hlinkClick xmlns:r="http://schemas.openxmlformats.org/officeDocument/2006/relationships" r:id="rId3"/>
          <a:extLst>
            <a:ext uri="{FF2B5EF4-FFF2-40B4-BE49-F238E27FC236}">
              <a16:creationId xmlns:a16="http://schemas.microsoft.com/office/drawing/2014/main" id="{38BFC8BD-4610-4065-BE2C-C02F70D46A15}"/>
            </a:ext>
          </a:extLst>
        </xdr:cNvPr>
        <xdr:cNvSpPr txBox="1"/>
      </xdr:nvSpPr>
      <xdr:spPr>
        <a:xfrm>
          <a:off x="12612648" y="204234"/>
          <a:ext cx="954040"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1" name="Picture 10">
          <a:extLst>
            <a:ext uri="{FF2B5EF4-FFF2-40B4-BE49-F238E27FC236}">
              <a16:creationId xmlns:a16="http://schemas.microsoft.com/office/drawing/2014/main" id="{784F8CF4-67DE-462B-BA8F-EE6EDB982B0F}"/>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41" name="Straight Connector 40">
          <a:extLst>
            <a:ext uri="{FF2B5EF4-FFF2-40B4-BE49-F238E27FC236}">
              <a16:creationId xmlns:a16="http://schemas.microsoft.com/office/drawing/2014/main" id="{795C84F5-ED8E-41EB-A734-9C17EE2BB8D8}"/>
            </a:ext>
          </a:extLst>
        </xdr:cNvPr>
        <xdr:cNvCxnSpPr/>
      </xdr:nvCxnSpPr>
      <xdr:spPr>
        <a:xfrm>
          <a:off x="1457269" y="212556"/>
          <a:ext cx="0" cy="294699"/>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29900</xdr:colOff>
      <xdr:row>1</xdr:row>
      <xdr:rowOff>19879</xdr:rowOff>
    </xdr:from>
    <xdr:to>
      <xdr:col>5</xdr:col>
      <xdr:colOff>327202</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E12725F8-04C4-4431-AC61-D140EE9CC2DC}"/>
            </a:ext>
          </a:extLst>
        </xdr:cNvPr>
        <xdr:cNvSpPr txBox="1"/>
      </xdr:nvSpPr>
      <xdr:spPr>
        <a:xfrm>
          <a:off x="3978166" y="204234"/>
          <a:ext cx="957907"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229928</xdr:colOff>
      <xdr:row>1</xdr:row>
      <xdr:rowOff>19879</xdr:rowOff>
    </xdr:from>
    <xdr:to>
      <xdr:col>6</xdr:col>
      <xdr:colOff>302526</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7C92FCE9-7280-44A5-9C18-DF733E6802B4}"/>
            </a:ext>
          </a:extLst>
        </xdr:cNvPr>
        <xdr:cNvSpPr txBox="1"/>
      </xdr:nvSpPr>
      <xdr:spPr>
        <a:xfrm>
          <a:off x="4838799" y="204234"/>
          <a:ext cx="963646"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205252</xdr:colOff>
      <xdr:row>1</xdr:row>
      <xdr:rowOff>19879</xdr:rowOff>
    </xdr:from>
    <xdr:to>
      <xdr:col>8</xdr:col>
      <xdr:colOff>147966</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EA2F2348-3599-4845-8F3C-C4281901657C}"/>
            </a:ext>
          </a:extLst>
        </xdr:cNvPr>
        <xdr:cNvSpPr txBox="1"/>
      </xdr:nvSpPr>
      <xdr:spPr>
        <a:xfrm>
          <a:off x="5705171" y="204234"/>
          <a:ext cx="956666"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50692</xdr:colOff>
      <xdr:row>1</xdr:row>
      <xdr:rowOff>19879</xdr:rowOff>
    </xdr:from>
    <xdr:to>
      <xdr:col>9</xdr:col>
      <xdr:colOff>275662</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9B11A64A-DBDD-487E-A397-BD820CECB3B6}"/>
            </a:ext>
          </a:extLst>
        </xdr:cNvPr>
        <xdr:cNvSpPr txBox="1"/>
      </xdr:nvSpPr>
      <xdr:spPr>
        <a:xfrm>
          <a:off x="6564563" y="204234"/>
          <a:ext cx="962389"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178388</xdr:colOff>
      <xdr:row>1</xdr:row>
      <xdr:rowOff>19879</xdr:rowOff>
    </xdr:from>
    <xdr:to>
      <xdr:col>10</xdr:col>
      <xdr:colOff>407439</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63EB90A3-F1C5-4316-BFAD-695A365DBF38}"/>
            </a:ext>
          </a:extLst>
        </xdr:cNvPr>
        <xdr:cNvSpPr txBox="1"/>
      </xdr:nvSpPr>
      <xdr:spPr>
        <a:xfrm>
          <a:off x="7429678" y="204234"/>
          <a:ext cx="966471"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310165</xdr:colOff>
      <xdr:row>1</xdr:row>
      <xdr:rowOff>19879</xdr:rowOff>
    </xdr:from>
    <xdr:to>
      <xdr:col>11</xdr:col>
      <xdr:colOff>532145</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8FD0C788-90D1-40BE-A6E4-FEA0A6CF5C5B}"/>
            </a:ext>
          </a:extLst>
        </xdr:cNvPr>
        <xdr:cNvSpPr txBox="1"/>
      </xdr:nvSpPr>
      <xdr:spPr>
        <a:xfrm>
          <a:off x="8298875" y="204234"/>
          <a:ext cx="959399"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436552</xdr:colOff>
      <xdr:row>1</xdr:row>
      <xdr:rowOff>19879</xdr:rowOff>
    </xdr:from>
    <xdr:to>
      <xdr:col>12</xdr:col>
      <xdr:colOff>656852</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4AD43C4C-5987-4365-96AF-D4C4C315ED40}"/>
            </a:ext>
          </a:extLst>
        </xdr:cNvPr>
        <xdr:cNvSpPr txBox="1"/>
      </xdr:nvSpPr>
      <xdr:spPr>
        <a:xfrm>
          <a:off x="9162681" y="204234"/>
          <a:ext cx="957719"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Comps</a:t>
          </a:r>
        </a:p>
      </xdr:txBody>
    </xdr:sp>
    <xdr:clientData/>
  </xdr:twoCellAnchor>
  <xdr:twoCellAnchor>
    <xdr:from>
      <xdr:col>12</xdr:col>
      <xdr:colOff>561259</xdr:colOff>
      <xdr:row>1</xdr:row>
      <xdr:rowOff>19879</xdr:rowOff>
    </xdr:from>
    <xdr:to>
      <xdr:col>14</xdr:col>
      <xdr:colOff>50592</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00BCEA7-60B3-4221-ACB3-3748AE3341FA}"/>
            </a:ext>
          </a:extLst>
        </xdr:cNvPr>
        <xdr:cNvSpPr txBox="1"/>
      </xdr:nvSpPr>
      <xdr:spPr>
        <a:xfrm>
          <a:off x="10024807" y="204234"/>
          <a:ext cx="964172"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13</xdr:col>
      <xdr:colOff>686743</xdr:colOff>
      <xdr:row>1</xdr:row>
      <xdr:rowOff>19879</xdr:rowOff>
    </xdr:from>
    <xdr:to>
      <xdr:col>15</xdr:col>
      <xdr:colOff>176429</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F04EA707-51B5-4485-B48D-302BA8244C04}"/>
            </a:ext>
          </a:extLst>
        </xdr:cNvPr>
        <xdr:cNvSpPr txBox="1"/>
      </xdr:nvSpPr>
      <xdr:spPr>
        <a:xfrm>
          <a:off x="10887711" y="204234"/>
          <a:ext cx="964524"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79155</xdr:colOff>
      <xdr:row>1</xdr:row>
      <xdr:rowOff>19879</xdr:rowOff>
    </xdr:from>
    <xdr:to>
      <xdr:col>16</xdr:col>
      <xdr:colOff>296696</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45C1AA59-11AD-44A1-A6E4-79E9D162C096}"/>
            </a:ext>
          </a:extLst>
        </xdr:cNvPr>
        <xdr:cNvSpPr txBox="1"/>
      </xdr:nvSpPr>
      <xdr:spPr>
        <a:xfrm>
          <a:off x="11754961" y="204234"/>
          <a:ext cx="954961"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18</xdr:col>
      <xdr:colOff>195866</xdr:colOff>
      <xdr:row>1</xdr:row>
      <xdr:rowOff>19879</xdr:rowOff>
    </xdr:from>
    <xdr:to>
      <xdr:col>19</xdr:col>
      <xdr:colOff>492782</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C920E40-0289-418C-801B-34CF6461801F}"/>
            </a:ext>
          </a:extLst>
        </xdr:cNvPr>
        <xdr:cNvSpPr txBox="1"/>
      </xdr:nvSpPr>
      <xdr:spPr>
        <a:xfrm>
          <a:off x="13469414" y="204234"/>
          <a:ext cx="957521"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19</xdr:col>
      <xdr:colOff>395508</xdr:colOff>
      <xdr:row>1</xdr:row>
      <xdr:rowOff>19879</xdr:rowOff>
    </xdr:from>
    <xdr:to>
      <xdr:col>21</xdr:col>
      <xdr:colOff>571611</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77362A86-85A0-4901-A1F9-D71623DFA7B3}"/>
            </a:ext>
          </a:extLst>
        </xdr:cNvPr>
        <xdr:cNvSpPr txBox="1"/>
      </xdr:nvSpPr>
      <xdr:spPr>
        <a:xfrm>
          <a:off x="14329661" y="204234"/>
          <a:ext cx="959611"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21</xdr:col>
      <xdr:colOff>474337</xdr:colOff>
      <xdr:row>1</xdr:row>
      <xdr:rowOff>19879</xdr:rowOff>
    </xdr:from>
    <xdr:to>
      <xdr:col>22</xdr:col>
      <xdr:colOff>696407</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D57BDB9A-02CE-4C73-907B-2D126C20F53E}"/>
            </a:ext>
          </a:extLst>
        </xdr:cNvPr>
        <xdr:cNvSpPr txBox="1"/>
      </xdr:nvSpPr>
      <xdr:spPr>
        <a:xfrm>
          <a:off x="15191998" y="204234"/>
          <a:ext cx="959490"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22</xdr:col>
      <xdr:colOff>599133</xdr:colOff>
      <xdr:row>1</xdr:row>
      <xdr:rowOff>19879</xdr:rowOff>
    </xdr:from>
    <xdr:to>
      <xdr:col>24</xdr:col>
      <xdr:colOff>91475</xdr:colOff>
      <xdr:row>3</xdr:row>
      <xdr:rowOff>10354</xdr:rowOff>
    </xdr:to>
    <xdr:sp macro="" textlink="">
      <xdr:nvSpPr>
        <xdr:cNvPr id="55" name="TextBox 54">
          <a:hlinkClick xmlns:r="http://schemas.openxmlformats.org/officeDocument/2006/relationships" r:id="rId18"/>
          <a:extLst>
            <a:ext uri="{FF2B5EF4-FFF2-40B4-BE49-F238E27FC236}">
              <a16:creationId xmlns:a16="http://schemas.microsoft.com/office/drawing/2014/main" id="{C1C9C3AF-C69F-4DF4-B9B1-84A2216AE2AD}"/>
            </a:ext>
          </a:extLst>
        </xdr:cNvPr>
        <xdr:cNvSpPr txBox="1"/>
      </xdr:nvSpPr>
      <xdr:spPr>
        <a:xfrm>
          <a:off x="16054214" y="204234"/>
          <a:ext cx="967180"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23</xdr:col>
      <xdr:colOff>727637</xdr:colOff>
      <xdr:row>1</xdr:row>
      <xdr:rowOff>19879</xdr:rowOff>
    </xdr:from>
    <xdr:to>
      <xdr:col>26</xdr:col>
      <xdr:colOff>169927</xdr:colOff>
      <xdr:row>3</xdr:row>
      <xdr:rowOff>10354</xdr:rowOff>
    </xdr:to>
    <xdr:sp macro="" textlink="">
      <xdr:nvSpPr>
        <xdr:cNvPr id="56" name="TextBox 55">
          <a:hlinkClick xmlns:r="http://schemas.openxmlformats.org/officeDocument/2006/relationships" r:id="rId19"/>
          <a:extLst>
            <a:ext uri="{FF2B5EF4-FFF2-40B4-BE49-F238E27FC236}">
              <a16:creationId xmlns:a16="http://schemas.microsoft.com/office/drawing/2014/main" id="{FD1EFBAC-C618-4651-8B07-D1EEBB9FB046}"/>
            </a:ext>
          </a:extLst>
        </xdr:cNvPr>
        <xdr:cNvSpPr txBox="1"/>
      </xdr:nvSpPr>
      <xdr:spPr>
        <a:xfrm>
          <a:off x="16920137" y="204234"/>
          <a:ext cx="963217" cy="35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8</xdr:col>
      <xdr:colOff>99329</xdr:colOff>
      <xdr:row>1</xdr:row>
      <xdr:rowOff>103586</xdr:rowOff>
    </xdr:from>
    <xdr:to>
      <xdr:col>8</xdr:col>
      <xdr:colOff>99329</xdr:colOff>
      <xdr:row>2</xdr:row>
      <xdr:rowOff>117146</xdr:rowOff>
    </xdr:to>
    <xdr:cxnSp macro="">
      <xdr:nvCxnSpPr>
        <xdr:cNvPr id="57" name="Straight Connector 56">
          <a:extLst>
            <a:ext uri="{FF2B5EF4-FFF2-40B4-BE49-F238E27FC236}">
              <a16:creationId xmlns:a16="http://schemas.microsoft.com/office/drawing/2014/main" id="{6E31FC6E-52F2-4C78-B8FC-00A1B7E4ABC1}"/>
            </a:ext>
          </a:extLst>
        </xdr:cNvPr>
        <xdr:cNvCxnSpPr/>
      </xdr:nvCxnSpPr>
      <xdr:spPr>
        <a:xfrm>
          <a:off x="6613200"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253889</xdr:colOff>
      <xdr:row>1</xdr:row>
      <xdr:rowOff>103586</xdr:rowOff>
    </xdr:from>
    <xdr:to>
      <xdr:col>6</xdr:col>
      <xdr:colOff>253889</xdr:colOff>
      <xdr:row>2</xdr:row>
      <xdr:rowOff>117146</xdr:rowOff>
    </xdr:to>
    <xdr:cxnSp macro="">
      <xdr:nvCxnSpPr>
        <xdr:cNvPr id="58" name="Straight Connector 57">
          <a:extLst>
            <a:ext uri="{FF2B5EF4-FFF2-40B4-BE49-F238E27FC236}">
              <a16:creationId xmlns:a16="http://schemas.microsoft.com/office/drawing/2014/main" id="{DE8BBC2D-EACF-4F9D-ABA6-5BF2E4E8BAD3}"/>
            </a:ext>
          </a:extLst>
        </xdr:cNvPr>
        <xdr:cNvCxnSpPr/>
      </xdr:nvCxnSpPr>
      <xdr:spPr>
        <a:xfrm>
          <a:off x="5753808"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278565</xdr:colOff>
      <xdr:row>1</xdr:row>
      <xdr:rowOff>103586</xdr:rowOff>
    </xdr:from>
    <xdr:to>
      <xdr:col>5</xdr:col>
      <xdr:colOff>278565</xdr:colOff>
      <xdr:row>2</xdr:row>
      <xdr:rowOff>117146</xdr:rowOff>
    </xdr:to>
    <xdr:cxnSp macro="">
      <xdr:nvCxnSpPr>
        <xdr:cNvPr id="59" name="Straight Connector 58">
          <a:extLst>
            <a:ext uri="{FF2B5EF4-FFF2-40B4-BE49-F238E27FC236}">
              <a16:creationId xmlns:a16="http://schemas.microsoft.com/office/drawing/2014/main" id="{197435C1-8F9D-4516-BA51-231843A3F7DB}"/>
            </a:ext>
          </a:extLst>
        </xdr:cNvPr>
        <xdr:cNvCxnSpPr/>
      </xdr:nvCxnSpPr>
      <xdr:spPr>
        <a:xfrm>
          <a:off x="4887436"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227025</xdr:colOff>
      <xdr:row>1</xdr:row>
      <xdr:rowOff>103586</xdr:rowOff>
    </xdr:from>
    <xdr:to>
      <xdr:col>9</xdr:col>
      <xdr:colOff>227025</xdr:colOff>
      <xdr:row>2</xdr:row>
      <xdr:rowOff>117146</xdr:rowOff>
    </xdr:to>
    <xdr:cxnSp macro="">
      <xdr:nvCxnSpPr>
        <xdr:cNvPr id="60" name="Straight Connector 59">
          <a:extLst>
            <a:ext uri="{FF2B5EF4-FFF2-40B4-BE49-F238E27FC236}">
              <a16:creationId xmlns:a16="http://schemas.microsoft.com/office/drawing/2014/main" id="{996C2A97-E76E-47BA-8212-E142FAE93ED2}"/>
            </a:ext>
          </a:extLst>
        </xdr:cNvPr>
        <xdr:cNvCxnSpPr/>
      </xdr:nvCxnSpPr>
      <xdr:spPr>
        <a:xfrm>
          <a:off x="7478315"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358802</xdr:colOff>
      <xdr:row>1</xdr:row>
      <xdr:rowOff>103586</xdr:rowOff>
    </xdr:from>
    <xdr:to>
      <xdr:col>10</xdr:col>
      <xdr:colOff>358802</xdr:colOff>
      <xdr:row>2</xdr:row>
      <xdr:rowOff>117146</xdr:rowOff>
    </xdr:to>
    <xdr:cxnSp macro="">
      <xdr:nvCxnSpPr>
        <xdr:cNvPr id="61" name="Straight Connector 60">
          <a:extLst>
            <a:ext uri="{FF2B5EF4-FFF2-40B4-BE49-F238E27FC236}">
              <a16:creationId xmlns:a16="http://schemas.microsoft.com/office/drawing/2014/main" id="{A0015839-BCB2-41BD-ABC2-AF3F4F194F51}"/>
            </a:ext>
          </a:extLst>
        </xdr:cNvPr>
        <xdr:cNvCxnSpPr/>
      </xdr:nvCxnSpPr>
      <xdr:spPr>
        <a:xfrm>
          <a:off x="8347512"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483508</xdr:colOff>
      <xdr:row>1</xdr:row>
      <xdr:rowOff>103586</xdr:rowOff>
    </xdr:from>
    <xdr:to>
      <xdr:col>11</xdr:col>
      <xdr:colOff>483508</xdr:colOff>
      <xdr:row>2</xdr:row>
      <xdr:rowOff>117146</xdr:rowOff>
    </xdr:to>
    <xdr:cxnSp macro="">
      <xdr:nvCxnSpPr>
        <xdr:cNvPr id="62" name="Straight Connector 61">
          <a:extLst>
            <a:ext uri="{FF2B5EF4-FFF2-40B4-BE49-F238E27FC236}">
              <a16:creationId xmlns:a16="http://schemas.microsoft.com/office/drawing/2014/main" id="{7B652AEC-74A8-4FFF-98D3-85E8733E06AD}"/>
            </a:ext>
          </a:extLst>
        </xdr:cNvPr>
        <xdr:cNvCxnSpPr/>
      </xdr:nvCxnSpPr>
      <xdr:spPr>
        <a:xfrm>
          <a:off x="9209637"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609896</xdr:colOff>
      <xdr:row>1</xdr:row>
      <xdr:rowOff>103586</xdr:rowOff>
    </xdr:from>
    <xdr:to>
      <xdr:col>12</xdr:col>
      <xdr:colOff>609896</xdr:colOff>
      <xdr:row>2</xdr:row>
      <xdr:rowOff>117146</xdr:rowOff>
    </xdr:to>
    <xdr:cxnSp macro="">
      <xdr:nvCxnSpPr>
        <xdr:cNvPr id="63" name="Straight Connector 62">
          <a:extLst>
            <a:ext uri="{FF2B5EF4-FFF2-40B4-BE49-F238E27FC236}">
              <a16:creationId xmlns:a16="http://schemas.microsoft.com/office/drawing/2014/main" id="{DA394722-303E-48EA-85DD-2AA4BC004C02}"/>
            </a:ext>
          </a:extLst>
        </xdr:cNvPr>
        <xdr:cNvCxnSpPr/>
      </xdr:nvCxnSpPr>
      <xdr:spPr>
        <a:xfrm>
          <a:off x="10073444"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1955</xdr:colOff>
      <xdr:row>1</xdr:row>
      <xdr:rowOff>103586</xdr:rowOff>
    </xdr:from>
    <xdr:to>
      <xdr:col>14</xdr:col>
      <xdr:colOff>1955</xdr:colOff>
      <xdr:row>2</xdr:row>
      <xdr:rowOff>117146</xdr:rowOff>
    </xdr:to>
    <xdr:cxnSp macro="">
      <xdr:nvCxnSpPr>
        <xdr:cNvPr id="64" name="Straight Connector 63">
          <a:extLst>
            <a:ext uri="{FF2B5EF4-FFF2-40B4-BE49-F238E27FC236}">
              <a16:creationId xmlns:a16="http://schemas.microsoft.com/office/drawing/2014/main" id="{F3A2AD75-E520-4338-BF53-EA9472A7A660}"/>
            </a:ext>
          </a:extLst>
        </xdr:cNvPr>
        <xdr:cNvCxnSpPr/>
      </xdr:nvCxnSpPr>
      <xdr:spPr>
        <a:xfrm>
          <a:off x="10940342"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127792</xdr:colOff>
      <xdr:row>1</xdr:row>
      <xdr:rowOff>103586</xdr:rowOff>
    </xdr:from>
    <xdr:to>
      <xdr:col>15</xdr:col>
      <xdr:colOff>127792</xdr:colOff>
      <xdr:row>2</xdr:row>
      <xdr:rowOff>117146</xdr:rowOff>
    </xdr:to>
    <xdr:cxnSp macro="">
      <xdr:nvCxnSpPr>
        <xdr:cNvPr id="65" name="Straight Connector 64">
          <a:extLst>
            <a:ext uri="{FF2B5EF4-FFF2-40B4-BE49-F238E27FC236}">
              <a16:creationId xmlns:a16="http://schemas.microsoft.com/office/drawing/2014/main" id="{437AE04B-77A2-4754-85C2-7E0B21AE9F98}"/>
            </a:ext>
          </a:extLst>
        </xdr:cNvPr>
        <xdr:cNvCxnSpPr/>
      </xdr:nvCxnSpPr>
      <xdr:spPr>
        <a:xfrm>
          <a:off x="11803598"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244503</xdr:colOff>
      <xdr:row>1</xdr:row>
      <xdr:rowOff>103586</xdr:rowOff>
    </xdr:from>
    <xdr:to>
      <xdr:col>18</xdr:col>
      <xdr:colOff>244503</xdr:colOff>
      <xdr:row>2</xdr:row>
      <xdr:rowOff>117146</xdr:rowOff>
    </xdr:to>
    <xdr:cxnSp macro="">
      <xdr:nvCxnSpPr>
        <xdr:cNvPr id="66" name="Straight Connector 65">
          <a:extLst>
            <a:ext uri="{FF2B5EF4-FFF2-40B4-BE49-F238E27FC236}">
              <a16:creationId xmlns:a16="http://schemas.microsoft.com/office/drawing/2014/main" id="{456B926D-3474-4FCC-8D62-96E3567A32F6}"/>
            </a:ext>
          </a:extLst>
        </xdr:cNvPr>
        <xdr:cNvCxnSpPr/>
      </xdr:nvCxnSpPr>
      <xdr:spPr>
        <a:xfrm>
          <a:off x="13518051"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444145</xdr:colOff>
      <xdr:row>1</xdr:row>
      <xdr:rowOff>103586</xdr:rowOff>
    </xdr:from>
    <xdr:to>
      <xdr:col>19</xdr:col>
      <xdr:colOff>444145</xdr:colOff>
      <xdr:row>2</xdr:row>
      <xdr:rowOff>117146</xdr:rowOff>
    </xdr:to>
    <xdr:cxnSp macro="">
      <xdr:nvCxnSpPr>
        <xdr:cNvPr id="67" name="Straight Connector 66">
          <a:extLst>
            <a:ext uri="{FF2B5EF4-FFF2-40B4-BE49-F238E27FC236}">
              <a16:creationId xmlns:a16="http://schemas.microsoft.com/office/drawing/2014/main" id="{CF6F9BDF-3AD5-4DB0-8B30-929CC99E0E48}"/>
            </a:ext>
          </a:extLst>
        </xdr:cNvPr>
        <xdr:cNvCxnSpPr/>
      </xdr:nvCxnSpPr>
      <xdr:spPr>
        <a:xfrm>
          <a:off x="14378298"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522974</xdr:colOff>
      <xdr:row>1</xdr:row>
      <xdr:rowOff>103586</xdr:rowOff>
    </xdr:from>
    <xdr:to>
      <xdr:col>21</xdr:col>
      <xdr:colOff>522974</xdr:colOff>
      <xdr:row>2</xdr:row>
      <xdr:rowOff>117146</xdr:rowOff>
    </xdr:to>
    <xdr:cxnSp macro="">
      <xdr:nvCxnSpPr>
        <xdr:cNvPr id="68" name="Straight Connector 67">
          <a:extLst>
            <a:ext uri="{FF2B5EF4-FFF2-40B4-BE49-F238E27FC236}">
              <a16:creationId xmlns:a16="http://schemas.microsoft.com/office/drawing/2014/main" id="{118A251D-7411-4009-A16F-9196986BA383}"/>
            </a:ext>
          </a:extLst>
        </xdr:cNvPr>
        <xdr:cNvCxnSpPr/>
      </xdr:nvCxnSpPr>
      <xdr:spPr>
        <a:xfrm>
          <a:off x="15240635"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647770</xdr:colOff>
      <xdr:row>1</xdr:row>
      <xdr:rowOff>103586</xdr:rowOff>
    </xdr:from>
    <xdr:to>
      <xdr:col>22</xdr:col>
      <xdr:colOff>647770</xdr:colOff>
      <xdr:row>2</xdr:row>
      <xdr:rowOff>117146</xdr:rowOff>
    </xdr:to>
    <xdr:cxnSp macro="">
      <xdr:nvCxnSpPr>
        <xdr:cNvPr id="69" name="Straight Connector 68">
          <a:extLst>
            <a:ext uri="{FF2B5EF4-FFF2-40B4-BE49-F238E27FC236}">
              <a16:creationId xmlns:a16="http://schemas.microsoft.com/office/drawing/2014/main" id="{DB875023-0107-4C80-B5EC-CE037D40C850}"/>
            </a:ext>
          </a:extLst>
        </xdr:cNvPr>
        <xdr:cNvCxnSpPr/>
      </xdr:nvCxnSpPr>
      <xdr:spPr>
        <a:xfrm>
          <a:off x="16102851"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42838</xdr:colOff>
      <xdr:row>1</xdr:row>
      <xdr:rowOff>103586</xdr:rowOff>
    </xdr:from>
    <xdr:to>
      <xdr:col>24</xdr:col>
      <xdr:colOff>42838</xdr:colOff>
      <xdr:row>2</xdr:row>
      <xdr:rowOff>117146</xdr:rowOff>
    </xdr:to>
    <xdr:cxnSp macro="">
      <xdr:nvCxnSpPr>
        <xdr:cNvPr id="72" name="Straight Connector 71">
          <a:extLst>
            <a:ext uri="{FF2B5EF4-FFF2-40B4-BE49-F238E27FC236}">
              <a16:creationId xmlns:a16="http://schemas.microsoft.com/office/drawing/2014/main" id="{FB3CB6D9-0DB2-492C-9FE9-59A3F7BC7291}"/>
            </a:ext>
          </a:extLst>
        </xdr:cNvPr>
        <xdr:cNvCxnSpPr/>
      </xdr:nvCxnSpPr>
      <xdr:spPr>
        <a:xfrm>
          <a:off x="16972757"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248059</xdr:colOff>
      <xdr:row>1</xdr:row>
      <xdr:rowOff>103586</xdr:rowOff>
    </xdr:from>
    <xdr:to>
      <xdr:col>16</xdr:col>
      <xdr:colOff>248059</xdr:colOff>
      <xdr:row>2</xdr:row>
      <xdr:rowOff>117146</xdr:rowOff>
    </xdr:to>
    <xdr:cxnSp macro="">
      <xdr:nvCxnSpPr>
        <xdr:cNvPr id="73" name="Straight Connector 72">
          <a:extLst>
            <a:ext uri="{FF2B5EF4-FFF2-40B4-BE49-F238E27FC236}">
              <a16:creationId xmlns:a16="http://schemas.microsoft.com/office/drawing/2014/main" id="{C2640B63-4579-4184-B5B2-6BE1B91E061B}"/>
            </a:ext>
          </a:extLst>
        </xdr:cNvPr>
        <xdr:cNvCxnSpPr/>
      </xdr:nvCxnSpPr>
      <xdr:spPr>
        <a:xfrm>
          <a:off x="12661285" y="287941"/>
          <a:ext cx="0" cy="19791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656236</xdr:colOff>
      <xdr:row>4</xdr:row>
      <xdr:rowOff>0</xdr:rowOff>
    </xdr:to>
    <xdr:sp macro="" textlink="">
      <xdr:nvSpPr>
        <xdr:cNvPr id="5" name="Rectangle 4">
          <a:extLst>
            <a:ext uri="{FF2B5EF4-FFF2-40B4-BE49-F238E27FC236}">
              <a16:creationId xmlns:a16="http://schemas.microsoft.com/office/drawing/2014/main" id="{9361A3FD-7BA3-4AC8-8C9A-CD6CECF5D29B}"/>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3018822</xdr:colOff>
      <xdr:row>1</xdr:row>
      <xdr:rowOff>19879</xdr:rowOff>
    </xdr:from>
    <xdr:to>
      <xdr:col>12</xdr:col>
      <xdr:colOff>188365</xdr:colOff>
      <xdr:row>3</xdr:row>
      <xdr:rowOff>10354</xdr:rowOff>
    </xdr:to>
    <xdr:sp macro="" textlink="">
      <xdr:nvSpPr>
        <xdr:cNvPr id="39" name="TextBox 38">
          <a:hlinkClick xmlns:r="http://schemas.openxmlformats.org/officeDocument/2006/relationships" r:id="rId1"/>
          <a:extLst>
            <a:ext uri="{FF2B5EF4-FFF2-40B4-BE49-F238E27FC236}">
              <a16:creationId xmlns:a16="http://schemas.microsoft.com/office/drawing/2014/main" id="{5BB3FF60-EBB9-46BE-AABB-B4572242351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0" name="Picture 39">
          <a:extLst>
            <a:ext uri="{FF2B5EF4-FFF2-40B4-BE49-F238E27FC236}">
              <a16:creationId xmlns:a16="http://schemas.microsoft.com/office/drawing/2014/main" id="{9E76B664-F2DF-4691-800B-39241254A05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1297802</xdr:colOff>
      <xdr:row>1</xdr:row>
      <xdr:rowOff>28201</xdr:rowOff>
    </xdr:from>
    <xdr:to>
      <xdr:col>1</xdr:col>
      <xdr:colOff>1297802</xdr:colOff>
      <xdr:row>2</xdr:row>
      <xdr:rowOff>138545</xdr:rowOff>
    </xdr:to>
    <xdr:cxnSp macro="">
      <xdr:nvCxnSpPr>
        <xdr:cNvPr id="42" name="Straight Connector 41">
          <a:extLst>
            <a:ext uri="{FF2B5EF4-FFF2-40B4-BE49-F238E27FC236}">
              <a16:creationId xmlns:a16="http://schemas.microsoft.com/office/drawing/2014/main" id="{A3BAADC3-BC7F-404E-A08E-0C92A5752D98}"/>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3801800</xdr:colOff>
      <xdr:row>1</xdr:row>
      <xdr:rowOff>19879</xdr:rowOff>
    </xdr:from>
    <xdr:to>
      <xdr:col>3</xdr:col>
      <xdr:colOff>622477</xdr:colOff>
      <xdr:row>3</xdr:row>
      <xdr:rowOff>10354</xdr:rowOff>
    </xdr:to>
    <xdr:sp macro="" textlink="">
      <xdr:nvSpPr>
        <xdr:cNvPr id="43" name="TextBox 42">
          <a:hlinkClick xmlns:r="http://schemas.openxmlformats.org/officeDocument/2006/relationships" r:id="rId3"/>
          <a:extLst>
            <a:ext uri="{FF2B5EF4-FFF2-40B4-BE49-F238E27FC236}">
              <a16:creationId xmlns:a16="http://schemas.microsoft.com/office/drawing/2014/main" id="{C3D69DA7-E0E3-484A-82FF-358C0270B596}"/>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597801</xdr:colOff>
      <xdr:row>3</xdr:row>
      <xdr:rowOff>10354</xdr:rowOff>
    </xdr:to>
    <xdr:sp macro="" textlink="">
      <xdr:nvSpPr>
        <xdr:cNvPr id="44" name="TextBox 43">
          <a:hlinkClick xmlns:r="http://schemas.openxmlformats.org/officeDocument/2006/relationships" r:id="rId4"/>
          <a:extLst>
            <a:ext uri="{FF2B5EF4-FFF2-40B4-BE49-F238E27FC236}">
              <a16:creationId xmlns:a16="http://schemas.microsoft.com/office/drawing/2014/main" id="{9CF89295-9740-428C-8FEA-F4B6E182A054}"/>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500527</xdr:colOff>
      <xdr:row>1</xdr:row>
      <xdr:rowOff>19879</xdr:rowOff>
    </xdr:from>
    <xdr:to>
      <xdr:col>5</xdr:col>
      <xdr:colOff>567066</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1F1260B1-4CCC-473E-B417-A928F0774CB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469792</xdr:colOff>
      <xdr:row>1</xdr:row>
      <xdr:rowOff>19879</xdr:rowOff>
    </xdr:from>
    <xdr:to>
      <xdr:col>6</xdr:col>
      <xdr:colOff>542362</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8B4B9446-EC75-45CC-ABEA-A2A1F59402BF}"/>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445088</xdr:colOff>
      <xdr:row>1</xdr:row>
      <xdr:rowOff>19879</xdr:rowOff>
    </xdr:from>
    <xdr:to>
      <xdr:col>7</xdr:col>
      <xdr:colOff>521739</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C5BBA926-68D1-4DCE-8015-B6D56C62D2D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424465</xdr:colOff>
      <xdr:row>1</xdr:row>
      <xdr:rowOff>19879</xdr:rowOff>
    </xdr:from>
    <xdr:to>
      <xdr:col>9</xdr:col>
      <xdr:colOff>370220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93578FD3-03E8-495F-9606-DDBE0A53939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9</xdr:col>
      <xdr:colOff>274627</xdr:colOff>
      <xdr:row>1</xdr:row>
      <xdr:rowOff>19879</xdr:rowOff>
    </xdr:from>
    <xdr:to>
      <xdr:col>10</xdr:col>
      <xdr:colOff>542552</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EC81B7FA-3FE9-4C69-95AE-93F67808580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10</xdr:col>
      <xdr:colOff>446959</xdr:colOff>
      <xdr:row>1</xdr:row>
      <xdr:rowOff>19879</xdr:rowOff>
    </xdr:from>
    <xdr:to>
      <xdr:col>10</xdr:col>
      <xdr:colOff>1403142</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A7F32F2-3819-406D-A2BA-90CFF308438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WACC</a:t>
          </a:r>
        </a:p>
      </xdr:txBody>
    </xdr:sp>
    <xdr:clientData/>
  </xdr:twoCellAnchor>
  <xdr:twoCellAnchor>
    <xdr:from>
      <xdr:col>10</xdr:col>
      <xdr:colOff>1305868</xdr:colOff>
      <xdr:row>1</xdr:row>
      <xdr:rowOff>19879</xdr:rowOff>
    </xdr:from>
    <xdr:to>
      <xdr:col>10</xdr:col>
      <xdr:colOff>2262404</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5C3CF463-6629-42C1-B63A-512551BDB6F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2165130</xdr:colOff>
      <xdr:row>1</xdr:row>
      <xdr:rowOff>19879</xdr:rowOff>
    </xdr:from>
    <xdr:to>
      <xdr:col>11</xdr:col>
      <xdr:colOff>20471</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3ADCC7E-CAFC-44D2-99C4-271048807E2E}"/>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91091</xdr:colOff>
      <xdr:row>1</xdr:row>
      <xdr:rowOff>19879</xdr:rowOff>
    </xdr:from>
    <xdr:to>
      <xdr:col>13</xdr:col>
      <xdr:colOff>359432</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EE156D09-15E3-4C05-9FCD-CF9777ACBD8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262158</xdr:colOff>
      <xdr:row>1</xdr:row>
      <xdr:rowOff>19879</xdr:rowOff>
    </xdr:from>
    <xdr:to>
      <xdr:col>14</xdr:col>
      <xdr:colOff>533511</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05B53E2C-EC94-4034-B12A-3AF2D06258C4}"/>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436237</xdr:colOff>
      <xdr:row>1</xdr:row>
      <xdr:rowOff>19879</xdr:rowOff>
    </xdr:from>
    <xdr:to>
      <xdr:col>16</xdr:col>
      <xdr:colOff>20132</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B5F7A5B4-7EB9-4D2B-B8A4-2A0C91E5077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608658</xdr:colOff>
      <xdr:row>1</xdr:row>
      <xdr:rowOff>19879</xdr:rowOff>
    </xdr:from>
    <xdr:to>
      <xdr:col>17</xdr:col>
      <xdr:colOff>196250</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F5B84C41-ECA4-4193-A607-422E46BAD03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98987</xdr:colOff>
      <xdr:row>1</xdr:row>
      <xdr:rowOff>19879</xdr:rowOff>
    </xdr:from>
    <xdr:to>
      <xdr:col>18</xdr:col>
      <xdr:colOff>369952</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CE8724CF-B33A-41D4-B885-FCF9908EE7D3}"/>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518429</xdr:colOff>
      <xdr:row>1</xdr:row>
      <xdr:rowOff>103586</xdr:rowOff>
    </xdr:from>
    <xdr:to>
      <xdr:col>5</xdr:col>
      <xdr:colOff>518429</xdr:colOff>
      <xdr:row>2</xdr:row>
      <xdr:rowOff>117146</xdr:rowOff>
    </xdr:to>
    <xdr:cxnSp macro="">
      <xdr:nvCxnSpPr>
        <xdr:cNvPr id="58" name="Straight Connector 57">
          <a:extLst>
            <a:ext uri="{FF2B5EF4-FFF2-40B4-BE49-F238E27FC236}">
              <a16:creationId xmlns:a16="http://schemas.microsoft.com/office/drawing/2014/main" id="{70788389-2F9B-41AC-ABBC-942394A78F2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549164</xdr:colOff>
      <xdr:row>1</xdr:row>
      <xdr:rowOff>103586</xdr:rowOff>
    </xdr:from>
    <xdr:to>
      <xdr:col>4</xdr:col>
      <xdr:colOff>549164</xdr:colOff>
      <xdr:row>2</xdr:row>
      <xdr:rowOff>117146</xdr:rowOff>
    </xdr:to>
    <xdr:cxnSp macro="">
      <xdr:nvCxnSpPr>
        <xdr:cNvPr id="59" name="Straight Connector 58">
          <a:extLst>
            <a:ext uri="{FF2B5EF4-FFF2-40B4-BE49-F238E27FC236}">
              <a16:creationId xmlns:a16="http://schemas.microsoft.com/office/drawing/2014/main" id="{0292A77A-E4E5-403F-BFD8-0CCDE604672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60" name="Straight Connector 59">
          <a:extLst>
            <a:ext uri="{FF2B5EF4-FFF2-40B4-BE49-F238E27FC236}">
              <a16:creationId xmlns:a16="http://schemas.microsoft.com/office/drawing/2014/main" id="{E2533C51-C93D-46AF-885B-6D84DCD84D51}"/>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493725</xdr:colOff>
      <xdr:row>1</xdr:row>
      <xdr:rowOff>103586</xdr:rowOff>
    </xdr:from>
    <xdr:to>
      <xdr:col>6</xdr:col>
      <xdr:colOff>493725</xdr:colOff>
      <xdr:row>2</xdr:row>
      <xdr:rowOff>117146</xdr:rowOff>
    </xdr:to>
    <xdr:cxnSp macro="">
      <xdr:nvCxnSpPr>
        <xdr:cNvPr id="61" name="Straight Connector 60">
          <a:extLst>
            <a:ext uri="{FF2B5EF4-FFF2-40B4-BE49-F238E27FC236}">
              <a16:creationId xmlns:a16="http://schemas.microsoft.com/office/drawing/2014/main" id="{623019A7-0BED-4EF8-B1E8-0EF6F32A16D6}"/>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473102</xdr:colOff>
      <xdr:row>1</xdr:row>
      <xdr:rowOff>103586</xdr:rowOff>
    </xdr:from>
    <xdr:to>
      <xdr:col>7</xdr:col>
      <xdr:colOff>473102</xdr:colOff>
      <xdr:row>2</xdr:row>
      <xdr:rowOff>117146</xdr:rowOff>
    </xdr:to>
    <xdr:cxnSp macro="">
      <xdr:nvCxnSpPr>
        <xdr:cNvPr id="62" name="Straight Connector 61">
          <a:extLst>
            <a:ext uri="{FF2B5EF4-FFF2-40B4-BE49-F238E27FC236}">
              <a16:creationId xmlns:a16="http://schemas.microsoft.com/office/drawing/2014/main" id="{4E3B571D-C1A2-4F87-9CEA-6654DA12319F}"/>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321583</xdr:colOff>
      <xdr:row>1</xdr:row>
      <xdr:rowOff>103586</xdr:rowOff>
    </xdr:from>
    <xdr:to>
      <xdr:col>9</xdr:col>
      <xdr:colOff>321583</xdr:colOff>
      <xdr:row>2</xdr:row>
      <xdr:rowOff>117146</xdr:rowOff>
    </xdr:to>
    <xdr:cxnSp macro="">
      <xdr:nvCxnSpPr>
        <xdr:cNvPr id="63" name="Straight Connector 62">
          <a:extLst>
            <a:ext uri="{FF2B5EF4-FFF2-40B4-BE49-F238E27FC236}">
              <a16:creationId xmlns:a16="http://schemas.microsoft.com/office/drawing/2014/main" id="{2131708B-EAAB-44BE-AD67-E0B13EC25C15}"/>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495596</xdr:colOff>
      <xdr:row>1</xdr:row>
      <xdr:rowOff>103586</xdr:rowOff>
    </xdr:from>
    <xdr:to>
      <xdr:col>10</xdr:col>
      <xdr:colOff>495596</xdr:colOff>
      <xdr:row>2</xdr:row>
      <xdr:rowOff>117146</xdr:rowOff>
    </xdr:to>
    <xdr:cxnSp macro="">
      <xdr:nvCxnSpPr>
        <xdr:cNvPr id="64" name="Straight Connector 63">
          <a:extLst>
            <a:ext uri="{FF2B5EF4-FFF2-40B4-BE49-F238E27FC236}">
              <a16:creationId xmlns:a16="http://schemas.microsoft.com/office/drawing/2014/main" id="{B776D1A1-A8D7-487F-B7AE-53E662DCE8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1354505</xdr:colOff>
      <xdr:row>1</xdr:row>
      <xdr:rowOff>103586</xdr:rowOff>
    </xdr:from>
    <xdr:to>
      <xdr:col>10</xdr:col>
      <xdr:colOff>1354505</xdr:colOff>
      <xdr:row>2</xdr:row>
      <xdr:rowOff>117146</xdr:rowOff>
    </xdr:to>
    <xdr:cxnSp macro="">
      <xdr:nvCxnSpPr>
        <xdr:cNvPr id="65" name="Straight Connector 64">
          <a:extLst>
            <a:ext uri="{FF2B5EF4-FFF2-40B4-BE49-F238E27FC236}">
              <a16:creationId xmlns:a16="http://schemas.microsoft.com/office/drawing/2014/main" id="{2940BC73-6A61-4942-93DC-29D366F71C71}"/>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2213767</xdr:colOff>
      <xdr:row>1</xdr:row>
      <xdr:rowOff>103586</xdr:rowOff>
    </xdr:from>
    <xdr:to>
      <xdr:col>10</xdr:col>
      <xdr:colOff>2213767</xdr:colOff>
      <xdr:row>2</xdr:row>
      <xdr:rowOff>117146</xdr:rowOff>
    </xdr:to>
    <xdr:cxnSp macro="">
      <xdr:nvCxnSpPr>
        <xdr:cNvPr id="66" name="Straight Connector 65">
          <a:extLst>
            <a:ext uri="{FF2B5EF4-FFF2-40B4-BE49-F238E27FC236}">
              <a16:creationId xmlns:a16="http://schemas.microsoft.com/office/drawing/2014/main" id="{24C8217E-036D-4CB1-A656-73F97DA1E99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139728</xdr:colOff>
      <xdr:row>1</xdr:row>
      <xdr:rowOff>103586</xdr:rowOff>
    </xdr:from>
    <xdr:to>
      <xdr:col>12</xdr:col>
      <xdr:colOff>139728</xdr:colOff>
      <xdr:row>2</xdr:row>
      <xdr:rowOff>117146</xdr:rowOff>
    </xdr:to>
    <xdr:cxnSp macro="">
      <xdr:nvCxnSpPr>
        <xdr:cNvPr id="67" name="Straight Connector 66">
          <a:extLst>
            <a:ext uri="{FF2B5EF4-FFF2-40B4-BE49-F238E27FC236}">
              <a16:creationId xmlns:a16="http://schemas.microsoft.com/office/drawing/2014/main" id="{553BB99E-C0AD-435C-8522-3925435065F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310795</xdr:colOff>
      <xdr:row>1</xdr:row>
      <xdr:rowOff>103586</xdr:rowOff>
    </xdr:from>
    <xdr:to>
      <xdr:col>13</xdr:col>
      <xdr:colOff>310795</xdr:colOff>
      <xdr:row>2</xdr:row>
      <xdr:rowOff>117146</xdr:rowOff>
    </xdr:to>
    <xdr:cxnSp macro="">
      <xdr:nvCxnSpPr>
        <xdr:cNvPr id="68" name="Straight Connector 67">
          <a:extLst>
            <a:ext uri="{FF2B5EF4-FFF2-40B4-BE49-F238E27FC236}">
              <a16:creationId xmlns:a16="http://schemas.microsoft.com/office/drawing/2014/main" id="{7A220470-A67B-4791-8230-6004AB5E9E2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484874</xdr:colOff>
      <xdr:row>1</xdr:row>
      <xdr:rowOff>103586</xdr:rowOff>
    </xdr:from>
    <xdr:to>
      <xdr:col>14</xdr:col>
      <xdr:colOff>484874</xdr:colOff>
      <xdr:row>2</xdr:row>
      <xdr:rowOff>117146</xdr:rowOff>
    </xdr:to>
    <xdr:cxnSp macro="">
      <xdr:nvCxnSpPr>
        <xdr:cNvPr id="69" name="Straight Connector 68">
          <a:extLst>
            <a:ext uri="{FF2B5EF4-FFF2-40B4-BE49-F238E27FC236}">
              <a16:creationId xmlns:a16="http://schemas.microsoft.com/office/drawing/2014/main" id="{FA4213C4-8E99-4738-803C-F208AAFFA0EB}"/>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657295</xdr:colOff>
      <xdr:row>1</xdr:row>
      <xdr:rowOff>103586</xdr:rowOff>
    </xdr:from>
    <xdr:to>
      <xdr:col>15</xdr:col>
      <xdr:colOff>657295</xdr:colOff>
      <xdr:row>2</xdr:row>
      <xdr:rowOff>117146</xdr:rowOff>
    </xdr:to>
    <xdr:cxnSp macro="">
      <xdr:nvCxnSpPr>
        <xdr:cNvPr id="70" name="Straight Connector 69">
          <a:extLst>
            <a:ext uri="{FF2B5EF4-FFF2-40B4-BE49-F238E27FC236}">
              <a16:creationId xmlns:a16="http://schemas.microsoft.com/office/drawing/2014/main" id="{76DF83C4-023B-4038-82D7-8672E11253E0}"/>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147613</xdr:colOff>
      <xdr:row>1</xdr:row>
      <xdr:rowOff>103586</xdr:rowOff>
    </xdr:from>
    <xdr:to>
      <xdr:col>17</xdr:col>
      <xdr:colOff>147613</xdr:colOff>
      <xdr:row>2</xdr:row>
      <xdr:rowOff>117146</xdr:rowOff>
    </xdr:to>
    <xdr:cxnSp macro="">
      <xdr:nvCxnSpPr>
        <xdr:cNvPr id="71" name="Straight Connector 70">
          <a:extLst>
            <a:ext uri="{FF2B5EF4-FFF2-40B4-BE49-F238E27FC236}">
              <a16:creationId xmlns:a16="http://schemas.microsoft.com/office/drawing/2014/main" id="{8C0C10C9-71A1-4868-95C4-D45FB03865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3067459</xdr:colOff>
      <xdr:row>1</xdr:row>
      <xdr:rowOff>103586</xdr:rowOff>
    </xdr:from>
    <xdr:to>
      <xdr:col>10</xdr:col>
      <xdr:colOff>3067459</xdr:colOff>
      <xdr:row>2</xdr:row>
      <xdr:rowOff>117146</xdr:rowOff>
    </xdr:to>
    <xdr:cxnSp macro="">
      <xdr:nvCxnSpPr>
        <xdr:cNvPr id="72" name="Straight Connector 71">
          <a:extLst>
            <a:ext uri="{FF2B5EF4-FFF2-40B4-BE49-F238E27FC236}">
              <a16:creationId xmlns:a16="http://schemas.microsoft.com/office/drawing/2014/main" id="{B6AECF9B-AAEC-4ACD-97AE-407A6A8EA1C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56029</xdr:colOff>
      <xdr:row>23</xdr:row>
      <xdr:rowOff>179294</xdr:rowOff>
    </xdr:from>
    <xdr:to>
      <xdr:col>18</xdr:col>
      <xdr:colOff>56030</xdr:colOff>
      <xdr:row>39</xdr:row>
      <xdr:rowOff>85725</xdr:rowOff>
    </xdr:to>
    <xdr:graphicFrame macro="">
      <xdr:nvGraphicFramePr>
        <xdr:cNvPr id="2" name="Chart 1">
          <a:extLst>
            <a:ext uri="{FF2B5EF4-FFF2-40B4-BE49-F238E27FC236}">
              <a16:creationId xmlns:a16="http://schemas.microsoft.com/office/drawing/2014/main" id="{1F79E03C-B24C-4ABE-2F56-C2BB85122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470779</xdr:colOff>
      <xdr:row>4</xdr:row>
      <xdr:rowOff>0</xdr:rowOff>
    </xdr:to>
    <xdr:sp macro="" textlink="">
      <xdr:nvSpPr>
        <xdr:cNvPr id="2" name="Rectangle 1">
          <a:extLst>
            <a:ext uri="{FF2B5EF4-FFF2-40B4-BE49-F238E27FC236}">
              <a16:creationId xmlns:a16="http://schemas.microsoft.com/office/drawing/2014/main" id="{B3B9FA1E-7A0F-4FB0-B33A-9E7A970CD02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428582</xdr:colOff>
      <xdr:row>1</xdr:row>
      <xdr:rowOff>19879</xdr:rowOff>
    </xdr:from>
    <xdr:to>
      <xdr:col>16</xdr:col>
      <xdr:colOff>651168</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D4E69937-910C-4302-BEB8-CEF948F9120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C1862BE1-3669-411F-A0AC-F1108E24E15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39" name="Straight Connector 38">
          <a:extLst>
            <a:ext uri="{FF2B5EF4-FFF2-40B4-BE49-F238E27FC236}">
              <a16:creationId xmlns:a16="http://schemas.microsoft.com/office/drawing/2014/main" id="{D477F025-1034-4CEF-B273-515770732EC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3795637</xdr:colOff>
      <xdr:row>1</xdr:row>
      <xdr:rowOff>19879</xdr:rowOff>
    </xdr:from>
    <xdr:to>
      <xdr:col>3</xdr:col>
      <xdr:colOff>637605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A1578049-AF96-4B91-9ACF-7477C958BF5B}"/>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540331</xdr:colOff>
      <xdr:row>1</xdr:row>
      <xdr:rowOff>19879</xdr:rowOff>
    </xdr:from>
    <xdr:to>
      <xdr:col>5</xdr:col>
      <xdr:colOff>41989</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25F5091B-EB5B-4119-B135-3AE13104B639}"/>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673098</xdr:colOff>
      <xdr:row>1</xdr:row>
      <xdr:rowOff>19879</xdr:rowOff>
    </xdr:from>
    <xdr:to>
      <xdr:col>6</xdr:col>
      <xdr:colOff>168697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8C8782CC-0866-457A-A2B7-80BD409628FD}"/>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71423</xdr:colOff>
      <xdr:row>1</xdr:row>
      <xdr:rowOff>19879</xdr:rowOff>
    </xdr:from>
    <xdr:to>
      <xdr:col>7</xdr:col>
      <xdr:colOff>301436</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8298BAD8-CEA1-4156-BA29-423AE8908604}"/>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204162</xdr:colOff>
      <xdr:row>1</xdr:row>
      <xdr:rowOff>19879</xdr:rowOff>
    </xdr:from>
    <xdr:to>
      <xdr:col>9</xdr:col>
      <xdr:colOff>158108</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9FB6F3E-0333-4496-96D5-302CAA60B56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60834</xdr:colOff>
      <xdr:row>1</xdr:row>
      <xdr:rowOff>19879</xdr:rowOff>
    </xdr:from>
    <xdr:to>
      <xdr:col>10</xdr:col>
      <xdr:colOff>287857</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76646059-336F-42B8-B530-6EF52A18CF7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192264</xdr:colOff>
      <xdr:row>1</xdr:row>
      <xdr:rowOff>19879</xdr:rowOff>
    </xdr:from>
    <xdr:to>
      <xdr:col>11</xdr:col>
      <xdr:colOff>417606</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55096E33-C572-4ACE-A2E5-0A3C53CDE24A}"/>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322013</xdr:colOff>
      <xdr:row>1</xdr:row>
      <xdr:rowOff>19879</xdr:rowOff>
    </xdr:from>
    <xdr:to>
      <xdr:col>12</xdr:col>
      <xdr:colOff>549814</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8602735-EA77-489C-8BA5-0322630167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452540</xdr:colOff>
      <xdr:row>1</xdr:row>
      <xdr:rowOff>19879</xdr:rowOff>
    </xdr:from>
    <xdr:to>
      <xdr:col>13</xdr:col>
      <xdr:colOff>680694</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0E23078C-A8CE-48DC-8F63-432ADDAA5E8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FCFF</a:t>
          </a:r>
        </a:p>
      </xdr:txBody>
    </xdr:sp>
    <xdr:clientData/>
  </xdr:twoCellAnchor>
  <xdr:twoCellAnchor>
    <xdr:from>
      <xdr:col>13</xdr:col>
      <xdr:colOff>583420</xdr:colOff>
      <xdr:row>1</xdr:row>
      <xdr:rowOff>19879</xdr:rowOff>
    </xdr:from>
    <xdr:to>
      <xdr:col>15</xdr:col>
      <xdr:colOff>525856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F474D1CA-BAF5-45DD-8156-7DDCFC1FF9A2}"/>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553894</xdr:colOff>
      <xdr:row>1</xdr:row>
      <xdr:rowOff>19879</xdr:rowOff>
    </xdr:from>
    <xdr:to>
      <xdr:col>18</xdr:col>
      <xdr:colOff>51270</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2F94DB21-9E66-4BA2-984B-7801327CA289}"/>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682379</xdr:colOff>
      <xdr:row>1</xdr:row>
      <xdr:rowOff>19879</xdr:rowOff>
    </xdr:from>
    <xdr:to>
      <xdr:col>19</xdr:col>
      <xdr:colOff>182767</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8281EE22-D5FF-483D-AD74-EBCE7E6819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85493</xdr:colOff>
      <xdr:row>1</xdr:row>
      <xdr:rowOff>19879</xdr:rowOff>
    </xdr:from>
    <xdr:to>
      <xdr:col>21</xdr:col>
      <xdr:colOff>32458</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038F6B9-B843-42C1-86DE-826B4B2FE29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58449</xdr:colOff>
      <xdr:row>1</xdr:row>
      <xdr:rowOff>19879</xdr:rowOff>
    </xdr:from>
    <xdr:to>
      <xdr:col>22</xdr:col>
      <xdr:colOff>165994</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C0B690C-372F-4868-BB46-EAA02B408EE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22</xdr:col>
      <xdr:colOff>68731</xdr:colOff>
      <xdr:row>1</xdr:row>
      <xdr:rowOff>19879</xdr:rowOff>
    </xdr:from>
    <xdr:to>
      <xdr:col>23</xdr:col>
      <xdr:colOff>297114</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0520DEF-B969-4C0A-B8C3-4C3FB77B9882}"/>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120060</xdr:colOff>
      <xdr:row>1</xdr:row>
      <xdr:rowOff>103586</xdr:rowOff>
    </xdr:from>
    <xdr:to>
      <xdr:col>6</xdr:col>
      <xdr:colOff>120060</xdr:colOff>
      <xdr:row>2</xdr:row>
      <xdr:rowOff>117146</xdr:rowOff>
    </xdr:to>
    <xdr:cxnSp macro="">
      <xdr:nvCxnSpPr>
        <xdr:cNvPr id="55" name="Straight Connector 54">
          <a:extLst>
            <a:ext uri="{FF2B5EF4-FFF2-40B4-BE49-F238E27FC236}">
              <a16:creationId xmlns:a16="http://schemas.microsoft.com/office/drawing/2014/main" id="{69781C5A-BAD1-48F1-BA66-B14AD3604AB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721735</xdr:colOff>
      <xdr:row>1</xdr:row>
      <xdr:rowOff>103586</xdr:rowOff>
    </xdr:from>
    <xdr:to>
      <xdr:col>4</xdr:col>
      <xdr:colOff>721735</xdr:colOff>
      <xdr:row>2</xdr:row>
      <xdr:rowOff>117146</xdr:rowOff>
    </xdr:to>
    <xdr:cxnSp macro="">
      <xdr:nvCxnSpPr>
        <xdr:cNvPr id="56" name="Straight Connector 55">
          <a:extLst>
            <a:ext uri="{FF2B5EF4-FFF2-40B4-BE49-F238E27FC236}">
              <a16:creationId xmlns:a16="http://schemas.microsoft.com/office/drawing/2014/main" id="{B16416D2-1DA8-46BE-87A0-8A97595580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588968</xdr:colOff>
      <xdr:row>1</xdr:row>
      <xdr:rowOff>103586</xdr:rowOff>
    </xdr:from>
    <xdr:to>
      <xdr:col>3</xdr:col>
      <xdr:colOff>588968</xdr:colOff>
      <xdr:row>2</xdr:row>
      <xdr:rowOff>117146</xdr:rowOff>
    </xdr:to>
    <xdr:cxnSp macro="">
      <xdr:nvCxnSpPr>
        <xdr:cNvPr id="57" name="Straight Connector 56">
          <a:extLst>
            <a:ext uri="{FF2B5EF4-FFF2-40B4-BE49-F238E27FC236}">
              <a16:creationId xmlns:a16="http://schemas.microsoft.com/office/drawing/2014/main" id="{ECC1ADD5-8578-44DF-A023-BF7C11E120A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252799</xdr:colOff>
      <xdr:row>1</xdr:row>
      <xdr:rowOff>103586</xdr:rowOff>
    </xdr:from>
    <xdr:to>
      <xdr:col>7</xdr:col>
      <xdr:colOff>252799</xdr:colOff>
      <xdr:row>2</xdr:row>
      <xdr:rowOff>117146</xdr:rowOff>
    </xdr:to>
    <xdr:cxnSp macro="">
      <xdr:nvCxnSpPr>
        <xdr:cNvPr id="58" name="Straight Connector 57">
          <a:extLst>
            <a:ext uri="{FF2B5EF4-FFF2-40B4-BE49-F238E27FC236}">
              <a16:creationId xmlns:a16="http://schemas.microsoft.com/office/drawing/2014/main" id="{9697DC2A-7554-4629-988F-C79DBC51974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109471</xdr:colOff>
      <xdr:row>1</xdr:row>
      <xdr:rowOff>103586</xdr:rowOff>
    </xdr:from>
    <xdr:to>
      <xdr:col>9</xdr:col>
      <xdr:colOff>109471</xdr:colOff>
      <xdr:row>2</xdr:row>
      <xdr:rowOff>117146</xdr:rowOff>
    </xdr:to>
    <xdr:cxnSp macro="">
      <xdr:nvCxnSpPr>
        <xdr:cNvPr id="59" name="Straight Connector 58">
          <a:extLst>
            <a:ext uri="{FF2B5EF4-FFF2-40B4-BE49-F238E27FC236}">
              <a16:creationId xmlns:a16="http://schemas.microsoft.com/office/drawing/2014/main" id="{8F61A2CD-C389-4716-BF30-992BC58B8614}"/>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239220</xdr:colOff>
      <xdr:row>1</xdr:row>
      <xdr:rowOff>103586</xdr:rowOff>
    </xdr:from>
    <xdr:to>
      <xdr:col>10</xdr:col>
      <xdr:colOff>239220</xdr:colOff>
      <xdr:row>2</xdr:row>
      <xdr:rowOff>117146</xdr:rowOff>
    </xdr:to>
    <xdr:cxnSp macro="">
      <xdr:nvCxnSpPr>
        <xdr:cNvPr id="60" name="Straight Connector 59">
          <a:extLst>
            <a:ext uri="{FF2B5EF4-FFF2-40B4-BE49-F238E27FC236}">
              <a16:creationId xmlns:a16="http://schemas.microsoft.com/office/drawing/2014/main" id="{F2AE59AD-9C88-48C3-9F21-34203C261A0C}"/>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370650</xdr:colOff>
      <xdr:row>1</xdr:row>
      <xdr:rowOff>103586</xdr:rowOff>
    </xdr:from>
    <xdr:to>
      <xdr:col>11</xdr:col>
      <xdr:colOff>370650</xdr:colOff>
      <xdr:row>2</xdr:row>
      <xdr:rowOff>117146</xdr:rowOff>
    </xdr:to>
    <xdr:cxnSp macro="">
      <xdr:nvCxnSpPr>
        <xdr:cNvPr id="61" name="Straight Connector 60">
          <a:extLst>
            <a:ext uri="{FF2B5EF4-FFF2-40B4-BE49-F238E27FC236}">
              <a16:creationId xmlns:a16="http://schemas.microsoft.com/office/drawing/2014/main" id="{FBEC924C-CA76-4570-9C2B-89613DCAC52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501177</xdr:colOff>
      <xdr:row>1</xdr:row>
      <xdr:rowOff>103586</xdr:rowOff>
    </xdr:from>
    <xdr:to>
      <xdr:col>12</xdr:col>
      <xdr:colOff>501177</xdr:colOff>
      <xdr:row>2</xdr:row>
      <xdr:rowOff>117146</xdr:rowOff>
    </xdr:to>
    <xdr:cxnSp macro="">
      <xdr:nvCxnSpPr>
        <xdr:cNvPr id="62" name="Straight Connector 61">
          <a:extLst>
            <a:ext uri="{FF2B5EF4-FFF2-40B4-BE49-F238E27FC236}">
              <a16:creationId xmlns:a16="http://schemas.microsoft.com/office/drawing/2014/main" id="{1CB19589-E990-4AE4-B709-81A67ED797A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632057</xdr:colOff>
      <xdr:row>1</xdr:row>
      <xdr:rowOff>103586</xdr:rowOff>
    </xdr:from>
    <xdr:to>
      <xdr:col>13</xdr:col>
      <xdr:colOff>632057</xdr:colOff>
      <xdr:row>2</xdr:row>
      <xdr:rowOff>117146</xdr:rowOff>
    </xdr:to>
    <xdr:cxnSp macro="">
      <xdr:nvCxnSpPr>
        <xdr:cNvPr id="63" name="Straight Connector 62">
          <a:extLst>
            <a:ext uri="{FF2B5EF4-FFF2-40B4-BE49-F238E27FC236}">
              <a16:creationId xmlns:a16="http://schemas.microsoft.com/office/drawing/2014/main" id="{E1607C58-CD82-4D1C-BDE9-C0CDB80FAA3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602531</xdr:colOff>
      <xdr:row>1</xdr:row>
      <xdr:rowOff>103586</xdr:rowOff>
    </xdr:from>
    <xdr:to>
      <xdr:col>16</xdr:col>
      <xdr:colOff>602531</xdr:colOff>
      <xdr:row>2</xdr:row>
      <xdr:rowOff>117146</xdr:rowOff>
    </xdr:to>
    <xdr:cxnSp macro="">
      <xdr:nvCxnSpPr>
        <xdr:cNvPr id="64" name="Straight Connector 63">
          <a:extLst>
            <a:ext uri="{FF2B5EF4-FFF2-40B4-BE49-F238E27FC236}">
              <a16:creationId xmlns:a16="http://schemas.microsoft.com/office/drawing/2014/main" id="{6A939570-A9B5-4E17-87FE-2FDBF4570669}"/>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2633</xdr:colOff>
      <xdr:row>1</xdr:row>
      <xdr:rowOff>103586</xdr:rowOff>
    </xdr:from>
    <xdr:to>
      <xdr:col>18</xdr:col>
      <xdr:colOff>2633</xdr:colOff>
      <xdr:row>2</xdr:row>
      <xdr:rowOff>117146</xdr:rowOff>
    </xdr:to>
    <xdr:cxnSp macro="">
      <xdr:nvCxnSpPr>
        <xdr:cNvPr id="65" name="Straight Connector 64">
          <a:extLst>
            <a:ext uri="{FF2B5EF4-FFF2-40B4-BE49-F238E27FC236}">
              <a16:creationId xmlns:a16="http://schemas.microsoft.com/office/drawing/2014/main" id="{2B28781C-862B-465D-B963-7D8299CB991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134130</xdr:colOff>
      <xdr:row>1</xdr:row>
      <xdr:rowOff>103586</xdr:rowOff>
    </xdr:from>
    <xdr:to>
      <xdr:col>19</xdr:col>
      <xdr:colOff>134130</xdr:colOff>
      <xdr:row>2</xdr:row>
      <xdr:rowOff>117146</xdr:rowOff>
    </xdr:to>
    <xdr:cxnSp macro="">
      <xdr:nvCxnSpPr>
        <xdr:cNvPr id="66" name="Straight Connector 65">
          <a:extLst>
            <a:ext uri="{FF2B5EF4-FFF2-40B4-BE49-F238E27FC236}">
              <a16:creationId xmlns:a16="http://schemas.microsoft.com/office/drawing/2014/main" id="{9D40F05A-8B34-4056-BC97-A9B7E0B999AF}"/>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107086</xdr:colOff>
      <xdr:row>1</xdr:row>
      <xdr:rowOff>103586</xdr:rowOff>
    </xdr:from>
    <xdr:to>
      <xdr:col>20</xdr:col>
      <xdr:colOff>107086</xdr:colOff>
      <xdr:row>2</xdr:row>
      <xdr:rowOff>117146</xdr:rowOff>
    </xdr:to>
    <xdr:cxnSp macro="">
      <xdr:nvCxnSpPr>
        <xdr:cNvPr id="67" name="Straight Connector 66">
          <a:extLst>
            <a:ext uri="{FF2B5EF4-FFF2-40B4-BE49-F238E27FC236}">
              <a16:creationId xmlns:a16="http://schemas.microsoft.com/office/drawing/2014/main" id="{EF66F637-4E2F-4E60-99E5-A1687F7B53A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117357</xdr:colOff>
      <xdr:row>1</xdr:row>
      <xdr:rowOff>103586</xdr:rowOff>
    </xdr:from>
    <xdr:to>
      <xdr:col>22</xdr:col>
      <xdr:colOff>117357</xdr:colOff>
      <xdr:row>2</xdr:row>
      <xdr:rowOff>117146</xdr:rowOff>
    </xdr:to>
    <xdr:cxnSp macro="">
      <xdr:nvCxnSpPr>
        <xdr:cNvPr id="68" name="Straight Connector 67">
          <a:extLst>
            <a:ext uri="{FF2B5EF4-FFF2-40B4-BE49-F238E27FC236}">
              <a16:creationId xmlns:a16="http://schemas.microsoft.com/office/drawing/2014/main" id="{920429B8-DEE7-4589-9003-2936C88A17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477219</xdr:colOff>
      <xdr:row>1</xdr:row>
      <xdr:rowOff>103586</xdr:rowOff>
    </xdr:from>
    <xdr:to>
      <xdr:col>15</xdr:col>
      <xdr:colOff>477219</xdr:colOff>
      <xdr:row>2</xdr:row>
      <xdr:rowOff>117146</xdr:rowOff>
    </xdr:to>
    <xdr:cxnSp macro="">
      <xdr:nvCxnSpPr>
        <xdr:cNvPr id="69" name="Straight Connector 68">
          <a:extLst>
            <a:ext uri="{FF2B5EF4-FFF2-40B4-BE49-F238E27FC236}">
              <a16:creationId xmlns:a16="http://schemas.microsoft.com/office/drawing/2014/main" id="{44B536AC-DD8B-48F2-B3F9-C3F8C064A509}"/>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53</xdr:col>
      <xdr:colOff>656236</xdr:colOff>
      <xdr:row>4</xdr:row>
      <xdr:rowOff>0</xdr:rowOff>
    </xdr:to>
    <xdr:sp macro="" textlink="">
      <xdr:nvSpPr>
        <xdr:cNvPr id="4" name="Rectangle 3">
          <a:extLst>
            <a:ext uri="{FF2B5EF4-FFF2-40B4-BE49-F238E27FC236}">
              <a16:creationId xmlns:a16="http://schemas.microsoft.com/office/drawing/2014/main" id="{E5C21A71-5063-4FFA-B079-25DE67E9D649}"/>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561372</xdr:colOff>
      <xdr:row>1</xdr:row>
      <xdr:rowOff>19879</xdr:rowOff>
    </xdr:from>
    <xdr:to>
      <xdr:col>12</xdr:col>
      <xdr:colOff>550315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8F8890A5-9CD9-430A-817D-B8943AC254E2}"/>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22" name="Picture 21">
          <a:extLst>
            <a:ext uri="{FF2B5EF4-FFF2-40B4-BE49-F238E27FC236}">
              <a16:creationId xmlns:a16="http://schemas.microsoft.com/office/drawing/2014/main" id="{0B8985E1-0E4D-460F-AE38-5B300E4E09B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1183502</xdr:colOff>
      <xdr:row>1</xdr:row>
      <xdr:rowOff>28201</xdr:rowOff>
    </xdr:from>
    <xdr:to>
      <xdr:col>1</xdr:col>
      <xdr:colOff>1183502</xdr:colOff>
      <xdr:row>2</xdr:row>
      <xdr:rowOff>138545</xdr:rowOff>
    </xdr:to>
    <xdr:cxnSp macro="">
      <xdr:nvCxnSpPr>
        <xdr:cNvPr id="39" name="Straight Connector 38">
          <a:extLst>
            <a:ext uri="{FF2B5EF4-FFF2-40B4-BE49-F238E27FC236}">
              <a16:creationId xmlns:a16="http://schemas.microsoft.com/office/drawing/2014/main" id="{67C5BD55-D3F0-4183-AC3F-DBD37F5CACB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706175</xdr:colOff>
      <xdr:row>1</xdr:row>
      <xdr:rowOff>19879</xdr:rowOff>
    </xdr:from>
    <xdr:to>
      <xdr:col>3</xdr:col>
      <xdr:colOff>622477</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4673E65A-2F8F-423B-A7ED-925C2C835FC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521601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51DA4FE-0A8B-4365-8CF6-665FE2CC1AC1}"/>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424327</xdr:colOff>
      <xdr:row>1</xdr:row>
      <xdr:rowOff>19879</xdr:rowOff>
    </xdr:from>
    <xdr:to>
      <xdr:col>5</xdr:col>
      <xdr:colOff>414666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31D76FBF-7F1E-449C-B20A-E22607D85C6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317392</xdr:colOff>
      <xdr:row>1</xdr:row>
      <xdr:rowOff>19879</xdr:rowOff>
    </xdr:from>
    <xdr:to>
      <xdr:col>6</xdr:col>
      <xdr:colOff>313762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A9AF28AD-1675-465B-BB56-8C421864BD4D}"/>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216488</xdr:colOff>
      <xdr:row>1</xdr:row>
      <xdr:rowOff>19879</xdr:rowOff>
    </xdr:from>
    <xdr:to>
      <xdr:col>7</xdr:col>
      <xdr:colOff>216939</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F46FB3A-4807-4296-B3D9-0957C7467C9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119665</xdr:colOff>
      <xdr:row>1</xdr:row>
      <xdr:rowOff>19879</xdr:rowOff>
    </xdr:from>
    <xdr:to>
      <xdr:col>8</xdr:col>
      <xdr:colOff>113045</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8C1277BF-791D-4339-8BDD-B66B5AF2E1A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17452</xdr:colOff>
      <xdr:row>1</xdr:row>
      <xdr:rowOff>19879</xdr:rowOff>
    </xdr:from>
    <xdr:to>
      <xdr:col>9</xdr:col>
      <xdr:colOff>9152</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47249956-3DC9-45F1-863D-D01840B00FA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8</xdr:col>
      <xdr:colOff>875584</xdr:colOff>
      <xdr:row>1</xdr:row>
      <xdr:rowOff>19879</xdr:rowOff>
    </xdr:from>
    <xdr:to>
      <xdr:col>9</xdr:col>
      <xdr:colOff>869742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8496B1C1-4A71-47BB-96F9-97116EA07FD0}"/>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772468</xdr:colOff>
      <xdr:row>1</xdr:row>
      <xdr:rowOff>19879</xdr:rowOff>
    </xdr:from>
    <xdr:to>
      <xdr:col>10</xdr:col>
      <xdr:colOff>766979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63F643E-9C16-42A8-B670-8D15311B5E80}"/>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669705</xdr:colOff>
      <xdr:row>1</xdr:row>
      <xdr:rowOff>19879</xdr:rowOff>
    </xdr:from>
    <xdr:to>
      <xdr:col>11</xdr:col>
      <xdr:colOff>658646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3AE9142-4D46-4E82-BA8B-9137D46DACD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LBO</a:t>
          </a:r>
        </a:p>
      </xdr:txBody>
    </xdr:sp>
    <xdr:clientData/>
  </xdr:twoCellAnchor>
  <xdr:twoCellAnchor>
    <xdr:from>
      <xdr:col>12</xdr:col>
      <xdr:colOff>453041</xdr:colOff>
      <xdr:row>1</xdr:row>
      <xdr:rowOff>19879</xdr:rowOff>
    </xdr:from>
    <xdr:to>
      <xdr:col>13</xdr:col>
      <xdr:colOff>445157</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57D109D3-2A6A-4A14-9890-9710B67BCBE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347883</xdr:colOff>
      <xdr:row>1</xdr:row>
      <xdr:rowOff>19879</xdr:rowOff>
    </xdr:from>
    <xdr:to>
      <xdr:col>14</xdr:col>
      <xdr:colOff>343011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01C93FA3-CEC8-4FC5-B1B4-6B227B8C6ED8}"/>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245737</xdr:colOff>
      <xdr:row>1</xdr:row>
      <xdr:rowOff>19879</xdr:rowOff>
    </xdr:from>
    <xdr:to>
      <xdr:col>15</xdr:col>
      <xdr:colOff>239207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9E8916E-8A93-42D7-B856-6B1B2F46535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141933</xdr:colOff>
      <xdr:row>1</xdr:row>
      <xdr:rowOff>19879</xdr:rowOff>
    </xdr:from>
    <xdr:to>
      <xdr:col>16</xdr:col>
      <xdr:colOff>139100</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6C6300C5-A50F-48CF-8A23-D40CF38C672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16</xdr:col>
      <xdr:colOff>41837</xdr:colOff>
      <xdr:row>1</xdr:row>
      <xdr:rowOff>19879</xdr:rowOff>
    </xdr:from>
    <xdr:to>
      <xdr:col>17</xdr:col>
      <xdr:colOff>36577</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68534189-1DD3-4DD1-9EDD-2F4500AD6C51}"/>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366029</xdr:colOff>
      <xdr:row>1</xdr:row>
      <xdr:rowOff>103586</xdr:rowOff>
    </xdr:from>
    <xdr:to>
      <xdr:col>5</xdr:col>
      <xdr:colOff>366029</xdr:colOff>
      <xdr:row>2</xdr:row>
      <xdr:rowOff>117146</xdr:rowOff>
    </xdr:to>
    <xdr:cxnSp macro="">
      <xdr:nvCxnSpPr>
        <xdr:cNvPr id="55" name="Straight Connector 54">
          <a:extLst>
            <a:ext uri="{FF2B5EF4-FFF2-40B4-BE49-F238E27FC236}">
              <a16:creationId xmlns:a16="http://schemas.microsoft.com/office/drawing/2014/main" id="{7C936F8A-EA55-4747-981D-B4AF0A5BAFB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472964</xdr:colOff>
      <xdr:row>1</xdr:row>
      <xdr:rowOff>103586</xdr:rowOff>
    </xdr:from>
    <xdr:to>
      <xdr:col>4</xdr:col>
      <xdr:colOff>472964</xdr:colOff>
      <xdr:row>2</xdr:row>
      <xdr:rowOff>117146</xdr:rowOff>
    </xdr:to>
    <xdr:cxnSp macro="">
      <xdr:nvCxnSpPr>
        <xdr:cNvPr id="56" name="Straight Connector 55">
          <a:extLst>
            <a:ext uri="{FF2B5EF4-FFF2-40B4-BE49-F238E27FC236}">
              <a16:creationId xmlns:a16="http://schemas.microsoft.com/office/drawing/2014/main" id="{02FC1A29-F5E8-433E-904D-E258F1C49FC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57" name="Straight Connector 56">
          <a:extLst>
            <a:ext uri="{FF2B5EF4-FFF2-40B4-BE49-F238E27FC236}">
              <a16:creationId xmlns:a16="http://schemas.microsoft.com/office/drawing/2014/main" id="{5E741EFA-2F93-4827-8EC2-7565AF73EDC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265125</xdr:colOff>
      <xdr:row>1</xdr:row>
      <xdr:rowOff>103586</xdr:rowOff>
    </xdr:from>
    <xdr:to>
      <xdr:col>6</xdr:col>
      <xdr:colOff>265125</xdr:colOff>
      <xdr:row>2</xdr:row>
      <xdr:rowOff>117146</xdr:rowOff>
    </xdr:to>
    <xdr:cxnSp macro="">
      <xdr:nvCxnSpPr>
        <xdr:cNvPr id="58" name="Straight Connector 57">
          <a:extLst>
            <a:ext uri="{FF2B5EF4-FFF2-40B4-BE49-F238E27FC236}">
              <a16:creationId xmlns:a16="http://schemas.microsoft.com/office/drawing/2014/main" id="{290B1C12-9DC4-4280-9388-821F2B9783C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168302</xdr:colOff>
      <xdr:row>1</xdr:row>
      <xdr:rowOff>103586</xdr:rowOff>
    </xdr:from>
    <xdr:to>
      <xdr:col>7</xdr:col>
      <xdr:colOff>168302</xdr:colOff>
      <xdr:row>2</xdr:row>
      <xdr:rowOff>117146</xdr:rowOff>
    </xdr:to>
    <xdr:cxnSp macro="">
      <xdr:nvCxnSpPr>
        <xdr:cNvPr id="59" name="Straight Connector 58">
          <a:extLst>
            <a:ext uri="{FF2B5EF4-FFF2-40B4-BE49-F238E27FC236}">
              <a16:creationId xmlns:a16="http://schemas.microsoft.com/office/drawing/2014/main" id="{04AA4FC9-E9E9-4A97-8460-9FC5B82E40D9}"/>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64408</xdr:colOff>
      <xdr:row>1</xdr:row>
      <xdr:rowOff>103586</xdr:rowOff>
    </xdr:from>
    <xdr:to>
      <xdr:col>8</xdr:col>
      <xdr:colOff>64408</xdr:colOff>
      <xdr:row>2</xdr:row>
      <xdr:rowOff>117146</xdr:rowOff>
    </xdr:to>
    <xdr:cxnSp macro="">
      <xdr:nvCxnSpPr>
        <xdr:cNvPr id="60" name="Straight Connector 59">
          <a:extLst>
            <a:ext uri="{FF2B5EF4-FFF2-40B4-BE49-F238E27FC236}">
              <a16:creationId xmlns:a16="http://schemas.microsoft.com/office/drawing/2014/main" id="{0917E34D-3039-459F-8B66-3B3152608E7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924221</xdr:colOff>
      <xdr:row>1</xdr:row>
      <xdr:rowOff>103586</xdr:rowOff>
    </xdr:from>
    <xdr:to>
      <xdr:col>8</xdr:col>
      <xdr:colOff>924221</xdr:colOff>
      <xdr:row>2</xdr:row>
      <xdr:rowOff>117146</xdr:rowOff>
    </xdr:to>
    <xdr:cxnSp macro="">
      <xdr:nvCxnSpPr>
        <xdr:cNvPr id="61" name="Straight Connector 60">
          <a:extLst>
            <a:ext uri="{FF2B5EF4-FFF2-40B4-BE49-F238E27FC236}">
              <a16:creationId xmlns:a16="http://schemas.microsoft.com/office/drawing/2014/main" id="{1516AA0C-5532-4A66-87A0-6B3262946C72}"/>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821105</xdr:colOff>
      <xdr:row>1</xdr:row>
      <xdr:rowOff>103586</xdr:rowOff>
    </xdr:from>
    <xdr:to>
      <xdr:col>9</xdr:col>
      <xdr:colOff>821105</xdr:colOff>
      <xdr:row>2</xdr:row>
      <xdr:rowOff>117146</xdr:rowOff>
    </xdr:to>
    <xdr:cxnSp macro="">
      <xdr:nvCxnSpPr>
        <xdr:cNvPr id="62" name="Straight Connector 61">
          <a:extLst>
            <a:ext uri="{FF2B5EF4-FFF2-40B4-BE49-F238E27FC236}">
              <a16:creationId xmlns:a16="http://schemas.microsoft.com/office/drawing/2014/main" id="{8A02328B-88CD-4A7E-8905-4F17362BA2BF}"/>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718342</xdr:colOff>
      <xdr:row>1</xdr:row>
      <xdr:rowOff>103586</xdr:rowOff>
    </xdr:from>
    <xdr:to>
      <xdr:col>10</xdr:col>
      <xdr:colOff>718342</xdr:colOff>
      <xdr:row>2</xdr:row>
      <xdr:rowOff>117146</xdr:rowOff>
    </xdr:to>
    <xdr:cxnSp macro="">
      <xdr:nvCxnSpPr>
        <xdr:cNvPr id="63" name="Straight Connector 62">
          <a:extLst>
            <a:ext uri="{FF2B5EF4-FFF2-40B4-BE49-F238E27FC236}">
              <a16:creationId xmlns:a16="http://schemas.microsoft.com/office/drawing/2014/main" id="{03A12636-1F14-4720-80C8-ADB90DB5E71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501678</xdr:colOff>
      <xdr:row>1</xdr:row>
      <xdr:rowOff>103586</xdr:rowOff>
    </xdr:from>
    <xdr:to>
      <xdr:col>12</xdr:col>
      <xdr:colOff>501678</xdr:colOff>
      <xdr:row>2</xdr:row>
      <xdr:rowOff>117146</xdr:rowOff>
    </xdr:to>
    <xdr:cxnSp macro="">
      <xdr:nvCxnSpPr>
        <xdr:cNvPr id="64" name="Straight Connector 63">
          <a:extLst>
            <a:ext uri="{FF2B5EF4-FFF2-40B4-BE49-F238E27FC236}">
              <a16:creationId xmlns:a16="http://schemas.microsoft.com/office/drawing/2014/main" id="{19A6647D-299A-4748-8897-86651E08A9AF}"/>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396520</xdr:colOff>
      <xdr:row>1</xdr:row>
      <xdr:rowOff>103586</xdr:rowOff>
    </xdr:from>
    <xdr:to>
      <xdr:col>13</xdr:col>
      <xdr:colOff>396520</xdr:colOff>
      <xdr:row>2</xdr:row>
      <xdr:rowOff>117146</xdr:rowOff>
    </xdr:to>
    <xdr:cxnSp macro="">
      <xdr:nvCxnSpPr>
        <xdr:cNvPr id="65" name="Straight Connector 64">
          <a:extLst>
            <a:ext uri="{FF2B5EF4-FFF2-40B4-BE49-F238E27FC236}">
              <a16:creationId xmlns:a16="http://schemas.microsoft.com/office/drawing/2014/main" id="{27C23E6B-9619-4050-8B2B-C09015B3ECC7}"/>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294374</xdr:colOff>
      <xdr:row>1</xdr:row>
      <xdr:rowOff>103586</xdr:rowOff>
    </xdr:from>
    <xdr:to>
      <xdr:col>14</xdr:col>
      <xdr:colOff>294374</xdr:colOff>
      <xdr:row>2</xdr:row>
      <xdr:rowOff>117146</xdr:rowOff>
    </xdr:to>
    <xdr:cxnSp macro="">
      <xdr:nvCxnSpPr>
        <xdr:cNvPr id="66" name="Straight Connector 65">
          <a:extLst>
            <a:ext uri="{FF2B5EF4-FFF2-40B4-BE49-F238E27FC236}">
              <a16:creationId xmlns:a16="http://schemas.microsoft.com/office/drawing/2014/main" id="{0C211074-E0E3-47D0-AA39-EFA6DB726808}"/>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190570</xdr:colOff>
      <xdr:row>1</xdr:row>
      <xdr:rowOff>103586</xdr:rowOff>
    </xdr:from>
    <xdr:to>
      <xdr:col>15</xdr:col>
      <xdr:colOff>190570</xdr:colOff>
      <xdr:row>2</xdr:row>
      <xdr:rowOff>117146</xdr:rowOff>
    </xdr:to>
    <xdr:cxnSp macro="">
      <xdr:nvCxnSpPr>
        <xdr:cNvPr id="67" name="Straight Connector 66">
          <a:extLst>
            <a:ext uri="{FF2B5EF4-FFF2-40B4-BE49-F238E27FC236}">
              <a16:creationId xmlns:a16="http://schemas.microsoft.com/office/drawing/2014/main" id="{80EA75DC-B76E-42F6-8F03-2162246808A7}"/>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90463</xdr:colOff>
      <xdr:row>1</xdr:row>
      <xdr:rowOff>103586</xdr:rowOff>
    </xdr:from>
    <xdr:to>
      <xdr:col>16</xdr:col>
      <xdr:colOff>90463</xdr:colOff>
      <xdr:row>2</xdr:row>
      <xdr:rowOff>117146</xdr:rowOff>
    </xdr:to>
    <xdr:cxnSp macro="">
      <xdr:nvCxnSpPr>
        <xdr:cNvPr id="68" name="Straight Connector 67">
          <a:extLst>
            <a:ext uri="{FF2B5EF4-FFF2-40B4-BE49-F238E27FC236}">
              <a16:creationId xmlns:a16="http://schemas.microsoft.com/office/drawing/2014/main" id="{187C8BC0-8340-4C13-8E08-9AAD1A5A3C8B}"/>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610009</xdr:colOff>
      <xdr:row>1</xdr:row>
      <xdr:rowOff>103586</xdr:rowOff>
    </xdr:from>
    <xdr:to>
      <xdr:col>11</xdr:col>
      <xdr:colOff>610009</xdr:colOff>
      <xdr:row>2</xdr:row>
      <xdr:rowOff>117146</xdr:rowOff>
    </xdr:to>
    <xdr:cxnSp macro="">
      <xdr:nvCxnSpPr>
        <xdr:cNvPr id="69" name="Straight Connector 68">
          <a:extLst>
            <a:ext uri="{FF2B5EF4-FFF2-40B4-BE49-F238E27FC236}">
              <a16:creationId xmlns:a16="http://schemas.microsoft.com/office/drawing/2014/main" id="{59D7CCD1-11E7-4F37-94EF-99ED06634EA4}"/>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11206</xdr:colOff>
      <xdr:row>10</xdr:row>
      <xdr:rowOff>62595</xdr:rowOff>
    </xdr:from>
    <xdr:to>
      <xdr:col>26</xdr:col>
      <xdr:colOff>112059</xdr:colOff>
      <xdr:row>29</xdr:row>
      <xdr:rowOff>1</xdr:rowOff>
    </xdr:to>
    <xdr:graphicFrame macro="">
      <xdr:nvGraphicFramePr>
        <xdr:cNvPr id="4" name="Chart 3">
          <a:extLst>
            <a:ext uri="{FF2B5EF4-FFF2-40B4-BE49-F238E27FC236}">
              <a16:creationId xmlns:a16="http://schemas.microsoft.com/office/drawing/2014/main" id="{D59B45DA-BBAB-715B-113D-35FF819D9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63</xdr:col>
      <xdr:colOff>470779</xdr:colOff>
      <xdr:row>4</xdr:row>
      <xdr:rowOff>0</xdr:rowOff>
    </xdr:to>
    <xdr:sp macro="" textlink="">
      <xdr:nvSpPr>
        <xdr:cNvPr id="40" name="Rectangle 39">
          <a:extLst>
            <a:ext uri="{FF2B5EF4-FFF2-40B4-BE49-F238E27FC236}">
              <a16:creationId xmlns:a16="http://schemas.microsoft.com/office/drawing/2014/main" id="{6718B9DD-6E7D-48AF-84DC-48DE5C595A9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u="sng"/>
        </a:p>
      </xdr:txBody>
    </xdr:sp>
    <xdr:clientData/>
  </xdr:twoCellAnchor>
  <xdr:twoCellAnchor>
    <xdr:from>
      <xdr:col>19</xdr:col>
      <xdr:colOff>81200</xdr:colOff>
      <xdr:row>1</xdr:row>
      <xdr:rowOff>19879</xdr:rowOff>
    </xdr:from>
    <xdr:to>
      <xdr:col>20</xdr:col>
      <xdr:colOff>348609</xdr:colOff>
      <xdr:row>3</xdr:row>
      <xdr:rowOff>10354</xdr:rowOff>
    </xdr:to>
    <xdr:sp macro="" textlink="">
      <xdr:nvSpPr>
        <xdr:cNvPr id="41" name="TextBox 40">
          <a:hlinkClick xmlns:r="http://schemas.openxmlformats.org/officeDocument/2006/relationships" r:id="rId2"/>
          <a:extLst>
            <a:ext uri="{FF2B5EF4-FFF2-40B4-BE49-F238E27FC236}">
              <a16:creationId xmlns:a16="http://schemas.microsoft.com/office/drawing/2014/main" id="{F6E8D479-6FFF-405E-88EE-BD8DF830BFB0}"/>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905DA265-AF8B-4BE0-882A-C33B7072E3F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608080</xdr:colOff>
      <xdr:row>1</xdr:row>
      <xdr:rowOff>28201</xdr:rowOff>
    </xdr:from>
    <xdr:to>
      <xdr:col>2</xdr:col>
      <xdr:colOff>608080</xdr:colOff>
      <xdr:row>2</xdr:row>
      <xdr:rowOff>138545</xdr:rowOff>
    </xdr:to>
    <xdr:cxnSp macro="">
      <xdr:nvCxnSpPr>
        <xdr:cNvPr id="44" name="Straight Connector 43">
          <a:extLst>
            <a:ext uri="{FF2B5EF4-FFF2-40B4-BE49-F238E27FC236}">
              <a16:creationId xmlns:a16="http://schemas.microsoft.com/office/drawing/2014/main" id="{2EB8935B-3DB8-4E56-A328-8AC6245D655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377843</xdr:colOff>
      <xdr:row>1</xdr:row>
      <xdr:rowOff>19879</xdr:rowOff>
    </xdr:from>
    <xdr:to>
      <xdr:col>7</xdr:col>
      <xdr:colOff>648811</xdr:colOff>
      <xdr:row>3</xdr:row>
      <xdr:rowOff>10354</xdr:rowOff>
    </xdr:to>
    <xdr:sp macro="" textlink="">
      <xdr:nvSpPr>
        <xdr:cNvPr id="45" name="TextBox 44">
          <a:hlinkClick xmlns:r="http://schemas.openxmlformats.org/officeDocument/2006/relationships" r:id="rId4"/>
          <a:extLst>
            <a:ext uri="{FF2B5EF4-FFF2-40B4-BE49-F238E27FC236}">
              <a16:creationId xmlns:a16="http://schemas.microsoft.com/office/drawing/2014/main" id="{CAABC9B1-FE3F-4E92-9F7D-61862B4F615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7</xdr:col>
      <xdr:colOff>551537</xdr:colOff>
      <xdr:row>1</xdr:row>
      <xdr:rowOff>19879</xdr:rowOff>
    </xdr:from>
    <xdr:to>
      <xdr:col>9</xdr:col>
      <xdr:colOff>142842</xdr:colOff>
      <xdr:row>3</xdr:row>
      <xdr:rowOff>10354</xdr:rowOff>
    </xdr:to>
    <xdr:sp macro="" textlink="">
      <xdr:nvSpPr>
        <xdr:cNvPr id="46" name="TextBox 45">
          <a:hlinkClick xmlns:r="http://schemas.openxmlformats.org/officeDocument/2006/relationships" r:id="rId5"/>
          <a:extLst>
            <a:ext uri="{FF2B5EF4-FFF2-40B4-BE49-F238E27FC236}">
              <a16:creationId xmlns:a16="http://schemas.microsoft.com/office/drawing/2014/main" id="{260A05A0-C69E-4B44-B0A3-36837E0E966B}"/>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9</xdr:col>
      <xdr:colOff>45568</xdr:colOff>
      <xdr:row>1</xdr:row>
      <xdr:rowOff>19879</xdr:rowOff>
    </xdr:from>
    <xdr:to>
      <xdr:col>10</xdr:col>
      <xdr:colOff>314373</xdr:colOff>
      <xdr:row>3</xdr:row>
      <xdr:rowOff>10354</xdr:rowOff>
    </xdr:to>
    <xdr:sp macro="" textlink="">
      <xdr:nvSpPr>
        <xdr:cNvPr id="47" name="TextBox 46">
          <a:hlinkClick xmlns:r="http://schemas.openxmlformats.org/officeDocument/2006/relationships" r:id="rId6"/>
          <a:extLst>
            <a:ext uri="{FF2B5EF4-FFF2-40B4-BE49-F238E27FC236}">
              <a16:creationId xmlns:a16="http://schemas.microsoft.com/office/drawing/2014/main" id="{189AE3C0-C619-47A8-8E89-E7E176C02FF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10</xdr:col>
      <xdr:colOff>217099</xdr:colOff>
      <xdr:row>1</xdr:row>
      <xdr:rowOff>19879</xdr:rowOff>
    </xdr:from>
    <xdr:to>
      <xdr:col>11</xdr:col>
      <xdr:colOff>491936</xdr:colOff>
      <xdr:row>3</xdr:row>
      <xdr:rowOff>10354</xdr:rowOff>
    </xdr:to>
    <xdr:sp macro="" textlink="">
      <xdr:nvSpPr>
        <xdr:cNvPr id="48" name="TextBox 47">
          <a:hlinkClick xmlns:r="http://schemas.openxmlformats.org/officeDocument/2006/relationships" r:id="rId7"/>
          <a:extLst>
            <a:ext uri="{FF2B5EF4-FFF2-40B4-BE49-F238E27FC236}">
              <a16:creationId xmlns:a16="http://schemas.microsoft.com/office/drawing/2014/main" id="{A806B1D4-7EB1-499E-87A1-6F5E6372095B}"/>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11</xdr:col>
      <xdr:colOff>394662</xdr:colOff>
      <xdr:row>1</xdr:row>
      <xdr:rowOff>19879</xdr:rowOff>
    </xdr:from>
    <xdr:to>
      <xdr:col>12</xdr:col>
      <xdr:colOff>673579</xdr:colOff>
      <xdr:row>3</xdr:row>
      <xdr:rowOff>10354</xdr:rowOff>
    </xdr:to>
    <xdr:sp macro="" textlink="">
      <xdr:nvSpPr>
        <xdr:cNvPr id="49" name="TextBox 48">
          <a:hlinkClick xmlns:r="http://schemas.openxmlformats.org/officeDocument/2006/relationships" r:id="rId8"/>
          <a:extLst>
            <a:ext uri="{FF2B5EF4-FFF2-40B4-BE49-F238E27FC236}">
              <a16:creationId xmlns:a16="http://schemas.microsoft.com/office/drawing/2014/main" id="{D7ABCDD3-F78A-440B-841A-74247B2A54B6}"/>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576305</xdr:colOff>
      <xdr:row>1</xdr:row>
      <xdr:rowOff>19879</xdr:rowOff>
    </xdr:from>
    <xdr:to>
      <xdr:col>14</xdr:col>
      <xdr:colOff>164592</xdr:colOff>
      <xdr:row>3</xdr:row>
      <xdr:rowOff>10354</xdr:rowOff>
    </xdr:to>
    <xdr:sp macro="" textlink="">
      <xdr:nvSpPr>
        <xdr:cNvPr id="50" name="TextBox 49">
          <a:hlinkClick xmlns:r="http://schemas.openxmlformats.org/officeDocument/2006/relationships" r:id="rId9"/>
          <a:extLst>
            <a:ext uri="{FF2B5EF4-FFF2-40B4-BE49-F238E27FC236}">
              <a16:creationId xmlns:a16="http://schemas.microsoft.com/office/drawing/2014/main" id="{70BA2138-00CE-4D92-9800-A2083B822D6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14</xdr:col>
      <xdr:colOff>68999</xdr:colOff>
      <xdr:row>1</xdr:row>
      <xdr:rowOff>19879</xdr:rowOff>
    </xdr:from>
    <xdr:to>
      <xdr:col>15</xdr:col>
      <xdr:colOff>339165</xdr:colOff>
      <xdr:row>3</xdr:row>
      <xdr:rowOff>10354</xdr:rowOff>
    </xdr:to>
    <xdr:sp macro="" textlink="">
      <xdr:nvSpPr>
        <xdr:cNvPr id="51" name="TextBox 50">
          <a:hlinkClick xmlns:r="http://schemas.openxmlformats.org/officeDocument/2006/relationships" r:id="rId10"/>
          <a:extLst>
            <a:ext uri="{FF2B5EF4-FFF2-40B4-BE49-F238E27FC236}">
              <a16:creationId xmlns:a16="http://schemas.microsoft.com/office/drawing/2014/main" id="{D8A0818B-E92A-4A99-972D-EDADD747A24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15</xdr:col>
      <xdr:colOff>243572</xdr:colOff>
      <xdr:row>1</xdr:row>
      <xdr:rowOff>19879</xdr:rowOff>
    </xdr:from>
    <xdr:to>
      <xdr:col>16</xdr:col>
      <xdr:colOff>516196</xdr:colOff>
      <xdr:row>3</xdr:row>
      <xdr:rowOff>10354</xdr:rowOff>
    </xdr:to>
    <xdr:sp macro="" textlink="">
      <xdr:nvSpPr>
        <xdr:cNvPr id="52" name="TextBox 51">
          <a:hlinkClick xmlns:r="http://schemas.openxmlformats.org/officeDocument/2006/relationships" r:id="rId11"/>
          <a:extLst>
            <a:ext uri="{FF2B5EF4-FFF2-40B4-BE49-F238E27FC236}">
              <a16:creationId xmlns:a16="http://schemas.microsoft.com/office/drawing/2014/main" id="{558721BD-8E0C-4A7C-AB17-053E0ACBDA2C}"/>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16</xdr:col>
      <xdr:colOff>418922</xdr:colOff>
      <xdr:row>1</xdr:row>
      <xdr:rowOff>19879</xdr:rowOff>
    </xdr:from>
    <xdr:to>
      <xdr:col>18</xdr:col>
      <xdr:colOff>8341</xdr:colOff>
      <xdr:row>3</xdr:row>
      <xdr:rowOff>10354</xdr:rowOff>
    </xdr:to>
    <xdr:sp macro="" textlink="">
      <xdr:nvSpPr>
        <xdr:cNvPr id="53" name="TextBox 52">
          <a:hlinkClick xmlns:r="http://schemas.openxmlformats.org/officeDocument/2006/relationships" r:id="rId12"/>
          <a:extLst>
            <a:ext uri="{FF2B5EF4-FFF2-40B4-BE49-F238E27FC236}">
              <a16:creationId xmlns:a16="http://schemas.microsoft.com/office/drawing/2014/main" id="{CD4D31F4-E2B9-4E1F-A2CF-4FF5FF4B252D}"/>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594626</xdr:colOff>
      <xdr:row>1</xdr:row>
      <xdr:rowOff>19879</xdr:rowOff>
    </xdr:from>
    <xdr:to>
      <xdr:col>19</xdr:col>
      <xdr:colOff>178474</xdr:colOff>
      <xdr:row>3</xdr:row>
      <xdr:rowOff>10354</xdr:rowOff>
    </xdr:to>
    <xdr:sp macro="" textlink="">
      <xdr:nvSpPr>
        <xdr:cNvPr id="54" name="TextBox 53">
          <a:hlinkClick xmlns:r="http://schemas.openxmlformats.org/officeDocument/2006/relationships" r:id="rId13"/>
          <a:extLst>
            <a:ext uri="{FF2B5EF4-FFF2-40B4-BE49-F238E27FC236}">
              <a16:creationId xmlns:a16="http://schemas.microsoft.com/office/drawing/2014/main" id="{F7711511-8CCE-4B47-9808-92967898DAEF}"/>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20</xdr:col>
      <xdr:colOff>251335</xdr:colOff>
      <xdr:row>1</xdr:row>
      <xdr:rowOff>19879</xdr:rowOff>
    </xdr:from>
    <xdr:to>
      <xdr:col>21</xdr:col>
      <xdr:colOff>499506</xdr:colOff>
      <xdr:row>3</xdr:row>
      <xdr:rowOff>10354</xdr:rowOff>
    </xdr:to>
    <xdr:sp macro="" textlink="">
      <xdr:nvSpPr>
        <xdr:cNvPr id="55" name="TextBox 54">
          <a:hlinkClick xmlns:r="http://schemas.openxmlformats.org/officeDocument/2006/relationships" r:id="rId14"/>
          <a:extLst>
            <a:ext uri="{FF2B5EF4-FFF2-40B4-BE49-F238E27FC236}">
              <a16:creationId xmlns:a16="http://schemas.microsoft.com/office/drawing/2014/main" id="{8F4FDE50-C839-4729-9F1E-5BA65224AD4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IS</a:t>
          </a:r>
        </a:p>
      </xdr:txBody>
    </xdr:sp>
    <xdr:clientData/>
  </xdr:twoCellAnchor>
  <xdr:twoCellAnchor>
    <xdr:from>
      <xdr:col>21</xdr:col>
      <xdr:colOff>402232</xdr:colOff>
      <xdr:row>1</xdr:row>
      <xdr:rowOff>19879</xdr:rowOff>
    </xdr:from>
    <xdr:to>
      <xdr:col>22</xdr:col>
      <xdr:colOff>653414</xdr:colOff>
      <xdr:row>3</xdr:row>
      <xdr:rowOff>10354</xdr:rowOff>
    </xdr:to>
    <xdr:sp macro="" textlink="">
      <xdr:nvSpPr>
        <xdr:cNvPr id="56" name="TextBox 55">
          <a:hlinkClick xmlns:r="http://schemas.openxmlformats.org/officeDocument/2006/relationships" r:id="rId15"/>
          <a:extLst>
            <a:ext uri="{FF2B5EF4-FFF2-40B4-BE49-F238E27FC236}">
              <a16:creationId xmlns:a16="http://schemas.microsoft.com/office/drawing/2014/main" id="{B690B155-83CD-497D-BA24-221594A95679}"/>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556140</xdr:colOff>
      <xdr:row>1</xdr:row>
      <xdr:rowOff>19879</xdr:rowOff>
    </xdr:from>
    <xdr:to>
      <xdr:col>24</xdr:col>
      <xdr:colOff>99694</xdr:colOff>
      <xdr:row>3</xdr:row>
      <xdr:rowOff>10354</xdr:rowOff>
    </xdr:to>
    <xdr:sp macro="" textlink="">
      <xdr:nvSpPr>
        <xdr:cNvPr id="57" name="TextBox 56">
          <a:hlinkClick xmlns:r="http://schemas.openxmlformats.org/officeDocument/2006/relationships" r:id="rId16"/>
          <a:extLst>
            <a:ext uri="{FF2B5EF4-FFF2-40B4-BE49-F238E27FC236}">
              <a16:creationId xmlns:a16="http://schemas.microsoft.com/office/drawing/2014/main" id="{2DF37820-DAA4-4FE6-9B0F-51271951F90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24</xdr:col>
      <xdr:colOff>2420</xdr:colOff>
      <xdr:row>1</xdr:row>
      <xdr:rowOff>19879</xdr:rowOff>
    </xdr:from>
    <xdr:to>
      <xdr:col>25</xdr:col>
      <xdr:colOff>278053</xdr:colOff>
      <xdr:row>3</xdr:row>
      <xdr:rowOff>10354</xdr:rowOff>
    </xdr:to>
    <xdr:sp macro="" textlink="">
      <xdr:nvSpPr>
        <xdr:cNvPr id="58" name="TextBox 57">
          <a:hlinkClick xmlns:r="http://schemas.openxmlformats.org/officeDocument/2006/relationships" r:id="rId17"/>
          <a:extLst>
            <a:ext uri="{FF2B5EF4-FFF2-40B4-BE49-F238E27FC236}">
              <a16:creationId xmlns:a16="http://schemas.microsoft.com/office/drawing/2014/main" id="{CD0814D2-F40E-4F77-A934-A66F94BB9462}"/>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25</xdr:col>
      <xdr:colOff>180790</xdr:colOff>
      <xdr:row>1</xdr:row>
      <xdr:rowOff>19879</xdr:rowOff>
    </xdr:from>
    <xdr:to>
      <xdr:col>26</xdr:col>
      <xdr:colOff>453996</xdr:colOff>
      <xdr:row>3</xdr:row>
      <xdr:rowOff>10354</xdr:rowOff>
    </xdr:to>
    <xdr:sp macro="" textlink="">
      <xdr:nvSpPr>
        <xdr:cNvPr id="59" name="TextBox 58">
          <a:hlinkClick xmlns:r="http://schemas.openxmlformats.org/officeDocument/2006/relationships" r:id="rId18"/>
          <a:extLst>
            <a:ext uri="{FF2B5EF4-FFF2-40B4-BE49-F238E27FC236}">
              <a16:creationId xmlns:a16="http://schemas.microsoft.com/office/drawing/2014/main" id="{C2CA7DD5-E5DC-4811-B179-76B86367350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10</xdr:col>
      <xdr:colOff>265736</xdr:colOff>
      <xdr:row>1</xdr:row>
      <xdr:rowOff>103586</xdr:rowOff>
    </xdr:from>
    <xdr:to>
      <xdr:col>10</xdr:col>
      <xdr:colOff>265736</xdr:colOff>
      <xdr:row>2</xdr:row>
      <xdr:rowOff>117146</xdr:rowOff>
    </xdr:to>
    <xdr:cxnSp macro="">
      <xdr:nvCxnSpPr>
        <xdr:cNvPr id="60" name="Straight Connector 59">
          <a:extLst>
            <a:ext uri="{FF2B5EF4-FFF2-40B4-BE49-F238E27FC236}">
              <a16:creationId xmlns:a16="http://schemas.microsoft.com/office/drawing/2014/main" id="{A0ACF81B-D411-490F-8AAC-6DDBC353177D}"/>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94205</xdr:colOff>
      <xdr:row>1</xdr:row>
      <xdr:rowOff>103586</xdr:rowOff>
    </xdr:from>
    <xdr:to>
      <xdr:col>9</xdr:col>
      <xdr:colOff>94205</xdr:colOff>
      <xdr:row>2</xdr:row>
      <xdr:rowOff>117146</xdr:rowOff>
    </xdr:to>
    <xdr:cxnSp macro="">
      <xdr:nvCxnSpPr>
        <xdr:cNvPr id="61" name="Straight Connector 60">
          <a:extLst>
            <a:ext uri="{FF2B5EF4-FFF2-40B4-BE49-F238E27FC236}">
              <a16:creationId xmlns:a16="http://schemas.microsoft.com/office/drawing/2014/main" id="{446FAD6D-611D-468E-AFDD-0B52AD38A2BC}"/>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600174</xdr:colOff>
      <xdr:row>1</xdr:row>
      <xdr:rowOff>103586</xdr:rowOff>
    </xdr:from>
    <xdr:to>
      <xdr:col>7</xdr:col>
      <xdr:colOff>600174</xdr:colOff>
      <xdr:row>2</xdr:row>
      <xdr:rowOff>117146</xdr:rowOff>
    </xdr:to>
    <xdr:cxnSp macro="">
      <xdr:nvCxnSpPr>
        <xdr:cNvPr id="62" name="Straight Connector 61">
          <a:extLst>
            <a:ext uri="{FF2B5EF4-FFF2-40B4-BE49-F238E27FC236}">
              <a16:creationId xmlns:a16="http://schemas.microsoft.com/office/drawing/2014/main" id="{00538D45-E35F-40D3-A792-EB55720A9A57}"/>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443299</xdr:colOff>
      <xdr:row>1</xdr:row>
      <xdr:rowOff>103586</xdr:rowOff>
    </xdr:from>
    <xdr:to>
      <xdr:col>11</xdr:col>
      <xdr:colOff>443299</xdr:colOff>
      <xdr:row>2</xdr:row>
      <xdr:rowOff>117146</xdr:rowOff>
    </xdr:to>
    <xdr:cxnSp macro="">
      <xdr:nvCxnSpPr>
        <xdr:cNvPr id="63" name="Straight Connector 62">
          <a:extLst>
            <a:ext uri="{FF2B5EF4-FFF2-40B4-BE49-F238E27FC236}">
              <a16:creationId xmlns:a16="http://schemas.microsoft.com/office/drawing/2014/main" id="{65DA74B9-16C2-4CB0-95E5-B9DE60AA1E8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624942</xdr:colOff>
      <xdr:row>1</xdr:row>
      <xdr:rowOff>103586</xdr:rowOff>
    </xdr:from>
    <xdr:to>
      <xdr:col>12</xdr:col>
      <xdr:colOff>624942</xdr:colOff>
      <xdr:row>2</xdr:row>
      <xdr:rowOff>117146</xdr:rowOff>
    </xdr:to>
    <xdr:cxnSp macro="">
      <xdr:nvCxnSpPr>
        <xdr:cNvPr id="64" name="Straight Connector 63">
          <a:extLst>
            <a:ext uri="{FF2B5EF4-FFF2-40B4-BE49-F238E27FC236}">
              <a16:creationId xmlns:a16="http://schemas.microsoft.com/office/drawing/2014/main" id="{A3F16B74-111A-4B8E-8554-2C324B17183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115955</xdr:colOff>
      <xdr:row>1</xdr:row>
      <xdr:rowOff>103586</xdr:rowOff>
    </xdr:from>
    <xdr:to>
      <xdr:col>14</xdr:col>
      <xdr:colOff>115955</xdr:colOff>
      <xdr:row>2</xdr:row>
      <xdr:rowOff>117146</xdr:rowOff>
    </xdr:to>
    <xdr:cxnSp macro="">
      <xdr:nvCxnSpPr>
        <xdr:cNvPr id="65" name="Straight Connector 64">
          <a:extLst>
            <a:ext uri="{FF2B5EF4-FFF2-40B4-BE49-F238E27FC236}">
              <a16:creationId xmlns:a16="http://schemas.microsoft.com/office/drawing/2014/main" id="{F12CE0FF-7D24-464B-A695-6CEA16B58253}"/>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292209</xdr:colOff>
      <xdr:row>1</xdr:row>
      <xdr:rowOff>103586</xdr:rowOff>
    </xdr:from>
    <xdr:to>
      <xdr:col>15</xdr:col>
      <xdr:colOff>292209</xdr:colOff>
      <xdr:row>2</xdr:row>
      <xdr:rowOff>117146</xdr:rowOff>
    </xdr:to>
    <xdr:cxnSp macro="">
      <xdr:nvCxnSpPr>
        <xdr:cNvPr id="66" name="Straight Connector 65">
          <a:extLst>
            <a:ext uri="{FF2B5EF4-FFF2-40B4-BE49-F238E27FC236}">
              <a16:creationId xmlns:a16="http://schemas.microsoft.com/office/drawing/2014/main" id="{24BE83D7-0CAA-40CA-98DF-7E0A634074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467559</xdr:colOff>
      <xdr:row>1</xdr:row>
      <xdr:rowOff>103586</xdr:rowOff>
    </xdr:from>
    <xdr:to>
      <xdr:col>16</xdr:col>
      <xdr:colOff>467559</xdr:colOff>
      <xdr:row>2</xdr:row>
      <xdr:rowOff>117146</xdr:rowOff>
    </xdr:to>
    <xdr:cxnSp macro="">
      <xdr:nvCxnSpPr>
        <xdr:cNvPr id="67" name="Straight Connector 66">
          <a:extLst>
            <a:ext uri="{FF2B5EF4-FFF2-40B4-BE49-F238E27FC236}">
              <a16:creationId xmlns:a16="http://schemas.microsoft.com/office/drawing/2014/main" id="{B568332A-8914-4393-A547-EED847086A9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643263</xdr:colOff>
      <xdr:row>1</xdr:row>
      <xdr:rowOff>103586</xdr:rowOff>
    </xdr:from>
    <xdr:to>
      <xdr:col>17</xdr:col>
      <xdr:colOff>643263</xdr:colOff>
      <xdr:row>2</xdr:row>
      <xdr:rowOff>117146</xdr:rowOff>
    </xdr:to>
    <xdr:cxnSp macro="">
      <xdr:nvCxnSpPr>
        <xdr:cNvPr id="68" name="Straight Connector 67">
          <a:extLst>
            <a:ext uri="{FF2B5EF4-FFF2-40B4-BE49-F238E27FC236}">
              <a16:creationId xmlns:a16="http://schemas.microsoft.com/office/drawing/2014/main" id="{5D355C19-F67E-4301-85D4-2E7149DCEAC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299972</xdr:colOff>
      <xdr:row>1</xdr:row>
      <xdr:rowOff>103586</xdr:rowOff>
    </xdr:from>
    <xdr:to>
      <xdr:col>20</xdr:col>
      <xdr:colOff>299972</xdr:colOff>
      <xdr:row>2</xdr:row>
      <xdr:rowOff>117146</xdr:rowOff>
    </xdr:to>
    <xdr:cxnSp macro="">
      <xdr:nvCxnSpPr>
        <xdr:cNvPr id="69" name="Straight Connector 68">
          <a:extLst>
            <a:ext uri="{FF2B5EF4-FFF2-40B4-BE49-F238E27FC236}">
              <a16:creationId xmlns:a16="http://schemas.microsoft.com/office/drawing/2014/main" id="{A25C1E46-D717-43B6-A8B1-67C1DE4B19D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450869</xdr:colOff>
      <xdr:row>1</xdr:row>
      <xdr:rowOff>103586</xdr:rowOff>
    </xdr:from>
    <xdr:to>
      <xdr:col>21</xdr:col>
      <xdr:colOff>450869</xdr:colOff>
      <xdr:row>2</xdr:row>
      <xdr:rowOff>117146</xdr:rowOff>
    </xdr:to>
    <xdr:cxnSp macro="">
      <xdr:nvCxnSpPr>
        <xdr:cNvPr id="70" name="Straight Connector 69">
          <a:extLst>
            <a:ext uri="{FF2B5EF4-FFF2-40B4-BE49-F238E27FC236}">
              <a16:creationId xmlns:a16="http://schemas.microsoft.com/office/drawing/2014/main" id="{9FC8B357-5AA4-47D3-8DFF-59C516DD8890}"/>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604777</xdr:colOff>
      <xdr:row>1</xdr:row>
      <xdr:rowOff>103586</xdr:rowOff>
    </xdr:from>
    <xdr:to>
      <xdr:col>22</xdr:col>
      <xdr:colOff>604777</xdr:colOff>
      <xdr:row>2</xdr:row>
      <xdr:rowOff>117146</xdr:rowOff>
    </xdr:to>
    <xdr:cxnSp macro="">
      <xdr:nvCxnSpPr>
        <xdr:cNvPr id="71" name="Straight Connector 70">
          <a:extLst>
            <a:ext uri="{FF2B5EF4-FFF2-40B4-BE49-F238E27FC236}">
              <a16:creationId xmlns:a16="http://schemas.microsoft.com/office/drawing/2014/main" id="{599B67DC-74F5-46EC-8CC7-2C11D4DB7D0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51057</xdr:colOff>
      <xdr:row>1</xdr:row>
      <xdr:rowOff>103586</xdr:rowOff>
    </xdr:from>
    <xdr:to>
      <xdr:col>24</xdr:col>
      <xdr:colOff>51057</xdr:colOff>
      <xdr:row>2</xdr:row>
      <xdr:rowOff>117146</xdr:rowOff>
    </xdr:to>
    <xdr:cxnSp macro="">
      <xdr:nvCxnSpPr>
        <xdr:cNvPr id="72" name="Straight Connector 71">
          <a:extLst>
            <a:ext uri="{FF2B5EF4-FFF2-40B4-BE49-F238E27FC236}">
              <a16:creationId xmlns:a16="http://schemas.microsoft.com/office/drawing/2014/main" id="{34EAB332-56E6-4F99-B973-1FBAB46550C9}"/>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229416</xdr:colOff>
      <xdr:row>1</xdr:row>
      <xdr:rowOff>103586</xdr:rowOff>
    </xdr:from>
    <xdr:to>
      <xdr:col>25</xdr:col>
      <xdr:colOff>229416</xdr:colOff>
      <xdr:row>2</xdr:row>
      <xdr:rowOff>117146</xdr:rowOff>
    </xdr:to>
    <xdr:cxnSp macro="">
      <xdr:nvCxnSpPr>
        <xdr:cNvPr id="73" name="Straight Connector 72">
          <a:extLst>
            <a:ext uri="{FF2B5EF4-FFF2-40B4-BE49-F238E27FC236}">
              <a16:creationId xmlns:a16="http://schemas.microsoft.com/office/drawing/2014/main" id="{8433AE92-9548-4BE5-872D-1CF6D0688884}"/>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129837</xdr:colOff>
      <xdr:row>1</xdr:row>
      <xdr:rowOff>103586</xdr:rowOff>
    </xdr:from>
    <xdr:to>
      <xdr:col>19</xdr:col>
      <xdr:colOff>129837</xdr:colOff>
      <xdr:row>2</xdr:row>
      <xdr:rowOff>117146</xdr:rowOff>
    </xdr:to>
    <xdr:cxnSp macro="">
      <xdr:nvCxnSpPr>
        <xdr:cNvPr id="74" name="Straight Connector 73">
          <a:extLst>
            <a:ext uri="{FF2B5EF4-FFF2-40B4-BE49-F238E27FC236}">
              <a16:creationId xmlns:a16="http://schemas.microsoft.com/office/drawing/2014/main" id="{6CCA1591-D2F2-495C-876C-5045CAD5DBEF}"/>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0</xdr:colOff>
      <xdr:row>13</xdr:row>
      <xdr:rowOff>0</xdr:rowOff>
    </xdr:from>
    <xdr:to>
      <xdr:col>9</xdr:col>
      <xdr:colOff>409645</xdr:colOff>
      <xdr:row>28</xdr:row>
      <xdr:rowOff>81643</xdr:rowOff>
    </xdr:to>
    <xdr:pic>
      <xdr:nvPicPr>
        <xdr:cNvPr id="3" name="Imagem 1" descr="Uma imagem com texto, diagrama, Gráfico, captura de ecrã&#10;&#10;Os conteúdos gerados por IA poderão estar incorretos.">
          <a:extLst>
            <a:ext uri="{FF2B5EF4-FFF2-40B4-BE49-F238E27FC236}">
              <a16:creationId xmlns:a16="http://schemas.microsoft.com/office/drawing/2014/main" id="{DA1C7183-E02F-45E7-8DD2-9500A46217BE}"/>
            </a:ext>
            <a:ext uri="{147F2762-F138-4A5C-976F-8EAC2B608ADB}">
              <a16:predDERef xmlns:a16="http://schemas.microsoft.com/office/drawing/2014/main" pred="{F8A168FC-F925-474F-841E-6B997CCEE2F3}"/>
            </a:ext>
          </a:extLst>
        </xdr:cNvPr>
        <xdr:cNvPicPr>
          <a:picLocks noChangeAspect="1"/>
        </xdr:cNvPicPr>
      </xdr:nvPicPr>
      <xdr:blipFill>
        <a:blip xmlns:r="http://schemas.openxmlformats.org/officeDocument/2006/relationships" r:embed="rId19"/>
        <a:stretch>
          <a:fillRect/>
        </a:stretch>
      </xdr:blipFill>
      <xdr:spPr>
        <a:xfrm>
          <a:off x="849086" y="2242457"/>
          <a:ext cx="5210245" cy="293914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43017C49-9EA0-4EE2-81EB-25B9D10D4D8D}"/>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4" name="TextBox 3">
          <a:hlinkClick xmlns:r="http://schemas.openxmlformats.org/officeDocument/2006/relationships" r:id="rId1"/>
          <a:extLst>
            <a:ext uri="{FF2B5EF4-FFF2-40B4-BE49-F238E27FC236}">
              <a16:creationId xmlns:a16="http://schemas.microsoft.com/office/drawing/2014/main" id="{7D420E38-046F-4AEF-8E50-F0365EFDD3F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5" name="Picture 4">
          <a:extLst>
            <a:ext uri="{FF2B5EF4-FFF2-40B4-BE49-F238E27FC236}">
              <a16:creationId xmlns:a16="http://schemas.microsoft.com/office/drawing/2014/main" id="{69131AEF-2AB8-4195-BDFA-16D6DEF395F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78218EBC-5A74-4226-9ECC-56BACFD4503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C129E1FF-62DE-45B1-8AB2-B1C39505603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9AE9281B-70F9-4203-8C6F-72A1E6927BB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08731BB7-EA48-49A2-AB22-4372BAC93FF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BA22BF2A-0106-4188-B0C7-88D2269405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61007E9-9A05-4B11-90F0-7290F9A13CB4}"/>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FF1174C0-DD1A-4C7F-ADC1-75DA876F2BA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927DFDED-D84E-477F-BF27-85683C68C52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D3572F7D-2225-45C3-AFCC-55F670CC229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B330906-E121-4D99-982D-FC5020616F3C}"/>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C9A5D376-C3D5-47FD-B425-6C353600B78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C8ABB620-6C0F-4EFF-A586-6B8FBA36764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24EFB7B9-EB57-4B4B-909D-B34156B6FF7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B25CF6BF-1B77-4615-83BE-D64C942249C5}"/>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A360A8FE-A2F0-49A3-9AC0-802EA17937A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2AA7A40-AE0C-49DA-BBFB-286549F1AC2D}"/>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24A051E6-1392-4828-9BA1-B13F5C3E5986}"/>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17FCE4C-3B17-46AE-8072-A3DCE8DB002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ED665E52-3C41-4278-80FE-4B8353ACB366}"/>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1A3A78B6-51C2-4CE8-8E38-10891F0B031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40CA7663-7096-40B3-9DC0-0E76ECF850FA}"/>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599EA639-8AFE-4F25-804C-31CE707CBF72}"/>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5F28E991-396E-4CB9-96CD-E84A2CA2F371}"/>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5F7DFCC2-113E-4F25-9A19-320E6EDCBC1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5EE0C0F-1EFA-42F9-8B2A-134651E76B8C}"/>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7F0F97D-A38E-4AD2-98D0-0EDA19DFDB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5E56EF89-BA47-4A5A-8793-D4DF99559ECF}"/>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A49D973B-E1D6-4171-98DE-3CE5129259A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58279B69-0D3D-4DE5-93A8-6D7E615DFDD4}"/>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C2D41711-31D1-4EB5-965D-DC83F3B9BCC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265A516A-A86D-4AB2-B867-532883B80F2D}"/>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124197</xdr:colOff>
      <xdr:row>4</xdr:row>
      <xdr:rowOff>0</xdr:rowOff>
    </xdr:to>
    <xdr:sp macro="" textlink="">
      <xdr:nvSpPr>
        <xdr:cNvPr id="4" name="Rectangle 3">
          <a:extLst>
            <a:ext uri="{FF2B5EF4-FFF2-40B4-BE49-F238E27FC236}">
              <a16:creationId xmlns:a16="http://schemas.microsoft.com/office/drawing/2014/main" id="{617FAE12-5B59-435D-B24B-0FCBF974820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AC51300F-E5C3-4DA0-8124-E456063E06C5}"/>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211799E0-91EF-44D6-8652-E3D5FC6D0EC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B9F33AD2-D475-457E-A876-AD16D5FA510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0901A182-93A0-43E7-B11F-9242774613D0}"/>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E157F68F-619A-43B6-935E-9FA5DA220B5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4485F24B-BA52-46D3-A985-6D55B37CE809}"/>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682221F-4755-4ECE-9218-DCFAF07747B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E701A3A-E82E-4FBD-9207-6E16365DEA5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06338BF7-6B8B-47CF-B4D7-6B213D7D194B}"/>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130FFE4A-EECE-44A1-8B9B-16DE1CFE852B}"/>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FB937D78-F683-4486-A17C-BCE41D4951B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E23C3758-3925-4B52-9016-A86DA7019C9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1B22D2D-90A3-47C7-AA4C-04998904BC1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EBD948F3-B150-49E0-9FE4-A1BEE18B32D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679969-D9FC-4E42-BA71-91F1E080BB4E}"/>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DC5657EA-9DB2-4806-92EB-CBC9535B4FF8}"/>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FBB7292-B296-4EC5-87AA-E0E887AC9FA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EF2F54B5-EA83-4AB6-9281-8DC7D985AD4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DF9E42C4-49A2-40E4-9467-45F4323210C0}"/>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9161BDF-FF88-4458-A34E-C81C183520C9}"/>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3001A618-7877-4DE3-A81D-042089FC0A1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6DF62CF3-B167-4CF8-87BF-6DA43705B9E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8078C07A-269D-49D8-9436-9219448DFA7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9256061D-ECF0-42A2-AB2E-189FCE9C0136}"/>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199825F1-5805-49A5-B44F-8D055BB4E6CE}"/>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93A18476-8DBF-42F6-8657-DC0B10A1E1DC}"/>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9E59116F-26F3-4C72-830B-827EFA920B33}"/>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C53A68F6-38CF-4A81-814F-814D619AEBD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863A907D-30B0-4C5E-870E-116186F07A6B}"/>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09AAB225-3204-4862-ACB3-1C74EACEE8F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4136DC8A-9384-4B44-A3A7-76D13B1D4183}"/>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A178428A-72B7-4B5A-99B2-177D5C6DFCC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E016A023-4A45-44D7-BD38-DC68691D85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8EAC2606-C0C2-497E-A715-23ED24CC3AC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0872C436-FE21-48CA-B36B-A11125B4403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4B4F7FA-B997-4609-8FA9-E4DA75667B7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D441F765-015E-4581-B8EB-2FF0F23974A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8748FDB3-670A-46FA-90AF-730E5E7298A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34961042-2226-4205-B443-E3DAAB93589D}"/>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5814298F-CC85-40C1-B421-18F46824310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903F656-3553-4D22-86C4-8631F3E2309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C9F92C18-FDC6-42E9-B18E-17C2F1212D1A}"/>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201AE1B9-D528-4521-8483-574B5F2DB6F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8EED5DFC-76D0-4741-AE6E-F473ABD5B69D}"/>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D90285C-EB04-44F9-ADD0-BE5988EAC347}"/>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5B86942F-12E7-4247-ACE7-78FB84B0DD5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5D2E482F-82FF-4118-AB32-65CD6059A71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6A9F3FBF-9B64-4880-98BA-BF771C0F1D3C}"/>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3A4EDF-8C3C-4EDA-ACC1-8B6A5ABC1C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CB3A954F-781C-46DE-A05E-0FAF59BCFF6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73C2DC9A-0314-4D64-A362-8A97626EFEE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489E87B7-F477-4B23-916E-2EDB87BAECE5}"/>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0B595BC7-6D7E-487F-B48E-DD228A7540A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F4231307-8765-40DA-B8BC-06ADAAA7396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80BD65C5-7418-4551-9DDD-15CD9F9C90CB}"/>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40DC60D3-5B9D-43FF-A8C9-D33D52BB59D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D8C6375C-F869-4486-BBE8-5FB51E26473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E79765E9-6069-4F02-9124-ADC2CBD56771}"/>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BAA2D6D1-1F08-466A-8150-E50D91BED24D}"/>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76E5C163-2418-437F-8FF9-5E8E08664A5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95EC85A-8A41-4823-82E6-312E23978A1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E892B0E-2B9B-4DDD-A589-5B4762F65B5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14C39EA0-CC20-4C99-BAF0-7C7E5B63B9C3}"/>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42EBCD54-7E84-465C-B5E7-F5AAC5FDDDB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335B30A3-697A-4A1E-B76C-ECD8101A143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83013B23-C7B7-4B25-AB09-1436E01F1BF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DA612801-D5D5-4866-827C-9B4F706573E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646711</xdr:colOff>
      <xdr:row>4</xdr:row>
      <xdr:rowOff>0</xdr:rowOff>
    </xdr:to>
    <xdr:sp macro="" textlink="">
      <xdr:nvSpPr>
        <xdr:cNvPr id="2" name="Rectangle 1">
          <a:extLst>
            <a:ext uri="{FF2B5EF4-FFF2-40B4-BE49-F238E27FC236}">
              <a16:creationId xmlns:a16="http://schemas.microsoft.com/office/drawing/2014/main" id="{E1C9947F-F394-4AF7-921D-36742362EF6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380397</xdr:colOff>
      <xdr:row>1</xdr:row>
      <xdr:rowOff>19879</xdr:rowOff>
    </xdr:from>
    <xdr:to>
      <xdr:col>16</xdr:col>
      <xdr:colOff>597940</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8318BBB9-2ABA-42A0-97F4-2DA4655210A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8CAF285-4CE8-430A-92A4-407037A4027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39" name="Straight Connector 38">
          <a:extLst>
            <a:ext uri="{FF2B5EF4-FFF2-40B4-BE49-F238E27FC236}">
              <a16:creationId xmlns:a16="http://schemas.microsoft.com/office/drawing/2014/main" id="{30A0E70F-5A05-42AE-9D7F-5B17CEE8C5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3792275</xdr:colOff>
      <xdr:row>1</xdr:row>
      <xdr:rowOff>19879</xdr:rowOff>
    </xdr:from>
    <xdr:to>
      <xdr:col>3</xdr:col>
      <xdr:colOff>632002</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3E60C308-B1CB-4F3A-B247-FC7F7CCB4B4E}"/>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534728</xdr:colOff>
      <xdr:row>1</xdr:row>
      <xdr:rowOff>19879</xdr:rowOff>
    </xdr:from>
    <xdr:to>
      <xdr:col>5</xdr:col>
      <xdr:colOff>26301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DDBCB69-7E11-4DB8-8AE6-A199C826606A}"/>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662452</xdr:colOff>
      <xdr:row>1</xdr:row>
      <xdr:rowOff>19879</xdr:rowOff>
    </xdr:from>
    <xdr:to>
      <xdr:col>6</xdr:col>
      <xdr:colOff>147966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1D42B26A-7FF3-4669-A319-0F7544F9DB4C}"/>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50692</xdr:colOff>
      <xdr:row>1</xdr:row>
      <xdr:rowOff>19879</xdr:rowOff>
    </xdr:from>
    <xdr:to>
      <xdr:col>7</xdr:col>
      <xdr:colOff>275662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1F869B43-1693-44E8-8A19-3D5A9D14B62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178388</xdr:colOff>
      <xdr:row>1</xdr:row>
      <xdr:rowOff>19879</xdr:rowOff>
    </xdr:from>
    <xdr:to>
      <xdr:col>9</xdr:col>
      <xdr:colOff>131214</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93194E40-6FC6-475C-A2E2-25BF58699338}"/>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33940</xdr:colOff>
      <xdr:row>1</xdr:row>
      <xdr:rowOff>19879</xdr:rowOff>
    </xdr:from>
    <xdr:to>
      <xdr:col>10</xdr:col>
      <xdr:colOff>255920</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62B0565C-CAD8-411D-976E-BC0F1ABDF76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160327</xdr:colOff>
      <xdr:row>1</xdr:row>
      <xdr:rowOff>19879</xdr:rowOff>
    </xdr:from>
    <xdr:to>
      <xdr:col>11</xdr:col>
      <xdr:colOff>380627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78B235BA-74AD-4E08-B5D9-E804F021FA20}"/>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285034</xdr:colOff>
      <xdr:row>1</xdr:row>
      <xdr:rowOff>19879</xdr:rowOff>
    </xdr:from>
    <xdr:to>
      <xdr:col>12</xdr:col>
      <xdr:colOff>507792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3D652B5F-A72B-4094-A3A3-738A003EB0F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410518</xdr:colOff>
      <xdr:row>1</xdr:row>
      <xdr:rowOff>19879</xdr:rowOff>
    </xdr:from>
    <xdr:to>
      <xdr:col>13</xdr:col>
      <xdr:colOff>633629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B34FEDB6-4CA5-441E-A5B9-B0A049D6F51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536355</xdr:colOff>
      <xdr:row>1</xdr:row>
      <xdr:rowOff>19879</xdr:rowOff>
    </xdr:from>
    <xdr:to>
      <xdr:col>15</xdr:col>
      <xdr:colOff>477671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AB80B540-DB95-4AAF-ACB0-ABA272E398B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500666</xdr:colOff>
      <xdr:row>1</xdr:row>
      <xdr:rowOff>19879</xdr:rowOff>
    </xdr:from>
    <xdr:to>
      <xdr:col>17</xdr:col>
      <xdr:colOff>721382</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F19AAFDF-C056-44A7-8A04-A34B0C13395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624108</xdr:colOff>
      <xdr:row>1</xdr:row>
      <xdr:rowOff>19879</xdr:rowOff>
    </xdr:from>
    <xdr:to>
      <xdr:col>19</xdr:col>
      <xdr:colOff>114411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DF35B489-5A58-4FDE-A7D3-7703A4ECE435}"/>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17137</xdr:colOff>
      <xdr:row>1</xdr:row>
      <xdr:rowOff>19879</xdr:rowOff>
    </xdr:from>
    <xdr:to>
      <xdr:col>20</xdr:col>
      <xdr:colOff>86807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36E2A83A-BDFE-4800-9BA5-1B2B7A15868E}"/>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875358</xdr:colOff>
      <xdr:row>1</xdr:row>
      <xdr:rowOff>19879</xdr:rowOff>
    </xdr:from>
    <xdr:to>
      <xdr:col>22</xdr:col>
      <xdr:colOff>91475</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34408FD4-D917-4B66-9AE0-519E07F3BB58}"/>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Error</a:t>
          </a:r>
        </a:p>
      </xdr:txBody>
    </xdr:sp>
    <xdr:clientData/>
  </xdr:twoCellAnchor>
  <xdr:twoCellAnchor>
    <xdr:from>
      <xdr:col>21</xdr:col>
      <xdr:colOff>727637</xdr:colOff>
      <xdr:row>1</xdr:row>
      <xdr:rowOff>19879</xdr:rowOff>
    </xdr:from>
    <xdr:to>
      <xdr:col>23</xdr:col>
      <xdr:colOff>217552</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7081A1CB-B9BD-4F04-A38D-F435B1BBF65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99329</xdr:colOff>
      <xdr:row>1</xdr:row>
      <xdr:rowOff>103586</xdr:rowOff>
    </xdr:from>
    <xdr:to>
      <xdr:col>6</xdr:col>
      <xdr:colOff>99329</xdr:colOff>
      <xdr:row>2</xdr:row>
      <xdr:rowOff>117146</xdr:rowOff>
    </xdr:to>
    <xdr:cxnSp macro="">
      <xdr:nvCxnSpPr>
        <xdr:cNvPr id="55" name="Straight Connector 54">
          <a:extLst>
            <a:ext uri="{FF2B5EF4-FFF2-40B4-BE49-F238E27FC236}">
              <a16:creationId xmlns:a16="http://schemas.microsoft.com/office/drawing/2014/main" id="{B2C964CE-13FD-446A-8B57-18F17B645CC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711089</xdr:colOff>
      <xdr:row>1</xdr:row>
      <xdr:rowOff>103586</xdr:rowOff>
    </xdr:from>
    <xdr:to>
      <xdr:col>4</xdr:col>
      <xdr:colOff>711089</xdr:colOff>
      <xdr:row>2</xdr:row>
      <xdr:rowOff>117146</xdr:rowOff>
    </xdr:to>
    <xdr:cxnSp macro="">
      <xdr:nvCxnSpPr>
        <xdr:cNvPr id="56" name="Straight Connector 55">
          <a:extLst>
            <a:ext uri="{FF2B5EF4-FFF2-40B4-BE49-F238E27FC236}">
              <a16:creationId xmlns:a16="http://schemas.microsoft.com/office/drawing/2014/main" id="{162DA624-A803-4147-A619-763D9168390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583365</xdr:colOff>
      <xdr:row>1</xdr:row>
      <xdr:rowOff>103586</xdr:rowOff>
    </xdr:from>
    <xdr:to>
      <xdr:col>3</xdr:col>
      <xdr:colOff>583365</xdr:colOff>
      <xdr:row>2</xdr:row>
      <xdr:rowOff>117146</xdr:rowOff>
    </xdr:to>
    <xdr:cxnSp macro="">
      <xdr:nvCxnSpPr>
        <xdr:cNvPr id="57" name="Straight Connector 56">
          <a:extLst>
            <a:ext uri="{FF2B5EF4-FFF2-40B4-BE49-F238E27FC236}">
              <a16:creationId xmlns:a16="http://schemas.microsoft.com/office/drawing/2014/main" id="{3DEC9F3F-DA3C-4A2A-9642-7B384794B6C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227025</xdr:colOff>
      <xdr:row>1</xdr:row>
      <xdr:rowOff>103586</xdr:rowOff>
    </xdr:from>
    <xdr:to>
      <xdr:col>7</xdr:col>
      <xdr:colOff>227025</xdr:colOff>
      <xdr:row>2</xdr:row>
      <xdr:rowOff>117146</xdr:rowOff>
    </xdr:to>
    <xdr:cxnSp macro="">
      <xdr:nvCxnSpPr>
        <xdr:cNvPr id="58" name="Straight Connector 57">
          <a:extLst>
            <a:ext uri="{FF2B5EF4-FFF2-40B4-BE49-F238E27FC236}">
              <a16:creationId xmlns:a16="http://schemas.microsoft.com/office/drawing/2014/main" id="{A49099B9-B95E-421D-905E-3436F6C3CC8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82577</xdr:colOff>
      <xdr:row>1</xdr:row>
      <xdr:rowOff>103586</xdr:rowOff>
    </xdr:from>
    <xdr:to>
      <xdr:col>9</xdr:col>
      <xdr:colOff>82577</xdr:colOff>
      <xdr:row>2</xdr:row>
      <xdr:rowOff>117146</xdr:rowOff>
    </xdr:to>
    <xdr:cxnSp macro="">
      <xdr:nvCxnSpPr>
        <xdr:cNvPr id="59" name="Straight Connector 58">
          <a:extLst>
            <a:ext uri="{FF2B5EF4-FFF2-40B4-BE49-F238E27FC236}">
              <a16:creationId xmlns:a16="http://schemas.microsoft.com/office/drawing/2014/main" id="{CD201D65-CCF0-4C78-BE4A-3589A9FB39D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207283</xdr:colOff>
      <xdr:row>1</xdr:row>
      <xdr:rowOff>103586</xdr:rowOff>
    </xdr:from>
    <xdr:to>
      <xdr:col>10</xdr:col>
      <xdr:colOff>207283</xdr:colOff>
      <xdr:row>2</xdr:row>
      <xdr:rowOff>117146</xdr:rowOff>
    </xdr:to>
    <xdr:cxnSp macro="">
      <xdr:nvCxnSpPr>
        <xdr:cNvPr id="60" name="Straight Connector 59">
          <a:extLst>
            <a:ext uri="{FF2B5EF4-FFF2-40B4-BE49-F238E27FC236}">
              <a16:creationId xmlns:a16="http://schemas.microsoft.com/office/drawing/2014/main" id="{DC020F3D-69B9-48BC-A5B6-41CECEAD17E4}"/>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333671</xdr:colOff>
      <xdr:row>1</xdr:row>
      <xdr:rowOff>103586</xdr:rowOff>
    </xdr:from>
    <xdr:to>
      <xdr:col>11</xdr:col>
      <xdr:colOff>333671</xdr:colOff>
      <xdr:row>2</xdr:row>
      <xdr:rowOff>117146</xdr:rowOff>
    </xdr:to>
    <xdr:cxnSp macro="">
      <xdr:nvCxnSpPr>
        <xdr:cNvPr id="61" name="Straight Connector 60">
          <a:extLst>
            <a:ext uri="{FF2B5EF4-FFF2-40B4-BE49-F238E27FC236}">
              <a16:creationId xmlns:a16="http://schemas.microsoft.com/office/drawing/2014/main" id="{B189BAB2-746F-4586-AD83-D9DDE8FA5EE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459155</xdr:colOff>
      <xdr:row>1</xdr:row>
      <xdr:rowOff>103586</xdr:rowOff>
    </xdr:from>
    <xdr:to>
      <xdr:col>12</xdr:col>
      <xdr:colOff>459155</xdr:colOff>
      <xdr:row>2</xdr:row>
      <xdr:rowOff>117146</xdr:rowOff>
    </xdr:to>
    <xdr:cxnSp macro="">
      <xdr:nvCxnSpPr>
        <xdr:cNvPr id="62" name="Straight Connector 61">
          <a:extLst>
            <a:ext uri="{FF2B5EF4-FFF2-40B4-BE49-F238E27FC236}">
              <a16:creationId xmlns:a16="http://schemas.microsoft.com/office/drawing/2014/main" id="{8DCB3351-D591-4D5E-9CD1-59AFBF3BC64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584992</xdr:colOff>
      <xdr:row>1</xdr:row>
      <xdr:rowOff>103586</xdr:rowOff>
    </xdr:from>
    <xdr:to>
      <xdr:col>13</xdr:col>
      <xdr:colOff>584992</xdr:colOff>
      <xdr:row>2</xdr:row>
      <xdr:rowOff>117146</xdr:rowOff>
    </xdr:to>
    <xdr:cxnSp macro="">
      <xdr:nvCxnSpPr>
        <xdr:cNvPr id="63" name="Straight Connector 62">
          <a:extLst>
            <a:ext uri="{FF2B5EF4-FFF2-40B4-BE49-F238E27FC236}">
              <a16:creationId xmlns:a16="http://schemas.microsoft.com/office/drawing/2014/main" id="{EF9BE06C-BB4C-4A6B-8823-F48D170FF35D}"/>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549303</xdr:colOff>
      <xdr:row>1</xdr:row>
      <xdr:rowOff>103586</xdr:rowOff>
    </xdr:from>
    <xdr:to>
      <xdr:col>16</xdr:col>
      <xdr:colOff>549303</xdr:colOff>
      <xdr:row>2</xdr:row>
      <xdr:rowOff>117146</xdr:rowOff>
    </xdr:to>
    <xdr:cxnSp macro="">
      <xdr:nvCxnSpPr>
        <xdr:cNvPr id="64" name="Straight Connector 63">
          <a:extLst>
            <a:ext uri="{FF2B5EF4-FFF2-40B4-BE49-F238E27FC236}">
              <a16:creationId xmlns:a16="http://schemas.microsoft.com/office/drawing/2014/main" id="{ECDB7F55-0680-4DE6-A6B1-8C08FF35229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672745</xdr:colOff>
      <xdr:row>1</xdr:row>
      <xdr:rowOff>103586</xdr:rowOff>
    </xdr:from>
    <xdr:to>
      <xdr:col>17</xdr:col>
      <xdr:colOff>672745</xdr:colOff>
      <xdr:row>2</xdr:row>
      <xdr:rowOff>117146</xdr:rowOff>
    </xdr:to>
    <xdr:cxnSp macro="">
      <xdr:nvCxnSpPr>
        <xdr:cNvPr id="65" name="Straight Connector 64">
          <a:extLst>
            <a:ext uri="{FF2B5EF4-FFF2-40B4-BE49-F238E27FC236}">
              <a16:creationId xmlns:a16="http://schemas.microsoft.com/office/drawing/2014/main" id="{3BEA882C-E3ED-4675-AC5F-6BE5F0B1B8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65774</xdr:colOff>
      <xdr:row>1</xdr:row>
      <xdr:rowOff>103586</xdr:rowOff>
    </xdr:from>
    <xdr:to>
      <xdr:col>19</xdr:col>
      <xdr:colOff>65774</xdr:colOff>
      <xdr:row>2</xdr:row>
      <xdr:rowOff>117146</xdr:rowOff>
    </xdr:to>
    <xdr:cxnSp macro="">
      <xdr:nvCxnSpPr>
        <xdr:cNvPr id="66" name="Straight Connector 65">
          <a:extLst>
            <a:ext uri="{FF2B5EF4-FFF2-40B4-BE49-F238E27FC236}">
              <a16:creationId xmlns:a16="http://schemas.microsoft.com/office/drawing/2014/main" id="{BDB68D7E-6B22-404A-858C-B4231AF2273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38170</xdr:colOff>
      <xdr:row>1</xdr:row>
      <xdr:rowOff>103586</xdr:rowOff>
    </xdr:from>
    <xdr:to>
      <xdr:col>20</xdr:col>
      <xdr:colOff>38170</xdr:colOff>
      <xdr:row>2</xdr:row>
      <xdr:rowOff>117146</xdr:rowOff>
    </xdr:to>
    <xdr:cxnSp macro="">
      <xdr:nvCxnSpPr>
        <xdr:cNvPr id="67" name="Straight Connector 66">
          <a:extLst>
            <a:ext uri="{FF2B5EF4-FFF2-40B4-BE49-F238E27FC236}">
              <a16:creationId xmlns:a16="http://schemas.microsoft.com/office/drawing/2014/main" id="{210FBF48-1254-4D37-B168-B739382B949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42838</xdr:colOff>
      <xdr:row>1</xdr:row>
      <xdr:rowOff>103586</xdr:rowOff>
    </xdr:from>
    <xdr:to>
      <xdr:col>22</xdr:col>
      <xdr:colOff>42838</xdr:colOff>
      <xdr:row>2</xdr:row>
      <xdr:rowOff>117146</xdr:rowOff>
    </xdr:to>
    <xdr:cxnSp macro="">
      <xdr:nvCxnSpPr>
        <xdr:cNvPr id="68" name="Straight Connector 67">
          <a:extLst>
            <a:ext uri="{FF2B5EF4-FFF2-40B4-BE49-F238E27FC236}">
              <a16:creationId xmlns:a16="http://schemas.microsoft.com/office/drawing/2014/main" id="{43960165-9582-4219-B1BA-D0D12B1E997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429034</xdr:colOff>
      <xdr:row>1</xdr:row>
      <xdr:rowOff>103586</xdr:rowOff>
    </xdr:from>
    <xdr:to>
      <xdr:col>15</xdr:col>
      <xdr:colOff>429034</xdr:colOff>
      <xdr:row>2</xdr:row>
      <xdr:rowOff>117146</xdr:rowOff>
    </xdr:to>
    <xdr:cxnSp macro="">
      <xdr:nvCxnSpPr>
        <xdr:cNvPr id="69" name="Straight Connector 68">
          <a:extLst>
            <a:ext uri="{FF2B5EF4-FFF2-40B4-BE49-F238E27FC236}">
              <a16:creationId xmlns:a16="http://schemas.microsoft.com/office/drawing/2014/main" id="{A71C8ECE-4E92-4B3F-9CEC-C15D1074BC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19052</xdr:colOff>
      <xdr:row>31</xdr:row>
      <xdr:rowOff>95251</xdr:rowOff>
    </xdr:from>
    <xdr:to>
      <xdr:col>9</xdr:col>
      <xdr:colOff>571501</xdr:colOff>
      <xdr:row>54</xdr:row>
      <xdr:rowOff>17318</xdr:rowOff>
    </xdr:to>
    <xdr:graphicFrame macro="">
      <xdr:nvGraphicFramePr>
        <xdr:cNvPr id="5" name="Chart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573727</xdr:colOff>
      <xdr:row>31</xdr:row>
      <xdr:rowOff>55914</xdr:rowOff>
    </xdr:from>
    <xdr:to>
      <xdr:col>20</xdr:col>
      <xdr:colOff>612321</xdr:colOff>
      <xdr:row>55</xdr:row>
      <xdr:rowOff>0</xdr:rowOff>
    </xdr:to>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60</xdr:col>
      <xdr:colOff>246661</xdr:colOff>
      <xdr:row>4</xdr:row>
      <xdr:rowOff>0</xdr:rowOff>
    </xdr:to>
    <xdr:sp macro="" textlink="">
      <xdr:nvSpPr>
        <xdr:cNvPr id="10" name="Rectangle 9">
          <a:extLst>
            <a:ext uri="{FF2B5EF4-FFF2-40B4-BE49-F238E27FC236}">
              <a16:creationId xmlns:a16="http://schemas.microsoft.com/office/drawing/2014/main" id="{7C9913F1-010A-47AE-A547-3D154E0FE75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294112</xdr:colOff>
      <xdr:row>1</xdr:row>
      <xdr:rowOff>19879</xdr:rowOff>
    </xdr:from>
    <xdr:to>
      <xdr:col>17</xdr:col>
      <xdr:colOff>561521</xdr:colOff>
      <xdr:row>3</xdr:row>
      <xdr:rowOff>10354</xdr:rowOff>
    </xdr:to>
    <xdr:sp macro="" textlink="">
      <xdr:nvSpPr>
        <xdr:cNvPr id="41" name="TextBox 40">
          <a:hlinkClick xmlns:r="http://schemas.openxmlformats.org/officeDocument/2006/relationships" r:id="rId3"/>
          <a:extLst>
            <a:ext uri="{FF2B5EF4-FFF2-40B4-BE49-F238E27FC236}">
              <a16:creationId xmlns:a16="http://schemas.microsoft.com/office/drawing/2014/main" id="{3ABE8BCA-9390-45FA-AE69-5DC04FA493BB}"/>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12BE76A5-CCA6-438D-8F9A-F6B49B40E4C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327933</xdr:colOff>
      <xdr:row>1</xdr:row>
      <xdr:rowOff>28201</xdr:rowOff>
    </xdr:from>
    <xdr:to>
      <xdr:col>2</xdr:col>
      <xdr:colOff>327933</xdr:colOff>
      <xdr:row>2</xdr:row>
      <xdr:rowOff>138545</xdr:rowOff>
    </xdr:to>
    <xdr:cxnSp macro="">
      <xdr:nvCxnSpPr>
        <xdr:cNvPr id="44" name="Straight Connector 43">
          <a:extLst>
            <a:ext uri="{FF2B5EF4-FFF2-40B4-BE49-F238E27FC236}">
              <a16:creationId xmlns:a16="http://schemas.microsoft.com/office/drawing/2014/main" id="{741B9616-ED1E-475E-88F6-07100110BE19}"/>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41666</xdr:colOff>
      <xdr:row>1</xdr:row>
      <xdr:rowOff>19879</xdr:rowOff>
    </xdr:from>
    <xdr:to>
      <xdr:col>6</xdr:col>
      <xdr:colOff>88517</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78235B36-5E3F-42F1-A0CD-0713AAAB6DD7}"/>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898919</xdr:colOff>
      <xdr:row>1</xdr:row>
      <xdr:rowOff>19879</xdr:rowOff>
    </xdr:from>
    <xdr:to>
      <xdr:col>7</xdr:col>
      <xdr:colOff>266107</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2342C6E0-CB2F-4779-8342-8451590C7813}"/>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7</xdr:col>
      <xdr:colOff>168833</xdr:colOff>
      <xdr:row>1</xdr:row>
      <xdr:rowOff>19879</xdr:rowOff>
    </xdr:from>
    <xdr:to>
      <xdr:col>8</xdr:col>
      <xdr:colOff>437638</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EF70F8E7-67BE-4D39-8D60-B98742817C9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340364</xdr:colOff>
      <xdr:row>1</xdr:row>
      <xdr:rowOff>19879</xdr:rowOff>
    </xdr:from>
    <xdr:to>
      <xdr:col>9</xdr:col>
      <xdr:colOff>615200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F148E187-7362-4A41-9BE2-625254BB32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517926</xdr:colOff>
      <xdr:row>1</xdr:row>
      <xdr:rowOff>19879</xdr:rowOff>
    </xdr:from>
    <xdr:to>
      <xdr:col>11</xdr:col>
      <xdr:colOff>1226</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A9D68951-01A8-4743-92F6-C83DDBB349A0}"/>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587511</xdr:colOff>
      <xdr:row>1</xdr:row>
      <xdr:rowOff>19879</xdr:rowOff>
    </xdr:from>
    <xdr:to>
      <xdr:col>11</xdr:col>
      <xdr:colOff>859357</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0750200-4D4E-49EA-97D5-CACB5BE9959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763764</xdr:colOff>
      <xdr:row>1</xdr:row>
      <xdr:rowOff>19879</xdr:rowOff>
    </xdr:from>
    <xdr:to>
      <xdr:col>12</xdr:col>
      <xdr:colOff>652930</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279E679E-FDF9-49A3-A973-53D9C26DB34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12</xdr:col>
      <xdr:colOff>557337</xdr:colOff>
      <xdr:row>1</xdr:row>
      <xdr:rowOff>19879</xdr:rowOff>
    </xdr:from>
    <xdr:to>
      <xdr:col>14</xdr:col>
      <xdr:colOff>146402</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6C634CE-3BC7-4362-A45D-62F40DCA44F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14</xdr:col>
      <xdr:colOff>49128</xdr:colOff>
      <xdr:row>1</xdr:row>
      <xdr:rowOff>19879</xdr:rowOff>
    </xdr:from>
    <xdr:to>
      <xdr:col>15</xdr:col>
      <xdr:colOff>322105</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0E55AFA2-42E5-4CBD-945B-C3F29D30F656}"/>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224831</xdr:colOff>
      <xdr:row>1</xdr:row>
      <xdr:rowOff>19879</xdr:rowOff>
    </xdr:from>
    <xdr:to>
      <xdr:col>16</xdr:col>
      <xdr:colOff>391386</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2AE7C89B-A18E-4FB1-872B-91D333FCF78C}"/>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17</xdr:col>
      <xdr:colOff>464247</xdr:colOff>
      <xdr:row>1</xdr:row>
      <xdr:rowOff>19879</xdr:rowOff>
    </xdr:from>
    <xdr:to>
      <xdr:col>18</xdr:col>
      <xdr:colOff>465888</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4AAA3A89-5E9B-4F0B-BF2D-1876354A3186}"/>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18</xdr:col>
      <xdr:colOff>368614</xdr:colOff>
      <xdr:row>1</xdr:row>
      <xdr:rowOff>19879</xdr:rowOff>
    </xdr:from>
    <xdr:to>
      <xdr:col>19</xdr:col>
      <xdr:colOff>642208</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4A24A7BC-59FE-4C84-9C1E-7C00DA098F1B}"/>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544934</xdr:colOff>
      <xdr:row>1</xdr:row>
      <xdr:rowOff>19879</xdr:rowOff>
    </xdr:from>
    <xdr:to>
      <xdr:col>20</xdr:col>
      <xdr:colOff>816870</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E93E99D1-224F-4FC2-8CBD-EFBDFFD1F839}"/>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719596</xdr:colOff>
      <xdr:row>1</xdr:row>
      <xdr:rowOff>19879</xdr:rowOff>
    </xdr:from>
    <xdr:to>
      <xdr:col>22</xdr:col>
      <xdr:colOff>53935</xdr:colOff>
      <xdr:row>3</xdr:row>
      <xdr:rowOff>10354</xdr:rowOff>
    </xdr:to>
    <xdr:sp macro="" textlink="">
      <xdr:nvSpPr>
        <xdr:cNvPr id="58" name="TextBox 57">
          <a:hlinkClick xmlns:r="http://schemas.openxmlformats.org/officeDocument/2006/relationships" r:id="rId18"/>
          <a:extLst>
            <a:ext uri="{FF2B5EF4-FFF2-40B4-BE49-F238E27FC236}">
              <a16:creationId xmlns:a16="http://schemas.microsoft.com/office/drawing/2014/main" id="{9298A526-51FA-4990-930E-8E5C471CDEB1}"/>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640231</xdr:colOff>
      <xdr:row>1</xdr:row>
      <xdr:rowOff>19879</xdr:rowOff>
    </xdr:from>
    <xdr:to>
      <xdr:col>23</xdr:col>
      <xdr:colOff>229878</xdr:colOff>
      <xdr:row>3</xdr:row>
      <xdr:rowOff>10354</xdr:rowOff>
    </xdr:to>
    <xdr:sp macro="" textlink="">
      <xdr:nvSpPr>
        <xdr:cNvPr id="59" name="TextBox 58">
          <a:hlinkClick xmlns:r="http://schemas.openxmlformats.org/officeDocument/2006/relationships" r:id="rId19"/>
          <a:extLst>
            <a:ext uri="{FF2B5EF4-FFF2-40B4-BE49-F238E27FC236}">
              <a16:creationId xmlns:a16="http://schemas.microsoft.com/office/drawing/2014/main" id="{CAD256AA-1D63-48C5-97BB-2FFDE6EAD89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Inputs</a:t>
          </a:r>
        </a:p>
      </xdr:txBody>
    </xdr:sp>
    <xdr:clientData/>
  </xdr:twoCellAnchor>
  <xdr:twoCellAnchor>
    <xdr:from>
      <xdr:col>8</xdr:col>
      <xdr:colOff>389001</xdr:colOff>
      <xdr:row>1</xdr:row>
      <xdr:rowOff>103586</xdr:rowOff>
    </xdr:from>
    <xdr:to>
      <xdr:col>8</xdr:col>
      <xdr:colOff>389001</xdr:colOff>
      <xdr:row>2</xdr:row>
      <xdr:rowOff>117146</xdr:rowOff>
    </xdr:to>
    <xdr:cxnSp macro="">
      <xdr:nvCxnSpPr>
        <xdr:cNvPr id="60" name="Straight Connector 59">
          <a:extLst>
            <a:ext uri="{FF2B5EF4-FFF2-40B4-BE49-F238E27FC236}">
              <a16:creationId xmlns:a16="http://schemas.microsoft.com/office/drawing/2014/main" id="{A2C93B85-1579-4F52-B82F-2755E566F33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217470</xdr:colOff>
      <xdr:row>1</xdr:row>
      <xdr:rowOff>103586</xdr:rowOff>
    </xdr:from>
    <xdr:to>
      <xdr:col>7</xdr:col>
      <xdr:colOff>217470</xdr:colOff>
      <xdr:row>2</xdr:row>
      <xdr:rowOff>117146</xdr:rowOff>
    </xdr:to>
    <xdr:cxnSp macro="">
      <xdr:nvCxnSpPr>
        <xdr:cNvPr id="61" name="Straight Connector 60">
          <a:extLst>
            <a:ext uri="{FF2B5EF4-FFF2-40B4-BE49-F238E27FC236}">
              <a16:creationId xmlns:a16="http://schemas.microsoft.com/office/drawing/2014/main" id="{C11CFDCC-2679-4DC6-946E-CF05C647D301}"/>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39880</xdr:colOff>
      <xdr:row>1</xdr:row>
      <xdr:rowOff>103586</xdr:rowOff>
    </xdr:from>
    <xdr:to>
      <xdr:col>6</xdr:col>
      <xdr:colOff>39880</xdr:colOff>
      <xdr:row>2</xdr:row>
      <xdr:rowOff>117146</xdr:rowOff>
    </xdr:to>
    <xdr:cxnSp macro="">
      <xdr:nvCxnSpPr>
        <xdr:cNvPr id="62" name="Straight Connector 61">
          <a:extLst>
            <a:ext uri="{FF2B5EF4-FFF2-40B4-BE49-F238E27FC236}">
              <a16:creationId xmlns:a16="http://schemas.microsoft.com/office/drawing/2014/main" id="{1EAC440B-0BD3-456F-A7A0-B58A2025463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566563</xdr:colOff>
      <xdr:row>1</xdr:row>
      <xdr:rowOff>103586</xdr:rowOff>
    </xdr:from>
    <xdr:to>
      <xdr:col>9</xdr:col>
      <xdr:colOff>566563</xdr:colOff>
      <xdr:row>2</xdr:row>
      <xdr:rowOff>117146</xdr:rowOff>
    </xdr:to>
    <xdr:cxnSp macro="">
      <xdr:nvCxnSpPr>
        <xdr:cNvPr id="63" name="Straight Connector 62">
          <a:extLst>
            <a:ext uri="{FF2B5EF4-FFF2-40B4-BE49-F238E27FC236}">
              <a16:creationId xmlns:a16="http://schemas.microsoft.com/office/drawing/2014/main" id="{DC1D936E-FA54-4E3E-A312-51AB27E60317}"/>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636148</xdr:colOff>
      <xdr:row>1</xdr:row>
      <xdr:rowOff>103586</xdr:rowOff>
    </xdr:from>
    <xdr:to>
      <xdr:col>10</xdr:col>
      <xdr:colOff>636148</xdr:colOff>
      <xdr:row>2</xdr:row>
      <xdr:rowOff>117146</xdr:rowOff>
    </xdr:to>
    <xdr:cxnSp macro="">
      <xdr:nvCxnSpPr>
        <xdr:cNvPr id="64" name="Straight Connector 63">
          <a:extLst>
            <a:ext uri="{FF2B5EF4-FFF2-40B4-BE49-F238E27FC236}">
              <a16:creationId xmlns:a16="http://schemas.microsoft.com/office/drawing/2014/main" id="{4E653A32-AFD4-404D-AB52-09C0D132AE2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810720</xdr:colOff>
      <xdr:row>1</xdr:row>
      <xdr:rowOff>103586</xdr:rowOff>
    </xdr:from>
    <xdr:to>
      <xdr:col>11</xdr:col>
      <xdr:colOff>810720</xdr:colOff>
      <xdr:row>2</xdr:row>
      <xdr:rowOff>117146</xdr:rowOff>
    </xdr:to>
    <xdr:cxnSp macro="">
      <xdr:nvCxnSpPr>
        <xdr:cNvPr id="65" name="Straight Connector 64">
          <a:extLst>
            <a:ext uri="{FF2B5EF4-FFF2-40B4-BE49-F238E27FC236}">
              <a16:creationId xmlns:a16="http://schemas.microsoft.com/office/drawing/2014/main" id="{5F6602E7-DD26-41E2-A2E7-0B0D5187721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605974</xdr:colOff>
      <xdr:row>1</xdr:row>
      <xdr:rowOff>103586</xdr:rowOff>
    </xdr:from>
    <xdr:to>
      <xdr:col>12</xdr:col>
      <xdr:colOff>605974</xdr:colOff>
      <xdr:row>2</xdr:row>
      <xdr:rowOff>117146</xdr:rowOff>
    </xdr:to>
    <xdr:cxnSp macro="">
      <xdr:nvCxnSpPr>
        <xdr:cNvPr id="66" name="Straight Connector 65">
          <a:extLst>
            <a:ext uri="{FF2B5EF4-FFF2-40B4-BE49-F238E27FC236}">
              <a16:creationId xmlns:a16="http://schemas.microsoft.com/office/drawing/2014/main" id="{3A6FA2A3-6F0E-40BA-9D2B-80FDCC50AF55}"/>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97765</xdr:colOff>
      <xdr:row>1</xdr:row>
      <xdr:rowOff>103586</xdr:rowOff>
    </xdr:from>
    <xdr:to>
      <xdr:col>14</xdr:col>
      <xdr:colOff>97765</xdr:colOff>
      <xdr:row>2</xdr:row>
      <xdr:rowOff>117146</xdr:rowOff>
    </xdr:to>
    <xdr:cxnSp macro="">
      <xdr:nvCxnSpPr>
        <xdr:cNvPr id="67" name="Straight Connector 66">
          <a:extLst>
            <a:ext uri="{FF2B5EF4-FFF2-40B4-BE49-F238E27FC236}">
              <a16:creationId xmlns:a16="http://schemas.microsoft.com/office/drawing/2014/main" id="{87D8FC45-0A7F-4833-A444-1769E4FE342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273468</xdr:colOff>
      <xdr:row>1</xdr:row>
      <xdr:rowOff>103586</xdr:rowOff>
    </xdr:from>
    <xdr:to>
      <xdr:col>15</xdr:col>
      <xdr:colOff>273468</xdr:colOff>
      <xdr:row>2</xdr:row>
      <xdr:rowOff>117146</xdr:rowOff>
    </xdr:to>
    <xdr:cxnSp macro="">
      <xdr:nvCxnSpPr>
        <xdr:cNvPr id="68" name="Straight Connector 67">
          <a:extLst>
            <a:ext uri="{FF2B5EF4-FFF2-40B4-BE49-F238E27FC236}">
              <a16:creationId xmlns:a16="http://schemas.microsoft.com/office/drawing/2014/main" id="{C6B12D8A-8A33-4BF1-9560-BBE500D435EE}"/>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512884</xdr:colOff>
      <xdr:row>1</xdr:row>
      <xdr:rowOff>103586</xdr:rowOff>
    </xdr:from>
    <xdr:to>
      <xdr:col>17</xdr:col>
      <xdr:colOff>512884</xdr:colOff>
      <xdr:row>2</xdr:row>
      <xdr:rowOff>117146</xdr:rowOff>
    </xdr:to>
    <xdr:cxnSp macro="">
      <xdr:nvCxnSpPr>
        <xdr:cNvPr id="69" name="Straight Connector 68">
          <a:extLst>
            <a:ext uri="{FF2B5EF4-FFF2-40B4-BE49-F238E27FC236}">
              <a16:creationId xmlns:a16="http://schemas.microsoft.com/office/drawing/2014/main" id="{D16331D2-EB67-4D96-BBB5-8D9648AF54E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417251</xdr:colOff>
      <xdr:row>1</xdr:row>
      <xdr:rowOff>103586</xdr:rowOff>
    </xdr:from>
    <xdr:to>
      <xdr:col>18</xdr:col>
      <xdr:colOff>417251</xdr:colOff>
      <xdr:row>2</xdr:row>
      <xdr:rowOff>117146</xdr:rowOff>
    </xdr:to>
    <xdr:cxnSp macro="">
      <xdr:nvCxnSpPr>
        <xdr:cNvPr id="70" name="Straight Connector 69">
          <a:extLst>
            <a:ext uri="{FF2B5EF4-FFF2-40B4-BE49-F238E27FC236}">
              <a16:creationId xmlns:a16="http://schemas.microsoft.com/office/drawing/2014/main" id="{C0215819-9145-42F4-B079-3BAA926EF7B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593571</xdr:colOff>
      <xdr:row>1</xdr:row>
      <xdr:rowOff>103586</xdr:rowOff>
    </xdr:from>
    <xdr:to>
      <xdr:col>19</xdr:col>
      <xdr:colOff>593571</xdr:colOff>
      <xdr:row>2</xdr:row>
      <xdr:rowOff>117146</xdr:rowOff>
    </xdr:to>
    <xdr:cxnSp macro="">
      <xdr:nvCxnSpPr>
        <xdr:cNvPr id="71" name="Straight Connector 70">
          <a:extLst>
            <a:ext uri="{FF2B5EF4-FFF2-40B4-BE49-F238E27FC236}">
              <a16:creationId xmlns:a16="http://schemas.microsoft.com/office/drawing/2014/main" id="{4E8FF9D5-7A5F-4BC3-A672-502C891C9279}"/>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768233</xdr:colOff>
      <xdr:row>1</xdr:row>
      <xdr:rowOff>103586</xdr:rowOff>
    </xdr:from>
    <xdr:to>
      <xdr:col>20</xdr:col>
      <xdr:colOff>768233</xdr:colOff>
      <xdr:row>2</xdr:row>
      <xdr:rowOff>117146</xdr:rowOff>
    </xdr:to>
    <xdr:cxnSp macro="">
      <xdr:nvCxnSpPr>
        <xdr:cNvPr id="72" name="Straight Connector 71">
          <a:extLst>
            <a:ext uri="{FF2B5EF4-FFF2-40B4-BE49-F238E27FC236}">
              <a16:creationId xmlns:a16="http://schemas.microsoft.com/office/drawing/2014/main" id="{98E7D1A0-3BFA-468F-ADCB-0DEA461BE8C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5298</xdr:colOff>
      <xdr:row>1</xdr:row>
      <xdr:rowOff>103586</xdr:rowOff>
    </xdr:from>
    <xdr:to>
      <xdr:col>22</xdr:col>
      <xdr:colOff>5298</xdr:colOff>
      <xdr:row>2</xdr:row>
      <xdr:rowOff>117146</xdr:rowOff>
    </xdr:to>
    <xdr:cxnSp macro="">
      <xdr:nvCxnSpPr>
        <xdr:cNvPr id="73" name="Straight Connector 72">
          <a:extLst>
            <a:ext uri="{FF2B5EF4-FFF2-40B4-BE49-F238E27FC236}">
              <a16:creationId xmlns:a16="http://schemas.microsoft.com/office/drawing/2014/main" id="{4D188447-2006-4CF3-AD6B-7B614C913581}"/>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342749</xdr:colOff>
      <xdr:row>1</xdr:row>
      <xdr:rowOff>103586</xdr:rowOff>
    </xdr:from>
    <xdr:to>
      <xdr:col>16</xdr:col>
      <xdr:colOff>342749</xdr:colOff>
      <xdr:row>2</xdr:row>
      <xdr:rowOff>117146</xdr:rowOff>
    </xdr:to>
    <xdr:cxnSp macro="">
      <xdr:nvCxnSpPr>
        <xdr:cNvPr id="74" name="Straight Connector 73">
          <a:extLst>
            <a:ext uri="{FF2B5EF4-FFF2-40B4-BE49-F238E27FC236}">
              <a16:creationId xmlns:a16="http://schemas.microsoft.com/office/drawing/2014/main" id="{8E6F14A5-079D-4A9F-826F-1F7AD44A203A}"/>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hdisegutl.sharepoint.com/sites/LIS-GENERAL-SecuritiesResearch/Shared%20Documents/Research/Heads/Equity%20Research/Model/LIS_Base_Model_Clean_v1.0.xlsx" TargetMode="External"/><Relationship Id="rId1" Type="http://schemas.openxmlformats.org/officeDocument/2006/relationships/externalLinkPath" Target="/sites/LIS-GENERAL-SecuritiesResearch/Shared%20Documents/Research/Heads/Equity%20Research/Model/LIS_Base_Model_Clean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Key Info"/>
      <sheetName val="Industry"/>
      <sheetName val="ESG"/>
      <sheetName val="Segments"/>
      <sheetName val="Peers"/>
      <sheetName val="Trading Comps"/>
      <sheetName val="WACC"/>
      <sheetName val="FCFF"/>
      <sheetName val="LBO"/>
      <sheetName val="Sensitivity"/>
      <sheetName val="IS"/>
      <sheetName val="BS"/>
      <sheetName val="CF"/>
      <sheetName val="Error Check"/>
      <sheetName val="Inputs"/>
      <sheetName val="Stock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l63835@aln.iseg.ulisboa.pt" TargetMode="External"/><Relationship Id="rId3" Type="http://schemas.openxmlformats.org/officeDocument/2006/relationships/hyperlink" Target="mailto:raul.vasconcelos@aln.iseg.ulisboa.pt" TargetMode="External"/><Relationship Id="rId7" Type="http://schemas.openxmlformats.org/officeDocument/2006/relationships/hyperlink" Target="mailto:l61831@aln.iseg.ulisboa.pt" TargetMode="External"/><Relationship Id="rId2" Type="http://schemas.openxmlformats.org/officeDocument/2006/relationships/hyperlink" Target="mailto:raul.vasconcelos@aln.iseg.ulisboa.pt" TargetMode="External"/><Relationship Id="rId1" Type="http://schemas.openxmlformats.org/officeDocument/2006/relationships/hyperlink" Target="mailto:lis@iseg.ulisboa.pt" TargetMode="External"/><Relationship Id="rId6" Type="http://schemas.openxmlformats.org/officeDocument/2006/relationships/hyperlink" Target="mailto:l62767@aln.iseg.ulisboa.pt" TargetMode="External"/><Relationship Id="rId5" Type="http://schemas.openxmlformats.org/officeDocument/2006/relationships/hyperlink" Target="mailto:raul.vasconcelos@aln.iseg.ulisboa.pt" TargetMode="External"/><Relationship Id="rId10" Type="http://schemas.openxmlformats.org/officeDocument/2006/relationships/drawing" Target="../drawings/drawing2.xml"/><Relationship Id="rId4" Type="http://schemas.openxmlformats.org/officeDocument/2006/relationships/hyperlink" Target="mailto:raul.vasconcelos@aln.iseg.ulisboa.pt" TargetMode="Externa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sheetPr>
  <dimension ref="B1:L558"/>
  <sheetViews>
    <sheetView showGridLines="0" zoomScale="54" zoomScaleNormal="145" workbookViewId="0"/>
  </sheetViews>
  <sheetFormatPr defaultColWidth="9" defaultRowHeight="15" customHeight="1"/>
  <cols>
    <col min="1" max="2" width="9" style="575"/>
    <col min="3" max="5" width="10.125" style="575" bestFit="1" customWidth="1"/>
    <col min="6" max="16384" width="9" style="575"/>
  </cols>
  <sheetData>
    <row r="1" s="570" customFormat="1" ht="15" customHeight="1"/>
    <row r="2" s="570" customFormat="1" ht="15" customHeight="1"/>
    <row r="3" s="570" customFormat="1" ht="15" customHeight="1"/>
    <row r="4" s="570" customFormat="1" ht="15" customHeight="1"/>
    <row r="5" ht="3.95" customHeight="1"/>
    <row r="101" spans="3:3" ht="15" customHeight="1">
      <c r="C101" s="602"/>
    </row>
    <row r="102" spans="3:3" ht="15" customHeight="1">
      <c r="C102" s="602"/>
    </row>
    <row r="103" spans="3:3" ht="15" customHeight="1">
      <c r="C103" s="602"/>
    </row>
    <row r="104" spans="3:3" ht="15" customHeight="1">
      <c r="C104" s="602"/>
    </row>
    <row r="105" spans="3:3" ht="15" customHeight="1">
      <c r="C105" s="602"/>
    </row>
    <row r="106" spans="3:3" ht="15" customHeight="1">
      <c r="C106" s="602"/>
    </row>
    <row r="107" spans="3:3" ht="15" customHeight="1">
      <c r="C107" s="602"/>
    </row>
    <row r="108" spans="3:3" ht="15" customHeight="1">
      <c r="C108" s="602"/>
    </row>
    <row r="109" spans="3:3" ht="15" customHeight="1">
      <c r="C109" s="602"/>
    </row>
    <row r="110" spans="3:3" ht="15" customHeight="1">
      <c r="C110" s="602"/>
    </row>
    <row r="111" spans="3:3" ht="15" customHeight="1">
      <c r="C111" s="602"/>
    </row>
    <row r="112" spans="3:3" ht="15" customHeight="1">
      <c r="C112" s="602"/>
    </row>
    <row r="113" spans="3:3" ht="15" customHeight="1">
      <c r="C113" s="602"/>
    </row>
    <row r="114" spans="3:3" ht="15" customHeight="1">
      <c r="C114" s="602"/>
    </row>
    <row r="115" spans="3:3" ht="15" customHeight="1">
      <c r="C115" s="602"/>
    </row>
    <row r="116" spans="3:3" ht="15" customHeight="1">
      <c r="C116" s="602"/>
    </row>
    <row r="117" spans="3:3" ht="15" customHeight="1">
      <c r="C117" s="602"/>
    </row>
    <row r="118" spans="3:3" ht="15" customHeight="1">
      <c r="C118" s="602"/>
    </row>
    <row r="119" spans="3:3" ht="15" customHeight="1">
      <c r="C119" s="602"/>
    </row>
    <row r="120" spans="3:3" ht="15" customHeight="1">
      <c r="C120" s="602"/>
    </row>
    <row r="121" spans="3:3" ht="15" customHeight="1">
      <c r="C121" s="602"/>
    </row>
    <row r="122" spans="3:3" ht="15" customHeight="1">
      <c r="C122" s="602"/>
    </row>
    <row r="123" spans="3:3" ht="15" customHeight="1">
      <c r="C123" s="602"/>
    </row>
    <row r="124" spans="3:3" ht="15" customHeight="1">
      <c r="C124" s="602"/>
    </row>
    <row r="125" spans="3:3" ht="15" customHeight="1">
      <c r="C125" s="602"/>
    </row>
    <row r="126" spans="3:3" ht="15" customHeight="1">
      <c r="C126" s="602"/>
    </row>
    <row r="127" spans="3:3" ht="15" customHeight="1">
      <c r="C127" s="602"/>
    </row>
    <row r="128" spans="3:3" ht="15" customHeight="1">
      <c r="C128" s="602"/>
    </row>
    <row r="129" spans="3:3" ht="15" customHeight="1">
      <c r="C129" s="602"/>
    </row>
    <row r="130" spans="3:3" ht="15" customHeight="1">
      <c r="C130" s="602"/>
    </row>
    <row r="131" spans="3:3" ht="15" customHeight="1">
      <c r="C131" s="602"/>
    </row>
    <row r="132" spans="3:3" ht="15" customHeight="1">
      <c r="C132" s="602"/>
    </row>
    <row r="133" spans="3:3" ht="15" customHeight="1">
      <c r="C133" s="602"/>
    </row>
    <row r="134" spans="3:3" ht="15" customHeight="1">
      <c r="C134" s="602"/>
    </row>
    <row r="135" spans="3:3" ht="15" customHeight="1">
      <c r="C135" s="602"/>
    </row>
    <row r="136" spans="3:3" ht="15" customHeight="1">
      <c r="C136" s="602"/>
    </row>
    <row r="137" spans="3:3" ht="15" customHeight="1">
      <c r="C137" s="602"/>
    </row>
    <row r="138" spans="3:3" ht="15" customHeight="1">
      <c r="C138" s="602"/>
    </row>
    <row r="139" spans="3:3" ht="15" customHeight="1">
      <c r="C139" s="602"/>
    </row>
    <row r="140" spans="3:3" ht="15" customHeight="1">
      <c r="C140" s="602"/>
    </row>
    <row r="141" spans="3:3" ht="15" customHeight="1">
      <c r="C141" s="602"/>
    </row>
    <row r="142" spans="3:3" ht="15" customHeight="1">
      <c r="C142" s="602"/>
    </row>
    <row r="143" spans="3:3" ht="15" customHeight="1">
      <c r="C143" s="602"/>
    </row>
    <row r="144" spans="3:3" ht="15" customHeight="1">
      <c r="C144" s="602"/>
    </row>
    <row r="145" spans="3:12" ht="15" customHeight="1">
      <c r="C145" s="602"/>
    </row>
    <row r="146" spans="3:12" ht="15" customHeight="1">
      <c r="C146" s="602"/>
    </row>
    <row r="147" spans="3:12" ht="15" customHeight="1">
      <c r="C147" s="602"/>
    </row>
    <row r="148" spans="3:12" ht="15" customHeight="1">
      <c r="C148" s="602"/>
    </row>
    <row r="149" spans="3:12" ht="15" customHeight="1">
      <c r="C149" s="602"/>
    </row>
    <row r="150" spans="3:12" ht="15" customHeight="1">
      <c r="C150" s="602"/>
    </row>
    <row r="151" spans="3:12" ht="15" customHeight="1">
      <c r="C151" s="602"/>
    </row>
    <row r="152" spans="3:12" ht="15" customHeight="1">
      <c r="C152" s="602"/>
    </row>
    <row r="153" spans="3:12" ht="15" customHeight="1">
      <c r="C153" s="602"/>
    </row>
    <row r="154" spans="3:12" ht="15" customHeight="1">
      <c r="C154" s="602">
        <f t="shared" ref="C154:C164" ca="1" si="0">+C155+1</f>
        <v>45993</v>
      </c>
    </row>
    <row r="155" spans="3:12" ht="15" customHeight="1">
      <c r="C155" s="602">
        <f t="shared" ca="1" si="0"/>
        <v>45992</v>
      </c>
    </row>
    <row r="156" spans="3:12" ht="15" customHeight="1">
      <c r="C156" s="602">
        <f t="shared" ca="1" si="0"/>
        <v>45991</v>
      </c>
    </row>
    <row r="157" spans="3:12" ht="15" customHeight="1">
      <c r="C157" s="602">
        <f t="shared" ca="1" si="0"/>
        <v>45990</v>
      </c>
    </row>
    <row r="158" spans="3:12" ht="15" customHeight="1">
      <c r="C158" s="602">
        <f t="shared" ca="1" si="0"/>
        <v>45989</v>
      </c>
    </row>
    <row r="159" spans="3:12" ht="15" customHeight="1">
      <c r="C159" s="602">
        <f t="shared" ca="1" si="0"/>
        <v>45988</v>
      </c>
    </row>
    <row r="160" spans="3:12" ht="15" customHeight="1">
      <c r="C160" s="602">
        <f t="shared" ca="1" si="0"/>
        <v>45987</v>
      </c>
      <c r="L160" s="575">
        <f>IF(FCFF!$R$155="Revenue Exit",FCFF!$AF$167,IF(FCFF!$R$155="EBITDA Exit",FCFF!Z167,FCFF!AL167))</f>
        <v>24.343911478814377</v>
      </c>
    </row>
    <row r="161" spans="3:5" ht="15" customHeight="1">
      <c r="C161" s="602">
        <f t="shared" ca="1" si="0"/>
        <v>45986</v>
      </c>
    </row>
    <row r="162" spans="3:5" ht="15" customHeight="1">
      <c r="C162" s="602">
        <f t="shared" ca="1" si="0"/>
        <v>45985</v>
      </c>
      <c r="E162" s="575">
        <f>IF(FCFF!$R$155="Revenue Exit",FCFF!$AF$167,IF(FCFF!$R$155="EBITDA Exit",FCFF!Z167,FCFF!AL167))</f>
        <v>24.343911478814377</v>
      </c>
    </row>
    <row r="163" spans="3:5" ht="15" customHeight="1">
      <c r="C163" s="602">
        <f t="shared" ca="1" si="0"/>
        <v>45984</v>
      </c>
      <c r="E163" s="575">
        <f t="shared" ref="E163:E192" ca="1" si="1">E164+($E$162-$E$193)/COUNTA($C$162:$C$192)</f>
        <v>24.59830143111067</v>
      </c>
    </row>
    <row r="164" spans="3:5" ht="15" customHeight="1">
      <c r="C164" s="602">
        <f t="shared" ca="1" si="0"/>
        <v>45983</v>
      </c>
      <c r="E164" s="575">
        <f t="shared" ca="1" si="1"/>
        <v>24.852691383406981</v>
      </c>
    </row>
    <row r="165" spans="3:5" ht="15" customHeight="1">
      <c r="C165" s="602">
        <f t="shared" ref="C165:C191" ca="1" si="2">+C166+1</f>
        <v>45982</v>
      </c>
      <c r="E165" s="575">
        <f t="shared" ca="1" si="1"/>
        <v>25.107081335703292</v>
      </c>
    </row>
    <row r="166" spans="3:5" ht="15" customHeight="1">
      <c r="C166" s="602">
        <f t="shared" ca="1" si="2"/>
        <v>45981</v>
      </c>
      <c r="E166" s="575">
        <f t="shared" ca="1" si="1"/>
        <v>25.361471287999603</v>
      </c>
    </row>
    <row r="167" spans="3:5" ht="15" customHeight="1">
      <c r="C167" s="602">
        <f t="shared" ca="1" si="2"/>
        <v>45980</v>
      </c>
      <c r="E167" s="575">
        <f t="shared" ca="1" si="1"/>
        <v>25.615861240295914</v>
      </c>
    </row>
    <row r="168" spans="3:5" ht="15" customHeight="1">
      <c r="C168" s="602">
        <f t="shared" ca="1" si="2"/>
        <v>45979</v>
      </c>
      <c r="E168" s="575">
        <f t="shared" ca="1" si="1"/>
        <v>25.870251192592224</v>
      </c>
    </row>
    <row r="169" spans="3:5" ht="15" customHeight="1">
      <c r="C169" s="602">
        <f t="shared" ca="1" si="2"/>
        <v>45978</v>
      </c>
      <c r="E169" s="575">
        <f t="shared" ca="1" si="1"/>
        <v>26.124641144888535</v>
      </c>
    </row>
    <row r="170" spans="3:5" ht="15" customHeight="1">
      <c r="C170" s="602">
        <f t="shared" ca="1" si="2"/>
        <v>45977</v>
      </c>
      <c r="E170" s="575">
        <f t="shared" ca="1" si="1"/>
        <v>26.379031097184846</v>
      </c>
    </row>
    <row r="171" spans="3:5" ht="15" customHeight="1">
      <c r="C171" s="602">
        <f t="shared" ca="1" si="2"/>
        <v>45976</v>
      </c>
      <c r="E171" s="575">
        <f t="shared" ca="1" si="1"/>
        <v>26.633421049481157</v>
      </c>
    </row>
    <row r="172" spans="3:5" ht="15" customHeight="1">
      <c r="C172" s="602">
        <f t="shared" ca="1" si="2"/>
        <v>45975</v>
      </c>
      <c r="E172" s="575">
        <f t="shared" ca="1" si="1"/>
        <v>26.887811001777468</v>
      </c>
    </row>
    <row r="173" spans="3:5" ht="15" customHeight="1">
      <c r="C173" s="602">
        <f t="shared" ca="1" si="2"/>
        <v>45974</v>
      </c>
      <c r="E173" s="575">
        <f t="shared" ca="1" si="1"/>
        <v>27.142200954073779</v>
      </c>
    </row>
    <row r="174" spans="3:5" ht="15" customHeight="1">
      <c r="C174" s="602">
        <f t="shared" ca="1" si="2"/>
        <v>45973</v>
      </c>
      <c r="E174" s="575">
        <f t="shared" ca="1" si="1"/>
        <v>27.39659090637009</v>
      </c>
    </row>
    <row r="175" spans="3:5" ht="15" customHeight="1">
      <c r="C175" s="602">
        <f t="shared" ca="1" si="2"/>
        <v>45972</v>
      </c>
      <c r="E175" s="575">
        <f t="shared" ca="1" si="1"/>
        <v>27.650980858666401</v>
      </c>
    </row>
    <row r="176" spans="3:5" ht="15" customHeight="1">
      <c r="C176" s="602">
        <f t="shared" ca="1" si="2"/>
        <v>45971</v>
      </c>
      <c r="E176" s="575">
        <f t="shared" ca="1" si="1"/>
        <v>27.905370810962712</v>
      </c>
    </row>
    <row r="177" spans="3:5" ht="15" customHeight="1">
      <c r="C177" s="602">
        <f t="shared" ca="1" si="2"/>
        <v>45970</v>
      </c>
      <c r="E177" s="575">
        <f t="shared" ca="1" si="1"/>
        <v>28.159760763259023</v>
      </c>
    </row>
    <row r="178" spans="3:5" ht="15" customHeight="1">
      <c r="C178" s="602">
        <f t="shared" ca="1" si="2"/>
        <v>45969</v>
      </c>
      <c r="E178" s="575">
        <f t="shared" ca="1" si="1"/>
        <v>28.414150715555333</v>
      </c>
    </row>
    <row r="179" spans="3:5" ht="15" customHeight="1">
      <c r="C179" s="602">
        <f t="shared" ca="1" si="2"/>
        <v>45968</v>
      </c>
      <c r="E179" s="575">
        <f t="shared" ca="1" si="1"/>
        <v>28.668540667851644</v>
      </c>
    </row>
    <row r="180" spans="3:5" ht="15" customHeight="1">
      <c r="C180" s="602">
        <f t="shared" ca="1" si="2"/>
        <v>45967</v>
      </c>
      <c r="E180" s="575">
        <f t="shared" ca="1" si="1"/>
        <v>28.922930620147955</v>
      </c>
    </row>
    <row r="181" spans="3:5" ht="15" customHeight="1">
      <c r="C181" s="602">
        <f t="shared" ca="1" si="2"/>
        <v>45966</v>
      </c>
      <c r="E181" s="575">
        <f t="shared" ca="1" si="1"/>
        <v>29.177320572444266</v>
      </c>
    </row>
    <row r="182" spans="3:5" ht="15" customHeight="1">
      <c r="C182" s="602">
        <f t="shared" ca="1" si="2"/>
        <v>45965</v>
      </c>
      <c r="E182" s="575">
        <f t="shared" ca="1" si="1"/>
        <v>29.431710524740577</v>
      </c>
    </row>
    <row r="183" spans="3:5" ht="15" customHeight="1">
      <c r="C183" s="602">
        <f t="shared" ca="1" si="2"/>
        <v>45964</v>
      </c>
      <c r="E183" s="575">
        <f t="shared" ca="1" si="1"/>
        <v>29.686100477036888</v>
      </c>
    </row>
    <row r="184" spans="3:5" ht="15" customHeight="1">
      <c r="C184" s="602">
        <f t="shared" ca="1" si="2"/>
        <v>45963</v>
      </c>
      <c r="E184" s="575">
        <f t="shared" ca="1" si="1"/>
        <v>29.940490429333199</v>
      </c>
    </row>
    <row r="185" spans="3:5" ht="15" customHeight="1">
      <c r="C185" s="602">
        <f t="shared" ca="1" si="2"/>
        <v>45962</v>
      </c>
      <c r="E185" s="575">
        <f t="shared" ca="1" si="1"/>
        <v>30.19488038162951</v>
      </c>
    </row>
    <row r="186" spans="3:5" ht="15" customHeight="1">
      <c r="C186" s="602">
        <f t="shared" ca="1" si="2"/>
        <v>45961</v>
      </c>
      <c r="E186" s="575">
        <f t="shared" ca="1" si="1"/>
        <v>30.449270333925821</v>
      </c>
    </row>
    <row r="187" spans="3:5" ht="15" customHeight="1">
      <c r="C187" s="602">
        <f t="shared" ca="1" si="2"/>
        <v>45960</v>
      </c>
      <c r="E187" s="575">
        <f t="shared" ca="1" si="1"/>
        <v>30.703660286222132</v>
      </c>
    </row>
    <row r="188" spans="3:5" ht="15" customHeight="1">
      <c r="C188" s="602">
        <f t="shared" ca="1" si="2"/>
        <v>45959</v>
      </c>
      <c r="E188" s="575">
        <f t="shared" ca="1" si="1"/>
        <v>30.958050238518442</v>
      </c>
    </row>
    <row r="189" spans="3:5" ht="15" customHeight="1">
      <c r="C189" s="602">
        <f t="shared" ca="1" si="2"/>
        <v>45958</v>
      </c>
      <c r="E189" s="575">
        <f t="shared" ca="1" si="1"/>
        <v>31.212440190814753</v>
      </c>
    </row>
    <row r="190" spans="3:5" ht="15" customHeight="1">
      <c r="C190" s="602">
        <f t="shared" ca="1" si="2"/>
        <v>45957</v>
      </c>
      <c r="E190" s="575">
        <f t="shared" ca="1" si="1"/>
        <v>31.466830143111064</v>
      </c>
    </row>
    <row r="191" spans="3:5" ht="15" customHeight="1">
      <c r="C191" s="602">
        <f t="shared" ca="1" si="2"/>
        <v>45956</v>
      </c>
      <c r="E191" s="575">
        <f t="shared" ca="1" si="1"/>
        <v>31.721220095407375</v>
      </c>
    </row>
    <row r="192" spans="3:5" ht="15" customHeight="1">
      <c r="C192" s="602">
        <f ca="1">+C193+1</f>
        <v>45955</v>
      </c>
      <c r="E192" s="575">
        <f t="shared" ca="1" si="1"/>
        <v>31.975610047703686</v>
      </c>
    </row>
    <row r="193" spans="2:5" ht="15" customHeight="1">
      <c r="B193" s="575" t="s">
        <v>0</v>
      </c>
      <c r="C193" s="601">
        <f ca="1">+'Stock Data'!AM4</f>
        <v>45954</v>
      </c>
      <c r="D193" s="575">
        <f ca="1">_xlfn.XLOOKUP(C193,'Stock Data'!$AM$4:$AM$1051,'Stock Data'!$AN$4:$AN$1051)</f>
        <v>32.229999999999997</v>
      </c>
      <c r="E193" s="575">
        <f ca="1">D193</f>
        <v>32.229999999999997</v>
      </c>
    </row>
    <row r="194" spans="2:5" ht="15" customHeight="1">
      <c r="C194" s="601">
        <f ca="1">+'Stock Data'!AM5</f>
        <v>45953</v>
      </c>
      <c r="D194" s="575">
        <f ca="1">_xlfn.XLOOKUP(C194,'Stock Data'!$AM$4:$AM$1051,'Stock Data'!$AN$4:$AN$1051)</f>
        <v>32.229999999999997</v>
      </c>
    </row>
    <row r="195" spans="2:5" ht="15" customHeight="1">
      <c r="C195" s="601">
        <f ca="1">+'Stock Data'!AM6</f>
        <v>45952</v>
      </c>
      <c r="D195" s="575">
        <f ca="1">_xlfn.XLOOKUP(C195,'Stock Data'!$AM$4:$AM$1051,'Stock Data'!$AN$4:$AN$1051)</f>
        <v>32.869999999999997</v>
      </c>
    </row>
    <row r="196" spans="2:5" ht="15" customHeight="1">
      <c r="C196" s="601">
        <f ca="1">+'Stock Data'!AM7</f>
        <v>45951</v>
      </c>
      <c r="D196" s="575">
        <f ca="1">_xlfn.XLOOKUP(C196,'Stock Data'!$AM$4:$AM$1051,'Stock Data'!$AN$4:$AN$1051)</f>
        <v>32.869999999999997</v>
      </c>
    </row>
    <row r="197" spans="2:5" ht="15" customHeight="1">
      <c r="C197" s="601">
        <f ca="1">+'Stock Data'!AM8</f>
        <v>45950</v>
      </c>
      <c r="D197" s="575">
        <f ca="1">_xlfn.XLOOKUP(C197,'Stock Data'!$AM$4:$AM$1051,'Stock Data'!$AN$4:$AN$1051)</f>
        <v>32.869999999999997</v>
      </c>
    </row>
    <row r="198" spans="2:5" ht="15" customHeight="1">
      <c r="C198" s="601">
        <f ca="1">+'Stock Data'!AM9</f>
        <v>45949</v>
      </c>
      <c r="D198" s="575">
        <f ca="1">_xlfn.XLOOKUP(C198,'Stock Data'!$AM$4:$AM$1051,'Stock Data'!$AN$4:$AN$1051)</f>
        <v>33.24</v>
      </c>
    </row>
    <row r="199" spans="2:5" ht="15" customHeight="1">
      <c r="C199" s="601">
        <f ca="1">+'Stock Data'!AM10</f>
        <v>45948</v>
      </c>
      <c r="D199" s="575">
        <f ca="1">_xlfn.XLOOKUP(C199,'Stock Data'!$AM$4:$AM$1051,'Stock Data'!$AN$4:$AN$1051)</f>
        <v>33.53</v>
      </c>
    </row>
    <row r="200" spans="2:5" ht="15" customHeight="1">
      <c r="C200" s="601">
        <f ca="1">+'Stock Data'!AM11</f>
        <v>45947</v>
      </c>
      <c r="D200" s="575">
        <f ca="1">_xlfn.XLOOKUP(C200,'Stock Data'!$AM$4:$AM$1051,'Stock Data'!$AN$4:$AN$1051)</f>
        <v>33.774999999999999</v>
      </c>
    </row>
    <row r="201" spans="2:5" ht="15" customHeight="1">
      <c r="C201" s="601">
        <f ca="1">+'Stock Data'!AM12</f>
        <v>45946</v>
      </c>
      <c r="D201" s="575">
        <f ca="1">_xlfn.XLOOKUP(C201,'Stock Data'!$AM$4:$AM$1051,'Stock Data'!$AN$4:$AN$1051)</f>
        <v>34.695</v>
      </c>
    </row>
    <row r="202" spans="2:5" ht="15" customHeight="1">
      <c r="C202" s="601">
        <f ca="1">+'Stock Data'!AM13</f>
        <v>45945</v>
      </c>
      <c r="D202" s="575">
        <f ca="1">_xlfn.XLOOKUP(C202,'Stock Data'!$AM$4:$AM$1051,'Stock Data'!$AN$4:$AN$1051)</f>
        <v>34.905000000000001</v>
      </c>
    </row>
    <row r="203" spans="2:5" ht="15" customHeight="1">
      <c r="C203" s="601">
        <f ca="1">+'Stock Data'!AM14</f>
        <v>45944</v>
      </c>
      <c r="D203" s="575">
        <f ca="1">_xlfn.XLOOKUP(C203,'Stock Data'!$AM$4:$AM$1051,'Stock Data'!$AN$4:$AN$1051)</f>
        <v>34.905000000000001</v>
      </c>
    </row>
    <row r="204" spans="2:5" ht="15" customHeight="1">
      <c r="C204" s="601">
        <f ca="1">+'Stock Data'!AM15</f>
        <v>45943</v>
      </c>
      <c r="D204" s="575">
        <f ca="1">_xlfn.XLOOKUP(C204,'Stock Data'!$AM$4:$AM$1051,'Stock Data'!$AN$4:$AN$1051)</f>
        <v>34.905000000000001</v>
      </c>
    </row>
    <row r="205" spans="2:5" ht="15" customHeight="1">
      <c r="C205" s="601">
        <f ca="1">+'Stock Data'!AM16</f>
        <v>45942</v>
      </c>
      <c r="D205" s="575">
        <f ca="1">_xlfn.XLOOKUP(C205,'Stock Data'!$AM$4:$AM$1051,'Stock Data'!$AN$4:$AN$1051)</f>
        <v>34.905000000000001</v>
      </c>
    </row>
    <row r="206" spans="2:5" ht="15" customHeight="1">
      <c r="C206" s="601">
        <f ca="1">+'Stock Data'!AM17</f>
        <v>45941</v>
      </c>
      <c r="D206" s="575">
        <f ca="1">_xlfn.XLOOKUP(C206,'Stock Data'!$AM$4:$AM$1051,'Stock Data'!$AN$4:$AN$1051)</f>
        <v>34.564999999999998</v>
      </c>
    </row>
    <row r="207" spans="2:5" ht="15" customHeight="1">
      <c r="C207" s="601">
        <f ca="1">+'Stock Data'!AM18</f>
        <v>45940</v>
      </c>
      <c r="D207" s="575">
        <f ca="1">_xlfn.XLOOKUP(C207,'Stock Data'!$AM$4:$AM$1051,'Stock Data'!$AN$4:$AN$1051)</f>
        <v>33.9</v>
      </c>
    </row>
    <row r="208" spans="2:5" ht="15" customHeight="1">
      <c r="C208" s="601">
        <f ca="1">+'Stock Data'!AM19</f>
        <v>45939</v>
      </c>
      <c r="D208" s="575">
        <f ca="1">_xlfn.XLOOKUP(C208,'Stock Data'!$AM$4:$AM$1051,'Stock Data'!$AN$4:$AN$1051)</f>
        <v>33.44</v>
      </c>
    </row>
    <row r="209" spans="3:4" ht="15" customHeight="1">
      <c r="C209" s="601">
        <f ca="1">+'Stock Data'!AM20</f>
        <v>45938</v>
      </c>
      <c r="D209" s="575">
        <f ca="1">_xlfn.XLOOKUP(C209,'Stock Data'!$AM$4:$AM$1051,'Stock Data'!$AN$4:$AN$1051)</f>
        <v>33.08</v>
      </c>
    </row>
    <row r="210" spans="3:4" ht="15" customHeight="1">
      <c r="C210" s="601">
        <f ca="1">+'Stock Data'!AM21</f>
        <v>45937</v>
      </c>
      <c r="D210" s="575">
        <f ca="1">_xlfn.XLOOKUP(C210,'Stock Data'!$AM$4:$AM$1051,'Stock Data'!$AN$4:$AN$1051)</f>
        <v>33.08</v>
      </c>
    </row>
    <row r="211" spans="3:4" ht="15" customHeight="1">
      <c r="C211" s="601">
        <f ca="1">+'Stock Data'!AM22</f>
        <v>45936</v>
      </c>
      <c r="D211" s="575">
        <f ca="1">_xlfn.XLOOKUP(C211,'Stock Data'!$AM$4:$AM$1051,'Stock Data'!$AN$4:$AN$1051)</f>
        <v>33.08</v>
      </c>
    </row>
    <row r="212" spans="3:4" ht="15" customHeight="1">
      <c r="C212" s="601">
        <f ca="1">+'Stock Data'!AM23</f>
        <v>45935</v>
      </c>
      <c r="D212" s="575">
        <f ca="1">_xlfn.XLOOKUP(C212,'Stock Data'!$AM$4:$AM$1051,'Stock Data'!$AN$4:$AN$1051)</f>
        <v>31.28</v>
      </c>
    </row>
    <row r="213" spans="3:4" ht="15" customHeight="1">
      <c r="C213" s="601">
        <f ca="1">+'Stock Data'!AM24</f>
        <v>45934</v>
      </c>
      <c r="D213" s="575">
        <f ca="1">_xlfn.XLOOKUP(C213,'Stock Data'!$AM$4:$AM$1051,'Stock Data'!$AN$4:$AN$1051)</f>
        <v>31.34</v>
      </c>
    </row>
    <row r="214" spans="3:4" ht="15" customHeight="1">
      <c r="C214" s="601">
        <f ca="1">+'Stock Data'!AM25</f>
        <v>45933</v>
      </c>
      <c r="D214" s="575">
        <f ca="1">_xlfn.XLOOKUP(C214,'Stock Data'!$AM$4:$AM$1051,'Stock Data'!$AN$4:$AN$1051)</f>
        <v>32.494999999999997</v>
      </c>
    </row>
    <row r="215" spans="3:4" ht="15" customHeight="1">
      <c r="C215" s="601">
        <f ca="1">+'Stock Data'!AM26</f>
        <v>45932</v>
      </c>
      <c r="D215" s="575">
        <f ca="1">_xlfn.XLOOKUP(C215,'Stock Data'!$AM$4:$AM$1051,'Stock Data'!$AN$4:$AN$1051)</f>
        <v>34.024999999999999</v>
      </c>
    </row>
    <row r="216" spans="3:4" ht="15" customHeight="1">
      <c r="C216" s="601">
        <f ca="1">+'Stock Data'!AM27</f>
        <v>45931</v>
      </c>
      <c r="D216" s="575">
        <f ca="1">_xlfn.XLOOKUP(C216,'Stock Data'!$AM$4:$AM$1051,'Stock Data'!$AN$4:$AN$1051)</f>
        <v>32.85</v>
      </c>
    </row>
    <row r="217" spans="3:4" ht="15" customHeight="1">
      <c r="C217" s="601">
        <f ca="1">+'Stock Data'!AM28</f>
        <v>45930</v>
      </c>
      <c r="D217" s="575">
        <f ca="1">_xlfn.XLOOKUP(C217,'Stock Data'!$AM$4:$AM$1051,'Stock Data'!$AN$4:$AN$1051)</f>
        <v>32.85</v>
      </c>
    </row>
    <row r="218" spans="3:4" ht="15" customHeight="1">
      <c r="C218" s="601">
        <f ca="1">+'Stock Data'!AM29</f>
        <v>45929</v>
      </c>
      <c r="D218" s="575">
        <f ca="1">_xlfn.XLOOKUP(C218,'Stock Data'!$AM$4:$AM$1051,'Stock Data'!$AN$4:$AN$1051)</f>
        <v>32.85</v>
      </c>
    </row>
    <row r="219" spans="3:4" ht="15" customHeight="1">
      <c r="C219" s="601">
        <f ca="1">+'Stock Data'!AM30</f>
        <v>45928</v>
      </c>
      <c r="D219" s="575">
        <f ca="1">_xlfn.XLOOKUP(C219,'Stock Data'!$AM$4:$AM$1051,'Stock Data'!$AN$4:$AN$1051)</f>
        <v>32.045000000000002</v>
      </c>
    </row>
    <row r="220" spans="3:4" ht="15" customHeight="1">
      <c r="C220" s="601">
        <f ca="1">+'Stock Data'!AM31</f>
        <v>45927</v>
      </c>
      <c r="D220" s="575">
        <f ca="1">_xlfn.XLOOKUP(C220,'Stock Data'!$AM$4:$AM$1051,'Stock Data'!$AN$4:$AN$1051)</f>
        <v>33.085000000000001</v>
      </c>
    </row>
    <row r="221" spans="3:4" ht="15" customHeight="1">
      <c r="C221" s="601">
        <f ca="1">+'Stock Data'!AM32</f>
        <v>45926</v>
      </c>
      <c r="D221" s="575">
        <f ca="1">_xlfn.XLOOKUP(C221,'Stock Data'!$AM$4:$AM$1051,'Stock Data'!$AN$4:$AN$1051)</f>
        <v>34.344999999999999</v>
      </c>
    </row>
    <row r="222" spans="3:4" ht="15" customHeight="1">
      <c r="C222" s="601">
        <f ca="1">+'Stock Data'!AM33</f>
        <v>45925</v>
      </c>
      <c r="D222" s="575">
        <f ca="1">_xlfn.XLOOKUP(C222,'Stock Data'!$AM$4:$AM$1051,'Stock Data'!$AN$4:$AN$1051)</f>
        <v>33.274999999999999</v>
      </c>
    </row>
    <row r="223" spans="3:4" ht="15" customHeight="1">
      <c r="C223" s="601">
        <f ca="1">+'Stock Data'!AM34</f>
        <v>45924</v>
      </c>
      <c r="D223" s="575">
        <f ca="1">_xlfn.XLOOKUP(C223,'Stock Data'!$AM$4:$AM$1051,'Stock Data'!$AN$4:$AN$1051)</f>
        <v>35.405000000000001</v>
      </c>
    </row>
    <row r="224" spans="3:4" ht="15" customHeight="1">
      <c r="C224" s="601">
        <f ca="1">+'Stock Data'!AM35</f>
        <v>45923</v>
      </c>
      <c r="D224" s="575">
        <f ca="1">_xlfn.XLOOKUP(C224,'Stock Data'!$AM$4:$AM$1051,'Stock Data'!$AN$4:$AN$1051)</f>
        <v>35.405000000000001</v>
      </c>
    </row>
    <row r="225" spans="3:4" ht="15" customHeight="1">
      <c r="C225" s="601">
        <f ca="1">+'Stock Data'!AM36</f>
        <v>45922</v>
      </c>
      <c r="D225" s="575">
        <f ca="1">_xlfn.XLOOKUP(C225,'Stock Data'!$AM$4:$AM$1051,'Stock Data'!$AN$4:$AN$1051)</f>
        <v>35.405000000000001</v>
      </c>
    </row>
    <row r="226" spans="3:4" ht="15" customHeight="1">
      <c r="C226" s="601">
        <f ca="1">+'Stock Data'!AM37</f>
        <v>45921</v>
      </c>
      <c r="D226" s="575">
        <f ca="1">_xlfn.XLOOKUP(C226,'Stock Data'!$AM$4:$AM$1051,'Stock Data'!$AN$4:$AN$1051)</f>
        <v>38.024999999999999</v>
      </c>
    </row>
    <row r="227" spans="3:4" ht="15" customHeight="1">
      <c r="C227" s="601">
        <f ca="1">+'Stock Data'!AM38</f>
        <v>45920</v>
      </c>
      <c r="D227" s="575">
        <f ca="1">_xlfn.XLOOKUP(C227,'Stock Data'!$AM$4:$AM$1051,'Stock Data'!$AN$4:$AN$1051)</f>
        <v>36.935000000000002</v>
      </c>
    </row>
    <row r="228" spans="3:4" ht="15" customHeight="1">
      <c r="C228" s="601">
        <f ca="1">+'Stock Data'!AM39</f>
        <v>45919</v>
      </c>
      <c r="D228" s="575">
        <f ca="1">_xlfn.XLOOKUP(C228,'Stock Data'!$AM$4:$AM$1051,'Stock Data'!$AN$4:$AN$1051)</f>
        <v>35.604999999999997</v>
      </c>
    </row>
    <row r="229" spans="3:4" ht="15" customHeight="1">
      <c r="C229" s="601">
        <f ca="1">+'Stock Data'!AM40</f>
        <v>45918</v>
      </c>
      <c r="D229" s="575">
        <f ca="1">_xlfn.XLOOKUP(C229,'Stock Data'!$AM$4:$AM$1051,'Stock Data'!$AN$4:$AN$1051)</f>
        <v>35.229999999999997</v>
      </c>
    </row>
    <row r="230" spans="3:4" ht="15" customHeight="1">
      <c r="C230" s="601">
        <f ca="1">+'Stock Data'!AM41</f>
        <v>45917</v>
      </c>
      <c r="D230" s="575">
        <f ca="1">_xlfn.XLOOKUP(C230,'Stock Data'!$AM$4:$AM$1051,'Stock Data'!$AN$4:$AN$1051)</f>
        <v>35.270000000000003</v>
      </c>
    </row>
    <row r="231" spans="3:4" ht="15" customHeight="1">
      <c r="C231" s="601">
        <f ca="1">+'Stock Data'!AM42</f>
        <v>45916</v>
      </c>
      <c r="D231" s="575">
        <f ca="1">_xlfn.XLOOKUP(C231,'Stock Data'!$AM$4:$AM$1051,'Stock Data'!$AN$4:$AN$1051)</f>
        <v>35.270000000000003</v>
      </c>
    </row>
    <row r="232" spans="3:4" ht="15" customHeight="1">
      <c r="C232" s="601">
        <f ca="1">+'Stock Data'!AM43</f>
        <v>45915</v>
      </c>
      <c r="D232" s="575">
        <f ca="1">_xlfn.XLOOKUP(C232,'Stock Data'!$AM$4:$AM$1051,'Stock Data'!$AN$4:$AN$1051)</f>
        <v>35.270000000000003</v>
      </c>
    </row>
    <row r="233" spans="3:4" ht="15" customHeight="1">
      <c r="C233" s="601">
        <f ca="1">+'Stock Data'!AM44</f>
        <v>45914</v>
      </c>
      <c r="D233" s="575">
        <f ca="1">_xlfn.XLOOKUP(C233,'Stock Data'!$AM$4:$AM$1051,'Stock Data'!$AN$4:$AN$1051)</f>
        <v>35.69</v>
      </c>
    </row>
    <row r="234" spans="3:4" ht="15" customHeight="1">
      <c r="C234" s="601">
        <f ca="1">+'Stock Data'!AM45</f>
        <v>45913</v>
      </c>
      <c r="D234" s="575">
        <f ca="1">_xlfn.XLOOKUP(C234,'Stock Data'!$AM$4:$AM$1051,'Stock Data'!$AN$4:$AN$1051)</f>
        <v>36.69</v>
      </c>
    </row>
    <row r="235" spans="3:4" ht="15" customHeight="1">
      <c r="C235" s="601">
        <f ca="1">+'Stock Data'!AM46</f>
        <v>45912</v>
      </c>
      <c r="D235" s="575">
        <f ca="1">_xlfn.XLOOKUP(C235,'Stock Data'!$AM$4:$AM$1051,'Stock Data'!$AN$4:$AN$1051)</f>
        <v>35.67</v>
      </c>
    </row>
    <row r="236" spans="3:4" ht="15" customHeight="1">
      <c r="C236" s="601">
        <f ca="1">+'Stock Data'!AM47</f>
        <v>45911</v>
      </c>
      <c r="D236" s="575">
        <f ca="1">_xlfn.XLOOKUP(C236,'Stock Data'!$AM$4:$AM$1051,'Stock Data'!$AN$4:$AN$1051)</f>
        <v>35.18</v>
      </c>
    </row>
    <row r="237" spans="3:4" ht="15" customHeight="1">
      <c r="C237" s="601">
        <f ca="1">+'Stock Data'!AM48</f>
        <v>45910</v>
      </c>
      <c r="D237" s="575">
        <f ca="1">_xlfn.XLOOKUP(C237,'Stock Data'!$AM$4:$AM$1051,'Stock Data'!$AN$4:$AN$1051)</f>
        <v>36.365000000000002</v>
      </c>
    </row>
    <row r="238" spans="3:4" ht="15" customHeight="1">
      <c r="C238" s="601">
        <f ca="1">+'Stock Data'!AM49</f>
        <v>45909</v>
      </c>
      <c r="D238" s="575">
        <f ca="1">_xlfn.XLOOKUP(C238,'Stock Data'!$AM$4:$AM$1051,'Stock Data'!$AN$4:$AN$1051)</f>
        <v>36.365000000000002</v>
      </c>
    </row>
    <row r="239" spans="3:4" ht="15" customHeight="1">
      <c r="C239" s="601">
        <f ca="1">+'Stock Data'!AM50</f>
        <v>45908</v>
      </c>
      <c r="D239" s="575">
        <f ca="1">_xlfn.XLOOKUP(C239,'Stock Data'!$AM$4:$AM$1051,'Stock Data'!$AN$4:$AN$1051)</f>
        <v>36.365000000000002</v>
      </c>
    </row>
    <row r="240" spans="3:4" ht="15" customHeight="1">
      <c r="C240" s="601">
        <f ca="1">+'Stock Data'!AM51</f>
        <v>45907</v>
      </c>
      <c r="D240" s="575">
        <f ca="1">_xlfn.XLOOKUP(C240,'Stock Data'!$AM$4:$AM$1051,'Stock Data'!$AN$4:$AN$1051)</f>
        <v>36.549999999999997</v>
      </c>
    </row>
    <row r="241" spans="3:4" ht="15" customHeight="1">
      <c r="C241" s="601">
        <f ca="1">+'Stock Data'!AM52</f>
        <v>45906</v>
      </c>
      <c r="D241" s="575">
        <f ca="1">_xlfn.XLOOKUP(C241,'Stock Data'!$AM$4:$AM$1051,'Stock Data'!$AN$4:$AN$1051)</f>
        <v>37.17</v>
      </c>
    </row>
    <row r="242" spans="3:4" ht="15" customHeight="1">
      <c r="C242" s="601">
        <f ca="1">+'Stock Data'!AM53</f>
        <v>45905</v>
      </c>
      <c r="D242" s="575">
        <f ca="1">_xlfn.XLOOKUP(C242,'Stock Data'!$AM$4:$AM$1051,'Stock Data'!$AN$4:$AN$1051)</f>
        <v>35.99</v>
      </c>
    </row>
    <row r="243" spans="3:4" ht="15" customHeight="1">
      <c r="C243" s="601">
        <f ca="1">+'Stock Data'!AM54</f>
        <v>45904</v>
      </c>
      <c r="D243" s="575">
        <f ca="1">_xlfn.XLOOKUP(C243,'Stock Data'!$AM$4:$AM$1051,'Stock Data'!$AN$4:$AN$1051)</f>
        <v>35.54</v>
      </c>
    </row>
    <row r="244" spans="3:4" ht="15" customHeight="1">
      <c r="C244" s="601">
        <f ca="1">+'Stock Data'!AM55</f>
        <v>45903</v>
      </c>
      <c r="D244" s="575">
        <f ca="1">_xlfn.XLOOKUP(C244,'Stock Data'!$AM$4:$AM$1051,'Stock Data'!$AN$4:$AN$1051)</f>
        <v>35.695</v>
      </c>
    </row>
    <row r="245" spans="3:4" ht="15" customHeight="1">
      <c r="C245" s="601">
        <f ca="1">+'Stock Data'!AM56</f>
        <v>45902</v>
      </c>
      <c r="D245" s="575">
        <f ca="1">_xlfn.XLOOKUP(C245,'Stock Data'!$AM$4:$AM$1051,'Stock Data'!$AN$4:$AN$1051)</f>
        <v>35.695</v>
      </c>
    </row>
    <row r="246" spans="3:4" ht="15" customHeight="1">
      <c r="C246" s="601">
        <f ca="1">+'Stock Data'!AM57</f>
        <v>45901</v>
      </c>
      <c r="D246" s="575">
        <f ca="1">_xlfn.XLOOKUP(C246,'Stock Data'!$AM$4:$AM$1051,'Stock Data'!$AN$4:$AN$1051)</f>
        <v>35.695</v>
      </c>
    </row>
    <row r="247" spans="3:4" ht="15" customHeight="1">
      <c r="C247" s="601">
        <f ca="1">+'Stock Data'!AM58</f>
        <v>45900</v>
      </c>
      <c r="D247" s="575">
        <f ca="1">_xlfn.XLOOKUP(C247,'Stock Data'!$AM$4:$AM$1051,'Stock Data'!$AN$4:$AN$1051)</f>
        <v>36.384999999999998</v>
      </c>
    </row>
    <row r="248" spans="3:4" ht="15" customHeight="1">
      <c r="C248" s="601">
        <f ca="1">+'Stock Data'!AM59</f>
        <v>45899</v>
      </c>
      <c r="D248" s="575">
        <f ca="1">_xlfn.XLOOKUP(C248,'Stock Data'!$AM$4:$AM$1051,'Stock Data'!$AN$4:$AN$1051)</f>
        <v>36.22</v>
      </c>
    </row>
    <row r="249" spans="3:4" ht="15" customHeight="1">
      <c r="C249" s="601">
        <f ca="1">+'Stock Data'!AM60</f>
        <v>45898</v>
      </c>
      <c r="D249" s="575">
        <f ca="1">_xlfn.XLOOKUP(C249,'Stock Data'!$AM$4:$AM$1051,'Stock Data'!$AN$4:$AN$1051)</f>
        <v>36.200000000000003</v>
      </c>
    </row>
    <row r="250" spans="3:4" ht="15" customHeight="1">
      <c r="C250" s="601">
        <f ca="1">+'Stock Data'!AM61</f>
        <v>45897</v>
      </c>
      <c r="D250" s="575">
        <f ca="1">_xlfn.XLOOKUP(C250,'Stock Data'!$AM$4:$AM$1051,'Stock Data'!$AN$4:$AN$1051)</f>
        <v>35.1</v>
      </c>
    </row>
    <row r="251" spans="3:4" ht="15" customHeight="1">
      <c r="C251" s="601">
        <f ca="1">+'Stock Data'!AM62</f>
        <v>45896</v>
      </c>
      <c r="D251" s="575">
        <f ca="1">_xlfn.XLOOKUP(C251,'Stock Data'!$AM$4:$AM$1051,'Stock Data'!$AN$4:$AN$1051)</f>
        <v>35.615000000000002</v>
      </c>
    </row>
    <row r="252" spans="3:4" ht="15" customHeight="1">
      <c r="C252" s="601">
        <f ca="1">+'Stock Data'!AM63</f>
        <v>45895</v>
      </c>
      <c r="D252" s="575">
        <f ca="1">_xlfn.XLOOKUP(C252,'Stock Data'!$AM$4:$AM$1051,'Stock Data'!$AN$4:$AN$1051)</f>
        <v>35.615000000000002</v>
      </c>
    </row>
    <row r="253" spans="3:4" ht="15" customHeight="1">
      <c r="C253" s="601">
        <f ca="1">+'Stock Data'!AM64</f>
        <v>45894</v>
      </c>
      <c r="D253" s="575">
        <f ca="1">_xlfn.XLOOKUP(C253,'Stock Data'!$AM$4:$AM$1051,'Stock Data'!$AN$4:$AN$1051)</f>
        <v>35.615000000000002</v>
      </c>
    </row>
    <row r="254" spans="3:4" ht="15" customHeight="1">
      <c r="C254" s="601">
        <f ca="1">+'Stock Data'!AM65</f>
        <v>45893</v>
      </c>
      <c r="D254" s="575">
        <f ca="1">_xlfn.XLOOKUP(C254,'Stock Data'!$AM$4:$AM$1051,'Stock Data'!$AN$4:$AN$1051)</f>
        <v>36.475000000000001</v>
      </c>
    </row>
    <row r="255" spans="3:4" ht="15" customHeight="1">
      <c r="C255" s="601">
        <f ca="1">+'Stock Data'!AM66</f>
        <v>45892</v>
      </c>
      <c r="D255" s="575">
        <f ca="1">_xlfn.XLOOKUP(C255,'Stock Data'!$AM$4:$AM$1051,'Stock Data'!$AN$4:$AN$1051)</f>
        <v>36.96</v>
      </c>
    </row>
    <row r="256" spans="3:4" ht="15" customHeight="1">
      <c r="C256" s="601">
        <f ca="1">+'Stock Data'!AM67</f>
        <v>45891</v>
      </c>
      <c r="D256" s="575">
        <f ca="1">_xlfn.XLOOKUP(C256,'Stock Data'!$AM$4:$AM$1051,'Stock Data'!$AN$4:$AN$1051)</f>
        <v>38.69</v>
      </c>
    </row>
    <row r="257" spans="3:4" ht="15" customHeight="1">
      <c r="C257" s="601">
        <f ca="1">+'Stock Data'!AM68</f>
        <v>45890</v>
      </c>
      <c r="D257" s="575">
        <f ca="1">_xlfn.XLOOKUP(C257,'Stock Data'!$AM$4:$AM$1051,'Stock Data'!$AN$4:$AN$1051)</f>
        <v>40.274999999999999</v>
      </c>
    </row>
    <row r="258" spans="3:4" ht="15" customHeight="1">
      <c r="C258" s="601">
        <f ca="1">+'Stock Data'!AM69</f>
        <v>45889</v>
      </c>
      <c r="D258" s="575">
        <f ca="1">_xlfn.XLOOKUP(C258,'Stock Data'!$AM$4:$AM$1051,'Stock Data'!$AN$4:$AN$1051)</f>
        <v>41.1</v>
      </c>
    </row>
    <row r="259" spans="3:4" ht="15" customHeight="1">
      <c r="C259" s="601">
        <f ca="1">+'Stock Data'!AM70</f>
        <v>45888</v>
      </c>
      <c r="D259" s="575">
        <f ca="1">_xlfn.XLOOKUP(C259,'Stock Data'!$AM$4:$AM$1051,'Stock Data'!$AN$4:$AN$1051)</f>
        <v>41.1</v>
      </c>
    </row>
    <row r="260" spans="3:4" ht="15" customHeight="1">
      <c r="C260" s="601">
        <f ca="1">+'Stock Data'!AM71</f>
        <v>45887</v>
      </c>
      <c r="D260" s="575">
        <f ca="1">_xlfn.XLOOKUP(C260,'Stock Data'!$AM$4:$AM$1051,'Stock Data'!$AN$4:$AN$1051)</f>
        <v>41.1</v>
      </c>
    </row>
    <row r="261" spans="3:4" ht="15" customHeight="1">
      <c r="C261" s="601">
        <f ca="1">+'Stock Data'!AM72</f>
        <v>45886</v>
      </c>
      <c r="D261" s="575">
        <f ca="1">_xlfn.XLOOKUP(C261,'Stock Data'!$AM$4:$AM$1051,'Stock Data'!$AN$4:$AN$1051)</f>
        <v>40.96</v>
      </c>
    </row>
    <row r="262" spans="3:4" ht="15" customHeight="1">
      <c r="C262" s="601">
        <f ca="1">+'Stock Data'!AM73</f>
        <v>45885</v>
      </c>
      <c r="D262" s="575">
        <f ca="1">_xlfn.XLOOKUP(C262,'Stock Data'!$AM$4:$AM$1051,'Stock Data'!$AN$4:$AN$1051)</f>
        <v>39.57</v>
      </c>
    </row>
    <row r="263" spans="3:4" ht="15" customHeight="1">
      <c r="C263" s="601">
        <f ca="1">+'Stock Data'!AM74</f>
        <v>45884</v>
      </c>
      <c r="D263" s="575">
        <f ca="1">_xlfn.XLOOKUP(C263,'Stock Data'!$AM$4:$AM$1051,'Stock Data'!$AN$4:$AN$1051)</f>
        <v>41.104999999999997</v>
      </c>
    </row>
    <row r="264" spans="3:4" ht="15" customHeight="1">
      <c r="C264" s="601">
        <f ca="1">+'Stock Data'!AM75</f>
        <v>45883</v>
      </c>
      <c r="D264" s="575">
        <f ca="1">_xlfn.XLOOKUP(C264,'Stock Data'!$AM$4:$AM$1051,'Stock Data'!$AN$4:$AN$1051)</f>
        <v>42.96</v>
      </c>
    </row>
    <row r="265" spans="3:4" ht="15" customHeight="1">
      <c r="C265" s="601">
        <f ca="1">+'Stock Data'!AM76</f>
        <v>45882</v>
      </c>
      <c r="D265" s="575">
        <f ca="1">_xlfn.XLOOKUP(C265,'Stock Data'!$AM$4:$AM$1051,'Stock Data'!$AN$4:$AN$1051)</f>
        <v>41.045000000000002</v>
      </c>
    </row>
    <row r="266" spans="3:4" ht="15" customHeight="1">
      <c r="C266" s="601">
        <f ca="1">+'Stock Data'!AM77</f>
        <v>45881</v>
      </c>
      <c r="D266" s="575">
        <f ca="1">_xlfn.XLOOKUP(C266,'Stock Data'!$AM$4:$AM$1051,'Stock Data'!$AN$4:$AN$1051)</f>
        <v>41.045000000000002</v>
      </c>
    </row>
    <row r="267" spans="3:4" ht="15" customHeight="1">
      <c r="C267" s="601">
        <f ca="1">+'Stock Data'!AM78</f>
        <v>45880</v>
      </c>
      <c r="D267" s="575">
        <f ca="1">_xlfn.XLOOKUP(C267,'Stock Data'!$AM$4:$AM$1051,'Stock Data'!$AN$4:$AN$1051)</f>
        <v>41.045000000000002</v>
      </c>
    </row>
    <row r="268" spans="3:4" ht="15" customHeight="1">
      <c r="C268" s="601">
        <f ca="1">+'Stock Data'!AM79</f>
        <v>45879</v>
      </c>
      <c r="D268" s="575">
        <f ca="1">_xlfn.XLOOKUP(C268,'Stock Data'!$AM$4:$AM$1051,'Stock Data'!$AN$4:$AN$1051)</f>
        <v>40.83</v>
      </c>
    </row>
    <row r="269" spans="3:4" ht="15" customHeight="1">
      <c r="C269" s="601">
        <f ca="1">+'Stock Data'!AM80</f>
        <v>45878</v>
      </c>
      <c r="D269" s="575">
        <f ca="1">_xlfn.XLOOKUP(C269,'Stock Data'!$AM$4:$AM$1051,'Stock Data'!$AN$4:$AN$1051)</f>
        <v>38.545000000000002</v>
      </c>
    </row>
    <row r="270" spans="3:4" ht="15" customHeight="1">
      <c r="C270" s="601">
        <f ca="1">+'Stock Data'!AM81</f>
        <v>45877</v>
      </c>
      <c r="D270" s="575">
        <f ca="1">_xlfn.XLOOKUP(C270,'Stock Data'!$AM$4:$AM$1051,'Stock Data'!$AN$4:$AN$1051)</f>
        <v>40.375</v>
      </c>
    </row>
    <row r="271" spans="3:4" ht="15" customHeight="1">
      <c r="C271" s="601">
        <f ca="1">+'Stock Data'!AM82</f>
        <v>45876</v>
      </c>
      <c r="D271" s="575">
        <f ca="1">_xlfn.XLOOKUP(C271,'Stock Data'!$AM$4:$AM$1051,'Stock Data'!$AN$4:$AN$1051)</f>
        <v>38.619999999999997</v>
      </c>
    </row>
    <row r="272" spans="3:4" ht="15" customHeight="1">
      <c r="C272" s="601">
        <f ca="1">+'Stock Data'!AM83</f>
        <v>45875</v>
      </c>
      <c r="D272" s="575">
        <f ca="1">_xlfn.XLOOKUP(C272,'Stock Data'!$AM$4:$AM$1051,'Stock Data'!$AN$4:$AN$1051)</f>
        <v>40.265000000000001</v>
      </c>
    </row>
    <row r="273" spans="3:4" ht="15" customHeight="1">
      <c r="C273" s="601">
        <f ca="1">+'Stock Data'!AM84</f>
        <v>45874</v>
      </c>
      <c r="D273" s="575">
        <f ca="1">_xlfn.XLOOKUP(C273,'Stock Data'!$AM$4:$AM$1051,'Stock Data'!$AN$4:$AN$1051)</f>
        <v>40.265000000000001</v>
      </c>
    </row>
    <row r="274" spans="3:4" ht="15" customHeight="1">
      <c r="C274" s="601">
        <f ca="1">+'Stock Data'!AM85</f>
        <v>45873</v>
      </c>
      <c r="D274" s="575">
        <f ca="1">_xlfn.XLOOKUP(C274,'Stock Data'!$AM$4:$AM$1051,'Stock Data'!$AN$4:$AN$1051)</f>
        <v>40.265000000000001</v>
      </c>
    </row>
    <row r="275" spans="3:4" ht="15" customHeight="1">
      <c r="C275" s="601">
        <f ca="1">+'Stock Data'!AM86</f>
        <v>45872</v>
      </c>
      <c r="D275" s="575">
        <f ca="1">_xlfn.XLOOKUP(C275,'Stock Data'!$AM$4:$AM$1051,'Stock Data'!$AN$4:$AN$1051)</f>
        <v>41.295000000000002</v>
      </c>
    </row>
    <row r="276" spans="3:4" ht="15" customHeight="1">
      <c r="C276" s="601">
        <f ca="1">+'Stock Data'!AM87</f>
        <v>45871</v>
      </c>
      <c r="D276" s="575">
        <f ca="1">_xlfn.XLOOKUP(C276,'Stock Data'!$AM$4:$AM$1051,'Stock Data'!$AN$4:$AN$1051)</f>
        <v>41.295000000000002</v>
      </c>
    </row>
    <row r="277" spans="3:4" ht="15" customHeight="1">
      <c r="C277" s="601">
        <f ca="1">+'Stock Data'!AM88</f>
        <v>45870</v>
      </c>
      <c r="D277" s="575">
        <f ca="1">_xlfn.XLOOKUP(C277,'Stock Data'!$AM$4:$AM$1051,'Stock Data'!$AN$4:$AN$1051)</f>
        <v>40.590000000000003</v>
      </c>
    </row>
    <row r="278" spans="3:4" ht="15" customHeight="1">
      <c r="C278" s="601">
        <f ca="1">+'Stock Data'!AM89</f>
        <v>45869</v>
      </c>
      <c r="D278" s="575">
        <f ca="1">_xlfn.XLOOKUP(C278,'Stock Data'!$AM$4:$AM$1051,'Stock Data'!$AN$4:$AN$1051)</f>
        <v>41.734999999999999</v>
      </c>
    </row>
    <row r="279" spans="3:4" ht="15" customHeight="1">
      <c r="C279" s="601">
        <f ca="1">+'Stock Data'!AM90</f>
        <v>45868</v>
      </c>
      <c r="D279" s="575">
        <f ca="1">_xlfn.XLOOKUP(C279,'Stock Data'!$AM$4:$AM$1051,'Stock Data'!$AN$4:$AN$1051)</f>
        <v>41.145000000000003</v>
      </c>
    </row>
    <row r="280" spans="3:4" ht="15" customHeight="1">
      <c r="C280" s="601">
        <f ca="1">+'Stock Data'!AM91</f>
        <v>45867</v>
      </c>
      <c r="D280" s="575">
        <f ca="1">_xlfn.XLOOKUP(C280,'Stock Data'!$AM$4:$AM$1051,'Stock Data'!$AN$4:$AN$1051)</f>
        <v>41.145000000000003</v>
      </c>
    </row>
    <row r="281" spans="3:4" ht="15" customHeight="1">
      <c r="C281" s="601">
        <f ca="1">+'Stock Data'!AM92</f>
        <v>45866</v>
      </c>
      <c r="D281" s="575">
        <f ca="1">_xlfn.XLOOKUP(C281,'Stock Data'!$AM$4:$AM$1051,'Stock Data'!$AN$4:$AN$1051)</f>
        <v>41.145000000000003</v>
      </c>
    </row>
    <row r="282" spans="3:4" ht="15" customHeight="1">
      <c r="C282" s="601">
        <f ca="1">+'Stock Data'!AM93</f>
        <v>45865</v>
      </c>
      <c r="D282" s="575">
        <f ca="1">_xlfn.XLOOKUP(C282,'Stock Data'!$AM$4:$AM$1051,'Stock Data'!$AN$4:$AN$1051)</f>
        <v>42.53</v>
      </c>
    </row>
    <row r="283" spans="3:4" ht="15" customHeight="1">
      <c r="C283" s="601">
        <f ca="1">+'Stock Data'!AM94</f>
        <v>45864</v>
      </c>
      <c r="D283" s="575">
        <f ca="1">_xlfn.XLOOKUP(C283,'Stock Data'!$AM$4:$AM$1051,'Stock Data'!$AN$4:$AN$1051)</f>
        <v>41.795000000000002</v>
      </c>
    </row>
    <row r="284" spans="3:4" ht="15" customHeight="1">
      <c r="C284" s="601">
        <f ca="1">+'Stock Data'!AM95</f>
        <v>45863</v>
      </c>
      <c r="D284" s="575">
        <f ca="1">_xlfn.XLOOKUP(C284,'Stock Data'!$AM$4:$AM$1051,'Stock Data'!$AN$4:$AN$1051)</f>
        <v>42.844999999999999</v>
      </c>
    </row>
    <row r="285" spans="3:4" ht="15" customHeight="1">
      <c r="C285" s="601">
        <f ca="1">+'Stock Data'!AM96</f>
        <v>45862</v>
      </c>
      <c r="D285" s="575">
        <f ca="1">_xlfn.XLOOKUP(C285,'Stock Data'!$AM$4:$AM$1051,'Stock Data'!$AN$4:$AN$1051)</f>
        <v>42.204999999999998</v>
      </c>
    </row>
    <row r="286" spans="3:4" ht="15" customHeight="1">
      <c r="C286" s="601">
        <f ca="1">+'Stock Data'!AM97</f>
        <v>45861</v>
      </c>
      <c r="D286" s="575">
        <f ca="1">_xlfn.XLOOKUP(C286,'Stock Data'!$AM$4:$AM$1051,'Stock Data'!$AN$4:$AN$1051)</f>
        <v>42.78</v>
      </c>
    </row>
    <row r="287" spans="3:4" ht="15" customHeight="1">
      <c r="C287" s="601">
        <f ca="1">+'Stock Data'!AM98</f>
        <v>45860</v>
      </c>
      <c r="D287" s="575">
        <f ca="1">_xlfn.XLOOKUP(C287,'Stock Data'!$AM$4:$AM$1051,'Stock Data'!$AN$4:$AN$1051)</f>
        <v>42.78</v>
      </c>
    </row>
    <row r="288" spans="3:4" ht="15" customHeight="1">
      <c r="C288" s="601">
        <f ca="1">+'Stock Data'!AM99</f>
        <v>45859</v>
      </c>
      <c r="D288" s="575">
        <f ca="1">_xlfn.XLOOKUP(C288,'Stock Data'!$AM$4:$AM$1051,'Stock Data'!$AN$4:$AN$1051)</f>
        <v>42.78</v>
      </c>
    </row>
    <row r="289" spans="3:4" ht="15" customHeight="1">
      <c r="C289" s="601">
        <f ca="1">+'Stock Data'!AM100</f>
        <v>45858</v>
      </c>
      <c r="D289" s="575">
        <f ca="1">_xlfn.XLOOKUP(C289,'Stock Data'!$AM$4:$AM$1051,'Stock Data'!$AN$4:$AN$1051)</f>
        <v>43.564999999999998</v>
      </c>
    </row>
    <row r="290" spans="3:4" ht="15" customHeight="1">
      <c r="C290" s="601">
        <f ca="1">+'Stock Data'!AM101</f>
        <v>45857</v>
      </c>
      <c r="D290" s="575">
        <f ca="1">_xlfn.XLOOKUP(C290,'Stock Data'!$AM$4:$AM$1051,'Stock Data'!$AN$4:$AN$1051)</f>
        <v>43.69</v>
      </c>
    </row>
    <row r="291" spans="3:4" ht="15" customHeight="1">
      <c r="C291" s="601">
        <f ca="1">+'Stock Data'!AM102</f>
        <v>45856</v>
      </c>
      <c r="D291" s="575">
        <f ca="1">_xlfn.XLOOKUP(C291,'Stock Data'!$AM$4:$AM$1051,'Stock Data'!$AN$4:$AN$1051)</f>
        <v>44.884999999999998</v>
      </c>
    </row>
    <row r="292" spans="3:4" ht="15" customHeight="1">
      <c r="C292" s="601">
        <f ca="1">+'Stock Data'!AM103</f>
        <v>45855</v>
      </c>
      <c r="D292" s="575">
        <f ca="1">_xlfn.XLOOKUP(C292,'Stock Data'!$AM$4:$AM$1051,'Stock Data'!$AN$4:$AN$1051)</f>
        <v>45.225000000000001</v>
      </c>
    </row>
    <row r="293" spans="3:4" ht="15" customHeight="1">
      <c r="C293" s="601">
        <f ca="1">+'Stock Data'!AM104</f>
        <v>45854</v>
      </c>
      <c r="D293" s="575">
        <f ca="1">_xlfn.XLOOKUP(C293,'Stock Data'!$AM$4:$AM$1051,'Stock Data'!$AN$4:$AN$1051)</f>
        <v>44.14</v>
      </c>
    </row>
    <row r="294" spans="3:4" ht="15" customHeight="1">
      <c r="C294" s="601">
        <f ca="1">+'Stock Data'!AM105</f>
        <v>45853</v>
      </c>
      <c r="D294" s="575">
        <f ca="1">_xlfn.XLOOKUP(C294,'Stock Data'!$AM$4:$AM$1051,'Stock Data'!$AN$4:$AN$1051)</f>
        <v>44.14</v>
      </c>
    </row>
    <row r="295" spans="3:4" ht="15" customHeight="1">
      <c r="C295" s="601">
        <f ca="1">+'Stock Data'!AM106</f>
        <v>45852</v>
      </c>
      <c r="D295" s="575">
        <f ca="1">_xlfn.XLOOKUP(C295,'Stock Data'!$AM$4:$AM$1051,'Stock Data'!$AN$4:$AN$1051)</f>
        <v>44.14</v>
      </c>
    </row>
    <row r="296" spans="3:4" ht="15" customHeight="1">
      <c r="C296" s="601">
        <f ca="1">+'Stock Data'!AM107</f>
        <v>45851</v>
      </c>
      <c r="D296" s="575">
        <f ca="1">_xlfn.XLOOKUP(C296,'Stock Data'!$AM$4:$AM$1051,'Stock Data'!$AN$4:$AN$1051)</f>
        <v>42.564999999999998</v>
      </c>
    </row>
    <row r="297" spans="3:4" ht="15" customHeight="1">
      <c r="C297" s="601">
        <f ca="1">+'Stock Data'!AM108</f>
        <v>45850</v>
      </c>
      <c r="D297" s="575">
        <f ca="1">_xlfn.XLOOKUP(C297,'Stock Data'!$AM$4:$AM$1051,'Stock Data'!$AN$4:$AN$1051)</f>
        <v>41.854999999999997</v>
      </c>
    </row>
    <row r="298" spans="3:4" ht="15" customHeight="1">
      <c r="C298" s="601">
        <f ca="1">+'Stock Data'!AM109</f>
        <v>45849</v>
      </c>
      <c r="D298" s="575">
        <f ca="1">_xlfn.XLOOKUP(C298,'Stock Data'!$AM$4:$AM$1051,'Stock Data'!$AN$4:$AN$1051)</f>
        <v>41.975000000000001</v>
      </c>
    </row>
    <row r="299" spans="3:4" ht="15" customHeight="1">
      <c r="C299" s="601">
        <f ca="1">+'Stock Data'!AM110</f>
        <v>45848</v>
      </c>
      <c r="D299" s="575">
        <f ca="1">_xlfn.XLOOKUP(C299,'Stock Data'!$AM$4:$AM$1051,'Stock Data'!$AN$4:$AN$1051)</f>
        <v>39.47</v>
      </c>
    </row>
    <row r="300" spans="3:4" ht="15" customHeight="1">
      <c r="C300" s="601">
        <f ca="1">+'Stock Data'!AM111</f>
        <v>45847</v>
      </c>
      <c r="D300" s="575">
        <f ca="1">_xlfn.XLOOKUP(C300,'Stock Data'!$AM$4:$AM$1051,'Stock Data'!$AN$4:$AN$1051)</f>
        <v>38.71</v>
      </c>
    </row>
    <row r="301" spans="3:4" ht="15" customHeight="1">
      <c r="C301" s="601">
        <f ca="1">+'Stock Data'!AM112</f>
        <v>45846</v>
      </c>
      <c r="D301" s="575">
        <f ca="1">_xlfn.XLOOKUP(C301,'Stock Data'!$AM$4:$AM$1051,'Stock Data'!$AN$4:$AN$1051)</f>
        <v>38.71</v>
      </c>
    </row>
    <row r="302" spans="3:4" ht="15" customHeight="1">
      <c r="C302" s="601">
        <f ca="1">+'Stock Data'!AM113</f>
        <v>45845</v>
      </c>
      <c r="D302" s="575">
        <f ca="1">_xlfn.XLOOKUP(C302,'Stock Data'!$AM$4:$AM$1051,'Stock Data'!$AN$4:$AN$1051)</f>
        <v>38.71</v>
      </c>
    </row>
    <row r="303" spans="3:4" ht="15" customHeight="1">
      <c r="C303" s="601">
        <f ca="1">+'Stock Data'!AM114</f>
        <v>45844</v>
      </c>
      <c r="D303" s="575">
        <f ca="1">_xlfn.XLOOKUP(C303,'Stock Data'!$AM$4:$AM$1051,'Stock Data'!$AN$4:$AN$1051)</f>
        <v>41.174999999999997</v>
      </c>
    </row>
    <row r="304" spans="3:4" ht="15" customHeight="1">
      <c r="C304" s="601">
        <f ca="1">+'Stock Data'!AM115</f>
        <v>45843</v>
      </c>
      <c r="D304" s="575">
        <f ca="1">_xlfn.XLOOKUP(C304,'Stock Data'!$AM$4:$AM$1051,'Stock Data'!$AN$4:$AN$1051)</f>
        <v>41.445</v>
      </c>
    </row>
    <row r="305" spans="3:4" ht="15" customHeight="1">
      <c r="C305" s="601">
        <f ca="1">+'Stock Data'!AM116</f>
        <v>45842</v>
      </c>
      <c r="D305" s="575">
        <f ca="1">_xlfn.XLOOKUP(C305,'Stock Data'!$AM$4:$AM$1051,'Stock Data'!$AN$4:$AN$1051)</f>
        <v>43.905000000000001</v>
      </c>
    </row>
    <row r="306" spans="3:4" ht="15" customHeight="1">
      <c r="C306" s="601">
        <f ca="1">+'Stock Data'!AM117</f>
        <v>45841</v>
      </c>
      <c r="D306" s="575">
        <f ca="1">_xlfn.XLOOKUP(C306,'Stock Data'!$AM$4:$AM$1051,'Stock Data'!$AN$4:$AN$1051)</f>
        <v>44.98</v>
      </c>
    </row>
    <row r="307" spans="3:4" ht="15" customHeight="1">
      <c r="C307" s="601">
        <f ca="1">+'Stock Data'!AM118</f>
        <v>45840</v>
      </c>
      <c r="D307" s="575">
        <f ca="1">_xlfn.XLOOKUP(C307,'Stock Data'!$AM$4:$AM$1051,'Stock Data'!$AN$4:$AN$1051)</f>
        <v>43.81</v>
      </c>
    </row>
    <row r="308" spans="3:4" ht="15" customHeight="1">
      <c r="C308" s="601">
        <f ca="1">+'Stock Data'!AM119</f>
        <v>45839</v>
      </c>
      <c r="D308" s="575">
        <f ca="1">_xlfn.XLOOKUP(C308,'Stock Data'!$AM$4:$AM$1051,'Stock Data'!$AN$4:$AN$1051)</f>
        <v>43.81</v>
      </c>
    </row>
    <row r="309" spans="3:4" ht="15" customHeight="1">
      <c r="C309" s="601">
        <f ca="1">+'Stock Data'!AM120</f>
        <v>45838</v>
      </c>
      <c r="D309" s="575">
        <f ca="1">_xlfn.XLOOKUP(C309,'Stock Data'!$AM$4:$AM$1051,'Stock Data'!$AN$4:$AN$1051)</f>
        <v>43.81</v>
      </c>
    </row>
    <row r="310" spans="3:4" ht="15" customHeight="1">
      <c r="C310" s="601">
        <f ca="1">+'Stock Data'!AM121</f>
        <v>45837</v>
      </c>
      <c r="D310" s="575">
        <f ca="1">_xlfn.XLOOKUP(C310,'Stock Data'!$AM$4:$AM$1051,'Stock Data'!$AN$4:$AN$1051)</f>
        <v>43.185000000000002</v>
      </c>
    </row>
    <row r="311" spans="3:4" ht="15" customHeight="1">
      <c r="C311" s="601">
        <f ca="1">+'Stock Data'!AM122</f>
        <v>45836</v>
      </c>
      <c r="D311" s="575">
        <f ca="1">_xlfn.XLOOKUP(C311,'Stock Data'!$AM$4:$AM$1051,'Stock Data'!$AN$4:$AN$1051)</f>
        <v>41.854999999999997</v>
      </c>
    </row>
    <row r="312" spans="3:4" ht="15" customHeight="1">
      <c r="C312" s="601">
        <f ca="1">+'Stock Data'!AM123</f>
        <v>45835</v>
      </c>
      <c r="D312" s="575">
        <f ca="1">_xlfn.XLOOKUP(C312,'Stock Data'!$AM$4:$AM$1051,'Stock Data'!$AN$4:$AN$1051)</f>
        <v>41.244999999999997</v>
      </c>
    </row>
    <row r="313" spans="3:4" ht="15" customHeight="1">
      <c r="C313" s="601">
        <f ca="1">+'Stock Data'!AM124</f>
        <v>45834</v>
      </c>
      <c r="D313" s="575">
        <f ca="1">_xlfn.XLOOKUP(C313,'Stock Data'!$AM$4:$AM$1051,'Stock Data'!$AN$4:$AN$1051)</f>
        <v>39.4</v>
      </c>
    </row>
    <row r="314" spans="3:4" ht="15" customHeight="1">
      <c r="C314" s="601">
        <f ca="1">+'Stock Data'!AM125</f>
        <v>45833</v>
      </c>
      <c r="D314" s="575">
        <f ca="1">_xlfn.XLOOKUP(C314,'Stock Data'!$AM$4:$AM$1051,'Stock Data'!$AN$4:$AN$1051)</f>
        <v>38.19</v>
      </c>
    </row>
    <row r="315" spans="3:4" ht="15" customHeight="1">
      <c r="C315" s="601">
        <f ca="1">+'Stock Data'!AM126</f>
        <v>45832</v>
      </c>
      <c r="D315" s="575">
        <f ca="1">_xlfn.XLOOKUP(C315,'Stock Data'!$AM$4:$AM$1051,'Stock Data'!$AN$4:$AN$1051)</f>
        <v>38.19</v>
      </c>
    </row>
    <row r="316" spans="3:4" ht="15" customHeight="1">
      <c r="C316" s="601">
        <f ca="1">+'Stock Data'!AM127</f>
        <v>45831</v>
      </c>
      <c r="D316" s="575">
        <f ca="1">_xlfn.XLOOKUP(C316,'Stock Data'!$AM$4:$AM$1051,'Stock Data'!$AN$4:$AN$1051)</f>
        <v>38.19</v>
      </c>
    </row>
    <row r="317" spans="3:4" ht="15" customHeight="1">
      <c r="C317" s="601">
        <f ca="1">+'Stock Data'!AM128</f>
        <v>45830</v>
      </c>
      <c r="D317" s="575">
        <f ca="1">_xlfn.XLOOKUP(C317,'Stock Data'!$AM$4:$AM$1051,'Stock Data'!$AN$4:$AN$1051)</f>
        <v>38.424999999999997</v>
      </c>
    </row>
    <row r="318" spans="3:4" ht="15" customHeight="1">
      <c r="C318" s="601">
        <f ca="1">+'Stock Data'!AM129</f>
        <v>45829</v>
      </c>
      <c r="D318" s="575">
        <f ca="1">_xlfn.XLOOKUP(C318,'Stock Data'!$AM$4:$AM$1051,'Stock Data'!$AN$4:$AN$1051)</f>
        <v>31.63</v>
      </c>
    </row>
    <row r="319" spans="3:4" ht="15" customHeight="1">
      <c r="C319" s="601">
        <f ca="1">+'Stock Data'!AM130</f>
        <v>45828</v>
      </c>
      <c r="D319" s="575">
        <f ca="1">_xlfn.XLOOKUP(C319,'Stock Data'!$AM$4:$AM$1051,'Stock Data'!$AN$4:$AN$1051)</f>
        <v>32.75</v>
      </c>
    </row>
    <row r="320" spans="3:4" ht="15" customHeight="1">
      <c r="C320" s="601">
        <f ca="1">+'Stock Data'!AM131</f>
        <v>45827</v>
      </c>
      <c r="D320" s="575">
        <f ca="1">_xlfn.XLOOKUP(C320,'Stock Data'!$AM$4:$AM$1051,'Stock Data'!$AN$4:$AN$1051)</f>
        <v>32.79</v>
      </c>
    </row>
    <row r="321" spans="3:4" ht="15" customHeight="1">
      <c r="C321" s="601">
        <f ca="1">+'Stock Data'!AM132</f>
        <v>45826</v>
      </c>
      <c r="D321" s="575">
        <f ca="1">_xlfn.XLOOKUP(C321,'Stock Data'!$AM$4:$AM$1051,'Stock Data'!$AN$4:$AN$1051)</f>
        <v>31.745000000000001</v>
      </c>
    </row>
    <row r="322" spans="3:4" ht="15" customHeight="1">
      <c r="C322" s="601">
        <f ca="1">+'Stock Data'!AM133</f>
        <v>45825</v>
      </c>
      <c r="D322" s="575">
        <f ca="1">_xlfn.XLOOKUP(C322,'Stock Data'!$AM$4:$AM$1051,'Stock Data'!$AN$4:$AN$1051)</f>
        <v>31.745000000000001</v>
      </c>
    </row>
    <row r="323" spans="3:4" ht="15" customHeight="1">
      <c r="C323" s="601">
        <f ca="1">+'Stock Data'!AM134</f>
        <v>45824</v>
      </c>
      <c r="D323" s="575">
        <f ca="1">_xlfn.XLOOKUP(C323,'Stock Data'!$AM$4:$AM$1051,'Stock Data'!$AN$4:$AN$1051)</f>
        <v>31.745000000000001</v>
      </c>
    </row>
    <row r="324" spans="3:4" ht="15" customHeight="1">
      <c r="C324" s="601">
        <f ca="1">+'Stock Data'!AM135</f>
        <v>45823</v>
      </c>
      <c r="D324" s="575">
        <f ca="1">_xlfn.XLOOKUP(C324,'Stock Data'!$AM$4:$AM$1051,'Stock Data'!$AN$4:$AN$1051)</f>
        <v>31.625</v>
      </c>
    </row>
    <row r="325" spans="3:4" ht="15" customHeight="1">
      <c r="C325" s="601">
        <f ca="1">+'Stock Data'!AM136</f>
        <v>45822</v>
      </c>
      <c r="D325" s="575">
        <f ca="1">_xlfn.XLOOKUP(C325,'Stock Data'!$AM$4:$AM$1051,'Stock Data'!$AN$4:$AN$1051)</f>
        <v>31.625</v>
      </c>
    </row>
    <row r="326" spans="3:4" ht="15" customHeight="1">
      <c r="C326" s="601">
        <f ca="1">+'Stock Data'!AM137</f>
        <v>45821</v>
      </c>
      <c r="D326" s="575">
        <f ca="1">_xlfn.XLOOKUP(C326,'Stock Data'!$AM$4:$AM$1051,'Stock Data'!$AN$4:$AN$1051)</f>
        <v>30.895</v>
      </c>
    </row>
    <row r="327" spans="3:4" ht="15" customHeight="1">
      <c r="C327" s="601">
        <f ca="1">+'Stock Data'!AM138</f>
        <v>45820</v>
      </c>
      <c r="D327" s="575">
        <f ca="1">_xlfn.XLOOKUP(C327,'Stock Data'!$AM$4:$AM$1051,'Stock Data'!$AN$4:$AN$1051)</f>
        <v>30.905000000000001</v>
      </c>
    </row>
    <row r="328" spans="3:4" ht="15" customHeight="1">
      <c r="C328" s="601">
        <f ca="1">+'Stock Data'!AM139</f>
        <v>45819</v>
      </c>
      <c r="D328" s="575">
        <f ca="1">_xlfn.XLOOKUP(C328,'Stock Data'!$AM$4:$AM$1051,'Stock Data'!$AN$4:$AN$1051)</f>
        <v>30.344999999999999</v>
      </c>
    </row>
    <row r="329" spans="3:4" ht="15" customHeight="1">
      <c r="C329" s="601">
        <f ca="1">+'Stock Data'!AM140</f>
        <v>45818</v>
      </c>
      <c r="D329" s="575">
        <f ca="1">_xlfn.XLOOKUP(C329,'Stock Data'!$AM$4:$AM$1051,'Stock Data'!$AN$4:$AN$1051)</f>
        <v>30.344999999999999</v>
      </c>
    </row>
    <row r="330" spans="3:4" ht="15" customHeight="1">
      <c r="C330" s="601">
        <f ca="1">+'Stock Data'!AM141</f>
        <v>45817</v>
      </c>
      <c r="D330" s="575">
        <f ca="1">_xlfn.XLOOKUP(C330,'Stock Data'!$AM$4:$AM$1051,'Stock Data'!$AN$4:$AN$1051)</f>
        <v>30.344999999999999</v>
      </c>
    </row>
    <row r="331" spans="3:4" ht="15" customHeight="1">
      <c r="C331" s="601">
        <f ca="1">+'Stock Data'!AM142</f>
        <v>45816</v>
      </c>
      <c r="D331" s="575">
        <f ca="1">_xlfn.XLOOKUP(C331,'Stock Data'!$AM$4:$AM$1051,'Stock Data'!$AN$4:$AN$1051)</f>
        <v>29.614999999999998</v>
      </c>
    </row>
    <row r="332" spans="3:4" ht="15" customHeight="1">
      <c r="C332" s="601">
        <f ca="1">+'Stock Data'!AM143</f>
        <v>45815</v>
      </c>
      <c r="D332" s="575">
        <f ca="1">_xlfn.XLOOKUP(C332,'Stock Data'!$AM$4:$AM$1051,'Stock Data'!$AN$4:$AN$1051)</f>
        <v>28.274999999999999</v>
      </c>
    </row>
    <row r="333" spans="3:4" ht="15" customHeight="1">
      <c r="C333" s="601">
        <f ca="1">+'Stock Data'!AM144</f>
        <v>45814</v>
      </c>
      <c r="D333" s="575">
        <f ca="1">_xlfn.XLOOKUP(C333,'Stock Data'!$AM$4:$AM$1051,'Stock Data'!$AN$4:$AN$1051)</f>
        <v>28.01</v>
      </c>
    </row>
    <row r="334" spans="3:4" ht="15" customHeight="1">
      <c r="C334" s="601">
        <f ca="1">+'Stock Data'!AM145</f>
        <v>45813</v>
      </c>
      <c r="D334" s="575">
        <f ca="1">_xlfn.XLOOKUP(C334,'Stock Data'!$AM$4:$AM$1051,'Stock Data'!$AN$4:$AN$1051)</f>
        <v>27.57</v>
      </c>
    </row>
    <row r="335" spans="3:4" ht="15" customHeight="1">
      <c r="C335" s="601">
        <f ca="1">+'Stock Data'!AM146</f>
        <v>45812</v>
      </c>
      <c r="D335" s="575">
        <f ca="1">_xlfn.XLOOKUP(C335,'Stock Data'!$AM$4:$AM$1051,'Stock Data'!$AN$4:$AN$1051)</f>
        <v>27.57</v>
      </c>
    </row>
    <row r="336" spans="3:4" ht="15" customHeight="1">
      <c r="C336" s="601">
        <f ca="1">+'Stock Data'!AM147</f>
        <v>45811</v>
      </c>
      <c r="D336" s="575">
        <f ca="1">_xlfn.XLOOKUP(C336,'Stock Data'!$AM$4:$AM$1051,'Stock Data'!$AN$4:$AN$1051)</f>
        <v>27.57</v>
      </c>
    </row>
    <row r="337" spans="3:4" ht="15" customHeight="1">
      <c r="C337" s="601">
        <f ca="1">+'Stock Data'!AM148</f>
        <v>45810</v>
      </c>
      <c r="D337" s="575">
        <f ca="1">_xlfn.XLOOKUP(C337,'Stock Data'!$AM$4:$AM$1051,'Stock Data'!$AN$4:$AN$1051)</f>
        <v>27.57</v>
      </c>
    </row>
    <row r="338" spans="3:4" ht="15" customHeight="1">
      <c r="C338" s="601">
        <f ca="1">+'Stock Data'!AM149</f>
        <v>45809</v>
      </c>
      <c r="D338" s="575">
        <f ca="1">_xlfn.XLOOKUP(C338,'Stock Data'!$AM$4:$AM$1051,'Stock Data'!$AN$4:$AN$1051)</f>
        <v>27.57</v>
      </c>
    </row>
    <row r="339" spans="3:4" ht="15" customHeight="1">
      <c r="C339" s="601">
        <f ca="1">+'Stock Data'!AM150</f>
        <v>45808</v>
      </c>
      <c r="D339" s="575">
        <f ca="1">_xlfn.XLOOKUP(C339,'Stock Data'!$AM$4:$AM$1051,'Stock Data'!$AN$4:$AN$1051)</f>
        <v>27.204999999999998</v>
      </c>
    </row>
    <row r="340" spans="3:4" ht="15" customHeight="1">
      <c r="C340" s="601">
        <f ca="1">+'Stock Data'!AM151</f>
        <v>45807</v>
      </c>
      <c r="D340" s="575">
        <f ca="1">_xlfn.XLOOKUP(C340,'Stock Data'!$AM$4:$AM$1051,'Stock Data'!$AN$4:$AN$1051)</f>
        <v>27</v>
      </c>
    </row>
    <row r="341" spans="3:4" ht="15" customHeight="1">
      <c r="C341" s="601">
        <f ca="1">+'Stock Data'!AM152</f>
        <v>45806</v>
      </c>
      <c r="D341" s="575">
        <f ca="1">_xlfn.XLOOKUP(C341,'Stock Data'!$AM$4:$AM$1051,'Stock Data'!$AN$4:$AN$1051)</f>
        <v>26.765000000000001</v>
      </c>
    </row>
    <row r="342" spans="3:4" ht="15" customHeight="1">
      <c r="C342" s="601">
        <f ca="1">+'Stock Data'!AM153</f>
        <v>45805</v>
      </c>
      <c r="D342" s="575">
        <f ca="1">_xlfn.XLOOKUP(C342,'Stock Data'!$AM$4:$AM$1051,'Stock Data'!$AN$4:$AN$1051)</f>
        <v>26.234999999999999</v>
      </c>
    </row>
    <row r="343" spans="3:4" ht="15" customHeight="1">
      <c r="C343" s="601">
        <f ca="1">+'Stock Data'!AM154</f>
        <v>45804</v>
      </c>
      <c r="D343" s="575">
        <f ca="1">_xlfn.XLOOKUP(C343,'Stock Data'!$AM$4:$AM$1051,'Stock Data'!$AN$4:$AN$1051)</f>
        <v>26.234999999999999</v>
      </c>
    </row>
    <row r="344" spans="3:4" ht="15" customHeight="1">
      <c r="C344" s="601">
        <f ca="1">+'Stock Data'!AM155</f>
        <v>45803</v>
      </c>
      <c r="D344" s="575">
        <f ca="1">_xlfn.XLOOKUP(C344,'Stock Data'!$AM$4:$AM$1051,'Stock Data'!$AN$4:$AN$1051)</f>
        <v>26.234999999999999</v>
      </c>
    </row>
    <row r="345" spans="3:4" ht="15" customHeight="1">
      <c r="C345" s="601">
        <f ca="1">+'Stock Data'!AM156</f>
        <v>45802</v>
      </c>
      <c r="D345" s="575">
        <f ca="1">_xlfn.XLOOKUP(C345,'Stock Data'!$AM$4:$AM$1051,'Stock Data'!$AN$4:$AN$1051)</f>
        <v>25.245000000000001</v>
      </c>
    </row>
    <row r="346" spans="3:4" ht="15" customHeight="1">
      <c r="C346" s="601">
        <f ca="1">+'Stock Data'!AM157</f>
        <v>45801</v>
      </c>
      <c r="D346" s="575">
        <f ca="1">_xlfn.XLOOKUP(C346,'Stock Data'!$AM$4:$AM$1051,'Stock Data'!$AN$4:$AN$1051)</f>
        <v>25.74</v>
      </c>
    </row>
    <row r="347" spans="3:4" ht="15" customHeight="1">
      <c r="C347" s="601">
        <f ca="1">+'Stock Data'!AM158</f>
        <v>45800</v>
      </c>
      <c r="D347" s="575">
        <f ca="1">_xlfn.XLOOKUP(C347,'Stock Data'!$AM$4:$AM$1051,'Stock Data'!$AN$4:$AN$1051)</f>
        <v>24.7</v>
      </c>
    </row>
    <row r="348" spans="3:4" ht="15" customHeight="1">
      <c r="C348" s="601">
        <f ca="1">+'Stock Data'!AM159</f>
        <v>45799</v>
      </c>
      <c r="D348" s="575">
        <f ca="1">_xlfn.XLOOKUP(C348,'Stock Data'!$AM$4:$AM$1051,'Stock Data'!$AN$4:$AN$1051)</f>
        <v>24.17</v>
      </c>
    </row>
    <row r="349" spans="3:4" ht="15" customHeight="1">
      <c r="C349" s="601">
        <f ca="1">+'Stock Data'!AM160</f>
        <v>45798</v>
      </c>
      <c r="D349" s="575">
        <f ca="1">_xlfn.XLOOKUP(C349,'Stock Data'!$AM$4:$AM$1051,'Stock Data'!$AN$4:$AN$1051)</f>
        <v>24.59</v>
      </c>
    </row>
    <row r="350" spans="3:4" ht="15" customHeight="1">
      <c r="C350" s="601">
        <f ca="1">+'Stock Data'!AM161</f>
        <v>45797</v>
      </c>
      <c r="D350" s="575">
        <f ca="1">_xlfn.XLOOKUP(C350,'Stock Data'!$AM$4:$AM$1051,'Stock Data'!$AN$4:$AN$1051)</f>
        <v>24.59</v>
      </c>
    </row>
    <row r="351" spans="3:4" ht="15" customHeight="1">
      <c r="C351" s="601">
        <f ca="1">+'Stock Data'!AM162</f>
        <v>45796</v>
      </c>
      <c r="D351" s="575">
        <f ca="1">_xlfn.XLOOKUP(C351,'Stock Data'!$AM$4:$AM$1051,'Stock Data'!$AN$4:$AN$1051)</f>
        <v>24.59</v>
      </c>
    </row>
    <row r="352" spans="3:4" ht="15" customHeight="1">
      <c r="C352" s="601">
        <f ca="1">+'Stock Data'!AM163</f>
        <v>45795</v>
      </c>
      <c r="D352" s="575">
        <f ca="1">_xlfn.XLOOKUP(C352,'Stock Data'!$AM$4:$AM$1051,'Stock Data'!$AN$4:$AN$1051)</f>
        <v>25.585000000000001</v>
      </c>
    </row>
    <row r="353" spans="3:4" ht="15" customHeight="1">
      <c r="C353" s="601">
        <f ca="1">+'Stock Data'!AM164</f>
        <v>45794</v>
      </c>
      <c r="D353" s="575">
        <f ca="1">_xlfn.XLOOKUP(C353,'Stock Data'!$AM$4:$AM$1051,'Stock Data'!$AN$4:$AN$1051)</f>
        <v>25.045000000000002</v>
      </c>
    </row>
    <row r="354" spans="3:4" ht="15" customHeight="1">
      <c r="C354" s="601">
        <f ca="1">+'Stock Data'!AM165</f>
        <v>45793</v>
      </c>
      <c r="D354" s="575">
        <f ca="1">_xlfn.XLOOKUP(C354,'Stock Data'!$AM$4:$AM$1051,'Stock Data'!$AN$4:$AN$1051)</f>
        <v>24.704999999999998</v>
      </c>
    </row>
    <row r="355" spans="3:4" ht="15" customHeight="1">
      <c r="C355" s="601">
        <f ca="1">+'Stock Data'!AM166</f>
        <v>45792</v>
      </c>
      <c r="D355" s="575">
        <f ca="1">_xlfn.XLOOKUP(C355,'Stock Data'!$AM$4:$AM$1051,'Stock Data'!$AN$4:$AN$1051)</f>
        <v>24.504999999999999</v>
      </c>
    </row>
    <row r="356" spans="3:4" ht="15" customHeight="1">
      <c r="C356" s="601">
        <f ca="1">+'Stock Data'!AM167</f>
        <v>45791</v>
      </c>
      <c r="D356" s="575">
        <f ca="1">_xlfn.XLOOKUP(C356,'Stock Data'!$AM$4:$AM$1051,'Stock Data'!$AN$4:$AN$1051)</f>
        <v>24.72</v>
      </c>
    </row>
    <row r="357" spans="3:4" ht="15" customHeight="1">
      <c r="C357" s="601">
        <f ca="1">+'Stock Data'!AM168</f>
        <v>45790</v>
      </c>
      <c r="D357" s="575">
        <f ca="1">_xlfn.XLOOKUP(C357,'Stock Data'!$AM$4:$AM$1051,'Stock Data'!$AN$4:$AN$1051)</f>
        <v>24.72</v>
      </c>
    </row>
    <row r="358" spans="3:4" ht="15" customHeight="1">
      <c r="C358" s="601">
        <f ca="1">+'Stock Data'!AM169</f>
        <v>45789</v>
      </c>
      <c r="D358" s="575">
        <f ca="1">_xlfn.XLOOKUP(C358,'Stock Data'!$AM$4:$AM$1051,'Stock Data'!$AN$4:$AN$1051)</f>
        <v>24.72</v>
      </c>
    </row>
    <row r="359" spans="3:4" ht="15" customHeight="1">
      <c r="C359" s="601">
        <f ca="1">+'Stock Data'!AM170</f>
        <v>45788</v>
      </c>
      <c r="D359" s="575">
        <f ca="1">_xlfn.XLOOKUP(C359,'Stock Data'!$AM$4:$AM$1051,'Stock Data'!$AN$4:$AN$1051)</f>
        <v>24.934999999999999</v>
      </c>
    </row>
    <row r="360" spans="3:4" ht="15" customHeight="1">
      <c r="C360" s="601">
        <f ca="1">+'Stock Data'!AM171</f>
        <v>45787</v>
      </c>
      <c r="D360" s="575">
        <f ca="1">_xlfn.XLOOKUP(C360,'Stock Data'!$AM$4:$AM$1051,'Stock Data'!$AN$4:$AN$1051)</f>
        <v>24.225000000000001</v>
      </c>
    </row>
    <row r="361" spans="3:4" ht="15" customHeight="1">
      <c r="C361" s="601">
        <f ca="1">+'Stock Data'!AM172</f>
        <v>45786</v>
      </c>
      <c r="D361" s="575">
        <f ca="1">_xlfn.XLOOKUP(C361,'Stock Data'!$AM$4:$AM$1051,'Stock Data'!$AN$4:$AN$1051)</f>
        <v>23.844999999999999</v>
      </c>
    </row>
    <row r="362" spans="3:4" ht="15" customHeight="1">
      <c r="C362" s="601">
        <f ca="1">+'Stock Data'!AM173</f>
        <v>45785</v>
      </c>
      <c r="D362" s="575">
        <f ca="1">_xlfn.XLOOKUP(C362,'Stock Data'!$AM$4:$AM$1051,'Stock Data'!$AN$4:$AN$1051)</f>
        <v>23.954999999999998</v>
      </c>
    </row>
    <row r="363" spans="3:4" ht="15" customHeight="1">
      <c r="C363" s="601">
        <f ca="1">+'Stock Data'!AM174</f>
        <v>45784</v>
      </c>
      <c r="D363" s="575">
        <f ca="1">_xlfn.XLOOKUP(C363,'Stock Data'!$AM$4:$AM$1051,'Stock Data'!$AN$4:$AN$1051)</f>
        <v>24.004999999999999</v>
      </c>
    </row>
    <row r="364" spans="3:4" ht="15" customHeight="1">
      <c r="C364" s="601">
        <f ca="1">+'Stock Data'!AM175</f>
        <v>45783</v>
      </c>
      <c r="D364" s="575">
        <f ca="1">_xlfn.XLOOKUP(C364,'Stock Data'!$AM$4:$AM$1051,'Stock Data'!$AN$4:$AN$1051)</f>
        <v>24.004999999999999</v>
      </c>
    </row>
    <row r="365" spans="3:4" ht="15" customHeight="1">
      <c r="C365" s="601">
        <f ca="1">+'Stock Data'!AM176</f>
        <v>45782</v>
      </c>
      <c r="D365" s="575">
        <f ca="1">_xlfn.XLOOKUP(C365,'Stock Data'!$AM$4:$AM$1051,'Stock Data'!$AN$4:$AN$1051)</f>
        <v>24.004999999999999</v>
      </c>
    </row>
    <row r="366" spans="3:4" ht="15" customHeight="1">
      <c r="C366" s="601">
        <f ca="1">+'Stock Data'!AM177</f>
        <v>45781</v>
      </c>
      <c r="D366" s="575">
        <f ca="1">_xlfn.XLOOKUP(C366,'Stock Data'!$AM$4:$AM$1051,'Stock Data'!$AN$4:$AN$1051)</f>
        <v>23.76</v>
      </c>
    </row>
    <row r="367" spans="3:4" ht="15" customHeight="1">
      <c r="C367" s="601">
        <f ca="1">+'Stock Data'!AM178</f>
        <v>45780</v>
      </c>
      <c r="D367" s="575">
        <f ca="1">_xlfn.XLOOKUP(C367,'Stock Data'!$AM$4:$AM$1051,'Stock Data'!$AN$4:$AN$1051)</f>
        <v>23.44</v>
      </c>
    </row>
    <row r="368" spans="3:4" ht="15" customHeight="1">
      <c r="C368" s="601">
        <f ca="1">+'Stock Data'!AM179</f>
        <v>45779</v>
      </c>
      <c r="D368" s="575">
        <f ca="1">_xlfn.XLOOKUP(C368,'Stock Data'!$AM$4:$AM$1051,'Stock Data'!$AN$4:$AN$1051)</f>
        <v>23.004999999999999</v>
      </c>
    </row>
    <row r="369" spans="3:4" ht="15" customHeight="1">
      <c r="C369" s="601">
        <f ca="1">+'Stock Data'!AM180</f>
        <v>45778</v>
      </c>
      <c r="D369" s="575">
        <f ca="1">_xlfn.XLOOKUP(C369,'Stock Data'!$AM$4:$AM$1051,'Stock Data'!$AN$4:$AN$1051)</f>
        <v>21.754999999999999</v>
      </c>
    </row>
    <row r="370" spans="3:4" ht="15" customHeight="1">
      <c r="C370" s="601">
        <f ca="1">+'Stock Data'!AM181</f>
        <v>45777</v>
      </c>
      <c r="D370" s="575">
        <f ca="1">_xlfn.XLOOKUP(C370,'Stock Data'!$AM$4:$AM$1051,'Stock Data'!$AN$4:$AN$1051)</f>
        <v>21.49</v>
      </c>
    </row>
    <row r="371" spans="3:4" ht="15" customHeight="1">
      <c r="C371" s="601">
        <f ca="1">+'Stock Data'!AM182</f>
        <v>45776</v>
      </c>
      <c r="D371" s="575">
        <f ca="1">_xlfn.XLOOKUP(C371,'Stock Data'!$AM$4:$AM$1051,'Stock Data'!$AN$4:$AN$1051)</f>
        <v>21.49</v>
      </c>
    </row>
    <row r="372" spans="3:4" ht="15" customHeight="1">
      <c r="C372" s="601">
        <f ca="1">+'Stock Data'!AM183</f>
        <v>45775</v>
      </c>
      <c r="D372" s="575">
        <f ca="1">_xlfn.XLOOKUP(C372,'Stock Data'!$AM$4:$AM$1051,'Stock Data'!$AN$4:$AN$1051)</f>
        <v>21.49</v>
      </c>
    </row>
    <row r="373" spans="3:4" ht="15" customHeight="1">
      <c r="C373" s="601">
        <f ca="1">+'Stock Data'!AM184</f>
        <v>45774</v>
      </c>
      <c r="D373" s="575">
        <f ca="1">_xlfn.XLOOKUP(C373,'Stock Data'!$AM$4:$AM$1051,'Stock Data'!$AN$4:$AN$1051)</f>
        <v>23.99</v>
      </c>
    </row>
    <row r="374" spans="3:4" ht="15" customHeight="1">
      <c r="C374" s="601">
        <f ca="1">+'Stock Data'!AM185</f>
        <v>45773</v>
      </c>
      <c r="D374" s="575">
        <f ca="1">_xlfn.XLOOKUP(C374,'Stock Data'!$AM$4:$AM$1051,'Stock Data'!$AN$4:$AN$1051)</f>
        <v>22.925000000000001</v>
      </c>
    </row>
    <row r="375" spans="3:4" ht="15" customHeight="1">
      <c r="C375" s="601">
        <f ca="1">+'Stock Data'!AM186</f>
        <v>45772</v>
      </c>
      <c r="D375" s="575">
        <f ca="1">_xlfn.XLOOKUP(C375,'Stock Data'!$AM$4:$AM$1051,'Stock Data'!$AN$4:$AN$1051)</f>
        <v>26.515000000000001</v>
      </c>
    </row>
    <row r="376" spans="3:4" ht="15" customHeight="1">
      <c r="C376" s="601">
        <f ca="1">+'Stock Data'!AM187</f>
        <v>45771</v>
      </c>
      <c r="D376" s="575">
        <f ca="1">_xlfn.XLOOKUP(C376,'Stock Data'!$AM$4:$AM$1051,'Stock Data'!$AN$4:$AN$1051)</f>
        <v>26.265000000000001</v>
      </c>
    </row>
    <row r="377" spans="3:4" ht="15" customHeight="1">
      <c r="C377" s="601">
        <f ca="1">+'Stock Data'!AM188</f>
        <v>45770</v>
      </c>
      <c r="D377" s="575">
        <f ca="1">_xlfn.XLOOKUP(C377,'Stock Data'!$AM$4:$AM$1051,'Stock Data'!$AN$4:$AN$1051)</f>
        <v>26.65</v>
      </c>
    </row>
    <row r="378" spans="3:4" ht="15" customHeight="1">
      <c r="C378" s="601">
        <f ca="1">+'Stock Data'!AM189</f>
        <v>45769</v>
      </c>
      <c r="D378" s="575">
        <f ca="1">_xlfn.XLOOKUP(C378,'Stock Data'!$AM$4:$AM$1051,'Stock Data'!$AN$4:$AN$1051)</f>
        <v>26.65</v>
      </c>
    </row>
    <row r="379" spans="3:4" ht="15" customHeight="1">
      <c r="C379" s="601">
        <f ca="1">+'Stock Data'!AM190</f>
        <v>45768</v>
      </c>
      <c r="D379" s="575">
        <f ca="1">_xlfn.XLOOKUP(C379,'Stock Data'!$AM$4:$AM$1051,'Stock Data'!$AN$4:$AN$1051)</f>
        <v>26.65</v>
      </c>
    </row>
    <row r="380" spans="3:4" ht="15" customHeight="1">
      <c r="C380" s="601">
        <f ca="1">+'Stock Data'!AM191</f>
        <v>45767</v>
      </c>
      <c r="D380" s="575">
        <f ca="1">_xlfn.XLOOKUP(C380,'Stock Data'!$AM$4:$AM$1051,'Stock Data'!$AN$4:$AN$1051)</f>
        <v>25.8</v>
      </c>
    </row>
    <row r="381" spans="3:4" ht="15" customHeight="1">
      <c r="C381" s="601">
        <f ca="1">+'Stock Data'!AM192</f>
        <v>45766</v>
      </c>
      <c r="D381" s="575">
        <f ca="1">_xlfn.XLOOKUP(C381,'Stock Data'!$AM$4:$AM$1051,'Stock Data'!$AN$4:$AN$1051)</f>
        <v>25.73</v>
      </c>
    </row>
    <row r="382" spans="3:4" ht="15" customHeight="1">
      <c r="C382" s="601">
        <f ca="1">+'Stock Data'!AM193</f>
        <v>45765</v>
      </c>
      <c r="D382" s="575">
        <f ca="1">_xlfn.XLOOKUP(C382,'Stock Data'!$AM$4:$AM$1051,'Stock Data'!$AN$4:$AN$1051)</f>
        <v>26.02</v>
      </c>
    </row>
    <row r="383" spans="3:4" ht="15" customHeight="1">
      <c r="C383" s="601">
        <f ca="1">+'Stock Data'!AM194</f>
        <v>45764</v>
      </c>
      <c r="D383" s="575">
        <f ca="1">_xlfn.XLOOKUP(C383,'Stock Data'!$AM$4:$AM$1051,'Stock Data'!$AN$4:$AN$1051)</f>
        <v>26.02</v>
      </c>
    </row>
    <row r="384" spans="3:4" ht="15" customHeight="1">
      <c r="C384" s="601">
        <f ca="1">+'Stock Data'!AM195</f>
        <v>45763</v>
      </c>
      <c r="D384" s="575">
        <f ca="1">_xlfn.XLOOKUP(C384,'Stock Data'!$AM$4:$AM$1051,'Stock Data'!$AN$4:$AN$1051)</f>
        <v>26.02</v>
      </c>
    </row>
    <row r="385" spans="3:4" ht="15" customHeight="1">
      <c r="C385" s="601">
        <f ca="1">+'Stock Data'!AM196</f>
        <v>45762</v>
      </c>
      <c r="D385" s="575">
        <f ca="1">_xlfn.XLOOKUP(C385,'Stock Data'!$AM$4:$AM$1051,'Stock Data'!$AN$4:$AN$1051)</f>
        <v>26.02</v>
      </c>
    </row>
    <row r="386" spans="3:4" ht="15" customHeight="1">
      <c r="C386" s="601">
        <f ca="1">+'Stock Data'!AM197</f>
        <v>45761</v>
      </c>
      <c r="D386" s="575">
        <f ca="1">_xlfn.XLOOKUP(C386,'Stock Data'!$AM$4:$AM$1051,'Stock Data'!$AN$4:$AN$1051)</f>
        <v>26.02</v>
      </c>
    </row>
    <row r="387" spans="3:4" ht="15" customHeight="1">
      <c r="C387" s="601">
        <f ca="1">+'Stock Data'!AM198</f>
        <v>45760</v>
      </c>
      <c r="D387" s="575">
        <f ca="1">_xlfn.XLOOKUP(C387,'Stock Data'!$AM$4:$AM$1051,'Stock Data'!$AN$4:$AN$1051)</f>
        <v>27.045000000000002</v>
      </c>
    </row>
    <row r="388" spans="3:4" ht="15" customHeight="1">
      <c r="C388" s="601">
        <f ca="1">+'Stock Data'!AM199</f>
        <v>45759</v>
      </c>
      <c r="D388" s="575">
        <f ca="1">_xlfn.XLOOKUP(C388,'Stock Data'!$AM$4:$AM$1051,'Stock Data'!$AN$4:$AN$1051)</f>
        <v>26.72</v>
      </c>
    </row>
    <row r="389" spans="3:4" ht="15" customHeight="1">
      <c r="C389" s="601">
        <f ca="1">+'Stock Data'!AM200</f>
        <v>45758</v>
      </c>
      <c r="D389" s="575">
        <f ca="1">_xlfn.XLOOKUP(C389,'Stock Data'!$AM$4:$AM$1051,'Stock Data'!$AN$4:$AN$1051)</f>
        <v>27.715</v>
      </c>
    </row>
    <row r="390" spans="3:4" ht="15" customHeight="1">
      <c r="C390" s="601">
        <f ca="1">+'Stock Data'!AM201</f>
        <v>45757</v>
      </c>
      <c r="D390" s="575">
        <f ca="1">_xlfn.XLOOKUP(C390,'Stock Data'!$AM$4:$AM$1051,'Stock Data'!$AN$4:$AN$1051)</f>
        <v>28.69</v>
      </c>
    </row>
    <row r="391" spans="3:4" ht="15" customHeight="1">
      <c r="C391" s="601">
        <f ca="1">+'Stock Data'!AM202</f>
        <v>45756</v>
      </c>
      <c r="D391" s="575">
        <f ca="1">_xlfn.XLOOKUP(C391,'Stock Data'!$AM$4:$AM$1051,'Stock Data'!$AN$4:$AN$1051)</f>
        <v>31.024999999999999</v>
      </c>
    </row>
    <row r="392" spans="3:4" ht="15" customHeight="1">
      <c r="C392" s="601">
        <f ca="1">+'Stock Data'!AM203</f>
        <v>45755</v>
      </c>
      <c r="D392" s="575">
        <f ca="1">_xlfn.XLOOKUP(C392,'Stock Data'!$AM$4:$AM$1051,'Stock Data'!$AN$4:$AN$1051)</f>
        <v>31.024999999999999</v>
      </c>
    </row>
    <row r="393" spans="3:4" ht="15" customHeight="1">
      <c r="C393" s="601">
        <f ca="1">+'Stock Data'!AM204</f>
        <v>45754</v>
      </c>
      <c r="D393" s="575">
        <f ca="1">_xlfn.XLOOKUP(C393,'Stock Data'!$AM$4:$AM$1051,'Stock Data'!$AN$4:$AN$1051)</f>
        <v>31.024999999999999</v>
      </c>
    </row>
    <row r="394" spans="3:4" ht="15" customHeight="1">
      <c r="C394" s="601">
        <f ca="1">+'Stock Data'!AM205</f>
        <v>45753</v>
      </c>
      <c r="D394" s="575">
        <f ca="1">_xlfn.XLOOKUP(C394,'Stock Data'!$AM$4:$AM$1051,'Stock Data'!$AN$4:$AN$1051)</f>
        <v>31.84</v>
      </c>
    </row>
    <row r="395" spans="3:4" ht="15" customHeight="1">
      <c r="C395" s="601">
        <f ca="1">+'Stock Data'!AM206</f>
        <v>45752</v>
      </c>
      <c r="D395" s="575">
        <f ca="1">_xlfn.XLOOKUP(C395,'Stock Data'!$AM$4:$AM$1051,'Stock Data'!$AN$4:$AN$1051)</f>
        <v>31.725000000000001</v>
      </c>
    </row>
    <row r="396" spans="3:4" ht="15" customHeight="1">
      <c r="C396" s="601">
        <f ca="1">+'Stock Data'!AM207</f>
        <v>45751</v>
      </c>
      <c r="D396" s="575">
        <f ca="1">_xlfn.XLOOKUP(C396,'Stock Data'!$AM$4:$AM$1051,'Stock Data'!$AN$4:$AN$1051)</f>
        <v>32.85</v>
      </c>
    </row>
    <row r="397" spans="3:4" ht="15" customHeight="1">
      <c r="C397" s="601">
        <f ca="1">+'Stock Data'!AM208</f>
        <v>45750</v>
      </c>
      <c r="D397" s="575">
        <f ca="1">_xlfn.XLOOKUP(C397,'Stock Data'!$AM$4:$AM$1051,'Stock Data'!$AN$4:$AN$1051)</f>
        <v>31.96</v>
      </c>
    </row>
    <row r="398" spans="3:4" ht="15" customHeight="1">
      <c r="C398" s="601">
        <f ca="1">+'Stock Data'!AM209</f>
        <v>45749</v>
      </c>
      <c r="D398" s="575">
        <f ca="1">_xlfn.XLOOKUP(C398,'Stock Data'!$AM$4:$AM$1051,'Stock Data'!$AN$4:$AN$1051)</f>
        <v>32.034999999999997</v>
      </c>
    </row>
    <row r="399" spans="3:4" ht="15" customHeight="1">
      <c r="C399" s="601">
        <f ca="1">+'Stock Data'!AM210</f>
        <v>45748</v>
      </c>
      <c r="D399" s="575">
        <f ca="1">_xlfn.XLOOKUP(C399,'Stock Data'!$AM$4:$AM$1051,'Stock Data'!$AN$4:$AN$1051)</f>
        <v>32.034999999999997</v>
      </c>
    </row>
    <row r="400" spans="3:4" ht="15" customHeight="1">
      <c r="C400" s="601">
        <f ca="1">+'Stock Data'!AM211</f>
        <v>45747</v>
      </c>
      <c r="D400" s="575">
        <f ca="1">_xlfn.XLOOKUP(C400,'Stock Data'!$AM$4:$AM$1051,'Stock Data'!$AN$4:$AN$1051)</f>
        <v>32.034999999999997</v>
      </c>
    </row>
    <row r="401" spans="3:4" ht="15" customHeight="1">
      <c r="C401" s="601">
        <f ca="1">+'Stock Data'!AM212</f>
        <v>45746</v>
      </c>
      <c r="D401" s="575">
        <f ca="1">_xlfn.XLOOKUP(C401,'Stock Data'!$AM$4:$AM$1051,'Stock Data'!$AN$4:$AN$1051)</f>
        <v>31.15</v>
      </c>
    </row>
    <row r="402" spans="3:4" ht="15" customHeight="1">
      <c r="C402" s="601">
        <f ca="1">+'Stock Data'!AM213</f>
        <v>45745</v>
      </c>
      <c r="D402" s="575">
        <f ca="1">_xlfn.XLOOKUP(C402,'Stock Data'!$AM$4:$AM$1051,'Stock Data'!$AN$4:$AN$1051)</f>
        <v>31.425000000000001</v>
      </c>
    </row>
    <row r="403" spans="3:4" ht="15" customHeight="1">
      <c r="C403" s="601">
        <f ca="1">+'Stock Data'!AM214</f>
        <v>45744</v>
      </c>
      <c r="D403" s="575">
        <f ca="1">_xlfn.XLOOKUP(C403,'Stock Data'!$AM$4:$AM$1051,'Stock Data'!$AN$4:$AN$1051)</f>
        <v>32.71</v>
      </c>
    </row>
    <row r="404" spans="3:4" ht="15" customHeight="1">
      <c r="C404" s="601">
        <f ca="1">+'Stock Data'!AM215</f>
        <v>45743</v>
      </c>
      <c r="D404" s="575">
        <f ca="1">_xlfn.XLOOKUP(C404,'Stock Data'!$AM$4:$AM$1051,'Stock Data'!$AN$4:$AN$1051)</f>
        <v>33.299999999999997</v>
      </c>
    </row>
    <row r="405" spans="3:4" ht="15" customHeight="1">
      <c r="C405" s="601">
        <f ca="1">+'Stock Data'!AM216</f>
        <v>45742</v>
      </c>
      <c r="D405" s="575">
        <f ca="1">_xlfn.XLOOKUP(C405,'Stock Data'!$AM$4:$AM$1051,'Stock Data'!$AN$4:$AN$1051)</f>
        <v>33.83</v>
      </c>
    </row>
    <row r="406" spans="3:4" ht="15" customHeight="1">
      <c r="C406" s="601">
        <f ca="1">+'Stock Data'!AM217</f>
        <v>45741</v>
      </c>
      <c r="D406" s="575">
        <f ca="1">_xlfn.XLOOKUP(C406,'Stock Data'!$AM$4:$AM$1051,'Stock Data'!$AN$4:$AN$1051)</f>
        <v>33.83</v>
      </c>
    </row>
    <row r="407" spans="3:4" ht="15" customHeight="1">
      <c r="C407" s="601">
        <f ca="1">+'Stock Data'!AM218</f>
        <v>45740</v>
      </c>
      <c r="D407" s="575">
        <f ca="1">_xlfn.XLOOKUP(C407,'Stock Data'!$AM$4:$AM$1051,'Stock Data'!$AN$4:$AN$1051)</f>
        <v>33.83</v>
      </c>
    </row>
    <row r="408" spans="3:4" ht="15" customHeight="1">
      <c r="C408" s="601">
        <f ca="1">+'Stock Data'!AM219</f>
        <v>45739</v>
      </c>
      <c r="D408" s="575">
        <f ca="1">_xlfn.XLOOKUP(C408,'Stock Data'!$AM$4:$AM$1051,'Stock Data'!$AN$4:$AN$1051)</f>
        <v>34.32</v>
      </c>
    </row>
    <row r="409" spans="3:4" ht="15" customHeight="1">
      <c r="C409" s="601">
        <f ca="1">+'Stock Data'!AM220</f>
        <v>45738</v>
      </c>
      <c r="D409" s="575">
        <f ca="1">_xlfn.XLOOKUP(C409,'Stock Data'!$AM$4:$AM$1051,'Stock Data'!$AN$4:$AN$1051)</f>
        <v>33.475000000000001</v>
      </c>
    </row>
    <row r="410" spans="3:4" ht="15" customHeight="1">
      <c r="C410" s="601">
        <f ca="1">+'Stock Data'!AM221</f>
        <v>45737</v>
      </c>
      <c r="D410" s="575">
        <f ca="1">_xlfn.XLOOKUP(C410,'Stock Data'!$AM$4:$AM$1051,'Stock Data'!$AN$4:$AN$1051)</f>
        <v>33.68</v>
      </c>
    </row>
    <row r="411" spans="3:4" ht="15" customHeight="1">
      <c r="C411" s="601">
        <f ca="1">+'Stock Data'!AM222</f>
        <v>45736</v>
      </c>
      <c r="D411" s="575">
        <f ca="1">_xlfn.XLOOKUP(C411,'Stock Data'!$AM$4:$AM$1051,'Stock Data'!$AN$4:$AN$1051)</f>
        <v>34.164999999999999</v>
      </c>
    </row>
    <row r="412" spans="3:4" ht="15" customHeight="1">
      <c r="C412" s="601">
        <f ca="1">+'Stock Data'!AM223</f>
        <v>45735</v>
      </c>
      <c r="D412" s="575">
        <f ca="1">_xlfn.XLOOKUP(C412,'Stock Data'!$AM$4:$AM$1051,'Stock Data'!$AN$4:$AN$1051)</f>
        <v>34.17</v>
      </c>
    </row>
    <row r="413" spans="3:4" ht="15" customHeight="1">
      <c r="C413" s="601">
        <f ca="1">+'Stock Data'!AM224</f>
        <v>45734</v>
      </c>
      <c r="D413" s="575">
        <f ca="1">_xlfn.XLOOKUP(C413,'Stock Data'!$AM$4:$AM$1051,'Stock Data'!$AN$4:$AN$1051)</f>
        <v>34.17</v>
      </c>
    </row>
    <row r="414" spans="3:4" ht="15" customHeight="1">
      <c r="C414" s="601">
        <f ca="1">+'Stock Data'!AM225</f>
        <v>45733</v>
      </c>
      <c r="D414" s="575">
        <f ca="1">_xlfn.XLOOKUP(C414,'Stock Data'!$AM$4:$AM$1051,'Stock Data'!$AN$4:$AN$1051)</f>
        <v>34.17</v>
      </c>
    </row>
    <row r="415" spans="3:4" ht="15" customHeight="1">
      <c r="C415" s="601">
        <f ca="1">+'Stock Data'!AM226</f>
        <v>45732</v>
      </c>
      <c r="D415" s="575">
        <f ca="1">_xlfn.XLOOKUP(C415,'Stock Data'!$AM$4:$AM$1051,'Stock Data'!$AN$4:$AN$1051)</f>
        <v>34.755000000000003</v>
      </c>
    </row>
    <row r="416" spans="3:4" ht="15" customHeight="1">
      <c r="C416" s="601">
        <f ca="1">+'Stock Data'!AM227</f>
        <v>45731</v>
      </c>
      <c r="D416" s="575">
        <f ca="1">_xlfn.XLOOKUP(C416,'Stock Data'!$AM$4:$AM$1051,'Stock Data'!$AN$4:$AN$1051)</f>
        <v>33.65</v>
      </c>
    </row>
    <row r="417" spans="3:4" ht="15" customHeight="1">
      <c r="C417" s="601">
        <f ca="1">+'Stock Data'!AM228</f>
        <v>45730</v>
      </c>
      <c r="D417" s="575">
        <f ca="1">_xlfn.XLOOKUP(C417,'Stock Data'!$AM$4:$AM$1051,'Stock Data'!$AN$4:$AN$1051)</f>
        <v>33.734999999999999</v>
      </c>
    </row>
    <row r="418" spans="3:4" ht="15" customHeight="1">
      <c r="C418" s="601">
        <f ca="1">+'Stock Data'!AM229</f>
        <v>45729</v>
      </c>
      <c r="D418" s="575">
        <f ca="1">_xlfn.XLOOKUP(C418,'Stock Data'!$AM$4:$AM$1051,'Stock Data'!$AN$4:$AN$1051)</f>
        <v>33.234999999999999</v>
      </c>
    </row>
    <row r="419" spans="3:4" ht="15" customHeight="1">
      <c r="C419" s="601">
        <f ca="1">+'Stock Data'!AM230</f>
        <v>45728</v>
      </c>
      <c r="D419" s="575">
        <f ca="1">_xlfn.XLOOKUP(C419,'Stock Data'!$AM$4:$AM$1051,'Stock Data'!$AN$4:$AN$1051)</f>
        <v>31.82</v>
      </c>
    </row>
    <row r="420" spans="3:4" ht="15" customHeight="1">
      <c r="C420" s="601">
        <f ca="1">+'Stock Data'!AM231</f>
        <v>45727</v>
      </c>
      <c r="D420" s="575">
        <f ca="1">_xlfn.XLOOKUP(C420,'Stock Data'!$AM$4:$AM$1051,'Stock Data'!$AN$4:$AN$1051)</f>
        <v>31.82</v>
      </c>
    </row>
    <row r="421" spans="3:4" ht="15" customHeight="1">
      <c r="C421" s="601">
        <f ca="1">+'Stock Data'!AM232</f>
        <v>45726</v>
      </c>
      <c r="D421" s="575">
        <f ca="1">_xlfn.XLOOKUP(C421,'Stock Data'!$AM$4:$AM$1051,'Stock Data'!$AN$4:$AN$1051)</f>
        <v>31.82</v>
      </c>
    </row>
    <row r="422" spans="3:4" ht="15" customHeight="1">
      <c r="C422" s="601">
        <f ca="1">+'Stock Data'!AM233</f>
        <v>45725</v>
      </c>
      <c r="D422" s="575">
        <f ca="1">_xlfn.XLOOKUP(C422,'Stock Data'!$AM$4:$AM$1051,'Stock Data'!$AN$4:$AN$1051)</f>
        <v>32.164999999999999</v>
      </c>
    </row>
    <row r="423" spans="3:4" ht="15" customHeight="1">
      <c r="C423" s="601">
        <f ca="1">+'Stock Data'!AM234</f>
        <v>45724</v>
      </c>
      <c r="D423" s="575">
        <f ca="1">_xlfn.XLOOKUP(C423,'Stock Data'!$AM$4:$AM$1051,'Stock Data'!$AN$4:$AN$1051)</f>
        <v>32.18</v>
      </c>
    </row>
    <row r="424" spans="3:4" ht="15" customHeight="1">
      <c r="C424" s="601">
        <f ca="1">+'Stock Data'!AM235</f>
        <v>45723</v>
      </c>
      <c r="D424" s="575">
        <f ca="1">_xlfn.XLOOKUP(C424,'Stock Data'!$AM$4:$AM$1051,'Stock Data'!$AN$4:$AN$1051)</f>
        <v>31.475000000000001</v>
      </c>
    </row>
    <row r="425" spans="3:4" ht="15" customHeight="1">
      <c r="C425" s="601">
        <f ca="1">+'Stock Data'!AM236</f>
        <v>45722</v>
      </c>
      <c r="D425" s="575">
        <f ca="1">_xlfn.XLOOKUP(C425,'Stock Data'!$AM$4:$AM$1051,'Stock Data'!$AN$4:$AN$1051)</f>
        <v>31.385000000000002</v>
      </c>
    </row>
    <row r="426" spans="3:4" ht="15" customHeight="1">
      <c r="C426" s="601">
        <f ca="1">+'Stock Data'!AM237</f>
        <v>45721</v>
      </c>
      <c r="D426" s="575">
        <f ca="1">_xlfn.XLOOKUP(C426,'Stock Data'!$AM$4:$AM$1051,'Stock Data'!$AN$4:$AN$1051)</f>
        <v>30.35</v>
      </c>
    </row>
    <row r="427" spans="3:4" ht="15" customHeight="1">
      <c r="C427" s="601">
        <f ca="1">+'Stock Data'!AM238</f>
        <v>45720</v>
      </c>
      <c r="D427" s="575">
        <f ca="1">_xlfn.XLOOKUP(C427,'Stock Data'!$AM$4:$AM$1051,'Stock Data'!$AN$4:$AN$1051)</f>
        <v>30.35</v>
      </c>
    </row>
    <row r="428" spans="3:4" ht="15" customHeight="1">
      <c r="C428" s="601">
        <f ca="1">+'Stock Data'!AM239</f>
        <v>45719</v>
      </c>
      <c r="D428" s="575">
        <f ca="1">_xlfn.XLOOKUP(C428,'Stock Data'!$AM$4:$AM$1051,'Stock Data'!$AN$4:$AN$1051)</f>
        <v>30.35</v>
      </c>
    </row>
    <row r="429" spans="3:4" ht="15" customHeight="1">
      <c r="C429" s="601">
        <f ca="1">+'Stock Data'!AM240</f>
        <v>45718</v>
      </c>
      <c r="D429" s="575">
        <f ca="1">_xlfn.XLOOKUP(C429,'Stock Data'!$AM$4:$AM$1051,'Stock Data'!$AN$4:$AN$1051)</f>
        <v>30.69</v>
      </c>
    </row>
    <row r="430" spans="3:4" ht="15" customHeight="1">
      <c r="C430" s="601">
        <f ca="1">+'Stock Data'!AM241</f>
        <v>45717</v>
      </c>
      <c r="D430" s="575">
        <f ca="1">_xlfn.XLOOKUP(C430,'Stock Data'!$AM$4:$AM$1051,'Stock Data'!$AN$4:$AN$1051)</f>
        <v>31.405000000000001</v>
      </c>
    </row>
    <row r="431" spans="3:4" ht="15" customHeight="1">
      <c r="C431" s="601">
        <f ca="1">+'Stock Data'!AM242</f>
        <v>45716</v>
      </c>
      <c r="D431" s="575">
        <f ca="1">_xlfn.XLOOKUP(C431,'Stock Data'!$AM$4:$AM$1051,'Stock Data'!$AN$4:$AN$1051)</f>
        <v>30.29</v>
      </c>
    </row>
    <row r="432" spans="3:4" ht="15" customHeight="1">
      <c r="C432" s="601">
        <f ca="1">+'Stock Data'!AM243</f>
        <v>45715</v>
      </c>
      <c r="D432" s="575">
        <f ca="1">_xlfn.XLOOKUP(C432,'Stock Data'!$AM$4:$AM$1051,'Stock Data'!$AN$4:$AN$1051)</f>
        <v>29.725000000000001</v>
      </c>
    </row>
    <row r="433" spans="3:4" ht="15" customHeight="1">
      <c r="C433" s="601">
        <f ca="1">+'Stock Data'!AM244</f>
        <v>45714</v>
      </c>
      <c r="D433" s="575">
        <f ca="1">_xlfn.XLOOKUP(C433,'Stock Data'!$AM$4:$AM$1051,'Stock Data'!$AN$4:$AN$1051)</f>
        <v>30.12</v>
      </c>
    </row>
    <row r="434" spans="3:4" ht="15" customHeight="1">
      <c r="C434" s="601">
        <f ca="1">+'Stock Data'!AM245</f>
        <v>45713</v>
      </c>
      <c r="D434" s="575">
        <f ca="1">_xlfn.XLOOKUP(C434,'Stock Data'!$AM$4:$AM$1051,'Stock Data'!$AN$4:$AN$1051)</f>
        <v>30.12</v>
      </c>
    </row>
    <row r="435" spans="3:4" ht="15" customHeight="1">
      <c r="C435" s="601">
        <f ca="1">+'Stock Data'!AM246</f>
        <v>45712</v>
      </c>
      <c r="D435" s="575">
        <f ca="1">_xlfn.XLOOKUP(C435,'Stock Data'!$AM$4:$AM$1051,'Stock Data'!$AN$4:$AN$1051)</f>
        <v>30.12</v>
      </c>
    </row>
    <row r="436" spans="3:4" ht="15" customHeight="1">
      <c r="C436" s="601">
        <f ca="1">+'Stock Data'!AM247</f>
        <v>45711</v>
      </c>
      <c r="D436" s="575">
        <f ca="1">_xlfn.XLOOKUP(C436,'Stock Data'!$AM$4:$AM$1051,'Stock Data'!$AN$4:$AN$1051)</f>
        <v>30.585000000000001</v>
      </c>
    </row>
    <row r="437" spans="3:4" ht="15" customHeight="1">
      <c r="C437" s="601">
        <f ca="1">+'Stock Data'!AM248</f>
        <v>45710</v>
      </c>
      <c r="D437" s="575">
        <f ca="1">_xlfn.XLOOKUP(C437,'Stock Data'!$AM$4:$AM$1051,'Stock Data'!$AN$4:$AN$1051)</f>
        <v>30.675000000000001</v>
      </c>
    </row>
    <row r="438" spans="3:4" ht="15" customHeight="1">
      <c r="C438" s="601">
        <f ca="1">+'Stock Data'!AM249</f>
        <v>45709</v>
      </c>
      <c r="D438" s="575">
        <f ca="1">_xlfn.XLOOKUP(C438,'Stock Data'!$AM$4:$AM$1051,'Stock Data'!$AN$4:$AN$1051)</f>
        <v>31.36</v>
      </c>
    </row>
    <row r="439" spans="3:4" ht="15" customHeight="1">
      <c r="C439" s="601">
        <f ca="1">+'Stock Data'!AM250</f>
        <v>45708</v>
      </c>
      <c r="D439" s="575">
        <f ca="1">_xlfn.XLOOKUP(C439,'Stock Data'!$AM$4:$AM$1051,'Stock Data'!$AN$4:$AN$1051)</f>
        <v>30.515000000000001</v>
      </c>
    </row>
    <row r="440" spans="3:4" ht="15" customHeight="1">
      <c r="C440" s="601">
        <f ca="1">+'Stock Data'!AM251</f>
        <v>45707</v>
      </c>
      <c r="D440" s="575">
        <f ca="1">_xlfn.XLOOKUP(C440,'Stock Data'!$AM$4:$AM$1051,'Stock Data'!$AN$4:$AN$1051)</f>
        <v>28.925000000000001</v>
      </c>
    </row>
    <row r="441" spans="3:4" ht="15" customHeight="1">
      <c r="C441" s="601">
        <f ca="1">+'Stock Data'!AM252</f>
        <v>45706</v>
      </c>
      <c r="D441" s="575">
        <f ca="1">_xlfn.XLOOKUP(C441,'Stock Data'!$AM$4:$AM$1051,'Stock Data'!$AN$4:$AN$1051)</f>
        <v>28.925000000000001</v>
      </c>
    </row>
    <row r="442" spans="3:4" ht="15" customHeight="1">
      <c r="C442" s="601">
        <f ca="1">+'Stock Data'!AM253</f>
        <v>45705</v>
      </c>
      <c r="D442" s="575">
        <f ca="1">_xlfn.XLOOKUP(C442,'Stock Data'!$AM$4:$AM$1051,'Stock Data'!$AN$4:$AN$1051)</f>
        <v>28.925000000000001</v>
      </c>
    </row>
    <row r="443" spans="3:4" ht="15" customHeight="1">
      <c r="C443" s="601">
        <f ca="1">+'Stock Data'!AM254</f>
        <v>45704</v>
      </c>
      <c r="D443" s="575">
        <f ca="1">_xlfn.XLOOKUP(C443,'Stock Data'!$AM$4:$AM$1051,'Stock Data'!$AN$4:$AN$1051)</f>
        <v>29.135000000000002</v>
      </c>
    </row>
    <row r="444" spans="3:4" ht="15" customHeight="1">
      <c r="C444" s="601">
        <f ca="1">+'Stock Data'!AM255</f>
        <v>45703</v>
      </c>
      <c r="D444" s="575">
        <f ca="1">_xlfn.XLOOKUP(C444,'Stock Data'!$AM$4:$AM$1051,'Stock Data'!$AN$4:$AN$1051)</f>
        <v>29.5</v>
      </c>
    </row>
    <row r="445" spans="3:4" ht="15" customHeight="1">
      <c r="C445" s="601">
        <f ca="1">+'Stock Data'!AM256</f>
        <v>45702</v>
      </c>
      <c r="D445" s="575">
        <f ca="1">_xlfn.XLOOKUP(C445,'Stock Data'!$AM$4:$AM$1051,'Stock Data'!$AN$4:$AN$1051)</f>
        <v>29.5</v>
      </c>
    </row>
    <row r="446" spans="3:4" ht="15" customHeight="1">
      <c r="C446" s="601">
        <f ca="1">+'Stock Data'!AM257</f>
        <v>45701</v>
      </c>
      <c r="D446" s="575">
        <f ca="1">_xlfn.XLOOKUP(C446,'Stock Data'!$AM$4:$AM$1051,'Stock Data'!$AN$4:$AN$1051)</f>
        <v>29.5</v>
      </c>
    </row>
    <row r="447" spans="3:4" ht="15" customHeight="1">
      <c r="C447" s="601">
        <f ca="1">+'Stock Data'!AM258</f>
        <v>45700</v>
      </c>
      <c r="D447" s="575">
        <f ca="1">_xlfn.XLOOKUP(C447,'Stock Data'!$AM$4:$AM$1051,'Stock Data'!$AN$4:$AN$1051)</f>
        <v>29.11</v>
      </c>
    </row>
    <row r="448" spans="3:4" ht="15" customHeight="1">
      <c r="C448" s="601">
        <f ca="1">+'Stock Data'!AM259</f>
        <v>45699</v>
      </c>
      <c r="D448" s="575">
        <f ca="1">_xlfn.XLOOKUP(C448,'Stock Data'!$AM$4:$AM$1051,'Stock Data'!$AN$4:$AN$1051)</f>
        <v>29.11</v>
      </c>
    </row>
    <row r="449" spans="3:4" ht="15" customHeight="1">
      <c r="C449" s="601">
        <f ca="1">+'Stock Data'!AM260</f>
        <v>45698</v>
      </c>
      <c r="D449" s="575">
        <f ca="1">_xlfn.XLOOKUP(C449,'Stock Data'!$AM$4:$AM$1051,'Stock Data'!$AN$4:$AN$1051)</f>
        <v>29.11</v>
      </c>
    </row>
    <row r="450" spans="3:4" ht="15" customHeight="1">
      <c r="C450" s="601">
        <f ca="1">+'Stock Data'!AM261</f>
        <v>45697</v>
      </c>
      <c r="D450" s="575">
        <f ca="1">_xlfn.XLOOKUP(C450,'Stock Data'!$AM$4:$AM$1051,'Stock Data'!$AN$4:$AN$1051)</f>
        <v>28.785</v>
      </c>
    </row>
    <row r="451" spans="3:4" ht="15" customHeight="1">
      <c r="C451" s="601">
        <f ca="1">+'Stock Data'!AM262</f>
        <v>45696</v>
      </c>
      <c r="D451" s="575">
        <f ca="1">_xlfn.XLOOKUP(C451,'Stock Data'!$AM$4:$AM$1051,'Stock Data'!$AN$4:$AN$1051)</f>
        <v>29.335000000000001</v>
      </c>
    </row>
    <row r="452" spans="3:4" ht="15" customHeight="1">
      <c r="C452" s="601">
        <f ca="1">+'Stock Data'!AM263</f>
        <v>45695</v>
      </c>
      <c r="D452" s="575">
        <f ca="1">_xlfn.XLOOKUP(C452,'Stock Data'!$AM$4:$AM$1051,'Stock Data'!$AN$4:$AN$1051)</f>
        <v>29.335000000000001</v>
      </c>
    </row>
    <row r="453" spans="3:4" ht="15" customHeight="1">
      <c r="C453" s="601">
        <f ca="1">+'Stock Data'!AM264</f>
        <v>45694</v>
      </c>
      <c r="D453" s="575">
        <f ca="1">_xlfn.XLOOKUP(C453,'Stock Data'!$AM$4:$AM$1051,'Stock Data'!$AN$4:$AN$1051)</f>
        <v>29.335000000000001</v>
      </c>
    </row>
    <row r="454" spans="3:4" ht="15" customHeight="1">
      <c r="C454" s="601">
        <f ca="1">+'Stock Data'!AM265</f>
        <v>45693</v>
      </c>
      <c r="D454" s="575">
        <f ca="1">_xlfn.XLOOKUP(C454,'Stock Data'!$AM$4:$AM$1051,'Stock Data'!$AN$4:$AN$1051)</f>
        <v>30.88</v>
      </c>
    </row>
    <row r="455" spans="3:4" ht="15" customHeight="1">
      <c r="C455" s="601">
        <f ca="1">+'Stock Data'!AM266</f>
        <v>45692</v>
      </c>
      <c r="D455" s="575">
        <f ca="1">_xlfn.XLOOKUP(C455,'Stock Data'!$AM$4:$AM$1051,'Stock Data'!$AN$4:$AN$1051)</f>
        <v>30.88</v>
      </c>
    </row>
    <row r="456" spans="3:4" ht="15" customHeight="1">
      <c r="C456" s="601">
        <f ca="1">+'Stock Data'!AM267</f>
        <v>45691</v>
      </c>
      <c r="D456" s="575">
        <f ca="1">_xlfn.XLOOKUP(C456,'Stock Data'!$AM$4:$AM$1051,'Stock Data'!$AN$4:$AN$1051)</f>
        <v>30.88</v>
      </c>
    </row>
    <row r="457" spans="3:4" ht="15" customHeight="1">
      <c r="C457" s="601">
        <f ca="1">+'Stock Data'!AM268</f>
        <v>45690</v>
      </c>
      <c r="D457" s="575">
        <f ca="1">_xlfn.XLOOKUP(C457,'Stock Data'!$AM$4:$AM$1051,'Stock Data'!$AN$4:$AN$1051)</f>
        <v>29.46</v>
      </c>
    </row>
    <row r="458" spans="3:4" ht="15" customHeight="1">
      <c r="C458" s="601">
        <f ca="1">+'Stock Data'!AM269</f>
        <v>45689</v>
      </c>
      <c r="D458" s="575">
        <f ca="1">_xlfn.XLOOKUP(C458,'Stock Data'!$AM$4:$AM$1051,'Stock Data'!$AN$4:$AN$1051)</f>
        <v>28.925000000000001</v>
      </c>
    </row>
    <row r="459" spans="3:4" ht="15" customHeight="1">
      <c r="C459" s="601">
        <f ca="1">+'Stock Data'!AM270</f>
        <v>45688</v>
      </c>
      <c r="D459" s="575">
        <f ca="1">_xlfn.XLOOKUP(C459,'Stock Data'!$AM$4:$AM$1051,'Stock Data'!$AN$4:$AN$1051)</f>
        <v>30.84</v>
      </c>
    </row>
    <row r="460" spans="3:4" ht="15" customHeight="1">
      <c r="C460" s="601">
        <f ca="1">+'Stock Data'!AM271</f>
        <v>45687</v>
      </c>
      <c r="D460" s="575">
        <f ca="1">_xlfn.XLOOKUP(C460,'Stock Data'!$AM$4:$AM$1051,'Stock Data'!$AN$4:$AN$1051)</f>
        <v>30.58</v>
      </c>
    </row>
    <row r="461" spans="3:4" ht="15" customHeight="1">
      <c r="C461" s="601">
        <f ca="1">+'Stock Data'!AM272</f>
        <v>45686</v>
      </c>
      <c r="D461" s="575">
        <f ca="1">_xlfn.XLOOKUP(C461,'Stock Data'!$AM$4:$AM$1051,'Stock Data'!$AN$4:$AN$1051)</f>
        <v>30.885000000000002</v>
      </c>
    </row>
    <row r="462" spans="3:4" ht="15" customHeight="1">
      <c r="C462" s="601">
        <f ca="1">+'Stock Data'!AM273</f>
        <v>45685</v>
      </c>
      <c r="D462" s="575">
        <f ca="1">_xlfn.XLOOKUP(C462,'Stock Data'!$AM$4:$AM$1051,'Stock Data'!$AN$4:$AN$1051)</f>
        <v>30.885000000000002</v>
      </c>
    </row>
    <row r="463" spans="3:4" ht="15" customHeight="1">
      <c r="C463" s="601">
        <f ca="1">+'Stock Data'!AM274</f>
        <v>45684</v>
      </c>
      <c r="D463" s="575">
        <f ca="1">_xlfn.XLOOKUP(C463,'Stock Data'!$AM$4:$AM$1051,'Stock Data'!$AN$4:$AN$1051)</f>
        <v>30.885000000000002</v>
      </c>
    </row>
    <row r="464" spans="3:4" ht="15" customHeight="1">
      <c r="C464" s="601">
        <f ca="1">+'Stock Data'!AM275</f>
        <v>45683</v>
      </c>
      <c r="D464" s="575">
        <f ca="1">_xlfn.XLOOKUP(C464,'Stock Data'!$AM$4:$AM$1051,'Stock Data'!$AN$4:$AN$1051)</f>
        <v>32.075000000000003</v>
      </c>
    </row>
    <row r="465" spans="3:4" ht="15" customHeight="1">
      <c r="C465" s="601">
        <f ca="1">+'Stock Data'!AM276</f>
        <v>45682</v>
      </c>
      <c r="D465" s="575">
        <f ca="1">_xlfn.XLOOKUP(C465,'Stock Data'!$AM$4:$AM$1051,'Stock Data'!$AN$4:$AN$1051)</f>
        <v>33.89</v>
      </c>
    </row>
    <row r="466" spans="3:4" ht="15" customHeight="1">
      <c r="C466" s="601">
        <f ca="1">+'Stock Data'!AM277</f>
        <v>45681</v>
      </c>
      <c r="D466" s="575">
        <f ca="1">_xlfn.XLOOKUP(C466,'Stock Data'!$AM$4:$AM$1051,'Stock Data'!$AN$4:$AN$1051)</f>
        <v>33.93</v>
      </c>
    </row>
    <row r="467" spans="3:4" ht="15" customHeight="1">
      <c r="C467" s="601">
        <f ca="1">+'Stock Data'!AM278</f>
        <v>45680</v>
      </c>
      <c r="D467" s="575">
        <f ca="1">_xlfn.XLOOKUP(C467,'Stock Data'!$AM$4:$AM$1051,'Stock Data'!$AN$4:$AN$1051)</f>
        <v>32.674999999999997</v>
      </c>
    </row>
    <row r="468" spans="3:4" ht="15" customHeight="1">
      <c r="C468" s="601">
        <f ca="1">+'Stock Data'!AM279</f>
        <v>45679</v>
      </c>
      <c r="D468" s="575">
        <f ca="1">_xlfn.XLOOKUP(C468,'Stock Data'!$AM$4:$AM$1051,'Stock Data'!$AN$4:$AN$1051)</f>
        <v>33.875</v>
      </c>
    </row>
    <row r="469" spans="3:4" ht="15" customHeight="1">
      <c r="C469" s="601">
        <f ca="1">+'Stock Data'!AM280</f>
        <v>45678</v>
      </c>
      <c r="D469" s="575">
        <f ca="1">_xlfn.XLOOKUP(C469,'Stock Data'!$AM$4:$AM$1051,'Stock Data'!$AN$4:$AN$1051)</f>
        <v>33.875</v>
      </c>
    </row>
    <row r="470" spans="3:4" ht="15" customHeight="1">
      <c r="C470" s="601">
        <f ca="1">+'Stock Data'!AM281</f>
        <v>45677</v>
      </c>
      <c r="D470" s="575">
        <f ca="1">_xlfn.XLOOKUP(C470,'Stock Data'!$AM$4:$AM$1051,'Stock Data'!$AN$4:$AN$1051)</f>
        <v>33.875</v>
      </c>
    </row>
    <row r="471" spans="3:4" ht="15" customHeight="1">
      <c r="C471" s="601">
        <f ca="1">+'Stock Data'!AM282</f>
        <v>45676</v>
      </c>
      <c r="D471" s="575">
        <f ca="1">_xlfn.XLOOKUP(C471,'Stock Data'!$AM$4:$AM$1051,'Stock Data'!$AN$4:$AN$1051)</f>
        <v>35.395000000000003</v>
      </c>
    </row>
    <row r="472" spans="3:4" ht="15" customHeight="1">
      <c r="C472" s="601">
        <f ca="1">+'Stock Data'!AM283</f>
        <v>45675</v>
      </c>
      <c r="D472" s="575">
        <f ca="1">_xlfn.XLOOKUP(C472,'Stock Data'!$AM$4:$AM$1051,'Stock Data'!$AN$4:$AN$1051)</f>
        <v>35.11</v>
      </c>
    </row>
    <row r="473" spans="3:4" ht="15" customHeight="1">
      <c r="C473" s="601">
        <f ca="1">+'Stock Data'!AM284</f>
        <v>45674</v>
      </c>
      <c r="D473" s="575">
        <f ca="1">_xlfn.XLOOKUP(C473,'Stock Data'!$AM$4:$AM$1051,'Stock Data'!$AN$4:$AN$1051)</f>
        <v>36.685000000000002</v>
      </c>
    </row>
    <row r="474" spans="3:4" ht="15" customHeight="1">
      <c r="C474" s="601">
        <f ca="1">+'Stock Data'!AM285</f>
        <v>45673</v>
      </c>
      <c r="D474" s="575">
        <f ca="1">_xlfn.XLOOKUP(C474,'Stock Data'!$AM$4:$AM$1051,'Stock Data'!$AN$4:$AN$1051)</f>
        <v>36.875</v>
      </c>
    </row>
    <row r="475" spans="3:4" ht="15" customHeight="1">
      <c r="C475" s="601">
        <f ca="1">+'Stock Data'!AM286</f>
        <v>45672</v>
      </c>
      <c r="D475" s="575">
        <f ca="1">_xlfn.XLOOKUP(C475,'Stock Data'!$AM$4:$AM$1051,'Stock Data'!$AN$4:$AN$1051)</f>
        <v>36.700000000000003</v>
      </c>
    </row>
    <row r="476" spans="3:4" ht="15" customHeight="1">
      <c r="C476" s="601">
        <f ca="1">+'Stock Data'!AM287</f>
        <v>45671</v>
      </c>
      <c r="D476" s="575">
        <f ca="1">_xlfn.XLOOKUP(C476,'Stock Data'!$AM$4:$AM$1051,'Stock Data'!$AN$4:$AN$1051)</f>
        <v>36.700000000000003</v>
      </c>
    </row>
    <row r="477" spans="3:4" ht="15" customHeight="1">
      <c r="C477" s="601">
        <f ca="1">+'Stock Data'!AM288</f>
        <v>45670</v>
      </c>
      <c r="D477" s="575">
        <f ca="1">_xlfn.XLOOKUP(C477,'Stock Data'!$AM$4:$AM$1051,'Stock Data'!$AN$4:$AN$1051)</f>
        <v>36.700000000000003</v>
      </c>
    </row>
    <row r="478" spans="3:4" ht="15" customHeight="1">
      <c r="C478" s="601">
        <f ca="1">+'Stock Data'!AM289</f>
        <v>45669</v>
      </c>
      <c r="D478" s="575">
        <f ca="1">_xlfn.XLOOKUP(C478,'Stock Data'!$AM$4:$AM$1051,'Stock Data'!$AN$4:$AN$1051)</f>
        <v>35.625</v>
      </c>
    </row>
    <row r="479" spans="3:4" ht="15" customHeight="1">
      <c r="C479" s="601">
        <f ca="1">+'Stock Data'!AM290</f>
        <v>45668</v>
      </c>
      <c r="D479" s="575">
        <f ca="1">_xlfn.XLOOKUP(C479,'Stock Data'!$AM$4:$AM$1051,'Stock Data'!$AN$4:$AN$1051)</f>
        <v>39.274999999999999</v>
      </c>
    </row>
    <row r="480" spans="3:4" ht="15" customHeight="1">
      <c r="C480" s="601">
        <f ca="1">+'Stock Data'!AM291</f>
        <v>45667</v>
      </c>
      <c r="D480" s="575">
        <f ca="1">_xlfn.XLOOKUP(C480,'Stock Data'!$AM$4:$AM$1051,'Stock Data'!$AN$4:$AN$1051)</f>
        <v>42.53</v>
      </c>
    </row>
    <row r="481" spans="3:4" ht="15" customHeight="1">
      <c r="C481" s="601">
        <f ca="1">+'Stock Data'!AM292</f>
        <v>45666</v>
      </c>
      <c r="D481" s="575">
        <f ca="1">_xlfn.XLOOKUP(C481,'Stock Data'!$AM$4:$AM$1051,'Stock Data'!$AN$4:$AN$1051)</f>
        <v>41.8</v>
      </c>
    </row>
    <row r="482" spans="3:4" ht="15" customHeight="1">
      <c r="C482" s="601">
        <f ca="1">+'Stock Data'!AM293</f>
        <v>45665</v>
      </c>
      <c r="D482" s="575">
        <f ca="1">_xlfn.XLOOKUP(C482,'Stock Data'!$AM$4:$AM$1051,'Stock Data'!$AN$4:$AN$1051)</f>
        <v>40.799999999999997</v>
      </c>
    </row>
    <row r="483" spans="3:4" ht="15" customHeight="1">
      <c r="C483" s="601">
        <f ca="1">+'Stock Data'!AM294</f>
        <v>45664</v>
      </c>
      <c r="D483" s="575">
        <f ca="1">_xlfn.XLOOKUP(C483,'Stock Data'!$AM$4:$AM$1051,'Stock Data'!$AN$4:$AN$1051)</f>
        <v>40.799999999999997</v>
      </c>
    </row>
    <row r="484" spans="3:4" ht="15" customHeight="1">
      <c r="C484" s="601">
        <f ca="1">+'Stock Data'!AM295</f>
        <v>45663</v>
      </c>
      <c r="D484" s="575">
        <f ca="1">_xlfn.XLOOKUP(C484,'Stock Data'!$AM$4:$AM$1051,'Stock Data'!$AN$4:$AN$1051)</f>
        <v>40.799999999999997</v>
      </c>
    </row>
    <row r="485" spans="3:4" ht="15" customHeight="1">
      <c r="C485" s="601">
        <f ca="1">+'Stock Data'!AM296</f>
        <v>45662</v>
      </c>
      <c r="D485" s="575">
        <f ca="1">_xlfn.XLOOKUP(C485,'Stock Data'!$AM$4:$AM$1051,'Stock Data'!$AN$4:$AN$1051)</f>
        <v>39.805</v>
      </c>
    </row>
    <row r="486" spans="3:4" ht="15" customHeight="1">
      <c r="C486" s="601">
        <f ca="1">+'Stock Data'!AM297</f>
        <v>45661</v>
      </c>
      <c r="D486" s="575">
        <f ca="1">_xlfn.XLOOKUP(C486,'Stock Data'!$AM$4:$AM$1051,'Stock Data'!$AN$4:$AN$1051)</f>
        <v>41.134999999999998</v>
      </c>
    </row>
    <row r="487" spans="3:4" ht="15" customHeight="1">
      <c r="C487" s="601">
        <f ca="1">+'Stock Data'!AM298</f>
        <v>45660</v>
      </c>
      <c r="D487" s="575">
        <f ca="1">_xlfn.XLOOKUP(C487,'Stock Data'!$AM$4:$AM$1051,'Stock Data'!$AN$4:$AN$1051)</f>
        <v>41.134999999999998</v>
      </c>
    </row>
    <row r="488" spans="3:4" ht="15" customHeight="1">
      <c r="C488" s="601">
        <f ca="1">+'Stock Data'!AM299</f>
        <v>45659</v>
      </c>
      <c r="D488" s="575">
        <f ca="1">_xlfn.XLOOKUP(C488,'Stock Data'!$AM$4:$AM$1051,'Stock Data'!$AN$4:$AN$1051)</f>
        <v>41.82</v>
      </c>
    </row>
    <row r="489" spans="3:4" ht="15" customHeight="1">
      <c r="C489" s="601">
        <f ca="1">+'Stock Data'!AM300</f>
        <v>45658</v>
      </c>
      <c r="D489" s="575">
        <f ca="1">_xlfn.XLOOKUP(C489,'Stock Data'!$AM$4:$AM$1051,'Stock Data'!$AN$4:$AN$1051)</f>
        <v>42.115000000000002</v>
      </c>
    </row>
    <row r="490" spans="3:4" ht="15" customHeight="1">
      <c r="C490" s="601">
        <f ca="1">+'Stock Data'!AM301</f>
        <v>45657</v>
      </c>
      <c r="D490" s="575">
        <f ca="1">_xlfn.XLOOKUP(C490,'Stock Data'!$AM$4:$AM$1051,'Stock Data'!$AN$4:$AN$1051)</f>
        <v>42.115000000000002</v>
      </c>
    </row>
    <row r="491" spans="3:4" ht="15" customHeight="1">
      <c r="C491" s="601">
        <f ca="1">+'Stock Data'!AM302</f>
        <v>45656</v>
      </c>
      <c r="D491" s="575">
        <f ca="1">_xlfn.XLOOKUP(C491,'Stock Data'!$AM$4:$AM$1051,'Stock Data'!$AN$4:$AN$1051)</f>
        <v>42.115000000000002</v>
      </c>
    </row>
    <row r="492" spans="3:4" ht="15" customHeight="1">
      <c r="C492" s="601">
        <f ca="1">+'Stock Data'!AM303</f>
        <v>45655</v>
      </c>
      <c r="D492" s="575">
        <f ca="1">_xlfn.XLOOKUP(C492,'Stock Data'!$AM$4:$AM$1051,'Stock Data'!$AN$4:$AN$1051)</f>
        <v>42.115000000000002</v>
      </c>
    </row>
    <row r="493" spans="3:4" ht="15" customHeight="1">
      <c r="C493" s="601">
        <f ca="1">+'Stock Data'!AM304</f>
        <v>45654</v>
      </c>
      <c r="D493" s="575">
        <f ca="1">_xlfn.XLOOKUP(C493,'Stock Data'!$AM$4:$AM$1051,'Stock Data'!$AN$4:$AN$1051)</f>
        <v>41.18</v>
      </c>
    </row>
    <row r="494" spans="3:4" ht="15" customHeight="1">
      <c r="C494" s="601">
        <f ca="1">+'Stock Data'!AM305</f>
        <v>45653</v>
      </c>
      <c r="D494" s="575">
        <f ca="1">_xlfn.XLOOKUP(C494,'Stock Data'!$AM$4:$AM$1051,'Stock Data'!$AN$4:$AN$1051)</f>
        <v>40.125</v>
      </c>
    </row>
    <row r="495" spans="3:4" ht="15" customHeight="1">
      <c r="C495" s="601">
        <f ca="1">+'Stock Data'!AM306</f>
        <v>45652</v>
      </c>
      <c r="D495" s="575">
        <f ca="1">_xlfn.XLOOKUP(C495,'Stock Data'!$AM$4:$AM$1051,'Stock Data'!$AN$4:$AN$1051)</f>
        <v>40.44</v>
      </c>
    </row>
    <row r="496" spans="3:4" ht="15" customHeight="1">
      <c r="C496" s="601">
        <f ca="1">+'Stock Data'!AM307</f>
        <v>45651</v>
      </c>
      <c r="D496" s="575">
        <f ca="1">_xlfn.XLOOKUP(C496,'Stock Data'!$AM$4:$AM$1051,'Stock Data'!$AN$4:$AN$1051)</f>
        <v>40.25</v>
      </c>
    </row>
    <row r="497" spans="3:4" ht="15" customHeight="1">
      <c r="C497" s="601">
        <f ca="1">+'Stock Data'!AM308</f>
        <v>45650</v>
      </c>
      <c r="D497" s="575">
        <f ca="1">_xlfn.XLOOKUP(C497,'Stock Data'!$AM$4:$AM$1051,'Stock Data'!$AN$4:$AN$1051)</f>
        <v>40.25</v>
      </c>
    </row>
    <row r="498" spans="3:4" ht="15" customHeight="1">
      <c r="C498" s="601">
        <f ca="1">+'Stock Data'!AM309</f>
        <v>45649</v>
      </c>
      <c r="D498" s="575">
        <f ca="1">_xlfn.XLOOKUP(C498,'Stock Data'!$AM$4:$AM$1051,'Stock Data'!$AN$4:$AN$1051)</f>
        <v>40.25</v>
      </c>
    </row>
    <row r="499" spans="3:4" ht="15" customHeight="1">
      <c r="C499" s="601">
        <f ca="1">+'Stock Data'!AM310</f>
        <v>45648</v>
      </c>
      <c r="D499" s="575">
        <f ca="1">_xlfn.XLOOKUP(C499,'Stock Data'!$AM$4:$AM$1051,'Stock Data'!$AN$4:$AN$1051)</f>
        <v>40.365000000000002</v>
      </c>
    </row>
    <row r="500" spans="3:4" ht="15" customHeight="1">
      <c r="C500" s="601">
        <f ca="1">+'Stock Data'!AM311</f>
        <v>45647</v>
      </c>
      <c r="D500" s="575">
        <f ca="1">_xlfn.XLOOKUP(C500,'Stock Data'!$AM$4:$AM$1051,'Stock Data'!$AN$4:$AN$1051)</f>
        <v>41.005000000000003</v>
      </c>
    </row>
    <row r="501" spans="3:4" ht="15" customHeight="1">
      <c r="C501" s="601">
        <f ca="1">+'Stock Data'!AM312</f>
        <v>45646</v>
      </c>
      <c r="D501" s="575">
        <f ca="1">_xlfn.XLOOKUP(C501,'Stock Data'!$AM$4:$AM$1051,'Stock Data'!$AN$4:$AN$1051)</f>
        <v>41.354999999999997</v>
      </c>
    </row>
    <row r="502" spans="3:4" ht="15" customHeight="1">
      <c r="C502" s="601">
        <f ca="1">+'Stock Data'!AM313</f>
        <v>45645</v>
      </c>
      <c r="D502" s="575">
        <f ca="1">_xlfn.XLOOKUP(C502,'Stock Data'!$AM$4:$AM$1051,'Stock Data'!$AN$4:$AN$1051)</f>
        <v>41.44</v>
      </c>
    </row>
    <row r="503" spans="3:4" ht="15" customHeight="1">
      <c r="C503" s="601">
        <f ca="1">+'Stock Data'!AM314</f>
        <v>45644</v>
      </c>
      <c r="D503" s="575">
        <f ca="1">_xlfn.XLOOKUP(C503,'Stock Data'!$AM$4:$AM$1051,'Stock Data'!$AN$4:$AN$1051)</f>
        <v>40.1</v>
      </c>
    </row>
    <row r="504" spans="3:4" ht="15" customHeight="1">
      <c r="C504" s="601">
        <f ca="1">+'Stock Data'!AM315</f>
        <v>45643</v>
      </c>
      <c r="D504" s="575">
        <f ca="1">_xlfn.XLOOKUP(C504,'Stock Data'!$AM$4:$AM$1051,'Stock Data'!$AN$4:$AN$1051)</f>
        <v>40.1</v>
      </c>
    </row>
    <row r="505" spans="3:4" ht="15" customHeight="1">
      <c r="C505" s="601">
        <f ca="1">+'Stock Data'!AM316</f>
        <v>45642</v>
      </c>
      <c r="D505" s="575">
        <f ca="1">_xlfn.XLOOKUP(C505,'Stock Data'!$AM$4:$AM$1051,'Stock Data'!$AN$4:$AN$1051)</f>
        <v>40.1</v>
      </c>
    </row>
    <row r="506" spans="3:4" ht="15" customHeight="1">
      <c r="C506" s="601">
        <f ca="1">+'Stock Data'!AM317</f>
        <v>45641</v>
      </c>
      <c r="D506" s="575">
        <f ca="1">_xlfn.XLOOKUP(C506,'Stock Data'!$AM$4:$AM$1051,'Stock Data'!$AN$4:$AN$1051)</f>
        <v>41.23</v>
      </c>
    </row>
    <row r="507" spans="3:4" ht="15" customHeight="1">
      <c r="C507" s="601">
        <f ca="1">+'Stock Data'!AM318</f>
        <v>45640</v>
      </c>
      <c r="D507" s="575">
        <f ca="1">_xlfn.XLOOKUP(C507,'Stock Data'!$AM$4:$AM$1051,'Stock Data'!$AN$4:$AN$1051)</f>
        <v>40.695</v>
      </c>
    </row>
    <row r="508" spans="3:4" ht="15" customHeight="1">
      <c r="C508" s="601">
        <f ca="1">+'Stock Data'!AM319</f>
        <v>45639</v>
      </c>
      <c r="D508" s="575">
        <f ca="1">_xlfn.XLOOKUP(C508,'Stock Data'!$AM$4:$AM$1051,'Stock Data'!$AN$4:$AN$1051)</f>
        <v>40.164999999999999</v>
      </c>
    </row>
    <row r="509" spans="3:4" ht="15" customHeight="1">
      <c r="C509" s="601">
        <f ca="1">+'Stock Data'!AM320</f>
        <v>45638</v>
      </c>
      <c r="D509" s="575">
        <f ca="1">_xlfn.XLOOKUP(C509,'Stock Data'!$AM$4:$AM$1051,'Stock Data'!$AN$4:$AN$1051)</f>
        <v>40.85</v>
      </c>
    </row>
    <row r="510" spans="3:4" ht="15" customHeight="1">
      <c r="C510" s="601">
        <f ca="1">+'Stock Data'!AM321</f>
        <v>45637</v>
      </c>
      <c r="D510" s="575">
        <f ca="1">_xlfn.XLOOKUP(C510,'Stock Data'!$AM$4:$AM$1051,'Stock Data'!$AN$4:$AN$1051)</f>
        <v>40.534999999999997</v>
      </c>
    </row>
    <row r="511" spans="3:4" ht="15" customHeight="1">
      <c r="C511" s="601">
        <f ca="1">+'Stock Data'!AM322</f>
        <v>45636</v>
      </c>
      <c r="D511" s="575">
        <f ca="1">_xlfn.XLOOKUP(C511,'Stock Data'!$AM$4:$AM$1051,'Stock Data'!$AN$4:$AN$1051)</f>
        <v>40.534999999999997</v>
      </c>
    </row>
    <row r="512" spans="3:4" ht="15" customHeight="1">
      <c r="C512" s="601">
        <f ca="1">+'Stock Data'!AM323</f>
        <v>45635</v>
      </c>
      <c r="D512" s="575">
        <f ca="1">_xlfn.XLOOKUP(C512,'Stock Data'!$AM$4:$AM$1051,'Stock Data'!$AN$4:$AN$1051)</f>
        <v>40.534999999999997</v>
      </c>
    </row>
    <row r="513" spans="3:4" ht="15" customHeight="1">
      <c r="C513" s="601">
        <f ca="1">+'Stock Data'!AM324</f>
        <v>45634</v>
      </c>
      <c r="D513" s="575">
        <f ca="1">_xlfn.XLOOKUP(C513,'Stock Data'!$AM$4:$AM$1051,'Stock Data'!$AN$4:$AN$1051)</f>
        <v>41.524999999999999</v>
      </c>
    </row>
    <row r="514" spans="3:4" ht="15" customHeight="1">
      <c r="C514" s="601">
        <f ca="1">+'Stock Data'!AM325</f>
        <v>45633</v>
      </c>
      <c r="D514" s="575">
        <f ca="1">_xlfn.XLOOKUP(C514,'Stock Data'!$AM$4:$AM$1051,'Stock Data'!$AN$4:$AN$1051)</f>
        <v>40.305</v>
      </c>
    </row>
    <row r="515" spans="3:4" ht="15" customHeight="1">
      <c r="C515" s="601">
        <f ca="1">+'Stock Data'!AM326</f>
        <v>45632</v>
      </c>
      <c r="D515" s="575">
        <f ca="1">_xlfn.XLOOKUP(C515,'Stock Data'!$AM$4:$AM$1051,'Stock Data'!$AN$4:$AN$1051)</f>
        <v>40.234999999999999</v>
      </c>
    </row>
    <row r="516" spans="3:4" ht="15" customHeight="1">
      <c r="C516" s="601">
        <f ca="1">+'Stock Data'!AM327</f>
        <v>45631</v>
      </c>
      <c r="D516" s="575">
        <f ca="1">_xlfn.XLOOKUP(C516,'Stock Data'!$AM$4:$AM$1051,'Stock Data'!$AN$4:$AN$1051)</f>
        <v>40.880000000000003</v>
      </c>
    </row>
    <row r="517" spans="3:4" ht="15" customHeight="1">
      <c r="C517" s="601">
        <f ca="1">+'Stock Data'!AM328</f>
        <v>45630</v>
      </c>
      <c r="D517" s="575">
        <f ca="1">_xlfn.XLOOKUP(C517,'Stock Data'!$AM$4:$AM$1051,'Stock Data'!$AN$4:$AN$1051)</f>
        <v>40.39</v>
      </c>
    </row>
    <row r="518" spans="3:4" ht="15" customHeight="1">
      <c r="C518" s="601">
        <f ca="1">+'Stock Data'!AM329</f>
        <v>45629</v>
      </c>
      <c r="D518" s="575">
        <f ca="1">_xlfn.XLOOKUP(C518,'Stock Data'!$AM$4:$AM$1051,'Stock Data'!$AN$4:$AN$1051)</f>
        <v>40.39</v>
      </c>
    </row>
    <row r="519" spans="3:4" ht="15" customHeight="1">
      <c r="C519" s="601">
        <f ca="1">+'Stock Data'!AM330</f>
        <v>45628</v>
      </c>
      <c r="D519" s="575">
        <f ca="1">_xlfn.XLOOKUP(C519,'Stock Data'!$AM$4:$AM$1051,'Stock Data'!$AN$4:$AN$1051)</f>
        <v>40.39</v>
      </c>
    </row>
    <row r="520" spans="3:4" ht="15" customHeight="1">
      <c r="C520" s="601">
        <f ca="1">+'Stock Data'!AM331</f>
        <v>45627</v>
      </c>
      <c r="D520" s="575">
        <f ca="1">_xlfn.XLOOKUP(C520,'Stock Data'!$AM$4:$AM$1051,'Stock Data'!$AN$4:$AN$1051)</f>
        <v>41.01</v>
      </c>
    </row>
    <row r="521" spans="3:4" ht="15" customHeight="1">
      <c r="C521" s="601">
        <f ca="1">+'Stock Data'!AM332</f>
        <v>45626</v>
      </c>
      <c r="D521" s="575">
        <f ca="1">_xlfn.XLOOKUP(C521,'Stock Data'!$AM$4:$AM$1051,'Stock Data'!$AN$4:$AN$1051)</f>
        <v>41.354999999999997</v>
      </c>
    </row>
    <row r="522" spans="3:4" ht="15" customHeight="1">
      <c r="C522" s="601">
        <f ca="1">+'Stock Data'!AM333</f>
        <v>45625</v>
      </c>
      <c r="D522" s="575">
        <f ca="1">_xlfn.XLOOKUP(C522,'Stock Data'!$AM$4:$AM$1051,'Stock Data'!$AN$4:$AN$1051)</f>
        <v>42.024999999999999</v>
      </c>
    </row>
    <row r="523" spans="3:4" ht="15" customHeight="1">
      <c r="C523" s="601">
        <f ca="1">+'Stock Data'!AM334</f>
        <v>45624</v>
      </c>
      <c r="D523" s="575">
        <f ca="1">_xlfn.XLOOKUP(C523,'Stock Data'!$AM$4:$AM$1051,'Stock Data'!$AN$4:$AN$1051)</f>
        <v>42.04</v>
      </c>
    </row>
    <row r="524" spans="3:4" ht="15" customHeight="1">
      <c r="C524" s="601">
        <f ca="1">+'Stock Data'!AM335</f>
        <v>45623</v>
      </c>
      <c r="D524" s="575">
        <f ca="1">_xlfn.XLOOKUP(C524,'Stock Data'!$AM$4:$AM$1051,'Stock Data'!$AN$4:$AN$1051)</f>
        <v>41.805</v>
      </c>
    </row>
    <row r="525" spans="3:4" ht="15" customHeight="1">
      <c r="C525" s="601">
        <f ca="1">+'Stock Data'!AM336</f>
        <v>45622</v>
      </c>
      <c r="D525" s="575">
        <f ca="1">_xlfn.XLOOKUP(C525,'Stock Data'!$AM$4:$AM$1051,'Stock Data'!$AN$4:$AN$1051)</f>
        <v>41.805</v>
      </c>
    </row>
    <row r="526" spans="3:4" ht="15" customHeight="1">
      <c r="C526" s="601">
        <f ca="1">+'Stock Data'!AM337</f>
        <v>45621</v>
      </c>
      <c r="D526" s="575">
        <f ca="1">_xlfn.XLOOKUP(C526,'Stock Data'!$AM$4:$AM$1051,'Stock Data'!$AN$4:$AN$1051)</f>
        <v>41.805</v>
      </c>
    </row>
    <row r="527" spans="3:4" ht="15" customHeight="1">
      <c r="C527" s="601">
        <f ca="1">+'Stock Data'!AM338</f>
        <v>45620</v>
      </c>
      <c r="D527" s="575">
        <f ca="1">_xlfn.XLOOKUP(C527,'Stock Data'!$AM$4:$AM$1051,'Stock Data'!$AN$4:$AN$1051)</f>
        <v>41.325000000000003</v>
      </c>
    </row>
    <row r="528" spans="3:4" ht="15" customHeight="1">
      <c r="C528" s="601">
        <f ca="1">+'Stock Data'!AM339</f>
        <v>45619</v>
      </c>
      <c r="D528" s="575">
        <f ca="1">_xlfn.XLOOKUP(C528,'Stock Data'!$AM$4:$AM$1051,'Stock Data'!$AN$4:$AN$1051)</f>
        <v>41.31</v>
      </c>
    </row>
    <row r="529" spans="3:4" ht="15" customHeight="1">
      <c r="C529" s="601">
        <f ca="1">+'Stock Data'!AM340</f>
        <v>45618</v>
      </c>
      <c r="D529" s="575">
        <f ca="1">_xlfn.XLOOKUP(C529,'Stock Data'!$AM$4:$AM$1051,'Stock Data'!$AN$4:$AN$1051)</f>
        <v>41.844999999999999</v>
      </c>
    </row>
    <row r="530" spans="3:4" ht="15" customHeight="1">
      <c r="C530" s="601">
        <f ca="1">+'Stock Data'!AM341</f>
        <v>45617</v>
      </c>
      <c r="D530" s="575">
        <f ca="1">_xlfn.XLOOKUP(C530,'Stock Data'!$AM$4:$AM$1051,'Stock Data'!$AN$4:$AN$1051)</f>
        <v>40.914999999999999</v>
      </c>
    </row>
    <row r="531" spans="3:4" ht="15" customHeight="1">
      <c r="C531" s="601">
        <f ca="1">+'Stock Data'!AM342</f>
        <v>45616</v>
      </c>
      <c r="D531" s="575">
        <f ca="1">_xlfn.XLOOKUP(C531,'Stock Data'!$AM$4:$AM$1051,'Stock Data'!$AN$4:$AN$1051)</f>
        <v>41.545000000000002</v>
      </c>
    </row>
    <row r="532" spans="3:4" ht="15" customHeight="1">
      <c r="C532" s="601">
        <f ca="1">+'Stock Data'!AM343</f>
        <v>45615</v>
      </c>
      <c r="D532" s="575">
        <f ca="1">_xlfn.XLOOKUP(C532,'Stock Data'!$AM$4:$AM$1051,'Stock Data'!$AN$4:$AN$1051)</f>
        <v>41.545000000000002</v>
      </c>
    </row>
    <row r="533" spans="3:4" ht="15" customHeight="1">
      <c r="C533" s="601">
        <f ca="1">+'Stock Data'!AM344</f>
        <v>45614</v>
      </c>
      <c r="D533" s="575">
        <f ca="1">_xlfn.XLOOKUP(C533,'Stock Data'!$AM$4:$AM$1051,'Stock Data'!$AN$4:$AN$1051)</f>
        <v>41.545000000000002</v>
      </c>
    </row>
    <row r="534" spans="3:4" ht="15" customHeight="1">
      <c r="C534" s="601">
        <f ca="1">+'Stock Data'!AM345</f>
        <v>45613</v>
      </c>
      <c r="D534" s="575">
        <f ca="1">_xlfn.XLOOKUP(C534,'Stock Data'!$AM$4:$AM$1051,'Stock Data'!$AN$4:$AN$1051)</f>
        <v>40.53</v>
      </c>
    </row>
    <row r="535" spans="3:4" ht="15" customHeight="1">
      <c r="C535" s="601">
        <f ca="1">+'Stock Data'!AM346</f>
        <v>45612</v>
      </c>
      <c r="D535" s="575">
        <f ca="1">_xlfn.XLOOKUP(C535,'Stock Data'!$AM$4:$AM$1051,'Stock Data'!$AN$4:$AN$1051)</f>
        <v>42.244999999999997</v>
      </c>
    </row>
    <row r="536" spans="3:4" ht="15" customHeight="1">
      <c r="C536" s="601">
        <f ca="1">+'Stock Data'!AM347</f>
        <v>45611</v>
      </c>
      <c r="D536" s="575">
        <f ca="1">_xlfn.XLOOKUP(C536,'Stock Data'!$AM$4:$AM$1051,'Stock Data'!$AN$4:$AN$1051)</f>
        <v>41.744999999999997</v>
      </c>
    </row>
    <row r="537" spans="3:4" ht="15" customHeight="1">
      <c r="C537" s="601">
        <f ca="1">+'Stock Data'!AM348</f>
        <v>45610</v>
      </c>
      <c r="D537" s="575">
        <f ca="1">_xlfn.XLOOKUP(C537,'Stock Data'!$AM$4:$AM$1051,'Stock Data'!$AN$4:$AN$1051)</f>
        <v>42.15</v>
      </c>
    </row>
    <row r="538" spans="3:4" ht="15" customHeight="1">
      <c r="C538" s="601">
        <f ca="1">+'Stock Data'!AM349</f>
        <v>45609</v>
      </c>
      <c r="D538" s="575">
        <f ca="1">_xlfn.XLOOKUP(C538,'Stock Data'!$AM$4:$AM$1051,'Stock Data'!$AN$4:$AN$1051)</f>
        <v>42.905000000000001</v>
      </c>
    </row>
    <row r="539" spans="3:4" ht="15" customHeight="1">
      <c r="C539" s="601">
        <f ca="1">+'Stock Data'!AM350</f>
        <v>45608</v>
      </c>
      <c r="D539" s="575">
        <f ca="1">_xlfn.XLOOKUP(C539,'Stock Data'!$AM$4:$AM$1051,'Stock Data'!$AN$4:$AN$1051)</f>
        <v>42.905000000000001</v>
      </c>
    </row>
    <row r="540" spans="3:4" ht="15" customHeight="1">
      <c r="C540" s="601">
        <f ca="1">+'Stock Data'!AM351</f>
        <v>45607</v>
      </c>
      <c r="D540" s="575">
        <f ca="1">_xlfn.XLOOKUP(C540,'Stock Data'!$AM$4:$AM$1051,'Stock Data'!$AN$4:$AN$1051)</f>
        <v>42.905000000000001</v>
      </c>
    </row>
    <row r="541" spans="3:4" ht="15" customHeight="1">
      <c r="C541" s="601">
        <f ca="1">+'Stock Data'!AM352</f>
        <v>45606</v>
      </c>
      <c r="D541" s="575">
        <f ca="1">_xlfn.XLOOKUP(C541,'Stock Data'!$AM$4:$AM$1051,'Stock Data'!$AN$4:$AN$1051)</f>
        <v>42.43</v>
      </c>
    </row>
    <row r="542" spans="3:4" ht="15" customHeight="1">
      <c r="C542" s="601">
        <f ca="1">+'Stock Data'!AM353</f>
        <v>45605</v>
      </c>
      <c r="D542" s="575">
        <f ca="1">_xlfn.XLOOKUP(C542,'Stock Data'!$AM$4:$AM$1051,'Stock Data'!$AN$4:$AN$1051)</f>
        <v>42.965000000000003</v>
      </c>
    </row>
    <row r="543" spans="3:4" ht="15" customHeight="1">
      <c r="C543" s="601">
        <f ca="1">+'Stock Data'!AM354</f>
        <v>45604</v>
      </c>
      <c r="D543" s="575">
        <f ca="1">_xlfn.XLOOKUP(C543,'Stock Data'!$AM$4:$AM$1051,'Stock Data'!$AN$4:$AN$1051)</f>
        <v>44.83</v>
      </c>
    </row>
    <row r="544" spans="3:4" ht="15" customHeight="1">
      <c r="C544" s="601">
        <f ca="1">+'Stock Data'!AM355</f>
        <v>45603</v>
      </c>
      <c r="D544" s="575">
        <f ca="1">_xlfn.XLOOKUP(C544,'Stock Data'!$AM$4:$AM$1051,'Stock Data'!$AN$4:$AN$1051)</f>
        <v>45.19</v>
      </c>
    </row>
    <row r="545" spans="3:4" ht="15" customHeight="1">
      <c r="C545" s="601">
        <f ca="1">+'Stock Data'!AM356</f>
        <v>45602</v>
      </c>
      <c r="D545" s="575">
        <f ca="1">_xlfn.XLOOKUP(C545,'Stock Data'!$AM$4:$AM$1051,'Stock Data'!$AN$4:$AN$1051)</f>
        <v>44.655000000000001</v>
      </c>
    </row>
    <row r="546" spans="3:4" ht="15" customHeight="1">
      <c r="C546" s="601">
        <f ca="1">+'Stock Data'!AM357</f>
        <v>45601</v>
      </c>
      <c r="D546" s="575">
        <f ca="1">_xlfn.XLOOKUP(C546,'Stock Data'!$AM$4:$AM$1051,'Stock Data'!$AN$4:$AN$1051)</f>
        <v>44.655000000000001</v>
      </c>
    </row>
    <row r="547" spans="3:4" ht="15" customHeight="1">
      <c r="C547" s="601">
        <f ca="1">+'Stock Data'!AM358</f>
        <v>45600</v>
      </c>
      <c r="D547" s="575">
        <f ca="1">_xlfn.XLOOKUP(C547,'Stock Data'!$AM$4:$AM$1051,'Stock Data'!$AN$4:$AN$1051)</f>
        <v>44.655000000000001</v>
      </c>
    </row>
    <row r="548" spans="3:4" ht="15" customHeight="1">
      <c r="C548" s="601">
        <f ca="1">+'Stock Data'!AM359</f>
        <v>45599</v>
      </c>
      <c r="D548" s="575">
        <f ca="1">_xlfn.XLOOKUP(C548,'Stock Data'!$AM$4:$AM$1051,'Stock Data'!$AN$4:$AN$1051)</f>
        <v>46.325000000000003</v>
      </c>
    </row>
    <row r="549" spans="3:4" ht="15" customHeight="1">
      <c r="C549" s="601">
        <f ca="1">+'Stock Data'!AM360</f>
        <v>45598</v>
      </c>
      <c r="D549" s="575">
        <f ca="1">_xlfn.XLOOKUP(C549,'Stock Data'!$AM$4:$AM$1051,'Stock Data'!$AN$4:$AN$1051)</f>
        <v>47.76</v>
      </c>
    </row>
    <row r="550" spans="3:4" ht="15" customHeight="1">
      <c r="C550" s="601">
        <f ca="1">+'Stock Data'!AM361</f>
        <v>45597</v>
      </c>
      <c r="D550" s="575">
        <f ca="1">_xlfn.XLOOKUP(C550,'Stock Data'!$AM$4:$AM$1051,'Stock Data'!$AN$4:$AN$1051)</f>
        <v>47.134999999999998</v>
      </c>
    </row>
    <row r="551" spans="3:4" ht="15" customHeight="1">
      <c r="C551" s="601">
        <f ca="1">+'Stock Data'!AM362</f>
        <v>45596</v>
      </c>
      <c r="D551" s="575">
        <f ca="1">_xlfn.XLOOKUP(C551,'Stock Data'!$AM$4:$AM$1051,'Stock Data'!$AN$4:$AN$1051)</f>
        <v>47.76</v>
      </c>
    </row>
    <row r="552" spans="3:4" ht="15" customHeight="1">
      <c r="C552" s="601">
        <f ca="1">+'Stock Data'!AM363</f>
        <v>45595</v>
      </c>
      <c r="D552" s="575">
        <f ca="1">_xlfn.XLOOKUP(C552,'Stock Data'!$AM$4:$AM$1051,'Stock Data'!$AN$4:$AN$1051)</f>
        <v>48.295000000000002</v>
      </c>
    </row>
    <row r="553" spans="3:4" ht="15" customHeight="1">
      <c r="C553" s="601">
        <f ca="1">+'Stock Data'!AM364</f>
        <v>45594</v>
      </c>
      <c r="D553" s="575">
        <f ca="1">_xlfn.XLOOKUP(C553,'Stock Data'!$AM$4:$AM$1051,'Stock Data'!$AN$4:$AN$1051)</f>
        <v>48.295000000000002</v>
      </c>
    </row>
    <row r="554" spans="3:4" ht="15" customHeight="1">
      <c r="C554" s="601">
        <f ca="1">+'Stock Data'!AM365</f>
        <v>45593</v>
      </c>
      <c r="D554" s="575">
        <f ca="1">_xlfn.XLOOKUP(C554,'Stock Data'!$AM$4:$AM$1051,'Stock Data'!$AN$4:$AN$1051)</f>
        <v>48.295000000000002</v>
      </c>
    </row>
    <row r="555" spans="3:4" ht="15" customHeight="1">
      <c r="C555" s="601">
        <f ca="1">+'Stock Data'!AM366</f>
        <v>45592</v>
      </c>
      <c r="D555" s="575">
        <f ca="1">_xlfn.XLOOKUP(C555,'Stock Data'!$AM$4:$AM$1051,'Stock Data'!$AN$4:$AN$1051)</f>
        <v>47.524999999999999</v>
      </c>
    </row>
    <row r="556" spans="3:4" ht="15" customHeight="1">
      <c r="C556" s="601">
        <f ca="1">+'Stock Data'!AM367</f>
        <v>45591</v>
      </c>
      <c r="D556" s="575">
        <f ca="1">_xlfn.XLOOKUP(C556,'Stock Data'!$AM$4:$AM$1051,'Stock Data'!$AN$4:$AN$1051)</f>
        <v>48.225000000000001</v>
      </c>
    </row>
    <row r="557" spans="3:4" ht="15" customHeight="1">
      <c r="C557" s="601">
        <f ca="1">+'Stock Data'!AM368</f>
        <v>45590</v>
      </c>
      <c r="D557" s="575">
        <f ca="1">_xlfn.XLOOKUP(C557,'Stock Data'!$AM$4:$AM$1051,'Stock Data'!$AN$4:$AN$1051)</f>
        <v>47.505000000000003</v>
      </c>
    </row>
    <row r="558" spans="3:4" ht="15" customHeight="1">
      <c r="C558" s="601">
        <f ca="1">+'Stock Data'!AM369</f>
        <v>45589</v>
      </c>
      <c r="D558" s="575">
        <f ca="1">_xlfn.XLOOKUP(C558,'Stock Data'!$AM$4:$AM$1051,'Stock Data'!$AN$4:$AN$1051)</f>
        <v>46.505000000000003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B1:P42"/>
  <sheetViews>
    <sheetView showGridLines="0" zoomScale="124" zoomScaleNormal="70" workbookViewId="0">
      <selection activeCell="B5" sqref="B5"/>
    </sheetView>
  </sheetViews>
  <sheetFormatPr defaultColWidth="9" defaultRowHeight="15" customHeight="1"/>
  <cols>
    <col min="1" max="1" width="2.125" style="23" customWidth="1"/>
    <col min="2" max="2" width="25.625" style="23" customWidth="1"/>
    <col min="3" max="4" width="11.625" style="23" customWidth="1"/>
    <col min="5" max="5" width="10.375" style="23" customWidth="1"/>
    <col min="6" max="6" width="25.625" style="23" customWidth="1"/>
    <col min="7" max="8" width="11.625" style="23" customWidth="1"/>
    <col min="9" max="9" width="10.375" style="23" customWidth="1"/>
    <col min="10" max="10" width="27.125" style="23" customWidth="1"/>
    <col min="11" max="12" width="11.625" style="23" customWidth="1"/>
    <col min="13" max="13" width="10.375" style="23" customWidth="1"/>
    <col min="14" max="14" width="25.625" style="23" customWidth="1"/>
    <col min="15" max="16" width="11.625" style="23" customWidth="1"/>
    <col min="17" max="16384" width="9" style="23"/>
  </cols>
  <sheetData>
    <row r="1" spans="2:16" s="576" customFormat="1" ht="15" customHeight="1"/>
    <row r="2" spans="2:16" s="576" customFormat="1" ht="15" customHeight="1"/>
    <row r="3" spans="2:16" s="576" customFormat="1" ht="15" customHeight="1"/>
    <row r="4" spans="2:16" s="576" customFormat="1" ht="15" customHeight="1"/>
    <row r="5" spans="2:16" s="36" customFormat="1" ht="3.95" customHeight="1"/>
    <row r="7" spans="2:16" ht="15" customHeight="1">
      <c r="B7" s="372" t="s">
        <v>1</v>
      </c>
      <c r="C7" s="186"/>
      <c r="D7" s="186"/>
      <c r="F7" s="372" t="s">
        <v>2</v>
      </c>
      <c r="G7" s="186"/>
      <c r="H7" s="186"/>
      <c r="J7" s="372" t="s">
        <v>3</v>
      </c>
      <c r="K7" s="186"/>
      <c r="L7" s="186"/>
      <c r="M7" s="186"/>
      <c r="N7" s="186"/>
      <c r="O7" s="186"/>
      <c r="P7" s="186"/>
    </row>
    <row r="8" spans="2:16" ht="15" customHeight="1">
      <c r="B8" s="372"/>
      <c r="C8" s="186"/>
      <c r="D8" s="186"/>
      <c r="F8" s="372"/>
      <c r="G8" s="186"/>
      <c r="H8" s="186"/>
      <c r="J8" s="186"/>
      <c r="K8" s="186"/>
      <c r="L8" s="186"/>
      <c r="M8" s="186"/>
      <c r="N8" s="186"/>
      <c r="O8" s="186"/>
      <c r="P8" s="186"/>
    </row>
    <row r="9" spans="2:16" ht="15" customHeight="1">
      <c r="B9" s="186"/>
      <c r="C9" s="186"/>
      <c r="D9" s="186"/>
      <c r="F9" s="186"/>
      <c r="G9" s="186"/>
      <c r="H9" s="186"/>
      <c r="J9" s="186"/>
      <c r="K9" s="186"/>
      <c r="L9" s="186"/>
      <c r="M9" s="186"/>
      <c r="N9" s="186"/>
      <c r="O9" s="186"/>
      <c r="P9" s="186"/>
    </row>
    <row r="10" spans="2:16" ht="3.95" customHeight="1">
      <c r="B10" s="36"/>
      <c r="C10" s="36"/>
      <c r="D10" s="36"/>
      <c r="F10" s="36"/>
      <c r="G10" s="36"/>
      <c r="H10" s="36"/>
      <c r="J10" s="36"/>
      <c r="K10" s="36"/>
      <c r="L10" s="36"/>
      <c r="M10" s="36"/>
      <c r="N10" s="36"/>
      <c r="O10" s="36"/>
      <c r="P10" s="36"/>
    </row>
    <row r="11" spans="2:16" ht="3.95" customHeight="1"/>
    <row r="12" spans="2:16" ht="15" customHeight="1">
      <c r="B12" s="375" t="s">
        <v>4</v>
      </c>
      <c r="F12" s="373" t="s">
        <v>5</v>
      </c>
      <c r="H12" s="554" t="s">
        <v>6</v>
      </c>
      <c r="J12" s="529"/>
    </row>
    <row r="13" spans="2:16" ht="15" customHeight="1">
      <c r="B13" s="567" t="s">
        <v>7</v>
      </c>
      <c r="F13" s="373" t="s">
        <v>8</v>
      </c>
      <c r="J13" s="529"/>
    </row>
    <row r="14" spans="2:16" ht="15" customHeight="1">
      <c r="B14" s="709" t="s">
        <v>9</v>
      </c>
      <c r="F14" s="373" t="s">
        <v>10</v>
      </c>
      <c r="J14" s="529"/>
    </row>
    <row r="15" spans="2:16" ht="15" customHeight="1">
      <c r="B15" s="375" t="s">
        <v>11</v>
      </c>
      <c r="J15" s="529"/>
    </row>
    <row r="16" spans="2:16" ht="15" customHeight="1">
      <c r="B16" s="567" t="s">
        <v>12</v>
      </c>
      <c r="F16" s="373" t="s">
        <v>13</v>
      </c>
      <c r="H16" s="586" t="str">
        <f>Inputs!D15</f>
        <v>AZZA3 BZ Equity</v>
      </c>
      <c r="J16" s="529"/>
    </row>
    <row r="17" spans="2:8" ht="15" customHeight="1">
      <c r="B17" s="709" t="s">
        <v>14</v>
      </c>
      <c r="F17" s="373" t="s">
        <v>15</v>
      </c>
      <c r="G17" s="548"/>
      <c r="H17" s="586"/>
    </row>
    <row r="18" spans="2:8" ht="15" customHeight="1">
      <c r="B18" s="375" t="s">
        <v>16</v>
      </c>
    </row>
    <row r="19" spans="2:8" ht="15" customHeight="1">
      <c r="B19" s="567" t="s">
        <v>17</v>
      </c>
      <c r="F19" s="373" t="s">
        <v>18</v>
      </c>
      <c r="H19" s="581">
        <f>'Stock Data'!AN4</f>
        <v>32.229999999999997</v>
      </c>
    </row>
    <row r="20" spans="2:8" ht="15" customHeight="1">
      <c r="B20" s="568" t="s">
        <v>19</v>
      </c>
      <c r="F20" s="373" t="str">
        <f>"Market Cap (in "&amp;IF(Inputs!$D$14="BLN","billions",IF(Inputs!$D$14="MLN","millions","thousands"))&amp;")"</f>
        <v>Market Cap (in millions)</v>
      </c>
      <c r="H20" s="581">
        <f>'Stock Data'!AQ4</f>
        <v>6655.1665762999992</v>
      </c>
    </row>
    <row r="21" spans="2:8" ht="15" customHeight="1">
      <c r="F21" s="375" t="s">
        <v>20</v>
      </c>
      <c r="G21" s="548"/>
      <c r="H21" s="582">
        <v>0.41</v>
      </c>
    </row>
    <row r="22" spans="2:8" ht="15" customHeight="1">
      <c r="F22" s="375" t="s">
        <v>21</v>
      </c>
      <c r="H22" s="583">
        <f>'Stock Data'!E165</f>
        <v>0.16420970000000001</v>
      </c>
    </row>
    <row r="23" spans="2:8" ht="15" customHeight="1">
      <c r="F23" s="375" t="s">
        <v>22</v>
      </c>
      <c r="H23" s="581">
        <f>'Stock Data'!E166</f>
        <v>36.141500000000001</v>
      </c>
    </row>
    <row r="24" spans="2:8" ht="15" customHeight="1">
      <c r="B24" s="553"/>
      <c r="F24" s="373"/>
      <c r="H24" s="584"/>
    </row>
    <row r="25" spans="2:8" ht="15" customHeight="1">
      <c r="B25" s="373" t="s">
        <v>23</v>
      </c>
      <c r="F25" s="375" t="s">
        <v>24</v>
      </c>
      <c r="H25" s="585">
        <f>'Stock Data'!E168</f>
        <v>2277173</v>
      </c>
    </row>
    <row r="26" spans="2:8" ht="15" customHeight="1">
      <c r="B26" s="375" t="s">
        <v>25</v>
      </c>
      <c r="F26" s="375" t="s">
        <v>26</v>
      </c>
      <c r="H26" s="585">
        <f>'Stock Data'!E169</f>
        <v>206.4898</v>
      </c>
    </row>
    <row r="27" spans="2:8" ht="15" customHeight="1">
      <c r="B27" s="567" t="s">
        <v>27</v>
      </c>
      <c r="F27" s="375" t="s">
        <v>28</v>
      </c>
      <c r="H27" s="583">
        <f>'Stock Data'!E170</f>
        <v>0.60860000000000003</v>
      </c>
    </row>
    <row r="28" spans="2:8" ht="15" customHeight="1">
      <c r="B28" s="679" t="s">
        <v>29</v>
      </c>
      <c r="F28" s="375" t="s">
        <v>30</v>
      </c>
      <c r="H28" s="583">
        <f>IFERROR('Stock Data'!E171,0)</f>
        <v>0</v>
      </c>
    </row>
    <row r="29" spans="2:8" ht="15" customHeight="1">
      <c r="F29" s="373"/>
      <c r="H29" s="584"/>
    </row>
    <row r="30" spans="2:8" ht="15" customHeight="1">
      <c r="B30" s="542" t="s">
        <v>31</v>
      </c>
      <c r="F30" s="375" t="s">
        <v>32</v>
      </c>
      <c r="H30" s="583">
        <f>'Stock Data'!E173</f>
        <v>0.15760000992203971</v>
      </c>
    </row>
    <row r="31" spans="2:8" ht="15" customHeight="1">
      <c r="B31" s="552" t="s">
        <v>33</v>
      </c>
      <c r="F31" s="375" t="s">
        <v>34</v>
      </c>
      <c r="H31" s="583">
        <f>'Stock Data'!E174</f>
        <v>0.7931779040727478</v>
      </c>
    </row>
    <row r="32" spans="2:8" ht="15" customHeight="1">
      <c r="B32" s="553" t="s">
        <v>35</v>
      </c>
    </row>
    <row r="34" spans="2:16" ht="15" customHeight="1">
      <c r="B34" s="738" t="s">
        <v>36</v>
      </c>
      <c r="C34" s="738"/>
      <c r="D34" s="738"/>
      <c r="E34" s="738"/>
      <c r="F34" s="738"/>
      <c r="G34" s="738"/>
      <c r="H34" s="738"/>
      <c r="I34" s="738"/>
      <c r="J34" s="738"/>
      <c r="K34" s="738"/>
      <c r="L34" s="738"/>
      <c r="M34" s="738"/>
      <c r="N34" s="738"/>
      <c r="O34" s="738"/>
      <c r="P34" s="738"/>
    </row>
    <row r="35" spans="2:16" ht="15" customHeight="1">
      <c r="B35" s="738"/>
      <c r="C35" s="738"/>
      <c r="D35" s="738"/>
      <c r="E35" s="738"/>
      <c r="F35" s="738"/>
      <c r="G35" s="738"/>
      <c r="H35" s="738"/>
      <c r="I35" s="738"/>
      <c r="J35" s="738"/>
      <c r="K35" s="738"/>
      <c r="L35" s="738"/>
      <c r="M35" s="738"/>
      <c r="N35" s="738"/>
      <c r="O35" s="738"/>
      <c r="P35" s="738"/>
    </row>
    <row r="36" spans="2:16" ht="15" customHeight="1">
      <c r="B36" s="738"/>
      <c r="C36" s="738"/>
      <c r="D36" s="738"/>
      <c r="E36" s="738"/>
      <c r="F36" s="738"/>
      <c r="G36" s="738"/>
      <c r="H36" s="738"/>
      <c r="I36" s="738"/>
      <c r="J36" s="738"/>
      <c r="K36" s="738"/>
      <c r="L36" s="738"/>
      <c r="M36" s="738"/>
      <c r="N36" s="738"/>
      <c r="O36" s="738"/>
      <c r="P36" s="738"/>
    </row>
    <row r="37" spans="2:16" ht="15" customHeight="1">
      <c r="B37" s="738"/>
      <c r="C37" s="738"/>
      <c r="D37" s="738"/>
      <c r="E37" s="738"/>
      <c r="F37" s="738"/>
      <c r="G37" s="738"/>
      <c r="H37" s="738"/>
      <c r="I37" s="738"/>
      <c r="J37" s="738"/>
      <c r="K37" s="738"/>
      <c r="L37" s="738"/>
      <c r="M37" s="738"/>
      <c r="N37" s="738"/>
      <c r="O37" s="738"/>
      <c r="P37" s="738"/>
    </row>
    <row r="38" spans="2:16" ht="15" customHeight="1">
      <c r="B38" s="738"/>
      <c r="C38" s="738"/>
      <c r="D38" s="738"/>
      <c r="E38" s="738"/>
      <c r="F38" s="738"/>
      <c r="G38" s="738"/>
      <c r="H38" s="738"/>
      <c r="I38" s="738"/>
      <c r="J38" s="738"/>
      <c r="K38" s="738"/>
      <c r="L38" s="738"/>
      <c r="M38" s="738"/>
      <c r="N38" s="738"/>
      <c r="O38" s="738"/>
      <c r="P38" s="738"/>
    </row>
    <row r="39" spans="2:16" ht="15" customHeight="1">
      <c r="B39" s="738"/>
      <c r="C39" s="738"/>
      <c r="D39" s="738"/>
      <c r="E39" s="738"/>
      <c r="F39" s="738"/>
      <c r="G39" s="738"/>
      <c r="H39" s="738"/>
      <c r="I39" s="738"/>
      <c r="J39" s="738"/>
      <c r="K39" s="738"/>
      <c r="L39" s="738"/>
      <c r="M39" s="738"/>
      <c r="N39" s="738"/>
      <c r="O39" s="738"/>
      <c r="P39" s="738"/>
    </row>
    <row r="40" spans="2:16" ht="15" customHeight="1">
      <c r="B40" s="738"/>
      <c r="C40" s="738"/>
      <c r="D40" s="738"/>
      <c r="E40" s="738"/>
      <c r="F40" s="738"/>
      <c r="G40" s="738"/>
      <c r="H40" s="738"/>
      <c r="I40" s="738"/>
      <c r="J40" s="738"/>
      <c r="K40" s="738"/>
      <c r="L40" s="738"/>
      <c r="M40" s="738"/>
      <c r="N40" s="738"/>
      <c r="O40" s="738"/>
      <c r="P40" s="738"/>
    </row>
    <row r="41" spans="2:16" ht="15" customHeight="1">
      <c r="B41" s="738"/>
      <c r="C41" s="738"/>
      <c r="D41" s="738"/>
      <c r="E41" s="738"/>
      <c r="F41" s="738"/>
      <c r="G41" s="738"/>
      <c r="H41" s="738"/>
      <c r="I41" s="738"/>
      <c r="J41" s="738"/>
      <c r="K41" s="738"/>
      <c r="L41" s="738"/>
      <c r="M41" s="738"/>
      <c r="N41" s="738"/>
      <c r="O41" s="738"/>
      <c r="P41" s="738"/>
    </row>
    <row r="42" spans="2:16" ht="15" customHeight="1">
      <c r="B42" s="738"/>
      <c r="C42" s="738"/>
      <c r="D42" s="738"/>
      <c r="E42" s="738"/>
      <c r="F42" s="738"/>
      <c r="G42" s="738"/>
      <c r="H42" s="738"/>
      <c r="I42" s="738"/>
      <c r="J42" s="738"/>
      <c r="K42" s="738"/>
      <c r="L42" s="738"/>
      <c r="M42" s="738"/>
      <c r="N42" s="738"/>
      <c r="O42" s="738"/>
      <c r="P42" s="738"/>
    </row>
  </sheetData>
  <mergeCells count="1">
    <mergeCell ref="B34:P42"/>
  </mergeCells>
  <conditionalFormatting sqref="H12">
    <cfRule type="beginsWith" dxfId="5" priority="1" operator="beginsWith" text="Hold">
      <formula>LEFT(H12,LEN("Hold"))="Hold"</formula>
    </cfRule>
    <cfRule type="beginsWith" dxfId="4" priority="2" operator="beginsWith" text="Buy">
      <formula>LEFT(H12,LEN("Buy"))="Buy"</formula>
    </cfRule>
    <cfRule type="beginsWith" dxfId="3" priority="3" operator="beginsWith" text="Strong Buy">
      <formula>LEFT(H12,LEN("Strong Buy"))="Strong Buy"</formula>
    </cfRule>
    <cfRule type="beginsWith" dxfId="2" priority="4" operator="beginsWith" text="Sell">
      <formula>LEFT(H12,LEN("Sell"))="Sell"</formula>
    </cfRule>
    <cfRule type="beginsWith" dxfId="1" priority="5" operator="beginsWith" text="Strong Sell">
      <formula>LEFT(H12,LEN("Strong Sell"))="Strong Sell"</formula>
    </cfRule>
  </conditionalFormatting>
  <dataValidations count="1">
    <dataValidation type="list" allowBlank="1" showInputMessage="1" showErrorMessage="1" sqref="H12" xr:uid="{00000000-0002-0000-0100-000000000000}">
      <formula1>"Strong Buy, Buy, Hold, Sell, Strong Sell"</formula1>
    </dataValidation>
  </dataValidations>
  <hyperlinks>
    <hyperlink ref="B32" r:id="rId1" xr:uid="{068F08CB-A223-45FB-9A9F-060ED37D18D0}"/>
    <hyperlink ref="B27" r:id="rId2" display="raul.vasconcelos@aln.iseg.ulisboa.pt" xr:uid="{D48763E3-2FF5-493C-B29F-B756409D01B4}"/>
    <hyperlink ref="B19" r:id="rId3" display="raul.vasconcelos@aln.iseg.ulisboa.pt" xr:uid="{972F8107-633E-46FA-8E9D-446E831F3D6B}"/>
    <hyperlink ref="B16" r:id="rId4" display="raul.vasconcelos@aln.iseg.ulisboa.pt" xr:uid="{913F4351-F364-4566-8CF9-58EAB12BAB1A}"/>
    <hyperlink ref="B13" r:id="rId5" display="raul.vasconcelos@aln.iseg.ulisboa.pt" xr:uid="{EFA83599-0A39-49DD-B76B-5CC8CB13CC21}"/>
    <hyperlink ref="B14" r:id="rId6" xr:uid="{91D31142-E70E-4CEE-A500-50BA28F71D88}"/>
    <hyperlink ref="B17" r:id="rId7" xr:uid="{8539685C-69E5-44DB-8C18-E25C0E88D79B}"/>
    <hyperlink ref="B28" r:id="rId8" xr:uid="{70390FF9-0E0C-44CF-87CB-690F88D2E2D5}"/>
  </hyperlinks>
  <pageMargins left="0.7" right="0.7" top="0.75" bottom="0.75" header="0.3" footer="0.3"/>
  <pageSetup paperSize="9"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59999389629810485"/>
    <pageSetUpPr autoPageBreaks="0"/>
  </sheetPr>
  <dimension ref="A1:S36"/>
  <sheetViews>
    <sheetView showGridLines="0" zoomScale="85" zoomScaleNormal="85" workbookViewId="0">
      <selection activeCell="B16" sqref="A1:XFD1048576"/>
    </sheetView>
  </sheetViews>
  <sheetFormatPr defaultColWidth="11.625" defaultRowHeight="15" customHeight="1"/>
  <cols>
    <col min="1" max="1" width="2.125" style="23" customWidth="1"/>
    <col min="2" max="2" width="46.875" style="23" customWidth="1"/>
    <col min="3" max="3" width="3.625" style="23" customWidth="1"/>
    <col min="4" max="11" width="11.625" style="23"/>
    <col min="12" max="12" width="14.5" style="23" customWidth="1"/>
    <col min="13" max="13" width="11.625" style="23"/>
    <col min="14" max="14" width="1.625" style="23" customWidth="1"/>
    <col min="15" max="16384" width="11.625" style="23"/>
  </cols>
  <sheetData>
    <row r="1" spans="1:19" s="576" customFormat="1" ht="15" customHeight="1"/>
    <row r="2" spans="1:19" s="576" customFormat="1" ht="15" customHeight="1"/>
    <row r="3" spans="1:19" s="576" customFormat="1" ht="15" customHeight="1"/>
    <row r="4" spans="1:19" s="576" customFormat="1" ht="15" customHeight="1"/>
    <row r="5" spans="1:19" s="36" customFormat="1" ht="3.95" customHeight="1"/>
    <row r="6" spans="1:19" ht="15" customHeight="1">
      <c r="D6" s="420">
        <v>584.16999999999996</v>
      </c>
      <c r="E6" s="420">
        <v>627.76</v>
      </c>
      <c r="F6" s="420">
        <v>676.06</v>
      </c>
      <c r="G6" s="420">
        <v>729.63</v>
      </c>
      <c r="H6" s="420">
        <v>789.13</v>
      </c>
      <c r="I6" s="420">
        <v>855.3</v>
      </c>
      <c r="J6" s="420">
        <v>929</v>
      </c>
      <c r="K6" s="420">
        <v>997.69</v>
      </c>
      <c r="L6" s="420">
        <v>1067.6300000000001</v>
      </c>
      <c r="M6" s="420">
        <v>1137.57</v>
      </c>
    </row>
    <row r="7" spans="1:19" ht="15" customHeight="1">
      <c r="A7" s="44" t="s">
        <v>37</v>
      </c>
      <c r="B7" s="372" t="s">
        <v>38</v>
      </c>
      <c r="C7" s="186"/>
      <c r="D7" s="32"/>
      <c r="E7" s="32"/>
      <c r="F7" s="32"/>
      <c r="G7" s="32"/>
      <c r="H7" s="32"/>
      <c r="I7" s="32"/>
      <c r="J7" s="32"/>
      <c r="K7" s="32"/>
      <c r="L7" s="32"/>
      <c r="M7" s="32"/>
      <c r="N7" s="420"/>
      <c r="O7" s="372" t="s">
        <v>39</v>
      </c>
      <c r="P7" s="186"/>
      <c r="Q7" s="186"/>
      <c r="R7" s="186"/>
      <c r="S7" s="186"/>
    </row>
    <row r="8" spans="1:19" ht="15" customHeight="1">
      <c r="B8" s="186"/>
      <c r="C8" s="186"/>
      <c r="D8" s="32"/>
      <c r="E8" s="32"/>
      <c r="F8" s="32"/>
      <c r="G8" s="32"/>
      <c r="H8" s="32"/>
      <c r="I8" s="32"/>
      <c r="J8" s="32"/>
      <c r="K8" s="32"/>
      <c r="L8" s="32"/>
      <c r="M8" s="32"/>
      <c r="N8" s="420"/>
      <c r="O8" s="186"/>
      <c r="P8" s="186"/>
      <c r="Q8" s="186"/>
      <c r="R8" s="186"/>
      <c r="S8" s="186"/>
    </row>
    <row r="9" spans="1:19" ht="15" customHeight="1">
      <c r="B9" s="372" t="s">
        <v>40</v>
      </c>
      <c r="C9" s="32"/>
      <c r="D9" s="450">
        <v>2022</v>
      </c>
      <c r="E9" s="450">
        <f>+D9+1</f>
        <v>2023</v>
      </c>
      <c r="F9" s="450">
        <f>+E9+1</f>
        <v>2024</v>
      </c>
      <c r="G9" s="451">
        <f>+F9+1</f>
        <v>2025</v>
      </c>
      <c r="H9" s="451">
        <f t="shared" ref="H9:K9" si="0">+G9+1</f>
        <v>2026</v>
      </c>
      <c r="I9" s="451">
        <f t="shared" si="0"/>
        <v>2027</v>
      </c>
      <c r="J9" s="451">
        <f t="shared" si="0"/>
        <v>2028</v>
      </c>
      <c r="K9" s="451">
        <f t="shared" si="0"/>
        <v>2029</v>
      </c>
      <c r="L9" s="536"/>
      <c r="M9" s="537" t="str">
        <f>"CAGR "&amp;$G$9&amp;" - "&amp;$K$9</f>
        <v>CAGR 2025 - 2029</v>
      </c>
      <c r="N9" s="538"/>
      <c r="O9" s="32"/>
      <c r="P9" s="32"/>
      <c r="Q9" s="32"/>
      <c r="R9" s="32"/>
      <c r="S9" s="32"/>
    </row>
    <row r="10" spans="1:19" ht="3.95" customHeight="1">
      <c r="B10" s="36"/>
      <c r="C10" s="36"/>
      <c r="D10" s="36"/>
      <c r="E10" s="36"/>
      <c r="F10" s="36"/>
      <c r="G10" s="36"/>
      <c r="H10" s="36"/>
      <c r="I10" s="36"/>
      <c r="J10" s="36"/>
      <c r="K10" s="36"/>
      <c r="L10" s="36"/>
      <c r="M10" s="379"/>
      <c r="O10" s="36"/>
      <c r="P10" s="36"/>
      <c r="Q10" s="36"/>
      <c r="R10" s="36"/>
      <c r="S10" s="36"/>
    </row>
    <row r="11" spans="1:19" ht="3.95" customHeight="1">
      <c r="M11" s="529"/>
    </row>
    <row r="12" spans="1:19" ht="15" customHeight="1">
      <c r="B12" s="373" t="s">
        <v>41</v>
      </c>
      <c r="C12" s="33"/>
      <c r="D12" s="545">
        <v>578.74</v>
      </c>
      <c r="E12" s="545">
        <v>616.09</v>
      </c>
      <c r="F12" s="545">
        <v>649.05999999999995</v>
      </c>
      <c r="G12" s="545">
        <v>679.65</v>
      </c>
      <c r="H12" s="545">
        <v>710.18</v>
      </c>
      <c r="I12" s="545">
        <v>739.15</v>
      </c>
      <c r="J12" s="545">
        <v>773.72</v>
      </c>
      <c r="K12" s="545">
        <v>789.71</v>
      </c>
      <c r="L12" s="534"/>
      <c r="M12" s="539">
        <f>(K12/G12)^(1/5)-1</f>
        <v>3.0472635010623694E-2</v>
      </c>
    </row>
    <row r="13" spans="1:19" ht="15" customHeight="1">
      <c r="B13" s="543" t="s">
        <v>42</v>
      </c>
      <c r="D13" s="725">
        <v>1.9145039223139927E-3</v>
      </c>
      <c r="E13" s="725">
        <v>1.9721144637958742E-3</v>
      </c>
      <c r="F13" s="725">
        <v>1.9458909808030074E-3</v>
      </c>
      <c r="G13" s="734">
        <v>2E-3</v>
      </c>
      <c r="H13" s="725">
        <v>2E-3</v>
      </c>
      <c r="I13" s="725">
        <v>2.2000000000000001E-3</v>
      </c>
      <c r="J13" s="725">
        <v>2.3999999999999998E-3</v>
      </c>
      <c r="K13" s="725">
        <v>2.5000000000000001E-3</v>
      </c>
      <c r="L13" s="534"/>
      <c r="M13" s="547">
        <f>((K13*K12)/(G13*G12))^(1/5)-1</f>
        <v>7.7502945030058834E-2</v>
      </c>
    </row>
    <row r="14" spans="1:19" ht="15" customHeight="1">
      <c r="B14" s="546" t="s">
        <v>43</v>
      </c>
      <c r="C14" s="33"/>
      <c r="D14" s="545">
        <v>1570</v>
      </c>
      <c r="E14" s="545">
        <v>1730</v>
      </c>
      <c r="F14" s="545">
        <v>1790</v>
      </c>
      <c r="G14" s="545">
        <v>1840</v>
      </c>
      <c r="H14" s="545">
        <v>1890</v>
      </c>
      <c r="I14" s="545">
        <v>1940</v>
      </c>
      <c r="J14" s="545">
        <v>2000</v>
      </c>
      <c r="K14" s="545">
        <v>2060</v>
      </c>
      <c r="L14" s="534"/>
      <c r="M14" s="539">
        <f>(K14/G14)^(1/5)-1</f>
        <v>2.2845124682486118E-2</v>
      </c>
    </row>
    <row r="15" spans="1:19" ht="15" customHeight="1">
      <c r="B15" s="543" t="s">
        <v>42</v>
      </c>
      <c r="D15" s="725">
        <v>1.3471337579617835E-3</v>
      </c>
      <c r="E15" s="725">
        <v>1.3520231213872832E-3</v>
      </c>
      <c r="F15" s="725">
        <v>1.5804469273743018E-3</v>
      </c>
      <c r="G15" s="725">
        <v>1.6999999999999999E-3</v>
      </c>
      <c r="H15" s="725">
        <v>1.8E-3</v>
      </c>
      <c r="I15" s="725">
        <v>2E-3</v>
      </c>
      <c r="J15" s="725">
        <v>2.2000000000000001E-3</v>
      </c>
      <c r="K15" s="725">
        <v>2.3999999999999998E-3</v>
      </c>
      <c r="L15" s="534"/>
      <c r="M15" s="547">
        <f>((K15*K14)/(G15*G14))^(1/5)-1</f>
        <v>9.5878340854387734E-2</v>
      </c>
    </row>
    <row r="16" spans="1:19" ht="15" customHeight="1">
      <c r="B16" s="546" t="s">
        <v>44</v>
      </c>
      <c r="C16" s="33"/>
      <c r="D16" s="545"/>
      <c r="E16" s="545"/>
      <c r="F16" s="545"/>
      <c r="G16" s="545"/>
      <c r="H16" s="545"/>
      <c r="I16" s="545"/>
      <c r="J16" s="545"/>
      <c r="K16" s="545"/>
      <c r="L16" s="534"/>
      <c r="M16" s="539" t="e">
        <f>(K16/G16)^(1/5)-1</f>
        <v>#DIV/0!</v>
      </c>
    </row>
    <row r="17" spans="1:19" ht="15" customHeight="1">
      <c r="B17" s="543" t="s">
        <v>42</v>
      </c>
      <c r="D17" s="544"/>
      <c r="E17" s="544"/>
      <c r="F17" s="544"/>
      <c r="G17" s="544"/>
      <c r="H17" s="544"/>
      <c r="I17" s="544"/>
      <c r="J17" s="544"/>
      <c r="K17" s="544"/>
      <c r="L17" s="534"/>
      <c r="M17" s="547">
        <f>((K17*K16)/(G15*G14))^(1/5)-1</f>
        <v>-1</v>
      </c>
    </row>
    <row r="18" spans="1:19" ht="15" customHeight="1">
      <c r="B18" s="546" t="s">
        <v>45</v>
      </c>
      <c r="C18" s="33"/>
      <c r="D18" s="545"/>
      <c r="E18" s="545"/>
      <c r="F18" s="545"/>
      <c r="G18" s="545"/>
      <c r="H18" s="545"/>
      <c r="I18" s="545"/>
      <c r="J18" s="545"/>
      <c r="K18" s="545"/>
      <c r="L18" s="534"/>
      <c r="M18" s="539" t="e">
        <f>(K18/G18)^(1/5)-1</f>
        <v>#DIV/0!</v>
      </c>
    </row>
    <row r="19" spans="1:19" ht="15" customHeight="1">
      <c r="B19" s="543" t="s">
        <v>42</v>
      </c>
      <c r="D19" s="544"/>
      <c r="E19" s="544"/>
      <c r="F19" s="544"/>
      <c r="G19" s="544"/>
      <c r="H19" s="544"/>
      <c r="I19" s="544"/>
      <c r="J19" s="544" t="s">
        <v>46</v>
      </c>
      <c r="K19" s="544"/>
      <c r="L19" s="534"/>
      <c r="M19" s="547" t="e">
        <f>((K19*K18)/(G19*G18))^(1/5)-1</f>
        <v>#DIV/0!</v>
      </c>
    </row>
    <row r="20" spans="1:19" ht="15" customHeight="1">
      <c r="B20" s="546" t="s">
        <v>45</v>
      </c>
      <c r="C20" s="33"/>
      <c r="D20" s="545"/>
      <c r="E20" s="545"/>
      <c r="F20" s="545"/>
      <c r="G20" s="545"/>
      <c r="H20" s="545"/>
      <c r="I20" s="545"/>
      <c r="J20" s="545"/>
      <c r="K20" s="545"/>
      <c r="L20" s="534"/>
      <c r="M20" s="539" t="e">
        <f t="shared" ref="M20" si="1">(K20/G20)^(1/5)-1</f>
        <v>#DIV/0!</v>
      </c>
    </row>
    <row r="21" spans="1:19" ht="15" customHeight="1">
      <c r="B21" s="543" t="s">
        <v>42</v>
      </c>
      <c r="D21" s="544"/>
      <c r="E21" s="544"/>
      <c r="F21" s="544"/>
      <c r="G21" s="544"/>
      <c r="H21" s="544"/>
      <c r="I21" s="544"/>
      <c r="J21" s="544"/>
      <c r="K21" s="544"/>
      <c r="L21" s="534"/>
      <c r="M21" s="547" t="e">
        <f>((K21*K20)/(G21*G20))^(1/5)-1</f>
        <v>#DIV/0!</v>
      </c>
    </row>
    <row r="22" spans="1:19" ht="15" customHeight="1">
      <c r="E22" s="535"/>
    </row>
    <row r="23" spans="1:19" ht="15" customHeight="1">
      <c r="A23" s="44" t="s">
        <v>37</v>
      </c>
      <c r="B23" s="32"/>
      <c r="C23" s="32"/>
      <c r="D23" s="32"/>
      <c r="E23" s="32"/>
      <c r="F23" s="32"/>
      <c r="G23" s="32"/>
      <c r="H23" s="32"/>
      <c r="I23" s="32"/>
      <c r="J23" s="32"/>
      <c r="K23" s="32"/>
      <c r="L23" s="32"/>
      <c r="M23" s="32"/>
      <c r="O23" s="32"/>
      <c r="P23" s="32"/>
      <c r="Q23" s="32"/>
      <c r="R23" s="32"/>
      <c r="S23" s="32"/>
    </row>
    <row r="24" spans="1:19" ht="15" customHeight="1">
      <c r="B24" s="32"/>
      <c r="C24" s="32"/>
      <c r="D24" s="32"/>
      <c r="E24" s="32"/>
      <c r="F24" s="32"/>
      <c r="G24" s="32"/>
      <c r="H24" s="32"/>
      <c r="I24" s="32"/>
      <c r="J24" s="32"/>
      <c r="K24" s="32"/>
      <c r="L24" s="32"/>
      <c r="M24" s="32"/>
      <c r="O24" s="32"/>
      <c r="P24" s="32"/>
      <c r="Q24" s="32"/>
      <c r="R24" s="32"/>
      <c r="S24" s="32"/>
    </row>
    <row r="25" spans="1:19" s="420" customFormat="1" ht="15" customHeight="1">
      <c r="B25" s="372" t="s">
        <v>47</v>
      </c>
      <c r="C25" s="32"/>
      <c r="D25" s="372" t="s">
        <v>48</v>
      </c>
      <c r="E25" s="32"/>
      <c r="F25" s="32"/>
      <c r="G25" s="32"/>
      <c r="H25" s="32"/>
      <c r="I25" s="32"/>
      <c r="J25" s="32"/>
      <c r="K25" s="32"/>
      <c r="L25" s="32"/>
      <c r="M25" s="32"/>
      <c r="O25" s="372" t="s">
        <v>49</v>
      </c>
      <c r="P25" s="32"/>
      <c r="Q25" s="32"/>
      <c r="R25" s="32"/>
      <c r="S25" s="32"/>
    </row>
    <row r="26" spans="1:19" ht="3.95" customHeight="1">
      <c r="B26" s="36"/>
      <c r="C26" s="36"/>
      <c r="D26" s="36"/>
      <c r="E26" s="36"/>
      <c r="F26" s="36"/>
      <c r="G26" s="36"/>
      <c r="H26" s="36"/>
      <c r="I26" s="36"/>
      <c r="J26" s="36"/>
      <c r="K26" s="36"/>
      <c r="L26" s="36"/>
      <c r="M26" s="36"/>
      <c r="O26" s="36"/>
      <c r="P26" s="36"/>
      <c r="Q26" s="36"/>
      <c r="R26" s="36"/>
      <c r="S26" s="36"/>
    </row>
    <row r="27" spans="1:19" ht="60" customHeight="1">
      <c r="B27" s="727" t="s">
        <v>50</v>
      </c>
      <c r="C27" s="540"/>
      <c r="D27" s="739" t="s">
        <v>51</v>
      </c>
      <c r="E27" s="740"/>
      <c r="F27" s="740"/>
      <c r="G27" s="740"/>
      <c r="H27" s="740"/>
      <c r="I27" s="740"/>
      <c r="J27" s="740"/>
      <c r="K27" s="740"/>
      <c r="L27" s="740"/>
      <c r="M27" s="740"/>
    </row>
    <row r="28" spans="1:19" ht="60" customHeight="1">
      <c r="B28" s="727" t="s">
        <v>52</v>
      </c>
      <c r="C28" s="540"/>
      <c r="D28" s="739" t="s">
        <v>53</v>
      </c>
      <c r="E28" s="740"/>
      <c r="F28" s="740"/>
      <c r="G28" s="740"/>
      <c r="H28" s="740"/>
      <c r="I28" s="740"/>
      <c r="J28" s="740"/>
      <c r="K28" s="740"/>
      <c r="L28" s="740"/>
      <c r="M28" s="740"/>
    </row>
    <row r="29" spans="1:19" ht="60" customHeight="1">
      <c r="B29" s="727" t="s">
        <v>54</v>
      </c>
      <c r="C29" s="540"/>
      <c r="D29" s="739" t="s">
        <v>55</v>
      </c>
      <c r="E29" s="740"/>
      <c r="F29" s="740"/>
      <c r="G29" s="740"/>
      <c r="H29" s="740"/>
      <c r="I29" s="740"/>
      <c r="J29" s="740"/>
      <c r="K29" s="740"/>
      <c r="L29" s="740"/>
      <c r="M29" s="740"/>
    </row>
    <row r="30" spans="1:19" ht="60" customHeight="1">
      <c r="B30" s="727" t="s">
        <v>56</v>
      </c>
      <c r="C30" s="540"/>
      <c r="D30" s="739" t="s">
        <v>57</v>
      </c>
      <c r="E30" s="740"/>
      <c r="F30" s="740"/>
      <c r="G30" s="740"/>
      <c r="H30" s="740"/>
      <c r="I30" s="740"/>
      <c r="J30" s="740"/>
      <c r="K30" s="740"/>
      <c r="L30" s="740"/>
      <c r="M30" s="740"/>
    </row>
    <row r="31" spans="1:19" ht="60" customHeight="1">
      <c r="B31" s="727" t="s">
        <v>58</v>
      </c>
      <c r="C31" s="540"/>
      <c r="D31" s="739" t="s">
        <v>59</v>
      </c>
      <c r="E31" s="740"/>
      <c r="F31" s="740"/>
      <c r="G31" s="740"/>
      <c r="H31" s="740"/>
      <c r="I31" s="740"/>
      <c r="J31" s="740"/>
      <c r="K31" s="740"/>
      <c r="L31" s="740"/>
      <c r="M31" s="740"/>
    </row>
    <row r="32" spans="1:19" ht="15" customHeight="1">
      <c r="O32" s="375" t="s">
        <v>60</v>
      </c>
      <c r="R32" s="541">
        <v>5</v>
      </c>
    </row>
    <row r="33" spans="15:18" ht="15" customHeight="1">
      <c r="O33" s="375" t="s">
        <v>61</v>
      </c>
      <c r="R33" s="541">
        <v>3</v>
      </c>
    </row>
    <row r="34" spans="15:18" ht="15" customHeight="1">
      <c r="O34" s="375" t="s">
        <v>62</v>
      </c>
      <c r="R34" s="541">
        <v>4</v>
      </c>
    </row>
    <row r="35" spans="15:18" ht="15" customHeight="1">
      <c r="O35" s="375" t="s">
        <v>63</v>
      </c>
      <c r="R35" s="541">
        <v>4</v>
      </c>
    </row>
    <row r="36" spans="15:18" ht="15" customHeight="1">
      <c r="O36" s="375" t="s">
        <v>64</v>
      </c>
      <c r="R36" s="541">
        <v>2</v>
      </c>
    </row>
  </sheetData>
  <mergeCells count="5">
    <mergeCell ref="D27:M27"/>
    <mergeCell ref="D28:M28"/>
    <mergeCell ref="D29:M29"/>
    <mergeCell ref="D30:M30"/>
    <mergeCell ref="D31:M31"/>
  </mergeCells>
  <pageMargins left="0.7" right="0.7" top="0.75" bottom="0.75" header="0.3" footer="0.3"/>
  <pageSetup paperSize="9" orientation="portrait" r:id="rId1"/>
  <drawing r:id="rId2"/>
  <extLst>
    <ext xmlns:x14="http://schemas.microsoft.com/office/spreadsheetml/2009/9/main" uri="{05C60535-1F16-4fd2-B633-F4F36F0B64E0}">
      <x14:sparklineGroups xmlns:xm="http://schemas.microsoft.com/office/excel/2006/main">
        <x14:sparklineGroup displayEmptyCellsAs="gap" xr2:uid="{00000000-0003-0000-0200-000000000000}">
          <x14:colorSeries rgb="FF7B1314"/>
          <x14:colorNegative rgb="FFD00000"/>
          <x14:colorAxis rgb="FF000000"/>
          <x14:colorMarkers rgb="FFD00000"/>
          <x14:colorFirst rgb="FFD00000"/>
          <x14:colorLast rgb="FFD00000"/>
          <x14:colorHigh rgb="FFD00000"/>
          <x14:colorLow rgb="FFD00000"/>
          <x14:sparklines>
            <x14:sparkline>
              <xm:f>Industry!D21:K21</xm:f>
              <xm:sqref>L21</xm:sqref>
            </x14:sparkline>
          </x14:sparklines>
        </x14:sparklineGroup>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Industry!D19:K19</xm:f>
              <xm:sqref>L19</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Industry!D17:K17</xm:f>
              <xm:sqref>L17</xm:sqref>
            </x14:sparkline>
          </x14:sparklines>
        </x14:sparklineGroup>
        <x14:sparklineGroup displayEmptyCellsAs="gap" xr2:uid="{00000000-0003-0000-0200-000003000000}">
          <x14:colorSeries rgb="FF7B1314"/>
          <x14:colorNegative rgb="FFD00000"/>
          <x14:colorAxis rgb="FF000000"/>
          <x14:colorMarkers rgb="FFD00000"/>
          <x14:colorFirst rgb="FFD00000"/>
          <x14:colorLast rgb="FFD00000"/>
          <x14:colorHigh rgb="FFD00000"/>
          <x14:colorLow rgb="FFD00000"/>
          <x14:sparklines>
            <x14:sparkline>
              <xm:f>Industry!D15:K15</xm:f>
              <xm:sqref>L15</xm:sqref>
            </x14:sparkline>
          </x14:sparklines>
        </x14:sparklineGroup>
        <x14:sparklineGroup displayEmptyCellsAs="gap" xr2:uid="{00000000-0003-0000-0200-000004000000}">
          <x14:colorSeries rgb="FF7B1314"/>
          <x14:colorNegative rgb="FFD00000"/>
          <x14:colorAxis rgb="FF000000"/>
          <x14:colorMarkers rgb="FFD00000"/>
          <x14:colorFirst rgb="FFD00000"/>
          <x14:colorLast rgb="FFD00000"/>
          <x14:colorHigh rgb="FFD00000"/>
          <x14:colorLow rgb="FFD00000"/>
          <x14:sparklines>
            <x14:sparkline>
              <xm:f>Industry!D13:K13</xm:f>
              <xm:sqref>L13</xm:sqref>
            </x14:sparkline>
          </x14:sparklines>
        </x14:sparklineGroup>
        <x14:sparklineGroup type="column" displayEmptyCellsAs="gap" xr2:uid="{00000000-0003-0000-0200-000005000000}">
          <x14:colorSeries rgb="FF7B1314"/>
          <x14:colorNegative rgb="FFD00000"/>
          <x14:colorAxis rgb="FF000000"/>
          <x14:colorMarkers rgb="FFD00000"/>
          <x14:colorFirst rgb="FFD00000"/>
          <x14:colorLast rgb="FFD00000"/>
          <x14:colorHigh rgb="FFD00000"/>
          <x14:colorLow rgb="FFD00000"/>
          <x14:sparklines>
            <x14:sparkline>
              <xm:f>Industry!D18:K18</xm:f>
              <xm:sqref>L18</xm:sqref>
            </x14:sparkline>
          </x14:sparklines>
        </x14:sparklineGroup>
        <x14:sparklineGroup type="column" displayEmptyCellsAs="gap" xr2:uid="{00000000-0003-0000-0200-000006000000}">
          <x14:colorSeries rgb="FF7B1314"/>
          <x14:colorNegative rgb="FFD00000"/>
          <x14:colorAxis rgb="FF000000"/>
          <x14:colorMarkers rgb="FFD00000"/>
          <x14:colorFirst rgb="FFD00000"/>
          <x14:colorLast rgb="FFD00000"/>
          <x14:colorHigh rgb="FFD00000"/>
          <x14:colorLow rgb="FFD00000"/>
          <x14:sparklines>
            <x14:sparkline>
              <xm:f>Industry!D16:K16</xm:f>
              <xm:sqref>L16</xm:sqref>
            </x14:sparkline>
          </x14:sparklines>
        </x14:sparklineGroup>
        <x14:sparklineGroup type="column" displayEmptyCellsAs="gap" xr2:uid="{00000000-0003-0000-0200-000007000000}">
          <x14:colorSeries rgb="FF7B1314"/>
          <x14:colorNegative rgb="FFD00000"/>
          <x14:colorAxis rgb="FF000000"/>
          <x14:colorMarkers rgb="FFD00000"/>
          <x14:colorFirst rgb="FFD00000"/>
          <x14:colorLast rgb="FFD00000"/>
          <x14:colorHigh rgb="FFD00000"/>
          <x14:colorLow rgb="FFD00000"/>
          <x14:sparklines>
            <x14:sparkline>
              <xm:f>Industry!D12:K12</xm:f>
              <xm:sqref>L12</xm:sqref>
            </x14:sparkline>
          </x14:sparklines>
        </x14:sparklineGroup>
        <x14:sparklineGroup type="column" displayEmptyCellsAs="gap" xr2:uid="{00000000-0003-0000-0200-000008000000}">
          <x14:colorSeries rgb="FF7B1314"/>
          <x14:colorNegative rgb="FFD00000"/>
          <x14:colorAxis rgb="FF000000"/>
          <x14:colorMarkers rgb="FFD00000"/>
          <x14:colorFirst rgb="FFD00000"/>
          <x14:colorLast rgb="FFD00000"/>
          <x14:colorHigh rgb="FFD00000"/>
          <x14:colorLow rgb="FFD00000"/>
          <x14:sparklines>
            <x14:sparkline>
              <xm:f>Industry!D20:K20</xm:f>
              <xm:sqref>L20</xm:sqref>
            </x14:sparkline>
          </x14:sparklines>
        </x14:sparklineGroup>
        <x14:sparklineGroup type="column" displayEmptyCellsAs="gap" xr2:uid="{00000000-0003-0000-0200-000009000000}">
          <x14:colorSeries rgb="FF7B1314"/>
          <x14:colorNegative rgb="FFD00000"/>
          <x14:colorAxis rgb="FF000000"/>
          <x14:colorMarkers rgb="FFD00000"/>
          <x14:colorFirst rgb="FFD00000"/>
          <x14:colorLast rgb="FFD00000"/>
          <x14:colorHigh rgb="FFD00000"/>
          <x14:colorLow rgb="FFD00000"/>
          <x14:sparklines>
            <x14:sparkline>
              <xm:f>Industry!D14:K14</xm:f>
              <xm:sqref>L14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4" tint="0.59999389629810485"/>
  </sheetPr>
  <dimension ref="A1:L95"/>
  <sheetViews>
    <sheetView showGridLines="0" topLeftCell="A23" zoomScale="51" zoomScaleNormal="100" workbookViewId="0">
      <selection activeCell="C59" sqref="C59"/>
    </sheetView>
  </sheetViews>
  <sheetFormatPr defaultColWidth="7.625" defaultRowHeight="15" customHeight="1"/>
  <cols>
    <col min="1" max="1" width="2" style="377" customWidth="1"/>
    <col min="2" max="2" width="29.625" style="377" customWidth="1"/>
    <col min="3" max="3" width="24.625" style="377" bestFit="1" customWidth="1"/>
    <col min="4" max="4" width="9.125" style="377" customWidth="1"/>
    <col min="5" max="5" width="9.125" style="378" customWidth="1"/>
    <col min="6" max="6" width="1.625" style="377" customWidth="1"/>
    <col min="7" max="7" width="24.125" style="377" customWidth="1"/>
    <col min="8" max="8" width="11" style="377" customWidth="1"/>
    <col min="9" max="9" width="25" style="377" customWidth="1"/>
    <col min="10" max="10" width="34.625" style="377" customWidth="1"/>
    <col min="11" max="11" width="75.5" style="377" customWidth="1"/>
    <col min="12" max="16384" width="7.625" style="377"/>
  </cols>
  <sheetData>
    <row r="1" spans="1:11" s="590" customFormat="1" ht="15" customHeight="1">
      <c r="A1" s="589"/>
      <c r="E1" s="589"/>
    </row>
    <row r="2" spans="1:11" s="590" customFormat="1" ht="15" customHeight="1">
      <c r="E2" s="589"/>
    </row>
    <row r="3" spans="1:11" s="590" customFormat="1" ht="15" customHeight="1">
      <c r="E3" s="589"/>
    </row>
    <row r="4" spans="1:11" s="590" customFormat="1" ht="15" customHeight="1">
      <c r="E4" s="589"/>
    </row>
    <row r="5" spans="1:11" s="392" customFormat="1" ht="3.95" customHeight="1">
      <c r="E5" s="393"/>
    </row>
    <row r="7" spans="1:11" s="97" customFormat="1" ht="15" customHeight="1">
      <c r="A7" s="380" t="s">
        <v>37</v>
      </c>
      <c r="B7" s="381" t="s">
        <v>65</v>
      </c>
      <c r="C7" s="381"/>
      <c r="D7" s="381"/>
      <c r="E7" s="32"/>
      <c r="F7" s="337"/>
      <c r="G7" s="337"/>
      <c r="H7" s="337"/>
      <c r="I7" s="32"/>
      <c r="J7" s="337"/>
      <c r="K7" s="337"/>
    </row>
    <row r="8" spans="1:11" s="97" customFormat="1" ht="15" customHeight="1">
      <c r="B8" s="382"/>
      <c r="C8" s="382"/>
      <c r="D8" s="382"/>
      <c r="E8" s="32"/>
      <c r="F8" s="383"/>
      <c r="G8" s="383"/>
      <c r="H8" s="383"/>
      <c r="I8" s="384"/>
      <c r="J8" s="383"/>
      <c r="K8" s="383"/>
    </row>
    <row r="9" spans="1:11" s="97" customFormat="1" ht="14.25" customHeight="1">
      <c r="B9" s="382"/>
      <c r="C9" s="382"/>
      <c r="D9" s="382"/>
      <c r="E9" s="32"/>
      <c r="F9" s="385"/>
      <c r="G9" s="385"/>
      <c r="H9" s="385"/>
      <c r="I9" s="383"/>
      <c r="J9" s="385"/>
      <c r="K9" s="385"/>
    </row>
    <row r="10" spans="1:11" s="97" customFormat="1" ht="3.95" customHeight="1">
      <c r="A10" s="55"/>
      <c r="B10" s="386"/>
      <c r="C10" s="386"/>
      <c r="D10" s="386"/>
      <c r="E10" s="387"/>
      <c r="F10" s="388"/>
      <c r="G10" s="388"/>
      <c r="H10" s="388"/>
      <c r="I10" s="389"/>
      <c r="J10" s="388"/>
      <c r="K10" s="388"/>
    </row>
    <row r="11" spans="1:11" s="23" customFormat="1" ht="15" customHeight="1"/>
    <row r="12" spans="1:11" s="23" customFormat="1" ht="15" customHeight="1">
      <c r="B12" s="372" t="s">
        <v>66</v>
      </c>
      <c r="C12" s="372"/>
      <c r="D12" s="372"/>
      <c r="E12" s="390"/>
      <c r="F12" s="391"/>
      <c r="G12" s="381" t="s">
        <v>67</v>
      </c>
      <c r="H12" s="382"/>
      <c r="I12" s="381"/>
      <c r="J12" s="382"/>
      <c r="K12" s="382"/>
    </row>
    <row r="13" spans="1:11" s="23" customFormat="1" ht="3.95" customHeight="1">
      <c r="B13" s="392"/>
      <c r="C13" s="392"/>
      <c r="D13" s="392"/>
      <c r="E13" s="393"/>
      <c r="F13" s="338"/>
      <c r="G13" s="386"/>
      <c r="H13" s="386"/>
      <c r="I13" s="386"/>
      <c r="J13" s="386"/>
      <c r="K13" s="386"/>
    </row>
    <row r="14" spans="1:11" s="23" customFormat="1" ht="3.95" customHeight="1">
      <c r="B14" s="377"/>
      <c r="C14" s="377"/>
      <c r="D14" s="377"/>
      <c r="E14" s="378"/>
      <c r="F14" s="338"/>
      <c r="G14" s="338"/>
      <c r="H14" s="338"/>
      <c r="I14" s="338"/>
      <c r="J14" s="338"/>
    </row>
    <row r="15" spans="1:11" ht="15" customHeight="1">
      <c r="B15" s="373" t="s">
        <v>68</v>
      </c>
      <c r="C15" s="373"/>
      <c r="D15" s="743"/>
      <c r="E15" s="743"/>
      <c r="H15" s="528"/>
      <c r="I15" s="528"/>
      <c r="J15" s="528"/>
    </row>
    <row r="16" spans="1:11" ht="15" customHeight="1">
      <c r="B16" s="399" t="s">
        <v>69</v>
      </c>
      <c r="C16" s="375"/>
      <c r="D16" s="744"/>
      <c r="E16" s="744"/>
      <c r="G16" s="373"/>
      <c r="H16" s="750"/>
      <c r="I16" s="750"/>
      <c r="J16" s="750"/>
    </row>
    <row r="17" spans="2:11" ht="15" customHeight="1">
      <c r="B17" s="399" t="s">
        <v>70</v>
      </c>
      <c r="C17" s="375"/>
      <c r="D17" s="744"/>
      <c r="E17" s="744"/>
      <c r="H17" s="750"/>
      <c r="I17" s="750"/>
      <c r="J17" s="750"/>
      <c r="K17" s="374"/>
    </row>
    <row r="18" spans="2:11" ht="15" customHeight="1">
      <c r="B18" s="399" t="s">
        <v>71</v>
      </c>
      <c r="C18" s="375"/>
      <c r="D18" s="744"/>
      <c r="E18" s="744"/>
      <c r="G18" s="373"/>
      <c r="H18" s="750"/>
      <c r="I18" s="750"/>
      <c r="J18" s="750"/>
      <c r="K18" s="374"/>
    </row>
    <row r="19" spans="2:11" ht="15" customHeight="1">
      <c r="B19" s="373" t="s">
        <v>72</v>
      </c>
      <c r="C19" s="373"/>
      <c r="D19" s="746">
        <v>50</v>
      </c>
      <c r="E19" s="746"/>
      <c r="H19" s="750"/>
      <c r="I19" s="750"/>
      <c r="J19" s="750"/>
      <c r="K19" s="374"/>
    </row>
    <row r="20" spans="2:11" ht="15" customHeight="1">
      <c r="B20" s="399" t="s">
        <v>73</v>
      </c>
      <c r="C20" s="375"/>
      <c r="D20" s="744"/>
      <c r="E20" s="744"/>
      <c r="G20" s="373"/>
      <c r="H20" s="750"/>
      <c r="I20" s="750"/>
      <c r="J20" s="750"/>
      <c r="K20" s="374"/>
    </row>
    <row r="21" spans="2:11" ht="15" customHeight="1">
      <c r="B21" s="399" t="s">
        <v>74</v>
      </c>
      <c r="C21" s="375"/>
      <c r="D21" s="744"/>
      <c r="E21" s="744"/>
      <c r="H21" s="750"/>
      <c r="I21" s="750"/>
      <c r="J21" s="750"/>
      <c r="K21" s="374"/>
    </row>
    <row r="22" spans="2:11" ht="15" customHeight="1">
      <c r="B22" s="399" t="s">
        <v>75</v>
      </c>
      <c r="C22" s="375"/>
      <c r="D22" s="744"/>
      <c r="E22" s="744"/>
      <c r="G22" s="373"/>
      <c r="H22" s="750"/>
      <c r="I22" s="750"/>
      <c r="J22" s="750"/>
      <c r="K22" s="374"/>
    </row>
    <row r="23" spans="2:11" ht="15" customHeight="1">
      <c r="B23" s="373" t="s">
        <v>76</v>
      </c>
      <c r="C23" s="373"/>
      <c r="D23" s="745"/>
      <c r="E23" s="745"/>
      <c r="H23" s="750"/>
      <c r="I23" s="750"/>
      <c r="J23" s="750"/>
      <c r="K23" s="374"/>
    </row>
    <row r="24" spans="2:11" ht="15" customHeight="1">
      <c r="B24" s="373" t="s">
        <v>77</v>
      </c>
      <c r="C24" s="373"/>
      <c r="D24" s="745"/>
      <c r="E24" s="745"/>
    </row>
    <row r="25" spans="2:11" ht="15" customHeight="1">
      <c r="B25" s="399" t="s">
        <v>78</v>
      </c>
      <c r="C25" s="375"/>
      <c r="D25" s="744"/>
      <c r="E25" s="744"/>
      <c r="G25" s="33"/>
      <c r="H25" s="33"/>
      <c r="I25" s="33"/>
      <c r="K25" s="33"/>
    </row>
    <row r="26" spans="2:11" ht="15" customHeight="1">
      <c r="B26" s="399" t="s">
        <v>79</v>
      </c>
      <c r="C26" s="375"/>
      <c r="D26" s="744"/>
      <c r="E26" s="744"/>
      <c r="G26" s="373"/>
      <c r="H26" s="750"/>
      <c r="I26" s="750"/>
      <c r="J26" s="750"/>
      <c r="K26" s="373"/>
    </row>
    <row r="27" spans="2:11" ht="15" customHeight="1">
      <c r="B27" s="373" t="s">
        <v>80</v>
      </c>
      <c r="C27" s="373"/>
      <c r="D27" s="745"/>
      <c r="E27" s="745"/>
      <c r="H27" s="750"/>
      <c r="I27" s="750"/>
      <c r="J27" s="750"/>
      <c r="K27" s="528"/>
    </row>
    <row r="28" spans="2:11" ht="15" customHeight="1">
      <c r="E28" s="377"/>
      <c r="G28" s="373"/>
      <c r="H28" s="750"/>
      <c r="I28" s="750"/>
      <c r="J28" s="750"/>
      <c r="K28" s="528"/>
    </row>
    <row r="29" spans="2:11" ht="15" customHeight="1">
      <c r="E29" s="377"/>
      <c r="H29" s="750"/>
      <c r="I29" s="750"/>
      <c r="J29" s="750"/>
      <c r="K29" s="528"/>
    </row>
    <row r="30" spans="2:11" ht="15" customHeight="1">
      <c r="B30" s="372" t="s">
        <v>81</v>
      </c>
      <c r="C30" s="372"/>
      <c r="D30" s="372"/>
      <c r="E30" s="372"/>
      <c r="G30" s="372" t="s">
        <v>82</v>
      </c>
      <c r="H30" s="372"/>
      <c r="I30" s="372"/>
      <c r="J30" s="372"/>
      <c r="K30" s="372"/>
    </row>
    <row r="31" spans="2:11" s="23" customFormat="1" ht="3.95" customHeight="1">
      <c r="B31" s="36"/>
      <c r="C31" s="36"/>
      <c r="D31" s="36"/>
      <c r="E31" s="36"/>
      <c r="F31" s="377"/>
      <c r="G31" s="36"/>
      <c r="H31" s="36"/>
      <c r="I31" s="36"/>
      <c r="J31" s="36"/>
      <c r="K31" s="36"/>
    </row>
    <row r="32" spans="2:11" ht="15" customHeight="1" thickBot="1">
      <c r="B32" s="394"/>
      <c r="C32" s="394"/>
      <c r="D32" s="394"/>
      <c r="E32" s="394"/>
      <c r="G32" s="394"/>
      <c r="H32" s="395" t="s">
        <v>83</v>
      </c>
      <c r="I32" s="395" t="s">
        <v>84</v>
      </c>
      <c r="J32" s="395" t="s">
        <v>85</v>
      </c>
      <c r="K32" s="395" t="s">
        <v>86</v>
      </c>
    </row>
    <row r="33" spans="2:11" ht="15" customHeight="1">
      <c r="B33" s="401" t="s">
        <v>87</v>
      </c>
      <c r="C33" s="402" t="s">
        <v>88</v>
      </c>
      <c r="D33" s="402"/>
      <c r="E33" s="402"/>
      <c r="G33" s="741" t="s">
        <v>89</v>
      </c>
      <c r="H33" s="742"/>
      <c r="I33" s="748" t="s">
        <v>90</v>
      </c>
      <c r="J33" s="749" t="s">
        <v>91</v>
      </c>
      <c r="K33" s="749" t="s">
        <v>92</v>
      </c>
    </row>
    <row r="34" spans="2:11" ht="15" customHeight="1">
      <c r="B34" s="401" t="s">
        <v>93</v>
      </c>
      <c r="C34" s="402" t="s">
        <v>94</v>
      </c>
      <c r="D34" s="402"/>
      <c r="E34" s="402"/>
      <c r="G34" s="741"/>
      <c r="H34" s="742"/>
      <c r="I34" s="748"/>
      <c r="J34" s="749"/>
      <c r="K34" s="749"/>
    </row>
    <row r="35" spans="2:11" ht="15" customHeight="1">
      <c r="B35" s="401" t="s">
        <v>95</v>
      </c>
      <c r="C35" s="402" t="s">
        <v>96</v>
      </c>
      <c r="D35" s="402"/>
      <c r="E35" s="402"/>
      <c r="G35" s="741" t="s">
        <v>97</v>
      </c>
      <c r="H35" s="710"/>
      <c r="I35" s="748" t="s">
        <v>98</v>
      </c>
      <c r="J35" s="749" t="s">
        <v>99</v>
      </c>
      <c r="K35" s="749" t="s">
        <v>100</v>
      </c>
    </row>
    <row r="36" spans="2:11" ht="15" customHeight="1">
      <c r="B36" s="401" t="s">
        <v>101</v>
      </c>
      <c r="C36" s="402" t="s">
        <v>102</v>
      </c>
      <c r="D36" s="402"/>
      <c r="E36" s="402"/>
      <c r="G36" s="741"/>
      <c r="H36" s="710"/>
      <c r="I36" s="748"/>
      <c r="J36" s="749"/>
      <c r="K36" s="749"/>
    </row>
    <row r="37" spans="2:11" ht="15" customHeight="1">
      <c r="D37" s="402"/>
      <c r="E37" s="402"/>
      <c r="G37" s="741" t="s">
        <v>103</v>
      </c>
      <c r="H37" s="747"/>
      <c r="I37" s="748" t="s">
        <v>104</v>
      </c>
      <c r="J37" s="749" t="s">
        <v>105</v>
      </c>
      <c r="K37" s="749" t="s">
        <v>106</v>
      </c>
    </row>
    <row r="38" spans="2:11" ht="15" customHeight="1">
      <c r="B38" s="401" t="s">
        <v>107</v>
      </c>
      <c r="C38" s="402" t="s">
        <v>108</v>
      </c>
      <c r="D38" s="402"/>
      <c r="E38" s="402"/>
      <c r="G38" s="741"/>
      <c r="H38" s="747"/>
      <c r="I38" s="748"/>
      <c r="J38" s="749"/>
      <c r="K38" s="749"/>
    </row>
    <row r="39" spans="2:11" ht="15" customHeight="1">
      <c r="B39" s="401" t="s">
        <v>109</v>
      </c>
      <c r="C39" s="402">
        <v>6000</v>
      </c>
      <c r="D39" s="402"/>
      <c r="E39" s="402"/>
      <c r="G39" s="741" t="s">
        <v>110</v>
      </c>
      <c r="H39" s="710"/>
      <c r="I39" s="748" t="s">
        <v>111</v>
      </c>
      <c r="J39" s="749" t="s">
        <v>112</v>
      </c>
      <c r="K39" s="749" t="s">
        <v>113</v>
      </c>
    </row>
    <row r="40" spans="2:11" ht="15" customHeight="1">
      <c r="C40" s="403"/>
      <c r="D40" s="530"/>
      <c r="E40" s="530"/>
      <c r="G40" s="741"/>
      <c r="H40" s="710"/>
      <c r="I40" s="748"/>
      <c r="J40" s="749"/>
      <c r="K40" s="749"/>
    </row>
    <row r="41" spans="2:11" ht="15" customHeight="1">
      <c r="B41" s="373" t="s">
        <v>114</v>
      </c>
      <c r="C41" s="402" t="s">
        <v>115</v>
      </c>
      <c r="D41" s="402"/>
      <c r="E41" s="402"/>
      <c r="G41" s="741" t="s">
        <v>116</v>
      </c>
      <c r="H41" s="742"/>
      <c r="I41" s="748"/>
      <c r="J41" s="749"/>
      <c r="K41" s="749"/>
    </row>
    <row r="42" spans="2:11" ht="15" customHeight="1">
      <c r="B42" s="373" t="s">
        <v>117</v>
      </c>
      <c r="C42" s="402" t="s">
        <v>118</v>
      </c>
      <c r="D42" s="402"/>
      <c r="E42" s="402"/>
      <c r="G42" s="741"/>
      <c r="H42" s="742"/>
      <c r="I42" s="748"/>
      <c r="J42" s="749"/>
      <c r="K42" s="749"/>
    </row>
    <row r="43" spans="2:11" ht="15" customHeight="1">
      <c r="C43" s="402"/>
      <c r="D43" s="402"/>
      <c r="E43" s="402"/>
      <c r="G43" s="376"/>
      <c r="H43" s="396"/>
      <c r="I43" s="397"/>
      <c r="J43" s="398"/>
      <c r="K43" s="398"/>
    </row>
    <row r="44" spans="2:11" ht="15" customHeight="1">
      <c r="B44" s="372" t="s">
        <v>119</v>
      </c>
      <c r="C44" s="372"/>
      <c r="D44" s="372"/>
      <c r="E44" s="372"/>
      <c r="G44" s="372" t="s">
        <v>120</v>
      </c>
      <c r="H44" s="372"/>
      <c r="I44" s="372"/>
      <c r="J44" s="372"/>
      <c r="K44" s="372"/>
    </row>
    <row r="45" spans="2:11" s="23" customFormat="1" ht="3.95" customHeight="1">
      <c r="B45" s="36"/>
      <c r="C45" s="36"/>
      <c r="D45" s="36"/>
      <c r="E45" s="36"/>
      <c r="F45" s="377"/>
      <c r="G45" s="36"/>
      <c r="H45" s="36"/>
      <c r="I45" s="36"/>
      <c r="J45" s="36"/>
      <c r="K45" s="36"/>
    </row>
    <row r="46" spans="2:11" ht="15" customHeight="1" thickBot="1">
      <c r="B46" s="394"/>
      <c r="C46" s="394"/>
      <c r="D46" s="394"/>
      <c r="E46" s="394"/>
      <c r="G46" s="394"/>
      <c r="H46" s="395" t="s">
        <v>83</v>
      </c>
      <c r="I46" s="395" t="s">
        <v>84</v>
      </c>
      <c r="J46" s="395" t="s">
        <v>85</v>
      </c>
      <c r="K46" s="395" t="s">
        <v>86</v>
      </c>
    </row>
    <row r="47" spans="2:11" ht="15" customHeight="1">
      <c r="B47" s="715"/>
      <c r="C47" s="715"/>
      <c r="D47" s="715"/>
      <c r="E47" s="715"/>
      <c r="G47" s="741" t="s">
        <v>121</v>
      </c>
      <c r="H47" s="751"/>
      <c r="I47" s="748"/>
      <c r="J47" s="749"/>
      <c r="K47" s="749"/>
    </row>
    <row r="48" spans="2:11" ht="15" customHeight="1">
      <c r="B48" s="23"/>
      <c r="C48" s="23"/>
      <c r="D48" s="23"/>
      <c r="E48" s="23"/>
      <c r="G48" s="741"/>
      <c r="H48" s="751"/>
      <c r="I48" s="748"/>
      <c r="J48" s="749"/>
      <c r="K48" s="749"/>
    </row>
    <row r="49" spans="2:12" ht="15" customHeight="1">
      <c r="B49" s="23"/>
      <c r="C49" s="23"/>
      <c r="D49" s="23"/>
      <c r="E49" s="23"/>
      <c r="G49" s="741" t="s">
        <v>122</v>
      </c>
      <c r="H49" s="751"/>
      <c r="I49" s="748"/>
      <c r="J49" s="749"/>
      <c r="K49" s="749"/>
    </row>
    <row r="50" spans="2:12" ht="15" customHeight="1">
      <c r="B50" s="23"/>
      <c r="C50" s="23"/>
      <c r="D50" s="23"/>
      <c r="E50" s="23"/>
      <c r="G50" s="741"/>
      <c r="H50" s="751"/>
      <c r="I50" s="748"/>
      <c r="J50" s="749"/>
      <c r="K50" s="749"/>
    </row>
    <row r="51" spans="2:12" ht="14.1" customHeight="1">
      <c r="B51" s="23"/>
      <c r="C51" s="23"/>
      <c r="D51" s="23"/>
      <c r="E51" s="23"/>
      <c r="G51" s="741" t="s">
        <v>123</v>
      </c>
      <c r="H51" s="742"/>
      <c r="I51" s="748" t="s">
        <v>124</v>
      </c>
      <c r="J51" s="749" t="s">
        <v>125</v>
      </c>
      <c r="K51" s="749"/>
    </row>
    <row r="52" spans="2:12" ht="15" customHeight="1">
      <c r="B52" s="23"/>
      <c r="C52" s="23"/>
      <c r="D52" s="23"/>
      <c r="E52" s="23"/>
      <c r="G52" s="741"/>
      <c r="H52" s="742"/>
      <c r="I52" s="748"/>
      <c r="J52" s="749"/>
      <c r="K52" s="749"/>
    </row>
    <row r="53" spans="2:12" ht="15" customHeight="1">
      <c r="B53" s="23"/>
      <c r="C53" s="23"/>
      <c r="D53" s="23"/>
      <c r="E53" s="23"/>
      <c r="G53" s="741" t="s">
        <v>126</v>
      </c>
      <c r="H53" s="726"/>
      <c r="I53" s="748" t="s">
        <v>127</v>
      </c>
      <c r="J53" s="749" t="s">
        <v>128</v>
      </c>
      <c r="K53" s="749"/>
      <c r="L53"/>
    </row>
    <row r="54" spans="2:12" ht="15" customHeight="1">
      <c r="B54" s="23"/>
      <c r="C54" s="23"/>
      <c r="D54" s="23"/>
      <c r="E54" s="23"/>
      <c r="G54" s="741"/>
      <c r="H54" s="726"/>
      <c r="I54" s="748"/>
      <c r="J54" s="749"/>
      <c r="K54" s="749"/>
      <c r="L54"/>
    </row>
    <row r="55" spans="2:12" ht="15" customHeight="1">
      <c r="B55" s="23"/>
      <c r="C55" s="23"/>
      <c r="D55" s="23"/>
      <c r="E55" s="23"/>
      <c r="G55" s="741" t="s">
        <v>129</v>
      </c>
      <c r="H55" s="751"/>
      <c r="I55" s="748"/>
      <c r="J55" s="749"/>
      <c r="K55" s="749"/>
    </row>
    <row r="56" spans="2:12" ht="15" customHeight="1">
      <c r="B56" s="23"/>
      <c r="C56" s="23"/>
      <c r="D56" s="23"/>
      <c r="E56" s="23"/>
      <c r="G56" s="741"/>
      <c r="H56" s="751"/>
      <c r="I56" s="748"/>
      <c r="J56" s="749"/>
      <c r="K56" s="749"/>
    </row>
    <row r="57" spans="2:12" ht="15" customHeight="1">
      <c r="B57" s="23"/>
      <c r="C57" s="23"/>
      <c r="D57" s="23"/>
      <c r="E57" s="23"/>
      <c r="G57" s="741" t="s">
        <v>130</v>
      </c>
      <c r="H57" s="726"/>
      <c r="I57" s="748" t="s">
        <v>131</v>
      </c>
      <c r="J57" s="749" t="s">
        <v>132</v>
      </c>
      <c r="K57" s="749"/>
    </row>
    <row r="58" spans="2:12" ht="15" customHeight="1">
      <c r="B58" s="23"/>
      <c r="C58" s="23"/>
      <c r="D58" s="23"/>
      <c r="E58" s="23"/>
      <c r="G58" s="741"/>
      <c r="H58" s="726"/>
      <c r="I58" s="748"/>
      <c r="J58" s="749"/>
      <c r="K58" s="749"/>
    </row>
    <row r="59" spans="2:12" ht="15" customHeight="1">
      <c r="B59" s="23"/>
      <c r="C59" s="23"/>
      <c r="D59" s="23"/>
      <c r="E59" s="23"/>
      <c r="G59" s="741" t="s">
        <v>133</v>
      </c>
      <c r="H59" s="751"/>
      <c r="I59" s="748"/>
      <c r="J59" s="749"/>
      <c r="K59" s="749"/>
    </row>
    <row r="60" spans="2:12" ht="15" customHeight="1">
      <c r="B60" s="23"/>
      <c r="C60" s="23"/>
      <c r="D60" s="23"/>
      <c r="E60" s="23"/>
      <c r="G60" s="741"/>
      <c r="H60" s="751"/>
      <c r="I60" s="748"/>
      <c r="J60" s="749"/>
      <c r="K60" s="749"/>
    </row>
    <row r="61" spans="2:12" ht="15" customHeight="1">
      <c r="B61" s="23"/>
      <c r="C61" s="23"/>
      <c r="D61" s="23"/>
      <c r="E61" s="23"/>
      <c r="G61" s="741" t="s">
        <v>134</v>
      </c>
      <c r="H61" s="753"/>
      <c r="I61" s="748" t="s">
        <v>135</v>
      </c>
      <c r="J61" s="749" t="s">
        <v>136</v>
      </c>
      <c r="K61" s="749" t="s">
        <v>137</v>
      </c>
    </row>
    <row r="62" spans="2:12" ht="15" customHeight="1">
      <c r="B62" s="23"/>
      <c r="C62" s="23"/>
      <c r="D62" s="23"/>
      <c r="E62" s="23"/>
      <c r="G62" s="741"/>
      <c r="H62" s="753"/>
      <c r="I62" s="748"/>
      <c r="J62" s="749"/>
      <c r="K62" s="749"/>
    </row>
    <row r="63" spans="2:12" ht="15" customHeight="1">
      <c r="B63" s="23"/>
      <c r="C63" s="23"/>
      <c r="D63" s="23"/>
      <c r="E63" s="23"/>
      <c r="G63" s="741" t="s">
        <v>138</v>
      </c>
      <c r="H63" s="710"/>
      <c r="I63" s="748" t="s">
        <v>139</v>
      </c>
      <c r="J63" s="749" t="s">
        <v>140</v>
      </c>
      <c r="K63" s="749" t="s">
        <v>141</v>
      </c>
    </row>
    <row r="64" spans="2:12" ht="15" customHeight="1">
      <c r="B64" s="23"/>
      <c r="C64" s="23"/>
      <c r="D64" s="23"/>
      <c r="E64" s="23"/>
      <c r="G64" s="741"/>
      <c r="H64" s="710"/>
      <c r="I64" s="748"/>
      <c r="J64" s="749"/>
      <c r="K64" s="749"/>
    </row>
    <row r="65" spans="2:11" ht="15" customHeight="1">
      <c r="B65" s="23"/>
      <c r="C65" s="23"/>
      <c r="D65" s="23"/>
      <c r="E65" s="23"/>
      <c r="G65" s="741" t="s">
        <v>142</v>
      </c>
      <c r="H65" s="751"/>
      <c r="I65" s="748"/>
      <c r="J65" s="749"/>
      <c r="K65" s="749"/>
    </row>
    <row r="66" spans="2:11" ht="15" customHeight="1">
      <c r="B66" s="23"/>
      <c r="C66" s="23"/>
      <c r="D66" s="23"/>
      <c r="E66" s="23"/>
      <c r="G66" s="741"/>
      <c r="H66" s="751"/>
      <c r="I66" s="748"/>
      <c r="J66" s="749"/>
      <c r="K66" s="749"/>
    </row>
    <row r="67" spans="2:11" ht="15" customHeight="1">
      <c r="B67" s="23"/>
      <c r="C67" s="23"/>
      <c r="D67" s="23"/>
      <c r="E67" s="23"/>
      <c r="G67" s="741" t="s">
        <v>143</v>
      </c>
      <c r="H67" s="751"/>
      <c r="I67" s="748"/>
      <c r="J67" s="749"/>
      <c r="K67" s="749"/>
    </row>
    <row r="68" spans="2:11" ht="15" customHeight="1">
      <c r="B68" s="23"/>
      <c r="C68" s="23"/>
      <c r="D68" s="23"/>
      <c r="E68" s="23"/>
      <c r="G68" s="741"/>
      <c r="H68" s="751"/>
      <c r="I68" s="748"/>
      <c r="J68" s="749"/>
      <c r="K68" s="749"/>
    </row>
    <row r="69" spans="2:11" ht="15" customHeight="1">
      <c r="G69" s="376"/>
      <c r="H69" s="396"/>
      <c r="I69" s="397"/>
      <c r="J69" s="398"/>
      <c r="K69" s="398"/>
    </row>
    <row r="70" spans="2:11" ht="15" customHeight="1">
      <c r="B70" s="381" t="s">
        <v>144</v>
      </c>
      <c r="C70" s="381"/>
      <c r="D70" s="381"/>
      <c r="E70" s="382"/>
      <c r="G70" s="372" t="s">
        <v>145</v>
      </c>
      <c r="H70" s="372"/>
      <c r="I70" s="372"/>
      <c r="J70" s="372"/>
      <c r="K70" s="372"/>
    </row>
    <row r="71" spans="2:11" s="23" customFormat="1" ht="3.95" customHeight="1">
      <c r="B71" s="386"/>
      <c r="C71" s="386"/>
      <c r="D71" s="386"/>
      <c r="E71" s="386"/>
      <c r="F71" s="377"/>
      <c r="G71" s="36"/>
      <c r="H71" s="36"/>
      <c r="I71" s="36"/>
      <c r="J71" s="36"/>
      <c r="K71" s="36"/>
    </row>
    <row r="72" spans="2:11" ht="15" customHeight="1" thickBot="1">
      <c r="B72" s="395" t="s">
        <v>146</v>
      </c>
      <c r="C72" s="400" t="s">
        <v>147</v>
      </c>
      <c r="D72" s="400"/>
      <c r="E72" s="400" t="s">
        <v>148</v>
      </c>
      <c r="G72" s="394"/>
      <c r="H72" s="395" t="s">
        <v>83</v>
      </c>
      <c r="I72" s="395" t="s">
        <v>84</v>
      </c>
      <c r="J72" s="395" t="s">
        <v>85</v>
      </c>
      <c r="K72" s="395" t="s">
        <v>86</v>
      </c>
    </row>
    <row r="73" spans="2:11" ht="15" customHeight="1">
      <c r="B73" s="401" t="s">
        <v>149</v>
      </c>
      <c r="C73" s="402" t="s">
        <v>150</v>
      </c>
      <c r="D73" s="402"/>
      <c r="E73" s="402" t="s">
        <v>151</v>
      </c>
      <c r="G73" s="741" t="s">
        <v>152</v>
      </c>
      <c r="H73" s="753"/>
      <c r="I73" s="748" t="s">
        <v>153</v>
      </c>
      <c r="J73" s="749" t="s">
        <v>154</v>
      </c>
      <c r="K73" s="749" t="s">
        <v>155</v>
      </c>
    </row>
    <row r="74" spans="2:11" ht="15" customHeight="1">
      <c r="B74" s="401" t="s">
        <v>156</v>
      </c>
      <c r="C74" s="402" t="s">
        <v>157</v>
      </c>
      <c r="D74" s="402"/>
      <c r="E74" s="402" t="s">
        <v>158</v>
      </c>
      <c r="G74" s="741"/>
      <c r="H74" s="753"/>
      <c r="I74" s="748"/>
      <c r="J74" s="749"/>
      <c r="K74" s="749"/>
    </row>
    <row r="75" spans="2:11" ht="15" customHeight="1">
      <c r="B75" s="401" t="s">
        <v>159</v>
      </c>
      <c r="C75" s="402" t="s">
        <v>160</v>
      </c>
      <c r="D75" s="402"/>
      <c r="E75" s="402" t="s">
        <v>161</v>
      </c>
      <c r="G75" s="741" t="s">
        <v>162</v>
      </c>
      <c r="H75" s="742"/>
      <c r="I75" s="752">
        <v>0.2</v>
      </c>
      <c r="J75" s="749" t="s">
        <v>163</v>
      </c>
      <c r="K75" s="749"/>
    </row>
    <row r="76" spans="2:11" ht="15" customHeight="1">
      <c r="B76" s="401" t="s">
        <v>164</v>
      </c>
      <c r="C76" s="402" t="s">
        <v>165</v>
      </c>
      <c r="D76" s="402"/>
      <c r="E76" s="402" t="s">
        <v>166</v>
      </c>
      <c r="G76" s="741"/>
      <c r="H76" s="742"/>
      <c r="I76" s="748"/>
      <c r="J76" s="749"/>
      <c r="K76" s="749"/>
    </row>
    <row r="77" spans="2:11" ht="15" customHeight="1">
      <c r="B77" s="401" t="s">
        <v>167</v>
      </c>
      <c r="C77" s="402" t="s">
        <v>160</v>
      </c>
      <c r="D77" s="402"/>
      <c r="E77" s="402" t="s">
        <v>168</v>
      </c>
      <c r="G77" s="741" t="s">
        <v>169</v>
      </c>
      <c r="H77" s="742"/>
      <c r="I77" s="748" t="s">
        <v>170</v>
      </c>
      <c r="J77" s="749" t="s">
        <v>171</v>
      </c>
      <c r="K77" s="749" t="s">
        <v>172</v>
      </c>
    </row>
    <row r="78" spans="2:11" ht="15" customHeight="1">
      <c r="B78" s="401" t="s">
        <v>173</v>
      </c>
      <c r="C78" s="402" t="s">
        <v>165</v>
      </c>
      <c r="D78" s="402"/>
      <c r="E78" s="402" t="s">
        <v>174</v>
      </c>
      <c r="G78" s="741"/>
      <c r="H78" s="742"/>
      <c r="I78" s="748"/>
      <c r="J78" s="749"/>
      <c r="K78" s="749"/>
    </row>
    <row r="79" spans="2:11" ht="15" customHeight="1">
      <c r="B79" s="401" t="s">
        <v>175</v>
      </c>
      <c r="C79" s="402" t="s">
        <v>165</v>
      </c>
      <c r="D79" s="402"/>
      <c r="E79" s="402" t="s">
        <v>176</v>
      </c>
      <c r="G79" s="741" t="s">
        <v>177</v>
      </c>
      <c r="H79" s="751"/>
      <c r="I79" s="748" t="s">
        <v>178</v>
      </c>
      <c r="J79" s="749" t="s">
        <v>179</v>
      </c>
      <c r="K79" s="749" t="s">
        <v>180</v>
      </c>
    </row>
    <row r="80" spans="2:11" ht="15" customHeight="1">
      <c r="E80" s="377"/>
      <c r="G80" s="741"/>
      <c r="H80" s="751"/>
      <c r="I80" s="748"/>
      <c r="J80" s="749"/>
      <c r="K80" s="749"/>
    </row>
    <row r="81" spans="5:11" ht="15" customHeight="1">
      <c r="E81" s="377"/>
      <c r="G81" s="741" t="s">
        <v>181</v>
      </c>
      <c r="H81" s="751"/>
      <c r="I81" s="748" t="s">
        <v>182</v>
      </c>
      <c r="J81" s="749" t="s">
        <v>183</v>
      </c>
      <c r="K81" s="749" t="s">
        <v>184</v>
      </c>
    </row>
    <row r="82" spans="5:11" ht="15" customHeight="1">
      <c r="E82" s="377"/>
      <c r="G82" s="741"/>
      <c r="H82" s="751"/>
      <c r="I82" s="748"/>
      <c r="J82" s="749"/>
      <c r="K82" s="749"/>
    </row>
    <row r="83" spans="5:11" ht="15" customHeight="1">
      <c r="E83" s="377"/>
      <c r="G83" s="741" t="s">
        <v>185</v>
      </c>
      <c r="H83" s="726"/>
      <c r="I83" s="748" t="s">
        <v>186</v>
      </c>
      <c r="J83" s="749" t="s">
        <v>187</v>
      </c>
      <c r="K83" s="749" t="s">
        <v>188</v>
      </c>
    </row>
    <row r="84" spans="5:11" ht="15" customHeight="1">
      <c r="E84" s="377"/>
      <c r="G84" s="741"/>
      <c r="H84" s="726"/>
      <c r="I84" s="748"/>
      <c r="J84" s="749"/>
      <c r="K84" s="749"/>
    </row>
    <row r="85" spans="5:11" ht="15" customHeight="1">
      <c r="E85" s="377"/>
      <c r="G85" s="741" t="s">
        <v>189</v>
      </c>
      <c r="H85" s="726"/>
      <c r="I85" s="748" t="s">
        <v>190</v>
      </c>
      <c r="J85" s="749" t="s">
        <v>191</v>
      </c>
      <c r="K85" s="749" t="s">
        <v>192</v>
      </c>
    </row>
    <row r="86" spans="5:11" ht="15" customHeight="1">
      <c r="E86" s="377"/>
      <c r="G86" s="741"/>
      <c r="H86" s="726"/>
      <c r="I86" s="748"/>
      <c r="J86" s="749"/>
      <c r="K86" s="749"/>
    </row>
    <row r="87" spans="5:11" ht="15" customHeight="1">
      <c r="E87" s="377"/>
      <c r="G87" s="741" t="s">
        <v>193</v>
      </c>
      <c r="H87" s="742"/>
      <c r="I87" s="748" t="s">
        <v>194</v>
      </c>
      <c r="J87" s="749" t="s">
        <v>195</v>
      </c>
      <c r="K87" s="749" t="s">
        <v>196</v>
      </c>
    </row>
    <row r="88" spans="5:11" ht="15" customHeight="1">
      <c r="E88" s="377"/>
      <c r="G88" s="741"/>
      <c r="H88" s="742"/>
      <c r="I88" s="748"/>
      <c r="J88" s="749"/>
      <c r="K88" s="749"/>
    </row>
    <row r="89" spans="5:11" ht="15" customHeight="1">
      <c r="E89" s="377"/>
      <c r="G89" s="741" t="s">
        <v>197</v>
      </c>
      <c r="H89" s="742"/>
      <c r="I89" s="748" t="s">
        <v>194</v>
      </c>
      <c r="J89" s="749" t="s">
        <v>198</v>
      </c>
      <c r="K89" s="749"/>
    </row>
    <row r="90" spans="5:11" ht="15" customHeight="1">
      <c r="E90" s="377"/>
      <c r="G90" s="741"/>
      <c r="H90" s="742"/>
      <c r="I90" s="748"/>
      <c r="J90" s="749"/>
      <c r="K90" s="749"/>
    </row>
    <row r="91" spans="5:11" ht="15" customHeight="1">
      <c r="E91" s="377"/>
      <c r="G91" s="741" t="s">
        <v>199</v>
      </c>
      <c r="H91" s="742"/>
      <c r="I91" s="748" t="s">
        <v>200</v>
      </c>
      <c r="J91" s="749" t="s">
        <v>201</v>
      </c>
      <c r="K91" s="749"/>
    </row>
    <row r="92" spans="5:11" ht="15" customHeight="1">
      <c r="E92" s="377"/>
      <c r="G92" s="741"/>
      <c r="H92" s="742"/>
      <c r="I92" s="748"/>
      <c r="J92" s="749"/>
      <c r="K92" s="749"/>
    </row>
    <row r="93" spans="5:11" ht="15" customHeight="1">
      <c r="E93" s="377"/>
      <c r="G93" s="741" t="s">
        <v>202</v>
      </c>
      <c r="H93" s="753"/>
      <c r="I93" s="748" t="s">
        <v>203</v>
      </c>
      <c r="J93" s="749" t="s">
        <v>204</v>
      </c>
      <c r="K93" s="749"/>
    </row>
    <row r="94" spans="5:11" ht="15" customHeight="1">
      <c r="G94" s="741"/>
      <c r="H94" s="753"/>
      <c r="I94" s="748"/>
      <c r="J94" s="749"/>
      <c r="K94" s="749"/>
    </row>
    <row r="95" spans="5:11" ht="15" customHeight="1">
      <c r="I95" s="714"/>
      <c r="J95" s="713"/>
      <c r="K95" s="713"/>
    </row>
  </sheetData>
  <mergeCells count="147">
    <mergeCell ref="G91:G92"/>
    <mergeCell ref="G93:G94"/>
    <mergeCell ref="H65:H66"/>
    <mergeCell ref="H67:H68"/>
    <mergeCell ref="H61:H62"/>
    <mergeCell ref="H77:H78"/>
    <mergeCell ref="H79:H80"/>
    <mergeCell ref="H73:H74"/>
    <mergeCell ref="H75:H76"/>
    <mergeCell ref="G75:G76"/>
    <mergeCell ref="G77:G78"/>
    <mergeCell ref="G79:G80"/>
    <mergeCell ref="G81:G82"/>
    <mergeCell ref="G83:G84"/>
    <mergeCell ref="G85:G86"/>
    <mergeCell ref="G87:G88"/>
    <mergeCell ref="G89:G90"/>
    <mergeCell ref="K91:K92"/>
    <mergeCell ref="K93:K94"/>
    <mergeCell ref="H87:H88"/>
    <mergeCell ref="H81:H82"/>
    <mergeCell ref="H93:H94"/>
    <mergeCell ref="H89:H90"/>
    <mergeCell ref="H91:H92"/>
    <mergeCell ref="J91:J92"/>
    <mergeCell ref="K81:K82"/>
    <mergeCell ref="K83:K84"/>
    <mergeCell ref="K85:K86"/>
    <mergeCell ref="K87:K88"/>
    <mergeCell ref="K89:K90"/>
    <mergeCell ref="J83:J84"/>
    <mergeCell ref="I85:I86"/>
    <mergeCell ref="J85:J86"/>
    <mergeCell ref="I87:I88"/>
    <mergeCell ref="J87:J88"/>
    <mergeCell ref="I89:I90"/>
    <mergeCell ref="J89:J90"/>
    <mergeCell ref="I93:I94"/>
    <mergeCell ref="J81:J82"/>
    <mergeCell ref="J93:J94"/>
    <mergeCell ref="I91:I92"/>
    <mergeCell ref="I83:I84"/>
    <mergeCell ref="H26:J27"/>
    <mergeCell ref="H28:J29"/>
    <mergeCell ref="H16:J17"/>
    <mergeCell ref="H18:J19"/>
    <mergeCell ref="H20:J21"/>
    <mergeCell ref="H22:J23"/>
    <mergeCell ref="H49:H50"/>
    <mergeCell ref="H51:H52"/>
    <mergeCell ref="H47:H48"/>
    <mergeCell ref="H59:H60"/>
    <mergeCell ref="H55:H56"/>
    <mergeCell ref="I75:I76"/>
    <mergeCell ref="J75:J76"/>
    <mergeCell ref="I77:I78"/>
    <mergeCell ref="J77:J78"/>
    <mergeCell ref="I79:I80"/>
    <mergeCell ref="J79:J80"/>
    <mergeCell ref="I81:I82"/>
    <mergeCell ref="I61:I62"/>
    <mergeCell ref="J73:J74"/>
    <mergeCell ref="I65:I66"/>
    <mergeCell ref="I67:I68"/>
    <mergeCell ref="I63:I64"/>
    <mergeCell ref="I49:I50"/>
    <mergeCell ref="I51:I52"/>
    <mergeCell ref="I53:I54"/>
    <mergeCell ref="I55:I56"/>
    <mergeCell ref="I57:I58"/>
    <mergeCell ref="I59:I60"/>
    <mergeCell ref="J47:J48"/>
    <mergeCell ref="J49:J50"/>
    <mergeCell ref="J51:J52"/>
    <mergeCell ref="J53:J54"/>
    <mergeCell ref="J55:J56"/>
    <mergeCell ref="J57:J58"/>
    <mergeCell ref="G47:G48"/>
    <mergeCell ref="G49:G50"/>
    <mergeCell ref="G51:G52"/>
    <mergeCell ref="G53:G54"/>
    <mergeCell ref="G73:G74"/>
    <mergeCell ref="G55:G56"/>
    <mergeCell ref="G57:G58"/>
    <mergeCell ref="G59:G60"/>
    <mergeCell ref="G61:G62"/>
    <mergeCell ref="G63:G64"/>
    <mergeCell ref="G65:G66"/>
    <mergeCell ref="G67:G68"/>
    <mergeCell ref="K75:K76"/>
    <mergeCell ref="K77:K78"/>
    <mergeCell ref="K79:K80"/>
    <mergeCell ref="K65:K66"/>
    <mergeCell ref="K67:K68"/>
    <mergeCell ref="J59:J60"/>
    <mergeCell ref="J61:J62"/>
    <mergeCell ref="J63:J64"/>
    <mergeCell ref="J65:J66"/>
    <mergeCell ref="J67:J68"/>
    <mergeCell ref="K61:K62"/>
    <mergeCell ref="K63:K64"/>
    <mergeCell ref="K59:K60"/>
    <mergeCell ref="I73:I74"/>
    <mergeCell ref="K41:K42"/>
    <mergeCell ref="K39:K40"/>
    <mergeCell ref="K37:K38"/>
    <mergeCell ref="K35:K36"/>
    <mergeCell ref="K33:K34"/>
    <mergeCell ref="J41:J42"/>
    <mergeCell ref="J39:J40"/>
    <mergeCell ref="J37:J38"/>
    <mergeCell ref="J35:J36"/>
    <mergeCell ref="J33:J34"/>
    <mergeCell ref="I41:I42"/>
    <mergeCell ref="I39:I40"/>
    <mergeCell ref="I37:I38"/>
    <mergeCell ref="I35:I36"/>
    <mergeCell ref="I33:I34"/>
    <mergeCell ref="K73:K74"/>
    <mergeCell ref="K47:K48"/>
    <mergeCell ref="K49:K50"/>
    <mergeCell ref="K51:K52"/>
    <mergeCell ref="K53:K54"/>
    <mergeCell ref="K55:K56"/>
    <mergeCell ref="K57:K58"/>
    <mergeCell ref="I47:I48"/>
    <mergeCell ref="G39:G40"/>
    <mergeCell ref="G41:G42"/>
    <mergeCell ref="H41:H42"/>
    <mergeCell ref="D15:E15"/>
    <mergeCell ref="D16:E16"/>
    <mergeCell ref="D17:E17"/>
    <mergeCell ref="D18:E18"/>
    <mergeCell ref="D20:E20"/>
    <mergeCell ref="D21:E21"/>
    <mergeCell ref="D22:E22"/>
    <mergeCell ref="D25:E25"/>
    <mergeCell ref="D26:E26"/>
    <mergeCell ref="D27:E27"/>
    <mergeCell ref="D23:E23"/>
    <mergeCell ref="D24:E24"/>
    <mergeCell ref="D19:E19"/>
    <mergeCell ref="G33:G34"/>
    <mergeCell ref="H33:H34"/>
    <mergeCell ref="G35:G36"/>
    <mergeCell ref="G37:G38"/>
    <mergeCell ref="H37:H38"/>
  </mergeCells>
  <dataValidations count="1">
    <dataValidation type="list" allowBlank="1" showInputMessage="1" showErrorMessage="1" sqref="C33:E33" xr:uid="{00000000-0002-0000-0300-000000000000}">
      <formula1>"Energy, Materials, Industrials, Consumer Discrecionary, Consumer Staples, Health Care, Financials, Information Technology, Communication Services, Utilities, Real Estate"</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CA99"/>
  <sheetViews>
    <sheetView showGridLines="0" tabSelected="1" topLeftCell="A81" zoomScale="70" zoomScaleNormal="70" workbookViewId="0">
      <selection activeCell="H95" sqref="H95:AX95"/>
    </sheetView>
  </sheetViews>
  <sheetFormatPr defaultColWidth="9" defaultRowHeight="15" customHeight="1" outlineLevelCol="1"/>
  <cols>
    <col min="1" max="1" width="2.125" style="97" customWidth="1"/>
    <col min="2" max="2" width="24.875" style="97" bestFit="1" customWidth="1"/>
    <col min="3" max="3" width="3.375" style="23" customWidth="1"/>
    <col min="4" max="7" width="9.625" style="97" hidden="1" customWidth="1" outlineLevel="1"/>
    <col min="8" max="8" width="9.625" style="97" customWidth="1" collapsed="1"/>
    <col min="9" max="9" width="1.625" style="23" customWidth="1"/>
    <col min="10" max="13" width="9.625" style="97" hidden="1" customWidth="1" outlineLevel="1"/>
    <col min="14" max="14" width="11.625" style="97" customWidth="1" collapsed="1"/>
    <col min="15" max="15" width="1.625" style="23" customWidth="1"/>
    <col min="16" max="19" width="9.625" style="97" hidden="1" customWidth="1" outlineLevel="1"/>
    <col min="20" max="20" width="11.625" style="97" customWidth="1" collapsed="1"/>
    <col min="21" max="21" width="1.625" style="23" customWidth="1"/>
    <col min="22" max="25" width="9.625" style="97" hidden="1" customWidth="1" outlineLevel="1"/>
    <col min="26" max="26" width="11.625" style="97" customWidth="1" collapsed="1"/>
    <col min="27" max="27" width="1.625" style="23" customWidth="1"/>
    <col min="28" max="31" width="9.625" style="97" hidden="1" customWidth="1" outlineLevel="1"/>
    <col min="32" max="32" width="11.625" style="97" customWidth="1" collapsed="1"/>
    <col min="33" max="33" width="1.625" style="23" customWidth="1"/>
    <col min="34" max="37" width="9.625" style="97" hidden="1" customWidth="1" outlineLevel="1"/>
    <col min="38" max="38" width="11.625" style="97" customWidth="1" collapsed="1"/>
    <col min="39" max="39" width="1.625" style="23" customWidth="1"/>
    <col min="40" max="43" width="9.625" style="97" hidden="1" customWidth="1" outlineLevel="1"/>
    <col min="44" max="44" width="11.625" style="97" customWidth="1" collapsed="1"/>
    <col min="45" max="45" width="1.625" style="23" customWidth="1"/>
    <col min="46" max="46" width="11.625" style="97" customWidth="1"/>
    <col min="47" max="47" width="1.625" style="23" customWidth="1"/>
    <col min="48" max="48" width="11.625" style="105" customWidth="1"/>
    <col min="49" max="49" width="1.625" style="23" customWidth="1"/>
    <col min="50" max="50" width="11.625" style="97" customWidth="1"/>
    <col min="51" max="51" width="1.625" style="97" customWidth="1"/>
    <col min="52" max="54" width="9" style="97"/>
    <col min="55" max="55" width="9" style="97" bestFit="1" customWidth="1"/>
    <col min="56" max="16384" width="9" style="97"/>
  </cols>
  <sheetData>
    <row r="1" spans="1:79" s="576" customFormat="1" ht="15" customHeight="1"/>
    <row r="2" spans="1:79" s="576" customFormat="1" ht="15" customHeight="1"/>
    <row r="3" spans="1:79" s="576" customFormat="1" ht="15" customHeight="1"/>
    <row r="4" spans="1:79" s="576" customFormat="1" ht="15" customHeight="1"/>
    <row r="5" spans="1:79" s="288" customFormat="1" ht="3.95" customHeight="1">
      <c r="C5" s="36"/>
      <c r="I5" s="36"/>
      <c r="O5" s="36"/>
      <c r="U5" s="36"/>
      <c r="AA5" s="36"/>
      <c r="AG5" s="36"/>
      <c r="AM5" s="36"/>
      <c r="AS5" s="36"/>
      <c r="AU5" s="36"/>
      <c r="AV5" s="289"/>
      <c r="AW5" s="36"/>
    </row>
    <row r="7" spans="1:79" s="41" customFormat="1" ht="15" customHeight="1">
      <c r="A7" s="44" t="s">
        <v>37</v>
      </c>
      <c r="B7" s="161" t="s">
        <v>205</v>
      </c>
      <c r="C7" s="18"/>
      <c r="D7" s="202">
        <f>F7</f>
        <v>2020</v>
      </c>
      <c r="E7" s="202">
        <f>F7</f>
        <v>2020</v>
      </c>
      <c r="F7" s="202">
        <v>2020</v>
      </c>
      <c r="G7" s="202">
        <f>F7</f>
        <v>2020</v>
      </c>
      <c r="H7" s="202">
        <f>F7</f>
        <v>2020</v>
      </c>
      <c r="I7" s="18"/>
      <c r="J7" s="202">
        <f>L7</f>
        <v>2021</v>
      </c>
      <c r="K7" s="202">
        <f>L7</f>
        <v>2021</v>
      </c>
      <c r="L7" s="202">
        <v>2021</v>
      </c>
      <c r="M7" s="202">
        <f>L7</f>
        <v>2021</v>
      </c>
      <c r="N7" s="202">
        <f>L7</f>
        <v>2021</v>
      </c>
      <c r="O7" s="169"/>
      <c r="P7" s="202">
        <f>R7</f>
        <v>2022</v>
      </c>
      <c r="Q7" s="202">
        <f>R7</f>
        <v>2022</v>
      </c>
      <c r="R7" s="202">
        <v>2022</v>
      </c>
      <c r="S7" s="202">
        <f>R7</f>
        <v>2022</v>
      </c>
      <c r="T7" s="202">
        <f>R7</f>
        <v>2022</v>
      </c>
      <c r="U7" s="169"/>
      <c r="V7" s="202">
        <f>X7</f>
        <v>2023</v>
      </c>
      <c r="W7" s="202">
        <f>X7</f>
        <v>2023</v>
      </c>
      <c r="X7" s="202">
        <v>2023</v>
      </c>
      <c r="Y7" s="202">
        <f>X7</f>
        <v>2023</v>
      </c>
      <c r="Z7" s="202">
        <f>X7</f>
        <v>2023</v>
      </c>
      <c r="AA7" s="170"/>
      <c r="AB7" s="202">
        <f>AD7</f>
        <v>2024</v>
      </c>
      <c r="AC7" s="202">
        <f>AD7</f>
        <v>2024</v>
      </c>
      <c r="AD7" s="202">
        <v>2024</v>
      </c>
      <c r="AE7" s="202">
        <f>AD7</f>
        <v>2024</v>
      </c>
      <c r="AF7" s="202">
        <f>AD7</f>
        <v>2024</v>
      </c>
      <c r="AG7" s="170"/>
      <c r="AH7" s="202">
        <f>AJ7</f>
        <v>2025</v>
      </c>
      <c r="AI7" s="202">
        <f>AJ7</f>
        <v>2025</v>
      </c>
      <c r="AJ7" s="203">
        <v>2025</v>
      </c>
      <c r="AK7" s="202">
        <f>AJ7</f>
        <v>2025</v>
      </c>
      <c r="AL7" s="202">
        <f>AJ7</f>
        <v>2025</v>
      </c>
      <c r="AM7" s="171"/>
      <c r="AN7" s="202">
        <f>AP7</f>
        <v>2025</v>
      </c>
      <c r="AO7" s="202">
        <f>AP7</f>
        <v>2025</v>
      </c>
      <c r="AP7" s="203">
        <v>2025</v>
      </c>
      <c r="AQ7" s="202">
        <f>AP7</f>
        <v>2025</v>
      </c>
      <c r="AR7" s="202">
        <f>AP7</f>
        <v>2025</v>
      </c>
      <c r="AS7" s="18"/>
      <c r="AT7" s="162"/>
      <c r="AU7" s="18"/>
      <c r="AV7" s="163"/>
      <c r="AW7" s="18"/>
      <c r="AX7" s="163"/>
      <c r="AY7" s="19"/>
      <c r="AZ7" s="164" t="s">
        <v>206</v>
      </c>
      <c r="BA7" s="164"/>
      <c r="BB7" s="164"/>
      <c r="BC7" s="164"/>
      <c r="BD7" s="164"/>
      <c r="BE7" s="164"/>
      <c r="BF7" s="164"/>
      <c r="BG7" s="164"/>
    </row>
    <row r="8" spans="1:79" s="41" customFormat="1" ht="15" customHeight="1">
      <c r="B8" s="164"/>
      <c r="C8" s="18"/>
      <c r="D8" s="756">
        <v>2020</v>
      </c>
      <c r="E8" s="756"/>
      <c r="F8" s="756"/>
      <c r="G8" s="756"/>
      <c r="H8" s="756"/>
      <c r="I8" s="169"/>
      <c r="J8" s="756">
        <f>D8+1</f>
        <v>2021</v>
      </c>
      <c r="K8" s="756"/>
      <c r="L8" s="756"/>
      <c r="M8" s="756"/>
      <c r="N8" s="756"/>
      <c r="O8" s="169"/>
      <c r="P8" s="756">
        <f>J8+1</f>
        <v>2022</v>
      </c>
      <c r="Q8" s="756"/>
      <c r="R8" s="756"/>
      <c r="S8" s="756"/>
      <c r="T8" s="756"/>
      <c r="U8" s="169"/>
      <c r="V8" s="756">
        <f>P8+1</f>
        <v>2023</v>
      </c>
      <c r="W8" s="756"/>
      <c r="X8" s="756"/>
      <c r="Y8" s="756"/>
      <c r="Z8" s="756"/>
      <c r="AA8" s="169"/>
      <c r="AB8" s="756">
        <f>V8+1</f>
        <v>2024</v>
      </c>
      <c r="AC8" s="756"/>
      <c r="AD8" s="756"/>
      <c r="AE8" s="756"/>
      <c r="AF8" s="756"/>
      <c r="AG8" s="169"/>
      <c r="AH8" s="755">
        <f>AB8+1</f>
        <v>2025</v>
      </c>
      <c r="AI8" s="755"/>
      <c r="AJ8" s="755"/>
      <c r="AK8" s="755"/>
      <c r="AL8" s="755"/>
      <c r="AM8" s="169"/>
      <c r="AN8" s="755">
        <f>AH8+1</f>
        <v>2026</v>
      </c>
      <c r="AO8" s="755"/>
      <c r="AP8" s="755"/>
      <c r="AQ8" s="755"/>
      <c r="AR8" s="755"/>
      <c r="AS8" s="171"/>
      <c r="AT8" s="166">
        <f>AN8+1</f>
        <v>2027</v>
      </c>
      <c r="AU8" s="167"/>
      <c r="AV8" s="166">
        <f>+AT8+1</f>
        <v>2028</v>
      </c>
      <c r="AW8" s="167"/>
      <c r="AX8" s="166">
        <f>+AV8+1</f>
        <v>2029</v>
      </c>
      <c r="AY8" s="549"/>
      <c r="AZ8" s="164"/>
      <c r="BA8" s="164"/>
      <c r="BB8" s="164"/>
      <c r="BC8" s="164"/>
      <c r="BD8" s="164"/>
      <c r="BE8" s="164"/>
      <c r="BF8" s="164"/>
      <c r="BG8" s="164"/>
    </row>
    <row r="9" spans="1:79" s="41" customFormat="1" ht="15" customHeight="1">
      <c r="B9" s="164"/>
      <c r="C9" s="18"/>
      <c r="D9" s="168" t="s">
        <v>207</v>
      </c>
      <c r="E9" s="168" t="s">
        <v>208</v>
      </c>
      <c r="F9" s="168" t="s">
        <v>209</v>
      </c>
      <c r="G9" s="168" t="s">
        <v>210</v>
      </c>
      <c r="H9" s="168" t="s">
        <v>211</v>
      </c>
      <c r="I9" s="18"/>
      <c r="J9" s="168" t="s">
        <v>207</v>
      </c>
      <c r="K9" s="168" t="s">
        <v>208</v>
      </c>
      <c r="L9" s="168" t="s">
        <v>209</v>
      </c>
      <c r="M9" s="168" t="s">
        <v>210</v>
      </c>
      <c r="N9" s="168" t="s">
        <v>211</v>
      </c>
      <c r="O9" s="165"/>
      <c r="P9" s="168" t="s">
        <v>207</v>
      </c>
      <c r="Q9" s="168" t="s">
        <v>208</v>
      </c>
      <c r="R9" s="168" t="s">
        <v>209</v>
      </c>
      <c r="S9" s="168" t="s">
        <v>210</v>
      </c>
      <c r="T9" s="168" t="s">
        <v>211</v>
      </c>
      <c r="U9" s="165"/>
      <c r="V9" s="168" t="s">
        <v>207</v>
      </c>
      <c r="W9" s="168" t="s">
        <v>208</v>
      </c>
      <c r="X9" s="168" t="s">
        <v>209</v>
      </c>
      <c r="Y9" s="168" t="s">
        <v>210</v>
      </c>
      <c r="Z9" s="168" t="s">
        <v>211</v>
      </c>
      <c r="AA9" s="165"/>
      <c r="AB9" s="168" t="s">
        <v>207</v>
      </c>
      <c r="AC9" s="168" t="s">
        <v>208</v>
      </c>
      <c r="AD9" s="168" t="s">
        <v>209</v>
      </c>
      <c r="AE9" s="168" t="s">
        <v>210</v>
      </c>
      <c r="AF9" s="168" t="s">
        <v>211</v>
      </c>
      <c r="AG9" s="165"/>
      <c r="AH9" s="168" t="s">
        <v>207</v>
      </c>
      <c r="AI9" s="168" t="s">
        <v>208</v>
      </c>
      <c r="AJ9" s="168" t="s">
        <v>209</v>
      </c>
      <c r="AK9" s="168" t="s">
        <v>210</v>
      </c>
      <c r="AL9" s="168" t="s">
        <v>211</v>
      </c>
      <c r="AM9" s="165"/>
      <c r="AN9" s="168" t="s">
        <v>207</v>
      </c>
      <c r="AO9" s="168" t="s">
        <v>208</v>
      </c>
      <c r="AP9" s="168" t="s">
        <v>209</v>
      </c>
      <c r="AQ9" s="168" t="s">
        <v>210</v>
      </c>
      <c r="AR9" s="168" t="s">
        <v>211</v>
      </c>
      <c r="AS9" s="165"/>
      <c r="AT9" s="168" t="s">
        <v>211</v>
      </c>
      <c r="AU9" s="165"/>
      <c r="AV9" s="168" t="s">
        <v>211</v>
      </c>
      <c r="AW9" s="165"/>
      <c r="AX9" s="168" t="s">
        <v>211</v>
      </c>
      <c r="AY9" s="550"/>
      <c r="AZ9" s="164"/>
      <c r="BA9" s="164"/>
      <c r="BB9" s="164"/>
      <c r="BC9" s="164"/>
      <c r="BD9" s="164"/>
      <c r="BE9" s="164"/>
      <c r="BF9" s="164"/>
      <c r="BG9" s="164"/>
      <c r="BW9" s="680"/>
      <c r="BX9" s="680"/>
      <c r="BY9" s="680"/>
      <c r="BZ9" s="680"/>
      <c r="CA9" s="680"/>
    </row>
    <row r="10" spans="1:79" s="41" customFormat="1"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c r="AY10" s="34"/>
      <c r="AZ10" s="176"/>
      <c r="BA10" s="176"/>
      <c r="BB10" s="176"/>
      <c r="BC10" s="176"/>
      <c r="BD10" s="176"/>
      <c r="BE10" s="176"/>
      <c r="BF10" s="176"/>
      <c r="BG10" s="176"/>
    </row>
    <row r="11" spans="1:79" s="41" customFormat="1"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79" s="54" customFormat="1" ht="15" customHeight="1">
      <c r="B12" s="45" t="s">
        <v>212</v>
      </c>
      <c r="C12" s="23"/>
      <c r="D12" s="66"/>
      <c r="E12" s="66"/>
      <c r="F12" s="66"/>
      <c r="G12" s="66"/>
      <c r="H12" s="47"/>
      <c r="I12" s="48"/>
      <c r="J12" s="66"/>
      <c r="K12" s="66"/>
      <c r="L12" s="66"/>
      <c r="M12" s="66"/>
      <c r="N12" s="47"/>
      <c r="O12" s="47"/>
      <c r="P12" s="66"/>
      <c r="Q12" s="66"/>
      <c r="R12" s="66"/>
      <c r="S12" s="66"/>
      <c r="T12" s="47"/>
      <c r="U12" s="47"/>
      <c r="V12" s="66"/>
      <c r="W12" s="66"/>
      <c r="X12" s="66"/>
      <c r="Y12" s="66"/>
      <c r="Z12" s="47"/>
      <c r="AA12" s="47"/>
      <c r="AB12" s="66"/>
      <c r="AC12" s="66"/>
      <c r="AD12" s="66"/>
      <c r="AE12" s="66"/>
      <c r="AF12" s="47"/>
      <c r="AG12" s="49"/>
      <c r="AH12" s="66"/>
      <c r="AI12" s="66"/>
      <c r="AJ12" s="68"/>
      <c r="AK12" s="68"/>
      <c r="AL12" s="681"/>
      <c r="AM12" s="51"/>
      <c r="AN12" s="68"/>
      <c r="AO12" s="68"/>
      <c r="AP12" s="68"/>
      <c r="AQ12" s="68"/>
      <c r="AR12" s="47"/>
      <c r="AS12" s="51"/>
      <c r="AT12" s="52"/>
      <c r="AU12" s="53"/>
      <c r="AV12" s="52"/>
      <c r="AW12" s="53"/>
      <c r="AX12" s="52"/>
    </row>
    <row r="13" spans="1:79" s="54" customFormat="1" ht="15" customHeight="1">
      <c r="B13" s="64" t="s">
        <v>213</v>
      </c>
      <c r="C13" s="23"/>
      <c r="D13" s="66"/>
      <c r="E13" s="66"/>
      <c r="F13" s="66"/>
      <c r="G13" s="66"/>
      <c r="H13" s="684">
        <f>295.969+152.38+83.8+78.4+24.5+76.78</f>
        <v>711.82899999999995</v>
      </c>
      <c r="I13" s="438"/>
      <c r="J13" s="343"/>
      <c r="K13" s="343"/>
      <c r="L13" s="343"/>
      <c r="M13" s="343"/>
      <c r="N13" s="684">
        <f>6.7+1065+607+292+391+520</f>
        <v>2881.7</v>
      </c>
      <c r="O13" s="684"/>
      <c r="P13" s="343"/>
      <c r="Q13" s="343"/>
      <c r="R13" s="343"/>
      <c r="S13" s="343"/>
      <c r="T13" s="684">
        <f>1381+804.7+368.964+275</f>
        <v>2829.6639999999998</v>
      </c>
      <c r="U13" s="684"/>
      <c r="V13" s="343"/>
      <c r="W13" s="343"/>
      <c r="X13" s="343"/>
      <c r="Y13" s="343"/>
      <c r="Z13" s="684">
        <f>SUM(Z14:Z24)</f>
        <v>4565.8</v>
      </c>
      <c r="AA13" s="684"/>
      <c r="AB13" s="343"/>
      <c r="AC13" s="343"/>
      <c r="AD13" s="343"/>
      <c r="AE13" s="343"/>
      <c r="AF13" s="684">
        <f>SUM(AF14:AF24)</f>
        <v>4785.2000000000007</v>
      </c>
      <c r="AG13" s="685"/>
      <c r="AH13" s="343"/>
      <c r="AI13" s="343"/>
      <c r="AJ13" s="686"/>
      <c r="AK13" s="686"/>
      <c r="AL13" s="684">
        <f>AL14+AL16+AL20+AL22+AL24</f>
        <v>4258.6969999999992</v>
      </c>
      <c r="AM13" s="687"/>
      <c r="AN13" s="686"/>
      <c r="AO13" s="686"/>
      <c r="AP13" s="686"/>
      <c r="AQ13" s="686"/>
      <c r="AR13" s="684">
        <f>AR14+AR16+AR20+AR22+AR24</f>
        <v>4575.1897500000005</v>
      </c>
      <c r="AS13" s="687"/>
      <c r="AT13" s="684">
        <f>AT14+AT16+AT20+AT22+AT24</f>
        <v>4859.8870475000003</v>
      </c>
      <c r="AU13" s="688"/>
      <c r="AV13" s="684">
        <f>AV14+AV16+AV20+AV22+AV24</f>
        <v>5107.1825633783328</v>
      </c>
      <c r="AW13" s="688"/>
      <c r="AX13" s="684">
        <f>AX14+AX16+AX20+AX22+AX24</f>
        <v>5308.4232455500842</v>
      </c>
    </row>
    <row r="14" spans="1:79" s="54" customFormat="1" ht="15" customHeight="1">
      <c r="A14" s="55"/>
      <c r="B14" s="56" t="s">
        <v>214</v>
      </c>
      <c r="C14" s="23"/>
      <c r="D14" s="46"/>
      <c r="E14" s="46"/>
      <c r="F14" s="46"/>
      <c r="G14" s="46"/>
      <c r="I14" s="48"/>
      <c r="J14" s="46"/>
      <c r="K14" s="46"/>
      <c r="L14" s="46"/>
      <c r="M14" s="46"/>
      <c r="N14" s="47"/>
      <c r="O14" s="47"/>
      <c r="P14" s="46"/>
      <c r="Q14" s="46"/>
      <c r="R14" s="46"/>
      <c r="S14" s="46"/>
      <c r="T14" s="47"/>
      <c r="U14" s="47"/>
      <c r="V14" s="46"/>
      <c r="W14" s="46"/>
      <c r="X14" s="46"/>
      <c r="Y14" s="46"/>
      <c r="Z14" s="47">
        <v>1193</v>
      </c>
      <c r="AA14" s="47"/>
      <c r="AB14" s="46"/>
      <c r="AC14" s="46"/>
      <c r="AD14" s="46"/>
      <c r="AE14" s="46"/>
      <c r="AF14" s="47">
        <v>1199.8</v>
      </c>
      <c r="AG14" s="49"/>
      <c r="AH14" s="46"/>
      <c r="AI14" s="46"/>
      <c r="AJ14" s="50"/>
      <c r="AK14" s="50"/>
      <c r="AL14" s="47">
        <f>AF14*(1+AL15)</f>
        <v>1343.7760000000001</v>
      </c>
      <c r="AM14" s="51"/>
      <c r="AN14" s="50"/>
      <c r="AO14" s="50"/>
      <c r="AP14" s="50"/>
      <c r="AQ14" s="50"/>
      <c r="AR14" s="47">
        <f>AL14*(1+AR15)</f>
        <v>1478.1536000000001</v>
      </c>
      <c r="AS14" s="51"/>
      <c r="AT14" s="47">
        <f>AR14*(1+AT15)</f>
        <v>1596.4058880000002</v>
      </c>
      <c r="AU14" s="53"/>
      <c r="AV14" s="47">
        <f>AT14*(1+AV15)</f>
        <v>1692.1902412800002</v>
      </c>
      <c r="AW14" s="53"/>
      <c r="AX14" s="47">
        <f>AV14*(1+AX15)</f>
        <v>1759.8778509312003</v>
      </c>
      <c r="BG14" s="682"/>
      <c r="BK14" s="605"/>
      <c r="BL14" s="605"/>
      <c r="BM14" s="605"/>
      <c r="BN14" s="605"/>
      <c r="BO14" s="605"/>
    </row>
    <row r="15" spans="1:79" s="54" customFormat="1" ht="15" customHeight="1">
      <c r="A15" s="55"/>
      <c r="B15" s="716" t="s">
        <v>215</v>
      </c>
      <c r="C15" s="717"/>
      <c r="D15" s="718"/>
      <c r="E15" s="718"/>
      <c r="F15" s="718"/>
      <c r="G15" s="718"/>
      <c r="H15" s="719"/>
      <c r="I15" s="720"/>
      <c r="J15" s="718"/>
      <c r="K15" s="718"/>
      <c r="L15" s="718"/>
      <c r="M15" s="718"/>
      <c r="N15" s="721"/>
      <c r="O15" s="721"/>
      <c r="P15" s="718"/>
      <c r="Q15" s="718"/>
      <c r="R15" s="718"/>
      <c r="S15" s="718"/>
      <c r="T15" s="721"/>
      <c r="U15" s="721"/>
      <c r="V15" s="718"/>
      <c r="W15" s="718"/>
      <c r="X15" s="718"/>
      <c r="Y15" s="718"/>
      <c r="Z15" s="721"/>
      <c r="AA15" s="721"/>
      <c r="AB15" s="718"/>
      <c r="AC15" s="718"/>
      <c r="AD15" s="718"/>
      <c r="AE15" s="718"/>
      <c r="AF15" s="721"/>
      <c r="AG15" s="722"/>
      <c r="AH15" s="718"/>
      <c r="AI15" s="718"/>
      <c r="AJ15" s="718"/>
      <c r="AK15" s="718"/>
      <c r="AL15" s="723">
        <v>0.12</v>
      </c>
      <c r="AM15" s="724"/>
      <c r="AN15" s="718"/>
      <c r="AO15" s="718"/>
      <c r="AP15" s="718"/>
      <c r="AQ15" s="718"/>
      <c r="AR15" s="723">
        <f>AL15-($AL$15-$AX$15)/4</f>
        <v>0.1</v>
      </c>
      <c r="AS15" s="724"/>
      <c r="AT15" s="723">
        <f>AR15-($AL$15-$AX$15)/4</f>
        <v>8.0000000000000016E-2</v>
      </c>
      <c r="AU15" s="724"/>
      <c r="AV15" s="723">
        <f>AT15-($AL$15-$AX$15)/4</f>
        <v>6.0000000000000019E-2</v>
      </c>
      <c r="AW15" s="724"/>
      <c r="AX15" s="723">
        <v>0.04</v>
      </c>
      <c r="BB15" s="605"/>
      <c r="BC15" s="605"/>
      <c r="BD15" s="605"/>
      <c r="BE15" s="605"/>
      <c r="BF15" s="605"/>
      <c r="BG15" s="682"/>
      <c r="BK15" s="605"/>
      <c r="BL15" s="605"/>
      <c r="BM15" s="605"/>
      <c r="BN15" s="605"/>
      <c r="BO15" s="605"/>
    </row>
    <row r="16" spans="1:79" s="54" customFormat="1" ht="15" customHeight="1">
      <c r="A16" s="55"/>
      <c r="B16" s="56" t="s">
        <v>216</v>
      </c>
      <c r="C16" s="23"/>
      <c r="D16" s="46"/>
      <c r="E16" s="46"/>
      <c r="F16" s="46"/>
      <c r="G16" s="46"/>
      <c r="I16" s="48"/>
      <c r="J16" s="46"/>
      <c r="K16" s="46"/>
      <c r="L16" s="46"/>
      <c r="M16" s="46"/>
      <c r="N16" s="47"/>
      <c r="O16" s="47"/>
      <c r="P16" s="46"/>
      <c r="Q16" s="46"/>
      <c r="R16" s="46"/>
      <c r="S16" s="46"/>
      <c r="T16" s="47"/>
      <c r="U16" s="47"/>
      <c r="V16" s="46"/>
      <c r="W16" s="46"/>
      <c r="X16" s="46"/>
      <c r="Y16" s="46"/>
      <c r="Z16" s="54">
        <v>1278.9000000000001</v>
      </c>
      <c r="AA16" s="47"/>
      <c r="AB16" s="46"/>
      <c r="AC16" s="46"/>
      <c r="AD16" s="46"/>
      <c r="AE16" s="46"/>
      <c r="AF16" s="47">
        <v>1255.4000000000001</v>
      </c>
      <c r="AG16" s="49"/>
      <c r="AH16" s="46"/>
      <c r="AI16" s="46"/>
      <c r="AJ16" s="50"/>
      <c r="AK16" s="50"/>
      <c r="AL16" s="47">
        <f>AF16*(1+AL17)</f>
        <v>1318.17</v>
      </c>
      <c r="AM16" s="51"/>
      <c r="AN16" s="50"/>
      <c r="AO16" s="50"/>
      <c r="AP16" s="50"/>
      <c r="AQ16" s="50"/>
      <c r="AR16" s="47">
        <f>AL16*(1+AR17)</f>
        <v>1410.4419000000003</v>
      </c>
      <c r="AS16" s="51"/>
      <c r="AT16" s="47">
        <f>AR16*(1+AT17)</f>
        <v>1490.3669410000002</v>
      </c>
      <c r="AU16" s="53"/>
      <c r="AV16" s="47">
        <f>AT16*(1+AV17)</f>
        <v>1554.9495084433338</v>
      </c>
      <c r="AW16" s="53"/>
      <c r="AX16" s="47">
        <f>AV16*(1+AX17)</f>
        <v>1601.5979936966339</v>
      </c>
      <c r="BK16" s="682"/>
      <c r="BL16" s="605"/>
      <c r="BM16" s="605"/>
      <c r="BN16" s="605"/>
      <c r="BO16" s="682"/>
    </row>
    <row r="17" spans="1:67" s="54" customFormat="1" ht="15" customHeight="1">
      <c r="A17" s="55"/>
      <c r="B17" s="716" t="s">
        <v>215</v>
      </c>
      <c r="C17" s="23"/>
      <c r="D17" s="46"/>
      <c r="E17" s="46"/>
      <c r="F17" s="46"/>
      <c r="G17" s="46"/>
      <c r="I17" s="48"/>
      <c r="J17" s="46"/>
      <c r="K17" s="46"/>
      <c r="L17" s="46"/>
      <c r="M17" s="46"/>
      <c r="N17" s="47"/>
      <c r="O17" s="47"/>
      <c r="P17" s="46"/>
      <c r="Q17" s="46"/>
      <c r="R17" s="46"/>
      <c r="S17" s="46"/>
      <c r="T17" s="47"/>
      <c r="U17" s="47"/>
      <c r="V17" s="46"/>
      <c r="W17" s="46"/>
      <c r="X17" s="46"/>
      <c r="Y17" s="46"/>
      <c r="AA17" s="47"/>
      <c r="AB17" s="46"/>
      <c r="AC17" s="46"/>
      <c r="AD17" s="46"/>
      <c r="AE17" s="46"/>
      <c r="AF17" s="47"/>
      <c r="AG17" s="49"/>
      <c r="AH17" s="46"/>
      <c r="AI17" s="46"/>
      <c r="AJ17" s="50"/>
      <c r="AK17" s="50"/>
      <c r="AL17" s="723">
        <v>0.05</v>
      </c>
      <c r="AM17" s="728"/>
      <c r="AN17" s="718"/>
      <c r="AO17" s="718"/>
      <c r="AP17" s="718"/>
      <c r="AQ17" s="718"/>
      <c r="AR17" s="723">
        <v>7.0000000000000007E-2</v>
      </c>
      <c r="AS17" s="728"/>
      <c r="AT17" s="723">
        <f>AR17-($AR$17-$AX$17)/3</f>
        <v>5.6666666666666671E-2</v>
      </c>
      <c r="AU17" s="728"/>
      <c r="AV17" s="723">
        <f>AT17-($AR$17-$AX$17)/3</f>
        <v>4.3333333333333335E-2</v>
      </c>
      <c r="AW17" s="728"/>
      <c r="AX17" s="723">
        <v>0.03</v>
      </c>
      <c r="BB17" s="605"/>
      <c r="BC17" s="605"/>
      <c r="BD17" s="605"/>
      <c r="BE17" s="605"/>
      <c r="BF17" s="605"/>
      <c r="BK17" s="682"/>
      <c r="BL17" s="605"/>
      <c r="BM17" s="605"/>
      <c r="BN17" s="605"/>
      <c r="BO17" s="682"/>
    </row>
    <row r="18" spans="1:67" s="54" customFormat="1" ht="15" customHeight="1">
      <c r="A18" s="55"/>
      <c r="B18" s="56" t="s">
        <v>217</v>
      </c>
      <c r="C18" s="23"/>
      <c r="D18" s="46"/>
      <c r="E18" s="46"/>
      <c r="F18" s="46"/>
      <c r="G18" s="46"/>
      <c r="I18" s="48"/>
      <c r="J18" s="46"/>
      <c r="K18" s="46"/>
      <c r="L18" s="46"/>
      <c r="M18" s="46"/>
      <c r="N18" s="47"/>
      <c r="O18" s="47"/>
      <c r="P18" s="46"/>
      <c r="Q18" s="46"/>
      <c r="R18" s="46"/>
      <c r="S18" s="46"/>
      <c r="T18" s="47"/>
      <c r="U18" s="47"/>
      <c r="V18" s="46"/>
      <c r="W18" s="46"/>
      <c r="X18" s="46"/>
      <c r="Y18" s="46"/>
      <c r="Z18" s="47">
        <v>716.5</v>
      </c>
      <c r="AA18" s="47"/>
      <c r="AB18" s="46"/>
      <c r="AC18" s="46"/>
      <c r="AD18" s="46"/>
      <c r="AE18" s="46"/>
      <c r="AF18" s="47">
        <v>821.4</v>
      </c>
      <c r="AG18" s="49"/>
      <c r="AH18" s="46"/>
      <c r="AI18" s="46"/>
      <c r="AJ18" s="50"/>
      <c r="AK18" s="50"/>
      <c r="AL18" s="47">
        <f>AF18*(1+AL19)</f>
        <v>878.89800000000002</v>
      </c>
      <c r="AM18" s="51"/>
      <c r="AN18" s="50"/>
      <c r="AO18" s="50"/>
      <c r="AP18" s="50"/>
      <c r="AQ18" s="50"/>
      <c r="AR18" s="47">
        <f>AL18*(1+AR19)</f>
        <v>936.02636999999993</v>
      </c>
      <c r="AS18" s="51"/>
      <c r="AT18" s="47">
        <f>AR18*(1+AT19)</f>
        <v>992.18795219999993</v>
      </c>
      <c r="AU18" s="53"/>
      <c r="AV18" s="47">
        <f>AT18*(1+AV19)</f>
        <v>1046.7582895709998</v>
      </c>
      <c r="AW18" s="53"/>
      <c r="AX18" s="47">
        <f>AV18*(1+AX19)</f>
        <v>1099.0962040495499</v>
      </c>
      <c r="BK18" s="682"/>
      <c r="BL18" s="605"/>
      <c r="BM18" s="605"/>
      <c r="BN18" s="605"/>
      <c r="BO18" s="682"/>
    </row>
    <row r="19" spans="1:67" s="54" customFormat="1" ht="15" customHeight="1">
      <c r="A19" s="55"/>
      <c r="B19" s="716" t="s">
        <v>215</v>
      </c>
      <c r="C19" s="23"/>
      <c r="D19" s="46"/>
      <c r="E19" s="46"/>
      <c r="F19" s="46"/>
      <c r="G19" s="46"/>
      <c r="I19" s="48"/>
      <c r="J19" s="46"/>
      <c r="K19" s="46"/>
      <c r="L19" s="46"/>
      <c r="M19" s="46"/>
      <c r="N19" s="47"/>
      <c r="O19" s="47"/>
      <c r="P19" s="46"/>
      <c r="Q19" s="46"/>
      <c r="R19" s="46"/>
      <c r="S19" s="46"/>
      <c r="T19" s="47"/>
      <c r="U19" s="47"/>
      <c r="V19" s="46"/>
      <c r="W19" s="46"/>
      <c r="X19" s="46"/>
      <c r="Y19" s="46"/>
      <c r="Z19" s="47"/>
      <c r="AA19" s="47"/>
      <c r="AB19" s="46"/>
      <c r="AC19" s="46"/>
      <c r="AD19" s="46"/>
      <c r="AE19" s="46"/>
      <c r="AF19" s="47"/>
      <c r="AG19" s="49"/>
      <c r="AH19" s="46"/>
      <c r="AI19" s="46"/>
      <c r="AJ19" s="50"/>
      <c r="AK19" s="50"/>
      <c r="AL19" s="723">
        <v>7.0000000000000007E-2</v>
      </c>
      <c r="AM19" s="728"/>
      <c r="AN19" s="718"/>
      <c r="AO19" s="718"/>
      <c r="AP19" s="718"/>
      <c r="AQ19" s="718"/>
      <c r="AR19" s="723">
        <f>AL19-($AL$19-$AX$19)/4</f>
        <v>6.5000000000000002E-2</v>
      </c>
      <c r="AS19" s="728"/>
      <c r="AT19" s="723">
        <f>AR19-($AL$19-$AX$19)/4</f>
        <v>0.06</v>
      </c>
      <c r="AU19" s="728"/>
      <c r="AV19" s="723">
        <f>AT19-($AL$19-$AX$19)/4</f>
        <v>5.4999999999999993E-2</v>
      </c>
      <c r="AW19" s="728"/>
      <c r="AX19" s="723">
        <v>0.05</v>
      </c>
      <c r="BB19" s="605"/>
      <c r="BC19" s="605"/>
      <c r="BD19" s="605"/>
      <c r="BE19" s="605"/>
      <c r="BF19" s="605"/>
      <c r="BK19" s="682"/>
      <c r="BL19" s="605"/>
      <c r="BM19" s="605"/>
      <c r="BN19" s="605"/>
      <c r="BO19" s="682"/>
    </row>
    <row r="20" spans="1:67" s="54" customFormat="1" ht="15" customHeight="1">
      <c r="A20" s="55"/>
      <c r="B20" s="56" t="s">
        <v>218</v>
      </c>
      <c r="C20" s="23"/>
      <c r="D20" s="46"/>
      <c r="E20" s="46"/>
      <c r="F20" s="46"/>
      <c r="G20" s="46"/>
      <c r="H20" s="47"/>
      <c r="I20" s="48"/>
      <c r="J20" s="46"/>
      <c r="K20" s="46"/>
      <c r="L20" s="46"/>
      <c r="M20" s="46"/>
      <c r="N20" s="47"/>
      <c r="O20" s="47"/>
      <c r="P20" s="46"/>
      <c r="Q20" s="46"/>
      <c r="R20" s="46"/>
      <c r="S20" s="46"/>
      <c r="T20" s="47"/>
      <c r="U20" s="47"/>
      <c r="V20" s="46"/>
      <c r="W20" s="46"/>
      <c r="X20" s="46"/>
      <c r="Y20" s="46"/>
      <c r="Z20" s="47">
        <v>902.4</v>
      </c>
      <c r="AA20" s="47"/>
      <c r="AB20" s="46"/>
      <c r="AC20" s="46"/>
      <c r="AD20" s="46"/>
      <c r="AE20" s="46"/>
      <c r="AF20" s="47">
        <v>1028.5</v>
      </c>
      <c r="AG20" s="49"/>
      <c r="AH20" s="46"/>
      <c r="AI20" s="46"/>
      <c r="AJ20" s="50"/>
      <c r="AK20" s="50"/>
      <c r="AL20" s="47">
        <f>AF20*(1+AL21)</f>
        <v>1110.78</v>
      </c>
      <c r="AM20" s="51"/>
      <c r="AN20" s="50"/>
      <c r="AO20" s="50"/>
      <c r="AP20" s="50"/>
      <c r="AQ20" s="50"/>
      <c r="AR20" s="47">
        <f>AL20*(1+AR21)</f>
        <v>1177.4268</v>
      </c>
      <c r="AS20" s="51"/>
      <c r="AT20" s="47">
        <f>AR20*(1+AT21)</f>
        <v>1244.1476519999999</v>
      </c>
      <c r="AU20" s="53"/>
      <c r="AV20" s="47">
        <f>AT20*(1+AV21)</f>
        <v>1310.5021934399997</v>
      </c>
      <c r="AW20" s="53"/>
      <c r="AX20" s="47">
        <f>AV20*(1+AX21)</f>
        <v>1376.0273031119998</v>
      </c>
      <c r="BK20" s="682"/>
      <c r="BL20" s="605"/>
      <c r="BM20" s="605"/>
      <c r="BN20" s="605"/>
      <c r="BO20" s="682"/>
    </row>
    <row r="21" spans="1:67" s="54" customFormat="1" ht="15" customHeight="1">
      <c r="A21" s="55"/>
      <c r="B21" s="716" t="s">
        <v>215</v>
      </c>
      <c r="C21" s="23"/>
      <c r="D21" s="46"/>
      <c r="E21" s="46"/>
      <c r="F21" s="46"/>
      <c r="G21" s="46"/>
      <c r="H21" s="47"/>
      <c r="I21" s="48"/>
      <c r="J21" s="46"/>
      <c r="K21" s="46"/>
      <c r="L21" s="46"/>
      <c r="M21" s="46"/>
      <c r="N21" s="47"/>
      <c r="O21" s="47"/>
      <c r="P21" s="46"/>
      <c r="Q21" s="46"/>
      <c r="R21" s="46"/>
      <c r="S21" s="46"/>
      <c r="T21" s="47"/>
      <c r="U21" s="47"/>
      <c r="V21" s="46"/>
      <c r="W21" s="46"/>
      <c r="X21" s="46"/>
      <c r="Y21" s="46"/>
      <c r="Z21" s="47"/>
      <c r="AA21" s="47"/>
      <c r="AB21" s="46"/>
      <c r="AC21" s="46"/>
      <c r="AD21" s="46"/>
      <c r="AE21" s="46"/>
      <c r="AF21" s="47"/>
      <c r="AG21" s="49"/>
      <c r="AH21" s="46"/>
      <c r="AI21" s="46"/>
      <c r="AJ21" s="50"/>
      <c r="AK21" s="50"/>
      <c r="AL21" s="723">
        <v>0.08</v>
      </c>
      <c r="AM21" s="728"/>
      <c r="AN21" s="718"/>
      <c r="AO21" s="718"/>
      <c r="AP21" s="718"/>
      <c r="AQ21" s="718"/>
      <c r="AR21" s="723">
        <v>0.06</v>
      </c>
      <c r="AS21" s="728"/>
      <c r="AT21" s="723">
        <f>AR21-($AR$21-$AX$21)/3</f>
        <v>5.6666666666666664E-2</v>
      </c>
      <c r="AU21" s="728"/>
      <c r="AV21" s="723">
        <f>AT21-($AR$21-$AX$21)/3</f>
        <v>5.333333333333333E-2</v>
      </c>
      <c r="AW21" s="728"/>
      <c r="AX21" s="723">
        <v>0.05</v>
      </c>
      <c r="BB21" s="605"/>
      <c r="BC21" s="605"/>
      <c r="BD21" s="605"/>
      <c r="BE21" s="605"/>
      <c r="BF21" s="605"/>
      <c r="BK21" s="682"/>
      <c r="BL21" s="605"/>
      <c r="BM21" s="605"/>
      <c r="BN21" s="605"/>
      <c r="BO21" s="682"/>
    </row>
    <row r="22" spans="1:67" s="54" customFormat="1" ht="15" customHeight="1">
      <c r="A22" s="55"/>
      <c r="B22" s="56" t="s">
        <v>219</v>
      </c>
      <c r="C22" s="23"/>
      <c r="D22" s="46"/>
      <c r="E22" s="46"/>
      <c r="F22" s="46"/>
      <c r="G22" s="46"/>
      <c r="H22" s="47"/>
      <c r="I22" s="48"/>
      <c r="J22" s="46"/>
      <c r="K22" s="46"/>
      <c r="L22" s="46"/>
      <c r="M22" s="46"/>
      <c r="N22" s="47"/>
      <c r="O22" s="47"/>
      <c r="P22" s="46"/>
      <c r="Q22" s="46"/>
      <c r="R22" s="46"/>
      <c r="S22" s="46"/>
      <c r="T22" s="47"/>
      <c r="U22" s="47"/>
      <c r="V22" s="46"/>
      <c r="W22" s="46"/>
      <c r="X22" s="46"/>
      <c r="Y22" s="46"/>
      <c r="Z22" s="47">
        <v>430.4</v>
      </c>
      <c r="AA22" s="47"/>
      <c r="AB22" s="46"/>
      <c r="AC22" s="46"/>
      <c r="AD22" s="46"/>
      <c r="AE22" s="46"/>
      <c r="AF22" s="47">
        <v>426.6</v>
      </c>
      <c r="AG22" s="49"/>
      <c r="AH22" s="46"/>
      <c r="AI22" s="46"/>
      <c r="AJ22" s="50"/>
      <c r="AK22" s="50"/>
      <c r="AL22" s="47">
        <f>AF22*(1+AL23)</f>
        <v>430.86600000000004</v>
      </c>
      <c r="AM22" s="51"/>
      <c r="AN22" s="50"/>
      <c r="AO22" s="50"/>
      <c r="AP22" s="50"/>
      <c r="AQ22" s="50"/>
      <c r="AR22" s="47">
        <f>AL22*(1+AR23)</f>
        <v>452.40930000000009</v>
      </c>
      <c r="AS22" s="51"/>
      <c r="AT22" s="47">
        <f>AR22*(1+AT23)</f>
        <v>470.50567200000012</v>
      </c>
      <c r="AU22" s="53"/>
      <c r="AV22" s="47">
        <f>AT22*(1+AV23)</f>
        <v>489.32589888000012</v>
      </c>
      <c r="AW22" s="53"/>
      <c r="AX22" s="47">
        <f>AV22*(1+AX23)</f>
        <v>508.89893483520012</v>
      </c>
      <c r="BK22" s="682"/>
      <c r="BL22" s="605"/>
      <c r="BM22" s="605"/>
      <c r="BN22" s="605"/>
      <c r="BO22" s="682"/>
    </row>
    <row r="23" spans="1:67" s="54" customFormat="1" ht="15" customHeight="1">
      <c r="A23" s="55"/>
      <c r="B23" s="716" t="s">
        <v>215</v>
      </c>
      <c r="C23" s="23"/>
      <c r="D23" s="46"/>
      <c r="E23" s="46"/>
      <c r="F23" s="46"/>
      <c r="G23" s="46"/>
      <c r="H23" s="47"/>
      <c r="I23" s="48"/>
      <c r="J23" s="46"/>
      <c r="K23" s="46"/>
      <c r="L23" s="46"/>
      <c r="M23" s="46"/>
      <c r="N23" s="47"/>
      <c r="O23" s="47"/>
      <c r="P23" s="46"/>
      <c r="Q23" s="46"/>
      <c r="R23" s="46"/>
      <c r="S23" s="46"/>
      <c r="T23" s="47"/>
      <c r="U23" s="47"/>
      <c r="V23" s="46"/>
      <c r="W23" s="46"/>
      <c r="X23" s="46"/>
      <c r="Y23" s="46"/>
      <c r="Z23" s="47"/>
      <c r="AA23" s="47"/>
      <c r="AB23" s="46"/>
      <c r="AC23" s="46"/>
      <c r="AD23" s="46"/>
      <c r="AE23" s="46"/>
      <c r="AF23" s="47"/>
      <c r="AG23" s="49"/>
      <c r="AH23" s="46"/>
      <c r="AI23" s="46"/>
      <c r="AJ23" s="50"/>
      <c r="AK23" s="50"/>
      <c r="AL23" s="723">
        <v>0.01</v>
      </c>
      <c r="AM23" s="728"/>
      <c r="AN23" s="718"/>
      <c r="AO23" s="718"/>
      <c r="AP23" s="718"/>
      <c r="AQ23" s="718"/>
      <c r="AR23" s="723">
        <v>0.05</v>
      </c>
      <c r="AS23" s="728"/>
      <c r="AT23" s="723">
        <v>0.04</v>
      </c>
      <c r="AU23" s="728"/>
      <c r="AV23" s="723">
        <v>0.04</v>
      </c>
      <c r="AW23" s="728"/>
      <c r="AX23" s="723">
        <v>0.04</v>
      </c>
      <c r="BB23" s="605"/>
      <c r="BC23" s="605"/>
      <c r="BD23" s="605"/>
      <c r="BE23" s="605"/>
      <c r="BF23" s="605"/>
      <c r="BK23" s="682"/>
      <c r="BL23" s="605"/>
      <c r="BM23" s="605"/>
      <c r="BN23" s="605"/>
      <c r="BO23" s="682"/>
    </row>
    <row r="24" spans="1:67" s="54" customFormat="1" ht="15" customHeight="1">
      <c r="A24" s="55"/>
      <c r="B24" s="56" t="s">
        <v>220</v>
      </c>
      <c r="C24" s="23"/>
      <c r="D24" s="46"/>
      <c r="E24" s="46"/>
      <c r="F24" s="46"/>
      <c r="G24" s="46"/>
      <c r="H24" s="57"/>
      <c r="I24" s="48"/>
      <c r="J24" s="46"/>
      <c r="K24" s="46"/>
      <c r="L24" s="46"/>
      <c r="M24" s="46"/>
      <c r="N24" s="57"/>
      <c r="O24" s="57"/>
      <c r="P24" s="46"/>
      <c r="Q24" s="46"/>
      <c r="R24" s="46"/>
      <c r="S24" s="46"/>
      <c r="T24" s="57"/>
      <c r="U24" s="57"/>
      <c r="V24" s="46"/>
      <c r="W24" s="46"/>
      <c r="X24" s="46"/>
      <c r="Y24" s="46"/>
      <c r="Z24" s="57">
        <v>44.6</v>
      </c>
      <c r="AA24" s="57"/>
      <c r="AB24" s="46"/>
      <c r="AC24" s="46"/>
      <c r="AD24" s="46"/>
      <c r="AE24" s="46"/>
      <c r="AF24" s="57">
        <v>53.5</v>
      </c>
      <c r="AG24" s="49"/>
      <c r="AH24" s="46"/>
      <c r="AI24" s="46"/>
      <c r="AJ24" s="50"/>
      <c r="AK24" s="50"/>
      <c r="AL24" s="47">
        <f>AF24*(1+AL25)</f>
        <v>55.105000000000004</v>
      </c>
      <c r="AM24" s="51"/>
      <c r="AN24" s="50"/>
      <c r="AO24" s="50"/>
      <c r="AP24" s="50"/>
      <c r="AQ24" s="50"/>
      <c r="AR24" s="47">
        <f>AL24*(1+AR25)</f>
        <v>56.758150000000008</v>
      </c>
      <c r="AS24" s="51"/>
      <c r="AT24" s="47">
        <f>AR24*(1+AT25)</f>
        <v>58.460894500000009</v>
      </c>
      <c r="AU24" s="53"/>
      <c r="AV24" s="47">
        <f>AT24*(1+AV25)</f>
        <v>60.214721335000014</v>
      </c>
      <c r="AW24" s="53"/>
      <c r="AX24" s="47">
        <f>AV24*(1+AX25)</f>
        <v>62.021162975050018</v>
      </c>
      <c r="BK24" s="682"/>
      <c r="BL24" s="682"/>
      <c r="BM24" s="682"/>
      <c r="BN24" s="682"/>
      <c r="BO24" s="682"/>
    </row>
    <row r="25" spans="1:67" s="54" customFormat="1" ht="15" customHeight="1">
      <c r="A25" s="55"/>
      <c r="B25" s="716" t="s">
        <v>215</v>
      </c>
      <c r="C25" s="23"/>
      <c r="D25" s="46"/>
      <c r="E25" s="46"/>
      <c r="F25" s="46"/>
      <c r="G25" s="46"/>
      <c r="H25" s="57"/>
      <c r="I25" s="48"/>
      <c r="J25" s="46"/>
      <c r="K25" s="46"/>
      <c r="L25" s="46"/>
      <c r="M25" s="46"/>
      <c r="N25" s="57"/>
      <c r="O25" s="57"/>
      <c r="P25" s="46"/>
      <c r="Q25" s="46"/>
      <c r="R25" s="46"/>
      <c r="S25" s="46"/>
      <c r="T25" s="57"/>
      <c r="U25" s="57"/>
      <c r="V25" s="46"/>
      <c r="W25" s="46"/>
      <c r="X25" s="46"/>
      <c r="Y25" s="46"/>
      <c r="Z25" s="57"/>
      <c r="AA25" s="57"/>
      <c r="AB25" s="46"/>
      <c r="AC25" s="46"/>
      <c r="AD25" s="46"/>
      <c r="AE25" s="46"/>
      <c r="AF25" s="57"/>
      <c r="AG25" s="49"/>
      <c r="AH25" s="46"/>
      <c r="AI25" s="46"/>
      <c r="AJ25" s="50"/>
      <c r="AK25" s="50"/>
      <c r="AL25" s="723">
        <v>0.03</v>
      </c>
      <c r="AM25" s="728"/>
      <c r="AN25" s="718"/>
      <c r="AO25" s="718"/>
      <c r="AP25" s="718"/>
      <c r="AQ25" s="718"/>
      <c r="AR25" s="723">
        <v>0.03</v>
      </c>
      <c r="AS25" s="728"/>
      <c r="AT25" s="723">
        <v>0.03</v>
      </c>
      <c r="AU25" s="728"/>
      <c r="AV25" s="723">
        <v>0.03</v>
      </c>
      <c r="AW25" s="728"/>
      <c r="AX25" s="723">
        <v>0.03</v>
      </c>
      <c r="BB25" s="605"/>
      <c r="BC25" s="605"/>
      <c r="BD25" s="605"/>
      <c r="BE25" s="605"/>
      <c r="BF25" s="605"/>
      <c r="BK25" s="682"/>
      <c r="BL25" s="682"/>
      <c r="BM25" s="682"/>
      <c r="BN25" s="682"/>
      <c r="BO25" s="682"/>
    </row>
    <row r="26" spans="1:67" s="54" customFormat="1" ht="15" customHeight="1">
      <c r="A26" s="55"/>
      <c r="C26" s="23"/>
      <c r="D26" s="46"/>
      <c r="E26" s="46"/>
      <c r="F26" s="46"/>
      <c r="G26" s="46"/>
      <c r="H26" s="57"/>
      <c r="I26" s="48"/>
      <c r="J26" s="46"/>
      <c r="K26" s="46"/>
      <c r="L26" s="46"/>
      <c r="M26" s="46"/>
      <c r="N26" s="57"/>
      <c r="O26" s="57"/>
      <c r="P26" s="46"/>
      <c r="Q26" s="46"/>
      <c r="R26" s="46"/>
      <c r="S26" s="46"/>
      <c r="T26" s="57"/>
      <c r="U26" s="57"/>
      <c r="V26" s="46"/>
      <c r="W26" s="46"/>
      <c r="X26" s="46"/>
      <c r="Y26" s="46"/>
      <c r="Z26" s="689"/>
      <c r="AA26" s="57"/>
      <c r="AB26" s="46"/>
      <c r="AC26" s="46"/>
      <c r="AD26" s="46"/>
      <c r="AE26" s="46"/>
      <c r="AF26" s="57"/>
      <c r="AG26" s="49"/>
      <c r="AH26" s="46"/>
      <c r="AI26" s="46"/>
      <c r="AJ26" s="50"/>
      <c r="AK26" s="50"/>
      <c r="AL26" s="47"/>
      <c r="AM26" s="51"/>
      <c r="AN26" s="50"/>
      <c r="AO26" s="50"/>
      <c r="AP26" s="50"/>
      <c r="AQ26" s="50"/>
      <c r="AR26" s="47"/>
      <c r="AS26" s="51"/>
      <c r="AT26" s="47"/>
      <c r="AU26" s="53"/>
      <c r="AV26" s="47"/>
      <c r="AW26" s="53"/>
      <c r="AX26" s="47"/>
      <c r="BK26" s="682"/>
      <c r="BL26" s="682"/>
      <c r="BM26" s="682"/>
      <c r="BN26" s="682"/>
      <c r="BO26" s="682"/>
    </row>
    <row r="27" spans="1:67" s="54" customFormat="1" ht="15" customHeight="1">
      <c r="A27" s="55"/>
      <c r="B27" s="64" t="s">
        <v>221</v>
      </c>
      <c r="C27" s="23"/>
      <c r="D27" s="46"/>
      <c r="E27" s="46"/>
      <c r="F27" s="46"/>
      <c r="G27" s="46"/>
      <c r="H27" s="684">
        <f>26.3+398+75+46.9+614.4+95.2+90.7+75.1</f>
        <v>1421.6</v>
      </c>
      <c r="I27" s="438"/>
      <c r="J27" s="343"/>
      <c r="K27" s="343"/>
      <c r="L27" s="343"/>
      <c r="M27" s="343"/>
      <c r="N27" s="684">
        <f>540.6+87.4+72.6+898.4+271.7+173.5+243.8+72.8</f>
        <v>2360.8000000000002</v>
      </c>
      <c r="O27" s="684"/>
      <c r="P27" s="343"/>
      <c r="Q27" s="343"/>
      <c r="R27" s="343"/>
      <c r="S27" s="343"/>
      <c r="T27" s="684">
        <f>463+275+670.1+1191.7+490.9+193.4+381.4+120.4+62.1+104.6+463</f>
        <v>4415.6000000000004</v>
      </c>
      <c r="U27" s="684"/>
      <c r="V27" s="343"/>
      <c r="W27" s="343"/>
      <c r="X27" s="343"/>
      <c r="Y27" s="343"/>
      <c r="Z27" s="684">
        <f>SUM(Z28:Z38)</f>
        <v>4103.9000000000005</v>
      </c>
      <c r="AA27" s="684"/>
      <c r="AB27" s="343"/>
      <c r="AC27" s="343"/>
      <c r="AD27" s="343"/>
      <c r="AE27" s="343"/>
      <c r="AF27" s="684">
        <f>SUM(AF28:AF38)</f>
        <v>4782.1000000000004</v>
      </c>
      <c r="AG27" s="685"/>
      <c r="AH27" s="343"/>
      <c r="AI27" s="343"/>
      <c r="AJ27" s="686"/>
      <c r="AK27" s="686"/>
      <c r="AL27" s="684">
        <f>AL28+AL30+AL32+AL34+AL36+AL38</f>
        <v>5634.6510000000007</v>
      </c>
      <c r="AM27" s="687"/>
      <c r="AN27" s="686"/>
      <c r="AO27" s="686"/>
      <c r="AP27" s="686"/>
      <c r="AQ27" s="686"/>
      <c r="AR27" s="684">
        <f>AR28+AR30+AR32+AR34+AR36+AR38</f>
        <v>6530.2666050000007</v>
      </c>
      <c r="AS27" s="687"/>
      <c r="AT27" s="684">
        <f>AT28+AT30+AT32+AT34+AT36+AT38</f>
        <v>7437.1188763250002</v>
      </c>
      <c r="AU27" s="688"/>
      <c r="AV27" s="684">
        <f>AV28+AV30+AV32+AV34+AV36+AV38</f>
        <v>8316.3496094899365</v>
      </c>
      <c r="AW27" s="688"/>
      <c r="AX27" s="684">
        <f>AX28+AX30+AX32+AX34+AX36+AX38</f>
        <v>9124.7280657525007</v>
      </c>
      <c r="BK27" s="682"/>
      <c r="BL27" s="682"/>
      <c r="BM27" s="682"/>
      <c r="BN27" s="682"/>
      <c r="BO27" s="682"/>
    </row>
    <row r="28" spans="1:67" s="54" customFormat="1" ht="15" customHeight="1">
      <c r="A28" s="55"/>
      <c r="B28" s="56" t="s">
        <v>214</v>
      </c>
      <c r="C28" s="23"/>
      <c r="D28" s="46"/>
      <c r="E28" s="46"/>
      <c r="F28" s="46"/>
      <c r="G28" s="46"/>
      <c r="H28" s="57"/>
      <c r="I28" s="48"/>
      <c r="J28" s="46"/>
      <c r="K28" s="46"/>
      <c r="L28" s="46"/>
      <c r="M28" s="46"/>
      <c r="N28" s="57"/>
      <c r="O28" s="57"/>
      <c r="P28" s="46"/>
      <c r="Q28" s="46"/>
      <c r="R28" s="46"/>
      <c r="S28" s="46"/>
      <c r="T28" s="57"/>
      <c r="U28" s="57"/>
      <c r="V28" s="46"/>
      <c r="W28" s="46"/>
      <c r="X28" s="46"/>
      <c r="Y28" s="46"/>
      <c r="Z28" s="57">
        <v>15.2</v>
      </c>
      <c r="AA28" s="57"/>
      <c r="AB28" s="46"/>
      <c r="AC28" s="46"/>
      <c r="AD28" s="46"/>
      <c r="AE28" s="46"/>
      <c r="AF28" s="57">
        <v>9.9</v>
      </c>
      <c r="AG28" s="49"/>
      <c r="AH28" s="46"/>
      <c r="AI28" s="46"/>
      <c r="AJ28" s="50"/>
      <c r="AK28" s="50"/>
      <c r="AL28" s="47">
        <f>AF28*(1+AL29)</f>
        <v>10.098000000000001</v>
      </c>
      <c r="AM28" s="51"/>
      <c r="AN28" s="50"/>
      <c r="AO28" s="50"/>
      <c r="AP28" s="50"/>
      <c r="AQ28" s="50"/>
      <c r="AR28" s="47">
        <f>AL28*(1+AR29)</f>
        <v>10.29996</v>
      </c>
      <c r="AS28" s="51"/>
      <c r="AT28" s="47">
        <f>AR28*(1+AT29)</f>
        <v>10.505959200000001</v>
      </c>
      <c r="AU28" s="53"/>
      <c r="AV28" s="47">
        <f>AT28*(1+AV29)</f>
        <v>10.716078384000001</v>
      </c>
      <c r="AW28" s="53"/>
      <c r="AX28" s="47">
        <f>AV28*(1+AX29)</f>
        <v>10.930399951680002</v>
      </c>
      <c r="BK28" s="682"/>
      <c r="BL28" s="682"/>
      <c r="BM28" s="682"/>
      <c r="BN28" s="682"/>
      <c r="BO28" s="682"/>
    </row>
    <row r="29" spans="1:67" s="54" customFormat="1" ht="15" customHeight="1">
      <c r="A29" s="55"/>
      <c r="B29" s="716" t="s">
        <v>215</v>
      </c>
      <c r="C29" s="23"/>
      <c r="D29" s="46"/>
      <c r="E29" s="46"/>
      <c r="F29" s="46"/>
      <c r="G29" s="46"/>
      <c r="H29" s="57"/>
      <c r="I29" s="48"/>
      <c r="J29" s="46"/>
      <c r="K29" s="46"/>
      <c r="L29" s="46"/>
      <c r="M29" s="46"/>
      <c r="N29" s="57"/>
      <c r="O29" s="57"/>
      <c r="P29" s="46"/>
      <c r="Q29" s="46"/>
      <c r="R29" s="46"/>
      <c r="S29" s="46"/>
      <c r="T29" s="57"/>
      <c r="U29" s="57"/>
      <c r="V29" s="46"/>
      <c r="W29" s="46"/>
      <c r="X29" s="46"/>
      <c r="Y29" s="46"/>
      <c r="Z29" s="57"/>
      <c r="AA29" s="57"/>
      <c r="AB29" s="46"/>
      <c r="AC29" s="46"/>
      <c r="AD29" s="46"/>
      <c r="AE29" s="46"/>
      <c r="AF29" s="57"/>
      <c r="AG29" s="49"/>
      <c r="AH29" s="46"/>
      <c r="AI29" s="46"/>
      <c r="AJ29" s="50"/>
      <c r="AK29" s="50"/>
      <c r="AL29" s="723">
        <v>0.02</v>
      </c>
      <c r="AM29" s="728"/>
      <c r="AN29" s="718"/>
      <c r="AO29" s="718"/>
      <c r="AP29" s="718"/>
      <c r="AQ29" s="718"/>
      <c r="AR29" s="723">
        <v>0.02</v>
      </c>
      <c r="AS29" s="728"/>
      <c r="AT29" s="723">
        <v>0.02</v>
      </c>
      <c r="AU29" s="728"/>
      <c r="AV29" s="723">
        <v>0.02</v>
      </c>
      <c r="AW29" s="728"/>
      <c r="AX29" s="723">
        <v>0.02</v>
      </c>
      <c r="BB29" s="605"/>
      <c r="BC29" s="605"/>
      <c r="BD29" s="605"/>
      <c r="BE29" s="605"/>
      <c r="BF29" s="605"/>
      <c r="BK29" s="682"/>
      <c r="BL29" s="682"/>
      <c r="BM29" s="682"/>
      <c r="BN29" s="682"/>
      <c r="BO29" s="682"/>
    </row>
    <row r="30" spans="1:67" s="54" customFormat="1" ht="15" customHeight="1">
      <c r="A30" s="55"/>
      <c r="B30" s="56" t="s">
        <v>216</v>
      </c>
      <c r="C30" s="23"/>
      <c r="D30" s="46"/>
      <c r="E30" s="46"/>
      <c r="F30" s="46"/>
      <c r="G30" s="46"/>
      <c r="H30" s="57"/>
      <c r="I30" s="48"/>
      <c r="J30" s="46"/>
      <c r="K30" s="46"/>
      <c r="L30" s="46"/>
      <c r="M30" s="46"/>
      <c r="N30" s="57"/>
      <c r="O30" s="57"/>
      <c r="P30" s="46"/>
      <c r="Q30" s="46"/>
      <c r="R30" s="46"/>
      <c r="S30" s="46"/>
      <c r="T30" s="57"/>
      <c r="U30" s="57"/>
      <c r="V30" s="46"/>
      <c r="W30" s="46"/>
      <c r="X30" s="46"/>
      <c r="Y30" s="46"/>
      <c r="Z30" s="57">
        <v>810.6</v>
      </c>
      <c r="AA30" s="57"/>
      <c r="AB30" s="46"/>
      <c r="AC30" s="46"/>
      <c r="AD30" s="46"/>
      <c r="AE30" s="46"/>
      <c r="AF30" s="57">
        <v>856.6</v>
      </c>
      <c r="AG30" s="49"/>
      <c r="AH30" s="46"/>
      <c r="AI30" s="46"/>
      <c r="AJ30" s="50"/>
      <c r="AK30" s="50"/>
      <c r="AL30" s="729">
        <f>AF30*(1+AL31)</f>
        <v>1070.75</v>
      </c>
      <c r="AM30" s="730"/>
      <c r="AN30" s="50"/>
      <c r="AO30" s="50"/>
      <c r="AP30" s="50"/>
      <c r="AQ30" s="50"/>
      <c r="AR30" s="729">
        <f>AL30*(1+AR31)</f>
        <v>1298.284375</v>
      </c>
      <c r="AS30" s="730"/>
      <c r="AT30" s="729">
        <f>AR30*(1+AT31)</f>
        <v>1525.484140625</v>
      </c>
      <c r="AU30" s="731"/>
      <c r="AV30" s="729">
        <f>AT30*(1+AV31)</f>
        <v>1735.2382099609374</v>
      </c>
      <c r="AW30" s="731"/>
      <c r="AX30" s="729">
        <f>AV30*(1+AX31)</f>
        <v>1908.7620309570314</v>
      </c>
      <c r="BK30" s="682"/>
      <c r="BL30" s="682"/>
      <c r="BM30" s="682"/>
      <c r="BN30" s="682"/>
      <c r="BO30" s="682"/>
    </row>
    <row r="31" spans="1:67" s="54" customFormat="1" ht="15" customHeight="1">
      <c r="A31" s="55"/>
      <c r="B31" s="716" t="s">
        <v>215</v>
      </c>
      <c r="C31" s="23"/>
      <c r="D31" s="46"/>
      <c r="E31" s="46"/>
      <c r="F31" s="46"/>
      <c r="G31" s="46"/>
      <c r="H31" s="57"/>
      <c r="I31" s="48"/>
      <c r="J31" s="46"/>
      <c r="K31" s="46"/>
      <c r="L31" s="46"/>
      <c r="M31" s="46"/>
      <c r="N31" s="57"/>
      <c r="O31" s="57"/>
      <c r="P31" s="46"/>
      <c r="Q31" s="46"/>
      <c r="R31" s="46"/>
      <c r="S31" s="46"/>
      <c r="T31" s="57"/>
      <c r="U31" s="57"/>
      <c r="V31" s="46"/>
      <c r="W31" s="46"/>
      <c r="X31" s="46"/>
      <c r="Y31" s="46"/>
      <c r="Z31" s="57"/>
      <c r="AA31" s="57"/>
      <c r="AB31" s="46"/>
      <c r="AC31" s="46"/>
      <c r="AD31" s="46"/>
      <c r="AE31" s="46"/>
      <c r="AF31" s="57"/>
      <c r="AG31" s="49"/>
      <c r="AH31" s="46"/>
      <c r="AI31" s="46"/>
      <c r="AJ31" s="50"/>
      <c r="AK31" s="50"/>
      <c r="AL31" s="723">
        <v>0.25</v>
      </c>
      <c r="AM31" s="728"/>
      <c r="AN31" s="718"/>
      <c r="AO31" s="718"/>
      <c r="AP31" s="718"/>
      <c r="AQ31" s="718"/>
      <c r="AR31" s="723">
        <f>AL31-($AL$31-$AX$31)/4</f>
        <v>0.21249999999999999</v>
      </c>
      <c r="AS31" s="728"/>
      <c r="AT31" s="723">
        <f>AR31-($AL$31-$AX$31)/4</f>
        <v>0.17499999999999999</v>
      </c>
      <c r="AU31" s="728"/>
      <c r="AV31" s="723">
        <f>AT31-($AL$31-$AX$31)/4</f>
        <v>0.13749999999999998</v>
      </c>
      <c r="AW31" s="728"/>
      <c r="AX31" s="723">
        <v>0.1</v>
      </c>
      <c r="BB31" s="605"/>
      <c r="BC31" s="605"/>
      <c r="BD31" s="605"/>
      <c r="BE31" s="605"/>
      <c r="BF31" s="605"/>
      <c r="BK31" s="682"/>
      <c r="BL31" s="682"/>
      <c r="BM31" s="682"/>
      <c r="BN31" s="682"/>
      <c r="BO31" s="682"/>
    </row>
    <row r="32" spans="1:67" s="54" customFormat="1" ht="15" customHeight="1">
      <c r="A32" s="55"/>
      <c r="B32" s="56" t="s">
        <v>217</v>
      </c>
      <c r="C32" s="23"/>
      <c r="D32" s="46"/>
      <c r="E32" s="46"/>
      <c r="F32" s="46"/>
      <c r="G32" s="46"/>
      <c r="H32" s="57"/>
      <c r="I32" s="48"/>
      <c r="J32" s="46"/>
      <c r="K32" s="46"/>
      <c r="L32" s="46"/>
      <c r="M32" s="46"/>
      <c r="N32" s="57"/>
      <c r="O32" s="57"/>
      <c r="P32" s="46"/>
      <c r="Q32" s="46"/>
      <c r="R32" s="46"/>
      <c r="S32" s="46"/>
      <c r="T32" s="57"/>
      <c r="U32" s="57"/>
      <c r="V32" s="46"/>
      <c r="W32" s="46"/>
      <c r="X32" s="46"/>
      <c r="Y32" s="46"/>
      <c r="Z32" s="57">
        <v>1765.3</v>
      </c>
      <c r="AA32" s="57"/>
      <c r="AB32" s="46"/>
      <c r="AC32" s="46"/>
      <c r="AD32" s="46"/>
      <c r="AE32" s="46"/>
      <c r="AF32" s="57">
        <v>2090.8000000000002</v>
      </c>
      <c r="AG32" s="49"/>
      <c r="AH32" s="46"/>
      <c r="AI32" s="46"/>
      <c r="AJ32" s="50"/>
      <c r="AK32" s="50"/>
      <c r="AL32" s="47">
        <f>AF32*(1+AL33)</f>
        <v>2404.42</v>
      </c>
      <c r="AM32" s="51"/>
      <c r="AN32" s="50"/>
      <c r="AO32" s="50"/>
      <c r="AP32" s="50"/>
      <c r="AQ32" s="50"/>
      <c r="AR32" s="47">
        <f>AL32*(1+AR33)</f>
        <v>2716.9946</v>
      </c>
      <c r="AS32" s="51"/>
      <c r="AT32" s="47">
        <f>AR32*(1+AT33)</f>
        <v>3015.8640060000002</v>
      </c>
      <c r="AU32" s="53"/>
      <c r="AV32" s="47">
        <f>AT32*(1+AV33)</f>
        <v>3287.2917665400005</v>
      </c>
      <c r="AW32" s="53"/>
      <c r="AX32" s="47">
        <f>AV32*(1+AX33)</f>
        <v>3517.4021901978008</v>
      </c>
      <c r="BK32" s="682"/>
      <c r="BL32" s="682"/>
      <c r="BM32" s="682"/>
      <c r="BN32" s="682"/>
      <c r="BO32" s="682"/>
    </row>
    <row r="33" spans="1:67" s="54" customFormat="1" ht="15" customHeight="1">
      <c r="A33" s="55"/>
      <c r="B33" s="716" t="s">
        <v>215</v>
      </c>
      <c r="C33" s="23"/>
      <c r="D33" s="46"/>
      <c r="E33" s="46"/>
      <c r="F33" s="46"/>
      <c r="G33" s="46"/>
      <c r="H33" s="57"/>
      <c r="I33" s="48"/>
      <c r="J33" s="46"/>
      <c r="K33" s="46"/>
      <c r="L33" s="46"/>
      <c r="M33" s="46"/>
      <c r="N33" s="57"/>
      <c r="O33" s="57"/>
      <c r="P33" s="46"/>
      <c r="Q33" s="46"/>
      <c r="R33" s="46"/>
      <c r="S33" s="46"/>
      <c r="T33" s="57"/>
      <c r="U33" s="57"/>
      <c r="V33" s="46"/>
      <c r="W33" s="46"/>
      <c r="X33" s="46"/>
      <c r="Y33" s="46"/>
      <c r="Z33" s="57"/>
      <c r="AA33" s="57"/>
      <c r="AB33" s="46"/>
      <c r="AC33" s="46"/>
      <c r="AD33" s="46"/>
      <c r="AE33" s="46"/>
      <c r="AF33" s="57"/>
      <c r="AG33" s="49"/>
      <c r="AH33" s="46"/>
      <c r="AI33" s="46"/>
      <c r="AJ33" s="50"/>
      <c r="AK33" s="50"/>
      <c r="AL33" s="723">
        <v>0.15</v>
      </c>
      <c r="AM33" s="728"/>
      <c r="AN33" s="718"/>
      <c r="AO33" s="718"/>
      <c r="AP33" s="718"/>
      <c r="AQ33" s="718"/>
      <c r="AR33" s="723">
        <f>AL33-($AL$33-$AX$33)/4</f>
        <v>0.13</v>
      </c>
      <c r="AS33" s="728"/>
      <c r="AT33" s="723">
        <f>AR33-($AL$33-$AX$33)/4</f>
        <v>0.11000000000000001</v>
      </c>
      <c r="AU33" s="728"/>
      <c r="AV33" s="723">
        <f>AT33-($AL$33-$AX$33)/4</f>
        <v>9.0000000000000024E-2</v>
      </c>
      <c r="AW33" s="728"/>
      <c r="AX33" s="723">
        <v>7.0000000000000007E-2</v>
      </c>
      <c r="BB33" s="605"/>
      <c r="BC33" s="605"/>
      <c r="BD33" s="605"/>
      <c r="BE33" s="605"/>
      <c r="BF33" s="605"/>
      <c r="BK33" s="682"/>
      <c r="BL33" s="682"/>
      <c r="BM33" s="682"/>
      <c r="BN33" s="682"/>
      <c r="BO33" s="682"/>
    </row>
    <row r="34" spans="1:67" s="54" customFormat="1" ht="15" customHeight="1">
      <c r="A34" s="55"/>
      <c r="B34" s="56" t="s">
        <v>218</v>
      </c>
      <c r="C34" s="23"/>
      <c r="D34" s="46"/>
      <c r="E34" s="46"/>
      <c r="F34" s="46"/>
      <c r="G34" s="46"/>
      <c r="H34" s="57"/>
      <c r="I34" s="48"/>
      <c r="J34" s="46"/>
      <c r="K34" s="46"/>
      <c r="L34" s="46"/>
      <c r="M34" s="46"/>
      <c r="N34" s="57"/>
      <c r="O34" s="57"/>
      <c r="P34" s="46"/>
      <c r="Q34" s="46"/>
      <c r="R34" s="46"/>
      <c r="S34" s="46"/>
      <c r="T34" s="57"/>
      <c r="U34" s="57"/>
      <c r="V34" s="46"/>
      <c r="W34" s="46"/>
      <c r="X34" s="46"/>
      <c r="Y34" s="46"/>
      <c r="Z34" s="57">
        <v>719.2</v>
      </c>
      <c r="AA34" s="57"/>
      <c r="AB34" s="46"/>
      <c r="AC34" s="46"/>
      <c r="AD34" s="46"/>
      <c r="AE34" s="46"/>
      <c r="AF34" s="57">
        <v>789.9</v>
      </c>
      <c r="AG34" s="49"/>
      <c r="AH34" s="46"/>
      <c r="AI34" s="46"/>
      <c r="AJ34" s="50"/>
      <c r="AK34" s="50"/>
      <c r="AL34" s="47">
        <f>AF34*(1+AL35)</f>
        <v>884.6880000000001</v>
      </c>
      <c r="AM34" s="51"/>
      <c r="AN34" s="50"/>
      <c r="AO34" s="50"/>
      <c r="AP34" s="50"/>
      <c r="AQ34" s="50"/>
      <c r="AR34" s="47">
        <f>AL34*(1+AR35)</f>
        <v>982.00368000000014</v>
      </c>
      <c r="AS34" s="51"/>
      <c r="AT34" s="47">
        <f>AR34*(1+AT35)</f>
        <v>1080.2040480000003</v>
      </c>
      <c r="AU34" s="53"/>
      <c r="AV34" s="47">
        <f>AT34*(1+AV35)</f>
        <v>1177.4224123200004</v>
      </c>
      <c r="AW34" s="53"/>
      <c r="AX34" s="47">
        <f>AV34*(1+AX35)</f>
        <v>1271.6162053056005</v>
      </c>
      <c r="BK34" s="682"/>
      <c r="BL34" s="682"/>
      <c r="BM34" s="682"/>
      <c r="BN34" s="682"/>
      <c r="BO34" s="682"/>
    </row>
    <row r="35" spans="1:67" s="54" customFormat="1" ht="15" customHeight="1">
      <c r="A35" s="55"/>
      <c r="B35" s="716" t="s">
        <v>215</v>
      </c>
      <c r="C35" s="23"/>
      <c r="D35" s="46"/>
      <c r="E35" s="46"/>
      <c r="F35" s="46"/>
      <c r="G35" s="46"/>
      <c r="H35" s="57"/>
      <c r="I35" s="48"/>
      <c r="J35" s="46"/>
      <c r="K35" s="46"/>
      <c r="L35" s="46"/>
      <c r="M35" s="46"/>
      <c r="N35" s="57"/>
      <c r="O35" s="57"/>
      <c r="P35" s="46"/>
      <c r="Q35" s="46"/>
      <c r="R35" s="46"/>
      <c r="S35" s="46"/>
      <c r="T35" s="57"/>
      <c r="U35" s="57"/>
      <c r="V35" s="46"/>
      <c r="W35" s="46"/>
      <c r="X35" s="46"/>
      <c r="Y35" s="46"/>
      <c r="Z35" s="57"/>
      <c r="AA35" s="57"/>
      <c r="AB35" s="46"/>
      <c r="AC35" s="46"/>
      <c r="AD35" s="46"/>
      <c r="AE35" s="46"/>
      <c r="AF35" s="57"/>
      <c r="AG35" s="49"/>
      <c r="AH35" s="46"/>
      <c r="AI35" s="46"/>
      <c r="AJ35" s="50"/>
      <c r="AK35" s="50"/>
      <c r="AL35" s="723">
        <v>0.12</v>
      </c>
      <c r="AM35" s="728"/>
      <c r="AN35" s="718"/>
      <c r="AO35" s="718"/>
      <c r="AP35" s="718"/>
      <c r="AQ35" s="718"/>
      <c r="AR35" s="723">
        <f>AL35-($AL$35-$AX$35)/4</f>
        <v>0.11</v>
      </c>
      <c r="AS35" s="728"/>
      <c r="AT35" s="723">
        <f>AR35-($AL$35-$AX$35)/4</f>
        <v>0.1</v>
      </c>
      <c r="AU35" s="728"/>
      <c r="AV35" s="723">
        <f>AT35-($AL$35-$AX$35)/4</f>
        <v>9.0000000000000011E-2</v>
      </c>
      <c r="AW35" s="728"/>
      <c r="AX35" s="723">
        <v>0.08</v>
      </c>
      <c r="BB35" s="605"/>
      <c r="BC35" s="605"/>
      <c r="BD35" s="605"/>
      <c r="BE35" s="605"/>
      <c r="BF35" s="605"/>
      <c r="BK35" s="682"/>
      <c r="BL35" s="682"/>
      <c r="BM35" s="682"/>
      <c r="BN35" s="682"/>
      <c r="BO35" s="682"/>
    </row>
    <row r="36" spans="1:67" s="54" customFormat="1" ht="15" customHeight="1">
      <c r="A36" s="55"/>
      <c r="B36" s="56" t="s">
        <v>219</v>
      </c>
      <c r="C36" s="23"/>
      <c r="D36" s="46"/>
      <c r="E36" s="46"/>
      <c r="F36" s="46"/>
      <c r="G36" s="46"/>
      <c r="H36" s="57"/>
      <c r="I36" s="48"/>
      <c r="J36" s="46"/>
      <c r="K36" s="46"/>
      <c r="L36" s="46"/>
      <c r="M36" s="46"/>
      <c r="N36" s="57"/>
      <c r="O36" s="57"/>
      <c r="P36" s="46"/>
      <c r="Q36" s="46"/>
      <c r="R36" s="46"/>
      <c r="S36" s="46"/>
      <c r="T36" s="57"/>
      <c r="U36" s="57"/>
      <c r="V36" s="46"/>
      <c r="W36" s="46"/>
      <c r="X36" s="46"/>
      <c r="Y36" s="46"/>
      <c r="Z36" s="57">
        <v>775.3</v>
      </c>
      <c r="AA36" s="57"/>
      <c r="AB36" s="46"/>
      <c r="AC36" s="46"/>
      <c r="AD36" s="46"/>
      <c r="AE36" s="46"/>
      <c r="AF36" s="57">
        <v>995.7</v>
      </c>
      <c r="AG36" s="49"/>
      <c r="AH36" s="46"/>
      <c r="AI36" s="46"/>
      <c r="AJ36" s="50"/>
      <c r="AK36" s="50"/>
      <c r="AL36" s="47">
        <f>AF36*(1+AL37)</f>
        <v>1224.711</v>
      </c>
      <c r="AM36" s="51"/>
      <c r="AN36" s="50"/>
      <c r="AO36" s="50"/>
      <c r="AP36" s="50"/>
      <c r="AQ36" s="50"/>
      <c r="AR36" s="47">
        <f>AL36*(1+AR37)</f>
        <v>1481.90031</v>
      </c>
      <c r="AS36" s="51"/>
      <c r="AT36" s="47">
        <f>AR36*(1+AT37)</f>
        <v>1763.4613688999998</v>
      </c>
      <c r="AU36" s="53"/>
      <c r="AV36" s="47">
        <f>AT36*(1+AV37)</f>
        <v>2063.2498016129998</v>
      </c>
      <c r="AW36" s="53"/>
      <c r="AX36" s="47">
        <f>AV36*(1+AX37)</f>
        <v>2372.7372718549495</v>
      </c>
      <c r="BK36" s="682"/>
      <c r="BL36" s="682"/>
      <c r="BM36" s="682"/>
      <c r="BN36" s="682"/>
      <c r="BO36" s="682"/>
    </row>
    <row r="37" spans="1:67" s="54" customFormat="1" ht="15" customHeight="1">
      <c r="A37" s="55"/>
      <c r="B37" s="716" t="s">
        <v>215</v>
      </c>
      <c r="C37" s="23"/>
      <c r="D37" s="46"/>
      <c r="E37" s="46"/>
      <c r="F37" s="46"/>
      <c r="G37" s="46"/>
      <c r="H37" s="57"/>
      <c r="I37" s="48"/>
      <c r="J37" s="46"/>
      <c r="K37" s="46"/>
      <c r="L37" s="46"/>
      <c r="M37" s="46"/>
      <c r="N37" s="57"/>
      <c r="O37" s="57"/>
      <c r="P37" s="46"/>
      <c r="Q37" s="46"/>
      <c r="R37" s="46"/>
      <c r="S37" s="46"/>
      <c r="T37" s="57"/>
      <c r="U37" s="57"/>
      <c r="V37" s="46"/>
      <c r="W37" s="46"/>
      <c r="X37" s="46"/>
      <c r="Y37" s="46"/>
      <c r="Z37" s="57"/>
      <c r="AA37" s="57"/>
      <c r="AB37" s="46"/>
      <c r="AC37" s="46"/>
      <c r="AD37" s="46"/>
      <c r="AE37" s="46"/>
      <c r="AF37" s="57"/>
      <c r="AG37" s="49"/>
      <c r="AH37" s="46"/>
      <c r="AI37" s="46"/>
      <c r="AJ37" s="50"/>
      <c r="AK37" s="50"/>
      <c r="AL37" s="723">
        <v>0.23</v>
      </c>
      <c r="AM37" s="728"/>
      <c r="AN37" s="718"/>
      <c r="AO37" s="718"/>
      <c r="AP37" s="718"/>
      <c r="AQ37" s="718"/>
      <c r="AR37" s="723">
        <f>AL37-($AL$37-$AX$37)/4</f>
        <v>0.21000000000000002</v>
      </c>
      <c r="AS37" s="728"/>
      <c r="AT37" s="723">
        <f>AR37-($AL$37-$AX$37)/4</f>
        <v>0.19</v>
      </c>
      <c r="AU37" s="728"/>
      <c r="AV37" s="723">
        <f>AT37-($AL$37-$AX$37)/4</f>
        <v>0.16999999999999998</v>
      </c>
      <c r="AW37" s="728"/>
      <c r="AX37" s="723">
        <v>0.15</v>
      </c>
      <c r="BB37" s="605"/>
      <c r="BC37" s="605"/>
      <c r="BD37" s="605"/>
      <c r="BE37" s="605"/>
      <c r="BF37" s="605"/>
      <c r="BK37" s="682"/>
      <c r="BL37" s="682"/>
      <c r="BM37" s="682"/>
      <c r="BN37" s="682"/>
      <c r="BO37" s="682"/>
    </row>
    <row r="38" spans="1:67" s="54" customFormat="1" ht="15" customHeight="1">
      <c r="A38" s="55"/>
      <c r="B38" s="56" t="s">
        <v>220</v>
      </c>
      <c r="C38" s="23"/>
      <c r="D38" s="46"/>
      <c r="E38" s="46"/>
      <c r="F38" s="46"/>
      <c r="G38" s="46"/>
      <c r="H38" s="57"/>
      <c r="I38" s="48"/>
      <c r="J38" s="46"/>
      <c r="K38" s="46"/>
      <c r="L38" s="46"/>
      <c r="M38" s="46"/>
      <c r="N38" s="57"/>
      <c r="O38" s="57"/>
      <c r="P38" s="46"/>
      <c r="Q38" s="46"/>
      <c r="R38" s="46"/>
      <c r="S38" s="46"/>
      <c r="T38" s="57"/>
      <c r="U38" s="57"/>
      <c r="V38" s="46"/>
      <c r="W38" s="46"/>
      <c r="X38" s="46"/>
      <c r="Y38" s="46"/>
      <c r="Z38" s="57">
        <v>18.3</v>
      </c>
      <c r="AA38" s="57"/>
      <c r="AB38" s="46"/>
      <c r="AC38" s="46"/>
      <c r="AD38" s="46"/>
      <c r="AE38" s="46"/>
      <c r="AF38" s="57">
        <v>39.200000000000003</v>
      </c>
      <c r="AG38" s="49"/>
      <c r="AH38" s="46"/>
      <c r="AI38" s="46"/>
      <c r="AJ38" s="50"/>
      <c r="AK38" s="50"/>
      <c r="AL38" s="47">
        <f>AF38*(1+AL39)</f>
        <v>39.984000000000002</v>
      </c>
      <c r="AM38" s="51"/>
      <c r="AN38" s="50"/>
      <c r="AO38" s="50"/>
      <c r="AP38" s="50"/>
      <c r="AQ38" s="50"/>
      <c r="AR38" s="47">
        <f>AL38*(1+AR39)</f>
        <v>40.783680000000004</v>
      </c>
      <c r="AS38" s="51"/>
      <c r="AT38" s="47">
        <f>AR38*(1+AT39)</f>
        <v>41.599353600000008</v>
      </c>
      <c r="AU38" s="53"/>
      <c r="AV38" s="47">
        <f>AT38*(1+AV39)</f>
        <v>42.431340672000012</v>
      </c>
      <c r="AW38" s="731"/>
      <c r="AX38" s="47">
        <f>AV38*(1+AX39)</f>
        <v>43.279967485440011</v>
      </c>
      <c r="BK38" s="682"/>
      <c r="BL38" s="682"/>
      <c r="BM38" s="682"/>
      <c r="BN38" s="682"/>
      <c r="BO38" s="682"/>
    </row>
    <row r="39" spans="1:67" s="54" customFormat="1" ht="15" customHeight="1">
      <c r="A39" s="55"/>
      <c r="B39" s="716" t="s">
        <v>215</v>
      </c>
      <c r="C39" s="23"/>
      <c r="D39" s="46"/>
      <c r="E39" s="46"/>
      <c r="F39" s="46"/>
      <c r="G39" s="46"/>
      <c r="H39" s="57"/>
      <c r="I39" s="48"/>
      <c r="J39" s="46"/>
      <c r="K39" s="46"/>
      <c r="L39" s="46"/>
      <c r="M39" s="46"/>
      <c r="N39" s="57"/>
      <c r="O39" s="57"/>
      <c r="P39" s="46"/>
      <c r="Q39" s="46"/>
      <c r="R39" s="46"/>
      <c r="S39" s="46"/>
      <c r="T39" s="57"/>
      <c r="U39" s="57"/>
      <c r="V39" s="46"/>
      <c r="W39" s="46"/>
      <c r="X39" s="46"/>
      <c r="Y39" s="46"/>
      <c r="Z39" s="57"/>
      <c r="AA39" s="57"/>
      <c r="AB39" s="46"/>
      <c r="AC39" s="46"/>
      <c r="AD39" s="46"/>
      <c r="AE39" s="46"/>
      <c r="AF39" s="57"/>
      <c r="AG39" s="49"/>
      <c r="AH39" s="46"/>
      <c r="AI39" s="46"/>
      <c r="AJ39" s="50"/>
      <c r="AK39" s="50"/>
      <c r="AL39" s="723">
        <v>0.02</v>
      </c>
      <c r="AM39" s="728"/>
      <c r="AN39" s="718"/>
      <c r="AO39" s="718"/>
      <c r="AP39" s="718"/>
      <c r="AQ39" s="718"/>
      <c r="AR39" s="723">
        <v>0.02</v>
      </c>
      <c r="AS39" s="728"/>
      <c r="AT39" s="723">
        <v>0.02</v>
      </c>
      <c r="AU39" s="728"/>
      <c r="AV39" s="723">
        <v>0.02</v>
      </c>
      <c r="AW39" s="728"/>
      <c r="AX39" s="723">
        <v>0.02</v>
      </c>
      <c r="BK39" s="682"/>
      <c r="BL39" s="682"/>
      <c r="BM39" s="682"/>
      <c r="BN39" s="682"/>
      <c r="BO39" s="682"/>
    </row>
    <row r="40" spans="1:67" s="696" customFormat="1" ht="1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732"/>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row>
    <row r="41" spans="1:67" s="54" customFormat="1" ht="15" customHeight="1">
      <c r="A41" s="55"/>
      <c r="B41" s="64" t="s">
        <v>222</v>
      </c>
      <c r="C41" s="23"/>
      <c r="D41" s="46"/>
      <c r="E41" s="46"/>
      <c r="F41" s="46"/>
      <c r="G41" s="46"/>
      <c r="H41" s="684">
        <v>8.5</v>
      </c>
      <c r="I41" s="438"/>
      <c r="J41" s="343"/>
      <c r="K41" s="343"/>
      <c r="L41" s="343"/>
      <c r="M41" s="343"/>
      <c r="N41" s="684">
        <v>1849.4</v>
      </c>
      <c r="O41" s="684"/>
      <c r="P41" s="343"/>
      <c r="Q41" s="343"/>
      <c r="R41" s="343"/>
      <c r="S41" s="343"/>
      <c r="T41" s="684">
        <v>2330.4</v>
      </c>
      <c r="U41" s="684"/>
      <c r="V41" s="343"/>
      <c r="W41" s="343"/>
      <c r="X41" s="343"/>
      <c r="Y41" s="343"/>
      <c r="Z41" s="684">
        <f>SUM(Z42:Z52)</f>
        <v>2587.7000000000003</v>
      </c>
      <c r="AA41" s="684"/>
      <c r="AB41" s="343"/>
      <c r="AC41" s="343"/>
      <c r="AD41" s="343"/>
      <c r="AE41" s="343"/>
      <c r="AF41" s="684">
        <f>SUM(AF42:AF52)</f>
        <v>2794</v>
      </c>
      <c r="AG41" s="685"/>
      <c r="AH41" s="343"/>
      <c r="AI41" s="343"/>
      <c r="AJ41" s="686"/>
      <c r="AK41" s="686"/>
      <c r="AL41" s="684">
        <f>AL42+AL44+AL46+AL48+AL50+AL52</f>
        <v>3047.7239999999997</v>
      </c>
      <c r="AM41" s="687"/>
      <c r="AN41" s="686"/>
      <c r="AO41" s="686"/>
      <c r="AP41" s="686"/>
      <c r="AQ41" s="686"/>
      <c r="AR41" s="684">
        <f>AR42+AR44+AR46+AR48+AR50+AR52</f>
        <v>3335.3089050000003</v>
      </c>
      <c r="AS41" s="687"/>
      <c r="AT41" s="684">
        <f>AT42+AT44+AT46+AT48+AT50+AT52</f>
        <v>3623.6190261749998</v>
      </c>
      <c r="AU41" s="688"/>
      <c r="AV41" s="684">
        <f>AV42+AV44+AV46+AV48+AV50+AV52</f>
        <v>3906.7964543405624</v>
      </c>
      <c r="AW41" s="688"/>
      <c r="AX41" s="684">
        <f>AX42+AX44+AX46+AX48+AX50+AX52</f>
        <v>4178.4062190780178</v>
      </c>
      <c r="BK41" s="682"/>
      <c r="BL41" s="682"/>
      <c r="BM41" s="682"/>
      <c r="BN41" s="682"/>
      <c r="BO41" s="682"/>
    </row>
    <row r="42" spans="1:67" s="54" customFormat="1" ht="15" customHeight="1">
      <c r="A42" s="55"/>
      <c r="B42" s="56" t="s">
        <v>214</v>
      </c>
      <c r="C42" s="23"/>
      <c r="D42" s="46"/>
      <c r="E42" s="46"/>
      <c r="F42" s="46"/>
      <c r="G42" s="46"/>
      <c r="H42" s="57"/>
      <c r="I42" s="48"/>
      <c r="J42" s="46"/>
      <c r="K42" s="46"/>
      <c r="L42" s="46"/>
      <c r="M42" s="46"/>
      <c r="N42" s="57"/>
      <c r="O42" s="57"/>
      <c r="P42" s="46"/>
      <c r="Q42" s="46"/>
      <c r="R42" s="46"/>
      <c r="S42" s="46"/>
      <c r="T42" s="57"/>
      <c r="U42" s="57"/>
      <c r="V42" s="46"/>
      <c r="W42" s="46"/>
      <c r="X42" s="46"/>
      <c r="Y42" s="46"/>
      <c r="Z42" s="57">
        <v>787.5</v>
      </c>
      <c r="AA42" s="57"/>
      <c r="AB42" s="46"/>
      <c r="AC42" s="46"/>
      <c r="AD42" s="46"/>
      <c r="AE42" s="46"/>
      <c r="AF42" s="57">
        <v>823.5</v>
      </c>
      <c r="AG42" s="49"/>
      <c r="AH42" s="46"/>
      <c r="AI42" s="46"/>
      <c r="AJ42" s="50"/>
      <c r="AK42" s="50"/>
      <c r="AL42" s="47">
        <f>AF42*(1+AL43)</f>
        <v>856.44</v>
      </c>
      <c r="AM42" s="51"/>
      <c r="AN42" s="50"/>
      <c r="AO42" s="50"/>
      <c r="AP42" s="50"/>
      <c r="AQ42" s="50"/>
      <c r="AR42" s="47">
        <f>AL42*(1+AR43)</f>
        <v>916.39080000000013</v>
      </c>
      <c r="AS42" s="51"/>
      <c r="AT42" s="47">
        <f>AR42*(1+AT43)</f>
        <v>974.42888400000004</v>
      </c>
      <c r="AU42" s="53"/>
      <c r="AV42" s="47">
        <f>AT42*(1+AV43)</f>
        <v>1029.6465207599999</v>
      </c>
      <c r="AW42" s="53"/>
      <c r="AX42" s="47">
        <f>AV42*(1+AX43)</f>
        <v>1081.128846798</v>
      </c>
      <c r="BK42" s="682"/>
      <c r="BL42" s="682"/>
      <c r="BM42" s="682"/>
      <c r="BN42" s="682"/>
      <c r="BO42" s="682"/>
    </row>
    <row r="43" spans="1:67" s="54" customFormat="1" ht="15" customHeight="1">
      <c r="A43" s="55"/>
      <c r="B43" s="56"/>
      <c r="C43" s="23"/>
      <c r="D43" s="46"/>
      <c r="E43" s="46"/>
      <c r="F43" s="46"/>
      <c r="G43" s="46"/>
      <c r="H43" s="57"/>
      <c r="I43" s="48"/>
      <c r="J43" s="46"/>
      <c r="K43" s="46"/>
      <c r="L43" s="46"/>
      <c r="M43" s="46"/>
      <c r="N43" s="57"/>
      <c r="O43" s="57"/>
      <c r="P43" s="46"/>
      <c r="Q43" s="46"/>
      <c r="R43" s="46"/>
      <c r="S43" s="46"/>
      <c r="T43" s="57"/>
      <c r="U43" s="57"/>
      <c r="V43" s="46"/>
      <c r="W43" s="46"/>
      <c r="X43" s="46"/>
      <c r="Y43" s="46"/>
      <c r="Z43" s="57"/>
      <c r="AA43" s="57"/>
      <c r="AB43" s="46"/>
      <c r="AC43" s="46"/>
      <c r="AD43" s="46"/>
      <c r="AE43" s="46"/>
      <c r="AF43" s="57"/>
      <c r="AG43" s="49"/>
      <c r="AH43" s="46"/>
      <c r="AI43" s="46"/>
      <c r="AJ43" s="50"/>
      <c r="AK43" s="50"/>
      <c r="AL43" s="723">
        <v>0.04</v>
      </c>
      <c r="AM43" s="728"/>
      <c r="AN43" s="718"/>
      <c r="AO43" s="718"/>
      <c r="AP43" s="718"/>
      <c r="AQ43" s="718"/>
      <c r="AR43" s="723">
        <v>7.0000000000000007E-2</v>
      </c>
      <c r="AS43" s="728"/>
      <c r="AT43" s="723">
        <f>AR43-($AR$43-$AX$43)/3</f>
        <v>6.3333333333333339E-2</v>
      </c>
      <c r="AU43" s="728"/>
      <c r="AV43" s="723">
        <f>AT43-($AR$43-$AX$43)/3</f>
        <v>5.6666666666666671E-2</v>
      </c>
      <c r="AW43" s="728"/>
      <c r="AX43" s="723">
        <v>0.05</v>
      </c>
      <c r="BB43" s="605"/>
      <c r="BC43" s="605"/>
      <c r="BD43" s="605"/>
      <c r="BE43" s="605"/>
      <c r="BF43" s="605"/>
      <c r="BK43" s="682"/>
      <c r="BL43" s="682"/>
      <c r="BM43" s="682"/>
      <c r="BN43" s="682"/>
      <c r="BO43" s="682"/>
    </row>
    <row r="44" spans="1:67" s="54" customFormat="1" ht="15" customHeight="1">
      <c r="A44" s="55"/>
      <c r="B44" s="56" t="s">
        <v>216</v>
      </c>
      <c r="C44" s="23"/>
      <c r="D44" s="46"/>
      <c r="E44" s="46"/>
      <c r="F44" s="46"/>
      <c r="G44" s="46"/>
      <c r="H44" s="57"/>
      <c r="I44" s="48"/>
      <c r="J44" s="46"/>
      <c r="K44" s="46"/>
      <c r="L44" s="46"/>
      <c r="M44" s="46"/>
      <c r="N44" s="57"/>
      <c r="O44" s="57"/>
      <c r="P44" s="46"/>
      <c r="Q44" s="46"/>
      <c r="R44" s="46"/>
      <c r="S44" s="46"/>
      <c r="T44" s="57"/>
      <c r="U44" s="57"/>
      <c r="V44" s="46"/>
      <c r="W44" s="46"/>
      <c r="X44" s="46"/>
      <c r="Y44" s="46"/>
      <c r="Z44" s="57">
        <v>881.8</v>
      </c>
      <c r="AA44" s="57"/>
      <c r="AB44" s="46"/>
      <c r="AC44" s="46"/>
      <c r="AD44" s="46"/>
      <c r="AE44" s="46"/>
      <c r="AF44" s="57">
        <v>856.4</v>
      </c>
      <c r="AG44" s="49"/>
      <c r="AH44" s="46"/>
      <c r="AI44" s="46"/>
      <c r="AJ44" s="50"/>
      <c r="AK44" s="50"/>
      <c r="AL44" s="729">
        <f>AF44*(1+AL45)</f>
        <v>924.91200000000003</v>
      </c>
      <c r="AM44" s="730"/>
      <c r="AN44" s="50"/>
      <c r="AO44" s="50"/>
      <c r="AP44" s="50"/>
      <c r="AQ44" s="50"/>
      <c r="AR44" s="729">
        <f>AL44*(1+AR45)</f>
        <v>994.28039999999999</v>
      </c>
      <c r="AS44" s="730"/>
      <c r="AT44" s="729">
        <f>AR44*(1+AT45)</f>
        <v>1063.880028</v>
      </c>
      <c r="AU44" s="731"/>
      <c r="AV44" s="729">
        <f>AT44*(1+AV45)</f>
        <v>1133.0322298199999</v>
      </c>
      <c r="AW44" s="731"/>
      <c r="AX44" s="729">
        <f>AV44*(1+AX45)</f>
        <v>1201.0141636091998</v>
      </c>
      <c r="BK44" s="682"/>
      <c r="BL44" s="682"/>
      <c r="BM44" s="682"/>
      <c r="BN44" s="682"/>
      <c r="BO44" s="682"/>
    </row>
    <row r="45" spans="1:67" s="54" customFormat="1" ht="15" customHeight="1">
      <c r="A45" s="55"/>
      <c r="B45" s="56"/>
      <c r="C45" s="23"/>
      <c r="D45" s="46"/>
      <c r="E45" s="46"/>
      <c r="F45" s="46"/>
      <c r="G45" s="46"/>
      <c r="H45" s="57"/>
      <c r="I45" s="48"/>
      <c r="J45" s="46"/>
      <c r="K45" s="46"/>
      <c r="L45" s="46"/>
      <c r="M45" s="46"/>
      <c r="N45" s="57"/>
      <c r="O45" s="57"/>
      <c r="P45" s="46"/>
      <c r="Q45" s="46"/>
      <c r="R45" s="46"/>
      <c r="S45" s="46"/>
      <c r="T45" s="57"/>
      <c r="U45" s="57"/>
      <c r="V45" s="46"/>
      <c r="W45" s="46"/>
      <c r="X45" s="46"/>
      <c r="Y45" s="46"/>
      <c r="Z45" s="57"/>
      <c r="AA45" s="57"/>
      <c r="AB45" s="46"/>
      <c r="AC45" s="46"/>
      <c r="AD45" s="46"/>
      <c r="AE45" s="46"/>
      <c r="AF45" s="57"/>
      <c r="AG45" s="49"/>
      <c r="AH45" s="46"/>
      <c r="AI45" s="46"/>
      <c r="AJ45" s="50"/>
      <c r="AK45" s="50"/>
      <c r="AL45" s="723">
        <v>0.08</v>
      </c>
      <c r="AM45" s="728"/>
      <c r="AN45" s="718"/>
      <c r="AO45" s="718"/>
      <c r="AP45" s="718"/>
      <c r="AQ45" s="718"/>
      <c r="AR45" s="723">
        <f>AL45-($AL$45-$AX$45)/4</f>
        <v>7.4999999999999997E-2</v>
      </c>
      <c r="AS45" s="728"/>
      <c r="AT45" s="723">
        <f>AR45-($AL$45-$AX$45)/4</f>
        <v>6.9999999999999993E-2</v>
      </c>
      <c r="AU45" s="728"/>
      <c r="AV45" s="723">
        <f>AT45-($AL$45-$AX$45)/4</f>
        <v>6.4999999999999988E-2</v>
      </c>
      <c r="AW45" s="728"/>
      <c r="AX45" s="723">
        <v>0.06</v>
      </c>
      <c r="BB45" s="605"/>
      <c r="BC45" s="605"/>
      <c r="BD45" s="605"/>
      <c r="BE45" s="605"/>
      <c r="BF45" s="605"/>
      <c r="BK45" s="682"/>
      <c r="BL45" s="682"/>
      <c r="BM45" s="682"/>
      <c r="BN45" s="682"/>
      <c r="BO45" s="682"/>
    </row>
    <row r="46" spans="1:67" s="54" customFormat="1" ht="15" customHeight="1">
      <c r="A46" s="55"/>
      <c r="B46" s="56" t="s">
        <v>217</v>
      </c>
      <c r="C46" s="23"/>
      <c r="D46" s="46"/>
      <c r="E46" s="46"/>
      <c r="F46" s="46"/>
      <c r="G46" s="46"/>
      <c r="H46" s="57"/>
      <c r="I46" s="48"/>
      <c r="J46" s="46"/>
      <c r="K46" s="46"/>
      <c r="L46" s="46"/>
      <c r="M46" s="46"/>
      <c r="N46" s="57"/>
      <c r="O46" s="57"/>
      <c r="P46" s="46"/>
      <c r="Q46" s="46"/>
      <c r="R46" s="46"/>
      <c r="S46" s="46"/>
      <c r="T46" s="57"/>
      <c r="U46" s="57"/>
      <c r="V46" s="46"/>
      <c r="W46" s="46"/>
      <c r="X46" s="46"/>
      <c r="Y46" s="46"/>
      <c r="Z46" s="54">
        <v>566.29999999999995</v>
      </c>
      <c r="AA46" s="57"/>
      <c r="AB46" s="46"/>
      <c r="AC46" s="46"/>
      <c r="AD46" s="46"/>
      <c r="AE46" s="46"/>
      <c r="AF46" s="57">
        <v>610.6</v>
      </c>
      <c r="AG46" s="49"/>
      <c r="AH46" s="46"/>
      <c r="AI46" s="46"/>
      <c r="AJ46" s="50"/>
      <c r="AK46" s="50"/>
      <c r="AL46" s="47">
        <f>AF46*(1+AL47)</f>
        <v>714.40199999999993</v>
      </c>
      <c r="AM46" s="51"/>
      <c r="AN46" s="50"/>
      <c r="AO46" s="50"/>
      <c r="AP46" s="50"/>
      <c r="AQ46" s="50"/>
      <c r="AR46" s="47">
        <f>AL46*(1+AR47)</f>
        <v>823.34830499999998</v>
      </c>
      <c r="AS46" s="51"/>
      <c r="AT46" s="47">
        <f>AR46*(1+AT47)</f>
        <v>934.50032617499994</v>
      </c>
      <c r="AU46" s="53"/>
      <c r="AV46" s="47">
        <f>AT46*(1+AV47)</f>
        <v>1044.3041145005623</v>
      </c>
      <c r="AW46" s="53"/>
      <c r="AX46" s="47">
        <f>AV46*(1+AX47)</f>
        <v>1148.7345259506185</v>
      </c>
      <c r="BK46" s="682"/>
      <c r="BL46" s="682"/>
      <c r="BM46" s="682"/>
      <c r="BN46" s="682"/>
      <c r="BO46" s="682"/>
    </row>
    <row r="47" spans="1:67" s="54" customFormat="1" ht="15" customHeight="1">
      <c r="A47" s="55"/>
      <c r="B47" s="56"/>
      <c r="C47" s="23"/>
      <c r="D47" s="46"/>
      <c r="E47" s="46"/>
      <c r="F47" s="46"/>
      <c r="G47" s="46"/>
      <c r="H47" s="57"/>
      <c r="I47" s="48"/>
      <c r="J47" s="46"/>
      <c r="K47" s="46"/>
      <c r="L47" s="46"/>
      <c r="M47" s="46"/>
      <c r="N47" s="57"/>
      <c r="O47" s="57"/>
      <c r="P47" s="46"/>
      <c r="Q47" s="46"/>
      <c r="R47" s="46"/>
      <c r="S47" s="46"/>
      <c r="T47" s="57"/>
      <c r="U47" s="57"/>
      <c r="V47" s="46"/>
      <c r="W47" s="46"/>
      <c r="X47" s="46"/>
      <c r="Y47" s="46"/>
      <c r="AA47" s="57"/>
      <c r="AB47" s="46"/>
      <c r="AC47" s="46"/>
      <c r="AD47" s="46"/>
      <c r="AE47" s="46"/>
      <c r="AF47" s="57"/>
      <c r="AG47" s="49"/>
      <c r="AH47" s="46"/>
      <c r="AI47" s="46"/>
      <c r="AJ47" s="50"/>
      <c r="AK47" s="50"/>
      <c r="AL47" s="723">
        <v>0.17</v>
      </c>
      <c r="AM47" s="728"/>
      <c r="AN47" s="718"/>
      <c r="AO47" s="718"/>
      <c r="AP47" s="718"/>
      <c r="AQ47" s="718"/>
      <c r="AR47" s="723">
        <f>AL47-($AL$47-$AX$47)/4</f>
        <v>0.15250000000000002</v>
      </c>
      <c r="AS47" s="728"/>
      <c r="AT47" s="723">
        <f>AR47-($AL$47-$AX$47)/4</f>
        <v>0.13500000000000001</v>
      </c>
      <c r="AU47" s="728"/>
      <c r="AV47" s="723">
        <f>AT47-($AL$47-$AX$47)/4</f>
        <v>0.11750000000000001</v>
      </c>
      <c r="AW47" s="728"/>
      <c r="AX47" s="723">
        <v>0.1</v>
      </c>
      <c r="BB47" s="605"/>
      <c r="BC47" s="605"/>
      <c r="BD47" s="605"/>
      <c r="BE47" s="605"/>
      <c r="BF47" s="605"/>
      <c r="BK47" s="682"/>
      <c r="BL47" s="682"/>
      <c r="BM47" s="682"/>
      <c r="BN47" s="682"/>
      <c r="BO47" s="682"/>
    </row>
    <row r="48" spans="1:67" s="54" customFormat="1" ht="15" customHeight="1">
      <c r="A48" s="55"/>
      <c r="B48" s="56" t="s">
        <v>218</v>
      </c>
      <c r="C48" s="23"/>
      <c r="D48" s="46"/>
      <c r="E48" s="46"/>
      <c r="F48" s="46"/>
      <c r="G48" s="46"/>
      <c r="H48" s="57"/>
      <c r="I48" s="48"/>
      <c r="J48" s="46"/>
      <c r="K48" s="46"/>
      <c r="L48" s="46"/>
      <c r="M48" s="46"/>
      <c r="N48" s="57"/>
      <c r="O48" s="57"/>
      <c r="P48" s="46"/>
      <c r="Q48" s="46"/>
      <c r="R48" s="46"/>
      <c r="S48" s="46"/>
      <c r="T48" s="57"/>
      <c r="U48" s="57"/>
      <c r="V48" s="46"/>
      <c r="W48" s="46"/>
      <c r="X48" s="46"/>
      <c r="Y48" s="46"/>
      <c r="Z48" s="57">
        <v>332.3</v>
      </c>
      <c r="AA48" s="57"/>
      <c r="AB48" s="46"/>
      <c r="AC48" s="46"/>
      <c r="AD48" s="46"/>
      <c r="AE48" s="46"/>
      <c r="AF48" s="57">
        <v>480</v>
      </c>
      <c r="AG48" s="49"/>
      <c r="AH48" s="46"/>
      <c r="AI48" s="46"/>
      <c r="AJ48" s="50"/>
      <c r="AK48" s="50"/>
      <c r="AL48" s="47">
        <f>AF48*(1+AL49)</f>
        <v>528</v>
      </c>
      <c r="AM48" s="51"/>
      <c r="AN48" s="50"/>
      <c r="AO48" s="50"/>
      <c r="AP48" s="50"/>
      <c r="AQ48" s="50"/>
      <c r="AR48" s="47">
        <f>AL48*(1+AR49)</f>
        <v>576.84</v>
      </c>
      <c r="AS48" s="51"/>
      <c r="AT48" s="47">
        <f>AR48*(1+AT49)</f>
        <v>625.87139999999999</v>
      </c>
      <c r="AU48" s="53"/>
      <c r="AV48" s="47">
        <f>AT48*(1+AV49)</f>
        <v>674.37643349999996</v>
      </c>
      <c r="AW48" s="53"/>
      <c r="AX48" s="47">
        <f>AV48*(1+AX49)</f>
        <v>721.58278384499999</v>
      </c>
      <c r="BK48" s="682"/>
      <c r="BL48" s="682"/>
      <c r="BM48" s="682"/>
      <c r="BN48" s="682"/>
      <c r="BO48" s="682"/>
    </row>
    <row r="49" spans="1:67" s="54" customFormat="1" ht="15" customHeight="1">
      <c r="A49" s="55"/>
      <c r="B49" s="56"/>
      <c r="C49" s="23"/>
      <c r="D49" s="46"/>
      <c r="E49" s="46"/>
      <c r="F49" s="46"/>
      <c r="G49" s="46"/>
      <c r="H49" s="57"/>
      <c r="I49" s="48"/>
      <c r="J49" s="46"/>
      <c r="K49" s="46"/>
      <c r="L49" s="46"/>
      <c r="M49" s="46"/>
      <c r="N49" s="57"/>
      <c r="O49" s="57"/>
      <c r="P49" s="46"/>
      <c r="Q49" s="46"/>
      <c r="R49" s="46"/>
      <c r="S49" s="46"/>
      <c r="T49" s="57"/>
      <c r="U49" s="57"/>
      <c r="V49" s="46"/>
      <c r="W49" s="46"/>
      <c r="X49" s="46"/>
      <c r="Y49" s="46"/>
      <c r="Z49" s="57"/>
      <c r="AA49" s="57"/>
      <c r="AB49" s="46"/>
      <c r="AC49" s="46"/>
      <c r="AD49" s="46"/>
      <c r="AE49" s="46"/>
      <c r="AF49" s="57"/>
      <c r="AG49" s="49"/>
      <c r="AH49" s="46"/>
      <c r="AI49" s="46"/>
      <c r="AJ49" s="50"/>
      <c r="AK49" s="50"/>
      <c r="AL49" s="723">
        <v>0.1</v>
      </c>
      <c r="AM49" s="728"/>
      <c r="AN49" s="718"/>
      <c r="AO49" s="718"/>
      <c r="AP49" s="718"/>
      <c r="AQ49" s="718"/>
      <c r="AR49" s="723">
        <f>AL49-($AL$49-$AX$49)/4</f>
        <v>9.2499999999999999E-2</v>
      </c>
      <c r="AS49" s="728"/>
      <c r="AT49" s="723">
        <f>AR49-($AL$49-$AX$49)/4</f>
        <v>8.4999999999999992E-2</v>
      </c>
      <c r="AU49" s="728"/>
      <c r="AV49" s="723">
        <f>AT49-($AL$49-$AX$49)/4</f>
        <v>7.7499999999999986E-2</v>
      </c>
      <c r="AW49" s="728"/>
      <c r="AX49" s="723">
        <v>7.0000000000000007E-2</v>
      </c>
      <c r="BB49" s="605"/>
      <c r="BC49" s="605"/>
      <c r="BD49" s="605"/>
      <c r="BE49" s="605"/>
      <c r="BF49" s="605"/>
      <c r="BK49" s="682"/>
      <c r="BL49" s="682"/>
      <c r="BM49" s="682"/>
      <c r="BN49" s="682"/>
      <c r="BO49" s="682"/>
    </row>
    <row r="50" spans="1:67" s="54" customFormat="1" ht="15" customHeight="1">
      <c r="A50" s="55"/>
      <c r="B50" s="56" t="s">
        <v>219</v>
      </c>
      <c r="C50" s="23"/>
      <c r="D50" s="46"/>
      <c r="E50" s="46"/>
      <c r="F50" s="46"/>
      <c r="G50" s="46"/>
      <c r="H50" s="57"/>
      <c r="I50" s="48"/>
      <c r="J50" s="46"/>
      <c r="K50" s="46"/>
      <c r="L50" s="46"/>
      <c r="M50" s="46"/>
      <c r="N50" s="57"/>
      <c r="O50" s="57"/>
      <c r="P50" s="46"/>
      <c r="Q50" s="46"/>
      <c r="R50" s="46"/>
      <c r="S50" s="46"/>
      <c r="T50" s="57"/>
      <c r="U50" s="57"/>
      <c r="V50" s="46"/>
      <c r="W50" s="46"/>
      <c r="X50" s="46"/>
      <c r="Y50" s="46"/>
      <c r="Z50" s="57"/>
      <c r="AA50" s="57"/>
      <c r="AB50" s="46"/>
      <c r="AC50" s="46"/>
      <c r="AD50" s="46"/>
      <c r="AE50" s="46"/>
      <c r="AG50" s="49"/>
      <c r="AH50" s="46"/>
      <c r="AI50" s="46"/>
      <c r="AJ50" s="50"/>
      <c r="AK50" s="50"/>
      <c r="AL50" s="47">
        <f>AF50*(1+AL51)</f>
        <v>0</v>
      </c>
      <c r="AM50" s="730"/>
      <c r="AN50" s="50"/>
      <c r="AO50" s="50"/>
      <c r="AP50" s="50"/>
      <c r="AQ50" s="50"/>
      <c r="AR50" s="47">
        <f>AL50*(1+AR51)</f>
        <v>0</v>
      </c>
      <c r="AS50" s="730"/>
      <c r="AT50" s="47">
        <f>AR50*(1+AT51)</f>
        <v>0</v>
      </c>
      <c r="AU50" s="731"/>
      <c r="AV50" s="47">
        <f>AT50*(1+AV51)</f>
        <v>0</v>
      </c>
      <c r="AW50" s="731"/>
      <c r="AX50" s="47">
        <f>AV50*(1+AX51)</f>
        <v>0</v>
      </c>
      <c r="BB50" s="605"/>
      <c r="BC50" s="605"/>
      <c r="BD50" s="605"/>
      <c r="BE50" s="605"/>
      <c r="BF50" s="605"/>
      <c r="BK50" s="682"/>
      <c r="BL50" s="682"/>
      <c r="BM50" s="682"/>
      <c r="BN50" s="682"/>
      <c r="BO50" s="682"/>
    </row>
    <row r="51" spans="1:67" s="54" customFormat="1" ht="15" customHeight="1">
      <c r="A51" s="55"/>
      <c r="B51" s="56"/>
      <c r="C51" s="23"/>
      <c r="D51" s="46"/>
      <c r="E51" s="46"/>
      <c r="F51" s="46"/>
      <c r="G51" s="46"/>
      <c r="H51" s="57"/>
      <c r="I51" s="48"/>
      <c r="J51" s="46"/>
      <c r="K51" s="46"/>
      <c r="L51" s="46"/>
      <c r="M51" s="46"/>
      <c r="N51" s="57"/>
      <c r="O51" s="57"/>
      <c r="P51" s="46"/>
      <c r="Q51" s="46"/>
      <c r="R51" s="46"/>
      <c r="S51" s="46"/>
      <c r="T51" s="57"/>
      <c r="U51" s="57"/>
      <c r="V51" s="46"/>
      <c r="W51" s="46"/>
      <c r="X51" s="46"/>
      <c r="Y51" s="46"/>
      <c r="Z51" s="57"/>
      <c r="AA51" s="57"/>
      <c r="AB51" s="46"/>
      <c r="AC51" s="46"/>
      <c r="AD51" s="46"/>
      <c r="AE51" s="46"/>
      <c r="AG51" s="49"/>
      <c r="AH51" s="46"/>
      <c r="AI51" s="46"/>
      <c r="AJ51" s="50"/>
      <c r="AK51" s="50"/>
      <c r="AL51" s="723">
        <v>0</v>
      </c>
      <c r="AM51" s="728">
        <v>0</v>
      </c>
      <c r="AN51" s="718">
        <v>0</v>
      </c>
      <c r="AO51" s="718">
        <v>0</v>
      </c>
      <c r="AP51" s="718">
        <v>0</v>
      </c>
      <c r="AQ51" s="718">
        <v>0</v>
      </c>
      <c r="AR51" s="723">
        <v>0</v>
      </c>
      <c r="AS51" s="728">
        <v>0</v>
      </c>
      <c r="AT51" s="723">
        <v>0</v>
      </c>
      <c r="AU51" s="728">
        <v>0</v>
      </c>
      <c r="AV51" s="723">
        <v>0</v>
      </c>
      <c r="AW51" s="728">
        <v>0</v>
      </c>
      <c r="AX51" s="723">
        <v>0</v>
      </c>
      <c r="BB51" s="605"/>
      <c r="BC51" s="605"/>
      <c r="BD51" s="605"/>
      <c r="BE51" s="605"/>
      <c r="BF51" s="605"/>
      <c r="BK51" s="682"/>
      <c r="BL51" s="682"/>
      <c r="BM51" s="682"/>
      <c r="BN51" s="682"/>
      <c r="BO51" s="682"/>
    </row>
    <row r="52" spans="1:67" s="54" customFormat="1" ht="15" customHeight="1">
      <c r="A52" s="55"/>
      <c r="B52" s="56" t="s">
        <v>220</v>
      </c>
      <c r="C52" s="23"/>
      <c r="D52" s="46"/>
      <c r="E52" s="46"/>
      <c r="F52" s="46"/>
      <c r="G52" s="46"/>
      <c r="H52" s="57"/>
      <c r="I52" s="48"/>
      <c r="J52" s="46"/>
      <c r="K52" s="46"/>
      <c r="L52" s="46"/>
      <c r="M52" s="46"/>
      <c r="N52" s="57"/>
      <c r="O52" s="57"/>
      <c r="P52" s="46"/>
      <c r="Q52" s="46"/>
      <c r="R52" s="46"/>
      <c r="S52" s="46"/>
      <c r="T52" s="57"/>
      <c r="U52" s="57"/>
      <c r="V52" s="46"/>
      <c r="W52" s="46"/>
      <c r="X52" s="46"/>
      <c r="Y52" s="46"/>
      <c r="Z52" s="57">
        <v>19.8</v>
      </c>
      <c r="AA52" s="57"/>
      <c r="AB52" s="46"/>
      <c r="AC52" s="46"/>
      <c r="AD52" s="46"/>
      <c r="AE52" s="46"/>
      <c r="AF52" s="57">
        <v>23.5</v>
      </c>
      <c r="AG52" s="49"/>
      <c r="AH52" s="46"/>
      <c r="AI52" s="46"/>
      <c r="AJ52" s="50"/>
      <c r="AK52" s="50"/>
      <c r="AL52" s="729">
        <f>AF52*(1+AL53)</f>
        <v>23.97</v>
      </c>
      <c r="AM52" s="730"/>
      <c r="AN52" s="50"/>
      <c r="AO52" s="50"/>
      <c r="AP52" s="50"/>
      <c r="AQ52" s="50"/>
      <c r="AR52" s="729">
        <f>AL52*(1+AR53)</f>
        <v>24.449400000000001</v>
      </c>
      <c r="AS52" s="730"/>
      <c r="AT52" s="729">
        <f>AR52*(1+AT53)</f>
        <v>24.938388</v>
      </c>
      <c r="AU52" s="731"/>
      <c r="AV52" s="729">
        <f>AT52*(1+AV53)</f>
        <v>25.43715576</v>
      </c>
      <c r="AW52" s="731"/>
      <c r="AX52" s="729">
        <f>AV52*(1+AX53)</f>
        <v>25.945898875200001</v>
      </c>
      <c r="BK52" s="682"/>
      <c r="BL52" s="682"/>
      <c r="BM52" s="682"/>
      <c r="BN52" s="682"/>
      <c r="BO52" s="682"/>
    </row>
    <row r="53" spans="1:67" s="54" customFormat="1" ht="15" customHeight="1">
      <c r="A53" s="55"/>
      <c r="B53" s="56"/>
      <c r="C53" s="23"/>
      <c r="D53" s="46"/>
      <c r="E53" s="46"/>
      <c r="F53" s="46"/>
      <c r="G53" s="46"/>
      <c r="H53" s="57"/>
      <c r="I53" s="48"/>
      <c r="J53" s="46"/>
      <c r="K53" s="46"/>
      <c r="L53" s="46"/>
      <c r="M53" s="46"/>
      <c r="N53" s="57"/>
      <c r="O53" s="57"/>
      <c r="P53" s="46"/>
      <c r="Q53" s="46"/>
      <c r="R53" s="46"/>
      <c r="S53" s="46"/>
      <c r="T53" s="57"/>
      <c r="U53" s="57"/>
      <c r="V53" s="46"/>
      <c r="W53" s="46"/>
      <c r="X53" s="46"/>
      <c r="Y53" s="46"/>
      <c r="Z53" s="57"/>
      <c r="AA53" s="57"/>
      <c r="AB53" s="46"/>
      <c r="AC53" s="46"/>
      <c r="AD53" s="46"/>
      <c r="AE53" s="46"/>
      <c r="AF53" s="57"/>
      <c r="AG53" s="49"/>
      <c r="AH53" s="46"/>
      <c r="AI53" s="46"/>
      <c r="AJ53" s="50"/>
      <c r="AK53" s="50"/>
      <c r="AL53" s="723">
        <v>0.02</v>
      </c>
      <c r="AM53" s="728"/>
      <c r="AN53" s="718"/>
      <c r="AO53" s="718"/>
      <c r="AP53" s="718"/>
      <c r="AQ53" s="718"/>
      <c r="AR53" s="723">
        <v>0.02</v>
      </c>
      <c r="AS53" s="728"/>
      <c r="AT53" s="723">
        <v>0.02</v>
      </c>
      <c r="AU53" s="728"/>
      <c r="AV53" s="723">
        <v>0.02</v>
      </c>
      <c r="AW53" s="728"/>
      <c r="AX53" s="723">
        <v>0.02</v>
      </c>
      <c r="BK53" s="682"/>
      <c r="BL53" s="682"/>
      <c r="BM53" s="682"/>
      <c r="BN53" s="682"/>
      <c r="BO53" s="682"/>
    </row>
    <row r="54" spans="1:67" s="54" customFormat="1" ht="15" customHeight="1">
      <c r="A54" s="55"/>
      <c r="B54" s="56"/>
      <c r="C54" s="23"/>
      <c r="D54" s="46"/>
      <c r="E54" s="46"/>
      <c r="F54" s="46"/>
      <c r="G54" s="46"/>
      <c r="H54" s="57"/>
      <c r="I54" s="48"/>
      <c r="J54" s="46"/>
      <c r="K54" s="46"/>
      <c r="L54" s="46"/>
      <c r="M54" s="46"/>
      <c r="N54" s="57"/>
      <c r="O54" s="57"/>
      <c r="P54" s="46"/>
      <c r="Q54" s="46"/>
      <c r="R54" s="46"/>
      <c r="S54" s="46"/>
      <c r="T54" s="57"/>
      <c r="U54" s="57"/>
      <c r="V54" s="46"/>
      <c r="W54" s="46"/>
      <c r="X54" s="46"/>
      <c r="Y54" s="46"/>
      <c r="Z54" s="57"/>
      <c r="AA54" s="57"/>
      <c r="AB54" s="46"/>
      <c r="AC54" s="46"/>
      <c r="AD54" s="46"/>
      <c r="AE54" s="46"/>
      <c r="AF54" s="57"/>
      <c r="AG54" s="49"/>
      <c r="AH54" s="46"/>
      <c r="AI54" s="46"/>
      <c r="AJ54" s="50"/>
      <c r="AK54" s="50"/>
      <c r="BK54" s="682"/>
      <c r="BL54" s="682"/>
      <c r="BM54" s="682"/>
      <c r="BN54" s="682"/>
      <c r="BO54" s="682"/>
    </row>
    <row r="55" spans="1:67" s="54" customFormat="1" ht="15" customHeight="1">
      <c r="A55" s="55"/>
      <c r="B55" s="64" t="s">
        <v>223</v>
      </c>
      <c r="C55" s="23"/>
      <c r="D55" s="46"/>
      <c r="E55" s="46"/>
      <c r="F55" s="46"/>
      <c r="G55" s="46"/>
      <c r="H55" s="684">
        <f>90.3+36.4</f>
        <v>126.69999999999999</v>
      </c>
      <c r="I55" s="438"/>
      <c r="J55" s="343"/>
      <c r="K55" s="343"/>
      <c r="L55" s="343"/>
      <c r="M55" s="343"/>
      <c r="N55" s="684">
        <f>73.9+770.6</f>
        <v>844.5</v>
      </c>
      <c r="O55" s="684"/>
      <c r="P55" s="343"/>
      <c r="Q55" s="343"/>
      <c r="R55" s="343"/>
      <c r="S55" s="343"/>
      <c r="T55" s="684">
        <f>1200+104.6</f>
        <v>1304.5999999999999</v>
      </c>
      <c r="U55" s="684"/>
      <c r="V55" s="343"/>
      <c r="W55" s="343"/>
      <c r="X55" s="343"/>
      <c r="Y55" s="343"/>
      <c r="Z55" s="684">
        <f>SUM(Z56:Z66)</f>
        <v>1516.2</v>
      </c>
      <c r="AA55" s="684"/>
      <c r="AB55" s="343"/>
      <c r="AC55" s="343"/>
      <c r="AD55" s="343"/>
      <c r="AE55" s="343"/>
      <c r="AF55" s="684">
        <f>SUM(AF56:AF66)</f>
        <v>1794.8999999999999</v>
      </c>
      <c r="AG55" s="685"/>
      <c r="AH55" s="343"/>
      <c r="AI55" s="343"/>
      <c r="AJ55" s="686"/>
      <c r="AK55" s="686"/>
      <c r="AL55" s="684">
        <f>AL56+AL58+AL60+AL62+AL64+AL66</f>
        <v>1990.6959999999999</v>
      </c>
      <c r="AM55" s="687"/>
      <c r="AN55" s="686"/>
      <c r="AO55" s="686"/>
      <c r="AP55" s="686"/>
      <c r="AQ55" s="686"/>
      <c r="AR55" s="684">
        <f>AR56+AR58+AR60+AR62+AR64+AR66</f>
        <v>2142.15382</v>
      </c>
      <c r="AS55" s="687"/>
      <c r="AT55" s="684">
        <f>AT56+AT58+AT60+AT62+AT64+AT66</f>
        <v>2290.7106378999997</v>
      </c>
      <c r="AU55" s="688"/>
      <c r="AV55" s="684">
        <f>AV56+AV58+AV60+AV62+AV64+AV66</f>
        <v>2432.3082096017497</v>
      </c>
      <c r="AW55" s="688"/>
      <c r="AX55" s="684">
        <f>AX56+AX58+AX60+AX62+AX64+AX66</f>
        <v>2562.8376572570724</v>
      </c>
      <c r="BK55" s="682"/>
      <c r="BL55" s="682"/>
      <c r="BM55" s="682"/>
      <c r="BN55" s="682"/>
      <c r="BO55" s="682"/>
    </row>
    <row r="56" spans="1:67" s="54" customFormat="1" ht="15" customHeight="1">
      <c r="A56" s="55"/>
      <c r="B56" s="56" t="s">
        <v>214</v>
      </c>
      <c r="C56" s="23"/>
      <c r="D56" s="46"/>
      <c r="E56" s="46"/>
      <c r="F56" s="46"/>
      <c r="G56" s="46"/>
      <c r="H56" s="57"/>
      <c r="I56" s="48"/>
      <c r="J56" s="46"/>
      <c r="K56" s="46"/>
      <c r="L56" s="46"/>
      <c r="M56" s="46"/>
      <c r="N56" s="57"/>
      <c r="O56" s="57"/>
      <c r="P56" s="46"/>
      <c r="Q56" s="46"/>
      <c r="R56" s="46"/>
      <c r="S56" s="46"/>
      <c r="T56" s="57"/>
      <c r="U56" s="57"/>
      <c r="V56" s="46"/>
      <c r="W56" s="46"/>
      <c r="X56" s="46"/>
      <c r="Y56" s="46"/>
      <c r="Z56" s="57">
        <v>116.2</v>
      </c>
      <c r="AA56" s="57"/>
      <c r="AB56" s="46"/>
      <c r="AC56" s="46"/>
      <c r="AD56" s="46"/>
      <c r="AE56" s="46"/>
      <c r="AF56" s="57">
        <v>154.69999999999999</v>
      </c>
      <c r="AG56" s="49"/>
      <c r="AH56" s="46"/>
      <c r="AI56" s="46"/>
      <c r="AJ56" s="50"/>
      <c r="AK56" s="50"/>
      <c r="AL56" s="47">
        <f>AF56*(1+AL57)</f>
        <v>185.64</v>
      </c>
      <c r="AM56" s="51"/>
      <c r="AN56" s="50"/>
      <c r="AO56" s="50"/>
      <c r="AP56" s="50"/>
      <c r="AQ56" s="50"/>
      <c r="AR56" s="47">
        <f>AL56*(1+AR57)</f>
        <v>216.73469999999998</v>
      </c>
      <c r="AS56" s="51"/>
      <c r="AT56" s="47">
        <f>AR56*(1+AT57)</f>
        <v>245.99388449999998</v>
      </c>
      <c r="AU56" s="53"/>
      <c r="AV56" s="47">
        <f>AT56*(1+AV57)</f>
        <v>271.20825766125</v>
      </c>
      <c r="AW56" s="53"/>
      <c r="AX56" s="47">
        <f>AV56*(1+AX57)</f>
        <v>290.19283569753753</v>
      </c>
      <c r="BK56" s="682"/>
      <c r="BL56" s="682"/>
      <c r="BM56" s="682"/>
      <c r="BN56" s="682"/>
      <c r="BO56" s="682"/>
    </row>
    <row r="57" spans="1:67" s="54" customFormat="1" ht="15" customHeight="1">
      <c r="A57" s="55"/>
      <c r="B57" s="56"/>
      <c r="C57" s="23"/>
      <c r="D57" s="46"/>
      <c r="E57" s="46"/>
      <c r="F57" s="46"/>
      <c r="G57" s="46"/>
      <c r="H57" s="57"/>
      <c r="I57" s="48"/>
      <c r="J57" s="46"/>
      <c r="K57" s="46"/>
      <c r="L57" s="46"/>
      <c r="M57" s="46"/>
      <c r="N57" s="57"/>
      <c r="O57" s="57"/>
      <c r="P57" s="46"/>
      <c r="Q57" s="46"/>
      <c r="R57" s="46"/>
      <c r="S57" s="46"/>
      <c r="T57" s="57"/>
      <c r="U57" s="57"/>
      <c r="V57" s="46"/>
      <c r="W57" s="46"/>
      <c r="X57" s="46"/>
      <c r="Y57" s="46"/>
      <c r="Z57" s="57"/>
      <c r="AA57" s="57"/>
      <c r="AB57" s="46"/>
      <c r="AC57" s="46"/>
      <c r="AD57" s="46"/>
      <c r="AE57" s="46"/>
      <c r="AF57" s="57"/>
      <c r="AG57" s="49"/>
      <c r="AH57" s="46"/>
      <c r="AI57" s="46"/>
      <c r="AJ57" s="50"/>
      <c r="AK57" s="50"/>
      <c r="AL57" s="723">
        <v>0.2</v>
      </c>
      <c r="AM57" s="728"/>
      <c r="AN57" s="718"/>
      <c r="AO57" s="718"/>
      <c r="AP57" s="718"/>
      <c r="AQ57" s="718"/>
      <c r="AR57" s="723">
        <f>AL57-($AL$57-$AX$57)/4</f>
        <v>0.16750000000000001</v>
      </c>
      <c r="AS57" s="728"/>
      <c r="AT57" s="723">
        <f>AR57-($AL$57-$AX$57)/4</f>
        <v>0.13500000000000001</v>
      </c>
      <c r="AU57" s="728"/>
      <c r="AV57" s="723">
        <f>AT57-($AL$57-$AX$57)/4</f>
        <v>0.10250000000000001</v>
      </c>
      <c r="AW57" s="728"/>
      <c r="AX57" s="723">
        <v>7.0000000000000007E-2</v>
      </c>
      <c r="BB57" s="605"/>
      <c r="BC57" s="605"/>
      <c r="BD57" s="605"/>
      <c r="BE57" s="605"/>
      <c r="BF57" s="605"/>
      <c r="BK57" s="682"/>
      <c r="BL57" s="682"/>
      <c r="BM57" s="682"/>
      <c r="BN57" s="682"/>
      <c r="BO57" s="682"/>
    </row>
    <row r="58" spans="1:67" s="54" customFormat="1" ht="15" customHeight="1">
      <c r="A58" s="55"/>
      <c r="B58" s="56" t="s">
        <v>216</v>
      </c>
      <c r="C58" s="23"/>
      <c r="D58" s="46"/>
      <c r="E58" s="46"/>
      <c r="F58" s="46"/>
      <c r="G58" s="46"/>
      <c r="H58" s="57"/>
      <c r="I58" s="48"/>
      <c r="J58" s="46"/>
      <c r="K58" s="46"/>
      <c r="L58" s="46"/>
      <c r="M58" s="46"/>
      <c r="N58" s="57"/>
      <c r="O58" s="57"/>
      <c r="P58" s="46"/>
      <c r="Q58" s="46"/>
      <c r="R58" s="46"/>
      <c r="S58" s="46"/>
      <c r="T58" s="57"/>
      <c r="U58" s="57"/>
      <c r="V58" s="46"/>
      <c r="W58" s="46"/>
      <c r="X58" s="46"/>
      <c r="Y58" s="46"/>
      <c r="Z58" s="57">
        <v>276.39999999999998</v>
      </c>
      <c r="AA58" s="57"/>
      <c r="AB58" s="46"/>
      <c r="AC58" s="46"/>
      <c r="AD58" s="46"/>
      <c r="AE58" s="46"/>
      <c r="AF58" s="57">
        <v>289.5</v>
      </c>
      <c r="AG58" s="49"/>
      <c r="AH58" s="46"/>
      <c r="AI58" s="46"/>
      <c r="AJ58" s="50"/>
      <c r="AK58" s="50"/>
      <c r="AL58" s="47">
        <f>AF58*(1+AL59)</f>
        <v>364.77</v>
      </c>
      <c r="AM58" s="51"/>
      <c r="AN58" s="50"/>
      <c r="AO58" s="50"/>
      <c r="AP58" s="50"/>
      <c r="AQ58" s="50"/>
      <c r="AR58" s="47">
        <f>AL58*(1+AR59)</f>
        <v>393.95159999999998</v>
      </c>
      <c r="AS58" s="51"/>
      <c r="AT58" s="47">
        <f>AR58*(1+AT59)</f>
        <v>421.528212</v>
      </c>
      <c r="AU58" s="53"/>
      <c r="AV58" s="47">
        <f>AT58*(1+AV59)</f>
        <v>446.81990472000001</v>
      </c>
      <c r="AW58" s="53"/>
      <c r="AX58" s="47">
        <f>AV58*(1+AX59)</f>
        <v>469.16089995600004</v>
      </c>
      <c r="BK58" s="682"/>
      <c r="BL58" s="682"/>
      <c r="BM58" s="682"/>
      <c r="BN58" s="682"/>
      <c r="BO58" s="682"/>
    </row>
    <row r="59" spans="1:67" s="54" customFormat="1" ht="15" customHeight="1">
      <c r="A59" s="55"/>
      <c r="B59" s="56"/>
      <c r="C59" s="23"/>
      <c r="D59" s="46"/>
      <c r="E59" s="46"/>
      <c r="F59" s="46"/>
      <c r="G59" s="46"/>
      <c r="H59" s="57"/>
      <c r="I59" s="48"/>
      <c r="J59" s="46"/>
      <c r="K59" s="46"/>
      <c r="L59" s="46"/>
      <c r="M59" s="46"/>
      <c r="N59" s="57"/>
      <c r="O59" s="57"/>
      <c r="P59" s="46"/>
      <c r="Q59" s="46"/>
      <c r="R59" s="46"/>
      <c r="S59" s="46"/>
      <c r="T59" s="57"/>
      <c r="U59" s="57"/>
      <c r="V59" s="46"/>
      <c r="W59" s="46"/>
      <c r="X59" s="46"/>
      <c r="Y59" s="46"/>
      <c r="Z59" s="57"/>
      <c r="AA59" s="57"/>
      <c r="AB59" s="46"/>
      <c r="AC59" s="46"/>
      <c r="AD59" s="46"/>
      <c r="AE59" s="46"/>
      <c r="AF59" s="57"/>
      <c r="AG59" s="49"/>
      <c r="AH59" s="46"/>
      <c r="AI59" s="46"/>
      <c r="AJ59" s="50"/>
      <c r="AK59" s="50"/>
      <c r="AL59" s="723">
        <v>0.26</v>
      </c>
      <c r="AM59" s="728"/>
      <c r="AN59" s="718"/>
      <c r="AO59" s="718"/>
      <c r="AP59" s="718"/>
      <c r="AQ59" s="718"/>
      <c r="AR59" s="723">
        <v>0.08</v>
      </c>
      <c r="AS59" s="728"/>
      <c r="AT59" s="723">
        <f>AR59-($AR$59-$AX$59)/3</f>
        <v>7.0000000000000007E-2</v>
      </c>
      <c r="AU59" s="728"/>
      <c r="AV59" s="723">
        <f>AT59-($AR$59-$AX$59)/3</f>
        <v>6.0000000000000005E-2</v>
      </c>
      <c r="AW59" s="728"/>
      <c r="AX59" s="723">
        <v>0.05</v>
      </c>
      <c r="BB59" s="605"/>
      <c r="BC59" s="605"/>
      <c r="BD59" s="605"/>
      <c r="BE59" s="605"/>
      <c r="BF59" s="605"/>
      <c r="BK59" s="682"/>
      <c r="BL59" s="682"/>
      <c r="BM59" s="682"/>
      <c r="BN59" s="682"/>
      <c r="BO59" s="682"/>
    </row>
    <row r="60" spans="1:67" s="54" customFormat="1" ht="15" customHeight="1">
      <c r="A60" s="55"/>
      <c r="B60" s="56" t="s">
        <v>217</v>
      </c>
      <c r="C60" s="23"/>
      <c r="D60" s="46"/>
      <c r="E60" s="46"/>
      <c r="F60" s="46"/>
      <c r="G60" s="46"/>
      <c r="H60" s="57"/>
      <c r="I60" s="48"/>
      <c r="J60" s="46"/>
      <c r="K60" s="46"/>
      <c r="L60" s="46"/>
      <c r="M60" s="46"/>
      <c r="N60" s="57"/>
      <c r="O60" s="57"/>
      <c r="P60" s="46"/>
      <c r="Q60" s="46"/>
      <c r="R60" s="46"/>
      <c r="S60" s="46"/>
      <c r="T60" s="57"/>
      <c r="U60" s="57"/>
      <c r="V60" s="46"/>
      <c r="W60" s="46"/>
      <c r="X60" s="46"/>
      <c r="Y60" s="46"/>
      <c r="Z60" s="57">
        <v>643.4</v>
      </c>
      <c r="AA60" s="57"/>
      <c r="AB60" s="46"/>
      <c r="AC60" s="46"/>
      <c r="AD60" s="46"/>
      <c r="AE60" s="46"/>
      <c r="AF60" s="57">
        <v>784.8</v>
      </c>
      <c r="AG60" s="49"/>
      <c r="AH60" s="46"/>
      <c r="AI60" s="46"/>
      <c r="AJ60" s="50"/>
      <c r="AK60" s="50"/>
      <c r="AL60" s="729">
        <f>AF60*(1+AL61)</f>
        <v>863.28</v>
      </c>
      <c r="AM60" s="730"/>
      <c r="AN60" s="50"/>
      <c r="AO60" s="50"/>
      <c r="AP60" s="50"/>
      <c r="AQ60" s="50"/>
      <c r="AR60" s="729">
        <f>AL60*(1+AR61)</f>
        <v>943.13339999999994</v>
      </c>
      <c r="AS60" s="730"/>
      <c r="AT60" s="729">
        <f>AR60*(1+AT61)</f>
        <v>1023.2997389999999</v>
      </c>
      <c r="AU60" s="731"/>
      <c r="AV60" s="729">
        <f>AT60*(1+AV61)</f>
        <v>1102.6054687724998</v>
      </c>
      <c r="AW60" s="731"/>
      <c r="AX60" s="729">
        <f>AV60*(1+AX61)</f>
        <v>1179.7878515865748</v>
      </c>
      <c r="BK60" s="682"/>
      <c r="BL60" s="682"/>
      <c r="BM60" s="682"/>
      <c r="BN60" s="682"/>
      <c r="BO60" s="682"/>
    </row>
    <row r="61" spans="1:67" s="54" customFormat="1" ht="15" customHeight="1">
      <c r="A61" s="55"/>
      <c r="B61" s="56"/>
      <c r="C61" s="23"/>
      <c r="D61" s="46"/>
      <c r="E61" s="46"/>
      <c r="F61" s="46"/>
      <c r="G61" s="46"/>
      <c r="H61" s="57"/>
      <c r="I61" s="48"/>
      <c r="J61" s="46"/>
      <c r="K61" s="46"/>
      <c r="L61" s="46"/>
      <c r="M61" s="46"/>
      <c r="N61" s="57"/>
      <c r="O61" s="57"/>
      <c r="P61" s="46"/>
      <c r="Q61" s="46"/>
      <c r="R61" s="46"/>
      <c r="S61" s="46"/>
      <c r="T61" s="57"/>
      <c r="U61" s="57"/>
      <c r="V61" s="46"/>
      <c r="W61" s="46"/>
      <c r="X61" s="46"/>
      <c r="Y61" s="46"/>
      <c r="Z61" s="57"/>
      <c r="AA61" s="57"/>
      <c r="AB61" s="46"/>
      <c r="AC61" s="46"/>
      <c r="AD61" s="46"/>
      <c r="AE61" s="46"/>
      <c r="AF61" s="57"/>
      <c r="AG61" s="49"/>
      <c r="AH61" s="46"/>
      <c r="AI61" s="46"/>
      <c r="AJ61" s="50"/>
      <c r="AK61" s="50"/>
      <c r="AL61" s="723">
        <v>0.1</v>
      </c>
      <c r="AM61" s="728"/>
      <c r="AN61" s="718"/>
      <c r="AO61" s="718"/>
      <c r="AP61" s="718"/>
      <c r="AQ61" s="718"/>
      <c r="AR61" s="723">
        <f>AL61-($AL$61-$AX$61)/4</f>
        <v>9.2499999999999999E-2</v>
      </c>
      <c r="AS61" s="728"/>
      <c r="AT61" s="723">
        <f>AR61-($AL$61-$AX$61)/4</f>
        <v>8.4999999999999992E-2</v>
      </c>
      <c r="AU61" s="728"/>
      <c r="AV61" s="723">
        <f>AT61-($AL$61-$AX$61)/4</f>
        <v>7.7499999999999986E-2</v>
      </c>
      <c r="AW61" s="728"/>
      <c r="AX61" s="723">
        <v>7.0000000000000007E-2</v>
      </c>
      <c r="BB61" s="605"/>
      <c r="BC61" s="605"/>
      <c r="BD61" s="605"/>
      <c r="BE61" s="605"/>
      <c r="BF61" s="605"/>
      <c r="BK61" s="682"/>
      <c r="BL61" s="682"/>
      <c r="BM61" s="682"/>
      <c r="BN61" s="682"/>
      <c r="BO61" s="682"/>
    </row>
    <row r="62" spans="1:67" s="54" customFormat="1" ht="15" customHeight="1">
      <c r="A62" s="55"/>
      <c r="B62" s="56" t="s">
        <v>218</v>
      </c>
      <c r="C62" s="23"/>
      <c r="D62" s="46"/>
      <c r="E62" s="46"/>
      <c r="F62" s="46"/>
      <c r="G62" s="46"/>
      <c r="H62" s="57"/>
      <c r="I62" s="48"/>
      <c r="J62" s="46"/>
      <c r="K62" s="46"/>
      <c r="L62" s="46"/>
      <c r="M62" s="46"/>
      <c r="N62" s="57"/>
      <c r="O62" s="57"/>
      <c r="P62" s="46"/>
      <c r="Q62" s="46"/>
      <c r="R62" s="46"/>
      <c r="S62" s="46"/>
      <c r="T62" s="57"/>
      <c r="U62" s="57"/>
      <c r="V62" s="46"/>
      <c r="W62" s="46"/>
      <c r="X62" s="46"/>
      <c r="Y62" s="46"/>
      <c r="Z62" s="57">
        <v>478.9</v>
      </c>
      <c r="AA62" s="57"/>
      <c r="AB62" s="46"/>
      <c r="AC62" s="46"/>
      <c r="AD62" s="46"/>
      <c r="AE62" s="46"/>
      <c r="AF62" s="57">
        <v>555.29999999999995</v>
      </c>
      <c r="AG62" s="49"/>
      <c r="AH62" s="46"/>
      <c r="AI62" s="46"/>
      <c r="AJ62" s="50"/>
      <c r="AK62" s="50"/>
      <c r="AL62" s="47">
        <f>AF62*(1+AL63)</f>
        <v>566.40599999999995</v>
      </c>
      <c r="AM62" s="51"/>
      <c r="AN62" s="50"/>
      <c r="AO62" s="50"/>
      <c r="AP62" s="50"/>
      <c r="AQ62" s="50"/>
      <c r="AR62" s="47">
        <f>AL62*(1+AR63)</f>
        <v>577.73411999999996</v>
      </c>
      <c r="AS62" s="51"/>
      <c r="AT62" s="47">
        <f>AR62*(1+AT63)</f>
        <v>589.28880240000001</v>
      </c>
      <c r="AU62" s="53"/>
      <c r="AV62" s="47">
        <f>AT62*(1+AV63)</f>
        <v>601.07457844800001</v>
      </c>
      <c r="AW62" s="53"/>
      <c r="AX62" s="47">
        <f>AV62*(1+AX63)</f>
        <v>613.09607001695997</v>
      </c>
      <c r="BK62" s="682"/>
      <c r="BL62" s="682"/>
      <c r="BM62" s="682"/>
      <c r="BN62" s="682"/>
      <c r="BO62" s="682"/>
    </row>
    <row r="63" spans="1:67" s="54" customFormat="1" ht="15" customHeight="1">
      <c r="A63" s="55"/>
      <c r="B63" s="56"/>
      <c r="C63" s="23"/>
      <c r="D63" s="46"/>
      <c r="E63" s="46"/>
      <c r="F63" s="46"/>
      <c r="G63" s="46"/>
      <c r="H63" s="57"/>
      <c r="I63" s="48"/>
      <c r="J63" s="46"/>
      <c r="K63" s="46"/>
      <c r="L63" s="46"/>
      <c r="M63" s="46"/>
      <c r="N63" s="57"/>
      <c r="O63" s="57"/>
      <c r="P63" s="46"/>
      <c r="Q63" s="46"/>
      <c r="R63" s="46"/>
      <c r="S63" s="46"/>
      <c r="T63" s="57"/>
      <c r="U63" s="57"/>
      <c r="V63" s="46"/>
      <c r="W63" s="46"/>
      <c r="X63" s="46"/>
      <c r="Y63" s="46"/>
      <c r="Z63" s="57"/>
      <c r="AA63" s="57"/>
      <c r="AB63" s="46"/>
      <c r="AC63" s="46"/>
      <c r="AD63" s="46"/>
      <c r="AE63" s="46"/>
      <c r="AF63" s="57"/>
      <c r="AG63" s="49"/>
      <c r="AH63" s="46"/>
      <c r="AI63" s="46"/>
      <c r="AJ63" s="50"/>
      <c r="AK63" s="50"/>
      <c r="AL63" s="723">
        <v>0.02</v>
      </c>
      <c r="AM63" s="728"/>
      <c r="AN63" s="718"/>
      <c r="AO63" s="718"/>
      <c r="AP63" s="718"/>
      <c r="AQ63" s="718"/>
      <c r="AR63" s="723">
        <v>0.02</v>
      </c>
      <c r="AS63" s="728"/>
      <c r="AT63" s="723">
        <v>0.02</v>
      </c>
      <c r="AU63" s="728"/>
      <c r="AV63" s="723">
        <v>0.02</v>
      </c>
      <c r="AW63" s="728"/>
      <c r="AX63" s="723">
        <v>0.02</v>
      </c>
      <c r="BB63" s="605"/>
      <c r="BC63" s="605"/>
      <c r="BD63" s="605"/>
      <c r="BE63" s="605"/>
      <c r="BF63" s="605"/>
      <c r="BK63" s="682"/>
      <c r="BL63" s="682"/>
      <c r="BM63" s="682"/>
      <c r="BN63" s="682"/>
      <c r="BO63" s="682"/>
    </row>
    <row r="64" spans="1:67" s="54" customFormat="1" ht="15" customHeight="1">
      <c r="A64" s="55"/>
      <c r="B64" s="56" t="s">
        <v>219</v>
      </c>
      <c r="C64" s="23"/>
      <c r="D64" s="46"/>
      <c r="E64" s="46"/>
      <c r="F64" s="46"/>
      <c r="G64" s="46"/>
      <c r="H64" s="57"/>
      <c r="I64" s="48"/>
      <c r="J64" s="46"/>
      <c r="K64" s="46"/>
      <c r="L64" s="46"/>
      <c r="M64" s="46"/>
      <c r="N64" s="57"/>
      <c r="O64" s="57"/>
      <c r="P64" s="46"/>
      <c r="Q64" s="46"/>
      <c r="R64" s="46"/>
      <c r="S64" s="46"/>
      <c r="T64" s="57"/>
      <c r="U64" s="57"/>
      <c r="V64" s="46"/>
      <c r="W64" s="46"/>
      <c r="X64" s="46"/>
      <c r="Y64" s="46"/>
      <c r="Z64" s="57"/>
      <c r="AA64" s="57"/>
      <c r="AB64" s="46"/>
      <c r="AC64" s="46"/>
      <c r="AD64" s="46"/>
      <c r="AE64" s="46"/>
      <c r="AG64" s="49"/>
      <c r="AH64" s="46"/>
      <c r="AI64" s="46"/>
      <c r="AJ64" s="50"/>
      <c r="AK64" s="50"/>
      <c r="AL64" s="47">
        <f>AF64*(1+AL65)</f>
        <v>0</v>
      </c>
      <c r="AM64" s="51"/>
      <c r="AN64" s="50"/>
      <c r="AO64" s="50"/>
      <c r="AP64" s="50"/>
      <c r="AQ64" s="50"/>
      <c r="AR64" s="47">
        <f>AL64*(1+AR65)</f>
        <v>0</v>
      </c>
      <c r="AS64" s="51"/>
      <c r="AT64" s="47">
        <f>AR64*(1+AT65)</f>
        <v>0</v>
      </c>
      <c r="AU64" s="53"/>
      <c r="AV64" s="47">
        <f>AT64*(1+AV65)</f>
        <v>0</v>
      </c>
      <c r="AW64" s="53"/>
      <c r="AX64" s="47">
        <f>AV64*(1+AX65)</f>
        <v>0</v>
      </c>
      <c r="BK64" s="682"/>
      <c r="BL64" s="682"/>
      <c r="BM64" s="682"/>
      <c r="BN64" s="682"/>
      <c r="BO64" s="682"/>
    </row>
    <row r="65" spans="1:67" s="54" customFormat="1" ht="15" customHeight="1">
      <c r="A65" s="55"/>
      <c r="B65" s="56"/>
      <c r="C65" s="23"/>
      <c r="D65" s="46"/>
      <c r="E65" s="46"/>
      <c r="F65" s="46"/>
      <c r="G65" s="46"/>
      <c r="H65" s="57"/>
      <c r="I65" s="48"/>
      <c r="J65" s="46"/>
      <c r="K65" s="46"/>
      <c r="L65" s="46"/>
      <c r="M65" s="46"/>
      <c r="N65" s="57"/>
      <c r="O65" s="57"/>
      <c r="P65" s="46"/>
      <c r="Q65" s="46"/>
      <c r="R65" s="46"/>
      <c r="S65" s="46"/>
      <c r="T65" s="57"/>
      <c r="U65" s="57"/>
      <c r="V65" s="46"/>
      <c r="W65" s="46"/>
      <c r="X65" s="46"/>
      <c r="Y65" s="46"/>
      <c r="Z65" s="57"/>
      <c r="AA65" s="57"/>
      <c r="AB65" s="46"/>
      <c r="AC65" s="46"/>
      <c r="AD65" s="46"/>
      <c r="AE65" s="46"/>
      <c r="AG65" s="49"/>
      <c r="AH65" s="46"/>
      <c r="AI65" s="46"/>
      <c r="AJ65" s="50"/>
      <c r="AK65" s="50"/>
      <c r="AL65" s="723">
        <v>0</v>
      </c>
      <c r="AM65" s="728">
        <v>0</v>
      </c>
      <c r="AN65" s="718">
        <v>0</v>
      </c>
      <c r="AO65" s="718">
        <v>0</v>
      </c>
      <c r="AP65" s="718">
        <v>0</v>
      </c>
      <c r="AQ65" s="718">
        <v>0</v>
      </c>
      <c r="AR65" s="723">
        <v>0</v>
      </c>
      <c r="AS65" s="728">
        <v>0</v>
      </c>
      <c r="AT65" s="723">
        <v>0</v>
      </c>
      <c r="AU65" s="728">
        <v>0</v>
      </c>
      <c r="AV65" s="723">
        <v>0</v>
      </c>
      <c r="AW65" s="728">
        <v>0</v>
      </c>
      <c r="AX65" s="723">
        <v>0</v>
      </c>
      <c r="BK65" s="682"/>
      <c r="BL65" s="682"/>
      <c r="BM65" s="682"/>
      <c r="BN65" s="682"/>
      <c r="BO65" s="682"/>
    </row>
    <row r="66" spans="1:67" s="54" customFormat="1" ht="15" customHeight="1">
      <c r="A66" s="55"/>
      <c r="B66" s="56" t="s">
        <v>220</v>
      </c>
      <c r="C66" s="23"/>
      <c r="D66" s="46"/>
      <c r="E66" s="46"/>
      <c r="F66" s="46"/>
      <c r="G66" s="46"/>
      <c r="H66" s="57"/>
      <c r="I66" s="48"/>
      <c r="J66" s="46"/>
      <c r="K66" s="46"/>
      <c r="L66" s="46"/>
      <c r="M66" s="46"/>
      <c r="N66" s="57"/>
      <c r="O66" s="57"/>
      <c r="P66" s="46"/>
      <c r="Q66" s="46"/>
      <c r="R66" s="46"/>
      <c r="S66" s="46"/>
      <c r="T66" s="57"/>
      <c r="U66" s="57"/>
      <c r="V66" s="46"/>
      <c r="W66" s="46"/>
      <c r="X66" s="46"/>
      <c r="Y66" s="46"/>
      <c r="Z66" s="57">
        <v>1.3</v>
      </c>
      <c r="AA66" s="57"/>
      <c r="AB66" s="46"/>
      <c r="AC66" s="46"/>
      <c r="AD66" s="46"/>
      <c r="AE66" s="46"/>
      <c r="AF66" s="57">
        <v>10.6</v>
      </c>
      <c r="AG66" s="49"/>
      <c r="AH66" s="46"/>
      <c r="AI66" s="46"/>
      <c r="AJ66" s="50"/>
      <c r="AK66" s="50"/>
      <c r="AL66" s="729">
        <f>AF66*(1+AL67)</f>
        <v>10.6</v>
      </c>
      <c r="AM66" s="51"/>
      <c r="AN66" s="50"/>
      <c r="AO66" s="50"/>
      <c r="AP66" s="50"/>
      <c r="AQ66" s="50"/>
      <c r="AR66" s="729">
        <f>AL66*(1+AR67)</f>
        <v>10.6</v>
      </c>
      <c r="AS66" s="51"/>
      <c r="AT66" s="729">
        <f>AR66*(1+AT67)</f>
        <v>10.6</v>
      </c>
      <c r="AU66" s="53"/>
      <c r="AV66" s="729">
        <f>AT66*(1+AV67)</f>
        <v>10.6</v>
      </c>
      <c r="AW66" s="53"/>
      <c r="AX66" s="729">
        <f>AV66*(1+AX67)</f>
        <v>10.6</v>
      </c>
      <c r="BK66" s="682"/>
      <c r="BL66" s="682"/>
      <c r="BM66" s="682"/>
      <c r="BN66" s="682"/>
      <c r="BO66" s="682"/>
    </row>
    <row r="67" spans="1:67" s="54" customFormat="1" ht="15" customHeight="1">
      <c r="A67" s="55"/>
      <c r="B67" s="56"/>
      <c r="C67" s="23"/>
      <c r="D67" s="46"/>
      <c r="E67" s="46"/>
      <c r="F67" s="46"/>
      <c r="G67" s="46"/>
      <c r="H67" s="57"/>
      <c r="I67" s="48"/>
      <c r="J67" s="46"/>
      <c r="K67" s="46"/>
      <c r="L67" s="46"/>
      <c r="M67" s="46"/>
      <c r="N67" s="57"/>
      <c r="O67" s="57"/>
      <c r="P67" s="46"/>
      <c r="Q67" s="46"/>
      <c r="R67" s="46"/>
      <c r="S67" s="46"/>
      <c r="T67" s="57"/>
      <c r="U67" s="57"/>
      <c r="V67" s="46"/>
      <c r="W67" s="46"/>
      <c r="X67" s="46"/>
      <c r="Y67" s="46"/>
      <c r="Z67" s="57"/>
      <c r="AA67" s="57"/>
      <c r="AB67" s="46"/>
      <c r="AC67" s="46"/>
      <c r="AD67" s="46"/>
      <c r="AE67" s="46"/>
      <c r="AF67" s="57"/>
      <c r="AG67" s="49"/>
      <c r="AH67" s="46"/>
      <c r="AI67" s="46"/>
      <c r="AJ67" s="50"/>
      <c r="AK67" s="50"/>
      <c r="AL67" s="723">
        <v>0</v>
      </c>
      <c r="AM67" s="728"/>
      <c r="AN67" s="718"/>
      <c r="AO67" s="718"/>
      <c r="AP67" s="718"/>
      <c r="AQ67" s="718"/>
      <c r="AR67" s="723">
        <v>0</v>
      </c>
      <c r="AS67" s="728"/>
      <c r="AT67" s="723">
        <v>0</v>
      </c>
      <c r="AU67" s="728"/>
      <c r="AV67" s="723">
        <v>0</v>
      </c>
      <c r="AW67" s="728"/>
      <c r="AX67" s="723">
        <v>0</v>
      </c>
      <c r="BB67" s="605"/>
      <c r="BC67" s="605"/>
      <c r="BD67" s="605"/>
      <c r="BE67" s="605"/>
      <c r="BF67" s="605"/>
      <c r="BK67" s="682"/>
      <c r="BL67" s="682"/>
      <c r="BM67" s="682"/>
      <c r="BN67" s="682"/>
      <c r="BO67" s="682"/>
    </row>
    <row r="68" spans="1:67" s="54" customFormat="1" ht="15" customHeight="1">
      <c r="A68" s="55"/>
      <c r="B68" s="56"/>
      <c r="C68" s="23"/>
      <c r="D68" s="46"/>
      <c r="E68" s="46"/>
      <c r="F68" s="46"/>
      <c r="G68" s="46"/>
      <c r="H68" s="57"/>
      <c r="I68" s="48"/>
      <c r="J68" s="46"/>
      <c r="K68" s="46"/>
      <c r="L68" s="46"/>
      <c r="M68" s="46"/>
      <c r="N68" s="57"/>
      <c r="O68" s="57"/>
      <c r="P68" s="46"/>
      <c r="Q68" s="46"/>
      <c r="R68" s="46"/>
      <c r="S68" s="46"/>
      <c r="T68" s="57"/>
      <c r="U68" s="57"/>
      <c r="V68" s="46"/>
      <c r="W68" s="46"/>
      <c r="X68" s="46"/>
      <c r="Y68" s="46"/>
      <c r="Z68" s="57"/>
      <c r="AA68" s="57"/>
      <c r="AB68" s="46"/>
      <c r="AC68" s="46"/>
      <c r="AD68" s="46"/>
      <c r="AE68" s="46"/>
      <c r="AF68" s="57"/>
      <c r="AG68" s="49"/>
      <c r="AH68" s="46"/>
      <c r="AI68" s="46"/>
      <c r="AJ68" s="50"/>
      <c r="AK68" s="50"/>
      <c r="AL68" s="729"/>
      <c r="AM68" s="51"/>
      <c r="AN68" s="50"/>
      <c r="AO68" s="50"/>
      <c r="AP68" s="50"/>
      <c r="AQ68" s="50"/>
      <c r="AR68" s="729"/>
      <c r="AS68" s="51"/>
      <c r="AT68" s="729"/>
      <c r="AU68" s="53"/>
      <c r="AV68" s="729"/>
      <c r="AW68" s="53"/>
      <c r="AX68" s="729"/>
      <c r="BB68" s="605"/>
      <c r="BC68" s="605"/>
      <c r="BD68" s="605"/>
      <c r="BE68" s="605"/>
      <c r="BF68" s="605"/>
      <c r="BK68" s="682"/>
      <c r="BL68" s="682"/>
      <c r="BM68" s="682"/>
      <c r="BN68" s="682"/>
      <c r="BO68" s="682"/>
    </row>
    <row r="69" spans="1:67" s="54" customFormat="1" ht="15" customHeight="1">
      <c r="B69" s="59" t="s">
        <v>224</v>
      </c>
      <c r="C69" s="23"/>
      <c r="D69" s="62">
        <f>IS!D18</f>
        <v>375.471</v>
      </c>
      <c r="E69" s="62">
        <f>IS!E18</f>
        <v>154.44300000000001</v>
      </c>
      <c r="F69" s="62">
        <f>IS!F18</f>
        <v>416.46300000000002</v>
      </c>
      <c r="G69" s="62">
        <f>IS!G18</f>
        <v>644.61500000000001</v>
      </c>
      <c r="H69" s="63">
        <f>IS!H18</f>
        <v>1590.992</v>
      </c>
      <c r="I69" s="96"/>
      <c r="J69" s="62">
        <f>IS!J18</f>
        <v>499.952</v>
      </c>
      <c r="K69" s="62">
        <f>IS!K18</f>
        <v>552.976</v>
      </c>
      <c r="L69" s="62">
        <f>IS!L18</f>
        <v>777.94899999999996</v>
      </c>
      <c r="M69" s="62">
        <f>IS!M18</f>
        <v>1092.95</v>
      </c>
      <c r="N69" s="63">
        <f>IS!N18</f>
        <v>2923.8270000000002</v>
      </c>
      <c r="O69" s="52"/>
      <c r="P69" s="62">
        <f>IS!P18</f>
        <v>839.57600000000002</v>
      </c>
      <c r="Q69" s="62">
        <f>IS!Q18</f>
        <v>944.75199999999995</v>
      </c>
      <c r="R69" s="62">
        <f>IS!R18</f>
        <v>1137.9849999999999</v>
      </c>
      <c r="S69" s="62">
        <f>IS!S18</f>
        <v>1311.413</v>
      </c>
      <c r="T69" s="63">
        <f>IS!T18</f>
        <v>4233.7259999999997</v>
      </c>
      <c r="U69" s="52"/>
      <c r="V69" s="62">
        <f>IS!V18</f>
        <v>1025.2909999999999</v>
      </c>
      <c r="W69" s="62">
        <f>IS!W18</f>
        <v>1131.0229999999999</v>
      </c>
      <c r="X69" s="62">
        <f>IS!X18</f>
        <v>1265.8240000000001</v>
      </c>
      <c r="Y69" s="62">
        <f>IS!Y18</f>
        <v>1424.6310000000001</v>
      </c>
      <c r="Z69" s="63">
        <f>IS!Z18</f>
        <v>4846.768</v>
      </c>
      <c r="AA69" s="52"/>
      <c r="AB69" s="62">
        <f>IS!AB18</f>
        <v>1072.182</v>
      </c>
      <c r="AC69" s="62">
        <f>IS!AC18</f>
        <v>1357.1079999999999</v>
      </c>
      <c r="AD69" s="62">
        <f>IS!AD18</f>
        <v>2546.6210000000001</v>
      </c>
      <c r="AE69" s="62">
        <f>IS!AE18</f>
        <v>3403.8420000000001</v>
      </c>
      <c r="AF69" s="63">
        <f>IS!AF18</f>
        <v>8379.7530000000006</v>
      </c>
      <c r="AG69" s="533"/>
      <c r="AH69" s="62">
        <f>IS!AH18</f>
        <v>2696.538</v>
      </c>
      <c r="AI69" s="62">
        <f>IS!AI18</f>
        <v>2901.3850000000002</v>
      </c>
      <c r="AJ69" s="62">
        <f>IS!AJ18</f>
        <v>0</v>
      </c>
      <c r="AK69" s="62">
        <f>IS!AK18</f>
        <v>0</v>
      </c>
      <c r="AL69" s="63">
        <f>AL55+AL41+AL27+AL13</f>
        <v>14931.768</v>
      </c>
      <c r="AM69" s="53"/>
      <c r="AN69" s="62">
        <f>IS!AN18</f>
        <v>0</v>
      </c>
      <c r="AO69" s="62">
        <f>IS!AO18</f>
        <v>0</v>
      </c>
      <c r="AP69" s="62">
        <f>IS!AP18</f>
        <v>0</v>
      </c>
      <c r="AQ69" s="62">
        <f>IS!AQ18</f>
        <v>0</v>
      </c>
      <c r="AR69" s="63">
        <f>AR55+AR41+AR27+AR13</f>
        <v>16582.919080000003</v>
      </c>
      <c r="AS69" s="53"/>
      <c r="AT69" s="63">
        <f>AT55+AT41+AT27+AT13</f>
        <v>18211.335587900001</v>
      </c>
      <c r="AU69" s="53"/>
      <c r="AV69" s="63">
        <f>AV55+AV41+AV27+AV13</f>
        <v>19762.636836810583</v>
      </c>
      <c r="AW69" s="53"/>
      <c r="AX69" s="63">
        <f>AX55+AX41+AX27+AX13</f>
        <v>21174.395187637674</v>
      </c>
    </row>
    <row r="70" spans="1:67" ht="15" customHeight="1">
      <c r="H70" s="312">
        <f>H55+H41+H27+H13</f>
        <v>2268.6289999999999</v>
      </c>
      <c r="N70" s="312">
        <f>N55+N41+N27+N13</f>
        <v>7936.4000000000005</v>
      </c>
      <c r="T70" s="312">
        <f>T55+T41+T27+T13</f>
        <v>10880.263999999999</v>
      </c>
      <c r="Z70" s="312">
        <f>Z55+Z41+Z27+Z13</f>
        <v>12773.600000000002</v>
      </c>
      <c r="AF70" s="312">
        <f>AF55+AF41+AF27+AF13</f>
        <v>14156.2</v>
      </c>
      <c r="AG70" s="205"/>
      <c r="AL70" s="723">
        <f>AL69/AF70-1</f>
        <v>5.4786453991890527E-2</v>
      </c>
      <c r="AM70" s="728"/>
      <c r="AN70" s="718"/>
      <c r="AO70" s="718"/>
      <c r="AP70" s="718"/>
      <c r="AQ70" s="718"/>
      <c r="AR70" s="723">
        <f>AR69/AL69-1</f>
        <v>0.11057974380528846</v>
      </c>
      <c r="AS70" s="728"/>
      <c r="AT70" s="723">
        <f>AT69/AR69-1</f>
        <v>9.8198423332112039E-2</v>
      </c>
      <c r="AU70" s="728"/>
      <c r="AV70" s="723">
        <f>AV69/AT69-1</f>
        <v>8.5183277273815028E-2</v>
      </c>
      <c r="AW70" s="728"/>
      <c r="AX70" s="723">
        <f>+AX69/AV69-1</f>
        <v>7.1435728060210035E-2</v>
      </c>
    </row>
    <row r="71" spans="1:67" ht="15" customHeight="1">
      <c r="H71" s="312"/>
      <c r="N71" s="312"/>
      <c r="T71" s="312"/>
      <c r="Z71" s="312"/>
      <c r="AF71" s="312"/>
      <c r="AG71" s="205"/>
      <c r="AL71" s="312"/>
      <c r="AR71" s="312"/>
    </row>
    <row r="72" spans="1:67" ht="15" customHeight="1">
      <c r="B72" s="45" t="s">
        <v>225</v>
      </c>
      <c r="T72" s="312"/>
      <c r="AG72" s="205"/>
      <c r="BI72" s="97">
        <v>2021</v>
      </c>
      <c r="BJ72" s="97">
        <f>BI72+1</f>
        <v>2022</v>
      </c>
      <c r="BK72" s="97">
        <f t="shared" ref="BK72:BL72" si="0">BJ72+1</f>
        <v>2023</v>
      </c>
      <c r="BL72" s="97">
        <f t="shared" si="0"/>
        <v>2024</v>
      </c>
      <c r="BM72" s="97" t="s">
        <v>226</v>
      </c>
    </row>
    <row r="73" spans="1:67" ht="15" customHeight="1">
      <c r="B73" s="56" t="s">
        <v>227</v>
      </c>
      <c r="D73" s="46"/>
      <c r="E73" s="46"/>
      <c r="F73" s="46"/>
      <c r="G73" s="46"/>
      <c r="H73" s="47">
        <v>1591</v>
      </c>
      <c r="I73" s="48"/>
      <c r="J73" s="46"/>
      <c r="K73" s="46"/>
      <c r="L73" s="46"/>
      <c r="M73" s="46"/>
      <c r="N73" s="47">
        <v>2923.8</v>
      </c>
      <c r="O73" s="47"/>
      <c r="P73" s="46"/>
      <c r="Q73" s="46"/>
      <c r="R73" s="46"/>
      <c r="S73" s="46"/>
      <c r="T73" s="47">
        <v>4233.7</v>
      </c>
      <c r="U73" s="47"/>
      <c r="V73" s="46"/>
      <c r="W73" s="46"/>
      <c r="X73" s="46"/>
      <c r="Y73" s="46"/>
      <c r="Z73" s="47">
        <v>4846.8</v>
      </c>
      <c r="AA73" s="47"/>
      <c r="AB73" s="46"/>
      <c r="AC73" s="46"/>
      <c r="AD73" s="46"/>
      <c r="AE73" s="46"/>
      <c r="AF73" s="47">
        <v>8379.7999999999993</v>
      </c>
      <c r="AG73" s="49"/>
      <c r="AH73" s="46"/>
      <c r="AI73" s="46"/>
      <c r="AJ73" s="50"/>
      <c r="AK73" s="50"/>
      <c r="AL73" s="47">
        <f>AL78*$BM$73</f>
        <v>13466.913566962477</v>
      </c>
      <c r="AM73" s="51"/>
      <c r="AN73" s="50"/>
      <c r="AO73" s="50"/>
      <c r="AP73" s="50"/>
      <c r="AQ73" s="50"/>
      <c r="AR73" s="47">
        <f>AR78*$BM$73</f>
        <v>14956.081419045149</v>
      </c>
      <c r="AS73" s="51"/>
      <c r="AT73" s="47">
        <f>AT78*$BM$73</f>
        <v>16424.745033622079</v>
      </c>
      <c r="AU73" s="53"/>
      <c r="AV73" s="47">
        <f>AV78*$BM$73</f>
        <v>17823.858643972828</v>
      </c>
      <c r="AW73" s="53"/>
      <c r="AX73" s="47">
        <f>AX78*$BM$73</f>
        <v>19097.118963047295</v>
      </c>
      <c r="BC73" s="698"/>
      <c r="BD73" s="698"/>
      <c r="BE73" s="698"/>
      <c r="BF73" s="698"/>
      <c r="BI73" s="698">
        <f>N73/(N73+N74)</f>
        <v>0.88196434496696929</v>
      </c>
      <c r="BJ73" s="698">
        <f>T73/(T73+T74)</f>
        <v>0.88506323821469635</v>
      </c>
      <c r="BK73" s="698">
        <f>Z73/(Z73+Z74)</f>
        <v>0.89566470783900654</v>
      </c>
      <c r="BL73" s="698">
        <f>AF73/(AF73+AF74)</f>
        <v>0.94489485256807793</v>
      </c>
      <c r="BM73" s="294">
        <f>AVERAGE(BI73,BJ73,BK73,BL73)</f>
        <v>0.90189678589718758</v>
      </c>
    </row>
    <row r="74" spans="1:67" ht="15" customHeight="1">
      <c r="B74" s="56" t="s">
        <v>228</v>
      </c>
      <c r="D74" s="46"/>
      <c r="E74" s="46"/>
      <c r="F74" s="46"/>
      <c r="G74" s="46"/>
      <c r="H74" s="47"/>
      <c r="I74" s="48"/>
      <c r="J74" s="46"/>
      <c r="K74" s="46"/>
      <c r="L74" s="46"/>
      <c r="M74" s="46"/>
      <c r="N74" s="47">
        <v>391.3</v>
      </c>
      <c r="O74" s="47"/>
      <c r="P74" s="46"/>
      <c r="Q74" s="46"/>
      <c r="R74" s="46"/>
      <c r="S74" s="46"/>
      <c r="T74" s="47">
        <v>549.79999999999995</v>
      </c>
      <c r="U74" s="47"/>
      <c r="V74" s="46"/>
      <c r="W74" s="46"/>
      <c r="X74" s="46"/>
      <c r="Y74" s="46"/>
      <c r="Z74" s="47">
        <v>564.6</v>
      </c>
      <c r="AA74" s="47"/>
      <c r="AB74" s="46"/>
      <c r="AC74" s="46"/>
      <c r="AD74" s="46"/>
      <c r="AE74" s="46"/>
      <c r="AF74" s="47">
        <v>488.7</v>
      </c>
      <c r="AG74" s="49"/>
      <c r="AH74" s="46"/>
      <c r="AI74" s="46"/>
      <c r="AJ74" s="50"/>
      <c r="AK74" s="50"/>
      <c r="AL74" s="47">
        <f>AL78*$BM$74</f>
        <v>1464.8544330375241</v>
      </c>
      <c r="AM74" s="51"/>
      <c r="AN74" s="50"/>
      <c r="AO74" s="50"/>
      <c r="AP74" s="50"/>
      <c r="AQ74" s="50"/>
      <c r="AR74" s="47">
        <f>AR78*$BM$74</f>
        <v>1626.8376609548543</v>
      </c>
      <c r="AS74" s="51"/>
      <c r="AT74" s="47">
        <f>AT78*$BM$74</f>
        <v>1786.5905542779221</v>
      </c>
      <c r="AU74" s="53"/>
      <c r="AV74" s="47">
        <f>AV78*$BM$74</f>
        <v>1938.7781928377574</v>
      </c>
      <c r="AW74" s="53"/>
      <c r="AX74" s="47">
        <f>AX78*$BM$74</f>
        <v>2077.2762245903809</v>
      </c>
      <c r="BI74" s="294">
        <f>1-BI73</f>
        <v>0.11803565503303071</v>
      </c>
      <c r="BJ74" s="294">
        <f>1-BJ73</f>
        <v>0.11493676178530365</v>
      </c>
      <c r="BK74" s="294">
        <f>1-BK73</f>
        <v>0.10433529216099346</v>
      </c>
      <c r="BL74" s="294">
        <f>1-BL73</f>
        <v>5.5105147431922075E-2</v>
      </c>
      <c r="BM74" s="294">
        <f>AVERAGE(BI74,BJ74,BK74,BL74)</f>
        <v>9.8103214102812475E-2</v>
      </c>
    </row>
    <row r="75" spans="1:67" ht="15" customHeight="1">
      <c r="B75" s="56"/>
      <c r="D75" s="46"/>
      <c r="E75" s="46"/>
      <c r="F75" s="46"/>
      <c r="G75" s="46"/>
      <c r="H75" s="47"/>
      <c r="I75" s="48"/>
      <c r="J75" s="46"/>
      <c r="K75" s="46"/>
      <c r="L75" s="46"/>
      <c r="M75" s="46"/>
      <c r="AG75" s="49"/>
      <c r="AH75" s="46"/>
      <c r="AI75" s="46"/>
      <c r="AJ75" s="50"/>
      <c r="AK75" s="50"/>
      <c r="AL75" s="47"/>
      <c r="AM75" s="51"/>
      <c r="AN75" s="50"/>
      <c r="AO75" s="50"/>
      <c r="AP75" s="50"/>
      <c r="AQ75" s="50"/>
      <c r="AR75" s="47"/>
      <c r="AS75" s="51"/>
      <c r="AT75" s="52"/>
      <c r="AU75" s="53"/>
      <c r="AV75" s="52"/>
      <c r="AW75" s="53"/>
      <c r="AX75" s="52"/>
    </row>
    <row r="76" spans="1:67" ht="15" customHeight="1">
      <c r="B76" s="56"/>
      <c r="D76" s="46"/>
      <c r="E76" s="46"/>
      <c r="F76" s="46"/>
      <c r="G76" s="46"/>
      <c r="H76" s="57"/>
      <c r="I76" s="48"/>
      <c r="J76" s="46"/>
      <c r="K76" s="46"/>
      <c r="L76" s="46"/>
      <c r="M76" s="46"/>
      <c r="AG76" s="49"/>
      <c r="AH76" s="46"/>
      <c r="AI76" s="46"/>
      <c r="AJ76" s="50"/>
      <c r="AK76" s="50"/>
      <c r="AL76" s="57"/>
      <c r="AM76" s="51"/>
      <c r="AN76" s="50"/>
      <c r="AO76" s="50"/>
      <c r="AP76" s="50"/>
      <c r="AQ76" s="50"/>
      <c r="AR76" s="57"/>
      <c r="AS76" s="51"/>
      <c r="AT76" s="58"/>
      <c r="AU76" s="53"/>
      <c r="AV76" s="58"/>
      <c r="AW76" s="53"/>
      <c r="AX76" s="58"/>
    </row>
    <row r="77" spans="1:67" ht="15" customHeight="1">
      <c r="B77" s="56"/>
      <c r="D77" s="46"/>
      <c r="E77" s="46"/>
      <c r="F77" s="46"/>
      <c r="G77" s="46"/>
      <c r="H77" s="57"/>
      <c r="I77" s="48"/>
      <c r="J77" s="46"/>
      <c r="K77" s="46"/>
      <c r="L77" s="46"/>
      <c r="M77" s="46"/>
      <c r="N77" s="57"/>
      <c r="O77" s="57"/>
      <c r="P77" s="46"/>
      <c r="Q77" s="46"/>
      <c r="R77" s="46"/>
      <c r="S77" s="46"/>
      <c r="T77" s="57"/>
      <c r="U77" s="57"/>
      <c r="V77" s="46"/>
      <c r="W77" s="46"/>
      <c r="X77" s="46"/>
      <c r="Y77" s="46"/>
      <c r="Z77" s="57"/>
      <c r="AA77" s="57"/>
      <c r="AB77" s="46"/>
      <c r="AC77" s="46"/>
      <c r="AD77" s="46"/>
      <c r="AE77" s="46"/>
      <c r="AF77" s="57"/>
      <c r="AG77" s="49"/>
      <c r="AH77" s="46"/>
      <c r="AI77" s="46"/>
      <c r="AJ77" s="50"/>
      <c r="AK77" s="50"/>
      <c r="AL77" s="57"/>
      <c r="AM77" s="51"/>
      <c r="AN77" s="50"/>
      <c r="AO77" s="50"/>
      <c r="AP77" s="50"/>
      <c r="AQ77" s="50"/>
      <c r="AR77" s="57"/>
      <c r="AS77" s="51"/>
      <c r="AT77" s="58"/>
      <c r="AU77" s="53"/>
      <c r="AV77" s="58"/>
      <c r="AW77" s="53"/>
      <c r="AX77" s="58"/>
    </row>
    <row r="78" spans="1:67" ht="15" customHeight="1">
      <c r="B78" s="59" t="s">
        <v>224</v>
      </c>
      <c r="D78" s="62">
        <f>IS!D18</f>
        <v>375.471</v>
      </c>
      <c r="E78" s="62">
        <f>IS!E18</f>
        <v>154.44300000000001</v>
      </c>
      <c r="F78" s="62">
        <f>IS!F18</f>
        <v>416.46300000000002</v>
      </c>
      <c r="G78" s="62">
        <f>IS!G18</f>
        <v>644.61500000000001</v>
      </c>
      <c r="H78" s="63">
        <f>IS!H18</f>
        <v>1590.992</v>
      </c>
      <c r="I78" s="96"/>
      <c r="J78" s="62">
        <f>IS!J18</f>
        <v>499.952</v>
      </c>
      <c r="K78" s="62">
        <f>IS!K18</f>
        <v>552.976</v>
      </c>
      <c r="L78" s="62">
        <f>IS!L18</f>
        <v>777.94899999999996</v>
      </c>
      <c r="M78" s="62">
        <f>IS!M18</f>
        <v>1092.95</v>
      </c>
      <c r="N78" s="63">
        <f>IS!N18</f>
        <v>2923.8270000000002</v>
      </c>
      <c r="O78" s="52"/>
      <c r="P78" s="62">
        <f>IS!P18</f>
        <v>839.57600000000002</v>
      </c>
      <c r="Q78" s="62">
        <f>IS!Q18</f>
        <v>944.75199999999995</v>
      </c>
      <c r="R78" s="62">
        <f>IS!R18</f>
        <v>1137.9849999999999</v>
      </c>
      <c r="S78" s="62">
        <f>IS!S18</f>
        <v>1311.413</v>
      </c>
      <c r="T78" s="63">
        <f>IS!T18</f>
        <v>4233.7259999999997</v>
      </c>
      <c r="U78" s="52"/>
      <c r="V78" s="62">
        <f>IS!V18</f>
        <v>1025.2909999999999</v>
      </c>
      <c r="W78" s="62">
        <f>IS!W18</f>
        <v>1131.0229999999999</v>
      </c>
      <c r="X78" s="62">
        <f>IS!X18</f>
        <v>1265.8240000000001</v>
      </c>
      <c r="Y78" s="62">
        <f>IS!Y18</f>
        <v>1424.6310000000001</v>
      </c>
      <c r="Z78" s="63">
        <f>IS!Z18</f>
        <v>4846.768</v>
      </c>
      <c r="AA78" s="52"/>
      <c r="AB78" s="62">
        <f>IS!AB18</f>
        <v>1072.182</v>
      </c>
      <c r="AC78" s="62">
        <f>IS!AC18</f>
        <v>1357.1079999999999</v>
      </c>
      <c r="AD78" s="62">
        <f>IS!AD18</f>
        <v>2546.6210000000001</v>
      </c>
      <c r="AE78" s="62">
        <f>IS!AE18</f>
        <v>3403.8420000000001</v>
      </c>
      <c r="AF78" s="63">
        <f>IS!AF18</f>
        <v>8379.7530000000006</v>
      </c>
      <c r="AG78" s="533"/>
      <c r="AH78" s="62">
        <f>IS!AH18</f>
        <v>2696.538</v>
      </c>
      <c r="AI78" s="62">
        <f>IS!AI18</f>
        <v>2901.3850000000002</v>
      </c>
      <c r="AJ78" s="62">
        <f>IS!AJ18</f>
        <v>0</v>
      </c>
      <c r="AK78" s="62">
        <f>IS!AK18</f>
        <v>0</v>
      </c>
      <c r="AL78" s="63">
        <f>AL69</f>
        <v>14931.768</v>
      </c>
      <c r="AM78" s="53"/>
      <c r="AN78" s="62">
        <f>IS!AN18</f>
        <v>0</v>
      </c>
      <c r="AO78" s="62">
        <f>IS!AO18</f>
        <v>0</v>
      </c>
      <c r="AP78" s="62">
        <f>IS!AP18</f>
        <v>0</v>
      </c>
      <c r="AQ78" s="62">
        <f>IS!AQ18</f>
        <v>0</v>
      </c>
      <c r="AR78" s="63">
        <f>AR69</f>
        <v>16582.919080000003</v>
      </c>
      <c r="AS78" s="53"/>
      <c r="AT78" s="63">
        <f>AT69</f>
        <v>18211.335587900001</v>
      </c>
      <c r="AU78" s="53"/>
      <c r="AV78" s="63">
        <f>AV69</f>
        <v>19762.636836810583</v>
      </c>
      <c r="AW78" s="53"/>
      <c r="AX78" s="63">
        <f>AX69</f>
        <v>21174.395187637674</v>
      </c>
    </row>
    <row r="79" spans="1:67" ht="15" customHeight="1">
      <c r="AG79" s="205"/>
    </row>
    <row r="80" spans="1:67" ht="15" customHeight="1">
      <c r="B80" s="97" t="s">
        <v>229</v>
      </c>
      <c r="AG80" s="205"/>
    </row>
    <row r="81" spans="1:50" ht="15" customHeight="1">
      <c r="B81" s="56"/>
      <c r="D81" s="46"/>
      <c r="E81" s="46"/>
      <c r="F81" s="46"/>
      <c r="G81" s="46"/>
      <c r="J81" s="46"/>
      <c r="K81" s="46"/>
      <c r="L81" s="46"/>
      <c r="M81" s="46"/>
      <c r="P81" s="46"/>
      <c r="Q81" s="46"/>
      <c r="R81" s="46"/>
      <c r="S81" s="46"/>
      <c r="V81" s="46"/>
      <c r="W81" s="46"/>
      <c r="X81" s="46"/>
      <c r="Y81" s="46"/>
      <c r="AB81" s="46"/>
      <c r="AC81" s="46"/>
      <c r="AD81" s="46"/>
      <c r="AE81" s="46"/>
      <c r="AG81" s="205"/>
      <c r="AH81" s="46"/>
      <c r="AI81" s="46"/>
      <c r="AJ81" s="46"/>
      <c r="AK81" s="46"/>
      <c r="AN81" s="46"/>
      <c r="AO81" s="46"/>
      <c r="AP81" s="46"/>
      <c r="AQ81" s="46"/>
    </row>
    <row r="82" spans="1:50" ht="15" customHeight="1">
      <c r="B82" s="56"/>
      <c r="D82" s="46"/>
      <c r="E82" s="46"/>
      <c r="F82" s="46"/>
      <c r="G82" s="46"/>
      <c r="J82" s="46"/>
      <c r="K82" s="46"/>
      <c r="L82" s="46"/>
      <c r="M82" s="46"/>
      <c r="P82" s="46"/>
      <c r="Q82" s="46"/>
      <c r="R82" s="46"/>
      <c r="S82" s="46"/>
      <c r="V82" s="46"/>
      <c r="W82" s="46"/>
      <c r="X82" s="46"/>
      <c r="Y82" s="46"/>
      <c r="AB82" s="46"/>
      <c r="AC82" s="46"/>
      <c r="AD82" s="46"/>
      <c r="AE82" s="46"/>
      <c r="AG82" s="205"/>
      <c r="AH82" s="46"/>
      <c r="AI82" s="46"/>
      <c r="AJ82" s="46"/>
      <c r="AK82" s="46"/>
      <c r="AN82" s="46"/>
      <c r="AO82" s="46"/>
      <c r="AP82" s="46"/>
      <c r="AQ82" s="46"/>
    </row>
    <row r="83" spans="1:50" ht="15" customHeight="1">
      <c r="B83" s="56"/>
      <c r="D83" s="46"/>
      <c r="E83" s="46"/>
      <c r="F83" s="46"/>
      <c r="G83" s="46"/>
      <c r="J83" s="46"/>
      <c r="K83" s="46"/>
      <c r="L83" s="46"/>
      <c r="M83" s="46"/>
      <c r="P83" s="46"/>
      <c r="Q83" s="46"/>
      <c r="R83" s="46"/>
      <c r="S83" s="46"/>
      <c r="V83" s="46"/>
      <c r="W83" s="46"/>
      <c r="X83" s="46"/>
      <c r="Y83" s="46"/>
      <c r="AB83" s="46"/>
      <c r="AC83" s="46"/>
      <c r="AD83" s="46"/>
      <c r="AE83" s="46"/>
      <c r="AG83" s="205"/>
      <c r="AH83" s="46"/>
      <c r="AI83" s="46"/>
      <c r="AJ83" s="46"/>
      <c r="AK83" s="46"/>
      <c r="AN83" s="46"/>
      <c r="AO83" s="46"/>
      <c r="AP83" s="46"/>
      <c r="AQ83" s="46"/>
    </row>
    <row r="84" spans="1:50" ht="15" customHeight="1">
      <c r="B84" s="56"/>
      <c r="D84" s="46"/>
      <c r="E84" s="46"/>
      <c r="F84" s="46"/>
      <c r="G84" s="46"/>
      <c r="J84" s="46"/>
      <c r="K84" s="46"/>
      <c r="L84" s="46"/>
      <c r="M84" s="46"/>
      <c r="P84" s="46"/>
      <c r="Q84" s="46"/>
      <c r="R84" s="46"/>
      <c r="S84" s="46"/>
      <c r="V84" s="46"/>
      <c r="W84" s="46"/>
      <c r="X84" s="46"/>
      <c r="Y84" s="46"/>
      <c r="AB84" s="46"/>
      <c r="AC84" s="46"/>
      <c r="AD84" s="46"/>
      <c r="AE84" s="46"/>
      <c r="AG84" s="205"/>
      <c r="AH84" s="46"/>
      <c r="AI84" s="46"/>
      <c r="AJ84" s="46"/>
      <c r="AK84" s="46"/>
      <c r="AN84" s="46"/>
      <c r="AO84" s="46"/>
      <c r="AP84" s="46"/>
      <c r="AQ84" s="46"/>
    </row>
    <row r="85" spans="1:50" ht="15" customHeight="1">
      <c r="B85" s="56"/>
      <c r="D85" s="46"/>
      <c r="E85" s="46"/>
      <c r="F85" s="46"/>
      <c r="G85" s="46"/>
      <c r="J85" s="46"/>
      <c r="K85" s="46"/>
      <c r="L85" s="46"/>
      <c r="M85" s="46"/>
      <c r="P85" s="46"/>
      <c r="Q85" s="46"/>
      <c r="R85" s="46"/>
      <c r="S85" s="46"/>
      <c r="V85" s="46"/>
      <c r="W85" s="46"/>
      <c r="X85" s="46"/>
      <c r="Y85" s="46"/>
      <c r="AB85" s="46"/>
      <c r="AC85" s="46"/>
      <c r="AD85" s="46"/>
      <c r="AE85" s="46"/>
      <c r="AG85" s="205"/>
      <c r="AH85" s="46"/>
      <c r="AI85" s="46"/>
      <c r="AJ85" s="46"/>
      <c r="AK85" s="46"/>
      <c r="AN85" s="46"/>
      <c r="AO85" s="46"/>
      <c r="AP85" s="46"/>
      <c r="AQ85" s="46"/>
    </row>
    <row r="87" spans="1:50" ht="15" customHeight="1">
      <c r="A87" s="44" t="s">
        <v>37</v>
      </c>
      <c r="B87" s="161" t="s">
        <v>230</v>
      </c>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c r="AA87" s="164"/>
      <c r="AB87" s="164"/>
      <c r="AC87" s="164"/>
      <c r="AD87" s="164"/>
      <c r="AE87" s="164"/>
      <c r="AF87" s="164"/>
      <c r="AG87" s="164"/>
      <c r="AH87" s="164"/>
      <c r="AI87" s="164"/>
      <c r="AJ87" s="164"/>
      <c r="AK87" s="164"/>
      <c r="AL87" s="164"/>
      <c r="AM87" s="164"/>
      <c r="AN87" s="164"/>
      <c r="AO87" s="164"/>
      <c r="AP87" s="164"/>
      <c r="AQ87" s="164"/>
      <c r="AR87" s="164"/>
      <c r="AS87" s="164"/>
      <c r="AT87" s="164"/>
      <c r="AU87" s="164"/>
      <c r="AV87" s="164"/>
      <c r="AW87" s="164"/>
      <c r="AX87" s="164"/>
    </row>
    <row r="88" spans="1:50" ht="15" customHeight="1">
      <c r="B88" s="164"/>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c r="AA88" s="164"/>
      <c r="AB88" s="164"/>
      <c r="AC88" s="164"/>
      <c r="AD88" s="164"/>
      <c r="AE88" s="164"/>
      <c r="AF88" s="164"/>
      <c r="AG88" s="164"/>
      <c r="AH88" s="164"/>
      <c r="AI88" s="164"/>
      <c r="AJ88" s="164"/>
      <c r="AK88" s="164"/>
      <c r="AL88" s="164"/>
      <c r="AM88" s="164"/>
      <c r="AN88" s="164"/>
      <c r="AO88" s="164"/>
      <c r="AP88" s="164"/>
      <c r="AQ88" s="164"/>
      <c r="AR88" s="164"/>
      <c r="AS88" s="164"/>
      <c r="AT88" s="164"/>
      <c r="AU88" s="164"/>
      <c r="AV88" s="164"/>
      <c r="AW88" s="164"/>
      <c r="AX88" s="164"/>
    </row>
    <row r="89" spans="1:50" ht="15" customHeight="1">
      <c r="B89" s="164"/>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c r="AA89" s="164"/>
      <c r="AB89" s="164"/>
      <c r="AC89" s="164"/>
      <c r="AD89" s="164"/>
      <c r="AE89" s="164"/>
      <c r="AF89" s="164"/>
      <c r="AG89" s="164"/>
      <c r="AH89" s="164"/>
      <c r="AI89" s="164"/>
      <c r="AJ89" s="164"/>
      <c r="AK89" s="164"/>
      <c r="AL89" s="164"/>
      <c r="AM89" s="164"/>
      <c r="AN89" s="164"/>
      <c r="AO89" s="164"/>
      <c r="AP89" s="164"/>
      <c r="AQ89" s="164"/>
      <c r="AR89" s="164"/>
      <c r="AS89" s="164"/>
      <c r="AT89" s="164"/>
      <c r="AU89" s="164"/>
      <c r="AV89" s="164"/>
      <c r="AW89" s="164"/>
      <c r="AX89" s="164"/>
    </row>
    <row r="90" spans="1:50" ht="3.95" customHeight="1">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c r="AA90" s="176"/>
      <c r="AB90" s="176"/>
      <c r="AC90" s="176"/>
      <c r="AD90" s="176"/>
      <c r="AE90" s="176"/>
      <c r="AF90" s="176"/>
      <c r="AG90" s="176"/>
      <c r="AH90" s="176"/>
      <c r="AI90" s="176"/>
      <c r="AJ90" s="176"/>
      <c r="AK90" s="176"/>
      <c r="AL90" s="176"/>
      <c r="AM90" s="176"/>
      <c r="AN90" s="176"/>
      <c r="AO90" s="176"/>
      <c r="AP90" s="176"/>
      <c r="AQ90" s="176"/>
      <c r="AR90" s="176"/>
      <c r="AS90" s="176"/>
      <c r="AT90" s="176"/>
      <c r="AU90" s="176"/>
      <c r="AV90" s="176"/>
      <c r="AW90" s="176"/>
      <c r="AX90" s="176"/>
    </row>
    <row r="91" spans="1:50" ht="3.95" customHeight="1"/>
    <row r="92" spans="1:50" s="23" customFormat="1" ht="60" customHeight="1">
      <c r="B92" s="569" t="s">
        <v>213</v>
      </c>
      <c r="C92" s="540"/>
      <c r="D92" s="551"/>
      <c r="E92" s="551"/>
      <c r="F92" s="551"/>
      <c r="G92" s="551"/>
      <c r="H92" s="754" t="s">
        <v>231</v>
      </c>
      <c r="I92" s="754"/>
      <c r="J92" s="754"/>
      <c r="K92" s="754"/>
      <c r="L92" s="754"/>
      <c r="M92" s="754"/>
      <c r="N92" s="754"/>
      <c r="O92" s="754"/>
      <c r="P92" s="754"/>
      <c r="Q92" s="754"/>
      <c r="R92" s="754"/>
      <c r="S92" s="754"/>
      <c r="T92" s="754"/>
      <c r="U92" s="754"/>
      <c r="V92" s="754"/>
      <c r="W92" s="754"/>
      <c r="X92" s="754"/>
      <c r="Y92" s="754"/>
      <c r="Z92" s="754"/>
      <c r="AA92" s="754"/>
      <c r="AB92" s="754"/>
      <c r="AC92" s="754"/>
      <c r="AD92" s="754"/>
      <c r="AE92" s="754"/>
      <c r="AF92" s="754"/>
      <c r="AG92" s="754"/>
      <c r="AH92" s="754"/>
      <c r="AI92" s="754"/>
      <c r="AJ92" s="754"/>
      <c r="AK92" s="754"/>
      <c r="AL92" s="754"/>
      <c r="AM92" s="754"/>
      <c r="AN92" s="754"/>
      <c r="AO92" s="754"/>
      <c r="AP92" s="754"/>
      <c r="AQ92" s="754"/>
      <c r="AR92" s="754"/>
      <c r="AS92" s="754"/>
      <c r="AT92" s="754"/>
      <c r="AU92" s="754"/>
      <c r="AV92" s="754"/>
      <c r="AW92" s="754"/>
      <c r="AX92" s="754"/>
    </row>
    <row r="93" spans="1:50" s="23" customFormat="1" ht="60" customHeight="1">
      <c r="B93" s="64" t="s">
        <v>221</v>
      </c>
      <c r="C93" s="540"/>
      <c r="D93" s="551"/>
      <c r="E93" s="551"/>
      <c r="F93" s="551"/>
      <c r="G93" s="551"/>
      <c r="H93" s="754" t="s">
        <v>232</v>
      </c>
      <c r="I93" s="754"/>
      <c r="J93" s="754"/>
      <c r="K93" s="754"/>
      <c r="L93" s="754"/>
      <c r="M93" s="754"/>
      <c r="N93" s="754"/>
      <c r="O93" s="754"/>
      <c r="P93" s="754"/>
      <c r="Q93" s="754"/>
      <c r="R93" s="754"/>
      <c r="S93" s="754"/>
      <c r="T93" s="754"/>
      <c r="U93" s="754"/>
      <c r="V93" s="754"/>
      <c r="W93" s="754"/>
      <c r="X93" s="754"/>
      <c r="Y93" s="754"/>
      <c r="Z93" s="754"/>
      <c r="AA93" s="754"/>
      <c r="AB93" s="754"/>
      <c r="AC93" s="754"/>
      <c r="AD93" s="754"/>
      <c r="AE93" s="754"/>
      <c r="AF93" s="754"/>
      <c r="AG93" s="754"/>
      <c r="AH93" s="754"/>
      <c r="AI93" s="754"/>
      <c r="AJ93" s="754"/>
      <c r="AK93" s="754"/>
      <c r="AL93" s="754"/>
      <c r="AM93" s="754"/>
      <c r="AN93" s="754"/>
      <c r="AO93" s="754"/>
      <c r="AP93" s="754"/>
      <c r="AQ93" s="754"/>
      <c r="AR93" s="754"/>
      <c r="AS93" s="754"/>
      <c r="AT93" s="754"/>
      <c r="AU93" s="754"/>
      <c r="AV93" s="754"/>
      <c r="AW93" s="754"/>
      <c r="AX93" s="754"/>
    </row>
    <row r="94" spans="1:50" ht="60" customHeight="1">
      <c r="B94" s="64" t="s">
        <v>222</v>
      </c>
      <c r="C94" s="540"/>
      <c r="D94" s="551"/>
      <c r="E94" s="551"/>
      <c r="F94" s="551"/>
      <c r="G94" s="551"/>
      <c r="H94" s="754" t="s">
        <v>233</v>
      </c>
      <c r="I94" s="754"/>
      <c r="J94" s="754"/>
      <c r="K94" s="754"/>
      <c r="L94" s="754"/>
      <c r="M94" s="754"/>
      <c r="N94" s="754"/>
      <c r="O94" s="754"/>
      <c r="P94" s="754"/>
      <c r="Q94" s="754"/>
      <c r="R94" s="754"/>
      <c r="S94" s="754"/>
      <c r="T94" s="754"/>
      <c r="U94" s="754"/>
      <c r="V94" s="754"/>
      <c r="W94" s="754"/>
      <c r="X94" s="754"/>
      <c r="Y94" s="754"/>
      <c r="Z94" s="754"/>
      <c r="AA94" s="754"/>
      <c r="AB94" s="754"/>
      <c r="AC94" s="754"/>
      <c r="AD94" s="754"/>
      <c r="AE94" s="754"/>
      <c r="AF94" s="754"/>
      <c r="AG94" s="754"/>
      <c r="AH94" s="754"/>
      <c r="AI94" s="754"/>
      <c r="AJ94" s="754"/>
      <c r="AK94" s="754"/>
      <c r="AL94" s="754"/>
      <c r="AM94" s="754"/>
      <c r="AN94" s="754"/>
      <c r="AO94" s="754"/>
      <c r="AP94" s="754"/>
      <c r="AQ94" s="754"/>
      <c r="AR94" s="754"/>
      <c r="AS94" s="754"/>
      <c r="AT94" s="754"/>
      <c r="AU94" s="754"/>
      <c r="AV94" s="754"/>
      <c r="AW94" s="754"/>
      <c r="AX94" s="754"/>
    </row>
    <row r="95" spans="1:50" ht="60" customHeight="1">
      <c r="B95" s="64" t="s">
        <v>223</v>
      </c>
      <c r="C95" s="205"/>
      <c r="H95" s="754" t="s">
        <v>234</v>
      </c>
      <c r="I95" s="754"/>
      <c r="J95" s="754"/>
      <c r="K95" s="754"/>
      <c r="L95" s="754"/>
      <c r="M95" s="754"/>
      <c r="N95" s="754"/>
      <c r="O95" s="754"/>
      <c r="P95" s="754"/>
      <c r="Q95" s="754"/>
      <c r="R95" s="754"/>
      <c r="S95" s="754"/>
      <c r="T95" s="754"/>
      <c r="U95" s="754"/>
      <c r="V95" s="754"/>
      <c r="W95" s="754"/>
      <c r="X95" s="754"/>
      <c r="Y95" s="754"/>
      <c r="Z95" s="754"/>
      <c r="AA95" s="754"/>
      <c r="AB95" s="754"/>
      <c r="AC95" s="754"/>
      <c r="AD95" s="754"/>
      <c r="AE95" s="754"/>
      <c r="AF95" s="754"/>
      <c r="AG95" s="754"/>
      <c r="AH95" s="754"/>
      <c r="AI95" s="754"/>
      <c r="AJ95" s="754"/>
      <c r="AK95" s="754"/>
      <c r="AL95" s="754"/>
      <c r="AM95" s="754"/>
      <c r="AN95" s="754"/>
      <c r="AO95" s="754"/>
      <c r="AP95" s="754"/>
      <c r="AQ95" s="754"/>
      <c r="AR95" s="754"/>
      <c r="AS95" s="754"/>
      <c r="AT95" s="754"/>
      <c r="AU95" s="754"/>
      <c r="AV95" s="754"/>
      <c r="AW95" s="754"/>
      <c r="AX95" s="754"/>
    </row>
    <row r="96" spans="1:50" ht="60" customHeight="1">
      <c r="C96" s="205"/>
      <c r="H96" s="754"/>
      <c r="I96" s="754"/>
      <c r="J96" s="754"/>
      <c r="K96" s="754"/>
      <c r="L96" s="754"/>
      <c r="M96" s="754"/>
      <c r="N96" s="754"/>
      <c r="O96" s="754"/>
      <c r="P96" s="754"/>
      <c r="Q96" s="754"/>
      <c r="R96" s="754"/>
      <c r="S96" s="754"/>
      <c r="T96" s="754"/>
      <c r="U96" s="754"/>
      <c r="V96" s="754"/>
      <c r="W96" s="754"/>
      <c r="X96" s="754"/>
      <c r="Y96" s="754"/>
      <c r="Z96" s="754"/>
      <c r="AA96" s="754"/>
      <c r="AB96" s="754"/>
      <c r="AC96" s="754"/>
      <c r="AD96" s="754"/>
      <c r="AE96" s="754"/>
      <c r="AF96" s="754"/>
      <c r="AG96" s="754"/>
      <c r="AH96" s="754"/>
      <c r="AI96" s="754"/>
      <c r="AJ96" s="754"/>
      <c r="AK96" s="754"/>
      <c r="AL96" s="754"/>
      <c r="AM96" s="754"/>
      <c r="AN96" s="754"/>
      <c r="AO96" s="754"/>
      <c r="AP96" s="754"/>
      <c r="AQ96" s="754"/>
      <c r="AR96" s="754"/>
      <c r="AS96" s="754"/>
      <c r="AT96" s="754"/>
      <c r="AU96" s="754"/>
      <c r="AV96" s="754"/>
      <c r="AW96" s="754"/>
      <c r="AX96" s="754"/>
    </row>
    <row r="97" spans="2:50" ht="60" customHeight="1">
      <c r="B97" s="569"/>
      <c r="C97" s="205"/>
      <c r="H97" s="754"/>
      <c r="I97" s="754"/>
      <c r="J97" s="754"/>
      <c r="K97" s="754"/>
      <c r="L97" s="754"/>
      <c r="M97" s="754"/>
      <c r="N97" s="754"/>
      <c r="O97" s="754"/>
      <c r="P97" s="754"/>
      <c r="Q97" s="754"/>
      <c r="R97" s="754"/>
      <c r="S97" s="754"/>
      <c r="T97" s="754"/>
      <c r="U97" s="754"/>
      <c r="V97" s="754"/>
      <c r="W97" s="754"/>
      <c r="X97" s="754"/>
      <c r="Y97" s="754"/>
      <c r="Z97" s="754"/>
      <c r="AA97" s="754"/>
      <c r="AB97" s="754"/>
      <c r="AC97" s="754"/>
      <c r="AD97" s="754"/>
      <c r="AE97" s="754"/>
      <c r="AF97" s="754"/>
      <c r="AG97" s="754"/>
      <c r="AH97" s="754"/>
      <c r="AI97" s="754"/>
      <c r="AJ97" s="754"/>
      <c r="AK97" s="754"/>
      <c r="AL97" s="754"/>
      <c r="AM97" s="754"/>
      <c r="AN97" s="754"/>
      <c r="AO97" s="754"/>
      <c r="AP97" s="754"/>
      <c r="AQ97" s="754"/>
      <c r="AR97" s="754"/>
      <c r="AS97" s="754"/>
      <c r="AT97" s="754"/>
      <c r="AU97" s="754"/>
      <c r="AV97" s="754"/>
      <c r="AW97" s="754"/>
      <c r="AX97" s="754"/>
    </row>
    <row r="98" spans="2:50" ht="60" customHeight="1">
      <c r="B98" s="569"/>
      <c r="C98" s="205"/>
      <c r="H98" s="754"/>
      <c r="I98" s="754"/>
      <c r="J98" s="754"/>
      <c r="K98" s="754"/>
      <c r="L98" s="754"/>
      <c r="M98" s="754"/>
      <c r="N98" s="754"/>
      <c r="O98" s="754"/>
      <c r="P98" s="754"/>
      <c r="Q98" s="754"/>
      <c r="R98" s="754"/>
      <c r="S98" s="754"/>
      <c r="T98" s="754"/>
      <c r="U98" s="754"/>
      <c r="V98" s="754"/>
      <c r="W98" s="754"/>
      <c r="X98" s="754"/>
      <c r="Y98" s="754"/>
      <c r="Z98" s="754"/>
      <c r="AA98" s="754"/>
      <c r="AB98" s="754"/>
      <c r="AC98" s="754"/>
      <c r="AD98" s="754"/>
      <c r="AE98" s="754"/>
      <c r="AF98" s="754"/>
      <c r="AG98" s="754"/>
      <c r="AH98" s="754"/>
      <c r="AI98" s="754"/>
      <c r="AJ98" s="754"/>
      <c r="AK98" s="754"/>
      <c r="AL98" s="754"/>
      <c r="AM98" s="754"/>
      <c r="AN98" s="754"/>
      <c r="AO98" s="754"/>
      <c r="AP98" s="754"/>
      <c r="AQ98" s="754"/>
      <c r="AR98" s="754"/>
      <c r="AS98" s="754"/>
      <c r="AT98" s="754"/>
      <c r="AU98" s="754"/>
      <c r="AV98" s="754"/>
      <c r="AW98" s="754"/>
      <c r="AX98" s="754"/>
    </row>
    <row r="99" spans="2:50" ht="60" customHeight="1">
      <c r="B99" s="569"/>
      <c r="C99" s="205"/>
      <c r="H99" s="754"/>
      <c r="I99" s="754"/>
      <c r="J99" s="754"/>
      <c r="K99" s="754"/>
      <c r="L99" s="754"/>
      <c r="M99" s="754"/>
      <c r="N99" s="754"/>
      <c r="O99" s="754"/>
      <c r="P99" s="754"/>
      <c r="Q99" s="754"/>
      <c r="R99" s="754"/>
      <c r="S99" s="754"/>
      <c r="T99" s="754"/>
      <c r="U99" s="754"/>
      <c r="V99" s="754"/>
      <c r="W99" s="754"/>
      <c r="X99" s="754"/>
      <c r="Y99" s="754"/>
      <c r="Z99" s="754"/>
      <c r="AA99" s="754"/>
      <c r="AB99" s="754"/>
      <c r="AC99" s="754"/>
      <c r="AD99" s="754"/>
      <c r="AE99" s="754"/>
      <c r="AF99" s="754"/>
      <c r="AG99" s="754"/>
      <c r="AH99" s="754"/>
      <c r="AI99" s="754"/>
      <c r="AJ99" s="754"/>
      <c r="AK99" s="754"/>
      <c r="AL99" s="754"/>
      <c r="AM99" s="754"/>
      <c r="AN99" s="754"/>
      <c r="AO99" s="754"/>
      <c r="AP99" s="754"/>
      <c r="AQ99" s="754"/>
      <c r="AR99" s="754"/>
      <c r="AS99" s="754"/>
      <c r="AT99" s="754"/>
      <c r="AU99" s="754"/>
      <c r="AV99" s="754"/>
      <c r="AW99" s="754"/>
      <c r="AX99" s="754"/>
    </row>
  </sheetData>
  <mergeCells count="15">
    <mergeCell ref="H99:AX99"/>
    <mergeCell ref="H94:AX94"/>
    <mergeCell ref="H95:AX95"/>
    <mergeCell ref="H96:AX96"/>
    <mergeCell ref="H97:AX97"/>
    <mergeCell ref="H98:AX98"/>
    <mergeCell ref="H93:AX93"/>
    <mergeCell ref="AN8:AR8"/>
    <mergeCell ref="H92:AX92"/>
    <mergeCell ref="D8:H8"/>
    <mergeCell ref="J8:N8"/>
    <mergeCell ref="P8:T8"/>
    <mergeCell ref="V8:Z8"/>
    <mergeCell ref="AB8:AF8"/>
    <mergeCell ref="AH8:AL8"/>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T91"/>
  <sheetViews>
    <sheetView showGridLines="0" topLeftCell="A28" zoomScale="85" zoomScaleNormal="85" workbookViewId="0">
      <selection activeCell="B18" sqref="B18"/>
    </sheetView>
  </sheetViews>
  <sheetFormatPr defaultColWidth="11.625" defaultRowHeight="15" customHeight="1"/>
  <cols>
    <col min="1" max="1" width="2.125" style="23" customWidth="1"/>
    <col min="2" max="2" width="31.125" style="23" customWidth="1"/>
    <col min="3" max="13" width="12.375" style="23" customWidth="1"/>
    <col min="14" max="14" width="15.625" style="23" bestFit="1" customWidth="1"/>
    <col min="15" max="18" width="12.375" style="23" customWidth="1"/>
    <col min="19" max="16384" width="11.625" style="23"/>
  </cols>
  <sheetData>
    <row r="1" spans="1:20" s="576" customFormat="1" ht="15" customHeight="1"/>
    <row r="2" spans="1:20" s="576" customFormat="1" ht="15" customHeight="1"/>
    <row r="3" spans="1:20" s="576" customFormat="1" ht="15" customHeight="1"/>
    <row r="4" spans="1:20" s="576" customFormat="1" ht="15" customHeight="1"/>
    <row r="5" spans="1:20" s="36" customFormat="1" ht="3.95" customHeight="1"/>
    <row r="7" spans="1:20" ht="15" customHeight="1">
      <c r="B7" s="587" t="s">
        <v>235</v>
      </c>
      <c r="C7" s="576"/>
      <c r="D7" s="576"/>
      <c r="E7" s="576"/>
      <c r="F7" s="576"/>
      <c r="G7" s="576"/>
      <c r="H7" s="576"/>
      <c r="I7" s="576"/>
      <c r="J7" s="576"/>
      <c r="K7" s="576"/>
      <c r="L7" s="576"/>
      <c r="M7" s="576"/>
      <c r="N7" s="576"/>
      <c r="O7" s="576"/>
      <c r="P7" s="576"/>
      <c r="Q7" s="576"/>
      <c r="R7" s="576"/>
    </row>
    <row r="8" spans="1:20" ht="15" customHeight="1">
      <c r="B8" s="576"/>
      <c r="C8" s="576"/>
      <c r="D8" s="576"/>
      <c r="E8" s="576"/>
      <c r="F8" s="576"/>
      <c r="G8" s="576"/>
      <c r="H8" s="576"/>
      <c r="I8" s="576"/>
      <c r="J8" s="576"/>
      <c r="K8" s="576"/>
      <c r="L8" s="576"/>
      <c r="M8" s="576"/>
      <c r="N8" s="576"/>
      <c r="O8" s="576"/>
      <c r="P8" s="576"/>
      <c r="Q8" s="576"/>
      <c r="R8" s="576"/>
    </row>
    <row r="9" spans="1:20" ht="15" customHeight="1">
      <c r="B9" s="576"/>
      <c r="C9" s="576"/>
      <c r="D9" s="576"/>
      <c r="E9" s="576"/>
      <c r="F9" s="576"/>
      <c r="G9" s="576"/>
      <c r="H9" s="576"/>
      <c r="I9" s="576"/>
      <c r="J9" s="576"/>
      <c r="K9" s="576"/>
      <c r="L9" s="576"/>
      <c r="M9" s="576"/>
      <c r="N9" s="576"/>
      <c r="O9" s="576"/>
      <c r="P9" s="576"/>
      <c r="Q9" s="576"/>
      <c r="R9" s="576"/>
    </row>
    <row r="10" spans="1:20" ht="3.95" customHeight="1">
      <c r="B10" s="36"/>
      <c r="C10" s="36"/>
      <c r="D10" s="36"/>
      <c r="E10" s="36"/>
      <c r="F10" s="36"/>
      <c r="G10" s="36"/>
      <c r="H10" s="36"/>
      <c r="I10" s="36"/>
      <c r="J10" s="36"/>
      <c r="K10" s="36"/>
      <c r="L10" s="36"/>
      <c r="M10" s="36"/>
      <c r="N10" s="36"/>
      <c r="O10" s="36"/>
      <c r="P10" s="36"/>
      <c r="Q10" s="36"/>
      <c r="R10" s="36"/>
    </row>
    <row r="11" spans="1:20" ht="3.95" customHeight="1"/>
    <row r="12" spans="1:20" ht="15" customHeight="1">
      <c r="A12" s="380" t="s">
        <v>37</v>
      </c>
      <c r="B12" s="592" t="s">
        <v>236</v>
      </c>
      <c r="C12" s="593" t="s">
        <v>237</v>
      </c>
      <c r="D12" s="593" t="s">
        <v>238</v>
      </c>
      <c r="E12" s="593" t="s">
        <v>239</v>
      </c>
      <c r="F12" s="593" t="s">
        <v>240</v>
      </c>
      <c r="G12" s="593" t="s">
        <v>241</v>
      </c>
      <c r="H12" s="593" t="s">
        <v>242</v>
      </c>
      <c r="I12" s="593" t="s">
        <v>243</v>
      </c>
      <c r="J12" s="593" t="s">
        <v>244</v>
      </c>
      <c r="K12" s="593" t="s">
        <v>245</v>
      </c>
      <c r="L12" s="593" t="s">
        <v>246</v>
      </c>
      <c r="M12" s="593" t="s">
        <v>247</v>
      </c>
      <c r="N12" s="593" t="s">
        <v>248</v>
      </c>
      <c r="O12" s="593" t="s">
        <v>249</v>
      </c>
      <c r="P12" s="593" t="s">
        <v>250</v>
      </c>
      <c r="Q12" s="593" t="s">
        <v>251</v>
      </c>
      <c r="R12" s="593" t="s">
        <v>252</v>
      </c>
    </row>
    <row r="13" spans="1:20" ht="3.95" customHeight="1">
      <c r="A13" s="380"/>
      <c r="B13" s="591"/>
      <c r="C13" s="36"/>
      <c r="D13" s="36"/>
      <c r="E13" s="36"/>
      <c r="F13" s="36"/>
      <c r="G13" s="36"/>
      <c r="H13" s="36"/>
      <c r="I13" s="36"/>
      <c r="J13" s="36"/>
      <c r="K13" s="36"/>
      <c r="L13" s="36"/>
      <c r="M13" s="36"/>
      <c r="N13" s="36"/>
      <c r="O13" s="36"/>
      <c r="P13" s="36"/>
      <c r="Q13" s="36"/>
      <c r="R13" s="36"/>
    </row>
    <row r="14" spans="1:20" ht="15" customHeight="1">
      <c r="B14" s="375" t="s">
        <v>253</v>
      </c>
      <c r="C14" s="577">
        <v>1.2556564828912378</v>
      </c>
      <c r="D14" s="577">
        <v>0.11258157764160326</v>
      </c>
      <c r="E14" s="577">
        <v>0.11855769257251914</v>
      </c>
      <c r="F14" s="577">
        <v>0.12668831902045907</v>
      </c>
      <c r="G14" s="577">
        <v>0.15093567607930392</v>
      </c>
      <c r="H14" s="577">
        <v>5.8786290385200335E-2</v>
      </c>
      <c r="I14" s="577">
        <v>0.14072007083870353</v>
      </c>
      <c r="J14" s="577">
        <v>0.10465910604802242</v>
      </c>
      <c r="K14" s="577">
        <v>0.12981686205982035</v>
      </c>
      <c r="L14" s="577">
        <v>0.12981686205982035</v>
      </c>
      <c r="M14" s="577">
        <v>2.552477651782814E-2</v>
      </c>
      <c r="N14" s="577">
        <v>2.552477651782814E-2</v>
      </c>
      <c r="O14" s="577">
        <v>2.552477651782814E-2</v>
      </c>
      <c r="P14" s="577">
        <v>2.552477651782814E-2</v>
      </c>
      <c r="Q14" s="577">
        <v>2.552477651782814E-2</v>
      </c>
      <c r="R14" s="577">
        <v>2.552477651782814E-2</v>
      </c>
    </row>
    <row r="15" spans="1:20" ht="15" customHeight="1">
      <c r="B15" s="375" t="s">
        <v>254</v>
      </c>
      <c r="C15" s="577">
        <v>0.46735652015090823</v>
      </c>
      <c r="D15" s="577">
        <v>7.4483353558006504E-2</v>
      </c>
      <c r="E15" s="577">
        <v>6.5973345068198519E-2</v>
      </c>
      <c r="F15" s="577">
        <v>9.9914554430816205E-2</v>
      </c>
      <c r="G15" s="577">
        <v>-0.18791589921091578</v>
      </c>
      <c r="H15" s="577">
        <v>4.572919143008991E-2</v>
      </c>
      <c r="I15" s="577">
        <v>0.12788179780250752</v>
      </c>
      <c r="J15" s="577">
        <v>3.0018487919324155E-2</v>
      </c>
      <c r="K15" s="577">
        <v>2.4792939396986569E-2</v>
      </c>
      <c r="L15" s="577">
        <v>6.9313481518517905E-2</v>
      </c>
      <c r="M15" s="577">
        <v>0.21460678456712889</v>
      </c>
      <c r="N15" s="577">
        <v>0</v>
      </c>
      <c r="O15" s="577">
        <v>5.5534967640631372E-2</v>
      </c>
      <c r="P15" s="577">
        <v>-5.3689787824920843E-2</v>
      </c>
      <c r="Q15" s="577">
        <v>3.3368995745951757E-2</v>
      </c>
      <c r="R15" s="577">
        <v>-6.5916061293164296E-2</v>
      </c>
    </row>
    <row r="16" spans="1:20" ht="15" customHeight="1">
      <c r="B16" s="375" t="s">
        <v>255</v>
      </c>
      <c r="C16" s="577">
        <v>1.3232691071229663</v>
      </c>
      <c r="D16" s="577">
        <v>0.14565826014208194</v>
      </c>
      <c r="E16" s="577">
        <v>0.13090248681181715</v>
      </c>
      <c r="F16" s="577">
        <v>0.15852495154765678</v>
      </c>
      <c r="G16" s="577">
        <v>0.32239036568645485</v>
      </c>
      <c r="H16" s="577">
        <v>3.5551933582061102E-2</v>
      </c>
      <c r="I16" s="577">
        <v>0.12152993046893323</v>
      </c>
      <c r="J16" s="577">
        <v>0.15297977270720331</v>
      </c>
      <c r="K16" s="577">
        <v>0.24266391928169906</v>
      </c>
      <c r="L16" s="577">
        <v>0.24266391928169906</v>
      </c>
      <c r="M16" s="577">
        <v>5.6092436974789939E-2</v>
      </c>
      <c r="N16" s="577">
        <v>5.6092436974789939E-2</v>
      </c>
      <c r="O16" s="577">
        <v>5.6092436974789939E-2</v>
      </c>
      <c r="P16" s="577">
        <v>5.6092436974789939E-2</v>
      </c>
      <c r="Q16" s="577">
        <v>5.6092436974789939E-2</v>
      </c>
      <c r="R16" s="577">
        <v>5.6092436974789939E-2</v>
      </c>
      <c r="T16" s="485"/>
    </row>
    <row r="17" spans="1:18" ht="15" customHeight="1">
      <c r="B17" s="375" t="s">
        <v>256</v>
      </c>
      <c r="C17" s="577">
        <v>0.74828656100318081</v>
      </c>
      <c r="D17" s="577">
        <v>0.45272412938286544</v>
      </c>
      <c r="E17" s="577">
        <v>0.4363497005988024</v>
      </c>
      <c r="F17" s="577">
        <v>-0.45637699726400605</v>
      </c>
      <c r="G17" s="577">
        <v>-1.5516544711641544</v>
      </c>
      <c r="H17" s="577">
        <v>0.40695061788697307</v>
      </c>
      <c r="I17" s="577">
        <v>0.26944998245060781</v>
      </c>
      <c r="J17" s="577">
        <v>-7.2534124058062366E-3</v>
      </c>
      <c r="K17" s="577">
        <v>-1.2785195606024868</v>
      </c>
      <c r="L17" s="577">
        <v>-1.2785195606024868</v>
      </c>
      <c r="M17" s="577">
        <v>-0.13783917758845143</v>
      </c>
      <c r="N17" s="577">
        <v>-0.13783917758845143</v>
      </c>
      <c r="O17" s="577">
        <v>-0.13783917758845143</v>
      </c>
      <c r="P17" s="577">
        <v>-0.13783917758845143</v>
      </c>
      <c r="Q17" s="577">
        <v>-0.13783917758845143</v>
      </c>
      <c r="R17" s="577">
        <v>-0.13783917758845143</v>
      </c>
    </row>
    <row r="18" spans="1:18" ht="15" customHeight="1">
      <c r="B18" s="375" t="s">
        <v>257</v>
      </c>
      <c r="C18" s="577">
        <v>1.0020521982664961</v>
      </c>
      <c r="D18" s="577">
        <v>0.25926503208180862</v>
      </c>
      <c r="E18" s="577">
        <v>0.26076944261843593</v>
      </c>
      <c r="F18" s="577">
        <v>-0.26252501867580247</v>
      </c>
      <c r="G18" s="577">
        <v>-3.2686743392456306</v>
      </c>
      <c r="H18" s="577">
        <v>5.3443644274579372E-2</v>
      </c>
      <c r="I18" s="577">
        <v>0.23964657690368441</v>
      </c>
      <c r="J18" s="577">
        <v>0.10055049768139246</v>
      </c>
      <c r="K18" s="577">
        <v>-1.6210999912810822</v>
      </c>
      <c r="L18" s="577">
        <v>-1.6210999912810822</v>
      </c>
      <c r="M18" s="577">
        <v>-5.9208487282412903E-2</v>
      </c>
      <c r="N18" s="577">
        <v>-5.9208487282412903E-2</v>
      </c>
      <c r="O18" s="577">
        <v>-5.9208487282412903E-2</v>
      </c>
      <c r="P18" s="577">
        <v>-5.9208487282412903E-2</v>
      </c>
      <c r="Q18" s="577">
        <v>-5.9208487282412903E-2</v>
      </c>
      <c r="R18" s="577">
        <v>-5.9208487282412903E-2</v>
      </c>
    </row>
    <row r="19" spans="1:18" ht="15" customHeight="1">
      <c r="B19" s="375" t="s">
        <v>258</v>
      </c>
      <c r="C19" s="577">
        <f>-(55/177.4)-1</f>
        <v>-1.3100338218714769</v>
      </c>
      <c r="D19" s="577">
        <v>0.12284517061875797</v>
      </c>
      <c r="E19" s="577">
        <v>2.1083571781179984E-2</v>
      </c>
      <c r="F19" s="577">
        <v>0.63279099044856191</v>
      </c>
      <c r="G19" s="577">
        <f>(-88.2/279.4)-1</f>
        <v>-1.3156764495347173</v>
      </c>
      <c r="H19" s="577">
        <v>0.80945236309077284</v>
      </c>
      <c r="I19" s="577">
        <v>-4.5196394025954517E-2</v>
      </c>
      <c r="J19" s="577">
        <v>-0.16044988262585744</v>
      </c>
      <c r="K19" s="577">
        <v>16.335792798483897</v>
      </c>
      <c r="L19" s="577">
        <v>0.86648428183467119</v>
      </c>
      <c r="M19" s="577">
        <v>0.24876016214135266</v>
      </c>
      <c r="N19" s="577">
        <v>-2.8232662192393745</v>
      </c>
      <c r="O19" s="577">
        <v>0.45966727679854252</v>
      </c>
      <c r="P19" s="577">
        <v>-2.9005953556615272E-2</v>
      </c>
      <c r="Q19" s="577">
        <v>-0.56520087756926007</v>
      </c>
      <c r="R19" s="577">
        <v>-0.45922865489870879</v>
      </c>
    </row>
    <row r="20" spans="1:18" ht="15" customHeight="1">
      <c r="B20" s="375"/>
    </row>
    <row r="21" spans="1:18" ht="15" customHeight="1">
      <c r="A21" s="380" t="s">
        <v>37</v>
      </c>
      <c r="B21" s="592" t="s">
        <v>259</v>
      </c>
      <c r="C21" s="593" t="s">
        <v>237</v>
      </c>
      <c r="D21" s="593" t="s">
        <v>238</v>
      </c>
      <c r="E21" s="593" t="s">
        <v>239</v>
      </c>
      <c r="F21" s="593" t="s">
        <v>240</v>
      </c>
      <c r="G21" s="593" t="s">
        <v>241</v>
      </c>
      <c r="H21" s="593" t="s">
        <v>242</v>
      </c>
      <c r="I21" s="593" t="s">
        <v>243</v>
      </c>
      <c r="J21" s="593" t="s">
        <v>244</v>
      </c>
      <c r="K21" s="593" t="s">
        <v>245</v>
      </c>
      <c r="L21" s="593" t="s">
        <v>246</v>
      </c>
      <c r="M21" s="593" t="s">
        <v>247</v>
      </c>
      <c r="N21" s="593" t="s">
        <v>248</v>
      </c>
      <c r="O21" s="593" t="s">
        <v>249</v>
      </c>
      <c r="P21" s="593" t="s">
        <v>250</v>
      </c>
      <c r="Q21" s="593" t="s">
        <v>251</v>
      </c>
      <c r="R21" s="593" t="s">
        <v>252</v>
      </c>
    </row>
    <row r="22" spans="1:18" ht="3.95" customHeight="1">
      <c r="A22" s="380"/>
      <c r="B22" s="591"/>
      <c r="C22" s="36"/>
      <c r="D22" s="36"/>
      <c r="E22" s="36"/>
      <c r="F22" s="36"/>
      <c r="G22" s="36"/>
      <c r="H22" s="36"/>
      <c r="I22" s="36"/>
      <c r="J22" s="36"/>
      <c r="K22" s="36"/>
      <c r="L22" s="36"/>
      <c r="M22" s="36"/>
      <c r="N22" s="36"/>
      <c r="O22" s="36"/>
      <c r="P22" s="36"/>
      <c r="Q22" s="36"/>
      <c r="R22" s="36"/>
    </row>
    <row r="23" spans="1:18" ht="15" customHeight="1">
      <c r="B23" s="375" t="s">
        <v>260</v>
      </c>
      <c r="C23" s="577">
        <v>0.53283921375725518</v>
      </c>
      <c r="D23" s="577">
        <v>0.58975139313489944</v>
      </c>
      <c r="E23" s="577">
        <v>0.60555052428014089</v>
      </c>
      <c r="F23" s="577">
        <v>0.54691909515554105</v>
      </c>
      <c r="G23" s="577">
        <v>0.4909949869591983</v>
      </c>
      <c r="H23" s="577">
        <v>0.6326875413272397</v>
      </c>
      <c r="I23" s="577">
        <v>0.41934009889200807</v>
      </c>
      <c r="J23" s="577">
        <v>0.47214617778420293</v>
      </c>
      <c r="K23" s="577">
        <v>0.43149021580888103</v>
      </c>
      <c r="L23" s="577">
        <v>0.49122839643755334</v>
      </c>
      <c r="M23" s="577">
        <v>0.56584058603513765</v>
      </c>
      <c r="N23" s="577">
        <f>2508.1/20209.1</f>
        <v>0.12410745654185491</v>
      </c>
      <c r="O23" s="577">
        <v>0.49366296686006306</v>
      </c>
      <c r="P23" s="577">
        <v>0.38438671893798892</v>
      </c>
      <c r="Q23" s="577">
        <v>0.47652139749691985</v>
      </c>
      <c r="R23" s="577">
        <v>0.74840406921157021</v>
      </c>
    </row>
    <row r="24" spans="1:18" ht="15" customHeight="1">
      <c r="B24" s="375" t="s">
        <v>261</v>
      </c>
      <c r="C24" s="577">
        <v>4.5781659674217129E-2</v>
      </c>
      <c r="D24" s="577">
        <v>7.9076046424993773E-2</v>
      </c>
      <c r="E24" s="577">
        <v>8.7234072619106498E-2</v>
      </c>
      <c r="F24" s="577">
        <v>0.10597012599555898</v>
      </c>
      <c r="G24" s="577">
        <v>-3.1269192174225968E-2</v>
      </c>
      <c r="H24" s="577">
        <v>3.9080387385239591E-2</v>
      </c>
      <c r="I24" s="577">
        <v>0.18839931272875421</v>
      </c>
      <c r="J24" s="577">
        <v>0.19444034421626885</v>
      </c>
      <c r="K24" s="577">
        <v>7.2864493462155133E-3</v>
      </c>
      <c r="L24" s="577">
        <v>8.551502478986156E-2</v>
      </c>
      <c r="M24" s="577">
        <v>0.19742016617794339</v>
      </c>
      <c r="N24" s="577">
        <v>0.12461712792751783</v>
      </c>
      <c r="O24" s="577">
        <v>0.12826934691577796</v>
      </c>
      <c r="P24" s="577">
        <v>5.8960718767699885E-2</v>
      </c>
      <c r="Q24" s="577">
        <v>0.15136700636687894</v>
      </c>
      <c r="R24" s="577">
        <v>0.1626292327488294</v>
      </c>
    </row>
    <row r="25" spans="1:18" ht="15" customHeight="1">
      <c r="B25" s="375" t="s">
        <v>262</v>
      </c>
      <c r="C25" s="577">
        <v>0.12207757863306611</v>
      </c>
      <c r="D25" s="577">
        <v>0.15388594578914871</v>
      </c>
      <c r="E25" s="577">
        <v>0.1902845925980835</v>
      </c>
      <c r="F25" s="577">
        <v>0.21094770473970165</v>
      </c>
      <c r="G25" s="577">
        <v>0.23217043768631943</v>
      </c>
      <c r="H25" s="577">
        <v>0.19796398537051274</v>
      </c>
      <c r="I25" s="577">
        <v>0.25010125328902022</v>
      </c>
      <c r="J25" s="577">
        <v>0.20331435492219241</v>
      </c>
      <c r="K25" s="577">
        <v>0.1128412489147561</v>
      </c>
      <c r="L25" s="577">
        <v>0.14000350257573296</v>
      </c>
      <c r="M25" s="577">
        <v>0.24680885745139691</v>
      </c>
      <c r="N25" s="577">
        <v>0.16590051016621227</v>
      </c>
      <c r="O25" s="577">
        <v>0.18268300145489513</v>
      </c>
      <c r="P25" s="577">
        <v>0.11302377752851415</v>
      </c>
      <c r="Q25" s="577">
        <v>0.18864833452691246</v>
      </c>
      <c r="R25" s="577">
        <v>0.217</v>
      </c>
    </row>
    <row r="26" spans="1:18" ht="15" customHeight="1">
      <c r="B26" s="375" t="s">
        <v>263</v>
      </c>
      <c r="C26" s="577">
        <v>4.0780080272055742E-2</v>
      </c>
      <c r="D26" s="577">
        <v>2.4406575445181943E-2</v>
      </c>
      <c r="E26" s="577">
        <v>8.2892606075517891E-2</v>
      </c>
      <c r="F26" s="577">
        <v>5.9251579805982786E-2</v>
      </c>
      <c r="G26" s="577">
        <v>-0.22682878299976508</v>
      </c>
      <c r="H26" s="577">
        <v>5.9826099473260432E-4</v>
      </c>
      <c r="I26" s="577">
        <v>0.1869307591933026</v>
      </c>
      <c r="J26" s="577">
        <v>0.27970843573336174</v>
      </c>
      <c r="K26" s="577">
        <v>2.6283063770001832E-2</v>
      </c>
      <c r="L26" s="577">
        <v>7.4982864247647482E-2</v>
      </c>
      <c r="M26" s="577">
        <v>0.141571056039069</v>
      </c>
      <c r="N26" s="577">
        <v>8.4120519963778714E-2</v>
      </c>
      <c r="O26" s="577">
        <v>0.10506889069584247</v>
      </c>
      <c r="P26" s="577">
        <v>4.7606884118328648E-2</v>
      </c>
      <c r="Q26" s="577">
        <v>0.12633428703640537</v>
      </c>
      <c r="R26" s="577">
        <v>0.13678792706694734</v>
      </c>
    </row>
    <row r="27" spans="1:18" ht="15" customHeight="1">
      <c r="B27" s="375" t="s">
        <v>264</v>
      </c>
      <c r="C27" s="577">
        <f>(5548.7/11548.4)</f>
        <v>0.48047348550448549</v>
      </c>
      <c r="D27" s="577">
        <v>0.43787537469352694</v>
      </c>
      <c r="E27" s="577">
        <v>0.35119911756185729</v>
      </c>
      <c r="F27" s="577">
        <v>0.33611784081767937</v>
      </c>
      <c r="G27" s="577">
        <v>0.44772006846869883</v>
      </c>
      <c r="H27" s="577">
        <v>0.59500339614324083</v>
      </c>
      <c r="I27" s="577">
        <v>0.23384148281592268</v>
      </c>
      <c r="J27" s="577">
        <v>0.27222911229637298</v>
      </c>
      <c r="K27" s="577">
        <v>0.37046635466497063</v>
      </c>
      <c r="L27" s="577">
        <v>0.35267042278256655</v>
      </c>
      <c r="M27" s="577">
        <v>0.37291451009246673</v>
      </c>
      <c r="N27" s="577"/>
      <c r="O27" s="577">
        <v>0.37058677289293918</v>
      </c>
      <c r="P27" s="577">
        <v>0.3309270755824068</v>
      </c>
      <c r="Q27" s="577">
        <v>0.34168076947207693</v>
      </c>
      <c r="R27" s="577">
        <v>0.47491697634692387</v>
      </c>
    </row>
    <row r="28" spans="1:18" ht="15" customHeight="1">
      <c r="B28" s="375" t="s">
        <v>265</v>
      </c>
      <c r="C28" s="577"/>
      <c r="D28" s="577"/>
      <c r="E28" s="577"/>
      <c r="F28" s="577"/>
      <c r="G28" s="577"/>
      <c r="H28" s="577"/>
      <c r="I28" s="577"/>
      <c r="J28" s="577"/>
      <c r="K28" s="577"/>
      <c r="L28" s="577"/>
      <c r="M28" s="577"/>
      <c r="N28" s="577"/>
      <c r="O28" s="577">
        <v>2.4136005487746678E-2</v>
      </c>
      <c r="P28" s="577"/>
      <c r="Q28" s="577">
        <v>3.7294206883222956E-2</v>
      </c>
      <c r="R28" s="577">
        <v>3.5670316963776504E-2</v>
      </c>
    </row>
    <row r="29" spans="1:18" ht="15" customHeight="1">
      <c r="B29" s="375"/>
    </row>
    <row r="30" spans="1:18" ht="15" customHeight="1">
      <c r="A30" s="380" t="s">
        <v>37</v>
      </c>
      <c r="B30" s="592" t="s">
        <v>266</v>
      </c>
      <c r="C30" s="593" t="s">
        <v>237</v>
      </c>
      <c r="D30" s="593" t="s">
        <v>238</v>
      </c>
      <c r="E30" s="593" t="s">
        <v>239</v>
      </c>
      <c r="F30" s="593" t="s">
        <v>240</v>
      </c>
      <c r="G30" s="593" t="s">
        <v>241</v>
      </c>
      <c r="H30" s="593" t="s">
        <v>242</v>
      </c>
      <c r="I30" s="593" t="s">
        <v>243</v>
      </c>
      <c r="J30" s="593" t="s">
        <v>244</v>
      </c>
      <c r="K30" s="593" t="s">
        <v>245</v>
      </c>
      <c r="L30" s="593" t="s">
        <v>246</v>
      </c>
      <c r="M30" s="593" t="s">
        <v>247</v>
      </c>
      <c r="N30" s="593" t="s">
        <v>248</v>
      </c>
      <c r="O30" s="593" t="s">
        <v>249</v>
      </c>
      <c r="P30" s="593" t="s">
        <v>250</v>
      </c>
      <c r="Q30" s="593" t="s">
        <v>251</v>
      </c>
      <c r="R30" s="593" t="s">
        <v>252</v>
      </c>
    </row>
    <row r="31" spans="1:18" ht="3.95" customHeight="1">
      <c r="A31" s="380"/>
      <c r="B31" s="591"/>
      <c r="C31" s="36"/>
      <c r="D31" s="36"/>
      <c r="E31" s="36"/>
      <c r="F31" s="36"/>
      <c r="G31" s="36"/>
      <c r="H31" s="36"/>
      <c r="I31" s="36"/>
      <c r="J31" s="36"/>
      <c r="K31" s="36"/>
      <c r="L31" s="36"/>
      <c r="M31" s="36"/>
      <c r="N31" s="36"/>
      <c r="O31" s="36"/>
      <c r="P31" s="36"/>
      <c r="Q31" s="36"/>
      <c r="R31" s="36"/>
    </row>
    <row r="32" spans="1:18" ht="15" customHeight="1">
      <c r="B32" s="375" t="s">
        <v>267</v>
      </c>
      <c r="C32" s="577">
        <v>0.16918018405348562</v>
      </c>
      <c r="D32" s="577">
        <v>6.9005171201136015E-2</v>
      </c>
      <c r="E32" s="577">
        <v>9.7664510633284018E-2</v>
      </c>
      <c r="F32" s="577">
        <v>0.14464212046872504</v>
      </c>
      <c r="G32" s="577">
        <v>0.11062664754319088</v>
      </c>
      <c r="H32" s="577">
        <v>4.198688403697752E-2</v>
      </c>
      <c r="I32" s="577">
        <v>0.24773206190581726</v>
      </c>
      <c r="J32" s="577">
        <v>9.9680304942021708E-2</v>
      </c>
      <c r="K32" s="577">
        <v>4.9972688027679728E-2</v>
      </c>
      <c r="L32" s="577">
        <v>0.10286241480344223</v>
      </c>
      <c r="M32" s="577">
        <v>0.2494247150848298</v>
      </c>
      <c r="N32" s="577">
        <v>0.13886843138093052</v>
      </c>
      <c r="O32" s="577">
        <v>8.6845470550201392E-2</v>
      </c>
      <c r="P32" s="577">
        <v>0.10023206236405019</v>
      </c>
      <c r="Q32" s="577">
        <v>6.7329469805616077E-2</v>
      </c>
      <c r="R32" s="577">
        <v>5.5541628185449742E-2</v>
      </c>
    </row>
    <row r="33" spans="1:18" ht="15" customHeight="1">
      <c r="B33" s="375" t="s">
        <v>268</v>
      </c>
      <c r="C33" s="577">
        <v>-5.1281769208451951E-3</v>
      </c>
      <c r="D33" s="577">
        <v>0.15597083980324034</v>
      </c>
      <c r="E33" s="577">
        <v>0.12040781868952528</v>
      </c>
      <c r="F33" s="577">
        <v>0.18381890892497893</v>
      </c>
      <c r="G33" s="577">
        <v>-8.567199658688146E-2</v>
      </c>
      <c r="H33" s="577">
        <v>0.17803777464342815</v>
      </c>
      <c r="I33" s="577">
        <v>0.14329722966851402</v>
      </c>
      <c r="J33" s="577">
        <v>0.12380824025319151</v>
      </c>
      <c r="K33" s="577">
        <v>0.12433083269240665</v>
      </c>
      <c r="L33" s="577">
        <v>0.15469666581063035</v>
      </c>
      <c r="M33" s="577">
        <v>8.4197025681741824E-2</v>
      </c>
      <c r="N33" s="577">
        <v>-0.12402522860121132</v>
      </c>
      <c r="O33" s="577">
        <v>0.15398743842655321</v>
      </c>
      <c r="P33" s="577">
        <v>0.25743588976330828</v>
      </c>
      <c r="Q33" s="577">
        <v>7.5427382228131112E-2</v>
      </c>
      <c r="R33" s="577">
        <v>9.2778968777757556E-2</v>
      </c>
    </row>
    <row r="34" spans="1:18" ht="15" customHeight="1">
      <c r="B34" s="375" t="s">
        <v>269</v>
      </c>
      <c r="C34" s="577">
        <v>8.0544041102677752E-2</v>
      </c>
      <c r="D34" s="577">
        <v>0.14595230847130122</v>
      </c>
      <c r="E34" s="577">
        <v>0.13188881627728696</v>
      </c>
      <c r="F34" s="577">
        <v>0.2207717414789902</v>
      </c>
      <c r="G34" s="577">
        <v>-0.53597636050234065</v>
      </c>
      <c r="H34" s="577">
        <v>9.2869725837623332E-2</v>
      </c>
      <c r="I34" s="577">
        <v>0.27617269412509737</v>
      </c>
      <c r="J34" s="577">
        <v>0.16736201365414582</v>
      </c>
      <c r="K34" s="577">
        <v>9.2236425977918722E-3</v>
      </c>
      <c r="L34" s="577">
        <v>0.20200545856252125</v>
      </c>
      <c r="M34" s="577">
        <v>0.27095313606069654</v>
      </c>
      <c r="N34" s="577">
        <v>0.22679298296170894</v>
      </c>
      <c r="O34" s="577">
        <v>0.17848210586608418</v>
      </c>
      <c r="P34" s="577">
        <v>0.17996203475627673</v>
      </c>
      <c r="Q34" s="577">
        <v>0.15399647681218401</v>
      </c>
      <c r="R34" s="577">
        <v>0.10169917993061042</v>
      </c>
    </row>
    <row r="35" spans="1:18" ht="15" customHeight="1">
      <c r="B35" s="375" t="s">
        <v>270</v>
      </c>
      <c r="C35" s="577">
        <v>4.968442073867628E-2</v>
      </c>
      <c r="D35" s="577">
        <v>0.14098604268990045</v>
      </c>
      <c r="E35" s="577">
        <v>0.11689861023223813</v>
      </c>
      <c r="F35" s="577">
        <v>0.24459662540713464</v>
      </c>
      <c r="G35" s="577">
        <v>-0.15295423881268272</v>
      </c>
      <c r="H35" s="577">
        <v>4.1637751561415678E-2</v>
      </c>
      <c r="I35" s="577">
        <v>0.27216006527861164</v>
      </c>
      <c r="J35" s="577">
        <v>0.12648077950064168</v>
      </c>
      <c r="K35" s="577">
        <v>7.4163006001170852E-3</v>
      </c>
      <c r="L35" s="577">
        <v>0.2030242893905875</v>
      </c>
      <c r="M35" s="577">
        <v>0.34729880353377363</v>
      </c>
      <c r="N35" s="577">
        <v>0.31925358754627048</v>
      </c>
      <c r="O35" s="577">
        <v>0.14090751694137946</v>
      </c>
      <c r="P35" s="577">
        <v>0.17581410751738602</v>
      </c>
      <c r="Q35" s="577">
        <v>0.13624141412298166</v>
      </c>
      <c r="R35" s="577">
        <v>9.829912970846838E-2</v>
      </c>
    </row>
    <row r="36" spans="1:18" ht="15" customHeight="1">
      <c r="B36" s="375" t="s">
        <v>271</v>
      </c>
      <c r="C36" s="577">
        <v>0.13930500268245163</v>
      </c>
      <c r="D36" s="577">
        <v>7.7408803136922194E-2</v>
      </c>
      <c r="E36" s="577">
        <v>0.1326983622561505</v>
      </c>
      <c r="F36" s="577">
        <v>0.15221258734814769</v>
      </c>
      <c r="G36" s="577">
        <v>-2.2153999999999998</v>
      </c>
      <c r="H36" s="577">
        <v>5.0451406057710948E-4</v>
      </c>
      <c r="I36" s="577">
        <v>0.36040769296551844</v>
      </c>
      <c r="J36" s="577">
        <v>0.21160090518673877</v>
      </c>
      <c r="K36" s="577">
        <v>6.4712410041753474E-2</v>
      </c>
      <c r="L36" s="577">
        <v>0.13232501316664222</v>
      </c>
      <c r="M36" s="577">
        <v>0.27925057952138777</v>
      </c>
      <c r="N36" s="577">
        <v>0.23655958866462115</v>
      </c>
      <c r="O36" s="577">
        <v>0.10544832764095624</v>
      </c>
      <c r="P36" s="577">
        <v>0.13602923676597367</v>
      </c>
      <c r="Q36" s="577">
        <v>0.10359023079164029</v>
      </c>
      <c r="R36" s="577">
        <v>7.0283704258477672E-2</v>
      </c>
    </row>
    <row r="37" spans="1:18" ht="15" customHeight="1">
      <c r="B37" s="375" t="s">
        <v>272</v>
      </c>
      <c r="C37" s="577">
        <v>7.3857083681968319E-2</v>
      </c>
      <c r="D37" s="577">
        <v>3.0591115062848645E-2</v>
      </c>
      <c r="E37" s="577">
        <v>7.203565145028594E-2</v>
      </c>
      <c r="F37" s="577">
        <v>5.7445468097551508E-2</v>
      </c>
      <c r="G37" s="577">
        <v>-2.9876775207549069E-2</v>
      </c>
      <c r="H37" s="577">
        <v>3.1506099150351708E-4</v>
      </c>
      <c r="I37" s="577">
        <v>0.25766966122780227</v>
      </c>
      <c r="J37" s="577">
        <v>0.19165889299348288</v>
      </c>
      <c r="K37" s="577">
        <v>4.0760493610266242E-2</v>
      </c>
      <c r="L37" s="577">
        <v>4.5710791916203378E-2</v>
      </c>
      <c r="M37" s="577">
        <v>0.17512449523435836</v>
      </c>
      <c r="N37" s="577">
        <v>8.9178456583206125E-2</v>
      </c>
      <c r="O37" s="577">
        <v>7.7390537802409551E-2</v>
      </c>
      <c r="P37" s="577">
        <v>8.7344845737184387E-2</v>
      </c>
      <c r="Q37" s="577">
        <v>6.4491798215918938E-2</v>
      </c>
      <c r="R37" s="577">
        <v>5.4794079800868881E-2</v>
      </c>
    </row>
    <row r="38" spans="1:18" ht="15" customHeight="1">
      <c r="B38" s="375"/>
    </row>
    <row r="39" spans="1:18" ht="15" customHeight="1">
      <c r="A39" s="380" t="s">
        <v>37</v>
      </c>
      <c r="B39" s="592" t="s">
        <v>273</v>
      </c>
      <c r="C39" s="593" t="s">
        <v>237</v>
      </c>
      <c r="D39" s="593" t="s">
        <v>238</v>
      </c>
      <c r="E39" s="593" t="s">
        <v>239</v>
      </c>
      <c r="F39" s="593" t="s">
        <v>240</v>
      </c>
      <c r="G39" s="593" t="s">
        <v>241</v>
      </c>
      <c r="H39" s="593" t="s">
        <v>242</v>
      </c>
      <c r="I39" s="593" t="s">
        <v>243</v>
      </c>
      <c r="J39" s="593" t="s">
        <v>244</v>
      </c>
      <c r="K39" s="593" t="s">
        <v>245</v>
      </c>
      <c r="L39" s="593" t="s">
        <v>246</v>
      </c>
      <c r="M39" s="593" t="s">
        <v>247</v>
      </c>
      <c r="N39" s="593" t="s">
        <v>248</v>
      </c>
      <c r="O39" s="593" t="s">
        <v>249</v>
      </c>
      <c r="P39" s="593" t="s">
        <v>250</v>
      </c>
      <c r="Q39" s="593" t="s">
        <v>251</v>
      </c>
      <c r="R39" s="593" t="s">
        <v>252</v>
      </c>
    </row>
    <row r="40" spans="1:18" ht="3.95" customHeight="1">
      <c r="A40" s="380"/>
      <c r="B40" s="591"/>
      <c r="C40" s="36"/>
      <c r="D40" s="36"/>
      <c r="E40" s="36"/>
      <c r="F40" s="36"/>
      <c r="G40" s="36"/>
      <c r="H40" s="36"/>
      <c r="I40" s="36"/>
      <c r="J40" s="36"/>
      <c r="K40" s="36"/>
      <c r="L40" s="36"/>
      <c r="M40" s="36"/>
      <c r="N40" s="36"/>
      <c r="O40" s="36"/>
      <c r="P40" s="36"/>
      <c r="Q40" s="36"/>
      <c r="R40" s="36"/>
    </row>
    <row r="41" spans="1:18" ht="15" customHeight="1">
      <c r="B41" s="375" t="s">
        <v>274</v>
      </c>
      <c r="C41" s="578">
        <v>1.0732879292322801</v>
      </c>
      <c r="D41" s="578">
        <v>0.75544774847004859</v>
      </c>
      <c r="E41" s="578">
        <v>0.81268038691563393</v>
      </c>
      <c r="F41" s="578">
        <v>0.91776053838817351</v>
      </c>
      <c r="G41" s="578">
        <v>0.74016265819605964</v>
      </c>
      <c r="H41" s="578">
        <v>0.69291238315242731</v>
      </c>
      <c r="I41" s="578">
        <v>1.0574967965983124</v>
      </c>
      <c r="J41" s="578">
        <v>0.64482474281876279</v>
      </c>
      <c r="K41" s="578">
        <v>0.68295093230348858</v>
      </c>
      <c r="L41" s="578">
        <v>0.87263689723461613</v>
      </c>
      <c r="M41" s="578">
        <v>1.2196158059084148</v>
      </c>
      <c r="N41" s="578">
        <v>1.0601272629033356</v>
      </c>
      <c r="O41" s="578">
        <v>0.806098234150884</v>
      </c>
      <c r="P41" s="578">
        <v>1.8347104070093221</v>
      </c>
      <c r="Q41" s="578">
        <v>0.57519467035555827</v>
      </c>
      <c r="R41" s="578">
        <v>0.47045338295127193</v>
      </c>
    </row>
    <row r="42" spans="1:18" ht="15" customHeight="1">
      <c r="B42" s="375" t="s">
        <v>275</v>
      </c>
      <c r="C42" s="578">
        <v>0.76537203246332575</v>
      </c>
      <c r="D42" s="578">
        <v>1.0571957612562211</v>
      </c>
      <c r="E42" s="578">
        <v>1.0299645300510003</v>
      </c>
      <c r="F42" s="578">
        <v>1.480961121696508</v>
      </c>
      <c r="G42" s="578">
        <v>1.1867730086243713</v>
      </c>
      <c r="H42" s="578">
        <v>0.8866146555774197</v>
      </c>
      <c r="I42" s="578">
        <v>1.3148878502899277</v>
      </c>
      <c r="J42" s="578">
        <v>0.80942694255014225</v>
      </c>
      <c r="K42" s="578">
        <v>1.0990871953193344</v>
      </c>
      <c r="L42" s="578">
        <v>1.4212626372630535</v>
      </c>
      <c r="M42" s="578">
        <v>1.2787006973397776</v>
      </c>
      <c r="N42" s="578">
        <v>1.35923459779392</v>
      </c>
      <c r="O42" s="578">
        <v>1.0928418766244818</v>
      </c>
      <c r="P42" s="578">
        <v>3.2742115342658358</v>
      </c>
      <c r="Q42" s="578">
        <v>0.77533427152757495</v>
      </c>
      <c r="R42" s="578">
        <v>1.763776693868524</v>
      </c>
    </row>
    <row r="43" spans="1:18" ht="15" customHeight="1">
      <c r="B43" s="375" t="s">
        <v>276</v>
      </c>
      <c r="C43" s="578">
        <v>7.61458736850226</v>
      </c>
      <c r="D43" s="578">
        <v>4.1347389184599983</v>
      </c>
      <c r="E43" s="578">
        <v>3.0796468582863423</v>
      </c>
      <c r="F43" s="578">
        <v>3.6836738535909825</v>
      </c>
      <c r="G43" s="578">
        <v>2.9318355621979384</v>
      </c>
      <c r="H43" s="578">
        <v>3.6846038911495422</v>
      </c>
      <c r="I43" s="578">
        <v>6.2570456458080255</v>
      </c>
      <c r="J43" s="578">
        <v>5.0272730204508491</v>
      </c>
      <c r="K43" s="578">
        <v>2.7867584393522922</v>
      </c>
      <c r="L43" s="578">
        <v>3.6671263139239527</v>
      </c>
      <c r="M43" s="578">
        <v>4.7902592382356497</v>
      </c>
      <c r="N43" s="578">
        <v>2.8675558708761972</v>
      </c>
      <c r="O43" s="578">
        <v>4.6145698035756251</v>
      </c>
      <c r="P43" s="578">
        <v>11.208672199170126</v>
      </c>
      <c r="Q43" s="578">
        <v>2.7054077283959455</v>
      </c>
      <c r="R43" s="578">
        <v>3.2506133325300688</v>
      </c>
    </row>
    <row r="44" spans="1:18" ht="15" customHeight="1">
      <c r="B44" s="375" t="s">
        <v>277</v>
      </c>
      <c r="C44" s="579"/>
      <c r="D44" s="579">
        <v>59.252104503166038</v>
      </c>
      <c r="E44" s="579">
        <v>107.49757777469473</v>
      </c>
      <c r="F44" s="579"/>
      <c r="G44" s="579"/>
      <c r="H44" s="579"/>
      <c r="I44" s="579"/>
      <c r="J44" s="579">
        <v>27.460397531624896</v>
      </c>
      <c r="K44" s="579"/>
      <c r="L44" s="579"/>
      <c r="M44" s="579"/>
      <c r="N44" s="579">
        <v>291.92391220811174</v>
      </c>
      <c r="O44" s="579">
        <v>804.16277018518531</v>
      </c>
      <c r="P44" s="579">
        <v>137.22917199359495</v>
      </c>
      <c r="Q44" s="579">
        <v>105.15313337397485</v>
      </c>
      <c r="R44" s="579">
        <v>431.72673072874585</v>
      </c>
    </row>
    <row r="45" spans="1:18" ht="15" customHeight="1">
      <c r="B45" s="375" t="s">
        <v>278</v>
      </c>
      <c r="C45" s="579"/>
      <c r="D45" s="579">
        <v>5.2598321019305034</v>
      </c>
      <c r="E45" s="579">
        <v>12.531122040884005</v>
      </c>
      <c r="F45" s="579"/>
      <c r="G45" s="579"/>
      <c r="H45" s="579"/>
      <c r="I45" s="579"/>
      <c r="J45" s="579">
        <v>4.5698510759464144</v>
      </c>
      <c r="K45" s="579"/>
      <c r="L45" s="579"/>
      <c r="M45" s="579"/>
      <c r="N45" s="579">
        <v>36.229934247896502</v>
      </c>
      <c r="O45" s="579">
        <v>117.78982152356906</v>
      </c>
      <c r="P45" s="579">
        <v>8.7083669887875956</v>
      </c>
      <c r="Q45" s="579">
        <v>14.012604235848542</v>
      </c>
      <c r="R45" s="579">
        <v>49.015191165276711</v>
      </c>
    </row>
    <row r="46" spans="1:18" ht="15" customHeight="1">
      <c r="B46" s="375"/>
    </row>
    <row r="47" spans="1:18" ht="15" customHeight="1">
      <c r="A47" s="380" t="s">
        <v>37</v>
      </c>
      <c r="B47" s="592" t="s">
        <v>279</v>
      </c>
      <c r="C47" s="593" t="s">
        <v>237</v>
      </c>
      <c r="D47" s="593" t="s">
        <v>238</v>
      </c>
      <c r="E47" s="593" t="s">
        <v>239</v>
      </c>
      <c r="F47" s="593" t="s">
        <v>240</v>
      </c>
      <c r="G47" s="593" t="s">
        <v>241</v>
      </c>
      <c r="H47" s="593" t="s">
        <v>242</v>
      </c>
      <c r="I47" s="593" t="s">
        <v>243</v>
      </c>
      <c r="J47" s="593" t="s">
        <v>244</v>
      </c>
      <c r="K47" s="593" t="s">
        <v>245</v>
      </c>
      <c r="L47" s="593" t="s">
        <v>246</v>
      </c>
      <c r="M47" s="593" t="s">
        <v>247</v>
      </c>
      <c r="N47" s="593" t="s">
        <v>248</v>
      </c>
      <c r="O47" s="593" t="s">
        <v>249</v>
      </c>
      <c r="P47" s="593" t="s">
        <v>250</v>
      </c>
      <c r="Q47" s="593" t="s">
        <v>251</v>
      </c>
      <c r="R47" s="593" t="s">
        <v>252</v>
      </c>
    </row>
    <row r="48" spans="1:18" ht="3.95" customHeight="1">
      <c r="A48" s="380"/>
      <c r="B48" s="591"/>
      <c r="C48" s="36"/>
      <c r="D48" s="36"/>
      <c r="E48" s="36"/>
      <c r="F48" s="36"/>
      <c r="G48" s="36"/>
      <c r="H48" s="36"/>
      <c r="I48" s="36"/>
      <c r="J48" s="36"/>
      <c r="K48" s="36"/>
      <c r="L48" s="36"/>
      <c r="M48" s="36"/>
      <c r="N48" s="36"/>
      <c r="O48" s="36"/>
      <c r="P48" s="36"/>
      <c r="Q48" s="36"/>
      <c r="R48" s="36"/>
    </row>
    <row r="49" spans="1:18" ht="15" customHeight="1">
      <c r="B49" s="375" t="s">
        <v>280</v>
      </c>
      <c r="C49" s="579">
        <v>56.262752431378708</v>
      </c>
      <c r="D49" s="579">
        <v>167.08409618563846</v>
      </c>
      <c r="E49" s="579">
        <v>147.53404665289693</v>
      </c>
      <c r="F49" s="579">
        <v>66.590650980552482</v>
      </c>
      <c r="G49" s="579">
        <v>14.804321186671267</v>
      </c>
      <c r="H49" s="579">
        <v>55.977600646748272</v>
      </c>
      <c r="I49" s="579">
        <v>101.73183823330278</v>
      </c>
      <c r="J49" s="579">
        <v>106.48928505446457</v>
      </c>
      <c r="K49" s="579">
        <v>75.761899785477709</v>
      </c>
      <c r="L49" s="579">
        <v>68.880029535380999</v>
      </c>
      <c r="M49" s="579">
        <v>64.498913140225824</v>
      </c>
      <c r="N49" s="579">
        <v>18.346536956123728</v>
      </c>
      <c r="O49" s="579">
        <v>16.046923918858806</v>
      </c>
      <c r="P49" s="579">
        <v>14.06267931247663</v>
      </c>
      <c r="Q49" s="579">
        <v>36.482074471394476</v>
      </c>
      <c r="R49" s="579">
        <v>11.852137562823687</v>
      </c>
    </row>
    <row r="50" spans="1:18" ht="15" customHeight="1">
      <c r="B50" s="375" t="s">
        <v>281</v>
      </c>
      <c r="C50" s="579">
        <v>120.16759101259582</v>
      </c>
      <c r="D50" s="579">
        <v>142.50429607599727</v>
      </c>
      <c r="E50" s="579">
        <v>116.87241488983406</v>
      </c>
      <c r="F50" s="579">
        <v>113.89347602915083</v>
      </c>
      <c r="G50" s="579">
        <v>128.22888324154894</v>
      </c>
      <c r="H50" s="579">
        <v>237.63832696486102</v>
      </c>
      <c r="I50" s="579">
        <v>138.42485507826345</v>
      </c>
      <c r="J50" s="579">
        <v>118.45076376135921</v>
      </c>
      <c r="K50" s="579">
        <v>142.66170648246694</v>
      </c>
      <c r="L50" s="579">
        <v>181.96171920527095</v>
      </c>
      <c r="M50" s="579">
        <v>275.48449651550345</v>
      </c>
      <c r="N50" s="579">
        <v>236.03189056411998</v>
      </c>
      <c r="O50" s="579">
        <v>58.416455270097238</v>
      </c>
      <c r="P50" s="579">
        <v>134.85213025045852</v>
      </c>
      <c r="Q50" s="579">
        <v>177.38570141092075</v>
      </c>
      <c r="R50" s="579">
        <v>289.71088813122009</v>
      </c>
    </row>
    <row r="51" spans="1:18" ht="15" customHeight="1">
      <c r="B51" s="375" t="s">
        <v>282</v>
      </c>
      <c r="C51" s="579">
        <v>61.492326696802472</v>
      </c>
      <c r="D51" s="579">
        <v>96.515938106720569</v>
      </c>
      <c r="E51" s="579">
        <v>81.425603299527751</v>
      </c>
      <c r="F51" s="579">
        <v>137.71891796050139</v>
      </c>
      <c r="G51" s="579">
        <v>135.37904031585282</v>
      </c>
      <c r="H51" s="579">
        <v>112.05467865677272</v>
      </c>
      <c r="I51" s="579">
        <v>22.233344561341703</v>
      </c>
      <c r="J51" s="579">
        <v>17.631386767425031</v>
      </c>
      <c r="K51" s="579">
        <v>76.188175039337395</v>
      </c>
      <c r="L51" s="579">
        <v>102.96857335607889</v>
      </c>
      <c r="M51" s="579">
        <v>55.496536517269824</v>
      </c>
      <c r="N51" s="579">
        <v>71.68179832380072</v>
      </c>
      <c r="O51" s="579">
        <v>43.745940318120965</v>
      </c>
      <c r="P51" s="579">
        <v>8.154048698141251</v>
      </c>
      <c r="Q51" s="579">
        <v>76.218276816646338</v>
      </c>
      <c r="R51" s="579">
        <v>39.798342616157449</v>
      </c>
    </row>
    <row r="52" spans="1:18" ht="15" customHeight="1">
      <c r="B52" s="375" t="s">
        <v>283</v>
      </c>
      <c r="C52" s="579">
        <v>137.04224616360599</v>
      </c>
      <c r="D52" s="579">
        <v>213.08117870548739</v>
      </c>
      <c r="E52" s="579">
        <v>178.16437106613409</v>
      </c>
      <c r="F52" s="579">
        <v>-7.402850041294414</v>
      </c>
      <c r="G52" s="579">
        <v>-64.488003561425302</v>
      </c>
      <c r="H52" s="579">
        <v>189.87180195389755</v>
      </c>
      <c r="I52" s="579">
        <v>218.72100373252613</v>
      </c>
      <c r="J52" s="579">
        <v>261.38093862441184</v>
      </c>
      <c r="K52" s="579">
        <v>141.51727255793125</v>
      </c>
      <c r="L52" s="579">
        <v>134.35788820232909</v>
      </c>
      <c r="M52" s="579">
        <v>299.48737491811028</v>
      </c>
      <c r="N52" s="579">
        <v>182.69662919644298</v>
      </c>
      <c r="O52" s="579">
        <v>35.543632587058518</v>
      </c>
      <c r="P52" s="579">
        <v>140.76076086479389</v>
      </c>
      <c r="Q52" s="579">
        <v>133.67994758702895</v>
      </c>
      <c r="R52" s="579">
        <v>233.72700737552148</v>
      </c>
    </row>
    <row r="53" spans="1:18" ht="15" customHeight="1">
      <c r="B53" s="375" t="s">
        <v>284</v>
      </c>
      <c r="C53" s="577">
        <v>0.14941758960949172</v>
      </c>
      <c r="D53" s="577">
        <v>0.2890496197206055</v>
      </c>
      <c r="E53" s="577">
        <v>0.29533557858461562</v>
      </c>
      <c r="F53" s="577">
        <v>0.15100753920209334</v>
      </c>
      <c r="G53" s="577">
        <v>-0.397845166304648</v>
      </c>
      <c r="H53" s="577">
        <v>0.15518679860469412</v>
      </c>
      <c r="I53" s="577">
        <v>0.45772678987059356</v>
      </c>
      <c r="J53" s="577">
        <v>0.87837736784149056</v>
      </c>
      <c r="K53" s="577">
        <v>0.44408788982649866</v>
      </c>
      <c r="L53" s="577">
        <v>0.20022791350524569</v>
      </c>
      <c r="M53" s="577">
        <v>0.39222930113897753</v>
      </c>
      <c r="N53" s="577">
        <v>0.16145201913989241</v>
      </c>
      <c r="O53" s="577">
        <v>0.41972075935603648</v>
      </c>
      <c r="P53" s="577">
        <v>0.25363622565514993</v>
      </c>
      <c r="Q53" s="577">
        <v>0.46271307372877207</v>
      </c>
      <c r="R53" s="577">
        <v>1.336881008816611</v>
      </c>
    </row>
    <row r="54" spans="1:18" ht="15" customHeight="1">
      <c r="B54" s="375" t="s">
        <v>285</v>
      </c>
      <c r="C54" s="578">
        <v>0.94869134785566633</v>
      </c>
      <c r="D54" s="578">
        <v>1.9766760519010023</v>
      </c>
      <c r="E54" s="578">
        <v>1.9748448198783015</v>
      </c>
      <c r="F54" s="578">
        <v>1.8351018541974309</v>
      </c>
      <c r="G54" s="578">
        <v>1.8544748690618398</v>
      </c>
      <c r="H54" s="578">
        <v>5.4776703499079193</v>
      </c>
      <c r="I54" s="578">
        <v>0.9828606250544093</v>
      </c>
      <c r="J54" s="578">
        <v>1.3749466838321902</v>
      </c>
      <c r="K54" s="578">
        <v>28.228862535493569</v>
      </c>
      <c r="L54" s="578">
        <v>1.749463274572868</v>
      </c>
      <c r="M54" s="578">
        <v>0.61132967126657978</v>
      </c>
      <c r="N54" s="578">
        <v>-6.7701715374841168E-2</v>
      </c>
      <c r="O54" s="578">
        <v>1.5946657147533334</v>
      </c>
      <c r="P54" s="578">
        <v>2.3947384943806114</v>
      </c>
      <c r="Q54" s="578">
        <v>0.97288080986520964</v>
      </c>
      <c r="R54" s="578">
        <v>1.1237422304837088</v>
      </c>
    </row>
    <row r="55" spans="1:18" ht="15" customHeight="1">
      <c r="B55" s="375" t="s">
        <v>286</v>
      </c>
      <c r="C55" s="577">
        <v>4.3432664423402448E-2</v>
      </c>
      <c r="D55" s="577">
        <v>0.15630772724729705</v>
      </c>
      <c r="E55" s="577">
        <v>0.17227375642873005</v>
      </c>
      <c r="F55" s="577">
        <v>0.19446597470398569</v>
      </c>
      <c r="G55" s="577">
        <v>-5.7987931062967207E-2</v>
      </c>
      <c r="H55" s="577">
        <v>0.21406947924304237</v>
      </c>
      <c r="I55" s="577">
        <v>0.18517026626840447</v>
      </c>
      <c r="J55" s="577">
        <v>0.26734510648334847</v>
      </c>
      <c r="K55" s="577">
        <v>0.20568817696615471</v>
      </c>
      <c r="L55" s="577">
        <v>0.14960539529405117</v>
      </c>
      <c r="M55" s="577">
        <v>0.12068880529095567</v>
      </c>
      <c r="N55" s="577">
        <v>-8.4367933257789816E-3</v>
      </c>
      <c r="O55" s="577">
        <v>0.20454672978039237</v>
      </c>
      <c r="P55" s="577">
        <v>0.14119550288936025</v>
      </c>
      <c r="Q55" s="577">
        <v>0.14726205574108153</v>
      </c>
      <c r="R55" s="577">
        <v>0.18275333675102379</v>
      </c>
    </row>
    <row r="56" spans="1:18" ht="15" customHeight="1">
      <c r="B56" s="375"/>
    </row>
    <row r="57" spans="1:18" ht="15" customHeight="1">
      <c r="A57" s="380" t="s">
        <v>37</v>
      </c>
      <c r="B57" s="592" t="s">
        <v>287</v>
      </c>
      <c r="C57" s="593" t="s">
        <v>237</v>
      </c>
      <c r="D57" s="593" t="s">
        <v>238</v>
      </c>
      <c r="E57" s="593" t="s">
        <v>239</v>
      </c>
      <c r="F57" s="593" t="s">
        <v>240</v>
      </c>
      <c r="G57" s="593" t="s">
        <v>241</v>
      </c>
      <c r="H57" s="593" t="s">
        <v>242</v>
      </c>
      <c r="I57" s="593" t="s">
        <v>243</v>
      </c>
      <c r="J57" s="593" t="s">
        <v>244</v>
      </c>
      <c r="K57" s="593" t="s">
        <v>245</v>
      </c>
      <c r="L57" s="593" t="s">
        <v>246</v>
      </c>
      <c r="M57" s="593" t="s">
        <v>247</v>
      </c>
      <c r="N57" s="593" t="s">
        <v>248</v>
      </c>
      <c r="O57" s="593" t="s">
        <v>249</v>
      </c>
      <c r="P57" s="593" t="s">
        <v>250</v>
      </c>
      <c r="Q57" s="593" t="s">
        <v>251</v>
      </c>
      <c r="R57" s="593" t="s">
        <v>252</v>
      </c>
    </row>
    <row r="58" spans="1:18" ht="3.95" customHeight="1">
      <c r="A58" s="380"/>
      <c r="B58" s="591"/>
      <c r="C58" s="36"/>
      <c r="D58" s="36"/>
      <c r="E58" s="36"/>
      <c r="F58" s="36"/>
      <c r="G58" s="36"/>
      <c r="H58" s="36"/>
      <c r="I58" s="36"/>
      <c r="J58" s="36"/>
      <c r="K58" s="36"/>
      <c r="L58" s="36"/>
      <c r="M58" s="36"/>
      <c r="N58" s="36"/>
      <c r="O58" s="36"/>
      <c r="P58" s="36"/>
      <c r="Q58" s="36"/>
      <c r="R58" s="36"/>
    </row>
    <row r="59" spans="1:18" ht="15" customHeight="1">
      <c r="B59" s="375" t="s">
        <v>288</v>
      </c>
      <c r="C59" s="578">
        <v>2.1403824233099895</v>
      </c>
      <c r="D59" s="578">
        <v>1.2498803099094447</v>
      </c>
      <c r="E59" s="578">
        <v>0.4463309561243014</v>
      </c>
      <c r="F59" s="578">
        <v>1.1909164987020784</v>
      </c>
      <c r="G59" s="578">
        <v>1.8877603394392861</v>
      </c>
      <c r="H59" s="578">
        <v>1.3590474447146603</v>
      </c>
      <c r="I59" s="578">
        <v>0.22024404102147316</v>
      </c>
      <c r="J59" s="578">
        <v>-3.1855784971982035</v>
      </c>
      <c r="K59" s="578">
        <v>-3.3263110758302003E-2</v>
      </c>
      <c r="L59" s="578">
        <v>2.1254794584755756</v>
      </c>
      <c r="M59" s="578">
        <v>0.53290462741690203</v>
      </c>
      <c r="N59" s="578">
        <v>2.1177856652846963</v>
      </c>
      <c r="O59" s="578">
        <v>-1.8691264813323154</v>
      </c>
      <c r="P59" s="578">
        <v>0.48393436179620708</v>
      </c>
      <c r="Q59" s="578">
        <v>-1.0014637487123781</v>
      </c>
      <c r="R59" s="578">
        <v>-5.3</v>
      </c>
    </row>
    <row r="60" spans="1:18" ht="15" customHeight="1">
      <c r="B60" s="375" t="s">
        <v>289</v>
      </c>
      <c r="C60" s="578">
        <v>-50.081462359336072</v>
      </c>
      <c r="D60" s="578">
        <v>1.175696605976323</v>
      </c>
      <c r="E60" s="578">
        <v>0.44562524961196071</v>
      </c>
      <c r="F60" s="578">
        <v>1.4686036250084857</v>
      </c>
      <c r="G60" s="578">
        <v>-6.1895206116568735</v>
      </c>
      <c r="H60" s="578">
        <v>1.4633758916262063</v>
      </c>
      <c r="I60" s="578">
        <v>0.14351817947570408</v>
      </c>
      <c r="J60" s="578">
        <v>-2.9384931222434147</v>
      </c>
      <c r="K60" s="578">
        <v>0.16267870052939692</v>
      </c>
      <c r="L60" s="578">
        <v>2.0623351047437217</v>
      </c>
      <c r="M60" s="578">
        <v>2.3189104889017842</v>
      </c>
      <c r="N60" s="578">
        <v>-3.7769562210755891</v>
      </c>
      <c r="O60" s="578">
        <v>-1.2361178665854882</v>
      </c>
      <c r="P60" s="578">
        <v>0.42934356202597856</v>
      </c>
      <c r="Q60" s="578">
        <v>1.1585351783700293</v>
      </c>
      <c r="R60" s="578">
        <v>-7.858560479148613</v>
      </c>
    </row>
    <row r="61" spans="1:18" ht="15" customHeight="1">
      <c r="B61" s="375" t="s">
        <v>290</v>
      </c>
      <c r="C61" s="578">
        <v>1.613216433287078</v>
      </c>
      <c r="D61" s="578">
        <v>1.611223907112493</v>
      </c>
      <c r="E61" s="578">
        <v>3.9661848072562362</v>
      </c>
      <c r="F61" s="578">
        <v>1.8003906710598621</v>
      </c>
      <c r="G61" s="578">
        <v>-0.3124246425905724</v>
      </c>
      <c r="H61" s="578">
        <v>0.7777419701364271</v>
      </c>
      <c r="I61" s="578">
        <v>11.967619603267213</v>
      </c>
      <c r="J61" s="578">
        <v>51.279422092906586</v>
      </c>
      <c r="K61" s="578">
        <v>0.16796561572429736</v>
      </c>
      <c r="L61" s="578">
        <v>3.8319246120011776</v>
      </c>
      <c r="M61" s="578">
        <v>13.396916047972587</v>
      </c>
      <c r="N61" s="578">
        <v>5.2488536890370989</v>
      </c>
      <c r="O61" s="578">
        <v>23.4981090128536</v>
      </c>
      <c r="P61" s="578">
        <v>8.101220752797559</v>
      </c>
      <c r="Q61" s="578">
        <v>17.731217304791553</v>
      </c>
      <c r="R61" s="578">
        <v>44.534923557759292</v>
      </c>
    </row>
    <row r="62" spans="1:18" ht="15" customHeight="1">
      <c r="B62" s="375" t="s">
        <v>291</v>
      </c>
      <c r="C62" s="577">
        <v>0.31375998541048472</v>
      </c>
      <c r="D62" s="577">
        <v>0.36064606265635923</v>
      </c>
      <c r="E62" s="577">
        <v>0.24926448770029982</v>
      </c>
      <c r="F62" s="577">
        <v>0.50123624814329115</v>
      </c>
      <c r="G62" s="577">
        <v>0.69189698866459604</v>
      </c>
      <c r="H62" s="577">
        <v>0.25007152212010253</v>
      </c>
      <c r="I62" s="577">
        <v>0.14819096347537153</v>
      </c>
      <c r="J62" s="577">
        <v>2.1508219586078646E-2</v>
      </c>
      <c r="K62" s="577">
        <v>0.2855540233107709</v>
      </c>
      <c r="L62" s="577">
        <v>0.49198654761306471</v>
      </c>
      <c r="M62" s="577">
        <v>0.24240617984819565</v>
      </c>
      <c r="N62" s="577">
        <v>0.4784735812133073</v>
      </c>
      <c r="O62" s="577">
        <v>7.0951943576812865E-2</v>
      </c>
      <c r="P62" s="577">
        <v>0.30973262521049383</v>
      </c>
      <c r="Q62" s="577">
        <v>0.24543413151368459</v>
      </c>
      <c r="R62" s="577">
        <v>4.6116257380238522E-2</v>
      </c>
    </row>
    <row r="63" spans="1:18" ht="15" customHeight="1">
      <c r="B63" s="375" t="s">
        <v>292</v>
      </c>
      <c r="C63" s="577">
        <v>0.47860682115147829</v>
      </c>
      <c r="D63" s="577">
        <v>0.33664964167466083</v>
      </c>
      <c r="E63" s="577">
        <v>0.47963452263699036</v>
      </c>
      <c r="F63" s="577">
        <v>0.24339910294749686</v>
      </c>
      <c r="G63" s="577">
        <v>0.35412236851369427</v>
      </c>
      <c r="H63" s="577">
        <v>0.3098817455891737</v>
      </c>
      <c r="I63" s="577">
        <v>0.56671569428555868</v>
      </c>
      <c r="J63" s="577">
        <v>0.73727821309555974</v>
      </c>
      <c r="K63" s="577">
        <v>0.17941106463586073</v>
      </c>
      <c r="L63" s="577">
        <v>0.24112898526382182</v>
      </c>
      <c r="M63" s="577">
        <v>0.10503424023690543</v>
      </c>
      <c r="N63" s="577">
        <v>0.53207041397225441</v>
      </c>
      <c r="O63" s="577">
        <v>0.29722144471632073</v>
      </c>
      <c r="P63" s="577">
        <v>0.72412605476149472</v>
      </c>
      <c r="Q63" s="577">
        <v>0.45194606896949091</v>
      </c>
      <c r="R63" s="577">
        <v>0.55651902960184374</v>
      </c>
    </row>
    <row r="64" spans="1:18" ht="15" customHeight="1">
      <c r="B64" s="375"/>
    </row>
    <row r="65" spans="1:18" ht="15" customHeight="1">
      <c r="A65" s="380" t="s">
        <v>37</v>
      </c>
      <c r="B65" s="592" t="s">
        <v>293</v>
      </c>
      <c r="C65" s="593" t="s">
        <v>237</v>
      </c>
      <c r="D65" s="593" t="s">
        <v>238</v>
      </c>
      <c r="E65" s="593" t="s">
        <v>239</v>
      </c>
      <c r="F65" s="593" t="s">
        <v>240</v>
      </c>
      <c r="G65" s="593" t="s">
        <v>241</v>
      </c>
      <c r="H65" s="593" t="s">
        <v>242</v>
      </c>
      <c r="I65" s="593" t="s">
        <v>243</v>
      </c>
      <c r="J65" s="593" t="s">
        <v>244</v>
      </c>
      <c r="K65" s="593" t="s">
        <v>245</v>
      </c>
      <c r="L65" s="593" t="s">
        <v>246</v>
      </c>
      <c r="M65" s="593" t="s">
        <v>247</v>
      </c>
      <c r="N65" s="593" t="s">
        <v>248</v>
      </c>
      <c r="O65" s="593" t="s">
        <v>249</v>
      </c>
      <c r="P65" s="593" t="s">
        <v>250</v>
      </c>
      <c r="Q65" s="593" t="s">
        <v>251</v>
      </c>
      <c r="R65" s="593" t="s">
        <v>252</v>
      </c>
    </row>
    <row r="66" spans="1:18" ht="3.95" customHeight="1">
      <c r="A66" s="380"/>
      <c r="B66" s="591"/>
      <c r="C66" s="36"/>
      <c r="D66" s="36"/>
      <c r="E66" s="36"/>
      <c r="F66" s="36"/>
      <c r="G66" s="36"/>
      <c r="H66" s="36"/>
      <c r="I66" s="36"/>
      <c r="J66" s="36"/>
      <c r="K66" s="36"/>
      <c r="L66" s="36"/>
      <c r="M66" s="36"/>
      <c r="N66" s="36"/>
      <c r="O66" s="36"/>
      <c r="P66" s="36"/>
      <c r="Q66" s="36"/>
      <c r="R66" s="36"/>
    </row>
    <row r="67" spans="1:18" ht="15" customHeight="1">
      <c r="B67" s="375" t="s">
        <v>294</v>
      </c>
      <c r="C67" s="578">
        <v>1.5123939260575074</v>
      </c>
      <c r="D67" s="578">
        <v>1.4781989506515334</v>
      </c>
      <c r="E67" s="578">
        <v>1.6105351029093342</v>
      </c>
      <c r="F67" s="578">
        <v>1.2968935701166049</v>
      </c>
      <c r="G67" s="578">
        <v>0.65150302865925314</v>
      </c>
      <c r="H67" s="578">
        <v>1.5172466303885035</v>
      </c>
      <c r="I67" s="578">
        <v>3.1810758282502092</v>
      </c>
      <c r="J67" s="578">
        <v>7.0969223734491722</v>
      </c>
      <c r="K67" s="578">
        <v>2.5630739638086966</v>
      </c>
      <c r="L67" s="578">
        <v>1.5127884996451215</v>
      </c>
      <c r="M67" s="578">
        <v>2.6763627290830088</v>
      </c>
      <c r="N67" s="578">
        <v>1.3265440691625758</v>
      </c>
      <c r="O67" s="578">
        <v>2.7060886012107122</v>
      </c>
      <c r="P67" s="578">
        <v>2.4435399568514931</v>
      </c>
      <c r="Q67" s="578">
        <v>1.8716078195394863</v>
      </c>
      <c r="R67" s="578">
        <v>5.6686924337357079</v>
      </c>
    </row>
    <row r="68" spans="1:18" ht="15" customHeight="1">
      <c r="B68" s="375" t="s">
        <v>295</v>
      </c>
      <c r="C68" s="578">
        <v>0.79493736291080275</v>
      </c>
      <c r="D68" s="578">
        <v>1.108324321667322</v>
      </c>
      <c r="E68" s="578">
        <v>1.2650105125074582</v>
      </c>
      <c r="F68" s="578">
        <v>0.89223722375977588</v>
      </c>
      <c r="G68" s="578">
        <v>0.13769663683211283</v>
      </c>
      <c r="H68" s="578">
        <v>0.7100502528179804</v>
      </c>
      <c r="I68" s="578">
        <v>1.9375224255471835</v>
      </c>
      <c r="J68" s="578">
        <v>5.5188968883123906</v>
      </c>
      <c r="K68" s="578">
        <v>1.8423050875588876</v>
      </c>
      <c r="L68" s="578">
        <v>0.80757276557763846</v>
      </c>
      <c r="M68" s="578">
        <v>1.2478592242836228</v>
      </c>
      <c r="N68" s="578">
        <v>0.11547549271008865</v>
      </c>
      <c r="O68" s="578">
        <v>1.1178468710428469</v>
      </c>
      <c r="P68" s="578">
        <v>0.74271034896910659</v>
      </c>
      <c r="Q68" s="578">
        <v>0.60840470295883042</v>
      </c>
      <c r="R68" s="578">
        <v>4.7660260608200797</v>
      </c>
    </row>
    <row r="69" spans="1:18" ht="15" customHeight="1">
      <c r="B69" s="375" t="s">
        <v>296</v>
      </c>
      <c r="C69" s="578">
        <v>0.17146786943573933</v>
      </c>
      <c r="D69" s="578">
        <v>0.24782911995862936</v>
      </c>
      <c r="E69" s="578">
        <v>0.36237807707742486</v>
      </c>
      <c r="F69" s="578">
        <v>0.40842179461606865</v>
      </c>
      <c r="G69" s="578">
        <v>0.10402766476810416</v>
      </c>
      <c r="H69" s="578">
        <v>0.17071662320952968</v>
      </c>
      <c r="I69" s="578">
        <v>0.45996292309532355</v>
      </c>
      <c r="J69" s="578">
        <v>2.7150325912999653</v>
      </c>
      <c r="K69" s="578">
        <v>1.1029226307529754</v>
      </c>
      <c r="L69" s="578">
        <v>0.30932388149701245</v>
      </c>
      <c r="M69" s="578">
        <v>0.11020463885737421</v>
      </c>
      <c r="N69" s="578">
        <v>1.2537548538354457E-2</v>
      </c>
      <c r="O69" s="578">
        <v>0.98541895763560672</v>
      </c>
      <c r="P69" s="578">
        <v>0.57547652409866323</v>
      </c>
      <c r="Q69" s="578">
        <v>0.40326540723232801</v>
      </c>
      <c r="R69" s="578">
        <v>4.6635251951042473</v>
      </c>
    </row>
    <row r="71" spans="1:18" ht="15" customHeight="1">
      <c r="A71" s="380" t="s">
        <v>37</v>
      </c>
      <c r="B71" s="592" t="s">
        <v>297</v>
      </c>
      <c r="C71" s="593" t="s">
        <v>237</v>
      </c>
      <c r="D71" s="593" t="s">
        <v>238</v>
      </c>
      <c r="E71" s="593" t="s">
        <v>239</v>
      </c>
      <c r="F71" s="593" t="s">
        <v>240</v>
      </c>
      <c r="G71" s="593" t="s">
        <v>241</v>
      </c>
      <c r="H71" s="593" t="s">
        <v>242</v>
      </c>
      <c r="I71" s="593" t="s">
        <v>243</v>
      </c>
      <c r="J71" s="593" t="s">
        <v>244</v>
      </c>
      <c r="K71" s="593" t="s">
        <v>245</v>
      </c>
      <c r="L71" s="593" t="s">
        <v>246</v>
      </c>
      <c r="M71" s="593" t="s">
        <v>247</v>
      </c>
      <c r="N71" s="593" t="s">
        <v>248</v>
      </c>
      <c r="O71" s="593" t="s">
        <v>249</v>
      </c>
      <c r="P71" s="593" t="s">
        <v>250</v>
      </c>
      <c r="Q71" s="593" t="s">
        <v>251</v>
      </c>
      <c r="R71" s="593" t="s">
        <v>252</v>
      </c>
    </row>
    <row r="72" spans="1:18" ht="3.95" customHeight="1">
      <c r="A72" s="380"/>
      <c r="B72" s="591"/>
      <c r="C72" s="36"/>
      <c r="D72" s="36"/>
      <c r="E72" s="36"/>
      <c r="F72" s="36"/>
      <c r="G72" s="36"/>
      <c r="H72" s="36"/>
      <c r="I72" s="36"/>
      <c r="J72" s="36"/>
      <c r="K72" s="36"/>
      <c r="L72" s="36"/>
      <c r="M72" s="36"/>
      <c r="N72" s="36"/>
      <c r="O72" s="36"/>
      <c r="P72" s="36"/>
      <c r="Q72" s="36"/>
      <c r="R72" s="36"/>
    </row>
    <row r="73" spans="1:18" ht="15" customHeight="1">
      <c r="B73" s="375" t="s">
        <v>298</v>
      </c>
      <c r="C73" s="577">
        <v>4.9996939050590147E-2</v>
      </c>
      <c r="D73" s="577">
        <v>4.3491488194098378E-2</v>
      </c>
      <c r="E73" s="577">
        <v>4.7047920508526873E-2</v>
      </c>
      <c r="F73" s="577">
        <v>3.82157414504136E-2</v>
      </c>
      <c r="G73" s="577">
        <v>6.1759743249562363E-3</v>
      </c>
      <c r="H73" s="577">
        <v>0.11683362496682574</v>
      </c>
      <c r="I73" s="577">
        <v>6.658087803559562E-2</v>
      </c>
      <c r="J73" s="577">
        <v>7.1286017545594965E-2</v>
      </c>
      <c r="K73" s="577">
        <v>3.8694003448132341E-2</v>
      </c>
      <c r="L73" s="577">
        <v>3.6370022626743742E-2</v>
      </c>
      <c r="M73" s="577">
        <v>5.4390755014373154E-2</v>
      </c>
      <c r="N73" s="577">
        <v>8.4585656956519595E-2</v>
      </c>
      <c r="O73" s="577">
        <v>5.2415180367533516E-2</v>
      </c>
      <c r="P73" s="577">
        <v>1.3800813685313313E-2</v>
      </c>
      <c r="Q73" s="577">
        <v>3.1514393354708771E-2</v>
      </c>
      <c r="R73" s="577">
        <v>2.3075215798457512E-2</v>
      </c>
    </row>
    <row r="74" spans="1:18" ht="15" customHeight="1">
      <c r="B74" s="375" t="s">
        <v>299</v>
      </c>
      <c r="C74" s="577">
        <v>1.0098998445239902</v>
      </c>
      <c r="D74" s="577">
        <v>0.60532942306719917</v>
      </c>
      <c r="E74" s="577">
        <v>0.5458700554709891</v>
      </c>
      <c r="F74" s="577">
        <v>0.41237830123359098</v>
      </c>
      <c r="G74" s="577">
        <v>5.1614529868352334E-2</v>
      </c>
      <c r="H74" s="577">
        <v>0.74807317888042757</v>
      </c>
      <c r="I74" s="577">
        <v>1.9098864288604307</v>
      </c>
      <c r="J74" s="577">
        <v>1.360465538396753</v>
      </c>
      <c r="K74" s="577">
        <v>0.6363388907791766</v>
      </c>
      <c r="L74" s="577">
        <v>0.60772897196261688</v>
      </c>
      <c r="M74" s="577">
        <v>1.3237359550561798</v>
      </c>
      <c r="N74" s="577">
        <v>2.0489032722042433</v>
      </c>
      <c r="O74" s="577">
        <v>0.84856476024009864</v>
      </c>
      <c r="P74" s="577">
        <v>0.25527252807450013</v>
      </c>
      <c r="Q74" s="577">
        <v>0.45281763605944297</v>
      </c>
      <c r="R74" s="577">
        <v>0.32294584402800358</v>
      </c>
    </row>
    <row r="75" spans="1:18" ht="15" customHeight="1">
      <c r="B75" s="375" t="s">
        <v>300</v>
      </c>
      <c r="C75" s="577"/>
      <c r="D75" s="577"/>
      <c r="E75" s="577"/>
      <c r="F75" s="577"/>
      <c r="G75" s="577"/>
      <c r="H75" s="577"/>
      <c r="I75" s="577"/>
      <c r="J75" s="577"/>
      <c r="K75" s="577"/>
      <c r="L75" s="577"/>
      <c r="M75" s="577"/>
      <c r="N75" s="577"/>
      <c r="O75" s="577"/>
      <c r="P75" s="577"/>
      <c r="Q75" s="577"/>
      <c r="R75" s="577">
        <v>0</v>
      </c>
    </row>
    <row r="76" spans="1:18" ht="15" customHeight="1">
      <c r="B76" s="375" t="s">
        <v>301</v>
      </c>
      <c r="C76" s="578"/>
      <c r="D76" s="578"/>
      <c r="E76" s="578"/>
      <c r="F76" s="578"/>
      <c r="G76" s="578"/>
      <c r="H76" s="578"/>
      <c r="I76" s="578"/>
      <c r="J76" s="578"/>
      <c r="K76" s="578"/>
      <c r="L76" s="578"/>
      <c r="M76" s="578"/>
      <c r="N76" s="578"/>
      <c r="O76" s="578"/>
      <c r="P76" s="578"/>
      <c r="Q76" s="578"/>
      <c r="R76" s="578">
        <v>0</v>
      </c>
    </row>
    <row r="77" spans="1:18" ht="15" customHeight="1">
      <c r="B77" s="375" t="s">
        <v>302</v>
      </c>
      <c r="C77" s="577">
        <v>0.62208729482891312</v>
      </c>
      <c r="D77" s="577">
        <v>0</v>
      </c>
      <c r="E77" s="577">
        <v>0.56739797504403888</v>
      </c>
      <c r="F77" s="577">
        <v>2.5085626451731249E-2</v>
      </c>
      <c r="G77" s="577"/>
      <c r="H77" s="577">
        <v>8.1353383458646729</v>
      </c>
      <c r="I77" s="577">
        <v>1.374090367502935</v>
      </c>
      <c r="J77" s="577">
        <v>0.58404517903095055</v>
      </c>
      <c r="K77" s="577">
        <v>0.59185323998184836</v>
      </c>
      <c r="L77" s="577">
        <v>0.23750037295620005</v>
      </c>
      <c r="M77" s="577">
        <v>1.5604434706546755</v>
      </c>
      <c r="N77" s="577">
        <v>0</v>
      </c>
      <c r="O77" s="577">
        <v>0.49999999999999994</v>
      </c>
      <c r="P77" s="577">
        <v>1.3501883100466565</v>
      </c>
      <c r="Q77" s="577">
        <v>0.73061775944552165</v>
      </c>
      <c r="R77" s="577">
        <v>0.77541426171698413</v>
      </c>
    </row>
    <row r="78" spans="1:18" ht="15" customHeight="1">
      <c r="B78" s="375" t="s">
        <v>303</v>
      </c>
      <c r="C78" s="577">
        <v>-3.864672223535186</v>
      </c>
      <c r="D78" s="577">
        <v>0</v>
      </c>
      <c r="E78" s="577">
        <v>0.37558620781212143</v>
      </c>
      <c r="F78" s="577">
        <v>9.5127089844126485E-3</v>
      </c>
      <c r="G78" s="577">
        <v>7.0007713773623426</v>
      </c>
      <c r="H78" s="577">
        <v>-2.3172291154668422E-2</v>
      </c>
      <c r="I78" s="577">
        <v>1.2424074752159704</v>
      </c>
      <c r="J78" s="577">
        <v>0.82939407294360989</v>
      </c>
      <c r="K78" s="577">
        <v>9.3151252652813737E-2</v>
      </c>
      <c r="L78" s="577">
        <v>0.13519880851264884</v>
      </c>
      <c r="M78" s="577">
        <v>3.3321286087334983</v>
      </c>
      <c r="N78" s="577">
        <v>0</v>
      </c>
      <c r="O78" s="577">
        <v>0.33881671148393061</v>
      </c>
      <c r="P78" s="577">
        <v>0.50455995313399016</v>
      </c>
      <c r="Q78" s="577">
        <v>0.79325511470260679</v>
      </c>
      <c r="R78" s="577">
        <v>0.66425699930375448</v>
      </c>
    </row>
    <row r="79" spans="1:18" ht="15" customHeight="1">
      <c r="B79" s="375" t="s">
        <v>304</v>
      </c>
      <c r="C79" s="577">
        <v>0</v>
      </c>
      <c r="D79" s="577">
        <v>0</v>
      </c>
      <c r="E79" s="577">
        <v>0</v>
      </c>
      <c r="F79" s="577">
        <v>2.1793249641257142E-2</v>
      </c>
      <c r="G79" s="577">
        <v>0</v>
      </c>
      <c r="H79" s="577">
        <v>0</v>
      </c>
      <c r="I79" s="577">
        <v>3.8249372017303628E-2</v>
      </c>
      <c r="J79" s="577">
        <v>4.3202445292555691E-3</v>
      </c>
      <c r="K79" s="577">
        <v>0</v>
      </c>
      <c r="L79" s="577">
        <v>2.5315556552500854E-2</v>
      </c>
      <c r="M79" s="577">
        <v>0.29079335352247371</v>
      </c>
      <c r="N79" s="577">
        <v>0</v>
      </c>
      <c r="O79" s="577">
        <v>0</v>
      </c>
      <c r="P79" s="577">
        <v>0</v>
      </c>
      <c r="Q79" s="577">
        <v>0</v>
      </c>
      <c r="R79" s="577">
        <v>0</v>
      </c>
    </row>
    <row r="80" spans="1:18" ht="15" customHeight="1">
      <c r="B80" s="375"/>
    </row>
    <row r="81" spans="1:18" ht="15" customHeight="1">
      <c r="A81" s="380" t="s">
        <v>37</v>
      </c>
      <c r="B81" s="592" t="s">
        <v>305</v>
      </c>
      <c r="C81" s="593" t="s">
        <v>237</v>
      </c>
      <c r="D81" s="593" t="s">
        <v>238</v>
      </c>
      <c r="E81" s="593" t="s">
        <v>239</v>
      </c>
      <c r="F81" s="593" t="s">
        <v>240</v>
      </c>
      <c r="G81" s="593" t="s">
        <v>241</v>
      </c>
      <c r="H81" s="593" t="s">
        <v>242</v>
      </c>
      <c r="I81" s="593" t="s">
        <v>243</v>
      </c>
      <c r="J81" s="593" t="s">
        <v>244</v>
      </c>
      <c r="K81" s="593" t="s">
        <v>245</v>
      </c>
      <c r="L81" s="593" t="s">
        <v>246</v>
      </c>
      <c r="M81" s="593" t="s">
        <v>247</v>
      </c>
      <c r="N81" s="593" t="s">
        <v>248</v>
      </c>
      <c r="O81" s="593" t="s">
        <v>249</v>
      </c>
      <c r="P81" s="593" t="s">
        <v>250</v>
      </c>
      <c r="Q81" s="593" t="s">
        <v>251</v>
      </c>
      <c r="R81" s="593" t="s">
        <v>252</v>
      </c>
    </row>
    <row r="82" spans="1:18" ht="3.95" customHeight="1">
      <c r="A82" s="380"/>
      <c r="B82" s="591"/>
      <c r="C82" s="36"/>
      <c r="D82" s="36"/>
      <c r="E82" s="36"/>
      <c r="F82" s="36"/>
      <c r="G82" s="36"/>
      <c r="H82" s="36"/>
      <c r="I82" s="36"/>
      <c r="J82" s="36"/>
      <c r="K82" s="36"/>
      <c r="L82" s="36"/>
      <c r="M82" s="36"/>
      <c r="N82" s="36"/>
      <c r="O82" s="36"/>
      <c r="P82" s="36"/>
      <c r="Q82" s="36"/>
      <c r="R82" s="36"/>
    </row>
    <row r="83" spans="1:18" ht="15" customHeight="1">
      <c r="B83" s="375" t="s">
        <v>306</v>
      </c>
      <c r="C83" s="578">
        <v>2.0696076926138849</v>
      </c>
      <c r="D83" s="578">
        <v>19.998685258964144</v>
      </c>
      <c r="E83" s="578">
        <v>9.2154034275127383</v>
      </c>
      <c r="F83" s="578">
        <v>30.63026215374461</v>
      </c>
      <c r="G83" s="578"/>
      <c r="H83" s="578"/>
      <c r="I83" s="578"/>
      <c r="J83" s="578"/>
      <c r="K83" s="578">
        <v>8.7786307916060657</v>
      </c>
      <c r="L83" s="578">
        <v>10.09372641509434</v>
      </c>
      <c r="M83" s="578">
        <v>0.72296723082463088</v>
      </c>
      <c r="N83" s="578" t="e">
        <v>#VALUE!</v>
      </c>
      <c r="O83" s="578">
        <v>6.631020534595887</v>
      </c>
      <c r="P83" s="578">
        <v>6.1716828478964398</v>
      </c>
      <c r="Q83" s="578">
        <v>2.0833488372093023</v>
      </c>
      <c r="R83" s="578">
        <v>1.2872903859365079</v>
      </c>
    </row>
    <row r="84" spans="1:18" ht="15" customHeight="1">
      <c r="B84" s="375" t="s">
        <v>307</v>
      </c>
      <c r="C84" s="578">
        <v>-0.31279391778547344</v>
      </c>
      <c r="D84" s="578">
        <v>17.800212483399736</v>
      </c>
      <c r="E84" s="578">
        <v>6.6986790180639186</v>
      </c>
      <c r="F84" s="578">
        <v>24.610915166140707</v>
      </c>
      <c r="G84" s="578"/>
      <c r="H84" s="578"/>
      <c r="I84" s="578"/>
      <c r="J84" s="578"/>
      <c r="K84" s="578">
        <v>7.1271971743195506</v>
      </c>
      <c r="L84" s="578">
        <v>8.7855943396226408</v>
      </c>
      <c r="M84" s="578">
        <v>0.3971480014404033</v>
      </c>
      <c r="N84" s="578" t="e">
        <v>#VALUE!</v>
      </c>
      <c r="O84" s="578">
        <v>5.0134474244705816</v>
      </c>
      <c r="P84" s="578">
        <v>5.5684466019417469</v>
      </c>
      <c r="Q84" s="578">
        <v>1.6461511627906977</v>
      </c>
      <c r="R84" s="578">
        <v>1.1247516111111111</v>
      </c>
    </row>
    <row r="86" spans="1:18" ht="15" customHeight="1">
      <c r="A86" s="380" t="s">
        <v>37</v>
      </c>
      <c r="B86" s="592" t="s">
        <v>308</v>
      </c>
      <c r="C86" s="593" t="s">
        <v>237</v>
      </c>
      <c r="D86" s="593" t="s">
        <v>238</v>
      </c>
      <c r="E86" s="593" t="s">
        <v>239</v>
      </c>
      <c r="F86" s="593" t="s">
        <v>240</v>
      </c>
      <c r="G86" s="593" t="s">
        <v>241</v>
      </c>
      <c r="H86" s="593" t="s">
        <v>242</v>
      </c>
      <c r="I86" s="593" t="s">
        <v>243</v>
      </c>
      <c r="J86" s="593" t="s">
        <v>244</v>
      </c>
      <c r="K86" s="593" t="s">
        <v>245</v>
      </c>
      <c r="L86" s="593" t="s">
        <v>246</v>
      </c>
      <c r="M86" s="593" t="s">
        <v>247</v>
      </c>
      <c r="N86" s="593" t="s">
        <v>248</v>
      </c>
      <c r="O86" s="593" t="s">
        <v>249</v>
      </c>
      <c r="P86" s="593" t="s">
        <v>250</v>
      </c>
      <c r="Q86" s="593" t="s">
        <v>251</v>
      </c>
      <c r="R86" s="593" t="s">
        <v>252</v>
      </c>
    </row>
    <row r="87" spans="1:18" ht="3.95" customHeight="1">
      <c r="A87" s="380"/>
      <c r="B87" s="591"/>
      <c r="C87" s="36"/>
      <c r="D87" s="36"/>
      <c r="E87" s="36"/>
      <c r="F87" s="36"/>
      <c r="G87" s="36"/>
      <c r="H87" s="36"/>
      <c r="I87" s="36"/>
      <c r="J87" s="36"/>
      <c r="K87" s="36"/>
      <c r="L87" s="36"/>
      <c r="M87" s="36"/>
      <c r="N87" s="36"/>
      <c r="O87" s="36"/>
      <c r="P87" s="36"/>
      <c r="Q87" s="36"/>
      <c r="R87" s="36"/>
    </row>
    <row r="88" spans="1:18" ht="15" customHeight="1">
      <c r="B88" s="375" t="s">
        <v>309</v>
      </c>
      <c r="C88" s="577">
        <v>2.0060594932060027E-2</v>
      </c>
      <c r="D88" s="577">
        <v>0</v>
      </c>
      <c r="E88" s="577">
        <v>4.0441893312155308E-3</v>
      </c>
      <c r="F88" s="577">
        <v>1.0674740733288113E-2</v>
      </c>
      <c r="G88" s="577"/>
      <c r="H88" s="577">
        <v>0</v>
      </c>
      <c r="I88" s="577">
        <v>2.8265050257498814E-3</v>
      </c>
      <c r="J88" s="577">
        <v>0</v>
      </c>
      <c r="K88" s="577">
        <v>1.537009366618225E-2</v>
      </c>
      <c r="L88" s="577">
        <v>3.0286248738585764E-2</v>
      </c>
      <c r="M88" s="577">
        <v>0</v>
      </c>
      <c r="N88" s="577">
        <v>0</v>
      </c>
      <c r="O88" s="577">
        <v>3.9265216678923132E-3</v>
      </c>
      <c r="P88" s="577">
        <v>0</v>
      </c>
      <c r="Q88" s="577">
        <v>0</v>
      </c>
      <c r="R88" s="577">
        <v>0</v>
      </c>
    </row>
    <row r="89" spans="1:18" ht="15" customHeight="1">
      <c r="B89" s="375" t="s">
        <v>310</v>
      </c>
      <c r="C89" s="577">
        <v>2.1380105117656807E-3</v>
      </c>
      <c r="D89" s="577"/>
      <c r="E89" s="577"/>
      <c r="F89" s="577">
        <v>1.7492217351342016E-3</v>
      </c>
      <c r="G89" s="577">
        <v>-1.2369906239831514E-2</v>
      </c>
      <c r="H89" s="577"/>
      <c r="I89" s="577">
        <v>7.2000782003937564E-4</v>
      </c>
      <c r="J89" s="577">
        <v>1.0480944083877987E-3</v>
      </c>
      <c r="K89" s="577"/>
      <c r="L89" s="577">
        <v>1.6415645256507741E-3</v>
      </c>
      <c r="M89" s="577"/>
      <c r="N89" s="577"/>
      <c r="O89" s="577">
        <v>2.7096166596857134E-3</v>
      </c>
      <c r="P89" s="577"/>
      <c r="Q89" s="577">
        <v>1.1917863727036536E-4</v>
      </c>
      <c r="R89" s="577"/>
    </row>
    <row r="90" spans="1:18" ht="15" customHeight="1">
      <c r="B90" s="375" t="s">
        <v>311</v>
      </c>
      <c r="C90" s="577">
        <v>4.9225865835062027E-2</v>
      </c>
      <c r="D90" s="577"/>
      <c r="E90" s="577"/>
      <c r="F90" s="577">
        <v>8.9950015050028718E-3</v>
      </c>
      <c r="G90" s="577">
        <v>0.21331863394814751</v>
      </c>
      <c r="H90" s="577"/>
      <c r="I90" s="577">
        <v>3.8883554824926574E-3</v>
      </c>
      <c r="J90" s="577">
        <v>3.9203799993738769E-3</v>
      </c>
      <c r="K90" s="577"/>
      <c r="L90" s="577">
        <v>1.0972629178408034E-2</v>
      </c>
      <c r="M90" s="577"/>
      <c r="N90" s="577"/>
      <c r="O90" s="577">
        <v>1.324693219292648E-2</v>
      </c>
      <c r="P90" s="577"/>
      <c r="Q90" s="577">
        <v>8.0929630291123411E-4</v>
      </c>
      <c r="R90" s="577"/>
    </row>
    <row r="91" spans="1:18" ht="15" customHeight="1">
      <c r="B91" s="375" t="s">
        <v>312</v>
      </c>
      <c r="C91" s="588">
        <v>0.91658194278301175</v>
      </c>
      <c r="D91" s="588">
        <v>0.15389725419613903</v>
      </c>
      <c r="E91" s="588">
        <v>0.22581038961460168</v>
      </c>
      <c r="F91" s="588">
        <v>9.2297822779922808E-2</v>
      </c>
      <c r="G91" s="588">
        <v>-2.9004639984555988E-2</v>
      </c>
      <c r="H91" s="588">
        <v>2.290856877220083E-3</v>
      </c>
      <c r="I91" s="588">
        <v>0.52041284826254841</v>
      </c>
      <c r="J91" s="588">
        <v>0.1663973037312742</v>
      </c>
      <c r="K91" s="588">
        <v>0.11575174207876451</v>
      </c>
      <c r="L91" s="588">
        <v>0.26688220347799241</v>
      </c>
      <c r="M91" s="588">
        <v>6.4763303740540554E-2</v>
      </c>
      <c r="N91" s="588">
        <v>3.6227270442739296E-2</v>
      </c>
      <c r="O91" s="588">
        <v>0.17317105474727276</v>
      </c>
      <c r="P91" s="588">
        <v>3.1005973430622391E-2</v>
      </c>
      <c r="Q91" s="588">
        <v>4.9325626524545467E-2</v>
      </c>
      <c r="R91" s="588">
        <v>6.8170892831818194E-2</v>
      </c>
    </row>
  </sheetData>
  <conditionalFormatting sqref="C14:R14">
    <cfRule type="colorScale" priority="67">
      <colorScale>
        <cfvo type="min"/>
        <cfvo type="num" val="0"/>
        <cfvo type="max"/>
        <color theme="4" tint="0.79998168889431442"/>
        <color theme="0"/>
        <color rgb="FF8DEB91"/>
      </colorScale>
    </cfRule>
  </conditionalFormatting>
  <conditionalFormatting sqref="C15:R15">
    <cfRule type="colorScale" priority="49">
      <colorScale>
        <cfvo type="min"/>
        <cfvo type="num" val="0"/>
        <cfvo type="max"/>
        <color theme="4" tint="0.79998168889431442"/>
        <color theme="0"/>
        <color rgb="FF8DEB91"/>
      </colorScale>
    </cfRule>
  </conditionalFormatting>
  <conditionalFormatting sqref="C16:R16">
    <cfRule type="colorScale" priority="48">
      <colorScale>
        <cfvo type="min"/>
        <cfvo type="num" val="0"/>
        <cfvo type="max"/>
        <color theme="4" tint="0.79998168889431442"/>
        <color theme="0"/>
        <color rgb="FF8DEB91"/>
      </colorScale>
    </cfRule>
  </conditionalFormatting>
  <conditionalFormatting sqref="C17:R17">
    <cfRule type="colorScale" priority="47">
      <colorScale>
        <cfvo type="min"/>
        <cfvo type="num" val="0"/>
        <cfvo type="max"/>
        <color theme="4" tint="0.79998168889431442"/>
        <color theme="0"/>
        <color rgb="FF8DEB91"/>
      </colorScale>
    </cfRule>
  </conditionalFormatting>
  <conditionalFormatting sqref="C18:R18">
    <cfRule type="colorScale" priority="46">
      <colorScale>
        <cfvo type="min"/>
        <cfvo type="num" val="0"/>
        <cfvo type="max"/>
        <color theme="4" tint="0.79998168889431442"/>
        <color theme="0"/>
        <color rgb="FF8DEB91"/>
      </colorScale>
    </cfRule>
  </conditionalFormatting>
  <conditionalFormatting sqref="C19:R19">
    <cfRule type="colorScale" priority="45">
      <colorScale>
        <cfvo type="min"/>
        <cfvo type="num" val="0"/>
        <cfvo type="max"/>
        <color theme="4" tint="0.79998168889431442"/>
        <color theme="0"/>
        <color rgb="FF8DEB91"/>
      </colorScale>
    </cfRule>
  </conditionalFormatting>
  <conditionalFormatting sqref="C23:R23">
    <cfRule type="colorScale" priority="61">
      <colorScale>
        <cfvo type="min"/>
        <cfvo type="percentile" val="50"/>
        <cfvo type="max"/>
        <color theme="4" tint="0.79998168889431442"/>
        <color theme="0"/>
        <color rgb="FF8DEB91"/>
      </colorScale>
    </cfRule>
  </conditionalFormatting>
  <conditionalFormatting sqref="C24:R24">
    <cfRule type="colorScale" priority="44">
      <colorScale>
        <cfvo type="min"/>
        <cfvo type="percentile" val="50"/>
        <cfvo type="max"/>
        <color theme="4" tint="0.79998168889431442"/>
        <color theme="0"/>
        <color rgb="FF8DEB91"/>
      </colorScale>
    </cfRule>
  </conditionalFormatting>
  <conditionalFormatting sqref="C25:R25">
    <cfRule type="colorScale" priority="43">
      <colorScale>
        <cfvo type="min"/>
        <cfvo type="percentile" val="50"/>
        <cfvo type="max"/>
        <color theme="4" tint="0.79998168889431442"/>
        <color theme="0"/>
        <color rgb="FF8DEB91"/>
      </colorScale>
    </cfRule>
  </conditionalFormatting>
  <conditionalFormatting sqref="C26:R26">
    <cfRule type="colorScale" priority="42">
      <colorScale>
        <cfvo type="min"/>
        <cfvo type="percentile" val="50"/>
        <cfvo type="max"/>
        <color theme="4" tint="0.79998168889431442"/>
        <color theme="0"/>
        <color rgb="FF8DEB91"/>
      </colorScale>
    </cfRule>
  </conditionalFormatting>
  <conditionalFormatting sqref="C27:R27">
    <cfRule type="colorScale" priority="41">
      <colorScale>
        <cfvo type="min"/>
        <cfvo type="percentile" val="50"/>
        <cfvo type="max"/>
        <color theme="4" tint="0.79998168889431442"/>
        <color theme="0"/>
        <color rgb="FF8DEB91"/>
      </colorScale>
    </cfRule>
  </conditionalFormatting>
  <conditionalFormatting sqref="C28:R28">
    <cfRule type="colorScale" priority="40">
      <colorScale>
        <cfvo type="min"/>
        <cfvo type="percentile" val="50"/>
        <cfvo type="max"/>
        <color theme="4" tint="0.79998168889431442"/>
        <color theme="0"/>
        <color rgb="FF8DEB91"/>
      </colorScale>
    </cfRule>
  </conditionalFormatting>
  <conditionalFormatting sqref="C32:R32">
    <cfRule type="colorScale" priority="39">
      <colorScale>
        <cfvo type="min"/>
        <cfvo type="percentile" val="50"/>
        <cfvo type="max"/>
        <color theme="4" tint="0.79998168889431442"/>
        <color theme="0"/>
        <color rgb="FF8DEB91"/>
      </colorScale>
    </cfRule>
  </conditionalFormatting>
  <conditionalFormatting sqref="C33:R33">
    <cfRule type="colorScale" priority="38">
      <colorScale>
        <cfvo type="min"/>
        <cfvo type="percentile" val="50"/>
        <cfvo type="max"/>
        <color theme="4" tint="0.79998168889431442"/>
        <color theme="0"/>
        <color rgb="FF8DEB91"/>
      </colorScale>
    </cfRule>
  </conditionalFormatting>
  <conditionalFormatting sqref="C34:R34">
    <cfRule type="colorScale" priority="37">
      <colorScale>
        <cfvo type="min"/>
        <cfvo type="percentile" val="50"/>
        <cfvo type="max"/>
        <color theme="4" tint="0.79998168889431442"/>
        <color theme="0"/>
        <color rgb="FF8DEB91"/>
      </colorScale>
    </cfRule>
  </conditionalFormatting>
  <conditionalFormatting sqref="C35:R35">
    <cfRule type="colorScale" priority="36">
      <colorScale>
        <cfvo type="min"/>
        <cfvo type="percentile" val="50"/>
        <cfvo type="max"/>
        <color theme="4" tint="0.79998168889431442"/>
        <color theme="0"/>
        <color rgb="FF8DEB91"/>
      </colorScale>
    </cfRule>
  </conditionalFormatting>
  <conditionalFormatting sqref="C36:R36">
    <cfRule type="colorScale" priority="35">
      <colorScale>
        <cfvo type="min"/>
        <cfvo type="percentile" val="50"/>
        <cfvo type="max"/>
        <color theme="4" tint="0.79998168889431442"/>
        <color theme="0"/>
        <color rgb="FF8DEB91"/>
      </colorScale>
    </cfRule>
  </conditionalFormatting>
  <conditionalFormatting sqref="C37:R37">
    <cfRule type="colorScale" priority="34">
      <colorScale>
        <cfvo type="min"/>
        <cfvo type="percentile" val="50"/>
        <cfvo type="max"/>
        <color theme="4" tint="0.79998168889431442"/>
        <color theme="0"/>
        <color rgb="FF8DEB91"/>
      </colorScale>
    </cfRule>
  </conditionalFormatting>
  <conditionalFormatting sqref="C41:R41">
    <cfRule type="colorScale" priority="33">
      <colorScale>
        <cfvo type="min"/>
        <cfvo type="percentile" val="50"/>
        <cfvo type="max"/>
        <color theme="4" tint="0.79998168889431442"/>
        <color theme="0" tint="-4.9989318521683403E-2"/>
        <color rgb="FF8DEB91"/>
      </colorScale>
    </cfRule>
  </conditionalFormatting>
  <conditionalFormatting sqref="C42:R42">
    <cfRule type="colorScale" priority="32">
      <colorScale>
        <cfvo type="min"/>
        <cfvo type="percentile" val="50"/>
        <cfvo type="max"/>
        <color theme="4" tint="0.79998168889431442"/>
        <color theme="0" tint="-4.9989318521683403E-2"/>
        <color rgb="FF8DEB91"/>
      </colorScale>
    </cfRule>
  </conditionalFormatting>
  <conditionalFormatting sqref="C43:R43">
    <cfRule type="colorScale" priority="31">
      <colorScale>
        <cfvo type="min"/>
        <cfvo type="percentile" val="50"/>
        <cfvo type="max"/>
        <color theme="4" tint="0.79998168889431442"/>
        <color theme="0" tint="-4.9989318521683403E-2"/>
        <color rgb="FF8DEB91"/>
      </colorScale>
    </cfRule>
  </conditionalFormatting>
  <conditionalFormatting sqref="C44:R44">
    <cfRule type="colorScale" priority="30">
      <colorScale>
        <cfvo type="min"/>
        <cfvo type="percentile" val="50"/>
        <cfvo type="max"/>
        <color theme="4" tint="0.79998168889431442"/>
        <color theme="0"/>
        <color rgb="FF8DEB91"/>
      </colorScale>
    </cfRule>
  </conditionalFormatting>
  <conditionalFormatting sqref="C45:R45">
    <cfRule type="colorScale" priority="29">
      <colorScale>
        <cfvo type="min"/>
        <cfvo type="percentile" val="50"/>
        <cfvo type="max"/>
        <color theme="4" tint="0.79998168889431442"/>
        <color theme="0"/>
        <color rgb="FF8DEB91"/>
      </colorScale>
    </cfRule>
  </conditionalFormatting>
  <conditionalFormatting sqref="C49:R49">
    <cfRule type="colorScale" priority="28">
      <colorScale>
        <cfvo type="min"/>
        <cfvo type="percentile" val="50"/>
        <cfvo type="max"/>
        <color theme="4" tint="0.79998168889431442"/>
        <color theme="0"/>
        <color rgb="FF8DEB91"/>
      </colorScale>
    </cfRule>
  </conditionalFormatting>
  <conditionalFormatting sqref="C50:R50">
    <cfRule type="colorScale" priority="27">
      <colorScale>
        <cfvo type="min"/>
        <cfvo type="percentile" val="50"/>
        <cfvo type="max"/>
        <color theme="4" tint="0.79998168889431442"/>
        <color theme="0"/>
        <color rgb="FF8DEB91"/>
      </colorScale>
    </cfRule>
  </conditionalFormatting>
  <conditionalFormatting sqref="C51:R51">
    <cfRule type="colorScale" priority="26">
      <colorScale>
        <cfvo type="min"/>
        <cfvo type="percentile" val="50"/>
        <cfvo type="max"/>
        <color theme="4" tint="0.79998168889431442"/>
        <color theme="0"/>
        <color rgb="FF8DEB91"/>
      </colorScale>
    </cfRule>
  </conditionalFormatting>
  <conditionalFormatting sqref="C52:R52">
    <cfRule type="colorScale" priority="25">
      <colorScale>
        <cfvo type="min"/>
        <cfvo type="percentile" val="50"/>
        <cfvo type="max"/>
        <color theme="4" tint="0.79998168889431442"/>
        <color theme="0"/>
        <color rgb="FF8DEB91"/>
      </colorScale>
    </cfRule>
  </conditionalFormatting>
  <conditionalFormatting sqref="C53:R53">
    <cfRule type="colorScale" priority="24">
      <colorScale>
        <cfvo type="min"/>
        <cfvo type="percentile" val="50"/>
        <cfvo type="max"/>
        <color theme="4" tint="0.79998168889431442"/>
        <color theme="0"/>
        <color rgb="FF8DEB91"/>
      </colorScale>
    </cfRule>
  </conditionalFormatting>
  <conditionalFormatting sqref="C54:R54">
    <cfRule type="colorScale" priority="23">
      <colorScale>
        <cfvo type="min"/>
        <cfvo type="percentile" val="50"/>
        <cfvo type="max"/>
        <color theme="4" tint="0.79998168889431442"/>
        <color theme="0" tint="-4.9989318521683403E-2"/>
        <color rgb="FF8DEB91"/>
      </colorScale>
    </cfRule>
  </conditionalFormatting>
  <conditionalFormatting sqref="C55:R55">
    <cfRule type="colorScale" priority="22">
      <colorScale>
        <cfvo type="min"/>
        <cfvo type="percentile" val="50"/>
        <cfvo type="max"/>
        <color theme="4" tint="0.79998168889431442"/>
        <color theme="0"/>
        <color rgb="FF8DEB91"/>
      </colorScale>
    </cfRule>
  </conditionalFormatting>
  <conditionalFormatting sqref="C59:R59">
    <cfRule type="colorScale" priority="21">
      <colorScale>
        <cfvo type="min"/>
        <cfvo type="percentile" val="50"/>
        <cfvo type="max"/>
        <color theme="4" tint="0.79998168889431442"/>
        <color theme="0" tint="-4.9989318521683403E-2"/>
        <color rgb="FF8DEB91"/>
      </colorScale>
    </cfRule>
  </conditionalFormatting>
  <conditionalFormatting sqref="C60:R60">
    <cfRule type="colorScale" priority="20">
      <colorScale>
        <cfvo type="min"/>
        <cfvo type="percentile" val="50"/>
        <cfvo type="max"/>
        <color theme="4" tint="0.79998168889431442"/>
        <color theme="0" tint="-4.9989318521683403E-2"/>
        <color rgb="FF8DEB91"/>
      </colorScale>
    </cfRule>
  </conditionalFormatting>
  <conditionalFormatting sqref="C61:R61">
    <cfRule type="colorScale" priority="19">
      <colorScale>
        <cfvo type="min"/>
        <cfvo type="percentile" val="50"/>
        <cfvo type="max"/>
        <color theme="4" tint="0.79998168889431442"/>
        <color theme="0" tint="-4.9989318521683403E-2"/>
        <color rgb="FF8DEB91"/>
      </colorScale>
    </cfRule>
  </conditionalFormatting>
  <conditionalFormatting sqref="C62:R62">
    <cfRule type="colorScale" priority="18">
      <colorScale>
        <cfvo type="min"/>
        <cfvo type="percentile" val="50"/>
        <cfvo type="max"/>
        <color theme="4" tint="0.79998168889431442"/>
        <color theme="0"/>
        <color rgb="FF8DEB91"/>
      </colorScale>
    </cfRule>
  </conditionalFormatting>
  <conditionalFormatting sqref="C63:R63">
    <cfRule type="colorScale" priority="17">
      <colorScale>
        <cfvo type="min"/>
        <cfvo type="percentile" val="50"/>
        <cfvo type="max"/>
        <color theme="4" tint="0.79998168889431442"/>
        <color theme="0"/>
        <color rgb="FF8DEB91"/>
      </colorScale>
    </cfRule>
  </conditionalFormatting>
  <conditionalFormatting sqref="C67:R67">
    <cfRule type="colorScale" priority="16">
      <colorScale>
        <cfvo type="min"/>
        <cfvo type="percentile" val="50"/>
        <cfvo type="max"/>
        <color theme="4" tint="0.79998168889431442"/>
        <color theme="0" tint="-4.9989318521683403E-2"/>
        <color rgb="FF8DEB91"/>
      </colorScale>
    </cfRule>
  </conditionalFormatting>
  <conditionalFormatting sqref="C68:R68">
    <cfRule type="colorScale" priority="15">
      <colorScale>
        <cfvo type="min"/>
        <cfvo type="percentile" val="50"/>
        <cfvo type="max"/>
        <color theme="4" tint="0.79998168889431442"/>
        <color theme="0" tint="-4.9989318521683403E-2"/>
        <color rgb="FF8DEB91"/>
      </colorScale>
    </cfRule>
  </conditionalFormatting>
  <conditionalFormatting sqref="C69:R69">
    <cfRule type="colorScale" priority="14">
      <colorScale>
        <cfvo type="min"/>
        <cfvo type="percentile" val="50"/>
        <cfvo type="max"/>
        <color theme="4" tint="0.79998168889431442"/>
        <color theme="0" tint="-4.9989318521683403E-2"/>
        <color rgb="FF8DEB91"/>
      </colorScale>
    </cfRule>
  </conditionalFormatting>
  <conditionalFormatting sqref="C73:R73">
    <cfRule type="colorScale" priority="13">
      <colorScale>
        <cfvo type="min"/>
        <cfvo type="percentile" val="50"/>
        <cfvo type="max"/>
        <color theme="4" tint="0.79998168889431442"/>
        <color theme="0"/>
        <color rgb="FF8DEB91"/>
      </colorScale>
    </cfRule>
  </conditionalFormatting>
  <conditionalFormatting sqref="C74:R74">
    <cfRule type="colorScale" priority="12">
      <colorScale>
        <cfvo type="min"/>
        <cfvo type="percentile" val="50"/>
        <cfvo type="max"/>
        <color theme="4" tint="0.79998168889431442"/>
        <color theme="0"/>
        <color rgb="FF8DEB91"/>
      </colorScale>
    </cfRule>
  </conditionalFormatting>
  <conditionalFormatting sqref="C75:R75">
    <cfRule type="colorScale" priority="11">
      <colorScale>
        <cfvo type="min"/>
        <cfvo type="percentile" val="50"/>
        <cfvo type="max"/>
        <color theme="4" tint="0.79998168889431442"/>
        <color theme="0"/>
        <color rgb="FF8DEB91"/>
      </colorScale>
    </cfRule>
  </conditionalFormatting>
  <conditionalFormatting sqref="C76:R76">
    <cfRule type="colorScale" priority="10">
      <colorScale>
        <cfvo type="min"/>
        <cfvo type="percentile" val="50"/>
        <cfvo type="max"/>
        <color theme="4" tint="0.79998168889431442"/>
        <color theme="0" tint="-4.9989318521683403E-2"/>
        <color rgb="FF8DEB91"/>
      </colorScale>
    </cfRule>
  </conditionalFormatting>
  <conditionalFormatting sqref="C77:R77">
    <cfRule type="colorScale" priority="9">
      <colorScale>
        <cfvo type="min"/>
        <cfvo type="percentile" val="50"/>
        <cfvo type="max"/>
        <color theme="4" tint="0.79998168889431442"/>
        <color theme="0"/>
        <color rgb="FF8DEB91"/>
      </colorScale>
    </cfRule>
  </conditionalFormatting>
  <conditionalFormatting sqref="C78:R78">
    <cfRule type="colorScale" priority="7">
      <colorScale>
        <cfvo type="min"/>
        <cfvo type="percentile" val="50"/>
        <cfvo type="max"/>
        <color theme="4" tint="0.79998168889431442"/>
        <color theme="0"/>
        <color rgb="FF8DEB91"/>
      </colorScale>
    </cfRule>
  </conditionalFormatting>
  <conditionalFormatting sqref="C79:R79">
    <cfRule type="colorScale" priority="8">
      <colorScale>
        <cfvo type="min"/>
        <cfvo type="percentile" val="50"/>
        <cfvo type="max"/>
        <color theme="4" tint="0.79998168889431442"/>
        <color theme="0"/>
        <color rgb="FF8DEB91"/>
      </colorScale>
    </cfRule>
  </conditionalFormatting>
  <conditionalFormatting sqref="C83:R83">
    <cfRule type="colorScale" priority="6">
      <colorScale>
        <cfvo type="min"/>
        <cfvo type="percentile" val="50"/>
        <cfvo type="max"/>
        <color theme="4" tint="0.79998168889431442"/>
        <color theme="0" tint="-4.9989318521683403E-2"/>
        <color rgb="FF8DEB91"/>
      </colorScale>
    </cfRule>
  </conditionalFormatting>
  <conditionalFormatting sqref="C84:R84">
    <cfRule type="colorScale" priority="5">
      <colorScale>
        <cfvo type="min"/>
        <cfvo type="percentile" val="50"/>
        <cfvo type="max"/>
        <color theme="4" tint="0.79998168889431442"/>
        <color theme="0" tint="-4.9989318521683403E-2"/>
        <color rgb="FF8DEB91"/>
      </colorScale>
    </cfRule>
  </conditionalFormatting>
  <conditionalFormatting sqref="C88:R88">
    <cfRule type="colorScale" priority="4">
      <colorScale>
        <cfvo type="min"/>
        <cfvo type="percentile" val="50"/>
        <cfvo type="max"/>
        <color theme="4" tint="0.79998168889431442"/>
        <color theme="0"/>
        <color rgb="FF8DEB91"/>
      </colorScale>
    </cfRule>
  </conditionalFormatting>
  <conditionalFormatting sqref="C89:R89">
    <cfRule type="colorScale" priority="3">
      <colorScale>
        <cfvo type="min"/>
        <cfvo type="percentile" val="50"/>
        <cfvo type="max"/>
        <color theme="4" tint="0.79998168889431442"/>
        <color theme="0"/>
        <color rgb="FF8DEB91"/>
      </colorScale>
    </cfRule>
  </conditionalFormatting>
  <conditionalFormatting sqref="C90:R90">
    <cfRule type="colorScale" priority="2">
      <colorScale>
        <cfvo type="min"/>
        <cfvo type="percentile" val="50"/>
        <cfvo type="max"/>
        <color theme="4" tint="0.79998168889431442"/>
        <color theme="0"/>
        <color rgb="FF8DEB91"/>
      </colorScale>
    </cfRule>
  </conditionalFormatting>
  <conditionalFormatting sqref="C91:R91">
    <cfRule type="colorScale" priority="1">
      <colorScale>
        <cfvo type="min"/>
        <cfvo type="percentile" val="50"/>
        <cfvo type="max"/>
        <color theme="4" tint="0.79998168889431442"/>
        <color theme="0"/>
        <color rgb="FF8DEB91"/>
      </colorScale>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B1:Z55"/>
  <sheetViews>
    <sheetView showGridLines="0" zoomScale="62" zoomScaleNormal="115" workbookViewId="0">
      <selection activeCell="P18" sqref="P18"/>
    </sheetView>
  </sheetViews>
  <sheetFormatPr defaultColWidth="9" defaultRowHeight="15" customHeight="1"/>
  <cols>
    <col min="1" max="1" width="2.125" style="564" customWidth="1"/>
    <col min="2" max="2" width="28.125" style="564" customWidth="1"/>
    <col min="3" max="4" width="10.625" style="564" customWidth="1"/>
    <col min="5" max="5" width="8.625" style="564" customWidth="1"/>
    <col min="6" max="7" width="11.625" style="564" customWidth="1"/>
    <col min="8" max="8" width="1.625" style="564" customWidth="1"/>
    <col min="9" max="17" width="9.625" style="564" customWidth="1"/>
    <col min="18" max="18" width="1.625" style="564" customWidth="1"/>
    <col min="19" max="20" width="8.625" style="564" customWidth="1"/>
    <col min="21" max="21" width="1.625" style="564" customWidth="1"/>
    <col min="22" max="24" width="9.625" style="564" customWidth="1"/>
    <col min="25" max="25" width="1.625" style="564" customWidth="1"/>
    <col min="26" max="26" width="8.625" style="564" customWidth="1"/>
    <col min="27" max="16384" width="9" style="564"/>
  </cols>
  <sheetData>
    <row r="1" spans="2:26" s="576" customFormat="1" ht="15" customHeight="1"/>
    <row r="2" spans="2:26" s="576" customFormat="1" ht="15" customHeight="1"/>
    <row r="3" spans="2:26" s="576" customFormat="1" ht="15" customHeight="1"/>
    <row r="4" spans="2:26" s="576" customFormat="1" ht="15" customHeight="1"/>
    <row r="5" spans="2:26" s="562" customFormat="1" ht="3.95" customHeight="1">
      <c r="B5" s="36"/>
      <c r="C5" s="36"/>
      <c r="D5" s="36"/>
      <c r="E5" s="36"/>
      <c r="F5" s="36"/>
      <c r="G5" s="36"/>
      <c r="H5" s="36"/>
      <c r="I5" s="36"/>
      <c r="J5" s="36"/>
      <c r="K5" s="36"/>
      <c r="L5" s="36"/>
      <c r="M5" s="36"/>
      <c r="N5" s="36"/>
      <c r="O5" s="36"/>
      <c r="P5" s="36"/>
      <c r="Q5" s="36"/>
      <c r="R5" s="36"/>
      <c r="S5" s="36"/>
      <c r="T5" s="36"/>
      <c r="U5" s="36"/>
      <c r="V5" s="36"/>
      <c r="W5" s="36"/>
      <c r="X5" s="36"/>
      <c r="Y5" s="36"/>
      <c r="Z5" s="36"/>
    </row>
    <row r="7" spans="2:26" s="563" customFormat="1" ht="15" customHeight="1">
      <c r="B7" s="617" t="s">
        <v>313</v>
      </c>
      <c r="C7" s="372"/>
      <c r="D7" s="618" t="s">
        <v>314</v>
      </c>
      <c r="E7" s="618" t="s">
        <v>315</v>
      </c>
      <c r="F7" s="618"/>
      <c r="G7" s="618"/>
      <c r="H7" s="618"/>
      <c r="I7" s="708" t="s">
        <v>316</v>
      </c>
      <c r="J7" s="708"/>
      <c r="K7" s="708"/>
      <c r="L7" s="708"/>
      <c r="M7" s="708"/>
      <c r="N7" s="708"/>
      <c r="O7" s="708"/>
      <c r="P7" s="708"/>
      <c r="Q7" s="708"/>
      <c r="R7" s="618"/>
      <c r="S7" s="618" t="s">
        <v>317</v>
      </c>
      <c r="T7" s="618" t="s">
        <v>318</v>
      </c>
      <c r="U7" s="618"/>
      <c r="V7" s="708" t="s">
        <v>319</v>
      </c>
      <c r="W7" s="708"/>
      <c r="X7" s="708"/>
      <c r="Y7" s="618"/>
      <c r="Z7" s="618" t="s">
        <v>320</v>
      </c>
    </row>
    <row r="8" spans="2:26" s="563" customFormat="1" ht="15" customHeight="1">
      <c r="B8" s="372"/>
      <c r="C8" s="372"/>
      <c r="D8" s="618" t="s">
        <v>321</v>
      </c>
      <c r="E8" s="618" t="s">
        <v>322</v>
      </c>
      <c r="F8" s="618" t="s">
        <v>323</v>
      </c>
      <c r="G8" s="618" t="s">
        <v>324</v>
      </c>
      <c r="H8" s="618"/>
      <c r="I8" s="618" t="s">
        <v>317</v>
      </c>
      <c r="J8" s="527">
        <v>2025</v>
      </c>
      <c r="K8" s="527">
        <v>2026</v>
      </c>
      <c r="L8" s="618" t="s">
        <v>317</v>
      </c>
      <c r="M8" s="618" t="s">
        <v>325</v>
      </c>
      <c r="N8" s="618" t="s">
        <v>326</v>
      </c>
      <c r="O8" s="618" t="s">
        <v>317</v>
      </c>
      <c r="P8" s="618" t="s">
        <v>325</v>
      </c>
      <c r="Q8" s="618" t="s">
        <v>326</v>
      </c>
      <c r="R8" s="618"/>
      <c r="S8" s="618" t="s">
        <v>327</v>
      </c>
      <c r="T8" s="618" t="s">
        <v>328</v>
      </c>
      <c r="U8" s="618"/>
      <c r="V8" s="618" t="s">
        <v>317</v>
      </c>
      <c r="W8" s="618" t="s">
        <v>325</v>
      </c>
      <c r="X8" s="618" t="s">
        <v>326</v>
      </c>
      <c r="Y8" s="618"/>
      <c r="Z8" s="618" t="s">
        <v>329</v>
      </c>
    </row>
    <row r="9" spans="2:26" s="563" customFormat="1" ht="15" customHeight="1">
      <c r="B9" s="372" t="s">
        <v>330</v>
      </c>
      <c r="C9" s="372" t="s">
        <v>13</v>
      </c>
      <c r="D9" s="618" t="s">
        <v>331</v>
      </c>
      <c r="E9" s="618" t="s">
        <v>332</v>
      </c>
      <c r="F9" s="618" t="s">
        <v>333</v>
      </c>
      <c r="G9" s="618" t="s">
        <v>333</v>
      </c>
      <c r="H9" s="618"/>
      <c r="I9" s="618" t="s">
        <v>334</v>
      </c>
      <c r="J9" s="618" t="s">
        <v>334</v>
      </c>
      <c r="K9" s="618" t="s">
        <v>334</v>
      </c>
      <c r="L9" s="618" t="s">
        <v>327</v>
      </c>
      <c r="M9" s="618" t="s">
        <v>327</v>
      </c>
      <c r="N9" s="618" t="s">
        <v>327</v>
      </c>
      <c r="O9" s="618" t="s">
        <v>335</v>
      </c>
      <c r="P9" s="618" t="s">
        <v>335</v>
      </c>
      <c r="Q9" s="618" t="s">
        <v>335</v>
      </c>
      <c r="R9" s="618"/>
      <c r="S9" s="618" t="s">
        <v>336</v>
      </c>
      <c r="T9" s="618" t="s">
        <v>327</v>
      </c>
      <c r="U9" s="618"/>
      <c r="V9" s="618" t="s">
        <v>329</v>
      </c>
      <c r="W9" s="618" t="s">
        <v>329</v>
      </c>
      <c r="X9" s="618" t="s">
        <v>329</v>
      </c>
      <c r="Y9" s="618"/>
      <c r="Z9" s="618" t="s">
        <v>236</v>
      </c>
    </row>
    <row r="10" spans="2:26" ht="3.95" customHeight="1">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spans="2:26" ht="3.95" customHeight="1">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2:26" s="565" customFormat="1" ht="15" customHeight="1">
      <c r="B12" s="372" t="s">
        <v>337</v>
      </c>
      <c r="C12" s="32"/>
      <c r="D12" s="32"/>
      <c r="E12" s="32"/>
      <c r="F12" s="32"/>
      <c r="G12" s="32"/>
      <c r="H12" s="32"/>
      <c r="I12" s="32"/>
      <c r="J12" s="32"/>
      <c r="K12" s="32"/>
      <c r="L12" s="32"/>
      <c r="M12" s="32"/>
      <c r="N12" s="32"/>
      <c r="O12" s="32"/>
      <c r="P12" s="32"/>
      <c r="Q12" s="32"/>
      <c r="R12" s="32"/>
      <c r="S12" s="32"/>
      <c r="T12" s="32"/>
      <c r="U12" s="32"/>
      <c r="V12" s="32"/>
      <c r="W12" s="32"/>
      <c r="X12" s="32"/>
      <c r="Y12" s="32"/>
      <c r="Z12" s="32"/>
    </row>
    <row r="13" spans="2:26" ht="3.95" customHeight="1">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2:26" ht="3.95" customHeight="1">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2:26" ht="15" customHeight="1">
      <c r="B15" s="23" t="s">
        <v>238</v>
      </c>
      <c r="C15" s="23" t="s">
        <v>338</v>
      </c>
      <c r="D15" s="619" t="s">
        <v>339</v>
      </c>
      <c r="E15" s="477">
        <v>0.91722810394610188</v>
      </c>
      <c r="F15" s="620">
        <v>4592.6400000000003</v>
      </c>
      <c r="G15" s="620">
        <v>6223.5221120000006</v>
      </c>
      <c r="H15" s="23"/>
      <c r="I15" s="621">
        <v>0.61216932542396529</v>
      </c>
      <c r="J15" s="621">
        <v>0.58551495597010916</v>
      </c>
      <c r="K15" s="622">
        <v>0.54666969650274189</v>
      </c>
      <c r="L15" s="621">
        <v>3.870953806844228</v>
      </c>
      <c r="M15" s="621">
        <v>3.7199773532576215</v>
      </c>
      <c r="N15" s="622">
        <v>3.3519008066476808</v>
      </c>
      <c r="O15" s="621">
        <v>6.8960986093720571</v>
      </c>
      <c r="P15" s="621">
        <v>6.5797696396314764</v>
      </c>
      <c r="Q15" s="622">
        <v>5.7579506719534761</v>
      </c>
      <c r="R15" s="23"/>
      <c r="S15" s="485">
        <v>0.1581443117046733</v>
      </c>
      <c r="T15" s="621">
        <v>2.0169796932737687</v>
      </c>
      <c r="U15" s="623"/>
      <c r="V15" s="621">
        <v>10.452433058787335</v>
      </c>
      <c r="W15" s="621">
        <v>10.547401574803152</v>
      </c>
      <c r="X15" s="621">
        <v>8.2453141831238792</v>
      </c>
      <c r="Y15" s="623"/>
      <c r="Z15" s="485">
        <v>0.16472618306193976</v>
      </c>
    </row>
    <row r="16" spans="2:26" ht="15" customHeight="1">
      <c r="B16" s="23" t="s">
        <v>239</v>
      </c>
      <c r="C16" s="23" t="s">
        <v>340</v>
      </c>
      <c r="D16" s="619" t="s">
        <v>341</v>
      </c>
      <c r="E16" s="477">
        <v>0.762455963764469</v>
      </c>
      <c r="F16" s="620">
        <v>15611.398155659999</v>
      </c>
      <c r="G16" s="620">
        <v>21000.8472</v>
      </c>
      <c r="H16" s="23"/>
      <c r="I16" s="621">
        <v>1.3607870682234824</v>
      </c>
      <c r="J16" s="621">
        <v>1.2925478346500749</v>
      </c>
      <c r="K16" s="622">
        <v>1.2058896880714494</v>
      </c>
      <c r="L16" s="621">
        <v>6.8265623176609376</v>
      </c>
      <c r="M16" s="621">
        <v>6.8668195985713618</v>
      </c>
      <c r="N16" s="622">
        <v>6.3695351033549592</v>
      </c>
      <c r="O16" s="621">
        <v>11.673440991468727</v>
      </c>
      <c r="P16" s="621">
        <v>10.718503929959562</v>
      </c>
      <c r="Q16" s="622">
        <v>9.5699317722938879</v>
      </c>
      <c r="R16" s="23"/>
      <c r="S16" s="485">
        <v>0.19933709016366885</v>
      </c>
      <c r="T16" s="621">
        <v>1.0561393866521467</v>
      </c>
      <c r="U16" s="623"/>
      <c r="V16" s="621">
        <v>10.6915011778226</v>
      </c>
      <c r="W16" s="621">
        <v>10.461066443372795</v>
      </c>
      <c r="X16" s="621">
        <v>9.2632331929152389</v>
      </c>
      <c r="Y16" s="623"/>
      <c r="Z16" s="485">
        <v>0.11225040529654629</v>
      </c>
    </row>
    <row r="17" spans="2:26" ht="15" customHeight="1">
      <c r="B17" s="23" t="s">
        <v>240</v>
      </c>
      <c r="C17" s="23" t="s">
        <v>342</v>
      </c>
      <c r="D17" s="619" t="s">
        <v>343</v>
      </c>
      <c r="E17" s="477">
        <v>0.76525821596244137</v>
      </c>
      <c r="F17" s="620">
        <v>4864.1071730399999</v>
      </c>
      <c r="G17" s="620">
        <v>7970.7108064399999</v>
      </c>
      <c r="H17" s="23"/>
      <c r="I17" s="621">
        <v>0.9935485937729629</v>
      </c>
      <c r="J17" s="621">
        <v>0.95887096774053837</v>
      </c>
      <c r="K17" s="622">
        <v>0.87920655721944019</v>
      </c>
      <c r="L17" s="621">
        <v>6.7791815242017313</v>
      </c>
      <c r="M17" s="621">
        <v>4.7395337038442102</v>
      </c>
      <c r="N17" s="622">
        <v>4.34341573813228</v>
      </c>
      <c r="O17" s="621">
        <v>16.983784396426266</v>
      </c>
      <c r="P17" s="621">
        <v>7.5587584698340446</v>
      </c>
      <c r="Q17" s="622">
        <v>7.457102847797918</v>
      </c>
      <c r="R17" s="23"/>
      <c r="S17" s="485">
        <v>0.14655878297785457</v>
      </c>
      <c r="T17" s="621">
        <v>1.7841118794838569</v>
      </c>
      <c r="U17" s="623"/>
      <c r="V17" s="621">
        <v>30.170109852010931</v>
      </c>
      <c r="W17" s="621">
        <v>9.7109504341969828</v>
      </c>
      <c r="X17" s="621">
        <v>8.7501428257765355</v>
      </c>
      <c r="Y17" s="623"/>
      <c r="Z17" s="485">
        <v>0.12700519833827828</v>
      </c>
    </row>
    <row r="18" spans="2:26" ht="15" customHeight="1">
      <c r="B18" s="23" t="s">
        <v>241</v>
      </c>
      <c r="C18" s="23" t="s">
        <v>344</v>
      </c>
      <c r="D18" s="619" t="s">
        <v>345</v>
      </c>
      <c r="E18" s="477">
        <v>0.69142857142857139</v>
      </c>
      <c r="F18" s="620">
        <v>1248.51269032</v>
      </c>
      <c r="G18" s="620">
        <v>1370.5620779599999</v>
      </c>
      <c r="H18" s="23"/>
      <c r="I18" s="621">
        <v>0.90734994843466876</v>
      </c>
      <c r="J18" s="621" t="e">
        <v>#VALUE!</v>
      </c>
      <c r="K18" s="622" t="e">
        <v>#VALUE!</v>
      </c>
      <c r="L18" s="621">
        <v>3.9192734243833249</v>
      </c>
      <c r="M18" s="621" t="e">
        <v>#VALUE!</v>
      </c>
      <c r="N18" s="622" t="e">
        <v>#VALUE!</v>
      </c>
      <c r="O18" s="621">
        <v>7.5028990806422469</v>
      </c>
      <c r="P18" s="621" t="e">
        <v>#VALUE!</v>
      </c>
      <c r="Q18" s="622" t="e">
        <v>#VALUE!</v>
      </c>
      <c r="R18" s="23"/>
      <c r="S18" s="485">
        <v>0.23150973412308815</v>
      </c>
      <c r="T18" s="621">
        <v>1.9186560439811118</v>
      </c>
      <c r="U18" s="623"/>
      <c r="V18" s="621">
        <v>-29.764279087641739</v>
      </c>
      <c r="W18" s="621" t="e">
        <v>#VALUE!</v>
      </c>
      <c r="X18" s="621" t="e">
        <v>#VALUE!</v>
      </c>
      <c r="Y18" s="623"/>
      <c r="Z18" s="485" t="e">
        <v>#VALUE!</v>
      </c>
    </row>
    <row r="19" spans="2:26" ht="15" customHeight="1">
      <c r="B19" s="23" t="s">
        <v>242</v>
      </c>
      <c r="C19" s="23" t="s">
        <v>346</v>
      </c>
      <c r="D19" s="619" t="s">
        <v>347</v>
      </c>
      <c r="E19" s="477">
        <v>0.41920000000000002</v>
      </c>
      <c r="F19" s="620">
        <v>597.36267240000006</v>
      </c>
      <c r="G19" s="620">
        <v>1003.54775015</v>
      </c>
      <c r="H19" s="23"/>
      <c r="I19" s="621">
        <v>0.86585214878143679</v>
      </c>
      <c r="J19" s="621">
        <v>0.83489829463394338</v>
      </c>
      <c r="K19" s="622">
        <v>0.78771408959968603</v>
      </c>
      <c r="L19" s="621">
        <v>4.3447951534135427</v>
      </c>
      <c r="M19" s="621">
        <v>3.9665918978260866</v>
      </c>
      <c r="N19" s="622">
        <v>3.3340456815614616</v>
      </c>
      <c r="O19" s="621">
        <v>17.419982123452932</v>
      </c>
      <c r="P19" s="621" t="e">
        <v>#VALUE!</v>
      </c>
      <c r="Q19" s="622" t="e">
        <v>#VALUE!</v>
      </c>
      <c r="R19" s="23"/>
      <c r="S19" s="485">
        <v>0.19928491866898931</v>
      </c>
      <c r="T19" s="621">
        <v>1.5051210306564506</v>
      </c>
      <c r="U19" s="623"/>
      <c r="V19" s="621">
        <v>388.53867573790541</v>
      </c>
      <c r="W19" s="621">
        <v>12.709844093617024</v>
      </c>
      <c r="X19" s="621">
        <v>5.5828287140186923</v>
      </c>
      <c r="Y19" s="623"/>
      <c r="Z19" s="485" t="e">
        <v>#VALUE!</v>
      </c>
    </row>
    <row r="20" spans="2:26" ht="15" customHeight="1">
      <c r="B20" s="23"/>
      <c r="C20" s="23"/>
      <c r="D20" s="23"/>
      <c r="E20" s="23"/>
      <c r="F20" s="23"/>
      <c r="G20" s="23"/>
      <c r="H20" s="23"/>
      <c r="I20" s="23"/>
      <c r="J20" s="23"/>
      <c r="K20" s="623"/>
      <c r="L20" s="23"/>
      <c r="M20" s="23"/>
      <c r="N20" s="623"/>
      <c r="O20" s="23"/>
      <c r="P20" s="23"/>
      <c r="Q20" s="623"/>
      <c r="R20" s="23"/>
      <c r="S20" s="23"/>
      <c r="T20" s="23"/>
      <c r="U20" s="623"/>
      <c r="V20" s="23"/>
      <c r="W20" s="23"/>
      <c r="X20" s="23"/>
      <c r="Y20" s="623"/>
      <c r="Z20" s="23"/>
    </row>
    <row r="21" spans="2:26" ht="15" customHeight="1">
      <c r="B21" s="624" t="s">
        <v>348</v>
      </c>
      <c r="C21" s="625"/>
      <c r="D21" s="625"/>
      <c r="E21" s="625"/>
      <c r="F21" s="625"/>
      <c r="G21" s="625"/>
      <c r="H21" s="625"/>
      <c r="I21" s="626">
        <f t="shared" ref="I21:Q21" si="0">AVERAGE(I15:I19)</f>
        <v>0.94794141692730316</v>
      </c>
      <c r="J21" s="626" t="e">
        <f t="shared" si="0"/>
        <v>#VALUE!</v>
      </c>
      <c r="K21" s="627" t="e">
        <f t="shared" si="0"/>
        <v>#VALUE!</v>
      </c>
      <c r="L21" s="626">
        <f t="shared" si="0"/>
        <v>5.1481532453007528</v>
      </c>
      <c r="M21" s="626" t="e">
        <f t="shared" si="0"/>
        <v>#VALUE!</v>
      </c>
      <c r="N21" s="627" t="e">
        <f t="shared" si="0"/>
        <v>#VALUE!</v>
      </c>
      <c r="O21" s="626">
        <f t="shared" si="0"/>
        <v>12.095241040272445</v>
      </c>
      <c r="P21" s="626" t="e">
        <f t="shared" si="0"/>
        <v>#VALUE!</v>
      </c>
      <c r="Q21" s="627" t="e">
        <f t="shared" si="0"/>
        <v>#VALUE!</v>
      </c>
      <c r="R21" s="625"/>
      <c r="S21" s="628">
        <f>AVERAGE(S15:S19)</f>
        <v>0.18696696752765485</v>
      </c>
      <c r="T21" s="626">
        <f>AVERAGE(T15:T19)</f>
        <v>1.6562016068094672</v>
      </c>
      <c r="U21" s="629"/>
      <c r="V21" s="626">
        <f>AVERAGE(V15:V19)</f>
        <v>82.017688147776909</v>
      </c>
      <c r="W21" s="626" t="e">
        <f>AVERAGE(W15:W19)</f>
        <v>#VALUE!</v>
      </c>
      <c r="X21" s="626" t="e">
        <f>AVERAGE(X15:X19)</f>
        <v>#VALUE!</v>
      </c>
      <c r="Y21" s="629"/>
      <c r="Z21" s="628" t="e">
        <f>AVERAGE(Z15:Z19)</f>
        <v>#VALUE!</v>
      </c>
    </row>
    <row r="22" spans="2:26" ht="15" customHeight="1">
      <c r="B22" s="630" t="s">
        <v>349</v>
      </c>
      <c r="C22" s="631"/>
      <c r="D22" s="631"/>
      <c r="E22" s="631"/>
      <c r="F22" s="631"/>
      <c r="G22" s="631"/>
      <c r="H22" s="631"/>
      <c r="I22" s="632">
        <f t="shared" ref="I22:Q22" si="1">MEDIAN(I15:I19)</f>
        <v>0.90734994843466876</v>
      </c>
      <c r="J22" s="632" t="e">
        <f t="shared" si="1"/>
        <v>#VALUE!</v>
      </c>
      <c r="K22" s="633" t="e">
        <f t="shared" si="1"/>
        <v>#VALUE!</v>
      </c>
      <c r="L22" s="632">
        <f t="shared" si="1"/>
        <v>4.3447951534135427</v>
      </c>
      <c r="M22" s="632" t="e">
        <f t="shared" si="1"/>
        <v>#VALUE!</v>
      </c>
      <c r="N22" s="633" t="e">
        <f t="shared" si="1"/>
        <v>#VALUE!</v>
      </c>
      <c r="O22" s="632">
        <f t="shared" si="1"/>
        <v>11.673440991468727</v>
      </c>
      <c r="P22" s="632" t="e">
        <f t="shared" si="1"/>
        <v>#VALUE!</v>
      </c>
      <c r="Q22" s="633" t="e">
        <f t="shared" si="1"/>
        <v>#VALUE!</v>
      </c>
      <c r="R22" s="631"/>
      <c r="S22" s="634">
        <f>MEDIAN(S15:S19)</f>
        <v>0.19928491866898931</v>
      </c>
      <c r="T22" s="632">
        <f>MEDIAN(T15:T19)</f>
        <v>1.7841118794838569</v>
      </c>
      <c r="U22" s="635"/>
      <c r="V22" s="632">
        <f>MEDIAN(V15:V19)</f>
        <v>10.6915011778226</v>
      </c>
      <c r="W22" s="632" t="e">
        <f>MEDIAN(W15:W19)</f>
        <v>#VALUE!</v>
      </c>
      <c r="X22" s="632" t="e">
        <f>MEDIAN(X15:X19)</f>
        <v>#VALUE!</v>
      </c>
      <c r="Y22" s="635"/>
      <c r="Z22" s="634" t="e">
        <f>MEDIAN(Z15:Z19)</f>
        <v>#VALUE!</v>
      </c>
    </row>
    <row r="24" spans="2:26" s="565" customFormat="1" ht="15" customHeight="1">
      <c r="B24" s="372" t="s">
        <v>350</v>
      </c>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2:26" ht="3.95" customHeight="1">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spans="2:26" ht="3.95" customHeight="1">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2:26" ht="15" customHeight="1">
      <c r="B27" s="23" t="s">
        <v>243</v>
      </c>
      <c r="C27" s="23" t="s">
        <v>351</v>
      </c>
      <c r="D27" s="619" t="s">
        <v>352</v>
      </c>
      <c r="E27" s="477">
        <v>0.88577777777777778</v>
      </c>
      <c r="F27" s="620">
        <v>5366.7830077600001</v>
      </c>
      <c r="G27" s="620">
        <v>5910.7870299999995</v>
      </c>
      <c r="H27" s="23"/>
      <c r="I27" s="621">
        <v>1.7986074454867809</v>
      </c>
      <c r="J27" s="621">
        <v>1.6645415460433679</v>
      </c>
      <c r="K27" s="622">
        <v>1.5192221632967786</v>
      </c>
      <c r="L27" s="621">
        <v>7.1128005299594346</v>
      </c>
      <c r="M27" s="621">
        <v>7.6137230957492505</v>
      </c>
      <c r="N27" s="622">
        <v>7.0646856932270881</v>
      </c>
      <c r="O27" s="621">
        <v>8.2957483003699597</v>
      </c>
      <c r="P27" s="621">
        <v>9.0563641930541365</v>
      </c>
      <c r="Q27" s="622">
        <v>8.4560615593705286</v>
      </c>
      <c r="R27" s="23"/>
      <c r="S27" s="485">
        <v>0.25286909676588931</v>
      </c>
      <c r="T27" s="621">
        <v>0.48247072979921185</v>
      </c>
      <c r="U27" s="623"/>
      <c r="V27" s="621">
        <v>6.6523795753599684</v>
      </c>
      <c r="W27" s="621">
        <v>9.2371480340103265</v>
      </c>
      <c r="X27" s="621">
        <v>8.4872688578176056</v>
      </c>
      <c r="Y27" s="623"/>
      <c r="Z27" s="485" t="e">
        <v>#VALUE!</v>
      </c>
    </row>
    <row r="28" spans="2:26" ht="15" customHeight="1">
      <c r="B28" s="23" t="s">
        <v>244</v>
      </c>
      <c r="C28" s="23" t="s">
        <v>353</v>
      </c>
      <c r="D28" s="619" t="s">
        <v>354</v>
      </c>
      <c r="E28" s="477">
        <v>0.86789297658862874</v>
      </c>
      <c r="F28" s="620">
        <v>4619.0591999999997</v>
      </c>
      <c r="G28" s="620">
        <v>3195.018</v>
      </c>
      <c r="H28" s="23"/>
      <c r="I28" s="621">
        <v>1.1711891296665851</v>
      </c>
      <c r="J28" s="621">
        <v>1.1711891296665851</v>
      </c>
      <c r="K28" s="622" t="e">
        <v>#VALUE!</v>
      </c>
      <c r="L28" s="621">
        <v>5.3147813300019795</v>
      </c>
      <c r="M28" s="621" t="e">
        <v>#VALUE!</v>
      </c>
      <c r="N28" s="622" t="e">
        <v>#VALUE!</v>
      </c>
      <c r="O28" s="621">
        <v>7.0377171051907004</v>
      </c>
      <c r="P28" s="621" t="e">
        <v>#VALUE!</v>
      </c>
      <c r="Q28" s="622" t="e">
        <v>#VALUE!</v>
      </c>
      <c r="R28" s="23"/>
      <c r="S28" s="485">
        <v>0.22036449986290382</v>
      </c>
      <c r="T28" s="621">
        <v>0.15578821730695724</v>
      </c>
      <c r="U28" s="623"/>
      <c r="V28" s="621">
        <v>5.3805185835534788</v>
      </c>
      <c r="W28" s="621" t="e">
        <v>#VALUE!</v>
      </c>
      <c r="X28" s="621" t="e">
        <v>#VALUE!</v>
      </c>
      <c r="Y28" s="623"/>
      <c r="Z28" s="485" t="e">
        <v>#VALUE!</v>
      </c>
    </row>
    <row r="29" spans="2:26" ht="15" customHeight="1">
      <c r="B29" s="23" t="s">
        <v>245</v>
      </c>
      <c r="C29" s="23" t="s">
        <v>355</v>
      </c>
      <c r="D29" s="619" t="s">
        <v>356</v>
      </c>
      <c r="E29" s="477">
        <v>0.90625</v>
      </c>
      <c r="F29" s="620">
        <v>6509.3405250199994</v>
      </c>
      <c r="G29" s="620">
        <v>6253.2616872500003</v>
      </c>
      <c r="H29" s="23"/>
      <c r="I29" s="621">
        <v>1.4362569506713585</v>
      </c>
      <c r="J29" s="621">
        <v>1.3926643062820143</v>
      </c>
      <c r="K29" s="622">
        <v>1.2875498370665057</v>
      </c>
      <c r="L29" s="621">
        <v>10.576198017193848</v>
      </c>
      <c r="M29" s="621">
        <v>8.8698747336879435</v>
      </c>
      <c r="N29" s="622">
        <v>7.3654436834511197</v>
      </c>
      <c r="O29" s="621">
        <v>18.913456899054822</v>
      </c>
      <c r="P29" s="621">
        <v>13.927086163140313</v>
      </c>
      <c r="Q29" s="622">
        <v>10.301913817545305</v>
      </c>
      <c r="R29" s="23"/>
      <c r="S29" s="485">
        <v>0.13580087554491879</v>
      </c>
      <c r="T29" s="621">
        <v>1.7550066660560355</v>
      </c>
      <c r="U29" s="623"/>
      <c r="V29" s="621">
        <v>19.977929747229339</v>
      </c>
      <c r="W29" s="621">
        <v>15.647453185144229</v>
      </c>
      <c r="X29" s="621">
        <v>11.674451364370995</v>
      </c>
      <c r="Y29" s="623"/>
      <c r="Z29" s="485">
        <v>0.1717897848766945</v>
      </c>
    </row>
    <row r="30" spans="2:26" ht="15" customHeight="1">
      <c r="B30" s="23" t="s">
        <v>246</v>
      </c>
      <c r="C30" s="23" t="s">
        <v>357</v>
      </c>
      <c r="D30" s="619" t="s">
        <v>358</v>
      </c>
      <c r="E30" s="477">
        <v>0.80474452554744524</v>
      </c>
      <c r="F30" s="620">
        <v>3056.9416250000004</v>
      </c>
      <c r="G30" s="620">
        <v>5010.0951960000002</v>
      </c>
      <c r="H30" s="23"/>
      <c r="I30" s="621">
        <v>0.68494292947942459</v>
      </c>
      <c r="J30" s="621">
        <v>0.65948337448993022</v>
      </c>
      <c r="K30" s="622">
        <v>0.59755778449480323</v>
      </c>
      <c r="L30" s="621">
        <v>5.0015725164320006</v>
      </c>
      <c r="M30" s="621">
        <v>4.8681086924696206</v>
      </c>
      <c r="N30" s="622">
        <v>4.4398868682111718</v>
      </c>
      <c r="O30" s="621">
        <v>8.9738405803331549</v>
      </c>
      <c r="P30" s="621">
        <v>7.7475698907216506</v>
      </c>
      <c r="Q30" s="622">
        <v>6.9419371282660327</v>
      </c>
      <c r="R30" s="23"/>
      <c r="S30" s="485">
        <v>0.13694551608101968</v>
      </c>
      <c r="T30" s="621">
        <v>2.5444265637572356</v>
      </c>
      <c r="U30" s="623"/>
      <c r="V30" s="621">
        <v>8.3041910289445031</v>
      </c>
      <c r="W30" s="621">
        <v>7.7028766648668112</v>
      </c>
      <c r="X30" s="621">
        <v>6.2881549735527491</v>
      </c>
      <c r="Y30" s="623"/>
      <c r="Z30" s="485">
        <v>0.13873098551696339</v>
      </c>
    </row>
    <row r="31" spans="2:26" ht="15" customHeight="1">
      <c r="B31" s="23" t="s">
        <v>247</v>
      </c>
      <c r="C31" s="23" t="s">
        <v>359</v>
      </c>
      <c r="D31" s="619" t="s">
        <v>360</v>
      </c>
      <c r="E31" s="477">
        <v>0.97718197375926974</v>
      </c>
      <c r="F31" s="620">
        <v>2560.2728050650003</v>
      </c>
      <c r="G31" s="620">
        <v>14182.693159999999</v>
      </c>
      <c r="H31" s="23"/>
      <c r="I31" s="621">
        <v>15.209273492953908</v>
      </c>
      <c r="J31" s="621">
        <v>13.659094536115568</v>
      </c>
      <c r="K31" s="622">
        <v>11.480863324338909</v>
      </c>
      <c r="L31" s="621">
        <v>58.932490484500953</v>
      </c>
      <c r="M31" s="621">
        <v>59.926872507042155</v>
      </c>
      <c r="N31" s="622">
        <v>48.962116777905585</v>
      </c>
      <c r="O31" s="621">
        <v>69.552326765204938</v>
      </c>
      <c r="P31" s="621">
        <v>64.761155981735158</v>
      </c>
      <c r="Q31" s="622">
        <v>52.078432656058752</v>
      </c>
      <c r="R31" s="23"/>
      <c r="S31" s="485">
        <v>0.25807959867153241</v>
      </c>
      <c r="T31" s="621">
        <v>0.63576797740603963</v>
      </c>
      <c r="U31" s="623"/>
      <c r="V31" s="621">
        <v>18.1792883642585</v>
      </c>
      <c r="W31" s="621">
        <v>15.330974880628744</v>
      </c>
      <c r="X31" s="621">
        <v>12.86569248776382</v>
      </c>
      <c r="Y31" s="623"/>
      <c r="Z31" s="485">
        <v>0.19781149126847897</v>
      </c>
    </row>
    <row r="32" spans="2:26" ht="15" customHeight="1">
      <c r="B32" s="23"/>
      <c r="C32" s="23"/>
      <c r="D32" s="23"/>
      <c r="E32" s="23"/>
      <c r="F32" s="23"/>
      <c r="G32" s="23"/>
      <c r="H32" s="23"/>
      <c r="I32" s="23"/>
      <c r="J32" s="23"/>
      <c r="K32" s="623"/>
      <c r="L32" s="23"/>
      <c r="M32" s="23"/>
      <c r="N32" s="623"/>
      <c r="O32" s="23"/>
      <c r="P32" s="23"/>
      <c r="Q32" s="623"/>
      <c r="R32" s="23"/>
      <c r="S32" s="23"/>
      <c r="T32" s="23"/>
      <c r="U32" s="623"/>
      <c r="V32" s="23"/>
      <c r="W32" s="23"/>
      <c r="X32" s="23"/>
      <c r="Y32" s="623"/>
      <c r="Z32" s="23"/>
    </row>
    <row r="33" spans="2:26" ht="15" customHeight="1">
      <c r="B33" s="624" t="s">
        <v>348</v>
      </c>
      <c r="C33" s="625"/>
      <c r="D33" s="625"/>
      <c r="E33" s="625"/>
      <c r="F33" s="625"/>
      <c r="G33" s="625"/>
      <c r="H33" s="625"/>
      <c r="I33" s="626">
        <f t="shared" ref="I33:Q33" si="2">AVERAGE(I27:I31)</f>
        <v>4.0600539896516112</v>
      </c>
      <c r="J33" s="626">
        <f t="shared" si="2"/>
        <v>3.7093945785194933</v>
      </c>
      <c r="K33" s="627" t="e">
        <f t="shared" si="2"/>
        <v>#VALUE!</v>
      </c>
      <c r="L33" s="626">
        <f t="shared" si="2"/>
        <v>17.387568575617642</v>
      </c>
      <c r="M33" s="626" t="e">
        <f t="shared" si="2"/>
        <v>#VALUE!</v>
      </c>
      <c r="N33" s="627" t="e">
        <f t="shared" si="2"/>
        <v>#VALUE!</v>
      </c>
      <c r="O33" s="626">
        <f t="shared" si="2"/>
        <v>22.554617930030712</v>
      </c>
      <c r="P33" s="626" t="e">
        <f t="shared" si="2"/>
        <v>#VALUE!</v>
      </c>
      <c r="Q33" s="627" t="e">
        <f t="shared" si="2"/>
        <v>#VALUE!</v>
      </c>
      <c r="R33" s="625"/>
      <c r="S33" s="628">
        <f>AVERAGE(S27:S31)</f>
        <v>0.20081191738525281</v>
      </c>
      <c r="T33" s="626">
        <f>AVERAGE(T27:T31)</f>
        <v>1.1146920308650958</v>
      </c>
      <c r="U33" s="629"/>
      <c r="V33" s="626">
        <f>AVERAGE(V27:V31)</f>
        <v>11.698861459869159</v>
      </c>
      <c r="W33" s="626" t="e">
        <f>AVERAGE(W27:W31)</f>
        <v>#VALUE!</v>
      </c>
      <c r="X33" s="626" t="e">
        <f>AVERAGE(X27:X31)</f>
        <v>#VALUE!</v>
      </c>
      <c r="Y33" s="629"/>
      <c r="Z33" s="628" t="e">
        <f>AVERAGE(Z27:Z31)</f>
        <v>#VALUE!</v>
      </c>
    </row>
    <row r="34" spans="2:26" ht="15" customHeight="1">
      <c r="B34" s="630" t="s">
        <v>349</v>
      </c>
      <c r="C34" s="631"/>
      <c r="D34" s="631"/>
      <c r="E34" s="631"/>
      <c r="F34" s="631"/>
      <c r="G34" s="631"/>
      <c r="H34" s="631"/>
      <c r="I34" s="632">
        <f t="shared" ref="I34:Q34" si="3">MEDIAN(I27:I31)</f>
        <v>1.4362569506713585</v>
      </c>
      <c r="J34" s="632">
        <f t="shared" si="3"/>
        <v>1.3926643062820143</v>
      </c>
      <c r="K34" s="633" t="e">
        <f t="shared" si="3"/>
        <v>#VALUE!</v>
      </c>
      <c r="L34" s="632">
        <f t="shared" si="3"/>
        <v>7.1128005299594346</v>
      </c>
      <c r="M34" s="632" t="e">
        <f t="shared" si="3"/>
        <v>#VALUE!</v>
      </c>
      <c r="N34" s="633" t="e">
        <f t="shared" si="3"/>
        <v>#VALUE!</v>
      </c>
      <c r="O34" s="632">
        <f t="shared" si="3"/>
        <v>8.9738405803331549</v>
      </c>
      <c r="P34" s="632" t="e">
        <f t="shared" si="3"/>
        <v>#VALUE!</v>
      </c>
      <c r="Q34" s="633" t="e">
        <f t="shared" si="3"/>
        <v>#VALUE!</v>
      </c>
      <c r="R34" s="631"/>
      <c r="S34" s="634">
        <f>MEDIAN(S27:S31)</f>
        <v>0.22036449986290382</v>
      </c>
      <c r="T34" s="632">
        <f>MEDIAN(T27:T31)</f>
        <v>0.63576797740603963</v>
      </c>
      <c r="U34" s="635"/>
      <c r="V34" s="632">
        <f>MEDIAN(V27:V31)</f>
        <v>8.3041910289445031</v>
      </c>
      <c r="W34" s="632" t="e">
        <f>MEDIAN(W27:W31)</f>
        <v>#VALUE!</v>
      </c>
      <c r="X34" s="632" t="e">
        <f>MEDIAN(X27:X31)</f>
        <v>#VALUE!</v>
      </c>
      <c r="Y34" s="635"/>
      <c r="Z34" s="634" t="e">
        <f>MEDIAN(Z27:Z31)</f>
        <v>#VALUE!</v>
      </c>
    </row>
    <row r="36" spans="2:26" s="565" customFormat="1" ht="15" customHeight="1">
      <c r="B36" s="372" t="s">
        <v>361</v>
      </c>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2:26" ht="3.95" customHeight="1">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2:26" ht="3.95" customHeight="1">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2:26" ht="15" customHeight="1">
      <c r="B39" s="23" t="s">
        <v>248</v>
      </c>
      <c r="C39" s="23" t="s">
        <v>362</v>
      </c>
      <c r="D39" s="619" t="s">
        <v>363</v>
      </c>
      <c r="E39" s="477">
        <v>0.59564066001222238</v>
      </c>
      <c r="F39" s="620">
        <v>80820.471119999987</v>
      </c>
      <c r="G39" s="620">
        <v>87788.097296000007</v>
      </c>
      <c r="H39" s="23"/>
      <c r="I39" s="621">
        <v>4.3439884653943031</v>
      </c>
      <c r="J39" s="621" t="e">
        <v>#VALUE!</v>
      </c>
      <c r="K39" s="622" t="e">
        <v>#VALUE!</v>
      </c>
      <c r="L39" s="621">
        <v>26.264988420296799</v>
      </c>
      <c r="M39" s="621" t="e">
        <v>#VALUE!</v>
      </c>
      <c r="N39" s="622" t="e">
        <v>#VALUE!</v>
      </c>
      <c r="O39" s="621">
        <v>35.001832979546272</v>
      </c>
      <c r="P39" s="621" t="e">
        <v>#VALUE!</v>
      </c>
      <c r="Q39" s="622" t="e">
        <v>#VALUE!</v>
      </c>
      <c r="R39" s="23"/>
      <c r="S39" s="485">
        <v>0.16539083878054936</v>
      </c>
      <c r="T39" s="621">
        <v>2.1586184269394817</v>
      </c>
      <c r="U39" s="623"/>
      <c r="V39" s="621">
        <v>47.743944092297326</v>
      </c>
      <c r="W39" s="621" t="e">
        <v>#VALUE!</v>
      </c>
      <c r="X39" s="621" t="e">
        <v>#VALUE!</v>
      </c>
      <c r="Y39" s="623"/>
      <c r="Z39" s="485" t="e">
        <v>#VALUE!</v>
      </c>
    </row>
    <row r="40" spans="2:26" ht="15" customHeight="1">
      <c r="B40" s="23" t="s">
        <v>249</v>
      </c>
      <c r="C40" s="23" t="s">
        <v>364</v>
      </c>
      <c r="D40" s="619" t="s">
        <v>365</v>
      </c>
      <c r="E40" s="477">
        <v>0.84000000000000008</v>
      </c>
      <c r="F40" s="620">
        <v>45337.585027699999</v>
      </c>
      <c r="G40" s="620">
        <v>29959.457335764797</v>
      </c>
      <c r="H40" s="23"/>
      <c r="I40" s="621">
        <v>1.0278703141684471</v>
      </c>
      <c r="J40" s="621">
        <v>1.0300052791126786</v>
      </c>
      <c r="K40" s="622">
        <v>0.9832592419929318</v>
      </c>
      <c r="L40" s="621">
        <v>5.0958269822742963</v>
      </c>
      <c r="M40" s="621">
        <v>5.9159211793415851</v>
      </c>
      <c r="N40" s="622">
        <v>5.455025992400846</v>
      </c>
      <c r="O40" s="621">
        <v>7.0173723717496443</v>
      </c>
      <c r="P40" s="621">
        <v>9.2830378028603988</v>
      </c>
      <c r="Q40" s="622">
        <v>8.4683203479358955</v>
      </c>
      <c r="R40" s="23"/>
      <c r="S40" s="485">
        <v>0.2017082443622728</v>
      </c>
      <c r="T40" s="621">
        <v>0.34660035160778574</v>
      </c>
      <c r="U40" s="623"/>
      <c r="V40" s="621">
        <v>14.079601820973947</v>
      </c>
      <c r="W40" s="621">
        <v>17.531757024622209</v>
      </c>
      <c r="X40" s="621">
        <v>15.566047232196611</v>
      </c>
      <c r="Y40" s="623"/>
      <c r="Z40" s="485">
        <v>0.15737721223174694</v>
      </c>
    </row>
    <row r="41" spans="2:26" ht="15" customHeight="1">
      <c r="B41" s="23" t="s">
        <v>250</v>
      </c>
      <c r="C41" s="23" t="s">
        <v>366</v>
      </c>
      <c r="D41" s="619" t="s">
        <v>367</v>
      </c>
      <c r="E41" s="477">
        <v>0.7977783388033326</v>
      </c>
      <c r="F41" s="620">
        <v>19719.88603632</v>
      </c>
      <c r="G41" s="620">
        <v>21028.019821295744</v>
      </c>
      <c r="H41" s="23"/>
      <c r="I41" s="621">
        <v>0.77844362587118532</v>
      </c>
      <c r="J41" s="621">
        <v>0.78705568885391464</v>
      </c>
      <c r="K41" s="622">
        <v>0.80288530036505368</v>
      </c>
      <c r="L41" s="621">
        <v>6.6238328675410258</v>
      </c>
      <c r="M41" s="621">
        <v>6.846172821519044</v>
      </c>
      <c r="N41" s="622">
        <v>6.9388835840401182</v>
      </c>
      <c r="O41" s="621">
        <v>12.266958243668034</v>
      </c>
      <c r="P41" s="621">
        <v>11.857809005070294</v>
      </c>
      <c r="Q41" s="622">
        <v>12.63033377952965</v>
      </c>
      <c r="R41" s="23"/>
      <c r="S41" s="485">
        <v>0.11752162855524584</v>
      </c>
      <c r="T41" s="621">
        <v>1.3314008712456191</v>
      </c>
      <c r="U41" s="623"/>
      <c r="V41" s="621">
        <v>14.213017048381836</v>
      </c>
      <c r="W41" s="621">
        <v>14.075965324483732</v>
      </c>
      <c r="X41" s="621">
        <v>14.905431622312925</v>
      </c>
      <c r="Y41" s="623"/>
      <c r="Z41" s="485">
        <v>7.1019807829578729E-2</v>
      </c>
    </row>
    <row r="42" spans="2:26" ht="15" customHeight="1">
      <c r="B42" s="23" t="s">
        <v>251</v>
      </c>
      <c r="C42" s="23" t="s">
        <v>368</v>
      </c>
      <c r="D42" s="619" t="s">
        <v>369</v>
      </c>
      <c r="E42" s="477">
        <v>0.75648108797280067</v>
      </c>
      <c r="F42" s="620">
        <v>4131.3229705499998</v>
      </c>
      <c r="G42" s="620">
        <v>3498.5362474611684</v>
      </c>
      <c r="H42" s="23"/>
      <c r="I42" s="621">
        <v>0.92623581702661617</v>
      </c>
      <c r="J42" s="621">
        <v>0.86661784678255349</v>
      </c>
      <c r="K42" s="622">
        <v>0.79530262501958815</v>
      </c>
      <c r="L42" s="621">
        <v>4.8785516735708487</v>
      </c>
      <c r="M42" s="621" t="e">
        <v>#VALUE!</v>
      </c>
      <c r="N42" s="622" t="e">
        <v>#VALUE!</v>
      </c>
      <c r="O42" s="621">
        <v>6.9506422049929837</v>
      </c>
      <c r="P42" s="621">
        <v>5.8601947193654409</v>
      </c>
      <c r="Q42" s="622">
        <v>5.1223078293721356</v>
      </c>
      <c r="R42" s="23"/>
      <c r="S42" s="485">
        <v>0.18985876936477319</v>
      </c>
      <c r="T42" s="621">
        <v>1.6165385360267432</v>
      </c>
      <c r="U42" s="623"/>
      <c r="V42" s="621">
        <v>9.6766867225142974</v>
      </c>
      <c r="W42" s="621">
        <v>8.2958292581325299</v>
      </c>
      <c r="X42" s="621">
        <v>7.3120760540707961</v>
      </c>
      <c r="Y42" s="623"/>
      <c r="Z42" s="485">
        <v>9.8982319636311544E-2</v>
      </c>
    </row>
    <row r="43" spans="2:26" ht="15" customHeight="1">
      <c r="B43" s="23" t="s">
        <v>252</v>
      </c>
      <c r="C43" s="23" t="s">
        <v>370</v>
      </c>
      <c r="D43" s="619" t="s">
        <v>371</v>
      </c>
      <c r="E43" s="477">
        <v>0.78562340966921118</v>
      </c>
      <c r="F43" s="620">
        <v>5855.0459194499999</v>
      </c>
      <c r="G43" s="620">
        <v>3316.4703013100002</v>
      </c>
      <c r="H43" s="23"/>
      <c r="I43" s="621">
        <v>1.5381055211598986</v>
      </c>
      <c r="J43" s="621">
        <v>1.4855410084255321</v>
      </c>
      <c r="K43" s="622">
        <v>1.3789897302744283</v>
      </c>
      <c r="L43" s="621">
        <v>9.1793235774936193</v>
      </c>
      <c r="M43" s="621">
        <v>6.2990888913770187</v>
      </c>
      <c r="N43" s="622">
        <v>5.8183689496666666</v>
      </c>
      <c r="O43" s="621">
        <v>13.547662518076974</v>
      </c>
      <c r="P43" s="621">
        <v>8.4388557285241728</v>
      </c>
      <c r="Q43" s="622">
        <v>7.2018899051248644</v>
      </c>
      <c r="R43" s="23"/>
      <c r="S43" s="485">
        <v>0.1675619677392256</v>
      </c>
      <c r="T43" s="621" t="s">
        <v>372</v>
      </c>
      <c r="U43" s="623"/>
      <c r="V43" s="621">
        <v>25.009603639986349</v>
      </c>
      <c r="W43" s="621">
        <v>19.419721125870648</v>
      </c>
      <c r="X43" s="621">
        <v>16.946587321128799</v>
      </c>
      <c r="Y43" s="623"/>
      <c r="Z43" s="485">
        <v>0.26270080749891389</v>
      </c>
    </row>
    <row r="44" spans="2:26" ht="15" customHeight="1">
      <c r="B44" s="23"/>
      <c r="C44" s="23"/>
      <c r="D44" s="23"/>
      <c r="E44" s="23"/>
      <c r="F44" s="23"/>
      <c r="G44" s="23"/>
      <c r="H44" s="23"/>
      <c r="I44" s="23"/>
      <c r="J44" s="23"/>
      <c r="K44" s="636"/>
      <c r="L44" s="23"/>
      <c r="M44" s="23"/>
      <c r="N44" s="623"/>
      <c r="O44" s="23"/>
      <c r="P44" s="23"/>
      <c r="Q44" s="623"/>
      <c r="R44" s="23"/>
      <c r="S44" s="23"/>
      <c r="T44" s="23"/>
      <c r="U44" s="623"/>
      <c r="V44" s="23"/>
      <c r="W44" s="23"/>
      <c r="X44" s="23"/>
      <c r="Y44" s="623"/>
      <c r="Z44" s="23"/>
    </row>
    <row r="45" spans="2:26" ht="15" customHeight="1">
      <c r="B45" s="624" t="s">
        <v>348</v>
      </c>
      <c r="C45" s="625"/>
      <c r="D45" s="625"/>
      <c r="E45" s="625"/>
      <c r="F45" s="625"/>
      <c r="G45" s="625"/>
      <c r="H45" s="625"/>
      <c r="I45" s="626">
        <v>1.7229287487240899</v>
      </c>
      <c r="J45" s="626" t="e">
        <v>#VALUE!</v>
      </c>
      <c r="K45" s="627" t="e">
        <v>#VALUE!</v>
      </c>
      <c r="L45" s="626">
        <v>10.408504704235316</v>
      </c>
      <c r="M45" s="626" t="e">
        <v>#VALUE!</v>
      </c>
      <c r="N45" s="627" t="e">
        <v>#VALUE!</v>
      </c>
      <c r="O45" s="626">
        <v>14.956893663606781</v>
      </c>
      <c r="P45" s="626" t="e">
        <v>#VALUE!</v>
      </c>
      <c r="Q45" s="627" t="e">
        <v>#VALUE!</v>
      </c>
      <c r="R45" s="625"/>
      <c r="S45" s="628">
        <v>0.16840828976041336</v>
      </c>
      <c r="T45" s="626">
        <v>1.3632895464549075</v>
      </c>
      <c r="U45" s="629"/>
      <c r="V45" s="626">
        <v>22.144570664830752</v>
      </c>
      <c r="W45" s="626" t="e">
        <v>#VALUE!</v>
      </c>
      <c r="X45" s="626" t="e">
        <v>#VALUE!</v>
      </c>
      <c r="Y45" s="629"/>
      <c r="Z45" s="637" t="e">
        <v>#VALUE!</v>
      </c>
    </row>
    <row r="46" spans="2:26" ht="15" customHeight="1">
      <c r="B46" s="630" t="s">
        <v>349</v>
      </c>
      <c r="C46" s="631"/>
      <c r="D46" s="631"/>
      <c r="E46" s="631"/>
      <c r="F46" s="631"/>
      <c r="G46" s="631"/>
      <c r="H46" s="631"/>
      <c r="I46" s="632">
        <v>1.0278703141684471</v>
      </c>
      <c r="J46" s="632" t="e">
        <v>#VALUE!</v>
      </c>
      <c r="K46" s="633" t="e">
        <v>#VALUE!</v>
      </c>
      <c r="L46" s="632">
        <v>6.6238328675410258</v>
      </c>
      <c r="M46" s="632" t="e">
        <v>#VALUE!</v>
      </c>
      <c r="N46" s="633" t="e">
        <v>#VALUE!</v>
      </c>
      <c r="O46" s="632">
        <v>12.266958243668034</v>
      </c>
      <c r="P46" s="632" t="e">
        <v>#VALUE!</v>
      </c>
      <c r="Q46" s="633" t="e">
        <v>#VALUE!</v>
      </c>
      <c r="R46" s="631"/>
      <c r="S46" s="634">
        <v>0.1675619677392256</v>
      </c>
      <c r="T46" s="632">
        <v>1.4739697036361812</v>
      </c>
      <c r="U46" s="635"/>
      <c r="V46" s="632">
        <v>14.213017048381836</v>
      </c>
      <c r="W46" s="632" t="e">
        <v>#VALUE!</v>
      </c>
      <c r="X46" s="632" t="e">
        <v>#VALUE!</v>
      </c>
      <c r="Y46" s="635"/>
      <c r="Z46" s="638" t="e">
        <v>#VALUE!</v>
      </c>
    </row>
    <row r="47" spans="2:26" ht="15" customHeight="1">
      <c r="B47" s="23"/>
      <c r="C47" s="23"/>
      <c r="D47" s="23"/>
      <c r="E47" s="23"/>
      <c r="F47" s="23"/>
      <c r="G47" s="23"/>
      <c r="H47" s="23"/>
      <c r="I47" s="23"/>
      <c r="J47" s="639"/>
      <c r="K47" s="23"/>
      <c r="L47" s="23"/>
      <c r="M47" s="23"/>
      <c r="N47" s="23"/>
      <c r="O47" s="23"/>
      <c r="P47" s="23"/>
      <c r="Q47" s="23"/>
      <c r="R47" s="23"/>
      <c r="S47" s="23"/>
      <c r="T47" s="23"/>
      <c r="U47" s="23"/>
      <c r="V47" s="23"/>
      <c r="W47" s="23"/>
      <c r="X47" s="23"/>
      <c r="Y47" s="23"/>
      <c r="Z47" s="23"/>
    </row>
    <row r="48" spans="2:26" s="565" customFormat="1" ht="15" customHeight="1">
      <c r="B48" s="372" t="s">
        <v>373</v>
      </c>
      <c r="C48" s="32"/>
      <c r="D48" s="32"/>
      <c r="E48" s="32"/>
      <c r="F48" s="32"/>
      <c r="G48" s="32"/>
      <c r="H48" s="32"/>
      <c r="I48" s="32"/>
      <c r="J48" s="640"/>
      <c r="K48" s="32"/>
      <c r="L48" s="32"/>
      <c r="M48" s="32"/>
      <c r="N48" s="32"/>
      <c r="O48" s="32"/>
      <c r="P48" s="32"/>
      <c r="Q48" s="32"/>
      <c r="R48" s="32"/>
      <c r="S48" s="32"/>
      <c r="T48" s="32"/>
      <c r="U48" s="32"/>
      <c r="V48" s="32"/>
      <c r="W48" s="32"/>
      <c r="X48" s="32"/>
      <c r="Y48" s="32"/>
      <c r="Z48" s="32"/>
    </row>
    <row r="49" spans="2:26" ht="3.95" customHeight="1">
      <c r="B49" s="36"/>
      <c r="C49" s="36"/>
      <c r="D49" s="36"/>
      <c r="E49" s="36"/>
      <c r="F49" s="36"/>
      <c r="G49" s="36"/>
      <c r="H49" s="36"/>
      <c r="I49" s="36"/>
      <c r="J49" s="641"/>
      <c r="K49" s="36"/>
      <c r="L49" s="36"/>
      <c r="M49" s="36"/>
      <c r="N49" s="36"/>
      <c r="O49" s="36"/>
      <c r="P49" s="36"/>
      <c r="Q49" s="36"/>
      <c r="R49" s="36"/>
      <c r="S49" s="36"/>
      <c r="T49" s="36"/>
      <c r="U49" s="36"/>
      <c r="V49" s="36"/>
      <c r="W49" s="36"/>
      <c r="X49" s="36"/>
      <c r="Y49" s="36"/>
      <c r="Z49" s="36"/>
    </row>
    <row r="50" spans="2:26" ht="15" customHeight="1">
      <c r="B50" s="23"/>
      <c r="C50" s="23"/>
      <c r="D50" s="23"/>
      <c r="E50" s="23"/>
      <c r="F50" s="23"/>
      <c r="G50" s="23"/>
      <c r="H50" s="23"/>
      <c r="I50" s="23"/>
      <c r="J50" s="639"/>
      <c r="K50" s="23"/>
      <c r="L50" s="23"/>
      <c r="M50" s="23"/>
      <c r="N50" s="23"/>
      <c r="O50" s="23"/>
      <c r="P50" s="23"/>
      <c r="Q50" s="23"/>
      <c r="R50" s="23"/>
      <c r="S50" s="23"/>
      <c r="T50" s="23"/>
      <c r="U50" s="23"/>
      <c r="V50" s="23"/>
      <c r="W50" s="23"/>
      <c r="X50" s="23"/>
      <c r="Y50" s="23"/>
      <c r="Z50" s="23"/>
    </row>
    <row r="51" spans="2:26" ht="15" customHeight="1">
      <c r="B51" s="624" t="s">
        <v>348</v>
      </c>
      <c r="C51" s="625"/>
      <c r="D51" s="625"/>
      <c r="E51" s="625"/>
      <c r="F51" s="625"/>
      <c r="G51" s="625"/>
      <c r="H51" s="625"/>
      <c r="I51" s="626">
        <v>2.2436413851010015</v>
      </c>
      <c r="J51" s="626" t="e">
        <v>#VALUE!</v>
      </c>
      <c r="K51" s="627" t="e">
        <v>#VALUE!</v>
      </c>
      <c r="L51" s="626">
        <v>10.981408841717904</v>
      </c>
      <c r="M51" s="626" t="e">
        <v>#VALUE!</v>
      </c>
      <c r="N51" s="627" t="e">
        <v>#VALUE!</v>
      </c>
      <c r="O51" s="626">
        <v>16.535584211303316</v>
      </c>
      <c r="P51" s="626" t="e">
        <v>#VALUE!</v>
      </c>
      <c r="Q51" s="626" t="e">
        <v>#VALUE!</v>
      </c>
      <c r="R51" s="625"/>
      <c r="S51" s="628">
        <v>0.18539572489110698</v>
      </c>
      <c r="T51" s="626">
        <v>1.3791161695851746</v>
      </c>
      <c r="U51" s="629"/>
      <c r="V51" s="626">
        <v>38.620373424158942</v>
      </c>
      <c r="W51" s="626" t="e">
        <v>#VALUE!</v>
      </c>
      <c r="X51" s="626" t="e">
        <v>#VALUE!</v>
      </c>
      <c r="Y51" s="629"/>
      <c r="Z51" s="637" t="e">
        <v>#VALUE!</v>
      </c>
    </row>
    <row r="52" spans="2:26" ht="15" customHeight="1">
      <c r="B52" s="630" t="s">
        <v>349</v>
      </c>
      <c r="C52" s="631"/>
      <c r="D52" s="631"/>
      <c r="E52" s="631"/>
      <c r="F52" s="631"/>
      <c r="G52" s="631"/>
      <c r="H52" s="631"/>
      <c r="I52" s="632">
        <v>1.0278703141684471</v>
      </c>
      <c r="J52" s="632" t="e">
        <v>#VALUE!</v>
      </c>
      <c r="K52" s="633" t="e">
        <v>#VALUE!</v>
      </c>
      <c r="L52" s="632">
        <v>6.6238328675410258</v>
      </c>
      <c r="M52" s="632" t="e">
        <v>#VALUE!</v>
      </c>
      <c r="N52" s="633" t="e">
        <v>#VALUE!</v>
      </c>
      <c r="O52" s="632">
        <v>11.673440991468727</v>
      </c>
      <c r="P52" s="632" t="e">
        <v>#VALUE!</v>
      </c>
      <c r="Q52" s="632" t="e">
        <v>#VALUE!</v>
      </c>
      <c r="R52" s="631"/>
      <c r="S52" s="634">
        <v>0.18985876936477319</v>
      </c>
      <c r="T52" s="632">
        <v>1.5608297833415969</v>
      </c>
      <c r="U52" s="635"/>
      <c r="V52" s="632">
        <v>14.079601820973947</v>
      </c>
      <c r="W52" s="632" t="e">
        <v>#VALUE!</v>
      </c>
      <c r="X52" s="632" t="e">
        <v>#VALUE!</v>
      </c>
      <c r="Y52" s="635"/>
      <c r="Z52" s="638" t="e">
        <v>#VALUE!</v>
      </c>
    </row>
    <row r="53" spans="2:26" ht="15" customHeight="1">
      <c r="B53" s="23"/>
      <c r="C53" s="23"/>
      <c r="D53" s="23"/>
      <c r="E53" s="23"/>
      <c r="F53" s="23"/>
      <c r="G53" s="23"/>
      <c r="H53" s="23"/>
      <c r="I53" s="23"/>
      <c r="J53" s="639"/>
      <c r="K53" s="23"/>
      <c r="L53" s="23"/>
      <c r="M53" s="23"/>
      <c r="N53" s="23"/>
      <c r="O53" s="23"/>
      <c r="P53" s="23"/>
      <c r="Q53" s="23"/>
      <c r="R53" s="23"/>
      <c r="S53" s="23"/>
      <c r="T53" s="23"/>
      <c r="U53" s="23"/>
      <c r="V53" s="23"/>
      <c r="W53" s="23"/>
      <c r="X53" s="23"/>
      <c r="Y53" s="23"/>
      <c r="Z53" s="23"/>
    </row>
    <row r="54" spans="2:26" ht="15" customHeight="1">
      <c r="B54" s="624" t="s">
        <v>332</v>
      </c>
      <c r="C54" s="625"/>
      <c r="D54" s="625"/>
      <c r="E54" s="625"/>
      <c r="F54" s="625"/>
      <c r="G54" s="625"/>
      <c r="H54" s="625"/>
      <c r="I54" s="626">
        <v>15.209273492953908</v>
      </c>
      <c r="J54" s="626" t="e">
        <v>#VALUE!</v>
      </c>
      <c r="K54" s="627" t="e">
        <v>#VALUE!</v>
      </c>
      <c r="L54" s="626">
        <v>58.932490484500953</v>
      </c>
      <c r="M54" s="626" t="e">
        <v>#VALUE!</v>
      </c>
      <c r="N54" s="627" t="e">
        <v>#VALUE!</v>
      </c>
      <c r="O54" s="626">
        <v>69.552326765204938</v>
      </c>
      <c r="P54" s="626" t="e">
        <v>#VALUE!</v>
      </c>
      <c r="Q54" s="626" t="e">
        <v>#VALUE!</v>
      </c>
      <c r="R54" s="625">
        <v>0</v>
      </c>
      <c r="S54" s="628">
        <v>0.25807959867153241</v>
      </c>
      <c r="T54" s="626">
        <v>2.5444265637572356</v>
      </c>
      <c r="U54" s="629"/>
      <c r="V54" s="626">
        <v>388.53867573790541</v>
      </c>
      <c r="W54" s="626" t="e">
        <v>#VALUE!</v>
      </c>
      <c r="X54" s="626" t="e">
        <v>#VALUE!</v>
      </c>
      <c r="Y54" s="629"/>
      <c r="Z54" s="637" t="e">
        <v>#VALUE!</v>
      </c>
    </row>
    <row r="55" spans="2:26" ht="15" customHeight="1">
      <c r="B55" s="630" t="s">
        <v>374</v>
      </c>
      <c r="C55" s="631"/>
      <c r="D55" s="631"/>
      <c r="E55" s="631"/>
      <c r="F55" s="631"/>
      <c r="G55" s="631"/>
      <c r="H55" s="631"/>
      <c r="I55" s="632">
        <v>0.61216932542396529</v>
      </c>
      <c r="J55" s="632" t="e">
        <v>#VALUE!</v>
      </c>
      <c r="K55" s="633" t="e">
        <v>#VALUE!</v>
      </c>
      <c r="L55" s="632">
        <v>3.870953806844228</v>
      </c>
      <c r="M55" s="632" t="e">
        <v>#VALUE!</v>
      </c>
      <c r="N55" s="633" t="e">
        <v>#VALUE!</v>
      </c>
      <c r="O55" s="632">
        <v>6.8960986093720571</v>
      </c>
      <c r="P55" s="632" t="e">
        <v>#VALUE!</v>
      </c>
      <c r="Q55" s="632" t="e">
        <v>#VALUE!</v>
      </c>
      <c r="R55" s="631">
        <v>0</v>
      </c>
      <c r="S55" s="634">
        <v>0.11752162855524584</v>
      </c>
      <c r="T55" s="632">
        <v>0.15578821730695724</v>
      </c>
      <c r="U55" s="635"/>
      <c r="V55" s="632">
        <v>-29.764279087641739</v>
      </c>
      <c r="W55" s="632" t="e">
        <v>#VALUE!</v>
      </c>
      <c r="X55" s="632" t="e">
        <v>#VALUE!</v>
      </c>
      <c r="Y55" s="635"/>
      <c r="Z55" s="638" t="e">
        <v>#VALUE!</v>
      </c>
    </row>
  </sheetData>
  <conditionalFormatting sqref="I15:I19 I27:I31 I39:I43">
    <cfRule type="colorScale" priority="23">
      <colorScale>
        <cfvo type="min"/>
        <cfvo type="percentile" val="50"/>
        <cfvo type="max"/>
        <color rgb="FF8DEB91"/>
        <color theme="0"/>
        <color theme="4" tint="0.79998168889431442"/>
      </colorScale>
    </cfRule>
  </conditionalFormatting>
  <conditionalFormatting sqref="J15:J19 J27:J31 J39:J43">
    <cfRule type="colorScale" priority="14">
      <colorScale>
        <cfvo type="min"/>
        <cfvo type="percentile" val="50"/>
        <cfvo type="max"/>
        <color rgb="FF8DEB91"/>
        <color theme="0"/>
        <color theme="4" tint="0.79998168889431442"/>
      </colorScale>
    </cfRule>
  </conditionalFormatting>
  <conditionalFormatting sqref="K15:K19 K27:K31 K39:K43">
    <cfRule type="colorScale" priority="13">
      <colorScale>
        <cfvo type="min"/>
        <cfvo type="percentile" val="50"/>
        <cfvo type="max"/>
        <color rgb="FF8DEB91"/>
        <color theme="0"/>
        <color theme="4" tint="0.79998168889431442"/>
      </colorScale>
    </cfRule>
  </conditionalFormatting>
  <conditionalFormatting sqref="L15:L19 L27:L31 L39:L43">
    <cfRule type="colorScale" priority="12">
      <colorScale>
        <cfvo type="min"/>
        <cfvo type="percentile" val="50"/>
        <cfvo type="max"/>
        <color rgb="FF8DEB91"/>
        <color theme="0"/>
        <color theme="4" tint="0.79998168889431442"/>
      </colorScale>
    </cfRule>
  </conditionalFormatting>
  <conditionalFormatting sqref="M15:M19 M27:M31 M39:M43">
    <cfRule type="colorScale" priority="11">
      <colorScale>
        <cfvo type="min"/>
        <cfvo type="percentile" val="50"/>
        <cfvo type="max"/>
        <color rgb="FF8DEB91"/>
        <color theme="0"/>
        <color theme="4" tint="0.79998168889431442"/>
      </colorScale>
    </cfRule>
  </conditionalFormatting>
  <conditionalFormatting sqref="N15:N19 N27:N31 N39:N43">
    <cfRule type="colorScale" priority="10">
      <colorScale>
        <cfvo type="min"/>
        <cfvo type="percentile" val="50"/>
        <cfvo type="max"/>
        <color rgb="FF8DEB91"/>
        <color theme="0"/>
        <color theme="4" tint="0.79998168889431442"/>
      </colorScale>
    </cfRule>
  </conditionalFormatting>
  <conditionalFormatting sqref="O15:O19 O27:O31 O39:O43">
    <cfRule type="colorScale" priority="9">
      <colorScale>
        <cfvo type="min"/>
        <cfvo type="percentile" val="50"/>
        <cfvo type="max"/>
        <color rgb="FF8DEB91"/>
        <color theme="0"/>
        <color theme="4" tint="0.79998168889431442"/>
      </colorScale>
    </cfRule>
  </conditionalFormatting>
  <conditionalFormatting sqref="P15:P19 P27:P31 P39:P43">
    <cfRule type="colorScale" priority="8">
      <colorScale>
        <cfvo type="min"/>
        <cfvo type="percentile" val="50"/>
        <cfvo type="max"/>
        <color rgb="FF8DEB91"/>
        <color theme="0"/>
        <color theme="4" tint="0.79998168889431442"/>
      </colorScale>
    </cfRule>
  </conditionalFormatting>
  <conditionalFormatting sqref="Q15:Q19 Q27:Q31 Q39:Q43">
    <cfRule type="colorScale" priority="7">
      <colorScale>
        <cfvo type="min"/>
        <cfvo type="percentile" val="50"/>
        <cfvo type="max"/>
        <color rgb="FF8DEB91"/>
        <color theme="0"/>
        <color theme="4" tint="0.79998168889431442"/>
      </colorScale>
    </cfRule>
  </conditionalFormatting>
  <conditionalFormatting sqref="S15:S19 S27:S31 S39:S43">
    <cfRule type="colorScale" priority="2">
      <colorScale>
        <cfvo type="min"/>
        <cfvo type="percentile" val="50"/>
        <cfvo type="max"/>
        <color theme="4" tint="0.79998168889431442"/>
        <color theme="0"/>
        <color rgb="FF8DEB91"/>
      </colorScale>
    </cfRule>
  </conditionalFormatting>
  <conditionalFormatting sqref="T15:T19 T27:T31 T39:T43">
    <cfRule type="colorScale" priority="6">
      <colorScale>
        <cfvo type="min"/>
        <cfvo type="percentile" val="50"/>
        <cfvo type="max"/>
        <color rgb="FF8DEB91"/>
        <color theme="0"/>
        <color theme="4" tint="0.79998168889431442"/>
      </colorScale>
    </cfRule>
  </conditionalFormatting>
  <conditionalFormatting sqref="V15:V19 V27:V31 V39:V43">
    <cfRule type="colorScale" priority="5">
      <colorScale>
        <cfvo type="min"/>
        <cfvo type="percentile" val="50"/>
        <cfvo type="max"/>
        <color rgb="FF8DEB91"/>
        <color theme="0"/>
        <color theme="4" tint="0.79998168889431442"/>
      </colorScale>
    </cfRule>
  </conditionalFormatting>
  <conditionalFormatting sqref="W15:W19 W27:W31 W39:W43">
    <cfRule type="colorScale" priority="4">
      <colorScale>
        <cfvo type="min"/>
        <cfvo type="percentile" val="50"/>
        <cfvo type="max"/>
        <color rgb="FF8DEB91"/>
        <color theme="0"/>
        <color theme="4" tint="0.79998168889431442"/>
      </colorScale>
    </cfRule>
  </conditionalFormatting>
  <conditionalFormatting sqref="X15:X19 X27:X31 X39:X43">
    <cfRule type="colorScale" priority="3">
      <colorScale>
        <cfvo type="min"/>
        <cfvo type="percentile" val="50"/>
        <cfvo type="max"/>
        <color rgb="FF8DEB91"/>
        <color theme="0"/>
        <color theme="4" tint="0.79998168889431442"/>
      </colorScale>
    </cfRule>
  </conditionalFormatting>
  <conditionalFormatting sqref="Z15:Z19 Z27:Z31 Z39:Z43">
    <cfRule type="colorScale" priority="1">
      <colorScale>
        <cfvo type="min"/>
        <cfvo type="percentile" val="50"/>
        <cfvo type="max"/>
        <color theme="4" tint="0.79998168889431442"/>
        <color theme="0"/>
        <color rgb="FF8DEB91"/>
      </colorScale>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rgb="FF7B1314"/>
    <pageSetUpPr autoPageBreaks="0"/>
  </sheetPr>
  <dimension ref="A1:W49"/>
  <sheetViews>
    <sheetView showGridLines="0" zoomScale="78" zoomScaleNormal="70" workbookViewId="0">
      <selection activeCell="E16" sqref="E16"/>
    </sheetView>
  </sheetViews>
  <sheetFormatPr defaultColWidth="8.875" defaultRowHeight="15" customHeight="1"/>
  <cols>
    <col min="1" max="1" width="2.125" style="564" customWidth="1"/>
    <col min="2" max="2" width="50.625" style="564" customWidth="1"/>
    <col min="3" max="3" width="3.625" style="564" customWidth="1"/>
    <col min="4" max="8" width="11.625" style="564" customWidth="1"/>
    <col min="9" max="9" width="1.625" style="564" customWidth="1"/>
    <col min="10" max="10" width="9" style="564" customWidth="1"/>
    <col min="11" max="11" width="40.625" style="564" customWidth="1"/>
    <col min="12" max="18" width="9" style="564" customWidth="1"/>
    <col min="19" max="16384" width="8.875" style="564"/>
  </cols>
  <sheetData>
    <row r="1" spans="1:18" s="576" customFormat="1" ht="15" customHeight="1"/>
    <row r="2" spans="1:18" s="576" customFormat="1" ht="15" customHeight="1"/>
    <row r="3" spans="1:18" s="576" customFormat="1" ht="15" customHeight="1"/>
    <row r="4" spans="1:18" s="576" customFormat="1" ht="15" customHeight="1"/>
    <row r="5" spans="1:18" s="562" customFormat="1" ht="3.95" customHeight="1">
      <c r="A5" s="36"/>
      <c r="B5" s="36"/>
      <c r="C5" s="36"/>
      <c r="D5" s="36"/>
      <c r="E5" s="36"/>
      <c r="F5" s="36"/>
      <c r="G5" s="36"/>
      <c r="H5" s="36"/>
      <c r="I5" s="36"/>
      <c r="J5" s="36"/>
      <c r="K5" s="36"/>
      <c r="L5" s="36"/>
      <c r="M5" s="36"/>
      <c r="N5" s="36"/>
      <c r="O5" s="36"/>
      <c r="P5" s="36"/>
      <c r="Q5" s="36"/>
      <c r="R5" s="36"/>
    </row>
    <row r="7" spans="1:18" ht="15" customHeight="1">
      <c r="A7" s="614" t="s">
        <v>37</v>
      </c>
      <c r="B7" s="372" t="s">
        <v>375</v>
      </c>
      <c r="C7" s="32"/>
      <c r="D7" s="32"/>
      <c r="E7" s="32"/>
      <c r="F7" s="32"/>
      <c r="G7" s="32"/>
      <c r="H7" s="32"/>
      <c r="I7" s="32"/>
      <c r="J7" s="642"/>
      <c r="K7" s="372" t="s">
        <v>376</v>
      </c>
      <c r="L7" s="372"/>
      <c r="M7" s="372"/>
      <c r="N7" s="32"/>
      <c r="O7" s="32"/>
      <c r="P7" s="32"/>
      <c r="Q7" s="32"/>
      <c r="R7" s="32"/>
    </row>
    <row r="8" spans="1:18" ht="15" customHeight="1">
      <c r="A8" s="23"/>
      <c r="B8" s="32"/>
      <c r="C8" s="32"/>
      <c r="D8" s="32"/>
      <c r="E8" s="32"/>
      <c r="F8" s="32"/>
      <c r="G8" s="32"/>
      <c r="H8" s="32"/>
      <c r="I8" s="32"/>
      <c r="J8" s="642"/>
      <c r="K8" s="32"/>
      <c r="L8" s="372"/>
      <c r="M8" s="32"/>
      <c r="N8" s="643"/>
      <c r="O8" s="643"/>
      <c r="P8" s="644" t="s">
        <v>377</v>
      </c>
      <c r="Q8" s="643"/>
      <c r="R8" s="643"/>
    </row>
    <row r="9" spans="1:18" ht="15" customHeight="1">
      <c r="A9" s="23"/>
      <c r="B9" s="372"/>
      <c r="C9" s="32"/>
      <c r="D9" s="37">
        <v>2025</v>
      </c>
      <c r="E9" s="37">
        <f>+D9+1</f>
        <v>2026</v>
      </c>
      <c r="F9" s="37">
        <f t="shared" ref="F9:H9" si="0">+E9+1</f>
        <v>2027</v>
      </c>
      <c r="G9" s="37">
        <f t="shared" si="0"/>
        <v>2028</v>
      </c>
      <c r="H9" s="37">
        <f t="shared" si="0"/>
        <v>2029</v>
      </c>
      <c r="I9" s="595"/>
      <c r="J9" s="642"/>
      <c r="K9" s="372"/>
      <c r="L9" s="372"/>
      <c r="M9" s="372" t="s">
        <v>378</v>
      </c>
      <c r="N9" s="37">
        <v>2025</v>
      </c>
      <c r="O9" s="37">
        <f>+N9+1</f>
        <v>2026</v>
      </c>
      <c r="P9" s="37">
        <f t="shared" ref="P9:R9" si="1">+O9+1</f>
        <v>2027</v>
      </c>
      <c r="Q9" s="37">
        <f t="shared" si="1"/>
        <v>2028</v>
      </c>
      <c r="R9" s="37">
        <f t="shared" si="1"/>
        <v>2029</v>
      </c>
    </row>
    <row r="10" spans="1:18" ht="3.95" customHeight="1">
      <c r="A10" s="23"/>
      <c r="B10" s="421"/>
      <c r="C10" s="387"/>
      <c r="D10" s="387"/>
      <c r="E10" s="387"/>
      <c r="F10" s="387"/>
      <c r="G10" s="387"/>
      <c r="H10" s="387"/>
      <c r="I10" s="387"/>
      <c r="J10" s="642"/>
      <c r="K10" s="421"/>
      <c r="L10" s="421"/>
      <c r="M10" s="421"/>
      <c r="N10" s="387"/>
      <c r="O10" s="387"/>
      <c r="P10" s="387"/>
      <c r="Q10" s="387"/>
      <c r="R10" s="387"/>
    </row>
    <row r="11" spans="1:18" ht="3.95" customHeight="1">
      <c r="A11" s="23"/>
      <c r="B11" s="339"/>
      <c r="C11" s="420"/>
      <c r="D11" s="420"/>
      <c r="E11" s="420"/>
      <c r="F11" s="420"/>
      <c r="G11" s="420"/>
      <c r="H11" s="420"/>
      <c r="I11" s="642"/>
      <c r="J11" s="642"/>
      <c r="K11" s="642"/>
      <c r="L11" s="23"/>
      <c r="M11" s="642"/>
      <c r="N11" s="642"/>
      <c r="O11" s="642"/>
      <c r="P11" s="642"/>
      <c r="Q11" s="23"/>
      <c r="R11" s="23"/>
    </row>
    <row r="12" spans="1:18" ht="15" customHeight="1">
      <c r="A12" s="23"/>
      <c r="B12" s="481" t="s">
        <v>379</v>
      </c>
      <c r="C12" s="420"/>
      <c r="D12" s="420"/>
      <c r="E12" s="420"/>
      <c r="F12" s="420"/>
      <c r="G12" s="420"/>
      <c r="H12" s="420"/>
      <c r="I12" s="642"/>
      <c r="J12" s="642"/>
      <c r="K12" s="645" t="str">
        <f>+Segments!B73</f>
        <v>Brazil</v>
      </c>
      <c r="L12" s="23"/>
      <c r="M12" s="646">
        <v>7.6700000000000004E-2</v>
      </c>
      <c r="N12" s="647">
        <f>+Segments!AL73/Segments!AL$78</f>
        <v>0.90189678589718758</v>
      </c>
      <c r="O12" s="647">
        <f>+Segments!AR73/Segments!AR$78</f>
        <v>0.90189678589718758</v>
      </c>
      <c r="P12" s="647">
        <f>+Segments!AT73/Segments!AT$78</f>
        <v>0.90189678589718758</v>
      </c>
      <c r="Q12" s="647">
        <f>+Segments!AR73/Segments!AR$78</f>
        <v>0.90189678589718758</v>
      </c>
      <c r="R12" s="647">
        <f>+Segments!AT73/Segments!AT$78</f>
        <v>0.90189678589718758</v>
      </c>
    </row>
    <row r="13" spans="1:18" ht="15" customHeight="1">
      <c r="A13" s="23"/>
      <c r="B13" s="648" t="s">
        <v>380</v>
      </c>
      <c r="C13" s="23"/>
      <c r="D13" s="649">
        <f>+Inputs!J13</f>
        <v>6655.1665762999992</v>
      </c>
      <c r="E13" s="649">
        <f>+FCFF!AF96*FCFF!AF26</f>
        <v>9949.7514480000009</v>
      </c>
      <c r="F13" s="649">
        <f>+FCFF!AH96*FCFF!AH26</f>
        <v>12747.934911529999</v>
      </c>
      <c r="G13" s="649">
        <f>+FCFF!AJ96*FCFF!AJ26</f>
        <v>15810.109469448464</v>
      </c>
      <c r="H13" s="649">
        <f>+FCFF!AL96*FCFF!AL26</f>
        <v>14822.07663134637</v>
      </c>
      <c r="I13" s="23"/>
      <c r="J13" s="642"/>
      <c r="K13" s="645" t="str">
        <f>+Segments!B74</f>
        <v xml:space="preserve">Rest of the World </v>
      </c>
      <c r="L13" s="23"/>
      <c r="M13" s="646">
        <v>0.05</v>
      </c>
      <c r="N13" s="647">
        <f>+Segments!AL74/Segments!AL$78</f>
        <v>9.8103214102812489E-2</v>
      </c>
      <c r="O13" s="647">
        <f>+Segments!AR74/Segments!AR$78</f>
        <v>9.8103214102812475E-2</v>
      </c>
      <c r="P13" s="647">
        <f>+Segments!AT74/Segments!AT$78</f>
        <v>9.8103214102812475E-2</v>
      </c>
      <c r="Q13" s="647">
        <f>+Segments!AR74/Segments!AR$78</f>
        <v>9.8103214102812475E-2</v>
      </c>
      <c r="R13" s="647">
        <f>+Segments!AT74/Segments!AT$78</f>
        <v>9.8103214102812475E-2</v>
      </c>
    </row>
    <row r="14" spans="1:18" ht="15" customHeight="1">
      <c r="A14" s="23"/>
      <c r="B14" s="650" t="s">
        <v>381</v>
      </c>
      <c r="C14" s="23"/>
      <c r="D14" s="547">
        <f>IFERROR(D13/D35,"")</f>
        <v>0.63400982008766738</v>
      </c>
      <c r="E14" s="547">
        <f>IFERROR(E13/E35,"")</f>
        <v>0.73977214273945147</v>
      </c>
      <c r="F14" s="547">
        <f>IFERROR(E13/F35,"")</f>
        <v>0.62388964484715537</v>
      </c>
      <c r="G14" s="547">
        <f>IFERROR(F13/G35,"")</f>
        <v>0.67771721011168495</v>
      </c>
      <c r="H14" s="547">
        <f>IFERROR(G13/H35,"")</f>
        <v>0.89717629767454565</v>
      </c>
      <c r="I14" s="477"/>
      <c r="J14" s="477"/>
      <c r="K14" s="645">
        <f>+Segments!B75</f>
        <v>0</v>
      </c>
      <c r="L14" s="23"/>
      <c r="M14" s="646"/>
      <c r="N14" s="647">
        <f>+Segments!AL75/Segments!AL$78</f>
        <v>0</v>
      </c>
      <c r="O14" s="647">
        <f>+Segments!AR75/Segments!AR$78</f>
        <v>0</v>
      </c>
      <c r="P14" s="647">
        <f>+Segments!AT75/Segments!AT$78</f>
        <v>0</v>
      </c>
      <c r="Q14" s="647">
        <f>+Segments!AR75/Segments!AR$78</f>
        <v>0</v>
      </c>
      <c r="R14" s="647">
        <f>+Segments!AT75/Segments!AT$78</f>
        <v>0</v>
      </c>
    </row>
    <row r="15" spans="1:18" ht="15" customHeight="1">
      <c r="A15" s="23"/>
      <c r="B15" s="478" t="s">
        <v>382</v>
      </c>
      <c r="C15" s="23"/>
      <c r="D15" s="646">
        <v>0.1351</v>
      </c>
      <c r="E15" s="646">
        <v>0.1351</v>
      </c>
      <c r="F15" s="646">
        <v>0.1351</v>
      </c>
      <c r="G15" s="646">
        <v>0.1351</v>
      </c>
      <c r="H15" s="646">
        <v>0.1351</v>
      </c>
      <c r="I15" s="548"/>
      <c r="J15" s="548"/>
      <c r="K15" s="645">
        <f>+Segments!B76</f>
        <v>0</v>
      </c>
      <c r="L15" s="23"/>
      <c r="M15" s="646"/>
      <c r="N15" s="647">
        <f>+Segments!AL76/Segments!AL$78</f>
        <v>0</v>
      </c>
      <c r="O15" s="647">
        <f>+Segments!AR76/Segments!AR$78</f>
        <v>0</v>
      </c>
      <c r="P15" s="647">
        <f>+Segments!AT76/Segments!AT$78</f>
        <v>0</v>
      </c>
      <c r="Q15" s="647">
        <f>+Segments!AR76/Segments!AR$78</f>
        <v>0</v>
      </c>
      <c r="R15" s="647">
        <f>+Segments!AT76/Segments!AT$78</f>
        <v>0</v>
      </c>
    </row>
    <row r="16" spans="1:18" ht="15" customHeight="1">
      <c r="A16" s="23"/>
      <c r="B16" s="478" t="s">
        <v>20</v>
      </c>
      <c r="C16" s="23"/>
      <c r="D16" s="651">
        <f>+Inputs!M18</f>
        <v>1.1667380000000001</v>
      </c>
      <c r="E16" s="652">
        <f>+D17*(1+(E28/E13)*(1-E32))</f>
        <v>0.85634401674966887</v>
      </c>
      <c r="F16" s="652">
        <f>+E17*(1+(F28/F13)*(1-F32))</f>
        <v>0.80650588506889642</v>
      </c>
      <c r="G16" s="652">
        <f>+F17*(1+(G28/G13)*(1-G32))</f>
        <v>0.77619680580320649</v>
      </c>
      <c r="H16" s="652">
        <f>+G17*(1+(H28/H13)*(1-H32))</f>
        <v>0.77577899004472861</v>
      </c>
      <c r="I16" s="653"/>
      <c r="J16" s="653"/>
      <c r="K16" s="645">
        <f>+Segments!B77</f>
        <v>0</v>
      </c>
      <c r="L16" s="23"/>
      <c r="M16" s="646"/>
      <c r="N16" s="647">
        <f>+Segments!AL77/Segments!AL$78</f>
        <v>0</v>
      </c>
      <c r="O16" s="647">
        <f>+Segments!AR77/Segments!AR$78</f>
        <v>0</v>
      </c>
      <c r="P16" s="647">
        <f>+Segments!AT77/Segments!AT$78</f>
        <v>0</v>
      </c>
      <c r="Q16" s="647">
        <f>+Segments!AR77/Segments!AR$78</f>
        <v>0</v>
      </c>
      <c r="R16" s="647">
        <f>+Segments!AT77/Segments!AT$78</f>
        <v>0</v>
      </c>
    </row>
    <row r="17" spans="2:18" ht="15" customHeight="1">
      <c r="B17" s="478" t="s">
        <v>383</v>
      </c>
      <c r="C17" s="23"/>
      <c r="D17" s="652">
        <f>+D16/(1+(D28/D13)*(1-D32))</f>
        <v>0.68232870589034311</v>
      </c>
      <c r="E17" s="652">
        <f>+E16/(1+(E28/E13)*(1-E32))</f>
        <v>0.68232870589034311</v>
      </c>
      <c r="F17" s="652">
        <f>+F16/(1+(F28/F13)*(1-F32))</f>
        <v>0.68232870589034311</v>
      </c>
      <c r="G17" s="652">
        <f>+G16/(1+(G28/G13)*(1-G32))</f>
        <v>0.68232870589034311</v>
      </c>
      <c r="H17" s="652">
        <f>+H16/(1+(H28/H13)*(1-H32))</f>
        <v>0.68232870589034311</v>
      </c>
      <c r="I17" s="653"/>
      <c r="J17" s="653"/>
      <c r="K17" s="653"/>
      <c r="L17" s="23"/>
      <c r="M17" s="653"/>
      <c r="N17" s="653"/>
      <c r="O17" s="653"/>
      <c r="P17" s="653"/>
      <c r="Q17" s="23"/>
      <c r="R17" s="23"/>
    </row>
    <row r="18" spans="2:18" ht="15" customHeight="1">
      <c r="B18" s="478" t="s">
        <v>376</v>
      </c>
      <c r="C18" s="23"/>
      <c r="D18" s="654">
        <f>+N18</f>
        <v>7.4080644183454919E-2</v>
      </c>
      <c r="E18" s="654">
        <f>+O18</f>
        <v>7.4080644183454905E-2</v>
      </c>
      <c r="F18" s="654">
        <f>+P18</f>
        <v>7.4080644183454905E-2</v>
      </c>
      <c r="G18" s="654">
        <f>+Q18</f>
        <v>7.4080644183454905E-2</v>
      </c>
      <c r="H18" s="654">
        <f>+R18</f>
        <v>7.4080644183454905E-2</v>
      </c>
      <c r="I18" s="655"/>
      <c r="J18" s="655"/>
      <c r="K18" s="656" t="s">
        <v>378</v>
      </c>
      <c r="L18" s="293"/>
      <c r="M18" s="293"/>
      <c r="N18" s="657">
        <f>+SUMPRODUCT($M12:$M16,N12:N16)</f>
        <v>7.4080644183454919E-2</v>
      </c>
      <c r="O18" s="657">
        <f>+SUMPRODUCT($M12:$M16,O12:O16)</f>
        <v>7.4080644183454905E-2</v>
      </c>
      <c r="P18" s="657">
        <f>+SUMPRODUCT($M12:$M16,P12:P16)</f>
        <v>7.4080644183454905E-2</v>
      </c>
      <c r="Q18" s="657">
        <f>+SUMPRODUCT($M12:$M16,Q12:Q16)</f>
        <v>7.4080644183454905E-2</v>
      </c>
      <c r="R18" s="657">
        <f>+SUMPRODUCT($M12:$M16,R12:R16)</f>
        <v>7.4080644183454905E-2</v>
      </c>
    </row>
    <row r="19" spans="2:18" ht="15" customHeight="1">
      <c r="B19" s="658" t="s">
        <v>384</v>
      </c>
      <c r="C19" s="23"/>
      <c r="D19" s="659">
        <f>IFERROR(+D15+D16*D18,"")</f>
        <v>0.22153270263331581</v>
      </c>
      <c r="E19" s="659">
        <f>IFERROR(+E15+E16*E18,"")</f>
        <v>0.19853851640346276</v>
      </c>
      <c r="F19" s="659">
        <f t="shared" ref="F19" si="2">IFERROR(+F15+F16*F18,"")</f>
        <v>0.19484647550365131</v>
      </c>
      <c r="G19" s="659">
        <f>IFERROR(+G15+G16*G18,"")</f>
        <v>0.19260115938704159</v>
      </c>
      <c r="H19" s="659">
        <f>IFERROR(+H15+H16*H18,"")</f>
        <v>0.19257020732650354</v>
      </c>
      <c r="I19" s="660"/>
      <c r="J19" s="660"/>
      <c r="K19" s="660"/>
      <c r="L19" s="660"/>
      <c r="M19" s="660"/>
      <c r="N19" s="660"/>
      <c r="O19" s="660"/>
      <c r="P19" s="23"/>
      <c r="Q19" s="23"/>
      <c r="R19" s="23"/>
    </row>
    <row r="20" spans="2:18" ht="15" customHeight="1">
      <c r="B20" s="375"/>
      <c r="C20" s="23"/>
      <c r="D20" s="23"/>
      <c r="E20" s="23"/>
      <c r="F20" s="23"/>
      <c r="G20" s="23"/>
      <c r="H20" s="23"/>
      <c r="I20" s="548"/>
      <c r="J20" s="548"/>
      <c r="K20" s="23"/>
      <c r="L20" s="23"/>
      <c r="M20" s="23"/>
      <c r="N20" s="23"/>
      <c r="O20" s="23"/>
      <c r="P20" s="23"/>
      <c r="Q20" s="23"/>
      <c r="R20" s="23"/>
    </row>
    <row r="21" spans="2:18" ht="15" customHeight="1">
      <c r="B21" s="481" t="s">
        <v>385</v>
      </c>
      <c r="C21" s="23"/>
      <c r="D21" s="23"/>
      <c r="E21" s="23"/>
      <c r="F21" s="23"/>
      <c r="G21" s="23"/>
      <c r="H21" s="23"/>
      <c r="I21" s="23"/>
      <c r="J21" s="23"/>
      <c r="K21" s="372" t="s">
        <v>386</v>
      </c>
      <c r="L21" s="372"/>
      <c r="M21" s="372"/>
      <c r="N21" s="372"/>
      <c r="O21" s="372"/>
      <c r="P21" s="372"/>
      <c r="Q21" s="372"/>
      <c r="R21" s="372"/>
    </row>
    <row r="22" spans="2:18" ht="15" customHeight="1">
      <c r="B22" s="478" t="s">
        <v>387</v>
      </c>
      <c r="C22" s="23"/>
      <c r="D22" s="96">
        <f>IFERROR(Inputs!J14,0)</f>
        <v>0</v>
      </c>
      <c r="E22" s="24">
        <f>+D22*(E13/D13)</f>
        <v>0</v>
      </c>
      <c r="F22" s="24">
        <f>+E22*(F13/E13)</f>
        <v>0</v>
      </c>
      <c r="G22" s="24">
        <f>+F22*(G13/F13)</f>
        <v>0</v>
      </c>
      <c r="H22" s="24">
        <f>+G22*(H13/G13)</f>
        <v>0</v>
      </c>
      <c r="I22" s="23"/>
      <c r="J22" s="23"/>
      <c r="K22" s="372"/>
      <c r="L22" s="372"/>
      <c r="M22" s="372"/>
      <c r="N22" s="372"/>
      <c r="O22" s="372"/>
      <c r="P22" s="372"/>
      <c r="Q22" s="372"/>
      <c r="R22" s="372"/>
    </row>
    <row r="23" spans="2:18" ht="15" customHeight="1">
      <c r="B23" s="650" t="s">
        <v>388</v>
      </c>
      <c r="C23" s="23"/>
      <c r="D23" s="477">
        <f>+D22/D35</f>
        <v>0</v>
      </c>
      <c r="E23" s="477">
        <f>+E22/E35</f>
        <v>0</v>
      </c>
      <c r="F23" s="477">
        <f>+F22/F35</f>
        <v>0</v>
      </c>
      <c r="G23" s="477">
        <f>+G22/G35</f>
        <v>0</v>
      </c>
      <c r="H23" s="477">
        <f>+H22/H35</f>
        <v>0</v>
      </c>
      <c r="I23" s="23"/>
      <c r="J23" s="23"/>
      <c r="K23" s="372"/>
      <c r="L23" s="372"/>
      <c r="M23" s="372"/>
      <c r="N23" s="372"/>
      <c r="O23" s="372"/>
      <c r="P23" s="372"/>
      <c r="Q23" s="372"/>
      <c r="R23" s="372"/>
    </row>
    <row r="24" spans="2:18" ht="15" customHeight="1">
      <c r="B24" s="478" t="s">
        <v>389</v>
      </c>
      <c r="C24" s="23"/>
      <c r="D24" s="425">
        <f>+IS!AF50</f>
        <v>0</v>
      </c>
      <c r="E24" s="661">
        <f>D24</f>
        <v>0</v>
      </c>
      <c r="F24" s="661">
        <f t="shared" ref="F24:H24" si="3">E24</f>
        <v>0</v>
      </c>
      <c r="G24" s="661">
        <f t="shared" si="3"/>
        <v>0</v>
      </c>
      <c r="H24" s="661">
        <f t="shared" si="3"/>
        <v>0</v>
      </c>
      <c r="I24" s="23"/>
      <c r="J24" s="23"/>
      <c r="K24" s="23"/>
      <c r="L24" s="23"/>
      <c r="M24" s="23"/>
      <c r="N24" s="23"/>
      <c r="O24" s="662"/>
      <c r="P24" s="23"/>
      <c r="Q24" s="23"/>
      <c r="R24" s="23"/>
    </row>
    <row r="25" spans="2:18" ht="15" customHeight="1">
      <c r="B25" s="658" t="s">
        <v>390</v>
      </c>
      <c r="C25" s="23"/>
      <c r="D25" s="659">
        <f>IFERROR(D24/D22,0)</f>
        <v>0</v>
      </c>
      <c r="E25" s="659">
        <f>IFERROR(E24/E22,0)</f>
        <v>0</v>
      </c>
      <c r="F25" s="659">
        <f>IFERROR(F24/F22,0)</f>
        <v>0</v>
      </c>
      <c r="G25" s="659">
        <f>IFERROR(G24/G22,0)</f>
        <v>0</v>
      </c>
      <c r="H25" s="659">
        <f>IFERROR(H24/H22,0)</f>
        <v>0</v>
      </c>
      <c r="I25" s="23"/>
      <c r="J25" s="23"/>
      <c r="K25" s="23"/>
      <c r="L25" s="23"/>
      <c r="M25" s="23"/>
      <c r="N25" s="23"/>
      <c r="O25" s="662"/>
      <c r="P25" s="23"/>
      <c r="Q25" s="23"/>
      <c r="R25" s="23"/>
    </row>
    <row r="26" spans="2:18" ht="15" customHeight="1">
      <c r="B26" s="375"/>
      <c r="C26" s="23"/>
      <c r="D26" s="23"/>
      <c r="E26" s="23"/>
      <c r="F26" s="23"/>
      <c r="G26" s="23"/>
      <c r="H26" s="23"/>
      <c r="I26" s="23"/>
      <c r="J26" s="23"/>
      <c r="K26" s="23"/>
      <c r="L26" s="23"/>
      <c r="M26" s="23"/>
      <c r="N26" s="23"/>
      <c r="O26" s="662"/>
      <c r="P26" s="23"/>
      <c r="Q26" s="23"/>
      <c r="R26" s="23"/>
    </row>
    <row r="27" spans="2:18" ht="15" customHeight="1">
      <c r="B27" s="375" t="s">
        <v>391</v>
      </c>
      <c r="C27" s="23"/>
      <c r="D27" s="23"/>
      <c r="E27" s="23"/>
      <c r="F27" s="23"/>
      <c r="G27" s="23"/>
      <c r="H27" s="23"/>
      <c r="I27" s="23"/>
      <c r="J27" s="23"/>
      <c r="K27" s="23"/>
      <c r="L27" s="23"/>
      <c r="M27" s="23"/>
      <c r="N27" s="23"/>
      <c r="O27" s="662"/>
      <c r="P27" s="23"/>
      <c r="Q27" s="23"/>
      <c r="R27" s="23"/>
    </row>
    <row r="28" spans="2:18" ht="15" customHeight="1">
      <c r="B28" s="648" t="s">
        <v>392</v>
      </c>
      <c r="C28" s="611">
        <f>+BS!AF38+BS!AF39+BS!AF44+BS!AF45</f>
        <v>3530.4010000000003</v>
      </c>
      <c r="D28" s="663">
        <f>+BS!AI38+BS!AI39+BS!AI44+BS!AI45</f>
        <v>3841.7790000000005</v>
      </c>
      <c r="E28" s="664">
        <v>3500</v>
      </c>
      <c r="F28" s="664">
        <v>3200</v>
      </c>
      <c r="G28" s="664">
        <v>3000</v>
      </c>
      <c r="H28" s="664">
        <v>2800</v>
      </c>
      <c r="I28" s="23"/>
      <c r="J28" s="23"/>
      <c r="K28" s="23"/>
      <c r="L28" s="23"/>
      <c r="M28" s="23"/>
      <c r="N28" s="23"/>
      <c r="O28" s="662"/>
      <c r="P28" s="23"/>
      <c r="Q28" s="23"/>
      <c r="R28" s="23"/>
    </row>
    <row r="29" spans="2:18" ht="15" customHeight="1">
      <c r="B29" s="650" t="s">
        <v>393</v>
      </c>
      <c r="C29" s="23"/>
      <c r="D29" s="547">
        <f>IFERROR(D28/D35,"")</f>
        <v>0.36599017991233257</v>
      </c>
      <c r="E29" s="547">
        <f>IFERROR(E28/E35,"")</f>
        <v>0.26022785726054853</v>
      </c>
      <c r="F29" s="547">
        <f>IFERROR(F28/F35,"")</f>
        <v>0.20065293831155981</v>
      </c>
      <c r="G29" s="547">
        <f>IFERROR(G28/G35,"")</f>
        <v>0.15948870498986861</v>
      </c>
      <c r="H29" s="547">
        <f>IFERROR(H28/H35,"")</f>
        <v>0.15889160276487083</v>
      </c>
      <c r="I29" s="662"/>
      <c r="J29" s="662"/>
      <c r="K29" s="662"/>
      <c r="L29" s="662"/>
      <c r="M29" s="662"/>
      <c r="N29" s="662"/>
      <c r="O29" s="23"/>
      <c r="P29" s="23"/>
      <c r="Q29" s="23"/>
      <c r="R29" s="23"/>
    </row>
    <row r="30" spans="2:18" ht="15" customHeight="1">
      <c r="B30" s="478" t="s">
        <v>394</v>
      </c>
      <c r="C30" s="23"/>
      <c r="D30" s="548">
        <f>+D31-D15</f>
        <v>-7.3198990077253279E-2</v>
      </c>
      <c r="E30" s="646">
        <v>0.1</v>
      </c>
      <c r="F30" s="646">
        <v>0.1</v>
      </c>
      <c r="G30" s="646">
        <v>0.1</v>
      </c>
      <c r="H30" s="646">
        <v>0.1</v>
      </c>
      <c r="I30" s="653"/>
      <c r="J30" s="653"/>
      <c r="K30" s="653"/>
      <c r="L30" s="653"/>
      <c r="M30" s="653"/>
      <c r="N30" s="653"/>
      <c r="O30" s="653"/>
      <c r="P30" s="23"/>
      <c r="Q30" s="23"/>
      <c r="R30" s="23"/>
    </row>
    <row r="31" spans="2:18" ht="15" customHeight="1">
      <c r="B31" s="478" t="s">
        <v>395</v>
      </c>
      <c r="C31" s="23"/>
      <c r="D31" s="608">
        <f>+IS!AF36/WACC!D28</f>
        <v>6.1901009922746719E-2</v>
      </c>
      <c r="E31" s="707">
        <f>+E30+E15</f>
        <v>0.2351</v>
      </c>
      <c r="F31" s="707">
        <f>+F30+F15</f>
        <v>0.2351</v>
      </c>
      <c r="G31" s="707">
        <f>+G30+G15</f>
        <v>0.2351</v>
      </c>
      <c r="H31" s="707">
        <f>+H30+H15</f>
        <v>0.2351</v>
      </c>
      <c r="I31" s="653"/>
      <c r="J31" s="653"/>
      <c r="K31" s="653"/>
      <c r="L31" s="653"/>
      <c r="M31" s="653"/>
      <c r="N31" s="653"/>
      <c r="O31" s="653"/>
      <c r="P31" s="23"/>
      <c r="Q31" s="23"/>
      <c r="R31" s="23"/>
    </row>
    <row r="32" spans="2:18" ht="15" customHeight="1">
      <c r="B32" s="478" t="s">
        <v>396</v>
      </c>
      <c r="C32" s="23"/>
      <c r="D32" s="665">
        <f>+FCFF!Z121</f>
        <v>-0.22983083127885973</v>
      </c>
      <c r="E32" s="665">
        <f>+FCFF!AF121</f>
        <v>0.27500000000000002</v>
      </c>
      <c r="F32" s="665">
        <f>+FCFF!AH121</f>
        <v>0.27500000000000002</v>
      </c>
      <c r="G32" s="665">
        <f>+FCFF!AJ121</f>
        <v>0.27500000000000002</v>
      </c>
      <c r="H32" s="665">
        <f>+FCFF!AL121</f>
        <v>0.27500000000000002</v>
      </c>
      <c r="I32" s="653"/>
      <c r="J32" s="653"/>
      <c r="K32" s="653"/>
      <c r="L32" s="653"/>
      <c r="M32" s="653"/>
      <c r="N32" s="653"/>
      <c r="O32" s="23"/>
      <c r="P32" s="23"/>
      <c r="Q32" s="23"/>
      <c r="R32" s="23"/>
    </row>
    <row r="33" spans="1:14" ht="15" customHeight="1">
      <c r="A33" s="23"/>
      <c r="B33" s="658" t="s">
        <v>397</v>
      </c>
      <c r="C33" s="23"/>
      <c r="D33" s="659">
        <f>+D31*(1-D32)</f>
        <v>7.612777049029254E-2</v>
      </c>
      <c r="E33" s="659">
        <f t="shared" ref="E33" si="4">+E31*(1-E32)</f>
        <v>0.1704475</v>
      </c>
      <c r="F33" s="659">
        <f>+F31*(1-F32)</f>
        <v>0.1704475</v>
      </c>
      <c r="G33" s="659">
        <f>+G31*(1-G32)</f>
        <v>0.1704475</v>
      </c>
      <c r="H33" s="659">
        <f>+H31*(1-H32)</f>
        <v>0.1704475</v>
      </c>
      <c r="I33" s="653"/>
      <c r="J33" s="653"/>
      <c r="K33" s="653"/>
      <c r="L33" s="653"/>
      <c r="M33" s="653"/>
      <c r="N33" s="653"/>
    </row>
    <row r="34" spans="1:14" ht="15" customHeight="1">
      <c r="A34" s="23"/>
      <c r="B34" s="373"/>
      <c r="C34" s="23"/>
      <c r="D34" s="659"/>
      <c r="E34" s="659"/>
      <c r="F34" s="659"/>
      <c r="G34" s="659"/>
      <c r="H34" s="659"/>
      <c r="I34" s="23"/>
      <c r="J34" s="23"/>
      <c r="K34" s="23"/>
      <c r="L34" s="23"/>
      <c r="M34" s="23"/>
      <c r="N34" s="23"/>
    </row>
    <row r="35" spans="1:14" ht="15" customHeight="1">
      <c r="A35" s="23"/>
      <c r="B35" s="375" t="s">
        <v>398</v>
      </c>
      <c r="C35" s="23"/>
      <c r="D35" s="662">
        <f>+D13+D24+D28</f>
        <v>10496.945576300001</v>
      </c>
      <c r="E35" s="662">
        <f>+E13+E24+E28</f>
        <v>13449.751448000001</v>
      </c>
      <c r="F35" s="662">
        <f>+F13+F24+F28</f>
        <v>15947.934911529999</v>
      </c>
      <c r="G35" s="662">
        <f>+G13+G24+G28</f>
        <v>18810.109469448464</v>
      </c>
      <c r="H35" s="662">
        <f>+H13+H24+H28</f>
        <v>17622.076631346368</v>
      </c>
      <c r="I35" s="23"/>
      <c r="J35" s="23"/>
      <c r="K35" s="23"/>
      <c r="L35" s="23"/>
      <c r="M35" s="23"/>
      <c r="N35" s="23"/>
    </row>
    <row r="36" spans="1:14" ht="15" customHeight="1">
      <c r="A36" s="23"/>
      <c r="B36" s="375"/>
      <c r="C36" s="23"/>
      <c r="D36" s="23"/>
      <c r="E36" s="23"/>
      <c r="F36" s="23"/>
      <c r="G36" s="23"/>
      <c r="H36" s="23"/>
      <c r="I36" s="662"/>
      <c r="J36" s="662"/>
      <c r="K36" s="662"/>
      <c r="L36" s="662"/>
      <c r="M36" s="662"/>
      <c r="N36" s="662"/>
    </row>
    <row r="37" spans="1:14" ht="15" customHeight="1">
      <c r="A37" s="23"/>
      <c r="B37" s="375" t="s">
        <v>399</v>
      </c>
      <c r="C37" s="23"/>
      <c r="D37" s="666">
        <v>7.4999999999999997E-3</v>
      </c>
      <c r="E37" s="666">
        <v>7.4999999999999997E-3</v>
      </c>
      <c r="F37" s="666">
        <v>7.4999999999999997E-3</v>
      </c>
      <c r="G37" s="666">
        <v>7.4999999999999997E-3</v>
      </c>
      <c r="H37" s="666">
        <v>7.4999999999999997E-3</v>
      </c>
      <c r="I37" s="23"/>
      <c r="J37" s="23"/>
      <c r="K37" s="23"/>
      <c r="L37" s="23"/>
      <c r="M37" s="23"/>
      <c r="N37" s="23"/>
    </row>
    <row r="38" spans="1:14" ht="15" customHeight="1">
      <c r="A38" s="23"/>
      <c r="B38" s="375"/>
      <c r="C38" s="23"/>
      <c r="D38" s="23"/>
      <c r="E38" s="23"/>
      <c r="F38" s="23"/>
      <c r="G38" s="23"/>
      <c r="H38" s="23"/>
      <c r="I38" s="653"/>
      <c r="J38" s="653"/>
      <c r="K38" s="653"/>
      <c r="L38" s="653"/>
      <c r="M38" s="653"/>
      <c r="N38" s="653"/>
    </row>
    <row r="39" spans="1:14" ht="15" customHeight="1">
      <c r="A39" s="614" t="s">
        <v>37</v>
      </c>
      <c r="B39" s="667" t="s">
        <v>400</v>
      </c>
      <c r="C39" s="668"/>
      <c r="D39" s="669">
        <f>+D19*D14+D25*D23+D33*D29+D37+Sensitivity!$U$41</f>
        <v>0.17581592535815022</v>
      </c>
      <c r="E39" s="669">
        <f>+E19*E14+E25*E23+E33*E29+E37+Sensitivity!$U$41</f>
        <v>0.19872845139651873</v>
      </c>
      <c r="F39" s="669">
        <f>+F19*F14+F25*F23+F33*F29+F37+Sensitivity!$U$41</f>
        <v>0.16326349010455257</v>
      </c>
      <c r="G39" s="669">
        <f>+G19*G14+G25*G23+G33*G29+G37+Sensitivity!$U$41</f>
        <v>0.16521357144782242</v>
      </c>
      <c r="H39" s="759">
        <f>+H19*H14+H25*H23+H33*H29+H37+Sensitivity!$U$41</f>
        <v>0.20735210211387742</v>
      </c>
      <c r="I39" s="23"/>
      <c r="J39" s="23"/>
      <c r="K39" s="23"/>
      <c r="L39" s="23"/>
      <c r="M39" s="23"/>
      <c r="N39" s="23"/>
    </row>
    <row r="40" spans="1:14" ht="15" customHeight="1">
      <c r="A40" s="23"/>
      <c r="B40" s="23"/>
      <c r="C40" s="23"/>
      <c r="D40" s="23"/>
      <c r="E40" s="23"/>
      <c r="F40" s="23"/>
      <c r="G40" s="23"/>
      <c r="H40" s="23"/>
      <c r="I40" s="670"/>
      <c r="J40" s="670"/>
      <c r="K40" s="670"/>
      <c r="L40" s="670"/>
      <c r="M40" s="670"/>
      <c r="N40" s="670"/>
    </row>
    <row r="41" spans="1:14" ht="15" hidden="1" customHeight="1">
      <c r="A41" s="23"/>
      <c r="B41" s="23" t="s">
        <v>401</v>
      </c>
      <c r="C41" s="23"/>
      <c r="D41" s="24">
        <f>+FCFF!Z123</f>
        <v>2435.8220689211616</v>
      </c>
      <c r="E41" s="24">
        <f>+FCFF!AF123</f>
        <v>1679.0774850945807</v>
      </c>
      <c r="F41" s="24">
        <f>+FCFF!AH123</f>
        <v>2370.2417494363613</v>
      </c>
      <c r="G41" s="24">
        <f>+FCFF!AJ123</f>
        <v>2948.6842292363222</v>
      </c>
      <c r="H41" s="24">
        <f>+FCFF!AL123</f>
        <v>3371.1754578237947</v>
      </c>
      <c r="I41" s="670"/>
      <c r="J41" s="670"/>
      <c r="K41" s="670"/>
      <c r="L41" s="670"/>
      <c r="M41" s="670"/>
      <c r="N41" s="670"/>
    </row>
    <row r="42" spans="1:14" ht="15" hidden="1" customHeight="1">
      <c r="A42" s="23"/>
      <c r="B42" s="23" t="s">
        <v>402</v>
      </c>
      <c r="C42" s="23"/>
      <c r="D42" s="24">
        <f>+FCFF!Z109+FCFF!Z112</f>
        <v>793.01716687781982</v>
      </c>
      <c r="E42" s="24">
        <f>+FCFF!AF109+FCFF!AF112</f>
        <v>-18</v>
      </c>
      <c r="F42" s="24">
        <f>+FCFF!AH109+FCFF!AH112</f>
        <v>-610.56043735909032</v>
      </c>
      <c r="G42" s="24">
        <f>+FCFF!AJ110+FCFF!AJ112</f>
        <v>-17.7</v>
      </c>
      <c r="H42" s="24">
        <f>+FCFF!AL110+FCFF!AL112</f>
        <v>-17.7</v>
      </c>
      <c r="I42" s="670"/>
      <c r="J42" s="670"/>
      <c r="K42" s="670"/>
      <c r="L42" s="670"/>
      <c r="M42" s="670"/>
      <c r="N42" s="670"/>
    </row>
    <row r="43" spans="1:14" ht="15" hidden="1" customHeight="1">
      <c r="A43" s="23"/>
      <c r="B43" s="23" t="s">
        <v>403</v>
      </c>
      <c r="C43" s="612">
        <f>+BS!AF54</f>
        <v>7721.5150000000003</v>
      </c>
      <c r="D43" s="24">
        <f>+C43+D41+D42</f>
        <v>10950.354235798983</v>
      </c>
      <c r="E43" s="24">
        <f t="shared" ref="E43:H43" si="5">+D43+E41+E42</f>
        <v>12611.431720893563</v>
      </c>
      <c r="F43" s="24">
        <f t="shared" si="5"/>
        <v>14371.113032970834</v>
      </c>
      <c r="G43" s="24">
        <f t="shared" si="5"/>
        <v>17302.097262207157</v>
      </c>
      <c r="H43" s="24">
        <f t="shared" si="5"/>
        <v>20655.572720030952</v>
      </c>
      <c r="I43" s="670"/>
      <c r="J43" s="670"/>
      <c r="K43" s="670"/>
      <c r="L43" s="670"/>
      <c r="M43" s="670"/>
      <c r="N43" s="670"/>
    </row>
    <row r="44" spans="1:14" ht="15" hidden="1" customHeight="1">
      <c r="A44" s="23"/>
      <c r="B44" s="23" t="s">
        <v>404</v>
      </c>
      <c r="C44" s="612">
        <f>+C43+C28</f>
        <v>11251.916000000001</v>
      </c>
      <c r="D44" s="24">
        <f t="shared" ref="D44:H44" si="6">+D43+D28</f>
        <v>14792.133235798983</v>
      </c>
      <c r="E44" s="24">
        <f t="shared" si="6"/>
        <v>16111.431720893563</v>
      </c>
      <c r="F44" s="24">
        <f t="shared" si="6"/>
        <v>17571.113032970832</v>
      </c>
      <c r="G44" s="24">
        <f t="shared" si="6"/>
        <v>20302.097262207157</v>
      </c>
      <c r="H44" s="24">
        <f t="shared" si="6"/>
        <v>23455.572720030952</v>
      </c>
      <c r="I44" s="670"/>
      <c r="J44" s="670"/>
      <c r="K44" s="23"/>
      <c r="L44" s="670"/>
      <c r="M44" s="670"/>
      <c r="N44" s="670"/>
    </row>
    <row r="45" spans="1:14" ht="15" customHeight="1">
      <c r="A45" s="614" t="s">
        <v>37</v>
      </c>
      <c r="B45" s="609" t="s">
        <v>267</v>
      </c>
      <c r="C45" s="671"/>
      <c r="D45" s="672">
        <f>+D41/((D44+C44)/2)</f>
        <v>0.18705402119828507</v>
      </c>
      <c r="E45" s="672">
        <f t="shared" ref="E45:H45" si="7">+E41/((E44+D44)/2)</f>
        <v>0.10866561753943899</v>
      </c>
      <c r="F45" s="672">
        <f t="shared" si="7"/>
        <v>0.14074006383763055</v>
      </c>
      <c r="G45" s="672">
        <f t="shared" si="7"/>
        <v>0.15571345583090157</v>
      </c>
      <c r="H45" s="673">
        <f t="shared" si="7"/>
        <v>0.15408386503176269</v>
      </c>
      <c r="I45" s="23"/>
      <c r="J45" s="23"/>
      <c r="K45" s="23"/>
      <c r="L45" s="23"/>
      <c r="M45" s="23"/>
      <c r="N45" s="23"/>
    </row>
    <row r="46" spans="1:14" ht="15" customHeight="1">
      <c r="A46" s="23"/>
      <c r="B46" s="23"/>
      <c r="C46" s="23"/>
      <c r="D46" s="23"/>
      <c r="E46" s="23"/>
      <c r="F46" s="23"/>
      <c r="G46" s="23"/>
      <c r="H46" s="23"/>
      <c r="I46" s="23"/>
      <c r="J46" s="23"/>
      <c r="K46" s="23"/>
      <c r="L46" s="23"/>
      <c r="M46" s="23"/>
      <c r="N46" s="23"/>
    </row>
    <row r="49" spans="23:23" ht="15" customHeight="1">
      <c r="W49" s="23" t="s">
        <v>405</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tabColor theme="4"/>
  </sheetPr>
  <dimension ref="A1:AZ181"/>
  <sheetViews>
    <sheetView showGridLines="0" topLeftCell="A129" zoomScale="78" zoomScaleNormal="115" workbookViewId="0">
      <selection activeCell="AL169" sqref="AL169"/>
    </sheetView>
  </sheetViews>
  <sheetFormatPr defaultColWidth="9" defaultRowHeight="14.25" customHeight="1" outlineLevelCol="1"/>
  <cols>
    <col min="1" max="1" width="2.125" style="97" customWidth="1"/>
    <col min="2" max="2" width="50.625" style="97" customWidth="1"/>
    <col min="3" max="3" width="3.375" style="23" customWidth="1"/>
    <col min="4" max="7" width="9.625" style="97" hidden="1" customWidth="1" outlineLevel="1"/>
    <col min="8" max="8" width="11.625" style="97" customWidth="1" collapsed="1"/>
    <col min="9" max="9" width="1.625" style="23" customWidth="1"/>
    <col min="10" max="13" width="9.625" style="97" hidden="1" customWidth="1" outlineLevel="1"/>
    <col min="14" max="14" width="11.625" style="97" customWidth="1" collapsed="1"/>
    <col min="15" max="15" width="1.625" style="23" customWidth="1"/>
    <col min="16" max="19" width="9.625" style="97" hidden="1" customWidth="1" outlineLevel="1"/>
    <col min="20" max="20" width="11.625" style="97" customWidth="1" collapsed="1"/>
    <col min="21" max="21" width="2" style="23" customWidth="1"/>
    <col min="22" max="23" width="9.625" style="97" hidden="1" customWidth="1" outlineLevel="1"/>
    <col min="24" max="24" width="10.375" style="97" hidden="1" customWidth="1" outlineLevel="1"/>
    <col min="25" max="25" width="11.5" style="97" hidden="1" customWidth="1" outlineLevel="1"/>
    <col min="26" max="26" width="11.625" style="97" customWidth="1" collapsed="1"/>
    <col min="27" max="27" width="1.625" style="23" customWidth="1"/>
    <col min="28" max="31" width="9.625" style="97" hidden="1" customWidth="1" outlineLevel="1"/>
    <col min="32" max="32" width="11.625" style="97" customWidth="1" collapsed="1"/>
    <col min="33" max="33" width="1.625" style="23" customWidth="1"/>
    <col min="34" max="34" width="11.625" style="97" customWidth="1"/>
    <col min="35" max="35" width="1.625" style="23" customWidth="1"/>
    <col min="36" max="36" width="11.625" style="105" customWidth="1"/>
    <col min="37" max="37" width="1.625" style="97" customWidth="1"/>
    <col min="38" max="38" width="11.625" style="97" customWidth="1"/>
    <col min="39" max="39" width="1.625" style="97" customWidth="1"/>
    <col min="40" max="41" width="9" style="97"/>
    <col min="42" max="42" width="9" style="97" customWidth="1"/>
    <col min="43" max="16384" width="9" style="97"/>
  </cols>
  <sheetData>
    <row r="1" spans="1:52" s="576" customFormat="1" ht="15" customHeight="1"/>
    <row r="2" spans="1:52" s="576" customFormat="1" ht="15" customHeight="1"/>
    <row r="3" spans="1:52" s="576" customFormat="1" ht="15" customHeight="1"/>
    <row r="4" spans="1:52" s="576" customFormat="1" ht="15" customHeight="1"/>
    <row r="5" spans="1:52" s="288" customFormat="1" ht="3.95" customHeight="1">
      <c r="C5" s="36"/>
      <c r="I5" s="36"/>
      <c r="O5" s="36"/>
      <c r="U5" s="36"/>
      <c r="AA5" s="36"/>
      <c r="AG5" s="36"/>
      <c r="AI5" s="36"/>
      <c r="AJ5" s="289"/>
    </row>
    <row r="7" spans="1:52" s="41" customFormat="1" ht="15" customHeight="1">
      <c r="A7" s="30" t="s">
        <v>37</v>
      </c>
      <c r="B7" s="161" t="s">
        <v>406</v>
      </c>
      <c r="C7" s="18"/>
      <c r="D7" s="162"/>
      <c r="E7" s="162"/>
      <c r="F7" s="162"/>
      <c r="G7" s="162"/>
      <c r="H7" s="162"/>
      <c r="I7" s="18"/>
      <c r="J7" s="162"/>
      <c r="K7" s="162"/>
      <c r="L7" s="162"/>
      <c r="M7" s="162"/>
      <c r="N7" s="162"/>
      <c r="O7" s="18"/>
      <c r="P7" s="162"/>
      <c r="Q7" s="162"/>
      <c r="R7" s="162"/>
      <c r="S7" s="162"/>
      <c r="T7" s="162"/>
      <c r="U7" s="18"/>
      <c r="V7" s="162"/>
      <c r="W7" s="162"/>
      <c r="X7" s="162"/>
      <c r="Y7" s="162"/>
      <c r="Z7" s="162"/>
      <c r="AA7" s="18"/>
      <c r="AB7" s="162"/>
      <c r="AC7" s="162"/>
      <c r="AD7" s="162"/>
      <c r="AE7" s="162"/>
      <c r="AF7" s="162"/>
      <c r="AG7" s="18"/>
      <c r="AH7" s="162"/>
      <c r="AI7" s="18"/>
      <c r="AJ7" s="163"/>
      <c r="AK7" s="18"/>
      <c r="AL7" s="163"/>
    </row>
    <row r="8" spans="1:52" s="41" customFormat="1" ht="15" customHeight="1">
      <c r="B8" s="164"/>
      <c r="C8" s="18"/>
      <c r="D8" s="756">
        <v>2022</v>
      </c>
      <c r="E8" s="756"/>
      <c r="F8" s="756"/>
      <c r="G8" s="756"/>
      <c r="H8" s="756"/>
      <c r="I8" s="169"/>
      <c r="J8" s="756">
        <f>D8+1</f>
        <v>2023</v>
      </c>
      <c r="K8" s="756"/>
      <c r="L8" s="756"/>
      <c r="M8" s="756"/>
      <c r="N8" s="756"/>
      <c r="O8" s="169"/>
      <c r="P8" s="756">
        <f>J8+1</f>
        <v>2024</v>
      </c>
      <c r="Q8" s="756"/>
      <c r="R8" s="756"/>
      <c r="S8" s="756"/>
      <c r="T8" s="756"/>
      <c r="U8" s="169"/>
      <c r="V8" s="755">
        <f>P8+1</f>
        <v>2025</v>
      </c>
      <c r="W8" s="755"/>
      <c r="X8" s="755"/>
      <c r="Y8" s="755"/>
      <c r="Z8" s="755"/>
      <c r="AA8" s="169"/>
      <c r="AB8" s="755">
        <f>V8+1</f>
        <v>2026</v>
      </c>
      <c r="AC8" s="755"/>
      <c r="AD8" s="755"/>
      <c r="AE8" s="755"/>
      <c r="AF8" s="755"/>
      <c r="AG8" s="171"/>
      <c r="AH8" s="166">
        <f>AB8+1</f>
        <v>2027</v>
      </c>
      <c r="AI8" s="167"/>
      <c r="AJ8" s="166">
        <f>+AH8+1</f>
        <v>2028</v>
      </c>
      <c r="AK8" s="167"/>
      <c r="AL8" s="166">
        <f>+AJ8+1</f>
        <v>2029</v>
      </c>
    </row>
    <row r="9" spans="1:52" s="41" customFormat="1" ht="14.25" customHeight="1">
      <c r="B9" s="164"/>
      <c r="C9" s="18"/>
      <c r="D9" s="168" t="s">
        <v>207</v>
      </c>
      <c r="E9" s="168" t="s">
        <v>208</v>
      </c>
      <c r="F9" s="168" t="s">
        <v>209</v>
      </c>
      <c r="G9" s="168" t="s">
        <v>210</v>
      </c>
      <c r="H9" s="168" t="s">
        <v>211</v>
      </c>
      <c r="I9" s="165"/>
      <c r="J9" s="168" t="s">
        <v>207</v>
      </c>
      <c r="K9" s="168" t="s">
        <v>208</v>
      </c>
      <c r="L9" s="168" t="s">
        <v>209</v>
      </c>
      <c r="M9" s="168" t="s">
        <v>210</v>
      </c>
      <c r="N9" s="168" t="s">
        <v>211</v>
      </c>
      <c r="O9" s="165"/>
      <c r="P9" s="168" t="s">
        <v>207</v>
      </c>
      <c r="Q9" s="168" t="s">
        <v>208</v>
      </c>
      <c r="R9" s="168" t="s">
        <v>209</v>
      </c>
      <c r="S9" s="168" t="s">
        <v>210</v>
      </c>
      <c r="T9" s="168" t="s">
        <v>211</v>
      </c>
      <c r="U9" s="165"/>
      <c r="V9" s="168" t="s">
        <v>207</v>
      </c>
      <c r="W9" s="168" t="s">
        <v>208</v>
      </c>
      <c r="X9" s="168" t="s">
        <v>209</v>
      </c>
      <c r="Y9" s="168" t="s">
        <v>210</v>
      </c>
      <c r="Z9" s="168" t="s">
        <v>211</v>
      </c>
      <c r="AA9" s="165"/>
      <c r="AB9" s="168" t="s">
        <v>207</v>
      </c>
      <c r="AC9" s="168" t="s">
        <v>208</v>
      </c>
      <c r="AD9" s="168" t="s">
        <v>209</v>
      </c>
      <c r="AE9" s="168" t="s">
        <v>210</v>
      </c>
      <c r="AF9" s="168" t="s">
        <v>211</v>
      </c>
      <c r="AG9" s="165"/>
      <c r="AH9" s="168" t="s">
        <v>211</v>
      </c>
      <c r="AI9" s="165"/>
      <c r="AJ9" s="168" t="s">
        <v>211</v>
      </c>
      <c r="AK9" s="165"/>
      <c r="AL9" s="168" t="s">
        <v>211</v>
      </c>
    </row>
    <row r="11" spans="1:52" ht="14.25" customHeight="1">
      <c r="B11" s="691" t="s">
        <v>213</v>
      </c>
      <c r="D11" s="692">
        <f>$H$11*0.25</f>
        <v>707.41599999999994</v>
      </c>
      <c r="E11" s="692">
        <f>$H$11*0.25</f>
        <v>707.41599999999994</v>
      </c>
      <c r="F11" s="692">
        <f>$H$11*0.25</f>
        <v>707.41599999999994</v>
      </c>
      <c r="G11" s="692">
        <f>$H$11*0.25</f>
        <v>707.41599999999994</v>
      </c>
      <c r="H11" s="692">
        <f>Segments!T13</f>
        <v>2829.6639999999998</v>
      </c>
      <c r="I11" s="693"/>
      <c r="J11" s="692">
        <f>$N$11*0.25</f>
        <v>1141.45</v>
      </c>
      <c r="K11" s="692">
        <f>$N$11*0.25</f>
        <v>1141.45</v>
      </c>
      <c r="L11" s="692">
        <f>$N$11*0.25</f>
        <v>1141.45</v>
      </c>
      <c r="M11" s="692">
        <f>$N$11*0.25</f>
        <v>1141.45</v>
      </c>
      <c r="N11" s="692">
        <f>Segments!Z13</f>
        <v>4565.8</v>
      </c>
      <c r="O11" s="693"/>
      <c r="P11" s="692">
        <f>$T$11*0.25</f>
        <v>1196.3000000000002</v>
      </c>
      <c r="Q11" s="692">
        <f>$T$11*0.25</f>
        <v>1196.3000000000002</v>
      </c>
      <c r="R11" s="692">
        <f>$T$11*0.25</f>
        <v>1196.3000000000002</v>
      </c>
      <c r="S11" s="692">
        <f>$T$11*0.25</f>
        <v>1196.3000000000002</v>
      </c>
      <c r="T11" s="692">
        <f>Segments!AF13</f>
        <v>4785.2000000000007</v>
      </c>
      <c r="U11" s="693"/>
      <c r="V11" s="692">
        <f>$Z$11*0.25</f>
        <v>1064.6742499999998</v>
      </c>
      <c r="W11" s="692">
        <f>$Z$11*0.25</f>
        <v>1064.6742499999998</v>
      </c>
      <c r="X11" s="692">
        <f>$Z$11*0.25</f>
        <v>1064.6742499999998</v>
      </c>
      <c r="Y11" s="692">
        <f>$Z$11*0.25</f>
        <v>1064.6742499999998</v>
      </c>
      <c r="Z11" s="692">
        <f>Segments!AL13</f>
        <v>4258.6969999999992</v>
      </c>
      <c r="AB11" s="692">
        <f>$AF$11*0.25</f>
        <v>1143.7974375000001</v>
      </c>
      <c r="AC11" s="692">
        <f>$AF$11*0.25</f>
        <v>1143.7974375000001</v>
      </c>
      <c r="AD11" s="692">
        <f>$AF$11*0.25</f>
        <v>1143.7974375000001</v>
      </c>
      <c r="AE11" s="692">
        <f>$AF$11*0.25</f>
        <v>1143.7974375000001</v>
      </c>
      <c r="AF11" s="312">
        <f>Segments!AR13</f>
        <v>4575.1897500000005</v>
      </c>
      <c r="AH11" s="312">
        <f>Segments!AT13</f>
        <v>4859.8870475000003</v>
      </c>
      <c r="AJ11" s="312">
        <f>Segments!AV13</f>
        <v>5107.1825633783328</v>
      </c>
      <c r="AL11" s="312">
        <f>Segments!AX13</f>
        <v>5308.4232455500842</v>
      </c>
      <c r="AS11" s="606">
        <v>2022</v>
      </c>
      <c r="AT11" s="606">
        <f>+AS11+1</f>
        <v>2023</v>
      </c>
      <c r="AU11" s="606">
        <f t="shared" ref="AU11:AZ11" si="0">+AT11+1</f>
        <v>2024</v>
      </c>
      <c r="AV11" s="607">
        <f t="shared" si="0"/>
        <v>2025</v>
      </c>
      <c r="AW11" s="607">
        <f t="shared" si="0"/>
        <v>2026</v>
      </c>
      <c r="AX11" s="607">
        <f t="shared" si="0"/>
        <v>2027</v>
      </c>
      <c r="AY11" s="607">
        <f t="shared" si="0"/>
        <v>2028</v>
      </c>
      <c r="AZ11" s="607">
        <f t="shared" si="0"/>
        <v>2029</v>
      </c>
    </row>
    <row r="12" spans="1:52" ht="14.25" customHeight="1">
      <c r="B12" s="691" t="s">
        <v>221</v>
      </c>
      <c r="D12" s="692">
        <f>$H$12*0.227</f>
        <v>1002.3412000000001</v>
      </c>
      <c r="E12" s="692">
        <f>$H$12*0.227</f>
        <v>1002.3412000000001</v>
      </c>
      <c r="F12" s="692">
        <f>H12*0.26</f>
        <v>1148.056</v>
      </c>
      <c r="G12" s="692">
        <f>H12*0.286</f>
        <v>1262.8616</v>
      </c>
      <c r="H12" s="312">
        <f>Segments!T27</f>
        <v>4415.6000000000004</v>
      </c>
      <c r="J12" s="692">
        <f>$N$12*0.227</f>
        <v>931.58530000000019</v>
      </c>
      <c r="K12" s="692">
        <f>$N$12*0.227</f>
        <v>931.58530000000019</v>
      </c>
      <c r="L12" s="692">
        <f>N12*0.26</f>
        <v>1067.0140000000001</v>
      </c>
      <c r="M12" s="692">
        <f>N12*0.286</f>
        <v>1173.7154</v>
      </c>
      <c r="N12" s="312">
        <f>Segments!Z27</f>
        <v>4103.9000000000005</v>
      </c>
      <c r="P12" s="692">
        <f>T12*0.228</f>
        <v>1090.3188</v>
      </c>
      <c r="Q12" s="692">
        <f>T12*0.228</f>
        <v>1090.3188</v>
      </c>
      <c r="R12" s="692">
        <v>1241.5999999999999</v>
      </c>
      <c r="S12" s="692">
        <v>1362.9</v>
      </c>
      <c r="T12" s="692">
        <f>Segments!AF27</f>
        <v>4782.1000000000004</v>
      </c>
      <c r="V12" s="692">
        <f>$Z$12*0.227</f>
        <v>1279.0657770000003</v>
      </c>
      <c r="W12" s="692">
        <f>$Z$12*0.227</f>
        <v>1279.0657770000003</v>
      </c>
      <c r="X12" s="692">
        <f>Z12*0.26</f>
        <v>1465.0092600000003</v>
      </c>
      <c r="Y12" s="692">
        <f>Z12*0.286</f>
        <v>1611.510186</v>
      </c>
      <c r="Z12" s="312">
        <f>Segments!AL27</f>
        <v>5634.6510000000007</v>
      </c>
      <c r="AB12" s="692">
        <f>AF12*0.227</f>
        <v>1482.3705193350002</v>
      </c>
      <c r="AC12" s="692">
        <f>AF12*0.227</f>
        <v>1482.3705193350002</v>
      </c>
      <c r="AD12" s="692">
        <f>AF12*0.26</f>
        <v>1697.8693173000001</v>
      </c>
      <c r="AE12" s="692">
        <f>AF12*0.286</f>
        <v>1867.65624903</v>
      </c>
      <c r="AF12" s="312">
        <f>Segments!AR27</f>
        <v>6530.2666050000007</v>
      </c>
      <c r="AH12" s="312">
        <f>Segments!AT27</f>
        <v>7437.1188763250002</v>
      </c>
      <c r="AJ12" s="312">
        <f>Segments!AV27</f>
        <v>8316.3496094899365</v>
      </c>
      <c r="AL12" s="312">
        <f>Segments!AX27</f>
        <v>9124.7280657525007</v>
      </c>
      <c r="AR12" s="97" t="s">
        <v>327</v>
      </c>
      <c r="AS12" s="312">
        <f>H58+H125</f>
        <v>735.72999999999979</v>
      </c>
      <c r="AT12" s="312">
        <f>N58+N125</f>
        <v>810.84400000000051</v>
      </c>
      <c r="AU12" s="312">
        <f>T58+T125</f>
        <v>1045.4549999999992</v>
      </c>
      <c r="AV12" s="312">
        <f>Z58+Z125</f>
        <v>2439.1924905048058</v>
      </c>
      <c r="AW12" s="312">
        <f>AF58+AF125</f>
        <v>2870.0477883247422</v>
      </c>
      <c r="AX12" s="312">
        <f>AH58+AH125</f>
        <v>3949.6078504054785</v>
      </c>
      <c r="AY12" s="312">
        <f>AJ58+AJ125</f>
        <v>4776.793680914886</v>
      </c>
      <c r="AZ12" s="312">
        <f>AL58+AL125</f>
        <v>5387.0327437626929</v>
      </c>
    </row>
    <row r="13" spans="1:52" ht="14.25" customHeight="1">
      <c r="B13" s="691" t="s">
        <v>222</v>
      </c>
      <c r="D13" s="692">
        <f>H13*0.24</f>
        <v>559.29600000000005</v>
      </c>
      <c r="E13" s="692">
        <f>H13*0.24</f>
        <v>559.29600000000005</v>
      </c>
      <c r="F13" s="692">
        <f>H13*0.26</f>
        <v>605.904</v>
      </c>
      <c r="G13" s="692">
        <f>H13*0.27</f>
        <v>629.20800000000008</v>
      </c>
      <c r="H13" s="692">
        <f>Segments!T41</f>
        <v>2330.4</v>
      </c>
      <c r="I13" s="693"/>
      <c r="J13" s="692">
        <f>$N$13*0.24</f>
        <v>621.048</v>
      </c>
      <c r="K13" s="692">
        <f>$N$13*0.24</f>
        <v>621.048</v>
      </c>
      <c r="L13" s="692">
        <f>N13*0.26</f>
        <v>672.80200000000013</v>
      </c>
      <c r="M13" s="692">
        <f>N13*0.27</f>
        <v>698.67900000000009</v>
      </c>
      <c r="N13" s="692">
        <f>Segments!Z41</f>
        <v>2587.7000000000003</v>
      </c>
      <c r="O13" s="693"/>
      <c r="P13" s="692">
        <f>T13*0.24</f>
        <v>670.56</v>
      </c>
      <c r="Q13" s="692">
        <f>T13*0.24</f>
        <v>670.56</v>
      </c>
      <c r="R13" s="692">
        <v>713</v>
      </c>
      <c r="S13" s="692">
        <v>757</v>
      </c>
      <c r="T13" s="692">
        <f>Segments!AF41</f>
        <v>2794</v>
      </c>
      <c r="U13" s="693"/>
      <c r="V13" s="692">
        <f>$Z$13*0.24</f>
        <v>731.45375999999987</v>
      </c>
      <c r="W13" s="692">
        <f>$Z$13*0.24</f>
        <v>731.45375999999987</v>
      </c>
      <c r="X13" s="692">
        <f>Z13*0.26</f>
        <v>792.40823999999998</v>
      </c>
      <c r="Y13" s="692">
        <f>Z13*0.27</f>
        <v>822.88548000000003</v>
      </c>
      <c r="Z13" s="692">
        <f>Segments!AL41</f>
        <v>3047.7239999999997</v>
      </c>
      <c r="AA13" s="693"/>
      <c r="AB13" s="692">
        <f>AF13*0.24</f>
        <v>800.47413720000009</v>
      </c>
      <c r="AC13" s="692">
        <f>AF13*0.24</f>
        <v>800.47413720000009</v>
      </c>
      <c r="AD13" s="692">
        <f>AF13*0.26</f>
        <v>867.18031530000007</v>
      </c>
      <c r="AE13" s="692">
        <f>AF13*0.27</f>
        <v>900.53340435000018</v>
      </c>
      <c r="AF13" s="692">
        <f>Segments!AR41</f>
        <v>3335.3089050000003</v>
      </c>
      <c r="AH13" s="312">
        <f>Segments!AT41</f>
        <v>3623.6190261749998</v>
      </c>
      <c r="AJ13" s="312">
        <f>Segments!AV41</f>
        <v>3906.7964543405624</v>
      </c>
      <c r="AL13" s="312">
        <f>Segments!AX41</f>
        <v>4178.4062190780178</v>
      </c>
      <c r="AR13" s="97" t="s">
        <v>407</v>
      </c>
      <c r="AS13" s="312">
        <f>H133</f>
        <v>122.33043414384949</v>
      </c>
      <c r="AT13" s="312">
        <f>N133</f>
        <v>516.8059437233992</v>
      </c>
      <c r="AU13" s="312">
        <f>T133</f>
        <v>842.61658357244232</v>
      </c>
      <c r="AV13" s="312">
        <f>Z133</f>
        <v>228.89891782253176</v>
      </c>
      <c r="AW13" s="312">
        <f>AF133</f>
        <v>1780.10751253229</v>
      </c>
      <c r="AX13" s="312">
        <f>AH133</f>
        <v>2450.9435087536303</v>
      </c>
      <c r="AY13" s="312">
        <f>AJ133</f>
        <v>3604.2169880852998</v>
      </c>
      <c r="AZ13" s="312">
        <f>AL133</f>
        <v>3584.1405543536557</v>
      </c>
    </row>
    <row r="14" spans="1:52" ht="14.25" customHeight="1">
      <c r="B14" s="691" t="s">
        <v>223</v>
      </c>
      <c r="D14" s="692">
        <f>$H$14*0.223</f>
        <v>290.92579999999998</v>
      </c>
      <c r="E14" s="692">
        <f>$H$14*0.223</f>
        <v>290.92579999999998</v>
      </c>
      <c r="F14" s="692">
        <f>H14*0.26</f>
        <v>339.19599999999997</v>
      </c>
      <c r="G14" s="692">
        <f>H14*0.3</f>
        <v>391.37999999999994</v>
      </c>
      <c r="H14" s="692">
        <f>Segments!T55</f>
        <v>1304.5999999999999</v>
      </c>
      <c r="I14" s="693"/>
      <c r="J14" s="692">
        <f>$N$14*0.223</f>
        <v>338.11260000000004</v>
      </c>
      <c r="K14" s="692">
        <f>$N$14*0.223</f>
        <v>338.11260000000004</v>
      </c>
      <c r="L14" s="692">
        <f>N14*0.26</f>
        <v>394.21200000000005</v>
      </c>
      <c r="M14" s="692">
        <f>N14*0.3</f>
        <v>454.86</v>
      </c>
      <c r="N14" s="692">
        <f>Segments!Z55</f>
        <v>1516.2</v>
      </c>
      <c r="O14" s="693"/>
      <c r="P14" s="692">
        <f>$T$14*0.223</f>
        <v>400.2627</v>
      </c>
      <c r="Q14" s="692">
        <f>$T$14*0.223</f>
        <v>400.2627</v>
      </c>
      <c r="R14" s="692">
        <v>467.9</v>
      </c>
      <c r="S14" s="692">
        <v>525.29999999999995</v>
      </c>
      <c r="T14" s="692">
        <f>Segments!AF55</f>
        <v>1794.8999999999999</v>
      </c>
      <c r="U14" s="693"/>
      <c r="V14" s="692">
        <f>Z14*0.223</f>
        <v>443.925208</v>
      </c>
      <c r="W14" s="692">
        <f>Z14*0.223</f>
        <v>443.925208</v>
      </c>
      <c r="X14" s="692">
        <f>Z14*0.26</f>
        <v>517.58096</v>
      </c>
      <c r="Y14" s="692">
        <f>Z14*0.3</f>
        <v>597.2088</v>
      </c>
      <c r="Z14" s="692">
        <f>Segments!AL55</f>
        <v>1990.6959999999999</v>
      </c>
      <c r="AA14" s="693"/>
      <c r="AB14" s="692">
        <f>AF14*0.223</f>
        <v>477.70030186000002</v>
      </c>
      <c r="AC14" s="692">
        <f>AF14*0.223</f>
        <v>477.70030186000002</v>
      </c>
      <c r="AD14" s="692">
        <f>AF14*0.26</f>
        <v>556.95999319999999</v>
      </c>
      <c r="AE14" s="692">
        <f>AF14*0.3</f>
        <v>642.64614599999993</v>
      </c>
      <c r="AF14" s="692">
        <f>Segments!AR55</f>
        <v>2142.15382</v>
      </c>
      <c r="AG14" s="693"/>
      <c r="AH14" s="692">
        <f>Segments!AT55</f>
        <v>2290.7106378999997</v>
      </c>
      <c r="AI14" s="693"/>
      <c r="AJ14" s="692">
        <f>Segments!AV55</f>
        <v>2432.3082096017497</v>
      </c>
      <c r="AK14" s="692"/>
      <c r="AL14" s="692">
        <f>Segments!AX55</f>
        <v>2562.8376572570724</v>
      </c>
      <c r="AR14" s="97" t="s">
        <v>408</v>
      </c>
      <c r="AS14" s="326">
        <f>H27</f>
        <v>0.37093190867395798</v>
      </c>
      <c r="AT14" s="326">
        <f>N27</f>
        <v>0.17401563050308355</v>
      </c>
      <c r="AU14" s="326">
        <f>T27</f>
        <v>0.10823886766455804</v>
      </c>
      <c r="AV14" s="326">
        <f>Z27</f>
        <v>5.4786453991890527E-2</v>
      </c>
      <c r="AW14" s="326">
        <f>AF27</f>
        <v>0.11057974380528846</v>
      </c>
      <c r="AX14" s="326">
        <f>AH27</f>
        <v>9.8198423332112039E-2</v>
      </c>
      <c r="AY14" s="326">
        <f>+AJ27</f>
        <v>8.5183277273814806E-2</v>
      </c>
      <c r="AZ14" s="326">
        <f>+AL27</f>
        <v>7.1435728060210257E-2</v>
      </c>
    </row>
    <row r="15" spans="1:52" s="690" customFormat="1" ht="14.25" customHeight="1">
      <c r="A15" s="97"/>
      <c r="B15" s="56"/>
      <c r="C15" s="23"/>
      <c r="D15" s="97"/>
      <c r="E15" s="97"/>
      <c r="F15" s="97"/>
      <c r="G15" s="97"/>
      <c r="H15" s="97"/>
      <c r="I15" s="23"/>
      <c r="J15" s="97"/>
      <c r="K15" s="97"/>
      <c r="L15" s="97"/>
      <c r="M15" s="97"/>
      <c r="N15" s="97"/>
      <c r="O15" s="23"/>
      <c r="P15" s="97"/>
      <c r="Q15" s="312"/>
      <c r="R15" s="97"/>
      <c r="S15" s="97"/>
      <c r="T15" s="97"/>
      <c r="U15" s="23"/>
      <c r="V15" s="97"/>
      <c r="W15" s="97"/>
      <c r="X15" s="97"/>
      <c r="Y15" s="97"/>
      <c r="Z15" s="97"/>
      <c r="AA15" s="23"/>
      <c r="AB15" s="97"/>
      <c r="AC15" s="97"/>
      <c r="AD15" s="97"/>
      <c r="AE15" s="97"/>
      <c r="AF15" s="97"/>
      <c r="AG15" s="23"/>
      <c r="AH15" s="97"/>
      <c r="AI15" s="23"/>
      <c r="AJ15" s="97"/>
      <c r="AK15" s="97"/>
      <c r="AL15" s="97"/>
      <c r="AM15" s="97"/>
      <c r="AN15" s="97"/>
      <c r="AO15" s="97"/>
      <c r="AP15" s="97"/>
      <c r="AQ15" s="97"/>
      <c r="AR15" s="97"/>
      <c r="AS15" s="97"/>
      <c r="AT15" s="97"/>
      <c r="AU15" s="97"/>
      <c r="AV15" s="97"/>
      <c r="AW15" s="97"/>
      <c r="AX15" s="97"/>
      <c r="AY15" s="97"/>
      <c r="AZ15" s="97"/>
    </row>
    <row r="16" spans="1:52" s="41" customFormat="1" ht="15" customHeight="1">
      <c r="B16" s="523" t="s">
        <v>409</v>
      </c>
      <c r="C16" s="524"/>
      <c r="D16" s="694">
        <f t="shared" ref="D16:AL16" si="1">SUM(D11:D15)</f>
        <v>2559.9790000000003</v>
      </c>
      <c r="E16" s="694">
        <f t="shared" si="1"/>
        <v>2559.9790000000003</v>
      </c>
      <c r="F16" s="694">
        <f t="shared" si="1"/>
        <v>2800.5720000000001</v>
      </c>
      <c r="G16" s="694">
        <f t="shared" si="1"/>
        <v>2990.8656000000001</v>
      </c>
      <c r="H16" s="683">
        <f t="shared" si="1"/>
        <v>10880.264000000001</v>
      </c>
      <c r="I16" s="683">
        <f t="shared" si="1"/>
        <v>0</v>
      </c>
      <c r="J16" s="694">
        <f t="shared" si="1"/>
        <v>3032.1959000000002</v>
      </c>
      <c r="K16" s="694">
        <f t="shared" si="1"/>
        <v>3032.1959000000002</v>
      </c>
      <c r="L16" s="694">
        <f t="shared" si="1"/>
        <v>3275.4780000000001</v>
      </c>
      <c r="M16" s="694">
        <f t="shared" si="1"/>
        <v>3468.7044000000001</v>
      </c>
      <c r="N16" s="683">
        <f t="shared" si="1"/>
        <v>12773.600000000002</v>
      </c>
      <c r="O16" s="683">
        <f t="shared" si="1"/>
        <v>0</v>
      </c>
      <c r="P16" s="694">
        <f t="shared" si="1"/>
        <v>3357.4414999999999</v>
      </c>
      <c r="Q16" s="694">
        <f t="shared" si="1"/>
        <v>3357.4414999999999</v>
      </c>
      <c r="R16" s="694">
        <f t="shared" si="1"/>
        <v>3618.8</v>
      </c>
      <c r="S16" s="694">
        <f t="shared" si="1"/>
        <v>3841.5</v>
      </c>
      <c r="T16" s="683">
        <f>SUM(T11:T15)</f>
        <v>14156.2</v>
      </c>
      <c r="U16" s="683">
        <f t="shared" si="1"/>
        <v>0</v>
      </c>
      <c r="V16" s="694">
        <f t="shared" si="1"/>
        <v>3519.1189949999998</v>
      </c>
      <c r="W16" s="694">
        <f t="shared" si="1"/>
        <v>3519.1189949999998</v>
      </c>
      <c r="X16" s="694">
        <f t="shared" si="1"/>
        <v>3839.6727099999998</v>
      </c>
      <c r="Y16" s="694">
        <f t="shared" si="1"/>
        <v>4096.2787159999998</v>
      </c>
      <c r="Z16" s="683">
        <f t="shared" si="1"/>
        <v>14931.768</v>
      </c>
      <c r="AA16" s="683">
        <f t="shared" si="1"/>
        <v>0</v>
      </c>
      <c r="AB16" s="683">
        <f t="shared" si="1"/>
        <v>3904.3423958949998</v>
      </c>
      <c r="AC16" s="694">
        <f t="shared" si="1"/>
        <v>3904.3423958949998</v>
      </c>
      <c r="AD16" s="694">
        <f t="shared" si="1"/>
        <v>4265.8070633000007</v>
      </c>
      <c r="AE16" s="694">
        <f t="shared" si="1"/>
        <v>4554.6332368800004</v>
      </c>
      <c r="AF16" s="683">
        <f t="shared" si="1"/>
        <v>16582.919080000003</v>
      </c>
      <c r="AG16" s="683">
        <f t="shared" si="1"/>
        <v>0</v>
      </c>
      <c r="AH16" s="683">
        <f t="shared" si="1"/>
        <v>18211.335587900001</v>
      </c>
      <c r="AI16" s="683">
        <f t="shared" si="1"/>
        <v>0</v>
      </c>
      <c r="AJ16" s="683">
        <f t="shared" si="1"/>
        <v>19762.63683681058</v>
      </c>
      <c r="AK16" s="683">
        <f t="shared" si="1"/>
        <v>0</v>
      </c>
      <c r="AL16" s="683">
        <f t="shared" si="1"/>
        <v>21174.395187637674</v>
      </c>
      <c r="AM16" s="525"/>
    </row>
    <row r="17" spans="1:52" s="41" customFormat="1" ht="15" customHeight="1">
      <c r="C17" s="17"/>
      <c r="I17" s="17"/>
      <c r="O17" s="17"/>
      <c r="U17" s="17"/>
      <c r="AA17" s="17"/>
      <c r="AG17" s="17"/>
      <c r="AI17" s="17"/>
      <c r="AJ17" s="42"/>
      <c r="AK17" s="17"/>
      <c r="AL17" s="42"/>
    </row>
    <row r="18" spans="1:52" s="41" customFormat="1" ht="15" customHeight="1">
      <c r="A18" s="30" t="s">
        <v>37</v>
      </c>
      <c r="B18" s="161" t="s">
        <v>410</v>
      </c>
      <c r="C18" s="18"/>
      <c r="D18" s="162"/>
      <c r="E18" s="162"/>
      <c r="F18" s="162"/>
      <c r="G18" s="162"/>
      <c r="H18" s="162"/>
      <c r="I18" s="18"/>
      <c r="J18" s="162"/>
      <c r="K18" s="162"/>
      <c r="L18" s="162"/>
      <c r="M18" s="162"/>
      <c r="N18" s="162"/>
      <c r="O18" s="18"/>
      <c r="P18" s="162"/>
      <c r="Q18" s="162"/>
      <c r="R18" s="162"/>
      <c r="S18" s="162"/>
      <c r="T18" s="162"/>
      <c r="U18" s="18"/>
      <c r="V18" s="162"/>
      <c r="W18" s="162"/>
      <c r="X18" s="162"/>
      <c r="Y18" s="162"/>
      <c r="Z18" s="162"/>
      <c r="AA18" s="18"/>
      <c r="AB18" s="162"/>
      <c r="AC18" s="162"/>
      <c r="AD18" s="162"/>
      <c r="AE18" s="162"/>
      <c r="AF18" s="162"/>
      <c r="AG18" s="18"/>
      <c r="AH18" s="162"/>
      <c r="AI18" s="18"/>
      <c r="AJ18" s="163"/>
      <c r="AK18" s="18"/>
      <c r="AL18" s="163"/>
      <c r="AM18" s="163"/>
    </row>
    <row r="19" spans="1:52" s="41" customFormat="1" ht="15" customHeight="1">
      <c r="B19" s="164"/>
      <c r="C19" s="18"/>
      <c r="D19" s="756">
        <f>D$8</f>
        <v>2022</v>
      </c>
      <c r="E19" s="756">
        <f>F19</f>
        <v>0</v>
      </c>
      <c r="F19" s="756">
        <f>F$8</f>
        <v>0</v>
      </c>
      <c r="G19" s="756">
        <f>F19</f>
        <v>0</v>
      </c>
      <c r="H19" s="756">
        <f>F19</f>
        <v>0</v>
      </c>
      <c r="I19" s="169"/>
      <c r="J19" s="756">
        <f>J$8</f>
        <v>2023</v>
      </c>
      <c r="K19" s="756">
        <f>L19</f>
        <v>0</v>
      </c>
      <c r="L19" s="756">
        <f>L$8</f>
        <v>0</v>
      </c>
      <c r="M19" s="756">
        <f>L19</f>
        <v>0</v>
      </c>
      <c r="N19" s="756">
        <f>L19</f>
        <v>0</v>
      </c>
      <c r="O19" s="169"/>
      <c r="P19" s="756">
        <f>P$8</f>
        <v>2024</v>
      </c>
      <c r="Q19" s="756">
        <f>R19</f>
        <v>0</v>
      </c>
      <c r="R19" s="756">
        <f>R$8</f>
        <v>0</v>
      </c>
      <c r="S19" s="756">
        <f>R19</f>
        <v>0</v>
      </c>
      <c r="T19" s="756">
        <f>R19</f>
        <v>0</v>
      </c>
      <c r="U19" s="169"/>
      <c r="V19" s="755">
        <f>V$8</f>
        <v>2025</v>
      </c>
      <c r="W19" s="755">
        <f>X19</f>
        <v>0</v>
      </c>
      <c r="X19" s="755">
        <f>X$8</f>
        <v>0</v>
      </c>
      <c r="Y19" s="755">
        <f>X19</f>
        <v>0</v>
      </c>
      <c r="Z19" s="755">
        <f>X19</f>
        <v>0</v>
      </c>
      <c r="AA19" s="169"/>
      <c r="AB19" s="755">
        <f>AB$8</f>
        <v>2026</v>
      </c>
      <c r="AC19" s="755">
        <f>AD19</f>
        <v>0</v>
      </c>
      <c r="AD19" s="755">
        <f>AD$8</f>
        <v>0</v>
      </c>
      <c r="AE19" s="755">
        <f>AD19</f>
        <v>0</v>
      </c>
      <c r="AF19" s="755">
        <f>AD19</f>
        <v>0</v>
      </c>
      <c r="AG19" s="171"/>
      <c r="AH19" s="166">
        <f>AH$8</f>
        <v>2027</v>
      </c>
      <c r="AI19" s="167"/>
      <c r="AJ19" s="166">
        <f>AJ$8</f>
        <v>2028</v>
      </c>
      <c r="AK19" s="167"/>
      <c r="AL19" s="166">
        <f>AL$8</f>
        <v>2029</v>
      </c>
      <c r="AM19" s="163">
        <f>AN19</f>
        <v>0</v>
      </c>
    </row>
    <row r="20" spans="1:52" s="41" customFormat="1" ht="14.25" customHeight="1">
      <c r="B20" s="164"/>
      <c r="C20" s="18"/>
      <c r="D20" s="168" t="s">
        <v>207</v>
      </c>
      <c r="E20" s="168" t="s">
        <v>208</v>
      </c>
      <c r="F20" s="168" t="s">
        <v>209</v>
      </c>
      <c r="G20" s="168" t="s">
        <v>210</v>
      </c>
      <c r="H20" s="168" t="s">
        <v>211</v>
      </c>
      <c r="I20" s="165"/>
      <c r="J20" s="168" t="s">
        <v>207</v>
      </c>
      <c r="K20" s="168" t="s">
        <v>208</v>
      </c>
      <c r="L20" s="168" t="s">
        <v>209</v>
      </c>
      <c r="M20" s="168" t="s">
        <v>210</v>
      </c>
      <c r="N20" s="168" t="s">
        <v>211</v>
      </c>
      <c r="O20" s="165"/>
      <c r="P20" s="168" t="s">
        <v>207</v>
      </c>
      <c r="Q20" s="168" t="s">
        <v>208</v>
      </c>
      <c r="R20" s="168" t="s">
        <v>209</v>
      </c>
      <c r="S20" s="168" t="s">
        <v>210</v>
      </c>
      <c r="T20" s="168" t="s">
        <v>211</v>
      </c>
      <c r="U20" s="165"/>
      <c r="V20" s="168" t="s">
        <v>207</v>
      </c>
      <c r="W20" s="168" t="s">
        <v>208</v>
      </c>
      <c r="X20" s="168" t="s">
        <v>209</v>
      </c>
      <c r="Y20" s="168" t="s">
        <v>210</v>
      </c>
      <c r="Z20" s="168" t="s">
        <v>211</v>
      </c>
      <c r="AA20" s="165"/>
      <c r="AB20" s="168" t="s">
        <v>207</v>
      </c>
      <c r="AC20" s="168" t="s">
        <v>208</v>
      </c>
      <c r="AD20" s="168" t="s">
        <v>209</v>
      </c>
      <c r="AE20" s="168" t="s">
        <v>210</v>
      </c>
      <c r="AF20" s="168" t="s">
        <v>211</v>
      </c>
      <c r="AG20" s="165"/>
      <c r="AH20" s="168" t="s">
        <v>211</v>
      </c>
      <c r="AI20" s="165"/>
      <c r="AJ20" s="168" t="s">
        <v>211</v>
      </c>
      <c r="AK20" s="165"/>
      <c r="AL20" s="168" t="s">
        <v>211</v>
      </c>
      <c r="AM20" s="163"/>
    </row>
    <row r="21" spans="1:52" s="41" customFormat="1" ht="3.95" customHeight="1">
      <c r="A21" s="43"/>
      <c r="B21" s="176"/>
      <c r="C21" s="35"/>
      <c r="D21" s="177"/>
      <c r="E21" s="177"/>
      <c r="F21" s="177"/>
      <c r="G21" s="177"/>
      <c r="H21" s="177"/>
      <c r="I21" s="178"/>
      <c r="J21" s="177"/>
      <c r="K21" s="177"/>
      <c r="L21" s="177"/>
      <c r="M21" s="177"/>
      <c r="N21" s="177"/>
      <c r="O21" s="178"/>
      <c r="P21" s="177"/>
      <c r="Q21" s="177"/>
      <c r="R21" s="177"/>
      <c r="S21" s="177"/>
      <c r="T21" s="177"/>
      <c r="U21" s="178"/>
      <c r="V21" s="177"/>
      <c r="W21" s="177"/>
      <c r="X21" s="177"/>
      <c r="Y21" s="177"/>
      <c r="Z21" s="179"/>
      <c r="AA21" s="180"/>
      <c r="AB21" s="179"/>
      <c r="AC21" s="179"/>
      <c r="AD21" s="179"/>
      <c r="AE21" s="179"/>
      <c r="AF21" s="179"/>
      <c r="AG21" s="180"/>
      <c r="AH21" s="179"/>
      <c r="AI21" s="180"/>
      <c r="AJ21" s="179"/>
      <c r="AK21" s="180"/>
      <c r="AL21" s="179"/>
      <c r="AM21" s="179"/>
    </row>
    <row r="22" spans="1:52" s="54" customFormat="1" ht="3.95" customHeight="1">
      <c r="A22" s="44"/>
      <c r="B22" s="45"/>
      <c r="C22" s="23"/>
      <c r="D22" s="66"/>
      <c r="E22" s="66"/>
      <c r="F22" s="66"/>
      <c r="G22" s="66"/>
      <c r="H22" s="57"/>
      <c r="I22" s="57"/>
      <c r="J22" s="66"/>
      <c r="K22" s="66"/>
      <c r="L22" s="66"/>
      <c r="M22" s="66"/>
      <c r="N22" s="57"/>
      <c r="O22" s="57"/>
      <c r="P22" s="66"/>
      <c r="Q22" s="66"/>
      <c r="R22" s="66"/>
      <c r="S22" s="66"/>
      <c r="T22" s="57"/>
      <c r="U22" s="71"/>
      <c r="V22" s="66"/>
      <c r="W22" s="66"/>
      <c r="X22" s="68"/>
      <c r="Y22" s="68"/>
      <c r="Z22" s="57"/>
      <c r="AA22" s="71"/>
      <c r="AB22" s="68"/>
      <c r="AC22" s="68"/>
      <c r="AD22" s="68"/>
      <c r="AE22" s="68"/>
      <c r="AF22" s="57"/>
      <c r="AG22" s="71"/>
      <c r="AH22" s="58"/>
      <c r="AI22" s="72"/>
      <c r="AJ22" s="58"/>
    </row>
    <row r="23" spans="1:52" s="54" customFormat="1" ht="14.25" customHeight="1">
      <c r="A23" s="44"/>
      <c r="B23" s="161" t="s">
        <v>411</v>
      </c>
      <c r="C23" s="186"/>
      <c r="D23" s="187"/>
      <c r="E23" s="187"/>
      <c r="F23" s="187"/>
      <c r="G23" s="187"/>
      <c r="H23" s="188"/>
      <c r="I23" s="188"/>
      <c r="J23" s="187"/>
      <c r="K23" s="187"/>
      <c r="L23" s="187"/>
      <c r="M23" s="187"/>
      <c r="N23" s="188"/>
      <c r="O23" s="188"/>
      <c r="P23" s="187"/>
      <c r="Q23" s="187"/>
      <c r="R23" s="187"/>
      <c r="S23" s="187"/>
      <c r="T23" s="188"/>
      <c r="U23" s="189"/>
      <c r="V23" s="187"/>
      <c r="W23" s="187"/>
      <c r="X23" s="190"/>
      <c r="Y23" s="190"/>
      <c r="Z23" s="188"/>
      <c r="AA23" s="189"/>
      <c r="AB23" s="190"/>
      <c r="AC23" s="190"/>
      <c r="AD23" s="190"/>
      <c r="AE23" s="190"/>
      <c r="AF23" s="188"/>
      <c r="AG23" s="189"/>
      <c r="AH23" s="191"/>
      <c r="AI23" s="192"/>
      <c r="AJ23" s="191"/>
      <c r="AK23" s="193"/>
      <c r="AL23" s="193"/>
      <c r="AM23" s="193"/>
    </row>
    <row r="24" spans="1:52" s="54" customFormat="1" ht="3.95" customHeight="1">
      <c r="A24" s="44"/>
      <c r="B24" s="194"/>
      <c r="C24" s="36"/>
      <c r="D24" s="195"/>
      <c r="E24" s="195"/>
      <c r="F24" s="195"/>
      <c r="G24" s="195"/>
      <c r="H24" s="196"/>
      <c r="I24" s="196"/>
      <c r="J24" s="195"/>
      <c r="K24" s="195"/>
      <c r="L24" s="195"/>
      <c r="M24" s="195"/>
      <c r="N24" s="196"/>
      <c r="O24" s="196"/>
      <c r="P24" s="195"/>
      <c r="Q24" s="195"/>
      <c r="R24" s="195"/>
      <c r="S24" s="195"/>
      <c r="T24" s="196"/>
      <c r="U24" s="197"/>
      <c r="V24" s="195"/>
      <c r="W24" s="195"/>
      <c r="X24" s="198"/>
      <c r="Y24" s="198"/>
      <c r="Z24" s="196"/>
      <c r="AA24" s="197"/>
      <c r="AB24" s="198"/>
      <c r="AC24" s="198"/>
      <c r="AD24" s="198"/>
      <c r="AE24" s="198"/>
      <c r="AF24" s="196"/>
      <c r="AG24" s="197"/>
      <c r="AH24" s="199"/>
      <c r="AI24" s="200"/>
      <c r="AJ24" s="199"/>
      <c r="AK24" s="201"/>
      <c r="AL24" s="201"/>
      <c r="AM24" s="201"/>
    </row>
    <row r="25" spans="1:52" s="54" customFormat="1" ht="3.95" customHeight="1">
      <c r="A25" s="44"/>
      <c r="B25" s="45"/>
      <c r="C25" s="23"/>
      <c r="D25" s="66"/>
      <c r="E25" s="66"/>
      <c r="F25" s="66"/>
      <c r="G25" s="66"/>
      <c r="H25" s="57"/>
      <c r="I25" s="57"/>
      <c r="J25" s="66"/>
      <c r="K25" s="66"/>
      <c r="L25" s="66"/>
      <c r="M25" s="66"/>
      <c r="N25" s="57"/>
      <c r="O25" s="57"/>
      <c r="P25" s="66"/>
      <c r="Q25" s="66"/>
      <c r="R25" s="66"/>
      <c r="S25" s="66"/>
      <c r="T25" s="57"/>
      <c r="U25" s="49"/>
      <c r="V25" s="66"/>
      <c r="W25" s="66"/>
      <c r="X25" s="68"/>
      <c r="Y25" s="68"/>
      <c r="Z25" s="57"/>
      <c r="AA25" s="71"/>
      <c r="AB25" s="68"/>
      <c r="AC25" s="68"/>
      <c r="AD25" s="68"/>
      <c r="AE25" s="68"/>
      <c r="AF25" s="733"/>
      <c r="AG25" s="733"/>
      <c r="AH25" s="58"/>
      <c r="AI25" s="733"/>
      <c r="AJ25" s="58"/>
      <c r="AK25" s="733"/>
      <c r="AL25" s="733"/>
    </row>
    <row r="26" spans="1:52" s="54" customFormat="1" ht="14.25" customHeight="1">
      <c r="A26" s="44"/>
      <c r="B26" s="28" t="s">
        <v>412</v>
      </c>
      <c r="C26" s="23"/>
      <c r="D26" s="50">
        <f t="shared" ref="D26:AL26" si="2">D16</f>
        <v>2559.9790000000003</v>
      </c>
      <c r="E26" s="50">
        <f t="shared" si="2"/>
        <v>2559.9790000000003</v>
      </c>
      <c r="F26" s="50">
        <f t="shared" si="2"/>
        <v>2800.5720000000001</v>
      </c>
      <c r="G26" s="50">
        <f t="shared" si="2"/>
        <v>2990.8656000000001</v>
      </c>
      <c r="H26" s="733">
        <f>H16</f>
        <v>10880.264000000001</v>
      </c>
      <c r="I26" s="729"/>
      <c r="J26" s="50">
        <f t="shared" si="2"/>
        <v>3032.1959000000002</v>
      </c>
      <c r="K26" s="50">
        <f t="shared" si="2"/>
        <v>3032.1959000000002</v>
      </c>
      <c r="L26" s="50">
        <f t="shared" si="2"/>
        <v>3275.4780000000001</v>
      </c>
      <c r="M26" s="50">
        <f t="shared" si="2"/>
        <v>3468.7044000000001</v>
      </c>
      <c r="N26" s="733">
        <f t="shared" si="2"/>
        <v>12773.600000000002</v>
      </c>
      <c r="O26" s="729"/>
      <c r="P26" s="50">
        <f t="shared" si="2"/>
        <v>3357.4414999999999</v>
      </c>
      <c r="Q26" s="50">
        <f t="shared" si="2"/>
        <v>3357.4414999999999</v>
      </c>
      <c r="R26" s="50">
        <f t="shared" si="2"/>
        <v>3618.8</v>
      </c>
      <c r="S26" s="50">
        <f t="shared" si="2"/>
        <v>3841.5</v>
      </c>
      <c r="T26" s="733">
        <f t="shared" si="2"/>
        <v>14156.2</v>
      </c>
      <c r="U26" s="732"/>
      <c r="V26" s="50">
        <f t="shared" si="2"/>
        <v>3519.1189949999998</v>
      </c>
      <c r="W26" s="50">
        <f t="shared" si="2"/>
        <v>3519.1189949999998</v>
      </c>
      <c r="X26" s="50">
        <f t="shared" si="2"/>
        <v>3839.6727099999998</v>
      </c>
      <c r="Y26" s="50">
        <f t="shared" si="2"/>
        <v>4096.2787159999998</v>
      </c>
      <c r="Z26" s="733">
        <f t="shared" si="2"/>
        <v>14931.768</v>
      </c>
      <c r="AA26" s="730">
        <f t="shared" si="2"/>
        <v>0</v>
      </c>
      <c r="AB26" s="50">
        <f t="shared" si="2"/>
        <v>3904.3423958949998</v>
      </c>
      <c r="AC26" s="50">
        <f t="shared" si="2"/>
        <v>3904.3423958949998</v>
      </c>
      <c r="AD26" s="50">
        <f t="shared" si="2"/>
        <v>4265.8070633000007</v>
      </c>
      <c r="AE26" s="50">
        <f t="shared" si="2"/>
        <v>4554.6332368800004</v>
      </c>
      <c r="AF26" s="733">
        <f t="shared" si="2"/>
        <v>16582.919080000003</v>
      </c>
      <c r="AG26" s="733">
        <f t="shared" si="2"/>
        <v>0</v>
      </c>
      <c r="AH26" s="733">
        <f t="shared" si="2"/>
        <v>18211.335587900001</v>
      </c>
      <c r="AI26" s="733">
        <f t="shared" si="2"/>
        <v>0</v>
      </c>
      <c r="AJ26" s="733">
        <f t="shared" si="2"/>
        <v>19762.63683681058</v>
      </c>
      <c r="AK26" s="733">
        <f t="shared" si="2"/>
        <v>0</v>
      </c>
      <c r="AL26" s="733">
        <f t="shared" si="2"/>
        <v>21174.395187637674</v>
      </c>
      <c r="AS26" s="312"/>
      <c r="AT26" s="312"/>
      <c r="AU26" s="312"/>
      <c r="AV26" s="312"/>
      <c r="AW26" s="312"/>
      <c r="AX26" s="312"/>
      <c r="AY26" s="312"/>
      <c r="AZ26" s="312"/>
    </row>
    <row r="27" spans="1:52" s="54" customFormat="1" ht="14.25" customHeight="1">
      <c r="A27" s="55"/>
      <c r="B27" s="31" t="s">
        <v>215</v>
      </c>
      <c r="C27" s="23"/>
      <c r="D27" s="305"/>
      <c r="E27" s="305"/>
      <c r="F27" s="305"/>
      <c r="G27" s="305"/>
      <c r="H27" s="306">
        <f>H26/Segments!N70-1</f>
        <v>0.37093190867395798</v>
      </c>
      <c r="I27" s="57"/>
      <c r="J27" s="305">
        <f>J26/D26-1</f>
        <v>0.18446123972110695</v>
      </c>
      <c r="K27" s="305">
        <f>K26/E26-1</f>
        <v>0.18446123972110695</v>
      </c>
      <c r="L27" s="305">
        <f>L26/F26-1</f>
        <v>0.16957464403700384</v>
      </c>
      <c r="M27" s="305">
        <f>M26/G26-1</f>
        <v>0.15976605568635383</v>
      </c>
      <c r="N27" s="306">
        <f>N26/H26-1</f>
        <v>0.17401563050308355</v>
      </c>
      <c r="O27" s="57"/>
      <c r="P27" s="305">
        <f>P26/J26-1</f>
        <v>0.10726404583556093</v>
      </c>
      <c r="Q27" s="305">
        <f>Q26/K26-1</f>
        <v>0.10726404583556093</v>
      </c>
      <c r="R27" s="305">
        <f>R26/L26-1</f>
        <v>0.10481584672527178</v>
      </c>
      <c r="S27" s="305">
        <f>S26/M26-1</f>
        <v>0.10747401825304004</v>
      </c>
      <c r="T27" s="306">
        <f>T26/N26-1</f>
        <v>0.10823886766455804</v>
      </c>
      <c r="U27" s="49"/>
      <c r="V27" s="305">
        <f>V26/P26-1</f>
        <v>4.8154970086597082E-2</v>
      </c>
      <c r="W27" s="305">
        <f>W26/Q26-1</f>
        <v>4.8154970086597082E-2</v>
      </c>
      <c r="X27" s="305">
        <f>X26/R26-1</f>
        <v>6.103479330164685E-2</v>
      </c>
      <c r="Y27" s="305">
        <f>Y26/S26-1</f>
        <v>6.6322716647142954E-2</v>
      </c>
      <c r="Z27" s="306">
        <f>Z26/T26-1</f>
        <v>5.4786453991890527E-2</v>
      </c>
      <c r="AA27" s="71"/>
      <c r="AB27" s="305">
        <f>AB26/V26-1</f>
        <v>0.109465863883071</v>
      </c>
      <c r="AC27" s="305">
        <f>AC26/W26-1</f>
        <v>0.109465863883071</v>
      </c>
      <c r="AD27" s="305">
        <f>AD26/X26-1</f>
        <v>0.1109819470264175</v>
      </c>
      <c r="AE27" s="305">
        <f>AE26/Y26-1</f>
        <v>0.11189534517992517</v>
      </c>
      <c r="AF27" s="306">
        <f>AF26/Z26-1</f>
        <v>0.11057974380528846</v>
      </c>
      <c r="AG27" s="71"/>
      <c r="AH27" s="306">
        <f>AH26/AF26-1</f>
        <v>9.8198423332112039E-2</v>
      </c>
      <c r="AI27" s="72"/>
      <c r="AJ27" s="306">
        <f>AJ26/AH26-1</f>
        <v>8.5183277273814806E-2</v>
      </c>
      <c r="AL27" s="306">
        <f>AL26/AJ26-1</f>
        <v>7.1435728060210257E-2</v>
      </c>
    </row>
    <row r="28" spans="1:52" s="54" customFormat="1" ht="14.25" customHeight="1">
      <c r="A28" s="55"/>
      <c r="B28" s="28" t="s">
        <v>413</v>
      </c>
      <c r="C28" s="23"/>
      <c r="D28" s="305"/>
      <c r="E28" s="305"/>
      <c r="F28" s="305"/>
      <c r="G28" s="305"/>
      <c r="H28" s="733">
        <v>4233.7</v>
      </c>
      <c r="I28" s="733"/>
      <c r="J28" s="733"/>
      <c r="K28" s="733"/>
      <c r="L28" s="733"/>
      <c r="M28" s="733"/>
      <c r="N28" s="733">
        <v>4846.8</v>
      </c>
      <c r="O28" s="733"/>
      <c r="P28" s="733"/>
      <c r="Q28" s="733"/>
      <c r="R28" s="733"/>
      <c r="S28" s="733"/>
      <c r="T28" s="733">
        <v>8379.7999999999993</v>
      </c>
      <c r="U28" s="49"/>
      <c r="V28" s="305"/>
      <c r="W28" s="305"/>
      <c r="X28" s="305"/>
      <c r="Y28" s="305"/>
      <c r="Z28" s="733">
        <f>Z26*Z29</f>
        <v>9556.3315199999997</v>
      </c>
      <c r="AA28" s="71"/>
      <c r="AB28" s="305"/>
      <c r="AC28" s="305"/>
      <c r="AD28" s="305"/>
      <c r="AE28" s="305"/>
      <c r="AF28" s="733">
        <f>AF26*AF29</f>
        <v>10944.726592800003</v>
      </c>
      <c r="AG28" s="733"/>
      <c r="AH28" s="733">
        <f>AH26*AH29</f>
        <v>12383.708199772002</v>
      </c>
      <c r="AI28" s="72"/>
      <c r="AJ28" s="733">
        <f>AJ26*AJ29</f>
        <v>13833.845785767406</v>
      </c>
      <c r="AK28" s="733"/>
      <c r="AL28" s="733">
        <f>AL26*AL29</f>
        <v>15245.564535099125</v>
      </c>
    </row>
    <row r="29" spans="1:52" s="54" customFormat="1" ht="14.25" customHeight="1">
      <c r="A29" s="55"/>
      <c r="B29" s="31" t="s">
        <v>414</v>
      </c>
      <c r="C29" s="23"/>
      <c r="D29" s="305"/>
      <c r="E29" s="305"/>
      <c r="F29" s="305"/>
      <c r="G29" s="305"/>
      <c r="H29" s="306">
        <f>H28/H26</f>
        <v>0.38911739641611631</v>
      </c>
      <c r="I29" s="57"/>
      <c r="J29" s="305"/>
      <c r="K29" s="305"/>
      <c r="L29" s="305"/>
      <c r="M29" s="305"/>
      <c r="N29" s="306">
        <f>N28/N26</f>
        <v>0.37943884261288902</v>
      </c>
      <c r="O29" s="57"/>
      <c r="P29" s="305"/>
      <c r="Q29" s="305"/>
      <c r="R29" s="305"/>
      <c r="S29" s="305"/>
      <c r="T29" s="306">
        <f>T28/T26</f>
        <v>0.59195264265834047</v>
      </c>
      <c r="U29" s="49"/>
      <c r="V29" s="305"/>
      <c r="W29" s="305"/>
      <c r="X29" s="305"/>
      <c r="Y29" s="305"/>
      <c r="Z29" s="306">
        <v>0.64</v>
      </c>
      <c r="AA29" s="71"/>
      <c r="AB29" s="305"/>
      <c r="AC29" s="305"/>
      <c r="AD29" s="305"/>
      <c r="AE29" s="305"/>
      <c r="AF29" s="306">
        <v>0.66</v>
      </c>
      <c r="AG29" s="71"/>
      <c r="AH29" s="306">
        <v>0.68</v>
      </c>
      <c r="AI29" s="72"/>
      <c r="AJ29" s="306">
        <v>0.7</v>
      </c>
      <c r="AL29" s="306">
        <v>0.72</v>
      </c>
    </row>
    <row r="30" spans="1:52" s="54" customFormat="1" ht="14.25" customHeight="1">
      <c r="B30" s="31"/>
      <c r="C30" s="23"/>
      <c r="D30" s="305"/>
      <c r="E30" s="305"/>
      <c r="F30" s="305"/>
      <c r="G30" s="305"/>
      <c r="H30" s="308"/>
      <c r="I30" s="48"/>
      <c r="J30" s="305"/>
      <c r="K30" s="305"/>
      <c r="L30" s="305"/>
      <c r="M30" s="305"/>
      <c r="N30" s="308"/>
      <c r="O30" s="71"/>
      <c r="P30" s="305"/>
      <c r="Q30" s="305"/>
      <c r="R30" s="305"/>
      <c r="S30" s="305"/>
      <c r="T30" s="308"/>
      <c r="U30" s="49"/>
      <c r="V30" s="305"/>
      <c r="W30" s="305"/>
      <c r="X30" s="50"/>
      <c r="Y30" s="50"/>
      <c r="Z30" s="66"/>
      <c r="AA30" s="71"/>
      <c r="AB30" s="50"/>
      <c r="AC30" s="50"/>
      <c r="AD30" s="50"/>
      <c r="AE30" s="50"/>
      <c r="AF30" s="66"/>
      <c r="AG30" s="71"/>
      <c r="AH30" s="68"/>
      <c r="AI30" s="72"/>
      <c r="AJ30" s="68"/>
    </row>
    <row r="31" spans="1:52" s="54" customFormat="1" ht="14.25" customHeight="1">
      <c r="B31" s="28" t="s">
        <v>415</v>
      </c>
      <c r="C31" s="23"/>
      <c r="D31" s="50">
        <f>390.8+(1173.8-562.5)</f>
        <v>1002.0999999999999</v>
      </c>
      <c r="E31" s="50">
        <f>416.145+(1376.3-714.7)</f>
        <v>1077.7449999999999</v>
      </c>
      <c r="F31" s="50">
        <v>536.6</v>
      </c>
      <c r="G31" s="50"/>
      <c r="H31" s="58">
        <v>1950</v>
      </c>
      <c r="I31" s="57"/>
      <c r="J31" s="50"/>
      <c r="K31" s="50"/>
      <c r="L31" s="50"/>
      <c r="M31" s="50"/>
      <c r="N31" s="58">
        <v>2217.6999999999998</v>
      </c>
      <c r="O31" s="57"/>
      <c r="P31" s="50"/>
      <c r="Q31" s="50"/>
      <c r="R31" s="50"/>
      <c r="S31" s="50"/>
      <c r="T31" s="58">
        <v>3914.7</v>
      </c>
      <c r="U31" s="49"/>
      <c r="V31" s="50">
        <f>IS!AH21</f>
        <v>1219.7370000000001</v>
      </c>
      <c r="W31" s="50">
        <f>IS!AI21</f>
        <v>1280.9179999999999</v>
      </c>
      <c r="X31" s="46">
        <f>(X32+Sensitivity!$U$39)*X$26</f>
        <v>1612.6625382</v>
      </c>
      <c r="Y31" s="46">
        <f>(Y32+Sensitivity!$U$39)*Y$26</f>
        <v>1720.4370607199999</v>
      </c>
      <c r="Z31" s="58">
        <f>Z28*(Z32+Sensitivity!$U$39)</f>
        <v>3704.4908968591831</v>
      </c>
      <c r="AA31" s="58"/>
      <c r="AB31" s="58">
        <f>(AB32+Sensitivity!$U$39)*AB$26</f>
        <v>0</v>
      </c>
      <c r="AC31" s="58">
        <f>(AC32+Sensitivity!$U$39)*AC$26</f>
        <v>0</v>
      </c>
      <c r="AD31" s="58">
        <f>(AD32+Sensitivity!$U$39)*AD$26</f>
        <v>0</v>
      </c>
      <c r="AE31" s="58">
        <f>(AE32+Sensitivity!$U$39)*AE$26</f>
        <v>0</v>
      </c>
      <c r="AF31" s="58">
        <f>AF28*(AF32+Sensitivity!$U$39)</f>
        <v>4377.8906371200019</v>
      </c>
      <c r="AG31" s="58"/>
      <c r="AH31" s="58">
        <f>AH28*(AH32+Sensitivity!$U$39)</f>
        <v>4705.809115913361</v>
      </c>
      <c r="AI31" s="58"/>
      <c r="AJ31" s="58">
        <f>AJ28*(AJ32+Sensitivity!$U$39)</f>
        <v>5118.5229407339402</v>
      </c>
      <c r="AK31" s="58"/>
      <c r="AL31" s="58">
        <f>AL28*(AL32+Sensitivity!$U$39)</f>
        <v>5488.4032326356846</v>
      </c>
    </row>
    <row r="32" spans="1:52" s="54" customFormat="1" ht="14.25" customHeight="1">
      <c r="B32" s="31" t="s">
        <v>416</v>
      </c>
      <c r="C32" s="23"/>
      <c r="D32" s="305">
        <f>D31/D26</f>
        <v>0.39144852360117011</v>
      </c>
      <c r="E32" s="305">
        <f>E31/E26</f>
        <v>0.42099759412088916</v>
      </c>
      <c r="F32" s="305">
        <f>F31/F26</f>
        <v>0.19160371524102934</v>
      </c>
      <c r="G32" s="305">
        <f>G31/G26</f>
        <v>0</v>
      </c>
      <c r="H32" s="306">
        <f>H31/H28</f>
        <v>0.46059002763540169</v>
      </c>
      <c r="I32" s="57"/>
      <c r="J32" s="305">
        <f>J31/J26</f>
        <v>0</v>
      </c>
      <c r="K32" s="305">
        <f>K31/K26</f>
        <v>0</v>
      </c>
      <c r="L32" s="305">
        <f>L31/L26</f>
        <v>0</v>
      </c>
      <c r="M32" s="305">
        <f>M31/M26</f>
        <v>0</v>
      </c>
      <c r="N32" s="306">
        <f>N31/N28</f>
        <v>0.45755962697037217</v>
      </c>
      <c r="O32" s="57"/>
      <c r="P32" s="305">
        <f>P31/P26</f>
        <v>0</v>
      </c>
      <c r="Q32" s="305">
        <f>Q31/Q26</f>
        <v>0</v>
      </c>
      <c r="R32" s="305">
        <f>R31/R26</f>
        <v>0</v>
      </c>
      <c r="S32" s="305">
        <f>S31/S26</f>
        <v>0</v>
      </c>
      <c r="T32" s="306">
        <f>T31/T28</f>
        <v>0.46715912074273852</v>
      </c>
      <c r="U32" s="49"/>
      <c r="V32" s="305">
        <f>V31/V26</f>
        <v>0.34660294287661625</v>
      </c>
      <c r="W32" s="305">
        <f>W31/W26</f>
        <v>0.36398826007871327</v>
      </c>
      <c r="X32" s="316">
        <v>0.42</v>
      </c>
      <c r="Y32" s="316">
        <v>0.42</v>
      </c>
      <c r="Z32" s="316">
        <f>AVERAGE(V32:Y32)</f>
        <v>0.38764780073883237</v>
      </c>
      <c r="AA32" s="71"/>
      <c r="AB32" s="316"/>
      <c r="AC32" s="316"/>
      <c r="AD32" s="316"/>
      <c r="AE32" s="316"/>
      <c r="AF32" s="316">
        <v>0.4</v>
      </c>
      <c r="AG32" s="71"/>
      <c r="AH32" s="316">
        <v>0.38</v>
      </c>
      <c r="AI32" s="72"/>
      <c r="AJ32" s="316">
        <v>0.37</v>
      </c>
      <c r="AL32" s="316">
        <v>0.36</v>
      </c>
    </row>
    <row r="33" spans="2:45" s="54" customFormat="1" ht="14.25" customHeight="1">
      <c r="B33" s="31"/>
      <c r="C33" s="23"/>
      <c r="D33" s="305"/>
      <c r="E33" s="305"/>
      <c r="F33" s="305"/>
      <c r="G33" s="305"/>
      <c r="H33" s="306"/>
      <c r="I33" s="57"/>
      <c r="J33" s="305"/>
      <c r="K33" s="305"/>
      <c r="L33" s="305"/>
      <c r="M33" s="305"/>
      <c r="N33" s="306"/>
      <c r="O33" s="57"/>
      <c r="P33" s="305"/>
      <c r="Q33" s="305"/>
      <c r="R33" s="305"/>
      <c r="S33" s="305"/>
      <c r="T33" s="306"/>
      <c r="U33" s="49"/>
      <c r="V33" s="305"/>
      <c r="W33" s="305"/>
      <c r="X33" s="305"/>
      <c r="Y33" s="305"/>
      <c r="Z33" s="306"/>
      <c r="AA33" s="71"/>
      <c r="AB33" s="697"/>
      <c r="AC33" s="697"/>
      <c r="AD33" s="697"/>
      <c r="AE33" s="697"/>
      <c r="AF33" s="306"/>
      <c r="AG33" s="71"/>
      <c r="AH33" s="306"/>
      <c r="AI33" s="306"/>
      <c r="AJ33" s="306"/>
      <c r="AK33" s="306"/>
      <c r="AL33" s="306"/>
    </row>
    <row r="34" spans="2:45" s="695" customFormat="1" ht="21.75" customHeight="1">
      <c r="B34" s="28" t="s">
        <v>417</v>
      </c>
      <c r="C34" s="23"/>
      <c r="D34" s="50">
        <v>1</v>
      </c>
      <c r="E34" s="50"/>
      <c r="F34" s="50">
        <v>1</v>
      </c>
      <c r="G34" s="50"/>
      <c r="H34" s="733">
        <v>0</v>
      </c>
      <c r="I34" s="729"/>
      <c r="J34" s="50"/>
      <c r="K34" s="50"/>
      <c r="L34" s="50"/>
      <c r="M34" s="50"/>
      <c r="N34" s="733">
        <v>0</v>
      </c>
      <c r="O34" s="729"/>
      <c r="P34" s="50"/>
      <c r="Q34" s="50"/>
      <c r="R34" s="50"/>
      <c r="S34" s="50"/>
      <c r="T34" s="733">
        <v>0</v>
      </c>
      <c r="U34" s="732"/>
      <c r="V34" s="50">
        <f>[1]IS!AH19</f>
        <v>0</v>
      </c>
      <c r="W34" s="50">
        <f>[1]IS!AI19</f>
        <v>0</v>
      </c>
      <c r="X34" s="46">
        <f>X35*X31</f>
        <v>0</v>
      </c>
      <c r="Y34" s="46">
        <f>Y35*Y31</f>
        <v>0</v>
      </c>
      <c r="Z34" s="733">
        <f>SUM(V34:Y34)</f>
        <v>0</v>
      </c>
      <c r="AA34" s="733"/>
      <c r="AB34" s="733">
        <f t="shared" ref="AB34:AE34" si="3">AB35*AB31</f>
        <v>0</v>
      </c>
      <c r="AC34" s="733">
        <f t="shared" si="3"/>
        <v>0</v>
      </c>
      <c r="AD34" s="733">
        <f t="shared" si="3"/>
        <v>0</v>
      </c>
      <c r="AE34" s="733">
        <f t="shared" si="3"/>
        <v>0</v>
      </c>
      <c r="AF34" s="733">
        <f>SUM(AB34:AE34)</f>
        <v>0</v>
      </c>
      <c r="AG34" s="733"/>
      <c r="AH34" s="733">
        <f t="shared" ref="AH34:AL34" si="4">AH35*AH31</f>
        <v>0</v>
      </c>
      <c r="AI34" s="733"/>
      <c r="AJ34" s="733">
        <f t="shared" si="4"/>
        <v>0</v>
      </c>
      <c r="AK34" s="733"/>
      <c r="AL34" s="733">
        <f t="shared" si="4"/>
        <v>0</v>
      </c>
      <c r="AM34" s="54"/>
      <c r="AN34" s="54"/>
      <c r="AO34" s="54"/>
      <c r="AP34" s="54"/>
      <c r="AQ34" s="54"/>
      <c r="AR34" s="54"/>
      <c r="AS34" s="54"/>
    </row>
    <row r="35" spans="2:45" s="695" customFormat="1" ht="18" customHeight="1">
      <c r="B35" s="31" t="s">
        <v>418</v>
      </c>
      <c r="C35" s="23"/>
      <c r="D35" s="305">
        <f>D34/D31</f>
        <v>9.9790440075840734E-4</v>
      </c>
      <c r="E35" s="305">
        <f>E34/E31</f>
        <v>0</v>
      </c>
      <c r="F35" s="305">
        <f>F34/F31</f>
        <v>1.8635855385762206E-3</v>
      </c>
      <c r="G35" s="305" t="e">
        <f>G34/G31</f>
        <v>#DIV/0!</v>
      </c>
      <c r="H35" s="308">
        <v>0</v>
      </c>
      <c r="I35" s="729"/>
      <c r="J35" s="305"/>
      <c r="K35" s="305"/>
      <c r="L35" s="305"/>
      <c r="M35" s="305"/>
      <c r="N35" s="308">
        <v>0</v>
      </c>
      <c r="O35" s="729"/>
      <c r="P35" s="305"/>
      <c r="Q35" s="305"/>
      <c r="R35" s="305"/>
      <c r="S35" s="305"/>
      <c r="T35" s="308">
        <v>0</v>
      </c>
      <c r="U35" s="732"/>
      <c r="V35" s="305">
        <f>V34/V31</f>
        <v>0</v>
      </c>
      <c r="W35" s="305">
        <f t="shared" ref="W35" si="5">W34/W31</f>
        <v>0</v>
      </c>
      <c r="X35" s="316">
        <v>0</v>
      </c>
      <c r="Y35" s="316">
        <v>0</v>
      </c>
      <c r="Z35" s="308"/>
      <c r="AA35" s="730"/>
      <c r="AB35" s="316"/>
      <c r="AC35" s="316"/>
      <c r="AD35" s="316"/>
      <c r="AE35" s="316"/>
      <c r="AF35" s="308"/>
      <c r="AG35" s="730"/>
      <c r="AH35" s="316">
        <v>0</v>
      </c>
      <c r="AI35" s="731"/>
      <c r="AJ35" s="316">
        <v>0</v>
      </c>
      <c r="AK35" s="54"/>
      <c r="AL35" s="316">
        <v>0</v>
      </c>
      <c r="AM35" s="54"/>
      <c r="AN35" s="54"/>
      <c r="AO35" s="54"/>
      <c r="AP35" s="54"/>
      <c r="AQ35" s="54"/>
      <c r="AR35" s="54"/>
      <c r="AS35" s="54"/>
    </row>
    <row r="36" spans="2:45" s="54" customFormat="1" ht="14.25" customHeight="1">
      <c r="B36" s="31"/>
      <c r="C36" s="23"/>
      <c r="D36" s="60"/>
      <c r="E36" s="60"/>
      <c r="F36" s="60"/>
      <c r="G36" s="60"/>
      <c r="H36" s="181"/>
      <c r="I36" s="57"/>
      <c r="J36" s="60"/>
      <c r="K36" s="60"/>
      <c r="L36" s="60"/>
      <c r="M36" s="60"/>
      <c r="N36" s="181"/>
      <c r="O36" s="57"/>
      <c r="P36" s="60"/>
      <c r="Q36" s="60"/>
      <c r="R36" s="60"/>
      <c r="S36" s="60"/>
      <c r="T36" s="181"/>
      <c r="U36" s="49"/>
      <c r="V36" s="60"/>
      <c r="W36" s="60"/>
      <c r="X36" s="62"/>
      <c r="Y36" s="62"/>
      <c r="Z36" s="181"/>
      <c r="AA36" s="71"/>
      <c r="AB36" s="62"/>
      <c r="AC36" s="62"/>
      <c r="AD36" s="62"/>
      <c r="AE36" s="62"/>
      <c r="AF36" s="181"/>
      <c r="AG36" s="71"/>
      <c r="AH36" s="182"/>
      <c r="AI36" s="72"/>
      <c r="AJ36" s="182"/>
    </row>
    <row r="37" spans="2:45" s="54" customFormat="1" ht="14.25" customHeight="1">
      <c r="B37" s="28" t="s">
        <v>419</v>
      </c>
      <c r="C37" s="23"/>
      <c r="D37" s="50">
        <f>D26-D31-D34</f>
        <v>1556.8790000000004</v>
      </c>
      <c r="E37" s="50">
        <f>E26-E31-E34</f>
        <v>1482.2340000000004</v>
      </c>
      <c r="F37" s="50">
        <f>F26-F31-F34</f>
        <v>2262.9720000000002</v>
      </c>
      <c r="G37" s="50">
        <f>G26-G31-G34</f>
        <v>2990.8656000000001</v>
      </c>
      <c r="H37" s="58">
        <f>H28-H31</f>
        <v>2283.6999999999998</v>
      </c>
      <c r="I37" s="58"/>
      <c r="J37" s="58">
        <f t="shared" ref="J37:AK37" si="6">J28-J31-J34</f>
        <v>0</v>
      </c>
      <c r="K37" s="58">
        <f t="shared" si="6"/>
        <v>0</v>
      </c>
      <c r="L37" s="58">
        <f t="shared" si="6"/>
        <v>0</v>
      </c>
      <c r="M37" s="58">
        <f t="shared" si="6"/>
        <v>0</v>
      </c>
      <c r="N37" s="58">
        <f>N28-N31</f>
        <v>2629.1000000000004</v>
      </c>
      <c r="O37" s="58">
        <f t="shared" si="6"/>
        <v>0</v>
      </c>
      <c r="P37" s="58">
        <f t="shared" si="6"/>
        <v>0</v>
      </c>
      <c r="Q37" s="58">
        <f t="shared" si="6"/>
        <v>0</v>
      </c>
      <c r="R37" s="58">
        <f t="shared" si="6"/>
        <v>0</v>
      </c>
      <c r="S37" s="58">
        <f t="shared" si="6"/>
        <v>0</v>
      </c>
      <c r="T37" s="58">
        <f>T28-T31</f>
        <v>4465.0999999999995</v>
      </c>
      <c r="U37" s="410"/>
      <c r="V37" s="58">
        <f t="shared" si="6"/>
        <v>-1219.7370000000001</v>
      </c>
      <c r="W37" s="58">
        <f t="shared" si="6"/>
        <v>-1280.9179999999999</v>
      </c>
      <c r="X37" s="58">
        <f t="shared" si="6"/>
        <v>-1612.6625382</v>
      </c>
      <c r="Y37" s="58">
        <f t="shared" si="6"/>
        <v>-1720.4370607199999</v>
      </c>
      <c r="Z37" s="58">
        <f>Z28-Z31</f>
        <v>5851.8406231408171</v>
      </c>
      <c r="AA37" s="58">
        <f t="shared" si="6"/>
        <v>0</v>
      </c>
      <c r="AB37" s="58">
        <f t="shared" si="6"/>
        <v>0</v>
      </c>
      <c r="AC37" s="58">
        <f t="shared" si="6"/>
        <v>0</v>
      </c>
      <c r="AD37" s="58">
        <f t="shared" si="6"/>
        <v>0</v>
      </c>
      <c r="AE37" s="58">
        <f t="shared" si="6"/>
        <v>0</v>
      </c>
      <c r="AF37" s="58">
        <f>AF28-AF31</f>
        <v>6566.8359556800015</v>
      </c>
      <c r="AG37" s="58">
        <f t="shared" si="6"/>
        <v>0</v>
      </c>
      <c r="AH37" s="58">
        <f>AH28-AH31</f>
        <v>7677.8990838586406</v>
      </c>
      <c r="AI37" s="58">
        <f t="shared" si="6"/>
        <v>0</v>
      </c>
      <c r="AJ37" s="58">
        <f>AJ28-AJ31</f>
        <v>8715.3228450334645</v>
      </c>
      <c r="AK37" s="58">
        <f t="shared" si="6"/>
        <v>0</v>
      </c>
      <c r="AL37" s="58">
        <f>AL28-AL31</f>
        <v>9757.1613024634407</v>
      </c>
    </row>
    <row r="38" spans="2:45" s="54" customFormat="1" ht="14.25" customHeight="1">
      <c r="B38" s="31" t="s">
        <v>416</v>
      </c>
      <c r="C38" s="21"/>
      <c r="D38" s="305">
        <f>D37/D26</f>
        <v>0.60816084819445793</v>
      </c>
      <c r="E38" s="305">
        <f>E37/E26</f>
        <v>0.57900240587911078</v>
      </c>
      <c r="F38" s="305">
        <f>F37/F26</f>
        <v>0.80803921484611008</v>
      </c>
      <c r="G38" s="305">
        <f>G37/G26</f>
        <v>1</v>
      </c>
      <c r="H38" s="308">
        <f>H37/H28</f>
        <v>0.53940997236459831</v>
      </c>
      <c r="I38" s="48"/>
      <c r="J38" s="305">
        <f>J37/J26</f>
        <v>0</v>
      </c>
      <c r="K38" s="305">
        <f>K37/K26</f>
        <v>0</v>
      </c>
      <c r="L38" s="305">
        <f>L37/L26</f>
        <v>0</v>
      </c>
      <c r="M38" s="305">
        <f>M37/M26</f>
        <v>0</v>
      </c>
      <c r="N38" s="308">
        <f>N37/N28</f>
        <v>0.54244037302962789</v>
      </c>
      <c r="O38" s="71"/>
      <c r="P38" s="305">
        <f>P37/P26</f>
        <v>0</v>
      </c>
      <c r="Q38" s="305">
        <f>Q37/Q26</f>
        <v>0</v>
      </c>
      <c r="R38" s="305">
        <f>R37/R26</f>
        <v>0</v>
      </c>
      <c r="S38" s="305">
        <f>S37/S26</f>
        <v>0</v>
      </c>
      <c r="T38" s="308">
        <f>T37/T28</f>
        <v>0.53284087925726153</v>
      </c>
      <c r="U38" s="49"/>
      <c r="V38" s="305">
        <f>V37/V26</f>
        <v>-0.34660294287661625</v>
      </c>
      <c r="W38" s="305">
        <f>W37/W26</f>
        <v>-0.36398826007871327</v>
      </c>
      <c r="X38" s="305">
        <f>X37/X26</f>
        <v>-0.42</v>
      </c>
      <c r="Y38" s="305">
        <f>Y37/Y26</f>
        <v>-0.42</v>
      </c>
      <c r="Z38" s="308">
        <f>Z37/Z28</f>
        <v>0.61235219926116768</v>
      </c>
      <c r="AA38" s="183"/>
      <c r="AB38" s="305">
        <f>AB37/AB26</f>
        <v>0</v>
      </c>
      <c r="AC38" s="305">
        <f>AC37/AC26</f>
        <v>0</v>
      </c>
      <c r="AD38" s="305">
        <f>AD37/AD26</f>
        <v>0</v>
      </c>
      <c r="AE38" s="305">
        <f>AE37/AE26</f>
        <v>0</v>
      </c>
      <c r="AF38" s="308">
        <f>AF37/AF28</f>
        <v>0.6</v>
      </c>
      <c r="AG38" s="183"/>
      <c r="AH38" s="308">
        <f>AH37/AH28</f>
        <v>0.62</v>
      </c>
      <c r="AI38" s="184"/>
      <c r="AJ38" s="308">
        <f>AJ37/AJ28</f>
        <v>0.62999999999999989</v>
      </c>
      <c r="AL38" s="308">
        <f>AL37/AL28</f>
        <v>0.64</v>
      </c>
    </row>
    <row r="39" spans="2:45" s="54" customFormat="1" ht="14.25" customHeight="1">
      <c r="B39" s="28"/>
      <c r="C39" s="23"/>
      <c r="D39" s="60"/>
      <c r="E39" s="60"/>
      <c r="F39" s="60"/>
      <c r="G39" s="60"/>
      <c r="H39" s="66"/>
      <c r="I39" s="48"/>
      <c r="J39" s="60"/>
      <c r="K39" s="60"/>
      <c r="L39" s="60"/>
      <c r="M39" s="60"/>
      <c r="N39" s="66"/>
      <c r="O39" s="71"/>
      <c r="P39" s="60"/>
      <c r="Q39" s="60"/>
      <c r="R39" s="60"/>
      <c r="S39" s="60"/>
      <c r="T39" s="66"/>
      <c r="U39" s="49"/>
      <c r="V39" s="60"/>
      <c r="W39" s="60"/>
      <c r="X39" s="50"/>
      <c r="Y39" s="50"/>
      <c r="Z39" s="66"/>
      <c r="AA39" s="71"/>
      <c r="AB39" s="50"/>
      <c r="AC39" s="50"/>
      <c r="AD39" s="50"/>
      <c r="AE39" s="50"/>
      <c r="AF39" s="66"/>
      <c r="AG39" s="71"/>
      <c r="AH39" s="68"/>
      <c r="AI39" s="72"/>
      <c r="AJ39" s="68"/>
    </row>
    <row r="40" spans="2:45" s="54" customFormat="1" ht="14.25" customHeight="1">
      <c r="B40" s="28" t="s">
        <v>420</v>
      </c>
      <c r="C40" s="21"/>
      <c r="D40" s="62">
        <v>287.58800000000002</v>
      </c>
      <c r="E40" s="62"/>
      <c r="F40" s="62"/>
      <c r="G40" s="62"/>
      <c r="H40" s="68">
        <v>1819</v>
      </c>
      <c r="I40" s="48"/>
      <c r="J40" s="62"/>
      <c r="K40" s="62"/>
      <c r="L40" s="62"/>
      <c r="M40" s="62"/>
      <c r="N40" s="68">
        <v>2109.1999999999998</v>
      </c>
      <c r="O40" s="71"/>
      <c r="P40" s="62"/>
      <c r="Q40" s="62"/>
      <c r="R40" s="62"/>
      <c r="S40" s="62"/>
      <c r="T40" s="68">
        <v>3883.8</v>
      </c>
      <c r="U40" s="49"/>
      <c r="V40" s="62">
        <f>IS!AH27</f>
        <v>1236.6880000000001</v>
      </c>
      <c r="W40" s="62">
        <f>IS!AI27</f>
        <v>1268.066</v>
      </c>
      <c r="X40" s="46">
        <f>(X41+Sensitivity!$U$40)*X$26</f>
        <v>1459.0756297999999</v>
      </c>
      <c r="Y40" s="46">
        <f>(Y41+Sensitivity!$U$40)*Y$26</f>
        <v>1556.5859120799998</v>
      </c>
      <c r="Z40" s="57">
        <f>Z28*(Z41+Sensitivity!$U$40)</f>
        <v>4013.6592383999996</v>
      </c>
      <c r="AA40" s="71"/>
      <c r="AB40" s="46">
        <f>(AB41+Sensitivity!$U$40)*AB$26</f>
        <v>0</v>
      </c>
      <c r="AC40" s="46">
        <f>(AC41+Sensitivity!$U$40)*AC$26</f>
        <v>0</v>
      </c>
      <c r="AD40" s="46">
        <f>(AD41+Sensitivity!$U$40)*AD$26</f>
        <v>0</v>
      </c>
      <c r="AE40" s="46">
        <f>(AE41+Sensitivity!$U$40)*AE$26</f>
        <v>0</v>
      </c>
      <c r="AF40" s="57">
        <f>AF28*(AF41+Sensitivity!$U$40)</f>
        <v>4377.8906371200019</v>
      </c>
      <c r="AG40" s="57"/>
      <c r="AH40" s="57">
        <f>AH28*(AH41+Sensitivity!$U$40)</f>
        <v>4581.9720339156402</v>
      </c>
      <c r="AI40" s="57"/>
      <c r="AJ40" s="57">
        <f>AJ28*(AJ41+Sensitivity!$U$40)</f>
        <v>4841.8460250185917</v>
      </c>
      <c r="AK40" s="57"/>
      <c r="AL40" s="57">
        <f>AL28*(AL41+Sensitivity!$U$40)</f>
        <v>5335.9475872846933</v>
      </c>
    </row>
    <row r="41" spans="2:45" s="54" customFormat="1" ht="14.25" customHeight="1">
      <c r="B41" s="31" t="s">
        <v>416</v>
      </c>
      <c r="C41" s="23"/>
      <c r="D41" s="305">
        <f>D40/D26</f>
        <v>0.11233998403893157</v>
      </c>
      <c r="E41" s="305">
        <f>E40/E26</f>
        <v>0</v>
      </c>
      <c r="F41" s="305">
        <f>F40/F26</f>
        <v>0</v>
      </c>
      <c r="G41" s="305">
        <f>G40/G26</f>
        <v>0</v>
      </c>
      <c r="H41" s="308">
        <f>H40/H28</f>
        <v>0.42964782577886956</v>
      </c>
      <c r="I41" s="48"/>
      <c r="J41" s="305">
        <f>J40/J26</f>
        <v>0</v>
      </c>
      <c r="K41" s="305">
        <f>K40/K26</f>
        <v>0</v>
      </c>
      <c r="L41" s="305">
        <f>L40/L26</f>
        <v>0</v>
      </c>
      <c r="M41" s="305">
        <f>M40/M26</f>
        <v>0</v>
      </c>
      <c r="N41" s="308">
        <f>N40/N28</f>
        <v>0.43517372286869682</v>
      </c>
      <c r="O41" s="71"/>
      <c r="P41" s="305">
        <f>P40/P26</f>
        <v>0</v>
      </c>
      <c r="Q41" s="305">
        <f>Q40/Q26</f>
        <v>0</v>
      </c>
      <c r="R41" s="305">
        <f>R40/R26</f>
        <v>0</v>
      </c>
      <c r="S41" s="305">
        <f>S40/S26</f>
        <v>0</v>
      </c>
      <c r="T41" s="308">
        <f>T40/T28</f>
        <v>0.46347168190171611</v>
      </c>
      <c r="U41" s="49"/>
      <c r="V41" s="305">
        <f>V40/V26</f>
        <v>0.35141977345952186</v>
      </c>
      <c r="W41" s="305">
        <f>W40/W26</f>
        <v>0.36033620965977031</v>
      </c>
      <c r="X41" s="316">
        <v>0.38</v>
      </c>
      <c r="Y41" s="316">
        <v>0.38</v>
      </c>
      <c r="Z41" s="306">
        <v>0.42</v>
      </c>
      <c r="AA41" s="71"/>
      <c r="AB41" s="316"/>
      <c r="AC41" s="316"/>
      <c r="AD41" s="316"/>
      <c r="AE41" s="316"/>
      <c r="AF41" s="306">
        <v>0.4</v>
      </c>
      <c r="AG41" s="71"/>
      <c r="AH41" s="316">
        <v>0.37</v>
      </c>
      <c r="AI41" s="72"/>
      <c r="AJ41" s="316">
        <v>0.35</v>
      </c>
      <c r="AL41" s="316">
        <v>0.35</v>
      </c>
    </row>
    <row r="42" spans="2:45" s="54" customFormat="1" ht="14.25" customHeight="1">
      <c r="B42" s="29"/>
      <c r="C42" s="21"/>
      <c r="D42" s="46"/>
      <c r="E42" s="46"/>
      <c r="F42" s="46"/>
      <c r="G42" s="46"/>
      <c r="H42" s="66"/>
      <c r="I42" s="48"/>
      <c r="J42" s="46"/>
      <c r="K42" s="46"/>
      <c r="L42" s="46"/>
      <c r="M42" s="46"/>
      <c r="N42" s="66"/>
      <c r="O42" s="71"/>
      <c r="P42" s="46"/>
      <c r="Q42" s="46"/>
      <c r="R42" s="46"/>
      <c r="S42" s="46"/>
      <c r="T42" s="66"/>
      <c r="U42" s="49"/>
      <c r="V42" s="46"/>
      <c r="W42" s="46"/>
      <c r="X42" s="50"/>
      <c r="Y42" s="50"/>
      <c r="Z42" s="66"/>
      <c r="AA42" s="71"/>
      <c r="AB42" s="50"/>
      <c r="AC42" s="50"/>
      <c r="AD42" s="50"/>
      <c r="AE42" s="50"/>
      <c r="AF42" s="66"/>
      <c r="AG42" s="71"/>
      <c r="AH42" s="68"/>
      <c r="AI42" s="72"/>
      <c r="AJ42" s="68"/>
    </row>
    <row r="43" spans="2:45" s="54" customFormat="1" ht="14.25" customHeight="1">
      <c r="B43" s="28" t="s">
        <v>421</v>
      </c>
      <c r="C43" s="23"/>
      <c r="D43" s="50"/>
      <c r="E43" s="50"/>
      <c r="F43" s="50"/>
      <c r="G43" s="50"/>
      <c r="H43" s="68">
        <f>IS!T29</f>
        <v>0</v>
      </c>
      <c r="I43" s="48"/>
      <c r="J43" s="50">
        <f>IS!V29</f>
        <v>0</v>
      </c>
      <c r="K43" s="50">
        <f>IS!W29</f>
        <v>0</v>
      </c>
      <c r="L43" s="50">
        <f>IS!X29</f>
        <v>0</v>
      </c>
      <c r="M43" s="50">
        <f>IS!Y29</f>
        <v>0</v>
      </c>
      <c r="N43" s="68">
        <f>IS!Z29</f>
        <v>0</v>
      </c>
      <c r="O43" s="71"/>
      <c r="P43" s="50">
        <f>IS!AB29</f>
        <v>0</v>
      </c>
      <c r="Q43" s="50">
        <f>IS!AC29</f>
        <v>0</v>
      </c>
      <c r="R43" s="50">
        <f>IS!AD29</f>
        <v>0</v>
      </c>
      <c r="S43" s="50">
        <f>IS!AE29</f>
        <v>0</v>
      </c>
      <c r="T43" s="68">
        <f>IS!AF29</f>
        <v>0</v>
      </c>
      <c r="U43" s="49"/>
      <c r="V43" s="50">
        <f>IS!AH29</f>
        <v>0</v>
      </c>
      <c r="W43" s="50">
        <f>IS!AI29</f>
        <v>0</v>
      </c>
      <c r="X43" s="46">
        <f>X44*X37</f>
        <v>0</v>
      </c>
      <c r="Y43" s="46">
        <f>Y44*Y37</f>
        <v>0</v>
      </c>
      <c r="Z43" s="57">
        <f>SUM(V43:Y43)</f>
        <v>0</v>
      </c>
      <c r="AA43" s="71"/>
      <c r="AB43" s="46">
        <f t="shared" ref="AB43:AE43" si="7">AB44*AB37</f>
        <v>0</v>
      </c>
      <c r="AC43" s="46">
        <f t="shared" si="7"/>
        <v>0</v>
      </c>
      <c r="AD43" s="46">
        <f t="shared" si="7"/>
        <v>0</v>
      </c>
      <c r="AE43" s="46">
        <f t="shared" si="7"/>
        <v>0</v>
      </c>
      <c r="AF43" s="57">
        <f>SUM(AB43:AE43)</f>
        <v>0</v>
      </c>
      <c r="AG43" s="71"/>
      <c r="AH43" s="57">
        <f t="shared" ref="AH43:AJ43" si="8">AH44*AH37</f>
        <v>0</v>
      </c>
      <c r="AI43" s="72"/>
      <c r="AJ43" s="57">
        <f t="shared" si="8"/>
        <v>0</v>
      </c>
      <c r="AL43" s="57">
        <f>AL44*AL37</f>
        <v>0</v>
      </c>
      <c r="AS43" s="312"/>
    </row>
    <row r="44" spans="2:45" s="54" customFormat="1" ht="14.25" customHeight="1">
      <c r="B44" s="31" t="s">
        <v>422</v>
      </c>
      <c r="C44" s="21"/>
      <c r="D44" s="305">
        <f>D43/D37</f>
        <v>0</v>
      </c>
      <c r="E44" s="305">
        <f t="shared" ref="E44:G44" si="9">E43/E37</f>
        <v>0</v>
      </c>
      <c r="F44" s="305">
        <f t="shared" si="9"/>
        <v>0</v>
      </c>
      <c r="G44" s="305">
        <f t="shared" si="9"/>
        <v>0</v>
      </c>
      <c r="H44" s="308">
        <f>H43/H37</f>
        <v>0</v>
      </c>
      <c r="I44" s="48"/>
      <c r="J44" s="305" t="e">
        <f>J43/J37</f>
        <v>#DIV/0!</v>
      </c>
      <c r="K44" s="305" t="e">
        <f t="shared" ref="K44" si="10">K43/K37</f>
        <v>#DIV/0!</v>
      </c>
      <c r="L44" s="305" t="e">
        <f t="shared" ref="L44" si="11">L43/L37</f>
        <v>#DIV/0!</v>
      </c>
      <c r="M44" s="305" t="e">
        <f t="shared" ref="M44" si="12">M43/M37</f>
        <v>#DIV/0!</v>
      </c>
      <c r="N44" s="308">
        <f>N43/N37</f>
        <v>0</v>
      </c>
      <c r="O44" s="86"/>
      <c r="P44" s="305" t="e">
        <f>P43/P37</f>
        <v>#DIV/0!</v>
      </c>
      <c r="Q44" s="305" t="e">
        <f t="shared" ref="Q44" si="13">Q43/Q37</f>
        <v>#DIV/0!</v>
      </c>
      <c r="R44" s="305" t="e">
        <f t="shared" ref="R44" si="14">R43/R37</f>
        <v>#DIV/0!</v>
      </c>
      <c r="S44" s="305" t="e">
        <f t="shared" ref="S44" si="15">S43/S37</f>
        <v>#DIV/0!</v>
      </c>
      <c r="T44" s="308">
        <f>T43/T37</f>
        <v>0</v>
      </c>
      <c r="U44" s="82"/>
      <c r="V44" s="305">
        <f>V43/V37</f>
        <v>0</v>
      </c>
      <c r="W44" s="305">
        <f t="shared" ref="W44" si="16">W43/W37</f>
        <v>0</v>
      </c>
      <c r="X44" s="316">
        <v>0</v>
      </c>
      <c r="Y44" s="316">
        <v>0</v>
      </c>
      <c r="Z44" s="306">
        <f>Z43/Z$37</f>
        <v>0</v>
      </c>
      <c r="AA44" s="71"/>
      <c r="AB44" s="316"/>
      <c r="AC44" s="316"/>
      <c r="AD44" s="316"/>
      <c r="AE44" s="316"/>
      <c r="AF44" s="306">
        <f>AF43/AF$37</f>
        <v>0</v>
      </c>
      <c r="AG44" s="71"/>
      <c r="AH44" s="316">
        <v>0</v>
      </c>
      <c r="AI44" s="72"/>
      <c r="AJ44" s="316">
        <v>0</v>
      </c>
      <c r="AL44" s="316">
        <v>0</v>
      </c>
    </row>
    <row r="45" spans="2:45" s="54" customFormat="1" ht="14.25" customHeight="1">
      <c r="B45" s="31"/>
      <c r="C45" s="23"/>
      <c r="D45" s="305"/>
      <c r="E45" s="305"/>
      <c r="F45" s="305"/>
      <c r="G45" s="305"/>
      <c r="H45" s="308"/>
      <c r="I45" s="48"/>
      <c r="J45" s="305"/>
      <c r="K45" s="305"/>
      <c r="L45" s="305"/>
      <c r="M45" s="305"/>
      <c r="N45" s="308"/>
      <c r="O45" s="71"/>
      <c r="P45" s="305"/>
      <c r="Q45" s="305"/>
      <c r="R45" s="305"/>
      <c r="S45" s="305"/>
      <c r="T45" s="308"/>
      <c r="U45" s="49"/>
      <c r="V45" s="305"/>
      <c r="W45" s="305"/>
      <c r="X45" s="50"/>
      <c r="Y45" s="50"/>
      <c r="Z45" s="66"/>
      <c r="AA45" s="71"/>
      <c r="AB45" s="50"/>
      <c r="AC45" s="50"/>
      <c r="AD45" s="50"/>
      <c r="AE45" s="50"/>
      <c r="AF45" s="66"/>
      <c r="AG45" s="71"/>
      <c r="AH45" s="68"/>
      <c r="AI45" s="72"/>
      <c r="AJ45" s="68"/>
    </row>
    <row r="46" spans="2:45" s="54" customFormat="1" ht="14.25" customHeight="1">
      <c r="B46" s="28" t="s">
        <v>423</v>
      </c>
      <c r="C46" s="21"/>
      <c r="D46" s="50">
        <v>31</v>
      </c>
      <c r="E46" s="50">
        <f>IS!Q28</f>
        <v>0</v>
      </c>
      <c r="F46" s="50">
        <f>IS!R28</f>
        <v>0</v>
      </c>
      <c r="G46" s="50">
        <f>IS!S28</f>
        <v>0</v>
      </c>
      <c r="H46" s="68">
        <f>H49+H52</f>
        <v>166</v>
      </c>
      <c r="I46" s="48"/>
      <c r="J46" s="50">
        <f>IS!V28</f>
        <v>0</v>
      </c>
      <c r="K46" s="50">
        <f>IS!W28</f>
        <v>0</v>
      </c>
      <c r="L46" s="50">
        <f>IS!X28</f>
        <v>0</v>
      </c>
      <c r="M46" s="50">
        <f>IS!Y28</f>
        <v>0</v>
      </c>
      <c r="N46" s="68">
        <f>N49+N52</f>
        <v>223</v>
      </c>
      <c r="O46" s="86"/>
      <c r="P46" s="50">
        <f>IS!AB28</f>
        <v>0</v>
      </c>
      <c r="Q46" s="50">
        <f>IS!AC28</f>
        <v>0</v>
      </c>
      <c r="R46" s="50">
        <f>IS!AD28</f>
        <v>0</v>
      </c>
      <c r="S46" s="50">
        <f>IS!AE28</f>
        <v>0</v>
      </c>
      <c r="T46" s="68">
        <f>T49+T52</f>
        <v>414.8</v>
      </c>
      <c r="U46" s="82"/>
      <c r="V46" s="50">
        <f>IS!AH28</f>
        <v>0</v>
      </c>
      <c r="W46" s="50">
        <f>IS!AI28</f>
        <v>0</v>
      </c>
      <c r="X46" s="46">
        <f>X49+X52</f>
        <v>433.04624999999999</v>
      </c>
      <c r="Y46" s="46">
        <f>Y49+Y52</f>
        <v>380.99900249999996</v>
      </c>
      <c r="Z46" s="68">
        <f>Z49+Z52</f>
        <v>458.57693999999998</v>
      </c>
      <c r="AA46" s="185"/>
      <c r="AB46" s="46">
        <f t="shared" ref="AB46:AE46" si="17">AB49+AB52</f>
        <v>0</v>
      </c>
      <c r="AC46" s="46">
        <f t="shared" si="17"/>
        <v>0</v>
      </c>
      <c r="AD46" s="46">
        <f t="shared" si="17"/>
        <v>0</v>
      </c>
      <c r="AE46" s="46">
        <f t="shared" si="17"/>
        <v>0</v>
      </c>
      <c r="AF46" s="68">
        <f>AF49+AF52</f>
        <v>554.07884336670008</v>
      </c>
      <c r="AG46" s="185"/>
      <c r="AH46" s="68">
        <f>AH49+AH52</f>
        <v>680.30888566567</v>
      </c>
      <c r="AI46" s="185"/>
      <c r="AJ46" s="68">
        <f>AJ49+AJ52</f>
        <v>709.64301989926901</v>
      </c>
      <c r="AK46" s="66"/>
      <c r="AL46" s="68">
        <f>AL49+AL52</f>
        <v>737.13556055745858</v>
      </c>
    </row>
    <row r="47" spans="2:45" s="54" customFormat="1" ht="14.25" customHeight="1">
      <c r="B47" s="31" t="s">
        <v>424</v>
      </c>
      <c r="C47" s="23"/>
      <c r="D47" s="305">
        <f>D46/(D76+D79)</f>
        <v>1.9417718981759872E-2</v>
      </c>
      <c r="E47" s="305">
        <f>E46/(E76+E79)</f>
        <v>0</v>
      </c>
      <c r="F47" s="305">
        <f>F46/(F76+F79)</f>
        <v>0</v>
      </c>
      <c r="G47" s="305">
        <f>G46/(G76+G79)</f>
        <v>0</v>
      </c>
      <c r="H47" s="308">
        <f>H46/(H76+H79)</f>
        <v>8.4910746529145348E-2</v>
      </c>
      <c r="I47" s="48"/>
      <c r="J47" s="305">
        <f>J46/(J76+J79)</f>
        <v>0</v>
      </c>
      <c r="K47" s="305">
        <f>K46/(K76+K79)</f>
        <v>0</v>
      </c>
      <c r="L47" s="305">
        <f>L46/(L76+L79)</f>
        <v>0</v>
      </c>
      <c r="M47" s="305">
        <f>M46/(M76+M79)</f>
        <v>0</v>
      </c>
      <c r="N47" s="308">
        <f>N46/(N76+N79)</f>
        <v>9.091520628171075E-2</v>
      </c>
      <c r="O47" s="71"/>
      <c r="P47" s="305">
        <f>P46/(P76+P79)</f>
        <v>0</v>
      </c>
      <c r="Q47" s="305">
        <f>Q46/(Q76+Q79)</f>
        <v>0</v>
      </c>
      <c r="R47" s="305">
        <f>R46/(R76+R79)</f>
        <v>0</v>
      </c>
      <c r="S47" s="305">
        <f>S46/(S76+S79)</f>
        <v>0</v>
      </c>
      <c r="T47" s="308">
        <f>T46/(T76+T79)</f>
        <v>6.8559014469125462E-2</v>
      </c>
      <c r="U47" s="49"/>
      <c r="V47" s="305">
        <f>V46/(V76+V79)</f>
        <v>0</v>
      </c>
      <c r="W47" s="305">
        <f>W46/(W76+W79)</f>
        <v>0</v>
      </c>
      <c r="X47" s="305">
        <f>X46/( X76+X79)</f>
        <v>8.1357635000149128E-2</v>
      </c>
      <c r="Y47" s="305">
        <f>Y46/( Y76+Y79)</f>
        <v>7.7097996047401016E-2</v>
      </c>
      <c r="Z47" s="308">
        <f>Z46/(Z76+Z79)</f>
        <v>7.7218242712219096E-2</v>
      </c>
      <c r="AA47" s="71"/>
      <c r="AB47" s="305">
        <f t="shared" ref="AB47:AE47" si="18">AB46/( AB76+AB79)</f>
        <v>0</v>
      </c>
      <c r="AC47" s="305">
        <f t="shared" si="18"/>
        <v>0</v>
      </c>
      <c r="AD47" s="305">
        <f t="shared" si="18"/>
        <v>0</v>
      </c>
      <c r="AE47" s="305">
        <f t="shared" si="18"/>
        <v>0</v>
      </c>
      <c r="AF47" s="308">
        <f>AF46/(AF76+AF79)</f>
        <v>9.0196882211929647E-2</v>
      </c>
      <c r="AG47" s="71"/>
      <c r="AH47" s="308">
        <f>AH46/( AH76+AH79)</f>
        <v>0.10962633195893812</v>
      </c>
      <c r="AI47" s="72"/>
      <c r="AJ47" s="308">
        <f>AJ46/( AJ76+AJ79)</f>
        <v>0.11341720952096461</v>
      </c>
      <c r="AL47" s="308">
        <f>AL46/( AL76+AL79)</f>
        <v>0.1173396327308195</v>
      </c>
    </row>
    <row r="48" spans="2:45" s="54" customFormat="1" ht="14.25" customHeight="1">
      <c r="B48" s="31"/>
      <c r="C48" s="23"/>
      <c r="D48" s="305"/>
      <c r="E48" s="305"/>
      <c r="F48" s="305"/>
      <c r="G48" s="305"/>
      <c r="H48" s="308"/>
      <c r="I48" s="48"/>
      <c r="J48" s="305"/>
      <c r="K48" s="305"/>
      <c r="L48" s="305"/>
      <c r="M48" s="305"/>
      <c r="N48" s="308"/>
      <c r="O48" s="71"/>
      <c r="P48" s="305"/>
      <c r="Q48" s="305"/>
      <c r="R48" s="305"/>
      <c r="S48" s="305"/>
      <c r="T48" s="308"/>
      <c r="U48" s="49"/>
      <c r="V48" s="305"/>
      <c r="W48" s="305"/>
      <c r="X48" s="50"/>
      <c r="Y48" s="50"/>
      <c r="Z48" s="66"/>
      <c r="AA48" s="71"/>
      <c r="AB48" s="50"/>
      <c r="AC48" s="50"/>
      <c r="AD48" s="50"/>
      <c r="AE48" s="50"/>
      <c r="AF48" s="66"/>
      <c r="AG48" s="71"/>
      <c r="AH48" s="68"/>
      <c r="AI48" s="72"/>
      <c r="AJ48" s="68"/>
    </row>
    <row r="49" spans="2:40" s="54" customFormat="1" ht="14.25" customHeight="1">
      <c r="B49" s="301" t="s">
        <v>425</v>
      </c>
      <c r="C49" s="23"/>
      <c r="D49" s="50">
        <f>IS!P64</f>
        <v>0</v>
      </c>
      <c r="E49" s="50">
        <f>IS!Q64</f>
        <v>0</v>
      </c>
      <c r="F49" s="50">
        <f>IS!R64</f>
        <v>0</v>
      </c>
      <c r="G49" s="50">
        <f>IS!S64</f>
        <v>0</v>
      </c>
      <c r="H49" s="68">
        <v>135.69999999999999</v>
      </c>
      <c r="I49" s="48"/>
      <c r="J49" s="50">
        <f>IS!V64</f>
        <v>0</v>
      </c>
      <c r="K49" s="50">
        <f>IS!W64</f>
        <v>0</v>
      </c>
      <c r="L49" s="50">
        <f>IS!X64</f>
        <v>0</v>
      </c>
      <c r="M49" s="50">
        <f>IS!Y64</f>
        <v>0</v>
      </c>
      <c r="N49" s="68">
        <v>176.3</v>
      </c>
      <c r="O49" s="71"/>
      <c r="P49" s="50">
        <f>IS!AB64</f>
        <v>0</v>
      </c>
      <c r="Q49" s="50">
        <f>IS!AC64</f>
        <v>0</v>
      </c>
      <c r="R49" s="50">
        <f>IS!AD64</f>
        <v>0</v>
      </c>
      <c r="S49" s="50">
        <f>IS!AE64</f>
        <v>0</v>
      </c>
      <c r="T49" s="68">
        <v>288.3</v>
      </c>
      <c r="U49" s="49"/>
      <c r="V49" s="50">
        <f>IS!AH64</f>
        <v>0</v>
      </c>
      <c r="W49" s="50">
        <f>IS!AI64</f>
        <v>0</v>
      </c>
      <c r="X49" s="46">
        <f>X50*W76</f>
        <v>325.46549999999996</v>
      </c>
      <c r="Y49" s="46">
        <f>Y50*X76</f>
        <v>276.64567499999998</v>
      </c>
      <c r="Z49" s="57">
        <f>Z50*T76</f>
        <v>346.33634999999998</v>
      </c>
      <c r="AA49" s="71"/>
      <c r="AB49" s="46">
        <f>AB50*Y76</f>
        <v>0</v>
      </c>
      <c r="AC49" s="46">
        <f>AC50*AB76</f>
        <v>0</v>
      </c>
      <c r="AD49" s="46">
        <f t="shared" ref="AD49:AE49" si="19">AD50*AC76</f>
        <v>0</v>
      </c>
      <c r="AE49" s="46">
        <f t="shared" si="19"/>
        <v>0</v>
      </c>
      <c r="AF49" s="57">
        <f>AF50*Z76</f>
        <v>435.98566107920004</v>
      </c>
      <c r="AG49" s="71"/>
      <c r="AH49" s="57">
        <f>AH50*AF76</f>
        <v>553.78047607192002</v>
      </c>
      <c r="AI49" s="72"/>
      <c r="AJ49" s="57">
        <f>AJ50*AH76</f>
        <v>576.76842941507368</v>
      </c>
      <c r="AL49" s="57">
        <f>AL50*AJ76</f>
        <v>598.36981681115628</v>
      </c>
    </row>
    <row r="50" spans="2:40" s="54" customFormat="1" ht="14.25" customHeight="1">
      <c r="B50" s="302" t="s">
        <v>426</v>
      </c>
      <c r="C50" s="23"/>
      <c r="D50" s="305">
        <f>D49/D76</f>
        <v>0</v>
      </c>
      <c r="E50" s="305">
        <f>E49/E76</f>
        <v>0</v>
      </c>
      <c r="F50" s="305">
        <f>F49/F76</f>
        <v>0</v>
      </c>
      <c r="G50" s="305">
        <f>G49/G76</f>
        <v>0</v>
      </c>
      <c r="H50" s="308">
        <f>H49/H76</f>
        <v>0.19621678991066857</v>
      </c>
      <c r="I50" s="48"/>
      <c r="J50" s="305">
        <f>J49/J76</f>
        <v>0</v>
      </c>
      <c r="K50" s="305">
        <f>K49/K76</f>
        <v>0</v>
      </c>
      <c r="L50" s="305">
        <f>L49/L76</f>
        <v>0</v>
      </c>
      <c r="M50" s="305">
        <f>M49/M76</f>
        <v>0</v>
      </c>
      <c r="N50" s="308">
        <f>N49/N76</f>
        <v>0.19788333301531325</v>
      </c>
      <c r="O50" s="71"/>
      <c r="P50" s="305">
        <f>P49/P76</f>
        <v>0</v>
      </c>
      <c r="Q50" s="305">
        <f>Q49/Q76</f>
        <v>0</v>
      </c>
      <c r="R50" s="305">
        <f>R49/R76</f>
        <v>0</v>
      </c>
      <c r="S50" s="305">
        <f>S49/S76</f>
        <v>0</v>
      </c>
      <c r="T50" s="308">
        <f>T49/T76</f>
        <v>0.12486416744878209</v>
      </c>
      <c r="U50" s="49"/>
      <c r="V50" s="305">
        <f>V49/V76</f>
        <v>0</v>
      </c>
      <c r="W50" s="305">
        <f>W49/W76</f>
        <v>0</v>
      </c>
      <c r="X50" s="316">
        <v>0.15</v>
      </c>
      <c r="Y50" s="316">
        <v>0.15</v>
      </c>
      <c r="Z50" s="316">
        <v>0.15</v>
      </c>
      <c r="AA50" s="71"/>
      <c r="AB50" s="316"/>
      <c r="AC50" s="316"/>
      <c r="AD50" s="316"/>
      <c r="AE50" s="316"/>
      <c r="AF50" s="316">
        <v>0.17</v>
      </c>
      <c r="AG50" s="71"/>
      <c r="AH50" s="316">
        <v>0.2</v>
      </c>
      <c r="AI50" s="72"/>
      <c r="AJ50" s="316">
        <v>0.2</v>
      </c>
      <c r="AL50" s="316">
        <v>0.2</v>
      </c>
      <c r="AN50" s="712"/>
    </row>
    <row r="51" spans="2:40" s="54" customFormat="1" ht="14.25" customHeight="1">
      <c r="B51" s="31"/>
      <c r="C51" s="23"/>
      <c r="D51" s="305"/>
      <c r="E51" s="305"/>
      <c r="F51" s="305"/>
      <c r="G51" s="305"/>
      <c r="H51" s="308"/>
      <c r="I51" s="48"/>
      <c r="J51" s="305"/>
      <c r="K51" s="305"/>
      <c r="L51" s="305"/>
      <c r="M51" s="305"/>
      <c r="N51" s="308"/>
      <c r="O51" s="71"/>
      <c r="P51" s="305"/>
      <c r="Q51" s="305"/>
      <c r="R51" s="305"/>
      <c r="S51" s="305"/>
      <c r="T51" s="308"/>
      <c r="U51" s="49"/>
      <c r="V51" s="305"/>
      <c r="W51" s="305"/>
      <c r="X51" s="50"/>
      <c r="Y51" s="50"/>
      <c r="Z51" s="66"/>
      <c r="AA51" s="71"/>
      <c r="AB51" s="50"/>
      <c r="AC51" s="50"/>
      <c r="AD51" s="50"/>
      <c r="AE51" s="50"/>
      <c r="AF51" s="66"/>
      <c r="AG51" s="71"/>
      <c r="AH51" s="68"/>
      <c r="AI51" s="72"/>
      <c r="AJ51" s="68"/>
    </row>
    <row r="52" spans="2:40" s="54" customFormat="1" ht="14.25" customHeight="1">
      <c r="B52" s="301" t="s">
        <v>427</v>
      </c>
      <c r="C52" s="23"/>
      <c r="D52" s="50">
        <f>IS!P65</f>
        <v>0</v>
      </c>
      <c r="E52" s="50">
        <f>IS!Q65</f>
        <v>0</v>
      </c>
      <c r="F52" s="50">
        <f>IS!R65</f>
        <v>0</v>
      </c>
      <c r="G52" s="50">
        <f>IS!S65</f>
        <v>0</v>
      </c>
      <c r="H52" s="68">
        <v>30.3</v>
      </c>
      <c r="I52" s="48"/>
      <c r="J52" s="50">
        <f>IS!V65</f>
        <v>0</v>
      </c>
      <c r="K52" s="50">
        <f>IS!W65</f>
        <v>0</v>
      </c>
      <c r="L52" s="50">
        <f>IS!X65</f>
        <v>0</v>
      </c>
      <c r="M52" s="50">
        <f>IS!Y65</f>
        <v>0</v>
      </c>
      <c r="N52" s="68">
        <v>46.7</v>
      </c>
      <c r="O52" s="71"/>
      <c r="P52" s="50">
        <f>IS!AB65</f>
        <v>0</v>
      </c>
      <c r="Q52" s="50">
        <f>IS!AC65</f>
        <v>0</v>
      </c>
      <c r="R52" s="50">
        <f>IS!AD65</f>
        <v>0</v>
      </c>
      <c r="S52" s="50">
        <f>IS!AE65</f>
        <v>0</v>
      </c>
      <c r="T52" s="68">
        <v>126.5</v>
      </c>
      <c r="U52" s="49"/>
      <c r="V52" s="50">
        <f>IS!AH65</f>
        <v>0</v>
      </c>
      <c r="W52" s="50">
        <f>IS!AI65</f>
        <v>0</v>
      </c>
      <c r="X52" s="46">
        <f>X53*W79</f>
        <v>107.58074999999999</v>
      </c>
      <c r="Y52" s="46">
        <f>Y53*X79</f>
        <v>104.35332749999999</v>
      </c>
      <c r="Z52" s="57">
        <f>Z53*T79</f>
        <v>112.24059</v>
      </c>
      <c r="AA52" s="71"/>
      <c r="AB52" s="46">
        <f>AB53*Y79</f>
        <v>0</v>
      </c>
      <c r="AC52" s="46">
        <f t="shared" ref="AC52:AE52" si="20">AC53*AB79</f>
        <v>0</v>
      </c>
      <c r="AD52" s="46">
        <f t="shared" si="20"/>
        <v>0</v>
      </c>
      <c r="AE52" s="46">
        <f t="shared" si="20"/>
        <v>0</v>
      </c>
      <c r="AF52" s="57">
        <f>AF53*Z79</f>
        <v>118.09318228750001</v>
      </c>
      <c r="AG52" s="71"/>
      <c r="AH52" s="57">
        <f>AH53*AF79</f>
        <v>126.52840959375</v>
      </c>
      <c r="AI52" s="72"/>
      <c r="AJ52" s="57">
        <f>AJ53*AH79</f>
        <v>132.87459048419529</v>
      </c>
      <c r="AL52" s="57">
        <f>AL53*AJ79</f>
        <v>138.76574374630232</v>
      </c>
    </row>
    <row r="53" spans="2:40" s="54" customFormat="1" ht="14.25" customHeight="1">
      <c r="B53" s="302" t="s">
        <v>428</v>
      </c>
      <c r="C53" s="23"/>
      <c r="D53" s="305">
        <f>D52/D79</f>
        <v>0</v>
      </c>
      <c r="E53" s="305">
        <f>E52/E79</f>
        <v>0</v>
      </c>
      <c r="F53" s="305">
        <f>F52/F79</f>
        <v>0</v>
      </c>
      <c r="G53" s="305">
        <f>G52/G79</f>
        <v>0</v>
      </c>
      <c r="H53" s="308">
        <f>H52/H79</f>
        <v>2.3982675485114912E-2</v>
      </c>
      <c r="I53" s="48"/>
      <c r="J53" s="305">
        <f>J52/J79</f>
        <v>0</v>
      </c>
      <c r="K53" s="305">
        <f>K52/K79</f>
        <v>0</v>
      </c>
      <c r="L53" s="305">
        <f>L52/L79</f>
        <v>0</v>
      </c>
      <c r="M53" s="305">
        <f>M52/M79</f>
        <v>0</v>
      </c>
      <c r="N53" s="308">
        <f>N52/N79</f>
        <v>2.989936654318506E-2</v>
      </c>
      <c r="O53" s="71"/>
      <c r="P53" s="305">
        <f>P52/P79</f>
        <v>0</v>
      </c>
      <c r="Q53" s="305">
        <f>Q52/Q79</f>
        <v>0</v>
      </c>
      <c r="R53" s="305">
        <f>R52/R79</f>
        <v>0</v>
      </c>
      <c r="S53" s="305">
        <f>S52/S79</f>
        <v>0</v>
      </c>
      <c r="T53" s="308">
        <f>T52/T79</f>
        <v>3.3811297677604865E-2</v>
      </c>
      <c r="U53" s="49"/>
      <c r="V53" s="305">
        <f>V52/V79</f>
        <v>0</v>
      </c>
      <c r="W53" s="305">
        <f>W52/W79</f>
        <v>0</v>
      </c>
      <c r="X53" s="316">
        <v>0.03</v>
      </c>
      <c r="Y53" s="316">
        <v>0.03</v>
      </c>
      <c r="Z53" s="316">
        <v>0.03</v>
      </c>
      <c r="AA53" s="71"/>
      <c r="AB53" s="316"/>
      <c r="AC53" s="316"/>
      <c r="AD53" s="316"/>
      <c r="AE53" s="316"/>
      <c r="AF53" s="316">
        <v>3.5000000000000003E-2</v>
      </c>
      <c r="AG53" s="71"/>
      <c r="AH53" s="735">
        <v>3.7499999999999999E-2</v>
      </c>
      <c r="AI53" s="72"/>
      <c r="AJ53" s="316">
        <v>0.04</v>
      </c>
      <c r="AL53" s="316">
        <v>4.2500000000000003E-2</v>
      </c>
    </row>
    <row r="54" spans="2:40" s="54" customFormat="1" ht="14.25" customHeight="1">
      <c r="B54" s="31"/>
      <c r="C54" s="23"/>
      <c r="D54" s="46"/>
      <c r="E54" s="46"/>
      <c r="F54" s="46"/>
      <c r="G54" s="46"/>
      <c r="H54" s="66"/>
      <c r="I54" s="48"/>
      <c r="J54" s="46"/>
      <c r="K54" s="46"/>
      <c r="L54" s="46"/>
      <c r="M54" s="46"/>
      <c r="N54" s="66"/>
      <c r="O54" s="71"/>
      <c r="P54" s="46"/>
      <c r="Q54" s="46"/>
      <c r="R54" s="46"/>
      <c r="S54" s="46"/>
      <c r="T54" s="66"/>
      <c r="U54" s="49"/>
      <c r="V54" s="46"/>
      <c r="W54" s="46"/>
      <c r="X54" s="50"/>
      <c r="Y54" s="50"/>
      <c r="Z54" s="66"/>
      <c r="AA54" s="71"/>
      <c r="AB54" s="50"/>
      <c r="AC54" s="50"/>
      <c r="AD54" s="50"/>
      <c r="AE54" s="50"/>
      <c r="AF54" s="66"/>
      <c r="AG54" s="71"/>
      <c r="AH54" s="68"/>
      <c r="AI54" s="72"/>
      <c r="AJ54" s="68"/>
    </row>
    <row r="55" spans="2:40" s="54" customFormat="1" ht="14.25" customHeight="1">
      <c r="B55" s="39" t="s">
        <v>429</v>
      </c>
      <c r="C55" s="23"/>
      <c r="D55" s="50">
        <f>IS!P30+IS!P32</f>
        <v>82.386000000000024</v>
      </c>
      <c r="E55" s="50">
        <f>IS!Q30+IS!Q32</f>
        <v>73.995000000000019</v>
      </c>
      <c r="F55" s="50">
        <f>IS!R30+IS!R32</f>
        <v>12.498999999999963</v>
      </c>
      <c r="G55" s="50">
        <f>IS!S30+IS!S32</f>
        <v>-61.553000000000004</v>
      </c>
      <c r="H55" s="68">
        <v>105</v>
      </c>
      <c r="I55" s="48"/>
      <c r="J55" s="50"/>
      <c r="K55" s="50"/>
      <c r="L55" s="50"/>
      <c r="M55" s="50"/>
      <c r="N55" s="68">
        <v>68</v>
      </c>
      <c r="O55" s="71"/>
      <c r="P55" s="50"/>
      <c r="Q55" s="50"/>
      <c r="R55" s="50"/>
      <c r="S55" s="50"/>
      <c r="T55" s="68">
        <v>49.3</v>
      </c>
      <c r="U55" s="49"/>
      <c r="V55" s="50">
        <f>IS!AH30+IS!AH32</f>
        <v>69.355999999999796</v>
      </c>
      <c r="W55" s="50">
        <f>IS!AI30+IS!AI32</f>
        <v>31.440999999999914</v>
      </c>
      <c r="X55" s="46">
        <f>X56*X$26</f>
        <v>38.3967271</v>
      </c>
      <c r="Y55" s="46">
        <f>Y56*Y$26</f>
        <v>40.962787159999998</v>
      </c>
      <c r="Z55" s="57">
        <f>Z28*Z56</f>
        <v>142.43416576398837</v>
      </c>
      <c r="AA55" s="71"/>
      <c r="AB55" s="46">
        <f>AB56*AB$26</f>
        <v>0</v>
      </c>
      <c r="AC55" s="46">
        <f>AC56*AC$26</f>
        <v>0</v>
      </c>
      <c r="AD55" s="46">
        <f>AD56*AD$26</f>
        <v>0</v>
      </c>
      <c r="AE55" s="46">
        <f>AE56*AE$26</f>
        <v>0</v>
      </c>
      <c r="AF55" s="57">
        <f>AF28*AF56</f>
        <v>127.02362639804281</v>
      </c>
      <c r="AG55" s="71"/>
      <c r="AH55" s="57">
        <f>AH28*AH56</f>
        <v>173.37191479680803</v>
      </c>
      <c r="AI55" s="72"/>
      <c r="AJ55" s="57">
        <f>AJ28*AJ56</f>
        <v>193.67384100074369</v>
      </c>
      <c r="AL55" s="57">
        <f>AL28*AL56</f>
        <v>228.68346802648688</v>
      </c>
    </row>
    <row r="56" spans="2:40" s="54" customFormat="1" ht="14.25" customHeight="1">
      <c r="B56" s="31" t="s">
        <v>416</v>
      </c>
      <c r="C56" s="21"/>
      <c r="D56" s="305">
        <f>D55/D26</f>
        <v>3.2182295245390694E-2</v>
      </c>
      <c r="E56" s="305">
        <f>E55/E26</f>
        <v>2.890453398250533E-2</v>
      </c>
      <c r="F56" s="305">
        <f>F55/F26</f>
        <v>4.4630168408453571E-3</v>
      </c>
      <c r="G56" s="305">
        <f>G55/G26</f>
        <v>-2.0580329654398381E-2</v>
      </c>
      <c r="H56" s="308">
        <f>H55/H28</f>
        <v>2.4801001488060092E-2</v>
      </c>
      <c r="I56" s="308"/>
      <c r="J56" s="308" t="e">
        <f t="shared" ref="J56:T56" si="21">J55/J28</f>
        <v>#DIV/0!</v>
      </c>
      <c r="K56" s="308" t="e">
        <f t="shared" si="21"/>
        <v>#DIV/0!</v>
      </c>
      <c r="L56" s="308" t="e">
        <f t="shared" si="21"/>
        <v>#DIV/0!</v>
      </c>
      <c r="M56" s="308" t="e">
        <f t="shared" si="21"/>
        <v>#DIV/0!</v>
      </c>
      <c r="N56" s="308">
        <f t="shared" si="21"/>
        <v>1.4029875381695138E-2</v>
      </c>
      <c r="O56" s="308"/>
      <c r="P56" s="308" t="e">
        <f t="shared" si="21"/>
        <v>#DIV/0!</v>
      </c>
      <c r="Q56" s="308" t="e">
        <f t="shared" si="21"/>
        <v>#DIV/0!</v>
      </c>
      <c r="R56" s="308" t="e">
        <f t="shared" si="21"/>
        <v>#DIV/0!</v>
      </c>
      <c r="S56" s="308" t="e">
        <f t="shared" si="21"/>
        <v>#DIV/0!</v>
      </c>
      <c r="T56" s="308">
        <f t="shared" si="21"/>
        <v>5.8831953029905249E-3</v>
      </c>
      <c r="U56" s="82"/>
      <c r="V56" s="305">
        <f>V55/V26</f>
        <v>1.9708341803315405E-2</v>
      </c>
      <c r="W56" s="305">
        <f>W55/W26</f>
        <v>8.9343384081844376E-3</v>
      </c>
      <c r="X56" s="316">
        <v>0.01</v>
      </c>
      <c r="Y56" s="316">
        <v>0.01</v>
      </c>
      <c r="Z56" s="306">
        <f>AVERAGE(T56,N56,H56)</f>
        <v>1.4904690724248585E-2</v>
      </c>
      <c r="AA56" s="71"/>
      <c r="AB56" s="316"/>
      <c r="AC56" s="316"/>
      <c r="AD56" s="316"/>
      <c r="AE56" s="316"/>
      <c r="AF56" s="306">
        <f>AVERAGE(Z56,T56,N56)</f>
        <v>1.1605920469644751E-2</v>
      </c>
      <c r="AG56" s="71"/>
      <c r="AH56" s="316">
        <v>1.4E-2</v>
      </c>
      <c r="AI56" s="72"/>
      <c r="AJ56" s="316">
        <v>1.4E-2</v>
      </c>
      <c r="AL56" s="316">
        <v>1.4999999999999999E-2</v>
      </c>
    </row>
    <row r="57" spans="2:40" s="54" customFormat="1" ht="14.25" customHeight="1">
      <c r="B57" s="39"/>
      <c r="C57" s="23"/>
      <c r="D57" s="46"/>
      <c r="E57" s="46"/>
      <c r="F57" s="46"/>
      <c r="G57" s="46"/>
      <c r="H57" s="66"/>
      <c r="I57" s="48"/>
      <c r="J57" s="46"/>
      <c r="K57" s="46"/>
      <c r="L57" s="46"/>
      <c r="M57" s="46"/>
      <c r="N57" s="66"/>
      <c r="O57" s="71"/>
      <c r="P57" s="46"/>
      <c r="Q57" s="46"/>
      <c r="R57" s="46"/>
      <c r="S57" s="46"/>
      <c r="T57" s="66"/>
      <c r="U57" s="49"/>
      <c r="V57" s="46"/>
      <c r="W57" s="46"/>
      <c r="X57" s="50"/>
      <c r="Y57" s="50"/>
      <c r="Z57" s="66"/>
      <c r="AA57" s="71"/>
      <c r="AB57" s="50"/>
      <c r="AC57" s="50"/>
      <c r="AD57" s="50"/>
      <c r="AE57" s="50"/>
      <c r="AF57" s="66"/>
      <c r="AG57" s="71"/>
      <c r="AH57" s="68"/>
      <c r="AI57" s="72"/>
      <c r="AJ57" s="68"/>
    </row>
    <row r="58" spans="2:40" s="54" customFormat="1" ht="14.25" customHeight="1">
      <c r="B58" s="28" t="s">
        <v>430</v>
      </c>
      <c r="C58" s="23"/>
      <c r="D58" s="50"/>
      <c r="E58" s="50"/>
      <c r="F58" s="50"/>
      <c r="G58" s="50"/>
      <c r="H58" s="68">
        <f>H37-H40+H55</f>
        <v>569.69999999999982</v>
      </c>
      <c r="I58" s="48"/>
      <c r="J58" s="50">
        <f>IS!V33</f>
        <v>116.98</v>
      </c>
      <c r="K58" s="50">
        <f>IS!W33</f>
        <v>130.91999999999999</v>
      </c>
      <c r="L58" s="50">
        <f>IS!X33</f>
        <v>179.298</v>
      </c>
      <c r="M58" s="50">
        <f>IS!Y33</f>
        <v>155.29499999999999</v>
      </c>
      <c r="N58" s="68">
        <f>N37-N40+N55</f>
        <v>587.90000000000055</v>
      </c>
      <c r="O58" s="71"/>
      <c r="P58" s="50">
        <f>IS!AB33</f>
        <v>110.84399999999999</v>
      </c>
      <c r="Q58" s="50">
        <f>IS!AC33</f>
        <v>143.72900000000001</v>
      </c>
      <c r="R58" s="50">
        <f>IS!AD33</f>
        <v>187.465</v>
      </c>
      <c r="S58" s="50">
        <f>IS!AE33</f>
        <v>195.125</v>
      </c>
      <c r="T58" s="68">
        <f>T37-T40+T55</f>
        <v>630.59999999999923</v>
      </c>
      <c r="U58" s="49"/>
      <c r="V58" s="50">
        <f>IS!AH33</f>
        <v>280.33699999999999</v>
      </c>
      <c r="W58" s="50">
        <f>IS!AI33</f>
        <v>367.10399999999998</v>
      </c>
      <c r="X58" s="46">
        <f>X37-X40-X43-X46-X55</f>
        <v>-3543.1811450999999</v>
      </c>
      <c r="Y58" s="46">
        <f>Y37-Y40-Y43-Y46-Y55</f>
        <v>-3698.9847624599993</v>
      </c>
      <c r="Z58" s="68">
        <f>Z37-Z40+Z55</f>
        <v>1980.6155505048059</v>
      </c>
      <c r="AA58" s="71"/>
      <c r="AB58" s="46">
        <f t="shared" ref="AB58:AE58" si="22">AB37-AB40-AB43-AB46-AB55</f>
        <v>0</v>
      </c>
      <c r="AC58" s="46">
        <f t="shared" si="22"/>
        <v>0</v>
      </c>
      <c r="AD58" s="46">
        <f t="shared" si="22"/>
        <v>0</v>
      </c>
      <c r="AE58" s="46">
        <f t="shared" si="22"/>
        <v>0</v>
      </c>
      <c r="AF58" s="68">
        <f>AF37-AF40+AF55</f>
        <v>2315.9689449580424</v>
      </c>
      <c r="AG58" s="71"/>
      <c r="AH58" s="68">
        <f>AH37-AH40+AH55</f>
        <v>3269.2989647398085</v>
      </c>
      <c r="AI58" s="72"/>
      <c r="AJ58" s="68">
        <f>AJ37-AJ40+AJ55</f>
        <v>4067.1506610156166</v>
      </c>
      <c r="AL58" s="68">
        <f>AL37-AL40+AL55</f>
        <v>4649.8971832052339</v>
      </c>
      <c r="AN58" s="712"/>
    </row>
    <row r="59" spans="2:40" s="54" customFormat="1" ht="14.25" customHeight="1">
      <c r="B59" s="31" t="s">
        <v>416</v>
      </c>
      <c r="C59" s="23"/>
      <c r="D59" s="305">
        <f>D58/D26</f>
        <v>0</v>
      </c>
      <c r="E59" s="305">
        <f>E58/E26</f>
        <v>0</v>
      </c>
      <c r="F59" s="305">
        <f>F58/F26</f>
        <v>0</v>
      </c>
      <c r="G59" s="305">
        <f>G58/G26</f>
        <v>0</v>
      </c>
      <c r="H59" s="308">
        <f>H58/H28</f>
        <v>0.13456314807378886</v>
      </c>
      <c r="I59" s="48"/>
      <c r="J59" s="305">
        <f>J58/J26</f>
        <v>3.857930155502156E-2</v>
      </c>
      <c r="K59" s="305">
        <f>K58/K26</f>
        <v>4.3176629847695519E-2</v>
      </c>
      <c r="L59" s="305">
        <f>L58/L26</f>
        <v>5.4739491457430033E-2</v>
      </c>
      <c r="M59" s="305">
        <f>M58/M26</f>
        <v>4.4770318277913793E-2</v>
      </c>
      <c r="N59" s="308">
        <f>N58/N28</f>
        <v>0.12129652554262617</v>
      </c>
      <c r="O59" s="71"/>
      <c r="P59" s="305">
        <f>P58/P26</f>
        <v>3.301442482318754E-2</v>
      </c>
      <c r="Q59" s="305">
        <f>Q58/Q26</f>
        <v>4.2809085430081217E-2</v>
      </c>
      <c r="R59" s="305">
        <f>R58/R26</f>
        <v>5.1803083895213882E-2</v>
      </c>
      <c r="S59" s="305">
        <f>S58/S26</f>
        <v>5.0793960692437849E-2</v>
      </c>
      <c r="T59" s="308">
        <f>T58/T28</f>
        <v>7.5252392658535922E-2</v>
      </c>
      <c r="U59" s="49"/>
      <c r="V59" s="305">
        <f>V58/V26</f>
        <v>7.9661131208778574E-2</v>
      </c>
      <c r="W59" s="305">
        <f>W58/W26</f>
        <v>0.10431701812913548</v>
      </c>
      <c r="X59" s="307">
        <f t="shared" ref="X59:Y59" si="23">X58/X$26</f>
        <v>-0.92278207355334718</v>
      </c>
      <c r="Y59" s="307">
        <f t="shared" si="23"/>
        <v>-0.90301100557728731</v>
      </c>
      <c r="Z59" s="306">
        <f>Z58/Z$26</f>
        <v>0.13264440959066642</v>
      </c>
      <c r="AA59" s="71"/>
      <c r="AB59" s="307">
        <f t="shared" ref="AB59" si="24">AB58/AB$26</f>
        <v>0</v>
      </c>
      <c r="AC59" s="307">
        <f t="shared" ref="AC59" si="25">AC58/AC$26</f>
        <v>0</v>
      </c>
      <c r="AD59" s="307">
        <f t="shared" ref="AD59" si="26">AD58/AD$26</f>
        <v>0</v>
      </c>
      <c r="AE59" s="307">
        <f t="shared" ref="AE59" si="27">AE58/AE$26</f>
        <v>0</v>
      </c>
      <c r="AF59" s="306">
        <f>AF58/AF$26</f>
        <v>0.13965990750996549</v>
      </c>
      <c r="AG59" s="71"/>
      <c r="AH59" s="306">
        <f>AH58/AH$26</f>
        <v>0.17952000000000001</v>
      </c>
      <c r="AI59" s="72"/>
      <c r="AJ59" s="306">
        <f>AJ58/AJ$26</f>
        <v>0.20579999999999996</v>
      </c>
      <c r="AL59" s="306">
        <f>AL58/AL$26</f>
        <v>0.21960000000000002</v>
      </c>
    </row>
    <row r="60" spans="2:40" s="54" customFormat="1" ht="14.25" customHeight="1">
      <c r="B60" s="31"/>
      <c r="C60" s="23"/>
      <c r="D60" s="46"/>
      <c r="E60" s="46"/>
      <c r="F60" s="46"/>
      <c r="G60" s="46"/>
      <c r="H60" s="66"/>
      <c r="I60" s="48"/>
      <c r="J60" s="46"/>
      <c r="K60" s="46"/>
      <c r="L60" s="46"/>
      <c r="M60" s="46"/>
      <c r="N60" s="66"/>
      <c r="O60" s="71"/>
      <c r="P60" s="46"/>
      <c r="Q60" s="46"/>
      <c r="R60" s="46"/>
      <c r="S60" s="46"/>
      <c r="T60" s="66"/>
      <c r="U60" s="49"/>
      <c r="V60" s="46"/>
      <c r="W60" s="46"/>
      <c r="X60" s="50"/>
      <c r="Y60" s="50"/>
      <c r="Z60" s="66"/>
      <c r="AA60" s="71"/>
      <c r="AB60" s="50"/>
      <c r="AC60" s="50"/>
      <c r="AD60" s="50"/>
      <c r="AE60" s="50"/>
      <c r="AF60" s="66"/>
      <c r="AG60" s="71"/>
      <c r="AH60" s="68"/>
      <c r="AI60" s="72"/>
      <c r="AJ60" s="68"/>
    </row>
    <row r="61" spans="2:40" s="54" customFormat="1" ht="14.25" customHeight="1">
      <c r="B61" s="28" t="s">
        <v>431</v>
      </c>
      <c r="C61" s="23"/>
      <c r="D61" s="318">
        <f>IS!P59</f>
        <v>106.828</v>
      </c>
      <c r="E61" s="318">
        <f>IS!Q59</f>
        <v>109.77200000000001</v>
      </c>
      <c r="F61" s="318">
        <f>IS!R59</f>
        <v>110.01900000000001</v>
      </c>
      <c r="G61" s="318">
        <f>IS!S59</f>
        <v>110.197</v>
      </c>
      <c r="H61" s="328">
        <f>IS!T59</f>
        <v>109.20399999999999</v>
      </c>
      <c r="I61" s="329"/>
      <c r="J61" s="318">
        <f>IS!V59</f>
        <v>110.095</v>
      </c>
      <c r="K61" s="318">
        <f>IS!W59</f>
        <v>110.28100000000001</v>
      </c>
      <c r="L61" s="318">
        <f>IS!X59</f>
        <v>110.914</v>
      </c>
      <c r="M61" s="318">
        <f>IS!Y59</f>
        <v>111.974</v>
      </c>
      <c r="N61" s="328">
        <f>IS!Z59</f>
        <v>110.816</v>
      </c>
      <c r="O61" s="332"/>
      <c r="P61" s="318">
        <f>IS!AB59</f>
        <v>110.88200000000001</v>
      </c>
      <c r="Q61" s="318">
        <f>IS!AC59</f>
        <v>110.801</v>
      </c>
      <c r="R61" s="318">
        <f>IS!AD59</f>
        <v>119.792</v>
      </c>
      <c r="S61" s="318">
        <f>IS!AE59</f>
        <v>163.202</v>
      </c>
      <c r="T61" s="328">
        <f>IS!AF59</f>
        <v>130.70400000000001</v>
      </c>
      <c r="U61" s="333"/>
      <c r="V61" s="318">
        <f>IS!AH59</f>
        <v>206.46799999999999</v>
      </c>
      <c r="W61" s="318">
        <f>IS!AI59</f>
        <v>205.99799999999999</v>
      </c>
      <c r="X61" s="318" t="e">
        <f>W61+X98</f>
        <v>#DIV/0!</v>
      </c>
      <c r="Y61" s="318" t="e">
        <f>X61+Y98</f>
        <v>#DIV/0!</v>
      </c>
      <c r="Z61" s="328">
        <v>206</v>
      </c>
      <c r="AA61" s="71"/>
      <c r="AB61" s="318" t="e">
        <f>Y61+AB98</f>
        <v>#DIV/0!</v>
      </c>
      <c r="AC61" s="318" t="e">
        <f t="shared" ref="AC61:AE61" si="28">AB61+AC98</f>
        <v>#DIV/0!</v>
      </c>
      <c r="AD61" s="318" t="e">
        <f t="shared" si="28"/>
        <v>#DIV/0!</v>
      </c>
      <c r="AE61" s="318" t="e">
        <f t="shared" si="28"/>
        <v>#DIV/0!</v>
      </c>
      <c r="AF61" s="295">
        <f>Z61+Z98</f>
        <v>206.4215988224</v>
      </c>
      <c r="AG61" s="71"/>
      <c r="AH61" s="295">
        <f>AF61+AF98</f>
        <v>206.99075539860772</v>
      </c>
      <c r="AI61" s="72"/>
      <c r="AJ61" s="699">
        <f>AH61+AH98</f>
        <v>207.40852390899892</v>
      </c>
      <c r="AL61" s="699">
        <f>AJ61+AJ98</f>
        <v>207.78696941484961</v>
      </c>
      <c r="AN61" s="712"/>
    </row>
    <row r="62" spans="2:40" s="54" customFormat="1" ht="14.25" customHeight="1">
      <c r="B62" s="28" t="s">
        <v>432</v>
      </c>
      <c r="C62" s="23"/>
      <c r="D62" s="318">
        <f>IS!P60</f>
        <v>108.84699999999999</v>
      </c>
      <c r="E62" s="318">
        <f>IS!Q60</f>
        <v>111.71299999999999</v>
      </c>
      <c r="F62" s="318">
        <f>IS!R60</f>
        <v>115.014</v>
      </c>
      <c r="G62" s="318">
        <f>IS!S60</f>
        <v>116.078</v>
      </c>
      <c r="H62" s="328">
        <f>IS!T60</f>
        <v>112.913</v>
      </c>
      <c r="I62" s="329"/>
      <c r="J62" s="318">
        <f>IS!V60</f>
        <v>113.035</v>
      </c>
      <c r="K62" s="318">
        <f>IS!W60</f>
        <v>113.211</v>
      </c>
      <c r="L62" s="318">
        <f>IS!X60</f>
        <v>113.681</v>
      </c>
      <c r="M62" s="318">
        <f>IS!Y60</f>
        <v>114.893</v>
      </c>
      <c r="N62" s="328">
        <f>IS!Z60</f>
        <v>113.705</v>
      </c>
      <c r="O62" s="332"/>
      <c r="P62" s="318">
        <f>IS!AB60</f>
        <v>113.639</v>
      </c>
      <c r="Q62" s="318">
        <f>IS!AC60</f>
        <v>113.48399999999999</v>
      </c>
      <c r="R62" s="318">
        <f>IS!AD60</f>
        <v>123.334</v>
      </c>
      <c r="S62" s="318">
        <f>IS!AE60</f>
        <v>163.30199999999999</v>
      </c>
      <c r="T62" s="328">
        <f>IS!AF60</f>
        <v>133.32599999999999</v>
      </c>
      <c r="U62" s="333"/>
      <c r="V62" s="318">
        <f>IS!AH60</f>
        <v>208.37</v>
      </c>
      <c r="W62" s="318">
        <f>IS!AI60</f>
        <v>209.20599999999999</v>
      </c>
      <c r="X62" s="318">
        <f>W62</f>
        <v>209.20599999999999</v>
      </c>
      <c r="Y62" s="318">
        <f>X62</f>
        <v>209.20599999999999</v>
      </c>
      <c r="Z62" s="328">
        <f>AVERAGE(V62:Y62)</f>
        <v>208.99700000000001</v>
      </c>
      <c r="AA62" s="71"/>
      <c r="AB62" s="318">
        <f>Y62</f>
        <v>209.20599999999999</v>
      </c>
      <c r="AC62" s="318">
        <f t="shared" ref="AC62:AE62" si="29">AB62</f>
        <v>209.20599999999999</v>
      </c>
      <c r="AD62" s="318">
        <f t="shared" si="29"/>
        <v>209.20599999999999</v>
      </c>
      <c r="AE62" s="318">
        <f t="shared" si="29"/>
        <v>209.20599999999999</v>
      </c>
      <c r="AF62" s="328">
        <f>AVERAGE(AB62:AE62)</f>
        <v>209.20599999999999</v>
      </c>
      <c r="AG62" s="71"/>
      <c r="AH62" s="328">
        <f>AF62</f>
        <v>209.20599999999999</v>
      </c>
      <c r="AI62" s="72"/>
      <c r="AJ62" s="328">
        <f>AH62</f>
        <v>209.20599999999999</v>
      </c>
      <c r="AL62" s="328">
        <f>AJ62</f>
        <v>209.20599999999999</v>
      </c>
    </row>
    <row r="63" spans="2:40" ht="14.25" customHeight="1">
      <c r="U63" s="205"/>
    </row>
    <row r="64" spans="2:40" s="55" customFormat="1" ht="14.25" customHeight="1">
      <c r="B64" s="161" t="s">
        <v>433</v>
      </c>
      <c r="C64" s="32"/>
      <c r="D64" s="356" t="s">
        <v>434</v>
      </c>
      <c r="E64" s="356" t="s">
        <v>435</v>
      </c>
      <c r="F64" s="356" t="s">
        <v>436</v>
      </c>
      <c r="G64" s="356" t="s">
        <v>437</v>
      </c>
      <c r="H64" s="356" t="s">
        <v>438</v>
      </c>
      <c r="I64" s="37"/>
      <c r="J64" s="356" t="s">
        <v>439</v>
      </c>
      <c r="K64" s="356" t="s">
        <v>440</v>
      </c>
      <c r="L64" s="356" t="s">
        <v>441</v>
      </c>
      <c r="M64" s="356" t="s">
        <v>442</v>
      </c>
      <c r="N64" s="356" t="s">
        <v>443</v>
      </c>
      <c r="O64" s="37"/>
      <c r="P64" s="356" t="s">
        <v>444</v>
      </c>
      <c r="Q64" s="356" t="s">
        <v>445</v>
      </c>
      <c r="R64" s="356" t="s">
        <v>446</v>
      </c>
      <c r="S64" s="356" t="s">
        <v>447</v>
      </c>
      <c r="T64" s="356" t="s">
        <v>448</v>
      </c>
      <c r="U64" s="37"/>
      <c r="V64" s="356" t="s">
        <v>449</v>
      </c>
      <c r="W64" s="356" t="s">
        <v>450</v>
      </c>
      <c r="X64" s="356" t="s">
        <v>451</v>
      </c>
      <c r="Y64" s="356" t="s">
        <v>452</v>
      </c>
      <c r="Z64" s="356" t="s">
        <v>453</v>
      </c>
      <c r="AA64" s="37"/>
      <c r="AB64" s="356" t="s">
        <v>454</v>
      </c>
      <c r="AC64" s="356" t="s">
        <v>455</v>
      </c>
      <c r="AD64" s="356" t="s">
        <v>456</v>
      </c>
      <c r="AE64" s="356" t="s">
        <v>457</v>
      </c>
      <c r="AF64" s="356" t="s">
        <v>458</v>
      </c>
      <c r="AG64" s="37"/>
      <c r="AH64" s="356" t="s">
        <v>459</v>
      </c>
      <c r="AI64" s="37"/>
      <c r="AJ64" s="356" t="s">
        <v>460</v>
      </c>
      <c r="AK64" s="356"/>
      <c r="AL64" s="356" t="s">
        <v>461</v>
      </c>
    </row>
    <row r="65" spans="2:41" ht="3.95" customHeight="1">
      <c r="B65" s="288"/>
      <c r="C65" s="36"/>
      <c r="D65" s="288"/>
      <c r="E65" s="288"/>
      <c r="F65" s="288"/>
      <c r="G65" s="288"/>
      <c r="H65" s="288"/>
      <c r="I65" s="36"/>
      <c r="J65" s="288"/>
      <c r="K65" s="288"/>
      <c r="L65" s="288"/>
      <c r="M65" s="288"/>
      <c r="N65" s="288"/>
      <c r="O65" s="36"/>
      <c r="P65" s="288"/>
      <c r="Q65" s="288"/>
      <c r="R65" s="288"/>
      <c r="S65" s="288"/>
      <c r="T65" s="288"/>
      <c r="U65" s="36"/>
      <c r="V65" s="288"/>
      <c r="W65" s="288"/>
      <c r="X65" s="288"/>
      <c r="Y65" s="288"/>
      <c r="Z65" s="288"/>
      <c r="AA65" s="36"/>
      <c r="AB65" s="288"/>
      <c r="AC65" s="288"/>
      <c r="AD65" s="288"/>
      <c r="AE65" s="288"/>
      <c r="AF65" s="288"/>
      <c r="AG65" s="36"/>
      <c r="AH65" s="288"/>
      <c r="AI65" s="36"/>
      <c r="AJ65" s="289"/>
      <c r="AK65" s="288"/>
      <c r="AL65" s="288"/>
    </row>
    <row r="66" spans="2:41" ht="3.95" customHeight="1">
      <c r="U66" s="205"/>
    </row>
    <row r="67" spans="2:41" ht="14.25" customHeight="1">
      <c r="B67" s="28" t="s">
        <v>462</v>
      </c>
      <c r="D67" s="50">
        <f>BS!P18</f>
        <v>631.27800000000002</v>
      </c>
      <c r="E67" s="50">
        <f>BS!Q18</f>
        <v>613.69000000000005</v>
      </c>
      <c r="F67" s="50">
        <f>BS!R18</f>
        <v>722.01599999999996</v>
      </c>
      <c r="G67" s="50">
        <f>BS!S18</f>
        <v>867.58199999999999</v>
      </c>
      <c r="H67" s="68">
        <f>BS!T18</f>
        <v>867.58199999999999</v>
      </c>
      <c r="J67" s="50">
        <f>BS!V18</f>
        <v>743.01099999999997</v>
      </c>
      <c r="K67" s="50">
        <f>BS!W18</f>
        <v>781.48599999999999</v>
      </c>
      <c r="L67" s="50">
        <f>BS!X18</f>
        <v>921.77599999999995</v>
      </c>
      <c r="M67" s="50">
        <f>BS!Y18</f>
        <v>1125.4490000000001</v>
      </c>
      <c r="N67" s="68">
        <f>BS!Z18</f>
        <v>1125.4490000000001</v>
      </c>
      <c r="P67" s="50">
        <f>BS!AB18</f>
        <v>902.62099999999998</v>
      </c>
      <c r="Q67" s="50">
        <f>BS!AC18</f>
        <v>963.30399999999997</v>
      </c>
      <c r="R67" s="50">
        <f>BS!AD18</f>
        <v>2512.451</v>
      </c>
      <c r="S67" s="50">
        <f>BS!AE18</f>
        <v>2816.2939999999999</v>
      </c>
      <c r="T67" s="68">
        <f>BS!AF18</f>
        <v>2816.2939999999999</v>
      </c>
      <c r="U67" s="205"/>
      <c r="V67" s="50">
        <f>BS!AH18</f>
        <v>2448.8110000000001</v>
      </c>
      <c r="W67" s="50">
        <f>BS!AI18</f>
        <v>2596.9369999999999</v>
      </c>
      <c r="X67" s="46">
        <f>X26*X68/92</f>
        <v>2712.8122407608694</v>
      </c>
      <c r="Y67" s="46">
        <f>Y26*Y68/92</f>
        <v>2894.1099623913037</v>
      </c>
      <c r="Z67" s="312">
        <f>Z26*Z68/365</f>
        <v>2659.0819726027398</v>
      </c>
      <c r="AB67" s="46">
        <f>AB26*AB68/90</f>
        <v>0</v>
      </c>
      <c r="AC67" s="46">
        <f>AC26*AC68/91</f>
        <v>0</v>
      </c>
      <c r="AD67" s="46">
        <f>AD26*AD68/92</f>
        <v>0</v>
      </c>
      <c r="AE67" s="46">
        <f>AE26*AE68/92</f>
        <v>0</v>
      </c>
      <c r="AF67" s="312">
        <f>AF26*AF68/365</f>
        <v>2725.9593008219185</v>
      </c>
      <c r="AH67" s="312">
        <f>AH26*AH68/365</f>
        <v>2993.6442062301371</v>
      </c>
      <c r="AJ67" s="312">
        <f>AJ26*AJ68/366</f>
        <v>2969.7951530726282</v>
      </c>
      <c r="AL67" s="312">
        <f>AL26*AL68/365</f>
        <v>2900.6020804983118</v>
      </c>
    </row>
    <row r="68" spans="2:41" ht="14.25" customHeight="1">
      <c r="B68" s="31" t="s">
        <v>463</v>
      </c>
      <c r="D68" s="321">
        <f>D67/D26*90</f>
        <v>22.193549243958643</v>
      </c>
      <c r="E68" s="321">
        <f>E67/E26*91</f>
        <v>21.814940669435178</v>
      </c>
      <c r="F68" s="321">
        <f>F67/F26*92</f>
        <v>23.718537498768104</v>
      </c>
      <c r="G68" s="321">
        <f>G67/G26*92</f>
        <v>26.687104896990352</v>
      </c>
      <c r="H68" s="322">
        <f>H67/H26*365</f>
        <v>29.104756097829974</v>
      </c>
      <c r="I68" s="323"/>
      <c r="J68" s="321">
        <f>J67/J26*90</f>
        <v>22.053650953093101</v>
      </c>
      <c r="K68" s="321">
        <f>K67/K26*91</f>
        <v>23.453374499978711</v>
      </c>
      <c r="L68" s="321">
        <f>L67/L26*92</f>
        <v>25.89038668554635</v>
      </c>
      <c r="M68" s="321">
        <f>M67/M26*92</f>
        <v>29.850138858762371</v>
      </c>
      <c r="N68" s="322">
        <f>N67/N26*365</f>
        <v>32.159210011273245</v>
      </c>
      <c r="O68" s="323"/>
      <c r="P68" s="321">
        <f>P67/P26*90</f>
        <v>24.195772286724878</v>
      </c>
      <c r="Q68" s="321">
        <f>Q67/Q26*91</f>
        <v>26.109364526530097</v>
      </c>
      <c r="R68" s="321">
        <f>R67/R26*92</f>
        <v>63.873519398695699</v>
      </c>
      <c r="S68" s="321">
        <f>S67/S26*92</f>
        <v>67.447363790186117</v>
      </c>
      <c r="T68" s="322">
        <f>T67/T26*365</f>
        <v>72.614635989884292</v>
      </c>
      <c r="U68" s="324"/>
      <c r="V68" s="321">
        <f>V67/V26*90</f>
        <v>62.627319597074333</v>
      </c>
      <c r="W68" s="321">
        <f>W67/W26*91</f>
        <v>67.153531135425553</v>
      </c>
      <c r="X68" s="325">
        <v>65</v>
      </c>
      <c r="Y68" s="325">
        <v>65</v>
      </c>
      <c r="Z68" s="322">
        <v>65</v>
      </c>
      <c r="AA68" s="323"/>
      <c r="AB68" s="325"/>
      <c r="AC68" s="325"/>
      <c r="AD68" s="325"/>
      <c r="AE68" s="325"/>
      <c r="AF68" s="322">
        <v>60</v>
      </c>
      <c r="AG68" s="323"/>
      <c r="AH68" s="325">
        <v>60</v>
      </c>
      <c r="AI68" s="323"/>
      <c r="AJ68" s="325">
        <v>55</v>
      </c>
      <c r="AK68" s="322"/>
      <c r="AL68" s="325">
        <v>50</v>
      </c>
    </row>
    <row r="69" spans="2:41" ht="14.25" customHeight="1">
      <c r="B69" s="28"/>
      <c r="D69" s="46"/>
      <c r="E69" s="46"/>
      <c r="F69" s="46"/>
      <c r="G69" s="46"/>
      <c r="J69" s="46"/>
      <c r="K69" s="46"/>
      <c r="L69" s="46"/>
      <c r="M69" s="46"/>
      <c r="P69" s="46"/>
      <c r="Q69" s="46"/>
      <c r="R69" s="46"/>
      <c r="S69" s="46"/>
      <c r="U69" s="205"/>
      <c r="V69" s="46"/>
      <c r="W69" s="46"/>
      <c r="X69" s="46"/>
      <c r="Y69" s="46"/>
      <c r="AB69" s="46"/>
      <c r="AC69" s="46"/>
      <c r="AD69" s="46"/>
      <c r="AE69" s="46"/>
    </row>
    <row r="70" spans="2:41" ht="14.25" customHeight="1">
      <c r="B70" s="28" t="s">
        <v>464</v>
      </c>
      <c r="D70" s="50">
        <f>BS!P19</f>
        <v>556.68499999999995</v>
      </c>
      <c r="E70" s="50">
        <f>BS!Q19</f>
        <v>651.73</v>
      </c>
      <c r="F70" s="50">
        <f>BS!R19</f>
        <v>755.06</v>
      </c>
      <c r="G70" s="50">
        <f>BS!S19</f>
        <v>772.06</v>
      </c>
      <c r="H70" s="68">
        <f>BS!T19</f>
        <v>772.06</v>
      </c>
      <c r="J70" s="50">
        <f>BS!V19</f>
        <v>842.52599999999995</v>
      </c>
      <c r="K70" s="50">
        <f>BS!W19</f>
        <v>864.45899999999995</v>
      </c>
      <c r="L70" s="50">
        <f>BS!X19</f>
        <v>866.75900000000001</v>
      </c>
      <c r="M70" s="50">
        <f>BS!Y19</f>
        <v>828.55700000000002</v>
      </c>
      <c r="N70" s="68">
        <f>BS!Z19</f>
        <v>828.55700000000002</v>
      </c>
      <c r="P70" s="50">
        <f>BS!AB19</f>
        <v>920.2</v>
      </c>
      <c r="Q70" s="50">
        <f>BS!AC19</f>
        <v>968.23900000000003</v>
      </c>
      <c r="R70" s="50">
        <f>BS!AD19</f>
        <v>2313.143</v>
      </c>
      <c r="S70" s="50">
        <f>BS!AE19</f>
        <v>2218.8150000000001</v>
      </c>
      <c r="T70" s="68">
        <f>BS!AF19</f>
        <v>2218.8150000000001</v>
      </c>
      <c r="U70" s="205"/>
      <c r="V70" s="50">
        <f>BS!AH19</f>
        <v>2456.9870000000001</v>
      </c>
      <c r="W70" s="50">
        <f>BS!AI19</f>
        <v>2474.5210000000002</v>
      </c>
      <c r="X70" s="46">
        <f>X71*X31/92</f>
        <v>3155.209313869565</v>
      </c>
      <c r="Y70" s="46">
        <f>Y71*Y31/92</f>
        <v>3328.6717044365214</v>
      </c>
      <c r="Z70" s="312">
        <f>Z71*Z31/365</f>
        <v>1928.3651243924514</v>
      </c>
      <c r="AB70" s="46">
        <f>AB71*AB31/92</f>
        <v>0</v>
      </c>
      <c r="AC70" s="46">
        <f>AC71*AC31/92</f>
        <v>0</v>
      </c>
      <c r="AD70" s="46">
        <f>AD71*AD31/92</f>
        <v>0</v>
      </c>
      <c r="AE70" s="46">
        <f>AE71*AE31/92</f>
        <v>0</v>
      </c>
      <c r="AF70" s="312">
        <f>AF71*AF31/365</f>
        <v>2158.9597662509595</v>
      </c>
      <c r="AH70" s="312">
        <f>AH71*AH31/365</f>
        <v>2191.7467115212912</v>
      </c>
      <c r="AJ70" s="312">
        <f>AJ71*AJ31/366</f>
        <v>2097.7553035794836</v>
      </c>
      <c r="AL70" s="312">
        <f>AL71*AL31/365</f>
        <v>2105.1409659424544</v>
      </c>
    </row>
    <row r="71" spans="2:41" ht="14.25" customHeight="1">
      <c r="B71" s="31" t="s">
        <v>465</v>
      </c>
      <c r="D71" s="321">
        <f>D70/D31*90</f>
        <v>49.996657020257459</v>
      </c>
      <c r="E71" s="321">
        <f>E70/E31*91</f>
        <v>55.029185939160016</v>
      </c>
      <c r="F71" s="321">
        <f>F70/F31*92</f>
        <v>129.45493850167719</v>
      </c>
      <c r="G71" s="321" t="e">
        <f>G70/G31*92</f>
        <v>#DIV/0!</v>
      </c>
      <c r="H71" s="322">
        <f>H70/H31*365</f>
        <v>144.51379487179486</v>
      </c>
      <c r="I71" s="323"/>
      <c r="J71" s="321" t="e">
        <f>J70/J31*90</f>
        <v>#DIV/0!</v>
      </c>
      <c r="K71" s="321" t="e">
        <f>K70/K31*91</f>
        <v>#DIV/0!</v>
      </c>
      <c r="L71" s="321" t="e">
        <f>L70/L31*92</f>
        <v>#DIV/0!</v>
      </c>
      <c r="M71" s="321" t="e">
        <f>M70/M31*92</f>
        <v>#DIV/0!</v>
      </c>
      <c r="N71" s="322">
        <f>N70/N31*365</f>
        <v>136.36799612210851</v>
      </c>
      <c r="O71" s="323"/>
      <c r="P71" s="321" t="e">
        <f>P70/P31*90</f>
        <v>#DIV/0!</v>
      </c>
      <c r="Q71" s="321" t="e">
        <f>Q70/Q31*91</f>
        <v>#DIV/0!</v>
      </c>
      <c r="R71" s="321" t="e">
        <f>R70/R31*92</f>
        <v>#DIV/0!</v>
      </c>
      <c r="S71" s="321" t="e">
        <f>S70/S31*92</f>
        <v>#DIV/0!</v>
      </c>
      <c r="T71" s="322">
        <f>T70/T31*365</f>
        <v>206.87855391217718</v>
      </c>
      <c r="U71" s="324"/>
      <c r="V71" s="321">
        <f>V70/V31*90</f>
        <v>181.29222119194546</v>
      </c>
      <c r="W71" s="321">
        <f>W70/W31*91</f>
        <v>175.79689800596137</v>
      </c>
      <c r="X71" s="325">
        <v>180</v>
      </c>
      <c r="Y71" s="325">
        <v>178</v>
      </c>
      <c r="Z71" s="325">
        <v>190</v>
      </c>
      <c r="AA71" s="323"/>
      <c r="AB71" s="325"/>
      <c r="AC71" s="325"/>
      <c r="AD71" s="325"/>
      <c r="AE71" s="325"/>
      <c r="AF71" s="325">
        <v>180</v>
      </c>
      <c r="AG71" s="323"/>
      <c r="AH71" s="325">
        <v>170</v>
      </c>
      <c r="AI71" s="323"/>
      <c r="AJ71" s="325">
        <v>150</v>
      </c>
      <c r="AK71" s="322"/>
      <c r="AL71" s="325">
        <v>140</v>
      </c>
    </row>
    <row r="72" spans="2:41" ht="14.25" customHeight="1">
      <c r="B72" s="28"/>
      <c r="D72" s="46"/>
      <c r="E72" s="46"/>
      <c r="F72" s="46"/>
      <c r="G72" s="46"/>
      <c r="J72" s="46"/>
      <c r="K72" s="46"/>
      <c r="L72" s="46"/>
      <c r="M72" s="46"/>
      <c r="P72" s="46"/>
      <c r="Q72" s="46"/>
      <c r="R72" s="46"/>
      <c r="S72" s="46"/>
      <c r="U72" s="205"/>
      <c r="V72" s="46"/>
      <c r="W72" s="46"/>
      <c r="X72" s="46"/>
      <c r="Y72" s="46"/>
      <c r="AB72" s="46"/>
      <c r="AC72" s="46"/>
      <c r="AD72" s="46"/>
      <c r="AE72" s="46"/>
    </row>
    <row r="73" spans="2:41" ht="14.25" customHeight="1">
      <c r="B73" s="28" t="s">
        <v>466</v>
      </c>
      <c r="D73" s="50">
        <f>BS!P20</f>
        <v>211.13099999999986</v>
      </c>
      <c r="E73" s="50">
        <f>BS!Q20</f>
        <v>212.24600000000009</v>
      </c>
      <c r="F73" s="50">
        <f>BS!R20</f>
        <v>268.65800000000047</v>
      </c>
      <c r="G73" s="50">
        <f>BS!S20</f>
        <v>267.36900000000014</v>
      </c>
      <c r="H73" s="68">
        <f>BS!T20</f>
        <v>267.36900000000014</v>
      </c>
      <c r="J73" s="50">
        <f>BS!V20</f>
        <v>322.41100000000017</v>
      </c>
      <c r="K73" s="50">
        <f>BS!W20</f>
        <v>443.15600000000029</v>
      </c>
      <c r="L73" s="50">
        <f>BS!X20</f>
        <v>251.66300000000001</v>
      </c>
      <c r="M73" s="50">
        <f>BS!Y20</f>
        <v>211.33400000000006</v>
      </c>
      <c r="N73" s="68">
        <f>BS!Z20</f>
        <v>211.33400000000006</v>
      </c>
      <c r="P73" s="50">
        <f>BS!AB20</f>
        <v>259.96100000000001</v>
      </c>
      <c r="Q73" s="50">
        <f>BS!AC20</f>
        <v>349.69300000000021</v>
      </c>
      <c r="R73" s="50">
        <f>BS!AD20</f>
        <v>1015.9200000000001</v>
      </c>
      <c r="S73" s="50">
        <f>BS!AE20</f>
        <v>1022.0310000000004</v>
      </c>
      <c r="T73" s="68">
        <f>BS!AF20</f>
        <v>1022.0310000000004</v>
      </c>
      <c r="U73" s="205"/>
      <c r="V73" s="50">
        <f>BS!AH20</f>
        <v>1042.4519999999998</v>
      </c>
      <c r="W73" s="50">
        <f>BS!AI20</f>
        <v>971.35299999999961</v>
      </c>
      <c r="X73" s="46">
        <f>X74*X$26</f>
        <v>268.77708970000003</v>
      </c>
      <c r="Y73" s="46">
        <f>Y74*Y$26</f>
        <v>245.77672295999997</v>
      </c>
      <c r="Z73" s="57">
        <f>Z74*Z$26</f>
        <v>2621.4470156716961</v>
      </c>
      <c r="AB73" s="46">
        <f t="shared" ref="AB73:AE73" si="30">AB74*AB$26</f>
        <v>0</v>
      </c>
      <c r="AC73" s="46">
        <f t="shared" si="30"/>
        <v>0</v>
      </c>
      <c r="AD73" s="46">
        <f t="shared" si="30"/>
        <v>0</v>
      </c>
      <c r="AE73" s="46">
        <f t="shared" si="30"/>
        <v>0</v>
      </c>
      <c r="AF73" s="57">
        <f>AF74*AF$26</f>
        <v>2487.4378620000002</v>
      </c>
      <c r="AH73" s="57">
        <f>AH74*AH$26</f>
        <v>2367.473626427</v>
      </c>
      <c r="AJ73" s="57">
        <f>AJ74*AJ$26</f>
        <v>1976.263683681058</v>
      </c>
      <c r="AL73" s="57">
        <f>AL74*AL$26</f>
        <v>2117.4395187637674</v>
      </c>
    </row>
    <row r="74" spans="2:41" ht="14.25" customHeight="1">
      <c r="B74" s="31" t="s">
        <v>467</v>
      </c>
      <c r="D74" s="305">
        <f>D73/D26</f>
        <v>8.2473723417262348E-2</v>
      </c>
      <c r="E74" s="305">
        <f>E73/E26</f>
        <v>8.2909273865137204E-2</v>
      </c>
      <c r="F74" s="305">
        <f>F73/F26</f>
        <v>9.5929688649318945E-2</v>
      </c>
      <c r="G74" s="305">
        <f>G73/G26</f>
        <v>8.9395190475961256E-2</v>
      </c>
      <c r="H74" s="308">
        <f>H73/H26</f>
        <v>2.4573760342579933E-2</v>
      </c>
      <c r="J74" s="305">
        <f>J73/J26</f>
        <v>0.10632921177685127</v>
      </c>
      <c r="K74" s="305">
        <f>K73/K26</f>
        <v>0.14615018772368904</v>
      </c>
      <c r="L74" s="305">
        <f>L73/L26</f>
        <v>7.6832450103465816E-2</v>
      </c>
      <c r="M74" s="305">
        <f>M73/M26</f>
        <v>6.0925918045942475E-2</v>
      </c>
      <c r="N74" s="308">
        <f>N73/N26</f>
        <v>1.6544591970940065E-2</v>
      </c>
      <c r="P74" s="305">
        <f>P73/P26</f>
        <v>7.7428303665156947E-2</v>
      </c>
      <c r="Q74" s="305">
        <f>Q73/Q26</f>
        <v>0.10415460701251242</v>
      </c>
      <c r="R74" s="305">
        <f>R73/R26</f>
        <v>0.28073394495412846</v>
      </c>
      <c r="S74" s="305">
        <f>S73/S26</f>
        <v>0.26604998047637651</v>
      </c>
      <c r="T74" s="308">
        <f>T73/T26</f>
        <v>7.2196705330526578E-2</v>
      </c>
      <c r="U74" s="205"/>
      <c r="V74" s="305">
        <f>V73/V26</f>
        <v>0.29622527725863385</v>
      </c>
      <c r="W74" s="305">
        <f>W73/W26</f>
        <v>0.27602164103575577</v>
      </c>
      <c r="X74" s="316">
        <v>7.0000000000000007E-2</v>
      </c>
      <c r="Y74" s="316">
        <v>0.06</v>
      </c>
      <c r="Z74" s="316">
        <f>AVERAGE(V74:Y74)</f>
        <v>0.17556172957359745</v>
      </c>
      <c r="AB74" s="316"/>
      <c r="AC74" s="316"/>
      <c r="AD74" s="316"/>
      <c r="AE74" s="316"/>
      <c r="AF74" s="316">
        <v>0.15</v>
      </c>
      <c r="AH74" s="316">
        <v>0.13</v>
      </c>
      <c r="AJ74" s="316">
        <v>0.1</v>
      </c>
      <c r="AL74" s="316">
        <v>0.1</v>
      </c>
    </row>
    <row r="75" spans="2:41" ht="14.25" customHeight="1">
      <c r="B75" s="28"/>
      <c r="D75" s="46"/>
      <c r="E75" s="46"/>
      <c r="F75" s="46"/>
      <c r="G75" s="46"/>
      <c r="J75" s="46"/>
      <c r="K75" s="46"/>
      <c r="L75" s="46"/>
      <c r="M75" s="46"/>
      <c r="P75" s="46"/>
      <c r="Q75" s="46"/>
      <c r="R75" s="46"/>
      <c r="S75" s="46"/>
      <c r="U75" s="205"/>
      <c r="V75" s="46"/>
      <c r="W75" s="46"/>
      <c r="X75" s="46"/>
      <c r="Y75" s="46"/>
      <c r="AB75" s="46"/>
      <c r="AC75" s="46"/>
      <c r="AD75" s="46"/>
      <c r="AE75" s="46"/>
    </row>
    <row r="76" spans="2:41" ht="14.25" customHeight="1">
      <c r="B76" s="28" t="s">
        <v>468</v>
      </c>
      <c r="D76" s="50">
        <f>BS!P24</f>
        <v>446.32600000000002</v>
      </c>
      <c r="E76" s="50">
        <f>BS!Q24</f>
        <v>492.47500000000002</v>
      </c>
      <c r="F76" s="50">
        <f>BS!R24</f>
        <v>586.25</v>
      </c>
      <c r="G76" s="50">
        <f>BS!S24</f>
        <v>691.58199999999999</v>
      </c>
      <c r="H76" s="68">
        <f>BS!T24</f>
        <v>691.58199999999999</v>
      </c>
      <c r="J76" s="50">
        <f>BS!V24</f>
        <v>769.76499999999999</v>
      </c>
      <c r="K76" s="50">
        <f>BS!W24</f>
        <v>850.09500000000003</v>
      </c>
      <c r="L76" s="50">
        <f>BS!X24</f>
        <v>835.20899999999995</v>
      </c>
      <c r="M76" s="50">
        <f>BS!Y24</f>
        <v>890.92899999999997</v>
      </c>
      <c r="N76" s="68">
        <f>BS!Z24</f>
        <v>890.92899999999997</v>
      </c>
      <c r="P76" s="50">
        <f>BS!AB24</f>
        <v>845.79200000000003</v>
      </c>
      <c r="Q76" s="50">
        <f>BS!AC24</f>
        <v>863.45699999999999</v>
      </c>
      <c r="R76" s="50">
        <f>BS!AD24</f>
        <v>2168.252</v>
      </c>
      <c r="S76" s="50">
        <f>BS!AE24</f>
        <v>2308.9090000000001</v>
      </c>
      <c r="T76" s="68">
        <f>BS!AF24</f>
        <v>2308.9090000000001</v>
      </c>
      <c r="U76" s="205"/>
      <c r="V76" s="50">
        <f>BS!AH24</f>
        <v>2230.1210000000001</v>
      </c>
      <c r="W76" s="50">
        <f>BS!AI24</f>
        <v>2169.77</v>
      </c>
      <c r="X76" s="46">
        <f>W76-X77*X103-X106-X49-X34</f>
        <v>1844.3045</v>
      </c>
      <c r="Y76" s="46">
        <f>X76-Y77*Y103-Y106-Y49-Y34</f>
        <v>1567.658825</v>
      </c>
      <c r="Z76" s="57">
        <f>T76-Z77*Z103-Z106-Z49-Z34</f>
        <v>2564.6215357599999</v>
      </c>
      <c r="AB76" s="46">
        <f>Y76-AB77*AB103-AB106-AB49-AB34</f>
        <v>1567.658825</v>
      </c>
      <c r="AC76" s="46">
        <f>AB76-AC77*AC103-AC106-AC49-AC34</f>
        <v>1567.658825</v>
      </c>
      <c r="AD76" s="46">
        <f>AC76-AD77*AD103-AD106-AD49-AD34</f>
        <v>1567.658825</v>
      </c>
      <c r="AE76" s="46">
        <f>AD76-AE77*AE103-AE106-AE49-AE34</f>
        <v>1567.658825</v>
      </c>
      <c r="AF76" s="57">
        <f>Z76-AF77*AF103-AF106-AF49-AF34</f>
        <v>2768.9023803596001</v>
      </c>
      <c r="AH76" s="57">
        <f>AF76-AH77*AH103-AH106-AH49-AH34</f>
        <v>2883.8421470753683</v>
      </c>
      <c r="AI76" s="72"/>
      <c r="AJ76" s="57">
        <f>AH76-AJ77*AJ103-AJ106-AJ49-AJ34</f>
        <v>2991.8490840557811</v>
      </c>
      <c r="AK76" s="54"/>
      <c r="AL76" s="57">
        <f>AJ76-AL77*AL103-AL106-AL49-AL34</f>
        <v>3079.5296713240855</v>
      </c>
    </row>
    <row r="77" spans="2:41" ht="14.25" customHeight="1">
      <c r="B77" s="31" t="s">
        <v>469</v>
      </c>
      <c r="D77" s="305"/>
      <c r="E77" s="305"/>
      <c r="F77" s="305"/>
      <c r="G77" s="305"/>
      <c r="H77" s="308"/>
      <c r="J77" s="305"/>
      <c r="K77" s="305"/>
      <c r="L77" s="305"/>
      <c r="M77" s="305"/>
      <c r="N77" s="308"/>
      <c r="P77" s="305"/>
      <c r="Q77" s="305"/>
      <c r="R77" s="305"/>
      <c r="S77" s="305"/>
      <c r="T77" s="308"/>
      <c r="U77" s="205"/>
      <c r="V77" s="305"/>
      <c r="W77" s="305"/>
      <c r="X77" s="316"/>
      <c r="Y77" s="316"/>
      <c r="Z77" s="316">
        <v>0.9</v>
      </c>
      <c r="AB77" s="316"/>
      <c r="AC77" s="316"/>
      <c r="AD77" s="316"/>
      <c r="AE77" s="316"/>
      <c r="AF77" s="316">
        <v>0.9</v>
      </c>
      <c r="AH77" s="316">
        <v>0.9</v>
      </c>
      <c r="AJ77" s="316">
        <v>0.9</v>
      </c>
      <c r="AL77" s="316">
        <v>0.9</v>
      </c>
      <c r="AN77" s="97">
        <f>T76-0.9*Z103</f>
        <v>2910.95788576</v>
      </c>
      <c r="AO77" s="312">
        <f>AN77-Z49</f>
        <v>2564.6215357599999</v>
      </c>
    </row>
    <row r="78" spans="2:41" ht="14.25" customHeight="1">
      <c r="D78" s="46"/>
      <c r="E78" s="46"/>
      <c r="F78" s="46"/>
      <c r="G78" s="46"/>
      <c r="J78" s="46"/>
      <c r="K78" s="46"/>
      <c r="L78" s="46"/>
      <c r="M78" s="46"/>
      <c r="P78" s="46"/>
      <c r="Q78" s="46"/>
      <c r="R78" s="46"/>
      <c r="S78" s="46"/>
      <c r="U78" s="205"/>
      <c r="V78" s="46"/>
      <c r="W78" s="46"/>
      <c r="X78" s="46"/>
      <c r="Y78" s="46"/>
      <c r="AB78" s="46"/>
      <c r="AC78" s="46"/>
      <c r="AD78" s="46"/>
      <c r="AE78" s="46"/>
    </row>
    <row r="79" spans="2:41" ht="14.25" customHeight="1">
      <c r="B79" s="28" t="s">
        <v>470</v>
      </c>
      <c r="D79" s="50">
        <f>IF($B$79="Intangibles excl. Goodwill",BS!P29,BS!P27)</f>
        <v>1150.154</v>
      </c>
      <c r="E79" s="50">
        <f>IF($B$79="Intangibles excl. Goodwill",BS!Q29,BS!Q27)</f>
        <v>1186.5999999999999</v>
      </c>
      <c r="F79" s="50">
        <f>IF($B$79="Intangibles excl. Goodwill",BS!R29,BS!R27)</f>
        <v>1247.9690000000001</v>
      </c>
      <c r="G79" s="50">
        <f>IF($B$79="Intangibles excl. Goodwill",BS!S29,BS!S27)</f>
        <v>1263.412</v>
      </c>
      <c r="H79" s="68">
        <f>IF($B$79="Intangibles excl. Goodwill",BS!T29,BS!T27)</f>
        <v>1263.412</v>
      </c>
      <c r="J79" s="50">
        <f>IF($B$79="Intangibles excl. Goodwill",BS!V29,BS!V27)</f>
        <v>1370.027</v>
      </c>
      <c r="K79" s="50">
        <f>IF($B$79="Intangibles excl. Goodwill",BS!W29,BS!W27)</f>
        <v>1523.662</v>
      </c>
      <c r="L79" s="50">
        <f>IF($B$79="Intangibles excl. Goodwill",BS!X29,BS!X27)</f>
        <v>1569.8979999999999</v>
      </c>
      <c r="M79" s="50">
        <f>IF($B$79="Intangibles excl. Goodwill",BS!Y29,BS!Y27)</f>
        <v>1561.9059999999999</v>
      </c>
      <c r="N79" s="68">
        <f>IF($B$79="Intangibles excl. Goodwill",BS!Z29,BS!Z27)</f>
        <v>1561.9059999999999</v>
      </c>
      <c r="P79" s="50">
        <f>IF($B$79="Intangibles excl. Goodwill",BS!AB29,BS!AB27)</f>
        <v>1565.2</v>
      </c>
      <c r="Q79" s="50">
        <f>IF($B$79="Intangibles excl. Goodwill",BS!AC29,BS!AC27)</f>
        <v>1587.92</v>
      </c>
      <c r="R79" s="50">
        <f>IF($B$79="Intangibles excl. Goodwill",BS!AD29,BS!AD27)</f>
        <v>3908.2280000000001</v>
      </c>
      <c r="S79" s="50">
        <f>IF($B$79="Intangibles excl. Goodwill",BS!AE29,BS!AE27)</f>
        <v>3741.3530000000001</v>
      </c>
      <c r="T79" s="68">
        <f>IF($B$79="Intangibles excl. Goodwill",BS!AF29,BS!AF27)</f>
        <v>3741.3530000000001</v>
      </c>
      <c r="U79" s="205"/>
      <c r="V79" s="50">
        <f>IF($B$79="Intangibles excl. Goodwill",BS!AH29,BS!AH27)</f>
        <v>3508.4549999999999</v>
      </c>
      <c r="W79" s="50">
        <f>IF($B$79="Intangibles excl. Goodwill",BS!AI29,BS!AI27)</f>
        <v>3586.0250000000001</v>
      </c>
      <c r="X79" s="46">
        <f>W79-(1-X77)*X103-X52+X80*X43</f>
        <v>3478.44425</v>
      </c>
      <c r="Y79" s="46">
        <f>X79-(1-Y77)*Y103-Y52+Y80*Y43</f>
        <v>3374.0909225</v>
      </c>
      <c r="Z79" s="57">
        <f>Y79</f>
        <v>3374.0909225</v>
      </c>
      <c r="AB79" s="46">
        <f>Y79-(1-AB77)*AB103-AB52+AB80*AB43</f>
        <v>3374.0909225</v>
      </c>
      <c r="AC79" s="46">
        <f>AB79-(1-AC77)*AC103-AC52+AC80*AC43</f>
        <v>3374.0909225</v>
      </c>
      <c r="AD79" s="46">
        <f t="shared" ref="AD79:AE79" si="31">AC79-(1-AD77)*AD103-AD52+AD80*AD43</f>
        <v>3374.0909225</v>
      </c>
      <c r="AE79" s="46">
        <f t="shared" si="31"/>
        <v>3374.0909225</v>
      </c>
      <c r="AF79" s="57">
        <f>AE79</f>
        <v>3374.0909225</v>
      </c>
      <c r="AH79" s="57">
        <f>AF79-(1-AH77)*AH103-AH52+AH80*AH43</f>
        <v>3321.8647621048822</v>
      </c>
      <c r="AJ79" s="57">
        <f>AH79-(1-AJ77)*AJ103-AJ52+AJ80*AJ43</f>
        <v>3265.0763234424076</v>
      </c>
      <c r="AL79" s="57">
        <f>AJ79-(1-AL77)*AL103-AL52+AL80*AL43</f>
        <v>3202.538402371601</v>
      </c>
    </row>
    <row r="80" spans="2:41" ht="14.25" customHeight="1">
      <c r="B80" s="31" t="s">
        <v>471</v>
      </c>
      <c r="D80" s="305">
        <f>IFERROR(BS!P57/FCFF!D79,"")</f>
        <v>0</v>
      </c>
      <c r="E80" s="305">
        <f>IFERROR(BS!Q57/FCFF!E79,"")</f>
        <v>0</v>
      </c>
      <c r="F80" s="305">
        <f>IFERROR(BS!R57/FCFF!F79,"")</f>
        <v>0</v>
      </c>
      <c r="G80" s="305">
        <f>IFERROR(BS!S57/FCFF!G79,"")</f>
        <v>0</v>
      </c>
      <c r="H80" s="308">
        <f>IFERROR(BS!T57/FCFF!H79,"")</f>
        <v>0</v>
      </c>
      <c r="J80" s="305">
        <f>IFERROR(BS!V57/FCFF!J79,"")</f>
        <v>0</v>
      </c>
      <c r="K80" s="305">
        <f>IFERROR(BS!W57/FCFF!K79,"")</f>
        <v>0</v>
      </c>
      <c r="L80" s="305">
        <f>IFERROR(BS!X57/FCFF!L79,"")</f>
        <v>0</v>
      </c>
      <c r="M80" s="305">
        <f>IFERROR(BS!Y57/FCFF!M79,"")</f>
        <v>0</v>
      </c>
      <c r="N80" s="308">
        <f>IFERROR(BS!Z57/FCFF!N79,"")</f>
        <v>0</v>
      </c>
      <c r="P80" s="305">
        <f>IFERROR(BS!AB57/FCFF!P79,"")</f>
        <v>0</v>
      </c>
      <c r="Q80" s="305">
        <f>IFERROR(BS!AC57/FCFF!Q79,"")</f>
        <v>0</v>
      </c>
      <c r="R80" s="305">
        <f>IFERROR(BS!AD57/FCFF!R79,"")</f>
        <v>0</v>
      </c>
      <c r="S80" s="305">
        <f>IFERROR(BS!AE57/FCFF!S79,"")</f>
        <v>0</v>
      </c>
      <c r="T80" s="308">
        <f>IFERROR(BS!AF57/FCFF!T79,"")</f>
        <v>0</v>
      </c>
      <c r="U80" s="205"/>
      <c r="V80" s="305">
        <f>IFERROR(BS!AH57/FCFF!V79,"")</f>
        <v>0</v>
      </c>
      <c r="W80" s="305">
        <f>IFERROR(BS!AI57/FCFF!W79,"")</f>
        <v>0</v>
      </c>
      <c r="X80" s="316">
        <v>0.1</v>
      </c>
      <c r="Y80" s="316">
        <v>0.1</v>
      </c>
      <c r="Z80" s="316">
        <v>0.1</v>
      </c>
      <c r="AB80" s="316"/>
      <c r="AC80" s="316"/>
      <c r="AD80" s="316"/>
      <c r="AE80" s="316"/>
      <c r="AF80" s="316">
        <v>0.1</v>
      </c>
      <c r="AH80" s="316">
        <v>0.1</v>
      </c>
      <c r="AJ80" s="316">
        <v>0.1</v>
      </c>
      <c r="AL80" s="316">
        <v>0.1</v>
      </c>
    </row>
    <row r="81" spans="2:42" ht="14.25" customHeight="1">
      <c r="D81" s="46"/>
      <c r="E81" s="46"/>
      <c r="F81" s="46"/>
      <c r="G81" s="46"/>
      <c r="J81" s="46"/>
      <c r="K81" s="46"/>
      <c r="L81" s="46"/>
      <c r="M81" s="46"/>
      <c r="P81" s="46"/>
      <c r="Q81" s="46"/>
      <c r="R81" s="46"/>
      <c r="S81" s="46"/>
      <c r="U81" s="205"/>
      <c r="V81" s="46"/>
      <c r="W81" s="46"/>
      <c r="X81" s="46"/>
      <c r="Y81" s="46"/>
      <c r="AB81" s="46"/>
      <c r="AC81" s="46"/>
      <c r="AD81" s="46"/>
      <c r="AE81" s="46"/>
    </row>
    <row r="82" spans="2:42" ht="14.25" customHeight="1">
      <c r="B82" s="28" t="s">
        <v>472</v>
      </c>
      <c r="D82" s="50">
        <f>BS!P37</f>
        <v>744.399</v>
      </c>
      <c r="E82" s="50">
        <f>BS!Q37</f>
        <v>836.04100000000005</v>
      </c>
      <c r="F82" s="50">
        <f>BS!R37</f>
        <v>855.21299999999997</v>
      </c>
      <c r="G82" s="50">
        <f>BS!S37</f>
        <v>1064.289</v>
      </c>
      <c r="H82" s="68">
        <f>BS!T37</f>
        <v>1064.289</v>
      </c>
      <c r="J82" s="50">
        <f>BS!V37</f>
        <v>694.25400000000002</v>
      </c>
      <c r="K82" s="50">
        <f>BS!W37</f>
        <v>720.84299999999996</v>
      </c>
      <c r="L82" s="50">
        <f>BS!X37</f>
        <v>758.12599999999998</v>
      </c>
      <c r="M82" s="50">
        <f>BS!Y37</f>
        <v>1041.509</v>
      </c>
      <c r="N82" s="68">
        <f>BS!Z37</f>
        <v>1041.509</v>
      </c>
      <c r="P82" s="50">
        <f>BS!AB37</f>
        <v>827.76800000000003</v>
      </c>
      <c r="Q82" s="50">
        <f>BS!AC37</f>
        <v>934.67399999999998</v>
      </c>
      <c r="R82" s="50">
        <f>BS!AD37</f>
        <v>2339.2089999999998</v>
      </c>
      <c r="S82" s="50">
        <f>BS!AE37</f>
        <v>2794.703</v>
      </c>
      <c r="T82" s="68">
        <f>BS!AF37</f>
        <v>2794.703</v>
      </c>
      <c r="U82" s="205"/>
      <c r="V82" s="50">
        <f>BS!AH37</f>
        <v>2213.7910000000002</v>
      </c>
      <c r="W82" s="50">
        <f>BS!AI37</f>
        <v>2086.5160000000001</v>
      </c>
      <c r="X82" s="46">
        <f>X83*X31/92</f>
        <v>0</v>
      </c>
      <c r="Y82" s="46">
        <f>Y83*Y31/92</f>
        <v>0</v>
      </c>
      <c r="Z82" s="57">
        <f>Z83*Z31/365</f>
        <v>2135.4212369428092</v>
      </c>
      <c r="AB82" s="46">
        <f>AB83*AB31/90</f>
        <v>0</v>
      </c>
      <c r="AC82" s="46">
        <f>AC83*AC31/91</f>
        <v>0</v>
      </c>
      <c r="AD82" s="46">
        <f>AD83*AD31/92</f>
        <v>0</v>
      </c>
      <c r="AE82" s="46">
        <f>AE83*AE31/92</f>
        <v>0</v>
      </c>
      <c r="AF82" s="57">
        <f>AF83*AF31/365</f>
        <v>2568.3269482816804</v>
      </c>
      <c r="AH82" s="57">
        <f>AH83*AH31/365</f>
        <v>2944.2669944767986</v>
      </c>
      <c r="AJ82" s="57">
        <f>AJ83*AJ31/366</f>
        <v>3043.608347944119</v>
      </c>
      <c r="AL82" s="57">
        <f>AL83*AL31/365</f>
        <v>3308.7395577215839</v>
      </c>
    </row>
    <row r="83" spans="2:42" ht="14.25" customHeight="1">
      <c r="B83" s="31" t="s">
        <v>473</v>
      </c>
      <c r="D83" s="321">
        <f>D82/D31*90</f>
        <v>66.855513421814194</v>
      </c>
      <c r="E83" s="321">
        <f>E82/E31*91</f>
        <v>70.59158799159357</v>
      </c>
      <c r="F83" s="321">
        <f>F82/F31*92</f>
        <v>146.62615728661945</v>
      </c>
      <c r="G83" s="321" t="e">
        <f>G82/G31*92</f>
        <v>#DIV/0!</v>
      </c>
      <c r="H83" s="322">
        <f>H82/H31*365</f>
        <v>199.21306923076924</v>
      </c>
      <c r="I83" s="323"/>
      <c r="J83" s="321" t="e">
        <f>J82/J31*90</f>
        <v>#DIV/0!</v>
      </c>
      <c r="K83" s="321" t="e">
        <f>K82/K31*91</f>
        <v>#DIV/0!</v>
      </c>
      <c r="L83" s="321" t="e">
        <f>L82/L31*92</f>
        <v>#DIV/0!</v>
      </c>
      <c r="M83" s="321" t="e">
        <f>M82/M31*92</f>
        <v>#DIV/0!</v>
      </c>
      <c r="N83" s="322">
        <f>N82/N31*365</f>
        <v>171.41668620643009</v>
      </c>
      <c r="O83" s="323"/>
      <c r="P83" s="321" t="e">
        <f>P82/P31*90</f>
        <v>#DIV/0!</v>
      </c>
      <c r="Q83" s="321" t="e">
        <f>Q82/Q31*91</f>
        <v>#DIV/0!</v>
      </c>
      <c r="R83" s="321" t="e">
        <f>R82/R31*92</f>
        <v>#DIV/0!</v>
      </c>
      <c r="S83" s="321" t="e">
        <f>S82/S31*92</f>
        <v>#DIV/0!</v>
      </c>
      <c r="T83" s="322">
        <f>T82/T31*365</f>
        <v>260.57337599305185</v>
      </c>
      <c r="U83" s="324"/>
      <c r="V83" s="321">
        <f>V82/V31*90</f>
        <v>163.34766429156448</v>
      </c>
      <c r="W83" s="321">
        <f>W82/W31*91</f>
        <v>148.23193678283857</v>
      </c>
      <c r="X83" s="325"/>
      <c r="Y83" s="325"/>
      <c r="Z83" s="322">
        <f>AVERAGE(T83,N83,H83)</f>
        <v>210.40104381008373</v>
      </c>
      <c r="AA83" s="323"/>
      <c r="AB83" s="325"/>
      <c r="AC83" s="325"/>
      <c r="AD83" s="325"/>
      <c r="AE83" s="325"/>
      <c r="AF83" s="322">
        <f>AVERAGE(Z83,T83,N83)</f>
        <v>214.13036866985522</v>
      </c>
      <c r="AG83" s="323"/>
      <c r="AH83" s="325">
        <f>AVERAGE(AF83,Z83,T83)</f>
        <v>228.36826282433026</v>
      </c>
      <c r="AI83" s="323"/>
      <c r="AJ83" s="325">
        <f>AVERAGE(AH83,AF83,Z83)</f>
        <v>217.63322510142305</v>
      </c>
      <c r="AK83" s="322"/>
      <c r="AL83" s="325">
        <f>AVERAGE(AJ83,AH83,AF83)</f>
        <v>220.04395219853618</v>
      </c>
    </row>
    <row r="84" spans="2:42" ht="14.25" customHeight="1">
      <c r="B84" s="28"/>
      <c r="D84" s="46"/>
      <c r="E84" s="46"/>
      <c r="F84" s="46"/>
      <c r="G84" s="46"/>
      <c r="J84" s="46"/>
      <c r="K84" s="46"/>
      <c r="L84" s="46"/>
      <c r="M84" s="46"/>
      <c r="P84" s="46"/>
      <c r="Q84" s="46"/>
      <c r="R84" s="46"/>
      <c r="S84" s="46"/>
      <c r="U84" s="205"/>
      <c r="V84" s="46"/>
      <c r="W84" s="46"/>
      <c r="X84" s="46"/>
      <c r="Y84" s="46"/>
      <c r="AB84" s="46"/>
      <c r="AC84" s="46"/>
      <c r="AD84" s="46"/>
      <c r="AE84" s="46"/>
    </row>
    <row r="85" spans="2:42" ht="14.25" customHeight="1">
      <c r="B85" s="28" t="s">
        <v>474</v>
      </c>
      <c r="D85" s="50">
        <f>BS!P40</f>
        <v>198.25100000000009</v>
      </c>
      <c r="E85" s="50">
        <f>BS!Q40</f>
        <v>189.87499999999994</v>
      </c>
      <c r="F85" s="50">
        <f>BS!R40</f>
        <v>573.54600000000016</v>
      </c>
      <c r="G85" s="50">
        <f>BS!S40</f>
        <v>89.168999999999897</v>
      </c>
      <c r="H85" s="68">
        <f>BS!T40</f>
        <v>89.168999999999897</v>
      </c>
      <c r="J85" s="50">
        <f>BS!V40</f>
        <v>138.52399999999983</v>
      </c>
      <c r="K85" s="50">
        <f>BS!W40</f>
        <v>242.34400000000016</v>
      </c>
      <c r="L85" s="50">
        <f>BS!X40</f>
        <v>226.01099999999988</v>
      </c>
      <c r="M85" s="50">
        <f>BS!Y40</f>
        <v>260.89799999999985</v>
      </c>
      <c r="N85" s="68">
        <f>BS!Z40</f>
        <v>260.89799999999985</v>
      </c>
      <c r="P85" s="50">
        <f>BS!AB40</f>
        <v>202.38899999999987</v>
      </c>
      <c r="Q85" s="50">
        <f>BS!AC40</f>
        <v>131.63199999999995</v>
      </c>
      <c r="R85" s="50">
        <f>BS!AD40</f>
        <v>262.23800000000017</v>
      </c>
      <c r="S85" s="50">
        <f>BS!AE40</f>
        <v>32.754999999999626</v>
      </c>
      <c r="T85" s="68">
        <f>BS!AF40</f>
        <v>32.754999999999626</v>
      </c>
      <c r="U85" s="205"/>
      <c r="V85" s="50">
        <f>BS!AH40</f>
        <v>234.18299999999999</v>
      </c>
      <c r="W85" s="50">
        <f>BS!AI40</f>
        <v>236.09399999999971</v>
      </c>
      <c r="X85" s="46">
        <f>X86*X40</f>
        <v>0</v>
      </c>
      <c r="Y85" s="46">
        <f t="shared" ref="Y85" si="32">Y86*Y40</f>
        <v>0</v>
      </c>
      <c r="Z85" s="57">
        <f>Z86*Z40</f>
        <v>242.35796440495361</v>
      </c>
      <c r="AB85" s="46">
        <f t="shared" ref="AB85" si="33">AB86*AB40</f>
        <v>0</v>
      </c>
      <c r="AC85" s="46">
        <f t="shared" ref="AC85" si="34">AC86*AC40</f>
        <v>0</v>
      </c>
      <c r="AD85" s="46">
        <f t="shared" ref="AD85" si="35">AD86*AD40</f>
        <v>0</v>
      </c>
      <c r="AE85" s="46">
        <f t="shared" ref="AE85" si="36">AE86*AE40</f>
        <v>0</v>
      </c>
      <c r="AF85" s="57">
        <f>AF86*AF40</f>
        <v>280.93257522152851</v>
      </c>
      <c r="AH85" s="57">
        <f>AH86*AH40</f>
        <v>203.11546845183867</v>
      </c>
      <c r="AJ85" s="57">
        <f t="shared" ref="AJ85" si="37">AJ86*AJ40</f>
        <v>272.56901613358804</v>
      </c>
      <c r="AL85" s="57">
        <f>AL86*AL40</f>
        <v>293.11155325104528</v>
      </c>
    </row>
    <row r="86" spans="2:42" ht="14.25" customHeight="1">
      <c r="B86" s="31" t="s">
        <v>475</v>
      </c>
      <c r="D86" s="305">
        <f>D85/D40</f>
        <v>0.68935769225419719</v>
      </c>
      <c r="E86" s="305" t="e">
        <f>E85/E40</f>
        <v>#DIV/0!</v>
      </c>
      <c r="F86" s="305" t="e">
        <f>F85/F40</f>
        <v>#DIV/0!</v>
      </c>
      <c r="G86" s="305" t="e">
        <f>G85/G40</f>
        <v>#DIV/0!</v>
      </c>
      <c r="H86" s="308">
        <f>H85/H40</f>
        <v>4.9020890599230288E-2</v>
      </c>
      <c r="J86" s="305" t="e">
        <f>J85/J40</f>
        <v>#DIV/0!</v>
      </c>
      <c r="K86" s="305" t="e">
        <f>K85/K40</f>
        <v>#DIV/0!</v>
      </c>
      <c r="L86" s="305" t="e">
        <f>L85/L40</f>
        <v>#DIV/0!</v>
      </c>
      <c r="M86" s="305" t="e">
        <f>M85/M40</f>
        <v>#DIV/0!</v>
      </c>
      <c r="N86" s="308">
        <f>N85/N40</f>
        <v>0.12369523990138435</v>
      </c>
      <c r="P86" s="305" t="e">
        <f>P85/P40</f>
        <v>#DIV/0!</v>
      </c>
      <c r="Q86" s="305" t="e">
        <f>Q85/Q40</f>
        <v>#DIV/0!</v>
      </c>
      <c r="R86" s="305" t="e">
        <f>R85/R40</f>
        <v>#DIV/0!</v>
      </c>
      <c r="S86" s="305" t="e">
        <f>S85/S40</f>
        <v>#DIV/0!</v>
      </c>
      <c r="T86" s="308">
        <f>T85/T40</f>
        <v>8.4337504505895312E-3</v>
      </c>
      <c r="U86" s="205"/>
      <c r="V86" s="305">
        <f>V85/V40</f>
        <v>0.18936304063757389</v>
      </c>
      <c r="W86" s="305">
        <f>W85/W40</f>
        <v>0.1861843153274354</v>
      </c>
      <c r="X86" s="316"/>
      <c r="Y86" s="316"/>
      <c r="Z86" s="326">
        <f>AVERAGE(T86,N86,H86)</f>
        <v>6.0383293650401397E-2</v>
      </c>
      <c r="AB86" s="316"/>
      <c r="AC86" s="316"/>
      <c r="AD86" s="316"/>
      <c r="AE86" s="316"/>
      <c r="AF86" s="326">
        <f>AVERAGE(Z86,T86,N86)</f>
        <v>6.4170761334125095E-2</v>
      </c>
      <c r="AH86" s="316">
        <f>AVERAGE(AF86,Z86,T86)</f>
        <v>4.4329268478372007E-2</v>
      </c>
      <c r="AJ86" s="316">
        <f>AVERAGE(AH86,AF86,Z86)</f>
        <v>5.6294441154299497E-2</v>
      </c>
      <c r="AL86" s="316">
        <f>AVERAGE(AJ86,AH86,AF86)</f>
        <v>5.493149032226554E-2</v>
      </c>
    </row>
    <row r="87" spans="2:42" ht="14.25" customHeight="1">
      <c r="U87" s="205"/>
    </row>
    <row r="88" spans="2:42" ht="14.25" customHeight="1">
      <c r="B88" s="161" t="s">
        <v>476</v>
      </c>
      <c r="C88" s="186"/>
      <c r="D88" s="356" t="s">
        <v>434</v>
      </c>
      <c r="E88" s="356" t="s">
        <v>435</v>
      </c>
      <c r="F88" s="356" t="s">
        <v>436</v>
      </c>
      <c r="G88" s="356" t="s">
        <v>437</v>
      </c>
      <c r="H88" s="356" t="s">
        <v>438</v>
      </c>
      <c r="I88" s="37"/>
      <c r="J88" s="356" t="s">
        <v>439</v>
      </c>
      <c r="K88" s="356" t="s">
        <v>440</v>
      </c>
      <c r="L88" s="356" t="s">
        <v>441</v>
      </c>
      <c r="M88" s="356" t="s">
        <v>442</v>
      </c>
      <c r="N88" s="356" t="s">
        <v>443</v>
      </c>
      <c r="O88" s="37"/>
      <c r="P88" s="356" t="s">
        <v>444</v>
      </c>
      <c r="Q88" s="356" t="s">
        <v>445</v>
      </c>
      <c r="R88" s="356" t="s">
        <v>446</v>
      </c>
      <c r="S88" s="356" t="s">
        <v>447</v>
      </c>
      <c r="T88" s="356" t="s">
        <v>448</v>
      </c>
      <c r="U88" s="37"/>
      <c r="V88" s="356" t="s">
        <v>449</v>
      </c>
      <c r="W88" s="356" t="s">
        <v>450</v>
      </c>
      <c r="X88" s="356" t="s">
        <v>451</v>
      </c>
      <c r="Y88" s="356" t="s">
        <v>452</v>
      </c>
      <c r="Z88" s="356" t="s">
        <v>453</v>
      </c>
      <c r="AA88" s="37"/>
      <c r="AB88" s="356" t="s">
        <v>454</v>
      </c>
      <c r="AC88" s="356" t="s">
        <v>455</v>
      </c>
      <c r="AD88" s="356" t="s">
        <v>456</v>
      </c>
      <c r="AE88" s="356" t="s">
        <v>457</v>
      </c>
      <c r="AF88" s="356" t="s">
        <v>458</v>
      </c>
      <c r="AG88" s="37"/>
      <c r="AH88" s="356" t="s">
        <v>459</v>
      </c>
      <c r="AI88" s="37"/>
      <c r="AJ88" s="356" t="s">
        <v>460</v>
      </c>
      <c r="AK88" s="356"/>
      <c r="AL88" s="356" t="s">
        <v>461</v>
      </c>
    </row>
    <row r="89" spans="2:42" ht="3.95" customHeight="1">
      <c r="B89" s="288"/>
      <c r="C89" s="36"/>
      <c r="D89" s="288"/>
      <c r="E89" s="288"/>
      <c r="F89" s="288"/>
      <c r="G89" s="288"/>
      <c r="H89" s="288"/>
      <c r="I89" s="36"/>
      <c r="J89" s="288"/>
      <c r="K89" s="288"/>
      <c r="L89" s="288"/>
      <c r="M89" s="288"/>
      <c r="N89" s="288"/>
      <c r="O89" s="36"/>
      <c r="P89" s="288"/>
      <c r="Q89" s="288"/>
      <c r="R89" s="288"/>
      <c r="S89" s="288"/>
      <c r="T89" s="288"/>
      <c r="U89" s="36"/>
      <c r="V89" s="288"/>
      <c r="W89" s="288"/>
      <c r="X89" s="288"/>
      <c r="Y89" s="288"/>
      <c r="Z89" s="288"/>
      <c r="AA89" s="36"/>
      <c r="AB89" s="288"/>
      <c r="AC89" s="288"/>
      <c r="AD89" s="288"/>
      <c r="AE89" s="288"/>
      <c r="AF89" s="288"/>
      <c r="AG89" s="36"/>
      <c r="AH89" s="288"/>
      <c r="AI89" s="36"/>
      <c r="AJ89" s="289"/>
      <c r="AK89" s="288"/>
      <c r="AL89" s="288"/>
    </row>
    <row r="90" spans="2:42" ht="3.95" customHeight="1">
      <c r="U90" s="205"/>
    </row>
    <row r="91" spans="2:42" ht="14.25" customHeight="1">
      <c r="B91" s="28" t="s">
        <v>423</v>
      </c>
      <c r="D91" s="50">
        <f>CF!P17</f>
        <v>33.433</v>
      </c>
      <c r="E91" s="50">
        <f>CF!Q17</f>
        <v>34.813000000000002</v>
      </c>
      <c r="F91" s="50">
        <f>CF!R17</f>
        <v>38.018999999999998</v>
      </c>
      <c r="G91" s="50">
        <f>CF!S17</f>
        <v>59.765000000000001</v>
      </c>
      <c r="H91" s="68">
        <f>CF!T17</f>
        <v>166.03</v>
      </c>
      <c r="J91" s="50">
        <f>CF!V17</f>
        <v>49.396000000000001</v>
      </c>
      <c r="K91" s="50">
        <f>CF!W17</f>
        <v>54.48</v>
      </c>
      <c r="L91" s="50">
        <f>CF!X17</f>
        <v>55.587000000000003</v>
      </c>
      <c r="M91" s="50">
        <f>CF!Y17</f>
        <v>63.481000000000002</v>
      </c>
      <c r="N91" s="68">
        <f>CF!Z17</f>
        <v>222.94399999999999</v>
      </c>
      <c r="P91" s="50">
        <f>CF!AB17</f>
        <v>59.354999999999997</v>
      </c>
      <c r="Q91" s="50">
        <f>CF!AC17</f>
        <v>60.790999999999997</v>
      </c>
      <c r="R91" s="50">
        <f>CF!AD17</f>
        <v>122.91800000000001</v>
      </c>
      <c r="S91" s="50">
        <f>CF!AE17</f>
        <v>171.791</v>
      </c>
      <c r="T91" s="68">
        <f>CF!AF17</f>
        <v>414.85500000000002</v>
      </c>
      <c r="U91" s="205"/>
      <c r="V91" s="50">
        <f>CF!AH17</f>
        <v>166.58099999999999</v>
      </c>
      <c r="W91" s="50">
        <f>CF!AI17</f>
        <v>167.13900000000001</v>
      </c>
      <c r="X91" s="46">
        <f>X34+X46</f>
        <v>433.04624999999999</v>
      </c>
      <c r="Y91" s="46">
        <f>Y34+Y46</f>
        <v>380.99900249999996</v>
      </c>
      <c r="Z91" s="312">
        <f>Z46</f>
        <v>458.57693999999998</v>
      </c>
      <c r="AB91" s="46">
        <f>AB34+AB46</f>
        <v>0</v>
      </c>
      <c r="AC91" s="46">
        <f>AC34+AC46</f>
        <v>0</v>
      </c>
      <c r="AD91" s="46">
        <f>AD34+AD46</f>
        <v>0</v>
      </c>
      <c r="AE91" s="46">
        <f>AE34+AE46</f>
        <v>0</v>
      </c>
      <c r="AF91" s="312">
        <f>AF46</f>
        <v>554.07884336670008</v>
      </c>
      <c r="AH91" s="312">
        <f>AH46</f>
        <v>680.30888566567</v>
      </c>
      <c r="AJ91" s="312">
        <f>AJ46</f>
        <v>709.64301989926901</v>
      </c>
      <c r="AL91" s="312">
        <f>AL46</f>
        <v>737.13556055745858</v>
      </c>
    </row>
    <row r="92" spans="2:42" ht="14.25" customHeight="1">
      <c r="B92" s="31" t="s">
        <v>424</v>
      </c>
      <c r="D92" s="305">
        <f>D91/(D79+D76)</f>
        <v>2.0941696732812185E-2</v>
      </c>
      <c r="E92" s="305">
        <f>E91/(E79+E76)</f>
        <v>2.0733439542605307E-2</v>
      </c>
      <c r="F92" s="305">
        <f>F91/(F79+F76)</f>
        <v>2.072762303737994E-2</v>
      </c>
      <c r="G92" s="305">
        <f>G91/(G79+G76)</f>
        <v>3.0570426303098627E-2</v>
      </c>
      <c r="H92" s="308">
        <f>H91/(H79+H76)</f>
        <v>8.4926091844783155E-2</v>
      </c>
      <c r="J92" s="305">
        <f>J91/(J79+J76)</f>
        <v>2.3084486716465902E-2</v>
      </c>
      <c r="K92" s="305">
        <f>K91/(K79+K76)</f>
        <v>2.2950959175686472E-2</v>
      </c>
      <c r="L92" s="305">
        <f>L91/(L79+L76)</f>
        <v>2.3112069442232718E-2</v>
      </c>
      <c r="M92" s="305">
        <f>M91/(M79+M76)</f>
        <v>2.5880664618696324E-2</v>
      </c>
      <c r="N92" s="308">
        <f>N91/(N79+N76)</f>
        <v>9.089237555726333E-2</v>
      </c>
      <c r="P92" s="305">
        <f>P91/(P79+P76)</f>
        <v>2.4618497282446392E-2</v>
      </c>
      <c r="Q92" s="305">
        <f>Q91/(Q79+Q76)</f>
        <v>2.4798715171105871E-2</v>
      </c>
      <c r="R92" s="305">
        <f>R91/(R79+R76)</f>
        <v>2.0228487545421035E-2</v>
      </c>
      <c r="S92" s="305">
        <f>S91/(S79+S76)</f>
        <v>2.8393976988103982E-2</v>
      </c>
      <c r="T92" s="308">
        <f>T91/(T79+T76)</f>
        <v>6.8568104984544465E-2</v>
      </c>
      <c r="U92" s="205"/>
      <c r="V92" s="305">
        <f>V91/(V79+V76)</f>
        <v>2.9028281580656942E-2</v>
      </c>
      <c r="W92" s="305">
        <f>W91/(W79+W76)</f>
        <v>2.9038386530444535E-2</v>
      </c>
      <c r="X92" s="305">
        <f>X91/(X76+X79)</f>
        <v>8.1357635000149128E-2</v>
      </c>
      <c r="Y92" s="305">
        <f>Y91/(Y76+Y79)</f>
        <v>7.7097996047401016E-2</v>
      </c>
      <c r="Z92" s="326">
        <f>Z91/(Z76+Z79)</f>
        <v>7.7218242712219096E-2</v>
      </c>
      <c r="AB92" s="305">
        <f t="shared" ref="AB92:AL92" si="38">AB91/(AB76+AB79)</f>
        <v>0</v>
      </c>
      <c r="AC92" s="305">
        <f t="shared" si="38"/>
        <v>0</v>
      </c>
      <c r="AD92" s="305">
        <f t="shared" si="38"/>
        <v>0</v>
      </c>
      <c r="AE92" s="305">
        <f t="shared" si="38"/>
        <v>0</v>
      </c>
      <c r="AF92" s="326">
        <f t="shared" si="38"/>
        <v>9.0196882211929647E-2</v>
      </c>
      <c r="AH92" s="326">
        <f t="shared" si="38"/>
        <v>0.10962633195893812</v>
      </c>
      <c r="AJ92" s="326">
        <f t="shared" si="38"/>
        <v>0.11341720952096461</v>
      </c>
      <c r="AL92" s="326">
        <f t="shared" si="38"/>
        <v>0.1173396327308195</v>
      </c>
    </row>
    <row r="93" spans="2:42" ht="14.25" customHeight="1">
      <c r="D93" s="46"/>
      <c r="E93" s="46"/>
      <c r="F93" s="46"/>
      <c r="G93" s="46"/>
      <c r="J93" s="46"/>
      <c r="K93" s="46"/>
      <c r="L93" s="46"/>
      <c r="M93" s="46"/>
      <c r="P93" s="46"/>
      <c r="Q93" s="46"/>
      <c r="R93" s="46"/>
      <c r="S93" s="46"/>
      <c r="U93" s="205"/>
      <c r="V93" s="46"/>
      <c r="W93" s="46"/>
      <c r="X93" s="46"/>
      <c r="Y93" s="46"/>
      <c r="AB93" s="46"/>
      <c r="AC93" s="46"/>
      <c r="AD93" s="46"/>
      <c r="AE93" s="46"/>
      <c r="AP93" s="312"/>
    </row>
    <row r="94" spans="2:42" ht="14.25" customHeight="1">
      <c r="B94" s="28" t="s">
        <v>477</v>
      </c>
      <c r="D94" s="50">
        <f>CF!P18</f>
        <v>3.4359999999999999</v>
      </c>
      <c r="E94" s="50">
        <f>CF!Q18</f>
        <v>3.4359999999999999</v>
      </c>
      <c r="F94" s="50">
        <f>CF!R18</f>
        <v>4.6529999999999996</v>
      </c>
      <c r="G94" s="50">
        <f>CF!S18</f>
        <v>5.0179999999999998</v>
      </c>
      <c r="H94" s="68">
        <f>CF!T18</f>
        <v>16.542999999999999</v>
      </c>
      <c r="J94" s="50">
        <f>CF!V18</f>
        <v>4.3899999999999997</v>
      </c>
      <c r="K94" s="50">
        <f>CF!W18</f>
        <v>4.3819999999999997</v>
      </c>
      <c r="L94" s="50">
        <f>CF!X18</f>
        <v>4.8579999999999997</v>
      </c>
      <c r="M94" s="50">
        <f>CF!Y18</f>
        <v>3.718</v>
      </c>
      <c r="N94" s="68">
        <f>CF!Z18</f>
        <v>17.347999999999999</v>
      </c>
      <c r="P94" s="50">
        <f>CF!AB18</f>
        <v>3.1970000000000001</v>
      </c>
      <c r="Q94" s="50">
        <f>CF!AC18</f>
        <v>3.1970000000000001</v>
      </c>
      <c r="R94" s="50">
        <f>CF!AD18</f>
        <v>5.3650000000000002</v>
      </c>
      <c r="S94" s="50">
        <f>CF!AE18</f>
        <v>6.157</v>
      </c>
      <c r="T94" s="68">
        <f>CF!AF18</f>
        <v>17.916</v>
      </c>
      <c r="U94" s="205"/>
      <c r="V94" s="50">
        <f>CF!AH18</f>
        <v>5.3810000000000002</v>
      </c>
      <c r="W94" s="50">
        <f>CF!AI18</f>
        <v>5.8150000000000004</v>
      </c>
      <c r="X94" s="46">
        <f>X95*X40</f>
        <v>0</v>
      </c>
      <c r="Y94" s="46">
        <f>Y95*Y40</f>
        <v>0</v>
      </c>
      <c r="Z94" s="312">
        <f>Z40*Z95</f>
        <v>24.081955430399997</v>
      </c>
      <c r="AB94" s="46">
        <f t="shared" ref="AB94:AE94" si="39">AB95*AB40</f>
        <v>0</v>
      </c>
      <c r="AC94" s="46">
        <f t="shared" si="39"/>
        <v>0</v>
      </c>
      <c r="AD94" s="46">
        <f t="shared" si="39"/>
        <v>0</v>
      </c>
      <c r="AE94" s="46">
        <f t="shared" si="39"/>
        <v>0</v>
      </c>
      <c r="AF94" s="312">
        <f>AF40*AF95</f>
        <v>27.490128486705917</v>
      </c>
      <c r="AH94" s="66">
        <f t="shared" ref="AH94:AJ94" si="40">AH95*AH40</f>
        <v>25.800041318039764</v>
      </c>
      <c r="AJ94" s="66">
        <f t="shared" si="40"/>
        <v>28.905952172588453</v>
      </c>
      <c r="AL94" s="66">
        <f>AL95*AL40</f>
        <v>31.802440703799885</v>
      </c>
      <c r="AN94" s="711"/>
    </row>
    <row r="95" spans="2:42" ht="14.25" customHeight="1">
      <c r="B95" s="31" t="s">
        <v>475</v>
      </c>
      <c r="D95" s="305">
        <f>D94/D40</f>
        <v>1.1947647328817613E-2</v>
      </c>
      <c r="E95" s="305" t="e">
        <f>E94/E40</f>
        <v>#DIV/0!</v>
      </c>
      <c r="F95" s="305" t="e">
        <f>F94/F40</f>
        <v>#DIV/0!</v>
      </c>
      <c r="G95" s="305" t="e">
        <f>G94/G40</f>
        <v>#DIV/0!</v>
      </c>
      <c r="H95" s="308">
        <f>H94/H40</f>
        <v>9.0945574491478835E-3</v>
      </c>
      <c r="J95" s="305" t="e">
        <f>J94/J40</f>
        <v>#DIV/0!</v>
      </c>
      <c r="K95" s="305" t="e">
        <f>K94/K40</f>
        <v>#DIV/0!</v>
      </c>
      <c r="L95" s="305" t="e">
        <f>L94/L40</f>
        <v>#DIV/0!</v>
      </c>
      <c r="M95" s="305" t="e">
        <f>M94/M40</f>
        <v>#DIV/0!</v>
      </c>
      <c r="N95" s="308">
        <f>N94/N40</f>
        <v>8.2249194007206518E-3</v>
      </c>
      <c r="P95" s="305" t="e">
        <f>P94/P40</f>
        <v>#DIV/0!</v>
      </c>
      <c r="Q95" s="305" t="e">
        <f>Q94/Q40</f>
        <v>#DIV/0!</v>
      </c>
      <c r="R95" s="305" t="e">
        <f>R94/R40</f>
        <v>#DIV/0!</v>
      </c>
      <c r="S95" s="305" t="e">
        <f>S94/S40</f>
        <v>#DIV/0!</v>
      </c>
      <c r="T95" s="308">
        <f>T94/T40</f>
        <v>4.6130078788815081E-3</v>
      </c>
      <c r="U95" s="205"/>
      <c r="V95" s="305">
        <f>V94/V40</f>
        <v>4.3511378779449621E-3</v>
      </c>
      <c r="W95" s="305">
        <f>W94/W40</f>
        <v>4.5857234560346231E-3</v>
      </c>
      <c r="X95" s="316"/>
      <c r="Y95" s="316"/>
      <c r="Z95" s="316">
        <v>6.0000000000000001E-3</v>
      </c>
      <c r="AB95" s="316"/>
      <c r="AC95" s="316"/>
      <c r="AD95" s="316"/>
      <c r="AE95" s="316"/>
      <c r="AF95" s="316">
        <f>AVERAGE(Z95,T95,N95)</f>
        <v>6.2793090932007191E-3</v>
      </c>
      <c r="AH95" s="316">
        <f>AVERAGE(AF95,Z95,T95)</f>
        <v>5.6307723240274091E-3</v>
      </c>
      <c r="AJ95" s="316">
        <f>AVERAGE(AH95,AF95,Z95)</f>
        <v>5.9700271390760425E-3</v>
      </c>
      <c r="AL95" s="316">
        <f>AVERAGE(AJ95,AH95,AF95)</f>
        <v>5.9600361854347242E-3</v>
      </c>
    </row>
    <row r="96" spans="2:42" ht="14.25" customHeight="1">
      <c r="B96" s="31" t="s">
        <v>478</v>
      </c>
      <c r="D96" s="305"/>
      <c r="E96" s="305"/>
      <c r="F96" s="305"/>
      <c r="G96" s="305"/>
      <c r="H96" s="308"/>
      <c r="J96" s="305"/>
      <c r="K96" s="305"/>
      <c r="L96" s="305"/>
      <c r="M96" s="305"/>
      <c r="N96" s="308"/>
      <c r="P96" s="305"/>
      <c r="Q96" s="305"/>
      <c r="R96" s="305"/>
      <c r="S96" s="305"/>
      <c r="T96" s="308"/>
      <c r="U96" s="205"/>
      <c r="V96" s="305"/>
      <c r="W96" s="305"/>
      <c r="X96" s="327"/>
      <c r="Y96" s="327"/>
      <c r="Z96" s="327">
        <v>0.5</v>
      </c>
      <c r="AB96" s="327"/>
      <c r="AC96" s="327"/>
      <c r="AD96" s="327"/>
      <c r="AE96" s="327"/>
      <c r="AF96" s="327">
        <v>0.6</v>
      </c>
      <c r="AH96" s="327">
        <v>0.7</v>
      </c>
      <c r="AJ96" s="327">
        <v>0.8</v>
      </c>
      <c r="AL96" s="327">
        <v>0.7</v>
      </c>
    </row>
    <row r="97" spans="2:41" ht="14.25" customHeight="1">
      <c r="B97" s="31" t="s">
        <v>479</v>
      </c>
      <c r="D97" s="46"/>
      <c r="E97" s="46"/>
      <c r="F97" s="46"/>
      <c r="G97" s="46"/>
      <c r="J97" s="46"/>
      <c r="K97" s="46"/>
      <c r="L97" s="46"/>
      <c r="M97" s="46"/>
      <c r="P97" s="46"/>
      <c r="Q97" s="46"/>
      <c r="R97" s="46"/>
      <c r="S97" s="46"/>
      <c r="U97" s="205"/>
      <c r="V97" s="46"/>
      <c r="W97" s="46"/>
      <c r="X97" s="526">
        <f>X96*(X26+W26+V26+S26)/W61</f>
        <v>0</v>
      </c>
      <c r="Y97" s="526" t="e">
        <f>Y96*(Y26+X26+W26+V26)/X61</f>
        <v>#DIV/0!</v>
      </c>
      <c r="Z97" s="335">
        <f>Z96*Z26/T61</f>
        <v>57.1205471905986</v>
      </c>
      <c r="AB97" s="526" t="e">
        <f>AB96*(AB26+Y26+X26+W26)/Y61</f>
        <v>#DIV/0!</v>
      </c>
      <c r="AC97" s="526" t="e">
        <f>AC96*(AC26+AB26+Y26+X26)/AB61</f>
        <v>#DIV/0!</v>
      </c>
      <c r="AD97" s="526" t="e">
        <f>AD96*(AD26+AC26+AB26+Y26)/AC61</f>
        <v>#DIV/0!</v>
      </c>
      <c r="AE97" s="526" t="e">
        <f>AE96*(AE26+AD26+AC26+AB26)/AD61</f>
        <v>#DIV/0!</v>
      </c>
      <c r="AF97" s="335">
        <f>AF96*AF26/Z61</f>
        <v>48.299764310679613</v>
      </c>
      <c r="AH97" s="335">
        <f>AH96*AH26/AF61</f>
        <v>61.756787973035735</v>
      </c>
      <c r="AJ97" s="334">
        <f>AJ96*AJ26/AH61</f>
        <v>76.380751589618129</v>
      </c>
      <c r="AL97" s="334">
        <f>AL96*AL26/AJ61</f>
        <v>71.463199062395333</v>
      </c>
    </row>
    <row r="98" spans="2:41" ht="14.25" customHeight="1">
      <c r="B98" s="31" t="s">
        <v>480</v>
      </c>
      <c r="D98" s="46"/>
      <c r="E98" s="46"/>
      <c r="F98" s="46"/>
      <c r="G98" s="46"/>
      <c r="J98" s="46"/>
      <c r="K98" s="46"/>
      <c r="L98" s="46"/>
      <c r="M98" s="46"/>
      <c r="P98" s="46"/>
      <c r="Q98" s="46"/>
      <c r="R98" s="46"/>
      <c r="S98" s="46"/>
      <c r="U98" s="205"/>
      <c r="V98" s="46"/>
      <c r="W98" s="46"/>
      <c r="X98" s="526" t="e">
        <f>X94/X97</f>
        <v>#DIV/0!</v>
      </c>
      <c r="Y98" s="526" t="e">
        <f>Y94/Y97</f>
        <v>#DIV/0!</v>
      </c>
      <c r="Z98" s="334">
        <f>Z94/Z97</f>
        <v>0.42159882239999996</v>
      </c>
      <c r="AB98" s="526" t="e">
        <f>AB94/AB97</f>
        <v>#DIV/0!</v>
      </c>
      <c r="AC98" s="526" t="e">
        <f>AC94/AC97</f>
        <v>#DIV/0!</v>
      </c>
      <c r="AD98" s="526" t="e">
        <f>AD94/AD97</f>
        <v>#DIV/0!</v>
      </c>
      <c r="AE98" s="526" t="e">
        <f>AE94/AE97</f>
        <v>#DIV/0!</v>
      </c>
      <c r="AF98" s="334">
        <f>AF94/AF97</f>
        <v>0.56915657620771343</v>
      </c>
      <c r="AH98" s="334">
        <f>AH94/AH97</f>
        <v>0.41776851039119106</v>
      </c>
      <c r="AJ98" s="334">
        <f>AJ94/AJ97</f>
        <v>0.37844550585068382</v>
      </c>
      <c r="AL98" s="334">
        <f>AL94/AL97</f>
        <v>0.44501843075948522</v>
      </c>
    </row>
    <row r="99" spans="2:41" ht="14.25" customHeight="1">
      <c r="D99" s="46"/>
      <c r="E99" s="46"/>
      <c r="F99" s="46"/>
      <c r="G99" s="46"/>
      <c r="J99" s="46"/>
      <c r="K99" s="46"/>
      <c r="L99" s="46"/>
      <c r="M99" s="46"/>
      <c r="P99" s="46"/>
      <c r="Q99" s="46"/>
      <c r="R99" s="46"/>
      <c r="S99" s="46"/>
      <c r="U99" s="205"/>
      <c r="V99" s="46"/>
      <c r="W99" s="46"/>
      <c r="X99" s="46"/>
      <c r="Y99" s="46"/>
      <c r="AB99" s="46"/>
      <c r="AC99" s="46"/>
      <c r="AD99" s="46"/>
      <c r="AE99" s="46"/>
    </row>
    <row r="100" spans="2:41" ht="14.25" customHeight="1">
      <c r="B100" s="28" t="s">
        <v>481</v>
      </c>
      <c r="D100" s="50">
        <f>SUM(CF!P21:P24)</f>
        <v>-50.892000000000024</v>
      </c>
      <c r="E100" s="50">
        <f>SUM(CF!Q21:Q24)</f>
        <v>-37.590000000000003</v>
      </c>
      <c r="F100" s="50">
        <f>SUM(CF!R21:R24)</f>
        <v>-188.67599999999999</v>
      </c>
      <c r="G100" s="50">
        <f>SUM(CF!S21:S24)</f>
        <v>-54.507999999999996</v>
      </c>
      <c r="H100" s="68">
        <f>SUM(CF!T21:T24)</f>
        <v>-331.666</v>
      </c>
      <c r="J100" s="50">
        <f>SUM(CF!V21:V24)</f>
        <v>-95.667999999999992</v>
      </c>
      <c r="K100" s="50">
        <f>SUM(CF!W21:W24)</f>
        <v>-76.957999999999998</v>
      </c>
      <c r="L100" s="50">
        <f>SUM(CF!X21:X24)</f>
        <v>-56.403999999999996</v>
      </c>
      <c r="M100" s="50">
        <f>SUM(CF!Y21:Y24)</f>
        <v>131.26400000000004</v>
      </c>
      <c r="N100" s="68">
        <f>SUM(CF!Z21:Z24)</f>
        <v>-97.765999999999991</v>
      </c>
      <c r="P100" s="50">
        <f>SUM(CF!AB21:AB24)</f>
        <v>-105.85400000000001</v>
      </c>
      <c r="Q100" s="50">
        <f>SUM(CF!AC21:AC24)</f>
        <v>-123.229</v>
      </c>
      <c r="R100" s="50">
        <f>SUM(CF!AD21:AD24)</f>
        <v>-160.61000000000004</v>
      </c>
      <c r="S100" s="50">
        <f>SUM(CF!AE21:AE24)</f>
        <v>-146.90699999999998</v>
      </c>
      <c r="T100" s="68">
        <f>SUM(CF!AF21:AF24)</f>
        <v>-536.6</v>
      </c>
      <c r="U100" s="205"/>
      <c r="V100" s="50">
        <f>SUM(CF!AH21:AH24)</f>
        <v>-136.43999999999997</v>
      </c>
      <c r="W100" s="50">
        <f>SUM(CF!AI21:AI24)</f>
        <v>-453.13400000000001</v>
      </c>
      <c r="X100" s="46">
        <f>-((X67+X70+X73-X82-X85)-(W67+W70+W73-W82-W85))</f>
        <v>-2416.5976443304344</v>
      </c>
      <c r="Y100" s="46">
        <f>-((Y67+Y70+Y73-Y82-Y85)-(X67+X70+X73-X82-X85))</f>
        <v>-331.75974545739064</v>
      </c>
      <c r="Z100" s="57">
        <f>-((Z67+Z70+Z73-Z82+Z85)-(T67+T70+T73-T82+T85))</f>
        <v>-2020.6388401290296</v>
      </c>
      <c r="AB100" s="46">
        <f>-((AB67+AB70+AB73-AB82-AB85)-(Y67+Y70+Y73-Y82-Y85))</f>
        <v>6468.558389787825</v>
      </c>
      <c r="AC100" s="46">
        <f>-((AC67+AC70+AC73-AC82-AC85)-(AB67+AB70+AB73-AB82-AB85))</f>
        <v>0</v>
      </c>
      <c r="AD100" s="46">
        <f>-((AD67+AD70+AD73-AD82-AD85)-(AC67+AC70+AC73-AC82-AC85))</f>
        <v>0</v>
      </c>
      <c r="AE100" s="46">
        <f>-((AE67+AE70+AE73-AE82-AE85)-(AD67+AD70+AD73-AD82-AD85))</f>
        <v>0</v>
      </c>
      <c r="AF100" s="57">
        <f>-((AF67+AF70+AF73-AF82+AF85)-(Z67+Z70+Z73-Z82+Z85))</f>
        <v>230.86828411630358</v>
      </c>
      <c r="AH100" s="312">
        <f>-((AH67+AH70+AH73-AH82-AH85)-(AF67+AF70+AF73-AF82-AF85))</f>
        <v>117.61532431987962</v>
      </c>
      <c r="AJ100" s="312">
        <f>-((AJ67+AJ70+AJ73-AJ82-AJ85)-(AH67+AH70+AH73-AH82-AH85))</f>
        <v>677.84530499432776</v>
      </c>
      <c r="AL100" s="312">
        <f>-((AL67+AL70+AL73-AL82-AL85)-(AJ67+AJ70+AJ73-AJ82-AJ85))</f>
        <v>206.3053220235588</v>
      </c>
      <c r="AN100" s="711"/>
    </row>
    <row r="101" spans="2:41" ht="14.25" customHeight="1">
      <c r="B101" s="31" t="s">
        <v>482</v>
      </c>
      <c r="D101" s="305">
        <f>D100/(D26-IS!M18)</f>
        <v>-3.4690520773617985E-2</v>
      </c>
      <c r="E101" s="305" t="e">
        <f>E100/(E26-D26)</f>
        <v>#DIV/0!</v>
      </c>
      <c r="F101" s="305">
        <f>F100/(F26-E26)</f>
        <v>-0.78421234200496315</v>
      </c>
      <c r="G101" s="305">
        <f>G100/(G26-F26)</f>
        <v>-0.28644158290136928</v>
      </c>
      <c r="H101" s="308">
        <f>H100/IS!N18</f>
        <v>-0.11343557604468389</v>
      </c>
      <c r="J101" s="305">
        <f>J100/(J26-IS!S18)</f>
        <v>-5.5595624526487322E-2</v>
      </c>
      <c r="K101" s="305" t="e">
        <f>K100/(K26-J26)</f>
        <v>#DIV/0!</v>
      </c>
      <c r="L101" s="305">
        <f>L100/(L26-K26)</f>
        <v>-0.2318460749886655</v>
      </c>
      <c r="M101" s="305">
        <f>M100/(M26-L26)</f>
        <v>0.67932746249994835</v>
      </c>
      <c r="N101" s="308">
        <f>N100/IS!T18</f>
        <v>-2.3092188771781642E-2</v>
      </c>
      <c r="P101" s="305">
        <f>P100/(P26-IS!Y18)</f>
        <v>-5.4766879629430831E-2</v>
      </c>
      <c r="Q101" s="305" t="e">
        <f>Q100/(Q26-P26)</f>
        <v>#DIV/0!</v>
      </c>
      <c r="R101" s="305">
        <f>R100/(R26-Q26)</f>
        <v>-0.61451990273895774</v>
      </c>
      <c r="S101" s="305">
        <f>S100/(S26-R26)</f>
        <v>-0.65966322406825373</v>
      </c>
      <c r="T101" s="308">
        <f>T100/IS!Z18</f>
        <v>-0.11071295345681906</v>
      </c>
      <c r="U101" s="205"/>
      <c r="V101" s="305">
        <f>V100/(V26-IS!AE18)</f>
        <v>-1.1835839405772184</v>
      </c>
      <c r="W101" s="305" t="e">
        <f>W100/(W26-V26)</f>
        <v>#DIV/0!</v>
      </c>
      <c r="X101" s="305">
        <f>X100/(X26-W26)</f>
        <v>-7.5388227658831974</v>
      </c>
      <c r="Y101" s="305">
        <f>Y100/(Y26-X26)</f>
        <v>-1.292875995495564</v>
      </c>
      <c r="Z101" s="308">
        <f>Z100/(Z26-T26)</f>
        <v>-2.6053664412779169</v>
      </c>
      <c r="AB101" s="305">
        <f>AB100/(AB26-IS!AK18)</f>
        <v>1.6567600209932472</v>
      </c>
      <c r="AC101" s="305" t="e">
        <f>AC100/(AC26-AB26)</f>
        <v>#DIV/0!</v>
      </c>
      <c r="AD101" s="305">
        <f>AD100/(AD26-AC26)</f>
        <v>0</v>
      </c>
      <c r="AE101" s="305">
        <f>AE100/(AE26-AD26)</f>
        <v>0</v>
      </c>
      <c r="AF101" s="308">
        <f>AF100/(AF26-Z26)</f>
        <v>0.13982262853639241</v>
      </c>
      <c r="AH101" s="308">
        <f>AH100/(AH26-AF26)</f>
        <v>7.2226806685690065E-2</v>
      </c>
      <c r="AJ101" s="308">
        <f>AJ100/(AJ26-AH26)</f>
        <v>0.43695272305772553</v>
      </c>
      <c r="AL101" s="308">
        <f>AL100/(AL26-AJ26)</f>
        <v>0.14613359425335964</v>
      </c>
    </row>
    <row r="102" spans="2:41" ht="14.25" customHeight="1">
      <c r="D102" s="46"/>
      <c r="E102" s="46"/>
      <c r="F102" s="46"/>
      <c r="G102" s="46"/>
      <c r="J102" s="46"/>
      <c r="K102" s="46"/>
      <c r="L102" s="46"/>
      <c r="M102" s="46"/>
      <c r="P102" s="46"/>
      <c r="Q102" s="46"/>
      <c r="R102" s="46"/>
      <c r="S102" s="46"/>
      <c r="U102" s="205"/>
      <c r="V102" s="46"/>
      <c r="W102" s="46"/>
      <c r="X102" s="46"/>
      <c r="Y102" s="46"/>
      <c r="AB102" s="46"/>
      <c r="AC102" s="46"/>
      <c r="AD102" s="46"/>
      <c r="AE102" s="46"/>
    </row>
    <row r="103" spans="2:41" ht="14.25" customHeight="1">
      <c r="B103" s="28" t="s">
        <v>483</v>
      </c>
      <c r="D103" s="50">
        <f>CF!P28</f>
        <v>-40.835000000000001</v>
      </c>
      <c r="E103" s="50">
        <f>CF!Q28</f>
        <v>-56.003999999999998</v>
      </c>
      <c r="F103" s="50">
        <f>CF!R28</f>
        <v>-63.697000000000003</v>
      </c>
      <c r="G103" s="50">
        <f>CF!S28</f>
        <v>-72.606999999999999</v>
      </c>
      <c r="H103" s="68">
        <f>CF!T28</f>
        <v>-233.143</v>
      </c>
      <c r="J103" s="50">
        <f>CF!V28</f>
        <v>-50.997999999999998</v>
      </c>
      <c r="K103" s="50">
        <f>CF!W28</f>
        <v>-74.524000000000001</v>
      </c>
      <c r="L103" s="50">
        <f>CF!X28</f>
        <v>-47.712000000000003</v>
      </c>
      <c r="M103" s="50">
        <f>CF!Y28</f>
        <v>-61.966999999999999</v>
      </c>
      <c r="N103" s="68">
        <f>CF!Z28</f>
        <v>-235.20099999999999</v>
      </c>
      <c r="P103" s="50">
        <f>CF!AB28</f>
        <v>-41.514000000000003</v>
      </c>
      <c r="Q103" s="50">
        <f>CF!AC28</f>
        <v>-66.795000000000002</v>
      </c>
      <c r="R103" s="50">
        <f>CF!AD28</f>
        <v>-115.464</v>
      </c>
      <c r="S103" s="50">
        <f>CF!AE28</f>
        <v>-195.18899999999999</v>
      </c>
      <c r="T103" s="68">
        <f>CF!AF28</f>
        <v>-418.96199999999999</v>
      </c>
      <c r="U103" s="205"/>
      <c r="V103" s="50">
        <f>CF!AH28</f>
        <v>-84.39</v>
      </c>
      <c r="W103" s="50">
        <f>CF!AI28</f>
        <v>-94.177000000000007</v>
      </c>
      <c r="X103" s="46">
        <f>-X$26*(X104+Sensitivity!$U$38)</f>
        <v>0</v>
      </c>
      <c r="Y103" s="46">
        <f>-Y$26*(Y104+Sensitivity!$U$38)</f>
        <v>0</v>
      </c>
      <c r="Z103" s="68">
        <f>-(Z28*Z104)</f>
        <v>-668.94320640000001</v>
      </c>
      <c r="AA103" s="68"/>
      <c r="AB103" s="68">
        <f>-AB$26*(AB104+Sensitivity!$U$38)</f>
        <v>0</v>
      </c>
      <c r="AC103" s="68">
        <f>-AC$26*(AC104+Sensitivity!$U$38)</f>
        <v>0</v>
      </c>
      <c r="AD103" s="68">
        <f>-AD$26*(AD104+Sensitivity!$U$38)</f>
        <v>0</v>
      </c>
      <c r="AE103" s="68">
        <f>-AE$26*(AE104+Sensitivity!$U$38)</f>
        <v>0</v>
      </c>
      <c r="AF103" s="68">
        <f>-(AF28*AF104)</f>
        <v>-711.4072285320002</v>
      </c>
      <c r="AG103" s="68"/>
      <c r="AH103" s="68">
        <f>-(AH28*AH104)</f>
        <v>-743.02249198632012</v>
      </c>
      <c r="AI103" s="68"/>
      <c r="AJ103" s="68">
        <f>-(AJ28*AJ104)</f>
        <v>-760.86151821720728</v>
      </c>
      <c r="AK103" s="68"/>
      <c r="AL103" s="68">
        <f>-(AL28*AL104)</f>
        <v>-762.27822675495634</v>
      </c>
      <c r="AO103" s="711"/>
    </row>
    <row r="104" spans="2:41" ht="14.25" customHeight="1">
      <c r="B104" s="31" t="s">
        <v>467</v>
      </c>
      <c r="D104" s="305">
        <f>-D103/D26</f>
        <v>1.5951302725530168E-2</v>
      </c>
      <c r="E104" s="305">
        <f>-E103/E26</f>
        <v>2.1876741957648868E-2</v>
      </c>
      <c r="F104" s="305">
        <f>-F103/F26</f>
        <v>2.2744282239485363E-2</v>
      </c>
      <c r="G104" s="305">
        <f>-G103/G26</f>
        <v>2.4276249658292903E-2</v>
      </c>
      <c r="H104" s="308">
        <f>-H103/H28</f>
        <v>5.50683799041028E-2</v>
      </c>
      <c r="J104" s="305">
        <f>-J103/J26</f>
        <v>1.68188341656949E-2</v>
      </c>
      <c r="K104" s="305">
        <f>-K103/K26</f>
        <v>2.4577567696071351E-2</v>
      </c>
      <c r="L104" s="305">
        <f>-L103/L26</f>
        <v>1.4566423587641255E-2</v>
      </c>
      <c r="M104" s="305">
        <f>-M103/M26</f>
        <v>1.7864595207363301E-2</v>
      </c>
      <c r="N104" s="308">
        <f>-N103/N28</f>
        <v>4.85270694066188E-2</v>
      </c>
      <c r="P104" s="305">
        <f>-P103/P26</f>
        <v>1.2364772401842297E-2</v>
      </c>
      <c r="Q104" s="305">
        <f>-Q103/Q26</f>
        <v>1.989461320472747E-2</v>
      </c>
      <c r="R104" s="305">
        <f>-R103/R26</f>
        <v>3.1906709406433073E-2</v>
      </c>
      <c r="S104" s="305">
        <f>-S103/S26</f>
        <v>5.0810620851229983E-2</v>
      </c>
      <c r="T104" s="308">
        <f>-T103/T28</f>
        <v>4.9996658631470924E-2</v>
      </c>
      <c r="U104" s="205"/>
      <c r="V104" s="305">
        <f>-V103/V26</f>
        <v>2.3980433773311494E-2</v>
      </c>
      <c r="W104" s="305">
        <f>-W103/W26</f>
        <v>2.6761527568066795E-2</v>
      </c>
      <c r="X104" s="316"/>
      <c r="Y104" s="316"/>
      <c r="Z104" s="316">
        <v>7.0000000000000007E-2</v>
      </c>
      <c r="AB104" s="316"/>
      <c r="AC104" s="316"/>
      <c r="AD104" s="316"/>
      <c r="AE104" s="316"/>
      <c r="AF104" s="316">
        <v>6.5000000000000002E-2</v>
      </c>
      <c r="AH104" s="316">
        <v>0.06</v>
      </c>
      <c r="AJ104" s="316">
        <v>5.5E-2</v>
      </c>
      <c r="AL104" s="316">
        <v>0.05</v>
      </c>
    </row>
    <row r="105" spans="2:41" ht="14.25" customHeight="1">
      <c r="D105" s="46"/>
      <c r="E105" s="46"/>
      <c r="F105" s="46"/>
      <c r="G105" s="46"/>
      <c r="J105" s="46"/>
      <c r="K105" s="46"/>
      <c r="L105" s="46"/>
      <c r="M105" s="46"/>
      <c r="P105" s="46"/>
      <c r="Q105" s="46"/>
      <c r="R105" s="46"/>
      <c r="S105" s="46"/>
      <c r="U105" s="205"/>
      <c r="V105" s="46"/>
      <c r="W105" s="46"/>
      <c r="X105" s="46"/>
      <c r="Y105" s="46"/>
      <c r="AB105" s="46"/>
      <c r="AC105" s="46"/>
      <c r="AD105" s="46"/>
      <c r="AE105" s="46"/>
    </row>
    <row r="106" spans="2:41" ht="14.25" customHeight="1">
      <c r="B106" s="28" t="s">
        <v>484</v>
      </c>
      <c r="D106" s="50">
        <f>CF!P29</f>
        <v>0</v>
      </c>
      <c r="E106" s="50">
        <f>CF!Q29</f>
        <v>0</v>
      </c>
      <c r="F106" s="50">
        <f>CF!R29</f>
        <v>0</v>
      </c>
      <c r="G106" s="50">
        <f>CF!S29</f>
        <v>0</v>
      </c>
      <c r="H106" s="68">
        <f>CF!T29</f>
        <v>0</v>
      </c>
      <c r="J106" s="50">
        <f>CF!V29</f>
        <v>0</v>
      </c>
      <c r="K106" s="50">
        <f>CF!W29</f>
        <v>0</v>
      </c>
      <c r="L106" s="50">
        <f>CF!X29</f>
        <v>0</v>
      </c>
      <c r="M106" s="50">
        <f>CF!Y29</f>
        <v>0</v>
      </c>
      <c r="N106" s="68">
        <f>CF!Z29</f>
        <v>0</v>
      </c>
      <c r="P106" s="50">
        <f>CF!AB29</f>
        <v>0</v>
      </c>
      <c r="Q106" s="50">
        <f>CF!AC29</f>
        <v>0</v>
      </c>
      <c r="R106" s="50">
        <f>CF!AD29</f>
        <v>0</v>
      </c>
      <c r="S106" s="50">
        <f>CF!AE29</f>
        <v>0</v>
      </c>
      <c r="T106" s="68">
        <f>CF!AF29</f>
        <v>0</v>
      </c>
      <c r="U106" s="205"/>
      <c r="V106" s="50">
        <f>CF!AH29</f>
        <v>0</v>
      </c>
      <c r="W106" s="50">
        <f>CF!AI29</f>
        <v>0</v>
      </c>
      <c r="X106" s="46">
        <f>X107*X$103</f>
        <v>0</v>
      </c>
      <c r="Y106" s="46">
        <f>Y107*Y$103</f>
        <v>0</v>
      </c>
      <c r="Z106" s="57">
        <f>SUM(V106:Y106)</f>
        <v>0</v>
      </c>
      <c r="AB106" s="46">
        <f t="shared" ref="AB106:AE106" si="41">AB107*AB$103</f>
        <v>0</v>
      </c>
      <c r="AC106" s="46">
        <f t="shared" si="41"/>
        <v>0</v>
      </c>
      <c r="AD106" s="46">
        <f t="shared" si="41"/>
        <v>0</v>
      </c>
      <c r="AE106" s="46">
        <f t="shared" si="41"/>
        <v>0</v>
      </c>
      <c r="AF106" s="57">
        <f>SUM(AB106:AE106)</f>
        <v>0</v>
      </c>
      <c r="AH106" s="57">
        <f t="shared" ref="AH106:AL106" si="42">AH107*AH$103</f>
        <v>0</v>
      </c>
      <c r="AJ106" s="57">
        <f t="shared" si="42"/>
        <v>0</v>
      </c>
      <c r="AL106" s="57">
        <f t="shared" si="42"/>
        <v>0</v>
      </c>
    </row>
    <row r="107" spans="2:41" ht="14.25" customHeight="1">
      <c r="B107" s="31" t="s">
        <v>485</v>
      </c>
      <c r="D107" s="305">
        <f>-D106/D103</f>
        <v>0</v>
      </c>
      <c r="E107" s="305">
        <f t="shared" ref="E107:H107" si="43">-E106/E103</f>
        <v>0</v>
      </c>
      <c r="F107" s="305">
        <f t="shared" si="43"/>
        <v>0</v>
      </c>
      <c r="G107" s="305">
        <f t="shared" si="43"/>
        <v>0</v>
      </c>
      <c r="H107" s="308">
        <f t="shared" si="43"/>
        <v>0</v>
      </c>
      <c r="J107" s="305">
        <f>-J106/J103</f>
        <v>0</v>
      </c>
      <c r="K107" s="305">
        <f t="shared" ref="K107" si="44">-K106/K103</f>
        <v>0</v>
      </c>
      <c r="L107" s="305">
        <f t="shared" ref="L107" si="45">-L106/L103</f>
        <v>0</v>
      </c>
      <c r="M107" s="305">
        <f t="shared" ref="M107" si="46">-M106/M103</f>
        <v>0</v>
      </c>
      <c r="N107" s="308">
        <f t="shared" ref="N107" si="47">-N106/N103</f>
        <v>0</v>
      </c>
      <c r="P107" s="305">
        <f>-P106/P103</f>
        <v>0</v>
      </c>
      <c r="Q107" s="305">
        <f t="shared" ref="Q107" si="48">-Q106/Q103</f>
        <v>0</v>
      </c>
      <c r="R107" s="305">
        <f t="shared" ref="R107" si="49">-R106/R103</f>
        <v>0</v>
      </c>
      <c r="S107" s="305">
        <f t="shared" ref="S107" si="50">-S106/S103</f>
        <v>0</v>
      </c>
      <c r="T107" s="308">
        <f t="shared" ref="T107" si="51">-T106/T103</f>
        <v>0</v>
      </c>
      <c r="U107" s="205"/>
      <c r="V107" s="305">
        <f>-V106/V103</f>
        <v>0</v>
      </c>
      <c r="W107" s="305">
        <f t="shared" ref="W107" si="52">-W106/W103</f>
        <v>0</v>
      </c>
      <c r="X107" s="316">
        <v>0</v>
      </c>
      <c r="Y107" s="316">
        <v>0</v>
      </c>
      <c r="Z107" s="316">
        <f>-Z106/Z$26</f>
        <v>0</v>
      </c>
      <c r="AB107" s="316">
        <v>0</v>
      </c>
      <c r="AC107" s="316">
        <v>0</v>
      </c>
      <c r="AD107" s="316">
        <v>0</v>
      </c>
      <c r="AE107" s="316">
        <v>0</v>
      </c>
      <c r="AF107" s="316">
        <f>-AF106/AF$26</f>
        <v>0</v>
      </c>
      <c r="AH107" s="316">
        <v>0</v>
      </c>
      <c r="AJ107" s="316">
        <v>0</v>
      </c>
      <c r="AL107" s="316">
        <v>0</v>
      </c>
    </row>
    <row r="108" spans="2:41" ht="14.25" customHeight="1">
      <c r="B108" s="31"/>
      <c r="D108" s="305"/>
      <c r="E108" s="305"/>
      <c r="F108" s="305"/>
      <c r="G108" s="305"/>
      <c r="H108" s="308"/>
      <c r="J108" s="305"/>
      <c r="K108" s="305"/>
      <c r="L108" s="305"/>
      <c r="M108" s="305"/>
      <c r="N108" s="308"/>
      <c r="P108" s="305"/>
      <c r="Q108" s="305"/>
      <c r="R108" s="305"/>
      <c r="S108" s="305"/>
      <c r="T108" s="308"/>
      <c r="U108" s="205"/>
      <c r="V108" s="305"/>
      <c r="W108" s="305"/>
      <c r="X108" s="305"/>
      <c r="Y108" s="305"/>
      <c r="Z108" s="306"/>
      <c r="AA108" s="306"/>
      <c r="AB108" s="305"/>
      <c r="AC108" s="305"/>
      <c r="AD108" s="305"/>
      <c r="AE108" s="305"/>
      <c r="AF108" s="306"/>
      <c r="AH108" s="610"/>
      <c r="AJ108" s="610"/>
      <c r="AL108" s="610"/>
    </row>
    <row r="109" spans="2:41" ht="14.25" customHeight="1">
      <c r="B109" s="28" t="s">
        <v>486</v>
      </c>
      <c r="D109" s="50">
        <f>CF!P39</f>
        <v>-60</v>
      </c>
      <c r="E109" s="50">
        <f>CF!Q39</f>
        <v>0</v>
      </c>
      <c r="F109" s="50">
        <f>CF!R39</f>
        <v>-69.683000000000007</v>
      </c>
      <c r="G109" s="50">
        <f>CF!S39</f>
        <v>-50</v>
      </c>
      <c r="H109" s="68">
        <f>CF!T39</f>
        <v>-179.68299999999999</v>
      </c>
      <c r="J109" s="50">
        <f>CF!V39</f>
        <v>-82.106999999999999</v>
      </c>
      <c r="K109" s="50">
        <f>CF!W39</f>
        <v>0</v>
      </c>
      <c r="L109" s="50">
        <f>CF!X39</f>
        <v>-102.148</v>
      </c>
      <c r="M109" s="50">
        <f>CF!Y39</f>
        <v>-112.047</v>
      </c>
      <c r="N109" s="68">
        <f>CF!Z39</f>
        <v>-296.30200000000002</v>
      </c>
      <c r="P109" s="50">
        <f>CF!AB39</f>
        <v>0</v>
      </c>
      <c r="Q109" s="50">
        <f>CF!AC39</f>
        <v>0</v>
      </c>
      <c r="R109" s="50">
        <f>CF!AD39</f>
        <v>-60</v>
      </c>
      <c r="S109" s="50">
        <f>CF!AE39</f>
        <v>-118.749</v>
      </c>
      <c r="T109" s="68">
        <f>CF!AF39</f>
        <v>-178.749</v>
      </c>
      <c r="U109" s="205"/>
      <c r="V109" s="50">
        <f>CF!AH39</f>
        <v>0</v>
      </c>
      <c r="W109" s="50">
        <f>CF!AI39</f>
        <v>0</v>
      </c>
      <c r="X109" s="46">
        <f>-X110*X123</f>
        <v>387.97833538844992</v>
      </c>
      <c r="Y109" s="46">
        <f>-Y110*Y123</f>
        <v>405.0388314893699</v>
      </c>
      <c r="Z109" s="57">
        <f>SUM(V109:Y109)</f>
        <v>793.01716687781982</v>
      </c>
      <c r="AB109" s="46">
        <f>-AB110*AB123</f>
        <v>0</v>
      </c>
      <c r="AC109" s="46">
        <f>-AC110*AC123</f>
        <v>0</v>
      </c>
      <c r="AD109" s="46">
        <f>-AD110*AD123</f>
        <v>0</v>
      </c>
      <c r="AE109" s="46">
        <f>-AE110*AE123</f>
        <v>0</v>
      </c>
      <c r="AF109" s="57">
        <f>SUM(AB109:AE109)</f>
        <v>0</v>
      </c>
      <c r="AH109" s="57">
        <f>-AH110*AH123</f>
        <v>-592.56043735909032</v>
      </c>
      <c r="AJ109" s="57">
        <f>-AJ110*AJ123</f>
        <v>-884.6052687708966</v>
      </c>
      <c r="AL109" s="57">
        <f>-AL110*AL123</f>
        <v>-1011.3526373471384</v>
      </c>
      <c r="AN109" s="711"/>
    </row>
    <row r="110" spans="2:41" ht="14.25" customHeight="1">
      <c r="B110" s="31" t="s">
        <v>487</v>
      </c>
      <c r="D110" s="305" t="e">
        <f>-D109/D123</f>
        <v>#DIV/0!</v>
      </c>
      <c r="E110" s="305" t="e">
        <f>-E109/E123</f>
        <v>#DIV/0!</v>
      </c>
      <c r="F110" s="305" t="e">
        <f>-F109/F123</f>
        <v>#DIV/0!</v>
      </c>
      <c r="G110" s="305" t="e">
        <f>-G109/G123</f>
        <v>#DIV/0!</v>
      </c>
      <c r="H110" s="308">
        <f>-H109/H123</f>
        <v>0.3561136608400971</v>
      </c>
      <c r="J110" s="305">
        <f>-J109/J123</f>
        <v>0.76067813430421827</v>
      </c>
      <c r="K110" s="305">
        <f>-K109/K123</f>
        <v>0</v>
      </c>
      <c r="L110" s="305">
        <f>-L109/L123</f>
        <v>0.64229882727931131</v>
      </c>
      <c r="M110" s="305">
        <f>-M109/M123</f>
        <v>0.61158000643276378</v>
      </c>
      <c r="N110" s="308">
        <f>-N109/N123</f>
        <v>0.48615465840466171</v>
      </c>
      <c r="P110" s="305">
        <f>-P109/P123</f>
        <v>0</v>
      </c>
      <c r="Q110" s="305">
        <f>-Q109/Q123</f>
        <v>0</v>
      </c>
      <c r="R110" s="305">
        <f>-R109/R123</f>
        <v>0.14218823194000635</v>
      </c>
      <c r="S110" s="305">
        <f>-S109/S123</f>
        <v>0.11546873360773814</v>
      </c>
      <c r="T110" s="308">
        <f>-T109/T123</f>
        <v>0.13091255838225421</v>
      </c>
      <c r="U110" s="205"/>
      <c r="V110" s="305">
        <f>-V109/V123</f>
        <v>0</v>
      </c>
      <c r="W110" s="305">
        <f>-W109/W123</f>
        <v>0</v>
      </c>
      <c r="X110" s="316">
        <v>0.15</v>
      </c>
      <c r="Y110" s="316">
        <v>0.15</v>
      </c>
      <c r="Z110" s="316">
        <v>0.15</v>
      </c>
      <c r="AB110" s="316">
        <v>0</v>
      </c>
      <c r="AC110" s="316">
        <v>0</v>
      </c>
      <c r="AD110" s="316">
        <v>0.2</v>
      </c>
      <c r="AE110" s="316">
        <v>0.2</v>
      </c>
      <c r="AF110" s="316">
        <v>0.2</v>
      </c>
      <c r="AH110" s="316">
        <v>0.25</v>
      </c>
      <c r="AJ110" s="316">
        <v>0.3</v>
      </c>
      <c r="AL110" s="316">
        <v>0.3</v>
      </c>
    </row>
    <row r="111" spans="2:41" ht="14.25" customHeight="1">
      <c r="B111" s="31"/>
      <c r="D111" s="305"/>
      <c r="E111" s="305"/>
      <c r="F111" s="305"/>
      <c r="G111" s="305"/>
      <c r="H111" s="308"/>
      <c r="J111" s="305"/>
      <c r="K111" s="305"/>
      <c r="L111" s="305"/>
      <c r="M111" s="305"/>
      <c r="N111" s="308"/>
      <c r="P111" s="305"/>
      <c r="Q111" s="305"/>
      <c r="R111" s="305"/>
      <c r="S111" s="305"/>
      <c r="T111" s="308"/>
      <c r="U111" s="205"/>
      <c r="V111" s="305"/>
      <c r="W111" s="305"/>
      <c r="X111" s="305"/>
      <c r="Y111" s="305"/>
      <c r="Z111" s="306"/>
      <c r="AA111" s="306"/>
      <c r="AB111" s="305"/>
      <c r="AC111" s="305"/>
      <c r="AD111" s="305"/>
      <c r="AE111" s="305"/>
      <c r="AF111" s="306"/>
      <c r="AH111" s="610"/>
      <c r="AJ111" s="610"/>
      <c r="AL111" s="610"/>
    </row>
    <row r="112" spans="2:41" ht="14.25" customHeight="1">
      <c r="B112" s="28" t="s">
        <v>488</v>
      </c>
      <c r="D112" s="50">
        <f>CF!P40</f>
        <v>-36.776000000000003</v>
      </c>
      <c r="E112" s="50">
        <f>CF!Q40</f>
        <v>36.776000000000003</v>
      </c>
      <c r="F112" s="50">
        <f>CF!R40</f>
        <v>-24.376999999999999</v>
      </c>
      <c r="G112" s="50">
        <f>CF!S40</f>
        <v>-1.68</v>
      </c>
      <c r="H112" s="68">
        <f>CF!T40</f>
        <v>-26.056999999999999</v>
      </c>
      <c r="J112" s="50">
        <f>CF!V40</f>
        <v>-6.1909999999999998</v>
      </c>
      <c r="K112" s="50">
        <f>CF!W40</f>
        <v>-3.024</v>
      </c>
      <c r="L112" s="50">
        <f>CF!X40</f>
        <v>0</v>
      </c>
      <c r="M112" s="50">
        <f>CF!Y40</f>
        <v>-2.0329999999999999</v>
      </c>
      <c r="N112" s="68">
        <f>CF!Z40</f>
        <v>-11.247999999999999</v>
      </c>
      <c r="P112" s="50">
        <f>CF!AB40</f>
        <v>0</v>
      </c>
      <c r="Q112" s="50">
        <f>CF!AC40</f>
        <v>0</v>
      </c>
      <c r="R112" s="50">
        <f>CF!AD40</f>
        <v>0</v>
      </c>
      <c r="S112" s="50">
        <f>CF!AE40</f>
        <v>0</v>
      </c>
      <c r="T112" s="68">
        <f>CF!AF40</f>
        <v>0</v>
      </c>
      <c r="U112" s="205"/>
      <c r="V112" s="50">
        <f>CF!AH40</f>
        <v>0</v>
      </c>
      <c r="W112" s="50">
        <f>CF!AI40</f>
        <v>0</v>
      </c>
      <c r="X112" s="613">
        <v>0</v>
      </c>
      <c r="Y112" s="613">
        <v>0</v>
      </c>
      <c r="Z112" s="613">
        <f>SUM(V112:Y112)</f>
        <v>0</v>
      </c>
      <c r="AB112" s="613"/>
      <c r="AC112" s="613"/>
      <c r="AD112" s="613"/>
      <c r="AE112" s="613"/>
      <c r="AF112" s="613">
        <v>-18</v>
      </c>
      <c r="AH112" s="613">
        <v>-18</v>
      </c>
      <c r="AJ112" s="613">
        <v>-18</v>
      </c>
      <c r="AL112" s="613">
        <v>-18</v>
      </c>
    </row>
    <row r="113" spans="1:45" ht="14.25" customHeight="1">
      <c r="U113" s="205"/>
      <c r="AS113" s="312"/>
    </row>
    <row r="114" spans="1:45" s="41" customFormat="1" ht="15" customHeight="1">
      <c r="A114" s="30" t="s">
        <v>37</v>
      </c>
      <c r="B114" s="161" t="s">
        <v>489</v>
      </c>
      <c r="C114" s="18"/>
      <c r="D114" s="162"/>
      <c r="E114" s="162"/>
      <c r="F114" s="162"/>
      <c r="G114" s="162"/>
      <c r="H114" s="162"/>
      <c r="I114" s="18"/>
      <c r="J114" s="162"/>
      <c r="K114" s="162"/>
      <c r="L114" s="162"/>
      <c r="M114" s="162"/>
      <c r="N114" s="162"/>
      <c r="O114" s="18"/>
      <c r="P114" s="162"/>
      <c r="Q114" s="162"/>
      <c r="R114" s="162"/>
      <c r="S114" s="162"/>
      <c r="T114" s="162"/>
      <c r="U114" s="18"/>
      <c r="V114" s="162"/>
      <c r="W114" s="162"/>
      <c r="X114" s="162"/>
      <c r="Y114" s="162"/>
      <c r="Z114" s="162"/>
      <c r="AA114" s="18"/>
      <c r="AB114" s="162"/>
      <c r="AC114" s="162"/>
      <c r="AD114" s="162"/>
      <c r="AE114" s="162"/>
      <c r="AF114" s="162"/>
      <c r="AG114" s="18"/>
      <c r="AH114" s="162"/>
      <c r="AI114" s="18"/>
      <c r="AJ114" s="163"/>
      <c r="AK114" s="18"/>
      <c r="AL114" s="163"/>
    </row>
    <row r="115" spans="1:45" s="41" customFormat="1" ht="15" customHeight="1">
      <c r="B115" s="164"/>
      <c r="C115" s="18"/>
      <c r="D115" s="756">
        <f>D$8</f>
        <v>2022</v>
      </c>
      <c r="E115" s="756">
        <f>F115</f>
        <v>0</v>
      </c>
      <c r="F115" s="756">
        <f>F$8</f>
        <v>0</v>
      </c>
      <c r="G115" s="756">
        <f>F115</f>
        <v>0</v>
      </c>
      <c r="H115" s="756">
        <f>F115</f>
        <v>0</v>
      </c>
      <c r="I115" s="169"/>
      <c r="J115" s="756">
        <f>J$8</f>
        <v>2023</v>
      </c>
      <c r="K115" s="756">
        <f>L115</f>
        <v>0</v>
      </c>
      <c r="L115" s="756">
        <f>L$8</f>
        <v>0</v>
      </c>
      <c r="M115" s="756">
        <f>L115</f>
        <v>0</v>
      </c>
      <c r="N115" s="756">
        <f>L115</f>
        <v>0</v>
      </c>
      <c r="O115" s="169"/>
      <c r="P115" s="756">
        <f>P$8</f>
        <v>2024</v>
      </c>
      <c r="Q115" s="756">
        <f>R115</f>
        <v>0</v>
      </c>
      <c r="R115" s="756">
        <f>R$8</f>
        <v>0</v>
      </c>
      <c r="S115" s="756">
        <f>R115</f>
        <v>0</v>
      </c>
      <c r="T115" s="756">
        <f>R115</f>
        <v>0</v>
      </c>
      <c r="U115" s="169"/>
      <c r="V115" s="755">
        <f>V$8</f>
        <v>2025</v>
      </c>
      <c r="W115" s="755">
        <f>X115</f>
        <v>0</v>
      </c>
      <c r="X115" s="755">
        <f>X$8</f>
        <v>0</v>
      </c>
      <c r="Y115" s="755">
        <f>X115</f>
        <v>0</v>
      </c>
      <c r="Z115" s="755">
        <f>X115</f>
        <v>0</v>
      </c>
      <c r="AA115" s="169"/>
      <c r="AB115" s="755">
        <f>AB$8</f>
        <v>2026</v>
      </c>
      <c r="AC115" s="755">
        <f>AD115</f>
        <v>0</v>
      </c>
      <c r="AD115" s="755">
        <f>AD$8</f>
        <v>0</v>
      </c>
      <c r="AE115" s="755">
        <f>AD115</f>
        <v>0</v>
      </c>
      <c r="AF115" s="755">
        <f>AD115</f>
        <v>0</v>
      </c>
      <c r="AG115" s="171"/>
      <c r="AH115" s="166">
        <f>AH$8</f>
        <v>2027</v>
      </c>
      <c r="AI115" s="167"/>
      <c r="AJ115" s="166">
        <f>AJ$8</f>
        <v>2028</v>
      </c>
      <c r="AK115" s="167"/>
      <c r="AL115" s="166">
        <f>AL$8</f>
        <v>2029</v>
      </c>
    </row>
    <row r="116" spans="1:45" s="41" customFormat="1" ht="14.25" customHeight="1">
      <c r="B116" s="164"/>
      <c r="C116" s="18"/>
      <c r="D116" s="168" t="s">
        <v>207</v>
      </c>
      <c r="E116" s="168" t="s">
        <v>208</v>
      </c>
      <c r="F116" s="168" t="s">
        <v>209</v>
      </c>
      <c r="G116" s="168" t="s">
        <v>210</v>
      </c>
      <c r="H116" s="168" t="s">
        <v>211</v>
      </c>
      <c r="I116" s="165"/>
      <c r="J116" s="168" t="s">
        <v>207</v>
      </c>
      <c r="K116" s="168" t="s">
        <v>208</v>
      </c>
      <c r="L116" s="168" t="s">
        <v>209</v>
      </c>
      <c r="M116" s="168" t="s">
        <v>210</v>
      </c>
      <c r="N116" s="168" t="s">
        <v>211</v>
      </c>
      <c r="O116" s="165"/>
      <c r="P116" s="168" t="s">
        <v>207</v>
      </c>
      <c r="Q116" s="168" t="s">
        <v>208</v>
      </c>
      <c r="R116" s="168" t="s">
        <v>209</v>
      </c>
      <c r="S116" s="168" t="s">
        <v>210</v>
      </c>
      <c r="T116" s="168" t="s">
        <v>211</v>
      </c>
      <c r="U116" s="165"/>
      <c r="V116" s="168" t="s">
        <v>207</v>
      </c>
      <c r="W116" s="168" t="s">
        <v>208</v>
      </c>
      <c r="X116" s="168" t="s">
        <v>209</v>
      </c>
      <c r="Y116" s="168" t="s">
        <v>210</v>
      </c>
      <c r="Z116" s="168" t="s">
        <v>211</v>
      </c>
      <c r="AA116" s="165"/>
      <c r="AB116" s="168" t="s">
        <v>207</v>
      </c>
      <c r="AC116" s="168" t="s">
        <v>208</v>
      </c>
      <c r="AD116" s="168" t="s">
        <v>209</v>
      </c>
      <c r="AE116" s="168" t="s">
        <v>210</v>
      </c>
      <c r="AF116" s="168" t="s">
        <v>211</v>
      </c>
      <c r="AG116" s="165"/>
      <c r="AH116" s="168" t="s">
        <v>211</v>
      </c>
      <c r="AI116" s="165"/>
      <c r="AJ116" s="168" t="s">
        <v>211</v>
      </c>
      <c r="AK116" s="165"/>
      <c r="AL116" s="168" t="s">
        <v>211</v>
      </c>
    </row>
    <row r="117" spans="1:45" s="41" customFormat="1" ht="3.95" customHeight="1">
      <c r="B117" s="176"/>
      <c r="C117" s="35"/>
      <c r="D117" s="177"/>
      <c r="E117" s="177"/>
      <c r="F117" s="177"/>
      <c r="G117" s="177"/>
      <c r="H117" s="177"/>
      <c r="I117" s="178"/>
      <c r="J117" s="177"/>
      <c r="K117" s="177"/>
      <c r="L117" s="177"/>
      <c r="M117" s="177"/>
      <c r="N117" s="177"/>
      <c r="O117" s="178"/>
      <c r="P117" s="177"/>
      <c r="Q117" s="177"/>
      <c r="R117" s="177"/>
      <c r="S117" s="177"/>
      <c r="T117" s="177"/>
      <c r="U117" s="178"/>
      <c r="V117" s="177"/>
      <c r="W117" s="177"/>
      <c r="X117" s="177"/>
      <c r="Y117" s="177"/>
      <c r="Z117" s="179"/>
      <c r="AA117" s="180"/>
      <c r="AB117" s="179"/>
      <c r="AC117" s="179"/>
      <c r="AD117" s="179"/>
      <c r="AE117" s="179"/>
      <c r="AF117" s="179"/>
      <c r="AG117" s="180"/>
      <c r="AH117" s="179"/>
      <c r="AI117" s="180"/>
      <c r="AJ117" s="179"/>
      <c r="AK117" s="180"/>
      <c r="AL117" s="179"/>
    </row>
    <row r="118" spans="1:45" ht="3.95" customHeight="1">
      <c r="U118" s="205"/>
    </row>
    <row r="119" spans="1:45" ht="14.25" customHeight="1">
      <c r="B119" s="28" t="s">
        <v>430</v>
      </c>
      <c r="D119" s="300">
        <f>D58</f>
        <v>0</v>
      </c>
      <c r="E119" s="300">
        <f>E58</f>
        <v>0</v>
      </c>
      <c r="F119" s="300">
        <f>F58</f>
        <v>0</v>
      </c>
      <c r="G119" s="300">
        <f>G58</f>
        <v>0</v>
      </c>
      <c r="H119" s="311">
        <f>H58</f>
        <v>569.69999999999982</v>
      </c>
      <c r="J119" s="300">
        <f>J58</f>
        <v>116.98</v>
      </c>
      <c r="K119" s="300">
        <f>K58</f>
        <v>130.91999999999999</v>
      </c>
      <c r="L119" s="300">
        <f>L58</f>
        <v>179.298</v>
      </c>
      <c r="M119" s="300">
        <f>M58</f>
        <v>155.29499999999999</v>
      </c>
      <c r="N119" s="311">
        <f>N58</f>
        <v>587.90000000000055</v>
      </c>
      <c r="P119" s="300">
        <f>P58</f>
        <v>110.84399999999999</v>
      </c>
      <c r="Q119" s="300">
        <f>Q58</f>
        <v>143.72900000000001</v>
      </c>
      <c r="R119" s="300">
        <f>R58</f>
        <v>187.465</v>
      </c>
      <c r="S119" s="300">
        <f>S58</f>
        <v>195.125</v>
      </c>
      <c r="T119" s="311">
        <f>T58</f>
        <v>630.59999999999923</v>
      </c>
      <c r="U119" s="205"/>
      <c r="V119" s="300">
        <f>V58</f>
        <v>280.33699999999999</v>
      </c>
      <c r="W119" s="300">
        <f>W58</f>
        <v>367.10399999999998</v>
      </c>
      <c r="X119" s="300">
        <f>X58</f>
        <v>-3543.1811450999999</v>
      </c>
      <c r="Y119" s="300">
        <f>Y58</f>
        <v>-3698.9847624599993</v>
      </c>
      <c r="Z119" s="311">
        <f>Z58</f>
        <v>1980.6155505048059</v>
      </c>
      <c r="AB119" s="300">
        <f>AB58</f>
        <v>0</v>
      </c>
      <c r="AC119" s="300">
        <f>AC58</f>
        <v>0</v>
      </c>
      <c r="AD119" s="300">
        <f>AD58</f>
        <v>0</v>
      </c>
      <c r="AE119" s="300">
        <f>AE58</f>
        <v>0</v>
      </c>
      <c r="AF119" s="311">
        <f>AF58</f>
        <v>2315.9689449580424</v>
      </c>
      <c r="AH119" s="311">
        <f>AH58</f>
        <v>3269.2989647398085</v>
      </c>
      <c r="AJ119" s="311">
        <f>AJ58</f>
        <v>4067.1506610156166</v>
      </c>
      <c r="AL119" s="311">
        <f>AL58</f>
        <v>4649.8971832052339</v>
      </c>
    </row>
    <row r="120" spans="1:45" ht="14.25" customHeight="1">
      <c r="B120" s="28"/>
      <c r="D120" s="46"/>
      <c r="E120" s="46"/>
      <c r="F120" s="46"/>
      <c r="G120" s="46"/>
      <c r="H120" s="312"/>
      <c r="J120" s="46"/>
      <c r="K120" s="46"/>
      <c r="L120" s="46"/>
      <c r="M120" s="46"/>
      <c r="N120" s="312"/>
      <c r="P120" s="46"/>
      <c r="Q120" s="46"/>
      <c r="R120" s="46"/>
      <c r="S120" s="46"/>
      <c r="T120" s="312"/>
      <c r="U120" s="205"/>
      <c r="V120" s="46"/>
      <c r="W120" s="46"/>
      <c r="X120" s="46"/>
      <c r="Y120" s="46"/>
      <c r="AB120" s="46"/>
      <c r="AC120" s="46"/>
      <c r="AD120" s="46"/>
      <c r="AE120" s="46"/>
      <c r="AS120" s="312"/>
    </row>
    <row r="121" spans="1:45" ht="14.25" customHeight="1">
      <c r="B121" s="28" t="s">
        <v>396</v>
      </c>
      <c r="D121" s="309">
        <f>IS!P45/IS!P42</f>
        <v>0.30879536898927479</v>
      </c>
      <c r="E121" s="309">
        <f>IS!Q45/IS!Q42</f>
        <v>-0.50672510022796946</v>
      </c>
      <c r="F121" s="309">
        <f>IS!R45/IS!R42</f>
        <v>0.13492156662583368</v>
      </c>
      <c r="G121" s="309">
        <f>IS!S45/IS!S42</f>
        <v>0.12241992688085075</v>
      </c>
      <c r="H121" s="310">
        <f>IS!T45/IS!T42</f>
        <v>0.11432958724969351</v>
      </c>
      <c r="J121" s="309">
        <f>IS!V45/IS!V42</f>
        <v>7.7284885448836396E-2</v>
      </c>
      <c r="K121" s="309">
        <f>IS!W45/IS!W42</f>
        <v>-0.19272287554730302</v>
      </c>
      <c r="L121" s="309">
        <f>IS!X45/IS!X42</f>
        <v>0.11301292068452948</v>
      </c>
      <c r="M121" s="309">
        <f>IS!Y45/IS!Y42</f>
        <v>-0.17974862756428778</v>
      </c>
      <c r="N121" s="310">
        <f>IS!Z45/IS!Z42</f>
        <v>-3.6708528190846516E-2</v>
      </c>
      <c r="P121" s="309">
        <f>IS!AB45/IS!AB42</f>
        <v>-0.17026240450468974</v>
      </c>
      <c r="Q121" s="309">
        <f>IS!AC45/IS!AC42</f>
        <v>-0.35326184092940127</v>
      </c>
      <c r="R121" s="309">
        <f>IS!AD45/IS!AD42</f>
        <v>-1.2509580442682524</v>
      </c>
      <c r="S121" s="309">
        <f>IS!AE45/IS!AE42</f>
        <v>-4.2705100067931232</v>
      </c>
      <c r="T121" s="310">
        <f>IS!AF45/IS!AF42</f>
        <v>-1.1652514804510687</v>
      </c>
      <c r="U121" s="205"/>
      <c r="V121" s="309">
        <f>IS!AH45/IS!AH42</f>
        <v>1.1781692413348007E-2</v>
      </c>
      <c r="W121" s="309">
        <f>IS!AI45/IS!AI42</f>
        <v>-2.2476801236468638</v>
      </c>
      <c r="X121" s="316">
        <v>0.27</v>
      </c>
      <c r="Y121" s="316">
        <v>0.27</v>
      </c>
      <c r="Z121" s="316">
        <f>-(Z123/Z119-1)</f>
        <v>-0.22983083127885973</v>
      </c>
      <c r="AB121" s="316"/>
      <c r="AC121" s="316"/>
      <c r="AD121" s="316"/>
      <c r="AE121" s="316"/>
      <c r="AF121" s="316">
        <v>0.27500000000000002</v>
      </c>
      <c r="AH121" s="316">
        <v>0.27500000000000002</v>
      </c>
      <c r="AJ121" s="316">
        <v>0.27500000000000002</v>
      </c>
      <c r="AL121" s="316">
        <v>0.27500000000000002</v>
      </c>
    </row>
    <row r="122" spans="1:45" ht="14.25" customHeight="1">
      <c r="B122" s="28"/>
      <c r="D122" s="46"/>
      <c r="E122" s="46"/>
      <c r="F122" s="46"/>
      <c r="G122" s="46"/>
      <c r="H122" s="312"/>
      <c r="J122" s="46"/>
      <c r="K122" s="46"/>
      <c r="L122" s="46"/>
      <c r="M122" s="46"/>
      <c r="N122" s="312"/>
      <c r="P122" s="46"/>
      <c r="Q122" s="46"/>
      <c r="R122" s="46"/>
      <c r="S122" s="46"/>
      <c r="T122" s="312"/>
      <c r="U122" s="205"/>
      <c r="V122" s="46"/>
      <c r="W122" s="46"/>
      <c r="X122" s="46"/>
      <c r="Y122" s="46"/>
      <c r="Z122" s="706"/>
      <c r="AB122" s="46"/>
      <c r="AC122" s="46"/>
      <c r="AD122" s="46"/>
      <c r="AE122" s="46"/>
    </row>
    <row r="123" spans="1:45" ht="14.25" customHeight="1">
      <c r="B123" s="28" t="s">
        <v>490</v>
      </c>
      <c r="D123" s="46">
        <f>D119*(1-D121)</f>
        <v>0</v>
      </c>
      <c r="E123" s="46">
        <f t="shared" ref="E123:H123" si="53">E119*(1-E121)</f>
        <v>0</v>
      </c>
      <c r="F123" s="46">
        <f t="shared" si="53"/>
        <v>0</v>
      </c>
      <c r="G123" s="46">
        <f t="shared" si="53"/>
        <v>0</v>
      </c>
      <c r="H123" s="313">
        <f t="shared" si="53"/>
        <v>504.56643414384945</v>
      </c>
      <c r="J123" s="46">
        <f>J119*(1-J121)</f>
        <v>107.93921410019513</v>
      </c>
      <c r="K123" s="46">
        <f t="shared" ref="K123:N123" si="54">K119*(1-K121)</f>
        <v>156.15127886665289</v>
      </c>
      <c r="L123" s="46">
        <f t="shared" si="54"/>
        <v>159.03500934710522</v>
      </c>
      <c r="M123" s="46">
        <f t="shared" si="54"/>
        <v>183.20906311759603</v>
      </c>
      <c r="N123" s="313">
        <f t="shared" si="54"/>
        <v>609.48094372339926</v>
      </c>
      <c r="P123" s="46">
        <f>P119*(1-P121)</f>
        <v>129.71656596491781</v>
      </c>
      <c r="Q123" s="46">
        <f t="shared" ref="Q123:T123" si="55">Q119*(1-Q121)</f>
        <v>194.50297113494193</v>
      </c>
      <c r="R123" s="46">
        <f t="shared" si="55"/>
        <v>421.97584976874793</v>
      </c>
      <c r="S123" s="46">
        <f t="shared" si="55"/>
        <v>1028.4082650755081</v>
      </c>
      <c r="T123" s="313">
        <f t="shared" si="55"/>
        <v>1365.4075835724423</v>
      </c>
      <c r="U123" s="205"/>
      <c r="V123" s="46">
        <f>V119*(1-V121)</f>
        <v>277.03415569391922</v>
      </c>
      <c r="W123" s="46">
        <f t="shared" ref="W123" si="56">W119*(1-W121)</f>
        <v>1192.2363641112581</v>
      </c>
      <c r="X123" s="46">
        <f>X119*(1-X121)</f>
        <v>-2586.5222359229997</v>
      </c>
      <c r="Y123" s="46">
        <f>Y119*(1-Y121)</f>
        <v>-2700.2588765957994</v>
      </c>
      <c r="Z123" s="313">
        <f>+(Z119-W119-V119)*(1-0.275)+V123+W123</f>
        <v>2435.8220689211616</v>
      </c>
      <c r="AB123" s="46">
        <f t="shared" ref="AB123:AE123" si="57">AB119*(1-AB121)</f>
        <v>0</v>
      </c>
      <c r="AC123" s="46">
        <f t="shared" si="57"/>
        <v>0</v>
      </c>
      <c r="AD123" s="46">
        <f t="shared" si="57"/>
        <v>0</v>
      </c>
      <c r="AE123" s="46">
        <f t="shared" si="57"/>
        <v>0</v>
      </c>
      <c r="AF123" s="313">
        <f>AF119*(1-AF121)</f>
        <v>1679.0774850945807</v>
      </c>
      <c r="AH123" s="313">
        <f>AH119*(1-AH121)</f>
        <v>2370.2417494363613</v>
      </c>
      <c r="AJ123" s="313">
        <f>AJ119*(1-AJ121)</f>
        <v>2948.6842292363222</v>
      </c>
      <c r="AL123" s="313">
        <f>AL119*(1-AL121)</f>
        <v>3371.1754578237947</v>
      </c>
    </row>
    <row r="124" spans="1:45" ht="14.25" customHeight="1">
      <c r="D124" s="46"/>
      <c r="E124" s="46"/>
      <c r="F124" s="46"/>
      <c r="G124" s="46"/>
      <c r="H124" s="312"/>
      <c r="J124" s="46"/>
      <c r="K124" s="46"/>
      <c r="L124" s="46"/>
      <c r="M124" s="46"/>
      <c r="N124" s="312"/>
      <c r="P124" s="46"/>
      <c r="Q124" s="46"/>
      <c r="R124" s="46"/>
      <c r="S124" s="46"/>
      <c r="T124" s="312"/>
      <c r="U124" s="205"/>
      <c r="V124" s="46"/>
      <c r="W124" s="46"/>
      <c r="X124" s="46"/>
      <c r="Y124" s="46"/>
      <c r="AB124" s="46"/>
      <c r="AC124" s="46"/>
      <c r="AD124" s="46"/>
      <c r="AE124" s="46"/>
    </row>
    <row r="125" spans="1:45" ht="14.25" customHeight="1">
      <c r="B125" s="28" t="s">
        <v>423</v>
      </c>
      <c r="D125" s="300">
        <f>D91</f>
        <v>33.433</v>
      </c>
      <c r="E125" s="300">
        <f>E91</f>
        <v>34.813000000000002</v>
      </c>
      <c r="F125" s="300">
        <f>F91</f>
        <v>38.018999999999998</v>
      </c>
      <c r="G125" s="300">
        <f>G91</f>
        <v>59.765000000000001</v>
      </c>
      <c r="H125" s="311">
        <f>H91</f>
        <v>166.03</v>
      </c>
      <c r="J125" s="300">
        <f>J91</f>
        <v>49.396000000000001</v>
      </c>
      <c r="K125" s="300">
        <f>K91</f>
        <v>54.48</v>
      </c>
      <c r="L125" s="300">
        <f>L91</f>
        <v>55.587000000000003</v>
      </c>
      <c r="M125" s="300">
        <f>M91</f>
        <v>63.481000000000002</v>
      </c>
      <c r="N125" s="311">
        <f>N91</f>
        <v>222.94399999999999</v>
      </c>
      <c r="P125" s="300">
        <f>P91</f>
        <v>59.354999999999997</v>
      </c>
      <c r="Q125" s="300">
        <f>Q91</f>
        <v>60.790999999999997</v>
      </c>
      <c r="R125" s="300">
        <f>R91</f>
        <v>122.91800000000001</v>
      </c>
      <c r="S125" s="300">
        <f>S91</f>
        <v>171.791</v>
      </c>
      <c r="T125" s="311">
        <f>T91</f>
        <v>414.85500000000002</v>
      </c>
      <c r="U125" s="205"/>
      <c r="V125" s="300">
        <f>V91</f>
        <v>166.58099999999999</v>
      </c>
      <c r="W125" s="300">
        <f>W91</f>
        <v>167.13900000000001</v>
      </c>
      <c r="X125" s="300">
        <f>X91</f>
        <v>433.04624999999999</v>
      </c>
      <c r="Y125" s="300">
        <f>Y91</f>
        <v>380.99900249999996</v>
      </c>
      <c r="Z125" s="311">
        <f>Z91</f>
        <v>458.57693999999998</v>
      </c>
      <c r="AB125" s="300">
        <f>AB91</f>
        <v>0</v>
      </c>
      <c r="AC125" s="300">
        <f>AC91</f>
        <v>0</v>
      </c>
      <c r="AD125" s="300">
        <f>AD91</f>
        <v>0</v>
      </c>
      <c r="AE125" s="300">
        <f>AE91</f>
        <v>0</v>
      </c>
      <c r="AF125" s="311">
        <f>AF91</f>
        <v>554.07884336670008</v>
      </c>
      <c r="AH125" s="311">
        <f>AH91</f>
        <v>680.30888566567</v>
      </c>
      <c r="AJ125" s="311">
        <f>AJ91</f>
        <v>709.64301989926901</v>
      </c>
      <c r="AL125" s="311">
        <f>AL91</f>
        <v>737.13556055745858</v>
      </c>
    </row>
    <row r="126" spans="1:45" ht="14.25" customHeight="1">
      <c r="D126" s="46"/>
      <c r="E126" s="46"/>
      <c r="F126" s="46"/>
      <c r="G126" s="46"/>
      <c r="H126" s="312"/>
      <c r="J126" s="46"/>
      <c r="K126" s="46"/>
      <c r="L126" s="46"/>
      <c r="M126" s="46"/>
      <c r="N126" s="312"/>
      <c r="P126" s="46"/>
      <c r="Q126" s="46"/>
      <c r="R126" s="46"/>
      <c r="S126" s="46"/>
      <c r="T126" s="312"/>
      <c r="U126" s="205"/>
      <c r="V126" s="46"/>
      <c r="W126" s="46"/>
      <c r="X126" s="46"/>
      <c r="Y126" s="46"/>
      <c r="AB126" s="46"/>
      <c r="AC126" s="46"/>
      <c r="AD126" s="46"/>
      <c r="AE126" s="46"/>
    </row>
    <row r="127" spans="1:45" ht="14.25" customHeight="1">
      <c r="B127" s="28" t="s">
        <v>491</v>
      </c>
      <c r="D127" s="300">
        <f>D94</f>
        <v>3.4359999999999999</v>
      </c>
      <c r="E127" s="300">
        <f>E94</f>
        <v>3.4359999999999999</v>
      </c>
      <c r="F127" s="300">
        <f>F94</f>
        <v>4.6529999999999996</v>
      </c>
      <c r="G127" s="300">
        <f>G94</f>
        <v>5.0179999999999998</v>
      </c>
      <c r="H127" s="311">
        <f>H94</f>
        <v>16.542999999999999</v>
      </c>
      <c r="J127" s="300">
        <f>J94</f>
        <v>4.3899999999999997</v>
      </c>
      <c r="K127" s="300">
        <f>K94</f>
        <v>4.3819999999999997</v>
      </c>
      <c r="L127" s="300">
        <f>L94</f>
        <v>4.8579999999999997</v>
      </c>
      <c r="M127" s="300">
        <f>M94</f>
        <v>3.718</v>
      </c>
      <c r="N127" s="311">
        <f>N94</f>
        <v>17.347999999999999</v>
      </c>
      <c r="P127" s="300">
        <f>P94</f>
        <v>3.1970000000000001</v>
      </c>
      <c r="Q127" s="300">
        <f>Q94</f>
        <v>3.1970000000000001</v>
      </c>
      <c r="R127" s="300">
        <f>R94</f>
        <v>5.3650000000000002</v>
      </c>
      <c r="S127" s="300">
        <f>S94</f>
        <v>6.157</v>
      </c>
      <c r="T127" s="311">
        <f>T94</f>
        <v>17.916</v>
      </c>
      <c r="U127" s="205"/>
      <c r="V127" s="300">
        <f>V94</f>
        <v>5.3810000000000002</v>
      </c>
      <c r="W127" s="300">
        <f>W94</f>
        <v>5.8150000000000004</v>
      </c>
      <c r="X127" s="300">
        <f>X94</f>
        <v>0</v>
      </c>
      <c r="Y127" s="300">
        <f>Y94</f>
        <v>0</v>
      </c>
      <c r="Z127" s="311">
        <f>Z94</f>
        <v>24.081955430399997</v>
      </c>
      <c r="AB127" s="300">
        <f>AB94</f>
        <v>0</v>
      </c>
      <c r="AC127" s="300">
        <f>AC94</f>
        <v>0</v>
      </c>
      <c r="AD127" s="300">
        <f>AD94</f>
        <v>0</v>
      </c>
      <c r="AE127" s="300">
        <f>AE94</f>
        <v>0</v>
      </c>
      <c r="AF127" s="311">
        <f>AF94</f>
        <v>27.490128486705917</v>
      </c>
      <c r="AH127" s="311">
        <f>AH94</f>
        <v>25.800041318039764</v>
      </c>
      <c r="AJ127" s="311">
        <f>AJ94</f>
        <v>28.905952172588453</v>
      </c>
      <c r="AL127" s="311">
        <f>AL94</f>
        <v>31.802440703799885</v>
      </c>
    </row>
    <row r="128" spans="1:45" ht="14.25" customHeight="1">
      <c r="D128" s="46"/>
      <c r="E128" s="46"/>
      <c r="F128" s="46"/>
      <c r="G128" s="46"/>
      <c r="H128" s="312"/>
      <c r="J128" s="46"/>
      <c r="K128" s="46"/>
      <c r="L128" s="46"/>
      <c r="M128" s="46"/>
      <c r="N128" s="312"/>
      <c r="P128" s="46"/>
      <c r="Q128" s="46"/>
      <c r="R128" s="46"/>
      <c r="S128" s="46"/>
      <c r="T128" s="312"/>
      <c r="U128" s="205"/>
      <c r="V128" s="46"/>
      <c r="W128" s="46"/>
      <c r="X128" s="46"/>
      <c r="Y128" s="46"/>
      <c r="AB128" s="46"/>
      <c r="AC128" s="46"/>
      <c r="AD128" s="46"/>
      <c r="AE128" s="46"/>
    </row>
    <row r="129" spans="1:38" ht="14.25" customHeight="1">
      <c r="B129" s="28" t="s">
        <v>481</v>
      </c>
      <c r="D129" s="300">
        <f>D100</f>
        <v>-50.892000000000024</v>
      </c>
      <c r="E129" s="300">
        <f>E100</f>
        <v>-37.590000000000003</v>
      </c>
      <c r="F129" s="300">
        <f>F100</f>
        <v>-188.67599999999999</v>
      </c>
      <c r="G129" s="300">
        <f>G100</f>
        <v>-54.507999999999996</v>
      </c>
      <c r="H129" s="311">
        <f>H100</f>
        <v>-331.666</v>
      </c>
      <c r="J129" s="300">
        <f>J100</f>
        <v>-95.667999999999992</v>
      </c>
      <c r="K129" s="300">
        <f>K100</f>
        <v>-76.957999999999998</v>
      </c>
      <c r="L129" s="300">
        <f>L100</f>
        <v>-56.403999999999996</v>
      </c>
      <c r="M129" s="300">
        <f>M100</f>
        <v>131.26400000000004</v>
      </c>
      <c r="N129" s="311">
        <f>N100</f>
        <v>-97.765999999999991</v>
      </c>
      <c r="P129" s="300">
        <f>P100</f>
        <v>-105.85400000000001</v>
      </c>
      <c r="Q129" s="300">
        <f>Q100</f>
        <v>-123.229</v>
      </c>
      <c r="R129" s="300">
        <f>R100</f>
        <v>-160.61000000000004</v>
      </c>
      <c r="S129" s="300">
        <f>S100</f>
        <v>-146.90699999999998</v>
      </c>
      <c r="T129" s="311">
        <f>T100</f>
        <v>-536.6</v>
      </c>
      <c r="U129" s="205"/>
      <c r="V129" s="300">
        <f>V100</f>
        <v>-136.43999999999997</v>
      </c>
      <c r="W129" s="300">
        <f>W100</f>
        <v>-453.13400000000001</v>
      </c>
      <c r="X129" s="300">
        <f>X100</f>
        <v>-2416.5976443304344</v>
      </c>
      <c r="Y129" s="300">
        <f>Y100</f>
        <v>-331.75974545739064</v>
      </c>
      <c r="Z129" s="311">
        <f>Z100</f>
        <v>-2020.6388401290296</v>
      </c>
      <c r="AB129" s="300">
        <f>AB100</f>
        <v>6468.558389787825</v>
      </c>
      <c r="AC129" s="300">
        <f>AC100</f>
        <v>0</v>
      </c>
      <c r="AD129" s="300">
        <f>AD100</f>
        <v>0</v>
      </c>
      <c r="AE129" s="300">
        <f>AE100</f>
        <v>0</v>
      </c>
      <c r="AF129" s="311">
        <f>AF100</f>
        <v>230.86828411630358</v>
      </c>
      <c r="AH129" s="311">
        <f>AH100</f>
        <v>117.61532431987962</v>
      </c>
      <c r="AJ129" s="311">
        <f>AJ100</f>
        <v>677.84530499432776</v>
      </c>
      <c r="AL129" s="311">
        <f>AL100</f>
        <v>206.3053220235588</v>
      </c>
    </row>
    <row r="130" spans="1:38" ht="14.25" customHeight="1">
      <c r="D130" s="46"/>
      <c r="E130" s="46"/>
      <c r="F130" s="46"/>
      <c r="G130" s="46"/>
      <c r="H130" s="312"/>
      <c r="J130" s="46"/>
      <c r="K130" s="46"/>
      <c r="L130" s="46"/>
      <c r="M130" s="46"/>
      <c r="N130" s="312"/>
      <c r="P130" s="46"/>
      <c r="Q130" s="46"/>
      <c r="R130" s="46"/>
      <c r="S130" s="46"/>
      <c r="T130" s="312"/>
      <c r="U130" s="205"/>
      <c r="V130" s="46"/>
      <c r="W130" s="46"/>
      <c r="X130" s="46"/>
      <c r="Y130" s="46"/>
      <c r="AB130" s="46"/>
      <c r="AC130" s="46"/>
      <c r="AD130" s="46"/>
      <c r="AE130" s="46"/>
    </row>
    <row r="131" spans="1:38" ht="14.25" customHeight="1">
      <c r="B131" s="28" t="s">
        <v>492</v>
      </c>
      <c r="D131" s="46">
        <f>D103+D106</f>
        <v>-40.835000000000001</v>
      </c>
      <c r="E131" s="46">
        <f>E103+E106</f>
        <v>-56.003999999999998</v>
      </c>
      <c r="F131" s="46">
        <f>F103+F106</f>
        <v>-63.697000000000003</v>
      </c>
      <c r="G131" s="46">
        <f>G103+G106</f>
        <v>-72.606999999999999</v>
      </c>
      <c r="H131" s="66">
        <f>H103+H106</f>
        <v>-233.143</v>
      </c>
      <c r="J131" s="46">
        <f>J103+J106</f>
        <v>-50.997999999999998</v>
      </c>
      <c r="K131" s="46">
        <f>K103+K106</f>
        <v>-74.524000000000001</v>
      </c>
      <c r="L131" s="46">
        <f>L103+L106</f>
        <v>-47.712000000000003</v>
      </c>
      <c r="M131" s="46">
        <f>M103+M106</f>
        <v>-61.966999999999999</v>
      </c>
      <c r="N131" s="66">
        <f>N103+N106</f>
        <v>-235.20099999999999</v>
      </c>
      <c r="P131" s="46">
        <f>P103+P106</f>
        <v>-41.514000000000003</v>
      </c>
      <c r="Q131" s="46">
        <f>Q103+Q106</f>
        <v>-66.795000000000002</v>
      </c>
      <c r="R131" s="46">
        <f>R103+R106</f>
        <v>-115.464</v>
      </c>
      <c r="S131" s="46">
        <f>S103+S106</f>
        <v>-195.18899999999999</v>
      </c>
      <c r="T131" s="66">
        <f>T103+T106</f>
        <v>-418.96199999999999</v>
      </c>
      <c r="U131" s="205"/>
      <c r="V131" s="46">
        <f>V103+V106</f>
        <v>-84.39</v>
      </c>
      <c r="W131" s="46">
        <f>W103+W106</f>
        <v>-94.177000000000007</v>
      </c>
      <c r="X131" s="46">
        <f>X103+X106</f>
        <v>0</v>
      </c>
      <c r="Y131" s="46">
        <f>Y103+Y106</f>
        <v>0</v>
      </c>
      <c r="Z131" s="66">
        <f>Z103+Z106</f>
        <v>-668.94320640000001</v>
      </c>
      <c r="AB131" s="46">
        <f>AB103+AB106</f>
        <v>0</v>
      </c>
      <c r="AC131" s="46">
        <f>AC103+AC106</f>
        <v>0</v>
      </c>
      <c r="AD131" s="46">
        <f>AD103+AD106</f>
        <v>0</v>
      </c>
      <c r="AE131" s="46">
        <f>AE103+AE106</f>
        <v>0</v>
      </c>
      <c r="AF131" s="66">
        <f>AF103+AF106</f>
        <v>-711.4072285320002</v>
      </c>
      <c r="AH131" s="66">
        <f>AH103+AH106</f>
        <v>-743.02249198632012</v>
      </c>
      <c r="AJ131" s="66">
        <f>AJ103+AJ106</f>
        <v>-760.86151821720728</v>
      </c>
      <c r="AL131" s="66">
        <f>AL103+AL106</f>
        <v>-762.27822675495634</v>
      </c>
    </row>
    <row r="132" spans="1:38" ht="14.25" customHeight="1">
      <c r="D132" s="314"/>
      <c r="E132" s="314"/>
      <c r="F132" s="314"/>
      <c r="G132" s="314"/>
      <c r="H132" s="312"/>
      <c r="J132" s="314"/>
      <c r="K132" s="314"/>
      <c r="L132" s="314"/>
      <c r="M132" s="314"/>
      <c r="N132" s="312"/>
      <c r="P132" s="314"/>
      <c r="Q132" s="314"/>
      <c r="R132" s="314"/>
      <c r="S132" s="314"/>
      <c r="T132" s="312"/>
      <c r="U132" s="336"/>
      <c r="V132" s="314"/>
      <c r="W132" s="314"/>
      <c r="X132" s="290"/>
      <c r="Y132" s="290"/>
      <c r="AB132" s="290"/>
      <c r="AC132" s="290"/>
      <c r="AD132" s="290"/>
      <c r="AE132" s="290"/>
    </row>
    <row r="133" spans="1:38" ht="14.25" customHeight="1">
      <c r="B133" s="702" t="s">
        <v>493</v>
      </c>
      <c r="C133" s="703"/>
      <c r="D133" s="704">
        <f>D123+D91+D94+D100+D131</f>
        <v>-54.858000000000025</v>
      </c>
      <c r="E133" s="704">
        <f>E123+E91+E94+E100+E131</f>
        <v>-55.344999999999999</v>
      </c>
      <c r="F133" s="704">
        <f>F123+F91+F94+F100+F131</f>
        <v>-209.70099999999999</v>
      </c>
      <c r="G133" s="704">
        <f>G123+G91+G94+G100+G131</f>
        <v>-62.331999999999994</v>
      </c>
      <c r="H133" s="704">
        <f>H123+H91+H94+H100+H131</f>
        <v>122.33043414384949</v>
      </c>
      <c r="I133" s="703"/>
      <c r="J133" s="704">
        <f>J123+J91+J94+J100+J131</f>
        <v>15.059214100195113</v>
      </c>
      <c r="K133" s="704">
        <f>K123+K91+K94+K100+K131</f>
        <v>63.531278866652883</v>
      </c>
      <c r="L133" s="704">
        <f>L123+L91+L94+L100+L131</f>
        <v>115.36400934710524</v>
      </c>
      <c r="M133" s="704">
        <f>M123+M91+M94+M100+M131</f>
        <v>319.70506311759607</v>
      </c>
      <c r="N133" s="704">
        <f>N123+N91+N94+N100+N131</f>
        <v>516.8059437233992</v>
      </c>
      <c r="O133" s="703"/>
      <c r="P133" s="704">
        <f>P123+P91+P94+P100+P131</f>
        <v>44.900565964917782</v>
      </c>
      <c r="Q133" s="704">
        <f>Q123+Q91+Q94+Q100+Q131</f>
        <v>68.466971134941915</v>
      </c>
      <c r="R133" s="704">
        <f>R123+R91+R94+R100+R131</f>
        <v>274.18484976874794</v>
      </c>
      <c r="S133" s="704">
        <f>S123+S91+S94+S100+S131</f>
        <v>864.26026507550807</v>
      </c>
      <c r="T133" s="704">
        <f>T123+T91+T94+T100+T131</f>
        <v>842.61658357244232</v>
      </c>
      <c r="U133" s="703"/>
      <c r="V133" s="704">
        <f>V123+V91+V94+V100+V131</f>
        <v>228.16615569391922</v>
      </c>
      <c r="W133" s="704">
        <f>W123+W91+W94+W100+W131</f>
        <v>817.87936411125804</v>
      </c>
      <c r="X133" s="704">
        <f t="shared" ref="X133:AH133" si="58">X123+X125+X127+X129+X131</f>
        <v>-4570.0736302534342</v>
      </c>
      <c r="Y133" s="704">
        <f t="shared" si="58"/>
        <v>-2651.0196195531898</v>
      </c>
      <c r="Z133" s="704">
        <f t="shared" si="58"/>
        <v>228.89891782253176</v>
      </c>
      <c r="AA133" s="704"/>
      <c r="AB133" s="704">
        <f t="shared" si="58"/>
        <v>6468.558389787825</v>
      </c>
      <c r="AC133" s="704">
        <f t="shared" si="58"/>
        <v>0</v>
      </c>
      <c r="AD133" s="704">
        <f t="shared" si="58"/>
        <v>0</v>
      </c>
      <c r="AE133" s="704">
        <f t="shared" si="58"/>
        <v>0</v>
      </c>
      <c r="AF133" s="704">
        <f t="shared" si="58"/>
        <v>1780.10751253229</v>
      </c>
      <c r="AG133" s="704"/>
      <c r="AH133" s="704">
        <f t="shared" si="58"/>
        <v>2450.9435087536303</v>
      </c>
      <c r="AI133" s="704"/>
      <c r="AJ133" s="704">
        <f t="shared" ref="AJ133" si="59">AJ123+AJ125+AJ127+AJ129+AJ131</f>
        <v>3604.2169880852998</v>
      </c>
      <c r="AK133" s="704"/>
      <c r="AL133" s="705">
        <f t="shared" ref="AL133" si="60">AL123+AL125+AL127+AL129+AL131</f>
        <v>3584.1405543536557</v>
      </c>
    </row>
    <row r="134" spans="1:38" ht="14.25" customHeight="1">
      <c r="B134" s="292" t="s">
        <v>494</v>
      </c>
      <c r="C134" s="293"/>
      <c r="D134" s="315"/>
      <c r="E134" s="315"/>
      <c r="F134" s="315"/>
      <c r="G134" s="315"/>
      <c r="H134" s="315"/>
      <c r="I134" s="293"/>
      <c r="J134" s="315"/>
      <c r="K134" s="315"/>
      <c r="L134" s="315"/>
      <c r="M134" s="315"/>
      <c r="N134" s="315"/>
      <c r="O134" s="293"/>
      <c r="P134" s="315"/>
      <c r="Q134" s="315"/>
      <c r="R134" s="315"/>
      <c r="S134" s="315"/>
      <c r="T134" s="315"/>
      <c r="U134" s="293"/>
      <c r="V134" s="315"/>
      <c r="W134" s="315"/>
      <c r="X134" s="315"/>
      <c r="Y134" s="315"/>
      <c r="Z134" s="315">
        <f>(Z133-W133-V133)*(1-0.2)</f>
        <v>-653.71728158611643</v>
      </c>
      <c r="AA134" s="315"/>
      <c r="AB134" s="315"/>
      <c r="AC134" s="315"/>
      <c r="AD134" s="315"/>
      <c r="AE134" s="315"/>
      <c r="AF134" s="315">
        <f>AF133</f>
        <v>1780.10751253229</v>
      </c>
      <c r="AG134" s="315"/>
      <c r="AH134" s="315">
        <f>AH133</f>
        <v>2450.9435087536303</v>
      </c>
      <c r="AI134" s="315"/>
      <c r="AJ134" s="315">
        <f>AJ133</f>
        <v>3604.2169880852998</v>
      </c>
      <c r="AK134" s="315"/>
      <c r="AL134" s="522">
        <f>AL133</f>
        <v>3584.1405543536557</v>
      </c>
    </row>
    <row r="136" spans="1:38" s="41" customFormat="1" ht="15" customHeight="1">
      <c r="A136" s="30" t="s">
        <v>37</v>
      </c>
      <c r="B136" s="161" t="s">
        <v>495</v>
      </c>
      <c r="C136" s="18"/>
      <c r="D136" s="162"/>
      <c r="E136" s="162"/>
      <c r="F136" s="162"/>
      <c r="G136" s="162"/>
      <c r="H136" s="162"/>
      <c r="I136" s="18"/>
      <c r="J136" s="162"/>
      <c r="K136" s="162"/>
      <c r="L136" s="162"/>
      <c r="M136" s="162"/>
      <c r="N136" s="162"/>
      <c r="O136" s="18"/>
      <c r="P136" s="162"/>
      <c r="Q136" s="162"/>
      <c r="R136" s="162"/>
      <c r="S136" s="162"/>
      <c r="T136" s="162"/>
      <c r="U136" s="18"/>
      <c r="V136" s="162"/>
      <c r="W136" s="162"/>
      <c r="X136" s="162"/>
      <c r="Y136" s="162"/>
      <c r="Z136" s="162"/>
      <c r="AA136" s="18"/>
      <c r="AB136" s="162"/>
      <c r="AC136" s="162"/>
      <c r="AD136" s="162"/>
      <c r="AE136" s="162"/>
      <c r="AF136" s="162"/>
      <c r="AG136" s="18"/>
      <c r="AH136" s="162"/>
      <c r="AI136" s="18"/>
      <c r="AJ136" s="163"/>
      <c r="AK136" s="18"/>
      <c r="AL136" s="163"/>
    </row>
    <row r="137" spans="1:38" s="41" customFormat="1" ht="15" customHeight="1">
      <c r="B137" s="164"/>
      <c r="C137" s="18"/>
      <c r="D137" s="165"/>
      <c r="E137" s="165"/>
      <c r="F137" s="165"/>
      <c r="G137" s="165"/>
      <c r="H137" s="165"/>
      <c r="I137" s="169"/>
      <c r="J137" s="165"/>
      <c r="K137" s="165"/>
      <c r="L137" s="165"/>
      <c r="M137" s="165"/>
      <c r="N137" s="165"/>
      <c r="O137" s="169"/>
      <c r="P137" s="165"/>
      <c r="Q137" s="165"/>
      <c r="R137" s="165"/>
      <c r="S137" s="165"/>
      <c r="T137" s="165"/>
      <c r="U137" s="169"/>
      <c r="V137" s="755">
        <f>V$8</f>
        <v>2025</v>
      </c>
      <c r="W137" s="755">
        <f>X137</f>
        <v>0</v>
      </c>
      <c r="X137" s="755">
        <f>X$8</f>
        <v>0</v>
      </c>
      <c r="Y137" s="755">
        <f>X137</f>
        <v>0</v>
      </c>
      <c r="Z137" s="755">
        <f>X137</f>
        <v>0</v>
      </c>
      <c r="AA137" s="169"/>
      <c r="AB137" s="755">
        <f>AB$8</f>
        <v>2026</v>
      </c>
      <c r="AC137" s="755">
        <f>AD137</f>
        <v>0</v>
      </c>
      <c r="AD137" s="755">
        <f>AD$8</f>
        <v>0</v>
      </c>
      <c r="AE137" s="755">
        <f>AD137</f>
        <v>0</v>
      </c>
      <c r="AF137" s="755">
        <f>AD137</f>
        <v>0</v>
      </c>
      <c r="AG137" s="171"/>
      <c r="AH137" s="166">
        <f>AH$8</f>
        <v>2027</v>
      </c>
      <c r="AI137" s="167"/>
      <c r="AJ137" s="166">
        <f>AJ$8</f>
        <v>2028</v>
      </c>
      <c r="AK137" s="167"/>
      <c r="AL137" s="166">
        <f>AL$8</f>
        <v>2029</v>
      </c>
    </row>
    <row r="138" spans="1:38" s="41" customFormat="1" ht="14.25" customHeight="1">
      <c r="B138" s="164"/>
      <c r="C138" s="18"/>
      <c r="D138" s="168"/>
      <c r="E138" s="168"/>
      <c r="F138" s="168"/>
      <c r="G138" s="168"/>
      <c r="H138" s="168"/>
      <c r="I138" s="165"/>
      <c r="J138" s="168"/>
      <c r="K138" s="168"/>
      <c r="L138" s="168"/>
      <c r="M138" s="168"/>
      <c r="N138" s="168"/>
      <c r="O138" s="165"/>
      <c r="P138" s="168"/>
      <c r="Q138" s="168"/>
      <c r="R138" s="168"/>
      <c r="S138" s="168"/>
      <c r="T138" s="168"/>
      <c r="U138" s="165"/>
      <c r="V138" s="168" t="s">
        <v>207</v>
      </c>
      <c r="W138" s="168" t="s">
        <v>208</v>
      </c>
      <c r="X138" s="168" t="s">
        <v>209</v>
      </c>
      <c r="Y138" s="168" t="s">
        <v>210</v>
      </c>
      <c r="Z138" s="168" t="s">
        <v>211</v>
      </c>
      <c r="AA138" s="165"/>
      <c r="AB138" s="168" t="s">
        <v>207</v>
      </c>
      <c r="AC138" s="168" t="s">
        <v>208</v>
      </c>
      <c r="AD138" s="168" t="s">
        <v>209</v>
      </c>
      <c r="AE138" s="168" t="s">
        <v>210</v>
      </c>
      <c r="AF138" s="168" t="s">
        <v>211</v>
      </c>
      <c r="AG138" s="165"/>
      <c r="AH138" s="168" t="s">
        <v>211</v>
      </c>
      <c r="AI138" s="165"/>
      <c r="AJ138" s="168" t="s">
        <v>211</v>
      </c>
      <c r="AK138" s="165"/>
      <c r="AL138" s="168" t="s">
        <v>211</v>
      </c>
    </row>
    <row r="139" spans="1:38" s="41" customFormat="1" ht="3.95" customHeight="1">
      <c r="A139" s="43"/>
      <c r="B139" s="176"/>
      <c r="C139" s="35"/>
      <c r="D139" s="177"/>
      <c r="E139" s="177"/>
      <c r="F139" s="177"/>
      <c r="G139" s="177"/>
      <c r="H139" s="177"/>
      <c r="I139" s="178"/>
      <c r="J139" s="177"/>
      <c r="K139" s="177"/>
      <c r="L139" s="177"/>
      <c r="M139" s="177"/>
      <c r="N139" s="177"/>
      <c r="O139" s="178"/>
      <c r="P139" s="177"/>
      <c r="Q139" s="177"/>
      <c r="R139" s="177"/>
      <c r="S139" s="177"/>
      <c r="T139" s="177"/>
      <c r="U139" s="178"/>
      <c r="V139" s="177"/>
      <c r="W139" s="177"/>
      <c r="X139" s="177"/>
      <c r="Y139" s="177"/>
      <c r="Z139" s="179"/>
      <c r="AA139" s="180"/>
      <c r="AB139" s="179"/>
      <c r="AC139" s="179"/>
      <c r="AD139" s="179"/>
      <c r="AE139" s="179"/>
      <c r="AF139" s="179"/>
      <c r="AG139" s="180"/>
      <c r="AH139" s="179"/>
      <c r="AI139" s="180"/>
      <c r="AJ139" s="179"/>
      <c r="AK139" s="180"/>
      <c r="AL139" s="179"/>
    </row>
    <row r="140" spans="1:38" ht="3.95" customHeight="1"/>
    <row r="141" spans="1:38" ht="14.25" customHeight="1">
      <c r="B141" s="161" t="s">
        <v>496</v>
      </c>
      <c r="C141" s="186"/>
      <c r="D141" s="286"/>
      <c r="E141" s="286"/>
      <c r="F141" s="286"/>
      <c r="G141" s="286"/>
      <c r="H141" s="286"/>
      <c r="I141" s="186"/>
      <c r="J141" s="286"/>
      <c r="K141" s="286"/>
      <c r="L141" s="286"/>
      <c r="M141" s="286"/>
      <c r="N141" s="286"/>
      <c r="O141" s="186"/>
      <c r="P141" s="286"/>
      <c r="Q141" s="286"/>
      <c r="R141" s="286"/>
      <c r="S141" s="286"/>
      <c r="T141" s="286"/>
      <c r="U141" s="186"/>
      <c r="V141" s="286"/>
      <c r="W141" s="286"/>
      <c r="X141" s="286"/>
      <c r="Y141" s="286"/>
      <c r="Z141" s="286"/>
      <c r="AA141" s="186"/>
      <c r="AB141" s="286"/>
      <c r="AC141" s="286"/>
      <c r="AD141" s="286"/>
      <c r="AE141" s="286"/>
      <c r="AF141" s="286"/>
      <c r="AG141" s="186"/>
      <c r="AH141" s="286"/>
      <c r="AI141" s="186"/>
      <c r="AJ141" s="287"/>
      <c r="AK141" s="286"/>
      <c r="AL141" s="286"/>
    </row>
    <row r="142" spans="1:38" ht="3.95" customHeight="1">
      <c r="B142" s="288"/>
      <c r="C142" s="36"/>
      <c r="D142" s="288"/>
      <c r="E142" s="288"/>
      <c r="F142" s="288"/>
      <c r="G142" s="288"/>
      <c r="H142" s="288"/>
      <c r="I142" s="36"/>
      <c r="J142" s="288"/>
      <c r="K142" s="288"/>
      <c r="L142" s="288"/>
      <c r="M142" s="288"/>
      <c r="N142" s="288"/>
      <c r="O142" s="36"/>
      <c r="P142" s="288"/>
      <c r="Q142" s="288"/>
      <c r="R142" s="288"/>
      <c r="S142" s="288"/>
      <c r="T142" s="288"/>
      <c r="U142" s="36"/>
      <c r="V142" s="288"/>
      <c r="W142" s="288"/>
      <c r="X142" s="288"/>
      <c r="Y142" s="288"/>
      <c r="Z142" s="288"/>
      <c r="AA142" s="36"/>
      <c r="AB142" s="288"/>
      <c r="AC142" s="288"/>
      <c r="AD142" s="288"/>
      <c r="AE142" s="288"/>
      <c r="AF142" s="288"/>
      <c r="AG142" s="36"/>
      <c r="AH142" s="288"/>
      <c r="AI142" s="36"/>
      <c r="AJ142" s="289"/>
      <c r="AK142" s="288"/>
      <c r="AL142" s="288"/>
    </row>
    <row r="144" spans="1:38" ht="14.25" customHeight="1">
      <c r="B144" s="97" t="s">
        <v>497</v>
      </c>
      <c r="V144" s="297"/>
      <c r="W144" s="297"/>
      <c r="X144" s="297">
        <f ca="1">YEARFRAC(TODAY(),Inputs!$D$18+92)</f>
        <v>8.0555555555555561E-2</v>
      </c>
      <c r="Y144" s="297"/>
      <c r="Z144" s="297">
        <f ca="1">YEARFRAC(TODAY(),"2025-12-31")</f>
        <v>0.18611111111111112</v>
      </c>
      <c r="AB144" s="701"/>
      <c r="AC144" s="297"/>
      <c r="AD144" s="297"/>
      <c r="AE144" s="297"/>
      <c r="AF144" s="297"/>
      <c r="AH144" s="297"/>
      <c r="AJ144" s="297"/>
      <c r="AL144" s="297"/>
    </row>
    <row r="145" spans="2:38" ht="14.25" customHeight="1">
      <c r="B145" s="97" t="s">
        <v>498</v>
      </c>
      <c r="X145" s="297">
        <v>0.13</v>
      </c>
      <c r="Y145" s="297"/>
      <c r="Z145" s="297">
        <f>0.26/2</f>
        <v>0.13</v>
      </c>
      <c r="AB145" s="297"/>
      <c r="AC145" s="297"/>
      <c r="AD145" s="297"/>
      <c r="AE145" s="297"/>
      <c r="AF145" s="297">
        <f>Z145+1</f>
        <v>1.1299999999999999</v>
      </c>
      <c r="AH145" s="297">
        <v>2.13</v>
      </c>
      <c r="AJ145" s="297">
        <v>3.13</v>
      </c>
      <c r="AL145" s="297">
        <v>4.13</v>
      </c>
    </row>
    <row r="147" spans="2:38" ht="14.25" customHeight="1">
      <c r="B147" s="97" t="s">
        <v>499</v>
      </c>
      <c r="V147" s="295"/>
      <c r="W147" s="295"/>
      <c r="X147" s="296">
        <f>WACC!$D$39+Sensitivity!U41</f>
        <v>0.17581592535815022</v>
      </c>
      <c r="Y147" s="296"/>
      <c r="Z147" s="681">
        <f>WACC!D39</f>
        <v>0.17581592535815022</v>
      </c>
      <c r="AB147" s="294"/>
      <c r="AC147" s="294"/>
      <c r="AD147" s="294"/>
      <c r="AE147" s="294"/>
      <c r="AF147" s="294">
        <f>WACC!E39</f>
        <v>0.19872845139651873</v>
      </c>
      <c r="AH147" s="294">
        <f>WACC!F39</f>
        <v>0.16326349010455257</v>
      </c>
      <c r="AJ147" s="294">
        <f>WACC!G39</f>
        <v>0.16521357144782242</v>
      </c>
      <c r="AL147" s="294">
        <f>WACC!H39</f>
        <v>0.20735210211387742</v>
      </c>
    </row>
    <row r="148" spans="2:38" ht="14.25" customHeight="1">
      <c r="B148" s="97" t="s">
        <v>500</v>
      </c>
      <c r="V148" s="295"/>
      <c r="W148" s="295"/>
      <c r="X148" s="298"/>
      <c r="Y148" s="298"/>
      <c r="Z148" s="298">
        <f>(1+WACC!D39)^Z145</f>
        <v>1.0212783229844042</v>
      </c>
      <c r="AB148" s="298"/>
      <c r="AC148" s="298"/>
      <c r="AD148" s="298"/>
      <c r="AE148" s="298"/>
      <c r="AF148" s="700">
        <f>Z148*((1+AF147)^AF145)</f>
        <v>1.2534258090924808</v>
      </c>
      <c r="AH148" s="700">
        <f>AF148*(1+AH147)^AH145</f>
        <v>1.7297884021743033</v>
      </c>
      <c r="AI148" s="298"/>
      <c r="AJ148" s="700">
        <f>AH148*(1+AJ147)^AJ145</f>
        <v>2.79153002429516</v>
      </c>
      <c r="AK148" s="298"/>
      <c r="AL148" s="700">
        <f>AJ148*(1+AL147)^AL145</f>
        <v>6.0787808436319066</v>
      </c>
    </row>
    <row r="149" spans="2:38" s="105" customFormat="1" ht="14.25" customHeight="1">
      <c r="C149" s="33"/>
      <c r="I149" s="33"/>
      <c r="O149" s="33"/>
      <c r="U149" s="33"/>
      <c r="AA149" s="33"/>
      <c r="AG149" s="33"/>
      <c r="AI149" s="33"/>
    </row>
    <row r="150" spans="2:38" ht="14.25" customHeight="1">
      <c r="B150" s="299" t="s">
        <v>501</v>
      </c>
      <c r="C150" s="293"/>
      <c r="D150" s="291"/>
      <c r="E150" s="291"/>
      <c r="F150" s="291"/>
      <c r="G150" s="291"/>
      <c r="H150" s="291"/>
      <c r="I150" s="293"/>
      <c r="J150" s="291"/>
      <c r="K150" s="291"/>
      <c r="L150" s="291"/>
      <c r="M150" s="291"/>
      <c r="N150" s="291"/>
      <c r="O150" s="293"/>
      <c r="P150" s="291"/>
      <c r="Q150" s="291"/>
      <c r="R150" s="291"/>
      <c r="S150" s="291"/>
      <c r="T150" s="291"/>
      <c r="U150" s="293"/>
      <c r="V150" s="291"/>
      <c r="W150" s="291"/>
      <c r="X150" s="315" t="e">
        <f ca="1">X133/X148*(Inputs!$D$17-92-TODAY())/92</f>
        <v>#DIV/0!</v>
      </c>
      <c r="Y150" s="315" t="e">
        <f>Y133/Y148</f>
        <v>#DIV/0!</v>
      </c>
      <c r="Z150" s="315">
        <f>Z133/Z148</f>
        <v>224.1298113071056</v>
      </c>
      <c r="AA150" s="315"/>
      <c r="AB150" s="315" t="e">
        <f>AB133/AB148</f>
        <v>#DIV/0!</v>
      </c>
      <c r="AC150" s="315" t="e">
        <f>AC133/AC148</f>
        <v>#DIV/0!</v>
      </c>
      <c r="AD150" s="315" t="e">
        <f>AD133/AD148</f>
        <v>#DIV/0!</v>
      </c>
      <c r="AE150" s="315" t="e">
        <f>AE133/AE148</f>
        <v>#DIV/0!</v>
      </c>
      <c r="AF150" s="315">
        <f>AF133/AF148</f>
        <v>1420.1937598693162</v>
      </c>
      <c r="AG150" s="315"/>
      <c r="AH150" s="315">
        <f>AH133/AH148</f>
        <v>1416.9036546162827</v>
      </c>
      <c r="AI150" s="315"/>
      <c r="AJ150" s="315">
        <f>AJ133/AJ148</f>
        <v>1291.1259978281398</v>
      </c>
      <c r="AK150" s="315"/>
      <c r="AL150" s="315">
        <f>AL133/AL148</f>
        <v>589.61503080150999</v>
      </c>
    </row>
    <row r="152" spans="2:38" ht="14.25" customHeight="1">
      <c r="B152" s="161" t="s">
        <v>502</v>
      </c>
      <c r="C152" s="186"/>
      <c r="D152" s="286"/>
      <c r="E152" s="286"/>
      <c r="F152" s="286"/>
      <c r="G152" s="286"/>
      <c r="H152" s="286"/>
      <c r="I152" s="186"/>
      <c r="J152" s="286"/>
      <c r="K152" s="286"/>
      <c r="L152" s="286"/>
      <c r="M152" s="286"/>
      <c r="N152" s="286"/>
      <c r="O152" s="186"/>
      <c r="P152" s="286"/>
      <c r="Q152" s="286"/>
      <c r="R152" s="286"/>
      <c r="S152" s="286"/>
      <c r="T152" s="286"/>
      <c r="U152" s="186"/>
      <c r="V152" s="286"/>
      <c r="W152" s="286"/>
      <c r="X152" s="286"/>
      <c r="Y152" s="286"/>
      <c r="Z152" s="286"/>
      <c r="AA152" s="186"/>
      <c r="AB152" s="286"/>
      <c r="AC152" s="286"/>
      <c r="AD152" s="286"/>
      <c r="AE152" s="286"/>
      <c r="AF152" s="286"/>
      <c r="AG152" s="186"/>
      <c r="AH152" s="286"/>
      <c r="AI152" s="186"/>
      <c r="AJ152" s="287"/>
      <c r="AK152" s="286"/>
      <c r="AL152" s="286"/>
    </row>
    <row r="153" spans="2:38" ht="3.95" customHeight="1">
      <c r="B153" s="288"/>
      <c r="C153" s="36"/>
      <c r="D153" s="288"/>
      <c r="E153" s="288"/>
      <c r="F153" s="288"/>
      <c r="G153" s="288"/>
      <c r="H153" s="288"/>
      <c r="I153" s="36"/>
      <c r="J153" s="288"/>
      <c r="K153" s="288"/>
      <c r="L153" s="288"/>
      <c r="M153" s="288"/>
      <c r="N153" s="288"/>
      <c r="O153" s="36"/>
      <c r="P153" s="288"/>
      <c r="Q153" s="288"/>
      <c r="R153" s="288"/>
      <c r="S153" s="288"/>
      <c r="T153" s="288"/>
      <c r="U153" s="36"/>
      <c r="V153" s="288"/>
      <c r="W153" s="288"/>
      <c r="X153" s="288"/>
      <c r="Y153" s="288"/>
      <c r="Z153" s="288"/>
      <c r="AA153" s="36"/>
      <c r="AB153" s="288"/>
      <c r="AC153" s="288"/>
      <c r="AD153" s="288"/>
      <c r="AE153" s="288"/>
      <c r="AF153" s="288"/>
      <c r="AG153" s="36"/>
      <c r="AH153" s="288"/>
      <c r="AI153" s="36"/>
      <c r="AJ153" s="289"/>
      <c r="AK153" s="288"/>
      <c r="AL153" s="288"/>
    </row>
    <row r="154" spans="2:38" ht="14.25" customHeight="1">
      <c r="B154" s="295"/>
      <c r="C154" s="25"/>
      <c r="D154" s="295"/>
      <c r="E154" s="295"/>
      <c r="F154" s="295"/>
      <c r="G154" s="295"/>
      <c r="H154" s="295"/>
      <c r="I154" s="25"/>
      <c r="J154" s="295"/>
      <c r="K154" s="295"/>
      <c r="L154" s="295"/>
      <c r="M154" s="295"/>
      <c r="N154" s="295"/>
      <c r="O154" s="25"/>
      <c r="P154" s="295"/>
      <c r="Q154" s="295"/>
      <c r="R154" s="295"/>
      <c r="S154" s="295"/>
      <c r="T154" s="295"/>
    </row>
    <row r="155" spans="2:38" s="338" customFormat="1" ht="14.25" customHeight="1">
      <c r="B155" s="341"/>
      <c r="C155" s="342"/>
      <c r="D155" s="341"/>
      <c r="E155" s="341"/>
      <c r="F155" s="341"/>
      <c r="G155" s="341"/>
      <c r="H155" s="343"/>
      <c r="I155" s="342"/>
      <c r="J155" s="341"/>
      <c r="K155" s="341"/>
      <c r="L155" s="341"/>
      <c r="M155" s="341"/>
      <c r="N155" s="341"/>
      <c r="O155" s="342"/>
      <c r="P155" s="341"/>
      <c r="Q155" s="603" t="s">
        <v>503</v>
      </c>
      <c r="R155" s="604" t="s">
        <v>504</v>
      </c>
      <c r="S155" s="341"/>
      <c r="T155" s="341"/>
      <c r="U155" s="339"/>
      <c r="V155" s="340" t="s">
        <v>505</v>
      </c>
      <c r="W155" s="340"/>
      <c r="X155" s="340"/>
      <c r="Y155" s="340"/>
      <c r="Z155" s="340"/>
      <c r="AB155" s="340" t="s">
        <v>506</v>
      </c>
      <c r="AC155" s="340"/>
      <c r="AD155" s="340"/>
      <c r="AE155" s="340"/>
      <c r="AF155" s="340"/>
      <c r="AG155" s="339"/>
      <c r="AH155" s="340" t="s">
        <v>507</v>
      </c>
      <c r="AI155" s="340"/>
      <c r="AJ155" s="340"/>
      <c r="AK155" s="340"/>
      <c r="AL155" s="340"/>
    </row>
    <row r="156" spans="2:38" ht="3.95" customHeight="1">
      <c r="B156" s="295"/>
      <c r="C156" s="25"/>
      <c r="D156" s="295"/>
      <c r="E156" s="295"/>
      <c r="F156" s="295"/>
      <c r="G156" s="295"/>
      <c r="H156" s="295"/>
      <c r="I156" s="25"/>
      <c r="J156" s="295"/>
      <c r="K156" s="295"/>
      <c r="L156" s="295"/>
      <c r="M156" s="295"/>
      <c r="N156" s="295"/>
      <c r="O156" s="25"/>
      <c r="P156" s="295"/>
      <c r="Q156" s="295"/>
      <c r="R156" s="295"/>
      <c r="S156" s="295"/>
      <c r="T156" s="295"/>
      <c r="V156" s="288"/>
      <c r="W156" s="288"/>
      <c r="X156" s="288"/>
      <c r="Y156" s="288"/>
      <c r="Z156" s="288"/>
      <c r="AA156" s="97"/>
      <c r="AB156" s="288"/>
      <c r="AC156" s="288"/>
      <c r="AD156" s="288"/>
      <c r="AE156" s="288"/>
      <c r="AF156" s="288"/>
      <c r="AH156" s="288"/>
      <c r="AI156" s="288"/>
      <c r="AJ156" s="288"/>
      <c r="AK156" s="288"/>
      <c r="AL156" s="288"/>
    </row>
    <row r="157" spans="2:38" ht="14.25" customHeight="1">
      <c r="B157" s="295"/>
      <c r="C157" s="25"/>
      <c r="D157" s="295"/>
      <c r="E157" s="295"/>
      <c r="F157" s="295"/>
      <c r="G157" s="295"/>
      <c r="H157" s="295"/>
      <c r="I157" s="25"/>
      <c r="M157" s="295"/>
      <c r="N157" s="295"/>
      <c r="O157" s="25"/>
      <c r="P157" s="295"/>
      <c r="Q157" s="295"/>
      <c r="R157" s="295"/>
      <c r="S157" s="295"/>
      <c r="T157" s="295"/>
      <c r="V157" s="97" t="s">
        <v>508</v>
      </c>
      <c r="Z157" s="355">
        <f>Inputs!M14</f>
        <v>9.3917402255854441</v>
      </c>
      <c r="AB157" s="97" t="s">
        <v>509</v>
      </c>
      <c r="AF157" s="355">
        <f>Inputs!M13</f>
        <v>0.83767407638608538</v>
      </c>
      <c r="AH157" s="97" t="s">
        <v>510</v>
      </c>
      <c r="AL157" s="326">
        <f>AL133/AJ133-1</f>
        <v>-5.5702622228384069E-3</v>
      </c>
    </row>
    <row r="158" spans="2:38" ht="14.25" customHeight="1">
      <c r="B158" s="295"/>
      <c r="C158" s="25"/>
      <c r="D158" s="295"/>
      <c r="E158" s="295"/>
      <c r="F158" s="295"/>
      <c r="G158" s="295"/>
      <c r="H158" s="295"/>
      <c r="I158" s="25"/>
      <c r="M158" s="295"/>
      <c r="N158" s="295"/>
      <c r="O158" s="25"/>
      <c r="P158" s="295"/>
      <c r="Q158" s="295"/>
      <c r="R158" s="295"/>
      <c r="S158" s="295"/>
      <c r="T158" s="295"/>
      <c r="V158" s="97" t="s">
        <v>511</v>
      </c>
      <c r="Z158" s="344">
        <v>3.2</v>
      </c>
      <c r="AB158" s="97" t="s">
        <v>512</v>
      </c>
      <c r="AF158" s="344">
        <v>0.9</v>
      </c>
      <c r="AH158" s="97" t="s">
        <v>513</v>
      </c>
      <c r="AL158" s="316">
        <v>0.02</v>
      </c>
    </row>
    <row r="159" spans="2:38" ht="14.25" customHeight="1">
      <c r="B159" s="295"/>
      <c r="C159" s="25"/>
      <c r="D159" s="295"/>
      <c r="E159" s="295"/>
      <c r="F159" s="295"/>
      <c r="G159" s="295"/>
      <c r="H159" s="295"/>
      <c r="I159" s="25"/>
      <c r="M159" s="295"/>
      <c r="N159" s="295"/>
      <c r="O159" s="25"/>
      <c r="P159" s="295"/>
      <c r="Q159" s="295"/>
      <c r="R159" s="295" t="str">
        <f>R155</f>
        <v>Revenue Exit</v>
      </c>
      <c r="S159" s="295"/>
      <c r="T159" s="295"/>
      <c r="V159" s="97" t="s">
        <v>502</v>
      </c>
      <c r="Z159" s="312">
        <f>(Z158+Sensitivity!U43)*(AL119+AL125)</f>
        <v>17238.504780040617</v>
      </c>
      <c r="AB159" s="97" t="s">
        <v>502</v>
      </c>
      <c r="AF159" s="312">
        <f>(AF158+Sensitivity!U44)*(AL26)</f>
        <v>19056.955668873907</v>
      </c>
      <c r="AH159" s="97" t="s">
        <v>502</v>
      </c>
      <c r="AL159" s="312">
        <f>AL133*(1+AL158+Sensitivity!U42)/(AL147-AL158-Sensitivity!U42)</f>
        <v>19513.116341863224</v>
      </c>
    </row>
    <row r="160" spans="2:38" ht="14.25" customHeight="1">
      <c r="B160" s="295"/>
      <c r="C160" s="25"/>
      <c r="D160" s="295"/>
      <c r="E160" s="295"/>
      <c r="F160" s="295"/>
      <c r="G160" s="295"/>
      <c r="H160" s="295"/>
      <c r="I160" s="25"/>
      <c r="M160" s="295"/>
      <c r="N160" s="295"/>
      <c r="O160" s="25"/>
      <c r="P160" s="295"/>
      <c r="Q160" s="295"/>
      <c r="R160" s="605">
        <f>IF($R$159="Revenue Exit",$AF$169,IF($R$159="EBITDA Exit",$Z$169,$AL$169))</f>
        <v>-0.24468161716368664</v>
      </c>
      <c r="S160" s="295"/>
      <c r="T160" s="295"/>
      <c r="V160" s="345" t="s">
        <v>514</v>
      </c>
      <c r="W160" s="345"/>
      <c r="X160" s="345"/>
      <c r="Y160" s="345"/>
      <c r="Z160" s="346">
        <f>Z159/AL148</f>
        <v>2835.8490334619596</v>
      </c>
      <c r="AB160" s="345" t="s">
        <v>514</v>
      </c>
      <c r="AC160" s="345"/>
      <c r="AD160" s="345"/>
      <c r="AE160" s="345"/>
      <c r="AF160" s="346">
        <f>AF159/AL148</f>
        <v>3134.9963354638548</v>
      </c>
      <c r="AH160" s="345" t="s">
        <v>514</v>
      </c>
      <c r="AI160" s="353"/>
      <c r="AJ160" s="354"/>
      <c r="AK160" s="345"/>
      <c r="AL160" s="346">
        <f>AL159/AL148</f>
        <v>3210.0378091940993</v>
      </c>
    </row>
    <row r="161" spans="2:38" ht="14.25" customHeight="1">
      <c r="B161" s="295"/>
      <c r="C161" s="25"/>
      <c r="D161" s="295"/>
      <c r="E161" s="295"/>
      <c r="F161" s="295"/>
      <c r="G161" s="295"/>
      <c r="H161" s="295"/>
      <c r="I161" s="25"/>
      <c r="M161" s="295"/>
      <c r="N161" s="295"/>
      <c r="O161" s="25"/>
      <c r="P161" s="295"/>
      <c r="Q161" s="295"/>
      <c r="R161" s="605">
        <f>1-R160</f>
        <v>1.2446816171636867</v>
      </c>
      <c r="S161" s="295"/>
      <c r="T161" s="295"/>
      <c r="V161" s="105" t="s">
        <v>515</v>
      </c>
      <c r="W161" s="105"/>
      <c r="X161" s="105"/>
      <c r="Y161" s="105"/>
      <c r="Z161" s="320">
        <f>Z160+Z150+AF150+AH150+AJ150+AL150</f>
        <v>7777.8172878843134</v>
      </c>
      <c r="AB161" s="105" t="s">
        <v>515</v>
      </c>
      <c r="AC161" s="105"/>
      <c r="AD161" s="105"/>
      <c r="AE161" s="105"/>
      <c r="AF161" s="320">
        <f>AF160+AF150+AH150+AJ150+Z150+AL150</f>
        <v>8076.9645898862091</v>
      </c>
      <c r="AH161" s="105" t="s">
        <v>515</v>
      </c>
      <c r="AI161" s="105"/>
      <c r="AK161" s="105"/>
      <c r="AL161" s="320">
        <f>AL160+AL150+AJ150+AH150+AF150+Z150</f>
        <v>8152.0060636164535</v>
      </c>
    </row>
    <row r="162" spans="2:38" ht="14.25" customHeight="1">
      <c r="B162" s="295"/>
      <c r="C162" s="25"/>
      <c r="D162" s="295"/>
      <c r="E162" s="295"/>
      <c r="F162" s="295"/>
      <c r="G162" s="295"/>
      <c r="H162" s="295"/>
      <c r="I162" s="25"/>
      <c r="M162" s="295"/>
      <c r="N162" s="295"/>
      <c r="O162" s="25"/>
      <c r="P162" s="295"/>
      <c r="Q162" s="295"/>
      <c r="R162" s="97" t="str">
        <f>IF(R160&gt;0,"Upside","Downside")</f>
        <v>Downside</v>
      </c>
      <c r="S162" s="295"/>
      <c r="T162" s="295"/>
      <c r="V162" s="97" t="s">
        <v>516</v>
      </c>
      <c r="Z162" s="68">
        <f>BS!AI45+BS!AI44+BS!AI39+BS!AI38-BS!AI15</f>
        <v>3018.6170000000002</v>
      </c>
      <c r="AB162" s="97" t="s">
        <v>516</v>
      </c>
      <c r="AF162" s="68">
        <f>BS!AI45+BS!AI44+BS!AI39+BS!AI38-BS!AI15</f>
        <v>3018.6170000000002</v>
      </c>
      <c r="AH162" s="97" t="s">
        <v>516</v>
      </c>
      <c r="AI162" s="97"/>
      <c r="AJ162" s="97"/>
      <c r="AL162" s="68">
        <f>BS!AI45+BS!AI44+BS!AI39+BS!AI38-BS!AI15</f>
        <v>3018.6170000000002</v>
      </c>
    </row>
    <row r="163" spans="2:38" ht="14.25" customHeight="1">
      <c r="B163" s="295"/>
      <c r="C163" s="25"/>
      <c r="D163" s="295"/>
      <c r="E163" s="295"/>
      <c r="F163" s="295"/>
      <c r="G163" s="295"/>
      <c r="H163" s="295"/>
      <c r="I163" s="25"/>
      <c r="M163" s="295"/>
      <c r="N163" s="295"/>
      <c r="O163" s="25"/>
      <c r="P163" s="295"/>
      <c r="Q163" s="295"/>
      <c r="R163" s="295"/>
      <c r="S163" s="295"/>
      <c r="T163" s="295"/>
      <c r="V163" s="97" t="s">
        <v>517</v>
      </c>
      <c r="Z163" s="68">
        <f>Inputs!U63</f>
        <v>0</v>
      </c>
      <c r="AB163" s="97" t="s">
        <v>517</v>
      </c>
      <c r="AF163" s="68">
        <f>Inputs!U63</f>
        <v>0</v>
      </c>
      <c r="AH163" s="97" t="s">
        <v>517</v>
      </c>
      <c r="AI163" s="97"/>
      <c r="AJ163" s="97"/>
      <c r="AL163" s="68">
        <f>Inputs!U63</f>
        <v>0</v>
      </c>
    </row>
    <row r="164" spans="2:38" ht="14.25" customHeight="1">
      <c r="V164" s="345" t="s">
        <v>518</v>
      </c>
      <c r="W164" s="345"/>
      <c r="X164" s="345"/>
      <c r="Y164" s="345"/>
      <c r="Z164" s="75">
        <f>BS!AI53</f>
        <v>0</v>
      </c>
      <c r="AB164" s="345" t="s">
        <v>518</v>
      </c>
      <c r="AC164" s="345"/>
      <c r="AD164" s="345"/>
      <c r="AE164" s="345"/>
      <c r="AF164" s="75">
        <f>BS!AI53</f>
        <v>0</v>
      </c>
      <c r="AH164" s="345" t="s">
        <v>518</v>
      </c>
      <c r="AI164" s="345"/>
      <c r="AJ164" s="345"/>
      <c r="AK164" s="345"/>
      <c r="AL164" s="75">
        <f>BS!AI53</f>
        <v>0</v>
      </c>
    </row>
    <row r="165" spans="2:38" ht="14.25" customHeight="1">
      <c r="V165" s="105" t="s">
        <v>519</v>
      </c>
      <c r="W165" s="105"/>
      <c r="X165" s="105"/>
      <c r="Y165" s="105"/>
      <c r="Z165" s="320">
        <f>Z161-Z162-Z163-Z164</f>
        <v>4759.2002878843132</v>
      </c>
      <c r="AB165" s="105" t="s">
        <v>519</v>
      </c>
      <c r="AC165" s="105"/>
      <c r="AD165" s="105"/>
      <c r="AE165" s="105"/>
      <c r="AF165" s="320">
        <f>AF161-AF162-AF163-AF164</f>
        <v>5058.3475898862089</v>
      </c>
      <c r="AH165" s="105" t="s">
        <v>519</v>
      </c>
      <c r="AI165" s="105"/>
      <c r="AK165" s="105"/>
      <c r="AL165" s="320">
        <f>AL161-AL162-AL163-AL164</f>
        <v>5133.3890636164533</v>
      </c>
    </row>
    <row r="166" spans="2:38" ht="14.25" customHeight="1">
      <c r="V166" s="345" t="s">
        <v>520</v>
      </c>
      <c r="W166" s="345"/>
      <c r="X166" s="345"/>
      <c r="Y166" s="345"/>
      <c r="Z166" s="347">
        <f>AL61</f>
        <v>207.78696941484961</v>
      </c>
      <c r="AB166" s="345" t="s">
        <v>520</v>
      </c>
      <c r="AC166" s="345"/>
      <c r="AD166" s="345"/>
      <c r="AE166" s="345"/>
      <c r="AF166" s="347">
        <f>AL61</f>
        <v>207.78696941484961</v>
      </c>
      <c r="AH166" s="345" t="s">
        <v>520</v>
      </c>
      <c r="AI166" s="345"/>
      <c r="AJ166" s="345"/>
      <c r="AK166" s="345"/>
      <c r="AL166" s="347">
        <f>AL61</f>
        <v>207.78696941484961</v>
      </c>
    </row>
    <row r="167" spans="2:38" ht="14.25" customHeight="1">
      <c r="V167" s="105" t="s">
        <v>521</v>
      </c>
      <c r="W167" s="105"/>
      <c r="X167" s="105"/>
      <c r="Y167" s="105"/>
      <c r="Z167" s="319">
        <f>Z165/Z166</f>
        <v>22.904228793974578</v>
      </c>
      <c r="AB167" s="105" t="s">
        <v>521</v>
      </c>
      <c r="AC167" s="105"/>
      <c r="AD167" s="105"/>
      <c r="AE167" s="105"/>
      <c r="AF167" s="319">
        <f>AF165/AF166</f>
        <v>24.343911478814377</v>
      </c>
      <c r="AH167" s="105" t="s">
        <v>521</v>
      </c>
      <c r="AI167" s="105"/>
      <c r="AK167" s="105"/>
      <c r="AL167" s="319">
        <f>AL165/AL166</f>
        <v>24.705057675525214</v>
      </c>
    </row>
    <row r="168" spans="2:38" ht="14.25" customHeight="1">
      <c r="V168" s="97" t="s">
        <v>522</v>
      </c>
      <c r="Z168" s="352">
        <f>'Stock Data'!AN4</f>
        <v>32.229999999999997</v>
      </c>
      <c r="AB168" s="97" t="s">
        <v>522</v>
      </c>
      <c r="AF168" s="352">
        <f>'Stock Data'!AN4</f>
        <v>32.229999999999997</v>
      </c>
      <c r="AH168" s="97" t="s">
        <v>522</v>
      </c>
      <c r="AI168" s="97"/>
      <c r="AJ168" s="97"/>
      <c r="AL168" s="352">
        <f>'Stock Data'!AN4</f>
        <v>32.229999999999997</v>
      </c>
    </row>
    <row r="169" spans="2:38" ht="14.25" customHeight="1">
      <c r="V169" s="97" t="s">
        <v>523</v>
      </c>
      <c r="Z169" s="326">
        <f>Z167/Z168-1</f>
        <v>-0.28935064244571573</v>
      </c>
      <c r="AB169" s="97" t="s">
        <v>523</v>
      </c>
      <c r="AF169" s="326">
        <f>AF167/AF168-1</f>
        <v>-0.24468161716368664</v>
      </c>
      <c r="AH169" s="97" t="s">
        <v>523</v>
      </c>
      <c r="AI169" s="97"/>
      <c r="AJ169" s="97"/>
      <c r="AL169" s="326">
        <f>AL167/AL168-1</f>
        <v>-0.23347633647144839</v>
      </c>
    </row>
    <row r="174" spans="2:38" ht="14.25" customHeight="1">
      <c r="AB174" s="317"/>
    </row>
    <row r="175" spans="2:38" ht="14.25" customHeight="1">
      <c r="AB175" s="594"/>
      <c r="AC175" s="317"/>
    </row>
    <row r="176" spans="2:38" ht="14.25" customHeight="1">
      <c r="AB176" s="594"/>
      <c r="AC176" s="317"/>
    </row>
    <row r="179" spans="31:32" ht="14.25" customHeight="1">
      <c r="AF179" s="317"/>
    </row>
    <row r="180" spans="31:32" ht="14.25" customHeight="1">
      <c r="AE180" s="594"/>
      <c r="AF180" s="317"/>
    </row>
    <row r="181" spans="31:32" ht="14.25" customHeight="1">
      <c r="AE181" s="594"/>
      <c r="AF181" s="326"/>
    </row>
  </sheetData>
  <mergeCells count="17">
    <mergeCell ref="V137:Z137"/>
    <mergeCell ref="AB137:AF137"/>
    <mergeCell ref="D19:H19"/>
    <mergeCell ref="J19:N19"/>
    <mergeCell ref="P19:T19"/>
    <mergeCell ref="V19:Z19"/>
    <mergeCell ref="AB19:AF19"/>
    <mergeCell ref="D115:H115"/>
    <mergeCell ref="J115:N115"/>
    <mergeCell ref="P115:T115"/>
    <mergeCell ref="V115:Z115"/>
    <mergeCell ref="AB115:AF115"/>
    <mergeCell ref="D8:H8"/>
    <mergeCell ref="J8:N8"/>
    <mergeCell ref="P8:T8"/>
    <mergeCell ref="V8:Z8"/>
    <mergeCell ref="AB8:AF8"/>
  </mergeCells>
  <dataValidations disablePrompts="1" count="2">
    <dataValidation type="list" allowBlank="1" showInputMessage="1" showErrorMessage="1" sqref="B79" xr:uid="{3068A702-6D91-4BC4-B8DA-FEBA02962F20}">
      <formula1>"Intangibles excl. Goodwill, Intangibles"</formula1>
    </dataValidation>
    <dataValidation type="list" allowBlank="1" showInputMessage="1" showErrorMessage="1" sqref="R155" xr:uid="{DD3EF530-1AED-43A6-B35C-1414A1C29D9A}">
      <formula1>"EBITDA Exit, Revenue Exit, Gordon's Growth Model"</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B1314"/>
  </sheetPr>
  <dimension ref="A1:M181"/>
  <sheetViews>
    <sheetView showGridLines="0" zoomScale="75" zoomScaleNormal="100" workbookViewId="0">
      <selection activeCell="E18" sqref="E18"/>
    </sheetView>
  </sheetViews>
  <sheetFormatPr defaultColWidth="9" defaultRowHeight="15" customHeight="1"/>
  <cols>
    <col min="1" max="1" width="3.625" style="380" customWidth="1"/>
    <col min="2" max="2" width="39.125" style="23" customWidth="1"/>
    <col min="3" max="3" width="13.625" style="23" customWidth="1"/>
    <col min="4" max="13" width="12.625" style="23" customWidth="1"/>
    <col min="14" max="17" width="12.625" style="25" customWidth="1"/>
    <col min="18" max="16384" width="9" style="25"/>
  </cols>
  <sheetData>
    <row r="1" spans="1:13" s="576" customFormat="1" ht="15" customHeight="1"/>
    <row r="2" spans="1:13" s="576" customFormat="1" ht="15" customHeight="1"/>
    <row r="3" spans="1:13" s="576" customFormat="1" ht="15" customHeight="1"/>
    <row r="4" spans="1:13" s="576" customFormat="1" ht="15" customHeight="1"/>
    <row r="5" spans="1:13" s="419" customFormat="1" ht="3.95" customHeight="1">
      <c r="A5" s="571"/>
      <c r="B5" s="36"/>
      <c r="C5" s="36"/>
      <c r="D5" s="36"/>
      <c r="E5" s="36"/>
      <c r="F5" s="36"/>
      <c r="G5" s="36"/>
      <c r="H5" s="36"/>
      <c r="I5" s="36"/>
      <c r="J5" s="36"/>
      <c r="K5" s="36"/>
      <c r="L5" s="36"/>
      <c r="M5" s="36"/>
    </row>
    <row r="7" spans="1:13" ht="15" customHeight="1">
      <c r="A7" s="380" t="s">
        <v>37</v>
      </c>
      <c r="B7" s="372" t="s">
        <v>524</v>
      </c>
      <c r="C7" s="32"/>
      <c r="D7" s="32"/>
      <c r="E7" s="32"/>
      <c r="F7" s="32"/>
      <c r="G7" s="32"/>
      <c r="H7" s="32"/>
      <c r="I7" s="32"/>
      <c r="J7" s="32"/>
      <c r="K7" s="32"/>
      <c r="L7" s="32"/>
    </row>
    <row r="8" spans="1:13" ht="3.95" customHeight="1">
      <c r="B8" s="421"/>
      <c r="C8" s="387"/>
      <c r="D8" s="387"/>
      <c r="E8" s="387"/>
      <c r="F8" s="387"/>
      <c r="G8" s="387"/>
      <c r="H8" s="387"/>
      <c r="I8" s="387"/>
      <c r="J8" s="387"/>
      <c r="K8" s="387"/>
      <c r="L8" s="387"/>
    </row>
    <row r="9" spans="1:13" ht="15" customHeight="1">
      <c r="B9" s="422"/>
      <c r="C9" s="25"/>
      <c r="D9" s="25"/>
      <c r="E9" s="422"/>
      <c r="F9" s="25"/>
      <c r="G9" s="25"/>
      <c r="H9" s="422"/>
      <c r="J9" s="25"/>
      <c r="K9" s="422"/>
      <c r="L9" s="25"/>
    </row>
    <row r="10" spans="1:13" ht="15" customHeight="1">
      <c r="B10" s="372" t="s">
        <v>525</v>
      </c>
      <c r="C10" s="32"/>
      <c r="D10" s="32"/>
      <c r="E10" s="32"/>
      <c r="G10" s="372" t="s">
        <v>526</v>
      </c>
      <c r="H10" s="372"/>
      <c r="I10" s="372"/>
      <c r="J10" s="372" t="s">
        <v>527</v>
      </c>
      <c r="K10" s="372" t="s">
        <v>528</v>
      </c>
      <c r="L10" s="372" t="s">
        <v>529</v>
      </c>
    </row>
    <row r="11" spans="1:13" ht="15" customHeight="1">
      <c r="B11" s="23" t="s">
        <v>530</v>
      </c>
      <c r="E11" s="423">
        <f>(G86+G77)</f>
        <v>1045.3999999999992</v>
      </c>
      <c r="G11" s="23" t="s">
        <v>531</v>
      </c>
      <c r="J11" s="677"/>
      <c r="K11" s="678"/>
      <c r="L11" s="48">
        <f>K11*$E$13</f>
        <v>0</v>
      </c>
    </row>
    <row r="12" spans="1:13" ht="15" customHeight="1">
      <c r="B12" s="353" t="s">
        <v>532</v>
      </c>
      <c r="C12" s="353"/>
      <c r="D12" s="353"/>
      <c r="E12" s="675"/>
      <c r="G12" s="23" t="s">
        <v>533</v>
      </c>
      <c r="J12" s="677"/>
      <c r="K12" s="678"/>
      <c r="L12" s="48">
        <f>K12*$E$13</f>
        <v>0</v>
      </c>
    </row>
    <row r="13" spans="1:13" ht="15" customHeight="1">
      <c r="B13" s="33" t="s">
        <v>534</v>
      </c>
      <c r="E13" s="424">
        <f>E11*E12</f>
        <v>0</v>
      </c>
      <c r="G13" s="23" t="s">
        <v>535</v>
      </c>
      <c r="J13" s="677"/>
      <c r="K13" s="678"/>
      <c r="L13" s="48">
        <f>K13*$E$13</f>
        <v>0</v>
      </c>
    </row>
    <row r="14" spans="1:13" ht="15" customHeight="1">
      <c r="B14" s="353" t="s">
        <v>536</v>
      </c>
      <c r="C14" s="353"/>
      <c r="D14" s="353"/>
      <c r="E14" s="425">
        <f>BS!AJ38+BS!AJ39+BS!AJ44+BS!AJ45-BS!AJ15</f>
        <v>0</v>
      </c>
      <c r="J14" s="426"/>
      <c r="L14" s="48"/>
    </row>
    <row r="15" spans="1:13" ht="15" customHeight="1">
      <c r="B15" s="33" t="s">
        <v>537</v>
      </c>
      <c r="E15" s="424">
        <f>E13-E14</f>
        <v>0</v>
      </c>
      <c r="G15" s="372" t="s">
        <v>538</v>
      </c>
      <c r="H15" s="372"/>
      <c r="I15" s="372"/>
      <c r="J15" s="372"/>
      <c r="K15" s="372"/>
      <c r="L15" s="372"/>
    </row>
    <row r="16" spans="1:13" ht="15" customHeight="1">
      <c r="G16" s="23" t="s">
        <v>539</v>
      </c>
      <c r="L16" s="427" t="e">
        <f>L180</f>
        <v>#DIV/0!</v>
      </c>
    </row>
    <row r="17" spans="1:12" ht="15" customHeight="1">
      <c r="B17" s="23" t="s">
        <v>540</v>
      </c>
      <c r="E17" s="48">
        <f>0.03*E13</f>
        <v>0</v>
      </c>
      <c r="G17" s="23" t="s">
        <v>541</v>
      </c>
      <c r="L17" s="427" t="e">
        <f>L181</f>
        <v>#DIV/0!</v>
      </c>
    </row>
    <row r="19" spans="1:12" ht="15" customHeight="1">
      <c r="B19" s="372" t="s">
        <v>542</v>
      </c>
      <c r="C19" s="32"/>
      <c r="D19" s="32"/>
      <c r="E19" s="32"/>
      <c r="I19" s="420"/>
    </row>
    <row r="20" spans="1:12" ht="15" customHeight="1">
      <c r="B20" s="23" t="s">
        <v>543</v>
      </c>
      <c r="E20" s="676"/>
      <c r="H20" s="428"/>
    </row>
    <row r="21" spans="1:12" ht="15" customHeight="1">
      <c r="C21" s="429"/>
    </row>
    <row r="22" spans="1:12" ht="15" customHeight="1">
      <c r="A22" s="380" t="s">
        <v>37</v>
      </c>
      <c r="B22" s="372" t="s">
        <v>544</v>
      </c>
      <c r="C22" s="32"/>
      <c r="D22" s="32"/>
      <c r="E22" s="32"/>
      <c r="F22" s="32"/>
      <c r="G22" s="32"/>
      <c r="H22" s="32"/>
      <c r="I22" s="32"/>
      <c r="J22" s="32"/>
      <c r="K22" s="32"/>
      <c r="L22" s="32"/>
    </row>
    <row r="23" spans="1:12" ht="3.95" customHeight="1">
      <c r="B23" s="421"/>
      <c r="C23" s="387"/>
      <c r="D23" s="387"/>
      <c r="E23" s="387"/>
      <c r="F23" s="387"/>
      <c r="G23" s="387"/>
      <c r="H23" s="387"/>
      <c r="I23" s="387"/>
      <c r="J23" s="387"/>
      <c r="K23" s="387"/>
      <c r="L23" s="387"/>
    </row>
    <row r="24" spans="1:12" ht="15" customHeight="1">
      <c r="C24" s="430"/>
    </row>
    <row r="25" spans="1:12" ht="15" customHeight="1">
      <c r="B25" s="372" t="s">
        <v>545</v>
      </c>
      <c r="C25" s="32"/>
      <c r="D25" s="32"/>
      <c r="E25" s="32"/>
      <c r="G25" s="372" t="s">
        <v>546</v>
      </c>
      <c r="H25" s="32"/>
      <c r="I25" s="32"/>
      <c r="J25" s="32"/>
      <c r="K25" s="32"/>
      <c r="L25" s="32"/>
    </row>
    <row r="26" spans="1:12" ht="15" customHeight="1">
      <c r="B26" s="342"/>
      <c r="C26" s="422" t="s">
        <v>529</v>
      </c>
      <c r="D26" s="422" t="s">
        <v>547</v>
      </c>
      <c r="E26" s="422" t="s">
        <v>548</v>
      </c>
      <c r="J26" s="422" t="s">
        <v>529</v>
      </c>
      <c r="K26" s="422" t="s">
        <v>547</v>
      </c>
      <c r="L26" s="422" t="s">
        <v>548</v>
      </c>
    </row>
    <row r="27" spans="1:12" ht="15" customHeight="1">
      <c r="B27" s="25" t="s">
        <v>531</v>
      </c>
      <c r="C27" s="423">
        <f>L11</f>
        <v>0</v>
      </c>
      <c r="D27" s="431">
        <f>C27/$E$11</f>
        <v>0</v>
      </c>
      <c r="E27" s="432" t="e">
        <f>C27/$C$34</f>
        <v>#DIV/0!</v>
      </c>
      <c r="G27" s="25" t="s">
        <v>549</v>
      </c>
      <c r="H27" s="25"/>
      <c r="I27" s="25"/>
      <c r="J27" s="423">
        <f>E14</f>
        <v>0</v>
      </c>
      <c r="K27" s="431">
        <f>J27/$E$11</f>
        <v>0</v>
      </c>
      <c r="L27" s="432" t="e">
        <f>J27/$J$34</f>
        <v>#DIV/0!</v>
      </c>
    </row>
    <row r="28" spans="1:12" ht="15" customHeight="1">
      <c r="B28" s="25" t="s">
        <v>533</v>
      </c>
      <c r="C28" s="423">
        <f>L12</f>
        <v>0</v>
      </c>
      <c r="D28" s="431">
        <f>C28/$E$11</f>
        <v>0</v>
      </c>
      <c r="E28" s="432" t="e">
        <f>C28/$C$34</f>
        <v>#DIV/0!</v>
      </c>
      <c r="G28" s="25" t="s">
        <v>550</v>
      </c>
      <c r="H28" s="25"/>
      <c r="I28" s="25"/>
      <c r="J28" s="423">
        <f>E15</f>
        <v>0</v>
      </c>
      <c r="K28" s="431">
        <f>J28/$E$11</f>
        <v>0</v>
      </c>
      <c r="L28" s="432" t="e">
        <f>J28/$J$34</f>
        <v>#DIV/0!</v>
      </c>
    </row>
    <row r="29" spans="1:12" ht="15" customHeight="1">
      <c r="B29" s="433" t="s">
        <v>535</v>
      </c>
      <c r="C29" s="434">
        <f>L13</f>
        <v>0</v>
      </c>
      <c r="D29" s="435">
        <f>C29/$E$11</f>
        <v>0</v>
      </c>
      <c r="E29" s="436" t="e">
        <f>C29/$C$34</f>
        <v>#DIV/0!</v>
      </c>
      <c r="G29" s="25"/>
      <c r="H29" s="25"/>
      <c r="I29" s="25"/>
      <c r="J29" s="437"/>
      <c r="K29" s="25"/>
      <c r="L29" s="420"/>
    </row>
    <row r="30" spans="1:12" ht="15" customHeight="1">
      <c r="B30" s="342" t="s">
        <v>398</v>
      </c>
      <c r="C30" s="438">
        <f>SUM(C27:C29)</f>
        <v>0</v>
      </c>
      <c r="D30" s="439">
        <f>C30/$E$11</f>
        <v>0</v>
      </c>
      <c r="E30" s="440" t="e">
        <f>C30/$C$34</f>
        <v>#DIV/0!</v>
      </c>
      <c r="G30" s="25" t="s">
        <v>540</v>
      </c>
      <c r="H30" s="25"/>
      <c r="I30" s="25"/>
      <c r="J30" s="423">
        <f>E17</f>
        <v>0</v>
      </c>
      <c r="K30" s="431">
        <f>J30/$E$11</f>
        <v>0</v>
      </c>
      <c r="L30" s="432" t="e">
        <f>J30/$J$34</f>
        <v>#DIV/0!</v>
      </c>
    </row>
    <row r="31" spans="1:12" ht="15" customHeight="1">
      <c r="B31" s="342"/>
      <c r="C31" s="25"/>
      <c r="D31" s="25"/>
      <c r="E31" s="432"/>
      <c r="G31" s="25"/>
      <c r="H31" s="25"/>
      <c r="I31" s="25"/>
      <c r="J31" s="420"/>
      <c r="K31" s="420"/>
      <c r="L31" s="420"/>
    </row>
    <row r="32" spans="1:12" ht="15" customHeight="1">
      <c r="B32" s="25" t="s">
        <v>551</v>
      </c>
      <c r="C32" s="48">
        <f>C34-C30</f>
        <v>0</v>
      </c>
      <c r="D32" s="431">
        <f>C32/$E$11</f>
        <v>0</v>
      </c>
      <c r="E32" s="432" t="e">
        <f>C32/$C$34</f>
        <v>#DIV/0!</v>
      </c>
      <c r="G32" s="25"/>
      <c r="H32" s="25"/>
      <c r="I32" s="25"/>
    </row>
    <row r="34" spans="1:12" ht="15" customHeight="1">
      <c r="B34" s="441" t="s">
        <v>552</v>
      </c>
      <c r="C34" s="442">
        <f>J34</f>
        <v>0</v>
      </c>
      <c r="D34" s="443">
        <f>C34/$E$11</f>
        <v>0</v>
      </c>
      <c r="E34" s="444" t="e">
        <f>C34/$C$34</f>
        <v>#DIV/0!</v>
      </c>
      <c r="G34" s="445" t="s">
        <v>553</v>
      </c>
      <c r="H34" s="446"/>
      <c r="I34" s="446"/>
      <c r="J34" s="447">
        <f>J27+J28+J30</f>
        <v>0</v>
      </c>
      <c r="K34" s="448">
        <f>J34/$E$11</f>
        <v>0</v>
      </c>
      <c r="L34" s="449" t="e">
        <f>J34/$J$34</f>
        <v>#DIV/0!</v>
      </c>
    </row>
    <row r="35" spans="1:12" ht="15" customHeight="1">
      <c r="C35" s="429"/>
    </row>
    <row r="36" spans="1:12" ht="15" customHeight="1">
      <c r="B36" s="372" t="s">
        <v>406</v>
      </c>
      <c r="C36" s="32"/>
      <c r="D36" s="32"/>
      <c r="E36" s="32"/>
      <c r="F36" s="32"/>
      <c r="G36" s="32"/>
      <c r="H36" s="32"/>
      <c r="I36" s="32"/>
      <c r="J36" s="32"/>
      <c r="K36" s="32"/>
      <c r="L36" s="32"/>
    </row>
    <row r="37" spans="1:12" ht="15" customHeight="1">
      <c r="B37" s="32"/>
      <c r="C37" s="32"/>
      <c r="D37" s="32"/>
      <c r="E37" s="32"/>
      <c r="F37" s="32"/>
      <c r="G37" s="32"/>
      <c r="H37" s="32"/>
      <c r="I37" s="32"/>
      <c r="J37" s="32"/>
      <c r="K37" s="32"/>
      <c r="L37" s="32"/>
    </row>
    <row r="38" spans="1:12" ht="15" customHeight="1">
      <c r="A38" s="380" t="s">
        <v>37</v>
      </c>
      <c r="B38" s="32"/>
      <c r="C38" s="32"/>
      <c r="D38" s="32"/>
      <c r="E38" s="450">
        <v>2022</v>
      </c>
      <c r="F38" s="450">
        <f t="shared" ref="F38:L38" si="0">+E38+1</f>
        <v>2023</v>
      </c>
      <c r="G38" s="450">
        <f t="shared" si="0"/>
        <v>2024</v>
      </c>
      <c r="H38" s="451">
        <f t="shared" si="0"/>
        <v>2025</v>
      </c>
      <c r="I38" s="451">
        <f t="shared" si="0"/>
        <v>2026</v>
      </c>
      <c r="J38" s="451">
        <f t="shared" si="0"/>
        <v>2027</v>
      </c>
      <c r="K38" s="451">
        <f t="shared" si="0"/>
        <v>2028</v>
      </c>
      <c r="L38" s="451">
        <f t="shared" si="0"/>
        <v>2029</v>
      </c>
    </row>
    <row r="50" spans="1:12" ht="15" customHeight="1">
      <c r="B50" s="292" t="s">
        <v>334</v>
      </c>
      <c r="C50" s="456"/>
      <c r="D50" s="457"/>
      <c r="E50" s="458"/>
      <c r="F50" s="458"/>
      <c r="G50" s="459"/>
      <c r="H50" s="315">
        <v>350000</v>
      </c>
      <c r="I50" s="315">
        <v>352000</v>
      </c>
      <c r="J50" s="315">
        <v>350000</v>
      </c>
      <c r="K50" s="315">
        <v>352000</v>
      </c>
      <c r="L50" s="522">
        <v>350000</v>
      </c>
    </row>
    <row r="51" spans="1:12" ht="15" customHeight="1">
      <c r="B51" s="452"/>
      <c r="C51" s="460"/>
      <c r="D51" s="25"/>
      <c r="E51" s="461"/>
      <c r="F51" s="461"/>
      <c r="G51" s="462"/>
      <c r="H51" s="463"/>
      <c r="I51" s="463"/>
      <c r="J51" s="463"/>
      <c r="K51" s="463"/>
      <c r="L51" s="463"/>
    </row>
    <row r="52" spans="1:12" ht="15" customHeight="1">
      <c r="B52" s="372" t="s">
        <v>410</v>
      </c>
      <c r="C52" s="32"/>
      <c r="D52" s="32"/>
      <c r="E52" s="32"/>
      <c r="F52" s="32"/>
      <c r="G52" s="32"/>
      <c r="H52" s="32"/>
      <c r="I52" s="32"/>
      <c r="J52" s="32"/>
      <c r="K52" s="32"/>
      <c r="L52" s="32"/>
    </row>
    <row r="53" spans="1:12" ht="15" customHeight="1">
      <c r="B53" s="32"/>
      <c r="C53" s="32"/>
      <c r="D53" s="32"/>
      <c r="E53" s="32"/>
      <c r="F53" s="32"/>
      <c r="G53" s="32"/>
      <c r="H53" s="32"/>
      <c r="I53" s="32"/>
      <c r="J53" s="32"/>
      <c r="K53" s="32"/>
      <c r="L53" s="32"/>
    </row>
    <row r="54" spans="1:12" ht="15" customHeight="1">
      <c r="B54" s="32"/>
      <c r="C54" s="32"/>
      <c r="D54" s="32"/>
      <c r="E54" s="32"/>
      <c r="F54" s="32"/>
      <c r="G54" s="32"/>
      <c r="H54" s="32"/>
      <c r="I54" s="32"/>
      <c r="J54" s="32"/>
      <c r="K54" s="32"/>
      <c r="L54" s="32"/>
    </row>
    <row r="55" spans="1:12" ht="3.95" customHeight="1">
      <c r="B55" s="465"/>
      <c r="C55" s="466"/>
      <c r="D55" s="419"/>
      <c r="E55" s="467"/>
      <c r="F55" s="467"/>
      <c r="G55" s="467"/>
      <c r="H55" s="468"/>
      <c r="I55" s="468"/>
      <c r="J55" s="468"/>
      <c r="K55" s="468"/>
      <c r="L55" s="468"/>
    </row>
    <row r="56" spans="1:12" ht="3.95" customHeight="1">
      <c r="B56" s="452"/>
      <c r="C56" s="453"/>
      <c r="D56" s="25"/>
      <c r="E56" s="461"/>
      <c r="F56" s="461"/>
      <c r="G56" s="461"/>
      <c r="H56" s="464"/>
      <c r="I56" s="464"/>
      <c r="J56" s="464"/>
      <c r="K56" s="464"/>
      <c r="L56" s="464"/>
    </row>
    <row r="57" spans="1:12" ht="15" customHeight="1">
      <c r="A57" s="380" t="s">
        <v>37</v>
      </c>
      <c r="B57" s="372" t="s">
        <v>411</v>
      </c>
      <c r="C57" s="32"/>
      <c r="D57" s="32"/>
      <c r="E57" s="450">
        <v>2022</v>
      </c>
      <c r="F57" s="450">
        <f t="shared" ref="F57:L57" si="1">+E57+1</f>
        <v>2023</v>
      </c>
      <c r="G57" s="450">
        <f t="shared" si="1"/>
        <v>2024</v>
      </c>
      <c r="H57" s="451">
        <f t="shared" si="1"/>
        <v>2025</v>
      </c>
      <c r="I57" s="451">
        <f t="shared" si="1"/>
        <v>2026</v>
      </c>
      <c r="J57" s="451">
        <f t="shared" si="1"/>
        <v>2027</v>
      </c>
      <c r="K57" s="451">
        <f t="shared" si="1"/>
        <v>2028</v>
      </c>
      <c r="L57" s="451">
        <f t="shared" si="1"/>
        <v>2029</v>
      </c>
    </row>
    <row r="58" spans="1:12" ht="3.95" customHeight="1">
      <c r="B58" s="36"/>
      <c r="C58" s="36"/>
      <c r="D58" s="36"/>
      <c r="E58" s="36"/>
      <c r="F58" s="36"/>
      <c r="G58" s="36"/>
      <c r="H58" s="36"/>
      <c r="I58" s="36"/>
      <c r="J58" s="36"/>
      <c r="K58" s="36"/>
      <c r="L58" s="36"/>
    </row>
    <row r="59" spans="1:12" ht="15" customHeight="1">
      <c r="B59" s="375" t="s">
        <v>409</v>
      </c>
      <c r="D59" s="469" t="e">
        <f>+_xlfn.XLOOKUP($B59,#REF!,#REF!)</f>
        <v>#REF!</v>
      </c>
      <c r="E59" s="58">
        <f>FCFF!H26</f>
        <v>10880.264000000001</v>
      </c>
      <c r="F59" s="58">
        <f>FCFF!N26</f>
        <v>12773.600000000002</v>
      </c>
      <c r="G59" s="410">
        <f>FCFF!T26</f>
        <v>14156.2</v>
      </c>
      <c r="H59" s="470">
        <f>+H50</f>
        <v>350000</v>
      </c>
      <c r="I59" s="470">
        <f t="shared" ref="I59:L59" si="2">+I50</f>
        <v>352000</v>
      </c>
      <c r="J59" s="470">
        <f t="shared" si="2"/>
        <v>350000</v>
      </c>
      <c r="K59" s="470">
        <f t="shared" si="2"/>
        <v>352000</v>
      </c>
      <c r="L59" s="470">
        <f t="shared" si="2"/>
        <v>350000</v>
      </c>
    </row>
    <row r="60" spans="1:12" s="455" customFormat="1" ht="15" customHeight="1">
      <c r="A60" s="380"/>
      <c r="B60" s="31" t="s">
        <v>215</v>
      </c>
      <c r="C60" s="26"/>
      <c r="D60" s="26"/>
      <c r="E60" s="306">
        <f>E59/IS!N18-1</f>
        <v>2.7212406890010934</v>
      </c>
      <c r="F60" s="306">
        <f>F59/E59-1</f>
        <v>0.17401563050308355</v>
      </c>
      <c r="G60" s="411">
        <f>G59/F59-1</f>
        <v>0.10823886766455804</v>
      </c>
      <c r="H60" s="306">
        <f t="shared" ref="H60:L60" si="3">H59/G59-1</f>
        <v>23.724149136067588</v>
      </c>
      <c r="I60" s="306">
        <f t="shared" si="3"/>
        <v>5.7142857142857828E-3</v>
      </c>
      <c r="J60" s="306">
        <f t="shared" si="3"/>
        <v>-5.6818181818182323E-3</v>
      </c>
      <c r="K60" s="306">
        <f t="shared" si="3"/>
        <v>5.7142857142857828E-3</v>
      </c>
      <c r="L60" s="306">
        <f t="shared" si="3"/>
        <v>-5.6818181818182323E-3</v>
      </c>
    </row>
    <row r="61" spans="1:12" ht="15" customHeight="1">
      <c r="B61" s="399"/>
      <c r="E61" s="57"/>
      <c r="F61" s="57"/>
      <c r="G61" s="412"/>
      <c r="H61" s="432"/>
      <c r="I61" s="432"/>
      <c r="J61" s="432"/>
      <c r="K61" s="432"/>
      <c r="L61" s="432"/>
    </row>
    <row r="62" spans="1:12" ht="15" customHeight="1">
      <c r="B62" s="375" t="s">
        <v>415</v>
      </c>
      <c r="E62" s="58">
        <f>FCFF!H31</f>
        <v>1950</v>
      </c>
      <c r="F62" s="58">
        <f>FCFF!N31</f>
        <v>2217.6999999999998</v>
      </c>
      <c r="G62" s="410">
        <f>FCFF!T31</f>
        <v>3914.7</v>
      </c>
      <c r="H62" s="470">
        <f>H63*H$59</f>
        <v>0</v>
      </c>
      <c r="I62" s="470">
        <f>I63*I$59</f>
        <v>0</v>
      </c>
      <c r="J62" s="470">
        <f>J63*J$59</f>
        <v>0</v>
      </c>
      <c r="K62" s="470">
        <f>K63*K$59</f>
        <v>0</v>
      </c>
      <c r="L62" s="470">
        <f>L63*L$59</f>
        <v>0</v>
      </c>
    </row>
    <row r="63" spans="1:12" s="455" customFormat="1" ht="15" customHeight="1">
      <c r="A63" s="380"/>
      <c r="B63" s="31" t="s">
        <v>467</v>
      </c>
      <c r="C63" s="26"/>
      <c r="D63" s="26"/>
      <c r="E63" s="306">
        <f>E62/E59</f>
        <v>0.17922359236871457</v>
      </c>
      <c r="F63" s="306">
        <f t="shared" ref="F63:G63" si="4">F62/F59</f>
        <v>0.17361589528402324</v>
      </c>
      <c r="G63" s="411">
        <f t="shared" si="4"/>
        <v>0.27653607606561081</v>
      </c>
      <c r="H63" s="471"/>
      <c r="I63" s="471"/>
      <c r="J63" s="471"/>
      <c r="K63" s="471"/>
      <c r="L63" s="472"/>
    </row>
    <row r="64" spans="1:12" ht="15" customHeight="1">
      <c r="G64" s="205"/>
    </row>
    <row r="65" spans="2:12" ht="15" customHeight="1">
      <c r="B65" s="375" t="s">
        <v>417</v>
      </c>
      <c r="E65" s="58">
        <f>FCFF!H34</f>
        <v>0</v>
      </c>
      <c r="F65" s="58">
        <f>FCFF!N34</f>
        <v>0</v>
      </c>
      <c r="G65" s="410">
        <f>FCFF!T34</f>
        <v>0</v>
      </c>
      <c r="H65" s="470">
        <f>+H66*H62</f>
        <v>0</v>
      </c>
      <c r="I65" s="470">
        <f t="shared" ref="I65:L65" si="5">+I66*I62</f>
        <v>0</v>
      </c>
      <c r="J65" s="470">
        <f t="shared" si="5"/>
        <v>0</v>
      </c>
      <c r="K65" s="470">
        <f t="shared" si="5"/>
        <v>0</v>
      </c>
      <c r="L65" s="470">
        <f t="shared" si="5"/>
        <v>0</v>
      </c>
    </row>
    <row r="66" spans="2:12" s="455" customFormat="1" ht="15" customHeight="1">
      <c r="B66" s="31" t="s">
        <v>418</v>
      </c>
      <c r="C66" s="26"/>
      <c r="D66" s="26"/>
      <c r="E66" s="306">
        <f>E65/E62</f>
        <v>0</v>
      </c>
      <c r="F66" s="306">
        <f t="shared" ref="F66:G66" si="6">F65/F62</f>
        <v>0</v>
      </c>
      <c r="G66" s="411">
        <f t="shared" si="6"/>
        <v>0</v>
      </c>
      <c r="H66" s="471"/>
      <c r="I66" s="471"/>
      <c r="J66" s="471"/>
      <c r="K66" s="471"/>
      <c r="L66" s="471"/>
    </row>
    <row r="67" spans="2:12" ht="15" customHeight="1">
      <c r="B67" s="31"/>
      <c r="E67" s="181"/>
      <c r="F67" s="181"/>
      <c r="G67" s="413"/>
      <c r="H67" s="25"/>
      <c r="I67" s="25"/>
      <c r="J67" s="25"/>
      <c r="K67" s="25"/>
      <c r="L67" s="25"/>
    </row>
    <row r="68" spans="2:12" ht="15" customHeight="1">
      <c r="B68" s="375" t="s">
        <v>419</v>
      </c>
      <c r="E68" s="58">
        <f>FCFF!H37</f>
        <v>2283.6999999999998</v>
      </c>
      <c r="F68" s="58">
        <f>FCFF!N37</f>
        <v>2629.1000000000004</v>
      </c>
      <c r="G68" s="410">
        <f>FCFF!T37</f>
        <v>4465.0999999999995</v>
      </c>
      <c r="H68" s="470">
        <f>+H59-H62-H65</f>
        <v>350000</v>
      </c>
      <c r="I68" s="470">
        <f t="shared" ref="I68:L68" si="7">+I59-I62-I65</f>
        <v>352000</v>
      </c>
      <c r="J68" s="470">
        <f t="shared" si="7"/>
        <v>350000</v>
      </c>
      <c r="K68" s="470">
        <f t="shared" si="7"/>
        <v>352000</v>
      </c>
      <c r="L68" s="470">
        <f t="shared" si="7"/>
        <v>350000</v>
      </c>
    </row>
    <row r="69" spans="2:12" s="455" customFormat="1" ht="15" customHeight="1">
      <c r="B69" s="31" t="s">
        <v>467</v>
      </c>
      <c r="C69" s="26"/>
      <c r="D69" s="26"/>
      <c r="E69" s="308">
        <f>E68/E59</f>
        <v>0.20989380404740177</v>
      </c>
      <c r="F69" s="308">
        <f t="shared" ref="F69:G69" si="8">F68/F59</f>
        <v>0.20582294732886577</v>
      </c>
      <c r="G69" s="414">
        <f t="shared" si="8"/>
        <v>0.31541656659272965</v>
      </c>
      <c r="H69" s="473">
        <f t="shared" ref="H69:L69" si="9">IFERROR(H68/H$59,"")</f>
        <v>1</v>
      </c>
      <c r="I69" s="473">
        <f t="shared" si="9"/>
        <v>1</v>
      </c>
      <c r="J69" s="473">
        <f t="shared" si="9"/>
        <v>1</v>
      </c>
      <c r="K69" s="473">
        <f t="shared" si="9"/>
        <v>1</v>
      </c>
      <c r="L69" s="473">
        <f t="shared" si="9"/>
        <v>1</v>
      </c>
    </row>
    <row r="70" spans="2:12" ht="15" customHeight="1">
      <c r="B70" s="375"/>
      <c r="E70" s="66"/>
      <c r="F70" s="66"/>
      <c r="G70" s="415"/>
      <c r="H70" s="432"/>
      <c r="I70" s="432"/>
      <c r="J70" s="432"/>
      <c r="K70" s="432"/>
      <c r="L70" s="432"/>
    </row>
    <row r="71" spans="2:12" ht="15" customHeight="1">
      <c r="B71" s="375" t="s">
        <v>420</v>
      </c>
      <c r="E71" s="68">
        <f>FCFF!H40</f>
        <v>1819</v>
      </c>
      <c r="F71" s="68">
        <f>FCFF!N40</f>
        <v>2109.1999999999998</v>
      </c>
      <c r="G71" s="416">
        <f>FCFF!T40</f>
        <v>3883.8</v>
      </c>
      <c r="H71" s="470">
        <f>+H72*H59</f>
        <v>0</v>
      </c>
      <c r="I71" s="470">
        <f t="shared" ref="I71:L71" si="10">+I72*I59</f>
        <v>0</v>
      </c>
      <c r="J71" s="470">
        <f t="shared" si="10"/>
        <v>0</v>
      </c>
      <c r="K71" s="470">
        <f t="shared" si="10"/>
        <v>0</v>
      </c>
      <c r="L71" s="470">
        <f t="shared" si="10"/>
        <v>0</v>
      </c>
    </row>
    <row r="72" spans="2:12" s="455" customFormat="1" ht="15" customHeight="1">
      <c r="B72" s="31" t="s">
        <v>467</v>
      </c>
      <c r="C72" s="26"/>
      <c r="D72" s="26"/>
      <c r="E72" s="308">
        <f>E71/E59</f>
        <v>0.16718344334291887</v>
      </c>
      <c r="F72" s="308">
        <f t="shared" ref="F72:G72" si="11">F71/F59</f>
        <v>0.16512181374084045</v>
      </c>
      <c r="G72" s="414">
        <f t="shared" si="11"/>
        <v>0.27435328689902655</v>
      </c>
      <c r="H72" s="471"/>
      <c r="I72" s="471"/>
      <c r="J72" s="471"/>
      <c r="K72" s="471"/>
      <c r="L72" s="472"/>
    </row>
    <row r="73" spans="2:12" s="476" customFormat="1" ht="15" customHeight="1">
      <c r="B73" s="399"/>
      <c r="C73" s="474"/>
      <c r="D73" s="474"/>
      <c r="E73" s="66"/>
      <c r="F73" s="66"/>
      <c r="G73" s="415"/>
      <c r="H73" s="475"/>
      <c r="I73" s="475"/>
      <c r="J73" s="475"/>
      <c r="K73" s="475"/>
      <c r="L73" s="475"/>
    </row>
    <row r="74" spans="2:12" ht="15" customHeight="1">
      <c r="B74" s="375" t="s">
        <v>421</v>
      </c>
      <c r="E74" s="68">
        <f>FCFF!H43</f>
        <v>0</v>
      </c>
      <c r="F74" s="68">
        <f>FCFF!N43</f>
        <v>0</v>
      </c>
      <c r="G74" s="416">
        <f>FCFF!T43</f>
        <v>0</v>
      </c>
      <c r="H74" s="470">
        <f>+H75*H68</f>
        <v>0</v>
      </c>
      <c r="I74" s="470">
        <f t="shared" ref="I74:L74" si="12">+I75*I68</f>
        <v>0</v>
      </c>
      <c r="J74" s="470">
        <f t="shared" si="12"/>
        <v>0</v>
      </c>
      <c r="K74" s="470">
        <f t="shared" si="12"/>
        <v>0</v>
      </c>
      <c r="L74" s="470">
        <f t="shared" si="12"/>
        <v>0</v>
      </c>
    </row>
    <row r="75" spans="2:12" ht="15" customHeight="1">
      <c r="B75" s="31" t="s">
        <v>422</v>
      </c>
      <c r="E75" s="308">
        <f>E74/E68</f>
        <v>0</v>
      </c>
      <c r="F75" s="308">
        <f t="shared" ref="F75:G75" si="13">F74/F68</f>
        <v>0</v>
      </c>
      <c r="G75" s="414">
        <f t="shared" si="13"/>
        <v>0</v>
      </c>
      <c r="H75" s="471"/>
      <c r="I75" s="471"/>
      <c r="J75" s="471"/>
      <c r="K75" s="471"/>
      <c r="L75" s="471"/>
    </row>
    <row r="76" spans="2:12" ht="15" customHeight="1">
      <c r="B76" s="31"/>
      <c r="E76" s="66"/>
      <c r="F76" s="66"/>
      <c r="G76" s="415"/>
      <c r="H76" s="430"/>
      <c r="I76" s="430"/>
      <c r="J76" s="430"/>
      <c r="K76" s="430"/>
      <c r="L76" s="430"/>
    </row>
    <row r="77" spans="2:12" ht="15" customHeight="1">
      <c r="B77" s="375" t="s">
        <v>423</v>
      </c>
      <c r="E77" s="68">
        <f>FCFF!H46</f>
        <v>166</v>
      </c>
      <c r="F77" s="68">
        <f>FCFF!N46</f>
        <v>223</v>
      </c>
      <c r="G77" s="416">
        <f>FCFF!T46</f>
        <v>414.8</v>
      </c>
      <c r="H77" s="470">
        <f>+H80+H83</f>
        <v>0</v>
      </c>
      <c r="I77" s="470">
        <f t="shared" ref="I77:L77" si="14">+I80+I83</f>
        <v>0</v>
      </c>
      <c r="J77" s="470">
        <f t="shared" si="14"/>
        <v>0</v>
      </c>
      <c r="K77" s="470">
        <f t="shared" si="14"/>
        <v>0</v>
      </c>
      <c r="L77" s="470">
        <f t="shared" si="14"/>
        <v>0</v>
      </c>
    </row>
    <row r="78" spans="2:12" s="455" customFormat="1" ht="15" customHeight="1">
      <c r="B78" s="31" t="s">
        <v>424</v>
      </c>
      <c r="C78" s="26"/>
      <c r="D78" s="26"/>
      <c r="E78" s="308">
        <f>E77/(E111+E114)</f>
        <v>8.4910746529145348E-2</v>
      </c>
      <c r="F78" s="308">
        <f>F77/(F111+F114)</f>
        <v>9.091520628171075E-2</v>
      </c>
      <c r="G78" s="414">
        <f>G77/(G111+G114)</f>
        <v>6.8559014469125462E-2</v>
      </c>
      <c r="H78" s="308">
        <f t="shared" ref="H78:L78" si="15">H77/(H111+H114)</f>
        <v>0</v>
      </c>
      <c r="I78" s="308">
        <f t="shared" si="15"/>
        <v>0</v>
      </c>
      <c r="J78" s="308">
        <f t="shared" si="15"/>
        <v>0</v>
      </c>
      <c r="K78" s="308">
        <f t="shared" si="15"/>
        <v>0</v>
      </c>
      <c r="L78" s="308">
        <f t="shared" si="15"/>
        <v>0</v>
      </c>
    </row>
    <row r="79" spans="2:12" ht="15" customHeight="1">
      <c r="B79" s="31"/>
      <c r="E79" s="308"/>
      <c r="F79" s="308"/>
      <c r="G79" s="414"/>
      <c r="H79" s="477"/>
      <c r="I79" s="477"/>
      <c r="J79" s="477"/>
      <c r="K79" s="477"/>
      <c r="L79" s="477"/>
    </row>
    <row r="80" spans="2:12" ht="15" customHeight="1">
      <c r="B80" s="478" t="s">
        <v>425</v>
      </c>
      <c r="E80" s="68">
        <f>FCFF!H49</f>
        <v>135.69999999999999</v>
      </c>
      <c r="F80" s="68">
        <f>FCFF!N49</f>
        <v>176.3</v>
      </c>
      <c r="G80" s="416">
        <f>FCFF!T49</f>
        <v>288.3</v>
      </c>
      <c r="H80" s="479">
        <f>H81*G111</f>
        <v>0</v>
      </c>
      <c r="I80" s="479">
        <f t="shared" ref="I80:L80" si="16">I81*H111</f>
        <v>0</v>
      </c>
      <c r="J80" s="479">
        <f t="shared" si="16"/>
        <v>0</v>
      </c>
      <c r="K80" s="479">
        <f t="shared" si="16"/>
        <v>0</v>
      </c>
      <c r="L80" s="479">
        <f t="shared" si="16"/>
        <v>0</v>
      </c>
    </row>
    <row r="81" spans="2:12" ht="15" customHeight="1">
      <c r="B81" s="302" t="s">
        <v>426</v>
      </c>
      <c r="E81" s="308">
        <f>E80/E111</f>
        <v>0.19621678991066857</v>
      </c>
      <c r="F81" s="308">
        <f>FCFF!N50</f>
        <v>0.19788333301531325</v>
      </c>
      <c r="G81" s="414">
        <f>FCFF!T50</f>
        <v>0.12486416744878209</v>
      </c>
      <c r="H81" s="471"/>
      <c r="I81" s="471"/>
      <c r="J81" s="471"/>
      <c r="K81" s="471"/>
      <c r="L81" s="471"/>
    </row>
    <row r="82" spans="2:12" ht="15" customHeight="1">
      <c r="B82" s="31"/>
      <c r="E82" s="308"/>
      <c r="F82" s="308"/>
      <c r="G82" s="414"/>
    </row>
    <row r="83" spans="2:12" ht="15" customHeight="1">
      <c r="B83" s="478" t="s">
        <v>427</v>
      </c>
      <c r="E83" s="68">
        <f>FCFF!H52</f>
        <v>30.3</v>
      </c>
      <c r="F83" s="68">
        <f>FCFF!N52</f>
        <v>46.7</v>
      </c>
      <c r="G83" s="416">
        <f>FCFF!T52</f>
        <v>126.5</v>
      </c>
      <c r="H83" s="470">
        <f>H84*G114</f>
        <v>0</v>
      </c>
      <c r="I83" s="470">
        <f t="shared" ref="I83:L83" si="17">I84*H114</f>
        <v>0</v>
      </c>
      <c r="J83" s="470">
        <f t="shared" si="17"/>
        <v>0</v>
      </c>
      <c r="K83" s="470">
        <f t="shared" si="17"/>
        <v>0</v>
      </c>
      <c r="L83" s="470">
        <f t="shared" si="17"/>
        <v>0</v>
      </c>
    </row>
    <row r="84" spans="2:12" ht="15" customHeight="1">
      <c r="B84" s="302" t="s">
        <v>428</v>
      </c>
      <c r="C84" s="480"/>
      <c r="D84" s="480"/>
      <c r="E84" s="308">
        <f>E83/E114</f>
        <v>2.3982675485114912E-2</v>
      </c>
      <c r="F84" s="308">
        <f>F83/F114</f>
        <v>2.989936654318506E-2</v>
      </c>
      <c r="G84" s="414">
        <f>G83/G114</f>
        <v>3.3811297677604865E-2</v>
      </c>
      <c r="H84" s="471"/>
      <c r="I84" s="471"/>
      <c r="J84" s="471"/>
      <c r="K84" s="471"/>
      <c r="L84" s="472"/>
    </row>
    <row r="85" spans="2:12" ht="15" customHeight="1">
      <c r="B85" s="481"/>
      <c r="C85" s="480"/>
      <c r="D85" s="480"/>
      <c r="E85" s="66"/>
      <c r="F85" s="66"/>
      <c r="G85" s="415"/>
      <c r="H85" s="473"/>
      <c r="I85" s="473"/>
      <c r="J85" s="473"/>
      <c r="K85" s="473"/>
      <c r="L85" s="473"/>
    </row>
    <row r="86" spans="2:12" ht="15" customHeight="1">
      <c r="B86" s="375" t="s">
        <v>430</v>
      </c>
      <c r="C86" s="480"/>
      <c r="D86" s="480"/>
      <c r="E86" s="68">
        <f>FCFF!H58</f>
        <v>569.69999999999982</v>
      </c>
      <c r="F86" s="68">
        <f>FCFF!N58</f>
        <v>587.90000000000055</v>
      </c>
      <c r="G86" s="416">
        <f>FCFF!T58</f>
        <v>630.59999999999923</v>
      </c>
      <c r="H86" s="470">
        <f>H68-H71-H74-H77</f>
        <v>350000</v>
      </c>
      <c r="I86" s="470">
        <f t="shared" ref="I86:L86" si="18">I68-I71-I74-I77</f>
        <v>352000</v>
      </c>
      <c r="J86" s="470">
        <f t="shared" si="18"/>
        <v>350000</v>
      </c>
      <c r="K86" s="470">
        <f t="shared" si="18"/>
        <v>352000</v>
      </c>
      <c r="L86" s="470">
        <f t="shared" si="18"/>
        <v>350000</v>
      </c>
    </row>
    <row r="87" spans="2:12" ht="15" customHeight="1">
      <c r="B87" s="31" t="s">
        <v>467</v>
      </c>
      <c r="C87" s="480"/>
      <c r="D87" s="480"/>
      <c r="E87" s="308">
        <f t="shared" ref="E87:L87" si="19">E86/E59</f>
        <v>5.2360861832029051E-2</v>
      </c>
      <c r="F87" s="308">
        <f t="shared" si="19"/>
        <v>4.6024613264858807E-2</v>
      </c>
      <c r="G87" s="414">
        <f t="shared" si="19"/>
        <v>4.4545852700583435E-2</v>
      </c>
      <c r="H87" s="308">
        <f t="shared" si="19"/>
        <v>1</v>
      </c>
      <c r="I87" s="308">
        <f t="shared" si="19"/>
        <v>1</v>
      </c>
      <c r="J87" s="308">
        <f t="shared" si="19"/>
        <v>1</v>
      </c>
      <c r="K87" s="308">
        <f t="shared" si="19"/>
        <v>1</v>
      </c>
      <c r="L87" s="308">
        <f t="shared" si="19"/>
        <v>1</v>
      </c>
    </row>
    <row r="88" spans="2:12" ht="15" customHeight="1">
      <c r="B88" s="31"/>
      <c r="C88" s="480"/>
      <c r="D88" s="480"/>
      <c r="E88" s="473"/>
      <c r="F88" s="473"/>
      <c r="G88" s="482"/>
      <c r="H88" s="473"/>
      <c r="I88" s="473"/>
      <c r="J88" s="473"/>
      <c r="K88" s="473"/>
      <c r="L88" s="473"/>
    </row>
    <row r="89" spans="2:12" ht="15" customHeight="1">
      <c r="B89" s="375" t="s">
        <v>554</v>
      </c>
      <c r="C89" s="480"/>
      <c r="D89" s="480"/>
      <c r="E89" s="68">
        <f>IS!T38</f>
        <v>-2.7090000000000001</v>
      </c>
      <c r="F89" s="68">
        <f>IS!Z38</f>
        <v>77.554000000000002</v>
      </c>
      <c r="G89" s="416">
        <f>IS!AF38</f>
        <v>151.21799999999999</v>
      </c>
      <c r="H89" s="66">
        <f>+H164</f>
        <v>0</v>
      </c>
      <c r="I89" s="66">
        <f t="shared" ref="I89:L89" si="20">+I164</f>
        <v>0</v>
      </c>
      <c r="J89" s="66">
        <f t="shared" si="20"/>
        <v>0</v>
      </c>
      <c r="K89" s="66">
        <f t="shared" si="20"/>
        <v>0</v>
      </c>
      <c r="L89" s="66">
        <f t="shared" si="20"/>
        <v>0</v>
      </c>
    </row>
    <row r="90" spans="2:12" ht="15" customHeight="1">
      <c r="B90" s="375"/>
      <c r="C90" s="480"/>
      <c r="D90" s="480"/>
      <c r="E90" s="473"/>
      <c r="F90" s="473"/>
      <c r="G90" s="482"/>
      <c r="H90" s="473"/>
      <c r="I90" s="473"/>
      <c r="J90" s="473"/>
      <c r="K90" s="473"/>
      <c r="L90" s="473"/>
    </row>
    <row r="91" spans="2:12" ht="15" customHeight="1">
      <c r="B91" s="375" t="s">
        <v>555</v>
      </c>
      <c r="C91" s="480"/>
      <c r="D91" s="480"/>
      <c r="E91" s="68">
        <f>IS!T42</f>
        <v>489.4</v>
      </c>
      <c r="F91" s="68">
        <f>IS!Z42</f>
        <v>399.65100000000001</v>
      </c>
      <c r="G91" s="416">
        <f>IS!AF42</f>
        <v>229.322</v>
      </c>
      <c r="H91" s="66">
        <f>+H86-H89</f>
        <v>350000</v>
      </c>
      <c r="I91" s="66">
        <f t="shared" ref="I91:L91" si="21">+I86-I89</f>
        <v>352000</v>
      </c>
      <c r="J91" s="66">
        <f t="shared" si="21"/>
        <v>350000</v>
      </c>
      <c r="K91" s="66">
        <f t="shared" si="21"/>
        <v>352000</v>
      </c>
      <c r="L91" s="66">
        <f t="shared" si="21"/>
        <v>350000</v>
      </c>
    </row>
    <row r="92" spans="2:12" ht="15" customHeight="1">
      <c r="B92" s="31" t="s">
        <v>467</v>
      </c>
      <c r="C92" s="480"/>
      <c r="D92" s="480"/>
      <c r="E92" s="473">
        <f t="shared" ref="E92:L92" si="22">E91/E59</f>
        <v>4.4980526207819949E-2</v>
      </c>
      <c r="F92" s="473">
        <f t="shared" si="22"/>
        <v>3.1287264357737828E-2</v>
      </c>
      <c r="G92" s="483">
        <f t="shared" si="22"/>
        <v>1.6199403794803689E-2</v>
      </c>
      <c r="H92" s="473">
        <f t="shared" si="22"/>
        <v>1</v>
      </c>
      <c r="I92" s="473">
        <f t="shared" si="22"/>
        <v>1</v>
      </c>
      <c r="J92" s="473">
        <f t="shared" si="22"/>
        <v>1</v>
      </c>
      <c r="K92" s="473">
        <f t="shared" si="22"/>
        <v>1</v>
      </c>
      <c r="L92" s="473">
        <f t="shared" si="22"/>
        <v>1</v>
      </c>
    </row>
    <row r="93" spans="2:12" ht="15" customHeight="1">
      <c r="B93" s="76"/>
      <c r="C93" s="480"/>
      <c r="D93" s="480"/>
      <c r="E93" s="473"/>
      <c r="F93" s="473"/>
      <c r="G93" s="483"/>
      <c r="H93" s="473"/>
      <c r="I93" s="473"/>
      <c r="J93" s="473"/>
      <c r="K93" s="473"/>
      <c r="L93" s="473"/>
    </row>
    <row r="94" spans="2:12" ht="15" customHeight="1">
      <c r="B94" s="375" t="s">
        <v>556</v>
      </c>
      <c r="C94" s="480"/>
      <c r="D94" s="480"/>
      <c r="E94" s="68">
        <f>IS!T45</f>
        <v>55.9529</v>
      </c>
      <c r="F94" s="68">
        <f>IS!Z45</f>
        <v>-14.6706</v>
      </c>
      <c r="G94" s="416">
        <f>IS!AF45</f>
        <v>-267.21780000000001</v>
      </c>
      <c r="H94" s="66">
        <f>H95*H91</f>
        <v>0</v>
      </c>
      <c r="I94" s="66">
        <f t="shared" ref="I94:L94" si="23">I95*I91</f>
        <v>0</v>
      </c>
      <c r="J94" s="66">
        <f t="shared" si="23"/>
        <v>0</v>
      </c>
      <c r="K94" s="66">
        <f t="shared" si="23"/>
        <v>0</v>
      </c>
      <c r="L94" s="66">
        <f t="shared" si="23"/>
        <v>0</v>
      </c>
    </row>
    <row r="95" spans="2:12" ht="15" customHeight="1">
      <c r="B95" s="31" t="s">
        <v>557</v>
      </c>
      <c r="C95" s="480"/>
      <c r="D95" s="480"/>
      <c r="E95" s="473">
        <f>E94/E91</f>
        <v>0.11432958724969351</v>
      </c>
      <c r="F95" s="473">
        <f t="shared" ref="F95:G95" si="24">F94/F91</f>
        <v>-3.6708528190846516E-2</v>
      </c>
      <c r="G95" s="484">
        <f t="shared" si="24"/>
        <v>-1.1652514804510687</v>
      </c>
      <c r="H95" s="471"/>
      <c r="I95" s="471"/>
      <c r="J95" s="471"/>
      <c r="K95" s="471"/>
      <c r="L95" s="472"/>
    </row>
    <row r="96" spans="2:12" ht="15" customHeight="1">
      <c r="G96" s="205"/>
    </row>
    <row r="97" spans="1:12" ht="15" customHeight="1">
      <c r="B97" s="375" t="s">
        <v>558</v>
      </c>
      <c r="C97" s="480"/>
      <c r="D97" s="480"/>
      <c r="E97" s="68">
        <f>IS!T47</f>
        <v>433.44709999999998</v>
      </c>
      <c r="F97" s="68">
        <f>IS!Z47</f>
        <v>414.32159999999999</v>
      </c>
      <c r="G97" s="416">
        <f>IS!AF47</f>
        <v>496.53980000000001</v>
      </c>
      <c r="H97" s="66">
        <f>H91-H94</f>
        <v>350000</v>
      </c>
      <c r="I97" s="66">
        <f t="shared" ref="I97:L97" si="25">I91-I94</f>
        <v>352000</v>
      </c>
      <c r="J97" s="66">
        <f t="shared" si="25"/>
        <v>350000</v>
      </c>
      <c r="K97" s="66">
        <f t="shared" si="25"/>
        <v>352000</v>
      </c>
      <c r="L97" s="66">
        <f t="shared" si="25"/>
        <v>350000</v>
      </c>
    </row>
    <row r="98" spans="1:12" ht="15" customHeight="1">
      <c r="B98" s="31" t="s">
        <v>467</v>
      </c>
      <c r="C98" s="480"/>
      <c r="D98" s="480"/>
      <c r="E98" s="473">
        <f t="shared" ref="E98:L98" si="26">E97/E59</f>
        <v>3.9837921212205876E-2</v>
      </c>
      <c r="F98" s="473">
        <f t="shared" si="26"/>
        <v>3.2435773783428316E-2</v>
      </c>
      <c r="G98" s="483">
        <f t="shared" si="26"/>
        <v>3.507578304912335E-2</v>
      </c>
      <c r="H98" s="473">
        <f t="shared" si="26"/>
        <v>1</v>
      </c>
      <c r="I98" s="473">
        <f t="shared" si="26"/>
        <v>1</v>
      </c>
      <c r="J98" s="473">
        <f t="shared" si="26"/>
        <v>1</v>
      </c>
      <c r="K98" s="473">
        <f t="shared" si="26"/>
        <v>1</v>
      </c>
      <c r="L98" s="473">
        <f t="shared" si="26"/>
        <v>1</v>
      </c>
    </row>
    <row r="99" spans="1:12" ht="15" customHeight="1">
      <c r="B99" s="31"/>
      <c r="C99" s="480"/>
      <c r="D99" s="480"/>
      <c r="E99" s="485"/>
      <c r="F99" s="485"/>
      <c r="G99" s="486"/>
      <c r="H99" s="473"/>
      <c r="I99" s="473"/>
      <c r="J99" s="473"/>
      <c r="K99" s="473"/>
      <c r="L99" s="473"/>
    </row>
    <row r="100" spans="1:12" ht="15" customHeight="1">
      <c r="A100" s="380" t="s">
        <v>37</v>
      </c>
      <c r="B100" s="372" t="s">
        <v>433</v>
      </c>
      <c r="C100" s="32"/>
      <c r="D100" s="32"/>
      <c r="E100" s="450">
        <f t="shared" ref="E100:L100" si="27">E57</f>
        <v>2022</v>
      </c>
      <c r="F100" s="450">
        <f t="shared" si="27"/>
        <v>2023</v>
      </c>
      <c r="G100" s="450">
        <f t="shared" si="27"/>
        <v>2024</v>
      </c>
      <c r="H100" s="451">
        <f t="shared" si="27"/>
        <v>2025</v>
      </c>
      <c r="I100" s="451">
        <f t="shared" si="27"/>
        <v>2026</v>
      </c>
      <c r="J100" s="451">
        <f t="shared" si="27"/>
        <v>2027</v>
      </c>
      <c r="K100" s="451">
        <f t="shared" si="27"/>
        <v>2028</v>
      </c>
      <c r="L100" s="451">
        <f t="shared" si="27"/>
        <v>2029</v>
      </c>
    </row>
    <row r="101" spans="1:12" ht="3.95" customHeight="1">
      <c r="B101" s="487"/>
      <c r="C101" s="36"/>
      <c r="D101" s="36"/>
      <c r="E101" s="36"/>
      <c r="F101" s="36"/>
      <c r="G101" s="36"/>
      <c r="H101" s="36"/>
      <c r="I101" s="36"/>
      <c r="J101" s="36"/>
      <c r="K101" s="36"/>
      <c r="L101" s="36"/>
    </row>
    <row r="102" spans="1:12" ht="15" customHeight="1">
      <c r="B102" s="375" t="s">
        <v>462</v>
      </c>
      <c r="E102" s="68">
        <f>FCFF!H67</f>
        <v>867.58199999999999</v>
      </c>
      <c r="F102" s="68">
        <f>FCFF!N67</f>
        <v>1125.4490000000001</v>
      </c>
      <c r="G102" s="416">
        <f>FCFF!T67</f>
        <v>2816.2939999999999</v>
      </c>
      <c r="H102" s="488">
        <f>+H103*H59/365</f>
        <v>0</v>
      </c>
      <c r="I102" s="488">
        <f t="shared" ref="I102:L102" si="28">+I103*I59/365</f>
        <v>0</v>
      </c>
      <c r="J102" s="488">
        <f t="shared" si="28"/>
        <v>0</v>
      </c>
      <c r="K102" s="488">
        <f>+K103*K59/366</f>
        <v>0</v>
      </c>
      <c r="L102" s="488">
        <f t="shared" si="28"/>
        <v>0</v>
      </c>
    </row>
    <row r="103" spans="1:12" ht="15" customHeight="1">
      <c r="B103" s="31" t="s">
        <v>463</v>
      </c>
      <c r="E103" s="322">
        <f>FCFF!H68</f>
        <v>29.104756097829974</v>
      </c>
      <c r="F103" s="322">
        <f>FCFF!N68</f>
        <v>32.159210011273245</v>
      </c>
      <c r="G103" s="417">
        <f>FCFF!T68</f>
        <v>72.614635989884292</v>
      </c>
      <c r="H103" s="489"/>
      <c r="I103" s="489"/>
      <c r="J103" s="489"/>
      <c r="K103" s="489"/>
      <c r="L103" s="489"/>
    </row>
    <row r="104" spans="1:12" ht="15" customHeight="1">
      <c r="B104" s="375"/>
      <c r="E104" s="97"/>
      <c r="F104" s="97"/>
      <c r="G104" s="418"/>
      <c r="H104" s="488"/>
      <c r="I104" s="488"/>
      <c r="J104" s="488"/>
      <c r="K104" s="488"/>
      <c r="L104" s="488"/>
    </row>
    <row r="105" spans="1:12" ht="15" customHeight="1">
      <c r="B105" s="375" t="s">
        <v>464</v>
      </c>
      <c r="E105" s="68">
        <f>FCFF!H70</f>
        <v>772.06</v>
      </c>
      <c r="F105" s="68">
        <f>FCFF!N70</f>
        <v>828.55700000000002</v>
      </c>
      <c r="G105" s="416">
        <f>FCFF!T70</f>
        <v>2218.8150000000001</v>
      </c>
      <c r="H105" s="488">
        <f>+H106*H62/365</f>
        <v>0</v>
      </c>
      <c r="I105" s="488">
        <f t="shared" ref="I105:L105" si="29">+I106*I62/365</f>
        <v>0</v>
      </c>
      <c r="J105" s="488">
        <f t="shared" si="29"/>
        <v>0</v>
      </c>
      <c r="K105" s="488">
        <f>+K106*K62/366</f>
        <v>0</v>
      </c>
      <c r="L105" s="488">
        <f t="shared" si="29"/>
        <v>0</v>
      </c>
    </row>
    <row r="106" spans="1:12" ht="15" customHeight="1">
      <c r="B106" s="31" t="s">
        <v>465</v>
      </c>
      <c r="E106" s="322">
        <f>FCFF!H71</f>
        <v>144.51379487179486</v>
      </c>
      <c r="F106" s="322">
        <f>FCFF!N71</f>
        <v>136.36799612210851</v>
      </c>
      <c r="G106" s="417">
        <f>FCFF!T71</f>
        <v>206.87855391217718</v>
      </c>
      <c r="H106" s="489"/>
      <c r="I106" s="489"/>
      <c r="J106" s="489"/>
      <c r="K106" s="489"/>
      <c r="L106" s="489"/>
    </row>
    <row r="107" spans="1:12" ht="15" customHeight="1">
      <c r="B107" s="375"/>
      <c r="E107" s="97"/>
      <c r="F107" s="97"/>
      <c r="G107" s="418"/>
    </row>
    <row r="108" spans="1:12" ht="15" customHeight="1">
      <c r="B108" s="375" t="s">
        <v>466</v>
      </c>
      <c r="E108" s="68">
        <f>FCFF!H73</f>
        <v>267.36900000000014</v>
      </c>
      <c r="F108" s="68">
        <f>FCFF!N73</f>
        <v>211.33400000000006</v>
      </c>
      <c r="G108" s="416">
        <f>FCFF!T73</f>
        <v>1022.0310000000004</v>
      </c>
      <c r="H108" s="488">
        <f>+H109*H59</f>
        <v>0</v>
      </c>
      <c r="I108" s="488">
        <f t="shared" ref="I108:L108" si="30">+I109*I59</f>
        <v>0</v>
      </c>
      <c r="J108" s="488">
        <f t="shared" si="30"/>
        <v>0</v>
      </c>
      <c r="K108" s="488">
        <f t="shared" si="30"/>
        <v>0</v>
      </c>
      <c r="L108" s="488">
        <f t="shared" si="30"/>
        <v>0</v>
      </c>
    </row>
    <row r="109" spans="1:12" s="455" customFormat="1" ht="15" customHeight="1">
      <c r="A109" s="380"/>
      <c r="B109" s="31" t="s">
        <v>467</v>
      </c>
      <c r="C109" s="26"/>
      <c r="D109" s="26"/>
      <c r="E109" s="308">
        <f>FCFF!H74</f>
        <v>2.4573760342579933E-2</v>
      </c>
      <c r="F109" s="308">
        <f>FCFF!N74</f>
        <v>1.6544591970940065E-2</v>
      </c>
      <c r="G109" s="414">
        <f>FCFF!T74</f>
        <v>7.2196705330526578E-2</v>
      </c>
      <c r="H109" s="471"/>
      <c r="I109" s="471"/>
      <c r="J109" s="471"/>
      <c r="K109" s="471"/>
      <c r="L109" s="471"/>
    </row>
    <row r="110" spans="1:12" ht="15" customHeight="1">
      <c r="B110" s="375"/>
      <c r="E110" s="97"/>
      <c r="F110" s="97"/>
      <c r="G110" s="418"/>
      <c r="H110" s="488"/>
      <c r="I110" s="488"/>
      <c r="J110" s="488"/>
      <c r="K110" s="488"/>
      <c r="L110" s="488"/>
    </row>
    <row r="111" spans="1:12" ht="15" customHeight="1">
      <c r="B111" s="375" t="s">
        <v>468</v>
      </c>
      <c r="E111" s="68">
        <f>FCFF!H76</f>
        <v>691.58199999999999</v>
      </c>
      <c r="F111" s="68">
        <f>FCFF!N76</f>
        <v>890.92899999999997</v>
      </c>
      <c r="G111" s="416">
        <f>FCFF!T76</f>
        <v>2308.9090000000001</v>
      </c>
      <c r="H111" s="66">
        <f>+G111-H112*H131-H80-H65</f>
        <v>2308.9090000000001</v>
      </c>
      <c r="I111" s="66">
        <f t="shared" ref="I111:L111" si="31">+H111-I112*I131-I80-I65</f>
        <v>2308.9090000000001</v>
      </c>
      <c r="J111" s="66">
        <f t="shared" si="31"/>
        <v>2308.9090000000001</v>
      </c>
      <c r="K111" s="66">
        <f t="shared" si="31"/>
        <v>2308.9090000000001</v>
      </c>
      <c r="L111" s="66">
        <f t="shared" si="31"/>
        <v>2308.9090000000001</v>
      </c>
    </row>
    <row r="112" spans="1:12" ht="15" customHeight="1">
      <c r="B112" s="31" t="s">
        <v>469</v>
      </c>
      <c r="E112" s="308">
        <f>FCFF!H77</f>
        <v>0</v>
      </c>
      <c r="F112" s="308">
        <f>FCFF!N77</f>
        <v>0</v>
      </c>
      <c r="G112" s="414">
        <f>FCFF!T77</f>
        <v>0</v>
      </c>
      <c r="H112" s="471"/>
      <c r="I112" s="471"/>
      <c r="J112" s="471"/>
      <c r="K112" s="471"/>
      <c r="L112" s="471"/>
    </row>
    <row r="113" spans="1:12" ht="15" customHeight="1">
      <c r="G113" s="205"/>
    </row>
    <row r="114" spans="1:12" ht="15" customHeight="1">
      <c r="B114" s="375" t="s">
        <v>559</v>
      </c>
      <c r="E114" s="68">
        <f>FCFF!H79</f>
        <v>1263.412</v>
      </c>
      <c r="F114" s="68">
        <f>FCFF!N79</f>
        <v>1561.9059999999999</v>
      </c>
      <c r="G114" s="416">
        <f>FCFF!T79</f>
        <v>3741.3530000000001</v>
      </c>
      <c r="H114" s="66">
        <f>+G114+H115*H74-(1-H112)*H131-H83</f>
        <v>3741.3530000000001</v>
      </c>
      <c r="I114" s="66">
        <f>+H114+I115*I74-(1-I112)*I131-I83</f>
        <v>3741.3530000000001</v>
      </c>
      <c r="J114" s="66">
        <f>+I114+J115*J74-(1-J112)*J131-J83</f>
        <v>3741.3530000000001</v>
      </c>
      <c r="K114" s="66">
        <f>+J114+K115*K74-(1-K112)*K131-K83</f>
        <v>3741.3530000000001</v>
      </c>
      <c r="L114" s="66">
        <f>+K114+L115*L74-(1-L112)*L131-L83</f>
        <v>3741.3530000000001</v>
      </c>
    </row>
    <row r="115" spans="1:12" ht="15" customHeight="1">
      <c r="B115" s="31" t="s">
        <v>560</v>
      </c>
      <c r="E115" s="308">
        <f>FCFF!H80</f>
        <v>0</v>
      </c>
      <c r="F115" s="308">
        <f>FCFF!N80</f>
        <v>0</v>
      </c>
      <c r="G115" s="414">
        <f>FCFF!T80</f>
        <v>0</v>
      </c>
      <c r="H115" s="471"/>
      <c r="I115" s="471"/>
      <c r="J115" s="471"/>
      <c r="K115" s="471"/>
      <c r="L115" s="471"/>
    </row>
    <row r="116" spans="1:12" s="455" customFormat="1" ht="15" customHeight="1">
      <c r="A116" s="380"/>
      <c r="B116" s="97"/>
      <c r="C116" s="22"/>
      <c r="D116" s="22"/>
      <c r="E116" s="97"/>
      <c r="F116" s="97"/>
      <c r="G116" s="418"/>
      <c r="H116" s="488"/>
      <c r="I116" s="488"/>
      <c r="J116" s="488"/>
      <c r="K116" s="488"/>
      <c r="L116" s="488"/>
    </row>
    <row r="117" spans="1:12" ht="15" customHeight="1">
      <c r="B117" s="375" t="s">
        <v>472</v>
      </c>
      <c r="E117" s="68">
        <f>FCFF!H82</f>
        <v>1064.289</v>
      </c>
      <c r="F117" s="68">
        <f>FCFF!N82</f>
        <v>1041.509</v>
      </c>
      <c r="G117" s="416">
        <f>FCFF!T82</f>
        <v>2794.703</v>
      </c>
      <c r="H117" s="66">
        <f>+H118*H62/365</f>
        <v>0</v>
      </c>
      <c r="I117" s="66">
        <f t="shared" ref="I117:L117" si="32">+I118*I62/365</f>
        <v>0</v>
      </c>
      <c r="J117" s="66">
        <f t="shared" si="32"/>
        <v>0</v>
      </c>
      <c r="K117" s="66">
        <f>+K118*K62/366</f>
        <v>0</v>
      </c>
      <c r="L117" s="66">
        <f t="shared" si="32"/>
        <v>0</v>
      </c>
    </row>
    <row r="118" spans="1:12" ht="15" customHeight="1">
      <c r="B118" s="31" t="s">
        <v>473</v>
      </c>
      <c r="E118" s="322">
        <f>FCFF!H83</f>
        <v>199.21306923076924</v>
      </c>
      <c r="F118" s="322">
        <f>FCFF!N83</f>
        <v>171.41668620643009</v>
      </c>
      <c r="G118" s="417">
        <f>FCFF!T83</f>
        <v>260.57337599305185</v>
      </c>
      <c r="H118" s="489"/>
      <c r="I118" s="489"/>
      <c r="J118" s="489"/>
      <c r="K118" s="489"/>
      <c r="L118" s="489"/>
    </row>
    <row r="119" spans="1:12" ht="15" customHeight="1">
      <c r="B119" s="375"/>
      <c r="E119" s="97"/>
      <c r="F119" s="97"/>
      <c r="G119" s="418"/>
      <c r="H119" s="490"/>
      <c r="I119" s="490"/>
      <c r="J119" s="490"/>
      <c r="K119" s="490"/>
      <c r="L119" s="490"/>
    </row>
    <row r="120" spans="1:12" ht="15" customHeight="1">
      <c r="B120" s="375" t="s">
        <v>474</v>
      </c>
      <c r="E120" s="68">
        <f>FCFF!H85</f>
        <v>89.168999999999897</v>
      </c>
      <c r="F120" s="68">
        <f>FCFF!N85</f>
        <v>260.89799999999985</v>
      </c>
      <c r="G120" s="416">
        <f>FCFF!T85</f>
        <v>32.754999999999626</v>
      </c>
      <c r="H120" s="66">
        <f>+H121*H71</f>
        <v>0</v>
      </c>
      <c r="I120" s="66">
        <f t="shared" ref="I120:L120" si="33">+I121*I71</f>
        <v>0</v>
      </c>
      <c r="J120" s="66">
        <f t="shared" si="33"/>
        <v>0</v>
      </c>
      <c r="K120" s="66">
        <f t="shared" si="33"/>
        <v>0</v>
      </c>
      <c r="L120" s="66">
        <f t="shared" si="33"/>
        <v>0</v>
      </c>
    </row>
    <row r="121" spans="1:12" ht="15" customHeight="1">
      <c r="B121" s="31" t="s">
        <v>475</v>
      </c>
      <c r="E121" s="308">
        <f>FCFF!H86</f>
        <v>4.9020890599230288E-2</v>
      </c>
      <c r="F121" s="308">
        <f>FCFF!N86</f>
        <v>0.12369523990138435</v>
      </c>
      <c r="G121" s="414">
        <f>FCFF!T86</f>
        <v>8.4337504505895312E-3</v>
      </c>
      <c r="H121" s="471"/>
      <c r="I121" s="471"/>
      <c r="J121" s="471"/>
      <c r="K121" s="471"/>
      <c r="L121" s="471"/>
    </row>
    <row r="122" spans="1:12" ht="15" customHeight="1">
      <c r="B122" s="375"/>
      <c r="C122" s="480"/>
      <c r="D122" s="480"/>
      <c r="E122" s="473"/>
      <c r="F122" s="473"/>
      <c r="G122" s="483"/>
      <c r="H122" s="491"/>
      <c r="I122" s="491"/>
      <c r="J122" s="491"/>
      <c r="K122" s="491"/>
      <c r="L122" s="491"/>
    </row>
    <row r="123" spans="1:12" ht="15" customHeight="1">
      <c r="A123" s="380" t="s">
        <v>37</v>
      </c>
      <c r="B123" s="372" t="s">
        <v>561</v>
      </c>
      <c r="C123" s="372"/>
      <c r="D123" s="372"/>
      <c r="E123" s="450">
        <f t="shared" ref="E123:L123" si="34">E57</f>
        <v>2022</v>
      </c>
      <c r="F123" s="450">
        <f t="shared" si="34"/>
        <v>2023</v>
      </c>
      <c r="G123" s="450">
        <f t="shared" si="34"/>
        <v>2024</v>
      </c>
      <c r="H123" s="451">
        <f t="shared" si="34"/>
        <v>2025</v>
      </c>
      <c r="I123" s="451">
        <f t="shared" si="34"/>
        <v>2026</v>
      </c>
      <c r="J123" s="451">
        <f t="shared" si="34"/>
        <v>2027</v>
      </c>
      <c r="K123" s="451">
        <f t="shared" si="34"/>
        <v>2028</v>
      </c>
      <c r="L123" s="451">
        <f t="shared" si="34"/>
        <v>2029</v>
      </c>
    </row>
    <row r="124" spans="1:12" ht="3.95" customHeight="1">
      <c r="B124" s="36"/>
      <c r="C124" s="36"/>
      <c r="D124" s="36"/>
      <c r="E124" s="492"/>
      <c r="F124" s="492"/>
      <c r="G124" s="492"/>
      <c r="H124" s="36"/>
      <c r="I124" s="36"/>
      <c r="J124" s="36"/>
      <c r="K124" s="36"/>
      <c r="L124" s="36"/>
    </row>
    <row r="125" spans="1:12" ht="15" customHeight="1">
      <c r="B125" s="375" t="s">
        <v>423</v>
      </c>
      <c r="E125" s="68">
        <f>FCFF!H91</f>
        <v>166.03</v>
      </c>
      <c r="F125" s="68">
        <f>FCFF!N91</f>
        <v>222.94399999999999</v>
      </c>
      <c r="G125" s="416">
        <f>FCFF!T91</f>
        <v>414.85500000000002</v>
      </c>
      <c r="H125" s="493">
        <f>+H77+H65</f>
        <v>0</v>
      </c>
      <c r="I125" s="493">
        <f t="shared" ref="I125:L125" si="35">+I77+I65</f>
        <v>0</v>
      </c>
      <c r="J125" s="493">
        <f t="shared" si="35"/>
        <v>0</v>
      </c>
      <c r="K125" s="493">
        <f t="shared" si="35"/>
        <v>0</v>
      </c>
      <c r="L125" s="493">
        <f t="shared" si="35"/>
        <v>0</v>
      </c>
    </row>
    <row r="126" spans="1:12" ht="15" customHeight="1">
      <c r="B126" s="31" t="s">
        <v>424</v>
      </c>
      <c r="E126" s="308">
        <f>FCFF!H92</f>
        <v>8.4926091844783155E-2</v>
      </c>
      <c r="F126" s="308">
        <f>FCFF!N92</f>
        <v>9.089237555726333E-2</v>
      </c>
      <c r="G126" s="414">
        <f>FCFF!T92</f>
        <v>6.8568104984544465E-2</v>
      </c>
      <c r="H126" s="494">
        <f>+H125/(H111+H114)</f>
        <v>0</v>
      </c>
      <c r="I126" s="494">
        <f>+I125/(I111+I114)</f>
        <v>0</v>
      </c>
      <c r="J126" s="494">
        <f>+J125/(J111+J114)</f>
        <v>0</v>
      </c>
      <c r="K126" s="494">
        <f>+K125/(K111+K114)</f>
        <v>0</v>
      </c>
      <c r="L126" s="494">
        <f>+L125/(L111+L114)</f>
        <v>0</v>
      </c>
    </row>
    <row r="127" spans="1:12" s="342" customFormat="1" ht="15" customHeight="1">
      <c r="A127" s="495"/>
      <c r="B127" s="97"/>
      <c r="C127" s="33"/>
      <c r="D127" s="33"/>
      <c r="E127" s="97"/>
      <c r="F127" s="97"/>
      <c r="G127" s="418"/>
      <c r="H127" s="33"/>
      <c r="I127" s="33"/>
      <c r="J127" s="33"/>
      <c r="K127" s="33"/>
      <c r="L127" s="33"/>
    </row>
    <row r="128" spans="1:12" ht="15" customHeight="1">
      <c r="B128" s="375" t="s">
        <v>481</v>
      </c>
      <c r="E128" s="68">
        <f>FCFF!H100</f>
        <v>-331.666</v>
      </c>
      <c r="F128" s="68">
        <f>FCFF!N100</f>
        <v>-97.765999999999991</v>
      </c>
      <c r="G128" s="416">
        <f>FCFF!T100</f>
        <v>-536.6</v>
      </c>
      <c r="H128" s="496">
        <f>-((H102+H105+H108-H117-H120)-(G102+G105+G108-G117-G120))</f>
        <v>3229.6820000000016</v>
      </c>
      <c r="I128" s="496">
        <f>-((I102+I105+I108-I117-I120)-(H102+H105+H108-H117-H120))</f>
        <v>0</v>
      </c>
      <c r="J128" s="496">
        <f>-((J102+J105+J108-J117-J120)-(I102+I105+I108-I117-I120))</f>
        <v>0</v>
      </c>
      <c r="K128" s="496">
        <f>-((K102+K105+K108-K117-K120)-(J102+J105+J108-J117-J120))</f>
        <v>0</v>
      </c>
      <c r="L128" s="496">
        <f>-((L102+L105+L108-L117-L120)-(K102+K105+K108-K117-K120))</f>
        <v>0</v>
      </c>
    </row>
    <row r="129" spans="1:12" ht="15" customHeight="1">
      <c r="B129" s="31" t="s">
        <v>482</v>
      </c>
      <c r="E129" s="308">
        <f>FCFF!H101</f>
        <v>-0.11343557604468389</v>
      </c>
      <c r="F129" s="308">
        <f>FCFF!N101</f>
        <v>-2.3092188771781642E-2</v>
      </c>
      <c r="G129" s="414">
        <f>FCFF!T101</f>
        <v>-0.11071295345681906</v>
      </c>
      <c r="H129" s="454">
        <f>H128/(H59-G59)</f>
        <v>9.6166193927057809E-3</v>
      </c>
      <c r="I129" s="454">
        <f>I128/(I59-H59)</f>
        <v>0</v>
      </c>
      <c r="J129" s="454">
        <f>J128/(J59-I59)</f>
        <v>0</v>
      </c>
      <c r="K129" s="454">
        <f>K128/(K59-J59)</f>
        <v>0</v>
      </c>
      <c r="L129" s="454">
        <f>L128/(L59-K59)</f>
        <v>0</v>
      </c>
    </row>
    <row r="130" spans="1:12" ht="15" customHeight="1">
      <c r="B130" s="97"/>
      <c r="E130" s="97"/>
      <c r="F130" s="97"/>
      <c r="G130" s="418"/>
      <c r="H130" s="497"/>
      <c r="I130" s="497"/>
      <c r="J130" s="497"/>
      <c r="K130" s="497"/>
      <c r="L130" s="497"/>
    </row>
    <row r="131" spans="1:12" ht="15" customHeight="1">
      <c r="B131" s="375" t="s">
        <v>492</v>
      </c>
      <c r="E131" s="68">
        <f>FCFF!H103+FCFF!H106</f>
        <v>-233.143</v>
      </c>
      <c r="F131" s="68">
        <f>FCFF!N103+FCFF!N106</f>
        <v>-235.20099999999999</v>
      </c>
      <c r="G131" s="416">
        <f>FCFF!T103+FCFF!T106</f>
        <v>-418.96199999999999</v>
      </c>
      <c r="H131" s="488">
        <f>-H132*H59</f>
        <v>0</v>
      </c>
      <c r="I131" s="488">
        <f t="shared" ref="I131:L131" si="36">-I132*I59</f>
        <v>0</v>
      </c>
      <c r="J131" s="488">
        <f t="shared" si="36"/>
        <v>0</v>
      </c>
      <c r="K131" s="488">
        <f t="shared" si="36"/>
        <v>0</v>
      </c>
      <c r="L131" s="488">
        <f t="shared" si="36"/>
        <v>0</v>
      </c>
    </row>
    <row r="132" spans="1:12" ht="15" customHeight="1">
      <c r="B132" s="31" t="s">
        <v>467</v>
      </c>
      <c r="E132" s="308">
        <f>FCFF!H104</f>
        <v>5.50683799041028E-2</v>
      </c>
      <c r="F132" s="308">
        <f>FCFF!N104</f>
        <v>4.85270694066188E-2</v>
      </c>
      <c r="G132" s="414">
        <f>FCFF!T104</f>
        <v>4.9996658631470924E-2</v>
      </c>
      <c r="H132" s="471"/>
      <c r="I132" s="471"/>
      <c r="J132" s="471"/>
      <c r="K132" s="471"/>
      <c r="L132" s="471"/>
    </row>
    <row r="133" spans="1:12" ht="15" customHeight="1">
      <c r="B133" s="375"/>
      <c r="G133" s="498"/>
      <c r="H133" s="25"/>
      <c r="I133" s="25"/>
      <c r="J133" s="25"/>
      <c r="K133" s="25"/>
      <c r="L133" s="25"/>
    </row>
    <row r="134" spans="1:12" ht="15" customHeight="1">
      <c r="A134" s="380" t="s">
        <v>37</v>
      </c>
      <c r="B134" s="372" t="s">
        <v>562</v>
      </c>
      <c r="C134" s="372"/>
      <c r="D134" s="372"/>
      <c r="E134" s="450"/>
      <c r="F134" s="450"/>
      <c r="G134" s="499"/>
      <c r="H134" s="451">
        <f>H57</f>
        <v>2025</v>
      </c>
      <c r="I134" s="451">
        <f>I57</f>
        <v>2026</v>
      </c>
      <c r="J134" s="451">
        <f>J57</f>
        <v>2027</v>
      </c>
      <c r="K134" s="451">
        <f>K57</f>
        <v>2028</v>
      </c>
      <c r="L134" s="451">
        <f>L57</f>
        <v>2029</v>
      </c>
    </row>
    <row r="135" spans="1:12" ht="3.95" customHeight="1">
      <c r="B135" s="36"/>
      <c r="C135" s="36"/>
      <c r="D135" s="36"/>
      <c r="E135" s="36"/>
      <c r="F135" s="36"/>
      <c r="G135" s="500"/>
      <c r="H135" s="36"/>
      <c r="I135" s="36"/>
      <c r="J135" s="36"/>
      <c r="K135" s="36"/>
      <c r="L135" s="36"/>
    </row>
    <row r="136" spans="1:12" ht="15" customHeight="1">
      <c r="B136" s="375" t="s">
        <v>563</v>
      </c>
      <c r="G136" s="205"/>
      <c r="H136" s="493">
        <f>H97</f>
        <v>350000</v>
      </c>
      <c r="I136" s="493">
        <f t="shared" ref="I136:L136" si="37">I97</f>
        <v>352000</v>
      </c>
      <c r="J136" s="493">
        <f t="shared" si="37"/>
        <v>350000</v>
      </c>
      <c r="K136" s="493">
        <f t="shared" si="37"/>
        <v>352000</v>
      </c>
      <c r="L136" s="493">
        <f t="shared" si="37"/>
        <v>350000</v>
      </c>
    </row>
    <row r="137" spans="1:12" ht="15" customHeight="1">
      <c r="B137" s="375" t="s">
        <v>564</v>
      </c>
      <c r="E137" s="493"/>
      <c r="F137" s="493"/>
      <c r="G137" s="501"/>
      <c r="H137" s="493">
        <f>+H125</f>
        <v>0</v>
      </c>
      <c r="I137" s="493">
        <f>+I125</f>
        <v>0</v>
      </c>
      <c r="J137" s="493">
        <f>+J125</f>
        <v>0</v>
      </c>
      <c r="K137" s="493">
        <f>+K125</f>
        <v>0</v>
      </c>
      <c r="L137" s="493">
        <f>+L125</f>
        <v>0</v>
      </c>
    </row>
    <row r="138" spans="1:12" ht="15" customHeight="1">
      <c r="B138" s="375" t="s">
        <v>423</v>
      </c>
      <c r="E138" s="493"/>
      <c r="F138" s="493"/>
      <c r="G138" s="502"/>
      <c r="H138" s="493">
        <f>+H128</f>
        <v>3229.6820000000016</v>
      </c>
      <c r="I138" s="493">
        <f>+I128</f>
        <v>0</v>
      </c>
      <c r="J138" s="493">
        <f>+J128</f>
        <v>0</v>
      </c>
      <c r="K138" s="493">
        <f>+K128</f>
        <v>0</v>
      </c>
      <c r="L138" s="493">
        <f>+L128</f>
        <v>0</v>
      </c>
    </row>
    <row r="139" spans="1:12" ht="15" customHeight="1">
      <c r="B139" s="375" t="s">
        <v>492</v>
      </c>
      <c r="E139" s="470"/>
      <c r="F139" s="470"/>
      <c r="G139" s="503"/>
      <c r="H139" s="493">
        <f>+H131</f>
        <v>0</v>
      </c>
      <c r="I139" s="493">
        <f>+I131</f>
        <v>0</v>
      </c>
      <c r="J139" s="493">
        <f>+J131</f>
        <v>0</v>
      </c>
      <c r="K139" s="493">
        <f>+K131</f>
        <v>0</v>
      </c>
      <c r="L139" s="493">
        <f>+L131</f>
        <v>0</v>
      </c>
    </row>
    <row r="140" spans="1:12" ht="15" customHeight="1">
      <c r="B140" s="504" t="s">
        <v>565</v>
      </c>
      <c r="C140" s="505"/>
      <c r="D140" s="505"/>
      <c r="E140" s="506"/>
      <c r="F140" s="506"/>
      <c r="G140" s="507"/>
      <c r="H140" s="506">
        <f>H136+H137+H138+H139</f>
        <v>353229.68200000003</v>
      </c>
      <c r="I140" s="506">
        <f>I136+I137+I138+I139</f>
        <v>352000</v>
      </c>
      <c r="J140" s="506">
        <f>J136+J137+J138+J139</f>
        <v>350000</v>
      </c>
      <c r="K140" s="506">
        <f>K136+K137+K138+K139</f>
        <v>352000</v>
      </c>
      <c r="L140" s="508">
        <f>L136+L137+L138+L139</f>
        <v>350000</v>
      </c>
    </row>
    <row r="141" spans="1:12" ht="15" customHeight="1">
      <c r="G141" s="498"/>
    </row>
    <row r="142" spans="1:12" ht="15" customHeight="1">
      <c r="A142" s="380" t="s">
        <v>37</v>
      </c>
      <c r="B142" s="372" t="s">
        <v>566</v>
      </c>
      <c r="C142" s="372"/>
      <c r="D142" s="372"/>
      <c r="E142" s="450"/>
      <c r="F142" s="450"/>
      <c r="G142" s="499"/>
      <c r="H142" s="451">
        <f>H134</f>
        <v>2025</v>
      </c>
      <c r="I142" s="451">
        <f>I134</f>
        <v>2026</v>
      </c>
      <c r="J142" s="451">
        <f>J134</f>
        <v>2027</v>
      </c>
      <c r="K142" s="451">
        <f>K134</f>
        <v>2028</v>
      </c>
      <c r="L142" s="451">
        <f>L134</f>
        <v>2029</v>
      </c>
    </row>
    <row r="143" spans="1:12" ht="3.95" customHeight="1">
      <c r="B143" s="36"/>
      <c r="C143" s="36"/>
      <c r="D143" s="36"/>
      <c r="E143" s="36"/>
      <c r="F143" s="36"/>
      <c r="G143" s="500"/>
      <c r="H143" s="36"/>
      <c r="I143" s="36"/>
      <c r="J143" s="36"/>
      <c r="K143" s="36"/>
      <c r="L143" s="36"/>
    </row>
    <row r="144" spans="1:12" ht="15" customHeight="1">
      <c r="B144" s="373" t="s">
        <v>531</v>
      </c>
      <c r="C144" s="420"/>
      <c r="D144" s="420"/>
      <c r="E144" s="420"/>
      <c r="F144" s="420"/>
      <c r="G144" s="509"/>
    </row>
    <row r="145" spans="2:12" ht="15" customHeight="1">
      <c r="B145" s="510" t="s">
        <v>567</v>
      </c>
      <c r="C145" s="420"/>
      <c r="D145" s="420"/>
      <c r="E145" s="420"/>
      <c r="F145" s="420"/>
      <c r="G145" s="509"/>
      <c r="H145" s="488">
        <f>G148</f>
        <v>0</v>
      </c>
      <c r="I145" s="488">
        <f t="shared" ref="I145:L145" si="38">H148</f>
        <v>0</v>
      </c>
      <c r="J145" s="488">
        <f t="shared" si="38"/>
        <v>0</v>
      </c>
      <c r="K145" s="488">
        <f t="shared" si="38"/>
        <v>0</v>
      </c>
      <c r="L145" s="488">
        <f t="shared" si="38"/>
        <v>0</v>
      </c>
    </row>
    <row r="146" spans="2:12" ht="15" customHeight="1">
      <c r="B146" s="510" t="s">
        <v>527</v>
      </c>
      <c r="C146" s="420"/>
      <c r="D146" s="420"/>
      <c r="E146" s="420"/>
      <c r="F146" s="420"/>
      <c r="G146" s="509"/>
      <c r="H146" s="488">
        <f>H145*$J$11</f>
        <v>0</v>
      </c>
      <c r="I146" s="488">
        <f t="shared" ref="I146:L146" si="39">I145*$J$11</f>
        <v>0</v>
      </c>
      <c r="J146" s="488">
        <f t="shared" si="39"/>
        <v>0</v>
      </c>
      <c r="K146" s="488">
        <f t="shared" si="39"/>
        <v>0</v>
      </c>
      <c r="L146" s="488">
        <f t="shared" si="39"/>
        <v>0</v>
      </c>
    </row>
    <row r="147" spans="2:12" ht="15" customHeight="1">
      <c r="B147" s="510" t="s">
        <v>568</v>
      </c>
      <c r="C147" s="420"/>
      <c r="D147" s="420"/>
      <c r="E147" s="420"/>
      <c r="F147" s="420"/>
      <c r="G147" s="509"/>
      <c r="H147" s="488">
        <f>MIN(H140,H145)</f>
        <v>0</v>
      </c>
      <c r="I147" s="488">
        <f t="shared" ref="I147:L147" si="40">MIN(I140,I145)</f>
        <v>0</v>
      </c>
      <c r="J147" s="488">
        <f t="shared" si="40"/>
        <v>0</v>
      </c>
      <c r="K147" s="488">
        <f t="shared" si="40"/>
        <v>0</v>
      </c>
      <c r="L147" s="488">
        <f t="shared" si="40"/>
        <v>0</v>
      </c>
    </row>
    <row r="148" spans="2:12" ht="15" customHeight="1">
      <c r="B148" s="511" t="s">
        <v>569</v>
      </c>
      <c r="C148" s="505"/>
      <c r="D148" s="505"/>
      <c r="E148" s="506"/>
      <c r="F148" s="506"/>
      <c r="G148" s="507">
        <f>L11</f>
        <v>0</v>
      </c>
      <c r="H148" s="506">
        <f>H145-H147</f>
        <v>0</v>
      </c>
      <c r="I148" s="506">
        <f t="shared" ref="I148:L148" si="41">I145-I147</f>
        <v>0</v>
      </c>
      <c r="J148" s="506">
        <f t="shared" si="41"/>
        <v>0</v>
      </c>
      <c r="K148" s="506">
        <f t="shared" si="41"/>
        <v>0</v>
      </c>
      <c r="L148" s="508">
        <f t="shared" si="41"/>
        <v>0</v>
      </c>
    </row>
    <row r="149" spans="2:12" ht="15" customHeight="1">
      <c r="B149" s="512"/>
      <c r="E149" s="488"/>
      <c r="F149" s="488"/>
      <c r="G149" s="513"/>
      <c r="H149" s="488"/>
      <c r="I149" s="488"/>
      <c r="J149" s="488"/>
      <c r="K149" s="488"/>
      <c r="L149" s="488"/>
    </row>
    <row r="150" spans="2:12" ht="15" customHeight="1">
      <c r="B150" s="373" t="s">
        <v>533</v>
      </c>
      <c r="C150" s="420"/>
      <c r="D150" s="420"/>
      <c r="E150" s="420"/>
      <c r="F150" s="420"/>
      <c r="G150" s="509"/>
      <c r="H150" s="488"/>
    </row>
    <row r="151" spans="2:12" ht="15" customHeight="1">
      <c r="B151" s="510" t="s">
        <v>567</v>
      </c>
      <c r="C151" s="420"/>
      <c r="D151" s="420"/>
      <c r="E151" s="420"/>
      <c r="F151" s="420"/>
      <c r="G151" s="509"/>
      <c r="H151" s="488">
        <f>G154</f>
        <v>0</v>
      </c>
      <c r="I151" s="488">
        <f t="shared" ref="I151:L151" si="42">H154</f>
        <v>0</v>
      </c>
      <c r="J151" s="488">
        <f t="shared" si="42"/>
        <v>0</v>
      </c>
      <c r="K151" s="488">
        <f t="shared" si="42"/>
        <v>0</v>
      </c>
      <c r="L151" s="488">
        <f t="shared" si="42"/>
        <v>0</v>
      </c>
    </row>
    <row r="152" spans="2:12" ht="15" customHeight="1">
      <c r="B152" s="510" t="s">
        <v>527</v>
      </c>
      <c r="C152" s="420"/>
      <c r="D152" s="420"/>
      <c r="E152" s="420"/>
      <c r="F152" s="420"/>
      <c r="G152" s="509"/>
      <c r="H152" s="488">
        <f>H151*$J$12</f>
        <v>0</v>
      </c>
      <c r="I152" s="488">
        <f t="shared" ref="I152:L152" si="43">I151*$J$12</f>
        <v>0</v>
      </c>
      <c r="J152" s="488">
        <f t="shared" si="43"/>
        <v>0</v>
      </c>
      <c r="K152" s="488">
        <f t="shared" si="43"/>
        <v>0</v>
      </c>
      <c r="L152" s="488">
        <f t="shared" si="43"/>
        <v>0</v>
      </c>
    </row>
    <row r="153" spans="2:12" ht="15" customHeight="1">
      <c r="B153" s="510" t="s">
        <v>568</v>
      </c>
      <c r="C153" s="420"/>
      <c r="D153" s="420"/>
      <c r="E153" s="420"/>
      <c r="F153" s="420"/>
      <c r="G153" s="509"/>
      <c r="H153" s="488">
        <f>MIN(H151,H140-H147)</f>
        <v>0</v>
      </c>
      <c r="I153" s="488">
        <f>MIN(I151,I140-I147)</f>
        <v>0</v>
      </c>
      <c r="J153" s="488">
        <f t="shared" ref="J153:K153" si="44">MIN(J151,J140-J147)</f>
        <v>0</v>
      </c>
      <c r="K153" s="488">
        <f t="shared" si="44"/>
        <v>0</v>
      </c>
      <c r="L153" s="488">
        <f>MIN(L151,L140-L147)</f>
        <v>0</v>
      </c>
    </row>
    <row r="154" spans="2:12" ht="15" customHeight="1">
      <c r="B154" s="511" t="s">
        <v>569</v>
      </c>
      <c r="C154" s="505"/>
      <c r="D154" s="505"/>
      <c r="E154" s="506"/>
      <c r="F154" s="506"/>
      <c r="G154" s="507">
        <f>L12</f>
        <v>0</v>
      </c>
      <c r="H154" s="506">
        <f>H151-H153</f>
        <v>0</v>
      </c>
      <c r="I154" s="506">
        <f t="shared" ref="I154:L154" si="45">I151-I153</f>
        <v>0</v>
      </c>
      <c r="J154" s="506">
        <f t="shared" si="45"/>
        <v>0</v>
      </c>
      <c r="K154" s="506">
        <f t="shared" si="45"/>
        <v>0</v>
      </c>
      <c r="L154" s="508">
        <f t="shared" si="45"/>
        <v>0</v>
      </c>
    </row>
    <row r="155" spans="2:12" ht="15" customHeight="1">
      <c r="B155" s="512"/>
      <c r="E155" s="488"/>
      <c r="F155" s="488"/>
      <c r="G155" s="513"/>
      <c r="H155" s="488"/>
      <c r="I155" s="488"/>
      <c r="J155" s="488"/>
      <c r="K155" s="488"/>
      <c r="L155" s="488"/>
    </row>
    <row r="156" spans="2:12" ht="15" customHeight="1">
      <c r="B156" s="373" t="s">
        <v>570</v>
      </c>
      <c r="G156" s="498"/>
    </row>
    <row r="157" spans="2:12" ht="15" customHeight="1">
      <c r="B157" s="510" t="s">
        <v>567</v>
      </c>
      <c r="G157" s="498"/>
      <c r="H157" s="488">
        <f>G160</f>
        <v>0</v>
      </c>
      <c r="I157" s="488">
        <f t="shared" ref="I157:L157" si="46">H160</f>
        <v>0</v>
      </c>
      <c r="J157" s="488">
        <f t="shared" si="46"/>
        <v>0</v>
      </c>
      <c r="K157" s="488">
        <f t="shared" si="46"/>
        <v>0</v>
      </c>
      <c r="L157" s="488">
        <f t="shared" si="46"/>
        <v>0</v>
      </c>
    </row>
    <row r="158" spans="2:12" ht="15" customHeight="1">
      <c r="B158" s="510" t="s">
        <v>527</v>
      </c>
      <c r="G158" s="498"/>
      <c r="H158" s="488">
        <f>H157*$J$13</f>
        <v>0</v>
      </c>
      <c r="I158" s="488">
        <f t="shared" ref="I158:L158" si="47">I157*$J$13</f>
        <v>0</v>
      </c>
      <c r="J158" s="488">
        <f t="shared" si="47"/>
        <v>0</v>
      </c>
      <c r="K158" s="488">
        <f t="shared" si="47"/>
        <v>0</v>
      </c>
      <c r="L158" s="488">
        <f t="shared" si="47"/>
        <v>0</v>
      </c>
    </row>
    <row r="159" spans="2:12" ht="15" customHeight="1">
      <c r="B159" s="510" t="s">
        <v>568</v>
      </c>
      <c r="G159" s="498"/>
      <c r="H159" s="488">
        <f>MIN(H157,H140-H147-H153)</f>
        <v>0</v>
      </c>
      <c r="I159" s="488">
        <f t="shared" ref="I159:L159" si="48">MIN(I157,I140-I147-I153)</f>
        <v>0</v>
      </c>
      <c r="J159" s="488">
        <f t="shared" si="48"/>
        <v>0</v>
      </c>
      <c r="K159" s="488">
        <f t="shared" si="48"/>
        <v>0</v>
      </c>
      <c r="L159" s="488">
        <f t="shared" si="48"/>
        <v>0</v>
      </c>
    </row>
    <row r="160" spans="2:12" ht="15" customHeight="1">
      <c r="B160" s="511" t="s">
        <v>569</v>
      </c>
      <c r="C160" s="505"/>
      <c r="D160" s="505"/>
      <c r="E160" s="506"/>
      <c r="F160" s="506"/>
      <c r="G160" s="507">
        <f>L13</f>
        <v>0</v>
      </c>
      <c r="H160" s="506">
        <f>H157-H159</f>
        <v>0</v>
      </c>
      <c r="I160" s="506">
        <f t="shared" ref="I160:L160" si="49">I157-I159</f>
        <v>0</v>
      </c>
      <c r="J160" s="506">
        <f t="shared" si="49"/>
        <v>0</v>
      </c>
      <c r="K160" s="506">
        <f t="shared" si="49"/>
        <v>0</v>
      </c>
      <c r="L160" s="508">
        <f t="shared" si="49"/>
        <v>0</v>
      </c>
    </row>
    <row r="161" spans="1:12" ht="15" customHeight="1">
      <c r="G161" s="674"/>
    </row>
    <row r="162" spans="1:12" ht="15" customHeight="1">
      <c r="B162" s="373" t="s">
        <v>571</v>
      </c>
      <c r="G162" s="498"/>
    </row>
    <row r="163" spans="1:12" ht="15" customHeight="1">
      <c r="B163" s="510" t="s">
        <v>567</v>
      </c>
      <c r="G163" s="498"/>
      <c r="H163" s="488">
        <f>H145+H151+H157</f>
        <v>0</v>
      </c>
      <c r="I163" s="488">
        <f t="shared" ref="I163:L163" si="50">I145+I151+I157</f>
        <v>0</v>
      </c>
      <c r="J163" s="488">
        <f t="shared" si="50"/>
        <v>0</v>
      </c>
      <c r="K163" s="488">
        <f t="shared" si="50"/>
        <v>0</v>
      </c>
      <c r="L163" s="488">
        <f t="shared" si="50"/>
        <v>0</v>
      </c>
    </row>
    <row r="164" spans="1:12" ht="15" customHeight="1">
      <c r="B164" s="510" t="s">
        <v>527</v>
      </c>
      <c r="G164" s="498"/>
      <c r="H164" s="488">
        <f>H146+H152+H158</f>
        <v>0</v>
      </c>
      <c r="I164" s="488">
        <f t="shared" ref="I164:L164" si="51">I146+I152+I158</f>
        <v>0</v>
      </c>
      <c r="J164" s="488">
        <f t="shared" si="51"/>
        <v>0</v>
      </c>
      <c r="K164" s="488">
        <f t="shared" si="51"/>
        <v>0</v>
      </c>
      <c r="L164" s="488">
        <f t="shared" si="51"/>
        <v>0</v>
      </c>
    </row>
    <row r="165" spans="1:12" ht="15" customHeight="1">
      <c r="B165" s="510" t="s">
        <v>568</v>
      </c>
      <c r="G165" s="498"/>
      <c r="H165" s="488">
        <f>H147+H153+H159</f>
        <v>0</v>
      </c>
      <c r="I165" s="488">
        <f t="shared" ref="I165:L165" si="52">I147+I153+I159</f>
        <v>0</v>
      </c>
      <c r="J165" s="488">
        <f t="shared" si="52"/>
        <v>0</v>
      </c>
      <c r="K165" s="488">
        <f t="shared" si="52"/>
        <v>0</v>
      </c>
      <c r="L165" s="488">
        <f t="shared" si="52"/>
        <v>0</v>
      </c>
    </row>
    <row r="166" spans="1:12" ht="15" customHeight="1">
      <c r="B166" s="511" t="s">
        <v>569</v>
      </c>
      <c r="C166" s="505"/>
      <c r="D166" s="505"/>
      <c r="E166" s="506"/>
      <c r="F166" s="506"/>
      <c r="G166" s="507">
        <f>G148+G154+G160</f>
        <v>0</v>
      </c>
      <c r="H166" s="506">
        <f>H148+H154+H160</f>
        <v>0</v>
      </c>
      <c r="I166" s="506">
        <f t="shared" ref="I166:K166" si="53">I148+I154+I160</f>
        <v>0</v>
      </c>
      <c r="J166" s="506">
        <f t="shared" si="53"/>
        <v>0</v>
      </c>
      <c r="K166" s="506">
        <f t="shared" si="53"/>
        <v>0</v>
      </c>
      <c r="L166" s="508">
        <f>L148+L154+L160</f>
        <v>0</v>
      </c>
    </row>
    <row r="167" spans="1:12" s="342" customFormat="1" ht="15" customHeight="1">
      <c r="A167" s="495"/>
      <c r="B167" s="33"/>
      <c r="C167" s="33"/>
      <c r="D167" s="33"/>
      <c r="E167" s="33"/>
      <c r="F167" s="33"/>
      <c r="G167" s="33"/>
      <c r="H167" s="33"/>
      <c r="I167" s="33"/>
      <c r="J167" s="33"/>
      <c r="K167" s="33"/>
      <c r="L167" s="33"/>
    </row>
    <row r="168" spans="1:12" s="342" customFormat="1" ht="15" customHeight="1">
      <c r="A168" s="495"/>
      <c r="B168" s="372" t="s">
        <v>541</v>
      </c>
      <c r="C168" s="372"/>
      <c r="D168" s="372"/>
      <c r="E168" s="372"/>
      <c r="F168" s="372"/>
      <c r="G168" s="372"/>
      <c r="H168" s="372"/>
      <c r="I168" s="372"/>
      <c r="J168" s="372"/>
      <c r="K168" s="372"/>
      <c r="L168" s="372"/>
    </row>
    <row r="169" spans="1:12" s="342" customFormat="1" ht="15" customHeight="1">
      <c r="A169" s="495"/>
      <c r="B169" s="372"/>
      <c r="C169" s="372"/>
      <c r="D169" s="372"/>
      <c r="E169" s="372"/>
      <c r="F169" s="372"/>
      <c r="G169" s="372"/>
      <c r="H169" s="372"/>
      <c r="I169" s="372"/>
      <c r="J169" s="372"/>
      <c r="K169" s="372"/>
      <c r="L169" s="372"/>
    </row>
    <row r="170" spans="1:12" ht="15" customHeight="1">
      <c r="A170" s="380" t="s">
        <v>37</v>
      </c>
      <c r="B170" s="372"/>
      <c r="C170" s="372"/>
      <c r="D170" s="372"/>
      <c r="E170" s="450"/>
      <c r="F170" s="450"/>
      <c r="G170" s="450"/>
      <c r="H170" s="451"/>
      <c r="I170" s="451"/>
      <c r="J170" s="451"/>
      <c r="K170" s="451"/>
      <c r="L170" s="451"/>
    </row>
    <row r="171" spans="1:12" ht="3.95" customHeight="1">
      <c r="B171" s="36"/>
      <c r="C171" s="36"/>
      <c r="D171" s="36"/>
      <c r="E171" s="36"/>
      <c r="F171" s="36"/>
      <c r="G171" s="36"/>
      <c r="H171" s="36"/>
      <c r="I171" s="36"/>
      <c r="J171" s="36"/>
      <c r="K171" s="36"/>
      <c r="L171" s="36"/>
    </row>
    <row r="172" spans="1:12" ht="15" customHeight="1">
      <c r="B172" s="375" t="s">
        <v>572</v>
      </c>
      <c r="L172" s="423">
        <f>(L77+L86)</f>
        <v>350000</v>
      </c>
    </row>
    <row r="173" spans="1:12" ht="15" customHeight="1">
      <c r="B173" s="514" t="s">
        <v>543</v>
      </c>
      <c r="C173" s="353"/>
      <c r="D173" s="353"/>
      <c r="E173" s="353"/>
      <c r="F173" s="353"/>
      <c r="G173" s="353"/>
      <c r="H173" s="353"/>
      <c r="I173" s="353"/>
      <c r="J173" s="353"/>
      <c r="K173" s="353"/>
      <c r="L173" s="515">
        <f>E20</f>
        <v>0</v>
      </c>
    </row>
    <row r="174" spans="1:12" ht="15" customHeight="1">
      <c r="B174" s="375" t="s">
        <v>534</v>
      </c>
      <c r="L174" s="48">
        <f>L172*L173</f>
        <v>0</v>
      </c>
    </row>
    <row r="175" spans="1:12" ht="15" customHeight="1">
      <c r="B175" s="375" t="s">
        <v>573</v>
      </c>
      <c r="L175" s="423">
        <f>L166</f>
        <v>0</v>
      </c>
    </row>
    <row r="176" spans="1:12" ht="15" customHeight="1">
      <c r="B176" s="375" t="s">
        <v>574</v>
      </c>
      <c r="L176" s="24">
        <f>L174-L175</f>
        <v>0</v>
      </c>
    </row>
    <row r="178" spans="2:12" ht="15" customHeight="1">
      <c r="B178" s="375" t="s">
        <v>575</v>
      </c>
      <c r="L178" s="423">
        <f>C32</f>
        <v>0</v>
      </c>
    </row>
    <row r="179" spans="2:12" ht="15" customHeight="1">
      <c r="B179" s="375"/>
    </row>
    <row r="180" spans="2:12" ht="15" customHeight="1">
      <c r="B180" s="516" t="s">
        <v>539</v>
      </c>
      <c r="C180" s="517"/>
      <c r="D180" s="517"/>
      <c r="E180" s="517"/>
      <c r="F180" s="517"/>
      <c r="G180" s="517"/>
      <c r="H180" s="517"/>
      <c r="I180" s="517"/>
      <c r="J180" s="517"/>
      <c r="K180" s="517"/>
      <c r="L180" s="518" t="e">
        <f>L176/L178</f>
        <v>#DIV/0!</v>
      </c>
    </row>
    <row r="181" spans="2:12" ht="15" customHeight="1">
      <c r="B181" s="519" t="s">
        <v>541</v>
      </c>
      <c r="C181" s="520"/>
      <c r="D181" s="520"/>
      <c r="E181" s="520"/>
      <c r="F181" s="520"/>
      <c r="G181" s="520"/>
      <c r="H181" s="520"/>
      <c r="I181" s="520"/>
      <c r="J181" s="520"/>
      <c r="K181" s="520"/>
      <c r="L181" s="521" t="e">
        <f>L180^(1/5)-1</f>
        <v>#DIV/0!</v>
      </c>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727BB-C727-4554-A9ED-A855205D46AF}">
  <sheetPr>
    <tabColor theme="4" tint="-0.249977111117893"/>
  </sheetPr>
  <dimension ref="B1:AQ54"/>
  <sheetViews>
    <sheetView showGridLines="0" topLeftCell="N20" zoomScale="115" zoomScaleNormal="72" workbookViewId="0">
      <selection activeCell="U40" sqref="U40"/>
    </sheetView>
  </sheetViews>
  <sheetFormatPr defaultColWidth="9" defaultRowHeight="15" customHeight="1"/>
  <cols>
    <col min="1" max="1" width="2.125" style="23" customWidth="1"/>
    <col min="2" max="19" width="9" style="23"/>
    <col min="20" max="20" width="9" style="23" customWidth="1"/>
    <col min="21" max="24" width="9.125" style="23" customWidth="1"/>
    <col min="25" max="16384" width="9" style="23"/>
  </cols>
  <sheetData>
    <row r="1" spans="2:43" s="576" customFormat="1" ht="15" customHeight="1"/>
    <row r="2" spans="2:43" s="576" customFormat="1" ht="15" customHeight="1"/>
    <row r="3" spans="2:43" s="576" customFormat="1" ht="15" customHeight="1"/>
    <row r="4" spans="2:43" s="576" customFormat="1" ht="15" customHeight="1"/>
    <row r="5" spans="2:43" s="36" customFormat="1" ht="3.95" customHeight="1"/>
    <row r="7" spans="2:43" ht="15" customHeight="1">
      <c r="B7" s="372" t="s">
        <v>576</v>
      </c>
      <c r="C7" s="186"/>
      <c r="D7" s="186"/>
      <c r="E7" s="186"/>
      <c r="F7" s="186"/>
      <c r="G7" s="186"/>
      <c r="H7" s="186"/>
      <c r="I7" s="186"/>
      <c r="J7" s="186"/>
      <c r="K7" s="186"/>
      <c r="L7" s="186"/>
      <c r="M7" s="186"/>
      <c r="N7" s="186"/>
      <c r="O7" s="186"/>
      <c r="P7" s="186"/>
      <c r="R7" s="372" t="s">
        <v>577</v>
      </c>
      <c r="S7" s="186"/>
      <c r="T7" s="186"/>
      <c r="U7" s="186"/>
      <c r="V7" s="186"/>
      <c r="W7" s="186"/>
      <c r="X7" s="186"/>
      <c r="Y7" s="186"/>
      <c r="Z7" s="186"/>
    </row>
    <row r="8" spans="2:43" ht="15" customHeight="1">
      <c r="B8" s="186"/>
      <c r="C8" s="186"/>
      <c r="D8" s="186"/>
      <c r="E8" s="186"/>
      <c r="F8" s="186"/>
      <c r="G8" s="186"/>
      <c r="H8" s="186"/>
      <c r="I8" s="186"/>
      <c r="J8" s="186"/>
      <c r="K8" s="186"/>
      <c r="L8" s="186"/>
      <c r="M8" s="186"/>
      <c r="N8" s="186"/>
      <c r="O8" s="186"/>
      <c r="P8" s="186"/>
      <c r="R8" s="186"/>
      <c r="S8" s="186"/>
      <c r="T8" s="186"/>
      <c r="U8" s="186"/>
      <c r="V8" s="186"/>
      <c r="W8" s="186"/>
      <c r="X8" s="186"/>
      <c r="Y8" s="186"/>
      <c r="Z8" s="186"/>
    </row>
    <row r="9" spans="2:43" ht="15" customHeight="1">
      <c r="B9" s="186"/>
      <c r="C9" s="186"/>
      <c r="D9" s="186"/>
      <c r="E9" s="186"/>
      <c r="F9" s="186"/>
      <c r="G9" s="186"/>
      <c r="H9" s="186"/>
      <c r="I9" s="186"/>
      <c r="J9" s="186"/>
      <c r="K9" s="186"/>
      <c r="L9" s="186"/>
      <c r="M9" s="186"/>
      <c r="N9" s="186"/>
      <c r="O9" s="186"/>
      <c r="P9" s="186"/>
      <c r="R9" s="186"/>
      <c r="S9" s="186"/>
      <c r="T9" s="186"/>
      <c r="U9" s="186"/>
      <c r="V9" s="186"/>
      <c r="W9" s="186"/>
      <c r="X9" s="186"/>
      <c r="Y9" s="186"/>
      <c r="Z9" s="186"/>
    </row>
    <row r="10" spans="2:43" ht="3.95" customHeight="1">
      <c r="B10" s="36"/>
      <c r="C10" s="36"/>
      <c r="D10" s="36"/>
      <c r="E10" s="36"/>
      <c r="F10" s="36"/>
      <c r="G10" s="36"/>
      <c r="H10" s="36"/>
      <c r="I10" s="36"/>
      <c r="J10" s="36"/>
      <c r="K10" s="36"/>
      <c r="L10" s="36"/>
      <c r="M10" s="36"/>
      <c r="N10" s="36"/>
      <c r="O10" s="36"/>
      <c r="P10" s="36"/>
      <c r="R10" s="36"/>
      <c r="S10" s="36"/>
      <c r="T10" s="36"/>
      <c r="U10" s="36"/>
      <c r="V10" s="36"/>
      <c r="W10" s="36"/>
      <c r="X10" s="36"/>
      <c r="Y10" s="36"/>
      <c r="Z10" s="36"/>
    </row>
    <row r="14" spans="2:43" ht="15" customHeight="1">
      <c r="AA14" s="25"/>
      <c r="AB14" s="25"/>
      <c r="AC14" s="25"/>
      <c r="AD14" s="25"/>
      <c r="AE14" s="25"/>
      <c r="AF14" s="25"/>
      <c r="AG14" s="25"/>
      <c r="AH14" s="25"/>
      <c r="AI14" s="25"/>
      <c r="AJ14" s="25"/>
      <c r="AK14" s="25"/>
      <c r="AL14" s="25"/>
      <c r="AM14" s="25"/>
      <c r="AN14" s="25"/>
      <c r="AO14" s="25"/>
      <c r="AP14" s="25"/>
      <c r="AQ14" s="25"/>
    </row>
    <row r="15" spans="2:43" ht="15" customHeight="1">
      <c r="AA15" s="25"/>
      <c r="AB15" s="25"/>
      <c r="AC15" s="25"/>
      <c r="AD15" s="25"/>
      <c r="AE15" s="25"/>
      <c r="AF15" s="25"/>
      <c r="AG15" s="25"/>
      <c r="AH15" s="25"/>
      <c r="AI15" s="25"/>
      <c r="AJ15" s="25"/>
      <c r="AK15" s="25"/>
      <c r="AL15" s="25"/>
      <c r="AM15" s="25"/>
      <c r="AN15" s="25"/>
      <c r="AO15" s="25"/>
      <c r="AP15" s="25"/>
      <c r="AQ15" s="25"/>
    </row>
    <row r="16" spans="2:43" ht="15" customHeight="1">
      <c r="AA16" s="25"/>
      <c r="AB16" s="25"/>
      <c r="AC16" s="25"/>
      <c r="AD16" s="25"/>
      <c r="AE16" s="25"/>
      <c r="AF16" s="25"/>
      <c r="AG16" s="25"/>
      <c r="AH16" s="25"/>
      <c r="AI16" s="25"/>
      <c r="AJ16" s="25"/>
      <c r="AK16" s="25"/>
      <c r="AL16" s="25"/>
      <c r="AM16" s="25"/>
      <c r="AN16" s="25"/>
      <c r="AO16" s="25"/>
      <c r="AP16" s="25"/>
      <c r="AQ16" s="25"/>
    </row>
    <row r="17" spans="18:43" ht="15" customHeight="1">
      <c r="AA17" s="25"/>
      <c r="AB17" s="25"/>
      <c r="AC17" s="25"/>
      <c r="AD17" s="25"/>
      <c r="AE17" s="25"/>
      <c r="AF17" s="25"/>
      <c r="AG17" s="25"/>
      <c r="AH17" s="25"/>
      <c r="AI17" s="25"/>
      <c r="AJ17" s="25"/>
      <c r="AK17" s="25"/>
      <c r="AL17" s="25"/>
      <c r="AM17" s="25"/>
      <c r="AN17" s="25"/>
      <c r="AO17" s="25"/>
      <c r="AP17" s="25"/>
      <c r="AQ17" s="25"/>
    </row>
    <row r="18" spans="18:43" ht="15" customHeight="1">
      <c r="AA18" s="25"/>
      <c r="AB18" s="25"/>
      <c r="AC18" s="25"/>
      <c r="AD18" s="25"/>
      <c r="AE18" s="25"/>
      <c r="AF18" s="25"/>
      <c r="AG18" s="25"/>
      <c r="AH18" s="25"/>
      <c r="AI18" s="25"/>
      <c r="AJ18" s="25"/>
      <c r="AK18" s="25"/>
      <c r="AL18" s="25"/>
      <c r="AM18" s="25"/>
      <c r="AN18" s="25"/>
      <c r="AO18" s="25"/>
      <c r="AP18" s="25"/>
      <c r="AQ18" s="25"/>
    </row>
    <row r="19" spans="18:43" ht="15" customHeight="1">
      <c r="AA19" s="25"/>
      <c r="AB19" s="25"/>
      <c r="AC19" s="25"/>
      <c r="AD19" s="25"/>
      <c r="AE19" s="25"/>
      <c r="AF19" s="25"/>
      <c r="AG19" s="25"/>
      <c r="AH19" s="25"/>
      <c r="AI19" s="25"/>
      <c r="AJ19" s="25"/>
      <c r="AK19" s="25"/>
      <c r="AL19" s="25"/>
      <c r="AM19" s="25"/>
      <c r="AN19" s="25"/>
      <c r="AO19" s="25"/>
      <c r="AP19" s="25"/>
      <c r="AQ19" s="25"/>
    </row>
    <row r="20" spans="18:43" ht="15" customHeight="1">
      <c r="AA20" s="25"/>
      <c r="AB20" s="25"/>
      <c r="AC20" s="25"/>
      <c r="AD20" s="25"/>
      <c r="AE20" s="25"/>
      <c r="AF20" s="25"/>
      <c r="AG20" s="25"/>
      <c r="AH20" s="25"/>
      <c r="AI20" s="25"/>
      <c r="AJ20" s="25"/>
      <c r="AK20" s="25"/>
      <c r="AL20" s="25"/>
      <c r="AM20" s="25"/>
      <c r="AN20" s="25"/>
      <c r="AO20" s="25"/>
      <c r="AP20" s="25"/>
      <c r="AQ20" s="25"/>
    </row>
    <row r="21" spans="18:43" ht="15" customHeight="1">
      <c r="AA21" s="25"/>
      <c r="AB21" s="25"/>
      <c r="AC21" s="25"/>
      <c r="AD21" s="25"/>
      <c r="AE21" s="25"/>
      <c r="AF21" s="25"/>
      <c r="AG21" s="25"/>
      <c r="AH21" s="25"/>
      <c r="AI21" s="25"/>
      <c r="AJ21" s="25"/>
      <c r="AK21" s="25"/>
      <c r="AL21" s="25"/>
      <c r="AM21" s="25"/>
      <c r="AN21" s="25"/>
      <c r="AO21" s="25"/>
      <c r="AP21" s="25"/>
      <c r="AQ21" s="25"/>
    </row>
    <row r="22" spans="18:43" ht="15" customHeight="1">
      <c r="AA22" s="25"/>
      <c r="AB22" s="25"/>
      <c r="AC22" s="25"/>
      <c r="AD22" s="25"/>
      <c r="AE22" s="25"/>
      <c r="AF22" s="25"/>
      <c r="AG22" s="25"/>
      <c r="AH22" s="25"/>
      <c r="AI22" s="25"/>
      <c r="AJ22" s="25"/>
      <c r="AK22" s="25"/>
      <c r="AL22" s="25"/>
      <c r="AM22" s="25"/>
      <c r="AN22" s="25"/>
      <c r="AO22" s="25"/>
      <c r="AP22" s="25"/>
      <c r="AQ22" s="25"/>
    </row>
    <row r="23" spans="18:43" ht="15" customHeight="1">
      <c r="AA23" s="25"/>
      <c r="AB23" s="25"/>
      <c r="AC23" s="25"/>
      <c r="AD23" s="25"/>
      <c r="AE23" s="25"/>
      <c r="AF23" s="25"/>
      <c r="AG23" s="25"/>
      <c r="AH23" s="25"/>
      <c r="AI23" s="25"/>
      <c r="AJ23" s="25"/>
      <c r="AK23" s="25"/>
      <c r="AL23" s="25"/>
      <c r="AM23" s="25"/>
      <c r="AN23" s="25"/>
      <c r="AO23" s="25"/>
      <c r="AP23" s="25"/>
      <c r="AQ23" s="25"/>
    </row>
    <row r="24" spans="18:43" ht="15" customHeight="1">
      <c r="AA24" s="25"/>
      <c r="AB24" s="25"/>
      <c r="AC24" s="25"/>
      <c r="AD24" s="25"/>
      <c r="AE24" s="25"/>
      <c r="AF24" s="25"/>
      <c r="AG24" s="25"/>
      <c r="AH24" s="25"/>
      <c r="AI24" s="25"/>
      <c r="AJ24" s="25"/>
      <c r="AK24" s="25"/>
      <c r="AL24" s="25"/>
      <c r="AM24" s="25"/>
      <c r="AN24" s="25"/>
      <c r="AO24" s="25"/>
      <c r="AP24" s="25"/>
      <c r="AQ24" s="25"/>
    </row>
    <row r="25" spans="18:43" ht="15" customHeight="1">
      <c r="AA25" s="25"/>
      <c r="AB25" s="25"/>
      <c r="AC25" s="25"/>
      <c r="AD25" s="25"/>
      <c r="AE25" s="25"/>
      <c r="AF25" s="25"/>
      <c r="AG25" s="25"/>
      <c r="AH25" s="25"/>
      <c r="AI25" s="25"/>
      <c r="AJ25" s="25"/>
      <c r="AK25" s="25"/>
      <c r="AL25" s="25"/>
      <c r="AM25" s="25"/>
      <c r="AN25" s="25"/>
      <c r="AO25" s="25"/>
      <c r="AP25" s="25"/>
      <c r="AQ25" s="25"/>
    </row>
    <row r="26" spans="18:43" ht="15" customHeight="1">
      <c r="AA26" s="25"/>
      <c r="AB26" s="25"/>
      <c r="AC26" s="25"/>
      <c r="AD26" s="25"/>
      <c r="AE26" s="25"/>
      <c r="AF26" s="25"/>
      <c r="AG26" s="25"/>
      <c r="AH26" s="25"/>
      <c r="AI26" s="25"/>
      <c r="AJ26" s="25"/>
      <c r="AK26" s="25"/>
      <c r="AL26" s="25"/>
      <c r="AM26" s="25"/>
      <c r="AN26" s="25"/>
      <c r="AO26" s="25"/>
      <c r="AP26" s="25"/>
      <c r="AQ26" s="25"/>
    </row>
    <row r="27" spans="18:43" ht="15" customHeight="1">
      <c r="AA27" s="25"/>
      <c r="AB27" s="25"/>
      <c r="AC27" s="25"/>
      <c r="AD27" s="25"/>
      <c r="AE27" s="25"/>
      <c r="AF27" s="25"/>
      <c r="AG27" s="25"/>
      <c r="AH27" s="25"/>
      <c r="AI27" s="25"/>
      <c r="AJ27" s="25"/>
      <c r="AK27" s="25"/>
      <c r="AL27" s="25"/>
      <c r="AM27" s="25"/>
      <c r="AN27" s="25"/>
      <c r="AO27" s="25"/>
      <c r="AP27" s="25"/>
      <c r="AQ27" s="25"/>
    </row>
    <row r="28" spans="18:43" ht="15" customHeight="1">
      <c r="AA28" s="25"/>
      <c r="AB28" s="25"/>
      <c r="AC28" s="25"/>
      <c r="AD28" s="25" t="str" cm="1">
        <f t="array" ref="AD28:AL34">_xlfn.SORTBY(R38:Z44,Z38:Z44,1)</f>
        <v>Capex Intensity</v>
      </c>
      <c r="AE28" s="25">
        <v>0</v>
      </c>
      <c r="AF28" s="25">
        <v>0.01</v>
      </c>
      <c r="AG28" s="25">
        <v>0</v>
      </c>
      <c r="AH28" s="25">
        <v>24.28</v>
      </c>
      <c r="AI28" s="25">
        <v>24.4</v>
      </c>
      <c r="AJ28" s="25">
        <v>-5.9999999999998721E-2</v>
      </c>
      <c r="AK28" s="25">
        <v>5.9999999999998721E-2</v>
      </c>
      <c r="AL28" s="25">
        <v>5.9999999999998721E-2</v>
      </c>
      <c r="AM28" s="25"/>
      <c r="AN28" s="25"/>
      <c r="AO28" s="25"/>
      <c r="AP28" s="25"/>
      <c r="AQ28" s="25"/>
    </row>
    <row r="29" spans="18:43" ht="15" customHeight="1">
      <c r="AA29" s="25"/>
      <c r="AB29" s="25"/>
      <c r="AC29" s="25"/>
      <c r="AD29" s="25" t="str">
        <v>Terminal g</v>
      </c>
      <c r="AE29" s="25">
        <v>0</v>
      </c>
      <c r="AF29" s="25">
        <v>5.0000000000000001E-3</v>
      </c>
      <c r="AG29" s="25">
        <v>0</v>
      </c>
      <c r="AH29" s="25">
        <v>24</v>
      </c>
      <c r="AI29" s="25">
        <v>25</v>
      </c>
      <c r="AJ29" s="25">
        <v>-0.33999999999999986</v>
      </c>
      <c r="AK29" s="25">
        <v>0.66000000000000014</v>
      </c>
      <c r="AL29" s="25">
        <v>0.66000000000000014</v>
      </c>
      <c r="AM29" s="25"/>
      <c r="AN29" s="25"/>
      <c r="AO29" s="25"/>
      <c r="AP29" s="25"/>
      <c r="AQ29" s="25"/>
    </row>
    <row r="30" spans="18:43" ht="15" customHeight="1">
      <c r="AA30" s="25"/>
      <c r="AB30" s="25"/>
      <c r="AC30" s="25"/>
      <c r="AD30" s="25" t="str">
        <v>SG&amp;A Margin</v>
      </c>
      <c r="AE30" s="25">
        <v>0</v>
      </c>
      <c r="AF30" s="25">
        <v>0.01</v>
      </c>
      <c r="AG30" s="25">
        <v>0</v>
      </c>
      <c r="AH30" s="25">
        <v>23.25</v>
      </c>
      <c r="AI30" s="25">
        <v>25.44</v>
      </c>
      <c r="AJ30" s="25">
        <v>-1.0899999999999999</v>
      </c>
      <c r="AK30" s="25">
        <v>1.1000000000000014</v>
      </c>
      <c r="AL30" s="25">
        <v>1.1000000000000014</v>
      </c>
      <c r="AM30" s="25"/>
      <c r="AN30" s="25"/>
      <c r="AO30" s="25"/>
      <c r="AP30" s="25"/>
      <c r="AQ30" s="25"/>
    </row>
    <row r="31" spans="18:43" ht="15" customHeight="1">
      <c r="AA31" s="25"/>
      <c r="AB31" s="25"/>
      <c r="AC31" s="25"/>
      <c r="AD31" s="25" t="str">
        <v>WACC</v>
      </c>
      <c r="AE31" s="25">
        <v>0</v>
      </c>
      <c r="AF31" s="25">
        <v>5.0000000000000001E-3</v>
      </c>
      <c r="AG31" s="25">
        <v>0</v>
      </c>
      <c r="AH31" s="25">
        <v>23.25</v>
      </c>
      <c r="AI31" s="25">
        <v>25.48</v>
      </c>
      <c r="AJ31" s="25">
        <v>-1.0899999999999999</v>
      </c>
      <c r="AK31" s="25">
        <v>1.1400000000000006</v>
      </c>
      <c r="AL31" s="25">
        <v>1.1400000000000006</v>
      </c>
      <c r="AM31" s="25"/>
      <c r="AN31" s="25"/>
      <c r="AO31" s="25"/>
      <c r="AP31" s="25"/>
      <c r="AQ31" s="25"/>
    </row>
    <row r="32" spans="18:43" ht="15" customHeight="1">
      <c r="R32" s="372" t="s">
        <v>578</v>
      </c>
      <c r="S32" s="32"/>
      <c r="T32" s="32"/>
      <c r="U32" s="32"/>
      <c r="V32" s="372" t="s">
        <v>579</v>
      </c>
      <c r="W32" s="32"/>
      <c r="X32" s="32"/>
      <c r="Y32" s="32"/>
      <c r="Z32" s="37" t="s">
        <v>580</v>
      </c>
      <c r="AA32" s="25"/>
      <c r="AB32" s="25"/>
      <c r="AC32" s="25"/>
      <c r="AD32" s="25" t="str">
        <v>COGS Margin</v>
      </c>
      <c r="AE32" s="25">
        <v>0</v>
      </c>
      <c r="AF32" s="25">
        <v>0.02</v>
      </c>
      <c r="AG32" s="25">
        <v>0</v>
      </c>
      <c r="AH32" s="25">
        <v>22.4</v>
      </c>
      <c r="AI32" s="25">
        <v>26.31</v>
      </c>
      <c r="AJ32" s="25">
        <v>-1.9400000000000013</v>
      </c>
      <c r="AK32" s="25">
        <v>1.9699999999999989</v>
      </c>
      <c r="AL32" s="25">
        <v>1.9699999999999989</v>
      </c>
      <c r="AM32" s="25"/>
      <c r="AN32" s="25"/>
      <c r="AO32" s="25"/>
      <c r="AP32" s="25"/>
      <c r="AQ32" s="25"/>
    </row>
    <row r="33" spans="2:43" ht="15" customHeight="1">
      <c r="R33" s="33" t="s">
        <v>581</v>
      </c>
      <c r="T33" s="24">
        <f>+FCFF!AL167</f>
        <v>24.705057675525214</v>
      </c>
      <c r="V33" s="33" t="s">
        <v>582</v>
      </c>
      <c r="W33" s="97"/>
      <c r="X33" s="615">
        <v>25</v>
      </c>
      <c r="Z33" s="23" t="s">
        <v>409</v>
      </c>
      <c r="AA33" s="25"/>
      <c r="AB33" s="25"/>
      <c r="AC33" s="25"/>
      <c r="AD33" s="25" t="str">
        <v>EBITDA Exit</v>
      </c>
      <c r="AE33" s="25">
        <v>0</v>
      </c>
      <c r="AF33" s="25">
        <v>1.5</v>
      </c>
      <c r="AG33" s="25">
        <v>0</v>
      </c>
      <c r="AH33" s="25">
        <v>16.510000000000002</v>
      </c>
      <c r="AI33" s="25">
        <v>29.3</v>
      </c>
      <c r="AJ33" s="25">
        <v>-7.8299999999999983</v>
      </c>
      <c r="AK33" s="25">
        <v>4.9600000000000009</v>
      </c>
      <c r="AL33" s="25">
        <v>7.8299999999999983</v>
      </c>
      <c r="AM33" s="25"/>
      <c r="AN33" s="25"/>
      <c r="AO33" s="25"/>
      <c r="AP33" s="25"/>
      <c r="AQ33" s="25"/>
    </row>
    <row r="34" spans="2:43" ht="15" customHeight="1">
      <c r="C34" s="737"/>
      <c r="D34" s="737"/>
      <c r="E34" s="372" t="s">
        <v>583</v>
      </c>
      <c r="F34" s="372"/>
      <c r="G34" s="372" t="s">
        <v>584</v>
      </c>
      <c r="H34" s="372"/>
      <c r="I34" s="372" t="s">
        <v>585</v>
      </c>
      <c r="J34" s="372"/>
      <c r="R34" s="33" t="s">
        <v>586</v>
      </c>
      <c r="T34" s="736">
        <f>+FCFF!Z167</f>
        <v>22.904228793974578</v>
      </c>
      <c r="V34" s="105" t="s">
        <v>587</v>
      </c>
      <c r="W34" s="97"/>
      <c r="X34" s="615">
        <v>22.9</v>
      </c>
      <c r="AA34" s="25"/>
      <c r="AB34" s="25"/>
      <c r="AC34" s="25"/>
      <c r="AD34" s="25" t="str">
        <v>Revenue Exit</v>
      </c>
      <c r="AE34" s="25">
        <v>0</v>
      </c>
      <c r="AF34" s="25">
        <v>1</v>
      </c>
      <c r="AG34" s="25">
        <v>0</v>
      </c>
      <c r="AH34" s="25">
        <v>7.58</v>
      </c>
      <c r="AI34" s="25">
        <v>41.11</v>
      </c>
      <c r="AJ34" s="25">
        <v>-16.759999999999998</v>
      </c>
      <c r="AK34" s="25">
        <v>16.77</v>
      </c>
      <c r="AL34" s="25">
        <v>16.77</v>
      </c>
      <c r="AM34" s="25"/>
      <c r="AN34" s="25"/>
      <c r="AO34" s="25"/>
      <c r="AP34" s="25"/>
      <c r="AQ34" s="25"/>
    </row>
    <row r="35" spans="2:43" ht="15" customHeight="1">
      <c r="B35" s="372" t="s">
        <v>588</v>
      </c>
      <c r="C35" s="372"/>
      <c r="D35" s="372"/>
      <c r="E35" s="736"/>
      <c r="F35" s="736"/>
      <c r="G35" s="736"/>
      <c r="H35" s="736"/>
      <c r="I35" s="736"/>
      <c r="J35" s="736"/>
      <c r="R35" s="33" t="s">
        <v>589</v>
      </c>
      <c r="T35" s="736">
        <f>FCFF!AF167</f>
        <v>24.343911478814377</v>
      </c>
      <c r="V35" s="33" t="s">
        <v>590</v>
      </c>
      <c r="X35" s="616">
        <v>24.34</v>
      </c>
      <c r="AA35" s="25"/>
      <c r="AB35" s="25"/>
      <c r="AC35" s="25"/>
      <c r="AD35" s="25"/>
      <c r="AE35" s="25"/>
      <c r="AF35" s="25"/>
      <c r="AG35" s="25"/>
      <c r="AH35" s="25"/>
      <c r="AI35" s="25"/>
      <c r="AJ35" s="25"/>
      <c r="AK35" s="25"/>
      <c r="AL35" s="25"/>
      <c r="AM35" s="25"/>
      <c r="AN35" s="25"/>
      <c r="AO35" s="25"/>
      <c r="AP35" s="25"/>
      <c r="AQ35" s="25"/>
    </row>
    <row r="36" spans="2:43" ht="15" customHeight="1">
      <c r="B36" s="372" t="s">
        <v>591</v>
      </c>
      <c r="C36" s="372"/>
      <c r="D36" s="372"/>
      <c r="E36" s="736"/>
      <c r="F36" s="736"/>
      <c r="G36" s="736"/>
      <c r="H36" s="736"/>
      <c r="I36" s="736"/>
      <c r="J36" s="736"/>
      <c r="AA36" s="25"/>
      <c r="AB36" s="25"/>
      <c r="AC36" s="25"/>
      <c r="AD36" s="25"/>
      <c r="AE36" s="25"/>
      <c r="AF36" s="25"/>
      <c r="AG36" s="25"/>
      <c r="AH36" s="25"/>
      <c r="AI36" s="25"/>
      <c r="AJ36" s="25"/>
      <c r="AK36" s="25"/>
      <c r="AL36" s="25"/>
      <c r="AM36" s="25"/>
      <c r="AN36" s="25"/>
      <c r="AO36" s="25"/>
      <c r="AP36" s="25"/>
      <c r="AQ36" s="25"/>
    </row>
    <row r="37" spans="2:43" ht="15" customHeight="1">
      <c r="R37" s="32"/>
      <c r="S37" s="32"/>
      <c r="T37" s="595" t="s">
        <v>592</v>
      </c>
      <c r="U37" s="595" t="s">
        <v>593</v>
      </c>
      <c r="V37" s="596" t="s">
        <v>594</v>
      </c>
      <c r="W37" s="596" t="s">
        <v>595</v>
      </c>
      <c r="X37" s="595" t="s">
        <v>596</v>
      </c>
      <c r="Y37" s="595" t="s">
        <v>597</v>
      </c>
      <c r="Z37" s="595" t="s">
        <v>598</v>
      </c>
      <c r="AA37" s="25"/>
      <c r="AB37" s="25"/>
      <c r="AC37" s="25"/>
      <c r="AD37" s="25"/>
      <c r="AE37" s="25"/>
      <c r="AF37" s="25"/>
      <c r="AG37" s="25"/>
      <c r="AH37" s="25"/>
      <c r="AI37" s="25"/>
      <c r="AJ37" s="25"/>
      <c r="AK37" s="25"/>
      <c r="AL37" s="25"/>
      <c r="AM37" s="25"/>
      <c r="AN37" s="25"/>
      <c r="AO37" s="25"/>
      <c r="AP37" s="25"/>
      <c r="AQ37" s="25"/>
    </row>
    <row r="38" spans="2:43" ht="15" customHeight="1">
      <c r="R38" s="97" t="s">
        <v>599</v>
      </c>
      <c r="S38" s="97"/>
      <c r="T38" s="599">
        <v>0.01</v>
      </c>
      <c r="U38" s="597"/>
      <c r="V38" s="615">
        <v>24.28</v>
      </c>
      <c r="W38" s="615">
        <v>24.4</v>
      </c>
      <c r="X38" s="23" cm="1">
        <f t="array" ref="X38">+V38-_xlfn.IFS($Z$33="EBITDA",$X$34,$Z$33="Revenue",$X$35,$Z$33="Gordon",$X$33)</f>
        <v>-5.9999999999998721E-2</v>
      </c>
      <c r="Y38" s="23" cm="1">
        <f t="array" ref="Y38">+W38-_xlfn.IFS($Z$33="EBITDA",$X$34,$Z$33="Revenue",$X$35,$Z$33="Gordon",$X$33)</f>
        <v>5.9999999999998721E-2</v>
      </c>
      <c r="Z38" s="23">
        <f>MAX(ABS(X38),ABS(Y38))</f>
        <v>5.9999999999998721E-2</v>
      </c>
      <c r="AA38" s="25"/>
      <c r="AB38" s="25"/>
      <c r="AC38" s="25"/>
      <c r="AD38" s="25"/>
      <c r="AE38" s="25"/>
      <c r="AF38" s="25"/>
      <c r="AG38" s="25"/>
      <c r="AH38" s="25"/>
      <c r="AI38" s="25"/>
      <c r="AJ38" s="25"/>
      <c r="AK38" s="25"/>
      <c r="AL38" s="25"/>
      <c r="AM38" s="25"/>
      <c r="AN38" s="25"/>
      <c r="AO38" s="25"/>
      <c r="AP38" s="25"/>
      <c r="AQ38" s="25"/>
    </row>
    <row r="39" spans="2:43" ht="15" customHeight="1">
      <c r="R39" s="97" t="s">
        <v>600</v>
      </c>
      <c r="S39" s="338"/>
      <c r="T39" s="599">
        <v>0.02</v>
      </c>
      <c r="U39" s="597"/>
      <c r="V39" s="615">
        <v>22.4</v>
      </c>
      <c r="W39" s="615">
        <v>26.31</v>
      </c>
      <c r="X39" s="23" cm="1">
        <f t="array" ref="X39">+V39-_xlfn.IFS($Z$33="EBITDA",$X$34,$Z$33="Revenue",$X$35,$Z$33="Gordon",$X$33)</f>
        <v>-1.9400000000000013</v>
      </c>
      <c r="Y39" s="23" cm="1">
        <f t="array" ref="Y39">+W39-_xlfn.IFS($Z$33="EBITDA",$X$34,$Z$33="Revenue",$X$35,$Z$33="Gordon",$X$33)</f>
        <v>1.9699999999999989</v>
      </c>
      <c r="Z39" s="23">
        <f>MAX(ABS(X39),ABS(Y39))</f>
        <v>1.9699999999999989</v>
      </c>
      <c r="AA39" s="25"/>
      <c r="AB39" s="25"/>
      <c r="AC39" s="25"/>
      <c r="AD39" s="25"/>
      <c r="AE39" s="25"/>
      <c r="AF39" s="25"/>
      <c r="AG39" s="25"/>
      <c r="AH39" s="25"/>
      <c r="AI39" s="25"/>
      <c r="AJ39" s="25"/>
      <c r="AK39" s="25"/>
      <c r="AL39" s="25"/>
      <c r="AM39" s="25"/>
      <c r="AN39" s="25"/>
      <c r="AO39" s="25"/>
      <c r="AP39" s="25"/>
      <c r="AQ39" s="25"/>
    </row>
    <row r="40" spans="2:43" ht="15" customHeight="1">
      <c r="R40" s="97" t="s">
        <v>601</v>
      </c>
      <c r="S40" s="97"/>
      <c r="T40" s="599">
        <v>0.01</v>
      </c>
      <c r="U40" s="597"/>
      <c r="V40" s="616">
        <v>23.25</v>
      </c>
      <c r="W40" s="616">
        <v>25.44</v>
      </c>
      <c r="X40" s="23" cm="1">
        <f t="array" ref="X40">+V40-_xlfn.IFS($Z$33="EBITDA",$X$34,$Z$33="Revenue",$X$35,$Z$33="Gordon",$X$33)</f>
        <v>-1.0899999999999999</v>
      </c>
      <c r="Y40" s="23" cm="1">
        <f t="array" ref="Y40">+W40-_xlfn.IFS($Z$33="EBITDA",$X$34,$Z$33="Revenue",$X$35,$Z$33="Gordon",$X$33)</f>
        <v>1.1000000000000014</v>
      </c>
      <c r="Z40" s="23">
        <f t="shared" ref="Z40:Z44" si="0">MAX(ABS(X40),ABS(Y40))</f>
        <v>1.1000000000000014</v>
      </c>
      <c r="AA40" s="25"/>
      <c r="AB40" s="25"/>
      <c r="AC40" s="25"/>
      <c r="AD40" s="25"/>
      <c r="AE40" s="25"/>
      <c r="AF40" s="25"/>
      <c r="AG40" s="25"/>
      <c r="AH40" s="25"/>
      <c r="AI40" s="25"/>
      <c r="AJ40" s="25"/>
      <c r="AK40" s="25"/>
      <c r="AL40" s="25"/>
      <c r="AM40" s="25"/>
      <c r="AN40" s="25"/>
      <c r="AO40" s="25"/>
      <c r="AP40" s="25"/>
      <c r="AQ40" s="25"/>
    </row>
    <row r="41" spans="2:43" ht="15" customHeight="1">
      <c r="R41" s="97" t="s">
        <v>400</v>
      </c>
      <c r="S41" s="97"/>
      <c r="T41" s="599">
        <v>5.0000000000000001E-3</v>
      </c>
      <c r="U41" s="597"/>
      <c r="V41" s="615">
        <v>23.25</v>
      </c>
      <c r="W41" s="616">
        <v>25.48</v>
      </c>
      <c r="X41" s="23" cm="1">
        <f t="array" ref="X41">+V41-_xlfn.IFS($Z$33="EBITDA",$X$34,$Z$33="Revenue",$X$35,$Z$33="Gordon",$X$33)</f>
        <v>-1.0899999999999999</v>
      </c>
      <c r="Y41" s="23" cm="1">
        <f t="array" ref="Y41">+W41-_xlfn.IFS($Z$33="EBITDA",$X$34,$Z$33="Revenue",$X$35,$Z$33="Gordon",$X$33)</f>
        <v>1.1400000000000006</v>
      </c>
      <c r="Z41" s="23">
        <f t="shared" si="0"/>
        <v>1.1400000000000006</v>
      </c>
      <c r="AA41" s="25"/>
      <c r="AB41" s="25"/>
      <c r="AC41" s="25"/>
      <c r="AD41" s="25"/>
      <c r="AE41" s="25"/>
      <c r="AF41" s="25"/>
      <c r="AG41" s="25"/>
      <c r="AH41" s="25"/>
      <c r="AI41" s="25"/>
      <c r="AJ41" s="25"/>
      <c r="AK41" s="25"/>
      <c r="AL41" s="25"/>
      <c r="AM41" s="25"/>
      <c r="AN41" s="25"/>
      <c r="AO41" s="25"/>
      <c r="AP41" s="25"/>
      <c r="AQ41" s="25"/>
    </row>
    <row r="42" spans="2:43" ht="15" customHeight="1">
      <c r="R42" s="97" t="s">
        <v>602</v>
      </c>
      <c r="S42" s="97"/>
      <c r="T42" s="599">
        <v>5.0000000000000001E-3</v>
      </c>
      <c r="U42" s="597"/>
      <c r="V42" s="615">
        <v>24</v>
      </c>
      <c r="W42" s="616">
        <v>25</v>
      </c>
      <c r="X42" s="23" cm="1">
        <f t="array" ref="X42">+V42-_xlfn.IFS($Z$33="EBITDA",$X$34,$Z$33="Revenue",$X$35,$Z$33="Gordon",$X$33)</f>
        <v>-0.33999999999999986</v>
      </c>
      <c r="Y42" s="23" cm="1">
        <f t="array" ref="Y42">+W42-_xlfn.IFS($Z$33="EBITDA",$X$34,$Z$33="Revenue",$X$35,$Z$33="Gordon",$X$33)</f>
        <v>0.66000000000000014</v>
      </c>
      <c r="Z42" s="23">
        <f t="shared" si="0"/>
        <v>0.66000000000000014</v>
      </c>
      <c r="AA42" s="25"/>
      <c r="AB42" s="25"/>
      <c r="AC42" s="25"/>
      <c r="AD42" s="25"/>
      <c r="AE42" s="25"/>
      <c r="AF42" s="25"/>
      <c r="AG42" s="25"/>
      <c r="AH42" s="25"/>
      <c r="AI42" s="25"/>
      <c r="AJ42" s="25"/>
      <c r="AK42" s="25"/>
      <c r="AL42" s="25"/>
      <c r="AM42" s="25"/>
      <c r="AN42" s="25"/>
      <c r="AO42" s="25"/>
      <c r="AP42" s="25"/>
      <c r="AQ42" s="25"/>
    </row>
    <row r="43" spans="2:43" ht="15" customHeight="1">
      <c r="R43" s="97" t="s">
        <v>603</v>
      </c>
      <c r="S43" s="97"/>
      <c r="T43" s="600">
        <v>1.5</v>
      </c>
      <c r="U43" s="598"/>
      <c r="V43" s="616">
        <v>16.510000000000002</v>
      </c>
      <c r="W43" s="616">
        <v>29.3</v>
      </c>
      <c r="X43" s="23" cm="1">
        <f t="array" ref="X43">+V43-_xlfn.IFS($Z$33="EBITDA",$X$34,$Z$33="Revenue",$X$35,$Z$33="Gordon",$X$33)</f>
        <v>-7.8299999999999983</v>
      </c>
      <c r="Y43" s="23" cm="1">
        <f t="array" ref="Y43">+W43-_xlfn.IFS($Z$33="EBITDA",$X$34,$Z$33="Revenue",$X$35,$Z$33="Gordon",$X$33)</f>
        <v>4.9600000000000009</v>
      </c>
      <c r="Z43" s="23">
        <f t="shared" si="0"/>
        <v>7.8299999999999983</v>
      </c>
      <c r="AA43" s="25"/>
      <c r="AB43" s="25"/>
      <c r="AC43" s="25"/>
      <c r="AD43" s="25"/>
      <c r="AE43" s="25"/>
      <c r="AF43" s="25"/>
      <c r="AG43" s="25"/>
      <c r="AH43" s="25"/>
      <c r="AI43" s="25"/>
      <c r="AJ43" s="25"/>
      <c r="AK43" s="25"/>
      <c r="AL43" s="25"/>
      <c r="AM43" s="25"/>
      <c r="AN43" s="25"/>
      <c r="AO43" s="25"/>
      <c r="AP43" s="25"/>
      <c r="AQ43" s="25"/>
    </row>
    <row r="44" spans="2:43" ht="15" customHeight="1">
      <c r="R44" s="97" t="s">
        <v>504</v>
      </c>
      <c r="S44" s="97"/>
      <c r="T44" s="600">
        <v>1</v>
      </c>
      <c r="U44" s="598"/>
      <c r="V44" s="615">
        <v>7.58</v>
      </c>
      <c r="W44" s="616">
        <v>41.11</v>
      </c>
      <c r="X44" s="23" cm="1">
        <f t="array" ref="X44">+V44-_xlfn.IFS($Z$33="EBITDA",$X$34,$Z$33="Revenue",$X$35,$Z$33="Gordon",$X$33)</f>
        <v>-16.759999999999998</v>
      </c>
      <c r="Y44" s="23" cm="1">
        <f t="array" ref="Y44">+W44-_xlfn.IFS($Z$33="EBITDA",$X$34,$Z$33="Revenue",$X$35,$Z$33="Gordon",$X$33)</f>
        <v>16.77</v>
      </c>
      <c r="Z44" s="23">
        <f t="shared" si="0"/>
        <v>16.77</v>
      </c>
      <c r="AA44" s="25"/>
      <c r="AB44" s="25"/>
      <c r="AC44" s="25"/>
      <c r="AD44" s="25"/>
      <c r="AE44" s="25"/>
      <c r="AF44" s="25"/>
      <c r="AG44" s="25"/>
      <c r="AH44" s="25"/>
      <c r="AI44" s="25"/>
      <c r="AJ44" s="25"/>
      <c r="AK44" s="25"/>
      <c r="AL44" s="25"/>
      <c r="AM44" s="25"/>
      <c r="AN44" s="25"/>
      <c r="AO44" s="25"/>
      <c r="AP44" s="25"/>
      <c r="AQ44" s="25"/>
    </row>
    <row r="45" spans="2:43" ht="15" customHeight="1">
      <c r="AA45" s="25"/>
      <c r="AB45" s="25"/>
      <c r="AC45" s="25"/>
      <c r="AD45" s="25"/>
      <c r="AE45" s="25"/>
      <c r="AF45" s="25"/>
      <c r="AG45" s="25"/>
      <c r="AH45" s="25"/>
      <c r="AI45" s="25"/>
      <c r="AJ45" s="25"/>
      <c r="AK45" s="25"/>
      <c r="AL45" s="25"/>
      <c r="AM45" s="25"/>
      <c r="AN45" s="25"/>
      <c r="AO45" s="25"/>
      <c r="AP45" s="25"/>
      <c r="AQ45" s="25"/>
    </row>
    <row r="46" spans="2:43" ht="15" customHeight="1">
      <c r="AA46" s="25"/>
      <c r="AB46" s="25"/>
      <c r="AC46" s="25"/>
      <c r="AD46" s="25"/>
      <c r="AE46" s="25"/>
      <c r="AF46" s="25"/>
      <c r="AG46" s="25"/>
      <c r="AH46" s="25"/>
      <c r="AI46" s="25"/>
      <c r="AJ46" s="25"/>
      <c r="AK46" s="25"/>
      <c r="AL46" s="25"/>
      <c r="AM46" s="25"/>
      <c r="AN46" s="25"/>
      <c r="AO46" s="25"/>
      <c r="AP46" s="25"/>
      <c r="AQ46" s="25"/>
    </row>
    <row r="47" spans="2:43" ht="15" customHeight="1">
      <c r="AA47" s="25"/>
      <c r="AB47" s="25"/>
      <c r="AC47" s="25"/>
      <c r="AD47" s="25"/>
      <c r="AE47" s="25"/>
      <c r="AF47" s="25"/>
      <c r="AG47" s="25"/>
      <c r="AH47" s="25"/>
      <c r="AI47" s="25"/>
      <c r="AJ47" s="25"/>
      <c r="AK47" s="25"/>
      <c r="AL47" s="25"/>
      <c r="AM47" s="25"/>
      <c r="AN47" s="25"/>
      <c r="AO47" s="25"/>
      <c r="AP47" s="25"/>
      <c r="AQ47" s="25"/>
    </row>
    <row r="48" spans="2:43" ht="15" customHeight="1">
      <c r="AA48" s="25"/>
      <c r="AB48" s="25"/>
      <c r="AC48" s="25"/>
      <c r="AD48" s="25"/>
      <c r="AE48" s="25"/>
      <c r="AF48" s="25"/>
      <c r="AG48" s="25"/>
      <c r="AH48" s="25"/>
      <c r="AI48" s="25"/>
      <c r="AJ48" s="25"/>
      <c r="AK48" s="25"/>
      <c r="AL48" s="25"/>
      <c r="AM48" s="25"/>
      <c r="AN48" s="25"/>
      <c r="AO48" s="25"/>
      <c r="AP48" s="25"/>
      <c r="AQ48" s="25"/>
    </row>
    <row r="49" spans="27:43" ht="15" customHeight="1">
      <c r="AA49" s="25"/>
      <c r="AB49" s="25"/>
      <c r="AC49" s="25"/>
      <c r="AD49" s="25"/>
      <c r="AE49" s="25"/>
      <c r="AF49" s="25"/>
      <c r="AG49" s="25"/>
      <c r="AH49" s="25"/>
      <c r="AI49" s="25"/>
      <c r="AJ49" s="25"/>
      <c r="AK49" s="25"/>
      <c r="AL49" s="25"/>
      <c r="AM49" s="25"/>
      <c r="AN49" s="25"/>
      <c r="AO49" s="25"/>
      <c r="AP49" s="25"/>
      <c r="AQ49" s="25"/>
    </row>
    <row r="50" spans="27:43" ht="15" customHeight="1">
      <c r="AA50" s="25"/>
      <c r="AB50" s="25"/>
      <c r="AC50" s="25"/>
      <c r="AD50" s="25"/>
      <c r="AE50" s="25"/>
      <c r="AF50" s="25"/>
      <c r="AG50" s="25"/>
      <c r="AH50" s="25"/>
      <c r="AI50" s="25"/>
      <c r="AJ50" s="25"/>
      <c r="AK50" s="25"/>
      <c r="AL50" s="25"/>
      <c r="AM50" s="25"/>
      <c r="AN50" s="25"/>
      <c r="AO50" s="25"/>
      <c r="AP50" s="25"/>
      <c r="AQ50" s="25"/>
    </row>
    <row r="51" spans="27:43" ht="15" customHeight="1">
      <c r="AA51" s="25"/>
      <c r="AB51" s="25"/>
      <c r="AC51" s="25"/>
      <c r="AD51" s="25"/>
      <c r="AE51" s="25"/>
      <c r="AF51" s="25"/>
      <c r="AG51" s="25"/>
      <c r="AH51" s="25"/>
      <c r="AI51" s="25"/>
      <c r="AJ51" s="25"/>
      <c r="AK51" s="25"/>
      <c r="AL51" s="25"/>
      <c r="AM51" s="25"/>
      <c r="AN51" s="25"/>
      <c r="AO51" s="25"/>
      <c r="AP51" s="25"/>
      <c r="AQ51" s="25"/>
    </row>
    <row r="52" spans="27:43" ht="15" customHeight="1">
      <c r="AA52" s="25"/>
      <c r="AB52" s="25"/>
      <c r="AC52" s="25"/>
      <c r="AD52" s="25"/>
      <c r="AE52" s="25"/>
      <c r="AF52" s="25"/>
      <c r="AG52" s="25"/>
      <c r="AH52" s="25"/>
      <c r="AI52" s="25"/>
      <c r="AJ52" s="25"/>
      <c r="AK52" s="25"/>
      <c r="AL52" s="25"/>
      <c r="AM52" s="25"/>
      <c r="AN52" s="25"/>
      <c r="AO52" s="25"/>
      <c r="AP52" s="25"/>
      <c r="AQ52" s="25"/>
    </row>
    <row r="53" spans="27:43" ht="15" customHeight="1">
      <c r="AA53" s="25"/>
      <c r="AB53" s="25"/>
      <c r="AC53" s="25"/>
      <c r="AD53" s="25"/>
      <c r="AE53" s="25"/>
      <c r="AF53" s="25"/>
      <c r="AG53" s="25"/>
      <c r="AH53" s="25"/>
      <c r="AI53" s="25"/>
      <c r="AJ53" s="25"/>
      <c r="AK53" s="25"/>
      <c r="AL53" s="25"/>
      <c r="AM53" s="25"/>
      <c r="AN53" s="25"/>
      <c r="AO53" s="25"/>
      <c r="AP53" s="25"/>
      <c r="AQ53" s="25"/>
    </row>
    <row r="54" spans="27:43" ht="15" customHeight="1">
      <c r="AA54" s="25"/>
      <c r="AB54" s="25"/>
      <c r="AC54" s="25"/>
      <c r="AD54" s="25"/>
      <c r="AE54" s="25"/>
      <c r="AF54" s="25"/>
      <c r="AG54" s="25"/>
      <c r="AH54" s="25"/>
      <c r="AI54" s="25"/>
      <c r="AJ54" s="25"/>
      <c r="AK54" s="25"/>
      <c r="AL54" s="25"/>
      <c r="AM54" s="25"/>
      <c r="AN54" s="25"/>
      <c r="AO54" s="25"/>
      <c r="AP54" s="25"/>
      <c r="AQ54" s="25"/>
    </row>
  </sheetData>
  <dataValidations disablePrompts="1" count="1">
    <dataValidation type="list" allowBlank="1" showInputMessage="1" showErrorMessage="1" sqref="Z33" xr:uid="{CA918BB2-7643-46AD-A5C9-F8292C1ABE7A}">
      <formula1>"Gordon, EBITDA, Revenue"</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4" tint="-0.249977111117893"/>
  </sheetPr>
  <dimension ref="A1:AX65"/>
  <sheetViews>
    <sheetView showGridLines="0" topLeftCell="A7" zoomScale="55" zoomScaleNormal="55" workbookViewId="0">
      <selection activeCell="E50" sqref="E50"/>
    </sheetView>
  </sheetViews>
  <sheetFormatPr defaultColWidth="9" defaultRowHeight="14.25" customHeight="1" outlineLevelCol="1"/>
  <cols>
    <col min="1" max="1" width="2.125" style="97" customWidth="1"/>
    <col min="2" max="2" width="50.625" style="97" customWidth="1"/>
    <col min="3" max="3" width="3.375" style="23" customWidth="1"/>
    <col min="4" max="7" width="9.625" style="97" customWidth="1" outlineLevel="1"/>
    <col min="8" max="8" width="11.625" style="97" customWidth="1"/>
    <col min="9" max="9" width="1.625" style="23" customWidth="1"/>
    <col min="10" max="13" width="9.625" style="97" customWidth="1" outlineLevel="1"/>
    <col min="14" max="14" width="11.625" style="97" customWidth="1"/>
    <col min="15" max="15" width="1.625" style="23" customWidth="1"/>
    <col min="16" max="19" width="9.625" style="97" customWidth="1" outlineLevel="1"/>
    <col min="20" max="20" width="11.625" style="97" customWidth="1"/>
    <col min="21" max="21" width="1.625" style="23" customWidth="1"/>
    <col min="22" max="25" width="9.625" style="97" customWidth="1" outlineLevel="1"/>
    <col min="26" max="26" width="11.625" style="97" customWidth="1"/>
    <col min="27" max="27" width="1.625" style="23" customWidth="1"/>
    <col min="28" max="31" width="9.625" style="97" customWidth="1" outlineLevel="1"/>
    <col min="32" max="32" width="11.625" style="97" customWidth="1"/>
    <col min="33" max="33" width="1.625" style="23" customWidth="1"/>
    <col min="34" max="37" width="9.625" style="97" customWidth="1" outlineLevel="1"/>
    <col min="38" max="38" width="11.625" style="97" customWidth="1"/>
    <col min="39" max="39" width="1.625" style="23" customWidth="1"/>
    <col min="40" max="43" width="9.625" style="97" customWidth="1" outlineLevel="1"/>
    <col min="44" max="44" width="11.625" style="97" customWidth="1"/>
    <col min="45" max="45" width="1.625" style="23" customWidth="1"/>
    <col min="46" max="46" width="11.625" style="97" customWidth="1"/>
    <col min="47" max="47" width="1.625" style="23" customWidth="1"/>
    <col min="48" max="48" width="11.625" style="105" customWidth="1"/>
    <col min="49" max="49" width="1.625" style="23" customWidth="1"/>
    <col min="50" max="50" width="11.625" style="97" customWidth="1"/>
    <col min="51" max="51" width="1.625" style="97" customWidth="1"/>
    <col min="52" max="16384" width="9" style="97"/>
  </cols>
  <sheetData>
    <row r="1" spans="2:50" s="576" customFormat="1" ht="15" customHeight="1"/>
    <row r="2" spans="2:50" s="576" customFormat="1" ht="15" customHeight="1"/>
    <row r="3" spans="2:50" s="576" customFormat="1" ht="15" customHeight="1"/>
    <row r="4" spans="2:50" s="576" customFormat="1" ht="15" customHeight="1"/>
    <row r="5" spans="2:50" s="288" customFormat="1" ht="3.95" customHeight="1">
      <c r="C5" s="36"/>
      <c r="I5" s="36"/>
      <c r="O5" s="36"/>
      <c r="U5" s="36"/>
      <c r="AA5" s="36"/>
      <c r="AG5" s="36"/>
      <c r="AM5" s="36"/>
      <c r="AS5" s="36"/>
      <c r="AU5" s="36"/>
      <c r="AV5" s="289"/>
      <c r="AW5" s="36"/>
    </row>
    <row r="7" spans="2:50" s="41" customFormat="1" ht="15" customHeight="1">
      <c r="B7" s="161" t="s">
        <v>411</v>
      </c>
      <c r="C7" s="18"/>
      <c r="D7" s="202">
        <v>2020</v>
      </c>
      <c r="E7" s="202">
        <v>2020</v>
      </c>
      <c r="F7" s="202">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2:50" s="41" customFormat="1" ht="15" customHeight="1">
      <c r="B8" s="164"/>
      <c r="C8" s="18"/>
      <c r="D8" s="756">
        <v>2020</v>
      </c>
      <c r="E8" s="756"/>
      <c r="F8" s="756"/>
      <c r="G8" s="756"/>
      <c r="H8" s="756"/>
      <c r="I8" s="169"/>
      <c r="J8" s="756">
        <v>2021</v>
      </c>
      <c r="K8" s="756"/>
      <c r="L8" s="756"/>
      <c r="M8" s="756"/>
      <c r="N8" s="756"/>
      <c r="O8" s="169"/>
      <c r="P8" s="756">
        <v>2022</v>
      </c>
      <c r="Q8" s="756"/>
      <c r="R8" s="756"/>
      <c r="S8" s="756"/>
      <c r="T8" s="756"/>
      <c r="U8" s="169"/>
      <c r="V8" s="756">
        <v>2023</v>
      </c>
      <c r="W8" s="756"/>
      <c r="X8" s="756"/>
      <c r="Y8" s="756"/>
      <c r="Z8" s="756"/>
      <c r="AA8" s="169"/>
      <c r="AB8" s="756">
        <v>2024</v>
      </c>
      <c r="AC8" s="756"/>
      <c r="AD8" s="756"/>
      <c r="AE8" s="756"/>
      <c r="AF8" s="756"/>
      <c r="AG8" s="169"/>
      <c r="AH8" s="755">
        <v>2025</v>
      </c>
      <c r="AI8" s="755"/>
      <c r="AJ8" s="755"/>
      <c r="AK8" s="755"/>
      <c r="AL8" s="755"/>
      <c r="AM8" s="169"/>
      <c r="AN8" s="755">
        <v>2026</v>
      </c>
      <c r="AO8" s="755"/>
      <c r="AP8" s="755"/>
      <c r="AQ8" s="755"/>
      <c r="AR8" s="755"/>
      <c r="AS8" s="171"/>
      <c r="AT8" s="166">
        <v>2027</v>
      </c>
      <c r="AU8" s="167"/>
      <c r="AV8" s="166">
        <v>2028</v>
      </c>
      <c r="AW8" s="167"/>
      <c r="AX8" s="166">
        <v>2029</v>
      </c>
    </row>
    <row r="9" spans="2:50" s="41" customFormat="1" ht="14.25" customHeight="1">
      <c r="B9" s="164"/>
      <c r="C9" s="18"/>
      <c r="D9" s="168" t="s">
        <v>207</v>
      </c>
      <c r="E9" s="168" t="s">
        <v>208</v>
      </c>
      <c r="F9" s="168" t="s">
        <v>209</v>
      </c>
      <c r="G9" s="168" t="s">
        <v>210</v>
      </c>
      <c r="H9" s="168" t="s">
        <v>211</v>
      </c>
      <c r="I9" s="18"/>
      <c r="J9" s="168" t="s">
        <v>207</v>
      </c>
      <c r="K9" s="168" t="s">
        <v>208</v>
      </c>
      <c r="L9" s="168" t="s">
        <v>209</v>
      </c>
      <c r="M9" s="168" t="s">
        <v>210</v>
      </c>
      <c r="N9" s="168" t="s">
        <v>211</v>
      </c>
      <c r="O9" s="165"/>
      <c r="P9" s="168" t="s">
        <v>207</v>
      </c>
      <c r="Q9" s="168" t="s">
        <v>208</v>
      </c>
      <c r="R9" s="168" t="s">
        <v>209</v>
      </c>
      <c r="S9" s="168" t="s">
        <v>210</v>
      </c>
      <c r="T9" s="168" t="s">
        <v>211</v>
      </c>
      <c r="U9" s="165"/>
      <c r="V9" s="168" t="s">
        <v>207</v>
      </c>
      <c r="W9" s="168" t="s">
        <v>208</v>
      </c>
      <c r="X9" s="168" t="s">
        <v>209</v>
      </c>
      <c r="Y9" s="168" t="s">
        <v>210</v>
      </c>
      <c r="Z9" s="168" t="s">
        <v>211</v>
      </c>
      <c r="AA9" s="165"/>
      <c r="AB9" s="168" t="s">
        <v>207</v>
      </c>
      <c r="AC9" s="168" t="s">
        <v>208</v>
      </c>
      <c r="AD9" s="168" t="s">
        <v>209</v>
      </c>
      <c r="AE9" s="168" t="s">
        <v>210</v>
      </c>
      <c r="AF9" s="168" t="s">
        <v>211</v>
      </c>
      <c r="AG9" s="165"/>
      <c r="AH9" s="168" t="s">
        <v>207</v>
      </c>
      <c r="AI9" s="168" t="s">
        <v>208</v>
      </c>
      <c r="AJ9" s="168" t="s">
        <v>209</v>
      </c>
      <c r="AK9" s="168" t="s">
        <v>210</v>
      </c>
      <c r="AL9" s="168" t="s">
        <v>211</v>
      </c>
      <c r="AM9" s="165"/>
      <c r="AN9" s="168" t="s">
        <v>207</v>
      </c>
      <c r="AO9" s="168" t="s">
        <v>208</v>
      </c>
      <c r="AP9" s="168" t="s">
        <v>209</v>
      </c>
      <c r="AQ9" s="168" t="s">
        <v>210</v>
      </c>
      <c r="AR9" s="168" t="s">
        <v>211</v>
      </c>
      <c r="AS9" s="165"/>
      <c r="AT9" s="168" t="s">
        <v>211</v>
      </c>
      <c r="AU9" s="165"/>
      <c r="AV9" s="168" t="s">
        <v>211</v>
      </c>
      <c r="AW9" s="165"/>
      <c r="AX9" s="168" t="s">
        <v>211</v>
      </c>
    </row>
    <row r="10" spans="2:50" s="41" customFormat="1" ht="3.95" customHeight="1">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2:50" s="41" customFormat="1" ht="3.95" customHeight="1">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2:50" s="54" customFormat="1" ht="14.25" customHeight="1">
      <c r="B12" s="45" t="s">
        <v>604</v>
      </c>
      <c r="C12" s="23"/>
      <c r="D12" s="46"/>
      <c r="E12" s="46"/>
      <c r="F12" s="46"/>
      <c r="G12" s="46"/>
      <c r="H12" s="47"/>
      <c r="I12" s="48"/>
      <c r="J12" s="46"/>
      <c r="K12" s="46"/>
      <c r="L12" s="46"/>
      <c r="M12" s="46"/>
      <c r="N12" s="47"/>
      <c r="O12" s="47"/>
      <c r="P12" s="46"/>
      <c r="Q12" s="46"/>
      <c r="R12" s="46"/>
      <c r="S12" s="46"/>
      <c r="T12" s="47"/>
      <c r="U12" s="47"/>
      <c r="V12" s="46"/>
      <c r="W12" s="46"/>
      <c r="X12" s="46"/>
      <c r="Y12" s="46"/>
      <c r="Z12" s="47"/>
      <c r="AA12" s="47"/>
      <c r="AB12" s="46"/>
      <c r="AC12" s="46"/>
      <c r="AD12" s="46"/>
      <c r="AE12" s="46"/>
      <c r="AF12" s="47"/>
      <c r="AG12" s="49"/>
      <c r="AH12" s="46"/>
      <c r="AI12" s="46"/>
      <c r="AJ12" s="50"/>
      <c r="AK12" s="50"/>
      <c r="AL12" s="47"/>
      <c r="AM12" s="51"/>
      <c r="AN12" s="50"/>
      <c r="AO12" s="50"/>
      <c r="AP12" s="50"/>
      <c r="AQ12" s="50"/>
      <c r="AR12" s="47"/>
      <c r="AS12" s="51"/>
      <c r="AT12" s="52"/>
      <c r="AU12" s="53"/>
      <c r="AV12" s="52"/>
      <c r="AW12" s="53"/>
      <c r="AX12" s="52"/>
    </row>
    <row r="13" spans="2:50" s="54" customFormat="1" ht="14.25" customHeight="1">
      <c r="B13" s="56" t="s">
        <v>605</v>
      </c>
      <c r="C13" s="23"/>
      <c r="D13" s="50"/>
      <c r="E13" s="50"/>
      <c r="F13" s="50"/>
      <c r="G13" s="50"/>
      <c r="H13" s="52"/>
      <c r="I13" s="48"/>
      <c r="J13" s="50"/>
      <c r="K13" s="50"/>
      <c r="L13" s="50"/>
      <c r="M13" s="50"/>
      <c r="N13" s="52"/>
      <c r="O13" s="47"/>
      <c r="P13" s="50"/>
      <c r="Q13" s="50"/>
      <c r="R13" s="50"/>
      <c r="S13" s="50"/>
      <c r="T13" s="52"/>
      <c r="U13" s="47"/>
      <c r="V13" s="50"/>
      <c r="W13" s="50"/>
      <c r="X13" s="50"/>
      <c r="Y13" s="50"/>
      <c r="Z13" s="52"/>
      <c r="AA13" s="47"/>
      <c r="AB13" s="50"/>
      <c r="AC13" s="50"/>
      <c r="AD13" s="50"/>
      <c r="AE13" s="50"/>
      <c r="AF13" s="52"/>
      <c r="AG13" s="49"/>
      <c r="AH13" s="50"/>
      <c r="AI13" s="50"/>
      <c r="AJ13" s="50"/>
      <c r="AK13" s="50"/>
      <c r="AL13" s="52"/>
      <c r="AM13" s="51"/>
      <c r="AN13" s="50"/>
      <c r="AO13" s="50"/>
      <c r="AP13" s="50"/>
      <c r="AQ13" s="50"/>
      <c r="AR13" s="52"/>
      <c r="AS13" s="51"/>
      <c r="AT13" s="52"/>
      <c r="AU13" s="53"/>
      <c r="AV13" s="52"/>
      <c r="AW13" s="53"/>
      <c r="AX13" s="52"/>
    </row>
    <row r="14" spans="2:50" s="54" customFormat="1" ht="14.25" customHeight="1">
      <c r="B14" s="56" t="s">
        <v>606</v>
      </c>
      <c r="C14" s="23"/>
      <c r="D14" s="50"/>
      <c r="E14" s="50"/>
      <c r="F14" s="50"/>
      <c r="G14" s="50"/>
      <c r="H14" s="52"/>
      <c r="I14" s="48"/>
      <c r="J14" s="50"/>
      <c r="K14" s="50"/>
      <c r="L14" s="50"/>
      <c r="M14" s="50"/>
      <c r="N14" s="52"/>
      <c r="O14" s="47"/>
      <c r="P14" s="50"/>
      <c r="Q14" s="50"/>
      <c r="R14" s="50"/>
      <c r="S14" s="50"/>
      <c r="T14" s="52"/>
      <c r="U14" s="47"/>
      <c r="V14" s="50"/>
      <c r="W14" s="50"/>
      <c r="X14" s="50"/>
      <c r="Y14" s="50"/>
      <c r="Z14" s="52"/>
      <c r="AA14" s="47"/>
      <c r="AB14" s="50"/>
      <c r="AC14" s="50"/>
      <c r="AD14" s="50"/>
      <c r="AE14" s="50"/>
      <c r="AF14" s="52"/>
      <c r="AG14" s="49"/>
      <c r="AH14" s="50"/>
      <c r="AI14" s="50"/>
      <c r="AJ14" s="50"/>
      <c r="AK14" s="50"/>
      <c r="AL14" s="52"/>
      <c r="AM14" s="51"/>
      <c r="AN14" s="50"/>
      <c r="AO14" s="50"/>
      <c r="AP14" s="50"/>
      <c r="AQ14" s="50"/>
      <c r="AR14" s="52"/>
      <c r="AS14" s="51"/>
      <c r="AT14" s="52"/>
      <c r="AU14" s="53"/>
      <c r="AV14" s="52"/>
      <c r="AW14" s="53"/>
      <c r="AX14" s="52"/>
    </row>
    <row r="15" spans="2:50" s="54" customFormat="1" ht="14.25" customHeight="1">
      <c r="B15" s="56" t="s">
        <v>607</v>
      </c>
      <c r="C15" s="23"/>
      <c r="D15" s="50"/>
      <c r="E15" s="50"/>
      <c r="F15" s="50"/>
      <c r="G15" s="50"/>
      <c r="H15" s="52"/>
      <c r="I15" s="48"/>
      <c r="J15" s="50"/>
      <c r="K15" s="50"/>
      <c r="L15" s="50"/>
      <c r="M15" s="50"/>
      <c r="N15" s="52"/>
      <c r="O15" s="47"/>
      <c r="P15" s="50"/>
      <c r="Q15" s="50"/>
      <c r="R15" s="50"/>
      <c r="S15" s="50"/>
      <c r="T15" s="52"/>
      <c r="U15" s="47"/>
      <c r="V15" s="50"/>
      <c r="W15" s="50"/>
      <c r="X15" s="50"/>
      <c r="Y15" s="50"/>
      <c r="Z15" s="52"/>
      <c r="AA15" s="47"/>
      <c r="AB15" s="50"/>
      <c r="AC15" s="50"/>
      <c r="AD15" s="50"/>
      <c r="AE15" s="50"/>
      <c r="AF15" s="52"/>
      <c r="AG15" s="49"/>
      <c r="AH15" s="50"/>
      <c r="AI15" s="50"/>
      <c r="AJ15" s="50"/>
      <c r="AK15" s="50"/>
      <c r="AL15" s="52"/>
      <c r="AM15" s="51"/>
      <c r="AN15" s="50"/>
      <c r="AO15" s="50"/>
      <c r="AP15" s="50"/>
      <c r="AQ15" s="50"/>
      <c r="AR15" s="52"/>
      <c r="AS15" s="51"/>
      <c r="AT15" s="52"/>
      <c r="AU15" s="53"/>
      <c r="AV15" s="52"/>
      <c r="AW15" s="53"/>
      <c r="AX15" s="52"/>
    </row>
    <row r="16" spans="2:50" s="54" customFormat="1" ht="14.25" customHeight="1">
      <c r="B16" s="56" t="s">
        <v>608</v>
      </c>
      <c r="C16" s="23"/>
      <c r="D16" s="50"/>
      <c r="E16" s="50"/>
      <c r="F16" s="50"/>
      <c r="G16" s="50"/>
      <c r="H16" s="58"/>
      <c r="I16" s="48"/>
      <c r="J16" s="50"/>
      <c r="K16" s="50"/>
      <c r="L16" s="50"/>
      <c r="M16" s="50"/>
      <c r="N16" s="58"/>
      <c r="O16" s="57"/>
      <c r="P16" s="50"/>
      <c r="Q16" s="50"/>
      <c r="R16" s="50"/>
      <c r="S16" s="50"/>
      <c r="T16" s="58"/>
      <c r="U16" s="57"/>
      <c r="V16" s="50"/>
      <c r="W16" s="50"/>
      <c r="X16" s="50"/>
      <c r="Y16" s="50"/>
      <c r="Z16" s="58"/>
      <c r="AA16" s="57"/>
      <c r="AB16" s="50"/>
      <c r="AC16" s="50"/>
      <c r="AD16" s="50"/>
      <c r="AE16" s="50"/>
      <c r="AF16" s="58"/>
      <c r="AG16" s="49"/>
      <c r="AH16" s="50"/>
      <c r="AI16" s="50"/>
      <c r="AJ16" s="50"/>
      <c r="AK16" s="50"/>
      <c r="AL16" s="58"/>
      <c r="AM16" s="51"/>
      <c r="AN16" s="50"/>
      <c r="AO16" s="50"/>
      <c r="AP16" s="50"/>
      <c r="AQ16" s="50"/>
      <c r="AR16" s="58"/>
      <c r="AS16" s="51"/>
      <c r="AT16" s="58"/>
      <c r="AU16" s="53"/>
      <c r="AV16" s="58"/>
      <c r="AW16" s="53"/>
      <c r="AX16" s="58"/>
    </row>
    <row r="17" spans="1:50" s="54" customFormat="1" ht="14.25" customHeight="1">
      <c r="A17" s="55"/>
      <c r="B17" s="56" t="s">
        <v>609</v>
      </c>
      <c r="C17" s="23"/>
      <c r="D17" s="50"/>
      <c r="E17" s="50"/>
      <c r="F17" s="50"/>
      <c r="G17" s="50"/>
      <c r="H17" s="58"/>
      <c r="I17" s="48"/>
      <c r="J17" s="50"/>
      <c r="K17" s="50"/>
      <c r="L17" s="50"/>
      <c r="M17" s="50"/>
      <c r="N17" s="58"/>
      <c r="O17" s="57"/>
      <c r="P17" s="50"/>
      <c r="Q17" s="50"/>
      <c r="R17" s="50"/>
      <c r="S17" s="50"/>
      <c r="T17" s="58"/>
      <c r="U17" s="57"/>
      <c r="V17" s="50"/>
      <c r="W17" s="50"/>
      <c r="X17" s="50"/>
      <c r="Y17" s="50"/>
      <c r="Z17" s="58"/>
      <c r="AA17" s="57"/>
      <c r="AB17" s="50"/>
      <c r="AC17" s="50"/>
      <c r="AD17" s="50"/>
      <c r="AE17" s="50"/>
      <c r="AF17" s="58"/>
      <c r="AG17" s="49"/>
      <c r="AH17" s="50"/>
      <c r="AI17" s="50"/>
      <c r="AJ17" s="50"/>
      <c r="AK17" s="50"/>
      <c r="AL17" s="58"/>
      <c r="AM17" s="51"/>
      <c r="AN17" s="50"/>
      <c r="AO17" s="50"/>
      <c r="AP17" s="50"/>
      <c r="AQ17" s="50"/>
      <c r="AR17" s="58"/>
      <c r="AS17" s="51"/>
      <c r="AT17" s="58"/>
      <c r="AU17" s="53"/>
      <c r="AV17" s="58"/>
      <c r="AW17" s="53"/>
      <c r="AX17" s="58"/>
    </row>
    <row r="18" spans="1:50" s="54" customFormat="1" ht="14.25" customHeight="1">
      <c r="A18" s="55"/>
      <c r="B18" s="59" t="s">
        <v>224</v>
      </c>
      <c r="C18" s="23"/>
      <c r="D18" s="60">
        <v>375.471</v>
      </c>
      <c r="E18" s="60">
        <v>154.44300000000001</v>
      </c>
      <c r="F18" s="60">
        <v>416.46300000000002</v>
      </c>
      <c r="G18" s="60">
        <v>644.61500000000001</v>
      </c>
      <c r="H18" s="61">
        <v>1590.992</v>
      </c>
      <c r="I18" s="48"/>
      <c r="J18" s="60">
        <v>499.952</v>
      </c>
      <c r="K18" s="60">
        <v>552.976</v>
      </c>
      <c r="L18" s="60">
        <v>777.94899999999996</v>
      </c>
      <c r="M18" s="60">
        <v>1092.95</v>
      </c>
      <c r="N18" s="61">
        <v>2923.8270000000002</v>
      </c>
      <c r="O18" s="47"/>
      <c r="P18" s="60">
        <v>839.57600000000002</v>
      </c>
      <c r="Q18" s="60">
        <v>944.75199999999995</v>
      </c>
      <c r="R18" s="60">
        <v>1137.9849999999999</v>
      </c>
      <c r="S18" s="60">
        <v>1311.413</v>
      </c>
      <c r="T18" s="61">
        <v>4233.7259999999997</v>
      </c>
      <c r="U18" s="47"/>
      <c r="V18" s="60">
        <v>1025.2909999999999</v>
      </c>
      <c r="W18" s="60">
        <v>1131.0229999999999</v>
      </c>
      <c r="X18" s="60">
        <v>1265.8240000000001</v>
      </c>
      <c r="Y18" s="60">
        <v>1424.6310000000001</v>
      </c>
      <c r="Z18" s="61">
        <v>4846.768</v>
      </c>
      <c r="AA18" s="47"/>
      <c r="AB18" s="60">
        <v>1072.182</v>
      </c>
      <c r="AC18" s="60">
        <v>1357.1079999999999</v>
      </c>
      <c r="AD18" s="60">
        <v>2546.6210000000001</v>
      </c>
      <c r="AE18" s="60">
        <v>3403.8420000000001</v>
      </c>
      <c r="AF18" s="61">
        <v>8379.7530000000006</v>
      </c>
      <c r="AG18" s="49"/>
      <c r="AH18" s="60">
        <v>2696.538</v>
      </c>
      <c r="AI18" s="60">
        <v>2901.3850000000002</v>
      </c>
      <c r="AJ18" s="62"/>
      <c r="AK18" s="62"/>
      <c r="AL18" s="63"/>
      <c r="AM18" s="51"/>
      <c r="AN18" s="62"/>
      <c r="AO18" s="62"/>
      <c r="AP18" s="62"/>
      <c r="AQ18" s="62"/>
      <c r="AR18" s="63"/>
      <c r="AS18" s="51"/>
      <c r="AT18" s="63"/>
      <c r="AU18" s="53"/>
      <c r="AV18" s="63"/>
      <c r="AW18" s="53"/>
      <c r="AX18" s="63"/>
    </row>
    <row r="19" spans="1:50" s="54" customFormat="1" ht="14.25" customHeight="1">
      <c r="A19" s="55"/>
      <c r="B19" s="64"/>
      <c r="C19" s="23"/>
      <c r="D19" s="46"/>
      <c r="E19" s="46"/>
      <c r="F19" s="46"/>
      <c r="G19" s="46"/>
      <c r="H19" s="47"/>
      <c r="I19" s="48"/>
      <c r="J19" s="46"/>
      <c r="K19" s="46"/>
      <c r="L19" s="46"/>
      <c r="M19" s="46"/>
      <c r="N19" s="47"/>
      <c r="O19" s="47"/>
      <c r="P19" s="46"/>
      <c r="Q19" s="46"/>
      <c r="R19" s="46"/>
      <c r="S19" s="46"/>
      <c r="T19" s="47"/>
      <c r="U19" s="47"/>
      <c r="V19" s="46"/>
      <c r="W19" s="46"/>
      <c r="X19" s="46"/>
      <c r="Y19" s="46"/>
      <c r="Z19" s="47"/>
      <c r="AA19" s="47"/>
      <c r="AB19" s="46"/>
      <c r="AC19" s="46"/>
      <c r="AD19" s="46"/>
      <c r="AE19" s="46"/>
      <c r="AF19" s="47"/>
      <c r="AG19" s="49"/>
      <c r="AH19" s="566"/>
      <c r="AI19" s="46"/>
      <c r="AJ19" s="50"/>
      <c r="AK19" s="50"/>
      <c r="AL19" s="52"/>
      <c r="AM19" s="51"/>
      <c r="AN19" s="50"/>
      <c r="AO19" s="50"/>
      <c r="AP19" s="50"/>
      <c r="AQ19" s="50"/>
      <c r="AR19" s="52"/>
      <c r="AS19" s="51"/>
      <c r="AT19" s="52"/>
      <c r="AU19" s="53"/>
      <c r="AV19" s="52"/>
      <c r="AW19" s="53"/>
      <c r="AX19" s="52"/>
    </row>
    <row r="20" spans="1:50" s="54" customFormat="1" ht="14.25" customHeight="1">
      <c r="A20" s="44" t="s">
        <v>37</v>
      </c>
      <c r="B20" s="65" t="s">
        <v>610</v>
      </c>
      <c r="C20" s="21"/>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67"/>
      <c r="AN20" s="50"/>
      <c r="AO20" s="50"/>
      <c r="AP20" s="50"/>
      <c r="AQ20" s="50"/>
      <c r="AR20" s="68"/>
      <c r="AS20" s="67"/>
      <c r="AT20" s="68"/>
      <c r="AU20" s="69"/>
      <c r="AV20" s="68"/>
      <c r="AW20" s="69"/>
      <c r="AX20" s="68"/>
    </row>
    <row r="21" spans="1:50" s="54" customFormat="1" ht="14.25" customHeight="1">
      <c r="A21" s="55"/>
      <c r="B21" s="70" t="s">
        <v>611</v>
      </c>
      <c r="C21" s="24"/>
      <c r="D21" s="60">
        <v>203.09899999999999</v>
      </c>
      <c r="E21" s="60">
        <v>74.283000000000001</v>
      </c>
      <c r="F21" s="60">
        <v>229.976</v>
      </c>
      <c r="G21" s="60">
        <v>328.42099999999999</v>
      </c>
      <c r="H21" s="66">
        <v>835.779</v>
      </c>
      <c r="I21" s="48"/>
      <c r="J21" s="60">
        <v>250.02699999999999</v>
      </c>
      <c r="K21" s="60">
        <v>260.00400000000002</v>
      </c>
      <c r="L21" s="60">
        <v>372.86399999999998</v>
      </c>
      <c r="M21" s="60">
        <v>502.25200000000001</v>
      </c>
      <c r="N21" s="66">
        <v>1385.1469999999999</v>
      </c>
      <c r="O21" s="48"/>
      <c r="P21" s="60">
        <v>390.83600000000001</v>
      </c>
      <c r="Q21" s="60">
        <v>416.14499999999998</v>
      </c>
      <c r="R21" s="60">
        <v>536.68299999999999</v>
      </c>
      <c r="S21" s="60">
        <v>606.428</v>
      </c>
      <c r="T21" s="66">
        <v>1950.0920000000001</v>
      </c>
      <c r="U21" s="48"/>
      <c r="V21" s="60">
        <v>488.46699999999998</v>
      </c>
      <c r="W21" s="60">
        <v>516.50900000000001</v>
      </c>
      <c r="X21" s="60">
        <v>585.09699999999998</v>
      </c>
      <c r="Y21" s="60">
        <v>627.63400000000001</v>
      </c>
      <c r="Z21" s="66">
        <v>2217.7069999999999</v>
      </c>
      <c r="AA21" s="51"/>
      <c r="AB21" s="60">
        <v>505.32499999999999</v>
      </c>
      <c r="AC21" s="60">
        <v>681.46</v>
      </c>
      <c r="AD21" s="60">
        <v>1152.4649999999999</v>
      </c>
      <c r="AE21" s="60">
        <v>1575.442</v>
      </c>
      <c r="AF21" s="66">
        <v>3914.692</v>
      </c>
      <c r="AG21" s="49"/>
      <c r="AH21" s="60">
        <v>1219.7370000000001</v>
      </c>
      <c r="AI21" s="60">
        <v>1280.9179999999999</v>
      </c>
      <c r="AJ21" s="50"/>
      <c r="AK21" s="50"/>
      <c r="AL21" s="68"/>
      <c r="AM21" s="71"/>
      <c r="AN21" s="50"/>
      <c r="AO21" s="50"/>
      <c r="AP21" s="50"/>
      <c r="AQ21" s="50"/>
      <c r="AR21" s="68"/>
      <c r="AS21" s="71"/>
      <c r="AT21" s="68"/>
      <c r="AU21" s="72"/>
      <c r="AV21" s="68"/>
      <c r="AW21" s="72"/>
      <c r="AX21" s="68"/>
    </row>
    <row r="22" spans="1:50" s="54" customFormat="1" ht="14.25" customHeight="1">
      <c r="A22" s="73"/>
      <c r="B22" s="70" t="s">
        <v>612</v>
      </c>
      <c r="C22" s="21"/>
      <c r="D22" s="60">
        <v>0</v>
      </c>
      <c r="E22" s="60">
        <v>0</v>
      </c>
      <c r="F22" s="60">
        <v>0</v>
      </c>
      <c r="G22" s="60">
        <v>0</v>
      </c>
      <c r="H22" s="74">
        <v>0</v>
      </c>
      <c r="I22" s="48"/>
      <c r="J22" s="60">
        <v>0</v>
      </c>
      <c r="K22" s="60">
        <v>0</v>
      </c>
      <c r="L22" s="60">
        <v>0</v>
      </c>
      <c r="M22" s="60">
        <v>0</v>
      </c>
      <c r="N22" s="74">
        <v>0</v>
      </c>
      <c r="O22" s="48"/>
      <c r="P22" s="60">
        <v>0</v>
      </c>
      <c r="Q22" s="60">
        <v>0</v>
      </c>
      <c r="R22" s="60">
        <v>0</v>
      </c>
      <c r="S22" s="60">
        <v>0</v>
      </c>
      <c r="T22" s="74">
        <v>0</v>
      </c>
      <c r="U22" s="48"/>
      <c r="V22" s="60">
        <v>0</v>
      </c>
      <c r="W22" s="60">
        <v>0</v>
      </c>
      <c r="X22" s="60">
        <v>0</v>
      </c>
      <c r="Y22" s="60">
        <v>0</v>
      </c>
      <c r="Z22" s="74">
        <v>0</v>
      </c>
      <c r="AA22" s="51"/>
      <c r="AB22" s="60">
        <v>0</v>
      </c>
      <c r="AC22" s="60">
        <v>0</v>
      </c>
      <c r="AD22" s="60">
        <v>0</v>
      </c>
      <c r="AE22" s="60">
        <v>0</v>
      </c>
      <c r="AF22" s="74">
        <v>0</v>
      </c>
      <c r="AG22" s="49"/>
      <c r="AH22" s="60">
        <v>0</v>
      </c>
      <c r="AI22" s="60">
        <v>0</v>
      </c>
      <c r="AJ22" s="50"/>
      <c r="AK22" s="50"/>
      <c r="AL22" s="75"/>
      <c r="AM22" s="71"/>
      <c r="AN22" s="50"/>
      <c r="AO22" s="50"/>
      <c r="AP22" s="50"/>
      <c r="AQ22" s="50"/>
      <c r="AR22" s="75"/>
      <c r="AS22" s="71"/>
      <c r="AT22" s="75"/>
      <c r="AU22" s="72"/>
      <c r="AV22" s="75"/>
      <c r="AW22" s="72"/>
      <c r="AX22" s="75"/>
    </row>
    <row r="23" spans="1:50" s="54" customFormat="1" ht="14.25" customHeight="1">
      <c r="A23" s="55"/>
      <c r="B23" s="76" t="s">
        <v>613</v>
      </c>
      <c r="C23" s="23"/>
      <c r="D23" s="46">
        <v>203.09899999999999</v>
      </c>
      <c r="E23" s="46">
        <v>74.283000000000001</v>
      </c>
      <c r="F23" s="46">
        <v>229.976</v>
      </c>
      <c r="G23" s="46">
        <v>328.42099999999999</v>
      </c>
      <c r="H23" s="77">
        <v>835.779</v>
      </c>
      <c r="I23" s="48"/>
      <c r="J23" s="46">
        <v>250.02699999999999</v>
      </c>
      <c r="K23" s="46">
        <v>260.00400000000002</v>
      </c>
      <c r="L23" s="46">
        <v>372.86399999999998</v>
      </c>
      <c r="M23" s="46">
        <v>502.25200000000001</v>
      </c>
      <c r="N23" s="77">
        <v>1385.1469999999999</v>
      </c>
      <c r="O23" s="48"/>
      <c r="P23" s="46">
        <v>390.83600000000001</v>
      </c>
      <c r="Q23" s="46">
        <v>416.14499999999998</v>
      </c>
      <c r="R23" s="46">
        <v>536.68299999999999</v>
      </c>
      <c r="S23" s="46">
        <v>606.428</v>
      </c>
      <c r="T23" s="77">
        <v>1950.0920000000001</v>
      </c>
      <c r="U23" s="48"/>
      <c r="V23" s="46">
        <v>488.46699999999998</v>
      </c>
      <c r="W23" s="46">
        <v>516.50900000000001</v>
      </c>
      <c r="X23" s="46">
        <v>585.09699999999998</v>
      </c>
      <c r="Y23" s="46">
        <v>627.63400000000001</v>
      </c>
      <c r="Z23" s="77">
        <v>2217.7069999999999</v>
      </c>
      <c r="AA23" s="51"/>
      <c r="AB23" s="46">
        <v>505.32499999999999</v>
      </c>
      <c r="AC23" s="46">
        <v>681.46</v>
      </c>
      <c r="AD23" s="46">
        <v>1152.4649999999999</v>
      </c>
      <c r="AE23" s="46">
        <v>1575.442</v>
      </c>
      <c r="AF23" s="77">
        <v>3914.692</v>
      </c>
      <c r="AG23" s="49"/>
      <c r="AH23" s="46">
        <v>1219.7370000000001</v>
      </c>
      <c r="AI23" s="46">
        <v>1280.9179999999999</v>
      </c>
      <c r="AJ23" s="50"/>
      <c r="AK23" s="50"/>
      <c r="AL23" s="78"/>
      <c r="AM23" s="71"/>
      <c r="AN23" s="50"/>
      <c r="AO23" s="50"/>
      <c r="AP23" s="50"/>
      <c r="AQ23" s="50"/>
      <c r="AR23" s="78"/>
      <c r="AS23" s="71"/>
      <c r="AT23" s="78"/>
      <c r="AU23" s="72"/>
      <c r="AV23" s="78"/>
      <c r="AW23" s="72"/>
      <c r="AX23" s="78"/>
    </row>
    <row r="24" spans="1:50" s="54" customFormat="1" ht="14.25" customHeight="1">
      <c r="A24" s="73"/>
      <c r="B24" s="79" t="s">
        <v>260</v>
      </c>
      <c r="C24" s="21"/>
      <c r="D24" s="46">
        <v>172.37200000000001</v>
      </c>
      <c r="E24" s="46">
        <v>80.16</v>
      </c>
      <c r="F24" s="46">
        <v>186.48699999999999</v>
      </c>
      <c r="G24" s="46">
        <v>316.19400000000002</v>
      </c>
      <c r="H24" s="77">
        <v>755.21299999999997</v>
      </c>
      <c r="I24" s="48"/>
      <c r="J24" s="46">
        <v>249.92500000000001</v>
      </c>
      <c r="K24" s="46">
        <v>292.97199999999998</v>
      </c>
      <c r="L24" s="46">
        <v>405.08499999999998</v>
      </c>
      <c r="M24" s="46">
        <v>590.69799999999998</v>
      </c>
      <c r="N24" s="77">
        <v>1538.68</v>
      </c>
      <c r="O24" s="48"/>
      <c r="P24" s="46">
        <v>448.74</v>
      </c>
      <c r="Q24" s="46">
        <v>528.60699999999997</v>
      </c>
      <c r="R24" s="46">
        <v>601.30200000000002</v>
      </c>
      <c r="S24" s="46">
        <v>704.98500000000001</v>
      </c>
      <c r="T24" s="77">
        <v>2283.634</v>
      </c>
      <c r="U24" s="48"/>
      <c r="V24" s="46">
        <v>536.82399999999996</v>
      </c>
      <c r="W24" s="46">
        <v>614.51400000000001</v>
      </c>
      <c r="X24" s="46">
        <v>680.72699999999998</v>
      </c>
      <c r="Y24" s="46">
        <v>796.99699999999996</v>
      </c>
      <c r="Z24" s="77">
        <v>2629.0610000000001</v>
      </c>
      <c r="AA24" s="51"/>
      <c r="AB24" s="46">
        <v>566.85699999999997</v>
      </c>
      <c r="AC24" s="46">
        <v>675.64800000000002</v>
      </c>
      <c r="AD24" s="46">
        <v>1394.1559999999999</v>
      </c>
      <c r="AE24" s="46">
        <v>1828.4</v>
      </c>
      <c r="AF24" s="77">
        <v>4465.0609999999997</v>
      </c>
      <c r="AG24" s="49"/>
      <c r="AH24" s="46">
        <v>1476.8009999999999</v>
      </c>
      <c r="AI24" s="46">
        <v>1620.4670000000001</v>
      </c>
      <c r="AJ24" s="50"/>
      <c r="AK24" s="50"/>
      <c r="AL24" s="78"/>
      <c r="AM24" s="71"/>
      <c r="AN24" s="50"/>
      <c r="AO24" s="50"/>
      <c r="AP24" s="50"/>
      <c r="AQ24" s="50"/>
      <c r="AR24" s="78"/>
      <c r="AS24" s="71"/>
      <c r="AT24" s="78"/>
      <c r="AU24" s="72"/>
      <c r="AV24" s="78"/>
      <c r="AW24" s="72"/>
      <c r="AX24" s="78"/>
    </row>
    <row r="25" spans="1:50" s="54" customFormat="1" ht="14.25" customHeight="1">
      <c r="A25" s="55"/>
      <c r="B25" s="80"/>
      <c r="C25" s="23"/>
      <c r="D25" s="46"/>
      <c r="E25" s="46"/>
      <c r="F25" s="46"/>
      <c r="G25" s="46"/>
      <c r="H25" s="66"/>
      <c r="I25" s="48"/>
      <c r="J25" s="46"/>
      <c r="K25" s="46"/>
      <c r="L25" s="46"/>
      <c r="M25" s="46"/>
      <c r="N25" s="66"/>
      <c r="O25" s="48"/>
      <c r="P25" s="46"/>
      <c r="Q25" s="46"/>
      <c r="R25" s="46"/>
      <c r="S25" s="46"/>
      <c r="T25" s="66"/>
      <c r="U25" s="48"/>
      <c r="V25" s="46"/>
      <c r="W25" s="46"/>
      <c r="X25" s="46"/>
      <c r="Y25" s="46"/>
      <c r="Z25" s="66"/>
      <c r="AA25" s="51"/>
      <c r="AB25" s="46"/>
      <c r="AC25" s="46"/>
      <c r="AD25" s="46"/>
      <c r="AE25" s="46"/>
      <c r="AF25" s="66"/>
      <c r="AG25" s="49"/>
      <c r="AH25" s="46"/>
      <c r="AI25" s="46"/>
      <c r="AJ25" s="50"/>
      <c r="AK25" s="50"/>
      <c r="AL25" s="68"/>
      <c r="AM25" s="71"/>
      <c r="AN25" s="50"/>
      <c r="AO25" s="50"/>
      <c r="AP25" s="50"/>
      <c r="AQ25" s="50"/>
      <c r="AR25" s="68"/>
      <c r="AS25" s="71"/>
      <c r="AT25" s="68"/>
      <c r="AU25" s="72"/>
      <c r="AV25" s="68"/>
      <c r="AW25" s="72"/>
      <c r="AX25" s="68"/>
    </row>
    <row r="26" spans="1:50" s="54" customFormat="1" ht="14.25" customHeight="1">
      <c r="A26" s="44" t="s">
        <v>37</v>
      </c>
      <c r="B26" s="65" t="s">
        <v>614</v>
      </c>
      <c r="C26" s="21"/>
      <c r="D26" s="46"/>
      <c r="E26" s="46"/>
      <c r="F26" s="46"/>
      <c r="G26" s="46"/>
      <c r="H26" s="66"/>
      <c r="I26" s="48"/>
      <c r="J26" s="46"/>
      <c r="K26" s="46"/>
      <c r="L26" s="46"/>
      <c r="M26" s="46"/>
      <c r="N26" s="66"/>
      <c r="O26" s="48"/>
      <c r="P26" s="46"/>
      <c r="Q26" s="46"/>
      <c r="R26" s="46"/>
      <c r="S26" s="46"/>
      <c r="T26" s="66"/>
      <c r="U26" s="48"/>
      <c r="V26" s="46"/>
      <c r="W26" s="46"/>
      <c r="X26" s="46"/>
      <c r="Y26" s="46"/>
      <c r="Z26" s="66"/>
      <c r="AA26" s="81"/>
      <c r="AB26" s="46"/>
      <c r="AC26" s="46"/>
      <c r="AD26" s="46"/>
      <c r="AE26" s="46"/>
      <c r="AF26" s="66"/>
      <c r="AG26" s="82"/>
      <c r="AH26" s="46"/>
      <c r="AI26" s="46"/>
      <c r="AJ26" s="50"/>
      <c r="AK26" s="50"/>
      <c r="AL26" s="68"/>
      <c r="AM26" s="81"/>
      <c r="AN26" s="50"/>
      <c r="AO26" s="50"/>
      <c r="AP26" s="50"/>
      <c r="AQ26" s="50"/>
      <c r="AR26" s="68"/>
      <c r="AS26" s="81"/>
      <c r="AT26" s="68"/>
      <c r="AU26" s="83"/>
      <c r="AV26" s="68"/>
      <c r="AW26" s="83"/>
      <c r="AX26" s="68"/>
    </row>
    <row r="27" spans="1:50" s="54" customFormat="1" ht="14.25" customHeight="1">
      <c r="A27" s="84"/>
      <c r="B27" s="70" t="s">
        <v>615</v>
      </c>
      <c r="C27" s="26"/>
      <c r="D27" s="46">
        <v>156.48099999999999</v>
      </c>
      <c r="E27" s="46">
        <v>170.81399999999999</v>
      </c>
      <c r="F27" s="46">
        <v>142.03100000000001</v>
      </c>
      <c r="G27" s="46">
        <v>224.166</v>
      </c>
      <c r="H27" s="66">
        <v>692.18700000000001</v>
      </c>
      <c r="I27" s="48"/>
      <c r="J27" s="46">
        <v>209.06200000000001</v>
      </c>
      <c r="K27" s="46">
        <v>244.535</v>
      </c>
      <c r="L27" s="46">
        <v>304.512</v>
      </c>
      <c r="M27" s="46">
        <v>442.51900000000001</v>
      </c>
      <c r="N27" s="66">
        <v>1200.6279999999999</v>
      </c>
      <c r="O27" s="48"/>
      <c r="P27" s="46">
        <v>362.89699999999999</v>
      </c>
      <c r="Q27" s="46">
        <v>407.017</v>
      </c>
      <c r="R27" s="46">
        <v>473.02800000000002</v>
      </c>
      <c r="S27" s="46">
        <v>576.66899999999998</v>
      </c>
      <c r="T27" s="66">
        <v>1819.6110000000001</v>
      </c>
      <c r="U27" s="48"/>
      <c r="V27" s="46">
        <v>430.274</v>
      </c>
      <c r="W27" s="46">
        <v>489.85700000000003</v>
      </c>
      <c r="X27" s="46">
        <v>535.33500000000004</v>
      </c>
      <c r="Y27" s="46">
        <v>653.73900000000003</v>
      </c>
      <c r="Z27" s="66">
        <v>2109.2040000000002</v>
      </c>
      <c r="AA27" s="81"/>
      <c r="AB27" s="46">
        <v>461.48099999999999</v>
      </c>
      <c r="AC27" s="46">
        <v>545.87099999999998</v>
      </c>
      <c r="AD27" s="46">
        <v>1201.009</v>
      </c>
      <c r="AE27" s="46">
        <v>1675.4290000000001</v>
      </c>
      <c r="AF27" s="66">
        <v>3883.79</v>
      </c>
      <c r="AG27" s="82"/>
      <c r="AH27" s="46">
        <v>1236.6880000000001</v>
      </c>
      <c r="AI27" s="46">
        <v>1268.066</v>
      </c>
      <c r="AJ27" s="50"/>
      <c r="AK27" s="50"/>
      <c r="AL27" s="68"/>
      <c r="AM27" s="81"/>
      <c r="AN27" s="50"/>
      <c r="AO27" s="50"/>
      <c r="AP27" s="50"/>
      <c r="AQ27" s="50"/>
      <c r="AR27" s="68"/>
      <c r="AS27" s="81"/>
      <c r="AT27" s="68"/>
      <c r="AU27" s="83"/>
      <c r="AV27" s="68"/>
      <c r="AW27" s="83"/>
      <c r="AX27" s="68"/>
    </row>
    <row r="28" spans="1:50" s="54" customFormat="1" ht="14.25" customHeight="1">
      <c r="A28" s="55"/>
      <c r="B28" s="70" t="s">
        <v>616</v>
      </c>
      <c r="C28" s="23"/>
      <c r="D28" s="46">
        <v>0</v>
      </c>
      <c r="E28" s="46">
        <v>0</v>
      </c>
      <c r="F28" s="46">
        <v>0</v>
      </c>
      <c r="G28" s="46">
        <v>0</v>
      </c>
      <c r="H28" s="66">
        <v>0</v>
      </c>
      <c r="I28" s="48"/>
      <c r="J28" s="46">
        <v>0</v>
      </c>
      <c r="K28" s="46">
        <v>0</v>
      </c>
      <c r="L28" s="46">
        <v>0</v>
      </c>
      <c r="M28" s="46">
        <v>0</v>
      </c>
      <c r="N28" s="66">
        <v>0</v>
      </c>
      <c r="O28" s="48"/>
      <c r="P28" s="46">
        <v>0</v>
      </c>
      <c r="Q28" s="46">
        <v>0</v>
      </c>
      <c r="R28" s="46">
        <v>0</v>
      </c>
      <c r="S28" s="46">
        <v>0</v>
      </c>
      <c r="T28" s="66">
        <v>0</v>
      </c>
      <c r="U28" s="48"/>
      <c r="V28" s="46">
        <v>0</v>
      </c>
      <c r="W28" s="46">
        <v>0</v>
      </c>
      <c r="X28" s="46">
        <v>0</v>
      </c>
      <c r="Y28" s="46">
        <v>0</v>
      </c>
      <c r="Z28" s="66">
        <v>0</v>
      </c>
      <c r="AA28" s="51"/>
      <c r="AB28" s="46">
        <v>0</v>
      </c>
      <c r="AC28" s="46">
        <v>0</v>
      </c>
      <c r="AD28" s="46">
        <v>0</v>
      </c>
      <c r="AE28" s="46">
        <v>0</v>
      </c>
      <c r="AF28" s="66">
        <v>0</v>
      </c>
      <c r="AG28" s="49"/>
      <c r="AH28" s="46">
        <v>0</v>
      </c>
      <c r="AI28" s="46">
        <v>0</v>
      </c>
      <c r="AJ28" s="50"/>
      <c r="AK28" s="50"/>
      <c r="AL28" s="68"/>
      <c r="AM28" s="71"/>
      <c r="AN28" s="50"/>
      <c r="AO28" s="50"/>
      <c r="AP28" s="50"/>
      <c r="AQ28" s="50"/>
      <c r="AR28" s="68"/>
      <c r="AS28" s="71"/>
      <c r="AT28" s="68"/>
      <c r="AU28" s="72"/>
      <c r="AV28" s="68"/>
      <c r="AW28" s="72"/>
      <c r="AX28" s="68"/>
    </row>
    <row r="29" spans="1:50" s="54" customFormat="1" ht="14.25" customHeight="1">
      <c r="A29" s="73"/>
      <c r="B29" s="70" t="s">
        <v>617</v>
      </c>
      <c r="C29" s="21"/>
      <c r="D29" s="46">
        <v>5.9539999999999997</v>
      </c>
      <c r="E29" s="46">
        <v>7.3230000000000004</v>
      </c>
      <c r="F29" s="46">
        <v>4.8899999999999997</v>
      </c>
      <c r="G29" s="46">
        <v>0</v>
      </c>
      <c r="H29" s="66">
        <v>0</v>
      </c>
      <c r="I29" s="48"/>
      <c r="J29" s="46">
        <v>6.6459999999999999</v>
      </c>
      <c r="K29" s="46">
        <v>1.655</v>
      </c>
      <c r="L29" s="46">
        <v>62.738</v>
      </c>
      <c r="M29" s="46">
        <v>0</v>
      </c>
      <c r="N29" s="66">
        <v>0</v>
      </c>
      <c r="O29" s="48"/>
      <c r="P29" s="46">
        <v>0</v>
      </c>
      <c r="Q29" s="46">
        <v>0</v>
      </c>
      <c r="R29" s="46">
        <v>0</v>
      </c>
      <c r="S29" s="46">
        <v>0</v>
      </c>
      <c r="T29" s="66">
        <v>0</v>
      </c>
      <c r="U29" s="48"/>
      <c r="V29" s="46">
        <v>0</v>
      </c>
      <c r="W29" s="46">
        <v>0</v>
      </c>
      <c r="X29" s="46">
        <v>0</v>
      </c>
      <c r="Y29" s="46">
        <v>0</v>
      </c>
      <c r="Z29" s="66">
        <v>0</v>
      </c>
      <c r="AA29" s="81"/>
      <c r="AB29" s="46">
        <v>0</v>
      </c>
      <c r="AC29" s="46">
        <v>0</v>
      </c>
      <c r="AD29" s="46">
        <v>0</v>
      </c>
      <c r="AE29" s="46">
        <v>0</v>
      </c>
      <c r="AF29" s="66">
        <v>0</v>
      </c>
      <c r="AG29" s="82"/>
      <c r="AH29" s="46">
        <v>0</v>
      </c>
      <c r="AI29" s="46">
        <v>0</v>
      </c>
      <c r="AJ29" s="50"/>
      <c r="AK29" s="50"/>
      <c r="AL29" s="68"/>
      <c r="AM29" s="81"/>
      <c r="AN29" s="50"/>
      <c r="AO29" s="50"/>
      <c r="AP29" s="50"/>
      <c r="AQ29" s="50"/>
      <c r="AR29" s="68"/>
      <c r="AS29" s="81"/>
      <c r="AT29" s="68"/>
      <c r="AU29" s="83"/>
      <c r="AV29" s="68"/>
      <c r="AW29" s="83"/>
      <c r="AX29" s="68"/>
    </row>
    <row r="30" spans="1:50" s="54" customFormat="1" ht="14.25" customHeight="1">
      <c r="A30" s="55"/>
      <c r="B30" s="70" t="s">
        <v>618</v>
      </c>
      <c r="C30" s="23"/>
      <c r="D30" s="46">
        <v>-7.7129999999999859</v>
      </c>
      <c r="E30" s="46">
        <v>-25.467000000000006</v>
      </c>
      <c r="F30" s="46">
        <v>-5.2570000000000183</v>
      </c>
      <c r="G30" s="46">
        <v>27.189999999999998</v>
      </c>
      <c r="H30" s="74">
        <v>6.4059999999999491</v>
      </c>
      <c r="I30" s="48"/>
      <c r="J30" s="46">
        <v>-6.5500000000000247</v>
      </c>
      <c r="K30" s="46">
        <v>-1.5179999999999996</v>
      </c>
      <c r="L30" s="46">
        <v>-54.757000000000005</v>
      </c>
      <c r="M30" s="46">
        <v>24.437000000000012</v>
      </c>
      <c r="N30" s="74">
        <v>161.17000000000007</v>
      </c>
      <c r="O30" s="48"/>
      <c r="P30" s="46">
        <v>3.5160000000000196</v>
      </c>
      <c r="Q30" s="46">
        <v>69.023000000000025</v>
      </c>
      <c r="R30" s="46">
        <v>6.7779999999999632</v>
      </c>
      <c r="S30" s="46">
        <v>-76.971000000000004</v>
      </c>
      <c r="T30" s="74">
        <v>2.3460000000000036</v>
      </c>
      <c r="U30" s="48"/>
      <c r="V30" s="46">
        <v>-1.6850000000000023</v>
      </c>
      <c r="W30" s="46">
        <v>-2.7000000000043656E-2</v>
      </c>
      <c r="X30" s="46">
        <v>1.0199999999999818</v>
      </c>
      <c r="Y30" s="46">
        <v>6.0810000000000173</v>
      </c>
      <c r="Z30" s="74">
        <v>5.38799999999992</v>
      </c>
      <c r="AA30" s="51"/>
      <c r="AB30" s="46">
        <v>-2.0360000000000014</v>
      </c>
      <c r="AC30" s="46">
        <v>-6.2319999999999709</v>
      </c>
      <c r="AD30" s="46">
        <v>186.77399999999989</v>
      </c>
      <c r="AE30" s="46">
        <v>-42.153999999999996</v>
      </c>
      <c r="AF30" s="74">
        <v>7.5470000000000255</v>
      </c>
      <c r="AG30" s="49"/>
      <c r="AH30" s="46">
        <v>14.565999999999804</v>
      </c>
      <c r="AI30" s="46">
        <v>8.3689999999999145</v>
      </c>
      <c r="AJ30" s="50"/>
      <c r="AK30" s="50"/>
      <c r="AL30" s="75"/>
      <c r="AM30" s="71"/>
      <c r="AN30" s="50"/>
      <c r="AO30" s="50"/>
      <c r="AP30" s="50"/>
      <c r="AQ30" s="50"/>
      <c r="AR30" s="75"/>
      <c r="AS30" s="71"/>
      <c r="AT30" s="75"/>
      <c r="AU30" s="72"/>
      <c r="AV30" s="75"/>
      <c r="AW30" s="72"/>
      <c r="AX30" s="75"/>
    </row>
    <row r="31" spans="1:50" s="54" customFormat="1" ht="14.25" customHeight="1">
      <c r="A31" s="73"/>
      <c r="B31" s="76" t="s">
        <v>619</v>
      </c>
      <c r="C31" s="21"/>
      <c r="D31" s="46">
        <v>154.72200000000001</v>
      </c>
      <c r="E31" s="46">
        <v>152.66999999999999</v>
      </c>
      <c r="F31" s="46">
        <v>141.66399999999999</v>
      </c>
      <c r="G31" s="46">
        <v>251.35599999999999</v>
      </c>
      <c r="H31" s="85">
        <v>698.59299999999996</v>
      </c>
      <c r="I31" s="48"/>
      <c r="J31" s="46">
        <v>209.15799999999999</v>
      </c>
      <c r="K31" s="46">
        <v>244.672</v>
      </c>
      <c r="L31" s="46">
        <v>312.49299999999999</v>
      </c>
      <c r="M31" s="46">
        <v>466.95600000000002</v>
      </c>
      <c r="N31" s="85">
        <v>1361.798</v>
      </c>
      <c r="O31" s="48"/>
      <c r="P31" s="46">
        <v>366.41300000000001</v>
      </c>
      <c r="Q31" s="46">
        <v>476.04</v>
      </c>
      <c r="R31" s="46">
        <v>479.80599999999998</v>
      </c>
      <c r="S31" s="46">
        <v>499.69799999999998</v>
      </c>
      <c r="T31" s="85">
        <v>1821.9570000000001</v>
      </c>
      <c r="U31" s="48"/>
      <c r="V31" s="46">
        <v>428.589</v>
      </c>
      <c r="W31" s="46">
        <v>489.83</v>
      </c>
      <c r="X31" s="46">
        <v>536.35500000000002</v>
      </c>
      <c r="Y31" s="46">
        <v>659.82</v>
      </c>
      <c r="Z31" s="85">
        <v>2114.5920000000001</v>
      </c>
      <c r="AA31" s="81"/>
      <c r="AB31" s="46">
        <v>459.44499999999999</v>
      </c>
      <c r="AC31" s="46">
        <v>539.63900000000001</v>
      </c>
      <c r="AD31" s="46">
        <v>1387.7829999999999</v>
      </c>
      <c r="AE31" s="46">
        <v>1633.2750000000001</v>
      </c>
      <c r="AF31" s="85">
        <v>3891.337</v>
      </c>
      <c r="AG31" s="82"/>
      <c r="AH31" s="46">
        <v>1251.2539999999999</v>
      </c>
      <c r="AI31" s="46">
        <v>1276.4349999999999</v>
      </c>
      <c r="AJ31" s="46"/>
      <c r="AK31" s="46"/>
      <c r="AL31" s="358"/>
      <c r="AM31" s="81"/>
      <c r="AN31" s="46"/>
      <c r="AO31" s="46"/>
      <c r="AP31" s="46"/>
      <c r="AQ31" s="46"/>
      <c r="AR31" s="358"/>
      <c r="AS31" s="81"/>
      <c r="AT31" s="358"/>
      <c r="AU31" s="83"/>
      <c r="AV31" s="358"/>
      <c r="AW31" s="83"/>
      <c r="AX31" s="358"/>
    </row>
    <row r="32" spans="1:50" s="54" customFormat="1" ht="14.25" customHeight="1">
      <c r="A32" s="73"/>
      <c r="B32" s="76" t="s">
        <v>620</v>
      </c>
      <c r="C32" s="21"/>
      <c r="D32" s="46">
        <v>28.126999999999999</v>
      </c>
      <c r="E32" s="46">
        <v>0</v>
      </c>
      <c r="F32" s="46">
        <v>0</v>
      </c>
      <c r="G32" s="46">
        <v>29.893000000000001</v>
      </c>
      <c r="H32" s="74">
        <v>56.201000000000001</v>
      </c>
      <c r="I32" s="48"/>
      <c r="J32" s="46">
        <v>0.23799999999999999</v>
      </c>
      <c r="K32" s="46">
        <v>140.535</v>
      </c>
      <c r="L32" s="46">
        <v>0</v>
      </c>
      <c r="M32" s="46">
        <v>3.0049999999999999</v>
      </c>
      <c r="N32" s="74">
        <v>146.16300000000001</v>
      </c>
      <c r="O32" s="48"/>
      <c r="P32" s="46">
        <v>78.87</v>
      </c>
      <c r="Q32" s="46">
        <v>4.9720000000000004</v>
      </c>
      <c r="R32" s="46">
        <v>5.7210000000000001</v>
      </c>
      <c r="S32" s="46">
        <v>15.417999999999999</v>
      </c>
      <c r="T32" s="74">
        <v>104.98099999999999</v>
      </c>
      <c r="U32" s="48"/>
      <c r="V32" s="46">
        <v>8.7449999999999992</v>
      </c>
      <c r="W32" s="46">
        <v>6.2359999999999998</v>
      </c>
      <c r="X32" s="46">
        <v>34.926000000000002</v>
      </c>
      <c r="Y32" s="46">
        <v>18.117999999999999</v>
      </c>
      <c r="Z32" s="74">
        <v>68.025000000000006</v>
      </c>
      <c r="AA32" s="86"/>
      <c r="AB32" s="46">
        <v>3.4319999999999999</v>
      </c>
      <c r="AC32" s="46">
        <v>7.72</v>
      </c>
      <c r="AD32" s="46">
        <v>181.09200000000001</v>
      </c>
      <c r="AE32" s="46">
        <v>0</v>
      </c>
      <c r="AF32" s="74">
        <v>49.295000000000002</v>
      </c>
      <c r="AG32" s="82"/>
      <c r="AH32" s="46">
        <v>54.79</v>
      </c>
      <c r="AI32" s="46">
        <v>23.071999999999999</v>
      </c>
      <c r="AJ32" s="50"/>
      <c r="AK32" s="50"/>
      <c r="AL32" s="75"/>
      <c r="AM32" s="86"/>
      <c r="AN32" s="50"/>
      <c r="AO32" s="50"/>
      <c r="AP32" s="50"/>
      <c r="AQ32" s="50"/>
      <c r="AR32" s="75"/>
      <c r="AS32" s="86"/>
      <c r="AT32" s="75"/>
      <c r="AU32" s="87"/>
      <c r="AV32" s="75"/>
      <c r="AW32" s="87"/>
      <c r="AX32" s="75"/>
    </row>
    <row r="33" spans="1:50" s="54" customFormat="1" ht="14.25" customHeight="1">
      <c r="A33" s="55"/>
      <c r="B33" s="79" t="s">
        <v>621</v>
      </c>
      <c r="C33" s="23"/>
      <c r="D33" s="46">
        <v>45.777000000000001</v>
      </c>
      <c r="E33" s="46">
        <v>-72.510000000000005</v>
      </c>
      <c r="F33" s="46">
        <v>44.823</v>
      </c>
      <c r="G33" s="46">
        <v>94.730999999999995</v>
      </c>
      <c r="H33" s="74">
        <v>112.821</v>
      </c>
      <c r="I33" s="48"/>
      <c r="J33" s="46">
        <v>41.005000000000003</v>
      </c>
      <c r="K33" s="46">
        <v>188.83500000000001</v>
      </c>
      <c r="L33" s="46">
        <v>92.591999999999999</v>
      </c>
      <c r="M33" s="46">
        <v>126.747</v>
      </c>
      <c r="N33" s="74">
        <v>323.04500000000002</v>
      </c>
      <c r="O33" s="48"/>
      <c r="P33" s="46">
        <v>161.197</v>
      </c>
      <c r="Q33" s="46">
        <v>57.539000000000001</v>
      </c>
      <c r="R33" s="46">
        <v>127.217</v>
      </c>
      <c r="S33" s="46">
        <v>220.70500000000001</v>
      </c>
      <c r="T33" s="74">
        <v>566.65800000000002</v>
      </c>
      <c r="U33" s="48"/>
      <c r="V33" s="46">
        <v>116.98</v>
      </c>
      <c r="W33" s="46">
        <v>130.91999999999999</v>
      </c>
      <c r="X33" s="46">
        <v>179.298</v>
      </c>
      <c r="Y33" s="46">
        <v>155.29499999999999</v>
      </c>
      <c r="Z33" s="74">
        <v>582.49400000000003</v>
      </c>
      <c r="AA33" s="51"/>
      <c r="AB33" s="46">
        <v>110.84399999999999</v>
      </c>
      <c r="AC33" s="46">
        <v>143.72900000000001</v>
      </c>
      <c r="AD33" s="46">
        <v>187.465</v>
      </c>
      <c r="AE33" s="46">
        <v>195.125</v>
      </c>
      <c r="AF33" s="74">
        <v>623.01900000000001</v>
      </c>
      <c r="AG33" s="49"/>
      <c r="AH33" s="46">
        <v>280.33699999999999</v>
      </c>
      <c r="AI33" s="46">
        <v>367.10399999999998</v>
      </c>
      <c r="AJ33" s="50"/>
      <c r="AK33" s="50"/>
      <c r="AL33" s="75"/>
      <c r="AM33" s="71"/>
      <c r="AN33" s="50"/>
      <c r="AO33" s="50"/>
      <c r="AP33" s="50"/>
      <c r="AQ33" s="50"/>
      <c r="AR33" s="75"/>
      <c r="AS33" s="71"/>
      <c r="AT33" s="75"/>
      <c r="AU33" s="72"/>
      <c r="AV33" s="75"/>
      <c r="AW33" s="72"/>
      <c r="AX33" s="75"/>
    </row>
    <row r="34" spans="1:50" s="54" customFormat="1" ht="14.25" customHeight="1">
      <c r="A34" s="73"/>
      <c r="B34" s="73"/>
      <c r="C34" s="21"/>
      <c r="D34" s="46"/>
      <c r="E34" s="46"/>
      <c r="F34" s="46"/>
      <c r="G34" s="46"/>
      <c r="H34" s="66"/>
      <c r="I34" s="48"/>
      <c r="J34" s="46"/>
      <c r="K34" s="46"/>
      <c r="L34" s="46"/>
      <c r="M34" s="46"/>
      <c r="N34" s="66"/>
      <c r="O34" s="48"/>
      <c r="P34" s="46"/>
      <c r="Q34" s="46"/>
      <c r="R34" s="46"/>
      <c r="S34" s="46"/>
      <c r="T34" s="66"/>
      <c r="U34" s="48"/>
      <c r="V34" s="46"/>
      <c r="W34" s="46"/>
      <c r="X34" s="46"/>
      <c r="Y34" s="46"/>
      <c r="Z34" s="66"/>
      <c r="AA34" s="81"/>
      <c r="AB34" s="46"/>
      <c r="AC34" s="46"/>
      <c r="AD34" s="46"/>
      <c r="AE34" s="46"/>
      <c r="AF34" s="66"/>
      <c r="AG34" s="82"/>
      <c r="AH34" s="46"/>
      <c r="AI34" s="46"/>
      <c r="AJ34" s="50"/>
      <c r="AK34" s="50"/>
      <c r="AL34" s="68"/>
      <c r="AM34" s="88"/>
      <c r="AN34" s="50"/>
      <c r="AO34" s="50"/>
      <c r="AP34" s="50"/>
      <c r="AQ34" s="50"/>
      <c r="AR34" s="68"/>
      <c r="AS34" s="88"/>
      <c r="AT34" s="68"/>
      <c r="AU34" s="89"/>
      <c r="AV34" s="68"/>
      <c r="AW34" s="89"/>
      <c r="AX34" s="68"/>
    </row>
    <row r="35" spans="1:50" s="54" customFormat="1" ht="14.25" customHeight="1">
      <c r="A35" s="44" t="s">
        <v>37</v>
      </c>
      <c r="B35" s="65" t="s">
        <v>622</v>
      </c>
      <c r="C35" s="23"/>
      <c r="D35" s="46"/>
      <c r="E35" s="46"/>
      <c r="F35" s="46"/>
      <c r="G35" s="46"/>
      <c r="H35" s="66"/>
      <c r="I35" s="48"/>
      <c r="J35" s="46"/>
      <c r="K35" s="46"/>
      <c r="L35" s="46"/>
      <c r="M35" s="46"/>
      <c r="N35" s="66"/>
      <c r="O35" s="48"/>
      <c r="P35" s="46"/>
      <c r="Q35" s="46"/>
      <c r="R35" s="46"/>
      <c r="S35" s="46"/>
      <c r="T35" s="66"/>
      <c r="U35" s="48"/>
      <c r="V35" s="46"/>
      <c r="W35" s="46"/>
      <c r="X35" s="46"/>
      <c r="Y35" s="46"/>
      <c r="Z35" s="66"/>
      <c r="AA35" s="51"/>
      <c r="AB35" s="46"/>
      <c r="AC35" s="46"/>
      <c r="AD35" s="46"/>
      <c r="AE35" s="46"/>
      <c r="AF35" s="66"/>
      <c r="AG35" s="49"/>
      <c r="AH35" s="46"/>
      <c r="AI35" s="46"/>
      <c r="AJ35" s="50"/>
      <c r="AK35" s="50"/>
      <c r="AL35" s="68"/>
      <c r="AM35" s="71"/>
      <c r="AN35" s="50"/>
      <c r="AO35" s="50"/>
      <c r="AP35" s="50"/>
      <c r="AQ35" s="50"/>
      <c r="AR35" s="68"/>
      <c r="AS35" s="71"/>
      <c r="AT35" s="68"/>
      <c r="AU35" s="72"/>
      <c r="AV35" s="68"/>
      <c r="AW35" s="72"/>
      <c r="AX35" s="68"/>
    </row>
    <row r="36" spans="1:50" s="54" customFormat="1" ht="14.25" customHeight="1">
      <c r="A36" s="44"/>
      <c r="B36" s="70" t="s">
        <v>623</v>
      </c>
      <c r="C36" s="23"/>
      <c r="D36" s="46">
        <v>5.3879999999999999</v>
      </c>
      <c r="E36" s="46">
        <v>8.8209999999999997</v>
      </c>
      <c r="F36" s="46">
        <v>7.5359999999999996</v>
      </c>
      <c r="G36" s="46">
        <v>1.7450000000000001</v>
      </c>
      <c r="H36" s="66">
        <v>23.49</v>
      </c>
      <c r="I36" s="48"/>
      <c r="J36" s="46">
        <v>8.36</v>
      </c>
      <c r="K36" s="46">
        <v>9.0310000000000006</v>
      </c>
      <c r="L36" s="46">
        <v>9.81</v>
      </c>
      <c r="M36" s="46">
        <v>13.398999999999999</v>
      </c>
      <c r="N36" s="66">
        <v>40.6</v>
      </c>
      <c r="O36" s="48"/>
      <c r="P36" s="46">
        <v>8.6359999999999992</v>
      </c>
      <c r="Q36" s="46">
        <v>11.612</v>
      </c>
      <c r="R36" s="46">
        <v>11.903</v>
      </c>
      <c r="S36" s="46">
        <v>30.221</v>
      </c>
      <c r="T36" s="66">
        <v>62.372</v>
      </c>
      <c r="U36" s="48"/>
      <c r="V36" s="46">
        <v>31.954999999999998</v>
      </c>
      <c r="W36" s="46">
        <v>33.417000000000002</v>
      </c>
      <c r="X36" s="46">
        <v>39.576999999999998</v>
      </c>
      <c r="Y36" s="46">
        <v>37.795999999999999</v>
      </c>
      <c r="Z36" s="66">
        <v>142.745</v>
      </c>
      <c r="AA36" s="51"/>
      <c r="AB36" s="46">
        <v>37.735999999999997</v>
      </c>
      <c r="AC36" s="46">
        <v>35.853000000000002</v>
      </c>
      <c r="AD36" s="46">
        <v>81.147000000000006</v>
      </c>
      <c r="AE36" s="46">
        <v>83.073999999999998</v>
      </c>
      <c r="AF36" s="66">
        <v>237.81</v>
      </c>
      <c r="AG36" s="49"/>
      <c r="AH36" s="46">
        <v>93.738</v>
      </c>
      <c r="AI36" s="46">
        <v>108.178</v>
      </c>
      <c r="AJ36" s="50"/>
      <c r="AK36" s="50"/>
      <c r="AL36" s="68"/>
      <c r="AM36" s="71"/>
      <c r="AN36" s="50"/>
      <c r="AO36" s="50"/>
      <c r="AP36" s="50"/>
      <c r="AQ36" s="50"/>
      <c r="AR36" s="68"/>
      <c r="AS36" s="71"/>
      <c r="AT36" s="68"/>
      <c r="AU36" s="72"/>
      <c r="AV36" s="68"/>
      <c r="AW36" s="72"/>
      <c r="AX36" s="68"/>
    </row>
    <row r="37" spans="1:50" s="54" customFormat="1" ht="14.25" customHeight="1">
      <c r="A37" s="44"/>
      <c r="B37" s="70" t="s">
        <v>624</v>
      </c>
      <c r="C37" s="23"/>
      <c r="D37" s="46">
        <v>3.1309999999999998</v>
      </c>
      <c r="E37" s="46">
        <v>4.4980000000000002</v>
      </c>
      <c r="F37" s="46">
        <v>2.347</v>
      </c>
      <c r="G37" s="46">
        <v>3.1850000000000001</v>
      </c>
      <c r="H37" s="66">
        <v>13.161</v>
      </c>
      <c r="I37" s="48"/>
      <c r="J37" s="46">
        <v>3.8439999999999999</v>
      </c>
      <c r="K37" s="46">
        <v>3.19</v>
      </c>
      <c r="L37" s="46">
        <v>4.5709999999999997</v>
      </c>
      <c r="M37" s="46">
        <v>5.7</v>
      </c>
      <c r="N37" s="66">
        <v>17.305</v>
      </c>
      <c r="O37" s="48"/>
      <c r="P37" s="46">
        <v>11.896000000000001</v>
      </c>
      <c r="Q37" s="46">
        <v>18.454000000000001</v>
      </c>
      <c r="R37" s="46">
        <v>18.268000000000001</v>
      </c>
      <c r="S37" s="46">
        <v>16.463000000000001</v>
      </c>
      <c r="T37" s="66">
        <v>65.081000000000003</v>
      </c>
      <c r="U37" s="48"/>
      <c r="V37" s="46">
        <v>13.095000000000001</v>
      </c>
      <c r="W37" s="46">
        <v>18.728999999999999</v>
      </c>
      <c r="X37" s="46">
        <v>17.353000000000002</v>
      </c>
      <c r="Y37" s="46">
        <v>16.013999999999999</v>
      </c>
      <c r="Z37" s="66">
        <v>65.191000000000003</v>
      </c>
      <c r="AA37" s="51"/>
      <c r="AB37" s="46">
        <v>15.427</v>
      </c>
      <c r="AC37" s="46">
        <v>13.531000000000001</v>
      </c>
      <c r="AD37" s="46">
        <v>29.04</v>
      </c>
      <c r="AE37" s="46">
        <v>28.594000000000001</v>
      </c>
      <c r="AF37" s="66">
        <v>86.591999999999999</v>
      </c>
      <c r="AG37" s="49"/>
      <c r="AH37" s="46">
        <v>20.562999999999999</v>
      </c>
      <c r="AI37" s="46">
        <v>31.167000000000002</v>
      </c>
      <c r="AJ37" s="50"/>
      <c r="AK37" s="50"/>
      <c r="AL37" s="68"/>
      <c r="AM37" s="71"/>
      <c r="AN37" s="50"/>
      <c r="AO37" s="50"/>
      <c r="AP37" s="50"/>
      <c r="AQ37" s="50"/>
      <c r="AR37" s="68"/>
      <c r="AS37" s="71"/>
      <c r="AT37" s="68"/>
      <c r="AU37" s="72"/>
      <c r="AV37" s="68"/>
      <c r="AW37" s="72"/>
      <c r="AX37" s="68"/>
    </row>
    <row r="38" spans="1:50" s="54" customFormat="1" ht="14.25" customHeight="1">
      <c r="A38" s="55" t="s">
        <v>37</v>
      </c>
      <c r="B38" s="76" t="s">
        <v>625</v>
      </c>
      <c r="C38" s="23"/>
      <c r="D38" s="46">
        <v>2.2570000000000001</v>
      </c>
      <c r="E38" s="46">
        <v>4.3230000000000004</v>
      </c>
      <c r="F38" s="46">
        <v>5.1890000000000001</v>
      </c>
      <c r="G38" s="46">
        <v>-1.44</v>
      </c>
      <c r="H38" s="66">
        <v>10.329000000000001</v>
      </c>
      <c r="I38" s="48"/>
      <c r="J38" s="46">
        <v>4.516</v>
      </c>
      <c r="K38" s="46">
        <v>5.8410000000000002</v>
      </c>
      <c r="L38" s="46">
        <v>5.2389999999999999</v>
      </c>
      <c r="M38" s="46">
        <v>7.6989999999999998</v>
      </c>
      <c r="N38" s="66">
        <v>23.295000000000002</v>
      </c>
      <c r="O38" s="48"/>
      <c r="P38" s="46">
        <v>-3.26</v>
      </c>
      <c r="Q38" s="46">
        <v>-6.8419999999999996</v>
      </c>
      <c r="R38" s="46">
        <v>-6.3650000000000002</v>
      </c>
      <c r="S38" s="46">
        <v>13.757999999999999</v>
      </c>
      <c r="T38" s="66">
        <v>-2.7090000000000001</v>
      </c>
      <c r="U38" s="48"/>
      <c r="V38" s="46">
        <v>18.86</v>
      </c>
      <c r="W38" s="46">
        <v>14.688000000000001</v>
      </c>
      <c r="X38" s="46">
        <v>22.224</v>
      </c>
      <c r="Y38" s="46">
        <v>21.782</v>
      </c>
      <c r="Z38" s="66">
        <v>77.554000000000002</v>
      </c>
      <c r="AA38" s="51"/>
      <c r="AB38" s="46">
        <v>22.309000000000001</v>
      </c>
      <c r="AC38" s="46">
        <v>22.321999999999999</v>
      </c>
      <c r="AD38" s="46">
        <v>52.106999999999999</v>
      </c>
      <c r="AE38" s="46">
        <v>54.48</v>
      </c>
      <c r="AF38" s="66">
        <v>151.21799999999999</v>
      </c>
      <c r="AG38" s="49"/>
      <c r="AH38" s="46">
        <v>73.174999999999997</v>
      </c>
      <c r="AI38" s="46">
        <v>77.010999999999996</v>
      </c>
      <c r="AJ38" s="50"/>
      <c r="AK38" s="50"/>
      <c r="AL38" s="68"/>
      <c r="AM38" s="71"/>
      <c r="AN38" s="50"/>
      <c r="AO38" s="50"/>
      <c r="AP38" s="50"/>
      <c r="AQ38" s="50"/>
      <c r="AR38" s="68"/>
      <c r="AS38" s="71"/>
      <c r="AT38" s="68"/>
      <c r="AU38" s="72"/>
      <c r="AV38" s="68"/>
      <c r="AW38" s="72"/>
      <c r="AX38" s="68"/>
    </row>
    <row r="39" spans="1:50" s="54" customFormat="1" ht="14.25" customHeight="1">
      <c r="A39" s="73"/>
      <c r="B39" s="76" t="s">
        <v>626</v>
      </c>
      <c r="C39" s="21"/>
      <c r="D39" s="46">
        <v>-3.5840000000000001</v>
      </c>
      <c r="E39" s="46">
        <v>-2.0150000000000001</v>
      </c>
      <c r="F39" s="46">
        <v>-1.8879999999999999</v>
      </c>
      <c r="G39" s="46">
        <v>9.8970000000000002</v>
      </c>
      <c r="H39" s="66">
        <v>2.41</v>
      </c>
      <c r="I39" s="48"/>
      <c r="J39" s="46">
        <v>-3.07</v>
      </c>
      <c r="K39" s="46">
        <v>5.5369999999999999</v>
      </c>
      <c r="L39" s="46">
        <v>-1.982</v>
      </c>
      <c r="M39" s="46">
        <v>1.992</v>
      </c>
      <c r="N39" s="66">
        <v>2.4769999999999999</v>
      </c>
      <c r="O39" s="48"/>
      <c r="P39" s="46">
        <v>13.363</v>
      </c>
      <c r="Q39" s="46">
        <v>2.4009999999999998</v>
      </c>
      <c r="R39" s="46">
        <v>4.0979999999999999</v>
      </c>
      <c r="S39" s="46">
        <v>5.1040000000000001</v>
      </c>
      <c r="T39" s="66">
        <v>27.780999999999999</v>
      </c>
      <c r="U39" s="48"/>
      <c r="V39" s="46">
        <v>3.7970000000000002</v>
      </c>
      <c r="W39" s="46">
        <v>14.021000000000001</v>
      </c>
      <c r="X39" s="46">
        <v>12.964</v>
      </c>
      <c r="Y39" s="46">
        <v>14.034000000000001</v>
      </c>
      <c r="Z39" s="66">
        <v>44.816000000000003</v>
      </c>
      <c r="AA39" s="81"/>
      <c r="AB39" s="46">
        <v>8.8919999999999995</v>
      </c>
      <c r="AC39" s="46">
        <v>3.5390000000000001</v>
      </c>
      <c r="AD39" s="46">
        <v>0.104</v>
      </c>
      <c r="AE39" s="46">
        <v>27.664000000000001</v>
      </c>
      <c r="AF39" s="66">
        <v>40.198999999999998</v>
      </c>
      <c r="AG39" s="82"/>
      <c r="AH39" s="46">
        <v>1.026</v>
      </c>
      <c r="AI39" s="46">
        <v>36.43</v>
      </c>
      <c r="AJ39" s="50"/>
      <c r="AK39" s="50"/>
      <c r="AL39" s="68"/>
      <c r="AM39" s="81"/>
      <c r="AN39" s="50"/>
      <c r="AO39" s="50"/>
      <c r="AP39" s="50"/>
      <c r="AQ39" s="50"/>
      <c r="AR39" s="68"/>
      <c r="AS39" s="81"/>
      <c r="AT39" s="68"/>
      <c r="AU39" s="83"/>
      <c r="AV39" s="68"/>
      <c r="AW39" s="83"/>
      <c r="AX39" s="68"/>
    </row>
    <row r="40" spans="1:50" s="54" customFormat="1" ht="14.25" customHeight="1">
      <c r="A40" s="55"/>
      <c r="B40" s="76" t="s">
        <v>627</v>
      </c>
      <c r="C40" s="23"/>
      <c r="D40" s="46">
        <v>2.0990000000000002</v>
      </c>
      <c r="E40" s="46">
        <v>6.7669999999999995</v>
      </c>
      <c r="F40" s="46">
        <v>3.5329999999999995</v>
      </c>
      <c r="G40" s="46">
        <v>0.36799999999999855</v>
      </c>
      <c r="H40" s="74">
        <v>12.766999999999999</v>
      </c>
      <c r="I40" s="48"/>
      <c r="J40" s="46">
        <v>7.17</v>
      </c>
      <c r="K40" s="46">
        <v>7.4099999999999993</v>
      </c>
      <c r="L40" s="46">
        <v>9.4969999999999999</v>
      </c>
      <c r="M40" s="46">
        <v>12.979000000000003</v>
      </c>
      <c r="N40" s="74">
        <v>37.056000000000004</v>
      </c>
      <c r="O40" s="48"/>
      <c r="P40" s="46">
        <v>10.304000000000002</v>
      </c>
      <c r="Q40" s="46">
        <v>11.096</v>
      </c>
      <c r="R40" s="46">
        <v>11.932000000000002</v>
      </c>
      <c r="S40" s="46">
        <v>18.854000000000003</v>
      </c>
      <c r="T40" s="74">
        <v>52.186</v>
      </c>
      <c r="U40" s="48"/>
      <c r="V40" s="46">
        <v>16.934000000000001</v>
      </c>
      <c r="W40" s="46">
        <v>14.964999999999996</v>
      </c>
      <c r="X40" s="46">
        <v>12.924999999999999</v>
      </c>
      <c r="Y40" s="46">
        <v>15.649000000000003</v>
      </c>
      <c r="Z40" s="74">
        <v>60.472999999999985</v>
      </c>
      <c r="AA40" s="51"/>
      <c r="AB40" s="46">
        <v>16.420000000000002</v>
      </c>
      <c r="AC40" s="46">
        <v>18.276999999999997</v>
      </c>
      <c r="AD40" s="46">
        <v>92.875999999999991</v>
      </c>
      <c r="AE40" s="46">
        <v>74.707000000000008</v>
      </c>
      <c r="AF40" s="74">
        <v>202.28000000000003</v>
      </c>
      <c r="AG40" s="49"/>
      <c r="AH40" s="46">
        <v>85.278999999999996</v>
      </c>
      <c r="AI40" s="46">
        <v>86.73599999999999</v>
      </c>
      <c r="AJ40" s="50"/>
      <c r="AK40" s="50"/>
      <c r="AL40" s="75"/>
      <c r="AM40" s="51"/>
      <c r="AN40" s="50"/>
      <c r="AO40" s="50"/>
      <c r="AP40" s="50"/>
      <c r="AQ40" s="50"/>
      <c r="AR40" s="75"/>
      <c r="AS40" s="51"/>
      <c r="AT40" s="75"/>
      <c r="AU40" s="53"/>
      <c r="AV40" s="75"/>
      <c r="AW40" s="53"/>
      <c r="AX40" s="75"/>
    </row>
    <row r="41" spans="1:50" s="54" customFormat="1" ht="14.25" customHeight="1">
      <c r="A41" s="73"/>
      <c r="B41" s="79" t="s">
        <v>628</v>
      </c>
      <c r="C41" s="21"/>
      <c r="D41" s="46">
        <v>0.77200000000000002</v>
      </c>
      <c r="E41" s="46">
        <v>9.0749999999999993</v>
      </c>
      <c r="F41" s="46">
        <v>6.8339999999999996</v>
      </c>
      <c r="G41" s="46">
        <v>8.8249999999999993</v>
      </c>
      <c r="H41" s="77">
        <v>25.506</v>
      </c>
      <c r="I41" s="48"/>
      <c r="J41" s="46">
        <v>8.6159999999999997</v>
      </c>
      <c r="K41" s="46">
        <v>18.788</v>
      </c>
      <c r="L41" s="46">
        <v>12.754</v>
      </c>
      <c r="M41" s="46">
        <v>22.67</v>
      </c>
      <c r="N41" s="77">
        <v>62.828000000000003</v>
      </c>
      <c r="O41" s="48"/>
      <c r="P41" s="46">
        <v>20.407</v>
      </c>
      <c r="Q41" s="46">
        <v>6.6550000000000002</v>
      </c>
      <c r="R41" s="46">
        <v>9.6649999999999991</v>
      </c>
      <c r="S41" s="46">
        <v>37.716000000000001</v>
      </c>
      <c r="T41" s="77">
        <v>77.257999999999996</v>
      </c>
      <c r="U41" s="48"/>
      <c r="V41" s="46">
        <v>39.591000000000001</v>
      </c>
      <c r="W41" s="46">
        <v>43.673999999999999</v>
      </c>
      <c r="X41" s="46">
        <v>48.113</v>
      </c>
      <c r="Y41" s="46">
        <v>51.465000000000003</v>
      </c>
      <c r="Z41" s="77">
        <v>182.84299999999999</v>
      </c>
      <c r="AA41" s="86"/>
      <c r="AB41" s="46">
        <v>47.621000000000002</v>
      </c>
      <c r="AC41" s="46">
        <v>44.137999999999998</v>
      </c>
      <c r="AD41" s="46">
        <v>145.08699999999999</v>
      </c>
      <c r="AE41" s="46">
        <v>156.851</v>
      </c>
      <c r="AF41" s="77">
        <v>393.697</v>
      </c>
      <c r="AG41" s="82"/>
      <c r="AH41" s="46">
        <v>159.47999999999999</v>
      </c>
      <c r="AI41" s="46">
        <v>200.17699999999999</v>
      </c>
      <c r="AJ41" s="50"/>
      <c r="AK41" s="50"/>
      <c r="AL41" s="78"/>
      <c r="AM41" s="81"/>
      <c r="AN41" s="50"/>
      <c r="AO41" s="50"/>
      <c r="AP41" s="50"/>
      <c r="AQ41" s="50"/>
      <c r="AR41" s="78"/>
      <c r="AS41" s="81"/>
      <c r="AT41" s="78"/>
      <c r="AU41" s="83"/>
      <c r="AV41" s="78"/>
      <c r="AW41" s="83"/>
      <c r="AX41" s="78"/>
    </row>
    <row r="42" spans="1:50" s="54" customFormat="1" ht="14.25" customHeight="1">
      <c r="A42" s="84"/>
      <c r="B42" s="90" t="s">
        <v>555</v>
      </c>
      <c r="C42" s="22"/>
      <c r="D42" s="46">
        <v>45.005000000000003</v>
      </c>
      <c r="E42" s="46">
        <v>-81.584999999999994</v>
      </c>
      <c r="F42" s="46">
        <v>37.988999999999997</v>
      </c>
      <c r="G42" s="46">
        <v>85.906000000000006</v>
      </c>
      <c r="H42" s="77">
        <v>87.314999999999998</v>
      </c>
      <c r="I42" s="48"/>
      <c r="J42" s="46">
        <v>32.389000000000003</v>
      </c>
      <c r="K42" s="46">
        <v>170.047</v>
      </c>
      <c r="L42" s="46">
        <v>79.837999999999994</v>
      </c>
      <c r="M42" s="46">
        <v>104.077</v>
      </c>
      <c r="N42" s="77">
        <v>260.21699999999998</v>
      </c>
      <c r="O42" s="48"/>
      <c r="P42" s="46">
        <v>140.79</v>
      </c>
      <c r="Q42" s="46">
        <v>50.884</v>
      </c>
      <c r="R42" s="46">
        <v>117.55200000000001</v>
      </c>
      <c r="S42" s="46">
        <v>182.989</v>
      </c>
      <c r="T42" s="77">
        <v>489.4</v>
      </c>
      <c r="U42" s="48"/>
      <c r="V42" s="46">
        <v>77.388999999999996</v>
      </c>
      <c r="W42" s="46">
        <v>87.245999999999995</v>
      </c>
      <c r="X42" s="46">
        <v>131.185</v>
      </c>
      <c r="Y42" s="46">
        <v>103.83</v>
      </c>
      <c r="Z42" s="77">
        <v>399.65100000000001</v>
      </c>
      <c r="AA42" s="51"/>
      <c r="AB42" s="46">
        <v>63.222999999999999</v>
      </c>
      <c r="AC42" s="46">
        <v>99.590999999999994</v>
      </c>
      <c r="AD42" s="46">
        <v>42.378</v>
      </c>
      <c r="AE42" s="46">
        <v>38.274000000000001</v>
      </c>
      <c r="AF42" s="77">
        <v>229.322</v>
      </c>
      <c r="AG42" s="49"/>
      <c r="AH42" s="46">
        <v>120.857</v>
      </c>
      <c r="AI42" s="46">
        <v>166.92699999999999</v>
      </c>
      <c r="AJ42" s="50"/>
      <c r="AK42" s="50"/>
      <c r="AL42" s="78"/>
      <c r="AM42" s="51"/>
      <c r="AN42" s="50"/>
      <c r="AO42" s="50"/>
      <c r="AP42" s="50"/>
      <c r="AQ42" s="50"/>
      <c r="AR42" s="78"/>
      <c r="AS42" s="51"/>
      <c r="AT42" s="78"/>
      <c r="AU42" s="53"/>
      <c r="AV42" s="78"/>
      <c r="AW42" s="53"/>
      <c r="AX42" s="78"/>
    </row>
    <row r="43" spans="1:50" s="54" customFormat="1" ht="14.25" customHeight="1">
      <c r="A43" s="73"/>
      <c r="B43" s="76"/>
      <c r="C43" s="21"/>
      <c r="D43" s="46"/>
      <c r="E43" s="46"/>
      <c r="F43" s="46"/>
      <c r="G43" s="46"/>
      <c r="H43" s="66"/>
      <c r="I43" s="48"/>
      <c r="J43" s="46"/>
      <c r="K43" s="46"/>
      <c r="L43" s="46"/>
      <c r="M43" s="46"/>
      <c r="N43" s="66"/>
      <c r="O43" s="48"/>
      <c r="P43" s="46"/>
      <c r="Q43" s="46"/>
      <c r="R43" s="46"/>
      <c r="S43" s="46"/>
      <c r="T43" s="66"/>
      <c r="U43" s="48"/>
      <c r="V43" s="46"/>
      <c r="W43" s="46"/>
      <c r="X43" s="46"/>
      <c r="Y43" s="46"/>
      <c r="Z43" s="66"/>
      <c r="AA43" s="51"/>
      <c r="AB43" s="46"/>
      <c r="AC43" s="46"/>
      <c r="AD43" s="46"/>
      <c r="AE43" s="46"/>
      <c r="AF43" s="66"/>
      <c r="AG43" s="49"/>
      <c r="AH43" s="46"/>
      <c r="AI43" s="46"/>
      <c r="AJ43" s="50"/>
      <c r="AK43" s="50"/>
      <c r="AL43" s="68"/>
      <c r="AM43" s="51"/>
      <c r="AN43" s="50"/>
      <c r="AO43" s="50"/>
      <c r="AP43" s="50"/>
      <c r="AQ43" s="50"/>
      <c r="AR43" s="68"/>
      <c r="AS43" s="51"/>
      <c r="AT43" s="68"/>
      <c r="AU43" s="53"/>
      <c r="AV43" s="68"/>
      <c r="AW43" s="53"/>
      <c r="AX43" s="68"/>
    </row>
    <row r="44" spans="1:50" s="54" customFormat="1" ht="14.25" customHeight="1">
      <c r="A44" s="44" t="s">
        <v>37</v>
      </c>
      <c r="B44" s="65" t="s">
        <v>629</v>
      </c>
      <c r="C44" s="21"/>
      <c r="D44" s="46"/>
      <c r="E44" s="46"/>
      <c r="F44" s="46"/>
      <c r="G44" s="46"/>
      <c r="H44" s="66"/>
      <c r="I44" s="48"/>
      <c r="J44" s="46"/>
      <c r="K44" s="46"/>
      <c r="L44" s="46"/>
      <c r="M44" s="46"/>
      <c r="N44" s="66"/>
      <c r="O44" s="48"/>
      <c r="P44" s="46"/>
      <c r="Q44" s="46"/>
      <c r="R44" s="46"/>
      <c r="S44" s="46"/>
      <c r="T44" s="66"/>
      <c r="U44" s="48"/>
      <c r="V44" s="46"/>
      <c r="W44" s="46"/>
      <c r="X44" s="46"/>
      <c r="Y44" s="46"/>
      <c r="Z44" s="66"/>
      <c r="AA44" s="51"/>
      <c r="AB44" s="46"/>
      <c r="AC44" s="46"/>
      <c r="AD44" s="46"/>
      <c r="AE44" s="46"/>
      <c r="AF44" s="66"/>
      <c r="AG44" s="49"/>
      <c r="AH44" s="46"/>
      <c r="AI44" s="46"/>
      <c r="AJ44" s="50"/>
      <c r="AK44" s="50"/>
      <c r="AL44" s="68"/>
      <c r="AM44" s="51"/>
      <c r="AN44" s="50"/>
      <c r="AO44" s="50"/>
      <c r="AP44" s="50"/>
      <c r="AQ44" s="50"/>
      <c r="AR44" s="68"/>
      <c r="AS44" s="51"/>
      <c r="AT44" s="68"/>
      <c r="AU44" s="53"/>
      <c r="AV44" s="68"/>
      <c r="AW44" s="53"/>
      <c r="AX44" s="68"/>
    </row>
    <row r="45" spans="1:50" s="54" customFormat="1" ht="14.25" customHeight="1">
      <c r="A45" s="84"/>
      <c r="B45" s="70" t="s">
        <v>556</v>
      </c>
      <c r="C45" s="22"/>
      <c r="D45" s="46">
        <v>17.956099999999999</v>
      </c>
      <c r="E45" s="46">
        <v>-11.600300000000001</v>
      </c>
      <c r="F45" s="46">
        <v>9.7997999999999994</v>
      </c>
      <c r="G45" s="46">
        <v>0.95579999999999998</v>
      </c>
      <c r="H45" s="66">
        <v>17.1114</v>
      </c>
      <c r="I45" s="48"/>
      <c r="J45" s="46">
        <v>2.6764000000000001</v>
      </c>
      <c r="K45" s="46">
        <v>37.641399999999997</v>
      </c>
      <c r="L45" s="46">
        <v>2.8418999999999999</v>
      </c>
      <c r="M45" s="46">
        <v>11.023300000000001</v>
      </c>
      <c r="N45" s="66">
        <v>11.2974</v>
      </c>
      <c r="O45" s="48"/>
      <c r="P45" s="46">
        <v>43.475299999999997</v>
      </c>
      <c r="Q45" s="46">
        <v>-25.784199999999998</v>
      </c>
      <c r="R45" s="46">
        <v>15.860300000000001</v>
      </c>
      <c r="S45" s="46">
        <v>22.401499999999999</v>
      </c>
      <c r="T45" s="66">
        <v>55.9529</v>
      </c>
      <c r="U45" s="48"/>
      <c r="V45" s="46">
        <v>5.9809999999999999</v>
      </c>
      <c r="W45" s="46">
        <v>-16.814299999999999</v>
      </c>
      <c r="X45" s="46">
        <v>14.8256</v>
      </c>
      <c r="Y45" s="46">
        <v>-18.6633</v>
      </c>
      <c r="Z45" s="66">
        <v>-14.6706</v>
      </c>
      <c r="AA45" s="71"/>
      <c r="AB45" s="46">
        <v>-10.7645</v>
      </c>
      <c r="AC45" s="46">
        <v>-35.181699999999999</v>
      </c>
      <c r="AD45" s="46">
        <v>-53.013100000000001</v>
      </c>
      <c r="AE45" s="46">
        <v>-163.4495</v>
      </c>
      <c r="AF45" s="66">
        <v>-267.21780000000001</v>
      </c>
      <c r="AG45" s="49"/>
      <c r="AH45" s="46">
        <v>1.4238999999999999</v>
      </c>
      <c r="AI45" s="46">
        <v>-375.19850000000002</v>
      </c>
      <c r="AJ45" s="50"/>
      <c r="AK45" s="50"/>
      <c r="AL45" s="68"/>
      <c r="AM45" s="91"/>
      <c r="AN45" s="50"/>
      <c r="AO45" s="50"/>
      <c r="AP45" s="50"/>
      <c r="AQ45" s="50"/>
      <c r="AR45" s="68"/>
      <c r="AS45" s="71"/>
      <c r="AT45" s="68"/>
      <c r="AU45" s="72"/>
      <c r="AV45" s="68"/>
      <c r="AW45" s="72"/>
      <c r="AX45" s="68"/>
    </row>
    <row r="46" spans="1:50" s="54" customFormat="1" ht="14.25" customHeight="1">
      <c r="A46" s="84"/>
      <c r="B46" s="70" t="s">
        <v>630</v>
      </c>
      <c r="C46" s="22"/>
      <c r="D46" s="46">
        <v>0</v>
      </c>
      <c r="E46" s="46">
        <v>0</v>
      </c>
      <c r="F46" s="46">
        <v>0</v>
      </c>
      <c r="G46" s="46">
        <v>0</v>
      </c>
      <c r="H46" s="66">
        <v>0</v>
      </c>
      <c r="I46" s="48"/>
      <c r="J46" s="46">
        <v>0</v>
      </c>
      <c r="K46" s="46">
        <v>0</v>
      </c>
      <c r="L46" s="46">
        <v>0</v>
      </c>
      <c r="M46" s="46">
        <v>0</v>
      </c>
      <c r="N46" s="66">
        <v>0</v>
      </c>
      <c r="O46" s="48"/>
      <c r="P46" s="46">
        <v>0</v>
      </c>
      <c r="Q46" s="46">
        <v>0</v>
      </c>
      <c r="R46" s="46">
        <v>0</v>
      </c>
      <c r="S46" s="46">
        <v>0</v>
      </c>
      <c r="T46" s="66">
        <v>0</v>
      </c>
      <c r="U46" s="48"/>
      <c r="V46" s="46">
        <v>0</v>
      </c>
      <c r="W46" s="46">
        <v>0</v>
      </c>
      <c r="X46" s="46">
        <v>0</v>
      </c>
      <c r="Y46" s="46">
        <v>0</v>
      </c>
      <c r="Z46" s="66">
        <v>0</v>
      </c>
      <c r="AA46" s="51"/>
      <c r="AB46" s="46">
        <v>0</v>
      </c>
      <c r="AC46" s="46">
        <v>0</v>
      </c>
      <c r="AD46" s="46">
        <v>0</v>
      </c>
      <c r="AE46" s="46">
        <v>0</v>
      </c>
      <c r="AF46" s="66">
        <v>0</v>
      </c>
      <c r="AG46" s="49"/>
      <c r="AH46" s="46">
        <v>0</v>
      </c>
      <c r="AI46" s="46">
        <v>0</v>
      </c>
      <c r="AJ46" s="50"/>
      <c r="AK46" s="50"/>
      <c r="AL46" s="68"/>
      <c r="AM46" s="92"/>
      <c r="AN46" s="50"/>
      <c r="AO46" s="50"/>
      <c r="AP46" s="50"/>
      <c r="AQ46" s="50"/>
      <c r="AR46" s="68"/>
      <c r="AS46" s="51"/>
      <c r="AT46" s="68"/>
      <c r="AU46" s="53"/>
      <c r="AV46" s="68"/>
      <c r="AW46" s="53"/>
      <c r="AX46" s="68"/>
    </row>
    <row r="47" spans="1:50" s="54" customFormat="1" ht="14.25" customHeight="1" thickBot="1">
      <c r="A47" s="73"/>
      <c r="B47" s="70" t="s">
        <v>631</v>
      </c>
      <c r="C47" s="21"/>
      <c r="D47" s="46">
        <v>27.0489</v>
      </c>
      <c r="E47" s="46">
        <v>-69.984700000000004</v>
      </c>
      <c r="F47" s="46">
        <v>28.1892</v>
      </c>
      <c r="G47" s="46">
        <v>84.950199999999995</v>
      </c>
      <c r="H47" s="93">
        <v>70.203599999999994</v>
      </c>
      <c r="I47" s="48"/>
      <c r="J47" s="46">
        <v>29.712599999999998</v>
      </c>
      <c r="K47" s="46">
        <v>132.40559999999999</v>
      </c>
      <c r="L47" s="46">
        <v>76.996099999999998</v>
      </c>
      <c r="M47" s="46">
        <v>93.053700000000006</v>
      </c>
      <c r="N47" s="93">
        <v>248.9196</v>
      </c>
      <c r="O47" s="48"/>
      <c r="P47" s="46">
        <v>97.314700000000002</v>
      </c>
      <c r="Q47" s="46">
        <v>76.668199999999999</v>
      </c>
      <c r="R47" s="46">
        <v>101.6917</v>
      </c>
      <c r="S47" s="46">
        <v>160.58750000000001</v>
      </c>
      <c r="T47" s="93">
        <v>433.44709999999998</v>
      </c>
      <c r="U47" s="48"/>
      <c r="V47" s="46">
        <v>71.408000000000001</v>
      </c>
      <c r="W47" s="46">
        <v>104.0603</v>
      </c>
      <c r="X47" s="46">
        <v>116.35939999999999</v>
      </c>
      <c r="Y47" s="46">
        <v>122.4933</v>
      </c>
      <c r="Z47" s="93">
        <v>414.32159999999999</v>
      </c>
      <c r="AA47" s="51"/>
      <c r="AB47" s="46">
        <v>73.987499999999997</v>
      </c>
      <c r="AC47" s="46">
        <v>134.77269999999999</v>
      </c>
      <c r="AD47" s="46">
        <v>95.391099999999994</v>
      </c>
      <c r="AE47" s="46">
        <v>201.7235</v>
      </c>
      <c r="AF47" s="93">
        <v>496.53980000000001</v>
      </c>
      <c r="AG47" s="49"/>
      <c r="AH47" s="46">
        <v>119.4331</v>
      </c>
      <c r="AI47" s="46">
        <v>542.12549999999999</v>
      </c>
      <c r="AJ47" s="50"/>
      <c r="AK47" s="50"/>
      <c r="AL47" s="94"/>
      <c r="AM47" s="92"/>
      <c r="AN47" s="50"/>
      <c r="AO47" s="50"/>
      <c r="AP47" s="50"/>
      <c r="AQ47" s="50"/>
      <c r="AR47" s="94"/>
      <c r="AS47" s="51"/>
      <c r="AT47" s="94"/>
      <c r="AU47" s="53"/>
      <c r="AV47" s="94"/>
      <c r="AW47" s="53"/>
      <c r="AX47" s="94"/>
    </row>
    <row r="49" spans="1:50" s="54" customFormat="1" ht="14.25" customHeight="1">
      <c r="A49" s="44" t="s">
        <v>37</v>
      </c>
      <c r="B49" s="65" t="s">
        <v>632</v>
      </c>
      <c r="C49" s="23"/>
      <c r="D49" s="46"/>
      <c r="E49" s="46"/>
      <c r="F49" s="46"/>
      <c r="G49" s="46"/>
      <c r="H49" s="66"/>
      <c r="I49" s="48"/>
      <c r="J49" s="46"/>
      <c r="K49" s="46"/>
      <c r="L49" s="46"/>
      <c r="M49" s="46"/>
      <c r="N49" s="66"/>
      <c r="O49" s="48"/>
      <c r="P49" s="46"/>
      <c r="Q49" s="46"/>
      <c r="R49" s="46"/>
      <c r="S49" s="46"/>
      <c r="T49" s="66"/>
      <c r="U49" s="48"/>
      <c r="V49" s="46"/>
      <c r="W49" s="46"/>
      <c r="X49" s="46"/>
      <c r="Y49" s="46"/>
      <c r="Z49" s="66"/>
      <c r="AA49" s="48"/>
      <c r="AB49" s="46"/>
      <c r="AC49" s="46"/>
      <c r="AD49" s="46"/>
      <c r="AE49" s="46"/>
      <c r="AF49" s="66"/>
      <c r="AG49" s="95"/>
      <c r="AH49" s="46"/>
      <c r="AI49" s="46"/>
      <c r="AJ49" s="50"/>
      <c r="AK49" s="50"/>
      <c r="AL49" s="68"/>
      <c r="AM49" s="48"/>
      <c r="AN49" s="50"/>
      <c r="AO49" s="50"/>
      <c r="AP49" s="50"/>
      <c r="AQ49" s="50"/>
      <c r="AR49" s="68"/>
      <c r="AS49" s="48"/>
      <c r="AT49" s="68"/>
      <c r="AU49" s="96"/>
      <c r="AV49" s="68"/>
      <c r="AW49" s="96"/>
      <c r="AX49" s="68"/>
    </row>
    <row r="50" spans="1:50" s="54" customFormat="1" ht="14.25" customHeight="1">
      <c r="A50" s="73"/>
      <c r="B50" s="70" t="s">
        <v>633</v>
      </c>
      <c r="C50" s="21"/>
      <c r="D50" s="46">
        <v>0</v>
      </c>
      <c r="E50" s="46">
        <v>0</v>
      </c>
      <c r="F50" s="46">
        <v>0</v>
      </c>
      <c r="G50" s="46">
        <v>0</v>
      </c>
      <c r="H50" s="66">
        <v>0</v>
      </c>
      <c r="I50" s="48"/>
      <c r="J50" s="46">
        <v>0</v>
      </c>
      <c r="K50" s="46">
        <v>0</v>
      </c>
      <c r="L50" s="46">
        <v>0</v>
      </c>
      <c r="M50" s="46">
        <v>0</v>
      </c>
      <c r="N50" s="66">
        <v>0</v>
      </c>
      <c r="O50" s="48"/>
      <c r="P50" s="46">
        <v>0</v>
      </c>
      <c r="Q50" s="46">
        <v>0</v>
      </c>
      <c r="R50" s="46">
        <v>0</v>
      </c>
      <c r="S50" s="46">
        <v>0</v>
      </c>
      <c r="T50" s="66">
        <v>0</v>
      </c>
      <c r="U50" s="48"/>
      <c r="V50" s="46">
        <v>0</v>
      </c>
      <c r="W50" s="46">
        <v>0</v>
      </c>
      <c r="X50" s="46">
        <v>0</v>
      </c>
      <c r="Y50" s="46">
        <v>0</v>
      </c>
      <c r="Z50" s="66">
        <v>0</v>
      </c>
      <c r="AA50" s="81"/>
      <c r="AB50" s="46">
        <v>0</v>
      </c>
      <c r="AC50" s="46">
        <v>0</v>
      </c>
      <c r="AD50" s="46">
        <v>0</v>
      </c>
      <c r="AE50" s="46">
        <v>0</v>
      </c>
      <c r="AF50" s="66">
        <v>0</v>
      </c>
      <c r="AG50" s="82"/>
      <c r="AH50" s="46">
        <v>0</v>
      </c>
      <c r="AI50" s="46">
        <v>0</v>
      </c>
      <c r="AJ50" s="50"/>
      <c r="AK50" s="50"/>
      <c r="AL50" s="68"/>
      <c r="AM50" s="81"/>
      <c r="AN50" s="50"/>
      <c r="AO50" s="50"/>
      <c r="AP50" s="50"/>
      <c r="AQ50" s="50"/>
      <c r="AR50" s="68"/>
      <c r="AS50" s="81"/>
      <c r="AT50" s="68"/>
      <c r="AU50" s="83"/>
      <c r="AV50" s="68"/>
      <c r="AW50" s="83"/>
      <c r="AX50" s="68"/>
    </row>
    <row r="51" spans="1:50" s="54" customFormat="1" ht="14.25" customHeight="1">
      <c r="A51" s="55"/>
      <c r="B51" s="70" t="s">
        <v>634</v>
      </c>
      <c r="C51" s="23"/>
      <c r="D51" s="46">
        <v>0</v>
      </c>
      <c r="E51" s="46">
        <v>0</v>
      </c>
      <c r="F51" s="46">
        <v>0</v>
      </c>
      <c r="G51" s="46">
        <v>0</v>
      </c>
      <c r="H51" s="74">
        <v>0</v>
      </c>
      <c r="I51" s="48"/>
      <c r="J51" s="46">
        <v>0</v>
      </c>
      <c r="K51" s="46">
        <v>0</v>
      </c>
      <c r="L51" s="46">
        <v>-0.51400000000000001</v>
      </c>
      <c r="M51" s="46">
        <v>-0.215</v>
      </c>
      <c r="N51" s="74">
        <v>-1.514</v>
      </c>
      <c r="O51" s="48"/>
      <c r="P51" s="46">
        <v>-0.76800000000000002</v>
      </c>
      <c r="Q51" s="46">
        <v>-0.629</v>
      </c>
      <c r="R51" s="46">
        <v>2.8149999999999999</v>
      </c>
      <c r="S51" s="46">
        <v>-0.42899999999999999</v>
      </c>
      <c r="T51" s="74">
        <v>-2.1709999999999998</v>
      </c>
      <c r="U51" s="48"/>
      <c r="V51" s="46">
        <v>0.24399999999999999</v>
      </c>
      <c r="W51" s="46">
        <v>-0.16400000000000001</v>
      </c>
      <c r="X51" s="46">
        <v>-0.20499999999999999</v>
      </c>
      <c r="Y51" s="46">
        <v>-0.60199999999999998</v>
      </c>
      <c r="Z51" s="74">
        <v>-0.72699999999999998</v>
      </c>
      <c r="AA51" s="48"/>
      <c r="AB51" s="46">
        <v>-1.538</v>
      </c>
      <c r="AC51" s="46">
        <v>-1.508</v>
      </c>
      <c r="AD51" s="46">
        <v>0.51500000000000001</v>
      </c>
      <c r="AE51" s="46">
        <v>-0.64700000000000002</v>
      </c>
      <c r="AF51" s="74">
        <v>-3.1779999999999999</v>
      </c>
      <c r="AG51" s="95"/>
      <c r="AH51" s="46">
        <v>0</v>
      </c>
      <c r="AI51" s="46">
        <v>0</v>
      </c>
      <c r="AJ51" s="50"/>
      <c r="AK51" s="50"/>
      <c r="AL51" s="75"/>
      <c r="AM51" s="48"/>
      <c r="AN51" s="50"/>
      <c r="AO51" s="50"/>
      <c r="AP51" s="50"/>
      <c r="AQ51" s="50"/>
      <c r="AR51" s="75"/>
      <c r="AS51" s="48"/>
      <c r="AT51" s="75"/>
      <c r="AU51" s="96"/>
      <c r="AV51" s="75"/>
      <c r="AW51" s="96"/>
      <c r="AX51" s="75"/>
    </row>
    <row r="52" spans="1:50" s="54" customFormat="1" ht="14.25" customHeight="1" thickBot="1">
      <c r="A52" s="73"/>
      <c r="B52" s="76" t="s">
        <v>635</v>
      </c>
      <c r="C52" s="21"/>
      <c r="D52" s="46">
        <v>27.0489</v>
      </c>
      <c r="E52" s="46">
        <v>-69.984700000000004</v>
      </c>
      <c r="F52" s="46">
        <v>28.1892</v>
      </c>
      <c r="G52" s="46">
        <v>84.950199999999995</v>
      </c>
      <c r="H52" s="93">
        <v>70.203599999999994</v>
      </c>
      <c r="I52" s="48"/>
      <c r="J52" s="46">
        <v>29.712599999999998</v>
      </c>
      <c r="K52" s="46">
        <v>132.40559999999999</v>
      </c>
      <c r="L52" s="46">
        <v>77.510099999999994</v>
      </c>
      <c r="M52" s="46">
        <v>93.268699999999995</v>
      </c>
      <c r="N52" s="93">
        <v>250.43360000000001</v>
      </c>
      <c r="O52" s="48"/>
      <c r="P52" s="46">
        <v>98.082700000000003</v>
      </c>
      <c r="Q52" s="46">
        <v>77.297200000000004</v>
      </c>
      <c r="R52" s="46">
        <v>98.8767</v>
      </c>
      <c r="S52" s="46">
        <v>161.01650000000001</v>
      </c>
      <c r="T52" s="93">
        <v>435.61810000000003</v>
      </c>
      <c r="U52" s="48"/>
      <c r="V52" s="46">
        <v>71.164000000000001</v>
      </c>
      <c r="W52" s="46">
        <v>104.2243</v>
      </c>
      <c r="X52" s="46">
        <v>116.56440000000001</v>
      </c>
      <c r="Y52" s="46">
        <v>123.09529999999999</v>
      </c>
      <c r="Z52" s="93">
        <v>415.04860000000002</v>
      </c>
      <c r="AA52" s="48"/>
      <c r="AB52" s="46">
        <v>75.525499999999994</v>
      </c>
      <c r="AC52" s="46">
        <v>136.2807</v>
      </c>
      <c r="AD52" s="46">
        <v>94.876099999999994</v>
      </c>
      <c r="AE52" s="46">
        <v>202.37049999999999</v>
      </c>
      <c r="AF52" s="93">
        <v>499.71780000000001</v>
      </c>
      <c r="AG52" s="95"/>
      <c r="AH52" s="46">
        <v>119.4331</v>
      </c>
      <c r="AI52" s="46">
        <v>542.12549999999999</v>
      </c>
      <c r="AJ52" s="50"/>
      <c r="AK52" s="50"/>
      <c r="AL52" s="94"/>
      <c r="AM52" s="48"/>
      <c r="AN52" s="50"/>
      <c r="AO52" s="50"/>
      <c r="AP52" s="50"/>
      <c r="AQ52" s="50"/>
      <c r="AR52" s="94"/>
      <c r="AS52" s="48"/>
      <c r="AT52" s="94"/>
      <c r="AU52" s="96"/>
      <c r="AV52" s="94"/>
      <c r="AW52" s="96"/>
      <c r="AX52" s="94"/>
    </row>
    <row r="53" spans="1:50" s="54" customFormat="1" ht="14.25" customHeight="1" thickTop="1">
      <c r="A53" s="55"/>
      <c r="B53" s="97"/>
      <c r="C53" s="23"/>
      <c r="D53" s="46"/>
      <c r="E53" s="46"/>
      <c r="F53" s="46"/>
      <c r="G53" s="46"/>
      <c r="H53" s="66"/>
      <c r="I53" s="48"/>
      <c r="J53" s="46"/>
      <c r="K53" s="46"/>
      <c r="L53" s="46"/>
      <c r="M53" s="46"/>
      <c r="N53" s="66"/>
      <c r="O53" s="48"/>
      <c r="P53" s="46"/>
      <c r="Q53" s="46"/>
      <c r="R53" s="46"/>
      <c r="S53" s="46"/>
      <c r="T53" s="66"/>
      <c r="U53" s="48"/>
      <c r="V53" s="46"/>
      <c r="W53" s="46"/>
      <c r="X53" s="46"/>
      <c r="Y53" s="46"/>
      <c r="Z53" s="66"/>
      <c r="AA53" s="48"/>
      <c r="AB53" s="46"/>
      <c r="AC53" s="46"/>
      <c r="AD53" s="46"/>
      <c r="AE53" s="46"/>
      <c r="AF53" s="66"/>
      <c r="AG53" s="95"/>
      <c r="AH53" s="46"/>
      <c r="AI53" s="46"/>
      <c r="AJ53" s="50"/>
      <c r="AK53" s="50"/>
      <c r="AL53" s="68"/>
      <c r="AM53" s="48"/>
      <c r="AN53" s="50"/>
      <c r="AO53" s="50"/>
      <c r="AP53" s="50"/>
      <c r="AQ53" s="50"/>
      <c r="AR53" s="68"/>
      <c r="AS53" s="48"/>
      <c r="AT53" s="68"/>
      <c r="AU53" s="96"/>
      <c r="AV53" s="68"/>
      <c r="AW53" s="96"/>
      <c r="AX53" s="68"/>
    </row>
    <row r="54" spans="1:50" s="54" customFormat="1" ht="14.25" customHeight="1">
      <c r="A54" s="44" t="s">
        <v>37</v>
      </c>
      <c r="B54" s="65" t="s">
        <v>636</v>
      </c>
      <c r="C54" s="21"/>
      <c r="D54" s="46"/>
      <c r="E54" s="46"/>
      <c r="F54" s="46"/>
      <c r="G54" s="46"/>
      <c r="H54" s="66"/>
      <c r="I54" s="48"/>
      <c r="J54" s="46"/>
      <c r="K54" s="46"/>
      <c r="L54" s="46"/>
      <c r="M54" s="46"/>
      <c r="N54" s="66"/>
      <c r="O54" s="48"/>
      <c r="P54" s="46"/>
      <c r="Q54" s="46"/>
      <c r="R54" s="46"/>
      <c r="S54" s="46"/>
      <c r="T54" s="66"/>
      <c r="U54" s="48"/>
      <c r="V54" s="46"/>
      <c r="W54" s="46"/>
      <c r="X54" s="46"/>
      <c r="Y54" s="46"/>
      <c r="Z54" s="66"/>
      <c r="AA54" s="48"/>
      <c r="AB54" s="46"/>
      <c r="AC54" s="46"/>
      <c r="AD54" s="46"/>
      <c r="AE54" s="46"/>
      <c r="AF54" s="66"/>
      <c r="AG54" s="95"/>
      <c r="AH54" s="46"/>
      <c r="AI54" s="46"/>
      <c r="AJ54" s="50"/>
      <c r="AK54" s="50"/>
      <c r="AL54" s="68"/>
      <c r="AM54" s="48"/>
      <c r="AN54" s="50"/>
      <c r="AO54" s="50"/>
      <c r="AP54" s="50"/>
      <c r="AQ54" s="50"/>
      <c r="AR54" s="68"/>
      <c r="AS54" s="48"/>
      <c r="AT54" s="68"/>
      <c r="AU54" s="96"/>
      <c r="AV54" s="68"/>
      <c r="AW54" s="96"/>
      <c r="AX54" s="68"/>
    </row>
    <row r="55" spans="1:50" s="54" customFormat="1" ht="14.25" customHeight="1">
      <c r="A55" s="55"/>
      <c r="B55" s="76" t="s">
        <v>637</v>
      </c>
      <c r="C55" s="23"/>
      <c r="D55" s="98">
        <v>0.29759999999999998</v>
      </c>
      <c r="E55" s="98">
        <v>-0.77</v>
      </c>
      <c r="F55" s="98">
        <v>0.3095</v>
      </c>
      <c r="G55" s="98">
        <v>0.90649999999999997</v>
      </c>
      <c r="H55" s="99">
        <v>0.7661</v>
      </c>
      <c r="I55" s="100"/>
      <c r="J55" s="98">
        <v>0.29820000000000002</v>
      </c>
      <c r="K55" s="98">
        <v>1.3364</v>
      </c>
      <c r="L55" s="98">
        <v>0.76939999999999997</v>
      </c>
      <c r="M55" s="98">
        <v>0.1007</v>
      </c>
      <c r="N55" s="99">
        <v>2.5146000000000002</v>
      </c>
      <c r="O55" s="100"/>
      <c r="P55" s="98">
        <v>0.91810000000000003</v>
      </c>
      <c r="Q55" s="98">
        <v>0.70420000000000005</v>
      </c>
      <c r="R55" s="98">
        <v>0.89870000000000005</v>
      </c>
      <c r="S55" s="98">
        <v>1.4612000000000001</v>
      </c>
      <c r="T55" s="99">
        <v>3.9889999999999999</v>
      </c>
      <c r="U55" s="100"/>
      <c r="V55" s="98">
        <v>0.64639999999999997</v>
      </c>
      <c r="W55" s="98">
        <v>0.94510000000000005</v>
      </c>
      <c r="X55" s="98">
        <v>1.0508999999999999</v>
      </c>
      <c r="Y55" s="98">
        <v>1.0992999999999999</v>
      </c>
      <c r="Z55" s="99">
        <v>3.7454000000000001</v>
      </c>
      <c r="AA55" s="100"/>
      <c r="AB55" s="98">
        <v>0.68110000000000004</v>
      </c>
      <c r="AC55" s="98">
        <v>1.23</v>
      </c>
      <c r="AD55" s="98">
        <v>0.79200000000000004</v>
      </c>
      <c r="AE55" s="98">
        <v>1.24</v>
      </c>
      <c r="AF55" s="99">
        <v>3.8233000000000001</v>
      </c>
      <c r="AG55" s="101"/>
      <c r="AH55" s="98">
        <v>0.57850000000000001</v>
      </c>
      <c r="AI55" s="98">
        <v>2.6316999999999999</v>
      </c>
      <c r="AJ55" s="102"/>
      <c r="AK55" s="102"/>
      <c r="AL55" s="103"/>
      <c r="AM55" s="100"/>
      <c r="AN55" s="102"/>
      <c r="AO55" s="102"/>
      <c r="AP55" s="102"/>
      <c r="AQ55" s="102"/>
      <c r="AR55" s="103"/>
      <c r="AS55" s="100"/>
      <c r="AT55" s="103"/>
      <c r="AU55" s="104"/>
      <c r="AV55" s="103"/>
      <c r="AW55" s="104"/>
      <c r="AX55" s="103"/>
    </row>
    <row r="56" spans="1:50" s="54" customFormat="1" ht="14.25" customHeight="1">
      <c r="A56" s="73"/>
      <c r="B56" s="76" t="s">
        <v>638</v>
      </c>
      <c r="C56" s="21"/>
      <c r="D56" s="98">
        <v>0.29759999999999998</v>
      </c>
      <c r="E56" s="98">
        <v>-0.77</v>
      </c>
      <c r="F56" s="98">
        <v>0.3095</v>
      </c>
      <c r="G56" s="98">
        <v>0.89239999999999997</v>
      </c>
      <c r="H56" s="99">
        <v>0.76300000000000001</v>
      </c>
      <c r="I56" s="100"/>
      <c r="J56" s="98">
        <v>0.29749999999999999</v>
      </c>
      <c r="K56" s="98">
        <v>1.3331</v>
      </c>
      <c r="L56" s="98">
        <v>0.76929999999999998</v>
      </c>
      <c r="M56" s="98">
        <v>9.35E-2</v>
      </c>
      <c r="N56" s="99">
        <v>2.4636</v>
      </c>
      <c r="O56" s="100"/>
      <c r="P56" s="98">
        <v>0.90110000000000001</v>
      </c>
      <c r="Q56" s="98">
        <v>0.69189999999999996</v>
      </c>
      <c r="R56" s="98">
        <v>0.85970000000000002</v>
      </c>
      <c r="S56" s="98">
        <v>1.3871</v>
      </c>
      <c r="T56" s="99">
        <v>3.8580000000000001</v>
      </c>
      <c r="U56" s="100"/>
      <c r="V56" s="98">
        <v>0.62960000000000005</v>
      </c>
      <c r="W56" s="98">
        <v>0.92059999999999997</v>
      </c>
      <c r="X56" s="98">
        <v>1.0254000000000001</v>
      </c>
      <c r="Y56" s="98">
        <v>1.0713999999999999</v>
      </c>
      <c r="Z56" s="99">
        <v>3.6501999999999999</v>
      </c>
      <c r="AA56" s="100"/>
      <c r="AB56" s="98">
        <v>0.66459999999999997</v>
      </c>
      <c r="AC56" s="98">
        <v>1.2009000000000001</v>
      </c>
      <c r="AD56" s="98">
        <v>0.76929999999999998</v>
      </c>
      <c r="AE56" s="98">
        <v>1.2390000000000001</v>
      </c>
      <c r="AF56" s="99">
        <v>3.7481</v>
      </c>
      <c r="AG56" s="101"/>
      <c r="AH56" s="98">
        <v>0.57320000000000004</v>
      </c>
      <c r="AI56" s="98">
        <v>2.5964999999999998</v>
      </c>
      <c r="AJ56" s="102"/>
      <c r="AK56" s="102"/>
      <c r="AL56" s="103"/>
      <c r="AM56" s="100"/>
      <c r="AN56" s="102"/>
      <c r="AO56" s="102"/>
      <c r="AP56" s="102"/>
      <c r="AQ56" s="102"/>
      <c r="AR56" s="103"/>
      <c r="AS56" s="100"/>
      <c r="AT56" s="103"/>
      <c r="AU56" s="104"/>
      <c r="AV56" s="103"/>
      <c r="AW56" s="104"/>
      <c r="AX56" s="103"/>
    </row>
    <row r="57" spans="1:50" s="54" customFormat="1" ht="14.25" customHeight="1">
      <c r="A57" s="55"/>
      <c r="B57" s="97"/>
      <c r="C57" s="23"/>
      <c r="D57" s="46"/>
      <c r="E57" s="46"/>
      <c r="F57" s="46"/>
      <c r="G57" s="46"/>
      <c r="H57" s="66"/>
      <c r="I57" s="48"/>
      <c r="J57" s="46"/>
      <c r="K57" s="46"/>
      <c r="L57" s="46"/>
      <c r="M57" s="46"/>
      <c r="N57" s="66"/>
      <c r="O57" s="48"/>
      <c r="P57" s="46"/>
      <c r="Q57" s="46"/>
      <c r="R57" s="46"/>
      <c r="S57" s="46"/>
      <c r="T57" s="66"/>
      <c r="U57" s="48"/>
      <c r="V57" s="46"/>
      <c r="W57" s="46"/>
      <c r="X57" s="46"/>
      <c r="Y57" s="46"/>
      <c r="Z57" s="66"/>
      <c r="AA57" s="48"/>
      <c r="AB57" s="46"/>
      <c r="AC57" s="46"/>
      <c r="AD57" s="46"/>
      <c r="AE57" s="46"/>
      <c r="AF57" s="66"/>
      <c r="AG57" s="95"/>
      <c r="AH57" s="46"/>
      <c r="AI57" s="46"/>
      <c r="AJ57" s="50"/>
      <c r="AK57" s="50"/>
      <c r="AL57" s="68"/>
      <c r="AM57" s="48"/>
      <c r="AN57" s="50"/>
      <c r="AO57" s="50"/>
      <c r="AP57" s="50"/>
      <c r="AQ57" s="50"/>
      <c r="AR57" s="68"/>
      <c r="AS57" s="48"/>
      <c r="AT57" s="68"/>
      <c r="AU57" s="96"/>
      <c r="AV57" s="68"/>
      <c r="AW57" s="96"/>
      <c r="AX57" s="68"/>
    </row>
    <row r="58" spans="1:50" s="54" customFormat="1" ht="14.25" customHeight="1">
      <c r="A58" s="44" t="s">
        <v>37</v>
      </c>
      <c r="B58" s="65" t="s">
        <v>639</v>
      </c>
      <c r="C58" s="21"/>
      <c r="D58" s="46"/>
      <c r="E58" s="46"/>
      <c r="F58" s="46"/>
      <c r="G58" s="46"/>
      <c r="H58" s="66"/>
      <c r="I58" s="48"/>
      <c r="J58" s="46"/>
      <c r="K58" s="46"/>
      <c r="L58" s="46"/>
      <c r="M58" s="46"/>
      <c r="N58" s="66"/>
      <c r="O58" s="48"/>
      <c r="P58" s="46"/>
      <c r="Q58" s="46"/>
      <c r="R58" s="46"/>
      <c r="S58" s="46"/>
      <c r="T58" s="66"/>
      <c r="U58" s="48"/>
      <c r="V58" s="46"/>
      <c r="W58" s="46"/>
      <c r="X58" s="46"/>
      <c r="Y58" s="46"/>
      <c r="Z58" s="66"/>
      <c r="AA58" s="48"/>
      <c r="AB58" s="46"/>
      <c r="AC58" s="46"/>
      <c r="AD58" s="46"/>
      <c r="AE58" s="46"/>
      <c r="AF58" s="66"/>
      <c r="AG58" s="95"/>
      <c r="AH58" s="46"/>
      <c r="AI58" s="46"/>
      <c r="AJ58" s="50"/>
      <c r="AK58" s="50"/>
      <c r="AL58" s="68"/>
      <c r="AM58" s="48"/>
      <c r="AN58" s="50"/>
      <c r="AO58" s="50"/>
      <c r="AP58" s="50"/>
      <c r="AQ58" s="50"/>
      <c r="AR58" s="68"/>
      <c r="AS58" s="48"/>
      <c r="AT58" s="68"/>
      <c r="AU58" s="96"/>
      <c r="AV58" s="68"/>
      <c r="AW58" s="96"/>
      <c r="AX58" s="68"/>
    </row>
    <row r="59" spans="1:50" s="54" customFormat="1" ht="14.25" customHeight="1">
      <c r="A59" s="97"/>
      <c r="B59" s="70" t="s">
        <v>640</v>
      </c>
      <c r="C59" s="23"/>
      <c r="D59" s="318">
        <v>90.888999999999996</v>
      </c>
      <c r="E59" s="318">
        <v>90.888999999999996</v>
      </c>
      <c r="F59" s="318">
        <v>91.072000000000003</v>
      </c>
      <c r="G59" s="318">
        <v>93.713999999999999</v>
      </c>
      <c r="H59" s="328">
        <v>91.641000000000005</v>
      </c>
      <c r="I59" s="329"/>
      <c r="J59" s="318">
        <v>99.626999999999995</v>
      </c>
      <c r="K59" s="318">
        <v>99.076999999999998</v>
      </c>
      <c r="L59" s="318">
        <v>100.736</v>
      </c>
      <c r="M59" s="318">
        <v>99.47</v>
      </c>
      <c r="N59" s="328">
        <v>99.59</v>
      </c>
      <c r="O59" s="329"/>
      <c r="P59" s="318">
        <v>106.828</v>
      </c>
      <c r="Q59" s="318">
        <v>109.77200000000001</v>
      </c>
      <c r="R59" s="318">
        <v>110.01900000000001</v>
      </c>
      <c r="S59" s="318">
        <v>110.197</v>
      </c>
      <c r="T59" s="328">
        <v>109.20399999999999</v>
      </c>
      <c r="U59" s="329"/>
      <c r="V59" s="318">
        <v>110.095</v>
      </c>
      <c r="W59" s="318">
        <v>110.28100000000001</v>
      </c>
      <c r="X59" s="318">
        <v>110.914</v>
      </c>
      <c r="Y59" s="318">
        <v>111.974</v>
      </c>
      <c r="Z59" s="328">
        <v>110.816</v>
      </c>
      <c r="AA59" s="329"/>
      <c r="AB59" s="318">
        <v>110.88200000000001</v>
      </c>
      <c r="AC59" s="318">
        <v>110.801</v>
      </c>
      <c r="AD59" s="318">
        <v>119.792</v>
      </c>
      <c r="AE59" s="318">
        <v>163.202</v>
      </c>
      <c r="AF59" s="328">
        <v>130.70400000000001</v>
      </c>
      <c r="AG59" s="330"/>
      <c r="AH59" s="318">
        <v>206.46799999999999</v>
      </c>
      <c r="AI59" s="318">
        <v>205.99799999999999</v>
      </c>
      <c r="AJ59" s="331"/>
      <c r="AK59" s="331"/>
      <c r="AL59" s="357"/>
      <c r="AM59" s="329"/>
      <c r="AN59" s="331"/>
      <c r="AO59" s="331"/>
      <c r="AP59" s="331"/>
      <c r="AQ59" s="331"/>
      <c r="AR59" s="357"/>
      <c r="AS59" s="48"/>
      <c r="AT59" s="357"/>
      <c r="AU59" s="96"/>
      <c r="AV59" s="357"/>
      <c r="AW59" s="96"/>
      <c r="AX59" s="357"/>
    </row>
    <row r="60" spans="1:50" s="54" customFormat="1" ht="14.25" customHeight="1">
      <c r="A60" s="97"/>
      <c r="B60" s="70" t="s">
        <v>641</v>
      </c>
      <c r="C60" s="23"/>
      <c r="D60" s="318">
        <v>90.888999999999996</v>
      </c>
      <c r="E60" s="318">
        <v>90.888999999999996</v>
      </c>
      <c r="F60" s="318">
        <v>91.072000000000003</v>
      </c>
      <c r="G60" s="318">
        <v>95.197999999999993</v>
      </c>
      <c r="H60" s="328">
        <v>92.012</v>
      </c>
      <c r="I60" s="329"/>
      <c r="J60" s="318">
        <v>99.875</v>
      </c>
      <c r="K60" s="318">
        <v>99.325000000000003</v>
      </c>
      <c r="L60" s="318">
        <v>100.75</v>
      </c>
      <c r="M60" s="318">
        <v>107.21599999999999</v>
      </c>
      <c r="N60" s="328">
        <v>101.654</v>
      </c>
      <c r="O60" s="329"/>
      <c r="P60" s="318">
        <v>108.84699999999999</v>
      </c>
      <c r="Q60" s="318">
        <v>111.71299999999999</v>
      </c>
      <c r="R60" s="318">
        <v>115.014</v>
      </c>
      <c r="S60" s="318">
        <v>116.078</v>
      </c>
      <c r="T60" s="328">
        <v>112.913</v>
      </c>
      <c r="U60" s="329"/>
      <c r="V60" s="318">
        <v>113.035</v>
      </c>
      <c r="W60" s="318">
        <v>113.211</v>
      </c>
      <c r="X60" s="318">
        <v>113.681</v>
      </c>
      <c r="Y60" s="318">
        <v>114.893</v>
      </c>
      <c r="Z60" s="328">
        <v>113.705</v>
      </c>
      <c r="AA60" s="329"/>
      <c r="AB60" s="318">
        <v>113.639</v>
      </c>
      <c r="AC60" s="318">
        <v>113.48399999999999</v>
      </c>
      <c r="AD60" s="318">
        <v>123.334</v>
      </c>
      <c r="AE60" s="318">
        <v>163.30199999999999</v>
      </c>
      <c r="AF60" s="328">
        <v>133.32599999999999</v>
      </c>
      <c r="AG60" s="330"/>
      <c r="AH60" s="318">
        <v>208.37</v>
      </c>
      <c r="AI60" s="318">
        <v>209.20599999999999</v>
      </c>
      <c r="AJ60" s="331"/>
      <c r="AK60" s="331"/>
      <c r="AL60" s="357"/>
      <c r="AM60" s="329"/>
      <c r="AN60" s="331"/>
      <c r="AO60" s="331"/>
      <c r="AP60" s="331"/>
      <c r="AQ60" s="331"/>
      <c r="AR60" s="357"/>
      <c r="AS60" s="48"/>
      <c r="AT60" s="357"/>
      <c r="AU60" s="96"/>
      <c r="AV60" s="357"/>
      <c r="AW60" s="96"/>
      <c r="AX60" s="357"/>
    </row>
    <row r="61" spans="1:50" ht="14.25" customHeight="1">
      <c r="AG61" s="205"/>
    </row>
    <row r="62" spans="1:50" ht="14.25" customHeight="1">
      <c r="B62" s="64" t="s">
        <v>642</v>
      </c>
      <c r="C62" s="115"/>
      <c r="D62" s="113"/>
      <c r="E62" s="113"/>
      <c r="F62" s="113"/>
      <c r="G62" s="113"/>
      <c r="H62" s="113"/>
      <c r="I62" s="115"/>
      <c r="J62" s="113"/>
      <c r="K62" s="113"/>
      <c r="L62" s="113"/>
      <c r="M62" s="113"/>
      <c r="N62" s="113"/>
      <c r="O62" s="115"/>
      <c r="P62" s="113"/>
      <c r="Q62" s="113"/>
      <c r="R62" s="113"/>
      <c r="S62" s="113"/>
      <c r="T62" s="113"/>
      <c r="U62" s="115"/>
      <c r="V62" s="113"/>
      <c r="W62" s="113"/>
      <c r="X62" s="113"/>
      <c r="Y62" s="113"/>
      <c r="Z62" s="113"/>
      <c r="AA62" s="115"/>
      <c r="AB62" s="113"/>
      <c r="AC62" s="113"/>
      <c r="AD62" s="113"/>
      <c r="AE62" s="113"/>
      <c r="AF62" s="113"/>
      <c r="AG62" s="359"/>
      <c r="AH62" s="113"/>
      <c r="AI62" s="113"/>
      <c r="AJ62" s="113"/>
      <c r="AK62" s="113"/>
      <c r="AL62" s="113"/>
      <c r="AM62" s="115"/>
      <c r="AN62" s="113"/>
      <c r="AO62" s="113"/>
      <c r="AP62" s="113"/>
      <c r="AQ62" s="113"/>
    </row>
    <row r="63" spans="1:50" ht="14.25" customHeight="1">
      <c r="B63" s="64"/>
      <c r="C63" s="115"/>
      <c r="D63" s="113"/>
      <c r="E63" s="113"/>
      <c r="F63" s="113"/>
      <c r="G63" s="113"/>
      <c r="H63" s="113"/>
      <c r="I63" s="115"/>
      <c r="J63" s="113"/>
      <c r="K63" s="113"/>
      <c r="L63" s="113"/>
      <c r="M63" s="113"/>
      <c r="N63" s="113"/>
      <c r="O63" s="115"/>
      <c r="P63" s="113"/>
      <c r="Q63" s="113"/>
      <c r="R63" s="113"/>
      <c r="S63" s="113"/>
      <c r="T63" s="113"/>
      <c r="U63" s="115"/>
      <c r="V63" s="113"/>
      <c r="W63" s="113"/>
      <c r="X63" s="113"/>
      <c r="Y63" s="113"/>
      <c r="Z63" s="113"/>
      <c r="AA63" s="115"/>
      <c r="AB63" s="113"/>
      <c r="AC63" s="113"/>
      <c r="AD63" s="113"/>
      <c r="AE63" s="113"/>
      <c r="AF63" s="113"/>
      <c r="AG63" s="359"/>
      <c r="AH63" s="113"/>
      <c r="AI63" s="113"/>
      <c r="AJ63" s="113"/>
      <c r="AK63" s="113"/>
      <c r="AL63" s="113"/>
      <c r="AM63" s="115"/>
      <c r="AN63" s="113"/>
      <c r="AO63" s="113"/>
      <c r="AP63" s="113"/>
      <c r="AQ63" s="113"/>
    </row>
    <row r="64" spans="1:50" ht="14.25" customHeight="1">
      <c r="B64" s="114" t="s">
        <v>643</v>
      </c>
      <c r="C64" s="17"/>
      <c r="D64" s="60"/>
      <c r="E64" s="60"/>
      <c r="F64" s="60"/>
      <c r="G64" s="60"/>
      <c r="H64" s="66"/>
      <c r="I64" s="20"/>
      <c r="J64" s="60"/>
      <c r="K64" s="60"/>
      <c r="L64" s="60"/>
      <c r="M64" s="60"/>
      <c r="N64" s="66"/>
      <c r="O64" s="20"/>
      <c r="P64" s="60"/>
      <c r="Q64" s="60"/>
      <c r="R64" s="60"/>
      <c r="S64" s="60"/>
      <c r="T64" s="66"/>
      <c r="U64" s="20"/>
      <c r="V64" s="60"/>
      <c r="W64" s="60"/>
      <c r="X64" s="60"/>
      <c r="Y64" s="60"/>
      <c r="Z64" s="66"/>
      <c r="AA64" s="20"/>
      <c r="AB64" s="60"/>
      <c r="AC64" s="60"/>
      <c r="AD64" s="60"/>
      <c r="AE64" s="60"/>
      <c r="AF64" s="66"/>
      <c r="AG64" s="150"/>
      <c r="AH64" s="60"/>
      <c r="AI64" s="60"/>
      <c r="AJ64" s="46"/>
      <c r="AK64" s="46"/>
      <c r="AL64" s="66"/>
      <c r="AM64" s="20"/>
      <c r="AN64" s="46"/>
      <c r="AO64" s="46"/>
      <c r="AP64" s="46"/>
      <c r="AQ64" s="46"/>
    </row>
    <row r="65" spans="2:2" ht="14.25" customHeight="1">
      <c r="B65" s="114" t="s">
        <v>644</v>
      </c>
    </row>
  </sheetData>
  <mergeCells count="7">
    <mergeCell ref="AN8:AR8"/>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theme="4" tint="-0.249977111117893"/>
  </sheetPr>
  <dimension ref="A1:AX58"/>
  <sheetViews>
    <sheetView showGridLines="0" topLeftCell="A17" zoomScale="85" zoomScaleNormal="85" workbookViewId="0">
      <selection activeCell="B52" sqref="B52"/>
    </sheetView>
  </sheetViews>
  <sheetFormatPr defaultColWidth="9" defaultRowHeight="15" customHeight="1" outlineLevelCol="1"/>
  <cols>
    <col min="1" max="1" width="2.125" style="41" customWidth="1"/>
    <col min="2" max="2" width="50.625" style="41" customWidth="1"/>
    <col min="3" max="3" width="3.375" style="17" customWidth="1"/>
    <col min="4" max="7" width="9.625" style="41" customWidth="1" outlineLevel="1"/>
    <col min="8" max="8" width="11.625" style="41" customWidth="1"/>
    <col min="9" max="9" width="1.625" style="17" customWidth="1"/>
    <col min="10" max="13" width="9.625" style="41" customWidth="1" outlineLevel="1"/>
    <col min="14" max="14" width="11.625" style="41" customWidth="1"/>
    <col min="15" max="15" width="1.625" style="17" customWidth="1"/>
    <col min="16" max="19" width="9.625" style="41" customWidth="1" outlineLevel="1"/>
    <col min="20" max="20" width="11.625" style="41" customWidth="1"/>
    <col min="21" max="21" width="1.625" style="17" customWidth="1"/>
    <col min="22" max="25" width="9.625" style="41" customWidth="1" outlineLevel="1"/>
    <col min="26" max="26" width="11.625" style="41" customWidth="1"/>
    <col min="27" max="27" width="1.625" style="17" customWidth="1"/>
    <col min="28" max="31" width="9.625" style="41" customWidth="1" outlineLevel="1"/>
    <col min="32" max="32" width="11.625" style="41" customWidth="1"/>
    <col min="33" max="33" width="1.625" style="17" customWidth="1"/>
    <col min="34" max="37" width="9.625" style="41" customWidth="1" outlineLevel="1"/>
    <col min="38" max="38" width="11.625" style="41" customWidth="1"/>
    <col min="39" max="39" width="1.625" style="17" customWidth="1"/>
    <col min="40" max="43" width="9.625" style="41" customWidth="1" outlineLevel="1"/>
    <col min="44" max="44" width="11.625" style="41" customWidth="1"/>
    <col min="45" max="45" width="1.625" style="17" customWidth="1"/>
    <col min="46" max="46" width="11.625" style="41" customWidth="1"/>
    <col min="47" max="47" width="1.625" style="17" customWidth="1"/>
    <col min="48" max="48" width="11.625" style="42" customWidth="1"/>
    <col min="49" max="49" width="1.625" style="41" customWidth="1"/>
    <col min="50" max="50" width="11.625" style="41" customWidth="1"/>
    <col min="51" max="16384" width="9" style="41"/>
  </cols>
  <sheetData>
    <row r="1" spans="1:50" s="576" customFormat="1" ht="15" customHeight="1">
      <c r="AH1" s="576">
        <v>0</v>
      </c>
    </row>
    <row r="2" spans="1:50" s="576" customFormat="1" ht="15" customHeight="1"/>
    <row r="3" spans="1:50" s="576" customFormat="1" ht="15" customHeight="1"/>
    <row r="4" spans="1:50" s="576" customFormat="1" ht="15" customHeight="1"/>
    <row r="5" spans="1:50" s="572" customFormat="1" ht="3.95" customHeight="1">
      <c r="C5" s="573"/>
      <c r="I5" s="573"/>
      <c r="O5" s="573"/>
      <c r="U5" s="573"/>
      <c r="AA5" s="573"/>
      <c r="AG5" s="573"/>
      <c r="AM5" s="573"/>
      <c r="AS5" s="573"/>
      <c r="AU5" s="573"/>
      <c r="AV5" s="574"/>
    </row>
    <row r="7" spans="1:50" ht="15" customHeight="1">
      <c r="B7" s="161" t="s">
        <v>433</v>
      </c>
      <c r="C7" s="18"/>
      <c r="D7" s="202">
        <v>2020</v>
      </c>
      <c r="E7" s="202">
        <v>2020</v>
      </c>
      <c r="F7" s="168">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1:50" ht="15" customHeight="1">
      <c r="B8" s="164"/>
      <c r="C8" s="18"/>
      <c r="D8" s="756">
        <v>2020</v>
      </c>
      <c r="E8" s="756"/>
      <c r="F8" s="756"/>
      <c r="G8" s="756"/>
      <c r="H8" s="756"/>
      <c r="I8" s="169"/>
      <c r="J8" s="756">
        <v>2021</v>
      </c>
      <c r="K8" s="756"/>
      <c r="L8" s="756"/>
      <c r="M8" s="756"/>
      <c r="N8" s="756"/>
      <c r="O8" s="169"/>
      <c r="P8" s="756">
        <v>2022</v>
      </c>
      <c r="Q8" s="756"/>
      <c r="R8" s="756"/>
      <c r="S8" s="756"/>
      <c r="T8" s="756"/>
      <c r="U8" s="169"/>
      <c r="V8" s="756">
        <v>2023</v>
      </c>
      <c r="W8" s="756"/>
      <c r="X8" s="756"/>
      <c r="Y8" s="756"/>
      <c r="Z8" s="756"/>
      <c r="AA8" s="169"/>
      <c r="AB8" s="756">
        <v>2024</v>
      </c>
      <c r="AC8" s="756"/>
      <c r="AD8" s="756"/>
      <c r="AE8" s="756"/>
      <c r="AF8" s="756"/>
      <c r="AG8" s="169"/>
      <c r="AH8" s="755">
        <v>2025</v>
      </c>
      <c r="AI8" s="755"/>
      <c r="AJ8" s="755"/>
      <c r="AK8" s="755"/>
      <c r="AL8" s="755"/>
      <c r="AM8" s="169"/>
      <c r="AN8" s="755">
        <v>2026</v>
      </c>
      <c r="AO8" s="755"/>
      <c r="AP8" s="755"/>
      <c r="AQ8" s="755"/>
      <c r="AR8" s="755"/>
      <c r="AS8" s="171"/>
      <c r="AT8" s="166">
        <v>2027</v>
      </c>
      <c r="AU8" s="167"/>
      <c r="AV8" s="166">
        <v>2028</v>
      </c>
      <c r="AW8" s="167"/>
      <c r="AX8" s="166">
        <v>2029</v>
      </c>
    </row>
    <row r="9" spans="1:50" ht="15" customHeight="1">
      <c r="B9" s="164"/>
      <c r="C9" s="18"/>
      <c r="D9" s="168" t="s">
        <v>207</v>
      </c>
      <c r="E9" s="168" t="s">
        <v>208</v>
      </c>
      <c r="F9" s="168" t="s">
        <v>209</v>
      </c>
      <c r="G9" s="168" t="s">
        <v>210</v>
      </c>
      <c r="H9" s="168" t="s">
        <v>211</v>
      </c>
      <c r="I9" s="18"/>
      <c r="J9" s="168" t="s">
        <v>207</v>
      </c>
      <c r="K9" s="168" t="s">
        <v>208</v>
      </c>
      <c r="L9" s="168" t="s">
        <v>209</v>
      </c>
      <c r="M9" s="168" t="s">
        <v>210</v>
      </c>
      <c r="N9" s="168" t="s">
        <v>211</v>
      </c>
      <c r="O9" s="165"/>
      <c r="P9" s="168" t="s">
        <v>207</v>
      </c>
      <c r="Q9" s="168" t="s">
        <v>208</v>
      </c>
      <c r="R9" s="168" t="s">
        <v>209</v>
      </c>
      <c r="S9" s="168" t="s">
        <v>210</v>
      </c>
      <c r="T9" s="168" t="s">
        <v>211</v>
      </c>
      <c r="U9" s="165"/>
      <c r="V9" s="168" t="s">
        <v>207</v>
      </c>
      <c r="W9" s="168" t="s">
        <v>208</v>
      </c>
      <c r="X9" s="168" t="s">
        <v>209</v>
      </c>
      <c r="Y9" s="168" t="s">
        <v>210</v>
      </c>
      <c r="Z9" s="168" t="s">
        <v>211</v>
      </c>
      <c r="AA9" s="165"/>
      <c r="AB9" s="168" t="s">
        <v>207</v>
      </c>
      <c r="AC9" s="168" t="s">
        <v>208</v>
      </c>
      <c r="AD9" s="168" t="s">
        <v>209</v>
      </c>
      <c r="AE9" s="168" t="s">
        <v>210</v>
      </c>
      <c r="AF9" s="168" t="s">
        <v>211</v>
      </c>
      <c r="AG9" s="165"/>
      <c r="AH9" s="168" t="s">
        <v>207</v>
      </c>
      <c r="AI9" s="168" t="s">
        <v>208</v>
      </c>
      <c r="AJ9" s="168" t="s">
        <v>209</v>
      </c>
      <c r="AK9" s="168" t="s">
        <v>210</v>
      </c>
      <c r="AL9" s="168" t="s">
        <v>211</v>
      </c>
      <c r="AM9" s="165"/>
      <c r="AN9" s="168" t="s">
        <v>207</v>
      </c>
      <c r="AO9" s="168" t="s">
        <v>208</v>
      </c>
      <c r="AP9" s="168" t="s">
        <v>209</v>
      </c>
      <c r="AQ9" s="168" t="s">
        <v>210</v>
      </c>
      <c r="AR9" s="168" t="s">
        <v>211</v>
      </c>
      <c r="AS9" s="165"/>
      <c r="AT9" s="168" t="s">
        <v>211</v>
      </c>
      <c r="AU9" s="165"/>
      <c r="AV9" s="168" t="s">
        <v>211</v>
      </c>
      <c r="AW9" s="165"/>
      <c r="AX9" s="168" t="s">
        <v>211</v>
      </c>
    </row>
    <row r="10" spans="1:50"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ht="15" customHeight="1">
      <c r="A12" s="44"/>
      <c r="B12" s="106" t="s">
        <v>645</v>
      </c>
      <c r="D12" s="46"/>
      <c r="E12" s="46"/>
      <c r="F12" s="46"/>
      <c r="G12" s="46"/>
      <c r="H12" s="57"/>
      <c r="I12" s="20"/>
      <c r="J12" s="107"/>
      <c r="K12" s="107"/>
      <c r="L12" s="107"/>
      <c r="M12" s="107"/>
      <c r="N12" s="108"/>
      <c r="O12" s="108"/>
      <c r="P12" s="107"/>
      <c r="Q12" s="107"/>
      <c r="R12" s="107"/>
      <c r="S12" s="107"/>
      <c r="T12" s="108"/>
      <c r="U12" s="108"/>
      <c r="V12" s="107"/>
      <c r="W12" s="107"/>
      <c r="X12" s="107"/>
      <c r="Y12" s="107"/>
      <c r="Z12" s="108"/>
      <c r="AA12" s="108"/>
      <c r="AB12" s="109"/>
      <c r="AC12" s="109"/>
      <c r="AD12" s="109"/>
      <c r="AE12" s="109"/>
      <c r="AF12" s="108"/>
      <c r="AG12" s="110"/>
      <c r="AH12" s="111"/>
      <c r="AI12" s="111"/>
      <c r="AJ12" s="111"/>
      <c r="AK12" s="111"/>
      <c r="AL12" s="108"/>
      <c r="AM12" s="112"/>
      <c r="AN12" s="111"/>
      <c r="AO12" s="111"/>
      <c r="AP12" s="111"/>
      <c r="AQ12" s="111"/>
      <c r="AR12" s="108"/>
      <c r="AS12" s="112"/>
      <c r="AT12" s="108"/>
      <c r="AU12" s="112"/>
      <c r="AV12" s="108"/>
    </row>
    <row r="13" spans="1:50" s="113" customFormat="1" ht="15" customHeight="1">
      <c r="B13" s="114"/>
      <c r="C13" s="115"/>
      <c r="D13" s="46"/>
      <c r="E13" s="46"/>
      <c r="F13" s="46"/>
      <c r="G13" s="46"/>
      <c r="H13" s="57"/>
      <c r="I13" s="116"/>
      <c r="J13" s="107"/>
      <c r="K13" s="107"/>
      <c r="L13" s="107"/>
      <c r="M13" s="107"/>
      <c r="N13" s="108"/>
      <c r="O13" s="116"/>
      <c r="P13" s="107"/>
      <c r="Q13" s="107"/>
      <c r="R13" s="107"/>
      <c r="S13" s="107"/>
      <c r="T13" s="108"/>
      <c r="U13" s="116"/>
      <c r="V13" s="107"/>
      <c r="W13" s="107"/>
      <c r="X13" s="107"/>
      <c r="Y13" s="107"/>
      <c r="Z13" s="108"/>
      <c r="AA13" s="117"/>
      <c r="AB13" s="109"/>
      <c r="AC13" s="109"/>
      <c r="AD13" s="109"/>
      <c r="AE13" s="109"/>
      <c r="AF13" s="108"/>
      <c r="AG13" s="118"/>
      <c r="AH13" s="119"/>
      <c r="AI13" s="119"/>
      <c r="AJ13" s="119"/>
      <c r="AK13" s="119"/>
      <c r="AL13" s="108"/>
      <c r="AM13" s="120"/>
      <c r="AN13" s="119"/>
      <c r="AO13" s="119"/>
      <c r="AP13" s="119"/>
      <c r="AQ13" s="119"/>
      <c r="AR13" s="108"/>
      <c r="AS13" s="120"/>
      <c r="AT13" s="108"/>
      <c r="AU13" s="120"/>
      <c r="AV13" s="108"/>
    </row>
    <row r="14" spans="1:50" ht="15" customHeight="1">
      <c r="A14" s="44" t="s">
        <v>37</v>
      </c>
      <c r="B14" s="114" t="s">
        <v>646</v>
      </c>
      <c r="D14" s="46"/>
      <c r="E14" s="46"/>
      <c r="F14" s="46"/>
      <c r="G14" s="46"/>
      <c r="H14" s="66"/>
      <c r="I14" s="20"/>
      <c r="J14" s="121"/>
      <c r="K14" s="121"/>
      <c r="L14" s="121"/>
      <c r="M14" s="121"/>
      <c r="N14" s="108"/>
      <c r="O14" s="20"/>
      <c r="P14" s="121"/>
      <c r="Q14" s="121"/>
      <c r="R14" s="121"/>
      <c r="S14" s="121"/>
      <c r="T14" s="108"/>
      <c r="U14" s="20"/>
      <c r="V14" s="121"/>
      <c r="W14" s="121"/>
      <c r="X14" s="121"/>
      <c r="Y14" s="121"/>
      <c r="Z14" s="108"/>
      <c r="AA14" s="122"/>
      <c r="AB14" s="123"/>
      <c r="AC14" s="123"/>
      <c r="AD14" s="123"/>
      <c r="AE14" s="123"/>
      <c r="AF14" s="108"/>
      <c r="AG14" s="124"/>
      <c r="AH14" s="125"/>
      <c r="AI14" s="125"/>
      <c r="AJ14" s="125"/>
      <c r="AK14" s="125"/>
      <c r="AL14" s="108"/>
      <c r="AM14" s="126"/>
      <c r="AN14" s="125"/>
      <c r="AO14" s="125"/>
      <c r="AP14" s="125"/>
      <c r="AQ14" s="125"/>
      <c r="AR14" s="108"/>
      <c r="AS14" s="126"/>
      <c r="AT14" s="108"/>
      <c r="AU14" s="126"/>
      <c r="AV14" s="108"/>
    </row>
    <row r="15" spans="1:50" ht="15" customHeight="1">
      <c r="A15" s="44"/>
      <c r="B15" s="127" t="s">
        <v>647</v>
      </c>
      <c r="D15" s="60">
        <v>619.18100000000004</v>
      </c>
      <c r="E15" s="60">
        <v>565.61900000000003</v>
      </c>
      <c r="F15" s="60">
        <v>566.245</v>
      </c>
      <c r="G15" s="60">
        <v>561.16499999999996</v>
      </c>
      <c r="H15" s="57">
        <v>561.16499999999996</v>
      </c>
      <c r="I15" s="116"/>
      <c r="J15" s="60">
        <v>570.74599999999998</v>
      </c>
      <c r="K15" s="60">
        <v>385.92099999999999</v>
      </c>
      <c r="L15" s="60">
        <v>297.20499999999998</v>
      </c>
      <c r="M15" s="60">
        <v>262.55900000000003</v>
      </c>
      <c r="N15" s="57">
        <v>262.55900000000003</v>
      </c>
      <c r="O15" s="116"/>
      <c r="P15" s="60">
        <v>710.30899999999997</v>
      </c>
      <c r="Q15" s="60">
        <v>715.24699999999996</v>
      </c>
      <c r="R15" s="60">
        <v>546.12199999999996</v>
      </c>
      <c r="S15" s="60">
        <v>476.43400000000003</v>
      </c>
      <c r="T15" s="57">
        <v>476.43400000000003</v>
      </c>
      <c r="U15" s="116"/>
      <c r="V15" s="60">
        <v>783.06799999999998</v>
      </c>
      <c r="W15" s="60">
        <v>682.03800000000001</v>
      </c>
      <c r="X15" s="60">
        <v>643.56600000000003</v>
      </c>
      <c r="Y15" s="60">
        <v>749.71400000000006</v>
      </c>
      <c r="Z15" s="57">
        <v>749.71400000000006</v>
      </c>
      <c r="AA15" s="117"/>
      <c r="AB15" s="60">
        <v>593.85</v>
      </c>
      <c r="AC15" s="60">
        <v>562.69799999999998</v>
      </c>
      <c r="AD15" s="60">
        <v>766.39700000000005</v>
      </c>
      <c r="AE15" s="60">
        <v>774.54300000000001</v>
      </c>
      <c r="AF15" s="57">
        <v>774.54300000000001</v>
      </c>
      <c r="AG15" s="118"/>
      <c r="AH15" s="60">
        <v>1103.3720000000001</v>
      </c>
      <c r="AI15" s="60">
        <v>823.16200000000003</v>
      </c>
      <c r="AJ15" s="125"/>
      <c r="AK15" s="125"/>
      <c r="AL15" s="108"/>
      <c r="AM15" s="126"/>
      <c r="AN15" s="125"/>
      <c r="AO15" s="125"/>
      <c r="AP15" s="125"/>
      <c r="AQ15" s="125"/>
      <c r="AR15" s="108"/>
      <c r="AS15" s="126"/>
      <c r="AT15" s="108"/>
      <c r="AU15" s="126"/>
      <c r="AV15" s="108"/>
    </row>
    <row r="16" spans="1:50" ht="15" customHeight="1">
      <c r="A16" s="44"/>
      <c r="B16" s="138" t="s">
        <v>648</v>
      </c>
      <c r="D16" s="60">
        <v>611.58399999999995</v>
      </c>
      <c r="E16" s="60">
        <v>552.654</v>
      </c>
      <c r="F16" s="60">
        <v>552.74300000000005</v>
      </c>
      <c r="G16" s="60">
        <v>522.86800000000005</v>
      </c>
      <c r="H16" s="57">
        <v>522.86800000000005</v>
      </c>
      <c r="I16" s="20"/>
      <c r="J16" s="60">
        <v>348.14800000000002</v>
      </c>
      <c r="K16" s="60">
        <v>316.29599999999999</v>
      </c>
      <c r="L16" s="60">
        <v>248.15799999999999</v>
      </c>
      <c r="M16" s="60">
        <v>228.809</v>
      </c>
      <c r="N16" s="57">
        <v>228.809</v>
      </c>
      <c r="O16" s="20"/>
      <c r="P16" s="60">
        <v>603.56200000000001</v>
      </c>
      <c r="Q16" s="60">
        <v>633.56500000000005</v>
      </c>
      <c r="R16" s="60">
        <v>471.18900000000002</v>
      </c>
      <c r="S16" s="60">
        <v>447.608</v>
      </c>
      <c r="T16" s="57">
        <v>447.608</v>
      </c>
      <c r="U16" s="20"/>
      <c r="V16" s="60">
        <v>699.46500000000003</v>
      </c>
      <c r="W16" s="60">
        <v>608.572</v>
      </c>
      <c r="X16" s="60">
        <v>582.86699999999996</v>
      </c>
      <c r="Y16" s="60">
        <v>676.39800000000002</v>
      </c>
      <c r="Z16" s="57">
        <v>676.39800000000002</v>
      </c>
      <c r="AA16" s="122"/>
      <c r="AB16" s="60">
        <v>540.81500000000005</v>
      </c>
      <c r="AC16" s="60">
        <v>508.81299999999999</v>
      </c>
      <c r="AD16" s="60">
        <v>603.95899999999995</v>
      </c>
      <c r="AE16" s="60">
        <v>593.38300000000004</v>
      </c>
      <c r="AF16" s="57">
        <v>593.38300000000004</v>
      </c>
      <c r="AG16" s="124"/>
      <c r="AH16" s="60">
        <v>967.41099999999994</v>
      </c>
      <c r="AI16" s="60">
        <v>645.79700000000003</v>
      </c>
      <c r="AJ16" s="125"/>
      <c r="AK16" s="125"/>
      <c r="AL16" s="108"/>
      <c r="AM16" s="126"/>
      <c r="AN16" s="125"/>
      <c r="AO16" s="125"/>
      <c r="AP16" s="125"/>
      <c r="AQ16" s="125"/>
      <c r="AR16" s="108"/>
      <c r="AS16" s="126"/>
      <c r="AT16" s="108"/>
      <c r="AU16" s="126"/>
      <c r="AV16" s="108"/>
    </row>
    <row r="17" spans="1:48" s="113" customFormat="1" ht="15" customHeight="1">
      <c r="B17" s="138" t="s">
        <v>649</v>
      </c>
      <c r="C17" s="115"/>
      <c r="D17" s="60">
        <v>7.5970000000000004</v>
      </c>
      <c r="E17" s="60">
        <v>12.965</v>
      </c>
      <c r="F17" s="60">
        <v>13.502000000000001</v>
      </c>
      <c r="G17" s="60">
        <v>38.296999999999997</v>
      </c>
      <c r="H17" s="57">
        <v>38.296999999999997</v>
      </c>
      <c r="I17" s="20"/>
      <c r="J17" s="60">
        <v>222.59800000000001</v>
      </c>
      <c r="K17" s="60">
        <v>69.625</v>
      </c>
      <c r="L17" s="60">
        <v>49.046999999999997</v>
      </c>
      <c r="M17" s="60">
        <v>33.75</v>
      </c>
      <c r="N17" s="57">
        <v>33.75</v>
      </c>
      <c r="O17" s="20"/>
      <c r="P17" s="60">
        <v>106.747</v>
      </c>
      <c r="Q17" s="60">
        <v>81.682000000000002</v>
      </c>
      <c r="R17" s="60">
        <v>74.933000000000007</v>
      </c>
      <c r="S17" s="60">
        <v>28.826000000000001</v>
      </c>
      <c r="T17" s="57">
        <v>28.826000000000001</v>
      </c>
      <c r="U17" s="20"/>
      <c r="V17" s="60">
        <v>83.602999999999994</v>
      </c>
      <c r="W17" s="60">
        <v>73.465999999999994</v>
      </c>
      <c r="X17" s="60">
        <v>60.698999999999998</v>
      </c>
      <c r="Y17" s="60">
        <v>73.316000000000003</v>
      </c>
      <c r="Z17" s="57">
        <v>73.316000000000003</v>
      </c>
      <c r="AA17" s="122"/>
      <c r="AB17" s="60">
        <v>53.034999999999997</v>
      </c>
      <c r="AC17" s="60">
        <v>53.884999999999998</v>
      </c>
      <c r="AD17" s="60">
        <v>162.43799999999999</v>
      </c>
      <c r="AE17" s="60">
        <v>181.16</v>
      </c>
      <c r="AF17" s="57">
        <v>181.16</v>
      </c>
      <c r="AG17" s="124"/>
      <c r="AH17" s="60">
        <v>135.96100000000001</v>
      </c>
      <c r="AI17" s="60">
        <v>177.36500000000001</v>
      </c>
      <c r="AJ17" s="125"/>
      <c r="AK17" s="125"/>
      <c r="AL17" s="57"/>
      <c r="AM17" s="128"/>
      <c r="AN17" s="46"/>
      <c r="AO17" s="46"/>
      <c r="AP17" s="46"/>
      <c r="AQ17" s="46"/>
      <c r="AR17" s="57"/>
      <c r="AS17" s="128"/>
      <c r="AT17" s="57"/>
      <c r="AU17" s="128"/>
      <c r="AV17" s="57"/>
    </row>
    <row r="18" spans="1:48" s="113" customFormat="1" ht="15" customHeight="1">
      <c r="B18" s="127" t="s">
        <v>650</v>
      </c>
      <c r="C18" s="115"/>
      <c r="D18" s="60">
        <v>400.13600000000002</v>
      </c>
      <c r="E18" s="60">
        <v>283.07100000000003</v>
      </c>
      <c r="F18" s="60">
        <v>406.90199999999999</v>
      </c>
      <c r="G18" s="60">
        <v>598.82399999999996</v>
      </c>
      <c r="H18" s="57">
        <v>598.82399999999996</v>
      </c>
      <c r="I18" s="116"/>
      <c r="J18" s="60">
        <v>477.92899999999997</v>
      </c>
      <c r="K18" s="60">
        <v>455.69499999999999</v>
      </c>
      <c r="L18" s="60">
        <v>605.88099999999997</v>
      </c>
      <c r="M18" s="60">
        <v>790.30200000000002</v>
      </c>
      <c r="N18" s="57">
        <v>790.30200000000002</v>
      </c>
      <c r="O18" s="116"/>
      <c r="P18" s="60">
        <v>631.27800000000002</v>
      </c>
      <c r="Q18" s="60">
        <v>613.69000000000005</v>
      </c>
      <c r="R18" s="60">
        <v>722.01599999999996</v>
      </c>
      <c r="S18" s="60">
        <v>867.58199999999999</v>
      </c>
      <c r="T18" s="57">
        <v>867.58199999999999</v>
      </c>
      <c r="U18" s="116"/>
      <c r="V18" s="60">
        <v>743.01099999999997</v>
      </c>
      <c r="W18" s="60">
        <v>781.48599999999999</v>
      </c>
      <c r="X18" s="60">
        <v>921.77599999999995</v>
      </c>
      <c r="Y18" s="60">
        <v>1125.4490000000001</v>
      </c>
      <c r="Z18" s="57">
        <v>1125.4490000000001</v>
      </c>
      <c r="AA18" s="117"/>
      <c r="AB18" s="60">
        <v>902.62099999999998</v>
      </c>
      <c r="AC18" s="60">
        <v>963.30399999999997</v>
      </c>
      <c r="AD18" s="60">
        <v>2512.451</v>
      </c>
      <c r="AE18" s="60">
        <v>2816.2939999999999</v>
      </c>
      <c r="AF18" s="57">
        <v>2816.2939999999999</v>
      </c>
      <c r="AG18" s="118"/>
      <c r="AH18" s="60">
        <v>2448.8110000000001</v>
      </c>
      <c r="AI18" s="60">
        <v>2596.9369999999999</v>
      </c>
      <c r="AJ18" s="50"/>
      <c r="AK18" s="50"/>
      <c r="AL18" s="58"/>
      <c r="AM18" s="128"/>
      <c r="AN18" s="50"/>
      <c r="AO18" s="50"/>
      <c r="AP18" s="50"/>
      <c r="AQ18" s="50"/>
      <c r="AR18" s="58"/>
      <c r="AS18" s="128"/>
      <c r="AT18" s="58"/>
      <c r="AU18" s="128"/>
      <c r="AV18" s="58"/>
    </row>
    <row r="19" spans="1:48" ht="15" customHeight="1">
      <c r="A19" s="43"/>
      <c r="B19" s="127" t="s">
        <v>464</v>
      </c>
      <c r="D19" s="60">
        <v>253.41200000000001</v>
      </c>
      <c r="E19" s="60">
        <v>271.32100000000003</v>
      </c>
      <c r="F19" s="60">
        <v>241.89500000000001</v>
      </c>
      <c r="G19" s="60">
        <v>290.89600000000002</v>
      </c>
      <c r="H19" s="57">
        <v>290.89600000000002</v>
      </c>
      <c r="I19" s="20"/>
      <c r="J19" s="60">
        <v>348.041</v>
      </c>
      <c r="K19" s="60">
        <v>362.06299999999999</v>
      </c>
      <c r="L19" s="60">
        <v>448.21199999999999</v>
      </c>
      <c r="M19" s="60">
        <v>450.48700000000002</v>
      </c>
      <c r="N19" s="57">
        <v>450.48700000000002</v>
      </c>
      <c r="O19" s="20"/>
      <c r="P19" s="60">
        <v>556.68499999999995</v>
      </c>
      <c r="Q19" s="60">
        <v>651.73</v>
      </c>
      <c r="R19" s="60">
        <v>755.06</v>
      </c>
      <c r="S19" s="60">
        <v>772.06</v>
      </c>
      <c r="T19" s="57">
        <v>772.06</v>
      </c>
      <c r="U19" s="20"/>
      <c r="V19" s="60">
        <v>842.52599999999995</v>
      </c>
      <c r="W19" s="60">
        <v>864.45899999999995</v>
      </c>
      <c r="X19" s="60">
        <v>866.75900000000001</v>
      </c>
      <c r="Y19" s="60">
        <v>828.55700000000002</v>
      </c>
      <c r="Z19" s="57">
        <v>828.55700000000002</v>
      </c>
      <c r="AA19" s="122"/>
      <c r="AB19" s="60">
        <v>920.2</v>
      </c>
      <c r="AC19" s="60">
        <v>968.23900000000003</v>
      </c>
      <c r="AD19" s="60">
        <v>2313.143</v>
      </c>
      <c r="AE19" s="60">
        <v>2218.8150000000001</v>
      </c>
      <c r="AF19" s="57">
        <v>2218.8150000000001</v>
      </c>
      <c r="AG19" s="124"/>
      <c r="AH19" s="60">
        <v>2456.9870000000001</v>
      </c>
      <c r="AI19" s="60">
        <v>2474.5210000000002</v>
      </c>
      <c r="AJ19" s="50"/>
      <c r="AK19" s="50"/>
      <c r="AL19" s="58"/>
      <c r="AM19" s="126"/>
      <c r="AN19" s="50"/>
      <c r="AO19" s="50"/>
      <c r="AP19" s="50"/>
      <c r="AQ19" s="50"/>
      <c r="AR19" s="58"/>
      <c r="AS19" s="126"/>
      <c r="AT19" s="58"/>
      <c r="AU19" s="126"/>
      <c r="AV19" s="58"/>
    </row>
    <row r="20" spans="1:48" s="113" customFormat="1" ht="15" customHeight="1">
      <c r="B20" s="127" t="s">
        <v>651</v>
      </c>
      <c r="C20" s="115"/>
      <c r="D20" s="46">
        <v>144.018</v>
      </c>
      <c r="E20" s="46">
        <v>156.78999999999985</v>
      </c>
      <c r="F20" s="46">
        <v>129.06000000000009</v>
      </c>
      <c r="G20" s="46">
        <v>113.983</v>
      </c>
      <c r="H20" s="74">
        <v>113.983</v>
      </c>
      <c r="I20" s="116"/>
      <c r="J20" s="46">
        <v>126.44099999999997</v>
      </c>
      <c r="K20" s="46">
        <v>137.11399999999986</v>
      </c>
      <c r="L20" s="46">
        <v>144.17500000000007</v>
      </c>
      <c r="M20" s="46">
        <v>143.43800000000005</v>
      </c>
      <c r="N20" s="74">
        <v>143.43800000000005</v>
      </c>
      <c r="O20" s="116"/>
      <c r="P20" s="46">
        <v>211.13099999999986</v>
      </c>
      <c r="Q20" s="46">
        <v>212.24600000000009</v>
      </c>
      <c r="R20" s="46">
        <v>268.65800000000047</v>
      </c>
      <c r="S20" s="46">
        <v>267.36900000000014</v>
      </c>
      <c r="T20" s="74">
        <v>267.36900000000014</v>
      </c>
      <c r="U20" s="116"/>
      <c r="V20" s="46">
        <v>322.41100000000017</v>
      </c>
      <c r="W20" s="46">
        <v>443.15600000000029</v>
      </c>
      <c r="X20" s="46">
        <v>251.66300000000001</v>
      </c>
      <c r="Y20" s="46">
        <v>211.33400000000006</v>
      </c>
      <c r="Z20" s="74">
        <v>211.33400000000006</v>
      </c>
      <c r="AA20" s="129"/>
      <c r="AB20" s="46">
        <v>259.96100000000001</v>
      </c>
      <c r="AC20" s="46">
        <v>349.69300000000021</v>
      </c>
      <c r="AD20" s="46">
        <v>1015.9200000000001</v>
      </c>
      <c r="AE20" s="46">
        <v>1022.0310000000004</v>
      </c>
      <c r="AF20" s="74">
        <v>1022.0310000000004</v>
      </c>
      <c r="AG20" s="130"/>
      <c r="AH20" s="46">
        <v>1042.4519999999998</v>
      </c>
      <c r="AI20" s="46">
        <v>971.35299999999961</v>
      </c>
      <c r="AJ20" s="50"/>
      <c r="AK20" s="50"/>
      <c r="AL20" s="75"/>
      <c r="AM20" s="129"/>
      <c r="AN20" s="50"/>
      <c r="AO20" s="50"/>
      <c r="AP20" s="50"/>
      <c r="AQ20" s="50"/>
      <c r="AR20" s="75"/>
      <c r="AS20" s="129"/>
      <c r="AT20" s="75"/>
      <c r="AU20" s="129"/>
      <c r="AV20" s="75"/>
    </row>
    <row r="21" spans="1:48" s="135" customFormat="1" ht="15" customHeight="1">
      <c r="A21" s="84"/>
      <c r="B21" s="59" t="s">
        <v>652</v>
      </c>
      <c r="C21" s="26"/>
      <c r="D21" s="60">
        <v>1416.7470000000001</v>
      </c>
      <c r="E21" s="60">
        <v>1276.8009999999999</v>
      </c>
      <c r="F21" s="60">
        <v>1344.1020000000001</v>
      </c>
      <c r="G21" s="60">
        <v>1564.8679999999999</v>
      </c>
      <c r="H21" s="77">
        <v>1564.8679999999999</v>
      </c>
      <c r="I21" s="131"/>
      <c r="J21" s="60">
        <v>1523.1569999999999</v>
      </c>
      <c r="K21" s="60">
        <v>1340.7929999999999</v>
      </c>
      <c r="L21" s="60">
        <v>1495.473</v>
      </c>
      <c r="M21" s="60">
        <v>1646.7860000000001</v>
      </c>
      <c r="N21" s="77">
        <v>1646.7860000000001</v>
      </c>
      <c r="O21" s="131"/>
      <c r="P21" s="60">
        <v>2109.4029999999998</v>
      </c>
      <c r="Q21" s="60">
        <v>2192.913</v>
      </c>
      <c r="R21" s="60">
        <v>2291.8560000000002</v>
      </c>
      <c r="S21" s="60">
        <v>2383.4450000000002</v>
      </c>
      <c r="T21" s="77">
        <v>2383.4450000000002</v>
      </c>
      <c r="U21" s="131"/>
      <c r="V21" s="60">
        <v>2691.0160000000001</v>
      </c>
      <c r="W21" s="60">
        <v>2771.1390000000001</v>
      </c>
      <c r="X21" s="60">
        <v>2683.7640000000001</v>
      </c>
      <c r="Y21" s="60">
        <v>2915.0540000000001</v>
      </c>
      <c r="Z21" s="77">
        <v>2915.0540000000001</v>
      </c>
      <c r="AA21" s="132"/>
      <c r="AB21" s="60">
        <v>2676.6320000000001</v>
      </c>
      <c r="AC21" s="60">
        <v>2843.9340000000002</v>
      </c>
      <c r="AD21" s="60">
        <v>6607.9110000000001</v>
      </c>
      <c r="AE21" s="60">
        <v>6831.683</v>
      </c>
      <c r="AF21" s="77">
        <v>6831.683</v>
      </c>
      <c r="AG21" s="133"/>
      <c r="AH21" s="60">
        <v>7051.6220000000003</v>
      </c>
      <c r="AI21" s="60">
        <v>6865.973</v>
      </c>
      <c r="AJ21" s="50"/>
      <c r="AK21" s="50"/>
      <c r="AL21" s="78"/>
      <c r="AM21" s="134"/>
      <c r="AN21" s="50"/>
      <c r="AO21" s="50"/>
      <c r="AP21" s="50"/>
      <c r="AQ21" s="50"/>
      <c r="AR21" s="78"/>
      <c r="AS21" s="134"/>
      <c r="AT21" s="78"/>
      <c r="AU21" s="134"/>
      <c r="AV21" s="78"/>
    </row>
    <row r="22" spans="1:48" ht="15" customHeight="1">
      <c r="A22" s="43"/>
      <c r="B22" s="136"/>
      <c r="D22" s="46"/>
      <c r="E22" s="46"/>
      <c r="F22" s="46"/>
      <c r="G22" s="46"/>
      <c r="H22" s="66"/>
      <c r="I22" s="20"/>
      <c r="J22" s="46"/>
      <c r="K22" s="46"/>
      <c r="L22" s="46"/>
      <c r="M22" s="46"/>
      <c r="N22" s="66"/>
      <c r="O22" s="20"/>
      <c r="P22" s="46"/>
      <c r="Q22" s="46"/>
      <c r="R22" s="46"/>
      <c r="S22" s="46"/>
      <c r="T22" s="66"/>
      <c r="U22" s="20"/>
      <c r="V22" s="46"/>
      <c r="W22" s="46"/>
      <c r="X22" s="46"/>
      <c r="Y22" s="46"/>
      <c r="Z22" s="66"/>
      <c r="AA22" s="122"/>
      <c r="AB22" s="46"/>
      <c r="AC22" s="46"/>
      <c r="AD22" s="46"/>
      <c r="AE22" s="46"/>
      <c r="AF22" s="66"/>
      <c r="AG22" s="124"/>
      <c r="AH22" s="46"/>
      <c r="AI22" s="46"/>
      <c r="AJ22" s="50"/>
      <c r="AK22" s="50"/>
      <c r="AL22" s="68"/>
      <c r="AM22" s="126"/>
      <c r="AN22" s="50"/>
      <c r="AO22" s="50"/>
      <c r="AP22" s="50"/>
      <c r="AQ22" s="50"/>
      <c r="AR22" s="68"/>
      <c r="AS22" s="126"/>
      <c r="AT22" s="68"/>
      <c r="AU22" s="126"/>
      <c r="AV22" s="68"/>
    </row>
    <row r="23" spans="1:48" s="113" customFormat="1" ht="15" customHeight="1">
      <c r="A23" s="44" t="s">
        <v>37</v>
      </c>
      <c r="B23" s="45" t="s">
        <v>653</v>
      </c>
      <c r="C23" s="115"/>
      <c r="D23" s="46"/>
      <c r="E23" s="46"/>
      <c r="F23" s="46"/>
      <c r="G23" s="46"/>
      <c r="H23" s="66"/>
      <c r="I23" s="116"/>
      <c r="J23" s="46"/>
      <c r="K23" s="46"/>
      <c r="L23" s="46"/>
      <c r="M23" s="46"/>
      <c r="N23" s="66"/>
      <c r="O23" s="116"/>
      <c r="P23" s="46"/>
      <c r="Q23" s="46"/>
      <c r="R23" s="46"/>
      <c r="S23" s="46"/>
      <c r="T23" s="66"/>
      <c r="U23" s="116"/>
      <c r="V23" s="46"/>
      <c r="W23" s="46"/>
      <c r="X23" s="46"/>
      <c r="Y23" s="46"/>
      <c r="Z23" s="66"/>
      <c r="AA23" s="129"/>
      <c r="AB23" s="46"/>
      <c r="AC23" s="46"/>
      <c r="AD23" s="46"/>
      <c r="AE23" s="46"/>
      <c r="AF23" s="66"/>
      <c r="AG23" s="130"/>
      <c r="AH23" s="46"/>
      <c r="AI23" s="46"/>
      <c r="AJ23" s="50"/>
      <c r="AK23" s="50"/>
      <c r="AL23" s="68"/>
      <c r="AM23" s="129"/>
      <c r="AN23" s="50"/>
      <c r="AO23" s="50"/>
      <c r="AP23" s="50"/>
      <c r="AQ23" s="50"/>
      <c r="AR23" s="68"/>
      <c r="AS23" s="129"/>
      <c r="AT23" s="68"/>
      <c r="AU23" s="129"/>
      <c r="AV23" s="68"/>
    </row>
    <row r="24" spans="1:48" ht="15" customHeight="1">
      <c r="A24" s="43"/>
      <c r="B24" s="127" t="s">
        <v>468</v>
      </c>
      <c r="D24" s="60">
        <v>354.77800000000002</v>
      </c>
      <c r="E24" s="60">
        <v>293.32600000000002</v>
      </c>
      <c r="F24" s="60">
        <v>277.017</v>
      </c>
      <c r="G24" s="60">
        <v>316.3</v>
      </c>
      <c r="H24" s="57">
        <v>316.3</v>
      </c>
      <c r="I24" s="20"/>
      <c r="J24" s="60">
        <v>313.40899999999999</v>
      </c>
      <c r="K24" s="60">
        <v>287.32400000000001</v>
      </c>
      <c r="L24" s="60">
        <v>348.24400000000003</v>
      </c>
      <c r="M24" s="60">
        <v>403.86799999999999</v>
      </c>
      <c r="N24" s="57">
        <v>403.86799999999999</v>
      </c>
      <c r="O24" s="20"/>
      <c r="P24" s="60">
        <v>446.32600000000002</v>
      </c>
      <c r="Q24" s="60">
        <v>492.47500000000002</v>
      </c>
      <c r="R24" s="60">
        <v>586.25</v>
      </c>
      <c r="S24" s="60">
        <v>691.58199999999999</v>
      </c>
      <c r="T24" s="57">
        <v>691.58199999999999</v>
      </c>
      <c r="U24" s="20"/>
      <c r="V24" s="60">
        <v>769.76499999999999</v>
      </c>
      <c r="W24" s="60">
        <v>850.09500000000003</v>
      </c>
      <c r="X24" s="60">
        <v>835.20899999999995</v>
      </c>
      <c r="Y24" s="60">
        <v>890.92899999999997</v>
      </c>
      <c r="Z24" s="57">
        <v>890.92899999999997</v>
      </c>
      <c r="AA24" s="122"/>
      <c r="AB24" s="60">
        <v>845.79200000000003</v>
      </c>
      <c r="AC24" s="60">
        <v>863.45699999999999</v>
      </c>
      <c r="AD24" s="60">
        <v>2168.252</v>
      </c>
      <c r="AE24" s="60">
        <v>2308.9090000000001</v>
      </c>
      <c r="AF24" s="57">
        <v>2308.9090000000001</v>
      </c>
      <c r="AG24" s="124"/>
      <c r="AH24" s="60">
        <v>2230.1210000000001</v>
      </c>
      <c r="AI24" s="60">
        <v>2169.77</v>
      </c>
      <c r="AJ24" s="50"/>
      <c r="AK24" s="50"/>
      <c r="AL24" s="58"/>
      <c r="AM24" s="126"/>
      <c r="AN24" s="50"/>
      <c r="AO24" s="50"/>
      <c r="AP24" s="50"/>
      <c r="AQ24" s="50"/>
      <c r="AR24" s="58"/>
      <c r="AS24" s="126"/>
      <c r="AT24" s="58"/>
      <c r="AU24" s="126"/>
      <c r="AV24" s="58"/>
    </row>
    <row r="25" spans="1:48" s="113" customFormat="1" ht="15" customHeight="1">
      <c r="B25" s="138" t="s">
        <v>654</v>
      </c>
      <c r="C25" s="115"/>
      <c r="D25" s="60">
        <v>374.17</v>
      </c>
      <c r="E25" s="60">
        <v>387.02100000000002</v>
      </c>
      <c r="F25" s="60">
        <v>332.32600000000002</v>
      </c>
      <c r="G25" s="60">
        <v>561.49599999999998</v>
      </c>
      <c r="H25" s="57">
        <v>561.49599999999998</v>
      </c>
      <c r="I25" s="116"/>
      <c r="J25" s="60">
        <v>335.66399999999999</v>
      </c>
      <c r="K25" s="60">
        <v>331.71699999999998</v>
      </c>
      <c r="L25" s="60">
        <v>414.75299999999999</v>
      </c>
      <c r="M25" s="60">
        <v>0</v>
      </c>
      <c r="N25" s="57">
        <v>0</v>
      </c>
      <c r="O25" s="116"/>
      <c r="P25" s="60">
        <v>475.28199999999998</v>
      </c>
      <c r="Q25" s="60">
        <v>547.09199999999998</v>
      </c>
      <c r="R25" s="60">
        <v>668.56200000000001</v>
      </c>
      <c r="S25" s="60">
        <v>1143.7170000000001</v>
      </c>
      <c r="T25" s="57">
        <v>1143.7170000000001</v>
      </c>
      <c r="U25" s="116"/>
      <c r="V25" s="60">
        <v>0</v>
      </c>
      <c r="W25" s="60">
        <v>933.55399999999997</v>
      </c>
      <c r="X25" s="60">
        <v>962.30200000000002</v>
      </c>
      <c r="Y25" s="60">
        <v>1519.3430000000001</v>
      </c>
      <c r="Z25" s="57">
        <v>1519.3430000000001</v>
      </c>
      <c r="AA25" s="129"/>
      <c r="AB25" s="60">
        <v>890.58799999999997</v>
      </c>
      <c r="AC25" s="60">
        <v>952.27</v>
      </c>
      <c r="AD25" s="60">
        <v>2336.3560000000002</v>
      </c>
      <c r="AE25" s="60">
        <v>3225.6419999999998</v>
      </c>
      <c r="AF25" s="57">
        <v>3225.6419999999998</v>
      </c>
      <c r="AG25" s="130"/>
      <c r="AH25" s="60">
        <v>0</v>
      </c>
      <c r="AI25" s="60">
        <v>0</v>
      </c>
      <c r="AJ25" s="50"/>
      <c r="AK25" s="50"/>
      <c r="AL25" s="58"/>
      <c r="AM25" s="129"/>
      <c r="AN25" s="50"/>
      <c r="AO25" s="50"/>
      <c r="AP25" s="50"/>
      <c r="AQ25" s="50"/>
      <c r="AR25" s="58"/>
      <c r="AS25" s="129"/>
      <c r="AT25" s="58"/>
      <c r="AU25" s="129"/>
      <c r="AV25" s="58"/>
    </row>
    <row r="26" spans="1:48" ht="15" customHeight="1">
      <c r="A26" s="43"/>
      <c r="B26" s="138" t="s">
        <v>655</v>
      </c>
      <c r="D26" s="60">
        <v>19.391999999999999</v>
      </c>
      <c r="E26" s="60">
        <v>93.694999999999993</v>
      </c>
      <c r="F26" s="60">
        <v>55.308999999999997</v>
      </c>
      <c r="G26" s="60">
        <v>245.196</v>
      </c>
      <c r="H26" s="57">
        <v>245.196</v>
      </c>
      <c r="I26" s="20"/>
      <c r="J26" s="60">
        <v>22.254999999999999</v>
      </c>
      <c r="K26" s="60">
        <v>44.393000000000001</v>
      </c>
      <c r="L26" s="60">
        <v>66.509</v>
      </c>
      <c r="M26" s="60">
        <v>0</v>
      </c>
      <c r="N26" s="57">
        <v>0</v>
      </c>
      <c r="O26" s="20"/>
      <c r="P26" s="60">
        <v>28.956</v>
      </c>
      <c r="Q26" s="60">
        <v>54.616999999999997</v>
      </c>
      <c r="R26" s="60">
        <v>82.311999999999998</v>
      </c>
      <c r="S26" s="60">
        <v>452.13499999999999</v>
      </c>
      <c r="T26" s="57">
        <v>452.13499999999999</v>
      </c>
      <c r="U26" s="20"/>
      <c r="V26" s="60">
        <v>0</v>
      </c>
      <c r="W26" s="60">
        <v>83.459000000000003</v>
      </c>
      <c r="X26" s="60">
        <v>127.093</v>
      </c>
      <c r="Y26" s="60">
        <v>628.41399999999999</v>
      </c>
      <c r="Z26" s="57">
        <v>628.41399999999999</v>
      </c>
      <c r="AA26" s="122"/>
      <c r="AB26" s="60">
        <v>44.795999999999999</v>
      </c>
      <c r="AC26" s="60">
        <v>88.813000000000002</v>
      </c>
      <c r="AD26" s="60">
        <v>168.10400000000001</v>
      </c>
      <c r="AE26" s="60">
        <v>916.73299999999995</v>
      </c>
      <c r="AF26" s="57">
        <v>916.73299999999995</v>
      </c>
      <c r="AG26" s="124"/>
      <c r="AH26" s="60">
        <v>0</v>
      </c>
      <c r="AI26" s="60">
        <v>0</v>
      </c>
      <c r="AJ26" s="50"/>
      <c r="AK26" s="50"/>
      <c r="AL26" s="58"/>
      <c r="AM26" s="126"/>
      <c r="AN26" s="50"/>
      <c r="AO26" s="50"/>
      <c r="AP26" s="50"/>
      <c r="AQ26" s="50"/>
      <c r="AR26" s="58"/>
      <c r="AS26" s="126"/>
      <c r="AT26" s="58"/>
      <c r="AU26" s="126"/>
      <c r="AV26" s="58"/>
    </row>
    <row r="27" spans="1:48" ht="15" customHeight="1">
      <c r="A27" s="43"/>
      <c r="B27" s="127" t="s">
        <v>470</v>
      </c>
      <c r="D27" s="60">
        <v>75.578000000000003</v>
      </c>
      <c r="E27" s="60">
        <v>77.424999999999997</v>
      </c>
      <c r="F27" s="60">
        <v>84.198999999999998</v>
      </c>
      <c r="G27" s="60">
        <v>829.86699999999996</v>
      </c>
      <c r="H27" s="57">
        <v>829.86699999999996</v>
      </c>
      <c r="I27" s="20"/>
      <c r="J27" s="60">
        <v>864.23800000000006</v>
      </c>
      <c r="K27" s="60">
        <v>868.86900000000003</v>
      </c>
      <c r="L27" s="60">
        <v>990.51700000000005</v>
      </c>
      <c r="M27" s="60">
        <v>1014.918</v>
      </c>
      <c r="N27" s="57">
        <v>1014.918</v>
      </c>
      <c r="O27" s="20"/>
      <c r="P27" s="60">
        <v>1150.154</v>
      </c>
      <c r="Q27" s="60">
        <v>1186.5999999999999</v>
      </c>
      <c r="R27" s="60">
        <v>1247.9690000000001</v>
      </c>
      <c r="S27" s="60">
        <v>1263.412</v>
      </c>
      <c r="T27" s="57">
        <v>1263.412</v>
      </c>
      <c r="U27" s="20"/>
      <c r="V27" s="60">
        <v>1370.027</v>
      </c>
      <c r="W27" s="60">
        <v>1523.662</v>
      </c>
      <c r="X27" s="60">
        <v>1569.8979999999999</v>
      </c>
      <c r="Y27" s="60">
        <v>1561.9059999999999</v>
      </c>
      <c r="Z27" s="57">
        <v>1561.9059999999999</v>
      </c>
      <c r="AA27" s="122"/>
      <c r="AB27" s="60">
        <v>1565.2</v>
      </c>
      <c r="AC27" s="60">
        <v>1587.92</v>
      </c>
      <c r="AD27" s="60">
        <v>3908.2280000000001</v>
      </c>
      <c r="AE27" s="60">
        <v>3741.3530000000001</v>
      </c>
      <c r="AF27" s="57">
        <v>3741.3530000000001</v>
      </c>
      <c r="AG27" s="124"/>
      <c r="AH27" s="60">
        <v>3508.4549999999999</v>
      </c>
      <c r="AI27" s="60">
        <v>3586.0250000000001</v>
      </c>
      <c r="AJ27" s="50"/>
      <c r="AK27" s="50"/>
      <c r="AL27" s="58"/>
      <c r="AM27" s="126"/>
      <c r="AN27" s="50"/>
      <c r="AO27" s="50"/>
      <c r="AP27" s="50"/>
      <c r="AQ27" s="50"/>
      <c r="AR27" s="58"/>
      <c r="AS27" s="126"/>
      <c r="AT27" s="58"/>
      <c r="AU27" s="126"/>
      <c r="AV27" s="58"/>
    </row>
    <row r="28" spans="1:48" ht="15" customHeight="1">
      <c r="A28" s="43"/>
      <c r="B28" s="127" t="s">
        <v>656</v>
      </c>
      <c r="D28" s="60">
        <v>0</v>
      </c>
      <c r="E28" s="60">
        <v>0</v>
      </c>
      <c r="F28" s="60">
        <v>0</v>
      </c>
      <c r="G28" s="60">
        <v>466.12799999999999</v>
      </c>
      <c r="H28" s="57">
        <v>466.12799999999999</v>
      </c>
      <c r="I28" s="20"/>
      <c r="J28" s="60">
        <v>494.90600000000001</v>
      </c>
      <c r="K28" s="60">
        <v>474.67700000000002</v>
      </c>
      <c r="L28" s="60">
        <v>586.34299999999996</v>
      </c>
      <c r="M28" s="60">
        <v>560.89599999999996</v>
      </c>
      <c r="N28" s="57">
        <v>560.89599999999996</v>
      </c>
      <c r="O28" s="20"/>
      <c r="P28" s="60">
        <v>356.43400000000003</v>
      </c>
      <c r="Q28" s="60">
        <v>690.45399999999995</v>
      </c>
      <c r="R28" s="60">
        <v>729.94399999999996</v>
      </c>
      <c r="S28" s="60">
        <v>737.65599999999995</v>
      </c>
      <c r="T28" s="57">
        <v>737.65599999999995</v>
      </c>
      <c r="U28" s="20"/>
      <c r="V28" s="60">
        <v>831.41700000000003</v>
      </c>
      <c r="W28" s="60">
        <v>898.90899999999999</v>
      </c>
      <c r="X28" s="60">
        <v>843.94799999999998</v>
      </c>
      <c r="Y28" s="60">
        <v>919.29</v>
      </c>
      <c r="Z28" s="57">
        <v>919.29</v>
      </c>
      <c r="AA28" s="122"/>
      <c r="AB28" s="60">
        <v>850.46900000000005</v>
      </c>
      <c r="AC28" s="60">
        <v>853.76099999999997</v>
      </c>
      <c r="AD28" s="60">
        <v>1505.95</v>
      </c>
      <c r="AE28" s="60">
        <v>1335.723</v>
      </c>
      <c r="AF28" s="57">
        <v>1335.723</v>
      </c>
      <c r="AG28" s="124"/>
      <c r="AH28" s="60">
        <v>1128.2829999999999</v>
      </c>
      <c r="AI28" s="60">
        <v>1123.55</v>
      </c>
      <c r="AJ28" s="50"/>
      <c r="AK28" s="50"/>
      <c r="AL28" s="58"/>
      <c r="AM28" s="137"/>
      <c r="AN28" s="50"/>
      <c r="AO28" s="50"/>
      <c r="AP28" s="50"/>
      <c r="AQ28" s="50"/>
      <c r="AR28" s="58"/>
      <c r="AS28" s="137"/>
      <c r="AT28" s="58"/>
      <c r="AU28" s="137"/>
      <c r="AV28" s="58"/>
    </row>
    <row r="29" spans="1:48" ht="15" customHeight="1">
      <c r="A29" s="43"/>
      <c r="B29" s="127" t="s">
        <v>559</v>
      </c>
      <c r="D29" s="60">
        <v>0</v>
      </c>
      <c r="E29" s="60">
        <v>0</v>
      </c>
      <c r="F29" s="60">
        <v>0</v>
      </c>
      <c r="G29" s="60">
        <v>0</v>
      </c>
      <c r="H29" s="57">
        <v>0</v>
      </c>
      <c r="I29" s="20"/>
      <c r="J29" s="60">
        <v>0</v>
      </c>
      <c r="K29" s="60">
        <v>0</v>
      </c>
      <c r="L29" s="60">
        <v>0</v>
      </c>
      <c r="M29" s="60">
        <v>0</v>
      </c>
      <c r="N29" s="57">
        <v>0</v>
      </c>
      <c r="O29" s="20"/>
      <c r="P29" s="60">
        <v>0</v>
      </c>
      <c r="Q29" s="60">
        <v>0</v>
      </c>
      <c r="R29" s="60">
        <v>0</v>
      </c>
      <c r="S29" s="60">
        <v>0</v>
      </c>
      <c r="T29" s="57">
        <v>0</v>
      </c>
      <c r="U29" s="20"/>
      <c r="V29" s="60">
        <v>0</v>
      </c>
      <c r="W29" s="60">
        <v>0</v>
      </c>
      <c r="X29" s="60">
        <v>0</v>
      </c>
      <c r="Y29" s="60">
        <v>0</v>
      </c>
      <c r="Z29" s="57">
        <v>0</v>
      </c>
      <c r="AA29" s="122"/>
      <c r="AB29" s="60">
        <v>0</v>
      </c>
      <c r="AC29" s="60">
        <v>0</v>
      </c>
      <c r="AD29" s="60">
        <v>0</v>
      </c>
      <c r="AE29" s="60">
        <v>0</v>
      </c>
      <c r="AF29" s="57">
        <v>0</v>
      </c>
      <c r="AG29" s="124"/>
      <c r="AH29" s="60">
        <v>0</v>
      </c>
      <c r="AI29" s="60">
        <v>0</v>
      </c>
      <c r="AJ29" s="50"/>
      <c r="AK29" s="50"/>
      <c r="AL29" s="58"/>
      <c r="AM29" s="126"/>
      <c r="AN29" s="50"/>
      <c r="AO29" s="50"/>
      <c r="AP29" s="50"/>
      <c r="AQ29" s="50"/>
      <c r="AR29" s="58"/>
      <c r="AS29" s="126"/>
      <c r="AT29" s="58"/>
      <c r="AU29" s="126"/>
      <c r="AV29" s="58"/>
    </row>
    <row r="30" spans="1:48" s="113" customFormat="1" ht="15" customHeight="1">
      <c r="B30" s="127" t="s">
        <v>657</v>
      </c>
      <c r="C30" s="115"/>
      <c r="D30" s="60">
        <v>58.07699999999997</v>
      </c>
      <c r="E30" s="60">
        <v>83.14</v>
      </c>
      <c r="F30" s="60">
        <v>82.95</v>
      </c>
      <c r="G30" s="60">
        <v>121.50999999999999</v>
      </c>
      <c r="H30" s="74">
        <v>121.50999999999999</v>
      </c>
      <c r="I30" s="116"/>
      <c r="J30" s="60">
        <v>134.82699999999988</v>
      </c>
      <c r="K30" s="60">
        <v>-610.45000000000005</v>
      </c>
      <c r="L30" s="60">
        <v>291.01</v>
      </c>
      <c r="M30" s="60">
        <v>300.75400000000002</v>
      </c>
      <c r="N30" s="74">
        <v>300.75400000000002</v>
      </c>
      <c r="O30" s="116"/>
      <c r="P30" s="60">
        <v>318.32999999999993</v>
      </c>
      <c r="Q30" s="60">
        <v>322.41899999999987</v>
      </c>
      <c r="R30" s="60">
        <v>310.346</v>
      </c>
      <c r="S30" s="60">
        <v>320.82500000000005</v>
      </c>
      <c r="T30" s="74">
        <v>320.82500000000005</v>
      </c>
      <c r="U30" s="116"/>
      <c r="V30" s="60">
        <v>301.11400000000003</v>
      </c>
      <c r="W30" s="60">
        <v>290.16699999999992</v>
      </c>
      <c r="X30" s="60">
        <v>545.54700000000025</v>
      </c>
      <c r="Y30" s="60">
        <v>608.01499999999987</v>
      </c>
      <c r="Z30" s="74">
        <v>608.01499999999987</v>
      </c>
      <c r="AA30" s="129"/>
      <c r="AB30" s="60">
        <v>635.923</v>
      </c>
      <c r="AC30" s="60">
        <v>707.49900000000025</v>
      </c>
      <c r="AD30" s="60">
        <v>2221.88</v>
      </c>
      <c r="AE30" s="60">
        <v>2371.5999999999995</v>
      </c>
      <c r="AF30" s="74">
        <v>2371.5999999999995</v>
      </c>
      <c r="AG30" s="130"/>
      <c r="AH30" s="60">
        <v>2552.8830000000007</v>
      </c>
      <c r="AI30" s="60">
        <v>2895.0639999999999</v>
      </c>
      <c r="AJ30" s="50"/>
      <c r="AK30" s="50"/>
      <c r="AL30" s="75"/>
      <c r="AM30" s="129"/>
      <c r="AN30" s="50"/>
      <c r="AO30" s="50"/>
      <c r="AP30" s="50"/>
      <c r="AQ30" s="50"/>
      <c r="AR30" s="75"/>
      <c r="AS30" s="129"/>
      <c r="AT30" s="75"/>
      <c r="AU30" s="129"/>
      <c r="AV30" s="75"/>
    </row>
    <row r="31" spans="1:48" ht="15" customHeight="1">
      <c r="A31" s="43"/>
      <c r="B31" s="138" t="s">
        <v>658</v>
      </c>
      <c r="D31" s="60">
        <v>488.43299999999999</v>
      </c>
      <c r="E31" s="60">
        <v>453.89100000000002</v>
      </c>
      <c r="F31" s="60">
        <v>444.166</v>
      </c>
      <c r="G31" s="60">
        <v>1267.6769999999999</v>
      </c>
      <c r="H31" s="74">
        <v>1267.6769999999999</v>
      </c>
      <c r="I31" s="20"/>
      <c r="J31" s="60">
        <v>1312.4739999999999</v>
      </c>
      <c r="K31" s="60">
        <v>545.74300000000005</v>
      </c>
      <c r="L31" s="60">
        <v>1629.771</v>
      </c>
      <c r="M31" s="60">
        <v>1719.54</v>
      </c>
      <c r="N31" s="74">
        <v>1719.54</v>
      </c>
      <c r="O31" s="20"/>
      <c r="P31" s="60">
        <v>1914.81</v>
      </c>
      <c r="Q31" s="60">
        <v>2001.4939999999999</v>
      </c>
      <c r="R31" s="60">
        <v>2144.5650000000001</v>
      </c>
      <c r="S31" s="60">
        <v>2275.819</v>
      </c>
      <c r="T31" s="74">
        <v>2275.819</v>
      </c>
      <c r="U31" s="20"/>
      <c r="V31" s="60">
        <v>2440.9059999999999</v>
      </c>
      <c r="W31" s="60">
        <v>2663.924</v>
      </c>
      <c r="X31" s="60">
        <v>2950.654</v>
      </c>
      <c r="Y31" s="60">
        <v>3060.85</v>
      </c>
      <c r="Z31" s="74">
        <v>3060.85</v>
      </c>
      <c r="AA31" s="122"/>
      <c r="AB31" s="60">
        <v>3046.915</v>
      </c>
      <c r="AC31" s="60">
        <v>3158.8760000000002</v>
      </c>
      <c r="AD31" s="60">
        <v>8298.36</v>
      </c>
      <c r="AE31" s="60">
        <v>8421.8619999999992</v>
      </c>
      <c r="AF31" s="74">
        <v>8421.8619999999992</v>
      </c>
      <c r="AG31" s="124"/>
      <c r="AH31" s="60">
        <v>8291.4590000000007</v>
      </c>
      <c r="AI31" s="60">
        <v>8650.8590000000004</v>
      </c>
      <c r="AJ31" s="50"/>
      <c r="AK31" s="50"/>
      <c r="AL31" s="75"/>
      <c r="AM31" s="139"/>
      <c r="AN31" s="50"/>
      <c r="AO31" s="50"/>
      <c r="AP31" s="50"/>
      <c r="AQ31" s="50"/>
      <c r="AR31" s="75"/>
      <c r="AS31" s="139"/>
      <c r="AT31" s="75"/>
      <c r="AU31" s="139"/>
      <c r="AV31" s="75"/>
    </row>
    <row r="32" spans="1:48" s="113" customFormat="1" ht="15" customHeight="1" thickBot="1">
      <c r="B32" s="140" t="s">
        <v>659</v>
      </c>
      <c r="C32" s="115"/>
      <c r="D32" s="60">
        <v>1905.18</v>
      </c>
      <c r="E32" s="60">
        <v>1730.692</v>
      </c>
      <c r="F32" s="60">
        <v>1788.268</v>
      </c>
      <c r="G32" s="60">
        <v>2832.5450000000001</v>
      </c>
      <c r="H32" s="93">
        <v>2832.5450000000001</v>
      </c>
      <c r="I32" s="116"/>
      <c r="J32" s="60">
        <v>2835.6309999999999</v>
      </c>
      <c r="K32" s="60">
        <v>2755.4050000000002</v>
      </c>
      <c r="L32" s="60">
        <v>3125.2440000000001</v>
      </c>
      <c r="M32" s="60">
        <v>3366.326</v>
      </c>
      <c r="N32" s="93">
        <v>3366.326</v>
      </c>
      <c r="O32" s="116"/>
      <c r="P32" s="60">
        <v>4024.2130000000002</v>
      </c>
      <c r="Q32" s="60">
        <v>4194.4070000000002</v>
      </c>
      <c r="R32" s="60">
        <v>4436.4210000000003</v>
      </c>
      <c r="S32" s="60">
        <v>4659.2640000000001</v>
      </c>
      <c r="T32" s="93">
        <v>4659.2640000000001</v>
      </c>
      <c r="U32" s="116"/>
      <c r="V32" s="60">
        <v>5131.9219999999996</v>
      </c>
      <c r="W32" s="60">
        <v>5435.0630000000001</v>
      </c>
      <c r="X32" s="60">
        <v>5634.4179999999997</v>
      </c>
      <c r="Y32" s="60">
        <v>5975.9040000000005</v>
      </c>
      <c r="Z32" s="93">
        <v>5975.9040000000005</v>
      </c>
      <c r="AA32" s="141"/>
      <c r="AB32" s="60">
        <v>5723.5469999999996</v>
      </c>
      <c r="AC32" s="60">
        <v>6002.81</v>
      </c>
      <c r="AD32" s="60">
        <v>14906.271000000001</v>
      </c>
      <c r="AE32" s="60">
        <v>15253.545</v>
      </c>
      <c r="AF32" s="93">
        <v>15253.545</v>
      </c>
      <c r="AG32" s="130"/>
      <c r="AH32" s="60">
        <v>15343.081</v>
      </c>
      <c r="AI32" s="60">
        <v>15516.832</v>
      </c>
      <c r="AJ32" s="50"/>
      <c r="AK32" s="50"/>
      <c r="AL32" s="94"/>
      <c r="AM32" s="129"/>
      <c r="AN32" s="50"/>
      <c r="AO32" s="50"/>
      <c r="AP32" s="50"/>
      <c r="AQ32" s="50"/>
      <c r="AR32" s="94"/>
      <c r="AS32" s="129"/>
      <c r="AT32" s="94"/>
      <c r="AU32" s="129"/>
      <c r="AV32" s="94"/>
    </row>
    <row r="34" spans="1:48" s="113" customFormat="1" ht="15" customHeight="1">
      <c r="A34" s="44"/>
      <c r="B34" s="64" t="s">
        <v>660</v>
      </c>
      <c r="C34" s="115"/>
      <c r="D34" s="46"/>
      <c r="E34" s="46"/>
      <c r="F34" s="46"/>
      <c r="G34" s="46"/>
      <c r="H34" s="66"/>
      <c r="I34" s="116"/>
      <c r="J34" s="46"/>
      <c r="K34" s="46"/>
      <c r="L34" s="46"/>
      <c r="M34" s="46"/>
      <c r="N34" s="66"/>
      <c r="O34" s="116"/>
      <c r="P34" s="46"/>
      <c r="Q34" s="46"/>
      <c r="R34" s="46"/>
      <c r="S34" s="46"/>
      <c r="T34" s="66"/>
      <c r="U34" s="116"/>
      <c r="V34" s="46"/>
      <c r="W34" s="46"/>
      <c r="X34" s="46"/>
      <c r="Y34" s="46"/>
      <c r="Z34" s="66"/>
      <c r="AA34" s="117"/>
      <c r="AB34" s="46"/>
      <c r="AC34" s="46"/>
      <c r="AD34" s="46"/>
      <c r="AE34" s="46"/>
      <c r="AF34" s="66"/>
      <c r="AG34" s="118"/>
      <c r="AH34" s="46"/>
      <c r="AI34" s="46"/>
      <c r="AJ34" s="50"/>
      <c r="AK34" s="50"/>
      <c r="AL34" s="68"/>
      <c r="AM34" s="117"/>
      <c r="AN34" s="50"/>
      <c r="AO34" s="50"/>
      <c r="AP34" s="50"/>
      <c r="AQ34" s="50"/>
      <c r="AR34" s="68"/>
      <c r="AS34" s="117"/>
      <c r="AT34" s="68"/>
      <c r="AU34" s="117"/>
      <c r="AV34" s="68"/>
    </row>
    <row r="35" spans="1:48" s="147" customFormat="1" ht="15" customHeight="1">
      <c r="A35" s="142"/>
      <c r="B35" s="143"/>
      <c r="C35" s="27"/>
      <c r="D35" s="46"/>
      <c r="E35" s="46"/>
      <c r="F35" s="46"/>
      <c r="G35" s="46"/>
      <c r="H35" s="66"/>
      <c r="I35" s="144"/>
      <c r="J35" s="46"/>
      <c r="K35" s="46"/>
      <c r="L35" s="46"/>
      <c r="M35" s="46"/>
      <c r="N35" s="66"/>
      <c r="O35" s="144"/>
      <c r="P35" s="46"/>
      <c r="Q35" s="46"/>
      <c r="R35" s="46"/>
      <c r="S35" s="46"/>
      <c r="T35" s="66"/>
      <c r="U35" s="144"/>
      <c r="V35" s="46"/>
      <c r="W35" s="46"/>
      <c r="X35" s="46"/>
      <c r="Y35" s="46"/>
      <c r="Z35" s="66"/>
      <c r="AA35" s="145"/>
      <c r="AB35" s="46"/>
      <c r="AC35" s="46"/>
      <c r="AD35" s="46"/>
      <c r="AE35" s="46"/>
      <c r="AF35" s="66"/>
      <c r="AG35" s="146"/>
      <c r="AH35" s="46"/>
      <c r="AI35" s="46"/>
      <c r="AJ35" s="50"/>
      <c r="AK35" s="50"/>
      <c r="AL35" s="68"/>
      <c r="AM35" s="148"/>
      <c r="AN35" s="50"/>
      <c r="AO35" s="50"/>
      <c r="AP35" s="50"/>
      <c r="AQ35" s="50"/>
      <c r="AR35" s="68"/>
      <c r="AS35" s="139"/>
      <c r="AT35" s="68"/>
      <c r="AU35" s="139"/>
      <c r="AV35" s="68"/>
    </row>
    <row r="36" spans="1:48" s="113" customFormat="1" ht="15" customHeight="1">
      <c r="A36" s="44" t="s">
        <v>37</v>
      </c>
      <c r="B36" s="114" t="s">
        <v>661</v>
      </c>
      <c r="C36" s="115"/>
      <c r="D36" s="46"/>
      <c r="E36" s="46"/>
      <c r="F36" s="46"/>
      <c r="G36" s="46"/>
      <c r="H36" s="66"/>
      <c r="I36" s="116"/>
      <c r="J36" s="46"/>
      <c r="K36" s="46"/>
      <c r="L36" s="46"/>
      <c r="M36" s="46"/>
      <c r="N36" s="66"/>
      <c r="O36" s="116"/>
      <c r="P36" s="46"/>
      <c r="Q36" s="46"/>
      <c r="R36" s="46"/>
      <c r="S36" s="46"/>
      <c r="T36" s="66"/>
      <c r="U36" s="116"/>
      <c r="V36" s="46"/>
      <c r="W36" s="46"/>
      <c r="X36" s="46"/>
      <c r="Y36" s="46"/>
      <c r="Z36" s="66"/>
      <c r="AA36" s="117"/>
      <c r="AB36" s="46"/>
      <c r="AC36" s="46"/>
      <c r="AD36" s="46"/>
      <c r="AE36" s="46"/>
      <c r="AF36" s="66"/>
      <c r="AG36" s="118"/>
      <c r="AH36" s="46"/>
      <c r="AI36" s="46"/>
      <c r="AJ36" s="50"/>
      <c r="AK36" s="50"/>
      <c r="AL36" s="68"/>
      <c r="AM36" s="149"/>
      <c r="AN36" s="50"/>
      <c r="AO36" s="50"/>
      <c r="AP36" s="50"/>
      <c r="AQ36" s="50"/>
      <c r="AR36" s="68"/>
      <c r="AS36" s="117"/>
      <c r="AT36" s="68"/>
      <c r="AU36" s="117"/>
      <c r="AV36" s="68"/>
    </row>
    <row r="37" spans="1:48" ht="15" customHeight="1">
      <c r="A37" s="43"/>
      <c r="B37" s="127" t="s">
        <v>662</v>
      </c>
      <c r="D37" s="60">
        <v>239.67699999999999</v>
      </c>
      <c r="E37" s="60">
        <v>183.06</v>
      </c>
      <c r="F37" s="60">
        <v>290.89999999999998</v>
      </c>
      <c r="G37" s="60">
        <v>498.93900000000002</v>
      </c>
      <c r="H37" s="57">
        <v>498.93900000000002</v>
      </c>
      <c r="I37" s="20"/>
      <c r="J37" s="60">
        <v>455.53</v>
      </c>
      <c r="K37" s="60">
        <v>463.20100000000002</v>
      </c>
      <c r="L37" s="60">
        <v>586.10699999999997</v>
      </c>
      <c r="M37" s="60">
        <v>820.66</v>
      </c>
      <c r="N37" s="57">
        <v>820.66</v>
      </c>
      <c r="O37" s="20"/>
      <c r="P37" s="60">
        <v>744.399</v>
      </c>
      <c r="Q37" s="60">
        <v>836.04100000000005</v>
      </c>
      <c r="R37" s="60">
        <v>855.21299999999997</v>
      </c>
      <c r="S37" s="60">
        <v>1064.289</v>
      </c>
      <c r="T37" s="57">
        <v>1064.289</v>
      </c>
      <c r="U37" s="20"/>
      <c r="V37" s="60">
        <v>694.25400000000002</v>
      </c>
      <c r="W37" s="60">
        <v>720.84299999999996</v>
      </c>
      <c r="X37" s="60">
        <v>758.12599999999998</v>
      </c>
      <c r="Y37" s="60">
        <v>1041.509</v>
      </c>
      <c r="Z37" s="57">
        <v>1041.509</v>
      </c>
      <c r="AA37" s="20"/>
      <c r="AB37" s="60">
        <v>827.76800000000003</v>
      </c>
      <c r="AC37" s="60">
        <v>934.67399999999998</v>
      </c>
      <c r="AD37" s="60">
        <v>2339.2089999999998</v>
      </c>
      <c r="AE37" s="60">
        <v>2794.703</v>
      </c>
      <c r="AF37" s="57">
        <v>2794.703</v>
      </c>
      <c r="AG37" s="150"/>
      <c r="AH37" s="60">
        <v>2213.7910000000002</v>
      </c>
      <c r="AI37" s="60">
        <v>2086.5160000000001</v>
      </c>
      <c r="AJ37" s="50"/>
      <c r="AK37" s="50"/>
      <c r="AL37" s="58"/>
      <c r="AM37" s="20"/>
      <c r="AN37" s="50"/>
      <c r="AO37" s="50"/>
      <c r="AP37" s="50"/>
      <c r="AQ37" s="50"/>
      <c r="AR37" s="58"/>
      <c r="AS37" s="20"/>
      <c r="AT37" s="58"/>
      <c r="AU37" s="20"/>
      <c r="AV37" s="58"/>
    </row>
    <row r="38" spans="1:48" ht="15" customHeight="1">
      <c r="A38" s="43"/>
      <c r="B38" s="127" t="s">
        <v>663</v>
      </c>
      <c r="D38" s="60">
        <v>307.08100000000002</v>
      </c>
      <c r="E38" s="60">
        <v>292.42399999999998</v>
      </c>
      <c r="F38" s="60">
        <v>440.50900000000001</v>
      </c>
      <c r="G38" s="60">
        <v>239.483</v>
      </c>
      <c r="H38" s="57">
        <v>239.483</v>
      </c>
      <c r="I38" s="20"/>
      <c r="J38" s="60">
        <v>364.786</v>
      </c>
      <c r="K38" s="60">
        <v>216.58699999999999</v>
      </c>
      <c r="L38" s="60">
        <v>271.04000000000002</v>
      </c>
      <c r="M38" s="60">
        <v>496.86099999999999</v>
      </c>
      <c r="N38" s="57">
        <v>496.86099999999999</v>
      </c>
      <c r="O38" s="20"/>
      <c r="P38" s="60">
        <v>268.46300000000002</v>
      </c>
      <c r="Q38" s="60">
        <v>345.024</v>
      </c>
      <c r="R38" s="60">
        <v>0</v>
      </c>
      <c r="S38" s="60">
        <v>392.25400000000002</v>
      </c>
      <c r="T38" s="57">
        <v>392.25400000000002</v>
      </c>
      <c r="U38" s="20"/>
      <c r="V38" s="60">
        <v>663.00400000000002</v>
      </c>
      <c r="W38" s="60">
        <v>642.49199999999996</v>
      </c>
      <c r="X38" s="60">
        <v>1087.4000000000001</v>
      </c>
      <c r="Y38" s="60">
        <v>882.20500000000004</v>
      </c>
      <c r="Z38" s="57">
        <v>882.20500000000004</v>
      </c>
      <c r="AA38" s="122"/>
      <c r="AB38" s="60">
        <v>747.452</v>
      </c>
      <c r="AC38" s="60">
        <v>823.04899999999998</v>
      </c>
      <c r="AD38" s="60">
        <v>903.18</v>
      </c>
      <c r="AE38" s="60">
        <v>1476.529</v>
      </c>
      <c r="AF38" s="57">
        <v>1476.529</v>
      </c>
      <c r="AG38" s="124"/>
      <c r="AH38" s="60">
        <v>1904.1080000000002</v>
      </c>
      <c r="AI38" s="60">
        <v>1741.3500000000001</v>
      </c>
      <c r="AJ38" s="50"/>
      <c r="AK38" s="50"/>
      <c r="AL38" s="58"/>
      <c r="AM38" s="151"/>
      <c r="AN38" s="50"/>
      <c r="AO38" s="50"/>
      <c r="AP38" s="50"/>
      <c r="AQ38" s="50"/>
      <c r="AR38" s="58"/>
      <c r="AS38" s="151"/>
      <c r="AT38" s="58"/>
      <c r="AU38" s="151"/>
      <c r="AV38" s="58"/>
    </row>
    <row r="39" spans="1:48" s="113" customFormat="1" ht="15" customHeight="1">
      <c r="B39" s="127" t="s">
        <v>664</v>
      </c>
      <c r="C39" s="115"/>
      <c r="D39" s="60">
        <v>47.994999999999997</v>
      </c>
      <c r="E39" s="60">
        <v>44.835999999999999</v>
      </c>
      <c r="F39" s="60">
        <v>42.569000000000003</v>
      </c>
      <c r="G39" s="60">
        <v>52.89</v>
      </c>
      <c r="H39" s="57">
        <v>52.89</v>
      </c>
      <c r="I39" s="116"/>
      <c r="J39" s="60">
        <v>50.749000000000002</v>
      </c>
      <c r="K39" s="60">
        <v>44.375</v>
      </c>
      <c r="L39" s="60">
        <v>52.350999999999999</v>
      </c>
      <c r="M39" s="60">
        <v>57.017000000000003</v>
      </c>
      <c r="N39" s="57">
        <v>57.017000000000003</v>
      </c>
      <c r="O39" s="116"/>
      <c r="P39" s="60">
        <v>58.228999999999999</v>
      </c>
      <c r="Q39" s="60">
        <v>62.079000000000001</v>
      </c>
      <c r="R39" s="60">
        <v>72.313999999999993</v>
      </c>
      <c r="S39" s="60">
        <v>89.647999999999996</v>
      </c>
      <c r="T39" s="57">
        <v>89.647999999999996</v>
      </c>
      <c r="U39" s="116"/>
      <c r="V39" s="60">
        <v>93.79</v>
      </c>
      <c r="W39" s="60">
        <v>97.48</v>
      </c>
      <c r="X39" s="60">
        <v>101.619</v>
      </c>
      <c r="Y39" s="60">
        <v>107.67100000000001</v>
      </c>
      <c r="Z39" s="57">
        <v>107.67100000000001</v>
      </c>
      <c r="AA39" s="129"/>
      <c r="AB39" s="60">
        <v>94.481999999999999</v>
      </c>
      <c r="AC39" s="60">
        <v>96.840999999999994</v>
      </c>
      <c r="AD39" s="60">
        <v>201.56899999999999</v>
      </c>
      <c r="AE39" s="60">
        <v>213.14500000000001</v>
      </c>
      <c r="AF39" s="57">
        <v>213.14500000000001</v>
      </c>
      <c r="AG39" s="130"/>
      <c r="AH39" s="60">
        <v>210.06700000000001</v>
      </c>
      <c r="AI39" s="60">
        <v>208.68700000000001</v>
      </c>
      <c r="AJ39" s="50"/>
      <c r="AK39" s="50"/>
      <c r="AL39" s="58"/>
      <c r="AM39" s="129"/>
      <c r="AN39" s="50"/>
      <c r="AO39" s="50"/>
      <c r="AP39" s="50"/>
      <c r="AQ39" s="50"/>
      <c r="AR39" s="58"/>
      <c r="AS39" s="129"/>
      <c r="AT39" s="58"/>
      <c r="AU39" s="129"/>
      <c r="AV39" s="58"/>
    </row>
    <row r="40" spans="1:48" ht="15" customHeight="1">
      <c r="A40" s="43"/>
      <c r="B40" s="127" t="s">
        <v>665</v>
      </c>
      <c r="D40" s="60">
        <v>33.281999999999933</v>
      </c>
      <c r="E40" s="60">
        <v>56.507000000000019</v>
      </c>
      <c r="F40" s="60">
        <v>44.383999999999972</v>
      </c>
      <c r="G40" s="60">
        <v>120.10599999999998</v>
      </c>
      <c r="H40" s="57">
        <v>120.10599999999998</v>
      </c>
      <c r="I40" s="20"/>
      <c r="J40" s="60">
        <v>112.38100000000006</v>
      </c>
      <c r="K40" s="60">
        <v>140.62699999999995</v>
      </c>
      <c r="L40" s="60">
        <v>161.43400000000003</v>
      </c>
      <c r="M40" s="60">
        <v>144.46200000000005</v>
      </c>
      <c r="N40" s="57">
        <v>144.46200000000005</v>
      </c>
      <c r="O40" s="20"/>
      <c r="P40" s="60">
        <v>198.25100000000009</v>
      </c>
      <c r="Q40" s="60">
        <v>189.87499999999994</v>
      </c>
      <c r="R40" s="60">
        <v>573.54600000000016</v>
      </c>
      <c r="S40" s="60">
        <v>89.168999999999897</v>
      </c>
      <c r="T40" s="57">
        <v>89.168999999999897</v>
      </c>
      <c r="U40" s="20"/>
      <c r="V40" s="60">
        <v>138.52399999999983</v>
      </c>
      <c r="W40" s="60">
        <v>242.34400000000016</v>
      </c>
      <c r="X40" s="60">
        <v>226.01099999999988</v>
      </c>
      <c r="Y40" s="60">
        <v>260.89799999999985</v>
      </c>
      <c r="Z40" s="57">
        <v>260.89799999999985</v>
      </c>
      <c r="AA40" s="20"/>
      <c r="AB40" s="60">
        <v>202.38899999999987</v>
      </c>
      <c r="AC40" s="60">
        <v>131.63199999999995</v>
      </c>
      <c r="AD40" s="60">
        <v>262.23800000000017</v>
      </c>
      <c r="AE40" s="60">
        <v>32.754999999999626</v>
      </c>
      <c r="AF40" s="57">
        <v>32.754999999999626</v>
      </c>
      <c r="AG40" s="150"/>
      <c r="AH40" s="60">
        <v>234.18299999999999</v>
      </c>
      <c r="AI40" s="60">
        <v>236.09399999999971</v>
      </c>
      <c r="AJ40" s="50"/>
      <c r="AK40" s="50"/>
      <c r="AL40" s="58"/>
      <c r="AM40" s="20"/>
      <c r="AN40" s="50"/>
      <c r="AO40" s="50"/>
      <c r="AP40" s="50"/>
      <c r="AQ40" s="50"/>
      <c r="AR40" s="58"/>
      <c r="AS40" s="20"/>
      <c r="AT40" s="58"/>
      <c r="AU40" s="20"/>
      <c r="AV40" s="58"/>
    </row>
    <row r="41" spans="1:48" s="113" customFormat="1" ht="15" customHeight="1">
      <c r="B41" s="138" t="s">
        <v>666</v>
      </c>
      <c r="C41" s="115"/>
      <c r="D41" s="60">
        <v>628.03499999999997</v>
      </c>
      <c r="E41" s="60">
        <v>576.827</v>
      </c>
      <c r="F41" s="60">
        <v>818.36199999999997</v>
      </c>
      <c r="G41" s="60">
        <v>911.41800000000001</v>
      </c>
      <c r="H41" s="77">
        <v>911.41800000000001</v>
      </c>
      <c r="I41" s="116"/>
      <c r="J41" s="60">
        <v>983.44600000000003</v>
      </c>
      <c r="K41" s="60">
        <v>864.79</v>
      </c>
      <c r="L41" s="60">
        <v>1070.932</v>
      </c>
      <c r="M41" s="60">
        <v>1519</v>
      </c>
      <c r="N41" s="77">
        <v>1519</v>
      </c>
      <c r="O41" s="116"/>
      <c r="P41" s="60">
        <v>1269.3420000000001</v>
      </c>
      <c r="Q41" s="60">
        <v>1433.019</v>
      </c>
      <c r="R41" s="60">
        <v>1501.0730000000001</v>
      </c>
      <c r="S41" s="60">
        <v>1635.36</v>
      </c>
      <c r="T41" s="77">
        <v>1635.36</v>
      </c>
      <c r="U41" s="116"/>
      <c r="V41" s="60">
        <v>1589.5719999999999</v>
      </c>
      <c r="W41" s="60">
        <v>1703.1590000000001</v>
      </c>
      <c r="X41" s="60">
        <v>2173.1559999999999</v>
      </c>
      <c r="Y41" s="60">
        <v>2292.2829999999999</v>
      </c>
      <c r="Z41" s="77">
        <v>2292.2829999999999</v>
      </c>
      <c r="AA41" s="129"/>
      <c r="AB41" s="60">
        <v>1872.0909999999999</v>
      </c>
      <c r="AC41" s="60">
        <v>1986.1959999999999</v>
      </c>
      <c r="AD41" s="60">
        <v>3706.1959999999999</v>
      </c>
      <c r="AE41" s="60">
        <v>4517.1319999999996</v>
      </c>
      <c r="AF41" s="77">
        <v>4517.1319999999996</v>
      </c>
      <c r="AG41" s="130"/>
      <c r="AH41" s="60">
        <v>4562.1490000000003</v>
      </c>
      <c r="AI41" s="60">
        <v>4272.6469999999999</v>
      </c>
      <c r="AJ41" s="46"/>
      <c r="AK41" s="46"/>
      <c r="AL41" s="77"/>
      <c r="AM41" s="129"/>
      <c r="AN41" s="46"/>
      <c r="AO41" s="46"/>
      <c r="AP41" s="46"/>
      <c r="AQ41" s="46"/>
      <c r="AR41" s="77"/>
      <c r="AS41" s="129"/>
      <c r="AT41" s="77"/>
      <c r="AU41" s="129"/>
      <c r="AV41" s="77"/>
    </row>
    <row r="42" spans="1:48" ht="15" customHeight="1">
      <c r="A42" s="43"/>
      <c r="B42" s="152"/>
      <c r="D42" s="46"/>
      <c r="E42" s="46"/>
      <c r="F42" s="46"/>
      <c r="G42" s="46"/>
      <c r="H42" s="66"/>
      <c r="I42" s="20"/>
      <c r="J42" s="46"/>
      <c r="K42" s="46"/>
      <c r="L42" s="46"/>
      <c r="M42" s="46"/>
      <c r="N42" s="66"/>
      <c r="O42" s="20"/>
      <c r="P42" s="46"/>
      <c r="Q42" s="46"/>
      <c r="R42" s="46"/>
      <c r="S42" s="46"/>
      <c r="T42" s="66"/>
      <c r="U42" s="20"/>
      <c r="V42" s="46"/>
      <c r="W42" s="46"/>
      <c r="X42" s="46"/>
      <c r="Y42" s="46"/>
      <c r="Z42" s="66"/>
      <c r="AA42" s="20"/>
      <c r="AB42" s="46"/>
      <c r="AC42" s="46"/>
      <c r="AD42" s="46"/>
      <c r="AE42" s="46"/>
      <c r="AF42" s="66"/>
      <c r="AG42" s="150"/>
      <c r="AH42" s="46"/>
      <c r="AI42" s="46"/>
      <c r="AJ42" s="46"/>
      <c r="AK42" s="46"/>
      <c r="AL42" s="66"/>
      <c r="AM42" s="20"/>
      <c r="AN42" s="46"/>
      <c r="AO42" s="46"/>
      <c r="AP42" s="46"/>
      <c r="AQ42" s="46"/>
      <c r="AR42" s="66"/>
      <c r="AS42" s="20"/>
      <c r="AT42" s="66"/>
      <c r="AU42" s="20"/>
      <c r="AV42" s="66"/>
    </row>
    <row r="43" spans="1:48" s="113" customFormat="1" ht="15" customHeight="1">
      <c r="A43" s="44" t="s">
        <v>37</v>
      </c>
      <c r="B43" s="114" t="s">
        <v>667</v>
      </c>
      <c r="C43" s="115"/>
      <c r="D43" s="46"/>
      <c r="E43" s="46"/>
      <c r="F43" s="46"/>
      <c r="G43" s="46"/>
      <c r="H43" s="66"/>
      <c r="I43" s="116"/>
      <c r="J43" s="46"/>
      <c r="K43" s="46"/>
      <c r="L43" s="46"/>
      <c r="M43" s="46"/>
      <c r="N43" s="66"/>
      <c r="O43" s="116"/>
      <c r="P43" s="46"/>
      <c r="Q43" s="46"/>
      <c r="R43" s="46"/>
      <c r="S43" s="46"/>
      <c r="T43" s="66"/>
      <c r="U43" s="116"/>
      <c r="V43" s="46"/>
      <c r="W43" s="46"/>
      <c r="X43" s="46"/>
      <c r="Y43" s="46"/>
      <c r="Z43" s="66"/>
      <c r="AA43" s="116"/>
      <c r="AB43" s="46"/>
      <c r="AC43" s="46"/>
      <c r="AD43" s="46"/>
      <c r="AE43" s="46"/>
      <c r="AF43" s="66"/>
      <c r="AG43" s="153"/>
      <c r="AH43" s="46"/>
      <c r="AI43" s="46"/>
      <c r="AJ43" s="46"/>
      <c r="AK43" s="46"/>
      <c r="AL43" s="66"/>
      <c r="AM43" s="116"/>
      <c r="AN43" s="46"/>
      <c r="AO43" s="46"/>
      <c r="AP43" s="46"/>
      <c r="AQ43" s="46"/>
      <c r="AR43" s="66"/>
      <c r="AS43" s="116"/>
      <c r="AT43" s="66"/>
      <c r="AU43" s="116"/>
      <c r="AV43" s="66"/>
    </row>
    <row r="44" spans="1:48" ht="15" customHeight="1">
      <c r="A44" s="43"/>
      <c r="B44" s="127" t="s">
        <v>668</v>
      </c>
      <c r="D44" s="60">
        <v>308.87799999999999</v>
      </c>
      <c r="E44" s="60">
        <v>308.923</v>
      </c>
      <c r="F44" s="60">
        <v>106.736</v>
      </c>
      <c r="G44" s="60">
        <v>394.786</v>
      </c>
      <c r="H44" s="66">
        <v>394.786</v>
      </c>
      <c r="I44" s="20"/>
      <c r="J44" s="60">
        <v>299.10599999999999</v>
      </c>
      <c r="K44" s="60">
        <v>292.90899999999999</v>
      </c>
      <c r="L44" s="60">
        <v>297.21800000000002</v>
      </c>
      <c r="M44" s="60">
        <v>37.732999999999997</v>
      </c>
      <c r="N44" s="66">
        <v>37.732999999999997</v>
      </c>
      <c r="O44" s="20"/>
      <c r="P44" s="60">
        <v>15.576000000000001</v>
      </c>
      <c r="Q44" s="60">
        <v>10.263</v>
      </c>
      <c r="R44" s="60">
        <v>10.053000000000001</v>
      </c>
      <c r="S44" s="60">
        <v>9.6189999999999998</v>
      </c>
      <c r="T44" s="66">
        <v>9.6189999999999998</v>
      </c>
      <c r="U44" s="20"/>
      <c r="V44" s="60">
        <v>397.089</v>
      </c>
      <c r="W44" s="60">
        <v>385.53300000000002</v>
      </c>
      <c r="X44" s="60">
        <v>5.101</v>
      </c>
      <c r="Y44" s="60">
        <v>198.91900000000001</v>
      </c>
      <c r="Z44" s="66">
        <v>198.91900000000001</v>
      </c>
      <c r="AA44" s="20"/>
      <c r="AB44" s="60">
        <v>351.29599999999999</v>
      </c>
      <c r="AC44" s="60">
        <v>389.46</v>
      </c>
      <c r="AD44" s="60">
        <v>1555.759</v>
      </c>
      <c r="AE44" s="60">
        <v>1178.202</v>
      </c>
      <c r="AF44" s="66">
        <v>1178.202</v>
      </c>
      <c r="AG44" s="150"/>
      <c r="AH44" s="60">
        <v>1335.83</v>
      </c>
      <c r="AI44" s="60">
        <v>1292.011</v>
      </c>
      <c r="AJ44" s="46"/>
      <c r="AK44" s="46"/>
      <c r="AL44" s="66"/>
      <c r="AM44" s="20"/>
      <c r="AN44" s="46"/>
      <c r="AO44" s="46"/>
      <c r="AP44" s="46"/>
      <c r="AQ44" s="46"/>
      <c r="AR44" s="66"/>
      <c r="AS44" s="20"/>
      <c r="AT44" s="66"/>
      <c r="AU44" s="20"/>
      <c r="AV44" s="66"/>
    </row>
    <row r="45" spans="1:48" s="113" customFormat="1" ht="15" customHeight="1">
      <c r="B45" s="127" t="s">
        <v>669</v>
      </c>
      <c r="C45" s="115"/>
      <c r="D45" s="60">
        <v>201.22800000000001</v>
      </c>
      <c r="E45" s="60">
        <v>163.435</v>
      </c>
      <c r="F45" s="60">
        <v>154.64699999999999</v>
      </c>
      <c r="G45" s="60">
        <v>160.47</v>
      </c>
      <c r="H45" s="66">
        <v>160.47</v>
      </c>
      <c r="I45" s="116"/>
      <c r="J45" s="60">
        <v>161.66900000000001</v>
      </c>
      <c r="K45" s="60">
        <v>142.84399999999999</v>
      </c>
      <c r="L45" s="60">
        <v>155.31399999999999</v>
      </c>
      <c r="M45" s="60">
        <v>174.87899999999999</v>
      </c>
      <c r="N45" s="66">
        <v>174.87899999999999</v>
      </c>
      <c r="O45" s="116"/>
      <c r="P45" s="60">
        <v>168.76499999999999</v>
      </c>
      <c r="Q45" s="60">
        <v>180.107</v>
      </c>
      <c r="R45" s="60">
        <v>236.822</v>
      </c>
      <c r="S45" s="60">
        <v>284.88900000000001</v>
      </c>
      <c r="T45" s="66">
        <v>284.88900000000001</v>
      </c>
      <c r="U45" s="116"/>
      <c r="V45" s="60">
        <v>339.92200000000003</v>
      </c>
      <c r="W45" s="60">
        <v>394.95699999999999</v>
      </c>
      <c r="X45" s="60">
        <v>401.92899999999997</v>
      </c>
      <c r="Y45" s="60">
        <v>407.51400000000001</v>
      </c>
      <c r="Z45" s="66">
        <v>407.51400000000001</v>
      </c>
      <c r="AA45" s="116"/>
      <c r="AB45" s="60">
        <v>370.46899999999999</v>
      </c>
      <c r="AC45" s="60">
        <v>368.69</v>
      </c>
      <c r="AD45" s="60">
        <v>626.19600000000003</v>
      </c>
      <c r="AE45" s="60">
        <v>662.52499999999998</v>
      </c>
      <c r="AF45" s="66">
        <v>662.52499999999998</v>
      </c>
      <c r="AG45" s="153"/>
      <c r="AH45" s="60">
        <v>623.27</v>
      </c>
      <c r="AI45" s="60">
        <v>599.73099999999999</v>
      </c>
      <c r="AJ45" s="46"/>
      <c r="AK45" s="46"/>
      <c r="AL45" s="66"/>
      <c r="AM45" s="116"/>
      <c r="AN45" s="46"/>
      <c r="AO45" s="46"/>
      <c r="AP45" s="46"/>
      <c r="AQ45" s="46"/>
      <c r="AR45" s="66"/>
      <c r="AS45" s="116"/>
      <c r="AT45" s="66"/>
      <c r="AU45" s="116"/>
      <c r="AV45" s="66"/>
    </row>
    <row r="46" spans="1:48" ht="15" customHeight="1">
      <c r="A46" s="43"/>
      <c r="B46" s="127" t="s">
        <v>670</v>
      </c>
      <c r="D46" s="60">
        <v>11.543999999999983</v>
      </c>
      <c r="E46" s="60">
        <v>12.04000000000002</v>
      </c>
      <c r="F46" s="60">
        <v>11.26400000000001</v>
      </c>
      <c r="G46" s="60">
        <v>17.273999999999972</v>
      </c>
      <c r="H46" s="66">
        <v>17.273999999999972</v>
      </c>
      <c r="I46" s="20"/>
      <c r="J46" s="60">
        <v>19.996999999999986</v>
      </c>
      <c r="K46" s="60">
        <v>23.610000000000014</v>
      </c>
      <c r="L46" s="60">
        <v>53.60499999999999</v>
      </c>
      <c r="M46" s="60">
        <v>42.707999999999998</v>
      </c>
      <c r="N46" s="66">
        <v>42.707999999999998</v>
      </c>
      <c r="O46" s="20"/>
      <c r="P46" s="60">
        <v>72.28</v>
      </c>
      <c r="Q46" s="60">
        <v>78.557000000000045</v>
      </c>
      <c r="R46" s="60">
        <v>73.591999999999985</v>
      </c>
      <c r="S46" s="60">
        <v>74.802999999999997</v>
      </c>
      <c r="T46" s="66">
        <v>74.802999999999997</v>
      </c>
      <c r="U46" s="20"/>
      <c r="V46" s="60">
        <v>63.377999999999986</v>
      </c>
      <c r="W46" s="60">
        <v>145.72799999999995</v>
      </c>
      <c r="X46" s="60">
        <v>144.91399999999999</v>
      </c>
      <c r="Y46" s="60">
        <v>148.08900000000006</v>
      </c>
      <c r="Z46" s="66">
        <v>148.08900000000006</v>
      </c>
      <c r="AA46" s="20"/>
      <c r="AB46" s="60">
        <v>172.23000000000008</v>
      </c>
      <c r="AC46" s="60">
        <v>171.07900000000001</v>
      </c>
      <c r="AD46" s="60">
        <v>1134.3650000000002</v>
      </c>
      <c r="AE46" s="60">
        <v>1174.1710000000003</v>
      </c>
      <c r="AF46" s="66">
        <v>1174.1710000000003</v>
      </c>
      <c r="AG46" s="150"/>
      <c r="AH46" s="60">
        <v>1017.4749999999999</v>
      </c>
      <c r="AI46" s="60">
        <v>1012.8950000000002</v>
      </c>
      <c r="AJ46" s="46"/>
      <c r="AK46" s="46"/>
      <c r="AL46" s="66"/>
      <c r="AM46" s="20"/>
      <c r="AN46" s="46"/>
      <c r="AO46" s="46"/>
      <c r="AP46" s="46"/>
      <c r="AQ46" s="46"/>
      <c r="AR46" s="66"/>
      <c r="AS46" s="20"/>
      <c r="AT46" s="66"/>
      <c r="AU46" s="20"/>
      <c r="AV46" s="66"/>
    </row>
    <row r="47" spans="1:48" s="113" customFormat="1" ht="15" customHeight="1">
      <c r="B47" s="138" t="s">
        <v>671</v>
      </c>
      <c r="C47" s="115"/>
      <c r="D47" s="60">
        <v>521.65</v>
      </c>
      <c r="E47" s="60">
        <v>484.39800000000002</v>
      </c>
      <c r="F47" s="60">
        <v>272.64699999999999</v>
      </c>
      <c r="G47" s="60">
        <v>572.53</v>
      </c>
      <c r="H47" s="66">
        <v>572.53</v>
      </c>
      <c r="I47" s="116"/>
      <c r="J47" s="60">
        <v>480.77199999999999</v>
      </c>
      <c r="K47" s="60">
        <v>459.363</v>
      </c>
      <c r="L47" s="60">
        <v>506.137</v>
      </c>
      <c r="M47" s="60">
        <v>255.32</v>
      </c>
      <c r="N47" s="66">
        <v>255.32</v>
      </c>
      <c r="O47" s="116"/>
      <c r="P47" s="60">
        <v>256.62099999999998</v>
      </c>
      <c r="Q47" s="60">
        <v>268.92700000000002</v>
      </c>
      <c r="R47" s="60">
        <v>320.46699999999998</v>
      </c>
      <c r="S47" s="60">
        <v>369.31099999999998</v>
      </c>
      <c r="T47" s="66">
        <v>369.31099999999998</v>
      </c>
      <c r="U47" s="116"/>
      <c r="V47" s="60">
        <v>800.38900000000001</v>
      </c>
      <c r="W47" s="60">
        <v>926.21799999999996</v>
      </c>
      <c r="X47" s="60">
        <v>551.94399999999996</v>
      </c>
      <c r="Y47" s="60">
        <v>754.52200000000005</v>
      </c>
      <c r="Z47" s="66">
        <v>754.52200000000005</v>
      </c>
      <c r="AA47" s="116"/>
      <c r="AB47" s="60">
        <v>893.995</v>
      </c>
      <c r="AC47" s="60">
        <v>929.22900000000004</v>
      </c>
      <c r="AD47" s="60">
        <v>3316.32</v>
      </c>
      <c r="AE47" s="60">
        <v>3014.8980000000001</v>
      </c>
      <c r="AF47" s="66">
        <v>3014.8980000000001</v>
      </c>
      <c r="AG47" s="153"/>
      <c r="AH47" s="60">
        <v>2976.5749999999998</v>
      </c>
      <c r="AI47" s="60">
        <v>2904.6370000000002</v>
      </c>
      <c r="AJ47" s="46"/>
      <c r="AK47" s="46"/>
      <c r="AL47" s="66"/>
      <c r="AM47" s="116"/>
      <c r="AN47" s="46"/>
      <c r="AO47" s="46"/>
      <c r="AP47" s="46"/>
      <c r="AQ47" s="46"/>
      <c r="AR47" s="66"/>
      <c r="AS47" s="116"/>
      <c r="AT47" s="66"/>
      <c r="AU47" s="116"/>
      <c r="AV47" s="66"/>
    </row>
    <row r="48" spans="1:48" ht="15" customHeight="1">
      <c r="A48" s="43"/>
      <c r="B48" s="140" t="s">
        <v>672</v>
      </c>
      <c r="D48" s="60">
        <v>1149.6849999999999</v>
      </c>
      <c r="E48" s="60">
        <v>1061.2249999999999</v>
      </c>
      <c r="F48" s="60">
        <v>1091.009</v>
      </c>
      <c r="G48" s="60">
        <v>1483.9480000000001</v>
      </c>
      <c r="H48" s="77">
        <v>1483.9480000000001</v>
      </c>
      <c r="I48" s="20"/>
      <c r="J48" s="60">
        <v>1464.2180000000001</v>
      </c>
      <c r="K48" s="60">
        <v>1324.153</v>
      </c>
      <c r="L48" s="60">
        <v>1577.069</v>
      </c>
      <c r="M48" s="60">
        <v>1774.32</v>
      </c>
      <c r="N48" s="77">
        <v>1774.32</v>
      </c>
      <c r="O48" s="20"/>
      <c r="P48" s="60">
        <v>1525.963</v>
      </c>
      <c r="Q48" s="60">
        <v>1701.9459999999999</v>
      </c>
      <c r="R48" s="60">
        <v>1821.54</v>
      </c>
      <c r="S48" s="60">
        <v>2004.671</v>
      </c>
      <c r="T48" s="77">
        <v>2004.671</v>
      </c>
      <c r="U48" s="20"/>
      <c r="V48" s="60">
        <v>2389.9609999999998</v>
      </c>
      <c r="W48" s="60">
        <v>2629.377</v>
      </c>
      <c r="X48" s="60">
        <v>2725.1</v>
      </c>
      <c r="Y48" s="60">
        <v>3046.8049999999998</v>
      </c>
      <c r="Z48" s="77">
        <v>3046.8049999999998</v>
      </c>
      <c r="AA48" s="20"/>
      <c r="AB48" s="60">
        <v>2766.0859999999998</v>
      </c>
      <c r="AC48" s="60">
        <v>2915.4250000000002</v>
      </c>
      <c r="AD48" s="60">
        <v>7022.5159999999996</v>
      </c>
      <c r="AE48" s="60">
        <v>7532.03</v>
      </c>
      <c r="AF48" s="77">
        <v>7532.03</v>
      </c>
      <c r="AG48" s="150"/>
      <c r="AH48" s="60">
        <v>7538.7240000000002</v>
      </c>
      <c r="AI48" s="60">
        <v>7177.2839999999997</v>
      </c>
      <c r="AJ48" s="46"/>
      <c r="AK48" s="46"/>
      <c r="AL48" s="77"/>
      <c r="AM48" s="20"/>
      <c r="AN48" s="46"/>
      <c r="AO48" s="46"/>
      <c r="AP48" s="46"/>
      <c r="AQ48" s="46"/>
      <c r="AR48" s="77"/>
      <c r="AS48" s="20"/>
      <c r="AT48" s="77"/>
      <c r="AU48" s="20"/>
      <c r="AV48" s="77"/>
    </row>
    <row r="50" spans="1:35" ht="15" customHeight="1">
      <c r="A50" s="44" t="s">
        <v>37</v>
      </c>
      <c r="B50" s="114" t="s">
        <v>673</v>
      </c>
      <c r="D50" s="46"/>
      <c r="E50" s="46"/>
      <c r="F50" s="46"/>
      <c r="G50" s="46"/>
      <c r="H50" s="66"/>
      <c r="I50" s="20"/>
      <c r="J50" s="46"/>
      <c r="K50" s="46"/>
      <c r="L50" s="46"/>
      <c r="M50" s="46"/>
      <c r="N50" s="66"/>
      <c r="O50" s="20"/>
      <c r="P50" s="46"/>
      <c r="Q50" s="46"/>
      <c r="R50" s="46"/>
      <c r="S50" s="46"/>
      <c r="T50" s="66"/>
      <c r="U50" s="20"/>
      <c r="V50" s="46"/>
      <c r="W50" s="46"/>
      <c r="X50" s="46"/>
      <c r="Y50" s="46"/>
      <c r="Z50" s="66"/>
      <c r="AA50" s="20"/>
      <c r="AB50" s="46"/>
      <c r="AC50" s="46"/>
      <c r="AD50" s="46"/>
      <c r="AE50" s="46"/>
      <c r="AF50" s="66"/>
      <c r="AG50" s="150"/>
      <c r="AH50" s="46"/>
      <c r="AI50" s="46"/>
    </row>
    <row r="51" spans="1:35" ht="15" customHeight="1">
      <c r="A51" s="43"/>
      <c r="B51" s="127" t="s">
        <v>674</v>
      </c>
      <c r="D51" s="60">
        <v>755.495</v>
      </c>
      <c r="E51" s="60">
        <v>669.46699999999998</v>
      </c>
      <c r="F51" s="60">
        <v>697.25900000000001</v>
      </c>
      <c r="G51" s="60">
        <v>1348.597</v>
      </c>
      <c r="H51" s="66">
        <v>1348.597</v>
      </c>
      <c r="I51" s="20"/>
      <c r="J51" s="60">
        <v>1371.413</v>
      </c>
      <c r="K51" s="60">
        <v>1430.98</v>
      </c>
      <c r="L51" s="60">
        <v>1546.5349999999999</v>
      </c>
      <c r="M51" s="60">
        <v>1590.5800000000002</v>
      </c>
      <c r="N51" s="66">
        <v>1590.5800000000002</v>
      </c>
      <c r="O51" s="20"/>
      <c r="P51" s="60">
        <v>2497.5920000000001</v>
      </c>
      <c r="Q51" s="60">
        <v>2492.4319999999998</v>
      </c>
      <c r="R51" s="60">
        <v>2614.1299999999997</v>
      </c>
      <c r="S51" s="60">
        <v>2653.7919999999999</v>
      </c>
      <c r="T51" s="66">
        <v>2653.7919999999999</v>
      </c>
      <c r="U51" s="20"/>
      <c r="V51" s="60">
        <v>2716.6609999999996</v>
      </c>
      <c r="W51" s="60">
        <v>2783.1000000000004</v>
      </c>
      <c r="X51" s="60">
        <v>2891.4050000000002</v>
      </c>
      <c r="Y51" s="60">
        <v>2909.5530000000003</v>
      </c>
      <c r="Z51" s="66">
        <v>2909.5530000000003</v>
      </c>
      <c r="AA51" s="20"/>
      <c r="AB51" s="60">
        <v>2940.1889999999999</v>
      </c>
      <c r="AC51" s="60">
        <v>3069.7910000000002</v>
      </c>
      <c r="AD51" s="60">
        <v>7865.4059999999999</v>
      </c>
      <c r="AE51" s="60">
        <v>7702.6530000000002</v>
      </c>
      <c r="AF51" s="66">
        <v>7702.6530000000002</v>
      </c>
      <c r="AG51" s="150"/>
      <c r="AH51" s="60">
        <v>7804.357</v>
      </c>
      <c r="AI51" s="60">
        <v>8339.5480000000007</v>
      </c>
    </row>
    <row r="52" spans="1:35" s="113" customFormat="1" ht="15" customHeight="1">
      <c r="B52" s="127" t="s">
        <v>675</v>
      </c>
      <c r="C52" s="115"/>
      <c r="D52" s="60">
        <v>0</v>
      </c>
      <c r="E52" s="60">
        <v>0</v>
      </c>
      <c r="F52" s="60">
        <v>0</v>
      </c>
      <c r="G52" s="60">
        <v>0</v>
      </c>
      <c r="H52" s="66">
        <v>0</v>
      </c>
      <c r="I52" s="116"/>
      <c r="J52" s="60">
        <v>0</v>
      </c>
      <c r="K52" s="60">
        <v>0</v>
      </c>
      <c r="L52" s="60">
        <v>0</v>
      </c>
      <c r="M52" s="60">
        <v>0</v>
      </c>
      <c r="N52" s="66">
        <v>0</v>
      </c>
      <c r="O52" s="116"/>
      <c r="P52" s="60">
        <v>0</v>
      </c>
      <c r="Q52" s="60">
        <v>0</v>
      </c>
      <c r="R52" s="60">
        <v>0</v>
      </c>
      <c r="S52" s="60">
        <v>0</v>
      </c>
      <c r="T52" s="66">
        <v>0</v>
      </c>
      <c r="U52" s="116"/>
      <c r="V52" s="60">
        <v>0</v>
      </c>
      <c r="W52" s="60">
        <v>0</v>
      </c>
      <c r="X52" s="60">
        <v>0</v>
      </c>
      <c r="Y52" s="60">
        <v>0</v>
      </c>
      <c r="Z52" s="66">
        <v>0</v>
      </c>
      <c r="AA52" s="116"/>
      <c r="AB52" s="60">
        <v>0</v>
      </c>
      <c r="AC52" s="60">
        <v>0</v>
      </c>
      <c r="AD52" s="60">
        <v>0</v>
      </c>
      <c r="AE52" s="60">
        <v>0</v>
      </c>
      <c r="AF52" s="66">
        <v>0</v>
      </c>
      <c r="AG52" s="153"/>
      <c r="AH52" s="60">
        <v>0</v>
      </c>
      <c r="AI52" s="60">
        <v>0</v>
      </c>
    </row>
    <row r="53" spans="1:35" ht="15" customHeight="1">
      <c r="A53" s="43"/>
      <c r="B53" s="127" t="s">
        <v>676</v>
      </c>
      <c r="D53" s="60">
        <v>0</v>
      </c>
      <c r="E53" s="60">
        <v>0</v>
      </c>
      <c r="F53" s="60">
        <v>0</v>
      </c>
      <c r="G53" s="60">
        <v>0</v>
      </c>
      <c r="H53" s="66">
        <v>0</v>
      </c>
      <c r="I53" s="20"/>
      <c r="J53" s="60">
        <v>0</v>
      </c>
      <c r="K53" s="60">
        <v>0.27200000000000002</v>
      </c>
      <c r="L53" s="60">
        <v>1.64</v>
      </c>
      <c r="M53" s="60">
        <v>1.4259999999999999</v>
      </c>
      <c r="N53" s="66">
        <v>1.4259999999999999</v>
      </c>
      <c r="O53" s="20"/>
      <c r="P53" s="60">
        <v>0.65800000000000003</v>
      </c>
      <c r="Q53" s="60">
        <v>2.9000000000000001E-2</v>
      </c>
      <c r="R53" s="60">
        <v>0.751</v>
      </c>
      <c r="S53" s="60">
        <v>0.80100000000000005</v>
      </c>
      <c r="T53" s="66">
        <v>0.80100000000000005</v>
      </c>
      <c r="U53" s="20"/>
      <c r="V53" s="60">
        <v>25.3</v>
      </c>
      <c r="W53" s="60">
        <v>22.585999999999999</v>
      </c>
      <c r="X53" s="60">
        <v>17.913</v>
      </c>
      <c r="Y53" s="60">
        <v>19.545999999999999</v>
      </c>
      <c r="Z53" s="66">
        <v>19.545999999999999</v>
      </c>
      <c r="AA53" s="20"/>
      <c r="AB53" s="60">
        <v>17.271999999999998</v>
      </c>
      <c r="AC53" s="60">
        <v>17.594000000000001</v>
      </c>
      <c r="AD53" s="60">
        <v>18.349</v>
      </c>
      <c r="AE53" s="60">
        <v>18.861999999999998</v>
      </c>
      <c r="AF53" s="66">
        <v>18.861999999999998</v>
      </c>
      <c r="AG53" s="150"/>
      <c r="AH53" s="60">
        <v>0</v>
      </c>
      <c r="AI53" s="60">
        <v>0</v>
      </c>
    </row>
    <row r="54" spans="1:35" s="113" customFormat="1" ht="15" customHeight="1">
      <c r="B54" s="138" t="s">
        <v>677</v>
      </c>
      <c r="C54" s="115"/>
      <c r="D54" s="60">
        <v>755.495</v>
      </c>
      <c r="E54" s="60">
        <v>669.46699999999998</v>
      </c>
      <c r="F54" s="60">
        <v>697.25900000000001</v>
      </c>
      <c r="G54" s="60">
        <v>1348.597</v>
      </c>
      <c r="H54" s="77">
        <v>1348.597</v>
      </c>
      <c r="I54" s="116"/>
      <c r="J54" s="60">
        <v>1371.413</v>
      </c>
      <c r="K54" s="60">
        <v>1431.252</v>
      </c>
      <c r="L54" s="60">
        <v>1548.175</v>
      </c>
      <c r="M54" s="60">
        <v>1592.0060000000001</v>
      </c>
      <c r="N54" s="77">
        <v>1592.0060000000001</v>
      </c>
      <c r="O54" s="116"/>
      <c r="P54" s="60">
        <v>2498.25</v>
      </c>
      <c r="Q54" s="60">
        <v>2492.4609999999998</v>
      </c>
      <c r="R54" s="60">
        <v>2614.8809999999999</v>
      </c>
      <c r="S54" s="60">
        <v>2654.5929999999998</v>
      </c>
      <c r="T54" s="77">
        <v>2654.5929999999998</v>
      </c>
      <c r="U54" s="116"/>
      <c r="V54" s="60">
        <v>2741.9609999999998</v>
      </c>
      <c r="W54" s="60">
        <v>2805.6860000000001</v>
      </c>
      <c r="X54" s="60">
        <v>2909.3180000000002</v>
      </c>
      <c r="Y54" s="60">
        <v>2929.0990000000002</v>
      </c>
      <c r="Z54" s="77">
        <v>2929.0990000000002</v>
      </c>
      <c r="AA54" s="116"/>
      <c r="AB54" s="60">
        <v>2957.4609999999998</v>
      </c>
      <c r="AC54" s="60">
        <v>3087.3850000000002</v>
      </c>
      <c r="AD54" s="60">
        <v>7883.7550000000001</v>
      </c>
      <c r="AE54" s="60">
        <v>7721.5150000000003</v>
      </c>
      <c r="AF54" s="77">
        <v>7721.5150000000003</v>
      </c>
      <c r="AG54" s="153"/>
      <c r="AH54" s="60">
        <v>7804.357</v>
      </c>
      <c r="AI54" s="60">
        <v>8339.5480000000007</v>
      </c>
    </row>
    <row r="55" spans="1:35" ht="15" customHeight="1" thickBot="1">
      <c r="A55" s="43"/>
      <c r="B55" s="140" t="s">
        <v>678</v>
      </c>
      <c r="D55" s="60">
        <v>1905.18</v>
      </c>
      <c r="E55" s="60">
        <v>1730.692</v>
      </c>
      <c r="F55" s="60">
        <v>1788.268</v>
      </c>
      <c r="G55" s="60">
        <v>2832.5450000000001</v>
      </c>
      <c r="H55" s="93">
        <v>2832.5450000000001</v>
      </c>
      <c r="I55" s="20"/>
      <c r="J55" s="60">
        <v>2835.6309999999999</v>
      </c>
      <c r="K55" s="60">
        <v>2755.4050000000002</v>
      </c>
      <c r="L55" s="60">
        <v>3125.2440000000001</v>
      </c>
      <c r="M55" s="60">
        <v>3366.326</v>
      </c>
      <c r="N55" s="93">
        <v>3366.326</v>
      </c>
      <c r="O55" s="20"/>
      <c r="P55" s="60">
        <v>4024.2130000000002</v>
      </c>
      <c r="Q55" s="60">
        <v>4194.4070000000002</v>
      </c>
      <c r="R55" s="60">
        <v>4436.4210000000003</v>
      </c>
      <c r="S55" s="60">
        <v>4659.2640000000001</v>
      </c>
      <c r="T55" s="93">
        <v>4659.2640000000001</v>
      </c>
      <c r="U55" s="20"/>
      <c r="V55" s="60">
        <v>5131.9219999999996</v>
      </c>
      <c r="W55" s="60">
        <v>5435.0630000000001</v>
      </c>
      <c r="X55" s="60">
        <v>5634.4179999999997</v>
      </c>
      <c r="Y55" s="60">
        <v>5975.9040000000005</v>
      </c>
      <c r="Z55" s="93">
        <v>5975.9040000000005</v>
      </c>
      <c r="AA55" s="20"/>
      <c r="AB55" s="60">
        <v>5723.5469999999996</v>
      </c>
      <c r="AC55" s="60">
        <v>6002.81</v>
      </c>
      <c r="AD55" s="60">
        <v>14906.271000000001</v>
      </c>
      <c r="AE55" s="60">
        <v>15253.545</v>
      </c>
      <c r="AF55" s="93">
        <v>15253.545</v>
      </c>
      <c r="AG55" s="150"/>
      <c r="AH55" s="60">
        <v>15343.081</v>
      </c>
      <c r="AI55" s="60">
        <v>15516.832</v>
      </c>
    </row>
    <row r="56" spans="1:35" ht="15" customHeight="1" thickTop="1"/>
    <row r="57" spans="1:35" ht="15" customHeight="1" thickBot="1">
      <c r="B57" s="114" t="s">
        <v>679</v>
      </c>
      <c r="D57" s="60">
        <v>0</v>
      </c>
      <c r="E57" s="60">
        <v>0</v>
      </c>
      <c r="F57" s="60">
        <v>0</v>
      </c>
      <c r="G57" s="60">
        <v>0</v>
      </c>
      <c r="H57" s="93">
        <v>0</v>
      </c>
      <c r="I57" s="20"/>
      <c r="J57" s="60">
        <v>0</v>
      </c>
      <c r="K57" s="60">
        <v>0</v>
      </c>
      <c r="L57" s="60">
        <v>0</v>
      </c>
      <c r="M57" s="60">
        <v>0</v>
      </c>
      <c r="N57" s="93">
        <v>0</v>
      </c>
      <c r="O57" s="20"/>
      <c r="P57" s="60">
        <v>0</v>
      </c>
      <c r="Q57" s="60">
        <v>0</v>
      </c>
      <c r="R57" s="60">
        <v>0</v>
      </c>
      <c r="S57" s="60">
        <v>0</v>
      </c>
      <c r="T57" s="93">
        <v>0</v>
      </c>
      <c r="U57" s="20"/>
      <c r="V57" s="60">
        <v>0</v>
      </c>
      <c r="W57" s="60">
        <v>0</v>
      </c>
      <c r="X57" s="60">
        <v>0</v>
      </c>
      <c r="Y57" s="60">
        <v>0</v>
      </c>
      <c r="Z57" s="93">
        <v>0</v>
      </c>
      <c r="AA57" s="20"/>
      <c r="AB57" s="60">
        <v>0</v>
      </c>
      <c r="AC57" s="60">
        <v>0</v>
      </c>
      <c r="AD57" s="60">
        <v>0</v>
      </c>
      <c r="AE57" s="60">
        <v>0</v>
      </c>
      <c r="AF57" s="93">
        <v>0</v>
      </c>
      <c r="AG57" s="150"/>
      <c r="AH57" s="60">
        <v>0</v>
      </c>
      <c r="AI57" s="60">
        <v>0</v>
      </c>
    </row>
    <row r="58" spans="1:35" ht="15" customHeight="1" thickTop="1"/>
  </sheetData>
  <mergeCells count="7">
    <mergeCell ref="AN8:AR8"/>
    <mergeCell ref="AH8:AL8"/>
    <mergeCell ref="D8:H8"/>
    <mergeCell ref="J8:N8"/>
    <mergeCell ref="P8:T8"/>
    <mergeCell ref="V8:Z8"/>
    <mergeCell ref="AB8:AF8"/>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tabColor theme="4" tint="-0.249977111117893"/>
    <pageSetUpPr autoPageBreaks="0"/>
  </sheetPr>
  <dimension ref="A1:AX50"/>
  <sheetViews>
    <sheetView showGridLines="0" zoomScale="40" zoomScaleNormal="40" workbookViewId="0"/>
  </sheetViews>
  <sheetFormatPr defaultColWidth="9" defaultRowHeight="15" customHeight="1" outlineLevelCol="1"/>
  <cols>
    <col min="1" max="1" width="2.125" style="41" customWidth="1"/>
    <col min="2" max="2" width="50.625" style="41" customWidth="1"/>
    <col min="3" max="3" width="3.375" style="17" customWidth="1"/>
    <col min="4" max="7" width="9.625" style="41" customWidth="1" outlineLevel="1"/>
    <col min="8" max="8" width="11.625" style="41" customWidth="1"/>
    <col min="9" max="9" width="1.625" style="17" customWidth="1"/>
    <col min="10" max="13" width="9.625" style="41" customWidth="1" outlineLevel="1"/>
    <col min="14" max="14" width="11.625" style="41" customWidth="1"/>
    <col min="15" max="15" width="1.625" style="17" customWidth="1"/>
    <col min="16" max="19" width="9.625" style="41" customWidth="1" outlineLevel="1"/>
    <col min="20" max="20" width="11.625" style="41" customWidth="1"/>
    <col min="21" max="21" width="1.625" style="17" customWidth="1"/>
    <col min="22" max="25" width="9.625" style="41" customWidth="1" outlineLevel="1"/>
    <col min="26" max="26" width="11.625" style="41" customWidth="1"/>
    <col min="27" max="27" width="1.625" style="17" customWidth="1"/>
    <col min="28" max="31" width="9.625" style="41" customWidth="1" outlineLevel="1"/>
    <col min="32" max="32" width="11.625" style="41" customWidth="1"/>
    <col min="33" max="33" width="1.625" style="17" customWidth="1"/>
    <col min="34" max="37" width="9.625" style="41" customWidth="1" outlineLevel="1"/>
    <col min="38" max="38" width="11.625" style="41" customWidth="1"/>
    <col min="39" max="39" width="1.625" style="17" customWidth="1"/>
    <col min="40" max="43" width="9.625" style="41" customWidth="1" outlineLevel="1"/>
    <col min="44" max="44" width="11.625" style="41" customWidth="1"/>
    <col min="45" max="45" width="1.625" style="17" customWidth="1"/>
    <col min="46" max="46" width="11.625" style="41" customWidth="1"/>
    <col min="47" max="47" width="1.625" style="17" customWidth="1"/>
    <col min="48" max="48" width="11.625" style="42" customWidth="1"/>
    <col min="49" max="49" width="1.625" style="41" customWidth="1"/>
    <col min="50" max="50" width="11.625" style="41" customWidth="1"/>
    <col min="51" max="51" width="1.625" style="41" customWidth="1"/>
    <col min="52" max="16384" width="9" style="41"/>
  </cols>
  <sheetData>
    <row r="1" spans="1:50" s="576" customFormat="1" ht="15" customHeight="1"/>
    <row r="2" spans="1:50" s="576" customFormat="1" ht="15" customHeight="1"/>
    <row r="3" spans="1:50" s="576" customFormat="1" ht="15" customHeight="1"/>
    <row r="4" spans="1:50" s="576" customFormat="1" ht="15" customHeight="1"/>
    <row r="5" spans="1:50" s="572" customFormat="1" ht="3.95" customHeight="1">
      <c r="C5" s="573"/>
      <c r="I5" s="573"/>
      <c r="O5" s="573"/>
      <c r="U5" s="573"/>
      <c r="AA5" s="573"/>
      <c r="AG5" s="573"/>
      <c r="AM5" s="573"/>
      <c r="AS5" s="573"/>
      <c r="AU5" s="573"/>
      <c r="AV5" s="574"/>
    </row>
    <row r="7" spans="1:50" ht="15" customHeight="1">
      <c r="A7" s="44" t="s">
        <v>37</v>
      </c>
      <c r="B7" s="161" t="s">
        <v>476</v>
      </c>
      <c r="C7" s="18"/>
      <c r="D7" s="202">
        <v>2020</v>
      </c>
      <c r="E7" s="202">
        <v>2020</v>
      </c>
      <c r="F7" s="202">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1:50" ht="15" customHeight="1">
      <c r="B8" s="164"/>
      <c r="C8" s="18"/>
      <c r="D8" s="756">
        <v>2020</v>
      </c>
      <c r="E8" s="756"/>
      <c r="F8" s="756"/>
      <c r="G8" s="756"/>
      <c r="H8" s="756"/>
      <c r="I8" s="169"/>
      <c r="J8" s="756">
        <v>2021</v>
      </c>
      <c r="K8" s="756"/>
      <c r="L8" s="756"/>
      <c r="M8" s="756"/>
      <c r="N8" s="756"/>
      <c r="O8" s="169"/>
      <c r="P8" s="756">
        <v>2022</v>
      </c>
      <c r="Q8" s="756"/>
      <c r="R8" s="756"/>
      <c r="S8" s="756"/>
      <c r="T8" s="756"/>
      <c r="U8" s="169"/>
      <c r="V8" s="756">
        <v>2023</v>
      </c>
      <c r="W8" s="756"/>
      <c r="X8" s="756"/>
      <c r="Y8" s="756"/>
      <c r="Z8" s="756"/>
      <c r="AA8" s="169"/>
      <c r="AB8" s="756">
        <v>2024</v>
      </c>
      <c r="AC8" s="756"/>
      <c r="AD8" s="756"/>
      <c r="AE8" s="756"/>
      <c r="AF8" s="756"/>
      <c r="AG8" s="169"/>
      <c r="AH8" s="755">
        <v>2025</v>
      </c>
      <c r="AI8" s="755"/>
      <c r="AJ8" s="755"/>
      <c r="AK8" s="755"/>
      <c r="AL8" s="755"/>
      <c r="AM8" s="169"/>
      <c r="AN8" s="755">
        <v>2026</v>
      </c>
      <c r="AO8" s="755"/>
      <c r="AP8" s="755"/>
      <c r="AQ8" s="755"/>
      <c r="AR8" s="755"/>
      <c r="AS8" s="171"/>
      <c r="AT8" s="166">
        <v>2027</v>
      </c>
      <c r="AU8" s="167"/>
      <c r="AV8" s="166">
        <v>2028</v>
      </c>
      <c r="AW8" s="167"/>
      <c r="AX8" s="166">
        <v>2029</v>
      </c>
    </row>
    <row r="9" spans="1:50" ht="15" customHeight="1">
      <c r="B9" s="164"/>
      <c r="C9" s="18"/>
      <c r="D9" s="168" t="s">
        <v>207</v>
      </c>
      <c r="E9" s="168" t="s">
        <v>208</v>
      </c>
      <c r="F9" s="168" t="s">
        <v>209</v>
      </c>
      <c r="G9" s="168" t="s">
        <v>210</v>
      </c>
      <c r="H9" s="168" t="s">
        <v>211</v>
      </c>
      <c r="I9" s="18"/>
      <c r="J9" s="168" t="s">
        <v>207</v>
      </c>
      <c r="K9" s="168" t="s">
        <v>208</v>
      </c>
      <c r="L9" s="168" t="s">
        <v>209</v>
      </c>
      <c r="M9" s="168" t="s">
        <v>210</v>
      </c>
      <c r="N9" s="168" t="s">
        <v>211</v>
      </c>
      <c r="O9" s="165"/>
      <c r="P9" s="168" t="s">
        <v>207</v>
      </c>
      <c r="Q9" s="168" t="s">
        <v>208</v>
      </c>
      <c r="R9" s="168" t="s">
        <v>209</v>
      </c>
      <c r="S9" s="168" t="s">
        <v>210</v>
      </c>
      <c r="T9" s="168" t="s">
        <v>211</v>
      </c>
      <c r="U9" s="165"/>
      <c r="V9" s="168" t="s">
        <v>207</v>
      </c>
      <c r="W9" s="168" t="s">
        <v>208</v>
      </c>
      <c r="X9" s="168" t="s">
        <v>209</v>
      </c>
      <c r="Y9" s="168" t="s">
        <v>210</v>
      </c>
      <c r="Z9" s="168" t="s">
        <v>211</v>
      </c>
      <c r="AA9" s="165"/>
      <c r="AB9" s="168" t="s">
        <v>207</v>
      </c>
      <c r="AC9" s="168" t="s">
        <v>208</v>
      </c>
      <c r="AD9" s="168" t="s">
        <v>209</v>
      </c>
      <c r="AE9" s="168" t="s">
        <v>210</v>
      </c>
      <c r="AF9" s="168" t="s">
        <v>211</v>
      </c>
      <c r="AG9" s="165"/>
      <c r="AH9" s="168" t="s">
        <v>207</v>
      </c>
      <c r="AI9" s="168" t="s">
        <v>208</v>
      </c>
      <c r="AJ9" s="168" t="s">
        <v>209</v>
      </c>
      <c r="AK9" s="168" t="s">
        <v>210</v>
      </c>
      <c r="AL9" s="168" t="s">
        <v>211</v>
      </c>
      <c r="AM9" s="165"/>
      <c r="AN9" s="168" t="s">
        <v>207</v>
      </c>
      <c r="AO9" s="168" t="s">
        <v>208</v>
      </c>
      <c r="AP9" s="168" t="s">
        <v>209</v>
      </c>
      <c r="AQ9" s="168" t="s">
        <v>210</v>
      </c>
      <c r="AR9" s="168" t="s">
        <v>211</v>
      </c>
      <c r="AS9" s="165"/>
      <c r="AT9" s="168" t="s">
        <v>211</v>
      </c>
      <c r="AU9" s="165"/>
      <c r="AV9" s="168" t="s">
        <v>211</v>
      </c>
      <c r="AW9" s="165"/>
      <c r="AX9" s="168" t="s">
        <v>211</v>
      </c>
    </row>
    <row r="10" spans="1:50"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s="54" customFormat="1" ht="15" customHeight="1">
      <c r="B12" s="154" t="s">
        <v>680</v>
      </c>
      <c r="C12" s="17"/>
      <c r="D12" s="60">
        <v>13.808</v>
      </c>
      <c r="E12" s="46">
        <v>7.5970000000000004</v>
      </c>
      <c r="F12" s="46">
        <v>12.965</v>
      </c>
      <c r="G12" s="46">
        <v>13.502000000000001</v>
      </c>
      <c r="H12" s="57">
        <v>38.296999999999997</v>
      </c>
      <c r="I12" s="48"/>
      <c r="J12" s="46">
        <v>38.296999999999997</v>
      </c>
      <c r="K12" s="46">
        <v>222.59800000000001</v>
      </c>
      <c r="L12" s="46">
        <v>69.625</v>
      </c>
      <c r="M12" s="46">
        <v>49.046999999999997</v>
      </c>
      <c r="N12" s="57">
        <v>33.75</v>
      </c>
      <c r="O12" s="47"/>
      <c r="P12" s="46">
        <v>33.75</v>
      </c>
      <c r="Q12" s="46">
        <v>106.747</v>
      </c>
      <c r="R12" s="46">
        <v>81.682000000000002</v>
      </c>
      <c r="S12" s="46">
        <v>74.933000000000007</v>
      </c>
      <c r="T12" s="57">
        <v>28.826000000000001</v>
      </c>
      <c r="U12" s="47"/>
      <c r="V12" s="46">
        <v>28.826000000000001</v>
      </c>
      <c r="W12" s="46">
        <v>83.602999999999994</v>
      </c>
      <c r="X12" s="46">
        <v>73.465999999999994</v>
      </c>
      <c r="Y12" s="46">
        <v>60.698999999999998</v>
      </c>
      <c r="Z12" s="57">
        <v>73.316000000000003</v>
      </c>
      <c r="AA12" s="47"/>
      <c r="AB12" s="46">
        <v>73.316000000000003</v>
      </c>
      <c r="AC12" s="46">
        <v>53.034999999999997</v>
      </c>
      <c r="AD12" s="46">
        <v>53.884999999999998</v>
      </c>
      <c r="AE12" s="46">
        <v>162.43799999999999</v>
      </c>
      <c r="AF12" s="57">
        <v>181.16</v>
      </c>
      <c r="AG12" s="49"/>
      <c r="AH12" s="46">
        <v>181.16</v>
      </c>
      <c r="AI12" s="46">
        <v>135.96100000000001</v>
      </c>
      <c r="AJ12" s="46"/>
      <c r="AK12" s="46"/>
      <c r="AL12" s="58"/>
      <c r="AM12" s="53"/>
      <c r="AN12" s="50"/>
      <c r="AO12" s="50"/>
      <c r="AP12" s="50"/>
      <c r="AQ12" s="50"/>
      <c r="AR12" s="58"/>
      <c r="AS12" s="53"/>
      <c r="AT12" s="58"/>
      <c r="AU12" s="53"/>
      <c r="AV12" s="58"/>
      <c r="AX12" s="58"/>
    </row>
    <row r="13" spans="1:50" s="54" customFormat="1" ht="15" customHeight="1">
      <c r="A13" s="43"/>
      <c r="B13" s="154"/>
      <c r="C13" s="17"/>
      <c r="D13" s="46"/>
      <c r="E13" s="46"/>
      <c r="F13" s="46"/>
      <c r="G13" s="46"/>
      <c r="H13" s="57"/>
      <c r="I13" s="48"/>
      <c r="J13" s="46"/>
      <c r="K13" s="46"/>
      <c r="L13" s="46"/>
      <c r="M13" s="46"/>
      <c r="N13" s="57"/>
      <c r="O13" s="47"/>
      <c r="P13" s="46"/>
      <c r="Q13" s="46"/>
      <c r="R13" s="46"/>
      <c r="S13" s="46"/>
      <c r="T13" s="57"/>
      <c r="U13" s="47"/>
      <c r="V13" s="46"/>
      <c r="W13" s="46"/>
      <c r="X13" s="46"/>
      <c r="Y13" s="46"/>
      <c r="Z13" s="57"/>
      <c r="AA13" s="47"/>
      <c r="AB13" s="46"/>
      <c r="AC13" s="46"/>
      <c r="AD13" s="46"/>
      <c r="AE13" s="46"/>
      <c r="AF13" s="57"/>
      <c r="AG13" s="49"/>
      <c r="AH13" s="46"/>
      <c r="AI13" s="46"/>
      <c r="AJ13" s="50"/>
      <c r="AK13" s="50"/>
      <c r="AL13" s="58"/>
      <c r="AM13" s="53"/>
      <c r="AN13" s="50"/>
      <c r="AO13" s="50"/>
      <c r="AP13" s="50"/>
      <c r="AQ13" s="50"/>
      <c r="AR13" s="58"/>
      <c r="AS13" s="53"/>
      <c r="AT13" s="58"/>
      <c r="AU13" s="53"/>
      <c r="AV13" s="58"/>
      <c r="AX13" s="58"/>
    </row>
    <row r="14" spans="1:50" s="54" customFormat="1" ht="15" customHeight="1">
      <c r="A14" s="44" t="s">
        <v>37</v>
      </c>
      <c r="B14" s="154" t="s">
        <v>681</v>
      </c>
      <c r="C14" s="17"/>
      <c r="D14" s="46"/>
      <c r="E14" s="46"/>
      <c r="F14" s="46"/>
      <c r="G14" s="46"/>
      <c r="H14" s="66"/>
      <c r="I14" s="48"/>
      <c r="J14" s="46"/>
      <c r="K14" s="46"/>
      <c r="L14" s="46"/>
      <c r="M14" s="46"/>
      <c r="N14" s="66"/>
      <c r="O14" s="47"/>
      <c r="P14" s="46"/>
      <c r="Q14" s="46"/>
      <c r="R14" s="46"/>
      <c r="S14" s="46"/>
      <c r="T14" s="66"/>
      <c r="U14" s="47"/>
      <c r="V14" s="46"/>
      <c r="W14" s="46"/>
      <c r="X14" s="46"/>
      <c r="Y14" s="46"/>
      <c r="Z14" s="66"/>
      <c r="AA14" s="47"/>
      <c r="AB14" s="46"/>
      <c r="AC14" s="46"/>
      <c r="AD14" s="46"/>
      <c r="AE14" s="46"/>
      <c r="AF14" s="66"/>
      <c r="AG14" s="49"/>
      <c r="AH14" s="46"/>
      <c r="AI14" s="46"/>
      <c r="AJ14" s="50"/>
      <c r="AK14" s="50"/>
      <c r="AL14" s="68"/>
      <c r="AM14" s="53"/>
      <c r="AN14" s="50"/>
      <c r="AO14" s="50"/>
      <c r="AP14" s="50"/>
      <c r="AQ14" s="50"/>
      <c r="AR14" s="68"/>
      <c r="AS14" s="53"/>
      <c r="AT14" s="68"/>
      <c r="AU14" s="53"/>
      <c r="AV14" s="68"/>
      <c r="AX14" s="68"/>
    </row>
    <row r="15" spans="1:50" s="54" customFormat="1" ht="15" customHeight="1">
      <c r="A15" s="43"/>
      <c r="B15" s="155" t="s">
        <v>558</v>
      </c>
      <c r="C15" s="17"/>
      <c r="D15" s="60">
        <v>25.888000000000002</v>
      </c>
      <c r="E15" s="60">
        <v>-82.299000000000007</v>
      </c>
      <c r="F15" s="60">
        <v>27.946999999999999</v>
      </c>
      <c r="G15" s="60">
        <v>77.048000000000002</v>
      </c>
      <c r="H15" s="57">
        <v>48.584000000000003</v>
      </c>
      <c r="I15" s="48"/>
      <c r="J15" s="60">
        <v>29.776</v>
      </c>
      <c r="K15" s="60">
        <v>132.49600000000001</v>
      </c>
      <c r="L15" s="60">
        <v>78.043999999999997</v>
      </c>
      <c r="M15" s="60">
        <v>104.133</v>
      </c>
      <c r="N15" s="57">
        <v>345.23399999999998</v>
      </c>
      <c r="O15" s="47"/>
      <c r="P15" s="60">
        <v>98.052999999999997</v>
      </c>
      <c r="Q15" s="60">
        <v>120.45</v>
      </c>
      <c r="R15" s="60">
        <v>98.849000000000004</v>
      </c>
      <c r="S15" s="60">
        <v>107.012</v>
      </c>
      <c r="T15" s="57">
        <v>424.709</v>
      </c>
      <c r="U15" s="47"/>
      <c r="V15" s="60">
        <v>63.140999999999998</v>
      </c>
      <c r="W15" s="60">
        <v>100.626</v>
      </c>
      <c r="X15" s="60">
        <v>113.863</v>
      </c>
      <c r="Y15" s="60">
        <v>121.77</v>
      </c>
      <c r="Z15" s="57">
        <v>399.4</v>
      </c>
      <c r="AA15" s="47"/>
      <c r="AB15" s="60">
        <v>73.099999999999994</v>
      </c>
      <c r="AC15" s="60">
        <v>129.41800000000001</v>
      </c>
      <c r="AD15" s="60">
        <v>206.46299999999999</v>
      </c>
      <c r="AE15" s="60">
        <v>-67.254000000000005</v>
      </c>
      <c r="AF15" s="57">
        <v>341.72699999999998</v>
      </c>
      <c r="AG15" s="49"/>
      <c r="AH15" s="60">
        <v>117.82599999999999</v>
      </c>
      <c r="AI15" s="60">
        <v>537.654</v>
      </c>
      <c r="AJ15" s="50"/>
      <c r="AK15" s="50"/>
      <c r="AL15" s="58"/>
      <c r="AM15" s="53"/>
      <c r="AN15" s="50"/>
      <c r="AO15" s="50"/>
      <c r="AP15" s="50"/>
      <c r="AQ15" s="50"/>
      <c r="AR15" s="58"/>
      <c r="AS15" s="53"/>
      <c r="AT15" s="58"/>
      <c r="AU15" s="53"/>
      <c r="AV15" s="58"/>
      <c r="AX15" s="58"/>
    </row>
    <row r="16" spans="1:50" s="54" customFormat="1" ht="15" customHeight="1">
      <c r="A16" s="43"/>
      <c r="B16" s="155" t="s">
        <v>682</v>
      </c>
      <c r="C16" s="17"/>
      <c r="D16" s="46"/>
      <c r="E16" s="46"/>
      <c r="F16" s="46"/>
      <c r="G16" s="46"/>
      <c r="H16" s="57"/>
      <c r="I16" s="48"/>
      <c r="J16" s="46"/>
      <c r="K16" s="46"/>
      <c r="L16" s="46"/>
      <c r="M16" s="46"/>
      <c r="N16" s="57"/>
      <c r="O16" s="57"/>
      <c r="P16" s="46"/>
      <c r="Q16" s="46"/>
      <c r="R16" s="46"/>
      <c r="S16" s="46"/>
      <c r="T16" s="57"/>
      <c r="U16" s="57"/>
      <c r="V16" s="46"/>
      <c r="W16" s="46"/>
      <c r="X16" s="46"/>
      <c r="Y16" s="46"/>
      <c r="Z16" s="57"/>
      <c r="AA16" s="57"/>
      <c r="AB16" s="46"/>
      <c r="AC16" s="46"/>
      <c r="AD16" s="46"/>
      <c r="AE16" s="46"/>
      <c r="AF16" s="57"/>
      <c r="AG16" s="49"/>
      <c r="AH16" s="46"/>
      <c r="AI16" s="46"/>
      <c r="AJ16" s="50"/>
      <c r="AK16" s="50"/>
      <c r="AL16" s="58"/>
      <c r="AM16" s="53"/>
      <c r="AN16" s="50"/>
      <c r="AO16" s="50"/>
      <c r="AP16" s="50"/>
      <c r="AQ16" s="50"/>
      <c r="AR16" s="58"/>
      <c r="AS16" s="53"/>
      <c r="AT16" s="58"/>
      <c r="AU16" s="53"/>
      <c r="AV16" s="58"/>
      <c r="AX16" s="58"/>
    </row>
    <row r="17" spans="1:50" s="54" customFormat="1" ht="15" customHeight="1">
      <c r="A17" s="43"/>
      <c r="B17" s="156" t="s">
        <v>616</v>
      </c>
      <c r="C17" s="17"/>
      <c r="D17" s="60">
        <v>20.279</v>
      </c>
      <c r="E17" s="60">
        <v>20.315999999999999</v>
      </c>
      <c r="F17" s="60">
        <v>19.201000000000001</v>
      </c>
      <c r="G17" s="60">
        <v>21.306999999999999</v>
      </c>
      <c r="H17" s="57">
        <v>81.102999999999994</v>
      </c>
      <c r="I17" s="48"/>
      <c r="J17" s="60">
        <v>24.864999999999998</v>
      </c>
      <c r="K17" s="60">
        <v>25.141999999999999</v>
      </c>
      <c r="L17" s="60">
        <v>24.872</v>
      </c>
      <c r="M17" s="60">
        <v>30.869</v>
      </c>
      <c r="N17" s="57">
        <v>105.748</v>
      </c>
      <c r="O17" s="47"/>
      <c r="P17" s="60">
        <v>33.433</v>
      </c>
      <c r="Q17" s="60">
        <v>34.813000000000002</v>
      </c>
      <c r="R17" s="60">
        <v>38.018999999999998</v>
      </c>
      <c r="S17" s="60">
        <v>59.765000000000001</v>
      </c>
      <c r="T17" s="57">
        <v>166.03</v>
      </c>
      <c r="U17" s="47"/>
      <c r="V17" s="60">
        <v>49.396000000000001</v>
      </c>
      <c r="W17" s="60">
        <v>54.48</v>
      </c>
      <c r="X17" s="60">
        <v>55.587000000000003</v>
      </c>
      <c r="Y17" s="60">
        <v>63.481000000000002</v>
      </c>
      <c r="Z17" s="57">
        <v>222.94399999999999</v>
      </c>
      <c r="AA17" s="47"/>
      <c r="AB17" s="60">
        <v>59.354999999999997</v>
      </c>
      <c r="AC17" s="60">
        <v>60.790999999999997</v>
      </c>
      <c r="AD17" s="60">
        <v>122.91800000000001</v>
      </c>
      <c r="AE17" s="60">
        <v>171.791</v>
      </c>
      <c r="AF17" s="57">
        <v>414.85500000000002</v>
      </c>
      <c r="AG17" s="49"/>
      <c r="AH17" s="60">
        <v>166.58099999999999</v>
      </c>
      <c r="AI17" s="60">
        <v>167.13900000000001</v>
      </c>
      <c r="AJ17" s="50"/>
      <c r="AK17" s="50"/>
      <c r="AL17" s="57"/>
      <c r="AM17" s="53"/>
      <c r="AN17" s="50"/>
      <c r="AO17" s="50"/>
      <c r="AP17" s="50"/>
      <c r="AQ17" s="50"/>
      <c r="AR17" s="57"/>
      <c r="AS17" s="53"/>
      <c r="AT17" s="58"/>
      <c r="AU17" s="53"/>
      <c r="AV17" s="58"/>
      <c r="AX17" s="58"/>
    </row>
    <row r="18" spans="1:50" s="54" customFormat="1" ht="15" customHeight="1">
      <c r="A18" s="43"/>
      <c r="B18" s="156" t="s">
        <v>683</v>
      </c>
      <c r="C18" s="17"/>
      <c r="D18" s="60">
        <v>0.72699999999999998</v>
      </c>
      <c r="E18" s="60">
        <v>0.69599999999999995</v>
      </c>
      <c r="F18" s="60">
        <v>0.51200000000000001</v>
      </c>
      <c r="G18" s="60">
        <v>0.42799999999999999</v>
      </c>
      <c r="H18" s="57">
        <v>2.363</v>
      </c>
      <c r="I18" s="48"/>
      <c r="J18" s="60">
        <v>0.42799999999999999</v>
      </c>
      <c r="K18" s="60">
        <v>0.42899999999999999</v>
      </c>
      <c r="L18" s="60">
        <v>0.36099999999999999</v>
      </c>
      <c r="M18" s="60">
        <v>1.4430000000000001</v>
      </c>
      <c r="N18" s="57">
        <v>2.661</v>
      </c>
      <c r="O18" s="47"/>
      <c r="P18" s="60">
        <v>3.4359999999999999</v>
      </c>
      <c r="Q18" s="60">
        <v>3.4359999999999999</v>
      </c>
      <c r="R18" s="60">
        <v>4.6529999999999996</v>
      </c>
      <c r="S18" s="60">
        <v>5.0179999999999998</v>
      </c>
      <c r="T18" s="57">
        <v>16.542999999999999</v>
      </c>
      <c r="U18" s="47"/>
      <c r="V18" s="60">
        <v>4.3899999999999997</v>
      </c>
      <c r="W18" s="60">
        <v>4.3819999999999997</v>
      </c>
      <c r="X18" s="60">
        <v>4.8579999999999997</v>
      </c>
      <c r="Y18" s="60">
        <v>3.718</v>
      </c>
      <c r="Z18" s="57">
        <v>17.347999999999999</v>
      </c>
      <c r="AA18" s="47"/>
      <c r="AB18" s="60">
        <v>3.1970000000000001</v>
      </c>
      <c r="AC18" s="60">
        <v>3.1970000000000001</v>
      </c>
      <c r="AD18" s="60">
        <v>5.3650000000000002</v>
      </c>
      <c r="AE18" s="60">
        <v>6.157</v>
      </c>
      <c r="AF18" s="57">
        <v>17.916</v>
      </c>
      <c r="AG18" s="49"/>
      <c r="AH18" s="60">
        <v>5.3810000000000002</v>
      </c>
      <c r="AI18" s="60">
        <v>5.8150000000000004</v>
      </c>
      <c r="AJ18" s="50"/>
      <c r="AK18" s="50"/>
      <c r="AL18" s="57"/>
      <c r="AM18" s="53"/>
      <c r="AN18" s="50"/>
      <c r="AO18" s="50"/>
      <c r="AP18" s="50"/>
      <c r="AQ18" s="50"/>
      <c r="AR18" s="57"/>
      <c r="AS18" s="53"/>
      <c r="AT18" s="58"/>
      <c r="AU18" s="53"/>
      <c r="AV18" s="58"/>
      <c r="AX18" s="58"/>
    </row>
    <row r="19" spans="1:50" s="54" customFormat="1" ht="15" customHeight="1">
      <c r="A19" s="113"/>
      <c r="B19" s="156" t="s">
        <v>116</v>
      </c>
      <c r="C19" s="115"/>
      <c r="D19" s="60">
        <v>-22.45</v>
      </c>
      <c r="E19" s="60">
        <v>7.2069999999999999</v>
      </c>
      <c r="F19" s="60">
        <v>7.8959999999999999</v>
      </c>
      <c r="G19" s="60">
        <v>34.656999999999996</v>
      </c>
      <c r="H19" s="57">
        <v>27.31</v>
      </c>
      <c r="I19" s="48"/>
      <c r="J19" s="60">
        <v>-29.527999999999999</v>
      </c>
      <c r="K19" s="60">
        <v>28.084</v>
      </c>
      <c r="L19" s="60">
        <v>28.251999999999999</v>
      </c>
      <c r="M19" s="60">
        <v>50.963000000000001</v>
      </c>
      <c r="N19" s="57">
        <v>76.986000000000004</v>
      </c>
      <c r="O19" s="48"/>
      <c r="P19" s="60">
        <v>-85.108999999999995</v>
      </c>
      <c r="Q19" s="60">
        <v>-62.000999999999998</v>
      </c>
      <c r="R19" s="60">
        <v>56.098999999999997</v>
      </c>
      <c r="S19" s="60">
        <v>-29.466999999999999</v>
      </c>
      <c r="T19" s="57">
        <v>-120.82299999999999</v>
      </c>
      <c r="U19" s="48"/>
      <c r="V19" s="60">
        <v>-93.509</v>
      </c>
      <c r="W19" s="60">
        <v>-0.71799999999999997</v>
      </c>
      <c r="X19" s="60">
        <v>1.5669999999999999</v>
      </c>
      <c r="Y19" s="60">
        <v>-19.326000000000001</v>
      </c>
      <c r="Z19" s="57">
        <v>-111.986</v>
      </c>
      <c r="AA19" s="51"/>
      <c r="AB19" s="60">
        <v>-82.335999999999999</v>
      </c>
      <c r="AC19" s="60">
        <v>23.084</v>
      </c>
      <c r="AD19" s="60">
        <v>-203.69800000000001</v>
      </c>
      <c r="AE19" s="60">
        <v>406.923</v>
      </c>
      <c r="AF19" s="57">
        <v>143.97300000000001</v>
      </c>
      <c r="AG19" s="49"/>
      <c r="AH19" s="60">
        <v>-252.113</v>
      </c>
      <c r="AI19" s="60">
        <v>-164.41200000000001</v>
      </c>
      <c r="AJ19" s="50"/>
      <c r="AK19" s="50"/>
      <c r="AL19" s="58"/>
      <c r="AM19" s="69"/>
      <c r="AN19" s="50"/>
      <c r="AO19" s="50"/>
      <c r="AP19" s="50"/>
      <c r="AQ19" s="50"/>
      <c r="AR19" s="58"/>
      <c r="AS19" s="69"/>
      <c r="AT19" s="58"/>
      <c r="AU19" s="69"/>
      <c r="AV19" s="58"/>
      <c r="AX19" s="58"/>
    </row>
    <row r="20" spans="1:50" s="54" customFormat="1" ht="15" customHeight="1">
      <c r="A20" s="43"/>
      <c r="B20" s="155" t="s">
        <v>684</v>
      </c>
      <c r="C20" s="17"/>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72"/>
      <c r="AN20" s="50"/>
      <c r="AO20" s="50"/>
      <c r="AP20" s="50"/>
      <c r="AQ20" s="50"/>
      <c r="AR20" s="68"/>
      <c r="AS20" s="72"/>
      <c r="AT20" s="68"/>
      <c r="AU20" s="72"/>
      <c r="AV20" s="68"/>
      <c r="AX20" s="68"/>
    </row>
    <row r="21" spans="1:50" s="54" customFormat="1" ht="15" customHeight="1">
      <c r="A21" s="113"/>
      <c r="B21" s="156" t="s">
        <v>650</v>
      </c>
      <c r="C21" s="115"/>
      <c r="D21" s="60">
        <v>12.802</v>
      </c>
      <c r="E21" s="60">
        <v>106.749</v>
      </c>
      <c r="F21" s="60">
        <v>-121.063</v>
      </c>
      <c r="G21" s="60">
        <v>-107.285</v>
      </c>
      <c r="H21" s="66">
        <v>-108.797</v>
      </c>
      <c r="I21" s="48"/>
      <c r="J21" s="60">
        <v>117.398</v>
      </c>
      <c r="K21" s="60">
        <v>17.762</v>
      </c>
      <c r="L21" s="60">
        <v>-149.55500000000001</v>
      </c>
      <c r="M21" s="60">
        <v>-182.762</v>
      </c>
      <c r="N21" s="66">
        <v>-197.15700000000001</v>
      </c>
      <c r="O21" s="48"/>
      <c r="P21" s="60">
        <v>157.53299999999999</v>
      </c>
      <c r="Q21" s="60">
        <v>29.331</v>
      </c>
      <c r="R21" s="60">
        <v>-103.35</v>
      </c>
      <c r="S21" s="60">
        <v>-142.21299999999999</v>
      </c>
      <c r="T21" s="66">
        <v>-58.698999999999998</v>
      </c>
      <c r="U21" s="48"/>
      <c r="V21" s="60">
        <v>142.65600000000001</v>
      </c>
      <c r="W21" s="60">
        <v>-35.527999999999999</v>
      </c>
      <c r="X21" s="60">
        <v>-139.02099999999999</v>
      </c>
      <c r="Y21" s="60">
        <v>-203.964</v>
      </c>
      <c r="Z21" s="66">
        <v>-235.857</v>
      </c>
      <c r="AA21" s="51"/>
      <c r="AB21" s="60">
        <v>216.26599999999999</v>
      </c>
      <c r="AC21" s="60">
        <v>-63.762999999999998</v>
      </c>
      <c r="AD21" s="60">
        <v>-158.91499999999999</v>
      </c>
      <c r="AE21" s="60">
        <v>-280.92399999999998</v>
      </c>
      <c r="AF21" s="66">
        <v>-287.33600000000001</v>
      </c>
      <c r="AG21" s="49"/>
      <c r="AH21" s="60">
        <v>361.85500000000002</v>
      </c>
      <c r="AI21" s="60">
        <v>-158.16</v>
      </c>
      <c r="AJ21" s="50"/>
      <c r="AK21" s="50"/>
      <c r="AL21" s="66"/>
      <c r="AM21" s="72"/>
      <c r="AN21" s="50"/>
      <c r="AO21" s="50"/>
      <c r="AP21" s="50"/>
      <c r="AQ21" s="50"/>
      <c r="AR21" s="66"/>
      <c r="AS21" s="72"/>
      <c r="AT21" s="68"/>
      <c r="AU21" s="72"/>
      <c r="AV21" s="68"/>
      <c r="AX21" s="68"/>
    </row>
    <row r="22" spans="1:50" s="54" customFormat="1" ht="15" customHeight="1">
      <c r="A22" s="43"/>
      <c r="B22" s="156" t="s">
        <v>685</v>
      </c>
      <c r="C22" s="17"/>
      <c r="D22" s="60">
        <v>-77.295000000000002</v>
      </c>
      <c r="E22" s="60">
        <v>-19.577999999999999</v>
      </c>
      <c r="F22" s="60">
        <v>27.103999999999999</v>
      </c>
      <c r="G22" s="60">
        <v>31.114000000000001</v>
      </c>
      <c r="H22" s="66">
        <v>-38.655000000000001</v>
      </c>
      <c r="I22" s="48"/>
      <c r="J22" s="60">
        <v>-64.382999999999996</v>
      </c>
      <c r="K22" s="60">
        <v>-9.8580000000000005</v>
      </c>
      <c r="L22" s="60">
        <v>-88.914000000000001</v>
      </c>
      <c r="M22" s="60">
        <v>-3.528</v>
      </c>
      <c r="N22" s="66">
        <v>-166.68299999999999</v>
      </c>
      <c r="O22" s="48"/>
      <c r="P22" s="60">
        <v>-106.509</v>
      </c>
      <c r="Q22" s="60">
        <v>-92.358000000000004</v>
      </c>
      <c r="R22" s="60">
        <v>-98.459000000000003</v>
      </c>
      <c r="S22" s="60">
        <v>-13.275</v>
      </c>
      <c r="T22" s="66">
        <v>-310.601</v>
      </c>
      <c r="U22" s="48"/>
      <c r="V22" s="60">
        <v>-66.533000000000001</v>
      </c>
      <c r="W22" s="60">
        <v>13.388999999999999</v>
      </c>
      <c r="X22" s="60">
        <v>-4.633</v>
      </c>
      <c r="Y22" s="60">
        <v>28.632999999999999</v>
      </c>
      <c r="Z22" s="66">
        <v>-29.143999999999998</v>
      </c>
      <c r="AA22" s="51"/>
      <c r="AB22" s="60">
        <v>-91.507000000000005</v>
      </c>
      <c r="AC22" s="60">
        <v>-51.386000000000003</v>
      </c>
      <c r="AD22" s="60">
        <v>-104.31</v>
      </c>
      <c r="AE22" s="60">
        <v>-26.149000000000001</v>
      </c>
      <c r="AF22" s="66">
        <v>-273.35199999999998</v>
      </c>
      <c r="AG22" s="49"/>
      <c r="AH22" s="60">
        <v>-231.85499999999999</v>
      </c>
      <c r="AI22" s="60">
        <v>0.78800000000000003</v>
      </c>
      <c r="AJ22" s="50"/>
      <c r="AK22" s="50"/>
      <c r="AL22" s="66"/>
      <c r="AM22" s="72"/>
      <c r="AN22" s="50"/>
      <c r="AO22" s="50"/>
      <c r="AP22" s="50"/>
      <c r="AQ22" s="50"/>
      <c r="AR22" s="66"/>
      <c r="AS22" s="72"/>
      <c r="AT22" s="68"/>
      <c r="AU22" s="72"/>
      <c r="AV22" s="68"/>
      <c r="AX22" s="68"/>
    </row>
    <row r="23" spans="1:50" s="54" customFormat="1" ht="15" customHeight="1">
      <c r="A23" s="113"/>
      <c r="B23" s="156" t="s">
        <v>662</v>
      </c>
      <c r="C23" s="115"/>
      <c r="D23" s="60">
        <v>46.591000000000001</v>
      </c>
      <c r="E23" s="60">
        <v>-49.496000000000002</v>
      </c>
      <c r="F23" s="60">
        <v>94.882000000000005</v>
      </c>
      <c r="G23" s="60">
        <v>142.59800000000001</v>
      </c>
      <c r="H23" s="66">
        <v>234.57499999999999</v>
      </c>
      <c r="I23" s="48"/>
      <c r="J23" s="60">
        <v>-17.206</v>
      </c>
      <c r="K23" s="60">
        <v>-32.393000000000001</v>
      </c>
      <c r="L23" s="60">
        <v>114.105</v>
      </c>
      <c r="M23" s="60">
        <v>118.587</v>
      </c>
      <c r="N23" s="66">
        <v>183.09299999999999</v>
      </c>
      <c r="O23" s="48"/>
      <c r="P23" s="60">
        <v>13.993</v>
      </c>
      <c r="Q23" s="60">
        <v>-23.765000000000001</v>
      </c>
      <c r="R23" s="60">
        <v>65.915999999999997</v>
      </c>
      <c r="S23" s="60">
        <v>34.152000000000001</v>
      </c>
      <c r="T23" s="66">
        <v>90.296000000000006</v>
      </c>
      <c r="U23" s="48"/>
      <c r="V23" s="60">
        <v>-119.461</v>
      </c>
      <c r="W23" s="60">
        <v>-95.7</v>
      </c>
      <c r="X23" s="60">
        <v>85.706000000000003</v>
      </c>
      <c r="Y23" s="60">
        <v>265.36900000000003</v>
      </c>
      <c r="Z23" s="66">
        <v>135.91399999999999</v>
      </c>
      <c r="AA23" s="51"/>
      <c r="AB23" s="60">
        <v>-186.929</v>
      </c>
      <c r="AC23" s="60">
        <v>97.445999999999998</v>
      </c>
      <c r="AD23" s="60">
        <v>248.89099999999999</v>
      </c>
      <c r="AE23" s="60">
        <v>46.097999999999999</v>
      </c>
      <c r="AF23" s="66">
        <v>205.506</v>
      </c>
      <c r="AG23" s="49"/>
      <c r="AH23" s="60">
        <v>-155.239</v>
      </c>
      <c r="AI23" s="60">
        <v>-117.645</v>
      </c>
      <c r="AJ23" s="50"/>
      <c r="AK23" s="50"/>
      <c r="AL23" s="66"/>
      <c r="AM23" s="72"/>
      <c r="AN23" s="50"/>
      <c r="AO23" s="50"/>
      <c r="AP23" s="50"/>
      <c r="AQ23" s="50"/>
      <c r="AR23" s="66"/>
      <c r="AS23" s="72"/>
      <c r="AT23" s="68"/>
      <c r="AU23" s="72"/>
      <c r="AV23" s="68"/>
      <c r="AX23" s="68"/>
    </row>
    <row r="24" spans="1:50" s="54" customFormat="1" ht="15" customHeight="1">
      <c r="A24" s="113"/>
      <c r="B24" s="156" t="s">
        <v>116</v>
      </c>
      <c r="C24" s="115"/>
      <c r="D24" s="60">
        <v>0</v>
      </c>
      <c r="E24" s="60">
        <v>0</v>
      </c>
      <c r="F24" s="60">
        <v>0</v>
      </c>
      <c r="G24" s="60">
        <v>-23.75</v>
      </c>
      <c r="H24" s="74">
        <v>-23.75</v>
      </c>
      <c r="I24" s="48"/>
      <c r="J24" s="60">
        <v>-22.771000000000001</v>
      </c>
      <c r="K24" s="60">
        <v>-127.473</v>
      </c>
      <c r="L24" s="60">
        <v>26.35</v>
      </c>
      <c r="M24" s="60">
        <v>18.611000000000001</v>
      </c>
      <c r="N24" s="74">
        <v>-105.283</v>
      </c>
      <c r="O24" s="48"/>
      <c r="P24" s="60">
        <v>-115.90900000000001</v>
      </c>
      <c r="Q24" s="60">
        <v>49.201999999999998</v>
      </c>
      <c r="R24" s="60">
        <v>-52.783000000000001</v>
      </c>
      <c r="S24" s="60">
        <v>66.828000000000003</v>
      </c>
      <c r="T24" s="74">
        <v>-52.661999999999999</v>
      </c>
      <c r="U24" s="48"/>
      <c r="V24" s="60">
        <v>-52.33</v>
      </c>
      <c r="W24" s="60">
        <v>40.881</v>
      </c>
      <c r="X24" s="60">
        <v>1.544</v>
      </c>
      <c r="Y24" s="60">
        <v>41.225999999999999</v>
      </c>
      <c r="Z24" s="74">
        <v>31.321000000000002</v>
      </c>
      <c r="AA24" s="81"/>
      <c r="AB24" s="60">
        <v>-43.683999999999997</v>
      </c>
      <c r="AC24" s="60">
        <v>-105.526</v>
      </c>
      <c r="AD24" s="60">
        <v>-146.27600000000001</v>
      </c>
      <c r="AE24" s="60">
        <v>114.068</v>
      </c>
      <c r="AF24" s="74">
        <v>-181.41800000000001</v>
      </c>
      <c r="AG24" s="82"/>
      <c r="AH24" s="60">
        <v>-111.20099999999999</v>
      </c>
      <c r="AI24" s="60">
        <v>-178.11699999999999</v>
      </c>
      <c r="AJ24" s="50"/>
      <c r="AK24" s="50"/>
      <c r="AL24" s="74"/>
      <c r="AM24" s="83"/>
      <c r="AN24" s="50"/>
      <c r="AO24" s="50"/>
      <c r="AP24" s="50"/>
      <c r="AQ24" s="50"/>
      <c r="AR24" s="74"/>
      <c r="AS24" s="83"/>
      <c r="AT24" s="75"/>
      <c r="AU24" s="83"/>
      <c r="AV24" s="75"/>
      <c r="AX24" s="75"/>
    </row>
    <row r="25" spans="1:50" s="54" customFormat="1" ht="15" customHeight="1" thickBot="1">
      <c r="A25" s="84"/>
      <c r="B25" s="157" t="s">
        <v>686</v>
      </c>
      <c r="C25" s="26"/>
      <c r="D25" s="60">
        <v>5.8150000000000004</v>
      </c>
      <c r="E25" s="60">
        <v>-17.100999999999999</v>
      </c>
      <c r="F25" s="60">
        <v>55.966999999999999</v>
      </c>
      <c r="G25" s="60">
        <v>175.68899999999999</v>
      </c>
      <c r="H25" s="93">
        <v>220.37</v>
      </c>
      <c r="I25" s="48"/>
      <c r="J25" s="60">
        <v>38.151000000000003</v>
      </c>
      <c r="K25" s="60">
        <v>33.76</v>
      </c>
      <c r="L25" s="60">
        <v>33.154000000000003</v>
      </c>
      <c r="M25" s="60">
        <v>136.87299999999999</v>
      </c>
      <c r="N25" s="93">
        <v>241.93799999999999</v>
      </c>
      <c r="O25" s="48"/>
      <c r="P25" s="60">
        <v>-4.5149999999999997</v>
      </c>
      <c r="Q25" s="60">
        <v>55.671999999999997</v>
      </c>
      <c r="R25" s="60">
        <v>4.2910000000000004</v>
      </c>
      <c r="S25" s="60">
        <v>82.802000000000007</v>
      </c>
      <c r="T25" s="93">
        <v>138.25</v>
      </c>
      <c r="U25" s="48"/>
      <c r="V25" s="60">
        <v>-76.64</v>
      </c>
      <c r="W25" s="60">
        <v>77.430000000000007</v>
      </c>
      <c r="X25" s="60">
        <v>114.613</v>
      </c>
      <c r="Y25" s="60">
        <v>297.18900000000002</v>
      </c>
      <c r="Z25" s="93">
        <v>412.59199999999998</v>
      </c>
      <c r="AA25" s="81"/>
      <c r="AB25" s="60">
        <v>-55.734999999999999</v>
      </c>
      <c r="AC25" s="60">
        <v>90.063999999999993</v>
      </c>
      <c r="AD25" s="60">
        <v>-34.927</v>
      </c>
      <c r="AE25" s="60">
        <v>364.553</v>
      </c>
      <c r="AF25" s="93">
        <v>363.95499999999998</v>
      </c>
      <c r="AG25" s="82"/>
      <c r="AH25" s="60">
        <v>-104.146</v>
      </c>
      <c r="AI25" s="60">
        <v>87.247</v>
      </c>
      <c r="AJ25" s="50"/>
      <c r="AK25" s="50"/>
      <c r="AL25" s="94"/>
      <c r="AM25" s="83"/>
      <c r="AN25" s="50"/>
      <c r="AO25" s="50"/>
      <c r="AP25" s="50"/>
      <c r="AQ25" s="50"/>
      <c r="AR25" s="94"/>
      <c r="AS25" s="83"/>
      <c r="AT25" s="94"/>
      <c r="AU25" s="83"/>
      <c r="AV25" s="94"/>
      <c r="AX25" s="94"/>
    </row>
    <row r="26" spans="1:50" s="54" customFormat="1" ht="15" customHeight="1" thickTop="1">
      <c r="A26" s="43"/>
      <c r="B26" s="154"/>
      <c r="C26" s="17"/>
      <c r="D26" s="46"/>
      <c r="E26" s="46"/>
      <c r="F26" s="46"/>
      <c r="G26" s="46"/>
      <c r="H26" s="66"/>
      <c r="I26" s="48"/>
      <c r="J26" s="46"/>
      <c r="K26" s="46"/>
      <c r="L26" s="46"/>
      <c r="M26" s="46"/>
      <c r="N26" s="66"/>
      <c r="O26" s="48"/>
      <c r="P26" s="46"/>
      <c r="Q26" s="46"/>
      <c r="R26" s="46"/>
      <c r="S26" s="46"/>
      <c r="T26" s="66"/>
      <c r="U26" s="48"/>
      <c r="V26" s="46"/>
      <c r="W26" s="46"/>
      <c r="X26" s="46"/>
      <c r="Y26" s="46"/>
      <c r="Z26" s="66"/>
      <c r="AA26" s="51"/>
      <c r="AB26" s="46"/>
      <c r="AC26" s="46"/>
      <c r="AD26" s="46"/>
      <c r="AE26" s="46"/>
      <c r="AF26" s="66"/>
      <c r="AG26" s="49"/>
      <c r="AH26" s="46"/>
      <c r="AI26" s="46"/>
      <c r="AJ26" s="50"/>
      <c r="AK26" s="50"/>
      <c r="AL26" s="68"/>
      <c r="AM26" s="72"/>
      <c r="AN26" s="50"/>
      <c r="AO26" s="50"/>
      <c r="AP26" s="50"/>
      <c r="AQ26" s="50"/>
      <c r="AR26" s="68"/>
      <c r="AS26" s="72"/>
      <c r="AT26" s="68"/>
      <c r="AU26" s="72"/>
      <c r="AV26" s="68"/>
      <c r="AX26" s="68"/>
    </row>
    <row r="27" spans="1:50" s="54" customFormat="1" ht="15" customHeight="1">
      <c r="A27" s="44" t="s">
        <v>37</v>
      </c>
      <c r="B27" s="158" t="s">
        <v>687</v>
      </c>
      <c r="C27" s="115"/>
      <c r="D27" s="46"/>
      <c r="E27" s="46"/>
      <c r="F27" s="46"/>
      <c r="G27" s="46"/>
      <c r="H27" s="66"/>
      <c r="I27" s="48"/>
      <c r="J27" s="46"/>
      <c r="K27" s="46"/>
      <c r="L27" s="46"/>
      <c r="M27" s="46"/>
      <c r="N27" s="66"/>
      <c r="O27" s="48"/>
      <c r="P27" s="46"/>
      <c r="Q27" s="46"/>
      <c r="R27" s="46"/>
      <c r="S27" s="46"/>
      <c r="T27" s="66"/>
      <c r="U27" s="48"/>
      <c r="V27" s="46"/>
      <c r="W27" s="46"/>
      <c r="X27" s="46"/>
      <c r="Y27" s="46"/>
      <c r="Z27" s="66"/>
      <c r="AA27" s="81"/>
      <c r="AB27" s="46"/>
      <c r="AC27" s="46"/>
      <c r="AD27" s="46"/>
      <c r="AE27" s="46"/>
      <c r="AF27" s="66"/>
      <c r="AG27" s="82"/>
      <c r="AH27" s="46"/>
      <c r="AI27" s="46"/>
      <c r="AJ27" s="50"/>
      <c r="AK27" s="50"/>
      <c r="AL27" s="68"/>
      <c r="AM27" s="83"/>
      <c r="AN27" s="50"/>
      <c r="AO27" s="50"/>
      <c r="AP27" s="50"/>
      <c r="AQ27" s="50"/>
      <c r="AR27" s="68"/>
      <c r="AS27" s="83"/>
      <c r="AT27" s="68"/>
      <c r="AU27" s="83"/>
      <c r="AV27" s="68"/>
      <c r="AX27" s="68"/>
    </row>
    <row r="28" spans="1:50" s="54" customFormat="1" ht="15" customHeight="1">
      <c r="A28" s="43"/>
      <c r="B28" s="159" t="s">
        <v>688</v>
      </c>
      <c r="C28" s="17"/>
      <c r="D28" s="60">
        <v>-14.393000000000001</v>
      </c>
      <c r="E28" s="60">
        <v>-7.0430000000000001</v>
      </c>
      <c r="F28" s="60">
        <v>-9.359</v>
      </c>
      <c r="G28" s="60">
        <v>-15.39</v>
      </c>
      <c r="H28" s="66">
        <v>-46.185000000000002</v>
      </c>
      <c r="I28" s="48"/>
      <c r="J28" s="60">
        <v>-12.545</v>
      </c>
      <c r="K28" s="60">
        <v>-29.553999999999998</v>
      </c>
      <c r="L28" s="60">
        <v>-62.738</v>
      </c>
      <c r="M28" s="60">
        <v>-64.043999999999997</v>
      </c>
      <c r="N28" s="66">
        <v>-168.881</v>
      </c>
      <c r="O28" s="48"/>
      <c r="P28" s="60">
        <v>-40.835000000000001</v>
      </c>
      <c r="Q28" s="60">
        <v>-56.003999999999998</v>
      </c>
      <c r="R28" s="60">
        <v>-63.697000000000003</v>
      </c>
      <c r="S28" s="60">
        <v>-72.606999999999999</v>
      </c>
      <c r="T28" s="66">
        <v>-233.143</v>
      </c>
      <c r="U28" s="48"/>
      <c r="V28" s="60">
        <v>-50.997999999999998</v>
      </c>
      <c r="W28" s="60">
        <v>-74.524000000000001</v>
      </c>
      <c r="X28" s="60">
        <v>-47.712000000000003</v>
      </c>
      <c r="Y28" s="60">
        <v>-61.966999999999999</v>
      </c>
      <c r="Z28" s="66">
        <v>-235.20099999999999</v>
      </c>
      <c r="AA28" s="51"/>
      <c r="AB28" s="60">
        <v>-41.514000000000003</v>
      </c>
      <c r="AC28" s="60">
        <v>-66.795000000000002</v>
      </c>
      <c r="AD28" s="60">
        <v>-115.464</v>
      </c>
      <c r="AE28" s="60">
        <v>-195.18899999999999</v>
      </c>
      <c r="AF28" s="66">
        <v>-418.96199999999999</v>
      </c>
      <c r="AG28" s="49"/>
      <c r="AH28" s="60">
        <v>-84.39</v>
      </c>
      <c r="AI28" s="60">
        <v>-94.177000000000007</v>
      </c>
      <c r="AJ28" s="50"/>
      <c r="AK28" s="50"/>
      <c r="AL28" s="68"/>
      <c r="AM28" s="72"/>
      <c r="AN28" s="50"/>
      <c r="AO28" s="50"/>
      <c r="AP28" s="50"/>
      <c r="AQ28" s="50"/>
      <c r="AR28" s="68"/>
      <c r="AS28" s="72"/>
      <c r="AT28" s="68"/>
      <c r="AU28" s="72"/>
      <c r="AV28" s="68"/>
      <c r="AW28" s="360"/>
      <c r="AX28" s="68"/>
    </row>
    <row r="29" spans="1:50" s="54" customFormat="1" ht="15" customHeight="1">
      <c r="A29" s="113"/>
      <c r="B29" s="159" t="s">
        <v>689</v>
      </c>
      <c r="C29" s="115"/>
      <c r="D29" s="60">
        <v>0</v>
      </c>
      <c r="E29" s="60">
        <v>0</v>
      </c>
      <c r="F29" s="60">
        <v>0.34499999999999997</v>
      </c>
      <c r="G29" s="60">
        <v>0.93200000000000005</v>
      </c>
      <c r="H29" s="66">
        <v>1.2769999999999999</v>
      </c>
      <c r="I29" s="48"/>
      <c r="J29" s="60">
        <v>0.17499999999999999</v>
      </c>
      <c r="K29" s="60">
        <v>0.21299999999999999</v>
      </c>
      <c r="L29" s="60">
        <v>4.7E-2</v>
      </c>
      <c r="M29" s="60">
        <v>1.0369999999999999</v>
      </c>
      <c r="N29" s="66">
        <v>1.472</v>
      </c>
      <c r="O29" s="48"/>
      <c r="P29" s="60">
        <v>0</v>
      </c>
      <c r="Q29" s="60">
        <v>0</v>
      </c>
      <c r="R29" s="60">
        <v>0</v>
      </c>
      <c r="S29" s="60">
        <v>0</v>
      </c>
      <c r="T29" s="66">
        <v>0</v>
      </c>
      <c r="U29" s="48"/>
      <c r="V29" s="60">
        <v>0</v>
      </c>
      <c r="W29" s="60">
        <v>0</v>
      </c>
      <c r="X29" s="60">
        <v>0</v>
      </c>
      <c r="Y29" s="60">
        <v>0</v>
      </c>
      <c r="Z29" s="66">
        <v>0</v>
      </c>
      <c r="AA29" s="81"/>
      <c r="AB29" s="60">
        <v>0</v>
      </c>
      <c r="AC29" s="60">
        <v>0</v>
      </c>
      <c r="AD29" s="60">
        <v>0</v>
      </c>
      <c r="AE29" s="60">
        <v>0</v>
      </c>
      <c r="AF29" s="66">
        <v>0</v>
      </c>
      <c r="AG29" s="82"/>
      <c r="AH29" s="60">
        <v>0</v>
      </c>
      <c r="AI29" s="60">
        <v>0</v>
      </c>
      <c r="AJ29" s="50"/>
      <c r="AK29" s="50"/>
      <c r="AL29" s="68"/>
      <c r="AM29" s="83"/>
      <c r="AN29" s="50"/>
      <c r="AO29" s="50"/>
      <c r="AP29" s="50"/>
      <c r="AQ29" s="50"/>
      <c r="AR29" s="68"/>
      <c r="AS29" s="83"/>
      <c r="AT29" s="68"/>
      <c r="AU29" s="83"/>
      <c r="AV29" s="68"/>
      <c r="AX29" s="68"/>
    </row>
    <row r="30" spans="1:50" s="54" customFormat="1" ht="15" customHeight="1">
      <c r="A30" s="43"/>
      <c r="B30" s="159" t="s">
        <v>690</v>
      </c>
      <c r="C30" s="17"/>
      <c r="D30" s="60">
        <v>0</v>
      </c>
      <c r="E30" s="60">
        <v>0</v>
      </c>
      <c r="F30" s="60">
        <v>0</v>
      </c>
      <c r="G30" s="60">
        <v>-63.404000000000003</v>
      </c>
      <c r="H30" s="66">
        <v>-63.404000000000003</v>
      </c>
      <c r="I30" s="48"/>
      <c r="J30" s="60">
        <v>-11.327999999999999</v>
      </c>
      <c r="K30" s="60">
        <v>1.7000000000000001E-2</v>
      </c>
      <c r="L30" s="60">
        <v>-85.01</v>
      </c>
      <c r="M30" s="60">
        <v>-50</v>
      </c>
      <c r="N30" s="66">
        <v>-146.321</v>
      </c>
      <c r="O30" s="48"/>
      <c r="P30" s="60">
        <v>-49.982999999999997</v>
      </c>
      <c r="Q30" s="60">
        <v>-6.8</v>
      </c>
      <c r="R30" s="60">
        <v>-32.351999999999997</v>
      </c>
      <c r="S30" s="60">
        <v>-0.6</v>
      </c>
      <c r="T30" s="66">
        <v>-89.734999999999999</v>
      </c>
      <c r="U30" s="48"/>
      <c r="V30" s="60">
        <v>-130.31100000000001</v>
      </c>
      <c r="W30" s="60">
        <v>-64.067999999999998</v>
      </c>
      <c r="X30" s="60">
        <v>-0.24299999999999999</v>
      </c>
      <c r="Y30" s="60">
        <v>-0.24399999999999999</v>
      </c>
      <c r="Z30" s="66">
        <v>-194.86600000000001</v>
      </c>
      <c r="AA30" s="51"/>
      <c r="AB30" s="60">
        <v>0</v>
      </c>
      <c r="AC30" s="60">
        <v>-8.8000000000000007</v>
      </c>
      <c r="AD30" s="60">
        <v>7.8209999999999997</v>
      </c>
      <c r="AE30" s="60">
        <v>0</v>
      </c>
      <c r="AF30" s="66">
        <v>-0.97899999999999998</v>
      </c>
      <c r="AG30" s="49"/>
      <c r="AH30" s="60">
        <v>0</v>
      </c>
      <c r="AI30" s="60">
        <v>0</v>
      </c>
      <c r="AJ30" s="50"/>
      <c r="AK30" s="50"/>
      <c r="AL30" s="68"/>
      <c r="AM30" s="72"/>
      <c r="AN30" s="50"/>
      <c r="AO30" s="50"/>
      <c r="AP30" s="50"/>
      <c r="AQ30" s="50"/>
      <c r="AR30" s="68"/>
      <c r="AS30" s="72"/>
      <c r="AT30" s="68"/>
      <c r="AU30" s="72"/>
      <c r="AV30" s="68"/>
      <c r="AX30" s="68"/>
    </row>
    <row r="31" spans="1:50" s="54" customFormat="1" ht="15" customHeight="1">
      <c r="A31" s="113"/>
      <c r="B31" s="159" t="s">
        <v>691</v>
      </c>
      <c r="C31" s="115"/>
      <c r="D31" s="60">
        <v>0</v>
      </c>
      <c r="E31" s="60">
        <v>0</v>
      </c>
      <c r="F31" s="60">
        <v>0</v>
      </c>
      <c r="G31" s="60">
        <v>0</v>
      </c>
      <c r="H31" s="66">
        <v>0</v>
      </c>
      <c r="I31" s="48"/>
      <c r="J31" s="60">
        <v>0</v>
      </c>
      <c r="K31" s="60">
        <v>0</v>
      </c>
      <c r="L31" s="60">
        <v>0</v>
      </c>
      <c r="M31" s="60">
        <v>0</v>
      </c>
      <c r="N31" s="66">
        <v>0</v>
      </c>
      <c r="O31" s="48"/>
      <c r="P31" s="60">
        <v>0</v>
      </c>
      <c r="Q31" s="60">
        <v>0</v>
      </c>
      <c r="R31" s="60">
        <v>0</v>
      </c>
      <c r="S31" s="60">
        <v>0</v>
      </c>
      <c r="T31" s="66">
        <v>0</v>
      </c>
      <c r="U31" s="48"/>
      <c r="V31" s="60">
        <v>0</v>
      </c>
      <c r="W31" s="60">
        <v>0</v>
      </c>
      <c r="X31" s="60">
        <v>0</v>
      </c>
      <c r="Y31" s="60">
        <v>0</v>
      </c>
      <c r="Z31" s="66">
        <v>0</v>
      </c>
      <c r="AA31" s="81"/>
      <c r="AB31" s="60">
        <v>0</v>
      </c>
      <c r="AC31" s="60">
        <v>0</v>
      </c>
      <c r="AD31" s="60">
        <v>0</v>
      </c>
      <c r="AE31" s="60">
        <v>0</v>
      </c>
      <c r="AF31" s="66">
        <v>0</v>
      </c>
      <c r="AG31" s="82"/>
      <c r="AH31" s="60">
        <v>0</v>
      </c>
      <c r="AI31" s="60">
        <v>0</v>
      </c>
      <c r="AJ31" s="50"/>
      <c r="AK31" s="50"/>
      <c r="AL31" s="68"/>
      <c r="AM31" s="89"/>
      <c r="AN31" s="50"/>
      <c r="AO31" s="50"/>
      <c r="AP31" s="50"/>
      <c r="AQ31" s="50"/>
      <c r="AR31" s="68"/>
      <c r="AS31" s="89"/>
      <c r="AT31" s="68"/>
      <c r="AU31" s="89"/>
      <c r="AV31" s="68"/>
      <c r="AX31" s="68"/>
    </row>
    <row r="32" spans="1:50" s="54" customFormat="1" ht="15" customHeight="1">
      <c r="A32" s="113"/>
      <c r="B32" s="159" t="s">
        <v>692</v>
      </c>
      <c r="C32" s="115"/>
      <c r="D32" s="60">
        <v>0</v>
      </c>
      <c r="E32" s="60">
        <v>0</v>
      </c>
      <c r="F32" s="60">
        <v>0</v>
      </c>
      <c r="G32" s="60">
        <v>0</v>
      </c>
      <c r="H32" s="66">
        <v>0</v>
      </c>
      <c r="I32" s="48"/>
      <c r="J32" s="60">
        <v>0</v>
      </c>
      <c r="K32" s="60">
        <v>0</v>
      </c>
      <c r="L32" s="60">
        <v>0</v>
      </c>
      <c r="M32" s="60">
        <v>0</v>
      </c>
      <c r="N32" s="66">
        <v>0</v>
      </c>
      <c r="O32" s="48"/>
      <c r="P32" s="60">
        <v>0</v>
      </c>
      <c r="Q32" s="60">
        <v>0</v>
      </c>
      <c r="R32" s="60">
        <v>0</v>
      </c>
      <c r="S32" s="60">
        <v>0</v>
      </c>
      <c r="T32" s="66">
        <v>0</v>
      </c>
      <c r="U32" s="48"/>
      <c r="V32" s="60">
        <v>0</v>
      </c>
      <c r="W32" s="60">
        <v>0</v>
      </c>
      <c r="X32" s="60">
        <v>0</v>
      </c>
      <c r="Y32" s="60">
        <v>0</v>
      </c>
      <c r="Z32" s="66">
        <v>0</v>
      </c>
      <c r="AA32" s="81"/>
      <c r="AB32" s="60">
        <v>0</v>
      </c>
      <c r="AC32" s="60">
        <v>0</v>
      </c>
      <c r="AD32" s="60">
        <v>0</v>
      </c>
      <c r="AE32" s="60">
        <v>0</v>
      </c>
      <c r="AF32" s="66">
        <v>0</v>
      </c>
      <c r="AG32" s="82"/>
      <c r="AH32" s="60">
        <v>0</v>
      </c>
      <c r="AI32" s="60">
        <v>0</v>
      </c>
      <c r="AJ32" s="50"/>
      <c r="AK32" s="50"/>
      <c r="AL32" s="68"/>
      <c r="AM32" s="89"/>
      <c r="AN32" s="50"/>
      <c r="AO32" s="50"/>
      <c r="AP32" s="50"/>
      <c r="AQ32" s="50"/>
      <c r="AR32" s="68"/>
      <c r="AS32" s="89"/>
      <c r="AT32" s="68"/>
      <c r="AU32" s="89"/>
      <c r="AV32" s="68"/>
      <c r="AX32" s="68"/>
    </row>
    <row r="33" spans="1:38" s="54" customFormat="1" ht="15" customHeight="1">
      <c r="A33" s="113"/>
      <c r="B33" s="159" t="s">
        <v>693</v>
      </c>
      <c r="C33" s="17"/>
      <c r="D33" s="60">
        <v>0</v>
      </c>
      <c r="E33" s="60">
        <v>0</v>
      </c>
      <c r="F33" s="60">
        <v>0</v>
      </c>
      <c r="G33" s="60">
        <v>0</v>
      </c>
      <c r="H33" s="66">
        <v>0</v>
      </c>
      <c r="I33" s="48"/>
      <c r="J33" s="60">
        <v>0</v>
      </c>
      <c r="K33" s="60">
        <v>0</v>
      </c>
      <c r="L33" s="60">
        <v>0</v>
      </c>
      <c r="M33" s="60">
        <v>0</v>
      </c>
      <c r="N33" s="66">
        <v>0</v>
      </c>
      <c r="O33" s="48"/>
      <c r="P33" s="60">
        <v>0</v>
      </c>
      <c r="Q33" s="60">
        <v>0</v>
      </c>
      <c r="R33" s="60">
        <v>0</v>
      </c>
      <c r="S33" s="60">
        <v>0</v>
      </c>
      <c r="T33" s="66">
        <v>0</v>
      </c>
      <c r="U33" s="48"/>
      <c r="V33" s="60">
        <v>0</v>
      </c>
      <c r="W33" s="60">
        <v>0</v>
      </c>
      <c r="X33" s="60">
        <v>0</v>
      </c>
      <c r="Y33" s="60">
        <v>0</v>
      </c>
      <c r="Z33" s="66">
        <v>0</v>
      </c>
      <c r="AA33" s="51"/>
      <c r="AB33" s="60">
        <v>0</v>
      </c>
      <c r="AC33" s="60">
        <v>-1845.8219999999999</v>
      </c>
      <c r="AD33" s="60">
        <v>-2072.116</v>
      </c>
      <c r="AE33" s="60">
        <v>0</v>
      </c>
      <c r="AF33" s="66">
        <v>0</v>
      </c>
      <c r="AG33" s="49"/>
      <c r="AH33" s="60">
        <v>0</v>
      </c>
      <c r="AI33" s="60">
        <v>0</v>
      </c>
      <c r="AJ33" s="50"/>
      <c r="AK33" s="50"/>
      <c r="AL33" s="68"/>
    </row>
    <row r="34" spans="1:38" s="54" customFormat="1" ht="15" customHeight="1">
      <c r="A34" s="43"/>
      <c r="B34" s="159" t="s">
        <v>694</v>
      </c>
      <c r="C34" s="17"/>
      <c r="D34" s="60">
        <v>0</v>
      </c>
      <c r="E34" s="60">
        <v>0</v>
      </c>
      <c r="F34" s="60">
        <v>0</v>
      </c>
      <c r="G34" s="60">
        <v>0</v>
      </c>
      <c r="H34" s="66">
        <v>0</v>
      </c>
      <c r="I34" s="48"/>
      <c r="J34" s="60">
        <v>0</v>
      </c>
      <c r="K34" s="60">
        <v>0</v>
      </c>
      <c r="L34" s="60">
        <v>0</v>
      </c>
      <c r="M34" s="60">
        <v>0</v>
      </c>
      <c r="N34" s="66">
        <v>0</v>
      </c>
      <c r="O34" s="48"/>
      <c r="P34" s="60">
        <v>0</v>
      </c>
      <c r="Q34" s="60">
        <v>0</v>
      </c>
      <c r="R34" s="60">
        <v>0</v>
      </c>
      <c r="S34" s="60">
        <v>0</v>
      </c>
      <c r="T34" s="66">
        <v>0</v>
      </c>
      <c r="U34" s="48"/>
      <c r="V34" s="60">
        <v>0</v>
      </c>
      <c r="W34" s="60">
        <v>0</v>
      </c>
      <c r="X34" s="60">
        <v>0</v>
      </c>
      <c r="Y34" s="60">
        <v>0</v>
      </c>
      <c r="Z34" s="66">
        <v>0</v>
      </c>
      <c r="AA34" s="51"/>
      <c r="AB34" s="60">
        <v>0</v>
      </c>
      <c r="AC34" s="60">
        <v>2031.76</v>
      </c>
      <c r="AD34" s="60">
        <v>2340.538</v>
      </c>
      <c r="AE34" s="60">
        <v>0</v>
      </c>
      <c r="AF34" s="66">
        <v>0</v>
      </c>
      <c r="AG34" s="49"/>
      <c r="AH34" s="60">
        <v>0</v>
      </c>
      <c r="AI34" s="60">
        <v>0</v>
      </c>
      <c r="AJ34" s="50"/>
      <c r="AK34" s="50"/>
      <c r="AL34" s="68"/>
    </row>
    <row r="35" spans="1:38" s="54" customFormat="1" ht="15" customHeight="1">
      <c r="B35" s="159" t="s">
        <v>695</v>
      </c>
      <c r="C35" s="115"/>
      <c r="D35" s="60">
        <v>-345.505</v>
      </c>
      <c r="E35" s="60">
        <v>62.704000000000001</v>
      </c>
      <c r="F35" s="60">
        <v>1.597999999999999</v>
      </c>
      <c r="G35" s="60">
        <v>92.179000000000002</v>
      </c>
      <c r="H35" s="74">
        <v>-189.024</v>
      </c>
      <c r="I35" s="48"/>
      <c r="J35" s="60">
        <v>176.63</v>
      </c>
      <c r="K35" s="60">
        <v>34.082999999999998</v>
      </c>
      <c r="L35" s="60">
        <v>71.089000000000027</v>
      </c>
      <c r="M35" s="60">
        <v>21.156000000000006</v>
      </c>
      <c r="N35" s="74">
        <v>302.95800000000003</v>
      </c>
      <c r="O35" s="48"/>
      <c r="P35" s="60">
        <v>-355.40600000000001</v>
      </c>
      <c r="Q35" s="60">
        <v>-27.914000000000009</v>
      </c>
      <c r="R35" s="60">
        <v>166.21700000000001</v>
      </c>
      <c r="S35" s="60">
        <v>32.732999999999997</v>
      </c>
      <c r="T35" s="74">
        <v>-184.37</v>
      </c>
      <c r="U35" s="48"/>
      <c r="V35" s="60">
        <v>-243.191</v>
      </c>
      <c r="W35" s="60">
        <v>104.42399999999998</v>
      </c>
      <c r="X35" s="60">
        <v>38.156000000000006</v>
      </c>
      <c r="Y35" s="60">
        <v>-83.310999999999993</v>
      </c>
      <c r="Z35" s="74">
        <v>-183.92200000000003</v>
      </c>
      <c r="AA35" s="81"/>
      <c r="AB35" s="60">
        <v>138.63499999999999</v>
      </c>
      <c r="AC35" s="60">
        <v>-138.63500000000008</v>
      </c>
      <c r="AD35" s="60">
        <v>467.86099999999999</v>
      </c>
      <c r="AE35" s="60">
        <v>22.787999999999982</v>
      </c>
      <c r="AF35" s="74">
        <v>945.00900000000001</v>
      </c>
      <c r="AG35" s="82"/>
      <c r="AH35" s="60">
        <v>-403.399</v>
      </c>
      <c r="AI35" s="60">
        <v>340.577</v>
      </c>
      <c r="AJ35" s="50"/>
      <c r="AK35" s="50"/>
      <c r="AL35" s="75"/>
    </row>
    <row r="36" spans="1:38" s="54" customFormat="1" ht="15" customHeight="1" thickBot="1">
      <c r="A36" s="113"/>
      <c r="B36" s="160" t="s">
        <v>696</v>
      </c>
      <c r="C36" s="17"/>
      <c r="D36" s="60">
        <v>-359.89800000000002</v>
      </c>
      <c r="E36" s="60">
        <v>55.661000000000001</v>
      </c>
      <c r="F36" s="60">
        <v>-7.4160000000000004</v>
      </c>
      <c r="G36" s="60">
        <v>14.317</v>
      </c>
      <c r="H36" s="93">
        <v>-297.33600000000001</v>
      </c>
      <c r="I36" s="48"/>
      <c r="J36" s="60">
        <v>152.93199999999999</v>
      </c>
      <c r="K36" s="60">
        <v>4.7590000000000003</v>
      </c>
      <c r="L36" s="60">
        <v>-76.611999999999995</v>
      </c>
      <c r="M36" s="60">
        <v>-91.850999999999999</v>
      </c>
      <c r="N36" s="93">
        <v>-10.772</v>
      </c>
      <c r="O36" s="48"/>
      <c r="P36" s="60">
        <v>-446.22399999999999</v>
      </c>
      <c r="Q36" s="60">
        <v>-90.718000000000004</v>
      </c>
      <c r="R36" s="60">
        <v>70.168000000000006</v>
      </c>
      <c r="S36" s="60">
        <v>-40.473999999999997</v>
      </c>
      <c r="T36" s="93">
        <v>-507.24799999999999</v>
      </c>
      <c r="U36" s="48"/>
      <c r="V36" s="60">
        <v>-424.5</v>
      </c>
      <c r="W36" s="60">
        <v>-34.167999999999999</v>
      </c>
      <c r="X36" s="60">
        <v>-9.7989999999999995</v>
      </c>
      <c r="Y36" s="60">
        <v>-145.52199999999999</v>
      </c>
      <c r="Z36" s="93">
        <v>-613.98900000000003</v>
      </c>
      <c r="AA36" s="51"/>
      <c r="AB36" s="60">
        <v>97.120999999999995</v>
      </c>
      <c r="AC36" s="60">
        <v>-28.292000000000002</v>
      </c>
      <c r="AD36" s="60">
        <v>628.64</v>
      </c>
      <c r="AE36" s="60">
        <v>-172.40100000000001</v>
      </c>
      <c r="AF36" s="93">
        <v>525.06799999999998</v>
      </c>
      <c r="AG36" s="49"/>
      <c r="AH36" s="60">
        <v>-487.78899999999999</v>
      </c>
      <c r="AI36" s="60">
        <v>246.4</v>
      </c>
      <c r="AJ36" s="50"/>
      <c r="AK36" s="50"/>
      <c r="AL36" s="94"/>
    </row>
    <row r="37" spans="1:38" s="54" customFormat="1" ht="15" customHeight="1" thickTop="1">
      <c r="A37" s="43"/>
      <c r="B37" s="154"/>
      <c r="C37" s="115"/>
      <c r="D37" s="46"/>
      <c r="E37" s="46"/>
      <c r="F37" s="46"/>
      <c r="G37" s="46"/>
      <c r="H37" s="66"/>
      <c r="I37" s="48"/>
      <c r="J37" s="46"/>
      <c r="K37" s="46"/>
      <c r="L37" s="46"/>
      <c r="M37" s="46"/>
      <c r="N37" s="66"/>
      <c r="O37" s="48"/>
      <c r="P37" s="46"/>
      <c r="Q37" s="46"/>
      <c r="R37" s="46"/>
      <c r="S37" s="46"/>
      <c r="T37" s="66"/>
      <c r="U37" s="48"/>
      <c r="V37" s="46"/>
      <c r="W37" s="46"/>
      <c r="X37" s="46"/>
      <c r="Y37" s="46"/>
      <c r="Z37" s="66"/>
      <c r="AA37" s="86"/>
      <c r="AB37" s="46"/>
      <c r="AC37" s="46"/>
      <c r="AD37" s="46"/>
      <c r="AE37" s="46"/>
      <c r="AF37" s="66"/>
      <c r="AG37" s="82"/>
      <c r="AH37" s="46"/>
      <c r="AI37" s="46"/>
      <c r="AJ37" s="50"/>
      <c r="AK37" s="50"/>
      <c r="AL37" s="68"/>
    </row>
    <row r="38" spans="1:38" s="54" customFormat="1" ht="15" customHeight="1">
      <c r="A38" s="44" t="s">
        <v>37</v>
      </c>
      <c r="B38" s="158" t="s">
        <v>697</v>
      </c>
      <c r="C38" s="27"/>
      <c r="D38" s="46"/>
      <c r="E38" s="46"/>
      <c r="F38" s="46"/>
      <c r="G38" s="46"/>
      <c r="H38" s="66"/>
      <c r="I38" s="48"/>
      <c r="J38" s="46"/>
      <c r="K38" s="46"/>
      <c r="L38" s="46"/>
      <c r="M38" s="46"/>
      <c r="N38" s="66"/>
      <c r="O38" s="48"/>
      <c r="P38" s="46"/>
      <c r="Q38" s="46"/>
      <c r="R38" s="46"/>
      <c r="S38" s="46"/>
      <c r="T38" s="66"/>
      <c r="U38" s="48"/>
      <c r="V38" s="46"/>
      <c r="W38" s="46"/>
      <c r="X38" s="46"/>
      <c r="Y38" s="46"/>
      <c r="Z38" s="66"/>
      <c r="AA38" s="51"/>
      <c r="AB38" s="46"/>
      <c r="AC38" s="46"/>
      <c r="AD38" s="46"/>
      <c r="AE38" s="46"/>
      <c r="AF38" s="66"/>
      <c r="AG38" s="49"/>
      <c r="AH38" s="46"/>
      <c r="AI38" s="46"/>
      <c r="AJ38" s="50"/>
      <c r="AK38" s="50"/>
      <c r="AL38" s="68"/>
    </row>
    <row r="39" spans="1:38" s="54" customFormat="1" ht="15" customHeight="1">
      <c r="A39" s="113"/>
      <c r="B39" s="159" t="s">
        <v>698</v>
      </c>
      <c r="C39" s="115"/>
      <c r="D39" s="60">
        <v>-22.675000000000001</v>
      </c>
      <c r="E39" s="60">
        <v>0</v>
      </c>
      <c r="F39" s="60">
        <v>0</v>
      </c>
      <c r="G39" s="60">
        <v>-148.31700000000001</v>
      </c>
      <c r="H39" s="66">
        <v>-170.99199999999999</v>
      </c>
      <c r="I39" s="48"/>
      <c r="J39" s="60">
        <v>0</v>
      </c>
      <c r="K39" s="60">
        <v>0</v>
      </c>
      <c r="L39" s="60">
        <v>-32.171999999999997</v>
      </c>
      <c r="M39" s="60">
        <v>0</v>
      </c>
      <c r="N39" s="66">
        <v>-32.171999999999997</v>
      </c>
      <c r="O39" s="48"/>
      <c r="P39" s="60">
        <v>-60</v>
      </c>
      <c r="Q39" s="60">
        <v>0</v>
      </c>
      <c r="R39" s="60">
        <v>-69.683000000000007</v>
      </c>
      <c r="S39" s="60">
        <v>-50</v>
      </c>
      <c r="T39" s="66">
        <v>-179.68299999999999</v>
      </c>
      <c r="U39" s="48"/>
      <c r="V39" s="60">
        <v>-82.106999999999999</v>
      </c>
      <c r="W39" s="60">
        <v>0</v>
      </c>
      <c r="X39" s="60">
        <v>-102.148</v>
      </c>
      <c r="Y39" s="60">
        <v>-112.047</v>
      </c>
      <c r="Z39" s="66">
        <v>-296.30200000000002</v>
      </c>
      <c r="AA39" s="51"/>
      <c r="AB39" s="60">
        <v>0</v>
      </c>
      <c r="AC39" s="60">
        <v>0</v>
      </c>
      <c r="AD39" s="60">
        <v>-60</v>
      </c>
      <c r="AE39" s="60">
        <v>-118.749</v>
      </c>
      <c r="AF39" s="66">
        <v>-178.749</v>
      </c>
      <c r="AG39" s="49"/>
      <c r="AH39" s="60">
        <v>0</v>
      </c>
      <c r="AI39" s="60">
        <v>0</v>
      </c>
      <c r="AJ39" s="50"/>
      <c r="AK39" s="50"/>
      <c r="AL39" s="68"/>
    </row>
    <row r="40" spans="1:38" s="54" customFormat="1" ht="15" customHeight="1">
      <c r="A40" s="113"/>
      <c r="B40" s="159" t="s">
        <v>699</v>
      </c>
      <c r="C40" s="115"/>
      <c r="D40" s="60">
        <v>-2.6320000000000001</v>
      </c>
      <c r="E40" s="60">
        <v>0</v>
      </c>
      <c r="F40" s="60">
        <v>-1.04</v>
      </c>
      <c r="G40" s="60">
        <v>0</v>
      </c>
      <c r="H40" s="66">
        <v>-3.6720000000000002</v>
      </c>
      <c r="I40" s="48"/>
      <c r="J40" s="60">
        <v>0</v>
      </c>
      <c r="K40" s="60">
        <v>-50.356000000000002</v>
      </c>
      <c r="L40" s="60">
        <v>39.19</v>
      </c>
      <c r="M40" s="60">
        <v>-3.0089999999999999</v>
      </c>
      <c r="N40" s="66">
        <v>-14.175000000000001</v>
      </c>
      <c r="O40" s="48"/>
      <c r="P40" s="60">
        <v>-36.776000000000003</v>
      </c>
      <c r="Q40" s="60">
        <v>36.776000000000003</v>
      </c>
      <c r="R40" s="60">
        <v>-24.376999999999999</v>
      </c>
      <c r="S40" s="60">
        <v>-1.68</v>
      </c>
      <c r="T40" s="66">
        <v>-26.056999999999999</v>
      </c>
      <c r="U40" s="48"/>
      <c r="V40" s="60">
        <v>-6.1909999999999998</v>
      </c>
      <c r="W40" s="60">
        <v>-3.024</v>
      </c>
      <c r="X40" s="60">
        <v>0</v>
      </c>
      <c r="Y40" s="60">
        <v>-2.0329999999999999</v>
      </c>
      <c r="Z40" s="66">
        <v>-11.247999999999999</v>
      </c>
      <c r="AA40" s="51"/>
      <c r="AB40" s="60">
        <v>0</v>
      </c>
      <c r="AC40" s="60">
        <v>0</v>
      </c>
      <c r="AD40" s="60">
        <v>0</v>
      </c>
      <c r="AE40" s="60">
        <v>0</v>
      </c>
      <c r="AF40" s="66">
        <v>0</v>
      </c>
      <c r="AG40" s="49"/>
      <c r="AH40" s="60">
        <v>0</v>
      </c>
      <c r="AI40" s="60">
        <v>0</v>
      </c>
      <c r="AJ40" s="50"/>
      <c r="AK40" s="50"/>
      <c r="AL40" s="68"/>
    </row>
    <row r="41" spans="1:38" s="54" customFormat="1" ht="15" customHeight="1">
      <c r="A41" s="113"/>
      <c r="B41" s="159" t="s">
        <v>700</v>
      </c>
      <c r="C41" s="115"/>
      <c r="D41" s="60">
        <v>0</v>
      </c>
      <c r="E41" s="60">
        <v>0</v>
      </c>
      <c r="F41" s="60">
        <v>0</v>
      </c>
      <c r="G41" s="60">
        <v>0</v>
      </c>
      <c r="H41" s="66">
        <v>0</v>
      </c>
      <c r="I41" s="48"/>
      <c r="J41" s="60">
        <v>0</v>
      </c>
      <c r="K41" s="60">
        <v>0</v>
      </c>
      <c r="L41" s="60">
        <v>0</v>
      </c>
      <c r="M41" s="60">
        <v>0</v>
      </c>
      <c r="N41" s="66">
        <v>0</v>
      </c>
      <c r="O41" s="48"/>
      <c r="P41" s="60">
        <v>0</v>
      </c>
      <c r="Q41" s="60">
        <v>0</v>
      </c>
      <c r="R41" s="60">
        <v>0</v>
      </c>
      <c r="S41" s="60">
        <v>0</v>
      </c>
      <c r="T41" s="66">
        <v>0</v>
      </c>
      <c r="U41" s="48"/>
      <c r="V41" s="60">
        <v>0</v>
      </c>
      <c r="W41" s="60">
        <v>0</v>
      </c>
      <c r="X41" s="60">
        <v>0</v>
      </c>
      <c r="Y41" s="60">
        <v>0</v>
      </c>
      <c r="Z41" s="66">
        <v>0</v>
      </c>
      <c r="AA41" s="51"/>
      <c r="AB41" s="60">
        <v>0</v>
      </c>
      <c r="AC41" s="60">
        <v>0</v>
      </c>
      <c r="AD41" s="60">
        <v>0</v>
      </c>
      <c r="AE41" s="60">
        <v>0</v>
      </c>
      <c r="AF41" s="66">
        <v>0</v>
      </c>
      <c r="AG41" s="49"/>
      <c r="AH41" s="60">
        <v>0</v>
      </c>
      <c r="AI41" s="60">
        <v>0</v>
      </c>
      <c r="AJ41" s="50"/>
      <c r="AK41" s="50"/>
      <c r="AL41" s="68"/>
    </row>
    <row r="42" spans="1:38" s="54" customFormat="1" ht="15" customHeight="1">
      <c r="A42" s="142"/>
      <c r="B42" s="159" t="s">
        <v>701</v>
      </c>
      <c r="C42" s="27"/>
      <c r="D42" s="60">
        <v>0</v>
      </c>
      <c r="E42" s="60">
        <v>0</v>
      </c>
      <c r="F42" s="60">
        <v>0</v>
      </c>
      <c r="G42" s="60">
        <v>0</v>
      </c>
      <c r="H42" s="66">
        <v>0</v>
      </c>
      <c r="I42" s="48"/>
      <c r="J42" s="60">
        <v>0</v>
      </c>
      <c r="K42" s="60">
        <v>0</v>
      </c>
      <c r="L42" s="60">
        <v>0</v>
      </c>
      <c r="M42" s="60">
        <v>0</v>
      </c>
      <c r="N42" s="66">
        <v>0</v>
      </c>
      <c r="O42" s="48"/>
      <c r="P42" s="60">
        <v>0</v>
      </c>
      <c r="Q42" s="60">
        <v>0</v>
      </c>
      <c r="R42" s="60">
        <v>0</v>
      </c>
      <c r="S42" s="60">
        <v>0</v>
      </c>
      <c r="T42" s="66">
        <v>0</v>
      </c>
      <c r="U42" s="48"/>
      <c r="V42" s="60">
        <v>0</v>
      </c>
      <c r="W42" s="60">
        <v>0</v>
      </c>
      <c r="X42" s="60">
        <v>0</v>
      </c>
      <c r="Y42" s="60">
        <v>0</v>
      </c>
      <c r="Z42" s="66">
        <v>0</v>
      </c>
      <c r="AA42" s="51"/>
      <c r="AB42" s="60">
        <v>0</v>
      </c>
      <c r="AC42" s="60">
        <v>0</v>
      </c>
      <c r="AD42" s="60">
        <v>0</v>
      </c>
      <c r="AE42" s="60">
        <v>0</v>
      </c>
      <c r="AF42" s="66">
        <v>0</v>
      </c>
      <c r="AG42" s="49"/>
      <c r="AH42" s="60">
        <v>0</v>
      </c>
      <c r="AI42" s="60">
        <v>0</v>
      </c>
      <c r="AJ42" s="50"/>
      <c r="AK42" s="50"/>
      <c r="AL42" s="68"/>
    </row>
    <row r="43" spans="1:38" s="54" customFormat="1" ht="15" customHeight="1">
      <c r="A43" s="113"/>
      <c r="B43" s="159" t="s">
        <v>702</v>
      </c>
      <c r="C43" s="115"/>
      <c r="D43" s="60">
        <v>0</v>
      </c>
      <c r="E43" s="60">
        <v>0</v>
      </c>
      <c r="F43" s="60">
        <v>0</v>
      </c>
      <c r="G43" s="60">
        <v>0</v>
      </c>
      <c r="H43" s="66">
        <v>0</v>
      </c>
      <c r="I43" s="48"/>
      <c r="J43" s="60">
        <v>0</v>
      </c>
      <c r="K43" s="60">
        <v>0</v>
      </c>
      <c r="L43" s="60">
        <v>0</v>
      </c>
      <c r="M43" s="60">
        <v>0</v>
      </c>
      <c r="N43" s="66">
        <v>0</v>
      </c>
      <c r="O43" s="48"/>
      <c r="P43" s="60">
        <v>0</v>
      </c>
      <c r="Q43" s="60">
        <v>0</v>
      </c>
      <c r="R43" s="60">
        <v>0</v>
      </c>
      <c r="S43" s="60">
        <v>0</v>
      </c>
      <c r="T43" s="66">
        <v>0</v>
      </c>
      <c r="U43" s="48"/>
      <c r="V43" s="60">
        <v>0</v>
      </c>
      <c r="W43" s="60">
        <v>0</v>
      </c>
      <c r="X43" s="60">
        <v>0</v>
      </c>
      <c r="Y43" s="60">
        <v>0</v>
      </c>
      <c r="Z43" s="66">
        <v>0</v>
      </c>
      <c r="AA43" s="51"/>
      <c r="AB43" s="60">
        <v>0</v>
      </c>
      <c r="AC43" s="60">
        <v>0</v>
      </c>
      <c r="AD43" s="60">
        <v>0</v>
      </c>
      <c r="AE43" s="60">
        <v>0</v>
      </c>
      <c r="AF43" s="66">
        <v>0</v>
      </c>
      <c r="AG43" s="49"/>
      <c r="AH43" s="60">
        <v>0</v>
      </c>
      <c r="AI43" s="60">
        <v>0</v>
      </c>
      <c r="AJ43" s="50"/>
      <c r="AK43" s="50"/>
      <c r="AL43" s="68"/>
    </row>
    <row r="44" spans="1:38" s="54" customFormat="1" ht="15" customHeight="1">
      <c r="A44" s="113"/>
      <c r="B44" s="159" t="s">
        <v>703</v>
      </c>
      <c r="C44" s="115"/>
      <c r="D44" s="60">
        <v>373.178</v>
      </c>
      <c r="E44" s="60">
        <v>-33.191000000000003</v>
      </c>
      <c r="F44" s="60">
        <v>-46.974000000000004</v>
      </c>
      <c r="G44" s="60">
        <v>-16.897999999999996</v>
      </c>
      <c r="H44" s="74">
        <v>276.11500000000001</v>
      </c>
      <c r="I44" s="48"/>
      <c r="J44" s="60">
        <v>-6.782</v>
      </c>
      <c r="K44" s="60">
        <v>-141.136</v>
      </c>
      <c r="L44" s="60">
        <v>17.073999999999998</v>
      </c>
      <c r="M44" s="60">
        <v>-56.322000000000003</v>
      </c>
      <c r="N44" s="74">
        <v>-187.166</v>
      </c>
      <c r="O44" s="48"/>
      <c r="P44" s="60">
        <v>612.39599999999996</v>
      </c>
      <c r="Q44" s="60">
        <v>-22.633000000000003</v>
      </c>
      <c r="R44" s="60">
        <v>15.914000000000001</v>
      </c>
      <c r="S44" s="60">
        <v>-37.511000000000003</v>
      </c>
      <c r="T44" s="74">
        <v>568.16599999999994</v>
      </c>
      <c r="U44" s="48"/>
      <c r="V44" s="60">
        <v>642.41399999999999</v>
      </c>
      <c r="W44" s="60">
        <v>-52.234000000000002</v>
      </c>
      <c r="X44" s="60">
        <v>-14.284000000000006</v>
      </c>
      <c r="Y44" s="60">
        <v>-25.416000000000011</v>
      </c>
      <c r="Z44" s="74">
        <v>550.48</v>
      </c>
      <c r="AA44" s="81"/>
      <c r="AB44" s="60">
        <v>-61.04</v>
      </c>
      <c r="AC44" s="60">
        <v>-67.385000000000005</v>
      </c>
      <c r="AD44" s="60">
        <v>-425.83800000000002</v>
      </c>
      <c r="AE44" s="60">
        <v>-58.759000000000015</v>
      </c>
      <c r="AF44" s="74">
        <v>-613.02199999999993</v>
      </c>
      <c r="AG44" s="82"/>
      <c r="AH44" s="60">
        <v>547.61199999999997</v>
      </c>
      <c r="AI44" s="60">
        <v>-289.80500000000001</v>
      </c>
      <c r="AJ44" s="50"/>
      <c r="AK44" s="50"/>
      <c r="AL44" s="75"/>
    </row>
    <row r="45" spans="1:38" s="54" customFormat="1" ht="15" customHeight="1" thickBot="1">
      <c r="A45" s="113"/>
      <c r="B45" s="160" t="s">
        <v>704</v>
      </c>
      <c r="C45" s="17"/>
      <c r="D45" s="60">
        <v>347.87099999999998</v>
      </c>
      <c r="E45" s="60">
        <v>-33.191000000000003</v>
      </c>
      <c r="F45" s="60">
        <v>-48.014000000000003</v>
      </c>
      <c r="G45" s="60">
        <v>-165.215</v>
      </c>
      <c r="H45" s="93">
        <v>101.45099999999999</v>
      </c>
      <c r="I45" s="48"/>
      <c r="J45" s="60">
        <v>-6.782</v>
      </c>
      <c r="K45" s="60">
        <v>-191.49199999999999</v>
      </c>
      <c r="L45" s="60">
        <v>24.091999999999999</v>
      </c>
      <c r="M45" s="60">
        <v>-59.331000000000003</v>
      </c>
      <c r="N45" s="93">
        <v>-233.51300000000001</v>
      </c>
      <c r="O45" s="48"/>
      <c r="P45" s="60">
        <v>515.62</v>
      </c>
      <c r="Q45" s="60">
        <v>14.143000000000001</v>
      </c>
      <c r="R45" s="60">
        <v>-78.146000000000001</v>
      </c>
      <c r="S45" s="60">
        <v>-89.191000000000003</v>
      </c>
      <c r="T45" s="93">
        <v>362.42599999999999</v>
      </c>
      <c r="U45" s="48"/>
      <c r="V45" s="60">
        <v>554.11599999999999</v>
      </c>
      <c r="W45" s="60">
        <v>-55.258000000000003</v>
      </c>
      <c r="X45" s="60">
        <v>-116.432</v>
      </c>
      <c r="Y45" s="60">
        <v>-139.49600000000001</v>
      </c>
      <c r="Z45" s="93">
        <v>242.93</v>
      </c>
      <c r="AA45" s="48"/>
      <c r="AB45" s="60">
        <v>-61.04</v>
      </c>
      <c r="AC45" s="60">
        <v>-67.385000000000005</v>
      </c>
      <c r="AD45" s="60">
        <v>-485.83800000000002</v>
      </c>
      <c r="AE45" s="60">
        <v>-177.50800000000001</v>
      </c>
      <c r="AF45" s="93">
        <v>-791.77099999999996</v>
      </c>
      <c r="AG45" s="95"/>
      <c r="AH45" s="60">
        <v>547.61199999999997</v>
      </c>
      <c r="AI45" s="60">
        <v>-289.80500000000001</v>
      </c>
      <c r="AJ45" s="50"/>
      <c r="AK45" s="50"/>
      <c r="AL45" s="94"/>
    </row>
    <row r="46" spans="1:38" s="54" customFormat="1" ht="15" customHeight="1" thickTop="1">
      <c r="A46" s="113"/>
      <c r="B46" s="9"/>
      <c r="C46" s="115"/>
      <c r="D46" s="46"/>
      <c r="E46" s="46"/>
      <c r="F46" s="46"/>
      <c r="G46" s="46"/>
      <c r="H46" s="66"/>
      <c r="I46" s="48"/>
      <c r="J46" s="46"/>
      <c r="K46" s="46"/>
      <c r="L46" s="46"/>
      <c r="M46" s="46"/>
      <c r="N46" s="66"/>
      <c r="O46" s="48"/>
      <c r="P46" s="46"/>
      <c r="Q46" s="46"/>
      <c r="R46" s="46"/>
      <c r="S46" s="46"/>
      <c r="T46" s="66"/>
      <c r="U46" s="48"/>
      <c r="V46" s="46"/>
      <c r="W46" s="46"/>
      <c r="X46" s="46"/>
      <c r="Y46" s="46"/>
      <c r="Z46" s="66"/>
      <c r="AA46" s="81"/>
      <c r="AB46" s="46"/>
      <c r="AC46" s="46"/>
      <c r="AD46" s="46"/>
      <c r="AE46" s="46"/>
      <c r="AF46" s="66"/>
      <c r="AG46" s="82"/>
      <c r="AH46" s="46"/>
      <c r="AI46" s="46"/>
      <c r="AJ46" s="50"/>
      <c r="AK46" s="50"/>
      <c r="AL46" s="68"/>
    </row>
    <row r="47" spans="1:38" s="54" customFormat="1" ht="15" customHeight="1">
      <c r="A47" s="44" t="s">
        <v>37</v>
      </c>
      <c r="B47" s="158" t="s">
        <v>705</v>
      </c>
      <c r="C47" s="17"/>
      <c r="D47" s="60">
        <v>0</v>
      </c>
      <c r="E47" s="60">
        <v>0</v>
      </c>
      <c r="F47" s="60">
        <v>0</v>
      </c>
      <c r="G47" s="60">
        <v>4.0000000000000001E-3</v>
      </c>
      <c r="H47" s="66">
        <v>4.0000000000000001E-3</v>
      </c>
      <c r="I47" s="48"/>
      <c r="J47" s="60">
        <v>0</v>
      </c>
      <c r="K47" s="60">
        <v>0</v>
      </c>
      <c r="L47" s="60">
        <v>-1.212</v>
      </c>
      <c r="M47" s="60">
        <v>-0.98799999999999999</v>
      </c>
      <c r="N47" s="66">
        <v>-2.2000000000000002</v>
      </c>
      <c r="O47" s="48"/>
      <c r="P47" s="60">
        <v>8.1159999999999997</v>
      </c>
      <c r="Q47" s="60">
        <v>-4.1619999999999999</v>
      </c>
      <c r="R47" s="60">
        <v>-3.0619999999999998</v>
      </c>
      <c r="S47" s="60">
        <v>0.75600000000000001</v>
      </c>
      <c r="T47" s="66">
        <v>1.6479999999999999</v>
      </c>
      <c r="U47" s="48"/>
      <c r="V47" s="60">
        <v>1.8009999999999999</v>
      </c>
      <c r="W47" s="60">
        <v>1.859</v>
      </c>
      <c r="X47" s="60">
        <v>-1.149</v>
      </c>
      <c r="Y47" s="60">
        <v>0.44600000000000001</v>
      </c>
      <c r="Z47" s="66">
        <v>2.9569999999999999</v>
      </c>
      <c r="AA47" s="48"/>
      <c r="AB47" s="60">
        <v>-0.627</v>
      </c>
      <c r="AC47" s="60">
        <v>6.4630000000000001</v>
      </c>
      <c r="AD47" s="60">
        <v>0.67800000000000005</v>
      </c>
      <c r="AE47" s="60">
        <v>4.0780000000000003</v>
      </c>
      <c r="AF47" s="66">
        <v>10.592000000000001</v>
      </c>
      <c r="AG47" s="95"/>
      <c r="AH47" s="60">
        <v>-0.876</v>
      </c>
      <c r="AI47" s="60">
        <v>-2.4380000000000002</v>
      </c>
      <c r="AJ47" s="50"/>
      <c r="AK47" s="50"/>
      <c r="AL47" s="68"/>
    </row>
    <row r="49" spans="1:35" s="54" customFormat="1" ht="15" customHeight="1">
      <c r="A49" s="44" t="s">
        <v>37</v>
      </c>
      <c r="B49" s="158" t="s">
        <v>706</v>
      </c>
      <c r="C49" s="17"/>
      <c r="D49" s="60">
        <v>-6.2119999999999997</v>
      </c>
      <c r="E49" s="60">
        <v>5.3689999999999998</v>
      </c>
      <c r="F49" s="60">
        <v>0.53700000000000003</v>
      </c>
      <c r="G49" s="60">
        <v>24.795000000000002</v>
      </c>
      <c r="H49" s="74">
        <v>24.489000000000001</v>
      </c>
      <c r="I49" s="48"/>
      <c r="J49" s="60">
        <v>184.30099999999999</v>
      </c>
      <c r="K49" s="60">
        <v>-152.97300000000001</v>
      </c>
      <c r="L49" s="60">
        <v>-20.577999999999999</v>
      </c>
      <c r="M49" s="60">
        <v>-15.297000000000001</v>
      </c>
      <c r="N49" s="74">
        <v>-4.5469999999999997</v>
      </c>
      <c r="O49" s="48"/>
      <c r="P49" s="60">
        <v>72.997</v>
      </c>
      <c r="Q49" s="60">
        <v>-25.065000000000001</v>
      </c>
      <c r="R49" s="60">
        <v>-6.7489999999999997</v>
      </c>
      <c r="S49" s="60">
        <v>-46.106999999999999</v>
      </c>
      <c r="T49" s="74">
        <v>-4.9240000000000004</v>
      </c>
      <c r="U49" s="48"/>
      <c r="V49" s="60">
        <v>54.777000000000001</v>
      </c>
      <c r="W49" s="60">
        <v>-10.137</v>
      </c>
      <c r="X49" s="60">
        <v>-12.766999999999999</v>
      </c>
      <c r="Y49" s="60">
        <v>12.617000000000001</v>
      </c>
      <c r="Z49" s="74">
        <v>44.49</v>
      </c>
      <c r="AA49" s="48"/>
      <c r="AB49" s="60">
        <v>-20.280999999999999</v>
      </c>
      <c r="AC49" s="60">
        <v>0.85</v>
      </c>
      <c r="AD49" s="60">
        <v>108.553</v>
      </c>
      <c r="AE49" s="60">
        <v>18.722000000000001</v>
      </c>
      <c r="AF49" s="74">
        <v>107.84399999999999</v>
      </c>
      <c r="AG49" s="95"/>
      <c r="AH49" s="60">
        <v>-45.198999999999998</v>
      </c>
      <c r="AI49" s="60">
        <v>41.404000000000003</v>
      </c>
    </row>
    <row r="50" spans="1:35" s="54" customFormat="1" ht="15" customHeight="1" thickBot="1">
      <c r="B50" s="158" t="s">
        <v>707</v>
      </c>
      <c r="C50" s="115"/>
      <c r="D50" s="60">
        <v>7.5970000000000004</v>
      </c>
      <c r="E50" s="60">
        <v>12.965</v>
      </c>
      <c r="F50" s="60">
        <v>13.502000000000001</v>
      </c>
      <c r="G50" s="60">
        <v>38.296999999999997</v>
      </c>
      <c r="H50" s="93">
        <v>38.296999999999997</v>
      </c>
      <c r="I50" s="48"/>
      <c r="J50" s="60">
        <v>222.59800000000001</v>
      </c>
      <c r="K50" s="60">
        <v>69.625</v>
      </c>
      <c r="L50" s="60">
        <v>49.046999999999997</v>
      </c>
      <c r="M50" s="60">
        <v>33.75</v>
      </c>
      <c r="N50" s="93">
        <v>33.75</v>
      </c>
      <c r="O50" s="48"/>
      <c r="P50" s="60">
        <v>106.747</v>
      </c>
      <c r="Q50" s="60">
        <v>81.682000000000002</v>
      </c>
      <c r="R50" s="60">
        <v>74.933000000000007</v>
      </c>
      <c r="S50" s="60">
        <v>28.826000000000001</v>
      </c>
      <c r="T50" s="93">
        <v>28.826000000000001</v>
      </c>
      <c r="U50" s="48"/>
      <c r="V50" s="60">
        <v>83.602999999999994</v>
      </c>
      <c r="W50" s="60">
        <v>73.465999999999994</v>
      </c>
      <c r="X50" s="60">
        <v>60.698999999999998</v>
      </c>
      <c r="Y50" s="60">
        <v>73.316000000000003</v>
      </c>
      <c r="Z50" s="93">
        <v>73.316000000000003</v>
      </c>
      <c r="AA50" s="48"/>
      <c r="AB50" s="60">
        <v>53.034999999999997</v>
      </c>
      <c r="AC50" s="60">
        <v>53.884999999999998</v>
      </c>
      <c r="AD50" s="60">
        <v>162.43799999999999</v>
      </c>
      <c r="AE50" s="60">
        <v>181.16</v>
      </c>
      <c r="AF50" s="93">
        <v>181.16</v>
      </c>
      <c r="AG50" s="95"/>
      <c r="AH50" s="60">
        <v>135.96100000000001</v>
      </c>
      <c r="AI50" s="60">
        <v>177.36500000000001</v>
      </c>
    </row>
  </sheetData>
  <mergeCells count="7">
    <mergeCell ref="AN8:AR8"/>
    <mergeCell ref="AH8:AL8"/>
    <mergeCell ref="D8:H8"/>
    <mergeCell ref="J8:N8"/>
    <mergeCell ref="P8:T8"/>
    <mergeCell ref="V8:Z8"/>
    <mergeCell ref="AB8:AF8"/>
  </mergeCells>
  <conditionalFormatting sqref="D62:AV62">
    <cfRule type="containsText" dxfId="0" priority="1" operator="containsText" text="ERROR">
      <formula>NOT(ISERROR(SEARCH("ERROR",D62)))</formula>
    </cfRule>
  </conditionalFormatting>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499984740745262"/>
  </sheetPr>
  <dimension ref="A1:AX177"/>
  <sheetViews>
    <sheetView showGridLines="0" topLeftCell="B161" zoomScale="56" zoomScaleNormal="100" workbookViewId="0">
      <selection activeCell="D17" sqref="D17"/>
    </sheetView>
  </sheetViews>
  <sheetFormatPr defaultColWidth="9" defaultRowHeight="14.25" customHeight="1" outlineLevelCol="1"/>
  <cols>
    <col min="1" max="1" width="2.125" style="97" customWidth="1"/>
    <col min="2" max="2" width="50.625" style="97" customWidth="1"/>
    <col min="3" max="3" width="3.375" style="23" customWidth="1"/>
    <col min="4" max="7" width="9.625" style="97" customWidth="1" outlineLevel="1"/>
    <col min="8" max="8" width="11.625" style="97" customWidth="1"/>
    <col min="9" max="9" width="1.625" style="23" customWidth="1"/>
    <col min="10" max="13" width="9.625" style="97" customWidth="1" outlineLevel="1"/>
    <col min="14" max="14" width="11.625" style="97" customWidth="1"/>
    <col min="15" max="15" width="1.625" style="23" customWidth="1"/>
    <col min="16" max="19" width="9.625" style="97" customWidth="1" outlineLevel="1"/>
    <col min="20" max="20" width="11.625" style="97" customWidth="1"/>
    <col min="21" max="21" width="1.625" style="23" customWidth="1"/>
    <col min="22" max="25" width="9.625" style="97" customWidth="1" outlineLevel="1"/>
    <col min="26" max="26" width="11.625" style="97" customWidth="1"/>
    <col min="27" max="27" width="1.625" style="23" customWidth="1"/>
    <col min="28" max="31" width="9.625" style="97" customWidth="1" outlineLevel="1"/>
    <col min="32" max="32" width="11.625" style="97" customWidth="1"/>
    <col min="33" max="33" width="1.625" style="23" customWidth="1"/>
    <col min="34" max="37" width="9.625" style="97" customWidth="1" outlineLevel="1"/>
    <col min="38" max="38" width="11.625" style="97" customWidth="1"/>
    <col min="39" max="39" width="1.625" style="23" customWidth="1"/>
    <col min="40" max="43" width="9.625" style="97" customWidth="1" outlineLevel="1"/>
    <col min="44" max="44" width="11.625" style="97" customWidth="1"/>
    <col min="45" max="45" width="1.625" style="23" customWidth="1"/>
    <col min="46" max="46" width="11.625" style="97" customWidth="1"/>
    <col min="47" max="47" width="1.625" style="23" customWidth="1"/>
    <col min="48" max="48" width="11.625" style="105" customWidth="1"/>
    <col min="49" max="49" width="1.625" style="23" customWidth="1"/>
    <col min="50" max="50" width="11.625" style="97" customWidth="1"/>
    <col min="51" max="51" width="1.625" style="97" customWidth="1"/>
    <col min="52" max="16384" width="9" style="97"/>
  </cols>
  <sheetData>
    <row r="1" spans="1:50" s="576" customFormat="1" ht="15" customHeight="1"/>
    <row r="2" spans="1:50" s="576" customFormat="1" ht="15" customHeight="1"/>
    <row r="3" spans="1:50" s="576" customFormat="1" ht="15" customHeight="1"/>
    <row r="4" spans="1:50" s="576" customFormat="1" ht="15" customHeight="1"/>
    <row r="5" spans="1:50" s="288" customFormat="1" ht="3.95" customHeight="1">
      <c r="C5" s="36"/>
      <c r="I5" s="36"/>
      <c r="O5" s="36"/>
      <c r="U5" s="36"/>
      <c r="AA5" s="36"/>
      <c r="AG5" s="36"/>
      <c r="AM5" s="36"/>
      <c r="AS5" s="36"/>
      <c r="AU5" s="36"/>
      <c r="AV5" s="289"/>
      <c r="AW5" s="36"/>
    </row>
    <row r="7" spans="1:50" s="41" customFormat="1" ht="15" customHeight="1">
      <c r="B7" s="161" t="s">
        <v>708</v>
      </c>
      <c r="C7" s="18"/>
      <c r="D7" s="202">
        <f>F7</f>
        <v>2020</v>
      </c>
      <c r="E7" s="202">
        <f>F7</f>
        <v>2020</v>
      </c>
      <c r="F7" s="202">
        <v>2020</v>
      </c>
      <c r="G7" s="202">
        <f>F7</f>
        <v>2020</v>
      </c>
      <c r="H7" s="202">
        <f>F7</f>
        <v>2020</v>
      </c>
      <c r="I7" s="18"/>
      <c r="J7" s="202">
        <f>L7</f>
        <v>2021</v>
      </c>
      <c r="K7" s="202">
        <f>L7</f>
        <v>2021</v>
      </c>
      <c r="L7" s="202">
        <v>2021</v>
      </c>
      <c r="M7" s="202">
        <f>L7</f>
        <v>2021</v>
      </c>
      <c r="N7" s="202">
        <f>L7</f>
        <v>2021</v>
      </c>
      <c r="O7" s="169"/>
      <c r="P7" s="202">
        <f>R7</f>
        <v>2022</v>
      </c>
      <c r="Q7" s="202">
        <f>R7</f>
        <v>2022</v>
      </c>
      <c r="R7" s="202">
        <v>2022</v>
      </c>
      <c r="S7" s="202">
        <f>R7</f>
        <v>2022</v>
      </c>
      <c r="T7" s="202">
        <f>R7</f>
        <v>2022</v>
      </c>
      <c r="U7" s="169"/>
      <c r="V7" s="202">
        <f>X7</f>
        <v>2023</v>
      </c>
      <c r="W7" s="202">
        <f>X7</f>
        <v>2023</v>
      </c>
      <c r="X7" s="202">
        <v>2023</v>
      </c>
      <c r="Y7" s="202">
        <f>X7</f>
        <v>2023</v>
      </c>
      <c r="Z7" s="202">
        <f>X7</f>
        <v>2023</v>
      </c>
      <c r="AA7" s="170"/>
      <c r="AB7" s="202">
        <f>AD7</f>
        <v>2024</v>
      </c>
      <c r="AC7" s="202">
        <f>AD7</f>
        <v>2024</v>
      </c>
      <c r="AD7" s="202">
        <v>2024</v>
      </c>
      <c r="AE7" s="202">
        <f>AD7</f>
        <v>2024</v>
      </c>
      <c r="AF7" s="202">
        <f>AD7</f>
        <v>2024</v>
      </c>
      <c r="AG7" s="170"/>
      <c r="AH7" s="202">
        <f>AJ7</f>
        <v>2025</v>
      </c>
      <c r="AI7" s="202">
        <f>AJ7</f>
        <v>2025</v>
      </c>
      <c r="AJ7" s="203">
        <v>2025</v>
      </c>
      <c r="AK7" s="202">
        <f>AJ7</f>
        <v>2025</v>
      </c>
      <c r="AL7" s="202">
        <f>AJ7</f>
        <v>2025</v>
      </c>
      <c r="AM7" s="171"/>
      <c r="AN7" s="202">
        <f>AP7</f>
        <v>2025</v>
      </c>
      <c r="AO7" s="202">
        <f>AP7</f>
        <v>2025</v>
      </c>
      <c r="AP7" s="203">
        <v>2025</v>
      </c>
      <c r="AQ7" s="202">
        <f>AP7</f>
        <v>2025</v>
      </c>
      <c r="AR7" s="202">
        <f>AP7</f>
        <v>2025</v>
      </c>
      <c r="AS7" s="18"/>
      <c r="AT7" s="162"/>
      <c r="AU7" s="18"/>
      <c r="AV7" s="163"/>
      <c r="AW7" s="18"/>
      <c r="AX7" s="163"/>
    </row>
    <row r="8" spans="1:50" s="41" customFormat="1" ht="15" customHeight="1">
      <c r="B8" s="164"/>
      <c r="C8" s="18"/>
      <c r="D8" s="756">
        <v>2020</v>
      </c>
      <c r="E8" s="756"/>
      <c r="F8" s="756"/>
      <c r="G8" s="756"/>
      <c r="H8" s="756"/>
      <c r="I8" s="169"/>
      <c r="J8" s="756">
        <f>D8+1</f>
        <v>2021</v>
      </c>
      <c r="K8" s="756"/>
      <c r="L8" s="756"/>
      <c r="M8" s="756"/>
      <c r="N8" s="756"/>
      <c r="O8" s="169"/>
      <c r="P8" s="756">
        <f>J8+1</f>
        <v>2022</v>
      </c>
      <c r="Q8" s="756"/>
      <c r="R8" s="756"/>
      <c r="S8" s="756"/>
      <c r="T8" s="756"/>
      <c r="U8" s="169"/>
      <c r="V8" s="756">
        <f>P8+1</f>
        <v>2023</v>
      </c>
      <c r="W8" s="756"/>
      <c r="X8" s="756"/>
      <c r="Y8" s="756"/>
      <c r="Z8" s="756"/>
      <c r="AA8" s="169"/>
      <c r="AB8" s="756">
        <f>V8+1</f>
        <v>2024</v>
      </c>
      <c r="AC8" s="756"/>
      <c r="AD8" s="756"/>
      <c r="AE8" s="756"/>
      <c r="AF8" s="756"/>
      <c r="AG8" s="169"/>
      <c r="AH8" s="755">
        <f>AB8+1</f>
        <v>2025</v>
      </c>
      <c r="AI8" s="755"/>
      <c r="AJ8" s="755"/>
      <c r="AK8" s="755"/>
      <c r="AL8" s="755"/>
      <c r="AM8" s="169"/>
      <c r="AN8" s="755">
        <f>AH8+1</f>
        <v>2026</v>
      </c>
      <c r="AO8" s="755"/>
      <c r="AP8" s="755"/>
      <c r="AQ8" s="755"/>
      <c r="AR8" s="755"/>
      <c r="AS8" s="171"/>
      <c r="AT8" s="166">
        <f>AN8+1</f>
        <v>2027</v>
      </c>
      <c r="AU8" s="167"/>
      <c r="AV8" s="166">
        <f>+AT8+1</f>
        <v>2028</v>
      </c>
      <c r="AW8" s="167"/>
      <c r="AX8" s="166">
        <f>+AV8+1</f>
        <v>2029</v>
      </c>
    </row>
    <row r="9" spans="1:50" s="41" customFormat="1" ht="14.25" customHeight="1">
      <c r="B9" s="164"/>
      <c r="C9" s="18"/>
      <c r="D9" s="168" t="s">
        <v>207</v>
      </c>
      <c r="E9" s="168" t="s">
        <v>208</v>
      </c>
      <c r="F9" s="168" t="s">
        <v>209</v>
      </c>
      <c r="G9" s="168" t="s">
        <v>210</v>
      </c>
      <c r="H9" s="168" t="s">
        <v>211</v>
      </c>
      <c r="I9" s="18"/>
      <c r="J9" s="168" t="s">
        <v>207</v>
      </c>
      <c r="K9" s="168" t="s">
        <v>208</v>
      </c>
      <c r="L9" s="168" t="s">
        <v>209</v>
      </c>
      <c r="M9" s="168" t="s">
        <v>210</v>
      </c>
      <c r="N9" s="168" t="s">
        <v>211</v>
      </c>
      <c r="O9" s="165"/>
      <c r="P9" s="168" t="s">
        <v>207</v>
      </c>
      <c r="Q9" s="168" t="s">
        <v>208</v>
      </c>
      <c r="R9" s="168" t="s">
        <v>209</v>
      </c>
      <c r="S9" s="168" t="s">
        <v>210</v>
      </c>
      <c r="T9" s="168" t="s">
        <v>211</v>
      </c>
      <c r="U9" s="165"/>
      <c r="V9" s="168" t="s">
        <v>207</v>
      </c>
      <c r="W9" s="168" t="s">
        <v>208</v>
      </c>
      <c r="X9" s="168" t="s">
        <v>209</v>
      </c>
      <c r="Y9" s="168" t="s">
        <v>210</v>
      </c>
      <c r="Z9" s="168" t="s">
        <v>211</v>
      </c>
      <c r="AA9" s="165"/>
      <c r="AB9" s="168" t="s">
        <v>207</v>
      </c>
      <c r="AC9" s="168" t="s">
        <v>208</v>
      </c>
      <c r="AD9" s="168" t="s">
        <v>209</v>
      </c>
      <c r="AE9" s="168" t="s">
        <v>210</v>
      </c>
      <c r="AF9" s="168" t="s">
        <v>211</v>
      </c>
      <c r="AG9" s="165"/>
      <c r="AH9" s="168" t="s">
        <v>207</v>
      </c>
      <c r="AI9" s="168" t="s">
        <v>208</v>
      </c>
      <c r="AJ9" s="168" t="s">
        <v>209</v>
      </c>
      <c r="AK9" s="168" t="s">
        <v>210</v>
      </c>
      <c r="AL9" s="168" t="s">
        <v>211</v>
      </c>
      <c r="AM9" s="165"/>
      <c r="AN9" s="168" t="s">
        <v>207</v>
      </c>
      <c r="AO9" s="168" t="s">
        <v>208</v>
      </c>
      <c r="AP9" s="168" t="s">
        <v>209</v>
      </c>
      <c r="AQ9" s="168" t="s">
        <v>210</v>
      </c>
      <c r="AR9" s="168" t="s">
        <v>211</v>
      </c>
      <c r="AS9" s="165"/>
      <c r="AT9" s="168" t="s">
        <v>211</v>
      </c>
      <c r="AU9" s="165"/>
      <c r="AV9" s="168" t="s">
        <v>211</v>
      </c>
      <c r="AW9" s="165"/>
      <c r="AX9" s="168" t="s">
        <v>211</v>
      </c>
    </row>
    <row r="10" spans="1:50" s="41" customFormat="1"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s="41" customFormat="1"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ht="14.25" customHeight="1">
      <c r="A12" s="44" t="s">
        <v>37</v>
      </c>
      <c r="B12" s="65" t="s">
        <v>604</v>
      </c>
      <c r="D12" s="208"/>
      <c r="E12" s="208"/>
      <c r="F12" s="208"/>
      <c r="G12" s="208"/>
      <c r="H12" s="209"/>
      <c r="I12" s="210"/>
      <c r="J12" s="208"/>
      <c r="K12" s="208"/>
      <c r="L12" s="208"/>
      <c r="M12" s="208"/>
      <c r="N12" s="209"/>
      <c r="O12" s="209"/>
      <c r="P12" s="208"/>
      <c r="Q12" s="208"/>
      <c r="R12" s="208"/>
      <c r="S12" s="208"/>
      <c r="T12" s="209"/>
      <c r="U12" s="209"/>
      <c r="V12" s="208"/>
      <c r="W12" s="208"/>
      <c r="X12" s="208"/>
      <c r="Y12" s="208"/>
      <c r="Z12" s="209"/>
      <c r="AA12" s="209"/>
      <c r="AB12" s="208"/>
      <c r="AC12" s="208"/>
      <c r="AD12" s="208"/>
      <c r="AE12" s="208"/>
      <c r="AF12" s="209"/>
      <c r="AG12" s="211"/>
      <c r="AH12" s="208"/>
      <c r="AI12" s="208"/>
      <c r="AJ12" s="212"/>
      <c r="AK12" s="212"/>
      <c r="AL12" s="209"/>
      <c r="AM12" s="213"/>
      <c r="AN12" s="212"/>
      <c r="AO12" s="212"/>
      <c r="AP12" s="212"/>
      <c r="AQ12" s="212"/>
      <c r="AR12" s="209"/>
      <c r="AS12" s="213"/>
      <c r="AT12" s="214"/>
      <c r="AU12" s="215"/>
      <c r="AV12" s="214"/>
      <c r="AW12" s="215"/>
      <c r="AX12" s="214"/>
    </row>
    <row r="13" spans="1:50" ht="14.25" customHeight="1">
      <c r="A13" s="55"/>
      <c r="B13" s="70" t="s">
        <v>605</v>
      </c>
      <c r="D13" s="208"/>
      <c r="E13" s="208"/>
      <c r="F13" s="208"/>
      <c r="G13" s="208"/>
      <c r="H13" s="209" t="str">
        <f>IF(ROUND(SUM(IS!D13:G13),1)=ROUND(IS!H13,1),"OK","ERROR")</f>
        <v>OK</v>
      </c>
      <c r="I13" s="210"/>
      <c r="J13" s="208"/>
      <c r="K13" s="208"/>
      <c r="L13" s="208"/>
      <c r="M13" s="208"/>
      <c r="N13" s="209" t="str">
        <f>IF(ROUND(SUM(IS!J13:M13),1)=ROUND(IS!N13,1),"OK","ERROR")</f>
        <v>OK</v>
      </c>
      <c r="O13" s="209"/>
      <c r="P13" s="208"/>
      <c r="Q13" s="208"/>
      <c r="R13" s="208"/>
      <c r="S13" s="208"/>
      <c r="T13" s="209" t="str">
        <f>IF(ROUND(SUM(IS!P13:S13),1)=ROUND(IS!T13,1),"OK","ERROR")</f>
        <v>OK</v>
      </c>
      <c r="U13" s="209"/>
      <c r="V13" s="208"/>
      <c r="W13" s="208"/>
      <c r="X13" s="208"/>
      <c r="Y13" s="208"/>
      <c r="Z13" s="209" t="str">
        <f>IF(ROUND(SUM(IS!V13:Y13),1)=ROUND(IS!Z13,1),"OK","ERROR")</f>
        <v>OK</v>
      </c>
      <c r="AA13" s="209"/>
      <c r="AB13" s="208"/>
      <c r="AC13" s="208"/>
      <c r="AD13" s="208"/>
      <c r="AE13" s="208"/>
      <c r="AF13" s="209" t="str">
        <f>IF(ROUND(SUM(IS!AB13:AE13),1)=ROUND(IS!AF13,1),"OK","ERROR")</f>
        <v>OK</v>
      </c>
      <c r="AG13" s="211"/>
      <c r="AH13" s="208"/>
      <c r="AI13" s="208"/>
      <c r="AJ13" s="212"/>
      <c r="AK13" s="212"/>
      <c r="AL13" s="209" t="str">
        <f>IF(ROUND(SUM(IS!AH13:AK13),1)=ROUND(IS!AL13,1),"OK","ERROR")</f>
        <v>OK</v>
      </c>
      <c r="AM13" s="213"/>
      <c r="AN13" s="212"/>
      <c r="AO13" s="212"/>
      <c r="AP13" s="212"/>
      <c r="AQ13" s="212"/>
      <c r="AR13" s="209" t="str">
        <f>IF(ROUND(SUM(IS!AN13:AQ13),1)=ROUND(IS!AR13,1),"OK","ERROR")</f>
        <v>OK</v>
      </c>
      <c r="AS13" s="213"/>
      <c r="AT13" s="209"/>
      <c r="AU13" s="215"/>
      <c r="AV13" s="209"/>
      <c r="AW13" s="215"/>
      <c r="AX13" s="209"/>
    </row>
    <row r="14" spans="1:50" ht="14.25" customHeight="1">
      <c r="A14" s="55"/>
      <c r="B14" s="70" t="s">
        <v>606</v>
      </c>
      <c r="D14" s="208"/>
      <c r="E14" s="208"/>
      <c r="F14" s="208"/>
      <c r="G14" s="208"/>
      <c r="H14" s="209" t="str">
        <f>IF(ROUND(SUM(IS!D14:G14),1)=ROUND(IS!H14,1),"OK","ERROR")</f>
        <v>OK</v>
      </c>
      <c r="I14" s="210"/>
      <c r="J14" s="208"/>
      <c r="K14" s="208"/>
      <c r="L14" s="208"/>
      <c r="M14" s="208"/>
      <c r="N14" s="209" t="str">
        <f>IF(ROUND(SUM(IS!J14:M14),1)=ROUND(IS!N14,1),"OK","ERROR")</f>
        <v>OK</v>
      </c>
      <c r="O14" s="209"/>
      <c r="P14" s="208"/>
      <c r="Q14" s="208"/>
      <c r="R14" s="208"/>
      <c r="S14" s="208"/>
      <c r="T14" s="209" t="str">
        <f>IF(ROUND(SUM(IS!P14:S14),1)=ROUND(IS!T14,1),"OK","ERROR")</f>
        <v>OK</v>
      </c>
      <c r="U14" s="209"/>
      <c r="V14" s="208"/>
      <c r="W14" s="208"/>
      <c r="X14" s="208"/>
      <c r="Y14" s="208"/>
      <c r="Z14" s="209" t="str">
        <f>IF(ROUND(SUM(IS!V14:Y14),1)=ROUND(IS!Z14,1),"OK","ERROR")</f>
        <v>OK</v>
      </c>
      <c r="AA14" s="209"/>
      <c r="AB14" s="208"/>
      <c r="AC14" s="208"/>
      <c r="AD14" s="208"/>
      <c r="AE14" s="208"/>
      <c r="AF14" s="209" t="str">
        <f>IF(ROUND(SUM(IS!AB14:AE14),1)=ROUND(IS!AF14,1),"OK","ERROR")</f>
        <v>OK</v>
      </c>
      <c r="AG14" s="211"/>
      <c r="AH14" s="208"/>
      <c r="AI14" s="208"/>
      <c r="AJ14" s="212"/>
      <c r="AK14" s="212"/>
      <c r="AL14" s="209" t="str">
        <f>IF(ROUND(SUM(IS!AH14:AK14),1)=ROUND(IS!AL14,1),"OK","ERROR")</f>
        <v>OK</v>
      </c>
      <c r="AM14" s="213"/>
      <c r="AN14" s="212"/>
      <c r="AO14" s="212"/>
      <c r="AP14" s="212"/>
      <c r="AQ14" s="212"/>
      <c r="AR14" s="209" t="str">
        <f>IF(ROUND(SUM(IS!AN14:AQ14),1)=ROUND(IS!AR14,1),"OK","ERROR")</f>
        <v>OK</v>
      </c>
      <c r="AS14" s="213"/>
      <c r="AT14" s="209"/>
      <c r="AU14" s="215"/>
      <c r="AV14" s="209"/>
      <c r="AW14" s="215"/>
      <c r="AX14" s="209"/>
    </row>
    <row r="15" spans="1:50" ht="14.25" customHeight="1">
      <c r="A15" s="55"/>
      <c r="B15" s="70" t="s">
        <v>607</v>
      </c>
      <c r="D15" s="208"/>
      <c r="E15" s="208"/>
      <c r="F15" s="208"/>
      <c r="G15" s="208"/>
      <c r="H15" s="209" t="str">
        <f>IF(ROUND(SUM(IS!D15:G15),1)=ROUND(IS!H15,1),"OK","ERROR")</f>
        <v>OK</v>
      </c>
      <c r="I15" s="210"/>
      <c r="J15" s="208"/>
      <c r="K15" s="208"/>
      <c r="L15" s="208"/>
      <c r="M15" s="208"/>
      <c r="N15" s="209" t="str">
        <f>IF(ROUND(SUM(IS!J15:M15),1)=ROUND(IS!N15,1),"OK","ERROR")</f>
        <v>OK</v>
      </c>
      <c r="O15" s="209"/>
      <c r="P15" s="208"/>
      <c r="Q15" s="208"/>
      <c r="R15" s="208"/>
      <c r="S15" s="208"/>
      <c r="T15" s="209" t="str">
        <f>IF(ROUND(SUM(IS!P15:S15),1)=ROUND(IS!T15,1),"OK","ERROR")</f>
        <v>OK</v>
      </c>
      <c r="U15" s="209"/>
      <c r="V15" s="208"/>
      <c r="W15" s="208"/>
      <c r="X15" s="208"/>
      <c r="Y15" s="208"/>
      <c r="Z15" s="209" t="str">
        <f>IF(ROUND(SUM(IS!V15:Y15),1)=ROUND(IS!Z15,1),"OK","ERROR")</f>
        <v>OK</v>
      </c>
      <c r="AA15" s="209"/>
      <c r="AB15" s="208"/>
      <c r="AC15" s="208"/>
      <c r="AD15" s="208"/>
      <c r="AE15" s="208"/>
      <c r="AF15" s="209" t="str">
        <f>IF(ROUND(SUM(IS!AB15:AE15),1)=ROUND(IS!AF15,1),"OK","ERROR")</f>
        <v>OK</v>
      </c>
      <c r="AG15" s="211"/>
      <c r="AH15" s="208"/>
      <c r="AI15" s="208"/>
      <c r="AJ15" s="212"/>
      <c r="AK15" s="212"/>
      <c r="AL15" s="209" t="str">
        <f>IF(ROUND(SUM(IS!AH15:AK15),1)=ROUND(IS!AL15,1),"OK","ERROR")</f>
        <v>OK</v>
      </c>
      <c r="AM15" s="213"/>
      <c r="AN15" s="212"/>
      <c r="AO15" s="212"/>
      <c r="AP15" s="212"/>
      <c r="AQ15" s="212"/>
      <c r="AR15" s="209" t="str">
        <f>IF(ROUND(SUM(IS!AN15:AQ15),1)=ROUND(IS!AR15,1),"OK","ERROR")</f>
        <v>OK</v>
      </c>
      <c r="AS15" s="213"/>
      <c r="AT15" s="209"/>
      <c r="AU15" s="215"/>
      <c r="AV15" s="209"/>
      <c r="AW15" s="215"/>
      <c r="AX15" s="209"/>
    </row>
    <row r="16" spans="1:50" ht="14.25" customHeight="1">
      <c r="A16" s="55"/>
      <c r="B16" s="70" t="s">
        <v>608</v>
      </c>
      <c r="D16" s="208"/>
      <c r="E16" s="208"/>
      <c r="F16" s="208"/>
      <c r="G16" s="208"/>
      <c r="H16" s="216" t="str">
        <f>IF(ROUND(SUM(IS!D16:G16),1)=ROUND(IS!H16,1),"OK","ERROR")</f>
        <v>OK</v>
      </c>
      <c r="I16" s="210"/>
      <c r="J16" s="208"/>
      <c r="K16" s="208"/>
      <c r="L16" s="208"/>
      <c r="M16" s="208"/>
      <c r="N16" s="216" t="str">
        <f>IF(ROUND(SUM(IS!J16:M16),1)=ROUND(IS!N16,1),"OK","ERROR")</f>
        <v>OK</v>
      </c>
      <c r="O16" s="216"/>
      <c r="P16" s="208"/>
      <c r="Q16" s="208"/>
      <c r="R16" s="208"/>
      <c r="S16" s="208"/>
      <c r="T16" s="216" t="str">
        <f>IF(ROUND(SUM(IS!P16:S16),1)=ROUND(IS!T16,1),"OK","ERROR")</f>
        <v>OK</v>
      </c>
      <c r="U16" s="216"/>
      <c r="V16" s="208"/>
      <c r="W16" s="208"/>
      <c r="X16" s="208"/>
      <c r="Y16" s="208"/>
      <c r="Z16" s="216" t="str">
        <f>IF(ROUND(SUM(IS!V16:Y16),1)=ROUND(IS!Z16,1),"OK","ERROR")</f>
        <v>OK</v>
      </c>
      <c r="AA16" s="216"/>
      <c r="AB16" s="208"/>
      <c r="AC16" s="208"/>
      <c r="AD16" s="208"/>
      <c r="AE16" s="208"/>
      <c r="AF16" s="216" t="str">
        <f>IF(ROUND(SUM(IS!AB16:AE16),1)=ROUND(IS!AF16,1),"OK","ERROR")</f>
        <v>OK</v>
      </c>
      <c r="AG16" s="211"/>
      <c r="AH16" s="208"/>
      <c r="AI16" s="208"/>
      <c r="AJ16" s="212"/>
      <c r="AK16" s="212"/>
      <c r="AL16" s="216" t="str">
        <f>IF(ROUND(SUM(IS!AH16:AK16),1)=ROUND(IS!AL16,1),"OK","ERROR")</f>
        <v>OK</v>
      </c>
      <c r="AM16" s="213"/>
      <c r="AN16" s="212"/>
      <c r="AO16" s="212"/>
      <c r="AP16" s="212"/>
      <c r="AQ16" s="212"/>
      <c r="AR16" s="216" t="str">
        <f>IF(ROUND(SUM(IS!AN16:AQ16),1)=ROUND(IS!AR16,1),"OK","ERROR")</f>
        <v>OK</v>
      </c>
      <c r="AS16" s="213"/>
      <c r="AT16" s="216"/>
      <c r="AU16" s="215"/>
      <c r="AV16" s="216"/>
      <c r="AW16" s="215"/>
      <c r="AX16" s="216"/>
    </row>
    <row r="17" spans="1:44" ht="14.25" customHeight="1">
      <c r="A17" s="55"/>
      <c r="B17" s="70" t="s">
        <v>609</v>
      </c>
      <c r="D17" s="208"/>
      <c r="E17" s="208"/>
      <c r="F17" s="208"/>
      <c r="G17" s="208"/>
      <c r="H17" s="216" t="str">
        <f>IF(ROUND(SUM(IS!D17:G17),1)=ROUND(IS!H17,1),"OK","ERROR")</f>
        <v>OK</v>
      </c>
      <c r="I17" s="210"/>
      <c r="J17" s="208"/>
      <c r="K17" s="208"/>
      <c r="L17" s="208"/>
      <c r="M17" s="208"/>
      <c r="N17" s="216" t="str">
        <f>IF(ROUND(SUM(IS!J17:M17),1)=ROUND(IS!N17,1),"OK","ERROR")</f>
        <v>OK</v>
      </c>
      <c r="O17" s="216"/>
      <c r="P17" s="208"/>
      <c r="Q17" s="208"/>
      <c r="R17" s="208"/>
      <c r="S17" s="208"/>
      <c r="T17" s="216" t="str">
        <f>IF(ROUND(SUM(IS!P17:S17),1)=ROUND(IS!T17,1),"OK","ERROR")</f>
        <v>OK</v>
      </c>
      <c r="U17" s="216"/>
      <c r="V17" s="208"/>
      <c r="W17" s="208"/>
      <c r="X17" s="208"/>
      <c r="Y17" s="208"/>
      <c r="Z17" s="216" t="str">
        <f>IF(ROUND(SUM(IS!V17:Y17),1)=ROUND(IS!Z17,1),"OK","ERROR")</f>
        <v>OK</v>
      </c>
      <c r="AA17" s="216"/>
      <c r="AB17" s="208"/>
      <c r="AC17" s="208"/>
      <c r="AD17" s="208"/>
      <c r="AE17" s="208"/>
      <c r="AF17" s="216" t="str">
        <f>IF(ROUND(SUM(IS!AB17:AE17),1)=ROUND(IS!AF17,1),"OK","ERROR")</f>
        <v>OK</v>
      </c>
      <c r="AG17" s="211"/>
      <c r="AH17" s="208"/>
      <c r="AI17" s="208"/>
      <c r="AJ17" s="212"/>
      <c r="AK17" s="212"/>
      <c r="AL17" s="216" t="str">
        <f>IF(ROUND(SUM(IS!AH17:AK17),1)=ROUND(IS!AL17,1),"OK","ERROR")</f>
        <v>OK</v>
      </c>
      <c r="AM17" s="213"/>
      <c r="AN17" s="212"/>
      <c r="AO17" s="212"/>
      <c r="AP17" s="212"/>
      <c r="AQ17" s="212"/>
      <c r="AR17" s="216" t="str">
        <f>IF(ROUND(SUM(IS!AN17:AQ17),1)=ROUND(IS!AR17,1),"OK","ERROR")</f>
        <v>OK</v>
      </c>
    </row>
    <row r="18" spans="1:44" ht="14.25" customHeight="1">
      <c r="A18" s="55"/>
      <c r="B18" s="76" t="s">
        <v>224</v>
      </c>
      <c r="D18" s="217"/>
      <c r="E18" s="217"/>
      <c r="F18" s="217" t="s">
        <v>46</v>
      </c>
      <c r="G18" s="217"/>
      <c r="H18" s="218" t="str">
        <f>IF(ROUND(SUM(IS!D18:G18),1)=ROUND(IS!H18,1),"OK","ERROR")</f>
        <v>OK</v>
      </c>
      <c r="I18" s="210"/>
      <c r="J18" s="217"/>
      <c r="K18" s="217"/>
      <c r="L18" s="217"/>
      <c r="M18" s="217"/>
      <c r="N18" s="218" t="str">
        <f>IF(ROUND(SUM(IS!J18:M18),1)=ROUND(IS!N18,1),"OK","ERROR")</f>
        <v>OK</v>
      </c>
      <c r="O18" s="209"/>
      <c r="P18" s="217"/>
      <c r="Q18" s="217"/>
      <c r="R18" s="217"/>
      <c r="S18" s="217"/>
      <c r="T18" s="218" t="str">
        <f>IF(ROUND(SUM(IS!P18:S18),1)=ROUND(IS!T18,1),"OK","ERROR")</f>
        <v>OK</v>
      </c>
      <c r="U18" s="209"/>
      <c r="V18" s="217"/>
      <c r="W18" s="217"/>
      <c r="X18" s="217"/>
      <c r="Y18" s="217"/>
      <c r="Z18" s="218" t="str">
        <f>IF(ROUND(SUM(IS!V18:Y18),1)=ROUND(IS!Z18,1),"OK","ERROR")</f>
        <v>OK</v>
      </c>
      <c r="AA18" s="209"/>
      <c r="AB18" s="217"/>
      <c r="AC18" s="217"/>
      <c r="AD18" s="217"/>
      <c r="AE18" s="217"/>
      <c r="AF18" s="218" t="str">
        <f>IF(ROUND(SUM(IS!AB18:AE18),1)=ROUND(IS!AF18,1),"OK","ERROR")</f>
        <v>OK</v>
      </c>
      <c r="AG18" s="211"/>
      <c r="AH18" s="217"/>
      <c r="AI18" s="217"/>
      <c r="AJ18" s="219"/>
      <c r="AK18" s="219"/>
      <c r="AL18" s="218" t="str">
        <f>IF(ROUND(SUM(IS!AH18:AK18),1)=ROUND(IS!AL18,1),"OK","ERROR")</f>
        <v>ERROR</v>
      </c>
      <c r="AM18" s="213"/>
      <c r="AN18" s="219"/>
      <c r="AO18" s="219"/>
      <c r="AP18" s="219"/>
      <c r="AQ18" s="219"/>
      <c r="AR18" s="218" t="str">
        <f>IF(ROUND(SUM(IS!AN18:AQ18),1)=ROUND(IS!AR18,1),"OK","ERROR")</f>
        <v>OK</v>
      </c>
    </row>
    <row r="19" spans="1:44" ht="14.25" customHeight="1">
      <c r="A19" s="55"/>
      <c r="B19" s="64"/>
      <c r="D19" s="208"/>
      <c r="E19" s="208"/>
      <c r="F19" s="208"/>
      <c r="G19" s="208"/>
      <c r="H19" s="209"/>
      <c r="I19" s="210"/>
      <c r="J19" s="208"/>
      <c r="K19" s="208"/>
      <c r="L19" s="208"/>
      <c r="M19" s="208"/>
      <c r="N19" s="209"/>
      <c r="O19" s="209"/>
      <c r="P19" s="208"/>
      <c r="Q19" s="208"/>
      <c r="R19" s="208"/>
      <c r="S19" s="208"/>
      <c r="T19" s="209"/>
      <c r="U19" s="209"/>
      <c r="V19" s="208"/>
      <c r="W19" s="208"/>
      <c r="X19" s="208"/>
      <c r="Y19" s="208"/>
      <c r="Z19" s="209"/>
      <c r="AA19" s="209"/>
      <c r="AB19" s="208"/>
      <c r="AC19" s="208"/>
      <c r="AD19" s="208"/>
      <c r="AE19" s="208"/>
      <c r="AF19" s="209"/>
      <c r="AG19" s="211"/>
      <c r="AH19" s="208"/>
      <c r="AI19" s="208"/>
      <c r="AJ19" s="212"/>
      <c r="AK19" s="212"/>
      <c r="AL19" s="209"/>
      <c r="AM19" s="213"/>
      <c r="AN19" s="212"/>
      <c r="AO19" s="212"/>
      <c r="AP19" s="212"/>
      <c r="AQ19" s="212"/>
      <c r="AR19" s="209"/>
    </row>
    <row r="20" spans="1:44" ht="14.25" customHeight="1">
      <c r="A20" s="44" t="s">
        <v>37</v>
      </c>
      <c r="B20" s="65" t="s">
        <v>610</v>
      </c>
      <c r="D20" s="208"/>
      <c r="E20" s="208"/>
      <c r="F20" s="208"/>
      <c r="G20" s="208"/>
      <c r="H20" s="220"/>
      <c r="I20" s="210"/>
      <c r="J20" s="208"/>
      <c r="K20" s="208"/>
      <c r="L20" s="208"/>
      <c r="M20" s="208"/>
      <c r="N20" s="220"/>
      <c r="O20" s="210"/>
      <c r="P20" s="208"/>
      <c r="Q20" s="208"/>
      <c r="R20" s="208"/>
      <c r="S20" s="208"/>
      <c r="T20" s="220"/>
      <c r="U20" s="210"/>
      <c r="V20" s="208"/>
      <c r="W20" s="208"/>
      <c r="X20" s="208"/>
      <c r="Y20" s="208"/>
      <c r="Z20" s="220"/>
      <c r="AA20" s="213"/>
      <c r="AB20" s="208"/>
      <c r="AC20" s="208"/>
      <c r="AD20" s="208"/>
      <c r="AE20" s="208"/>
      <c r="AF20" s="220"/>
      <c r="AG20" s="211"/>
      <c r="AH20" s="208"/>
      <c r="AI20" s="208"/>
      <c r="AJ20" s="212"/>
      <c r="AK20" s="212"/>
      <c r="AL20" s="220"/>
      <c r="AM20" s="221"/>
      <c r="AN20" s="212"/>
      <c r="AO20" s="212"/>
      <c r="AP20" s="212"/>
      <c r="AQ20" s="212"/>
      <c r="AR20" s="220"/>
    </row>
    <row r="21" spans="1:44" ht="14.25" customHeight="1">
      <c r="A21" s="55"/>
      <c r="B21" s="70" t="s">
        <v>611</v>
      </c>
      <c r="D21" s="217"/>
      <c r="E21" s="217"/>
      <c r="F21" s="217"/>
      <c r="G21" s="217"/>
      <c r="H21" s="220" t="str">
        <f>IF(ROUND(SUM(IS!D21:G21),1)=ROUND(IS!H21,1),"OK","ERROR")</f>
        <v>OK</v>
      </c>
      <c r="I21" s="210"/>
      <c r="J21" s="217"/>
      <c r="K21" s="217"/>
      <c r="L21" s="217"/>
      <c r="M21" s="217"/>
      <c r="N21" s="220" t="str">
        <f>IF(ROUND(SUM(IS!J21:M21),1)=ROUND(IS!N21,1),"OK","ERROR")</f>
        <v>OK</v>
      </c>
      <c r="O21" s="210"/>
      <c r="P21" s="217"/>
      <c r="Q21" s="217"/>
      <c r="R21" s="217"/>
      <c r="S21" s="217"/>
      <c r="T21" s="220" t="str">
        <f>IF(ROUND(SUM(IS!P21:S21),1)=ROUND(IS!T21,1),"OK","ERROR")</f>
        <v>OK</v>
      </c>
      <c r="U21" s="210"/>
      <c r="V21" s="217"/>
      <c r="W21" s="217"/>
      <c r="X21" s="217"/>
      <c r="Y21" s="217"/>
      <c r="Z21" s="220" t="str">
        <f>IF(ROUND(SUM(IS!V21:Y21),1)=ROUND(IS!Z21,1),"OK","ERROR")</f>
        <v>OK</v>
      </c>
      <c r="AA21" s="213"/>
      <c r="AB21" s="217"/>
      <c r="AC21" s="217"/>
      <c r="AD21" s="217"/>
      <c r="AE21" s="217"/>
      <c r="AF21" s="220" t="str">
        <f>IF(ROUND(SUM(IS!AB21:AE21),1)=ROUND(IS!AF21,1),"OK","ERROR")</f>
        <v>OK</v>
      </c>
      <c r="AG21" s="211"/>
      <c r="AH21" s="217"/>
      <c r="AI21" s="217"/>
      <c r="AJ21" s="212"/>
      <c r="AK21" s="212"/>
      <c r="AL21" s="220" t="str">
        <f>IF(ROUND(SUM(IS!AH21:AK21),1)=ROUND(IS!AL21,1),"OK","ERROR")</f>
        <v>ERROR</v>
      </c>
      <c r="AM21" s="224"/>
      <c r="AN21" s="212"/>
      <c r="AO21" s="212"/>
      <c r="AP21" s="212"/>
      <c r="AQ21" s="212"/>
      <c r="AR21" s="220" t="str">
        <f>IF(ROUND(SUM(IS!AN21:AQ21),1)=ROUND(IS!AR21,1),"OK","ERROR")</f>
        <v>OK</v>
      </c>
    </row>
    <row r="22" spans="1:44" ht="14.25" customHeight="1">
      <c r="A22" s="73"/>
      <c r="B22" s="70" t="s">
        <v>612</v>
      </c>
      <c r="D22" s="217"/>
      <c r="E22" s="208"/>
      <c r="F22" s="208"/>
      <c r="G22" s="208"/>
      <c r="H22" s="226" t="str">
        <f>IF(ROUND(SUM(IS!D22:G22),1)=ROUND(IS!H22,1),"OK","ERROR")</f>
        <v>OK</v>
      </c>
      <c r="I22" s="210"/>
      <c r="J22" s="217"/>
      <c r="K22" s="217"/>
      <c r="L22" s="217"/>
      <c r="M22" s="217"/>
      <c r="N22" s="226" t="str">
        <f>IF(ROUND(SUM(IS!J22:M22),1)=ROUND(IS!N22,1),"OK","ERROR")</f>
        <v>OK</v>
      </c>
      <c r="O22" s="210"/>
      <c r="P22" s="217"/>
      <c r="Q22" s="217"/>
      <c r="R22" s="217"/>
      <c r="S22" s="217"/>
      <c r="T22" s="226" t="str">
        <f>IF(ROUND(SUM(IS!P22:S22),1)=ROUND(IS!T22,1),"OK","ERROR")</f>
        <v>OK</v>
      </c>
      <c r="U22" s="210"/>
      <c r="V22" s="217"/>
      <c r="W22" s="217"/>
      <c r="X22" s="217"/>
      <c r="Y22" s="217"/>
      <c r="Z22" s="226" t="str">
        <f>IF(ROUND(SUM(IS!V22:Y22),1)=ROUND(IS!Z22,1),"OK","ERROR")</f>
        <v>OK</v>
      </c>
      <c r="AA22" s="213"/>
      <c r="AB22" s="217"/>
      <c r="AC22" s="217"/>
      <c r="AD22" s="217"/>
      <c r="AE22" s="217"/>
      <c r="AF22" s="226" t="str">
        <f>IF(ROUND(SUM(IS!AB22:AE22),1)=ROUND(IS!AF22,1),"OK","ERROR")</f>
        <v>OK</v>
      </c>
      <c r="AG22" s="211"/>
      <c r="AH22" s="217"/>
      <c r="AI22" s="217"/>
      <c r="AJ22" s="212"/>
      <c r="AK22" s="212"/>
      <c r="AL22" s="226" t="str">
        <f>IF(ROUND(SUM(IS!AH22:AK22),1)=ROUND(IS!AL22,1),"OK","ERROR")</f>
        <v>OK</v>
      </c>
      <c r="AM22" s="224"/>
      <c r="AN22" s="212"/>
      <c r="AO22" s="212"/>
      <c r="AP22" s="212"/>
      <c r="AQ22" s="212"/>
      <c r="AR22" s="226" t="str">
        <f>IF(ROUND(SUM(IS!AN22:AQ22),1)=ROUND(IS!AR22,1),"OK","ERROR")</f>
        <v>OK</v>
      </c>
    </row>
    <row r="23" spans="1:44" ht="14.25" customHeight="1">
      <c r="A23" s="55"/>
      <c r="B23" s="76" t="s">
        <v>613</v>
      </c>
      <c r="D23" s="208"/>
      <c r="E23" s="208"/>
      <c r="F23" s="208"/>
      <c r="G23" s="208"/>
      <c r="H23" s="227" t="str">
        <f>IF(ROUND(SUM(IS!D23:G23),1)=ROUND(IS!H23,1),"OK","ERROR")</f>
        <v>OK</v>
      </c>
      <c r="I23" s="210"/>
      <c r="J23" s="208"/>
      <c r="K23" s="208"/>
      <c r="L23" s="208"/>
      <c r="M23" s="208"/>
      <c r="N23" s="227" t="str">
        <f>IF(ROUND(SUM(IS!J23:M23),1)=ROUND(IS!N23,1),"OK","ERROR")</f>
        <v>OK</v>
      </c>
      <c r="O23" s="210"/>
      <c r="P23" s="208"/>
      <c r="Q23" s="208"/>
      <c r="R23" s="208"/>
      <c r="S23" s="208"/>
      <c r="T23" s="227" t="str">
        <f>IF(ROUND(SUM(IS!P23:S23),1)=ROUND(IS!T23,1),"OK","ERROR")</f>
        <v>OK</v>
      </c>
      <c r="U23" s="210"/>
      <c r="V23" s="208"/>
      <c r="W23" s="208"/>
      <c r="X23" s="208"/>
      <c r="Y23" s="208"/>
      <c r="Z23" s="227" t="str">
        <f>IF(ROUND(SUM(IS!V23:Y23),1)=ROUND(IS!Z23,1),"OK","ERROR")</f>
        <v>OK</v>
      </c>
      <c r="AA23" s="213"/>
      <c r="AB23" s="208"/>
      <c r="AC23" s="208"/>
      <c r="AD23" s="208"/>
      <c r="AE23" s="208"/>
      <c r="AF23" s="227" t="str">
        <f>IF(ROUND(SUM(IS!AB23:AE23),1)=ROUND(IS!AF23,1),"OK","ERROR")</f>
        <v>OK</v>
      </c>
      <c r="AG23" s="211"/>
      <c r="AH23" s="208"/>
      <c r="AI23" s="208"/>
      <c r="AJ23" s="212"/>
      <c r="AK23" s="212"/>
      <c r="AL23" s="227" t="str">
        <f>IF(ROUND(SUM(IS!AH23:AK23),1)=ROUND(IS!AL23,1),"OK","ERROR")</f>
        <v>ERROR</v>
      </c>
      <c r="AM23" s="224"/>
      <c r="AN23" s="212"/>
      <c r="AO23" s="212"/>
      <c r="AP23" s="212"/>
      <c r="AQ23" s="212"/>
      <c r="AR23" s="227" t="str">
        <f>IF(ROUND(SUM(IS!AN23:AQ23),1)=ROUND(IS!AR23,1),"OK","ERROR")</f>
        <v>OK</v>
      </c>
    </row>
    <row r="24" spans="1:44" ht="14.25" customHeight="1">
      <c r="A24" s="73"/>
      <c r="B24" s="79" t="s">
        <v>260</v>
      </c>
      <c r="D24" s="208"/>
      <c r="E24" s="208"/>
      <c r="F24" s="208"/>
      <c r="G24" s="208"/>
      <c r="H24" s="227" t="str">
        <f>IF(ROUND(SUM(IS!D24:G24),1)=ROUND(IS!H24,1),"OK","ERROR")</f>
        <v>OK</v>
      </c>
      <c r="I24" s="210"/>
      <c r="J24" s="208"/>
      <c r="K24" s="208"/>
      <c r="L24" s="208"/>
      <c r="M24" s="208"/>
      <c r="N24" s="227" t="str">
        <f>IF(ROUND(SUM(IS!J24:M24),1)=ROUND(IS!N24,1),"OK","ERROR")</f>
        <v>OK</v>
      </c>
      <c r="O24" s="210"/>
      <c r="P24" s="208"/>
      <c r="Q24" s="208"/>
      <c r="R24" s="208"/>
      <c r="S24" s="208"/>
      <c r="T24" s="227" t="str">
        <f>IF(ROUND(SUM(IS!P24:S24),1)=ROUND(IS!T24,1),"OK","ERROR")</f>
        <v>OK</v>
      </c>
      <c r="U24" s="210"/>
      <c r="V24" s="208"/>
      <c r="W24" s="208"/>
      <c r="X24" s="208"/>
      <c r="Y24" s="208"/>
      <c r="Z24" s="227" t="str">
        <f>IF(ROUND(SUM(IS!V24:Y24),1)=ROUND(IS!Z24,1),"OK","ERROR")</f>
        <v>OK</v>
      </c>
      <c r="AA24" s="213"/>
      <c r="AB24" s="208"/>
      <c r="AC24" s="208"/>
      <c r="AD24" s="208"/>
      <c r="AE24" s="208"/>
      <c r="AF24" s="227" t="str">
        <f>IF(ROUND(SUM(IS!AB24:AE24),1)=ROUND(IS!AF24,1),"OK","ERROR")</f>
        <v>OK</v>
      </c>
      <c r="AG24" s="211"/>
      <c r="AH24" s="208"/>
      <c r="AI24" s="208"/>
      <c r="AJ24" s="212"/>
      <c r="AK24" s="212"/>
      <c r="AL24" s="227" t="str">
        <f>IF(ROUND(SUM(IS!AH24:AK24),1)=ROUND(IS!AL24,1),"OK","ERROR")</f>
        <v>ERROR</v>
      </c>
      <c r="AM24" s="224"/>
      <c r="AN24" s="212"/>
      <c r="AO24" s="212"/>
      <c r="AP24" s="212"/>
      <c r="AQ24" s="212"/>
      <c r="AR24" s="227" t="str">
        <f>IF(ROUND(SUM(IS!AN24:AQ24),1)=ROUND(IS!AR24,1),"OK","ERROR")</f>
        <v>OK</v>
      </c>
    </row>
    <row r="25" spans="1:44" ht="14.25" customHeight="1">
      <c r="A25" s="55"/>
      <c r="B25" s="80"/>
      <c r="D25" s="208"/>
      <c r="E25" s="208"/>
      <c r="F25" s="208"/>
      <c r="G25" s="208"/>
      <c r="H25" s="220"/>
      <c r="I25" s="210"/>
      <c r="J25" s="208"/>
      <c r="K25" s="208"/>
      <c r="L25" s="208"/>
      <c r="M25" s="208"/>
      <c r="N25" s="220"/>
      <c r="O25" s="210"/>
      <c r="P25" s="208"/>
      <c r="Q25" s="208"/>
      <c r="R25" s="208"/>
      <c r="S25" s="208"/>
      <c r="T25" s="220"/>
      <c r="U25" s="210"/>
      <c r="V25" s="208"/>
      <c r="W25" s="208"/>
      <c r="X25" s="208"/>
      <c r="Y25" s="208"/>
      <c r="Z25" s="220"/>
      <c r="AA25" s="213"/>
      <c r="AB25" s="208"/>
      <c r="AC25" s="208"/>
      <c r="AD25" s="208"/>
      <c r="AE25" s="208"/>
      <c r="AF25" s="220"/>
      <c r="AG25" s="211"/>
      <c r="AH25" s="208"/>
      <c r="AI25" s="208"/>
      <c r="AJ25" s="212"/>
      <c r="AK25" s="212"/>
      <c r="AL25" s="220"/>
      <c r="AM25" s="224"/>
      <c r="AN25" s="212"/>
      <c r="AO25" s="212"/>
      <c r="AP25" s="212"/>
      <c r="AQ25" s="212"/>
      <c r="AR25" s="220"/>
    </row>
    <row r="26" spans="1:44" ht="14.25" customHeight="1">
      <c r="A26" s="44" t="s">
        <v>37</v>
      </c>
      <c r="B26" s="65" t="s">
        <v>614</v>
      </c>
      <c r="D26" s="208"/>
      <c r="E26" s="208"/>
      <c r="F26" s="208"/>
      <c r="G26" s="208"/>
      <c r="H26" s="220"/>
      <c r="I26" s="210"/>
      <c r="J26" s="208"/>
      <c r="K26" s="208"/>
      <c r="L26" s="208"/>
      <c r="M26" s="208"/>
      <c r="N26" s="220"/>
      <c r="O26" s="210"/>
      <c r="P26" s="208"/>
      <c r="Q26" s="208"/>
      <c r="R26" s="208"/>
      <c r="S26" s="208"/>
      <c r="T26" s="220"/>
      <c r="U26" s="210"/>
      <c r="V26" s="208"/>
      <c r="W26" s="208"/>
      <c r="X26" s="208"/>
      <c r="Y26" s="208"/>
      <c r="Z26" s="220"/>
      <c r="AA26" s="228"/>
      <c r="AB26" s="208"/>
      <c r="AC26" s="208"/>
      <c r="AD26" s="208"/>
      <c r="AE26" s="208"/>
      <c r="AF26" s="220"/>
      <c r="AG26" s="229"/>
      <c r="AH26" s="208"/>
      <c r="AI26" s="208"/>
      <c r="AJ26" s="212"/>
      <c r="AK26" s="212"/>
      <c r="AL26" s="220"/>
      <c r="AM26" s="228"/>
      <c r="AN26" s="212"/>
      <c r="AO26" s="212"/>
      <c r="AP26" s="212"/>
      <c r="AQ26" s="212"/>
      <c r="AR26" s="220"/>
    </row>
    <row r="27" spans="1:44" ht="14.25" customHeight="1">
      <c r="A27" s="84"/>
      <c r="B27" s="70" t="s">
        <v>615</v>
      </c>
      <c r="D27" s="208"/>
      <c r="E27" s="208"/>
      <c r="F27" s="208"/>
      <c r="G27" s="208"/>
      <c r="H27" s="220" t="str">
        <f>IF(ROUND(SUM(IS!D27:G27),1)=ROUND(IS!H27,1),"OK","ERROR")</f>
        <v>ERROR</v>
      </c>
      <c r="I27" s="210"/>
      <c r="J27" s="208"/>
      <c r="K27" s="208"/>
      <c r="L27" s="208"/>
      <c r="M27" s="208"/>
      <c r="N27" s="220" t="str">
        <f>IF(ROUND(SUM(IS!J27:M27),1)=ROUND(IS!N27,1),"OK","ERROR")</f>
        <v>OK</v>
      </c>
      <c r="O27" s="210"/>
      <c r="P27" s="208"/>
      <c r="Q27" s="208"/>
      <c r="R27" s="208"/>
      <c r="S27" s="208"/>
      <c r="T27" s="220" t="str">
        <f>IF(ROUND(SUM(IS!P27:S27),1)=ROUND(IS!T27,1),"OK","ERROR")</f>
        <v>OK</v>
      </c>
      <c r="U27" s="210"/>
      <c r="V27" s="208"/>
      <c r="W27" s="208"/>
      <c r="X27" s="208"/>
      <c r="Y27" s="208"/>
      <c r="Z27" s="220" t="str">
        <f>IF(ROUND(SUM(IS!V27:Y27),1)=ROUND(IS!Z27,1),"OK","ERROR")</f>
        <v>OK</v>
      </c>
      <c r="AA27" s="228"/>
      <c r="AB27" s="208"/>
      <c r="AC27" s="208"/>
      <c r="AD27" s="208"/>
      <c r="AE27" s="208"/>
      <c r="AF27" s="220" t="str">
        <f>IF(ROUND(SUM(IS!AB27:AE27),1)=ROUND(IS!AF27,1),"OK","ERROR")</f>
        <v>OK</v>
      </c>
      <c r="AG27" s="229"/>
      <c r="AH27" s="208"/>
      <c r="AI27" s="208"/>
      <c r="AJ27" s="212"/>
      <c r="AK27" s="212"/>
      <c r="AL27" s="220" t="str">
        <f>IF(ROUND(SUM(IS!AH27:AK27),1)=ROUND(IS!AL27,1),"OK","ERROR")</f>
        <v>ERROR</v>
      </c>
      <c r="AM27" s="228"/>
      <c r="AN27" s="212"/>
      <c r="AO27" s="212"/>
      <c r="AP27" s="212"/>
      <c r="AQ27" s="212"/>
      <c r="AR27" s="220" t="str">
        <f>IF(ROUND(SUM(IS!AN27:AQ27),1)=ROUND(IS!AR27,1),"OK","ERROR")</f>
        <v>OK</v>
      </c>
    </row>
    <row r="28" spans="1:44" ht="14.25" customHeight="1">
      <c r="A28" s="55"/>
      <c r="B28" s="70" t="s">
        <v>616</v>
      </c>
      <c r="D28" s="208"/>
      <c r="E28" s="208"/>
      <c r="F28" s="208"/>
      <c r="G28" s="208"/>
      <c r="H28" s="220" t="str">
        <f>IF(ROUND(SUM(IS!D28:G28),1)=ROUND(IS!H28,1),"OK","ERROR")</f>
        <v>OK</v>
      </c>
      <c r="I28" s="210"/>
      <c r="J28" s="208"/>
      <c r="K28" s="208"/>
      <c r="L28" s="208"/>
      <c r="M28" s="208"/>
      <c r="N28" s="220" t="str">
        <f>IF(ROUND(SUM(IS!J28:M28),1)=ROUND(IS!N28,1),"OK","ERROR")</f>
        <v>OK</v>
      </c>
      <c r="O28" s="210"/>
      <c r="P28" s="208"/>
      <c r="Q28" s="208"/>
      <c r="R28" s="208"/>
      <c r="S28" s="208"/>
      <c r="T28" s="220" t="str">
        <f>IF(ROUND(SUM(IS!P28:S28),1)=ROUND(IS!T28,1),"OK","ERROR")</f>
        <v>OK</v>
      </c>
      <c r="U28" s="210"/>
      <c r="V28" s="208"/>
      <c r="W28" s="208"/>
      <c r="X28" s="208"/>
      <c r="Y28" s="208"/>
      <c r="Z28" s="220" t="str">
        <f>IF(ROUND(SUM(IS!V28:Y28),1)=ROUND(IS!Z28,1),"OK","ERROR")</f>
        <v>OK</v>
      </c>
      <c r="AA28" s="213"/>
      <c r="AB28" s="208"/>
      <c r="AC28" s="208"/>
      <c r="AD28" s="208"/>
      <c r="AE28" s="208"/>
      <c r="AF28" s="220" t="str">
        <f>IF(ROUND(SUM(IS!AB28:AE28),1)=ROUND(IS!AF28,1),"OK","ERROR")</f>
        <v>OK</v>
      </c>
      <c r="AG28" s="211"/>
      <c r="AH28" s="208"/>
      <c r="AI28" s="208"/>
      <c r="AJ28" s="212"/>
      <c r="AK28" s="212"/>
      <c r="AL28" s="220" t="str">
        <f>IF(ROUND(SUM(IS!AH28:AK28),1)=ROUND(IS!AL28,1),"OK","ERROR")</f>
        <v>OK</v>
      </c>
      <c r="AM28" s="224"/>
      <c r="AN28" s="212"/>
      <c r="AO28" s="212"/>
      <c r="AP28" s="212"/>
      <c r="AQ28" s="212"/>
      <c r="AR28" s="220" t="str">
        <f>IF(ROUND(SUM(IS!AN28:AQ28),1)=ROUND(IS!AR28,1),"OK","ERROR")</f>
        <v>OK</v>
      </c>
    </row>
    <row r="29" spans="1:44" ht="14.25" customHeight="1">
      <c r="A29" s="73"/>
      <c r="B29" s="70" t="s">
        <v>617</v>
      </c>
      <c r="D29" s="208"/>
      <c r="E29" s="208"/>
      <c r="F29" s="208"/>
      <c r="G29" s="208"/>
      <c r="H29" s="220" t="str">
        <f>IF(ROUND(SUM(IS!D29:G29),1)=ROUND(IS!H29,1),"OK","ERROR")</f>
        <v>ERROR</v>
      </c>
      <c r="I29" s="210"/>
      <c r="J29" s="208"/>
      <c r="K29" s="208"/>
      <c r="L29" s="208"/>
      <c r="M29" s="208"/>
      <c r="N29" s="220" t="str">
        <f>IF(ROUND(SUM(IS!J29:M29),1)=ROUND(IS!N29,1),"OK","ERROR")</f>
        <v>ERROR</v>
      </c>
      <c r="O29" s="210"/>
      <c r="P29" s="208"/>
      <c r="Q29" s="208"/>
      <c r="R29" s="208"/>
      <c r="S29" s="208"/>
      <c r="T29" s="220" t="str">
        <f>IF(ROUND(SUM(IS!P29:S29),1)=ROUND(IS!T29,1),"OK","ERROR")</f>
        <v>OK</v>
      </c>
      <c r="U29" s="210"/>
      <c r="V29" s="208"/>
      <c r="W29" s="208"/>
      <c r="X29" s="208"/>
      <c r="Y29" s="208"/>
      <c r="Z29" s="220" t="str">
        <f>IF(ROUND(SUM(IS!V29:Y29),1)=ROUND(IS!Z29,1),"OK","ERROR")</f>
        <v>OK</v>
      </c>
      <c r="AA29" s="228"/>
      <c r="AB29" s="208"/>
      <c r="AC29" s="208"/>
      <c r="AD29" s="208"/>
      <c r="AE29" s="208"/>
      <c r="AF29" s="220" t="str">
        <f>IF(ROUND(SUM(IS!AB29:AE29),1)=ROUND(IS!AF29,1),"OK","ERROR")</f>
        <v>OK</v>
      </c>
      <c r="AG29" s="229"/>
      <c r="AH29" s="208"/>
      <c r="AI29" s="208"/>
      <c r="AJ29" s="212"/>
      <c r="AK29" s="212"/>
      <c r="AL29" s="220" t="str">
        <f>IF(ROUND(SUM(IS!AH29:AK29),1)=ROUND(IS!AL29,1),"OK","ERROR")</f>
        <v>OK</v>
      </c>
      <c r="AM29" s="228"/>
      <c r="AN29" s="212"/>
      <c r="AO29" s="212"/>
      <c r="AP29" s="212"/>
      <c r="AQ29" s="212"/>
      <c r="AR29" s="220" t="str">
        <f>IF(ROUND(SUM(IS!AN29:AQ29),1)=ROUND(IS!AR29,1),"OK","ERROR")</f>
        <v>OK</v>
      </c>
    </row>
    <row r="30" spans="1:44" ht="14.25" customHeight="1">
      <c r="A30" s="55"/>
      <c r="B30" s="70" t="s">
        <v>618</v>
      </c>
      <c r="D30" s="208"/>
      <c r="E30" s="208"/>
      <c r="F30" s="208"/>
      <c r="G30" s="208"/>
      <c r="H30" s="226" t="str">
        <f>IF(ROUND(SUM(IS!D30:G30),1)=ROUND(IS!H30,1),"OK","ERROR")</f>
        <v>ERROR</v>
      </c>
      <c r="I30" s="210"/>
      <c r="J30" s="208"/>
      <c r="K30" s="208"/>
      <c r="L30" s="208"/>
      <c r="M30" s="208"/>
      <c r="N30" s="226" t="str">
        <f>IF(ROUND(SUM(IS!J30:M30),1)=ROUND(IS!N30,1),"OK","ERROR")</f>
        <v>ERROR</v>
      </c>
      <c r="O30" s="210"/>
      <c r="P30" s="208"/>
      <c r="Q30" s="208"/>
      <c r="R30" s="208"/>
      <c r="S30" s="208"/>
      <c r="T30" s="226" t="str">
        <f>IF(ROUND(SUM(IS!P30:S30),1)=ROUND(IS!T30,1),"OK","ERROR")</f>
        <v>OK</v>
      </c>
      <c r="U30" s="210"/>
      <c r="V30" s="208"/>
      <c r="W30" s="208"/>
      <c r="X30" s="208"/>
      <c r="Y30" s="208"/>
      <c r="Z30" s="226" t="str">
        <f>IF(ROUND(SUM(IS!V30:Y30),1)=ROUND(IS!Z30,1),"OK","ERROR")</f>
        <v>OK</v>
      </c>
      <c r="AA30" s="213"/>
      <c r="AB30" s="208"/>
      <c r="AC30" s="208"/>
      <c r="AD30" s="208"/>
      <c r="AE30" s="208"/>
      <c r="AF30" s="226" t="str">
        <f>IF(ROUND(SUM(IS!AB30:AE30),1)=ROUND(IS!AF30,1),"OK","ERROR")</f>
        <v>ERROR</v>
      </c>
      <c r="AG30" s="211"/>
      <c r="AH30" s="208"/>
      <c r="AI30" s="208"/>
      <c r="AJ30" s="212"/>
      <c r="AK30" s="212"/>
      <c r="AL30" s="226" t="str">
        <f>IF(ROUND(SUM(IS!AH30:AK30),1)=ROUND(IS!AL30,1),"OK","ERROR")</f>
        <v>ERROR</v>
      </c>
      <c r="AM30" s="224"/>
      <c r="AN30" s="212"/>
      <c r="AO30" s="212"/>
      <c r="AP30" s="212"/>
      <c r="AQ30" s="212"/>
      <c r="AR30" s="226" t="str">
        <f>IF(ROUND(SUM(IS!AN30:AQ30),1)=ROUND(IS!AR30,1),"OK","ERROR")</f>
        <v>OK</v>
      </c>
    </row>
    <row r="31" spans="1:44" ht="14.25" customHeight="1">
      <c r="A31" s="73"/>
      <c r="B31" s="76" t="s">
        <v>619</v>
      </c>
      <c r="D31" s="208"/>
      <c r="E31" s="208"/>
      <c r="F31" s="208"/>
      <c r="G31" s="208"/>
      <c r="H31" s="231" t="str">
        <f>IF(ROUND(SUM(IS!D31:G31),1)=ROUND(IS!H31,1),"OK","ERROR")</f>
        <v>ERROR</v>
      </c>
      <c r="I31" s="210"/>
      <c r="J31" s="208"/>
      <c r="K31" s="208"/>
      <c r="L31" s="208"/>
      <c r="M31" s="208"/>
      <c r="N31" s="231" t="str">
        <f>IF(ROUND(SUM(IS!J31:M31),1)=ROUND(IS!N31,1),"OK","ERROR")</f>
        <v>ERROR</v>
      </c>
      <c r="O31" s="210"/>
      <c r="P31" s="208"/>
      <c r="Q31" s="208"/>
      <c r="R31" s="208"/>
      <c r="S31" s="208"/>
      <c r="T31" s="231" t="str">
        <f>IF(ROUND(SUM(IS!P31:S31),1)=ROUND(IS!T31,1),"OK","ERROR")</f>
        <v>OK</v>
      </c>
      <c r="U31" s="210"/>
      <c r="V31" s="208"/>
      <c r="W31" s="208"/>
      <c r="X31" s="208"/>
      <c r="Y31" s="208"/>
      <c r="Z31" s="231" t="str">
        <f>IF(ROUND(SUM(IS!V31:Y31),1)=ROUND(IS!Z31,1),"OK","ERROR")</f>
        <v>OK</v>
      </c>
      <c r="AA31" s="228"/>
      <c r="AB31" s="208"/>
      <c r="AC31" s="208"/>
      <c r="AD31" s="208"/>
      <c r="AE31" s="208"/>
      <c r="AF31" s="231" t="str">
        <f>IF(ROUND(SUM(IS!AB31:AE31),1)=ROUND(IS!AF31,1),"OK","ERROR")</f>
        <v>ERROR</v>
      </c>
      <c r="AG31" s="229"/>
      <c r="AH31" s="208"/>
      <c r="AI31" s="208"/>
      <c r="AJ31" s="212"/>
      <c r="AK31" s="212"/>
      <c r="AL31" s="231" t="str">
        <f>IF(ROUND(SUM(IS!AH31:AK31),1)=ROUND(IS!AL31,1),"OK","ERROR")</f>
        <v>ERROR</v>
      </c>
      <c r="AM31" s="228"/>
      <c r="AN31" s="212"/>
      <c r="AO31" s="212"/>
      <c r="AP31" s="212"/>
      <c r="AQ31" s="212"/>
      <c r="AR31" s="231" t="str">
        <f>IF(ROUND(SUM(IS!AN31:AQ31),1)=ROUND(IS!AR31,1),"OK","ERROR")</f>
        <v>OK</v>
      </c>
    </row>
    <row r="32" spans="1:44" ht="14.25" customHeight="1">
      <c r="A32" s="73"/>
      <c r="B32" s="76" t="s">
        <v>620</v>
      </c>
      <c r="D32" s="208"/>
      <c r="E32" s="208"/>
      <c r="F32" s="208"/>
      <c r="G32" s="208"/>
      <c r="H32" s="226" t="str">
        <f>IF(ROUND(SUM(IS!D32:G32),1)=ROUND(IS!H32,1),"OK","ERROR")</f>
        <v>ERROR</v>
      </c>
      <c r="I32" s="210"/>
      <c r="J32" s="208"/>
      <c r="K32" s="208"/>
      <c r="L32" s="208"/>
      <c r="M32" s="208"/>
      <c r="N32" s="226" t="str">
        <f>IF(ROUND(SUM(IS!J32:M32),1)=ROUND(IS!N32,1),"OK","ERROR")</f>
        <v>ERROR</v>
      </c>
      <c r="O32" s="210"/>
      <c r="P32" s="208"/>
      <c r="Q32" s="208"/>
      <c r="R32" s="208"/>
      <c r="S32" s="208"/>
      <c r="T32" s="226" t="str">
        <f>IF(ROUND(SUM(IS!P32:S32),1)=ROUND(IS!T32,1),"OK","ERROR")</f>
        <v>OK</v>
      </c>
      <c r="U32" s="210"/>
      <c r="V32" s="208"/>
      <c r="W32" s="208"/>
      <c r="X32" s="208"/>
      <c r="Y32" s="208"/>
      <c r="Z32" s="226" t="str">
        <f>IF(ROUND(SUM(IS!V32:Y32),1)=ROUND(IS!Z32,1),"OK","ERROR")</f>
        <v>OK</v>
      </c>
      <c r="AA32" s="232"/>
      <c r="AB32" s="208"/>
      <c r="AC32" s="208"/>
      <c r="AD32" s="208"/>
      <c r="AE32" s="208"/>
      <c r="AF32" s="226" t="str">
        <f>IF(ROUND(SUM(IS!AB32:AE32),1)=ROUND(IS!AF32,1),"OK","ERROR")</f>
        <v>ERROR</v>
      </c>
      <c r="AG32" s="229"/>
      <c r="AH32" s="208"/>
      <c r="AI32" s="208"/>
      <c r="AJ32" s="212"/>
      <c r="AK32" s="212"/>
      <c r="AL32" s="226" t="str">
        <f>IF(ROUND(SUM(IS!AH32:AK32),1)=ROUND(IS!AL32,1),"OK","ERROR")</f>
        <v>ERROR</v>
      </c>
      <c r="AM32" s="232"/>
      <c r="AN32" s="212"/>
      <c r="AO32" s="212"/>
      <c r="AP32" s="212"/>
      <c r="AQ32" s="212"/>
      <c r="AR32" s="226" t="str">
        <f>IF(ROUND(SUM(IS!AN32:AQ32),1)=ROUND(IS!AR32,1),"OK","ERROR")</f>
        <v>OK</v>
      </c>
    </row>
    <row r="33" spans="1:44" ht="14.25" customHeight="1">
      <c r="A33" s="55"/>
      <c r="B33" s="79" t="s">
        <v>621</v>
      </c>
      <c r="D33" s="208"/>
      <c r="E33" s="208"/>
      <c r="F33" s="208"/>
      <c r="G33" s="208"/>
      <c r="H33" s="226" t="str">
        <f>IF(ROUND(SUM(IS!D33:G33),1)=ROUND(IS!H33,1),"OK","ERROR")</f>
        <v>OK</v>
      </c>
      <c r="I33" s="210"/>
      <c r="J33" s="208"/>
      <c r="K33" s="208"/>
      <c r="L33" s="208"/>
      <c r="M33" s="208"/>
      <c r="N33" s="226" t="str">
        <f>IF(ROUND(SUM(IS!J33:M33),1)=ROUND(IS!N33,1),"OK","ERROR")</f>
        <v>ERROR</v>
      </c>
      <c r="O33" s="210"/>
      <c r="P33" s="208"/>
      <c r="Q33" s="208"/>
      <c r="R33" s="208"/>
      <c r="S33" s="208"/>
      <c r="T33" s="226" t="str">
        <f>IF(ROUND(SUM(IS!P33:S33),1)=ROUND(IS!T33,1),"OK","ERROR")</f>
        <v>OK</v>
      </c>
      <c r="U33" s="210"/>
      <c r="V33" s="208"/>
      <c r="W33" s="208"/>
      <c r="X33" s="208"/>
      <c r="Y33" s="208"/>
      <c r="Z33" s="226" t="str">
        <f>IF(ROUND(SUM(IS!V33:Y33),1)=ROUND(IS!Z33,1),"OK","ERROR")</f>
        <v>OK</v>
      </c>
      <c r="AA33" s="213"/>
      <c r="AB33" s="208"/>
      <c r="AC33" s="208"/>
      <c r="AD33" s="208"/>
      <c r="AE33" s="208"/>
      <c r="AF33" s="226" t="str">
        <f>IF(ROUND(SUM(IS!AB33:AE33),1)=ROUND(IS!AF33,1),"OK","ERROR")</f>
        <v>ERROR</v>
      </c>
      <c r="AG33" s="211"/>
      <c r="AH33" s="208"/>
      <c r="AI33" s="208"/>
      <c r="AJ33" s="212"/>
      <c r="AK33" s="212"/>
      <c r="AL33" s="226" t="str">
        <f>IF(ROUND(SUM(IS!AH33:AK33),1)=ROUND(IS!AL33,1),"OK","ERROR")</f>
        <v>ERROR</v>
      </c>
      <c r="AM33" s="224"/>
      <c r="AN33" s="212"/>
      <c r="AO33" s="212"/>
      <c r="AP33" s="212"/>
      <c r="AQ33" s="212"/>
      <c r="AR33" s="226" t="str">
        <f>IF(ROUND(SUM(IS!AN33:AQ33),1)=ROUND(IS!AR33,1),"OK","ERROR")</f>
        <v>OK</v>
      </c>
    </row>
    <row r="34" spans="1:44" ht="14.25" customHeight="1">
      <c r="A34" s="73"/>
      <c r="B34" s="206"/>
      <c r="D34" s="208"/>
      <c r="E34" s="208"/>
      <c r="F34" s="208"/>
      <c r="G34" s="208"/>
      <c r="H34" s="220"/>
      <c r="I34" s="210"/>
      <c r="J34" s="208"/>
      <c r="K34" s="208"/>
      <c r="L34" s="208"/>
      <c r="M34" s="208"/>
      <c r="N34" s="220"/>
      <c r="O34" s="210"/>
      <c r="P34" s="208"/>
      <c r="Q34" s="208"/>
      <c r="R34" s="208"/>
      <c r="S34" s="208"/>
      <c r="T34" s="220"/>
      <c r="U34" s="210"/>
      <c r="V34" s="208"/>
      <c r="W34" s="208"/>
      <c r="X34" s="208"/>
      <c r="Y34" s="208"/>
      <c r="Z34" s="220"/>
      <c r="AA34" s="228"/>
      <c r="AB34" s="208"/>
      <c r="AC34" s="208"/>
      <c r="AD34" s="208"/>
      <c r="AE34" s="208"/>
      <c r="AF34" s="220"/>
      <c r="AG34" s="229"/>
      <c r="AH34" s="208"/>
      <c r="AI34" s="208"/>
      <c r="AJ34" s="212"/>
      <c r="AK34" s="212"/>
      <c r="AL34" s="220"/>
      <c r="AM34" s="233"/>
      <c r="AN34" s="212"/>
      <c r="AO34" s="212"/>
      <c r="AP34" s="212"/>
      <c r="AQ34" s="212"/>
      <c r="AR34" s="220"/>
    </row>
    <row r="35" spans="1:44" ht="14.25" customHeight="1">
      <c r="A35" s="44" t="s">
        <v>37</v>
      </c>
      <c r="B35" s="65" t="s">
        <v>622</v>
      </c>
      <c r="D35" s="208"/>
      <c r="E35" s="208"/>
      <c r="F35" s="208"/>
      <c r="G35" s="208"/>
      <c r="H35" s="220"/>
      <c r="I35" s="210"/>
      <c r="J35" s="208"/>
      <c r="K35" s="208"/>
      <c r="L35" s="208"/>
      <c r="M35" s="208"/>
      <c r="N35" s="220"/>
      <c r="O35" s="210"/>
      <c r="P35" s="208"/>
      <c r="Q35" s="208"/>
      <c r="R35" s="208"/>
      <c r="S35" s="208"/>
      <c r="T35" s="220"/>
      <c r="U35" s="210"/>
      <c r="V35" s="208"/>
      <c r="W35" s="208"/>
      <c r="X35" s="208"/>
      <c r="Y35" s="208"/>
      <c r="Z35" s="220"/>
      <c r="AA35" s="213"/>
      <c r="AB35" s="208"/>
      <c r="AC35" s="208"/>
      <c r="AD35" s="208"/>
      <c r="AE35" s="208"/>
      <c r="AF35" s="220"/>
      <c r="AG35" s="211"/>
      <c r="AH35" s="208"/>
      <c r="AI35" s="208"/>
      <c r="AJ35" s="212"/>
      <c r="AK35" s="212"/>
      <c r="AL35" s="220"/>
      <c r="AM35" s="224"/>
      <c r="AN35" s="212"/>
      <c r="AO35" s="212"/>
      <c r="AP35" s="212"/>
      <c r="AQ35" s="212"/>
      <c r="AR35" s="220"/>
    </row>
    <row r="36" spans="1:44" ht="14.25" customHeight="1">
      <c r="A36" s="44"/>
      <c r="B36" s="70" t="s">
        <v>623</v>
      </c>
      <c r="D36" s="208"/>
      <c r="E36" s="208"/>
      <c r="F36" s="208"/>
      <c r="G36" s="208"/>
      <c r="H36" s="220" t="str">
        <f>IF(ROUND(SUM(IS!D36:G36),1)=ROUND(IS!H36,1),"OK","ERROR")</f>
        <v>OK</v>
      </c>
      <c r="I36" s="210"/>
      <c r="J36" s="208"/>
      <c r="K36" s="208"/>
      <c r="L36" s="208"/>
      <c r="M36" s="208"/>
      <c r="N36" s="220" t="str">
        <f>IF(ROUND(SUM(IS!J36:M36),1)=ROUND(IS!N36,1),"OK","ERROR")</f>
        <v>OK</v>
      </c>
      <c r="O36" s="210"/>
      <c r="P36" s="208"/>
      <c r="Q36" s="208"/>
      <c r="R36" s="208"/>
      <c r="S36" s="208"/>
      <c r="T36" s="220" t="str">
        <f>IF(ROUND(SUM(IS!P36:S36),1)=ROUND(IS!T36,1),"OK","ERROR")</f>
        <v>OK</v>
      </c>
      <c r="U36" s="210"/>
      <c r="V36" s="208"/>
      <c r="W36" s="208"/>
      <c r="X36" s="208"/>
      <c r="Y36" s="208"/>
      <c r="Z36" s="220" t="str">
        <f>IF(ROUND(SUM(IS!V36:Y36),1)=ROUND(IS!Z36,1),"OK","ERROR")</f>
        <v>OK</v>
      </c>
      <c r="AA36" s="213"/>
      <c r="AB36" s="208"/>
      <c r="AC36" s="208"/>
      <c r="AD36" s="208"/>
      <c r="AE36" s="208"/>
      <c r="AF36" s="220" t="str">
        <f>IF(ROUND(SUM(IS!AB36:AE36),1)=ROUND(IS!AF36,1),"OK","ERROR")</f>
        <v>OK</v>
      </c>
      <c r="AG36" s="211"/>
      <c r="AH36" s="208"/>
      <c r="AI36" s="208"/>
      <c r="AJ36" s="212"/>
      <c r="AK36" s="212"/>
      <c r="AL36" s="220" t="str">
        <f>IF(ROUND(SUM(IS!AH36:AK36),1)=ROUND(IS!AL36,1),"OK","ERROR")</f>
        <v>ERROR</v>
      </c>
      <c r="AM36" s="224"/>
      <c r="AN36" s="212"/>
      <c r="AO36" s="212"/>
      <c r="AP36" s="212"/>
      <c r="AQ36" s="212"/>
      <c r="AR36" s="220" t="str">
        <f>IF(ROUND(SUM(IS!AN36:AQ36),1)=ROUND(IS!AR36,1),"OK","ERROR")</f>
        <v>OK</v>
      </c>
    </row>
    <row r="37" spans="1:44" ht="14.25" customHeight="1">
      <c r="A37" s="44"/>
      <c r="B37" s="70" t="s">
        <v>624</v>
      </c>
      <c r="D37" s="208"/>
      <c r="E37" s="208"/>
      <c r="F37" s="208"/>
      <c r="G37" s="208"/>
      <c r="H37" s="220" t="str">
        <f>IF(ROUND(SUM(IS!D37:G37),1)=ROUND(IS!H37,1),"OK","ERROR")</f>
        <v>OK</v>
      </c>
      <c r="I37" s="210"/>
      <c r="J37" s="208"/>
      <c r="K37" s="208"/>
      <c r="L37" s="208"/>
      <c r="M37" s="208"/>
      <c r="N37" s="220" t="str">
        <f>IF(ROUND(SUM(IS!J37:M37),1)=ROUND(IS!N37,1),"OK","ERROR")</f>
        <v>OK</v>
      </c>
      <c r="O37" s="210"/>
      <c r="P37" s="208"/>
      <c r="Q37" s="208"/>
      <c r="R37" s="208"/>
      <c r="S37" s="208"/>
      <c r="T37" s="220" t="str">
        <f>IF(ROUND(SUM(IS!P37:S37),1)=ROUND(IS!T37,1),"OK","ERROR")</f>
        <v>OK</v>
      </c>
      <c r="U37" s="210"/>
      <c r="V37" s="208"/>
      <c r="W37" s="208"/>
      <c r="X37" s="208"/>
      <c r="Y37" s="208"/>
      <c r="Z37" s="220" t="str">
        <f>IF(ROUND(SUM(IS!V37:Y37),1)=ROUND(IS!Z37,1),"OK","ERROR")</f>
        <v>OK</v>
      </c>
      <c r="AA37" s="213"/>
      <c r="AB37" s="208"/>
      <c r="AC37" s="208"/>
      <c r="AD37" s="208"/>
      <c r="AE37" s="208"/>
      <c r="AF37" s="220" t="str">
        <f>IF(ROUND(SUM(IS!AB37:AE37),1)=ROUND(IS!AF37,1),"OK","ERROR")</f>
        <v>OK</v>
      </c>
      <c r="AG37" s="211"/>
      <c r="AH37" s="208"/>
      <c r="AI37" s="208"/>
      <c r="AJ37" s="212"/>
      <c r="AK37" s="212"/>
      <c r="AL37" s="220" t="str">
        <f>IF(ROUND(SUM(IS!AH37:AK37),1)=ROUND(IS!AL37,1),"OK","ERROR")</f>
        <v>ERROR</v>
      </c>
      <c r="AM37" s="224"/>
      <c r="AN37" s="212"/>
      <c r="AO37" s="212"/>
      <c r="AP37" s="212"/>
      <c r="AQ37" s="212"/>
      <c r="AR37" s="220" t="str">
        <f>IF(ROUND(SUM(IS!AN37:AQ37),1)=ROUND(IS!AR37,1),"OK","ERROR")</f>
        <v>OK</v>
      </c>
    </row>
    <row r="38" spans="1:44" ht="14.25" customHeight="1">
      <c r="A38" s="55" t="s">
        <v>37</v>
      </c>
      <c r="B38" s="76" t="s">
        <v>625</v>
      </c>
      <c r="D38" s="208"/>
      <c r="E38" s="208"/>
      <c r="F38" s="208"/>
      <c r="G38" s="208"/>
      <c r="H38" s="220" t="str">
        <f>IF(ROUND(SUM(IS!D38:G38),1)=ROUND(IS!H38,1),"OK","ERROR")</f>
        <v>OK</v>
      </c>
      <c r="I38" s="210"/>
      <c r="J38" s="208"/>
      <c r="K38" s="208"/>
      <c r="L38" s="208"/>
      <c r="M38" s="208"/>
      <c r="N38" s="220" t="str">
        <f>IF(ROUND(SUM(IS!J38:M38),1)=ROUND(IS!N38,1),"OK","ERROR")</f>
        <v>OK</v>
      </c>
      <c r="O38" s="210"/>
      <c r="P38" s="208"/>
      <c r="Q38" s="208"/>
      <c r="R38" s="208"/>
      <c r="S38" s="208"/>
      <c r="T38" s="220" t="str">
        <f>IF(ROUND(SUM(IS!P38:S38),1)=ROUND(IS!T38,1),"OK","ERROR")</f>
        <v>OK</v>
      </c>
      <c r="U38" s="210"/>
      <c r="V38" s="208"/>
      <c r="W38" s="208"/>
      <c r="X38" s="208"/>
      <c r="Y38" s="208"/>
      <c r="Z38" s="220" t="str">
        <f>IF(ROUND(SUM(IS!V38:Y38),1)=ROUND(IS!Z38,1),"OK","ERROR")</f>
        <v>OK</v>
      </c>
      <c r="AA38" s="213"/>
      <c r="AB38" s="208"/>
      <c r="AC38" s="208"/>
      <c r="AD38" s="208"/>
      <c r="AE38" s="208"/>
      <c r="AF38" s="220" t="str">
        <f>IF(ROUND(SUM(IS!AB38:AE38),1)=ROUND(IS!AF38,1),"OK","ERROR")</f>
        <v>OK</v>
      </c>
      <c r="AG38" s="211"/>
      <c r="AH38" s="208"/>
      <c r="AI38" s="208"/>
      <c r="AJ38" s="212"/>
      <c r="AK38" s="212"/>
      <c r="AL38" s="220" t="str">
        <f>IF(ROUND(SUM(IS!AH38:AK38),1)=ROUND(IS!AL38,1),"OK","ERROR")</f>
        <v>ERROR</v>
      </c>
      <c r="AM38" s="224"/>
      <c r="AN38" s="212"/>
      <c r="AO38" s="212"/>
      <c r="AP38" s="212"/>
      <c r="AQ38" s="212"/>
      <c r="AR38" s="220" t="str">
        <f>IF(ROUND(SUM(IS!AN38:AQ38),1)=ROUND(IS!AR38,1),"OK","ERROR")</f>
        <v>OK</v>
      </c>
    </row>
    <row r="39" spans="1:44" ht="14.25" customHeight="1">
      <c r="A39" s="73"/>
      <c r="B39" s="76" t="s">
        <v>626</v>
      </c>
      <c r="D39" s="208"/>
      <c r="E39" s="208"/>
      <c r="F39" s="208"/>
      <c r="G39" s="208"/>
      <c r="H39" s="220" t="str">
        <f>IF(ROUND(SUM(IS!D39:G39),1)=ROUND(IS!H39,1),"OK","ERROR")</f>
        <v>OK</v>
      </c>
      <c r="I39" s="210"/>
      <c r="J39" s="208"/>
      <c r="K39" s="208"/>
      <c r="L39" s="208"/>
      <c r="M39" s="208"/>
      <c r="N39" s="220" t="str">
        <f>IF(ROUND(SUM(IS!J39:M39),1)=ROUND(IS!N39,1),"OK","ERROR")</f>
        <v>OK</v>
      </c>
      <c r="O39" s="210"/>
      <c r="P39" s="208"/>
      <c r="Q39" s="208"/>
      <c r="R39" s="208"/>
      <c r="S39" s="208"/>
      <c r="T39" s="220" t="str">
        <f>IF(ROUND(SUM(IS!P39:S39),1)=ROUND(IS!T39,1),"OK","ERROR")</f>
        <v>ERROR</v>
      </c>
      <c r="U39" s="210"/>
      <c r="V39" s="208"/>
      <c r="W39" s="208"/>
      <c r="X39" s="208"/>
      <c r="Y39" s="208"/>
      <c r="Z39" s="220" t="str">
        <f>IF(ROUND(SUM(IS!V39:Y39),1)=ROUND(IS!Z39,1),"OK","ERROR")</f>
        <v>OK</v>
      </c>
      <c r="AA39" s="228"/>
      <c r="AB39" s="208"/>
      <c r="AC39" s="208"/>
      <c r="AD39" s="208"/>
      <c r="AE39" s="208"/>
      <c r="AF39" s="220" t="str">
        <f>IF(ROUND(SUM(IS!AB39:AE39),1)=ROUND(IS!AF39,1),"OK","ERROR")</f>
        <v>OK</v>
      </c>
      <c r="AG39" s="229"/>
      <c r="AH39" s="208"/>
      <c r="AI39" s="208"/>
      <c r="AJ39" s="212"/>
      <c r="AK39" s="212"/>
      <c r="AL39" s="220" t="str">
        <f>IF(ROUND(SUM(IS!AH39:AK39),1)=ROUND(IS!AL39,1),"OK","ERROR")</f>
        <v>ERROR</v>
      </c>
      <c r="AM39" s="228"/>
      <c r="AN39" s="212"/>
      <c r="AO39" s="212"/>
      <c r="AP39" s="212"/>
      <c r="AQ39" s="212"/>
      <c r="AR39" s="220" t="str">
        <f>IF(ROUND(SUM(IS!AN39:AQ39),1)=ROUND(IS!AR39,1),"OK","ERROR")</f>
        <v>OK</v>
      </c>
    </row>
    <row r="40" spans="1:44" ht="14.25" customHeight="1">
      <c r="A40" s="55"/>
      <c r="B40" s="76" t="s">
        <v>627</v>
      </c>
      <c r="D40" s="208"/>
      <c r="E40" s="208"/>
      <c r="F40" s="208"/>
      <c r="G40" s="208"/>
      <c r="H40" s="226" t="str">
        <f>IF(ROUND(SUM(IS!D40:G40),1)=ROUND(IS!H40,1),"OK","ERROR")</f>
        <v>OK</v>
      </c>
      <c r="I40" s="210"/>
      <c r="J40" s="208"/>
      <c r="K40" s="208"/>
      <c r="L40" s="208"/>
      <c r="M40" s="208"/>
      <c r="N40" s="226" t="str">
        <f>IF(ROUND(SUM(IS!J40:M40),1)=ROUND(IS!N40,1),"OK","ERROR")</f>
        <v>OK</v>
      </c>
      <c r="O40" s="210"/>
      <c r="P40" s="208"/>
      <c r="Q40" s="208"/>
      <c r="R40" s="208"/>
      <c r="S40" s="208"/>
      <c r="T40" s="226" t="str">
        <f>IF(ROUND(SUM(IS!P40:S40),1)=ROUND(IS!T40,1),"OK","ERROR")</f>
        <v>OK</v>
      </c>
      <c r="U40" s="210"/>
      <c r="V40" s="208"/>
      <c r="W40" s="208"/>
      <c r="X40" s="208"/>
      <c r="Y40" s="208"/>
      <c r="Z40" s="226" t="str">
        <f>IF(ROUND(SUM(IS!V40:Y40),1)=ROUND(IS!Z40,1),"OK","ERROR")</f>
        <v>OK</v>
      </c>
      <c r="AA40" s="213"/>
      <c r="AB40" s="208"/>
      <c r="AC40" s="208"/>
      <c r="AD40" s="208"/>
      <c r="AE40" s="208"/>
      <c r="AF40" s="226" t="str">
        <f>IF(ROUND(SUM(IS!AB40:AE40),1)=ROUND(IS!AF40,1),"OK","ERROR")</f>
        <v>OK</v>
      </c>
      <c r="AG40" s="211"/>
      <c r="AH40" s="208"/>
      <c r="AI40" s="208"/>
      <c r="AJ40" s="212"/>
      <c r="AK40" s="212"/>
      <c r="AL40" s="226" t="str">
        <f>IF(ROUND(SUM(IS!AH40:AK40),1)=ROUND(IS!AL40,1),"OK","ERROR")</f>
        <v>ERROR</v>
      </c>
      <c r="AM40" s="213"/>
      <c r="AN40" s="212"/>
      <c r="AO40" s="212"/>
      <c r="AP40" s="212"/>
      <c r="AQ40" s="212"/>
      <c r="AR40" s="226" t="str">
        <f>IF(ROUND(SUM(IS!AN40:AQ40),1)=ROUND(IS!AR40,1),"OK","ERROR")</f>
        <v>OK</v>
      </c>
    </row>
    <row r="41" spans="1:44" ht="14.25" customHeight="1">
      <c r="A41" s="73"/>
      <c r="B41" s="79" t="s">
        <v>628</v>
      </c>
      <c r="D41" s="208"/>
      <c r="E41" s="208"/>
      <c r="F41" s="208"/>
      <c r="G41" s="208"/>
      <c r="H41" s="227" t="str">
        <f>IF(ROUND(SUM(IS!D41:G41),1)=ROUND(IS!H41,1),"OK","ERROR")</f>
        <v>OK</v>
      </c>
      <c r="I41" s="210"/>
      <c r="J41" s="208"/>
      <c r="K41" s="208"/>
      <c r="L41" s="208"/>
      <c r="M41" s="208"/>
      <c r="N41" s="227" t="str">
        <f>IF(ROUND(SUM(IS!J41:M41),1)=ROUND(IS!N41,1),"OK","ERROR")</f>
        <v>OK</v>
      </c>
      <c r="O41" s="210"/>
      <c r="P41" s="208"/>
      <c r="Q41" s="208"/>
      <c r="R41" s="208"/>
      <c r="S41" s="208"/>
      <c r="T41" s="227" t="str">
        <f>IF(ROUND(SUM(IS!P41:S41),1)=ROUND(IS!T41,1),"OK","ERROR")</f>
        <v>ERROR</v>
      </c>
      <c r="U41" s="210"/>
      <c r="V41" s="208"/>
      <c r="W41" s="208"/>
      <c r="X41" s="208"/>
      <c r="Y41" s="208"/>
      <c r="Z41" s="227" t="str">
        <f>IF(ROUND(SUM(IS!V41:Y41),1)=ROUND(IS!Z41,1),"OK","ERROR")</f>
        <v>OK</v>
      </c>
      <c r="AA41" s="232"/>
      <c r="AB41" s="208"/>
      <c r="AC41" s="208"/>
      <c r="AD41" s="208"/>
      <c r="AE41" s="208"/>
      <c r="AF41" s="227" t="str">
        <f>IF(ROUND(SUM(IS!AB41:AE41),1)=ROUND(IS!AF41,1),"OK","ERROR")</f>
        <v>OK</v>
      </c>
      <c r="AG41" s="229"/>
      <c r="AH41" s="208"/>
      <c r="AI41" s="208"/>
      <c r="AJ41" s="212"/>
      <c r="AK41" s="212"/>
      <c r="AL41" s="227" t="str">
        <f>IF(ROUND(SUM(IS!AH41:AK41),1)=ROUND(IS!AL41,1),"OK","ERROR")</f>
        <v>ERROR</v>
      </c>
      <c r="AM41" s="228"/>
      <c r="AN41" s="212"/>
      <c r="AO41" s="212"/>
      <c r="AP41" s="212"/>
      <c r="AQ41" s="212"/>
      <c r="AR41" s="227" t="str">
        <f>IF(ROUND(SUM(IS!AN41:AQ41),1)=ROUND(IS!AR41,1),"OK","ERROR")</f>
        <v>OK</v>
      </c>
    </row>
    <row r="42" spans="1:44" ht="14.25" customHeight="1">
      <c r="A42" s="84"/>
      <c r="B42" s="90" t="s">
        <v>555</v>
      </c>
      <c r="D42" s="208"/>
      <c r="E42" s="208"/>
      <c r="F42" s="208"/>
      <c r="G42" s="208"/>
      <c r="H42" s="227" t="str">
        <f>IF(ROUND(SUM(IS!D42:G42),1)=ROUND(IS!H42,1),"OK","ERROR")</f>
        <v>OK</v>
      </c>
      <c r="I42" s="210"/>
      <c r="J42" s="208"/>
      <c r="K42" s="208"/>
      <c r="L42" s="208"/>
      <c r="M42" s="208"/>
      <c r="N42" s="227" t="str">
        <f>IF(ROUND(SUM(IS!J42:M42),1)=ROUND(IS!N42,1),"OK","ERROR")</f>
        <v>ERROR</v>
      </c>
      <c r="O42" s="210"/>
      <c r="P42" s="208"/>
      <c r="Q42" s="208"/>
      <c r="R42" s="208"/>
      <c r="S42" s="208"/>
      <c r="T42" s="227" t="str">
        <f>IF(ROUND(SUM(IS!P42:S42),1)=ROUND(IS!T42,1),"OK","ERROR")</f>
        <v>ERROR</v>
      </c>
      <c r="U42" s="210"/>
      <c r="V42" s="208"/>
      <c r="W42" s="208"/>
      <c r="X42" s="208"/>
      <c r="Y42" s="208"/>
      <c r="Z42" s="227" t="str">
        <f>IF(ROUND(SUM(IS!V42:Y42),1)=ROUND(IS!Z42,1),"OK","ERROR")</f>
        <v>OK</v>
      </c>
      <c r="AA42" s="213"/>
      <c r="AB42" s="208"/>
      <c r="AC42" s="208"/>
      <c r="AD42" s="208"/>
      <c r="AE42" s="208"/>
      <c r="AF42" s="227" t="str">
        <f>IF(ROUND(SUM(IS!AB42:AE42),1)=ROUND(IS!AF42,1),"OK","ERROR")</f>
        <v>ERROR</v>
      </c>
      <c r="AG42" s="211"/>
      <c r="AH42" s="208"/>
      <c r="AI42" s="208"/>
      <c r="AJ42" s="212"/>
      <c r="AK42" s="212"/>
      <c r="AL42" s="227" t="str">
        <f>IF(ROUND(SUM(IS!AH42:AK42),1)=ROUND(IS!AL42,1),"OK","ERROR")</f>
        <v>ERROR</v>
      </c>
      <c r="AM42" s="213"/>
      <c r="AN42" s="212"/>
      <c r="AO42" s="212"/>
      <c r="AP42" s="212"/>
      <c r="AQ42" s="212"/>
      <c r="AR42" s="227" t="str">
        <f>IF(ROUND(SUM(IS!AN42:AQ42),1)=ROUND(IS!AR42,1),"OK","ERROR")</f>
        <v>OK</v>
      </c>
    </row>
    <row r="43" spans="1:44" ht="14.25" customHeight="1">
      <c r="A43" s="73"/>
      <c r="B43" s="76"/>
      <c r="D43" s="208"/>
      <c r="E43" s="208"/>
      <c r="F43" s="208"/>
      <c r="G43" s="208"/>
      <c r="H43" s="220"/>
      <c r="I43" s="210"/>
      <c r="J43" s="208"/>
      <c r="K43" s="208"/>
      <c r="L43" s="208"/>
      <c r="M43" s="208"/>
      <c r="N43" s="220"/>
      <c r="O43" s="210"/>
      <c r="P43" s="208"/>
      <c r="Q43" s="208"/>
      <c r="R43" s="208"/>
      <c r="S43" s="208"/>
      <c r="T43" s="220"/>
      <c r="U43" s="210"/>
      <c r="V43" s="208"/>
      <c r="W43" s="208"/>
      <c r="X43" s="208"/>
      <c r="Y43" s="208"/>
      <c r="Z43" s="220"/>
      <c r="AA43" s="213"/>
      <c r="AB43" s="208"/>
      <c r="AC43" s="208"/>
      <c r="AD43" s="208"/>
      <c r="AE43" s="208"/>
      <c r="AF43" s="220"/>
      <c r="AG43" s="211"/>
      <c r="AH43" s="208"/>
      <c r="AI43" s="208"/>
      <c r="AJ43" s="212"/>
      <c r="AK43" s="212"/>
      <c r="AL43" s="220"/>
      <c r="AM43" s="213"/>
      <c r="AN43" s="212"/>
      <c r="AO43" s="212"/>
      <c r="AP43" s="212"/>
      <c r="AQ43" s="212"/>
      <c r="AR43" s="220"/>
    </row>
    <row r="44" spans="1:44" ht="14.25" customHeight="1">
      <c r="A44" s="44" t="s">
        <v>37</v>
      </c>
      <c r="B44" s="65" t="s">
        <v>629</v>
      </c>
      <c r="D44" s="208"/>
      <c r="E44" s="208"/>
      <c r="F44" s="208"/>
      <c r="G44" s="208"/>
      <c r="H44" s="220"/>
      <c r="I44" s="210"/>
      <c r="J44" s="208"/>
      <c r="K44" s="208"/>
      <c r="L44" s="208"/>
      <c r="M44" s="208"/>
      <c r="N44" s="220"/>
      <c r="O44" s="210"/>
      <c r="P44" s="208"/>
      <c r="Q44" s="208"/>
      <c r="R44" s="208"/>
      <c r="S44" s="208"/>
      <c r="T44" s="220"/>
      <c r="U44" s="210"/>
      <c r="V44" s="208"/>
      <c r="W44" s="208"/>
      <c r="X44" s="208"/>
      <c r="Y44" s="208"/>
      <c r="Z44" s="220"/>
      <c r="AA44" s="213"/>
      <c r="AB44" s="208"/>
      <c r="AC44" s="208"/>
      <c r="AD44" s="208"/>
      <c r="AE44" s="208"/>
      <c r="AF44" s="220"/>
      <c r="AG44" s="211"/>
      <c r="AH44" s="208"/>
      <c r="AI44" s="208"/>
      <c r="AJ44" s="212"/>
      <c r="AK44" s="212"/>
      <c r="AL44" s="220"/>
      <c r="AM44" s="213"/>
      <c r="AN44" s="212"/>
      <c r="AO44" s="212"/>
      <c r="AP44" s="212"/>
      <c r="AQ44" s="212"/>
      <c r="AR44" s="220"/>
    </row>
    <row r="45" spans="1:44" ht="14.25" customHeight="1">
      <c r="A45" s="84"/>
      <c r="B45" s="70" t="s">
        <v>556</v>
      </c>
      <c r="D45" s="208"/>
      <c r="E45" s="208"/>
      <c r="F45" s="208"/>
      <c r="G45" s="208"/>
      <c r="H45" s="220" t="str">
        <f>IF(ROUND(SUM(IS!D45:G45),1)=ROUND(IS!H45,1),"OK","ERROR")</f>
        <v>OK</v>
      </c>
      <c r="I45" s="210"/>
      <c r="J45" s="208"/>
      <c r="K45" s="208"/>
      <c r="L45" s="208"/>
      <c r="M45" s="208"/>
      <c r="N45" s="220" t="str">
        <f>IF(ROUND(SUM(IS!J45:M45),1)=ROUND(IS!N45,1),"OK","ERROR")</f>
        <v>ERROR</v>
      </c>
      <c r="O45" s="210"/>
      <c r="P45" s="208"/>
      <c r="Q45" s="208"/>
      <c r="R45" s="208"/>
      <c r="S45" s="208"/>
      <c r="T45" s="220" t="str">
        <f>IF(ROUND(SUM(IS!P45:S45),1)=ROUND(IS!T45,1),"OK","ERROR")</f>
        <v>OK</v>
      </c>
      <c r="U45" s="210"/>
      <c r="V45" s="208"/>
      <c r="W45" s="208"/>
      <c r="X45" s="208"/>
      <c r="Y45" s="208"/>
      <c r="Z45" s="220" t="str">
        <f>IF(ROUND(SUM(IS!V45:Y45),1)=ROUND(IS!Z45,1),"OK","ERROR")</f>
        <v>OK</v>
      </c>
      <c r="AA45" s="224"/>
      <c r="AB45" s="208"/>
      <c r="AC45" s="208"/>
      <c r="AD45" s="208"/>
      <c r="AE45" s="208"/>
      <c r="AF45" s="220" t="str">
        <f>IF(ROUND(SUM(IS!AB45:AE45),1)=ROUND(IS!AF45,1),"OK","ERROR")</f>
        <v>ERROR</v>
      </c>
      <c r="AG45" s="211"/>
      <c r="AH45" s="208"/>
      <c r="AI45" s="208"/>
      <c r="AJ45" s="212"/>
      <c r="AK45" s="212"/>
      <c r="AL45" s="220" t="str">
        <f>IF(ROUND(SUM(IS!AH45:AK45),1)=ROUND(IS!AL45,1),"OK","ERROR")</f>
        <v>ERROR</v>
      </c>
      <c r="AM45" s="235"/>
      <c r="AN45" s="212"/>
      <c r="AO45" s="212"/>
      <c r="AP45" s="212"/>
      <c r="AQ45" s="212"/>
      <c r="AR45" s="220" t="str">
        <f>IF(ROUND(SUM(IS!AN45:AQ45),1)=ROUND(IS!AR45,1),"OK","ERROR")</f>
        <v>OK</v>
      </c>
    </row>
    <row r="46" spans="1:44" ht="14.25" customHeight="1">
      <c r="A46" s="84"/>
      <c r="B46" s="70" t="s">
        <v>630</v>
      </c>
      <c r="D46" s="208"/>
      <c r="E46" s="208"/>
      <c r="F46" s="208"/>
      <c r="G46" s="208"/>
      <c r="H46" s="220" t="str">
        <f>IF(ROUND(SUM(IS!D46:G46),1)=ROUND(IS!H46,1),"OK","ERROR")</f>
        <v>OK</v>
      </c>
      <c r="I46" s="210"/>
      <c r="J46" s="208"/>
      <c r="K46" s="208"/>
      <c r="L46" s="208"/>
      <c r="M46" s="208"/>
      <c r="N46" s="220" t="str">
        <f>IF(ROUND(SUM(IS!J46:M46),1)=ROUND(IS!N46,1),"OK","ERROR")</f>
        <v>OK</v>
      </c>
      <c r="O46" s="210"/>
      <c r="P46" s="208"/>
      <c r="Q46" s="208"/>
      <c r="R46" s="208"/>
      <c r="S46" s="208"/>
      <c r="T46" s="220" t="str">
        <f>IF(ROUND(SUM(IS!P46:S46),1)=ROUND(IS!T46,1),"OK","ERROR")</f>
        <v>OK</v>
      </c>
      <c r="U46" s="210"/>
      <c r="V46" s="208"/>
      <c r="W46" s="208"/>
      <c r="X46" s="208"/>
      <c r="Y46" s="208"/>
      <c r="Z46" s="220" t="str">
        <f>IF(ROUND(SUM(IS!V46:Y46),1)=ROUND(IS!Z46,1),"OK","ERROR")</f>
        <v>OK</v>
      </c>
      <c r="AA46" s="213"/>
      <c r="AB46" s="208"/>
      <c r="AC46" s="208"/>
      <c r="AD46" s="208"/>
      <c r="AE46" s="208"/>
      <c r="AF46" s="220" t="str">
        <f>IF(ROUND(SUM(IS!AB46:AE46),1)=ROUND(IS!AF46,1),"OK","ERROR")</f>
        <v>OK</v>
      </c>
      <c r="AG46" s="211"/>
      <c r="AH46" s="208"/>
      <c r="AI46" s="208"/>
      <c r="AJ46" s="212"/>
      <c r="AK46" s="212"/>
      <c r="AL46" s="220" t="str">
        <f>IF(ROUND(SUM(IS!AH46:AK46),1)=ROUND(IS!AL46,1),"OK","ERROR")</f>
        <v>OK</v>
      </c>
      <c r="AM46" s="236"/>
      <c r="AN46" s="212"/>
      <c r="AO46" s="212"/>
      <c r="AP46" s="212"/>
      <c r="AQ46" s="212"/>
      <c r="AR46" s="220" t="str">
        <f>IF(ROUND(SUM(IS!AN46:AQ46),1)=ROUND(IS!AR46,1),"OK","ERROR")</f>
        <v>OK</v>
      </c>
    </row>
    <row r="47" spans="1:44" ht="14.25" customHeight="1" thickBot="1">
      <c r="A47" s="73"/>
      <c r="B47" s="70" t="s">
        <v>631</v>
      </c>
      <c r="D47" s="208"/>
      <c r="E47" s="208"/>
      <c r="F47" s="208"/>
      <c r="G47" s="208"/>
      <c r="H47" s="237" t="str">
        <f>IF(ROUND(SUM(IS!D47:G47),1)=ROUND(IS!H47,1),"OK","ERROR")</f>
        <v>OK</v>
      </c>
      <c r="I47" s="210"/>
      <c r="J47" s="208"/>
      <c r="K47" s="208"/>
      <c r="L47" s="208"/>
      <c r="M47" s="208"/>
      <c r="N47" s="237" t="str">
        <f>IF(ROUND(SUM(IS!J47:M47),1)=ROUND(IS!N47,1),"OK","ERROR")</f>
        <v>ERROR</v>
      </c>
      <c r="O47" s="210"/>
      <c r="P47" s="208"/>
      <c r="Q47" s="208"/>
      <c r="R47" s="208"/>
      <c r="S47" s="208"/>
      <c r="T47" s="237" t="str">
        <f>IF(ROUND(SUM(IS!P47:S47),1)=ROUND(IS!T47,1),"OK","ERROR")</f>
        <v>ERROR</v>
      </c>
      <c r="U47" s="210"/>
      <c r="V47" s="208"/>
      <c r="W47" s="208"/>
      <c r="X47" s="208"/>
      <c r="Y47" s="208"/>
      <c r="Z47" s="237" t="str">
        <f>IF(ROUND(SUM(IS!V47:Y47),1)=ROUND(IS!Z47,1),"OK","ERROR")</f>
        <v>OK</v>
      </c>
      <c r="AA47" s="213"/>
      <c r="AB47" s="208"/>
      <c r="AC47" s="208"/>
      <c r="AD47" s="208"/>
      <c r="AE47" s="208"/>
      <c r="AF47" s="237" t="str">
        <f>IF(ROUND(SUM(IS!AB47:AE47),1)=ROUND(IS!AF47,1),"OK","ERROR")</f>
        <v>ERROR</v>
      </c>
      <c r="AG47" s="211"/>
      <c r="AH47" s="208"/>
      <c r="AI47" s="208"/>
      <c r="AJ47" s="212"/>
      <c r="AK47" s="212"/>
      <c r="AL47" s="237" t="str">
        <f>IF(ROUND(SUM(IS!AH47:AK47),1)=ROUND(IS!AL47,1),"OK","ERROR")</f>
        <v>ERROR</v>
      </c>
      <c r="AM47" s="236"/>
      <c r="AN47" s="212"/>
      <c r="AO47" s="212"/>
      <c r="AP47" s="212"/>
      <c r="AQ47" s="212"/>
      <c r="AR47" s="237" t="str">
        <f>IF(ROUND(SUM(IS!AN47:AQ47),1)=ROUND(IS!AR47,1),"OK","ERROR")</f>
        <v>OK</v>
      </c>
    </row>
    <row r="49" spans="1:50" ht="14.25" customHeight="1">
      <c r="A49" s="44" t="s">
        <v>37</v>
      </c>
      <c r="B49" s="65" t="s">
        <v>632</v>
      </c>
      <c r="D49" s="208"/>
      <c r="E49" s="208"/>
      <c r="F49" s="208"/>
      <c r="G49" s="208"/>
      <c r="H49" s="220"/>
      <c r="I49" s="210"/>
      <c r="J49" s="208"/>
      <c r="K49" s="208"/>
      <c r="L49" s="208"/>
      <c r="M49" s="208"/>
      <c r="N49" s="220"/>
      <c r="O49" s="210"/>
      <c r="P49" s="208"/>
      <c r="Q49" s="208"/>
      <c r="R49" s="208"/>
      <c r="S49" s="208"/>
      <c r="T49" s="220"/>
      <c r="U49" s="210"/>
      <c r="V49" s="208"/>
      <c r="W49" s="208"/>
      <c r="X49" s="208"/>
      <c r="Y49" s="208"/>
      <c r="Z49" s="220"/>
      <c r="AA49" s="210"/>
      <c r="AB49" s="208"/>
      <c r="AC49" s="208"/>
      <c r="AD49" s="208"/>
      <c r="AE49" s="208"/>
      <c r="AF49" s="220"/>
      <c r="AG49" s="238"/>
      <c r="AH49" s="208"/>
      <c r="AI49" s="208"/>
      <c r="AJ49" s="212"/>
      <c r="AK49" s="212"/>
      <c r="AL49" s="220"/>
      <c r="AM49" s="210"/>
      <c r="AN49" s="212"/>
      <c r="AO49" s="212"/>
      <c r="AP49" s="212"/>
      <c r="AQ49" s="212"/>
      <c r="AR49" s="220"/>
      <c r="AS49" s="210"/>
      <c r="AT49" s="220"/>
      <c r="AU49" s="239"/>
      <c r="AV49" s="220"/>
      <c r="AW49" s="239"/>
      <c r="AX49" s="220"/>
    </row>
    <row r="50" spans="1:50" ht="14.25" customHeight="1">
      <c r="A50" s="73"/>
      <c r="B50" s="70" t="s">
        <v>633</v>
      </c>
      <c r="D50" s="208"/>
      <c r="E50" s="208"/>
      <c r="F50" s="208"/>
      <c r="G50" s="208"/>
      <c r="H50" s="220" t="str">
        <f>IF(ROUND(SUM(IS!D50:G50),1)=ROUND(IS!H50,1),"OK","ERROR")</f>
        <v>OK</v>
      </c>
      <c r="I50" s="210"/>
      <c r="J50" s="208"/>
      <c r="K50" s="208"/>
      <c r="L50" s="208"/>
      <c r="M50" s="208"/>
      <c r="N50" s="220" t="str">
        <f>IF(ROUND(SUM(IS!J50:M50),1)=ROUND(IS!N50,1),"OK","ERROR")</f>
        <v>OK</v>
      </c>
      <c r="O50" s="210"/>
      <c r="P50" s="208"/>
      <c r="Q50" s="208"/>
      <c r="R50" s="208"/>
      <c r="S50" s="208"/>
      <c r="T50" s="220" t="str">
        <f>IF(ROUND(SUM(IS!P50:S50),1)=ROUND(IS!T50,1),"OK","ERROR")</f>
        <v>OK</v>
      </c>
      <c r="U50" s="210"/>
      <c r="V50" s="208"/>
      <c r="W50" s="208"/>
      <c r="X50" s="208"/>
      <c r="Y50" s="208"/>
      <c r="Z50" s="220" t="str">
        <f>IF(ROUND(SUM(IS!V50:Y50),1)=ROUND(IS!Z50,1),"OK","ERROR")</f>
        <v>OK</v>
      </c>
      <c r="AA50" s="228"/>
      <c r="AB50" s="208"/>
      <c r="AC50" s="208"/>
      <c r="AD50" s="208"/>
      <c r="AE50" s="208"/>
      <c r="AF50" s="220" t="str">
        <f>IF(ROUND(SUM(IS!AB50:AE50),1)=ROUND(IS!AF50,1),"OK","ERROR")</f>
        <v>OK</v>
      </c>
      <c r="AG50" s="229"/>
      <c r="AH50" s="208"/>
      <c r="AI50" s="208"/>
      <c r="AJ50" s="212"/>
      <c r="AK50" s="212"/>
      <c r="AL50" s="220" t="str">
        <f>IF(ROUND(SUM(IS!AH50:AK50),1)=ROUND(IS!AL50,1),"OK","ERROR")</f>
        <v>OK</v>
      </c>
      <c r="AM50" s="228"/>
      <c r="AN50" s="212"/>
      <c r="AO50" s="212"/>
      <c r="AP50" s="212"/>
      <c r="AQ50" s="212"/>
      <c r="AR50" s="220" t="str">
        <f>IF(ROUND(SUM(IS!AN50:AQ50),1)=ROUND(IS!AR50,1),"OK","ERROR")</f>
        <v>OK</v>
      </c>
      <c r="AS50" s="228"/>
      <c r="AT50" s="220"/>
      <c r="AU50" s="230"/>
      <c r="AV50" s="220"/>
      <c r="AW50" s="230"/>
      <c r="AX50" s="220"/>
    </row>
    <row r="51" spans="1:50" ht="14.25" customHeight="1">
      <c r="A51" s="55"/>
      <c r="B51" s="70" t="s">
        <v>634</v>
      </c>
      <c r="D51" s="208"/>
      <c r="E51" s="208"/>
      <c r="F51" s="208"/>
      <c r="G51" s="208"/>
      <c r="H51" s="226" t="str">
        <f>IF(ROUND(SUM(IS!D51:G51),1)=ROUND(IS!H51,1),"OK","ERROR")</f>
        <v>OK</v>
      </c>
      <c r="I51" s="210"/>
      <c r="J51" s="208"/>
      <c r="K51" s="208"/>
      <c r="L51" s="208"/>
      <c r="M51" s="208"/>
      <c r="N51" s="226" t="str">
        <f>IF(ROUND(SUM(IS!J51:M51),1)=ROUND(IS!N51,1),"OK","ERROR")</f>
        <v>ERROR</v>
      </c>
      <c r="O51" s="210"/>
      <c r="P51" s="208"/>
      <c r="Q51" s="208"/>
      <c r="R51" s="208"/>
      <c r="S51" s="208"/>
      <c r="T51" s="226" t="str">
        <f>IF(ROUND(SUM(IS!P51:S51),1)=ROUND(IS!T51,1),"OK","ERROR")</f>
        <v>ERROR</v>
      </c>
      <c r="U51" s="210"/>
      <c r="V51" s="208"/>
      <c r="W51" s="208"/>
      <c r="X51" s="208"/>
      <c r="Y51" s="208"/>
      <c r="Z51" s="226" t="str">
        <f>IF(ROUND(SUM(IS!V51:Y51),1)=ROUND(IS!Z51,1),"OK","ERROR")</f>
        <v>OK</v>
      </c>
      <c r="AA51" s="210"/>
      <c r="AB51" s="208"/>
      <c r="AC51" s="208"/>
      <c r="AD51" s="208"/>
      <c r="AE51" s="208"/>
      <c r="AF51" s="226" t="str">
        <f>IF(ROUND(SUM(IS!AB51:AE51),1)=ROUND(IS!AF51,1),"OK","ERROR")</f>
        <v>OK</v>
      </c>
      <c r="AG51" s="238"/>
      <c r="AH51" s="208"/>
      <c r="AI51" s="208"/>
      <c r="AJ51" s="212"/>
      <c r="AK51" s="212"/>
      <c r="AL51" s="226" t="str">
        <f>IF(ROUND(SUM(IS!AH51:AK51),1)=ROUND(IS!AL51,1),"OK","ERROR")</f>
        <v>OK</v>
      </c>
      <c r="AM51" s="210"/>
      <c r="AN51" s="212"/>
      <c r="AO51" s="212"/>
      <c r="AP51" s="212"/>
      <c r="AQ51" s="212"/>
      <c r="AR51" s="226" t="str">
        <f>IF(ROUND(SUM(IS!AN51:AQ51),1)=ROUND(IS!AR51,1),"OK","ERROR")</f>
        <v>OK</v>
      </c>
      <c r="AS51" s="210"/>
      <c r="AT51" s="226"/>
      <c r="AU51" s="239"/>
      <c r="AV51" s="226"/>
      <c r="AW51" s="239"/>
      <c r="AX51" s="226"/>
    </row>
    <row r="52" spans="1:50" ht="14.25" customHeight="1" thickBot="1">
      <c r="A52" s="73"/>
      <c r="B52" s="76" t="s">
        <v>635</v>
      </c>
      <c r="D52" s="208"/>
      <c r="E52" s="208"/>
      <c r="F52" s="208"/>
      <c r="G52" s="208"/>
      <c r="H52" s="237" t="str">
        <f>IF(ROUND(SUM(IS!D52:G52),1)=ROUND(IS!H52,1),"OK","ERROR")</f>
        <v>OK</v>
      </c>
      <c r="I52" s="210"/>
      <c r="J52" s="208"/>
      <c r="K52" s="208"/>
      <c r="L52" s="208"/>
      <c r="M52" s="208"/>
      <c r="N52" s="237" t="str">
        <f>IF(ROUND(SUM(IS!J52:M52),1)=ROUND(IS!N52,1),"OK","ERROR")</f>
        <v>ERROR</v>
      </c>
      <c r="O52" s="210"/>
      <c r="P52" s="208"/>
      <c r="Q52" s="208"/>
      <c r="R52" s="208"/>
      <c r="S52" s="208"/>
      <c r="T52" s="237" t="str">
        <f>IF(ROUND(SUM(IS!P52:S52),1)=ROUND(IS!T52,1),"OK","ERROR")</f>
        <v>ERROR</v>
      </c>
      <c r="U52" s="210"/>
      <c r="V52" s="208"/>
      <c r="W52" s="208"/>
      <c r="X52" s="208"/>
      <c r="Y52" s="208"/>
      <c r="Z52" s="237" t="str">
        <f>IF(ROUND(SUM(IS!V52:Y52),1)=ROUND(IS!Z52,1),"OK","ERROR")</f>
        <v>OK</v>
      </c>
      <c r="AA52" s="210"/>
      <c r="AB52" s="208"/>
      <c r="AC52" s="208"/>
      <c r="AD52" s="208"/>
      <c r="AE52" s="208"/>
      <c r="AF52" s="237" t="str">
        <f>IF(ROUND(SUM(IS!AB52:AE52),1)=ROUND(IS!AF52,1),"OK","ERROR")</f>
        <v>ERROR</v>
      </c>
      <c r="AG52" s="238"/>
      <c r="AH52" s="208"/>
      <c r="AI52" s="208"/>
      <c r="AJ52" s="212"/>
      <c r="AK52" s="212"/>
      <c r="AL52" s="237" t="str">
        <f>IF(ROUND(SUM(IS!AH52:AK52),1)=ROUND(IS!AL52,1),"OK","ERROR")</f>
        <v>ERROR</v>
      </c>
      <c r="AM52" s="210"/>
      <c r="AN52" s="212"/>
      <c r="AO52" s="212"/>
      <c r="AP52" s="212"/>
      <c r="AQ52" s="212"/>
      <c r="AR52" s="237" t="str">
        <f>IF(ROUND(SUM(IS!AN52:AQ52),1)=ROUND(IS!AR52,1),"OK","ERROR")</f>
        <v>OK</v>
      </c>
      <c r="AS52" s="210"/>
      <c r="AT52" s="237"/>
      <c r="AU52" s="239"/>
      <c r="AV52" s="237"/>
      <c r="AW52" s="239"/>
      <c r="AX52" s="237"/>
    </row>
    <row r="53" spans="1:50" ht="14.25" customHeight="1" thickTop="1">
      <c r="A53" s="55"/>
      <c r="B53" s="207"/>
      <c r="D53" s="208"/>
      <c r="E53" s="208"/>
      <c r="F53" s="208"/>
      <c r="G53" s="208"/>
      <c r="H53" s="220"/>
      <c r="I53" s="210"/>
      <c r="J53" s="208"/>
      <c r="K53" s="208"/>
      <c r="L53" s="208"/>
      <c r="M53" s="208"/>
      <c r="N53" s="220"/>
      <c r="O53" s="210"/>
      <c r="P53" s="208"/>
      <c r="Q53" s="208"/>
      <c r="R53" s="208"/>
      <c r="S53" s="208"/>
      <c r="T53" s="220"/>
      <c r="U53" s="210"/>
      <c r="V53" s="208"/>
      <c r="W53" s="208"/>
      <c r="X53" s="208"/>
      <c r="Y53" s="208"/>
      <c r="Z53" s="220"/>
      <c r="AA53" s="210"/>
      <c r="AB53" s="208"/>
      <c r="AC53" s="208"/>
      <c r="AD53" s="208"/>
      <c r="AE53" s="208"/>
      <c r="AF53" s="220"/>
      <c r="AG53" s="238"/>
      <c r="AH53" s="208"/>
      <c r="AI53" s="208"/>
      <c r="AJ53" s="212"/>
      <c r="AK53" s="212"/>
      <c r="AL53" s="220"/>
      <c r="AM53" s="210"/>
      <c r="AN53" s="212"/>
      <c r="AO53" s="212"/>
      <c r="AP53" s="212"/>
      <c r="AQ53" s="212"/>
      <c r="AR53" s="220"/>
      <c r="AS53" s="210"/>
      <c r="AT53" s="220"/>
      <c r="AU53" s="239"/>
      <c r="AV53" s="220"/>
      <c r="AW53" s="239"/>
      <c r="AX53" s="220"/>
    </row>
    <row r="54" spans="1:50" ht="14.25" customHeight="1">
      <c r="A54" s="44" t="s">
        <v>37</v>
      </c>
      <c r="B54" s="65" t="s">
        <v>636</v>
      </c>
      <c r="D54" s="208"/>
      <c r="E54" s="208"/>
      <c r="F54" s="208"/>
      <c r="G54" s="208"/>
      <c r="H54" s="220"/>
      <c r="I54" s="210"/>
      <c r="J54" s="208"/>
      <c r="K54" s="208"/>
      <c r="L54" s="208"/>
      <c r="M54" s="208"/>
      <c r="N54" s="220"/>
      <c r="O54" s="210"/>
      <c r="P54" s="208"/>
      <c r="Q54" s="208"/>
      <c r="R54" s="208"/>
      <c r="S54" s="208"/>
      <c r="T54" s="220"/>
      <c r="U54" s="210"/>
      <c r="V54" s="208"/>
      <c r="W54" s="208"/>
      <c r="X54" s="208"/>
      <c r="Y54" s="208"/>
      <c r="Z54" s="220"/>
      <c r="AA54" s="210"/>
      <c r="AB54" s="208"/>
      <c r="AC54" s="208"/>
      <c r="AD54" s="208"/>
      <c r="AE54" s="208"/>
      <c r="AF54" s="220"/>
      <c r="AG54" s="238"/>
      <c r="AH54" s="208"/>
      <c r="AI54" s="208"/>
      <c r="AJ54" s="212"/>
      <c r="AK54" s="212"/>
      <c r="AL54" s="220"/>
      <c r="AM54" s="210"/>
      <c r="AN54" s="212"/>
      <c r="AO54" s="212"/>
      <c r="AP54" s="212"/>
      <c r="AQ54" s="212"/>
      <c r="AR54" s="220"/>
      <c r="AS54" s="210"/>
      <c r="AT54" s="220"/>
      <c r="AU54" s="239"/>
      <c r="AV54" s="220"/>
      <c r="AW54" s="239"/>
      <c r="AX54" s="220"/>
    </row>
    <row r="55" spans="1:50" ht="14.25" customHeight="1">
      <c r="A55" s="55"/>
      <c r="B55" s="76" t="s">
        <v>637</v>
      </c>
      <c r="D55" s="240"/>
      <c r="E55" s="240"/>
      <c r="F55" s="240"/>
      <c r="G55" s="240"/>
      <c r="H55" s="241" t="str">
        <f>IF(ROUND(AVERAGE(IS!D55:G55),0)-ROUND(IS!H55,0)&lt;0.01*ROUND(IS!H55,0),"OK","ERROR")</f>
        <v>OK</v>
      </c>
      <c r="I55" s="242"/>
      <c r="J55" s="240"/>
      <c r="K55" s="240"/>
      <c r="L55" s="240"/>
      <c r="M55" s="240"/>
      <c r="N55" s="241" t="str">
        <f>IF(ROUND(AVERAGE(IS!J55:M55),0)-ROUND(IS!N55,0)&lt;0.01*ROUND(IS!N55,0),"OK","ERROR")</f>
        <v>OK</v>
      </c>
      <c r="O55" s="242"/>
      <c r="P55" s="240"/>
      <c r="Q55" s="240"/>
      <c r="R55" s="240"/>
      <c r="S55" s="240"/>
      <c r="T55" s="241" t="str">
        <f>IF(ROUND(AVERAGE(IS!P55:S55),0)-ROUND(IS!T55,0)&lt;0.01*ROUND(IS!T55,0),"OK","ERROR")</f>
        <v>OK</v>
      </c>
      <c r="U55" s="242"/>
      <c r="V55" s="240"/>
      <c r="W55" s="240"/>
      <c r="X55" s="240"/>
      <c r="Y55" s="240"/>
      <c r="Z55" s="241" t="str">
        <f>IF(ROUND(AVERAGE(IS!V55:Y55),0)-ROUND(IS!Z55,0)&lt;0.01*ROUND(IS!Z55,0),"OK","ERROR")</f>
        <v>OK</v>
      </c>
      <c r="AA55" s="242"/>
      <c r="AB55" s="240"/>
      <c r="AC55" s="240"/>
      <c r="AD55" s="240"/>
      <c r="AE55" s="240"/>
      <c r="AF55" s="241" t="str">
        <f>IF(ROUND(AVERAGE(IS!AB55:AE55),0)-ROUND(IS!AF55,0)&lt;0.01*ROUND(IS!AF55,0),"OK","ERROR")</f>
        <v>OK</v>
      </c>
      <c r="AG55" s="243"/>
      <c r="AH55" s="240"/>
      <c r="AI55" s="240"/>
      <c r="AJ55" s="244"/>
      <c r="AK55" s="244"/>
      <c r="AL55" s="241" t="str">
        <f>IF(ROUND(AVERAGE(IS!AH55:AK55),0)-ROUND(IS!AL55,0)&lt;0.01*ROUND(IS!AL55,0),"OK","ERROR")</f>
        <v>ERROR</v>
      </c>
      <c r="AM55" s="242"/>
      <c r="AN55" s="244"/>
      <c r="AO55" s="244"/>
      <c r="AP55" s="244"/>
      <c r="AQ55" s="244"/>
      <c r="AR55" s="241" t="e">
        <f>IF(ROUND(AVERAGE(IS!AN55:AQ55),0)-ROUND(IS!AR55,0)&lt;0.01*ROUND(IS!AR55,0),"OK","ERROR")</f>
        <v>#DIV/0!</v>
      </c>
      <c r="AS55" s="242"/>
      <c r="AT55" s="241"/>
      <c r="AU55" s="245"/>
      <c r="AV55" s="241"/>
      <c r="AW55" s="245"/>
      <c r="AX55" s="241"/>
    </row>
    <row r="56" spans="1:50" ht="14.25" customHeight="1">
      <c r="A56" s="73"/>
      <c r="B56" s="76" t="s">
        <v>638</v>
      </c>
      <c r="D56" s="240"/>
      <c r="E56" s="240"/>
      <c r="F56" s="240"/>
      <c r="G56" s="240"/>
      <c r="H56" s="241" t="str">
        <f>IF(ROUND(AVERAGE(IS!D56:G56),0)-ROUND(IS!H56,0)&lt;0.01*ROUND(IS!H56,0),"OK","ERROR")</f>
        <v>OK</v>
      </c>
      <c r="I56" s="242"/>
      <c r="J56" s="240"/>
      <c r="K56" s="240"/>
      <c r="L56" s="240"/>
      <c r="M56" s="240"/>
      <c r="N56" s="241" t="str">
        <f>IF(ROUND(AVERAGE(IS!J56:M56),0)-ROUND(IS!N56,0)&lt;0.01*ROUND(IS!N56,0),"OK","ERROR")</f>
        <v>OK</v>
      </c>
      <c r="O56" s="242"/>
      <c r="P56" s="240"/>
      <c r="Q56" s="240"/>
      <c r="R56" s="240"/>
      <c r="S56" s="240"/>
      <c r="T56" s="241" t="str">
        <f>IF(ROUND(AVERAGE(IS!P56:S56),0)-ROUND(IS!T56,0)&lt;0.01*ROUND(IS!T56,0),"OK","ERROR")</f>
        <v>OK</v>
      </c>
      <c r="U56" s="242"/>
      <c r="V56" s="240"/>
      <c r="W56" s="240"/>
      <c r="X56" s="240"/>
      <c r="Y56" s="240"/>
      <c r="Z56" s="241" t="str">
        <f>IF(ROUND(AVERAGE(IS!V56:Y56),0)-ROUND(IS!Z56,0)&lt;0.01*ROUND(IS!Z56,0),"OK","ERROR")</f>
        <v>OK</v>
      </c>
      <c r="AA56" s="242"/>
      <c r="AB56" s="240"/>
      <c r="AC56" s="240"/>
      <c r="AD56" s="240"/>
      <c r="AE56" s="240"/>
      <c r="AF56" s="241" t="str">
        <f>IF(ROUND(AVERAGE(IS!AB56:AE56),0)-ROUND(IS!AF56,0)&lt;0.01*ROUND(IS!AF56,0),"OK","ERROR")</f>
        <v>OK</v>
      </c>
      <c r="AG56" s="243"/>
      <c r="AH56" s="240"/>
      <c r="AI56" s="240"/>
      <c r="AJ56" s="244"/>
      <c r="AK56" s="244"/>
      <c r="AL56" s="241" t="str">
        <f>IF(ROUND(AVERAGE(IS!AH56:AK56),0)-ROUND(IS!AL56,0)&lt;0.01*ROUND(IS!AL56,0),"OK","ERROR")</f>
        <v>ERROR</v>
      </c>
      <c r="AM56" s="242"/>
      <c r="AN56" s="244"/>
      <c r="AO56" s="244"/>
      <c r="AP56" s="244"/>
      <c r="AQ56" s="244"/>
      <c r="AR56" s="241" t="e">
        <f>IF(ROUND(AVERAGE(IS!AN56:AQ56),0)-ROUND(IS!AR56,0)&lt;0.01*ROUND(IS!AR56,0),"OK","ERROR")</f>
        <v>#DIV/0!</v>
      </c>
      <c r="AS56" s="242"/>
      <c r="AT56" s="241"/>
      <c r="AU56" s="245"/>
      <c r="AV56" s="241"/>
      <c r="AW56" s="245"/>
      <c r="AX56" s="241"/>
    </row>
    <row r="57" spans="1:50" ht="14.25" customHeight="1">
      <c r="A57" s="55"/>
      <c r="B57" s="207"/>
      <c r="D57" s="208"/>
      <c r="E57" s="208"/>
      <c r="F57" s="208"/>
      <c r="G57" s="208"/>
      <c r="H57" s="220"/>
      <c r="I57" s="210"/>
      <c r="J57" s="208"/>
      <c r="K57" s="208"/>
      <c r="L57" s="208"/>
      <c r="M57" s="208"/>
      <c r="N57" s="220"/>
      <c r="O57" s="210"/>
      <c r="P57" s="208"/>
      <c r="Q57" s="208"/>
      <c r="R57" s="208"/>
      <c r="S57" s="208"/>
      <c r="T57" s="220"/>
      <c r="U57" s="210"/>
      <c r="V57" s="208"/>
      <c r="W57" s="208"/>
      <c r="X57" s="208"/>
      <c r="Y57" s="208"/>
      <c r="Z57" s="220"/>
      <c r="AA57" s="210"/>
      <c r="AB57" s="208"/>
      <c r="AC57" s="208"/>
      <c r="AD57" s="208"/>
      <c r="AE57" s="208"/>
      <c r="AF57" s="220"/>
      <c r="AG57" s="238"/>
      <c r="AH57" s="208"/>
      <c r="AI57" s="208"/>
      <c r="AJ57" s="212"/>
      <c r="AK57" s="212"/>
      <c r="AL57" s="220"/>
      <c r="AM57" s="210"/>
      <c r="AN57" s="212"/>
      <c r="AO57" s="212"/>
      <c r="AP57" s="212"/>
      <c r="AQ57" s="212"/>
      <c r="AR57" s="220"/>
      <c r="AS57" s="210"/>
      <c r="AT57" s="220"/>
      <c r="AU57" s="239"/>
      <c r="AV57" s="220"/>
      <c r="AW57" s="239"/>
      <c r="AX57" s="220"/>
    </row>
    <row r="58" spans="1:50" ht="14.25" customHeight="1">
      <c r="A58" s="44" t="s">
        <v>37</v>
      </c>
      <c r="B58" s="65" t="s">
        <v>639</v>
      </c>
      <c r="D58" s="208"/>
      <c r="E58" s="208"/>
      <c r="F58" s="208"/>
      <c r="G58" s="208"/>
      <c r="H58" s="220"/>
      <c r="I58" s="210"/>
      <c r="J58" s="208"/>
      <c r="K58" s="208"/>
      <c r="L58" s="208"/>
      <c r="M58" s="208"/>
      <c r="N58" s="220"/>
      <c r="O58" s="210"/>
      <c r="P58" s="208"/>
      <c r="Q58" s="208"/>
      <c r="R58" s="208"/>
      <c r="S58" s="208"/>
      <c r="T58" s="220"/>
      <c r="U58" s="210"/>
      <c r="V58" s="208"/>
      <c r="W58" s="208"/>
      <c r="X58" s="208"/>
      <c r="Y58" s="208"/>
      <c r="Z58" s="220"/>
      <c r="AA58" s="210"/>
      <c r="AB58" s="208"/>
      <c r="AC58" s="208"/>
      <c r="AD58" s="208"/>
      <c r="AE58" s="208"/>
      <c r="AF58" s="220"/>
      <c r="AG58" s="238"/>
      <c r="AH58" s="208"/>
      <c r="AI58" s="208"/>
      <c r="AJ58" s="212"/>
      <c r="AK58" s="212"/>
      <c r="AL58" s="220"/>
      <c r="AM58" s="210"/>
      <c r="AN58" s="212"/>
      <c r="AO58" s="212"/>
      <c r="AP58" s="212"/>
      <c r="AQ58" s="212"/>
      <c r="AR58" s="220"/>
      <c r="AS58" s="210"/>
      <c r="AT58" s="220"/>
      <c r="AU58" s="239"/>
      <c r="AV58" s="220"/>
      <c r="AW58" s="239"/>
      <c r="AX58" s="220"/>
    </row>
    <row r="59" spans="1:50" ht="14.25" customHeight="1">
      <c r="B59" s="70" t="s">
        <v>640</v>
      </c>
      <c r="D59" s="208"/>
      <c r="E59" s="208"/>
      <c r="F59" s="208"/>
      <c r="G59" s="208"/>
      <c r="H59" s="220" t="str">
        <f>IF(ROUND(AVERAGE(IS!D59:G59),0)-ROUND(IS!H59,0)&lt;0.01*ROUND(IS!H59,0),"OK","ERROR")</f>
        <v>OK</v>
      </c>
      <c r="I59" s="210"/>
      <c r="J59" s="208"/>
      <c r="K59" s="208"/>
      <c r="L59" s="208"/>
      <c r="M59" s="208"/>
      <c r="N59" s="220" t="str">
        <f>IF(ROUND(AVERAGE(IS!J59:M59),0)-ROUND(IS!N59,0)&lt;0.01*ROUND(IS!N59,0),"OK","ERROR")</f>
        <v>OK</v>
      </c>
      <c r="O59" s="210"/>
      <c r="P59" s="208"/>
      <c r="Q59" s="208"/>
      <c r="R59" s="208"/>
      <c r="S59" s="208"/>
      <c r="T59" s="220" t="str">
        <f>IF(ROUND(AVERAGE(IS!P59:S59),0)-ROUND(IS!T59,0)&lt;0.01*ROUND(IS!T59,0),"OK","ERROR")</f>
        <v>OK</v>
      </c>
      <c r="U59" s="210"/>
      <c r="V59" s="208"/>
      <c r="W59" s="208"/>
      <c r="X59" s="208"/>
      <c r="Y59" s="208"/>
      <c r="Z59" s="220" t="str">
        <f>IF(ROUND(AVERAGE(IS!V59:Y59),0)-ROUND(IS!Z59,0)&lt;0.01*ROUND(IS!Z59,0),"OK","ERROR")</f>
        <v>OK</v>
      </c>
      <c r="AA59" s="210"/>
      <c r="AB59" s="208"/>
      <c r="AC59" s="208"/>
      <c r="AD59" s="208"/>
      <c r="AE59" s="208"/>
      <c r="AF59" s="220" t="str">
        <f>IF(ROUND(AVERAGE(IS!AB59:AE59),0)-ROUND(IS!AF59,0)&lt;0.01*ROUND(IS!AF59,0),"OK","ERROR")</f>
        <v>OK</v>
      </c>
      <c r="AG59" s="238"/>
      <c r="AH59" s="208"/>
      <c r="AI59" s="208"/>
      <c r="AJ59" s="212"/>
      <c r="AK59" s="212"/>
      <c r="AL59" s="220" t="str">
        <f>IF(ROUND(AVERAGE(IS!AH59:AK59),0)-ROUND(IS!AL59,0)&lt;0.01*ROUND(IS!AL59,0),"OK","ERROR")</f>
        <v>ERROR</v>
      </c>
      <c r="AM59" s="210"/>
      <c r="AN59" s="212"/>
      <c r="AO59" s="212"/>
      <c r="AP59" s="212"/>
      <c r="AQ59" s="212"/>
      <c r="AR59" s="220" t="e">
        <f>IF(ROUND(AVERAGE(IS!AN59:AQ59),0)-ROUND(IS!AR59,0)&lt;0.01*ROUND(IS!AR59,0),"OK","ERROR")</f>
        <v>#DIV/0!</v>
      </c>
      <c r="AS59" s="210"/>
      <c r="AT59" s="220"/>
      <c r="AU59" s="239"/>
      <c r="AV59" s="220"/>
      <c r="AW59" s="239"/>
      <c r="AX59" s="220"/>
    </row>
    <row r="60" spans="1:50" ht="14.25" customHeight="1">
      <c r="B60" s="70" t="s">
        <v>641</v>
      </c>
      <c r="D60" s="208"/>
      <c r="E60" s="208"/>
      <c r="F60" s="208"/>
      <c r="G60" s="208"/>
      <c r="H60" s="220" t="str">
        <f>IF(ROUND(AVERAGE(IS!D60:G60),0)-ROUND(IS!H60,0)&lt;0.01*ROUND(IS!H60,0),"OK","ERROR")</f>
        <v>OK</v>
      </c>
      <c r="I60" s="210"/>
      <c r="J60" s="208"/>
      <c r="K60" s="208"/>
      <c r="L60" s="208"/>
      <c r="M60" s="208"/>
      <c r="N60" s="220" t="str">
        <f>IF(ROUND(AVERAGE(IS!J60:M60),0)-ROUND(IS!N60,0)&lt;0.01*ROUND(IS!N60,0),"OK","ERROR")</f>
        <v>OK</v>
      </c>
      <c r="O60" s="210"/>
      <c r="P60" s="208"/>
      <c r="Q60" s="208"/>
      <c r="R60" s="208"/>
      <c r="S60" s="208"/>
      <c r="T60" s="220" t="str">
        <f>IF(ROUND(AVERAGE(IS!P60:S60),0)-ROUND(IS!T60,0)&lt;0.01*ROUND(IS!T60,0),"OK","ERROR")</f>
        <v>OK</v>
      </c>
      <c r="U60" s="210"/>
      <c r="V60" s="208"/>
      <c r="W60" s="208"/>
      <c r="X60" s="208"/>
      <c r="Y60" s="208"/>
      <c r="Z60" s="220" t="str">
        <f>IF(ROUND(AVERAGE(IS!V60:Y60),0)-ROUND(IS!Z60,0)&lt;0.01*ROUND(IS!Z60,0),"OK","ERROR")</f>
        <v>OK</v>
      </c>
      <c r="AA60" s="210"/>
      <c r="AB60" s="208"/>
      <c r="AC60" s="208"/>
      <c r="AD60" s="208"/>
      <c r="AE60" s="208"/>
      <c r="AF60" s="220" t="str">
        <f>IF(ROUND(AVERAGE(IS!AB60:AE60),0)-ROUND(IS!AF60,0)&lt;0.01*ROUND(IS!AF60,0),"OK","ERROR")</f>
        <v>OK</v>
      </c>
      <c r="AG60" s="238"/>
      <c r="AH60" s="208"/>
      <c r="AI60" s="208"/>
      <c r="AJ60" s="212"/>
      <c r="AK60" s="212"/>
      <c r="AL60" s="220" t="str">
        <f>IF(ROUND(AVERAGE(IS!AH60:AK60),0)-ROUND(IS!AL60,0)&lt;0.01*ROUND(IS!AL60,0),"OK","ERROR")</f>
        <v>ERROR</v>
      </c>
      <c r="AM60" s="210"/>
      <c r="AN60" s="212"/>
      <c r="AO60" s="212"/>
      <c r="AP60" s="212"/>
      <c r="AQ60" s="212"/>
      <c r="AR60" s="220" t="e">
        <f>IF(ROUND(AVERAGE(IS!AN60:AQ60),0)-ROUND(IS!AR60,0)&lt;0.01*ROUND(IS!AR60,0),"OK","ERROR")</f>
        <v>#DIV/0!</v>
      </c>
      <c r="AS60" s="210"/>
      <c r="AT60" s="220"/>
      <c r="AU60" s="239"/>
      <c r="AV60" s="220"/>
      <c r="AW60" s="239"/>
      <c r="AX60" s="220"/>
    </row>
    <row r="62" spans="1:50" s="41" customFormat="1" ht="15" customHeight="1">
      <c r="B62" s="161" t="s">
        <v>709</v>
      </c>
      <c r="C62" s="18"/>
      <c r="D62" s="202">
        <f>F62</f>
        <v>2020</v>
      </c>
      <c r="E62" s="202">
        <f>F62</f>
        <v>2020</v>
      </c>
      <c r="F62" s="202">
        <v>2020</v>
      </c>
      <c r="G62" s="202">
        <f>F62</f>
        <v>2020</v>
      </c>
      <c r="H62" s="202">
        <f>F62</f>
        <v>2020</v>
      </c>
      <c r="I62" s="18"/>
      <c r="J62" s="202">
        <f>L62</f>
        <v>2021</v>
      </c>
      <c r="K62" s="202">
        <f>L62</f>
        <v>2021</v>
      </c>
      <c r="L62" s="202">
        <v>2021</v>
      </c>
      <c r="M62" s="202">
        <f>L62</f>
        <v>2021</v>
      </c>
      <c r="N62" s="202">
        <f>L62</f>
        <v>2021</v>
      </c>
      <c r="O62" s="169"/>
      <c r="P62" s="202">
        <f>R62</f>
        <v>2022</v>
      </c>
      <c r="Q62" s="202">
        <f>R62</f>
        <v>2022</v>
      </c>
      <c r="R62" s="202">
        <v>2022</v>
      </c>
      <c r="S62" s="202">
        <f>R62</f>
        <v>2022</v>
      </c>
      <c r="T62" s="202">
        <f>R62</f>
        <v>2022</v>
      </c>
      <c r="U62" s="169"/>
      <c r="V62" s="202">
        <f>X62</f>
        <v>2023</v>
      </c>
      <c r="W62" s="202">
        <f>X62</f>
        <v>2023</v>
      </c>
      <c r="X62" s="202">
        <v>2023</v>
      </c>
      <c r="Y62" s="202">
        <f>X62</f>
        <v>2023</v>
      </c>
      <c r="Z62" s="202">
        <f>X62</f>
        <v>2023</v>
      </c>
      <c r="AA62" s="170"/>
      <c r="AB62" s="202">
        <f>AD62</f>
        <v>2024</v>
      </c>
      <c r="AC62" s="202">
        <f>AD62</f>
        <v>2024</v>
      </c>
      <c r="AD62" s="202">
        <v>2024</v>
      </c>
      <c r="AE62" s="202">
        <f>AD62</f>
        <v>2024</v>
      </c>
      <c r="AF62" s="202">
        <f>AD62</f>
        <v>2024</v>
      </c>
      <c r="AG62" s="170"/>
      <c r="AH62" s="202">
        <f>AJ62</f>
        <v>2025</v>
      </c>
      <c r="AI62" s="202">
        <f>AJ62</f>
        <v>2025</v>
      </c>
      <c r="AJ62" s="203">
        <v>2025</v>
      </c>
      <c r="AK62" s="202">
        <f>AJ62</f>
        <v>2025</v>
      </c>
      <c r="AL62" s="202">
        <f>AJ62</f>
        <v>2025</v>
      </c>
      <c r="AM62" s="171"/>
      <c r="AN62" s="202">
        <f>AP62</f>
        <v>2025</v>
      </c>
      <c r="AO62" s="202">
        <f>AP62</f>
        <v>2025</v>
      </c>
      <c r="AP62" s="203">
        <v>2025</v>
      </c>
      <c r="AQ62" s="202">
        <f>AP62</f>
        <v>2025</v>
      </c>
      <c r="AR62" s="202">
        <f>AP62</f>
        <v>2025</v>
      </c>
      <c r="AS62" s="18"/>
      <c r="AT62" s="162"/>
      <c r="AU62" s="18"/>
      <c r="AV62" s="163"/>
      <c r="AW62" s="18"/>
      <c r="AX62" s="163"/>
    </row>
    <row r="63" spans="1:50" s="41" customFormat="1" ht="15" customHeight="1">
      <c r="B63" s="164"/>
      <c r="C63" s="18"/>
      <c r="D63" s="756">
        <v>2020</v>
      </c>
      <c r="E63" s="756"/>
      <c r="F63" s="756"/>
      <c r="G63" s="756"/>
      <c r="H63" s="756"/>
      <c r="I63" s="169"/>
      <c r="J63" s="756">
        <f>D63+1</f>
        <v>2021</v>
      </c>
      <c r="K63" s="756"/>
      <c r="L63" s="756"/>
      <c r="M63" s="756"/>
      <c r="N63" s="756"/>
      <c r="O63" s="169"/>
      <c r="P63" s="756">
        <f>J63+1</f>
        <v>2022</v>
      </c>
      <c r="Q63" s="756"/>
      <c r="R63" s="756"/>
      <c r="S63" s="756"/>
      <c r="T63" s="756"/>
      <c r="U63" s="169"/>
      <c r="V63" s="756">
        <f>P63+1</f>
        <v>2023</v>
      </c>
      <c r="W63" s="756"/>
      <c r="X63" s="756"/>
      <c r="Y63" s="756"/>
      <c r="Z63" s="756"/>
      <c r="AA63" s="169"/>
      <c r="AB63" s="756">
        <f>V63+1</f>
        <v>2024</v>
      </c>
      <c r="AC63" s="756"/>
      <c r="AD63" s="756"/>
      <c r="AE63" s="756"/>
      <c r="AF63" s="756"/>
      <c r="AG63" s="169"/>
      <c r="AH63" s="755">
        <f>AB63+1</f>
        <v>2025</v>
      </c>
      <c r="AI63" s="755"/>
      <c r="AJ63" s="755"/>
      <c r="AK63" s="755"/>
      <c r="AL63" s="755"/>
      <c r="AM63" s="169"/>
      <c r="AN63" s="755">
        <f>AH63+1</f>
        <v>2026</v>
      </c>
      <c r="AO63" s="755"/>
      <c r="AP63" s="755"/>
      <c r="AQ63" s="755"/>
      <c r="AR63" s="755"/>
      <c r="AS63" s="171"/>
      <c r="AT63" s="166">
        <f>AN63+1</f>
        <v>2027</v>
      </c>
      <c r="AU63" s="167"/>
      <c r="AV63" s="166">
        <f>+AT63+1</f>
        <v>2028</v>
      </c>
      <c r="AW63" s="167"/>
      <c r="AX63" s="166">
        <f>+AV63+1</f>
        <v>2029</v>
      </c>
    </row>
    <row r="64" spans="1:50" s="41" customFormat="1" ht="14.25" customHeight="1">
      <c r="B64" s="164"/>
      <c r="C64" s="18"/>
      <c r="D64" s="168" t="s">
        <v>207</v>
      </c>
      <c r="E64" s="168" t="s">
        <v>208</v>
      </c>
      <c r="F64" s="168" t="s">
        <v>209</v>
      </c>
      <c r="G64" s="168" t="s">
        <v>210</v>
      </c>
      <c r="H64" s="168" t="s">
        <v>211</v>
      </c>
      <c r="I64" s="18"/>
      <c r="J64" s="168" t="s">
        <v>207</v>
      </c>
      <c r="K64" s="168" t="s">
        <v>208</v>
      </c>
      <c r="L64" s="168" t="s">
        <v>209</v>
      </c>
      <c r="M64" s="168" t="s">
        <v>210</v>
      </c>
      <c r="N64" s="168" t="s">
        <v>211</v>
      </c>
      <c r="O64" s="165"/>
      <c r="P64" s="168" t="s">
        <v>207</v>
      </c>
      <c r="Q64" s="168" t="s">
        <v>208</v>
      </c>
      <c r="R64" s="168" t="s">
        <v>209</v>
      </c>
      <c r="S64" s="168" t="s">
        <v>210</v>
      </c>
      <c r="T64" s="168" t="s">
        <v>211</v>
      </c>
      <c r="U64" s="165"/>
      <c r="V64" s="168" t="s">
        <v>207</v>
      </c>
      <c r="W64" s="168" t="s">
        <v>208</v>
      </c>
      <c r="X64" s="168" t="s">
        <v>209</v>
      </c>
      <c r="Y64" s="168" t="s">
        <v>210</v>
      </c>
      <c r="Z64" s="168" t="s">
        <v>211</v>
      </c>
      <c r="AA64" s="165"/>
      <c r="AB64" s="168" t="s">
        <v>207</v>
      </c>
      <c r="AC64" s="168" t="s">
        <v>208</v>
      </c>
      <c r="AD64" s="168" t="s">
        <v>209</v>
      </c>
      <c r="AE64" s="168" t="s">
        <v>210</v>
      </c>
      <c r="AF64" s="168" t="s">
        <v>211</v>
      </c>
      <c r="AG64" s="165"/>
      <c r="AH64" s="168" t="s">
        <v>207</v>
      </c>
      <c r="AI64" s="168" t="s">
        <v>208</v>
      </c>
      <c r="AJ64" s="168" t="s">
        <v>209</v>
      </c>
      <c r="AK64" s="168" t="s">
        <v>210</v>
      </c>
      <c r="AL64" s="168" t="s">
        <v>211</v>
      </c>
      <c r="AM64" s="165"/>
      <c r="AN64" s="168" t="s">
        <v>207</v>
      </c>
      <c r="AO64" s="168" t="s">
        <v>208</v>
      </c>
      <c r="AP64" s="168" t="s">
        <v>209</v>
      </c>
      <c r="AQ64" s="168" t="s">
        <v>210</v>
      </c>
      <c r="AR64" s="168" t="s">
        <v>211</v>
      </c>
      <c r="AS64" s="165"/>
      <c r="AT64" s="168" t="s">
        <v>211</v>
      </c>
      <c r="AU64" s="165"/>
      <c r="AV64" s="168" t="s">
        <v>211</v>
      </c>
      <c r="AW64" s="165"/>
      <c r="AX64" s="168" t="s">
        <v>211</v>
      </c>
    </row>
    <row r="67" spans="1:50" ht="14.25" customHeight="1">
      <c r="A67" s="44" t="s">
        <v>37</v>
      </c>
      <c r="B67" s="65" t="s">
        <v>604</v>
      </c>
      <c r="D67" s="46"/>
      <c r="E67" s="46"/>
      <c r="F67" s="46"/>
      <c r="G67" s="46"/>
      <c r="H67" s="47"/>
      <c r="I67" s="48"/>
      <c r="J67" s="46"/>
      <c r="K67" s="46"/>
      <c r="L67" s="46"/>
      <c r="M67" s="46"/>
      <c r="N67" s="47"/>
      <c r="O67" s="47"/>
      <c r="P67" s="46"/>
      <c r="Q67" s="46"/>
      <c r="R67" s="46"/>
      <c r="S67" s="46"/>
      <c r="T67" s="47"/>
      <c r="U67" s="47"/>
      <c r="V67" s="46"/>
      <c r="W67" s="46"/>
      <c r="X67" s="46"/>
      <c r="Y67" s="46"/>
      <c r="Z67" s="47"/>
      <c r="AA67" s="47"/>
      <c r="AB67" s="46"/>
      <c r="AC67" s="46"/>
      <c r="AD67" s="46"/>
      <c r="AE67" s="46"/>
      <c r="AF67" s="47"/>
      <c r="AG67" s="49"/>
      <c r="AH67" s="46"/>
      <c r="AI67" s="46"/>
      <c r="AJ67" s="50"/>
      <c r="AK67" s="50"/>
      <c r="AL67" s="47"/>
      <c r="AM67" s="51"/>
      <c r="AN67" s="50"/>
      <c r="AO67" s="50"/>
      <c r="AP67" s="50"/>
      <c r="AQ67" s="50"/>
      <c r="AR67" s="47"/>
      <c r="AS67" s="51"/>
      <c r="AT67" s="52"/>
      <c r="AU67" s="53"/>
      <c r="AV67" s="52"/>
      <c r="AW67" s="53"/>
      <c r="AX67" s="52"/>
    </row>
    <row r="68" spans="1:50" ht="14.25" customHeight="1">
      <c r="A68" s="55"/>
      <c r="B68" s="76" t="s">
        <v>224</v>
      </c>
      <c r="D68" s="217" t="str">
        <f>IF(ROUND(SUM(IS!D13:D17),0)=IS!D18,"OK","ERROR")</f>
        <v>ERROR</v>
      </c>
      <c r="E68" s="217" t="str">
        <f>IF(ROUND(SUM(IS!E13:E17),0)=IS!E18,"OK","ERROR")</f>
        <v>ERROR</v>
      </c>
      <c r="F68" s="217" t="str">
        <f>IF(ROUND(SUM(IS!F13:F17),0)=IS!F18,"OK","ERROR")</f>
        <v>ERROR</v>
      </c>
      <c r="G68" s="217" t="str">
        <f>IF(ROUND(SUM(IS!G13:G17),0)=IS!G18,"OK","ERROR")</f>
        <v>ERROR</v>
      </c>
      <c r="H68" s="218" t="str">
        <f>IF(ROUND(SUM(IS!H13:H17),0)=IS!H18,"OK","ERROR")</f>
        <v>ERROR</v>
      </c>
      <c r="I68" s="210"/>
      <c r="J68" s="217" t="str">
        <f>IF(ROUND(SUM(IS!J13:J17),0)=IS!J18,"OK","ERROR")</f>
        <v>ERROR</v>
      </c>
      <c r="K68" s="217" t="str">
        <f>IF(ROUND(SUM(IS!K13:K17),0)=IS!K18,"OK","ERROR")</f>
        <v>ERROR</v>
      </c>
      <c r="L68" s="217" t="str">
        <f>IF(ROUND(SUM(IS!L13:L17),0)=IS!L18,"OK","ERROR")</f>
        <v>ERROR</v>
      </c>
      <c r="M68" s="217" t="str">
        <f>IF(ROUND(SUM(IS!M13:M17),0)=IS!M18,"OK","ERROR")</f>
        <v>ERROR</v>
      </c>
      <c r="N68" s="218" t="str">
        <f>IF(ROUND(SUM(IS!N13:N17),0)=IS!N18,"OK","ERROR")</f>
        <v>ERROR</v>
      </c>
      <c r="O68" s="209"/>
      <c r="P68" s="217" t="str">
        <f>IF(ROUND(SUM(IS!P13:P17),0)=IS!P18,"OK","ERROR")</f>
        <v>ERROR</v>
      </c>
      <c r="Q68" s="217" t="str">
        <f>IF(ROUND(SUM(IS!Q13:Q17),0)=IS!Q18,"OK","ERROR")</f>
        <v>ERROR</v>
      </c>
      <c r="R68" s="217" t="str">
        <f>IF(ROUND(SUM(IS!R13:R17),0)=IS!R18,"OK","ERROR")</f>
        <v>ERROR</v>
      </c>
      <c r="S68" s="217" t="str">
        <f>IF(ROUND(SUM(IS!S13:S17),0)=IS!S18,"OK","ERROR")</f>
        <v>ERROR</v>
      </c>
      <c r="T68" s="218" t="str">
        <f>IF(ROUND(SUM(IS!T13:T17),0)=IS!T18,"OK","ERROR")</f>
        <v>ERROR</v>
      </c>
      <c r="U68" s="209"/>
      <c r="V68" s="217" t="str">
        <f>IF(ROUND(SUM(IS!V13:V17),0)=IS!V18,"OK","ERROR")</f>
        <v>ERROR</v>
      </c>
      <c r="W68" s="217" t="str">
        <f>IF(ROUND(SUM(IS!W13:W17),0)=IS!W18,"OK","ERROR")</f>
        <v>ERROR</v>
      </c>
      <c r="X68" s="217" t="str">
        <f>IF(ROUND(SUM(IS!X13:X17),0)=IS!X18,"OK","ERROR")</f>
        <v>ERROR</v>
      </c>
      <c r="Y68" s="217" t="str">
        <f>IF(ROUND(SUM(IS!Y13:Y17),0)=IS!Y18,"OK","ERROR")</f>
        <v>ERROR</v>
      </c>
      <c r="Z68" s="218" t="str">
        <f>IF(ROUND(SUM(IS!Z13:Z17),0)=IS!Z18,"OK","ERROR")</f>
        <v>ERROR</v>
      </c>
      <c r="AA68" s="209"/>
      <c r="AB68" s="217" t="str">
        <f>IF(ROUND(SUM(IS!AB13:AB17),0)=IS!AB18,"OK","ERROR")</f>
        <v>ERROR</v>
      </c>
      <c r="AC68" s="217" t="str">
        <f>IF(ROUND(SUM(IS!AC13:AC17),0)=IS!AC18,"OK","ERROR")</f>
        <v>ERROR</v>
      </c>
      <c r="AD68" s="217" t="str">
        <f>IF(ROUND(SUM(IS!AD13:AD17),0)=IS!AD18,"OK","ERROR")</f>
        <v>ERROR</v>
      </c>
      <c r="AE68" s="217" t="str">
        <f>IF(ROUND(SUM(IS!AE13:AE17),0)=IS!AE18,"OK","ERROR")</f>
        <v>ERROR</v>
      </c>
      <c r="AF68" s="218" t="str">
        <f>IF(ROUND(SUM(IS!AF13:AF17),0)=IS!AF18,"OK","ERROR")</f>
        <v>ERROR</v>
      </c>
      <c r="AG68" s="211"/>
      <c r="AH68" s="217" t="str">
        <f>IF(ROUND(SUM(IS!AH13:AH17),0)=IS!AH18,"OK","ERROR")</f>
        <v>ERROR</v>
      </c>
      <c r="AI68" s="217" t="str">
        <f>IF(ROUND(SUM(IS!AI13:AI17),0)=IS!AI18,"OK","ERROR")</f>
        <v>ERROR</v>
      </c>
      <c r="AJ68" s="217" t="str">
        <f>IF(ROUND(SUM(IS!AJ13:AJ17),0)=IS!AJ18,"OK","ERROR")</f>
        <v>OK</v>
      </c>
      <c r="AK68" s="217" t="str">
        <f>IF(ROUND(SUM(IS!AK13:AK17),0)=IS!AK18,"OK","ERROR")</f>
        <v>OK</v>
      </c>
      <c r="AL68" s="218" t="str">
        <f>IF(ROUND(SUM(IS!AL13:AL17),0)=IS!AL18,"OK","ERROR")</f>
        <v>OK</v>
      </c>
      <c r="AM68" s="213"/>
      <c r="AN68" s="217" t="str">
        <f>IF(ROUND(SUM(IS!AN13:AN17),0)=IS!AN18,"OK","ERROR")</f>
        <v>OK</v>
      </c>
      <c r="AO68" s="217" t="str">
        <f>IF(ROUND(SUM(IS!AO13:AO17),0)=IS!AO18,"OK","ERROR")</f>
        <v>OK</v>
      </c>
      <c r="AP68" s="217" t="str">
        <f>IF(ROUND(SUM(IS!AP13:AP17),0)=IS!AP18,"OK","ERROR")</f>
        <v>OK</v>
      </c>
      <c r="AQ68" s="217" t="str">
        <f>IF(ROUND(SUM(IS!AQ13:AQ17),0)=IS!AQ18,"OK","ERROR")</f>
        <v>OK</v>
      </c>
      <c r="AR68" s="218" t="str">
        <f>IF(ROUND(SUM(IS!AR13:AR17),0)=IS!AR18,"OK","ERROR")</f>
        <v>OK</v>
      </c>
      <c r="AS68" s="213"/>
      <c r="AT68" s="218" t="str">
        <f>IF(ROUND(SUM(IS!AT13:AT17),0)=IS!AT18,"OK","ERROR")</f>
        <v>OK</v>
      </c>
      <c r="AU68" s="215"/>
      <c r="AV68" s="218" t="str">
        <f>IF(ROUND(SUM(IS!AV13:AV17),0)=IS!AV18,"OK","ERROR")</f>
        <v>OK</v>
      </c>
      <c r="AW68" s="215"/>
      <c r="AX68" s="218" t="str">
        <f>IF(ROUND(SUM(IS!AX13:AX17),0)=IS!AX18,"OK","ERROR")</f>
        <v>OK</v>
      </c>
    </row>
    <row r="69" spans="1:50" ht="14.25" customHeight="1">
      <c r="A69" s="55"/>
      <c r="B69" s="64"/>
      <c r="D69" s="208"/>
      <c r="E69" s="208"/>
      <c r="F69" s="208"/>
      <c r="G69" s="208"/>
      <c r="H69" s="209"/>
      <c r="I69" s="210"/>
      <c r="J69" s="208"/>
      <c r="K69" s="208"/>
      <c r="L69" s="208"/>
      <c r="M69" s="208"/>
      <c r="N69" s="209"/>
      <c r="O69" s="209"/>
      <c r="P69" s="208"/>
      <c r="Q69" s="208"/>
      <c r="R69" s="208"/>
      <c r="S69" s="208"/>
      <c r="T69" s="209"/>
      <c r="U69" s="209"/>
      <c r="V69" s="208"/>
      <c r="W69" s="208"/>
      <c r="X69" s="208"/>
      <c r="Y69" s="208"/>
      <c r="Z69" s="209"/>
      <c r="AA69" s="209"/>
      <c r="AB69" s="208"/>
      <c r="AC69" s="208"/>
      <c r="AD69" s="208"/>
      <c r="AE69" s="208"/>
      <c r="AF69" s="209"/>
      <c r="AG69" s="211"/>
      <c r="AH69" s="208"/>
      <c r="AI69" s="208"/>
      <c r="AJ69" s="208"/>
      <c r="AK69" s="208"/>
      <c r="AL69" s="209"/>
      <c r="AM69" s="213"/>
      <c r="AN69" s="208"/>
      <c r="AO69" s="208"/>
      <c r="AP69" s="208"/>
      <c r="AQ69" s="208"/>
      <c r="AR69" s="209"/>
      <c r="AS69" s="213"/>
      <c r="AT69" s="209"/>
      <c r="AU69" s="215"/>
      <c r="AV69" s="209"/>
      <c r="AW69" s="215"/>
      <c r="AX69" s="209"/>
    </row>
    <row r="70" spans="1:50" ht="14.25" customHeight="1">
      <c r="A70" s="44" t="s">
        <v>37</v>
      </c>
      <c r="B70" s="65" t="s">
        <v>610</v>
      </c>
      <c r="D70" s="208"/>
      <c r="E70" s="208"/>
      <c r="F70" s="208"/>
      <c r="G70" s="208"/>
      <c r="H70" s="220"/>
      <c r="I70" s="210"/>
      <c r="J70" s="208"/>
      <c r="K70" s="208"/>
      <c r="L70" s="208"/>
      <c r="M70" s="208"/>
      <c r="N70" s="220"/>
      <c r="O70" s="210"/>
      <c r="P70" s="208"/>
      <c r="Q70" s="208"/>
      <c r="R70" s="208"/>
      <c r="S70" s="208"/>
      <c r="T70" s="220"/>
      <c r="U70" s="210"/>
      <c r="V70" s="208"/>
      <c r="W70" s="208"/>
      <c r="X70" s="208"/>
      <c r="Y70" s="208"/>
      <c r="Z70" s="220"/>
      <c r="AA70" s="213"/>
      <c r="AB70" s="208"/>
      <c r="AC70" s="208"/>
      <c r="AD70" s="208"/>
      <c r="AE70" s="208"/>
      <c r="AF70" s="220"/>
      <c r="AG70" s="211"/>
      <c r="AH70" s="208"/>
      <c r="AI70" s="208"/>
      <c r="AJ70" s="208"/>
      <c r="AK70" s="208"/>
      <c r="AL70" s="220"/>
      <c r="AM70" s="221"/>
      <c r="AN70" s="208"/>
      <c r="AO70" s="208"/>
      <c r="AP70" s="208"/>
      <c r="AQ70" s="208"/>
      <c r="AR70" s="220"/>
      <c r="AS70" s="221"/>
      <c r="AT70" s="220"/>
      <c r="AU70" s="223"/>
      <c r="AV70" s="220"/>
      <c r="AW70" s="223"/>
      <c r="AX70" s="220"/>
    </row>
    <row r="71" spans="1:50" ht="14.25" customHeight="1">
      <c r="A71" s="73"/>
      <c r="B71" s="79" t="s">
        <v>260</v>
      </c>
      <c r="D71" s="208" t="str">
        <f>IF(ROUND(IS!D18,0)-ROUND(SUM(IS!D21:D22),0)=ROUND(IS!D24,0),"OK","ERROR")</f>
        <v>OK</v>
      </c>
      <c r="E71" s="208" t="str">
        <f>IF(ROUND(IS!E18,0)-ROUND(SUM(IS!E21:E22),0)=ROUND(IS!E24,0),"OK","ERROR")</f>
        <v>OK</v>
      </c>
      <c r="F71" s="208" t="str">
        <f>IF(ROUND(IS!F18,0)-ROUND(SUM(IS!F21:F22),0)=ROUND(IS!F24,0),"OK","ERROR")</f>
        <v>OK</v>
      </c>
      <c r="G71" s="208" t="str">
        <f>IF(ROUND(IS!G18,0)-ROUND(SUM(IS!G21:G22),0)=ROUND(IS!G24,0),"OK","ERROR")</f>
        <v>ERROR</v>
      </c>
      <c r="H71" s="227" t="str">
        <f>IF(ROUND(IS!H18,0)-ROUND(SUM(IS!H21:H22),0)=ROUND(IS!H24,0),"OK","ERROR")</f>
        <v>OK</v>
      </c>
      <c r="I71" s="210"/>
      <c r="J71" s="208" t="str">
        <f>IF(ROUND(IS!J18,0)-ROUND(SUM(IS!J21:J22),0)=ROUND(IS!J24,0),"OK","ERROR")</f>
        <v>OK</v>
      </c>
      <c r="K71" s="208" t="str">
        <f>IF(ROUND(IS!K18,0)-ROUND(SUM(IS!K21:K22),0)=ROUND(IS!K24,0),"OK","ERROR")</f>
        <v>OK</v>
      </c>
      <c r="L71" s="208" t="str">
        <f>IF(ROUND(IS!L18,0)-ROUND(SUM(IS!L21:L22),0)=ROUND(IS!L24,0),"OK","ERROR")</f>
        <v>OK</v>
      </c>
      <c r="M71" s="208" t="str">
        <f>IF(ROUND(IS!M18,0)-ROUND(SUM(IS!M21:M22),0)=ROUND(IS!M24,0),"OK","ERROR")</f>
        <v>OK</v>
      </c>
      <c r="N71" s="227" t="str">
        <f>IF(ROUND(IS!N18,0)-ROUND(SUM(IS!N21:N22),0)=ROUND(IS!N24,0),"OK","ERROR")</f>
        <v>OK</v>
      </c>
      <c r="O71" s="210"/>
      <c r="P71" s="208" t="str">
        <f>IF(ROUND(IS!P18,0)-ROUND(SUM(IS!P21:P22),0)=ROUND(IS!P24,0),"OK","ERROR")</f>
        <v>OK</v>
      </c>
      <c r="Q71" s="208" t="str">
        <f>IF(ROUND(IS!Q18,0)-ROUND(SUM(IS!Q21:Q22),0)=ROUND(IS!Q24,0),"OK","ERROR")</f>
        <v>OK</v>
      </c>
      <c r="R71" s="208" t="str">
        <f>IF(ROUND(IS!R18,0)-ROUND(SUM(IS!R21:R22),0)=ROUND(IS!R24,0),"OK","ERROR")</f>
        <v>OK</v>
      </c>
      <c r="S71" s="208" t="str">
        <f>IF(ROUND(IS!S18,0)-ROUND(SUM(IS!S21:S22),0)=ROUND(IS!S24,0),"OK","ERROR")</f>
        <v>OK</v>
      </c>
      <c r="T71" s="227" t="str">
        <f>IF(ROUND(IS!T18,0)-ROUND(SUM(IS!T21:T22),0)=ROUND(IS!T24,0),"OK","ERROR")</f>
        <v>OK</v>
      </c>
      <c r="U71" s="210"/>
      <c r="V71" s="208" t="str">
        <f>IF(ROUND(IS!V18,0)-ROUND(SUM(IS!V21:V22),0)=ROUND(IS!V24,0),"OK","ERROR")</f>
        <v>OK</v>
      </c>
      <c r="W71" s="208" t="str">
        <f>IF(ROUND(IS!W18,0)-ROUND(SUM(IS!W21:W22),0)=ROUND(IS!W24,0),"OK","ERROR")</f>
        <v>ERROR</v>
      </c>
      <c r="X71" s="208" t="str">
        <f>IF(ROUND(IS!X18,0)-ROUND(SUM(IS!X21:X22),0)=ROUND(IS!X24,0),"OK","ERROR")</f>
        <v>OK</v>
      </c>
      <c r="Y71" s="208" t="str">
        <f>IF(ROUND(IS!Y18,0)-ROUND(SUM(IS!Y21:Y22),0)=ROUND(IS!Y24,0),"OK","ERROR")</f>
        <v>OK</v>
      </c>
      <c r="Z71" s="227" t="str">
        <f>IF(ROUND(IS!Z18,0)-ROUND(SUM(IS!Z21:Z22),0)=ROUND(IS!Z24,0),"OK","ERROR")</f>
        <v>OK</v>
      </c>
      <c r="AA71" s="213"/>
      <c r="AB71" s="208" t="str">
        <f>IF(ROUND(IS!AB18,0)-ROUND(SUM(IS!AB21:AB22),0)=ROUND(IS!AB24,0),"OK","ERROR")</f>
        <v>OK</v>
      </c>
      <c r="AC71" s="208" t="str">
        <f>IF(ROUND(IS!AC18,0)-ROUND(SUM(IS!AC21:AC22),0)=ROUND(IS!AC24,0),"OK","ERROR")</f>
        <v>OK</v>
      </c>
      <c r="AD71" s="208" t="str">
        <f>IF(ROUND(IS!AD18,0)-ROUND(SUM(IS!AD21:AD22),0)=ROUND(IS!AD24,0),"OK","ERROR")</f>
        <v>ERROR</v>
      </c>
      <c r="AE71" s="208" t="str">
        <f>IF(ROUND(IS!AE18,0)-ROUND(SUM(IS!AE21:AE22),0)=ROUND(IS!AE24,0),"OK","ERROR")</f>
        <v>ERROR</v>
      </c>
      <c r="AF71" s="227" t="str">
        <f>IF(ROUND(IS!AF18,0)-ROUND(SUM(IS!AF21:AF22),0)=ROUND(IS!AF24,0),"OK","ERROR")</f>
        <v>OK</v>
      </c>
      <c r="AG71" s="211"/>
      <c r="AH71" s="208" t="str">
        <f>IF(ROUND(IS!AH18,0)-ROUND(SUM(IS!AH21:AH22),0)=ROUND(IS!AH24,0),"OK","ERROR")</f>
        <v>OK</v>
      </c>
      <c r="AI71" s="208" t="str">
        <f>IF(ROUND(IS!AI18,0)-ROUND(SUM(IS!AI21:AI22),0)=ROUND(IS!AI24,0),"OK","ERROR")</f>
        <v>OK</v>
      </c>
      <c r="AJ71" s="208" t="str">
        <f>IF(ROUND(IS!AJ18,0)-ROUND(SUM(IS!AJ21:AJ22),0)=ROUND(IS!AJ24,0),"OK","ERROR")</f>
        <v>OK</v>
      </c>
      <c r="AK71" s="208" t="str">
        <f>IF(ROUND(IS!AK18,0)-ROUND(SUM(IS!AK21:AK22),0)=ROUND(IS!AK24,0),"OK","ERROR")</f>
        <v>OK</v>
      </c>
      <c r="AL71" s="227" t="str">
        <f>IF(ROUND(IS!AL18,0)-ROUND(SUM(IS!AL21:AL22),0)=ROUND(IS!AL24,0),"OK","ERROR")</f>
        <v>OK</v>
      </c>
      <c r="AM71" s="224"/>
      <c r="AN71" s="208" t="str">
        <f>IF(ROUND(IS!AN18,0)-ROUND(SUM(IS!AN21:AN22),0)=ROUND(IS!AN24,0),"OK","ERROR")</f>
        <v>OK</v>
      </c>
      <c r="AO71" s="208" t="str">
        <f>IF(ROUND(IS!AO18,0)-ROUND(SUM(IS!AO21:AO22),0)=ROUND(IS!AO24,0),"OK","ERROR")</f>
        <v>OK</v>
      </c>
      <c r="AP71" s="208" t="str">
        <f>IF(ROUND(IS!AP18,0)-ROUND(SUM(IS!AP21:AP22),0)=ROUND(IS!AP24,0),"OK","ERROR")</f>
        <v>OK</v>
      </c>
      <c r="AQ71" s="208" t="str">
        <f>IF(ROUND(IS!AQ18,0)-ROUND(SUM(IS!AQ21:AQ22),0)=ROUND(IS!AQ24,0),"OK","ERROR")</f>
        <v>OK</v>
      </c>
      <c r="AR71" s="227" t="str">
        <f>IF(ROUND(IS!AR18,0)-ROUND(SUM(IS!AR21:AR22),0)=ROUND(IS!AR24,0),"OK","ERROR")</f>
        <v>OK</v>
      </c>
      <c r="AS71" s="224"/>
      <c r="AT71" s="227" t="str">
        <f>IF(ROUND(IS!AT18,0)-ROUND(SUM(IS!AT21:AT22),0)=ROUND(IS!AT24,0),"OK","ERROR")</f>
        <v>OK</v>
      </c>
      <c r="AU71" s="225"/>
      <c r="AV71" s="227" t="str">
        <f>IF(ROUND(IS!AV18,0)-ROUND(SUM(IS!AV21:AV22),0)=ROUND(IS!AV24,0),"OK","ERROR")</f>
        <v>OK</v>
      </c>
      <c r="AW71" s="225"/>
      <c r="AX71" s="227" t="str">
        <f>IF(ROUND(IS!AX18,0)-ROUND(SUM(IS!AX21:AX22),0)=ROUND(IS!AX24,0),"OK","ERROR")</f>
        <v>OK</v>
      </c>
    </row>
    <row r="72" spans="1:50" ht="14.25" customHeight="1">
      <c r="A72" s="55"/>
      <c r="B72" s="80"/>
      <c r="D72" s="208"/>
      <c r="E72" s="208"/>
      <c r="F72" s="208"/>
      <c r="G72" s="208"/>
      <c r="H72" s="220"/>
      <c r="I72" s="210"/>
      <c r="J72" s="208"/>
      <c r="K72" s="208"/>
      <c r="L72" s="208"/>
      <c r="M72" s="208"/>
      <c r="N72" s="220"/>
      <c r="O72" s="210"/>
      <c r="P72" s="208"/>
      <c r="Q72" s="208"/>
      <c r="R72" s="208"/>
      <c r="S72" s="208"/>
      <c r="T72" s="220"/>
      <c r="U72" s="210"/>
      <c r="V72" s="208"/>
      <c r="W72" s="208"/>
      <c r="X72" s="208"/>
      <c r="Y72" s="208"/>
      <c r="Z72" s="220"/>
      <c r="AA72" s="213"/>
      <c r="AB72" s="208"/>
      <c r="AC72" s="208"/>
      <c r="AD72" s="208"/>
      <c r="AE72" s="208"/>
      <c r="AF72" s="220"/>
      <c r="AG72" s="211"/>
      <c r="AH72" s="208"/>
      <c r="AI72" s="208"/>
      <c r="AJ72" s="208"/>
      <c r="AK72" s="208"/>
      <c r="AL72" s="220"/>
      <c r="AM72" s="224"/>
      <c r="AN72" s="208"/>
      <c r="AO72" s="208"/>
      <c r="AP72" s="208"/>
      <c r="AQ72" s="208"/>
      <c r="AR72" s="220"/>
      <c r="AS72" s="224"/>
      <c r="AT72" s="220"/>
      <c r="AU72" s="225"/>
      <c r="AV72" s="220"/>
      <c r="AW72" s="225"/>
      <c r="AX72" s="220"/>
    </row>
    <row r="73" spans="1:50" ht="14.25" customHeight="1">
      <c r="A73" s="44" t="s">
        <v>37</v>
      </c>
      <c r="B73" s="65" t="s">
        <v>614</v>
      </c>
      <c r="D73" s="208"/>
      <c r="E73" s="208"/>
      <c r="F73" s="208"/>
      <c r="G73" s="208"/>
      <c r="H73" s="220"/>
      <c r="I73" s="210"/>
      <c r="J73" s="208"/>
      <c r="K73" s="208"/>
      <c r="L73" s="208"/>
      <c r="M73" s="208"/>
      <c r="N73" s="220"/>
      <c r="O73" s="210"/>
      <c r="P73" s="208"/>
      <c r="Q73" s="208"/>
      <c r="R73" s="208"/>
      <c r="S73" s="208"/>
      <c r="T73" s="220"/>
      <c r="U73" s="210"/>
      <c r="V73" s="208"/>
      <c r="W73" s="208"/>
      <c r="X73" s="208"/>
      <c r="Y73" s="208"/>
      <c r="Z73" s="220"/>
      <c r="AA73" s="228"/>
      <c r="AB73" s="208"/>
      <c r="AC73" s="208"/>
      <c r="AD73" s="208"/>
      <c r="AE73" s="208"/>
      <c r="AF73" s="220"/>
      <c r="AG73" s="229"/>
      <c r="AH73" s="208"/>
      <c r="AI73" s="208"/>
      <c r="AJ73" s="208"/>
      <c r="AK73" s="208"/>
      <c r="AL73" s="220"/>
      <c r="AM73" s="228"/>
      <c r="AN73" s="208"/>
      <c r="AO73" s="208"/>
      <c r="AP73" s="208"/>
      <c r="AQ73" s="208"/>
      <c r="AR73" s="220"/>
      <c r="AS73" s="228"/>
      <c r="AT73" s="220"/>
      <c r="AU73" s="230"/>
      <c r="AV73" s="220"/>
      <c r="AW73" s="230"/>
      <c r="AX73" s="220"/>
    </row>
    <row r="74" spans="1:50" ht="14.25" customHeight="1">
      <c r="A74" s="55"/>
      <c r="B74" s="79" t="s">
        <v>621</v>
      </c>
      <c r="D74" s="208" t="str">
        <f>IF(ROUND(IS!D24,0)-ROUND(SUM(IS!D31:D32),0)=ROUND(IS!D33,0),"OK","ERROR")</f>
        <v>ERROR</v>
      </c>
      <c r="E74" s="208" t="str">
        <f>IF(ROUND(IS!E24,0)-ROUND(SUM(IS!E31:E32),0)=ROUND(IS!E33,0),"OK","ERROR")</f>
        <v>OK</v>
      </c>
      <c r="F74" s="208" t="str">
        <f>IF(ROUND(IS!F24,0)-ROUND(SUM(IS!F31:F32),0)=ROUND(IS!F33,0),"OK","ERROR")</f>
        <v>ERROR</v>
      </c>
      <c r="G74" s="208" t="str">
        <f>IF(ROUND(IS!G24,0)-ROUND(SUM(IS!G31:G32),0)=ROUND(IS!G33,0),"OK","ERROR")</f>
        <v>ERROR</v>
      </c>
      <c r="H74" s="226" t="str">
        <f>IF(ROUND(IS!H24,0)-ROUND(SUM(IS!H31:H32),0)=ROUND(IS!H33,0),"OK","ERROR")</f>
        <v>ERROR</v>
      </c>
      <c r="I74" s="210"/>
      <c r="J74" s="208" t="str">
        <f>IF(ROUND(IS!J24,0)-ROUND(SUM(IS!J31:J32),0)=ROUND(IS!J33,0),"OK","ERROR")</f>
        <v>OK</v>
      </c>
      <c r="K74" s="208" t="str">
        <f>IF(ROUND(IS!K24,0)-ROUND(SUM(IS!K31:K32),0)=ROUND(IS!K33,0),"OK","ERROR")</f>
        <v>ERROR</v>
      </c>
      <c r="L74" s="208" t="str">
        <f>IF(ROUND(IS!L24,0)-ROUND(SUM(IS!L31:L32),0)=ROUND(IS!L33,0),"OK","ERROR")</f>
        <v>OK</v>
      </c>
      <c r="M74" s="208" t="str">
        <f>IF(ROUND(IS!M24,0)-ROUND(SUM(IS!M31:M32),0)=ROUND(IS!M33,0),"OK","ERROR")</f>
        <v>ERROR</v>
      </c>
      <c r="N74" s="226" t="str">
        <f>IF(ROUND(IS!N24,0)-ROUND(SUM(IS!N31:N32),0)=ROUND(IS!N33,0),"OK","ERROR")</f>
        <v>ERROR</v>
      </c>
      <c r="O74" s="210"/>
      <c r="P74" s="208" t="str">
        <f>IF(ROUND(IS!P24,0)-ROUND(SUM(IS!P31:P32),0)=ROUND(IS!P33,0),"OK","ERROR")</f>
        <v>ERROR</v>
      </c>
      <c r="Q74" s="208" t="str">
        <f>IF(ROUND(IS!Q24,0)-ROUND(SUM(IS!Q31:Q32),0)=ROUND(IS!Q33,0),"OK","ERROR")</f>
        <v>ERROR</v>
      </c>
      <c r="R74" s="208" t="str">
        <f>IF(ROUND(IS!R24,0)-ROUND(SUM(IS!R31:R32),0)=ROUND(IS!R33,0),"OK","ERROR")</f>
        <v>ERROR</v>
      </c>
      <c r="S74" s="208" t="str">
        <f>IF(ROUND(IS!S24,0)-ROUND(SUM(IS!S31:S32),0)=ROUND(IS!S33,0),"OK","ERROR")</f>
        <v>ERROR</v>
      </c>
      <c r="T74" s="226" t="str">
        <f>IF(ROUND(IS!T24,0)-ROUND(SUM(IS!T31:T32),0)=ROUND(IS!T33,0),"OK","ERROR")</f>
        <v>ERROR</v>
      </c>
      <c r="U74" s="210"/>
      <c r="V74" s="208" t="str">
        <f>IF(ROUND(IS!V24,0)-ROUND(SUM(IS!V31:V32),0)=ROUND(IS!V33,0),"OK","ERROR")</f>
        <v>ERROR</v>
      </c>
      <c r="W74" s="208" t="str">
        <f>IF(ROUND(IS!W24,0)-ROUND(SUM(IS!W31:W32),0)=ROUND(IS!W33,0),"OK","ERROR")</f>
        <v>ERROR</v>
      </c>
      <c r="X74" s="208" t="str">
        <f>IF(ROUND(IS!X24,0)-ROUND(SUM(IS!X31:X32),0)=ROUND(IS!X33,0),"OK","ERROR")</f>
        <v>ERROR</v>
      </c>
      <c r="Y74" s="208" t="str">
        <f>IF(ROUND(IS!Y24,0)-ROUND(SUM(IS!Y31:Y32),0)=ROUND(IS!Y33,0),"OK","ERROR")</f>
        <v>ERROR</v>
      </c>
      <c r="Z74" s="226" t="str">
        <f>IF(ROUND(IS!Z24,0)-ROUND(SUM(IS!Z31:Z32),0)=ROUND(IS!Z33,0),"OK","ERROR")</f>
        <v>ERROR</v>
      </c>
      <c r="AA74" s="213"/>
      <c r="AB74" s="208" t="str">
        <f>IF(ROUND(IS!AB24,0)-ROUND(SUM(IS!AB31:AB32),0)=ROUND(IS!AB33,0),"OK","ERROR")</f>
        <v>ERROR</v>
      </c>
      <c r="AC74" s="208" t="str">
        <f>IF(ROUND(IS!AC24,0)-ROUND(SUM(IS!AC31:AC32),0)=ROUND(IS!AC33,0),"OK","ERROR")</f>
        <v>ERROR</v>
      </c>
      <c r="AD74" s="208" t="str">
        <f>IF(ROUND(IS!AD24,0)-ROUND(SUM(IS!AD31:AD32),0)=ROUND(IS!AD33,0),"OK","ERROR")</f>
        <v>ERROR</v>
      </c>
      <c r="AE74" s="208" t="str">
        <f>IF(ROUND(IS!AE24,0)-ROUND(SUM(IS!AE31:AE32),0)=ROUND(IS!AE33,0),"OK","ERROR")</f>
        <v>OK</v>
      </c>
      <c r="AF74" s="226" t="str">
        <f>IF(ROUND(IS!AF24,0)-ROUND(SUM(IS!AF31:AF32),0)=ROUND(IS!AF33,0),"OK","ERROR")</f>
        <v>ERROR</v>
      </c>
      <c r="AG74" s="211"/>
      <c r="AH74" s="208" t="str">
        <f>IF(ROUND(IS!AH24,0)-ROUND(SUM(IS!AH31:AH32),0)=ROUND(IS!AH33,0),"OK","ERROR")</f>
        <v>ERROR</v>
      </c>
      <c r="AI74" s="208" t="str">
        <f>IF(ROUND(IS!AI24,0)-ROUND(SUM(IS!AI31:AI32),0)=ROUND(IS!AI33,0),"OK","ERROR")</f>
        <v>ERROR</v>
      </c>
      <c r="AJ74" s="208" t="str">
        <f>IF(ROUND(IS!AJ24,0)-ROUND(SUM(IS!AJ31:AJ32),0)=ROUND(IS!AJ33,0),"OK","ERROR")</f>
        <v>OK</v>
      </c>
      <c r="AK74" s="208" t="str">
        <f>IF(ROUND(IS!AK24,0)-ROUND(SUM(IS!AK31:AK32),0)=ROUND(IS!AK33,0),"OK","ERROR")</f>
        <v>OK</v>
      </c>
      <c r="AL74" s="226" t="str">
        <f>IF(ROUND(IS!AL24,0)-ROUND(SUM(IS!AL31:AL32),0)=ROUND(IS!AL33,0),"OK","ERROR")</f>
        <v>OK</v>
      </c>
      <c r="AM74" s="224"/>
      <c r="AN74" s="208" t="str">
        <f>IF(ROUND(IS!AN24,0)-ROUND(SUM(IS!AN31:AN32),0)=ROUND(IS!AN33,0),"OK","ERROR")</f>
        <v>OK</v>
      </c>
      <c r="AO74" s="208" t="str">
        <f>IF(ROUND(IS!AO24,0)-ROUND(SUM(IS!AO31:AO32),0)=ROUND(IS!AO33,0),"OK","ERROR")</f>
        <v>OK</v>
      </c>
      <c r="AP74" s="208" t="str">
        <f>IF(ROUND(IS!AP24,0)-ROUND(SUM(IS!AP31:AP32),0)=ROUND(IS!AP33,0),"OK","ERROR")</f>
        <v>OK</v>
      </c>
      <c r="AQ74" s="208" t="str">
        <f>IF(ROUND(IS!AQ24,0)-ROUND(SUM(IS!AQ31:AQ32),0)=ROUND(IS!AQ33,0),"OK","ERROR")</f>
        <v>OK</v>
      </c>
      <c r="AR74" s="226" t="str">
        <f>IF(ROUND(IS!AR24,0)-ROUND(SUM(IS!AR31:AR32),0)=ROUND(IS!AR33,0),"OK","ERROR")</f>
        <v>OK</v>
      </c>
      <c r="AS74" s="224"/>
      <c r="AT74" s="226" t="str">
        <f>IF(ROUND(IS!AT24,0)-ROUND(SUM(IS!AT31:AT32),0)=ROUND(IS!AT33,0),"OK","ERROR")</f>
        <v>OK</v>
      </c>
      <c r="AU74" s="225"/>
      <c r="AV74" s="226" t="str">
        <f>IF(ROUND(IS!AV24,0)-ROUND(SUM(IS!AV31:AV32),0)=ROUND(IS!AV33,0),"OK","ERROR")</f>
        <v>OK</v>
      </c>
      <c r="AW74" s="225"/>
      <c r="AX74" s="226" t="str">
        <f>IF(ROUND(IS!AX24,0)-ROUND(SUM(IS!AX31:AX32),0)=ROUND(IS!AX33,0),"OK","ERROR")</f>
        <v>OK</v>
      </c>
    </row>
    <row r="75" spans="1:50" ht="14.25" customHeight="1">
      <c r="A75" s="73"/>
      <c r="B75" s="73"/>
      <c r="D75" s="208"/>
      <c r="E75" s="208"/>
      <c r="F75" s="208"/>
      <c r="G75" s="208"/>
      <c r="H75" s="220"/>
      <c r="I75" s="210"/>
      <c r="J75" s="208"/>
      <c r="K75" s="208"/>
      <c r="L75" s="208"/>
      <c r="M75" s="208"/>
      <c r="N75" s="220"/>
      <c r="O75" s="210"/>
      <c r="P75" s="208"/>
      <c r="Q75" s="208"/>
      <c r="R75" s="208"/>
      <c r="S75" s="208"/>
      <c r="T75" s="220"/>
      <c r="U75" s="210"/>
      <c r="V75" s="208"/>
      <c r="W75" s="208"/>
      <c r="X75" s="208"/>
      <c r="Y75" s="208"/>
      <c r="Z75" s="220"/>
      <c r="AA75" s="228"/>
      <c r="AB75" s="208"/>
      <c r="AC75" s="208"/>
      <c r="AD75" s="208"/>
      <c r="AE75" s="208"/>
      <c r="AF75" s="220"/>
      <c r="AG75" s="229"/>
      <c r="AH75" s="208"/>
      <c r="AI75" s="208"/>
      <c r="AJ75" s="208"/>
      <c r="AK75" s="208"/>
      <c r="AL75" s="220"/>
      <c r="AM75" s="233"/>
      <c r="AN75" s="208"/>
      <c r="AO75" s="208"/>
      <c r="AP75" s="208"/>
      <c r="AQ75" s="208"/>
      <c r="AR75" s="220"/>
      <c r="AS75" s="233"/>
      <c r="AT75" s="220"/>
      <c r="AU75" s="234"/>
      <c r="AV75" s="220"/>
      <c r="AW75" s="234"/>
      <c r="AX75" s="220"/>
    </row>
    <row r="76" spans="1:50" ht="14.25" customHeight="1">
      <c r="A76" s="44" t="s">
        <v>37</v>
      </c>
      <c r="B76" s="65" t="s">
        <v>622</v>
      </c>
      <c r="D76" s="208"/>
      <c r="E76" s="208"/>
      <c r="F76" s="208"/>
      <c r="G76" s="208"/>
      <c r="H76" s="220"/>
      <c r="I76" s="210"/>
      <c r="J76" s="208"/>
      <c r="K76" s="208"/>
      <c r="L76" s="208"/>
      <c r="M76" s="208"/>
      <c r="N76" s="220"/>
      <c r="O76" s="210"/>
      <c r="P76" s="208"/>
      <c r="Q76" s="208"/>
      <c r="R76" s="208"/>
      <c r="S76" s="208"/>
      <c r="T76" s="220"/>
      <c r="U76" s="210"/>
      <c r="V76" s="208"/>
      <c r="W76" s="208"/>
      <c r="X76" s="208"/>
      <c r="Y76" s="208"/>
      <c r="Z76" s="220"/>
      <c r="AA76" s="213"/>
      <c r="AB76" s="208"/>
      <c r="AC76" s="208"/>
      <c r="AD76" s="208"/>
      <c r="AE76" s="208"/>
      <c r="AF76" s="220"/>
      <c r="AG76" s="211"/>
      <c r="AH76" s="208"/>
      <c r="AI76" s="208"/>
      <c r="AJ76" s="208"/>
      <c r="AK76" s="208"/>
      <c r="AL76" s="220"/>
      <c r="AM76" s="224"/>
      <c r="AN76" s="208"/>
      <c r="AO76" s="208"/>
      <c r="AP76" s="208"/>
      <c r="AQ76" s="208"/>
      <c r="AR76" s="220"/>
      <c r="AS76" s="224"/>
      <c r="AT76" s="220"/>
      <c r="AU76" s="225"/>
      <c r="AV76" s="220"/>
      <c r="AW76" s="225"/>
      <c r="AX76" s="220"/>
    </row>
    <row r="77" spans="1:50" ht="14.25" customHeight="1">
      <c r="A77" s="84"/>
      <c r="B77" s="90" t="s">
        <v>555</v>
      </c>
      <c r="D77" s="208" t="str">
        <f>IF(ROUND(IS!D33,0)-ROUND(IS!D41,0)=ROUND(IS!D42,0),"OK","ERROR")</f>
        <v>OK</v>
      </c>
      <c r="E77" s="208" t="str">
        <f>IF(ROUND(IS!E33,0)-ROUND(IS!E41,0)=ROUND(IS!E42,0),"OK","ERROR")</f>
        <v>OK</v>
      </c>
      <c r="F77" s="208" t="str">
        <f>IF(ROUND(IS!F33,0)-ROUND(IS!F41,0)=ROUND(IS!F42,0),"OK","ERROR")</f>
        <v>OK</v>
      </c>
      <c r="G77" s="208" t="str">
        <f>IF(ROUND(IS!G33,0)-ROUND(IS!G41,0)=ROUND(IS!G42,0),"OK","ERROR")</f>
        <v>OK</v>
      </c>
      <c r="H77" s="227" t="str">
        <f>IF(ROUND(IS!H33,0)-ROUND(IS!H41,0)=ROUND(IS!H42,0),"OK","ERROR")</f>
        <v>OK</v>
      </c>
      <c r="I77" s="210"/>
      <c r="J77" s="208" t="str">
        <f>IF(ROUND(IS!J33,0)-ROUND(IS!J41,0)=ROUND(IS!J42,0),"OK","ERROR")</f>
        <v>OK</v>
      </c>
      <c r="K77" s="208" t="str">
        <f>IF(ROUND(IS!K33,0)-ROUND(IS!K41,0)=ROUND(IS!K42,0),"OK","ERROR")</f>
        <v>OK</v>
      </c>
      <c r="L77" s="208" t="str">
        <f>IF(ROUND(IS!L33,0)-ROUND(IS!L41,0)=ROUND(IS!L42,0),"OK","ERROR")</f>
        <v>OK</v>
      </c>
      <c r="M77" s="208" t="str">
        <f>IF(ROUND(IS!M33,0)-ROUND(IS!M41,0)=ROUND(IS!M42,0),"OK","ERROR")</f>
        <v>OK</v>
      </c>
      <c r="N77" s="227" t="str">
        <f>IF(ROUND(IS!N33,0)-ROUND(IS!N41,0)=ROUND(IS!N42,0),"OK","ERROR")</f>
        <v>OK</v>
      </c>
      <c r="O77" s="210"/>
      <c r="P77" s="208" t="str">
        <f>IF(ROUND(IS!P33,0)-ROUND(IS!P41,0)=ROUND(IS!P42,0),"OK","ERROR")</f>
        <v>OK</v>
      </c>
      <c r="Q77" s="208" t="str">
        <f>IF(ROUND(IS!Q33,0)-ROUND(IS!Q41,0)=ROUND(IS!Q42,0),"OK","ERROR")</f>
        <v>OK</v>
      </c>
      <c r="R77" s="208" t="str">
        <f>IF(ROUND(IS!R33,0)-ROUND(IS!R41,0)=ROUND(IS!R42,0),"OK","ERROR")</f>
        <v>ERROR</v>
      </c>
      <c r="S77" s="208" t="str">
        <f>IF(ROUND(IS!S33,0)-ROUND(IS!S41,0)=ROUND(IS!S42,0),"OK","ERROR")</f>
        <v>OK</v>
      </c>
      <c r="T77" s="227" t="str">
        <f>IF(ROUND(IS!T33,0)-ROUND(IS!T41,0)=ROUND(IS!T42,0),"OK","ERROR")</f>
        <v>ERROR</v>
      </c>
      <c r="U77" s="210"/>
      <c r="V77" s="208" t="str">
        <f>IF(ROUND(IS!V33,0)-ROUND(IS!V41,0)=ROUND(IS!V42,0),"OK","ERROR")</f>
        <v>OK</v>
      </c>
      <c r="W77" s="208" t="str">
        <f>IF(ROUND(IS!W33,0)-ROUND(IS!W41,0)=ROUND(IS!W42,0),"OK","ERROR")</f>
        <v>OK</v>
      </c>
      <c r="X77" s="208" t="str">
        <f>IF(ROUND(IS!X33,0)-ROUND(IS!X41,0)=ROUND(IS!X42,0),"OK","ERROR")</f>
        <v>OK</v>
      </c>
      <c r="Y77" s="208" t="str">
        <f>IF(ROUND(IS!Y33,0)-ROUND(IS!Y41,0)=ROUND(IS!Y42,0),"OK","ERROR")</f>
        <v>OK</v>
      </c>
      <c r="Z77" s="227" t="str">
        <f>IF(ROUND(IS!Z33,0)-ROUND(IS!Z41,0)=ROUND(IS!Z42,0),"OK","ERROR")</f>
        <v>ERROR</v>
      </c>
      <c r="AA77" s="213"/>
      <c r="AB77" s="208" t="str">
        <f>IF(ROUND(IS!AB33,0)-ROUND(IS!AB41,0)=ROUND(IS!AB42,0),"OK","ERROR")</f>
        <v>OK</v>
      </c>
      <c r="AC77" s="208" t="str">
        <f>IF(ROUND(IS!AC33,0)-ROUND(IS!AC41,0)=ROUND(IS!AC42,0),"OK","ERROR")</f>
        <v>OK</v>
      </c>
      <c r="AD77" s="208" t="str">
        <f>IF(ROUND(IS!AD33,0)-ROUND(IS!AD41,0)=ROUND(IS!AD42,0),"OK","ERROR")</f>
        <v>OK</v>
      </c>
      <c r="AE77" s="208" t="str">
        <f>IF(ROUND(IS!AE33,0)-ROUND(IS!AE41,0)=ROUND(IS!AE42,0),"OK","ERROR")</f>
        <v>OK</v>
      </c>
      <c r="AF77" s="227" t="str">
        <f>IF(ROUND(IS!AF33,0)-ROUND(IS!AF41,0)=ROUND(IS!AF42,0),"OK","ERROR")</f>
        <v>OK</v>
      </c>
      <c r="AG77" s="211"/>
      <c r="AH77" s="208" t="str">
        <f>IF(ROUND(IS!AH33,0)-ROUND(IS!AH41,0)=ROUND(IS!AH42,0),"OK","ERROR")</f>
        <v>OK</v>
      </c>
      <c r="AI77" s="208" t="str">
        <f>IF(ROUND(IS!AI33,0)-ROUND(IS!AI41,0)=ROUND(IS!AI42,0),"OK","ERROR")</f>
        <v>OK</v>
      </c>
      <c r="AJ77" s="208" t="str">
        <f>IF(ROUND(IS!AJ33,0)-ROUND(IS!AJ41,0)=ROUND(IS!AJ42,0),"OK","ERROR")</f>
        <v>OK</v>
      </c>
      <c r="AK77" s="208" t="str">
        <f>IF(ROUND(IS!AK33,0)-ROUND(IS!AK41,0)=ROUND(IS!AK42,0),"OK","ERROR")</f>
        <v>OK</v>
      </c>
      <c r="AL77" s="227" t="str">
        <f>IF(ROUND(IS!AL33,0)-ROUND(IS!AL41,0)=ROUND(IS!AL42,0),"OK","ERROR")</f>
        <v>OK</v>
      </c>
      <c r="AM77" s="213"/>
      <c r="AN77" s="208" t="str">
        <f>IF(ROUND(IS!AN33,0)-ROUND(IS!AN41,0)=ROUND(IS!AN42,0),"OK","ERROR")</f>
        <v>OK</v>
      </c>
      <c r="AO77" s="208" t="str">
        <f>IF(ROUND(IS!AO33,0)-ROUND(IS!AO41,0)=ROUND(IS!AO42,0),"OK","ERROR")</f>
        <v>OK</v>
      </c>
      <c r="AP77" s="208" t="str">
        <f>IF(ROUND(IS!AP33,0)-ROUND(IS!AP41,0)=ROUND(IS!AP42,0),"OK","ERROR")</f>
        <v>OK</v>
      </c>
      <c r="AQ77" s="208" t="str">
        <f>IF(ROUND(IS!AQ33,0)-ROUND(IS!AQ41,0)=ROUND(IS!AQ42,0),"OK","ERROR")</f>
        <v>OK</v>
      </c>
      <c r="AR77" s="227" t="str">
        <f>IF(ROUND(IS!AR33,0)-ROUND(IS!AR41,0)=ROUND(IS!AR42,0),"OK","ERROR")</f>
        <v>OK</v>
      </c>
      <c r="AS77" s="213"/>
      <c r="AT77" s="227" t="str">
        <f>IF(ROUND(IS!AT33,0)-ROUND(IS!AT41,0)=ROUND(IS!AT42,0),"OK","ERROR")</f>
        <v>OK</v>
      </c>
      <c r="AU77" s="215"/>
      <c r="AV77" s="227" t="str">
        <f>IF(ROUND(IS!AV33,0)-ROUND(IS!AV41,0)=ROUND(IS!AV42,0),"OK","ERROR")</f>
        <v>OK</v>
      </c>
      <c r="AW77" s="215"/>
      <c r="AX77" s="227" t="str">
        <f>IF(ROUND(IS!AX33,0)-ROUND(IS!AX41,0)=ROUND(IS!AX42,0),"OK","ERROR")</f>
        <v>OK</v>
      </c>
    </row>
    <row r="78" spans="1:50" ht="14.25" customHeight="1">
      <c r="A78" s="73"/>
      <c r="B78" s="76"/>
      <c r="D78" s="208"/>
      <c r="E78" s="208"/>
      <c r="F78" s="208"/>
      <c r="G78" s="208"/>
      <c r="H78" s="220"/>
      <c r="I78" s="210"/>
      <c r="J78" s="208"/>
      <c r="K78" s="208"/>
      <c r="L78" s="208"/>
      <c r="M78" s="208"/>
      <c r="N78" s="220"/>
      <c r="O78" s="210"/>
      <c r="P78" s="208"/>
      <c r="Q78" s="208"/>
      <c r="R78" s="208"/>
      <c r="S78" s="208"/>
      <c r="T78" s="220"/>
      <c r="U78" s="210"/>
      <c r="V78" s="208"/>
      <c r="W78" s="208"/>
      <c r="X78" s="208"/>
      <c r="Y78" s="208"/>
      <c r="Z78" s="220"/>
      <c r="AA78" s="213"/>
      <c r="AB78" s="208"/>
      <c r="AC78" s="208"/>
      <c r="AD78" s="208"/>
      <c r="AE78" s="208"/>
      <c r="AF78" s="220"/>
      <c r="AG78" s="211"/>
      <c r="AH78" s="208"/>
      <c r="AI78" s="208"/>
      <c r="AJ78" s="208"/>
      <c r="AK78" s="208"/>
      <c r="AL78" s="220"/>
      <c r="AM78" s="213"/>
      <c r="AN78" s="208"/>
      <c r="AO78" s="208"/>
      <c r="AP78" s="208"/>
      <c r="AQ78" s="208"/>
      <c r="AR78" s="220"/>
      <c r="AS78" s="213"/>
      <c r="AT78" s="220"/>
      <c r="AU78" s="215"/>
      <c r="AV78" s="220"/>
      <c r="AW78" s="215"/>
      <c r="AX78" s="220"/>
    </row>
    <row r="79" spans="1:50" ht="14.25" customHeight="1">
      <c r="A79" s="44" t="s">
        <v>37</v>
      </c>
      <c r="B79" s="65" t="s">
        <v>629</v>
      </c>
      <c r="D79" s="208"/>
      <c r="E79" s="208"/>
      <c r="F79" s="208"/>
      <c r="G79" s="208"/>
      <c r="H79" s="220"/>
      <c r="I79" s="210"/>
      <c r="J79" s="208"/>
      <c r="K79" s="208"/>
      <c r="L79" s="208"/>
      <c r="M79" s="208"/>
      <c r="N79" s="220"/>
      <c r="O79" s="210"/>
      <c r="P79" s="208"/>
      <c r="Q79" s="208"/>
      <c r="R79" s="208"/>
      <c r="S79" s="208"/>
      <c r="T79" s="220"/>
      <c r="U79" s="210"/>
      <c r="V79" s="208"/>
      <c r="W79" s="208"/>
      <c r="X79" s="208"/>
      <c r="Y79" s="208"/>
      <c r="Z79" s="220"/>
      <c r="AA79" s="213"/>
      <c r="AB79" s="208"/>
      <c r="AC79" s="208"/>
      <c r="AD79" s="208"/>
      <c r="AE79" s="208"/>
      <c r="AF79" s="220"/>
      <c r="AG79" s="211"/>
      <c r="AH79" s="208"/>
      <c r="AI79" s="208"/>
      <c r="AJ79" s="208"/>
      <c r="AK79" s="208"/>
      <c r="AL79" s="220"/>
      <c r="AM79" s="213"/>
      <c r="AN79" s="208"/>
      <c r="AO79" s="208"/>
      <c r="AP79" s="208"/>
      <c r="AQ79" s="208"/>
      <c r="AR79" s="220"/>
      <c r="AS79" s="213"/>
      <c r="AT79" s="220"/>
      <c r="AU79" s="215"/>
      <c r="AV79" s="220"/>
      <c r="AW79" s="215"/>
      <c r="AX79" s="220"/>
    </row>
    <row r="80" spans="1:50" ht="14.25" customHeight="1" thickBot="1">
      <c r="A80" s="73"/>
      <c r="B80" s="70" t="s">
        <v>631</v>
      </c>
      <c r="D80" s="208" t="str">
        <f>IF(ROUND(IS!D42,0)-ROUND(SUM(IS!D45:D46),0)=ROUND(IS!D47,0),"OK","ERROR")</f>
        <v>OK</v>
      </c>
      <c r="E80" s="208" t="str">
        <f>IF(ROUND(IS!E42,0)-ROUND(SUM(IS!E45:E46),0)=ROUND(IS!E47,0),"OK","ERROR")</f>
        <v>OK</v>
      </c>
      <c r="F80" s="208" t="str">
        <f>IF(ROUND(IS!F42,0)-ROUND(SUM(IS!F45:F46),0)=ROUND(IS!F47,0),"OK","ERROR")</f>
        <v>OK</v>
      </c>
      <c r="G80" s="208" t="str">
        <f>IF(ROUND(IS!G42,0)-ROUND(SUM(IS!G45:G46),0)=ROUND(IS!G47,0),"OK","ERROR")</f>
        <v>OK</v>
      </c>
      <c r="H80" s="237" t="str">
        <f>IF(ROUND(IS!H42,0)-ROUND(SUM(IS!H45:H46),0)=ROUND(IS!H47,0),"OK","ERROR")</f>
        <v>OK</v>
      </c>
      <c r="I80" s="210"/>
      <c r="J80" s="208" t="str">
        <f>IF(ROUND(IS!J42,0)-ROUND(SUM(IS!J45:J46),0)=ROUND(IS!J47,0),"OK","ERROR")</f>
        <v>ERROR</v>
      </c>
      <c r="K80" s="208" t="str">
        <f>IF(ROUND(IS!K42,0)-ROUND(SUM(IS!K45:K46),0)=ROUND(IS!K47,0),"OK","ERROR")</f>
        <v>OK</v>
      </c>
      <c r="L80" s="208" t="str">
        <f>IF(ROUND(IS!L42,0)-ROUND(SUM(IS!L45:L46),0)=ROUND(IS!L47,0),"OK","ERROR")</f>
        <v>OK</v>
      </c>
      <c r="M80" s="208" t="str">
        <f>IF(ROUND(IS!M42,0)-ROUND(SUM(IS!M45:M46),0)=ROUND(IS!M47,0),"OK","ERROR")</f>
        <v>OK</v>
      </c>
      <c r="N80" s="237" t="str">
        <f>IF(ROUND(IS!N42,0)-ROUND(SUM(IS!N45:N46),0)=ROUND(IS!N47,0),"OK","ERROR")</f>
        <v>OK</v>
      </c>
      <c r="O80" s="210"/>
      <c r="P80" s="208" t="str">
        <f>IF(ROUND(IS!P42,0)-ROUND(SUM(IS!P45:P46),0)=ROUND(IS!P47,0),"OK","ERROR")</f>
        <v>ERROR</v>
      </c>
      <c r="Q80" s="208" t="str">
        <f>IF(ROUND(IS!Q42,0)-ROUND(SUM(IS!Q45:Q46),0)=ROUND(IS!Q47,0),"OK","ERROR")</f>
        <v>OK</v>
      </c>
      <c r="R80" s="208" t="str">
        <f>IF(ROUND(IS!R42,0)-ROUND(SUM(IS!R45:R46),0)=ROUND(IS!R47,0),"OK","ERROR")</f>
        <v>OK</v>
      </c>
      <c r="S80" s="208" t="str">
        <f>IF(ROUND(IS!S42,0)-ROUND(SUM(IS!S45:S46),0)=ROUND(IS!S47,0),"OK","ERROR")</f>
        <v>OK</v>
      </c>
      <c r="T80" s="237" t="str">
        <f>IF(ROUND(IS!T42,0)-ROUND(SUM(IS!T45:T46),0)=ROUND(IS!T47,0),"OK","ERROR")</f>
        <v>OK</v>
      </c>
      <c r="U80" s="210"/>
      <c r="V80" s="208" t="str">
        <f>IF(ROUND(IS!V42,0)-ROUND(SUM(IS!V45:V46),0)=ROUND(IS!V47,0),"OK","ERROR")</f>
        <v>OK</v>
      </c>
      <c r="W80" s="208" t="str">
        <f>IF(ROUND(IS!W42,0)-ROUND(SUM(IS!W45:W46),0)=ROUND(IS!W47,0),"OK","ERROR")</f>
        <v>OK</v>
      </c>
      <c r="X80" s="208" t="str">
        <f>IF(ROUND(IS!X42,0)-ROUND(SUM(IS!X45:X46),0)=ROUND(IS!X47,0),"OK","ERROR")</f>
        <v>OK</v>
      </c>
      <c r="Y80" s="208" t="str">
        <f>IF(ROUND(IS!Y42,0)-ROUND(SUM(IS!Y45:Y46),0)=ROUND(IS!Y47,0),"OK","ERROR")</f>
        <v>ERROR</v>
      </c>
      <c r="Z80" s="237" t="str">
        <f>IF(ROUND(IS!Z42,0)-ROUND(SUM(IS!Z45:Z46),0)=ROUND(IS!Z47,0),"OK","ERROR")</f>
        <v>ERROR</v>
      </c>
      <c r="AA80" s="213"/>
      <c r="AB80" s="208" t="str">
        <f>IF(ROUND(IS!AB42,0)-ROUND(SUM(IS!AB45:AB46),0)=ROUND(IS!AB47,0),"OK","ERROR")</f>
        <v>OK</v>
      </c>
      <c r="AC80" s="208" t="str">
        <f>IF(ROUND(IS!AC42,0)-ROUND(SUM(IS!AC45:AC46),0)=ROUND(IS!AC47,0),"OK","ERROR")</f>
        <v>OK</v>
      </c>
      <c r="AD80" s="208" t="str">
        <f>IF(ROUND(IS!AD42,0)-ROUND(SUM(IS!AD45:AD46),0)=ROUND(IS!AD47,0),"OK","ERROR")</f>
        <v>OK</v>
      </c>
      <c r="AE80" s="208" t="str">
        <f>IF(ROUND(IS!AE42,0)-ROUND(SUM(IS!AE45:AE46),0)=ROUND(IS!AE47,0),"OK","ERROR")</f>
        <v>ERROR</v>
      </c>
      <c r="AF80" s="237" t="str">
        <f>IF(ROUND(IS!AF42,0)-ROUND(SUM(IS!AF45:AF46),0)=ROUND(IS!AF47,0),"OK","ERROR")</f>
        <v>ERROR</v>
      </c>
      <c r="AG80" s="211"/>
      <c r="AH80" s="208" t="str">
        <f>IF(ROUND(IS!AH42,0)-ROUND(SUM(IS!AH45:AH46),0)=ROUND(IS!AH47,0),"OK","ERROR")</f>
        <v>ERROR</v>
      </c>
      <c r="AI80" s="208" t="str">
        <f>IF(ROUND(IS!AI42,0)-ROUND(SUM(IS!AI45:AI46),0)=ROUND(IS!AI47,0),"OK","ERROR")</f>
        <v>OK</v>
      </c>
      <c r="AJ80" s="208" t="str">
        <f>IF(ROUND(IS!AJ42,0)-ROUND(SUM(IS!AJ45:AJ46),0)=ROUND(IS!AJ47,0),"OK","ERROR")</f>
        <v>OK</v>
      </c>
      <c r="AK80" s="208" t="str">
        <f>IF(ROUND(IS!AK42,0)-ROUND(SUM(IS!AK45:AK46),0)=ROUND(IS!AK47,0),"OK","ERROR")</f>
        <v>OK</v>
      </c>
      <c r="AL80" s="237" t="str">
        <f>IF(ROUND(IS!AL42,0)-ROUND(SUM(IS!AL45:AL46),0)=ROUND(IS!AL47,0),"OK","ERROR")</f>
        <v>OK</v>
      </c>
      <c r="AM80" s="236"/>
      <c r="AN80" s="208" t="str">
        <f>IF(ROUND(IS!AN42,0)-ROUND(SUM(IS!AN45:AN46),0)=ROUND(IS!AN47,0),"OK","ERROR")</f>
        <v>OK</v>
      </c>
      <c r="AO80" s="208" t="str">
        <f>IF(ROUND(IS!AO42,0)-ROUND(SUM(IS!AO45:AO46),0)=ROUND(IS!AO47,0),"OK","ERROR")</f>
        <v>OK</v>
      </c>
      <c r="AP80" s="208" t="str">
        <f>IF(ROUND(IS!AP42,0)-ROUND(SUM(IS!AP45:AP46),0)=ROUND(IS!AP47,0),"OK","ERROR")</f>
        <v>OK</v>
      </c>
      <c r="AQ80" s="208" t="str">
        <f>IF(ROUND(IS!AQ42,0)-ROUND(SUM(IS!AQ45:AQ46),0)=ROUND(IS!AQ47,0),"OK","ERROR")</f>
        <v>OK</v>
      </c>
      <c r="AR80" s="237" t="str">
        <f>IF(ROUND(IS!AR42,0)-ROUND(SUM(IS!AR45:AR46),0)=ROUND(IS!AR47,0),"OK","ERROR")</f>
        <v>OK</v>
      </c>
      <c r="AS80" s="213"/>
      <c r="AT80" s="237" t="str">
        <f>IF(ROUND(IS!AT42,0)-ROUND(SUM(IS!AT45:AT46),0)=ROUND(IS!AT47,0),"OK","ERROR")</f>
        <v>OK</v>
      </c>
      <c r="AU80" s="215"/>
      <c r="AV80" s="237" t="str">
        <f>IF(ROUND(IS!AV42,0)-ROUND(SUM(IS!AV45:AV46),0)=ROUND(IS!AV47,0),"OK","ERROR")</f>
        <v>OK</v>
      </c>
      <c r="AW80" s="215"/>
      <c r="AX80" s="237" t="str">
        <f>IF(ROUND(IS!AX42,0)-ROUND(SUM(IS!AX45:AX46),0)=ROUND(IS!AX47,0),"OK","ERROR")</f>
        <v>OK</v>
      </c>
    </row>
    <row r="82" spans="1:50" ht="14.25" customHeight="1">
      <c r="A82" s="44" t="s">
        <v>37</v>
      </c>
      <c r="B82" s="65" t="s">
        <v>632</v>
      </c>
      <c r="D82" s="208"/>
      <c r="E82" s="208"/>
      <c r="F82" s="208"/>
      <c r="G82" s="208"/>
      <c r="H82" s="220"/>
      <c r="I82" s="210"/>
      <c r="J82" s="208"/>
      <c r="K82" s="208"/>
      <c r="L82" s="208"/>
      <c r="M82" s="208"/>
      <c r="N82" s="220"/>
      <c r="O82" s="210"/>
      <c r="P82" s="208"/>
      <c r="Q82" s="208"/>
      <c r="R82" s="208"/>
      <c r="S82" s="208"/>
      <c r="T82" s="220"/>
      <c r="U82" s="210"/>
      <c r="V82" s="208"/>
      <c r="W82" s="208"/>
      <c r="X82" s="208"/>
      <c r="Y82" s="208"/>
      <c r="Z82" s="220"/>
      <c r="AA82" s="210"/>
      <c r="AB82" s="208"/>
      <c r="AC82" s="208"/>
      <c r="AD82" s="208"/>
      <c r="AE82" s="208"/>
      <c r="AF82" s="220"/>
      <c r="AG82" s="238"/>
      <c r="AH82" s="208"/>
      <c r="AI82" s="208"/>
      <c r="AJ82" s="208"/>
      <c r="AK82" s="208"/>
      <c r="AL82" s="220"/>
      <c r="AM82" s="210"/>
      <c r="AN82" s="208"/>
      <c r="AO82" s="208"/>
      <c r="AP82" s="208"/>
      <c r="AQ82" s="208"/>
      <c r="AR82" s="220"/>
      <c r="AS82" s="210"/>
      <c r="AT82" s="220"/>
      <c r="AU82" s="239"/>
      <c r="AV82" s="220"/>
      <c r="AW82" s="239"/>
      <c r="AX82" s="220"/>
    </row>
    <row r="83" spans="1:50" ht="14.25" customHeight="1" thickBot="1">
      <c r="A83" s="73"/>
      <c r="B83" s="76" t="s">
        <v>635</v>
      </c>
      <c r="D83" s="208" t="str">
        <f>IF(ROUND(IS!D47,0)-ROUND(SUM(IS!D50:D51),0)=ROUND(IS!D52,0),"OK","ERROR")</f>
        <v>OK</v>
      </c>
      <c r="E83" s="208" t="str">
        <f>IF(ROUND(IS!E47,0)-ROUND(SUM(IS!E50:E51),0)=ROUND(IS!E52,0),"OK","ERROR")</f>
        <v>OK</v>
      </c>
      <c r="F83" s="208" t="str">
        <f>IF(ROUND(IS!F47,0)-ROUND(SUM(IS!F50:F51),0)=ROUND(IS!F52,0),"OK","ERROR")</f>
        <v>OK</v>
      </c>
      <c r="G83" s="208" t="str">
        <f>IF(ROUND(IS!G47,0)-ROUND(SUM(IS!G50:G51),0)=ROUND(IS!G52,0),"OK","ERROR")</f>
        <v>OK</v>
      </c>
      <c r="H83" s="237" t="str">
        <f>IF(ROUND(IS!H47,0)-ROUND(SUM(IS!H50:H51),0)=ROUND(IS!H52,0),"OK","ERROR")</f>
        <v>OK</v>
      </c>
      <c r="I83" s="210"/>
      <c r="J83" s="208" t="str">
        <f>IF(ROUND(IS!J47,0)-ROUND(SUM(IS!J50:J51),0)=ROUND(IS!J52,0),"OK","ERROR")</f>
        <v>OK</v>
      </c>
      <c r="K83" s="208" t="str">
        <f>IF(ROUND(IS!K47,0)-ROUND(SUM(IS!K50:K51),0)=ROUND(IS!K52,0),"OK","ERROR")</f>
        <v>OK</v>
      </c>
      <c r="L83" s="208" t="str">
        <f>IF(ROUND(IS!L47,0)-ROUND(SUM(IS!L50:L51),0)=ROUND(IS!L52,0),"OK","ERROR")</f>
        <v>OK</v>
      </c>
      <c r="M83" s="208" t="str">
        <f>IF(ROUND(IS!M47,0)-ROUND(SUM(IS!M50:M51),0)=ROUND(IS!M52,0),"OK","ERROR")</f>
        <v>OK</v>
      </c>
      <c r="N83" s="237" t="str">
        <f>IF(ROUND(IS!N47,0)-ROUND(SUM(IS!N50:N51),0)=ROUND(IS!N52,0),"OK","ERROR")</f>
        <v>ERROR</v>
      </c>
      <c r="O83" s="210"/>
      <c r="P83" s="208" t="str">
        <f>IF(ROUND(IS!P47,0)-ROUND(SUM(IS!P50:P51),0)=ROUND(IS!P52,0),"OK","ERROR")</f>
        <v>OK</v>
      </c>
      <c r="Q83" s="208" t="str">
        <f>IF(ROUND(IS!Q47,0)-ROUND(SUM(IS!Q50:Q51),0)=ROUND(IS!Q52,0),"OK","ERROR")</f>
        <v>ERROR</v>
      </c>
      <c r="R83" s="208" t="str">
        <f>IF(ROUND(IS!R47,0)-ROUND(SUM(IS!R50:R51),0)=ROUND(IS!R52,0),"OK","ERROR")</f>
        <v>OK</v>
      </c>
      <c r="S83" s="208" t="str">
        <f>IF(ROUND(IS!S47,0)-ROUND(SUM(IS!S50:S51),0)=ROUND(IS!S52,0),"OK","ERROR")</f>
        <v>OK</v>
      </c>
      <c r="T83" s="237" t="str">
        <f>IF(ROUND(IS!T47,0)-ROUND(SUM(IS!T50:T51),0)=ROUND(IS!T52,0),"OK","ERROR")</f>
        <v>ERROR</v>
      </c>
      <c r="U83" s="210"/>
      <c r="V83" s="208" t="str">
        <f>IF(ROUND(IS!V47,0)-ROUND(SUM(IS!V50:V51),0)=ROUND(IS!V52,0),"OK","ERROR")</f>
        <v>OK</v>
      </c>
      <c r="W83" s="208" t="str">
        <f>IF(ROUND(IS!W47,0)-ROUND(SUM(IS!W50:W51),0)=ROUND(IS!W52,0),"OK","ERROR")</f>
        <v>OK</v>
      </c>
      <c r="X83" s="208" t="str">
        <f>IF(ROUND(IS!X47,0)-ROUND(SUM(IS!X50:X51),0)=ROUND(IS!X52,0),"OK","ERROR")</f>
        <v>ERROR</v>
      </c>
      <c r="Y83" s="208" t="str">
        <f>IF(ROUND(IS!Y47,0)-ROUND(SUM(IS!Y50:Y51),0)=ROUND(IS!Y52,0),"OK","ERROR")</f>
        <v>OK</v>
      </c>
      <c r="Z83" s="237" t="str">
        <f>IF(ROUND(IS!Z47,0)-ROUND(SUM(IS!Z50:Z51),0)=ROUND(IS!Z52,0),"OK","ERROR")</f>
        <v>OK</v>
      </c>
      <c r="AA83" s="210"/>
      <c r="AB83" s="208" t="str">
        <f>IF(ROUND(IS!AB47,0)-ROUND(SUM(IS!AB50:AB51),0)=ROUND(IS!AB52,0),"OK","ERROR")</f>
        <v>OK</v>
      </c>
      <c r="AC83" s="208" t="str">
        <f>IF(ROUND(IS!AC47,0)-ROUND(SUM(IS!AC50:AC51),0)=ROUND(IS!AC52,0),"OK","ERROR")</f>
        <v>ERROR</v>
      </c>
      <c r="AD83" s="208" t="str">
        <f>IF(ROUND(IS!AD47,0)-ROUND(SUM(IS!AD50:AD51),0)=ROUND(IS!AD52,0),"OK","ERROR")</f>
        <v>ERROR</v>
      </c>
      <c r="AE83" s="208" t="str">
        <f>IF(ROUND(IS!AE47,0)-ROUND(SUM(IS!AE50:AE51),0)=ROUND(IS!AE52,0),"OK","ERROR")</f>
        <v>ERROR</v>
      </c>
      <c r="AF83" s="237" t="str">
        <f>IF(ROUND(IS!AF47,0)-ROUND(SUM(IS!AF50:AF51),0)=ROUND(IS!AF52,0),"OK","ERROR")</f>
        <v>OK</v>
      </c>
      <c r="AG83" s="238"/>
      <c r="AH83" s="208" t="str">
        <f>IF(ROUND(IS!AH47,0)-ROUND(SUM(IS!AH50:AH51),0)=ROUND(IS!AH52,0),"OK","ERROR")</f>
        <v>OK</v>
      </c>
      <c r="AI83" s="208" t="str">
        <f>IF(ROUND(IS!AI47,0)-ROUND(SUM(IS!AI50:AI51),0)=ROUND(IS!AI52,0),"OK","ERROR")</f>
        <v>OK</v>
      </c>
      <c r="AJ83" s="208" t="str">
        <f>IF(ROUND(IS!AJ47,0)-ROUND(SUM(IS!AJ50:AJ51),0)=ROUND(IS!AJ52,0),"OK","ERROR")</f>
        <v>OK</v>
      </c>
      <c r="AK83" s="208" t="str">
        <f>IF(ROUND(IS!AK47,0)-ROUND(SUM(IS!AK50:AK51),0)=ROUND(IS!AK52,0),"OK","ERROR")</f>
        <v>OK</v>
      </c>
      <c r="AL83" s="237" t="str">
        <f>IF(ROUND(IS!AL47,0)-ROUND(SUM(IS!AL50:AL51),0)=ROUND(IS!AL52,0),"OK","ERROR")</f>
        <v>OK</v>
      </c>
      <c r="AM83" s="210"/>
      <c r="AN83" s="208" t="str">
        <f>IF(ROUND(IS!AN47,0)-ROUND(SUM(IS!AN50:AN51),0)=ROUND(IS!AN52,0),"OK","ERROR")</f>
        <v>OK</v>
      </c>
      <c r="AO83" s="208" t="str">
        <f>IF(ROUND(IS!AO47,0)-ROUND(SUM(IS!AO50:AO51),0)=ROUND(IS!AO52,0),"OK","ERROR")</f>
        <v>OK</v>
      </c>
      <c r="AP83" s="208" t="str">
        <f>IF(ROUND(IS!AP47,0)-ROUND(SUM(IS!AP50:AP51),0)=ROUND(IS!AP52,0),"OK","ERROR")</f>
        <v>OK</v>
      </c>
      <c r="AQ83" s="208" t="str">
        <f>IF(ROUND(IS!AQ47,0)-ROUND(SUM(IS!AQ50:AQ51),0)=ROUND(IS!AQ52,0),"OK","ERROR")</f>
        <v>OK</v>
      </c>
      <c r="AR83" s="237" t="str">
        <f>IF(ROUND(IS!AR47,0)-ROUND(SUM(IS!AR50:AR51),0)=ROUND(IS!AR52,0),"OK","ERROR")</f>
        <v>OK</v>
      </c>
      <c r="AS83" s="210"/>
      <c r="AT83" s="237" t="str">
        <f>IF(ROUND(IS!AT47,0)-ROUND(SUM(IS!AT50:AT51),0)=ROUND(IS!AT52,0),"OK","ERROR")</f>
        <v>OK</v>
      </c>
      <c r="AU83" s="239"/>
      <c r="AV83" s="237" t="str">
        <f>IF(ROUND(IS!AV47,0)-ROUND(SUM(IS!AV50:AV51),0)=ROUND(IS!AV52,0),"OK","ERROR")</f>
        <v>OK</v>
      </c>
      <c r="AW83" s="239"/>
      <c r="AX83" s="237" t="str">
        <f>IF(ROUND(IS!AX47,0)-ROUND(SUM(IS!AX50:AX51),0)=ROUND(IS!AX52,0),"OK","ERROR")</f>
        <v>OK</v>
      </c>
    </row>
    <row r="84" spans="1:50" ht="14.25" customHeight="1" thickTop="1">
      <c r="A84" s="55"/>
      <c r="D84" s="208"/>
      <c r="E84" s="208"/>
      <c r="F84" s="208"/>
      <c r="G84" s="208"/>
      <c r="H84" s="220"/>
      <c r="I84" s="210"/>
      <c r="J84" s="208"/>
      <c r="K84" s="208"/>
      <c r="L84" s="208"/>
      <c r="M84" s="208"/>
      <c r="N84" s="220"/>
      <c r="O84" s="210"/>
      <c r="P84" s="208"/>
      <c r="Q84" s="208"/>
      <c r="R84" s="208"/>
      <c r="S84" s="208"/>
      <c r="T84" s="220"/>
      <c r="U84" s="210"/>
      <c r="V84" s="208"/>
      <c r="W84" s="208"/>
      <c r="X84" s="208"/>
      <c r="Y84" s="208"/>
      <c r="Z84" s="220"/>
      <c r="AA84" s="210"/>
      <c r="AB84" s="208"/>
      <c r="AC84" s="208"/>
      <c r="AD84" s="208"/>
      <c r="AE84" s="208"/>
      <c r="AF84" s="220"/>
      <c r="AG84" s="238"/>
      <c r="AH84" s="208"/>
      <c r="AI84" s="208"/>
      <c r="AJ84" s="208"/>
      <c r="AK84" s="208"/>
      <c r="AL84" s="220"/>
      <c r="AM84" s="210"/>
      <c r="AN84" s="208"/>
      <c r="AO84" s="208"/>
      <c r="AP84" s="208"/>
      <c r="AQ84" s="208"/>
      <c r="AR84" s="220"/>
      <c r="AS84" s="210"/>
      <c r="AT84" s="220"/>
      <c r="AU84" s="239"/>
      <c r="AV84" s="220"/>
      <c r="AW84" s="239"/>
      <c r="AX84" s="220"/>
    </row>
    <row r="85" spans="1:50" ht="14.25" customHeight="1">
      <c r="A85" s="44" t="s">
        <v>37</v>
      </c>
      <c r="B85" s="65" t="s">
        <v>636</v>
      </c>
      <c r="D85" s="208"/>
      <c r="E85" s="208"/>
      <c r="F85" s="208"/>
      <c r="G85" s="208"/>
      <c r="H85" s="220"/>
      <c r="I85" s="210"/>
      <c r="J85" s="208"/>
      <c r="K85" s="208"/>
      <c r="L85" s="208"/>
      <c r="M85" s="208"/>
      <c r="N85" s="220"/>
      <c r="O85" s="210"/>
      <c r="P85" s="208"/>
      <c r="Q85" s="208"/>
      <c r="R85" s="208"/>
      <c r="S85" s="208"/>
      <c r="T85" s="220"/>
      <c r="U85" s="210"/>
      <c r="V85" s="208"/>
      <c r="W85" s="208"/>
      <c r="X85" s="208"/>
      <c r="Y85" s="208"/>
      <c r="Z85" s="220"/>
      <c r="AA85" s="210"/>
      <c r="AB85" s="208"/>
      <c r="AC85" s="208"/>
      <c r="AD85" s="208"/>
      <c r="AE85" s="208"/>
      <c r="AF85" s="220"/>
      <c r="AG85" s="238"/>
      <c r="AH85" s="208"/>
      <c r="AI85" s="208"/>
      <c r="AJ85" s="208"/>
      <c r="AK85" s="208"/>
      <c r="AL85" s="220"/>
      <c r="AM85" s="210"/>
      <c r="AN85" s="208"/>
      <c r="AO85" s="208"/>
      <c r="AP85" s="208"/>
      <c r="AQ85" s="208"/>
      <c r="AR85" s="220"/>
      <c r="AS85" s="210"/>
      <c r="AT85" s="220"/>
      <c r="AU85" s="239"/>
      <c r="AV85" s="220"/>
      <c r="AW85" s="239"/>
      <c r="AX85" s="220"/>
    </row>
    <row r="86" spans="1:50" ht="14.25" customHeight="1">
      <c r="A86" s="55"/>
      <c r="B86" s="76" t="s">
        <v>637</v>
      </c>
      <c r="D86" s="240" t="str">
        <f>IF(ROUND(IS!D52/IS!D59,1)=ROUND(IS!D55,1),"OK","ERROR")</f>
        <v>OK</v>
      </c>
      <c r="E86" s="240" t="str">
        <f>IF(ROUND(IS!E52/IS!E59,1)=ROUND(IS!E55,1),"OK","ERROR")</f>
        <v>OK</v>
      </c>
      <c r="F86" s="240" t="str">
        <f>IF(ROUND(IS!F52/IS!F59,1)=ROUND(IS!F55,1),"OK","ERROR")</f>
        <v>OK</v>
      </c>
      <c r="G86" s="240" t="str">
        <f>IF(ROUND(IS!G52/IS!G59,1)=ROUND(IS!G55,1),"OK","ERROR")</f>
        <v>OK</v>
      </c>
      <c r="H86" s="241" t="str">
        <f>IF(ROUND(IS!H52/IS!H59,1)=ROUND(IS!H55,1),"OK","ERROR")</f>
        <v>OK</v>
      </c>
      <c r="I86" s="242"/>
      <c r="J86" s="240" t="str">
        <f>IF(ROUND(IS!J52/IS!J59,1)=ROUND(IS!J55,1),"OK","ERROR")</f>
        <v>OK</v>
      </c>
      <c r="K86" s="240" t="str">
        <f>IF(ROUND(IS!K52/IS!K59,1)=ROUND(IS!K55,1),"OK","ERROR")</f>
        <v>OK</v>
      </c>
      <c r="L86" s="240" t="str">
        <f>IF(ROUND(IS!L52/IS!L59,1)=ROUND(IS!L55,1),"OK","ERROR")</f>
        <v>OK</v>
      </c>
      <c r="M86" s="240" t="str">
        <f>IF(ROUND(IS!M52/IS!M59,1)=ROUND(IS!M55,1),"OK","ERROR")</f>
        <v>ERROR</v>
      </c>
      <c r="N86" s="241" t="str">
        <f>IF(ROUND(IS!N52/IS!N59,1)=ROUND(IS!N55,1),"OK","ERROR")</f>
        <v>OK</v>
      </c>
      <c r="O86" s="242"/>
      <c r="P86" s="240" t="str">
        <f>IF(ROUND(IS!P52/IS!P59,1)=ROUND(IS!P55,1),"OK","ERROR")</f>
        <v>OK</v>
      </c>
      <c r="Q86" s="240" t="str">
        <f>IF(ROUND(IS!Q52/IS!Q59,1)=ROUND(IS!Q55,1),"OK","ERROR")</f>
        <v>OK</v>
      </c>
      <c r="R86" s="240" t="str">
        <f>IF(ROUND(IS!R52/IS!R59,1)=ROUND(IS!R55,1),"OK","ERROR")</f>
        <v>OK</v>
      </c>
      <c r="S86" s="240" t="str">
        <f>IF(ROUND(IS!S52/IS!S59,1)=ROUND(IS!S55,1),"OK","ERROR")</f>
        <v>OK</v>
      </c>
      <c r="T86" s="241" t="str">
        <f>IF(ROUND(IS!T52/IS!T59,1)=ROUND(IS!T55,1),"OK","ERROR")</f>
        <v>OK</v>
      </c>
      <c r="U86" s="242"/>
      <c r="V86" s="240" t="str">
        <f>IF(ROUND(IS!V52/IS!V59,1)=ROUND(IS!V55,1),"OK","ERROR")</f>
        <v>OK</v>
      </c>
      <c r="W86" s="240" t="str">
        <f>IF(ROUND(IS!W52/IS!W59,1)=ROUND(IS!W55,1),"OK","ERROR")</f>
        <v>OK</v>
      </c>
      <c r="X86" s="240" t="str">
        <f>IF(ROUND(IS!X52/IS!X59,1)=ROUND(IS!X55,1),"OK","ERROR")</f>
        <v>OK</v>
      </c>
      <c r="Y86" s="240" t="str">
        <f>IF(ROUND(IS!Y52/IS!Y59,1)=ROUND(IS!Y55,1),"OK","ERROR")</f>
        <v>OK</v>
      </c>
      <c r="Z86" s="241" t="str">
        <f>IF(ROUND(IS!Z52/IS!Z59,1)=ROUND(IS!Z55,1),"OK","ERROR")</f>
        <v>OK</v>
      </c>
      <c r="AA86" s="242"/>
      <c r="AB86" s="240" t="str">
        <f>IF(ROUND(IS!AB52/IS!AB59,1)=ROUND(IS!AB55,1),"OK","ERROR")</f>
        <v>OK</v>
      </c>
      <c r="AC86" s="240" t="str">
        <f>IF(ROUND(IS!AC52/IS!AC59,1)=ROUND(IS!AC55,1),"OK","ERROR")</f>
        <v>OK</v>
      </c>
      <c r="AD86" s="240" t="str">
        <f>IF(ROUND(IS!AD52/IS!AD59,1)=ROUND(IS!AD55,1),"OK","ERROR")</f>
        <v>OK</v>
      </c>
      <c r="AE86" s="240" t="str">
        <f>IF(ROUND(IS!AE52/IS!AE59,1)=ROUND(IS!AE55,1),"OK","ERROR")</f>
        <v>OK</v>
      </c>
      <c r="AF86" s="241" t="str">
        <f>IF(ROUND(IS!AF52/IS!AF59,1)=ROUND(IS!AF55,1),"OK","ERROR")</f>
        <v>OK</v>
      </c>
      <c r="AG86" s="243"/>
      <c r="AH86" s="240" t="str">
        <f>IF(ROUND(IS!AH52/IS!AH59,1)=ROUND(IS!AH55,1),"OK","ERROR")</f>
        <v>OK</v>
      </c>
      <c r="AI86" s="240" t="str">
        <f>IF(ROUND(IS!AI52/IS!AI59,1)=ROUND(IS!AI55,1),"OK","ERROR")</f>
        <v>OK</v>
      </c>
      <c r="AJ86" s="240" t="e">
        <f>IF(ROUND(IS!AJ52/IS!AJ59,1)=ROUND(IS!AJ55,1),"OK","ERROR")</f>
        <v>#DIV/0!</v>
      </c>
      <c r="AK86" s="240" t="e">
        <f>IF(ROUND(IS!AK52/IS!AK59,1)=ROUND(IS!AK55,1),"OK","ERROR")</f>
        <v>#DIV/0!</v>
      </c>
      <c r="AL86" s="241" t="e">
        <f>IF(ROUND(IS!AL52/IS!AL59,1)=ROUND(IS!AL55,1),"OK","ERROR")</f>
        <v>#DIV/0!</v>
      </c>
      <c r="AM86" s="242"/>
      <c r="AN86" s="240" t="e">
        <f>IF(ROUND(IS!AN52/IS!AN59,1)=ROUND(IS!AN55,1),"OK","ERROR")</f>
        <v>#DIV/0!</v>
      </c>
      <c r="AO86" s="240" t="e">
        <f>IF(ROUND(IS!AO52/IS!AO59,1)=ROUND(IS!AO55,1),"OK","ERROR")</f>
        <v>#DIV/0!</v>
      </c>
      <c r="AP86" s="240" t="e">
        <f>IF(ROUND(IS!AP52/IS!AP59,1)=ROUND(IS!AP55,1),"OK","ERROR")</f>
        <v>#DIV/0!</v>
      </c>
      <c r="AQ86" s="240" t="e">
        <f>IF(ROUND(IS!AQ52/IS!AQ59,1)=ROUND(IS!AQ55,1),"OK","ERROR")</f>
        <v>#DIV/0!</v>
      </c>
      <c r="AR86" s="241" t="e">
        <f>IF(ROUND(IS!AR52/IS!AR59,1)=ROUND(IS!AR55,1),"OK","ERROR")</f>
        <v>#DIV/0!</v>
      </c>
      <c r="AS86" s="242"/>
      <c r="AT86" s="241" t="e">
        <f>IF(ROUND(IS!AT52/IS!AT59,1)=ROUND(IS!AT55,1),"OK","ERROR")</f>
        <v>#DIV/0!</v>
      </c>
      <c r="AU86" s="245"/>
      <c r="AV86" s="241" t="e">
        <f>IF(ROUND(IS!AV52/IS!AV59,1)=ROUND(IS!AV55,1),"OK","ERROR")</f>
        <v>#DIV/0!</v>
      </c>
      <c r="AW86" s="245"/>
      <c r="AX86" s="241" t="e">
        <f>IF(ROUND(IS!AX52/IS!AX59,1)=ROUND(IS!AX55,1),"OK","ERROR")</f>
        <v>#DIV/0!</v>
      </c>
    </row>
    <row r="87" spans="1:50" ht="14.25" customHeight="1">
      <c r="A87" s="73"/>
      <c r="B87" s="76" t="s">
        <v>638</v>
      </c>
      <c r="D87" s="240" t="str">
        <f>IF(ROUND(IS!D52/IS!D60,1)=ROUND(IS!D56,1),"OK","ERROR")</f>
        <v>OK</v>
      </c>
      <c r="E87" s="240" t="str">
        <f>IF(ROUND(IS!E52/IS!E60,1)=ROUND(IS!E56,1),"OK","ERROR")</f>
        <v>OK</v>
      </c>
      <c r="F87" s="240" t="str">
        <f>IF(ROUND(IS!F52/IS!F60,1)=ROUND(IS!F56,1),"OK","ERROR")</f>
        <v>OK</v>
      </c>
      <c r="G87" s="240" t="str">
        <f>IF(ROUND(IS!G52/IS!G60,1)=ROUND(IS!G56,1),"OK","ERROR")</f>
        <v>OK</v>
      </c>
      <c r="H87" s="241" t="str">
        <f>IF(ROUND(IS!H52/IS!H60,1)=ROUND(IS!H56,1),"OK","ERROR")</f>
        <v>OK</v>
      </c>
      <c r="I87" s="242"/>
      <c r="J87" s="240" t="str">
        <f>IF(ROUND(IS!J52/IS!J60,1)=ROUND(IS!J56,1),"OK","ERROR")</f>
        <v>OK</v>
      </c>
      <c r="K87" s="240" t="str">
        <f>IF(ROUND(IS!K52/IS!K60,1)=ROUND(IS!K56,1),"OK","ERROR")</f>
        <v>OK</v>
      </c>
      <c r="L87" s="240" t="str">
        <f>IF(ROUND(IS!L52/IS!L60,1)=ROUND(IS!L56,1),"OK","ERROR")</f>
        <v>OK</v>
      </c>
      <c r="M87" s="240" t="str">
        <f>IF(ROUND(IS!M52/IS!M60,1)=ROUND(IS!M56,1),"OK","ERROR")</f>
        <v>ERROR</v>
      </c>
      <c r="N87" s="241" t="str">
        <f>IF(ROUND(IS!N52/IS!N60,1)=ROUND(IS!N56,1),"OK","ERROR")</f>
        <v>OK</v>
      </c>
      <c r="O87" s="242"/>
      <c r="P87" s="240" t="str">
        <f>IF(ROUND(IS!P52/IS!P60,1)=ROUND(IS!P56,1),"OK","ERROR")</f>
        <v>OK</v>
      </c>
      <c r="Q87" s="240" t="str">
        <f>IF(ROUND(IS!Q52/IS!Q60,1)=ROUND(IS!Q56,1),"OK","ERROR")</f>
        <v>OK</v>
      </c>
      <c r="R87" s="240" t="str">
        <f>IF(ROUND(IS!R52/IS!R60,1)=ROUND(IS!R56,1),"OK","ERROR")</f>
        <v>OK</v>
      </c>
      <c r="S87" s="240" t="str">
        <f>IF(ROUND(IS!S52/IS!S60,1)=ROUND(IS!S56,1),"OK","ERROR")</f>
        <v>OK</v>
      </c>
      <c r="T87" s="241" t="str">
        <f>IF(ROUND(IS!T52/IS!T60,1)=ROUND(IS!T56,1),"OK","ERROR")</f>
        <v>OK</v>
      </c>
      <c r="U87" s="242"/>
      <c r="V87" s="240" t="str">
        <f>IF(ROUND(IS!V52/IS!V60,1)=ROUND(IS!V56,1),"OK","ERROR")</f>
        <v>OK</v>
      </c>
      <c r="W87" s="240" t="str">
        <f>IF(ROUND(IS!W52/IS!W60,1)=ROUND(IS!W56,1),"OK","ERROR")</f>
        <v>OK</v>
      </c>
      <c r="X87" s="240" t="str">
        <f>IF(ROUND(IS!X52/IS!X60,1)=ROUND(IS!X56,1),"OK","ERROR")</f>
        <v>OK</v>
      </c>
      <c r="Y87" s="240" t="str">
        <f>IF(ROUND(IS!Y52/IS!Y60,1)=ROUND(IS!Y56,1),"OK","ERROR")</f>
        <v>OK</v>
      </c>
      <c r="Z87" s="241" t="str">
        <f>IF(ROUND(IS!Z52/IS!Z60,1)=ROUND(IS!Z56,1),"OK","ERROR")</f>
        <v>OK</v>
      </c>
      <c r="AA87" s="242"/>
      <c r="AB87" s="240" t="str">
        <f>IF(ROUND(IS!AB52/IS!AB60,1)=ROUND(IS!AB56,1),"OK","ERROR")</f>
        <v>OK</v>
      </c>
      <c r="AC87" s="240" t="str">
        <f>IF(ROUND(IS!AC52/IS!AC60,1)=ROUND(IS!AC56,1),"OK","ERROR")</f>
        <v>OK</v>
      </c>
      <c r="AD87" s="240" t="str">
        <f>IF(ROUND(IS!AD52/IS!AD60,1)=ROUND(IS!AD56,1),"OK","ERROR")</f>
        <v>OK</v>
      </c>
      <c r="AE87" s="240" t="str">
        <f>IF(ROUND(IS!AE52/IS!AE60,1)=ROUND(IS!AE56,1),"OK","ERROR")</f>
        <v>OK</v>
      </c>
      <c r="AF87" s="241" t="str">
        <f>IF(ROUND(IS!AF52/IS!AF60,1)=ROUND(IS!AF56,1),"OK","ERROR")</f>
        <v>OK</v>
      </c>
      <c r="AG87" s="243"/>
      <c r="AH87" s="240" t="str">
        <f>IF(ROUND(IS!AH52/IS!AH60,1)=ROUND(IS!AH56,1),"OK","ERROR")</f>
        <v>OK</v>
      </c>
      <c r="AI87" s="240" t="str">
        <f>IF(ROUND(IS!AI52/IS!AI60,1)=ROUND(IS!AI56,1),"OK","ERROR")</f>
        <v>OK</v>
      </c>
      <c r="AJ87" s="240" t="e">
        <f>IF(ROUND(IS!AJ52/IS!AJ60,1)=ROUND(IS!AJ56,1),"OK","ERROR")</f>
        <v>#DIV/0!</v>
      </c>
      <c r="AK87" s="240" t="e">
        <f>IF(ROUND(IS!AK52/IS!AK60,1)=ROUND(IS!AK56,1),"OK","ERROR")</f>
        <v>#DIV/0!</v>
      </c>
      <c r="AL87" s="241" t="e">
        <f>IF(ROUND(IS!AL52/IS!AL60,1)=ROUND(IS!AL56,1),"OK","ERROR")</f>
        <v>#DIV/0!</v>
      </c>
      <c r="AM87" s="242"/>
      <c r="AN87" s="240" t="e">
        <f>IF(ROUND(IS!AN52/IS!AN60,1)=ROUND(IS!AN56,1),"OK","ERROR")</f>
        <v>#DIV/0!</v>
      </c>
      <c r="AO87" s="240" t="e">
        <f>IF(ROUND(IS!AO52/IS!AO60,1)=ROUND(IS!AO56,1),"OK","ERROR")</f>
        <v>#DIV/0!</v>
      </c>
      <c r="AP87" s="240" t="e">
        <f>IF(ROUND(IS!AP52/IS!AP60,1)=ROUND(IS!AP56,1),"OK","ERROR")</f>
        <v>#DIV/0!</v>
      </c>
      <c r="AQ87" s="240" t="e">
        <f>IF(ROUND(IS!AQ52/IS!AQ60,1)=ROUND(IS!AQ56,1),"OK","ERROR")</f>
        <v>#DIV/0!</v>
      </c>
      <c r="AR87" s="241" t="e">
        <f>IF(ROUND(IS!AR52/IS!AR60,1)=ROUND(IS!AR56,1),"OK","ERROR")</f>
        <v>#DIV/0!</v>
      </c>
      <c r="AS87" s="242"/>
      <c r="AT87" s="241" t="e">
        <f>IF(ROUND(IS!AT52/IS!AT60,1)=ROUND(IS!AT56,1),"OK","ERROR")</f>
        <v>#DIV/0!</v>
      </c>
      <c r="AU87" s="245"/>
      <c r="AV87" s="241" t="e">
        <f>IF(ROUND(IS!AV52/IS!AV60,1)=ROUND(IS!AV56,1),"OK","ERROR")</f>
        <v>#DIV/0!</v>
      </c>
      <c r="AW87" s="245"/>
      <c r="AX87" s="241" t="e">
        <f>IF(ROUND(IS!AX52/IS!AX60,1)=ROUND(IS!AX56,1),"OK","ERROR")</f>
        <v>#DIV/0!</v>
      </c>
    </row>
    <row r="89" spans="1:50" s="41" customFormat="1" ht="15" customHeight="1">
      <c r="B89" s="161" t="s">
        <v>710</v>
      </c>
      <c r="C89" s="18"/>
      <c r="D89" s="202">
        <f>F89</f>
        <v>2020</v>
      </c>
      <c r="E89" s="202">
        <f>F89</f>
        <v>2020</v>
      </c>
      <c r="F89" s="202">
        <v>2020</v>
      </c>
      <c r="G89" s="202">
        <f>F89</f>
        <v>2020</v>
      </c>
      <c r="H89" s="202">
        <f>F89</f>
        <v>2020</v>
      </c>
      <c r="I89" s="18"/>
      <c r="J89" s="202">
        <f>L89</f>
        <v>2021</v>
      </c>
      <c r="K89" s="202">
        <f>L89</f>
        <v>2021</v>
      </c>
      <c r="L89" s="202">
        <v>2021</v>
      </c>
      <c r="M89" s="202">
        <f>L89</f>
        <v>2021</v>
      </c>
      <c r="N89" s="202">
        <f>L89</f>
        <v>2021</v>
      </c>
      <c r="O89" s="169"/>
      <c r="P89" s="202">
        <f>R89</f>
        <v>2022</v>
      </c>
      <c r="Q89" s="202">
        <f>R89</f>
        <v>2022</v>
      </c>
      <c r="R89" s="202">
        <v>2022</v>
      </c>
      <c r="S89" s="202">
        <f>R89</f>
        <v>2022</v>
      </c>
      <c r="T89" s="202">
        <f>R89</f>
        <v>2022</v>
      </c>
      <c r="U89" s="169"/>
      <c r="V89" s="202">
        <f>X89</f>
        <v>2023</v>
      </c>
      <c r="W89" s="202">
        <f>X89</f>
        <v>2023</v>
      </c>
      <c r="X89" s="202">
        <v>2023</v>
      </c>
      <c r="Y89" s="202">
        <f>X89</f>
        <v>2023</v>
      </c>
      <c r="Z89" s="202">
        <f>X89</f>
        <v>2023</v>
      </c>
      <c r="AA89" s="170"/>
      <c r="AB89" s="202">
        <f>AD89</f>
        <v>2024</v>
      </c>
      <c r="AC89" s="202">
        <f>AD89</f>
        <v>2024</v>
      </c>
      <c r="AD89" s="202">
        <v>2024</v>
      </c>
      <c r="AE89" s="202">
        <f>AD89</f>
        <v>2024</v>
      </c>
      <c r="AF89" s="202">
        <f>AD89</f>
        <v>2024</v>
      </c>
      <c r="AG89" s="170"/>
      <c r="AH89" s="202">
        <f>AJ89</f>
        <v>2025</v>
      </c>
      <c r="AI89" s="202">
        <f>AJ89</f>
        <v>2025</v>
      </c>
      <c r="AJ89" s="203">
        <v>2025</v>
      </c>
      <c r="AK89" s="202">
        <f>AJ89</f>
        <v>2025</v>
      </c>
      <c r="AL89" s="202">
        <f>AJ89</f>
        <v>2025</v>
      </c>
      <c r="AM89" s="171"/>
      <c r="AN89" s="202">
        <f>AP89</f>
        <v>2025</v>
      </c>
      <c r="AO89" s="202">
        <f>AP89</f>
        <v>2025</v>
      </c>
      <c r="AP89" s="203">
        <v>2025</v>
      </c>
      <c r="AQ89" s="202">
        <f>AP89</f>
        <v>2025</v>
      </c>
      <c r="AR89" s="202">
        <f>AP89</f>
        <v>2025</v>
      </c>
      <c r="AS89" s="18"/>
      <c r="AT89" s="162"/>
      <c r="AU89" s="18"/>
      <c r="AV89" s="163"/>
      <c r="AW89" s="18"/>
      <c r="AX89" s="163"/>
    </row>
    <row r="90" spans="1:50" s="41" customFormat="1" ht="15" customHeight="1">
      <c r="B90" s="164"/>
      <c r="C90" s="18"/>
      <c r="D90" s="756">
        <v>2020</v>
      </c>
      <c r="E90" s="756"/>
      <c r="F90" s="756"/>
      <c r="G90" s="756"/>
      <c r="H90" s="756"/>
      <c r="I90" s="169"/>
      <c r="J90" s="756">
        <f>D90+1</f>
        <v>2021</v>
      </c>
      <c r="K90" s="756"/>
      <c r="L90" s="756"/>
      <c r="M90" s="756"/>
      <c r="N90" s="756"/>
      <c r="O90" s="169"/>
      <c r="P90" s="756">
        <f>J90+1</f>
        <v>2022</v>
      </c>
      <c r="Q90" s="756"/>
      <c r="R90" s="756"/>
      <c r="S90" s="756"/>
      <c r="T90" s="756"/>
      <c r="U90" s="169"/>
      <c r="V90" s="756">
        <f>P90+1</f>
        <v>2023</v>
      </c>
      <c r="W90" s="756"/>
      <c r="X90" s="756"/>
      <c r="Y90" s="756"/>
      <c r="Z90" s="756"/>
      <c r="AA90" s="169"/>
      <c r="AB90" s="756">
        <f>V90+1</f>
        <v>2024</v>
      </c>
      <c r="AC90" s="756"/>
      <c r="AD90" s="756"/>
      <c r="AE90" s="756"/>
      <c r="AF90" s="756"/>
      <c r="AG90" s="169"/>
      <c r="AH90" s="755">
        <f>AB90+1</f>
        <v>2025</v>
      </c>
      <c r="AI90" s="755"/>
      <c r="AJ90" s="755"/>
      <c r="AK90" s="755"/>
      <c r="AL90" s="755"/>
      <c r="AM90" s="169"/>
      <c r="AN90" s="755">
        <f>AH90+1</f>
        <v>2026</v>
      </c>
      <c r="AO90" s="755"/>
      <c r="AP90" s="755"/>
      <c r="AQ90" s="755"/>
      <c r="AR90" s="755"/>
      <c r="AS90" s="171"/>
      <c r="AT90" s="166">
        <f>AN90+1</f>
        <v>2027</v>
      </c>
      <c r="AU90" s="167"/>
      <c r="AV90" s="166">
        <f>+AT90+1</f>
        <v>2028</v>
      </c>
      <c r="AW90" s="167"/>
      <c r="AX90" s="166">
        <f>+AV90+1</f>
        <v>2029</v>
      </c>
    </row>
    <row r="91" spans="1:50" s="41" customFormat="1" ht="15" customHeight="1">
      <c r="B91" s="164"/>
      <c r="C91" s="18"/>
      <c r="D91" s="168" t="s">
        <v>207</v>
      </c>
      <c r="E91" s="168" t="s">
        <v>208</v>
      </c>
      <c r="F91" s="168" t="s">
        <v>209</v>
      </c>
      <c r="G91" s="168" t="s">
        <v>210</v>
      </c>
      <c r="H91" s="168" t="s">
        <v>211</v>
      </c>
      <c r="I91" s="18"/>
      <c r="J91" s="168" t="s">
        <v>207</v>
      </c>
      <c r="K91" s="168" t="s">
        <v>208</v>
      </c>
      <c r="L91" s="168" t="s">
        <v>209</v>
      </c>
      <c r="M91" s="168" t="s">
        <v>210</v>
      </c>
      <c r="N91" s="168" t="s">
        <v>211</v>
      </c>
      <c r="O91" s="165"/>
      <c r="P91" s="168" t="s">
        <v>207</v>
      </c>
      <c r="Q91" s="168" t="s">
        <v>208</v>
      </c>
      <c r="R91" s="168" t="s">
        <v>209</v>
      </c>
      <c r="S91" s="168" t="s">
        <v>210</v>
      </c>
      <c r="T91" s="168" t="s">
        <v>211</v>
      </c>
      <c r="U91" s="165"/>
      <c r="V91" s="168" t="s">
        <v>207</v>
      </c>
      <c r="W91" s="168" t="s">
        <v>208</v>
      </c>
      <c r="X91" s="168" t="s">
        <v>209</v>
      </c>
      <c r="Y91" s="168" t="s">
        <v>210</v>
      </c>
      <c r="Z91" s="168" t="s">
        <v>211</v>
      </c>
      <c r="AA91" s="165"/>
      <c r="AB91" s="168" t="s">
        <v>207</v>
      </c>
      <c r="AC91" s="168" t="s">
        <v>208</v>
      </c>
      <c r="AD91" s="168" t="s">
        <v>209</v>
      </c>
      <c r="AE91" s="168" t="s">
        <v>210</v>
      </c>
      <c r="AF91" s="168" t="s">
        <v>211</v>
      </c>
      <c r="AG91" s="165"/>
      <c r="AH91" s="168" t="s">
        <v>207</v>
      </c>
      <c r="AI91" s="168" t="s">
        <v>208</v>
      </c>
      <c r="AJ91" s="168" t="s">
        <v>209</v>
      </c>
      <c r="AK91" s="168" t="s">
        <v>210</v>
      </c>
      <c r="AL91" s="168" t="s">
        <v>211</v>
      </c>
      <c r="AM91" s="165"/>
      <c r="AN91" s="168" t="s">
        <v>207</v>
      </c>
      <c r="AO91" s="168" t="s">
        <v>208</v>
      </c>
      <c r="AP91" s="168" t="s">
        <v>209</v>
      </c>
      <c r="AQ91" s="168" t="s">
        <v>210</v>
      </c>
      <c r="AR91" s="168" t="s">
        <v>211</v>
      </c>
      <c r="AS91" s="165"/>
      <c r="AT91" s="168" t="s">
        <v>211</v>
      </c>
      <c r="AU91" s="165"/>
      <c r="AV91" s="168" t="s">
        <v>211</v>
      </c>
      <c r="AW91" s="165"/>
      <c r="AX91" s="168" t="s">
        <v>211</v>
      </c>
    </row>
    <row r="92" spans="1:50" s="41" customFormat="1" ht="3.95" customHeight="1">
      <c r="A92" s="43"/>
      <c r="B92" s="176"/>
      <c r="C92" s="35"/>
      <c r="D92" s="177"/>
      <c r="E92" s="177"/>
      <c r="F92" s="177"/>
      <c r="G92" s="177"/>
      <c r="H92" s="177"/>
      <c r="I92" s="35"/>
      <c r="J92" s="177"/>
      <c r="K92" s="177"/>
      <c r="L92" s="177"/>
      <c r="M92" s="177"/>
      <c r="N92" s="177"/>
      <c r="O92" s="178"/>
      <c r="P92" s="177"/>
      <c r="Q92" s="177"/>
      <c r="R92" s="177"/>
      <c r="S92" s="177"/>
      <c r="T92" s="177"/>
      <c r="U92" s="178"/>
      <c r="V92" s="177"/>
      <c r="W92" s="177"/>
      <c r="X92" s="177"/>
      <c r="Y92" s="177"/>
      <c r="Z92" s="177"/>
      <c r="AA92" s="178"/>
      <c r="AB92" s="177"/>
      <c r="AC92" s="177"/>
      <c r="AD92" s="177"/>
      <c r="AE92" s="177"/>
      <c r="AF92" s="177"/>
      <c r="AG92" s="178"/>
      <c r="AH92" s="177"/>
      <c r="AI92" s="177"/>
      <c r="AJ92" s="177"/>
      <c r="AK92" s="177"/>
      <c r="AL92" s="179"/>
      <c r="AM92" s="180"/>
      <c r="AN92" s="179"/>
      <c r="AO92" s="179"/>
      <c r="AP92" s="179"/>
      <c r="AQ92" s="179"/>
      <c r="AR92" s="179"/>
      <c r="AS92" s="180"/>
      <c r="AT92" s="179"/>
      <c r="AU92" s="180"/>
      <c r="AV92" s="179"/>
      <c r="AW92" s="180"/>
      <c r="AX92" s="179"/>
    </row>
    <row r="93" spans="1:50" s="41" customFormat="1" ht="3.95" customHeight="1">
      <c r="A93" s="43"/>
      <c r="B93" s="172"/>
      <c r="C93" s="19"/>
      <c r="D93" s="173"/>
      <c r="E93" s="173"/>
      <c r="F93" s="173"/>
      <c r="G93" s="173"/>
      <c r="H93" s="173"/>
      <c r="I93" s="19"/>
      <c r="J93" s="173"/>
      <c r="K93" s="173"/>
      <c r="L93" s="173"/>
      <c r="M93" s="173"/>
      <c r="N93" s="173"/>
      <c r="O93" s="174"/>
      <c r="P93" s="173"/>
      <c r="Q93" s="173"/>
      <c r="R93" s="173"/>
      <c r="S93" s="173"/>
      <c r="T93" s="173"/>
      <c r="U93" s="174"/>
      <c r="V93" s="173"/>
      <c r="W93" s="173"/>
      <c r="X93" s="173"/>
      <c r="Y93" s="173"/>
      <c r="Z93" s="173"/>
      <c r="AA93" s="174"/>
      <c r="AB93" s="173"/>
      <c r="AC93" s="173"/>
      <c r="AD93" s="173"/>
      <c r="AE93" s="173"/>
      <c r="AF93" s="173"/>
      <c r="AG93" s="204"/>
      <c r="AH93" s="173"/>
      <c r="AI93" s="173"/>
      <c r="AJ93" s="173"/>
      <c r="AK93" s="173"/>
      <c r="AL93" s="175"/>
      <c r="AM93" s="34"/>
      <c r="AN93" s="175"/>
      <c r="AO93" s="175"/>
      <c r="AP93" s="175"/>
      <c r="AQ93" s="175"/>
      <c r="AR93" s="175"/>
      <c r="AS93" s="34"/>
      <c r="AT93" s="175"/>
      <c r="AU93" s="34"/>
      <c r="AV93" s="175"/>
      <c r="AW93" s="34"/>
      <c r="AX93" s="175"/>
    </row>
    <row r="94" spans="1:50" s="41" customFormat="1" ht="15" customHeight="1">
      <c r="A94" s="44"/>
      <c r="B94" s="106" t="s">
        <v>645</v>
      </c>
      <c r="C94" s="17"/>
      <c r="D94" s="208"/>
      <c r="E94" s="208"/>
      <c r="F94" s="208"/>
      <c r="G94" s="208"/>
      <c r="H94" s="216"/>
      <c r="I94" s="248"/>
      <c r="J94" s="249"/>
      <c r="K94" s="249"/>
      <c r="L94" s="249"/>
      <c r="M94" s="249"/>
      <c r="N94" s="250"/>
      <c r="O94" s="250"/>
      <c r="P94" s="249"/>
      <c r="Q94" s="249"/>
      <c r="R94" s="249"/>
      <c r="S94" s="249"/>
      <c r="T94" s="250"/>
      <c r="U94" s="250"/>
      <c r="V94" s="249"/>
      <c r="W94" s="249"/>
      <c r="X94" s="249"/>
      <c r="Y94" s="249"/>
      <c r="Z94" s="250"/>
      <c r="AA94" s="250"/>
      <c r="AB94" s="251"/>
      <c r="AC94" s="251"/>
      <c r="AD94" s="251"/>
      <c r="AE94" s="251"/>
      <c r="AF94" s="250"/>
      <c r="AG94" s="252"/>
      <c r="AH94" s="253"/>
      <c r="AI94" s="253"/>
      <c r="AJ94" s="253"/>
      <c r="AK94" s="253"/>
      <c r="AL94" s="250"/>
      <c r="AM94" s="254"/>
      <c r="AN94" s="253"/>
      <c r="AO94" s="253"/>
      <c r="AP94" s="253"/>
      <c r="AQ94" s="253"/>
      <c r="AR94" s="250"/>
      <c r="AS94" s="254"/>
      <c r="AT94" s="250"/>
      <c r="AU94" s="254"/>
      <c r="AV94" s="250"/>
      <c r="AW94" s="255"/>
      <c r="AX94" s="255"/>
    </row>
    <row r="95" spans="1:50" s="113" customFormat="1" ht="15" customHeight="1">
      <c r="B95" s="114"/>
      <c r="C95" s="115"/>
      <c r="D95" s="208"/>
      <c r="E95" s="208"/>
      <c r="F95" s="208"/>
      <c r="G95" s="208"/>
      <c r="H95" s="216"/>
      <c r="I95" s="256"/>
      <c r="J95" s="249"/>
      <c r="K95" s="249"/>
      <c r="L95" s="249"/>
      <c r="M95" s="249"/>
      <c r="N95" s="250"/>
      <c r="O95" s="256"/>
      <c r="P95" s="249"/>
      <c r="Q95" s="249"/>
      <c r="R95" s="249"/>
      <c r="S95" s="249"/>
      <c r="T95" s="250"/>
      <c r="U95" s="256"/>
      <c r="V95" s="249"/>
      <c r="W95" s="249"/>
      <c r="X95" s="249"/>
      <c r="Y95" s="249"/>
      <c r="Z95" s="250"/>
      <c r="AA95" s="257"/>
      <c r="AB95" s="251"/>
      <c r="AC95" s="251"/>
      <c r="AD95" s="251"/>
      <c r="AE95" s="251"/>
      <c r="AF95" s="250"/>
      <c r="AG95" s="258"/>
      <c r="AH95" s="259"/>
      <c r="AI95" s="259"/>
      <c r="AJ95" s="259"/>
      <c r="AK95" s="259"/>
      <c r="AL95" s="250"/>
      <c r="AM95" s="260"/>
      <c r="AN95" s="259"/>
      <c r="AO95" s="259"/>
      <c r="AP95" s="259"/>
      <c r="AQ95" s="259"/>
      <c r="AR95" s="250"/>
      <c r="AS95" s="260"/>
      <c r="AT95" s="250"/>
      <c r="AU95" s="260"/>
      <c r="AV95" s="250"/>
      <c r="AW95" s="261"/>
      <c r="AX95" s="261"/>
    </row>
    <row r="96" spans="1:50" s="41" customFormat="1" ht="15" customHeight="1">
      <c r="A96" s="44" t="s">
        <v>37</v>
      </c>
      <c r="B96" s="114" t="s">
        <v>646</v>
      </c>
      <c r="C96" s="17"/>
      <c r="D96" s="208"/>
      <c r="E96" s="208"/>
      <c r="F96" s="208"/>
      <c r="G96" s="208"/>
      <c r="H96" s="220"/>
      <c r="I96" s="248"/>
      <c r="J96" s="262"/>
      <c r="K96" s="262"/>
      <c r="L96" s="262"/>
      <c r="M96" s="262"/>
      <c r="N96" s="250"/>
      <c r="O96" s="248"/>
      <c r="P96" s="262"/>
      <c r="Q96" s="262"/>
      <c r="R96" s="262"/>
      <c r="S96" s="262"/>
      <c r="T96" s="250"/>
      <c r="U96" s="248"/>
      <c r="V96" s="262"/>
      <c r="W96" s="262"/>
      <c r="X96" s="262"/>
      <c r="Y96" s="262"/>
      <c r="Z96" s="250"/>
      <c r="AA96" s="263"/>
      <c r="AB96" s="264"/>
      <c r="AC96" s="264"/>
      <c r="AD96" s="264"/>
      <c r="AE96" s="264"/>
      <c r="AF96" s="250"/>
      <c r="AG96" s="265"/>
      <c r="AH96" s="266"/>
      <c r="AI96" s="266"/>
      <c r="AJ96" s="266"/>
      <c r="AK96" s="266"/>
      <c r="AL96" s="250"/>
      <c r="AM96" s="267"/>
      <c r="AN96" s="266"/>
      <c r="AO96" s="266"/>
      <c r="AP96" s="266"/>
      <c r="AQ96" s="266"/>
      <c r="AR96" s="250"/>
      <c r="AS96" s="267"/>
      <c r="AT96" s="250"/>
      <c r="AU96" s="267"/>
      <c r="AV96" s="250"/>
      <c r="AW96" s="255"/>
      <c r="AX96" s="255"/>
    </row>
    <row r="97" spans="1:50" s="41" customFormat="1" ht="15" customHeight="1">
      <c r="A97" s="44"/>
      <c r="B97" s="127" t="s">
        <v>647</v>
      </c>
      <c r="C97" s="17"/>
      <c r="D97" s="208" t="str">
        <f>IF(ROUND(BS!D15,0)=ROUND(SUM(BS!D16:D17),0),"OK","ERROR")</f>
        <v>OK</v>
      </c>
      <c r="E97" s="208" t="str">
        <f>IF(ROUND(BS!E15,0)=ROUND(SUM(BS!E16:E17),0),"OK","ERROR")</f>
        <v>OK</v>
      </c>
      <c r="F97" s="208" t="str">
        <f>IF(ROUND(BS!F15,0)=ROUND(SUM(BS!F16:F17),0),"OK","ERROR")</f>
        <v>OK</v>
      </c>
      <c r="G97" s="208" t="str">
        <f>IF(ROUND(BS!G15,0)=ROUND(SUM(BS!G16:G17),0),"OK","ERROR")</f>
        <v>OK</v>
      </c>
      <c r="H97" s="220" t="str">
        <f>IF(ROUND(BS!H15,0)=ROUND(SUM(BS!H16:H17),0),"OK","ERROR")</f>
        <v>OK</v>
      </c>
      <c r="I97" s="248"/>
      <c r="J97" s="208" t="str">
        <f>IF(ROUND(BS!J15,0)=ROUND(SUM(BS!J16:J17),0),"OK","ERROR")</f>
        <v>OK</v>
      </c>
      <c r="K97" s="208" t="str">
        <f>IF(ROUND(BS!K15,0)=ROUND(SUM(BS!K16:K17),0),"OK","ERROR")</f>
        <v>OK</v>
      </c>
      <c r="L97" s="208" t="str">
        <f>IF(ROUND(BS!L15,0)=ROUND(SUM(BS!L16:L17),0),"OK","ERROR")</f>
        <v>OK</v>
      </c>
      <c r="M97" s="208" t="str">
        <f>IF(ROUND(BS!M15,0)=ROUND(SUM(BS!M16:M17),0),"OK","ERROR")</f>
        <v>OK</v>
      </c>
      <c r="N97" s="220" t="str">
        <f>IF(ROUND(BS!N15,0)=ROUND(SUM(BS!N16:N17),0),"OK","ERROR")</f>
        <v>OK</v>
      </c>
      <c r="O97" s="248"/>
      <c r="P97" s="208" t="str">
        <f>IF(ROUND(BS!P15,0)=ROUND(SUM(BS!P16:P17),0),"OK","ERROR")</f>
        <v>OK</v>
      </c>
      <c r="Q97" s="208" t="str">
        <f>IF(ROUND(BS!Q15,0)=ROUND(SUM(BS!Q16:Q17),0),"OK","ERROR")</f>
        <v>OK</v>
      </c>
      <c r="R97" s="208" t="str">
        <f>IF(ROUND(BS!R15,0)=ROUND(SUM(BS!R16:R17),0),"OK","ERROR")</f>
        <v>OK</v>
      </c>
      <c r="S97" s="208" t="str">
        <f>IF(ROUND(BS!S15,0)=ROUND(SUM(BS!S16:S17),0),"OK","ERROR")</f>
        <v>OK</v>
      </c>
      <c r="T97" s="220" t="str">
        <f>IF(ROUND(BS!T15,0)=ROUND(SUM(BS!T16:T17),0),"OK","ERROR")</f>
        <v>OK</v>
      </c>
      <c r="U97" s="248"/>
      <c r="V97" s="208" t="str">
        <f>IF(ROUND(BS!V15,0)=ROUND(SUM(BS!V16:V17),0),"OK","ERROR")</f>
        <v>OK</v>
      </c>
      <c r="W97" s="208" t="str">
        <f>IF(ROUND(BS!W15,0)=ROUND(SUM(BS!W16:W17),0),"OK","ERROR")</f>
        <v>OK</v>
      </c>
      <c r="X97" s="208" t="str">
        <f>IF(ROUND(BS!X15,0)=ROUND(SUM(BS!X16:X17),0),"OK","ERROR")</f>
        <v>OK</v>
      </c>
      <c r="Y97" s="208" t="str">
        <f>IF(ROUND(BS!Y15,0)=ROUND(SUM(BS!Y16:Y17),0),"OK","ERROR")</f>
        <v>OK</v>
      </c>
      <c r="Z97" s="220" t="str">
        <f>IF(ROUND(BS!Z15,0)=ROUND(SUM(BS!Z16:Z17),0),"OK","ERROR")</f>
        <v>OK</v>
      </c>
      <c r="AA97" s="263"/>
      <c r="AB97" s="208" t="str">
        <f>IF(ROUND(BS!AB15,0)=ROUND(SUM(BS!AB16:AB17),0),"OK","ERROR")</f>
        <v>OK</v>
      </c>
      <c r="AC97" s="208" t="str">
        <f>IF(ROUND(BS!AC15,0)=ROUND(SUM(BS!AC16:AC17),0),"OK","ERROR")</f>
        <v>OK</v>
      </c>
      <c r="AD97" s="208" t="str">
        <f>IF(ROUND(BS!AD15,0)=ROUND(SUM(BS!AD16:AD17),0),"OK","ERROR")</f>
        <v>OK</v>
      </c>
      <c r="AE97" s="208" t="str">
        <f>IF(ROUND(BS!AE15,0)=ROUND(SUM(BS!AE16:AE17),0),"OK","ERROR")</f>
        <v>OK</v>
      </c>
      <c r="AF97" s="220" t="str">
        <f>IF(ROUND(BS!AF15,0)=ROUND(SUM(BS!AF16:AF17),0),"OK","ERROR")</f>
        <v>OK</v>
      </c>
      <c r="AG97" s="265"/>
      <c r="AH97" s="208" t="str">
        <f>IF(ROUND(BS!AH15,0)=ROUND(SUM(BS!AH16:AH17),0),"OK","ERROR")</f>
        <v>OK</v>
      </c>
      <c r="AI97" s="208" t="str">
        <f>IF(ROUND(BS!AI15,0)=ROUND(SUM(BS!AI16:AI17),0),"OK","ERROR")</f>
        <v>OK</v>
      </c>
      <c r="AJ97" s="208" t="str">
        <f>IF(ROUND(BS!AJ15,0)=ROUND(SUM(BS!AJ16:AJ17),0),"OK","ERROR")</f>
        <v>OK</v>
      </c>
      <c r="AK97" s="208" t="str">
        <f>IF(ROUND(BS!AK15,0)=ROUND(SUM(BS!AK16:AK17),0),"OK","ERROR")</f>
        <v>OK</v>
      </c>
      <c r="AL97" s="220" t="str">
        <f>IF(ROUND(BS!AL15,0)=ROUND(SUM(BS!AL16:AL17),0),"OK","ERROR")</f>
        <v>OK</v>
      </c>
      <c r="AM97" s="267"/>
      <c r="AN97" s="208" t="str">
        <f>IF(ROUND(BS!AN15,0)=ROUND(SUM(BS!AN16:AN17),0),"OK","ERROR")</f>
        <v>OK</v>
      </c>
      <c r="AO97" s="208" t="str">
        <f>IF(ROUND(BS!AO15,0)=ROUND(SUM(BS!AO16:AO17),0),"OK","ERROR")</f>
        <v>OK</v>
      </c>
      <c r="AP97" s="208" t="str">
        <f>IF(ROUND(BS!AP15,0)=ROUND(SUM(BS!AP16:AP17),0),"OK","ERROR")</f>
        <v>OK</v>
      </c>
      <c r="AQ97" s="208" t="str">
        <f>IF(ROUND(BS!AQ15,0)=ROUND(SUM(BS!AQ16:AQ17),0),"OK","ERROR")</f>
        <v>OK</v>
      </c>
      <c r="AR97" s="220" t="str">
        <f>IF(ROUND(BS!AR15,0)=ROUND(SUM(BS!AR16:AR17),0),"OK","ERROR")</f>
        <v>OK</v>
      </c>
      <c r="AS97" s="267"/>
      <c r="AT97" s="220" t="str">
        <f>IF(ROUND(BS!AT15,0)=ROUND(SUM(BS!AT16:AT17),0),"OK","ERROR")</f>
        <v>OK</v>
      </c>
      <c r="AU97" s="267"/>
      <c r="AV97" s="220" t="str">
        <f>IF(ROUND(BS!AV15,0)=ROUND(SUM(BS!AV16:AV17),0),"OK","ERROR")</f>
        <v>OK</v>
      </c>
      <c r="AW97" s="255"/>
      <c r="AX97" s="220" t="str">
        <f>IF(ROUND(BS!AX15,0)=ROUND(SUM(BS!AX16:AX17),0),"OK","ERROR")</f>
        <v>OK</v>
      </c>
    </row>
    <row r="98" spans="1:50" s="135" customFormat="1" ht="15" customHeight="1">
      <c r="A98" s="84"/>
      <c r="B98" s="59" t="s">
        <v>652</v>
      </c>
      <c r="C98" s="26"/>
      <c r="D98" s="217" t="str">
        <f>IF(ROUND(BS!D21,0)=ROUND(SUM(BS!D16:D20),0),"OK","ERROR")</f>
        <v>OK</v>
      </c>
      <c r="E98" s="217" t="str">
        <f>IF(ROUND(BS!E21,0)=ROUND(SUM(BS!E16:E20),0),"OK","ERROR")</f>
        <v>OK</v>
      </c>
      <c r="F98" s="217" t="str">
        <f>IF(ROUND(BS!F21,0)=ROUND(SUM(BS!F16:F20),0),"OK","ERROR")</f>
        <v>OK</v>
      </c>
      <c r="G98" s="217" t="str">
        <f>IF(ROUND(BS!G21,0)=ROUND(SUM(BS!G16:G20),0),"OK","ERROR")</f>
        <v>OK</v>
      </c>
      <c r="H98" s="227" t="str">
        <f>IF(ROUND(BS!H21,0)=ROUND(SUM(BS!H16:H20),0),"OK","ERROR")</f>
        <v>OK</v>
      </c>
      <c r="I98" s="268"/>
      <c r="J98" s="217" t="str">
        <f>IF(ROUND(BS!J21,0)=ROUND(SUM(BS!J16:J20),0),"OK","ERROR")</f>
        <v>OK</v>
      </c>
      <c r="K98" s="217" t="str">
        <f>IF(ROUND(BS!K21,0)=ROUND(SUM(BS!K16:K20),0),"OK","ERROR")</f>
        <v>OK</v>
      </c>
      <c r="L98" s="217" t="str">
        <f>IF(ROUND(BS!L21,0)=ROUND(SUM(BS!L16:L20),0),"OK","ERROR")</f>
        <v>OK</v>
      </c>
      <c r="M98" s="217" t="str">
        <f>IF(ROUND(BS!M21,0)=ROUND(SUM(BS!M16:M20),0),"OK","ERROR")</f>
        <v>OK</v>
      </c>
      <c r="N98" s="227" t="str">
        <f>IF(ROUND(BS!N21,0)=ROUND(SUM(BS!N16:N20),0),"OK","ERROR")</f>
        <v>OK</v>
      </c>
      <c r="O98" s="268"/>
      <c r="P98" s="217" t="str">
        <f>IF(ROUND(BS!P21,0)=ROUND(SUM(BS!P16:P20),0),"OK","ERROR")</f>
        <v>OK</v>
      </c>
      <c r="Q98" s="217" t="str">
        <f>IF(ROUND(BS!Q21,0)=ROUND(SUM(BS!Q16:Q20),0),"OK","ERROR")</f>
        <v>OK</v>
      </c>
      <c r="R98" s="217" t="str">
        <f>IF(ROUND(BS!R21,0)=ROUND(SUM(BS!R16:R20),0),"OK","ERROR")</f>
        <v>OK</v>
      </c>
      <c r="S98" s="217" t="str">
        <f>IF(ROUND(BS!S21,0)=ROUND(SUM(BS!S16:S20),0),"OK","ERROR")</f>
        <v>OK</v>
      </c>
      <c r="T98" s="227" t="str">
        <f>IF(ROUND(BS!T21,0)=ROUND(SUM(BS!T16:T20),0),"OK","ERROR")</f>
        <v>OK</v>
      </c>
      <c r="U98" s="268"/>
      <c r="V98" s="217" t="str">
        <f>IF(ROUND(BS!V21,0)=ROUND(SUM(BS!V16:V20),0),"OK","ERROR")</f>
        <v>OK</v>
      </c>
      <c r="W98" s="217" t="str">
        <f>IF(ROUND(BS!W21,0)=ROUND(SUM(BS!W16:W20),0),"OK","ERROR")</f>
        <v>OK</v>
      </c>
      <c r="X98" s="217" t="str">
        <f>IF(ROUND(BS!X21,0)=ROUND(SUM(BS!X16:X20),0),"OK","ERROR")</f>
        <v>OK</v>
      </c>
      <c r="Y98" s="217" t="str">
        <f>IF(ROUND(BS!Y21,0)=ROUND(SUM(BS!Y16:Y20),0),"OK","ERROR")</f>
        <v>OK</v>
      </c>
      <c r="Z98" s="227" t="str">
        <f>IF(ROUND(BS!Z21,0)=ROUND(SUM(BS!Z16:Z20),0),"OK","ERROR")</f>
        <v>OK</v>
      </c>
      <c r="AA98" s="269"/>
      <c r="AB98" s="217" t="str">
        <f>IF(ROUND(BS!AB21,0)=ROUND(SUM(BS!AB16:AB20),0),"OK","ERROR")</f>
        <v>OK</v>
      </c>
      <c r="AC98" s="217" t="str">
        <f>IF(ROUND(BS!AC21,0)=ROUND(SUM(BS!AC16:AC20),0),"OK","ERROR")</f>
        <v>OK</v>
      </c>
      <c r="AD98" s="217" t="str">
        <f>IF(ROUND(BS!AD21,0)=ROUND(SUM(BS!AD16:AD20),0),"OK","ERROR")</f>
        <v>OK</v>
      </c>
      <c r="AE98" s="217" t="str">
        <f>IF(ROUND(BS!AE21,0)=ROUND(SUM(BS!AE16:AE20),0),"OK","ERROR")</f>
        <v>OK</v>
      </c>
      <c r="AF98" s="227" t="str">
        <f>IF(ROUND(BS!AF21,0)=ROUND(SUM(BS!AF16:AF20),0),"OK","ERROR")</f>
        <v>OK</v>
      </c>
      <c r="AG98" s="270"/>
      <c r="AH98" s="217" t="str">
        <f>IF(ROUND(BS!AH21,0)=ROUND(SUM(BS!AH16:AH20),0),"OK","ERROR")</f>
        <v>OK</v>
      </c>
      <c r="AI98" s="217" t="str">
        <f>IF(ROUND(BS!AI21,0)=ROUND(SUM(BS!AI16:AI20),0),"OK","ERROR")</f>
        <v>OK</v>
      </c>
      <c r="AJ98" s="217" t="str">
        <f>IF(ROUND(BS!AJ21,0)=ROUND(SUM(BS!AJ16:AJ20),0),"OK","ERROR")</f>
        <v>OK</v>
      </c>
      <c r="AK98" s="217" t="str">
        <f>IF(ROUND(BS!AK21,0)=ROUND(SUM(BS!AK16:AK20),0),"OK","ERROR")</f>
        <v>OK</v>
      </c>
      <c r="AL98" s="227" t="str">
        <f>IF(ROUND(BS!AL21,0)=ROUND(SUM(BS!AL16:AL20),0),"OK","ERROR")</f>
        <v>OK</v>
      </c>
      <c r="AM98" s="271"/>
      <c r="AN98" s="217" t="str">
        <f>IF(ROUND(BS!AN21,0)=ROUND(SUM(BS!AN16:AN20),0),"OK","ERROR")</f>
        <v>OK</v>
      </c>
      <c r="AO98" s="217" t="str">
        <f>IF(ROUND(BS!AO21,0)=ROUND(SUM(BS!AO16:AO20),0),"OK","ERROR")</f>
        <v>OK</v>
      </c>
      <c r="AP98" s="217" t="str">
        <f>IF(ROUND(BS!AP21,0)=ROUND(SUM(BS!AP16:AP20),0),"OK","ERROR")</f>
        <v>OK</v>
      </c>
      <c r="AQ98" s="217" t="str">
        <f>IF(ROUND(BS!AQ21,0)=ROUND(SUM(BS!AQ16:AQ20),0),"OK","ERROR")</f>
        <v>OK</v>
      </c>
      <c r="AR98" s="227" t="str">
        <f>IF(ROUND(BS!AR21,0)=ROUND(SUM(BS!AR16:AR20),0),"OK","ERROR")</f>
        <v>OK</v>
      </c>
      <c r="AS98" s="271"/>
      <c r="AT98" s="227" t="str">
        <f>IF(ROUND(BS!AT21,0)=ROUND(SUM(BS!AT16:AT20),0),"OK","ERROR")</f>
        <v>OK</v>
      </c>
      <c r="AU98" s="271"/>
      <c r="AV98" s="227" t="str">
        <f>IF(ROUND(BS!AV21,0)=ROUND(SUM(BS!AV16:AV20),0),"OK","ERROR")</f>
        <v>OK</v>
      </c>
      <c r="AW98" s="272"/>
      <c r="AX98" s="227" t="str">
        <f>IF(ROUND(BS!AX21,0)=ROUND(SUM(BS!AX16:AX20),0),"OK","ERROR")</f>
        <v>OK</v>
      </c>
    </row>
    <row r="99" spans="1:50" s="41" customFormat="1" ht="15" customHeight="1">
      <c r="A99" s="43"/>
      <c r="B99" s="136"/>
      <c r="C99" s="17"/>
      <c r="D99" s="208"/>
      <c r="E99" s="208"/>
      <c r="F99" s="208"/>
      <c r="G99" s="208"/>
      <c r="H99" s="220"/>
      <c r="I99" s="248"/>
      <c r="J99" s="208"/>
      <c r="K99" s="208"/>
      <c r="L99" s="208"/>
      <c r="M99" s="208"/>
      <c r="N99" s="220"/>
      <c r="O99" s="248"/>
      <c r="P99" s="208"/>
      <c r="Q99" s="208"/>
      <c r="R99" s="208"/>
      <c r="S99" s="208"/>
      <c r="T99" s="220"/>
      <c r="U99" s="248"/>
      <c r="V99" s="208"/>
      <c r="W99" s="208"/>
      <c r="X99" s="208"/>
      <c r="Y99" s="208"/>
      <c r="Z99" s="220"/>
      <c r="AA99" s="263"/>
      <c r="AB99" s="208"/>
      <c r="AC99" s="208"/>
      <c r="AD99" s="208"/>
      <c r="AE99" s="208"/>
      <c r="AF99" s="220"/>
      <c r="AG99" s="265"/>
      <c r="AH99" s="208"/>
      <c r="AI99" s="208"/>
      <c r="AJ99" s="208"/>
      <c r="AK99" s="208"/>
      <c r="AL99" s="220"/>
      <c r="AM99" s="267"/>
      <c r="AN99" s="208"/>
      <c r="AO99" s="208"/>
      <c r="AP99" s="208"/>
      <c r="AQ99" s="208"/>
      <c r="AR99" s="220"/>
      <c r="AS99" s="267"/>
      <c r="AT99" s="220"/>
      <c r="AU99" s="267"/>
      <c r="AV99" s="220"/>
      <c r="AW99" s="255"/>
      <c r="AX99" s="220"/>
    </row>
    <row r="100" spans="1:50" s="113" customFormat="1" ht="15" customHeight="1">
      <c r="A100" s="44" t="s">
        <v>37</v>
      </c>
      <c r="B100" s="45" t="s">
        <v>653</v>
      </c>
      <c r="C100" s="115"/>
      <c r="D100" s="208"/>
      <c r="E100" s="208"/>
      <c r="F100" s="208"/>
      <c r="G100" s="208"/>
      <c r="H100" s="220"/>
      <c r="I100" s="256"/>
      <c r="J100" s="208"/>
      <c r="K100" s="208"/>
      <c r="L100" s="208"/>
      <c r="M100" s="208"/>
      <c r="N100" s="220"/>
      <c r="O100" s="256"/>
      <c r="P100" s="208"/>
      <c r="Q100" s="208"/>
      <c r="R100" s="208"/>
      <c r="S100" s="208"/>
      <c r="T100" s="220"/>
      <c r="U100" s="256"/>
      <c r="V100" s="208"/>
      <c r="W100" s="208"/>
      <c r="X100" s="208"/>
      <c r="Y100" s="208"/>
      <c r="Z100" s="220"/>
      <c r="AA100" s="273"/>
      <c r="AB100" s="208"/>
      <c r="AC100" s="208"/>
      <c r="AD100" s="208"/>
      <c r="AE100" s="208"/>
      <c r="AF100" s="220"/>
      <c r="AG100" s="274"/>
      <c r="AH100" s="208"/>
      <c r="AI100" s="208"/>
      <c r="AJ100" s="208"/>
      <c r="AK100" s="208"/>
      <c r="AL100" s="220"/>
      <c r="AM100" s="273"/>
      <c r="AN100" s="208"/>
      <c r="AO100" s="208"/>
      <c r="AP100" s="208"/>
      <c r="AQ100" s="208"/>
      <c r="AR100" s="220"/>
      <c r="AS100" s="273"/>
      <c r="AT100" s="220"/>
      <c r="AU100" s="273"/>
      <c r="AV100" s="220"/>
      <c r="AW100" s="261"/>
      <c r="AX100" s="220"/>
    </row>
    <row r="101" spans="1:50" s="113" customFormat="1" ht="15" customHeight="1">
      <c r="A101" s="44"/>
      <c r="B101" s="127" t="s">
        <v>468</v>
      </c>
      <c r="C101" s="115"/>
      <c r="D101" s="208" t="str">
        <f>IF(ROUND(BS!D24,0)=ROUND(BS!D25-BS!D26,0),"OK","ERROR")</f>
        <v>OK</v>
      </c>
      <c r="E101" s="208" t="str">
        <f>IF(ROUND(BS!E24,0)=ROUND(BS!E25-BS!E26,0),"OK","ERROR")</f>
        <v>OK</v>
      </c>
      <c r="F101" s="208" t="str">
        <f>IF(ROUND(BS!F24,0)=ROUND(BS!F25-BS!F26,0),"OK","ERROR")</f>
        <v>OK</v>
      </c>
      <c r="G101" s="208" t="str">
        <f>IF(ROUND(BS!G24,0)=ROUND(BS!G25-BS!G26,0),"OK","ERROR")</f>
        <v>OK</v>
      </c>
      <c r="H101" s="220" t="str">
        <f>IF(ROUND(BS!H24,0)=ROUND(BS!H25-BS!H26,0),"OK","ERROR")</f>
        <v>OK</v>
      </c>
      <c r="I101" s="256"/>
      <c r="J101" s="208" t="str">
        <f>IF(ROUND(BS!J24,0)=ROUND(BS!J25-BS!J26,0),"OK","ERROR")</f>
        <v>OK</v>
      </c>
      <c r="K101" s="208" t="str">
        <f>IF(ROUND(BS!K24,0)=ROUND(BS!K25-BS!K26,0),"OK","ERROR")</f>
        <v>OK</v>
      </c>
      <c r="L101" s="208" t="str">
        <f>IF(ROUND(BS!L24,0)=ROUND(BS!L25-BS!L26,0),"OK","ERROR")</f>
        <v>OK</v>
      </c>
      <c r="M101" s="208" t="str">
        <f>IF(ROUND(BS!M24,0)=ROUND(BS!M25-BS!M26,0),"OK","ERROR")</f>
        <v>ERROR</v>
      </c>
      <c r="N101" s="220" t="str">
        <f>IF(ROUND(BS!N24,0)=ROUND(BS!N25-BS!N26,0),"OK","ERROR")</f>
        <v>ERROR</v>
      </c>
      <c r="O101" s="256"/>
      <c r="P101" s="208" t="str">
        <f>IF(ROUND(BS!P24,0)=ROUND(BS!P25-BS!P26,0),"OK","ERROR")</f>
        <v>OK</v>
      </c>
      <c r="Q101" s="208" t="str">
        <f>IF(ROUND(BS!Q24,0)=ROUND(BS!Q25-BS!Q26,0),"OK","ERROR")</f>
        <v>OK</v>
      </c>
      <c r="R101" s="208" t="str">
        <f>IF(ROUND(BS!R24,0)=ROUND(BS!R25-BS!R26,0),"OK","ERROR")</f>
        <v>OK</v>
      </c>
      <c r="S101" s="208" t="str">
        <f>IF(ROUND(BS!S24,0)=ROUND(BS!S25-BS!S26,0),"OK","ERROR")</f>
        <v>OK</v>
      </c>
      <c r="T101" s="220" t="str">
        <f>IF(ROUND(BS!T24,0)=ROUND(BS!T25-BS!T26,0),"OK","ERROR")</f>
        <v>OK</v>
      </c>
      <c r="U101" s="256"/>
      <c r="V101" s="208" t="str">
        <f>IF(ROUND(BS!V24,0)=ROUND(BS!V25-BS!V26,0),"OK","ERROR")</f>
        <v>ERROR</v>
      </c>
      <c r="W101" s="208" t="str">
        <f>IF(ROUND(BS!W24,0)=ROUND(BS!W25-BS!W26,0),"OK","ERROR")</f>
        <v>OK</v>
      </c>
      <c r="X101" s="208" t="str">
        <f>IF(ROUND(BS!X24,0)=ROUND(BS!X25-BS!X26,0),"OK","ERROR")</f>
        <v>OK</v>
      </c>
      <c r="Y101" s="208" t="str">
        <f>IF(ROUND(BS!Y24,0)=ROUND(BS!Y25-BS!Y26,0),"OK","ERROR")</f>
        <v>OK</v>
      </c>
      <c r="Z101" s="220" t="str">
        <f>IF(ROUND(BS!Z24,0)=ROUND(BS!Z25-BS!Z26,0),"OK","ERROR")</f>
        <v>OK</v>
      </c>
      <c r="AA101" s="273"/>
      <c r="AB101" s="208" t="str">
        <f>IF(ROUND(BS!AB24,0)=ROUND(BS!AB25-BS!AB26,0),"OK","ERROR")</f>
        <v>OK</v>
      </c>
      <c r="AC101" s="208" t="str">
        <f>IF(ROUND(BS!AC24,0)=ROUND(BS!AC25-BS!AC26,0),"OK","ERROR")</f>
        <v>OK</v>
      </c>
      <c r="AD101" s="208" t="str">
        <f>IF(ROUND(BS!AD24,0)=ROUND(BS!AD25-BS!AD26,0),"OK","ERROR")</f>
        <v>OK</v>
      </c>
      <c r="AE101" s="208" t="str">
        <f>IF(ROUND(BS!AE24,0)=ROUND(BS!AE25-BS!AE26,0),"OK","ERROR")</f>
        <v>OK</v>
      </c>
      <c r="AF101" s="220" t="str">
        <f>IF(ROUND(BS!AF24,0)=ROUND(BS!AF25-BS!AF26,0),"OK","ERROR")</f>
        <v>OK</v>
      </c>
      <c r="AG101" s="274"/>
      <c r="AH101" s="208" t="str">
        <f>IF(ROUND(BS!AH24,0)=ROUND(BS!AH25-BS!AH26,0),"OK","ERROR")</f>
        <v>ERROR</v>
      </c>
      <c r="AI101" s="208" t="str">
        <f>IF(ROUND(BS!AI24,0)=ROUND(BS!AI25-BS!AI26,0),"OK","ERROR")</f>
        <v>ERROR</v>
      </c>
      <c r="AJ101" s="208" t="str">
        <f>IF(ROUND(BS!AJ24,0)=ROUND(BS!AJ25-BS!AJ26,0),"OK","ERROR")</f>
        <v>OK</v>
      </c>
      <c r="AK101" s="208" t="str">
        <f>IF(ROUND(BS!AK24,0)=ROUND(BS!AK25-BS!AK26,0),"OK","ERROR")</f>
        <v>OK</v>
      </c>
      <c r="AL101" s="220" t="str">
        <f>IF(ROUND(BS!AL24,0)=ROUND(BS!AL25-BS!AL26,0),"OK","ERROR")</f>
        <v>OK</v>
      </c>
      <c r="AM101" s="273"/>
      <c r="AN101" s="208" t="str">
        <f>IF(ROUND(BS!AN24,0)=ROUND(BS!AN25-BS!AN26,0),"OK","ERROR")</f>
        <v>OK</v>
      </c>
      <c r="AO101" s="208" t="str">
        <f>IF(ROUND(BS!AO24,0)=ROUND(BS!AO25-BS!AO26,0),"OK","ERROR")</f>
        <v>OK</v>
      </c>
      <c r="AP101" s="208" t="str">
        <f>IF(ROUND(BS!AP24,0)=ROUND(BS!AP25-BS!AP26,0),"OK","ERROR")</f>
        <v>OK</v>
      </c>
      <c r="AQ101" s="208" t="str">
        <f>IF(ROUND(BS!AQ24,0)=ROUND(BS!AQ25-BS!AQ26,0),"OK","ERROR")</f>
        <v>OK</v>
      </c>
      <c r="AR101" s="220" t="str">
        <f>IF(ROUND(BS!AR24,0)=ROUND(BS!AR25-BS!AR26,0),"OK","ERROR")</f>
        <v>OK</v>
      </c>
      <c r="AS101" s="273"/>
      <c r="AT101" s="220" t="str">
        <f>IF(ROUND(BS!AT24,0)=ROUND(BS!AT25-BS!AT26,0),"OK","ERROR")</f>
        <v>OK</v>
      </c>
      <c r="AU101" s="273"/>
      <c r="AV101" s="220" t="str">
        <f>IF(ROUND(BS!AV24,0)=ROUND(BS!AV25-BS!AV26,0),"OK","ERROR")</f>
        <v>OK</v>
      </c>
      <c r="AW101" s="261"/>
      <c r="AX101" s="220" t="str">
        <f>IF(ROUND(BS!AX24,0)=ROUND(BS!AX25-BS!AX26,0),"OK","ERROR")</f>
        <v>OK</v>
      </c>
    </row>
    <row r="102" spans="1:50" s="113" customFormat="1" ht="15" customHeight="1">
      <c r="A102" s="44"/>
      <c r="B102" s="127" t="s">
        <v>470</v>
      </c>
      <c r="C102" s="115"/>
      <c r="D102" s="208" t="str">
        <f>IF(ROUND(BS!D27,0)=ROUND(SUM(BS!D27:D29),0),"OK","ERROR")</f>
        <v>OK</v>
      </c>
      <c r="E102" s="208" t="str">
        <f>IF(ROUND(BS!E27,0)=ROUND(SUM(BS!E27:E29),0),"OK","ERROR")</f>
        <v>OK</v>
      </c>
      <c r="F102" s="208" t="str">
        <f>IF(ROUND(BS!F27,0)=ROUND(SUM(BS!F27:F29),0),"OK","ERROR")</f>
        <v>OK</v>
      </c>
      <c r="G102" s="208" t="str">
        <f>IF(ROUND(BS!G27,0)=ROUND(SUM(BS!G27:G29),0),"OK","ERROR")</f>
        <v>ERROR</v>
      </c>
      <c r="H102" s="220" t="str">
        <f>IF(ROUND(BS!H27,0)=ROUND(SUM(BS!H27:H29),0),"OK","ERROR")</f>
        <v>ERROR</v>
      </c>
      <c r="I102" s="256"/>
      <c r="J102" s="208" t="str">
        <f>IF(ROUND(BS!J27,0)=ROUND(SUM(BS!J27:J29),0),"OK","ERROR")</f>
        <v>ERROR</v>
      </c>
      <c r="K102" s="208" t="str">
        <f>IF(ROUND(BS!K27,0)=ROUND(SUM(BS!K27:K29),0),"OK","ERROR")</f>
        <v>ERROR</v>
      </c>
      <c r="L102" s="208" t="str">
        <f>IF(ROUND(BS!L27,0)=ROUND(SUM(BS!L27:L29),0),"OK","ERROR")</f>
        <v>ERROR</v>
      </c>
      <c r="M102" s="208" t="str">
        <f>IF(ROUND(BS!M27,0)=ROUND(SUM(BS!M27:M29),0),"OK","ERROR")</f>
        <v>ERROR</v>
      </c>
      <c r="N102" s="220" t="str">
        <f>IF(ROUND(BS!N27,0)=ROUND(SUM(BS!N27:N29),0),"OK","ERROR")</f>
        <v>ERROR</v>
      </c>
      <c r="O102" s="256"/>
      <c r="P102" s="208" t="str">
        <f>IF(ROUND(BS!P27,0)=ROUND(SUM(BS!P27:P29),0),"OK","ERROR")</f>
        <v>ERROR</v>
      </c>
      <c r="Q102" s="208" t="str">
        <f>IF(ROUND(BS!Q27,0)=ROUND(SUM(BS!Q27:Q29),0),"OK","ERROR")</f>
        <v>ERROR</v>
      </c>
      <c r="R102" s="208" t="str">
        <f>IF(ROUND(BS!R27,0)=ROUND(SUM(BS!R27:R29),0),"OK","ERROR")</f>
        <v>ERROR</v>
      </c>
      <c r="S102" s="208" t="str">
        <f>IF(ROUND(BS!S27,0)=ROUND(SUM(BS!S27:S29),0),"OK","ERROR")</f>
        <v>ERROR</v>
      </c>
      <c r="T102" s="220" t="str">
        <f>IF(ROUND(BS!T27,0)=ROUND(SUM(BS!T27:T29),0),"OK","ERROR")</f>
        <v>ERROR</v>
      </c>
      <c r="U102" s="256"/>
      <c r="V102" s="208" t="str">
        <f>IF(ROUND(BS!V27,0)=ROUND(SUM(BS!V27:V29),0),"OK","ERROR")</f>
        <v>ERROR</v>
      </c>
      <c r="W102" s="208" t="str">
        <f>IF(ROUND(BS!W27,0)=ROUND(SUM(BS!W27:W29),0),"OK","ERROR")</f>
        <v>ERROR</v>
      </c>
      <c r="X102" s="208" t="str">
        <f>IF(ROUND(BS!X27,0)=ROUND(SUM(BS!X27:X29),0),"OK","ERROR")</f>
        <v>ERROR</v>
      </c>
      <c r="Y102" s="208" t="str">
        <f>IF(ROUND(BS!Y27,0)=ROUND(SUM(BS!Y27:Y29),0),"OK","ERROR")</f>
        <v>ERROR</v>
      </c>
      <c r="Z102" s="220" t="str">
        <f>IF(ROUND(BS!Z27,0)=ROUND(SUM(BS!Z27:Z29),0),"OK","ERROR")</f>
        <v>ERROR</v>
      </c>
      <c r="AA102" s="273"/>
      <c r="AB102" s="208" t="str">
        <f>IF(ROUND(BS!AB27,0)=ROUND(SUM(BS!AB27:AB29),0),"OK","ERROR")</f>
        <v>ERROR</v>
      </c>
      <c r="AC102" s="208" t="str">
        <f>IF(ROUND(BS!AC27,0)=ROUND(SUM(BS!AC27:AC29),0),"OK","ERROR")</f>
        <v>ERROR</v>
      </c>
      <c r="AD102" s="208" t="str">
        <f>IF(ROUND(BS!AD27,0)=ROUND(SUM(BS!AD27:AD29),0),"OK","ERROR")</f>
        <v>ERROR</v>
      </c>
      <c r="AE102" s="208" t="str">
        <f>IF(ROUND(BS!AE27,0)=ROUND(SUM(BS!AE27:AE29),0),"OK","ERROR")</f>
        <v>ERROR</v>
      </c>
      <c r="AF102" s="220" t="str">
        <f>IF(ROUND(BS!AF27,0)=ROUND(SUM(BS!AF27:AF29),0),"OK","ERROR")</f>
        <v>ERROR</v>
      </c>
      <c r="AG102" s="274"/>
      <c r="AH102" s="208" t="str">
        <f>IF(ROUND(BS!AH27,0)=ROUND(SUM(BS!AH27:AH29),0),"OK","ERROR")</f>
        <v>ERROR</v>
      </c>
      <c r="AI102" s="208" t="str">
        <f>IF(ROUND(BS!AI27,0)=ROUND(SUM(BS!AI27:AI29),0),"OK","ERROR")</f>
        <v>ERROR</v>
      </c>
      <c r="AJ102" s="208" t="str">
        <f>IF(ROUND(BS!AJ27,0)=ROUND(SUM(BS!AJ27:AJ29),0),"OK","ERROR")</f>
        <v>OK</v>
      </c>
      <c r="AK102" s="208" t="str">
        <f>IF(ROUND(BS!AK27,0)=ROUND(SUM(BS!AK27:AK29),0),"OK","ERROR")</f>
        <v>OK</v>
      </c>
      <c r="AL102" s="220" t="str">
        <f>IF(ROUND(BS!AL27,0)=ROUND(SUM(BS!AL27:AL29),0),"OK","ERROR")</f>
        <v>OK</v>
      </c>
      <c r="AM102" s="273"/>
      <c r="AN102" s="208" t="str">
        <f>IF(ROUND(BS!AN27,0)=ROUND(SUM(BS!AN27:AN29),0),"OK","ERROR")</f>
        <v>OK</v>
      </c>
      <c r="AO102" s="208" t="str">
        <f>IF(ROUND(BS!AO27,0)=ROUND(SUM(BS!AO27:AO29),0),"OK","ERROR")</f>
        <v>OK</v>
      </c>
      <c r="AP102" s="208" t="str">
        <f>IF(ROUND(BS!AP27,0)=ROUND(SUM(BS!AP27:AP29),0),"OK","ERROR")</f>
        <v>OK</v>
      </c>
      <c r="AQ102" s="208" t="str">
        <f>IF(ROUND(BS!AQ27,0)=ROUND(SUM(BS!AQ27:AQ29),0),"OK","ERROR")</f>
        <v>OK</v>
      </c>
      <c r="AR102" s="220" t="str">
        <f>IF(ROUND(BS!AR27,0)=ROUND(SUM(BS!AR27:AR29),0),"OK","ERROR")</f>
        <v>OK</v>
      </c>
      <c r="AS102" s="273"/>
      <c r="AT102" s="220" t="str">
        <f>IF(ROUND(BS!AT27,0)=ROUND(SUM(BS!AT27:AT29),0),"OK","ERROR")</f>
        <v>OK</v>
      </c>
      <c r="AU102" s="273"/>
      <c r="AV102" s="220" t="str">
        <f>IF(ROUND(BS!AV27,0)=ROUND(SUM(BS!AV27:AV29),0),"OK","ERROR")</f>
        <v>OK</v>
      </c>
      <c r="AW102" s="261"/>
      <c r="AX102" s="220" t="str">
        <f>IF(ROUND(BS!AX27,0)=ROUND(SUM(BS!AX27:AX29),0),"OK","ERROR")</f>
        <v>OK</v>
      </c>
    </row>
    <row r="103" spans="1:50" s="41" customFormat="1" ht="15" customHeight="1">
      <c r="A103" s="43"/>
      <c r="B103" s="138" t="s">
        <v>658</v>
      </c>
      <c r="C103" s="17"/>
      <c r="D103" s="217" t="str">
        <f>IF(ROUND(BS!D31,0)=ROUND(SUM(BS!D24,BS!D27,BS!D30),0),"OK","ERROR")</f>
        <v>OK</v>
      </c>
      <c r="E103" s="217" t="str">
        <f>IF(ROUND(BS!E31,0)=ROUND(SUM(BS!E24,BS!E27,BS!E30),0),"OK","ERROR")</f>
        <v>OK</v>
      </c>
      <c r="F103" s="217" t="str">
        <f>IF(ROUND(BS!F31,0)=ROUND(SUM(BS!F24,BS!F27,BS!F30),0),"OK","ERROR")</f>
        <v>OK</v>
      </c>
      <c r="G103" s="217" t="str">
        <f>IF(ROUND(BS!G31,0)=ROUND(SUM(BS!G24,BS!G27,BS!G30),0),"OK","ERROR")</f>
        <v>OK</v>
      </c>
      <c r="H103" s="226" t="str">
        <f>IF(ROUND(BS!H31,0)=ROUND(SUM(BS!H24,BS!H27,BS!H30),0),"OK","ERROR")</f>
        <v>OK</v>
      </c>
      <c r="I103" s="248"/>
      <c r="J103" s="217" t="str">
        <f>IF(ROUND(BS!J31,0)=ROUND(SUM(BS!J24,BS!J27,BS!J30),0),"OK","ERROR")</f>
        <v>OK</v>
      </c>
      <c r="K103" s="217" t="str">
        <f>IF(ROUND(BS!K31,0)=ROUND(SUM(BS!K24,BS!K27,BS!K30),0),"OK","ERROR")</f>
        <v>OK</v>
      </c>
      <c r="L103" s="217" t="str">
        <f>IF(ROUND(BS!L31,0)=ROUND(SUM(BS!L24,BS!L27,BS!L30),0),"OK","ERROR")</f>
        <v>OK</v>
      </c>
      <c r="M103" s="217" t="str">
        <f>IF(ROUND(BS!M31,0)=ROUND(SUM(BS!M24,BS!M27,BS!M30),0),"OK","ERROR")</f>
        <v>OK</v>
      </c>
      <c r="N103" s="226" t="str">
        <f>IF(ROUND(BS!N31,0)=ROUND(SUM(BS!N24,BS!N27,BS!N30),0),"OK","ERROR")</f>
        <v>OK</v>
      </c>
      <c r="O103" s="248"/>
      <c r="P103" s="217" t="str">
        <f>IF(ROUND(BS!P31,0)=ROUND(SUM(BS!P24,BS!P27,BS!P30),0),"OK","ERROR")</f>
        <v>OK</v>
      </c>
      <c r="Q103" s="217" t="str">
        <f>IF(ROUND(BS!Q31,0)=ROUND(SUM(BS!Q24,BS!Q27,BS!Q30),0),"OK","ERROR")</f>
        <v>OK</v>
      </c>
      <c r="R103" s="217" t="str">
        <f>IF(ROUND(BS!R31,0)=ROUND(SUM(BS!R24,BS!R27,BS!R30),0),"OK","ERROR")</f>
        <v>OK</v>
      </c>
      <c r="S103" s="217" t="str">
        <f>IF(ROUND(BS!S31,0)=ROUND(SUM(BS!S24,BS!S27,BS!S30),0),"OK","ERROR")</f>
        <v>OK</v>
      </c>
      <c r="T103" s="226" t="str">
        <f>IF(ROUND(BS!T31,0)=ROUND(SUM(BS!T24,BS!T27,BS!T30),0),"OK","ERROR")</f>
        <v>OK</v>
      </c>
      <c r="U103" s="248"/>
      <c r="V103" s="217" t="str">
        <f>IF(ROUND(BS!V31,0)=ROUND(SUM(BS!V24,BS!V27,BS!V30),0),"OK","ERROR")</f>
        <v>OK</v>
      </c>
      <c r="W103" s="217" t="str">
        <f>IF(ROUND(BS!W31,0)=ROUND(SUM(BS!W24,BS!W27,BS!W30),0),"OK","ERROR")</f>
        <v>OK</v>
      </c>
      <c r="X103" s="217" t="str">
        <f>IF(ROUND(BS!X31,0)=ROUND(SUM(BS!X24,BS!X27,BS!X30),0),"OK","ERROR")</f>
        <v>OK</v>
      </c>
      <c r="Y103" s="217" t="str">
        <f>IF(ROUND(BS!Y31,0)=ROUND(SUM(BS!Y24,BS!Y27,BS!Y30),0),"OK","ERROR")</f>
        <v>OK</v>
      </c>
      <c r="Z103" s="226" t="str">
        <f>IF(ROUND(BS!Z31,0)=ROUND(SUM(BS!Z24,BS!Z27,BS!Z30),0),"OK","ERROR")</f>
        <v>OK</v>
      </c>
      <c r="AA103" s="263"/>
      <c r="AB103" s="217" t="str">
        <f>IF(ROUND(BS!AB31,0)=ROUND(SUM(BS!AB24,BS!AB27,BS!AB30),0),"OK","ERROR")</f>
        <v>OK</v>
      </c>
      <c r="AC103" s="217" t="str">
        <f>IF(ROUND(BS!AC31,0)=ROUND(SUM(BS!AC24,BS!AC27,BS!AC30),0),"OK","ERROR")</f>
        <v>OK</v>
      </c>
      <c r="AD103" s="217" t="str">
        <f>IF(ROUND(BS!AD31,0)=ROUND(SUM(BS!AD24,BS!AD27,BS!AD30),0),"OK","ERROR")</f>
        <v>OK</v>
      </c>
      <c r="AE103" s="217" t="str">
        <f>IF(ROUND(BS!AE31,0)=ROUND(SUM(BS!AE24,BS!AE27,BS!AE30),0),"OK","ERROR")</f>
        <v>OK</v>
      </c>
      <c r="AF103" s="226" t="str">
        <f>IF(ROUND(BS!AF31,0)=ROUND(SUM(BS!AF24,BS!AF27,BS!AF30),0),"OK","ERROR")</f>
        <v>OK</v>
      </c>
      <c r="AG103" s="265"/>
      <c r="AH103" s="217" t="str">
        <f>IF(ROUND(BS!AH31,0)=ROUND(SUM(BS!AH24,BS!AH27,BS!AH30),0),"OK","ERROR")</f>
        <v>OK</v>
      </c>
      <c r="AI103" s="217" t="str">
        <f>IF(ROUND(BS!AI31,0)=ROUND(SUM(BS!AI24,BS!AI27,BS!AI30),0),"OK","ERROR")</f>
        <v>OK</v>
      </c>
      <c r="AJ103" s="217" t="str">
        <f>IF(ROUND(BS!AJ31,0)=ROUND(SUM(BS!AJ24,BS!AJ27,BS!AJ30),0),"OK","ERROR")</f>
        <v>OK</v>
      </c>
      <c r="AK103" s="217" t="str">
        <f>IF(ROUND(BS!AK31,0)=ROUND(SUM(BS!AK24,BS!AK27,BS!AK30),0),"OK","ERROR")</f>
        <v>OK</v>
      </c>
      <c r="AL103" s="226" t="str">
        <f>IF(ROUND(BS!AL31,0)=ROUND(SUM(BS!AL24,BS!AL27,BS!AL30),0),"OK","ERROR")</f>
        <v>OK</v>
      </c>
      <c r="AM103" s="275"/>
      <c r="AN103" s="217" t="str">
        <f>IF(ROUND(BS!AN31,0)=ROUND(SUM(BS!AN24,BS!AN27,BS!AN30),0),"OK","ERROR")</f>
        <v>OK</v>
      </c>
      <c r="AO103" s="217" t="str">
        <f>IF(ROUND(BS!AO31,0)=ROUND(SUM(BS!AO24,BS!AO27,BS!AO30),0),"OK","ERROR")</f>
        <v>OK</v>
      </c>
      <c r="AP103" s="217" t="str">
        <f>IF(ROUND(BS!AP31,0)=ROUND(SUM(BS!AP24,BS!AP27,BS!AP30),0),"OK","ERROR")</f>
        <v>OK</v>
      </c>
      <c r="AQ103" s="217" t="str">
        <f>IF(ROUND(BS!AQ31,0)=ROUND(SUM(BS!AQ24,BS!AQ27,BS!AQ30),0),"OK","ERROR")</f>
        <v>OK</v>
      </c>
      <c r="AR103" s="226" t="str">
        <f>IF(ROUND(BS!AR31,0)=ROUND(SUM(BS!AR24,BS!AR27,BS!AR30),0),"OK","ERROR")</f>
        <v>OK</v>
      </c>
      <c r="AS103" s="275"/>
      <c r="AT103" s="226" t="str">
        <f>IF(ROUND(BS!AT31,0)=ROUND(SUM(BS!AT24,BS!AT27,BS!AT30),0),"OK","ERROR")</f>
        <v>OK</v>
      </c>
      <c r="AU103" s="275"/>
      <c r="AV103" s="226" t="str">
        <f>IF(ROUND(BS!AV31,0)=ROUND(SUM(BS!AV24,BS!AV27,BS!AV30),0),"OK","ERROR")</f>
        <v>OK</v>
      </c>
      <c r="AW103" s="255"/>
      <c r="AX103" s="226" t="str">
        <f>IF(ROUND(BS!AX31,0)=ROUND(SUM(BS!AX24,BS!AX27,BS!AX30),0),"OK","ERROR")</f>
        <v>OK</v>
      </c>
    </row>
    <row r="104" spans="1:50" s="113" customFormat="1" ht="15" customHeight="1" thickBot="1">
      <c r="B104" s="140" t="s">
        <v>659</v>
      </c>
      <c r="C104" s="115"/>
      <c r="D104" s="217" t="str">
        <f>IF(ROUND(SUM(BS!D21,BS!D31),0)=ROUND(BS!D32,0),"OK","ERROR")</f>
        <v>OK</v>
      </c>
      <c r="E104" s="217" t="str">
        <f>IF(ROUND(SUM(BS!E21,BS!E31),0)=ROUND(BS!E32,0),"OK","ERROR")</f>
        <v>OK</v>
      </c>
      <c r="F104" s="217" t="str">
        <f>IF(ROUND(SUM(BS!F21,BS!F31),0)=ROUND(BS!F32,0),"OK","ERROR")</f>
        <v>OK</v>
      </c>
      <c r="G104" s="217" t="str">
        <f>IF(ROUND(SUM(BS!G21,BS!G31),0)=ROUND(BS!G32,0),"OK","ERROR")</f>
        <v>OK</v>
      </c>
      <c r="H104" s="237" t="str">
        <f>IF(ROUND(SUM(BS!H21,BS!H31),0)=ROUND(BS!H32,0),"OK","ERROR")</f>
        <v>OK</v>
      </c>
      <c r="I104" s="256"/>
      <c r="J104" s="217" t="str">
        <f>IF(ROUND(SUM(BS!J21,BS!J31),0)=ROUND(BS!J32,0),"OK","ERROR")</f>
        <v>OK</v>
      </c>
      <c r="K104" s="217" t="str">
        <f>IF(ROUND(SUM(BS!K21,BS!K31),0)=ROUND(BS!K32,0),"OK","ERROR")</f>
        <v>ERROR</v>
      </c>
      <c r="L104" s="217" t="str">
        <f>IF(ROUND(SUM(BS!L21,BS!L31),0)=ROUND(BS!L32,0),"OK","ERROR")</f>
        <v>OK</v>
      </c>
      <c r="M104" s="217" t="str">
        <f>IF(ROUND(SUM(BS!M21,BS!M31),0)=ROUND(BS!M32,0),"OK","ERROR")</f>
        <v>OK</v>
      </c>
      <c r="N104" s="237" t="str">
        <f>IF(ROUND(SUM(BS!N21,BS!N31),0)=ROUND(BS!N32,0),"OK","ERROR")</f>
        <v>OK</v>
      </c>
      <c r="O104" s="256"/>
      <c r="P104" s="217" t="str">
        <f>IF(ROUND(SUM(BS!P21,BS!P31),0)=ROUND(BS!P32,0),"OK","ERROR")</f>
        <v>OK</v>
      </c>
      <c r="Q104" s="217" t="str">
        <f>IF(ROUND(SUM(BS!Q21,BS!Q31),0)=ROUND(BS!Q32,0),"OK","ERROR")</f>
        <v>OK</v>
      </c>
      <c r="R104" s="217" t="str">
        <f>IF(ROUND(SUM(BS!R21,BS!R31),0)=ROUND(BS!R32,0),"OK","ERROR")</f>
        <v>OK</v>
      </c>
      <c r="S104" s="217" t="str">
        <f>IF(ROUND(SUM(BS!S21,BS!S31),0)=ROUND(BS!S32,0),"OK","ERROR")</f>
        <v>OK</v>
      </c>
      <c r="T104" s="237" t="str">
        <f>IF(ROUND(SUM(BS!T21,BS!T31),0)=ROUND(BS!T32,0),"OK","ERROR")</f>
        <v>OK</v>
      </c>
      <c r="U104" s="256"/>
      <c r="V104" s="217" t="str">
        <f>IF(ROUND(SUM(BS!V21,BS!V31),0)=ROUND(BS!V32,0),"OK","ERROR")</f>
        <v>OK</v>
      </c>
      <c r="W104" s="217" t="str">
        <f>IF(ROUND(SUM(BS!W21,BS!W31),0)=ROUND(BS!W32,0),"OK","ERROR")</f>
        <v>OK</v>
      </c>
      <c r="X104" s="217" t="str">
        <f>IF(ROUND(SUM(BS!X21,BS!X31),0)=ROUND(BS!X32,0),"OK","ERROR")</f>
        <v>OK</v>
      </c>
      <c r="Y104" s="217" t="str">
        <f>IF(ROUND(SUM(BS!Y21,BS!Y31),0)=ROUND(BS!Y32,0),"OK","ERROR")</f>
        <v>OK</v>
      </c>
      <c r="Z104" s="237" t="str">
        <f>IF(ROUND(SUM(BS!Z21,BS!Z31),0)=ROUND(BS!Z32,0),"OK","ERROR")</f>
        <v>OK</v>
      </c>
      <c r="AA104" s="276"/>
      <c r="AB104" s="217" t="str">
        <f>IF(ROUND(SUM(BS!AB21,BS!AB31),0)=ROUND(BS!AB32,0),"OK","ERROR")</f>
        <v>OK</v>
      </c>
      <c r="AC104" s="217" t="str">
        <f>IF(ROUND(SUM(BS!AC21,BS!AC31),0)=ROUND(BS!AC32,0),"OK","ERROR")</f>
        <v>OK</v>
      </c>
      <c r="AD104" s="217" t="str">
        <f>IF(ROUND(SUM(BS!AD21,BS!AD31),0)=ROUND(BS!AD32,0),"OK","ERROR")</f>
        <v>OK</v>
      </c>
      <c r="AE104" s="217" t="str">
        <f>IF(ROUND(SUM(BS!AE21,BS!AE31),0)=ROUND(BS!AE32,0),"OK","ERROR")</f>
        <v>OK</v>
      </c>
      <c r="AF104" s="237" t="str">
        <f>IF(ROUND(SUM(BS!AF21,BS!AF31),0)=ROUND(BS!AF32,0),"OK","ERROR")</f>
        <v>OK</v>
      </c>
      <c r="AG104" s="274"/>
      <c r="AH104" s="217" t="str">
        <f>IF(ROUND(SUM(BS!AH21,BS!AH31),0)=ROUND(BS!AH32,0),"OK","ERROR")</f>
        <v>OK</v>
      </c>
      <c r="AI104" s="217" t="str">
        <f>IF(ROUND(SUM(BS!AI21,BS!AI31),0)=ROUND(BS!AI32,0),"OK","ERROR")</f>
        <v>OK</v>
      </c>
      <c r="AJ104" s="217" t="str">
        <f>IF(ROUND(SUM(BS!AJ21,BS!AJ31),0)=ROUND(BS!AJ32,0),"OK","ERROR")</f>
        <v>OK</v>
      </c>
      <c r="AK104" s="217" t="str">
        <f>IF(ROUND(SUM(BS!AK21,BS!AK31),0)=ROUND(BS!AK32,0),"OK","ERROR")</f>
        <v>OK</v>
      </c>
      <c r="AL104" s="237" t="str">
        <f>IF(ROUND(SUM(BS!AL21,BS!AL31),0)=ROUND(BS!AL32,0),"OK","ERROR")</f>
        <v>OK</v>
      </c>
      <c r="AM104" s="273"/>
      <c r="AN104" s="217" t="str">
        <f>IF(ROUND(SUM(BS!AN21,BS!AN31),0)=ROUND(BS!AN32,0),"OK","ERROR")</f>
        <v>OK</v>
      </c>
      <c r="AO104" s="217" t="str">
        <f>IF(ROUND(SUM(BS!AO21,BS!AO31),0)=ROUND(BS!AO32,0),"OK","ERROR")</f>
        <v>OK</v>
      </c>
      <c r="AP104" s="217" t="str">
        <f>IF(ROUND(SUM(BS!AP21,BS!AP31),0)=ROUND(BS!AP32,0),"OK","ERROR")</f>
        <v>OK</v>
      </c>
      <c r="AQ104" s="217" t="str">
        <f>IF(ROUND(SUM(BS!AQ21,BS!AQ31),0)=ROUND(BS!AQ32,0),"OK","ERROR")</f>
        <v>OK</v>
      </c>
      <c r="AR104" s="237" t="str">
        <f>IF(ROUND(SUM(BS!AR21,BS!AR31),0)=ROUND(BS!AR32,0),"OK","ERROR")</f>
        <v>OK</v>
      </c>
      <c r="AS104" s="273"/>
      <c r="AT104" s="237" t="str">
        <f>IF(ROUND(SUM(BS!AT21,BS!AT31),0)=ROUND(BS!AT32,0),"OK","ERROR")</f>
        <v>OK</v>
      </c>
      <c r="AU104" s="273"/>
      <c r="AV104" s="237" t="str">
        <f>IF(ROUND(SUM(BS!AV21,BS!AV31),0)=ROUND(BS!AV32,0),"OK","ERROR")</f>
        <v>OK</v>
      </c>
      <c r="AW104" s="261"/>
      <c r="AX104" s="237" t="str">
        <f>IF(ROUND(SUM(BS!AX21,BS!AX31),0)=ROUND(BS!AX32,0),"OK","ERROR")</f>
        <v>OK</v>
      </c>
    </row>
    <row r="105" spans="1:50" s="147" customFormat="1" ht="15" customHeight="1" thickTop="1">
      <c r="A105" s="142"/>
      <c r="B105" s="143"/>
      <c r="C105" s="27"/>
      <c r="D105" s="208"/>
      <c r="E105" s="208"/>
      <c r="F105" s="208"/>
      <c r="G105" s="208"/>
      <c r="H105" s="220"/>
      <c r="I105" s="277"/>
      <c r="J105" s="208"/>
      <c r="K105" s="208"/>
      <c r="L105" s="208"/>
      <c r="M105" s="208"/>
      <c r="N105" s="220"/>
      <c r="O105" s="277"/>
      <c r="P105" s="208"/>
      <c r="Q105" s="208"/>
      <c r="R105" s="208"/>
      <c r="S105" s="208"/>
      <c r="T105" s="220"/>
      <c r="U105" s="277"/>
      <c r="V105" s="208"/>
      <c r="W105" s="208"/>
      <c r="X105" s="208"/>
      <c r="Y105" s="208"/>
      <c r="Z105" s="220"/>
      <c r="AA105" s="278"/>
      <c r="AB105" s="208"/>
      <c r="AC105" s="208"/>
      <c r="AD105" s="208"/>
      <c r="AE105" s="208"/>
      <c r="AF105" s="220"/>
      <c r="AG105" s="279"/>
      <c r="AH105" s="208"/>
      <c r="AI105" s="208"/>
      <c r="AJ105" s="208"/>
      <c r="AK105" s="208"/>
      <c r="AL105" s="220"/>
      <c r="AM105" s="280"/>
      <c r="AN105" s="208"/>
      <c r="AO105" s="208"/>
      <c r="AP105" s="208"/>
      <c r="AQ105" s="208"/>
      <c r="AR105" s="220"/>
      <c r="AS105" s="280"/>
      <c r="AT105" s="220"/>
      <c r="AU105" s="280"/>
      <c r="AV105" s="220"/>
      <c r="AW105" s="281"/>
      <c r="AX105" s="220"/>
    </row>
    <row r="106" spans="1:50" s="113" customFormat="1" ht="15" customHeight="1">
      <c r="A106" s="44"/>
      <c r="B106" s="64" t="s">
        <v>660</v>
      </c>
      <c r="C106" s="115"/>
      <c r="D106" s="208"/>
      <c r="E106" s="208"/>
      <c r="F106" s="208"/>
      <c r="G106" s="208"/>
      <c r="H106" s="220"/>
      <c r="I106" s="256"/>
      <c r="J106" s="208"/>
      <c r="K106" s="208"/>
      <c r="L106" s="208"/>
      <c r="M106" s="208"/>
      <c r="N106" s="220"/>
      <c r="O106" s="256"/>
      <c r="P106" s="208"/>
      <c r="Q106" s="208"/>
      <c r="R106" s="208"/>
      <c r="S106" s="208"/>
      <c r="T106" s="220"/>
      <c r="U106" s="256"/>
      <c r="V106" s="208"/>
      <c r="W106" s="208"/>
      <c r="X106" s="208"/>
      <c r="Y106" s="208"/>
      <c r="Z106" s="220"/>
      <c r="AA106" s="257"/>
      <c r="AB106" s="208"/>
      <c r="AC106" s="208"/>
      <c r="AD106" s="208"/>
      <c r="AE106" s="208"/>
      <c r="AF106" s="220"/>
      <c r="AG106" s="258"/>
      <c r="AH106" s="208"/>
      <c r="AI106" s="208"/>
      <c r="AJ106" s="208"/>
      <c r="AK106" s="208"/>
      <c r="AL106" s="220"/>
      <c r="AM106" s="257"/>
      <c r="AN106" s="208"/>
      <c r="AO106" s="208"/>
      <c r="AP106" s="208"/>
      <c r="AQ106" s="208"/>
      <c r="AR106" s="220"/>
      <c r="AS106" s="257"/>
      <c r="AT106" s="220"/>
      <c r="AU106" s="257"/>
      <c r="AV106" s="220"/>
      <c r="AW106" s="261"/>
      <c r="AX106" s="220"/>
    </row>
    <row r="107" spans="1:50" s="147" customFormat="1" ht="15" customHeight="1">
      <c r="A107" s="142"/>
      <c r="B107" s="143"/>
      <c r="C107" s="27"/>
      <c r="D107" s="208"/>
      <c r="E107" s="208"/>
      <c r="F107" s="208"/>
      <c r="G107" s="208"/>
      <c r="H107" s="220"/>
      <c r="I107" s="277"/>
      <c r="J107" s="208"/>
      <c r="K107" s="208"/>
      <c r="L107" s="208"/>
      <c r="M107" s="208"/>
      <c r="N107" s="220"/>
      <c r="O107" s="277"/>
      <c r="P107" s="208"/>
      <c r="Q107" s="208"/>
      <c r="R107" s="208"/>
      <c r="S107" s="208"/>
      <c r="T107" s="220"/>
      <c r="U107" s="277"/>
      <c r="V107" s="208"/>
      <c r="W107" s="208"/>
      <c r="X107" s="208"/>
      <c r="Y107" s="208"/>
      <c r="Z107" s="220"/>
      <c r="AA107" s="278"/>
      <c r="AB107" s="208"/>
      <c r="AC107" s="208"/>
      <c r="AD107" s="208"/>
      <c r="AE107" s="208"/>
      <c r="AF107" s="220"/>
      <c r="AG107" s="279"/>
      <c r="AH107" s="208"/>
      <c r="AI107" s="208"/>
      <c r="AJ107" s="208"/>
      <c r="AK107" s="208"/>
      <c r="AL107" s="220"/>
      <c r="AM107" s="282"/>
      <c r="AN107" s="208"/>
      <c r="AO107" s="208"/>
      <c r="AP107" s="208"/>
      <c r="AQ107" s="208"/>
      <c r="AR107" s="220"/>
      <c r="AS107" s="275"/>
      <c r="AT107" s="220"/>
      <c r="AU107" s="275"/>
      <c r="AV107" s="220"/>
      <c r="AW107" s="281"/>
      <c r="AX107" s="220"/>
    </row>
    <row r="108" spans="1:50" s="113" customFormat="1" ht="15" customHeight="1">
      <c r="A108" s="44" t="s">
        <v>37</v>
      </c>
      <c r="B108" s="114" t="s">
        <v>661</v>
      </c>
      <c r="C108" s="115"/>
      <c r="D108" s="208"/>
      <c r="E108" s="208"/>
      <c r="F108" s="208"/>
      <c r="G108" s="208"/>
      <c r="H108" s="220"/>
      <c r="I108" s="256"/>
      <c r="J108" s="208"/>
      <c r="K108" s="208"/>
      <c r="L108" s="208"/>
      <c r="M108" s="208"/>
      <c r="N108" s="220"/>
      <c r="O108" s="256"/>
      <c r="P108" s="208"/>
      <c r="Q108" s="208"/>
      <c r="R108" s="208"/>
      <c r="S108" s="208"/>
      <c r="T108" s="220"/>
      <c r="U108" s="256"/>
      <c r="V108" s="208"/>
      <c r="W108" s="208"/>
      <c r="X108" s="208"/>
      <c r="Y108" s="208"/>
      <c r="Z108" s="220"/>
      <c r="AA108" s="257"/>
      <c r="AB108" s="208"/>
      <c r="AC108" s="208"/>
      <c r="AD108" s="208"/>
      <c r="AE108" s="208"/>
      <c r="AF108" s="220"/>
      <c r="AG108" s="258"/>
      <c r="AH108" s="208"/>
      <c r="AI108" s="208"/>
      <c r="AJ108" s="208"/>
      <c r="AK108" s="208"/>
      <c r="AL108" s="220"/>
      <c r="AM108" s="283"/>
      <c r="AN108" s="208"/>
      <c r="AO108" s="208"/>
      <c r="AP108" s="208"/>
      <c r="AQ108" s="208"/>
      <c r="AR108" s="220"/>
      <c r="AS108" s="257"/>
      <c r="AT108" s="220"/>
      <c r="AU108" s="257"/>
      <c r="AV108" s="220"/>
      <c r="AW108" s="261"/>
      <c r="AX108" s="220"/>
    </row>
    <row r="109" spans="1:50" s="113" customFormat="1" ht="15" customHeight="1">
      <c r="B109" s="138" t="s">
        <v>666</v>
      </c>
      <c r="C109" s="115"/>
      <c r="D109" s="217" t="str">
        <f>IF(ROUND(BS!D41,0)=ROUND(SUM(BS!D37:D40),0),"OK","ERROR")</f>
        <v>OK</v>
      </c>
      <c r="E109" s="217" t="str">
        <f>IF(ROUND(BS!E41,0)=ROUND(SUM(BS!E37:E40),0),"OK","ERROR")</f>
        <v>OK</v>
      </c>
      <c r="F109" s="217" t="str">
        <f>IF(ROUND(BS!F41,0)=ROUND(SUM(BS!F37:F40),0),"OK","ERROR")</f>
        <v>OK</v>
      </c>
      <c r="G109" s="217" t="str">
        <f>IF(ROUND(BS!G41,0)=ROUND(SUM(BS!G37:G40),0),"OK","ERROR")</f>
        <v>OK</v>
      </c>
      <c r="H109" s="227" t="str">
        <f>IF(ROUND(BS!H41,0)=ROUND(SUM(BS!H37:H40),0),"OK","ERROR")</f>
        <v>OK</v>
      </c>
      <c r="I109" s="256"/>
      <c r="J109" s="217" t="str">
        <f>IF(ROUND(BS!J41,0)=ROUND(SUM(BS!J37:J40),0),"OK","ERROR")</f>
        <v>OK</v>
      </c>
      <c r="K109" s="217" t="str">
        <f>IF(ROUND(BS!K41,0)=ROUND(SUM(BS!K37:K40),0),"OK","ERROR")</f>
        <v>OK</v>
      </c>
      <c r="L109" s="217" t="str">
        <f>IF(ROUND(BS!L41,0)=ROUND(SUM(BS!L37:L40),0),"OK","ERROR")</f>
        <v>OK</v>
      </c>
      <c r="M109" s="217" t="str">
        <f>IF(ROUND(BS!M41,0)=ROUND(SUM(BS!M37:M40),0),"OK","ERROR")</f>
        <v>OK</v>
      </c>
      <c r="N109" s="227" t="str">
        <f>IF(ROUND(BS!N41,0)=ROUND(SUM(BS!N37:N40),0),"OK","ERROR")</f>
        <v>OK</v>
      </c>
      <c r="O109" s="256"/>
      <c r="P109" s="217" t="str">
        <f>IF(ROUND(BS!P41,0)=ROUND(SUM(BS!P37:P40),0),"OK","ERROR")</f>
        <v>OK</v>
      </c>
      <c r="Q109" s="217" t="str">
        <f>IF(ROUND(BS!Q41,0)=ROUND(SUM(BS!Q37:Q40),0),"OK","ERROR")</f>
        <v>OK</v>
      </c>
      <c r="R109" s="217" t="str">
        <f>IF(ROUND(BS!R41,0)=ROUND(SUM(BS!R37:R40),0),"OK","ERROR")</f>
        <v>OK</v>
      </c>
      <c r="S109" s="217" t="str">
        <f>IF(ROUND(BS!S41,0)=ROUND(SUM(BS!S37:S40),0),"OK","ERROR")</f>
        <v>OK</v>
      </c>
      <c r="T109" s="227" t="str">
        <f>IF(ROUND(BS!T41,0)=ROUND(SUM(BS!T37:T40),0),"OK","ERROR")</f>
        <v>OK</v>
      </c>
      <c r="U109" s="256"/>
      <c r="V109" s="217" t="str">
        <f>IF(ROUND(BS!V41,0)=ROUND(SUM(BS!V37:V40),0),"OK","ERROR")</f>
        <v>OK</v>
      </c>
      <c r="W109" s="217" t="str">
        <f>IF(ROUND(BS!W41,0)=ROUND(SUM(BS!W37:W40),0),"OK","ERROR")</f>
        <v>OK</v>
      </c>
      <c r="X109" s="217" t="str">
        <f>IF(ROUND(BS!X41,0)=ROUND(SUM(BS!X37:X40),0),"OK","ERROR")</f>
        <v>OK</v>
      </c>
      <c r="Y109" s="217" t="str">
        <f>IF(ROUND(BS!Y41,0)=ROUND(SUM(BS!Y37:Y40),0),"OK","ERROR")</f>
        <v>OK</v>
      </c>
      <c r="Z109" s="227" t="str">
        <f>IF(ROUND(BS!Z41,0)=ROUND(SUM(BS!Z37:Z40),0),"OK","ERROR")</f>
        <v>OK</v>
      </c>
      <c r="AA109" s="273"/>
      <c r="AB109" s="217" t="str">
        <f>IF(ROUND(BS!AB41,0)=ROUND(SUM(BS!AB37:AB40),0),"OK","ERROR")</f>
        <v>OK</v>
      </c>
      <c r="AC109" s="217" t="str">
        <f>IF(ROUND(BS!AC41,0)=ROUND(SUM(BS!AC37:AC40),0),"OK","ERROR")</f>
        <v>OK</v>
      </c>
      <c r="AD109" s="217" t="str">
        <f>IF(ROUND(BS!AD41,0)=ROUND(SUM(BS!AD37:AD40),0),"OK","ERROR")</f>
        <v>OK</v>
      </c>
      <c r="AE109" s="217" t="str">
        <f>IF(ROUND(BS!AE41,0)=ROUND(SUM(BS!AE37:AE40),0),"OK","ERROR")</f>
        <v>OK</v>
      </c>
      <c r="AF109" s="227" t="str">
        <f>IF(ROUND(BS!AF41,0)=ROUND(SUM(BS!AF37:AF40),0),"OK","ERROR")</f>
        <v>OK</v>
      </c>
      <c r="AG109" s="274"/>
      <c r="AH109" s="217" t="str">
        <f>IF(ROUND(BS!AH41,0)=ROUND(SUM(BS!AH37:AH40),0),"OK","ERROR")</f>
        <v>OK</v>
      </c>
      <c r="AI109" s="217" t="str">
        <f>IF(ROUND(BS!AI41,0)=ROUND(SUM(BS!AI37:AI40),0),"OK","ERROR")</f>
        <v>OK</v>
      </c>
      <c r="AJ109" s="217" t="str">
        <f>IF(ROUND(BS!AJ41,0)=ROUND(SUM(BS!AJ37:AJ40),0),"OK","ERROR")</f>
        <v>OK</v>
      </c>
      <c r="AK109" s="217" t="str">
        <f>IF(ROUND(BS!AK41,0)=ROUND(SUM(BS!AK37:AK40),0),"OK","ERROR")</f>
        <v>OK</v>
      </c>
      <c r="AL109" s="227" t="str">
        <f>IF(ROUND(BS!AL41,0)=ROUND(SUM(BS!AL37:AL40),0),"OK","ERROR")</f>
        <v>OK</v>
      </c>
      <c r="AM109" s="273"/>
      <c r="AN109" s="217" t="str">
        <f>IF(ROUND(BS!AN41,0)=ROUND(SUM(BS!AN37:AN40),0),"OK","ERROR")</f>
        <v>OK</v>
      </c>
      <c r="AO109" s="217" t="str">
        <f>IF(ROUND(BS!AO41,0)=ROUND(SUM(BS!AO37:AO40),0),"OK","ERROR")</f>
        <v>OK</v>
      </c>
      <c r="AP109" s="217" t="str">
        <f>IF(ROUND(BS!AP41,0)=ROUND(SUM(BS!AP37:AP40),0),"OK","ERROR")</f>
        <v>OK</v>
      </c>
      <c r="AQ109" s="217" t="str">
        <f>IF(ROUND(BS!AQ41,0)=ROUND(SUM(BS!AQ37:AQ40),0),"OK","ERROR")</f>
        <v>OK</v>
      </c>
      <c r="AR109" s="227" t="str">
        <f>IF(ROUND(BS!AR41,0)=ROUND(SUM(BS!AR37:AR40),0),"OK","ERROR")</f>
        <v>OK</v>
      </c>
      <c r="AS109" s="273"/>
      <c r="AT109" s="227" t="str">
        <f>IF(ROUND(BS!AT41,0)=ROUND(SUM(BS!AT37:AT40),0),"OK","ERROR")</f>
        <v>OK</v>
      </c>
      <c r="AU109" s="273"/>
      <c r="AV109" s="227" t="str">
        <f>IF(ROUND(BS!AV41,0)=ROUND(SUM(BS!AV37:AV40),0),"OK","ERROR")</f>
        <v>OK</v>
      </c>
      <c r="AW109" s="261"/>
      <c r="AX109" s="227" t="str">
        <f>IF(ROUND(BS!AX41,0)=ROUND(SUM(BS!AX37:AX40),0),"OK","ERROR")</f>
        <v>OK</v>
      </c>
    </row>
    <row r="110" spans="1:50" s="41" customFormat="1" ht="15" customHeight="1">
      <c r="A110" s="43"/>
      <c r="B110" s="152"/>
      <c r="C110" s="17"/>
      <c r="D110" s="208"/>
      <c r="E110" s="208"/>
      <c r="F110" s="208"/>
      <c r="G110" s="208"/>
      <c r="H110" s="220"/>
      <c r="I110" s="248"/>
      <c r="J110" s="208"/>
      <c r="K110" s="208"/>
      <c r="L110" s="208"/>
      <c r="M110" s="208"/>
      <c r="N110" s="220"/>
      <c r="O110" s="248"/>
      <c r="P110" s="208"/>
      <c r="Q110" s="208"/>
      <c r="R110" s="208"/>
      <c r="S110" s="208"/>
      <c r="T110" s="220"/>
      <c r="U110" s="248"/>
      <c r="V110" s="208"/>
      <c r="W110" s="208"/>
      <c r="X110" s="208"/>
      <c r="Y110" s="208"/>
      <c r="Z110" s="220"/>
      <c r="AA110" s="248"/>
      <c r="AB110" s="208"/>
      <c r="AC110" s="208"/>
      <c r="AD110" s="208"/>
      <c r="AE110" s="208"/>
      <c r="AF110" s="220"/>
      <c r="AG110" s="284"/>
      <c r="AH110" s="208"/>
      <c r="AI110" s="208"/>
      <c r="AJ110" s="208"/>
      <c r="AK110" s="208"/>
      <c r="AL110" s="220"/>
      <c r="AM110" s="248"/>
      <c r="AN110" s="208"/>
      <c r="AO110" s="208"/>
      <c r="AP110" s="208"/>
      <c r="AQ110" s="208"/>
      <c r="AR110" s="220"/>
      <c r="AS110" s="248"/>
      <c r="AT110" s="220"/>
      <c r="AU110" s="248"/>
      <c r="AV110" s="220"/>
      <c r="AW110" s="255"/>
      <c r="AX110" s="220"/>
    </row>
    <row r="111" spans="1:50" s="113" customFormat="1" ht="15" customHeight="1">
      <c r="A111" s="44" t="s">
        <v>37</v>
      </c>
      <c r="B111" s="114" t="s">
        <v>667</v>
      </c>
      <c r="C111" s="115"/>
      <c r="D111" s="208"/>
      <c r="E111" s="208"/>
      <c r="F111" s="208"/>
      <c r="G111" s="208"/>
      <c r="H111" s="220"/>
      <c r="I111" s="256"/>
      <c r="J111" s="208"/>
      <c r="K111" s="208"/>
      <c r="L111" s="208"/>
      <c r="M111" s="208"/>
      <c r="N111" s="220"/>
      <c r="O111" s="256"/>
      <c r="P111" s="208"/>
      <c r="Q111" s="208"/>
      <c r="R111" s="208"/>
      <c r="S111" s="208"/>
      <c r="T111" s="220"/>
      <c r="U111" s="256"/>
      <c r="V111" s="208"/>
      <c r="W111" s="208"/>
      <c r="X111" s="208"/>
      <c r="Y111" s="208"/>
      <c r="Z111" s="220"/>
      <c r="AA111" s="256"/>
      <c r="AB111" s="208"/>
      <c r="AC111" s="208"/>
      <c r="AD111" s="208"/>
      <c r="AE111" s="208"/>
      <c r="AF111" s="220"/>
      <c r="AG111" s="285"/>
      <c r="AH111" s="208"/>
      <c r="AI111" s="208"/>
      <c r="AJ111" s="208"/>
      <c r="AK111" s="208"/>
      <c r="AL111" s="220"/>
      <c r="AM111" s="256"/>
      <c r="AN111" s="208"/>
      <c r="AO111" s="208"/>
      <c r="AP111" s="208"/>
      <c r="AQ111" s="208"/>
      <c r="AR111" s="220"/>
      <c r="AS111" s="256"/>
      <c r="AT111" s="220"/>
      <c r="AU111" s="256"/>
      <c r="AV111" s="220"/>
      <c r="AW111" s="261"/>
      <c r="AX111" s="220"/>
    </row>
    <row r="112" spans="1:50" s="113" customFormat="1" ht="15" customHeight="1">
      <c r="B112" s="138" t="s">
        <v>671</v>
      </c>
      <c r="C112" s="115"/>
      <c r="D112" s="217" t="str">
        <f>IF(ROUND(BS!D47,0)=ROUND(SUM(BS!D44:D46),0),"OK","ERROR")</f>
        <v>OK</v>
      </c>
      <c r="E112" s="217" t="str">
        <f>IF(ROUND(BS!E47,0)=ROUND(SUM(BS!E44:E46),0),"OK","ERROR")</f>
        <v>OK</v>
      </c>
      <c r="F112" s="217" t="str">
        <f>IF(ROUND(BS!F47,0)=ROUND(SUM(BS!F44:F46),0),"OK","ERROR")</f>
        <v>OK</v>
      </c>
      <c r="G112" s="217" t="str">
        <f>IF(ROUND(BS!G47,0)=ROUND(SUM(BS!G44:G46),0),"OK","ERROR")</f>
        <v>OK</v>
      </c>
      <c r="H112" s="220" t="str">
        <f>IF(ROUND(BS!H47,0)=ROUND(SUM(BS!H44:H46),0),"OK","ERROR")</f>
        <v>OK</v>
      </c>
      <c r="I112" s="256"/>
      <c r="J112" s="217" t="str">
        <f>IF(ROUND(BS!J47,0)=ROUND(SUM(BS!J44:J46),0),"OK","ERROR")</f>
        <v>OK</v>
      </c>
      <c r="K112" s="217" t="str">
        <f>IF(ROUND(BS!K47,0)=ROUND(SUM(BS!K44:K46),0),"OK","ERROR")</f>
        <v>OK</v>
      </c>
      <c r="L112" s="217" t="str">
        <f>IF(ROUND(BS!L47,0)=ROUND(SUM(BS!L44:L46),0),"OK","ERROR")</f>
        <v>OK</v>
      </c>
      <c r="M112" s="217" t="str">
        <f>IF(ROUND(BS!M47,0)=ROUND(SUM(BS!M44:M46),0),"OK","ERROR")</f>
        <v>OK</v>
      </c>
      <c r="N112" s="220" t="str">
        <f>IF(ROUND(BS!N47,0)=ROUND(SUM(BS!N44:N46),0),"OK","ERROR")</f>
        <v>OK</v>
      </c>
      <c r="O112" s="256"/>
      <c r="P112" s="217" t="str">
        <f>IF(ROUND(BS!P47,0)=ROUND(SUM(BS!P44:P46),0),"OK","ERROR")</f>
        <v>OK</v>
      </c>
      <c r="Q112" s="217" t="str">
        <f>IF(ROUND(BS!Q47,0)=ROUND(SUM(BS!Q44:Q46),0),"OK","ERROR")</f>
        <v>OK</v>
      </c>
      <c r="R112" s="217" t="str">
        <f>IF(ROUND(BS!R47,0)=ROUND(SUM(BS!R44:R46),0),"OK","ERROR")</f>
        <v>OK</v>
      </c>
      <c r="S112" s="217" t="str">
        <f>IF(ROUND(BS!S47,0)=ROUND(SUM(BS!S44:S46),0),"OK","ERROR")</f>
        <v>OK</v>
      </c>
      <c r="T112" s="220" t="str">
        <f>IF(ROUND(BS!T47,0)=ROUND(SUM(BS!T44:T46),0),"OK","ERROR")</f>
        <v>OK</v>
      </c>
      <c r="U112" s="256"/>
      <c r="V112" s="217" t="str">
        <f>IF(ROUND(BS!V47,0)=ROUND(SUM(BS!V44:V46),0),"OK","ERROR")</f>
        <v>OK</v>
      </c>
      <c r="W112" s="217" t="str">
        <f>IF(ROUND(BS!W47,0)=ROUND(SUM(BS!W44:W46),0),"OK","ERROR")</f>
        <v>OK</v>
      </c>
      <c r="X112" s="217" t="str">
        <f>IF(ROUND(BS!X47,0)=ROUND(SUM(BS!X44:X46),0),"OK","ERROR")</f>
        <v>OK</v>
      </c>
      <c r="Y112" s="217" t="str">
        <f>IF(ROUND(BS!Y47,0)=ROUND(SUM(BS!Y44:Y46),0),"OK","ERROR")</f>
        <v>OK</v>
      </c>
      <c r="Z112" s="220" t="str">
        <f>IF(ROUND(BS!Z47,0)=ROUND(SUM(BS!Z44:Z46),0),"OK","ERROR")</f>
        <v>OK</v>
      </c>
      <c r="AA112" s="256"/>
      <c r="AB112" s="217" t="str">
        <f>IF(ROUND(BS!AB47,0)=ROUND(SUM(BS!AB44:AB46),0),"OK","ERROR")</f>
        <v>OK</v>
      </c>
      <c r="AC112" s="217" t="str">
        <f>IF(ROUND(BS!AC47,0)=ROUND(SUM(BS!AC44:AC46),0),"OK","ERROR")</f>
        <v>OK</v>
      </c>
      <c r="AD112" s="217" t="str">
        <f>IF(ROUND(BS!AD47,0)=ROUND(SUM(BS!AD44:AD46),0),"OK","ERROR")</f>
        <v>OK</v>
      </c>
      <c r="AE112" s="217" t="str">
        <f>IF(ROUND(BS!AE47,0)=ROUND(SUM(BS!AE44:AE46),0),"OK","ERROR")</f>
        <v>OK</v>
      </c>
      <c r="AF112" s="220" t="str">
        <f>IF(ROUND(BS!AF47,0)=ROUND(SUM(BS!AF44:AF46),0),"OK","ERROR")</f>
        <v>OK</v>
      </c>
      <c r="AG112" s="285"/>
      <c r="AH112" s="217" t="str">
        <f>IF(ROUND(BS!AH47,0)=ROUND(SUM(BS!AH44:AH46),0),"OK","ERROR")</f>
        <v>OK</v>
      </c>
      <c r="AI112" s="217" t="str">
        <f>IF(ROUND(BS!AI47,0)=ROUND(SUM(BS!AI44:AI46),0),"OK","ERROR")</f>
        <v>OK</v>
      </c>
      <c r="AJ112" s="217" t="str">
        <f>IF(ROUND(BS!AJ47,0)=ROUND(SUM(BS!AJ44:AJ46),0),"OK","ERROR")</f>
        <v>OK</v>
      </c>
      <c r="AK112" s="217" t="str">
        <f>IF(ROUND(BS!AK47,0)=ROUND(SUM(BS!AK44:AK46),0),"OK","ERROR")</f>
        <v>OK</v>
      </c>
      <c r="AL112" s="220" t="str">
        <f>IF(ROUND(BS!AL47,0)=ROUND(SUM(BS!AL44:AL46),0),"OK","ERROR")</f>
        <v>OK</v>
      </c>
      <c r="AM112" s="256"/>
      <c r="AN112" s="217" t="str">
        <f>IF(ROUND(BS!AN47,0)=ROUND(SUM(BS!AN44:AN46),0),"OK","ERROR")</f>
        <v>OK</v>
      </c>
      <c r="AO112" s="217" t="str">
        <f>IF(ROUND(BS!AO47,0)=ROUND(SUM(BS!AO44:AO46),0),"OK","ERROR")</f>
        <v>OK</v>
      </c>
      <c r="AP112" s="217" t="str">
        <f>IF(ROUND(BS!AP47,0)=ROUND(SUM(BS!AP44:AP46),0),"OK","ERROR")</f>
        <v>OK</v>
      </c>
      <c r="AQ112" s="217" t="str">
        <f>IF(ROUND(BS!AQ47,0)=ROUND(SUM(BS!AQ44:AQ46),0),"OK","ERROR")</f>
        <v>OK</v>
      </c>
      <c r="AR112" s="220" t="str">
        <f>IF(ROUND(BS!AR47,0)=ROUND(SUM(BS!AR44:AR46),0),"OK","ERROR")</f>
        <v>OK</v>
      </c>
      <c r="AS112" s="256"/>
      <c r="AT112" s="220" t="str">
        <f>IF(ROUND(BS!AT47,0)=ROUND(SUM(BS!AT44:AT46),0),"OK","ERROR")</f>
        <v>OK</v>
      </c>
      <c r="AU112" s="256"/>
      <c r="AV112" s="220" t="str">
        <f>IF(ROUND(BS!AV47,0)=ROUND(SUM(BS!AV44:AV46),0),"OK","ERROR")</f>
        <v>OK</v>
      </c>
      <c r="AW112" s="261"/>
      <c r="AX112" s="220" t="str">
        <f>IF(ROUND(BS!AX47,0)=ROUND(SUM(BS!AX44:AX46),0),"OK","ERROR")</f>
        <v>OK</v>
      </c>
    </row>
    <row r="113" spans="1:50" s="41" customFormat="1" ht="15" customHeight="1">
      <c r="A113" s="43"/>
      <c r="B113" s="140" t="s">
        <v>672</v>
      </c>
      <c r="C113" s="17"/>
      <c r="D113" s="217" t="str">
        <f>IF(ROUND(BS!D48,0)=ROUND(SUM(BS!D41,BS!D47),0),"OK","ERROR")</f>
        <v>OK</v>
      </c>
      <c r="E113" s="217" t="str">
        <f>IF(ROUND(BS!E48,0)=ROUND(SUM(BS!E41,BS!E47),0),"OK","ERROR")</f>
        <v>OK</v>
      </c>
      <c r="F113" s="217" t="str">
        <f>IF(ROUND(BS!F48,0)=ROUND(SUM(BS!F41,BS!F47),0),"OK","ERROR")</f>
        <v>OK</v>
      </c>
      <c r="G113" s="217" t="str">
        <f>IF(ROUND(BS!G48,0)=ROUND(SUM(BS!G41,BS!G47),0),"OK","ERROR")</f>
        <v>OK</v>
      </c>
      <c r="H113" s="227" t="str">
        <f>IF(ROUND(BS!H48,0)=ROUND(SUM(BS!H41,BS!H47),0),"OK","ERROR")</f>
        <v>OK</v>
      </c>
      <c r="I113" s="248"/>
      <c r="J113" s="217" t="str">
        <f>IF(ROUND(BS!J48,0)=ROUND(SUM(BS!J41,BS!J47),0),"OK","ERROR")</f>
        <v>OK</v>
      </c>
      <c r="K113" s="217" t="str">
        <f>IF(ROUND(BS!K48,0)=ROUND(SUM(BS!K41,BS!K47),0),"OK","ERROR")</f>
        <v>OK</v>
      </c>
      <c r="L113" s="217" t="str">
        <f>IF(ROUND(BS!L48,0)=ROUND(SUM(BS!L41,BS!L47),0),"OK","ERROR")</f>
        <v>OK</v>
      </c>
      <c r="M113" s="217" t="str">
        <f>IF(ROUND(BS!M48,0)=ROUND(SUM(BS!M41,BS!M47),0),"OK","ERROR")</f>
        <v>OK</v>
      </c>
      <c r="N113" s="227" t="str">
        <f>IF(ROUND(BS!N48,0)=ROUND(SUM(BS!N41,BS!N47),0),"OK","ERROR")</f>
        <v>OK</v>
      </c>
      <c r="O113" s="248"/>
      <c r="P113" s="217" t="str">
        <f>IF(ROUND(BS!P48,0)=ROUND(SUM(BS!P41,BS!P47),0),"OK","ERROR")</f>
        <v>OK</v>
      </c>
      <c r="Q113" s="217" t="str">
        <f>IF(ROUND(BS!Q48,0)=ROUND(SUM(BS!Q41,BS!Q47),0),"OK","ERROR")</f>
        <v>OK</v>
      </c>
      <c r="R113" s="217" t="str">
        <f>IF(ROUND(BS!R48,0)=ROUND(SUM(BS!R41,BS!R47),0),"OK","ERROR")</f>
        <v>OK</v>
      </c>
      <c r="S113" s="217" t="str">
        <f>IF(ROUND(BS!S48,0)=ROUND(SUM(BS!S41,BS!S47),0),"OK","ERROR")</f>
        <v>OK</v>
      </c>
      <c r="T113" s="227" t="str">
        <f>IF(ROUND(BS!T48,0)=ROUND(SUM(BS!T41,BS!T47),0),"OK","ERROR")</f>
        <v>OK</v>
      </c>
      <c r="U113" s="248"/>
      <c r="V113" s="217" t="str">
        <f>IF(ROUND(BS!V48,0)=ROUND(SUM(BS!V41,BS!V47),0),"OK","ERROR")</f>
        <v>OK</v>
      </c>
      <c r="W113" s="217" t="str">
        <f>IF(ROUND(BS!W48,0)=ROUND(SUM(BS!W41,BS!W47),0),"OK","ERROR")</f>
        <v>OK</v>
      </c>
      <c r="X113" s="217" t="str">
        <f>IF(ROUND(BS!X48,0)=ROUND(SUM(BS!X41,BS!X47),0),"OK","ERROR")</f>
        <v>OK</v>
      </c>
      <c r="Y113" s="217" t="str">
        <f>IF(ROUND(BS!Y48,0)=ROUND(SUM(BS!Y41,BS!Y47),0),"OK","ERROR")</f>
        <v>OK</v>
      </c>
      <c r="Z113" s="227" t="str">
        <f>IF(ROUND(BS!Z48,0)=ROUND(SUM(BS!Z41,BS!Z47),0),"OK","ERROR")</f>
        <v>OK</v>
      </c>
      <c r="AA113" s="248"/>
      <c r="AB113" s="217" t="str">
        <f>IF(ROUND(BS!AB48,0)=ROUND(SUM(BS!AB41,BS!AB47),0),"OK","ERROR")</f>
        <v>OK</v>
      </c>
      <c r="AC113" s="217" t="str">
        <f>IF(ROUND(BS!AC48,0)=ROUND(SUM(BS!AC41,BS!AC47),0),"OK","ERROR")</f>
        <v>OK</v>
      </c>
      <c r="AD113" s="217" t="str">
        <f>IF(ROUND(BS!AD48,0)=ROUND(SUM(BS!AD41,BS!AD47),0),"OK","ERROR")</f>
        <v>OK</v>
      </c>
      <c r="AE113" s="217" t="str">
        <f>IF(ROUND(BS!AE48,0)=ROUND(SUM(BS!AE41,BS!AE47),0),"OK","ERROR")</f>
        <v>OK</v>
      </c>
      <c r="AF113" s="227" t="str">
        <f>IF(ROUND(BS!AF48,0)=ROUND(SUM(BS!AF41,BS!AF47),0),"OK","ERROR")</f>
        <v>OK</v>
      </c>
      <c r="AG113" s="284"/>
      <c r="AH113" s="217" t="str">
        <f>IF(ROUND(BS!AH48,0)=ROUND(SUM(BS!AH41,BS!AH47),0),"OK","ERROR")</f>
        <v>OK</v>
      </c>
      <c r="AI113" s="217" t="str">
        <f>IF(ROUND(BS!AI48,0)=ROUND(SUM(BS!AI41,BS!AI47),0),"OK","ERROR")</f>
        <v>OK</v>
      </c>
      <c r="AJ113" s="217" t="str">
        <f>IF(ROUND(BS!AJ48,0)=ROUND(SUM(BS!AJ41,BS!AJ47),0),"OK","ERROR")</f>
        <v>OK</v>
      </c>
      <c r="AK113" s="217" t="str">
        <f>IF(ROUND(BS!AK48,0)=ROUND(SUM(BS!AK41,BS!AK47),0),"OK","ERROR")</f>
        <v>OK</v>
      </c>
      <c r="AL113" s="227" t="str">
        <f>IF(ROUND(BS!AL48,0)=ROUND(SUM(BS!AL41,BS!AL47),0),"OK","ERROR")</f>
        <v>OK</v>
      </c>
      <c r="AM113" s="248"/>
      <c r="AN113" s="217" t="str">
        <f>IF(ROUND(BS!AN48,0)=ROUND(SUM(BS!AN41,BS!AN47),0),"OK","ERROR")</f>
        <v>OK</v>
      </c>
      <c r="AO113" s="217" t="str">
        <f>IF(ROUND(BS!AO48,0)=ROUND(SUM(BS!AO41,BS!AO47),0),"OK","ERROR")</f>
        <v>OK</v>
      </c>
      <c r="AP113" s="217" t="str">
        <f>IF(ROUND(BS!AP48,0)=ROUND(SUM(BS!AP41,BS!AP47),0),"OK","ERROR")</f>
        <v>OK</v>
      </c>
      <c r="AQ113" s="217" t="str">
        <f>IF(ROUND(BS!AQ48,0)=ROUND(SUM(BS!AQ41,BS!AQ47),0),"OK","ERROR")</f>
        <v>OK</v>
      </c>
      <c r="AR113" s="227" t="str">
        <f>IF(ROUND(BS!AR48,0)=ROUND(SUM(BS!AR41,BS!AR47),0),"OK","ERROR")</f>
        <v>OK</v>
      </c>
      <c r="AS113" s="248"/>
      <c r="AT113" s="227" t="str">
        <f>IF(ROUND(BS!AT48,0)=ROUND(SUM(BS!AT41,BS!AT47),0),"OK","ERROR")</f>
        <v>OK</v>
      </c>
      <c r="AU113" s="248"/>
      <c r="AV113" s="227" t="str">
        <f>IF(ROUND(BS!AV48,0)=ROUND(SUM(BS!AV41,BS!AV47),0),"OK","ERROR")</f>
        <v>OK</v>
      </c>
      <c r="AW113" s="255"/>
      <c r="AX113" s="227" t="str">
        <f>IF(ROUND(BS!AX48,0)=ROUND(SUM(BS!AX41,BS!AX47),0),"OK","ERROR")</f>
        <v>OK</v>
      </c>
    </row>
    <row r="114" spans="1:50" s="113" customFormat="1" ht="15" customHeight="1">
      <c r="B114" s="143"/>
      <c r="C114" s="115"/>
      <c r="D114" s="208"/>
      <c r="E114" s="208"/>
      <c r="F114" s="208"/>
      <c r="G114" s="208"/>
      <c r="H114" s="220"/>
      <c r="I114" s="256"/>
      <c r="J114" s="208"/>
      <c r="K114" s="208"/>
      <c r="L114" s="208"/>
      <c r="M114" s="208"/>
      <c r="N114" s="220"/>
      <c r="O114" s="256"/>
      <c r="P114" s="208"/>
      <c r="Q114" s="208"/>
      <c r="R114" s="208"/>
      <c r="S114" s="208"/>
      <c r="T114" s="220"/>
      <c r="U114" s="256"/>
      <c r="V114" s="208"/>
      <c r="W114" s="208"/>
      <c r="X114" s="208"/>
      <c r="Y114" s="208"/>
      <c r="Z114" s="220"/>
      <c r="AA114" s="256"/>
      <c r="AB114" s="208"/>
      <c r="AC114" s="208"/>
      <c r="AD114" s="208"/>
      <c r="AE114" s="208"/>
      <c r="AF114" s="220"/>
      <c r="AG114" s="285"/>
      <c r="AH114" s="208"/>
      <c r="AI114" s="208"/>
      <c r="AJ114" s="208"/>
      <c r="AK114" s="208"/>
      <c r="AL114" s="220"/>
      <c r="AM114" s="256"/>
      <c r="AN114" s="208"/>
      <c r="AO114" s="208"/>
      <c r="AP114" s="208"/>
      <c r="AQ114" s="208"/>
      <c r="AR114" s="220"/>
      <c r="AS114" s="256"/>
      <c r="AT114" s="220"/>
      <c r="AU114" s="256"/>
      <c r="AV114" s="220"/>
      <c r="AW114" s="261"/>
      <c r="AX114" s="220"/>
    </row>
    <row r="115" spans="1:50" s="41" customFormat="1" ht="15" customHeight="1">
      <c r="A115" s="44" t="s">
        <v>37</v>
      </c>
      <c r="B115" s="114" t="s">
        <v>673</v>
      </c>
      <c r="C115" s="17"/>
      <c r="D115" s="208"/>
      <c r="E115" s="208"/>
      <c r="F115" s="208"/>
      <c r="G115" s="208"/>
      <c r="H115" s="220"/>
      <c r="I115" s="248"/>
      <c r="J115" s="208"/>
      <c r="K115" s="208"/>
      <c r="L115" s="208"/>
      <c r="M115" s="208"/>
      <c r="N115" s="220"/>
      <c r="O115" s="248"/>
      <c r="P115" s="208"/>
      <c r="Q115" s="208"/>
      <c r="R115" s="208"/>
      <c r="S115" s="208"/>
      <c r="T115" s="220"/>
      <c r="U115" s="248"/>
      <c r="V115" s="208"/>
      <c r="W115" s="208"/>
      <c r="X115" s="208"/>
      <c r="Y115" s="208"/>
      <c r="Z115" s="220"/>
      <c r="AA115" s="248"/>
      <c r="AB115" s="208"/>
      <c r="AC115" s="208"/>
      <c r="AD115" s="208"/>
      <c r="AE115" s="208"/>
      <c r="AF115" s="220"/>
      <c r="AG115" s="284"/>
      <c r="AH115" s="208"/>
      <c r="AI115" s="208"/>
      <c r="AJ115" s="208"/>
      <c r="AK115" s="208"/>
      <c r="AL115" s="220"/>
      <c r="AM115" s="248"/>
      <c r="AN115" s="208"/>
      <c r="AO115" s="208"/>
      <c r="AP115" s="208"/>
      <c r="AQ115" s="208"/>
      <c r="AR115" s="220"/>
      <c r="AS115" s="248"/>
      <c r="AT115" s="220"/>
      <c r="AU115" s="248"/>
      <c r="AV115" s="220"/>
      <c r="AW115" s="255"/>
      <c r="AX115" s="220"/>
    </row>
    <row r="116" spans="1:50" s="113" customFormat="1" ht="15" customHeight="1">
      <c r="B116" s="138" t="s">
        <v>677</v>
      </c>
      <c r="C116" s="115"/>
      <c r="D116" s="217" t="str">
        <f>IF(ROUND(BS!D54,0)=ROUND(SUM(BS!D51:D53),0),"OK","ERROR")</f>
        <v>OK</v>
      </c>
      <c r="E116" s="217" t="str">
        <f>IF(ROUND(BS!E54,0)=ROUND(SUM(BS!E51:E53),0),"OK","ERROR")</f>
        <v>OK</v>
      </c>
      <c r="F116" s="217" t="str">
        <f>IF(ROUND(BS!F54,0)=ROUND(SUM(BS!F51:F53),0),"OK","ERROR")</f>
        <v>OK</v>
      </c>
      <c r="G116" s="217" t="str">
        <f>IF(ROUND(BS!G54,0)=ROUND(SUM(BS!G51:G53),0),"OK","ERROR")</f>
        <v>OK</v>
      </c>
      <c r="H116" s="227" t="str">
        <f>IF(ROUND(BS!H54,0)=ROUND(SUM(BS!H51:H53),0),"OK","ERROR")</f>
        <v>OK</v>
      </c>
      <c r="I116" s="256"/>
      <c r="J116" s="217" t="str">
        <f>IF(ROUND(BS!J54,0)=ROUND(SUM(BS!J51:J53),0),"OK","ERROR")</f>
        <v>OK</v>
      </c>
      <c r="K116" s="217" t="str">
        <f>IF(ROUND(BS!K54,0)=ROUND(SUM(BS!K51:K53),0),"OK","ERROR")</f>
        <v>OK</v>
      </c>
      <c r="L116" s="217" t="str">
        <f>IF(ROUND(BS!L54,0)=ROUND(SUM(BS!L51:L53),0),"OK","ERROR")</f>
        <v>OK</v>
      </c>
      <c r="M116" s="217" t="str">
        <f>IF(ROUND(BS!M54,0)=ROUND(SUM(BS!M51:M53),0),"OK","ERROR")</f>
        <v>OK</v>
      </c>
      <c r="N116" s="227" t="str">
        <f>IF(ROUND(BS!N54,0)=ROUND(SUM(BS!N51:N53),0),"OK","ERROR")</f>
        <v>OK</v>
      </c>
      <c r="O116" s="256"/>
      <c r="P116" s="217" t="str">
        <f>IF(ROUND(BS!P54,0)=ROUND(SUM(BS!P51:P53),0),"OK","ERROR")</f>
        <v>OK</v>
      </c>
      <c r="Q116" s="217" t="str">
        <f>IF(ROUND(BS!Q54,0)=ROUND(SUM(BS!Q51:Q53),0),"OK","ERROR")</f>
        <v>OK</v>
      </c>
      <c r="R116" s="217" t="str">
        <f>IF(ROUND(BS!R54,0)=ROUND(SUM(BS!R51:R53),0),"OK","ERROR")</f>
        <v>OK</v>
      </c>
      <c r="S116" s="217" t="str">
        <f>IF(ROUND(BS!S54,0)=ROUND(SUM(BS!S51:S53),0),"OK","ERROR")</f>
        <v>OK</v>
      </c>
      <c r="T116" s="227" t="str">
        <f>IF(ROUND(BS!T54,0)=ROUND(SUM(BS!T51:T53),0),"OK","ERROR")</f>
        <v>OK</v>
      </c>
      <c r="U116" s="256"/>
      <c r="V116" s="217" t="str">
        <f>IF(ROUND(BS!V54,0)=ROUND(SUM(BS!V51:V53),0),"OK","ERROR")</f>
        <v>OK</v>
      </c>
      <c r="W116" s="217" t="str">
        <f>IF(ROUND(BS!W54,0)=ROUND(SUM(BS!W51:W53),0),"OK","ERROR")</f>
        <v>OK</v>
      </c>
      <c r="X116" s="217" t="str">
        <f>IF(ROUND(BS!X54,0)=ROUND(SUM(BS!X51:X53),0),"OK","ERROR")</f>
        <v>OK</v>
      </c>
      <c r="Y116" s="217" t="str">
        <f>IF(ROUND(BS!Y54,0)=ROUND(SUM(BS!Y51:Y53),0),"OK","ERROR")</f>
        <v>OK</v>
      </c>
      <c r="Z116" s="227" t="str">
        <f>IF(ROUND(BS!Z54,0)=ROUND(SUM(BS!Z51:Z53),0),"OK","ERROR")</f>
        <v>OK</v>
      </c>
      <c r="AA116" s="256"/>
      <c r="AB116" s="217" t="str">
        <f>IF(ROUND(BS!AB54,0)=ROUND(SUM(BS!AB51:AB53),0),"OK","ERROR")</f>
        <v>OK</v>
      </c>
      <c r="AC116" s="217" t="str">
        <f>IF(ROUND(BS!AC54,0)=ROUND(SUM(BS!AC51:AC53),0),"OK","ERROR")</f>
        <v>OK</v>
      </c>
      <c r="AD116" s="217" t="str">
        <f>IF(ROUND(BS!AD54,0)=ROUND(SUM(BS!AD51:AD53),0),"OK","ERROR")</f>
        <v>OK</v>
      </c>
      <c r="AE116" s="217" t="str">
        <f>IF(ROUND(BS!AE54,0)=ROUND(SUM(BS!AE51:AE53),0),"OK","ERROR")</f>
        <v>OK</v>
      </c>
      <c r="AF116" s="227" t="str">
        <f>IF(ROUND(BS!AF54,0)=ROUND(SUM(BS!AF51:AF53),0),"OK","ERROR")</f>
        <v>OK</v>
      </c>
      <c r="AG116" s="285"/>
      <c r="AH116" s="217" t="str">
        <f>IF(ROUND(BS!AH54,0)=ROUND(SUM(BS!AH51:AH53),0),"OK","ERROR")</f>
        <v>OK</v>
      </c>
      <c r="AI116" s="217" t="str">
        <f>IF(ROUND(BS!AI54,0)=ROUND(SUM(BS!AI51:AI53),0),"OK","ERROR")</f>
        <v>OK</v>
      </c>
      <c r="AJ116" s="217" t="str">
        <f>IF(ROUND(BS!AJ54,0)=ROUND(SUM(BS!AJ51:AJ53),0),"OK","ERROR")</f>
        <v>OK</v>
      </c>
      <c r="AK116" s="217" t="str">
        <f>IF(ROUND(BS!AK54,0)=ROUND(SUM(BS!AK51:AK53),0),"OK","ERROR")</f>
        <v>OK</v>
      </c>
      <c r="AL116" s="227" t="str">
        <f>IF(ROUND(BS!AL54,0)=ROUND(SUM(BS!AL51:AL53),0),"OK","ERROR")</f>
        <v>OK</v>
      </c>
      <c r="AM116" s="256"/>
      <c r="AN116" s="217" t="str">
        <f>IF(ROUND(BS!AN54,0)=ROUND(SUM(BS!AN51:AN53),0),"OK","ERROR")</f>
        <v>OK</v>
      </c>
      <c r="AO116" s="217" t="str">
        <f>IF(ROUND(BS!AO54,0)=ROUND(SUM(BS!AO51:AO53),0),"OK","ERROR")</f>
        <v>OK</v>
      </c>
      <c r="AP116" s="217" t="str">
        <f>IF(ROUND(BS!AP54,0)=ROUND(SUM(BS!AP51:AP53),0),"OK","ERROR")</f>
        <v>OK</v>
      </c>
      <c r="AQ116" s="217" t="str">
        <f>IF(ROUND(BS!AQ54,0)=ROUND(SUM(BS!AQ51:AQ53),0),"OK","ERROR")</f>
        <v>OK</v>
      </c>
      <c r="AR116" s="227" t="str">
        <f>IF(ROUND(BS!AR54,0)=ROUND(SUM(BS!AR51:AR53),0),"OK","ERROR")</f>
        <v>OK</v>
      </c>
      <c r="AS116" s="256"/>
      <c r="AT116" s="227" t="str">
        <f>IF(ROUND(BS!AT54,0)=ROUND(SUM(BS!AT51:AT53),0),"OK","ERROR")</f>
        <v>OK</v>
      </c>
      <c r="AU116" s="256"/>
      <c r="AV116" s="227" t="str">
        <f>IF(ROUND(BS!AV54,0)=ROUND(SUM(BS!AV51:AV53),0),"OK","ERROR")</f>
        <v>OK</v>
      </c>
      <c r="AW116" s="261"/>
      <c r="AX116" s="227" t="str">
        <f>IF(ROUND(BS!AX54,0)=ROUND(SUM(BS!AX51:AX53),0),"OK","ERROR")</f>
        <v>OK</v>
      </c>
    </row>
    <row r="117" spans="1:50" s="41" customFormat="1" ht="15" customHeight="1" thickBot="1">
      <c r="A117" s="43"/>
      <c r="B117" s="140" t="s">
        <v>678</v>
      </c>
      <c r="C117" s="17"/>
      <c r="D117" s="217" t="str">
        <f>IF(ROUND(BS!D55,0)=ROUND(SUM(BS!D54,BS!D48),0),"OK","ERROR")</f>
        <v>OK</v>
      </c>
      <c r="E117" s="217" t="str">
        <f>IF(ROUND(BS!E55,0)=ROUND(SUM(BS!E54,BS!E48),0),"OK","ERROR")</f>
        <v>OK</v>
      </c>
      <c r="F117" s="217" t="str">
        <f>IF(ROUND(BS!F55,0)=ROUND(SUM(BS!F54,BS!F48),0),"OK","ERROR")</f>
        <v>OK</v>
      </c>
      <c r="G117" s="217" t="str">
        <f>IF(ROUND(BS!G55,0)=ROUND(SUM(BS!G54,BS!G48),0),"OK","ERROR")</f>
        <v>OK</v>
      </c>
      <c r="H117" s="237" t="str">
        <f>IF(ROUND(BS!H55,0)=ROUND(SUM(BS!H54,BS!H48),0),"OK","ERROR")</f>
        <v>OK</v>
      </c>
      <c r="I117" s="248"/>
      <c r="J117" s="217" t="str">
        <f>IF(ROUND(BS!J55,0)=ROUND(SUM(BS!J54,BS!J48),0),"OK","ERROR")</f>
        <v>OK</v>
      </c>
      <c r="K117" s="217" t="str">
        <f>IF(ROUND(BS!K55,0)=ROUND(SUM(BS!K54,BS!K48),0),"OK","ERROR")</f>
        <v>OK</v>
      </c>
      <c r="L117" s="217" t="str">
        <f>IF(ROUND(BS!L55,0)=ROUND(SUM(BS!L54,BS!L48),0),"OK","ERROR")</f>
        <v>OK</v>
      </c>
      <c r="M117" s="217" t="str">
        <f>IF(ROUND(BS!M55,0)=ROUND(SUM(BS!M54,BS!M48),0),"OK","ERROR")</f>
        <v>OK</v>
      </c>
      <c r="N117" s="237" t="str">
        <f>IF(ROUND(BS!N55,0)=ROUND(SUM(BS!N54,BS!N48),0),"OK","ERROR")</f>
        <v>OK</v>
      </c>
      <c r="O117" s="248"/>
      <c r="P117" s="217" t="str">
        <f>IF(ROUND(BS!P55,0)=ROUND(SUM(BS!P54,BS!P48),0),"OK","ERROR")</f>
        <v>OK</v>
      </c>
      <c r="Q117" s="217" t="str">
        <f>IF(ROUND(BS!Q55,0)=ROUND(SUM(BS!Q54,BS!Q48),0),"OK","ERROR")</f>
        <v>OK</v>
      </c>
      <c r="R117" s="217" t="str">
        <f>IF(ROUND(BS!R55,0)=ROUND(SUM(BS!R54,BS!R48),0),"OK","ERROR")</f>
        <v>OK</v>
      </c>
      <c r="S117" s="217" t="str">
        <f>IF(ROUND(BS!S55,0)=ROUND(SUM(BS!S54,BS!S48),0),"OK","ERROR")</f>
        <v>OK</v>
      </c>
      <c r="T117" s="237" t="str">
        <f>IF(ROUND(BS!T55,0)=ROUND(SUM(BS!T54,BS!T48),0),"OK","ERROR")</f>
        <v>OK</v>
      </c>
      <c r="U117" s="248"/>
      <c r="V117" s="217" t="str">
        <f>IF(ROUND(BS!V55,0)=ROUND(SUM(BS!V54,BS!V48),0),"OK","ERROR")</f>
        <v>OK</v>
      </c>
      <c r="W117" s="217" t="str">
        <f>IF(ROUND(BS!W55,0)=ROUND(SUM(BS!W54,BS!W48),0),"OK","ERROR")</f>
        <v>OK</v>
      </c>
      <c r="X117" s="217" t="str">
        <f>IF(ROUND(BS!X55,0)=ROUND(SUM(BS!X54,BS!X48),0),"OK","ERROR")</f>
        <v>OK</v>
      </c>
      <c r="Y117" s="217" t="str">
        <f>IF(ROUND(BS!Y55,0)=ROUND(SUM(BS!Y54,BS!Y48),0),"OK","ERROR")</f>
        <v>OK</v>
      </c>
      <c r="Z117" s="237" t="str">
        <f>IF(ROUND(BS!Z55,0)=ROUND(SUM(BS!Z54,BS!Z48),0),"OK","ERROR")</f>
        <v>OK</v>
      </c>
      <c r="AA117" s="248"/>
      <c r="AB117" s="217" t="str">
        <f>IF(ROUND(BS!AB55,0)=ROUND(SUM(BS!AB54,BS!AB48),0),"OK","ERROR")</f>
        <v>OK</v>
      </c>
      <c r="AC117" s="217" t="str">
        <f>IF(ROUND(BS!AC55,0)=ROUND(SUM(BS!AC54,BS!AC48),0),"OK","ERROR")</f>
        <v>OK</v>
      </c>
      <c r="AD117" s="217" t="str">
        <f>IF(ROUND(BS!AD55,0)=ROUND(SUM(BS!AD54,BS!AD48),0),"OK","ERROR")</f>
        <v>OK</v>
      </c>
      <c r="AE117" s="217" t="str">
        <f>IF(ROUND(BS!AE55,0)=ROUND(SUM(BS!AE54,BS!AE48),0),"OK","ERROR")</f>
        <v>OK</v>
      </c>
      <c r="AF117" s="237" t="str">
        <f>IF(ROUND(BS!AF55,0)=ROUND(SUM(BS!AF54,BS!AF48),0),"OK","ERROR")</f>
        <v>OK</v>
      </c>
      <c r="AG117" s="284"/>
      <c r="AH117" s="217" t="str">
        <f>IF(ROUND(BS!AH55,0)=ROUND(SUM(BS!AH54,BS!AH48),0),"OK","ERROR")</f>
        <v>OK</v>
      </c>
      <c r="AI117" s="217" t="str">
        <f>IF(ROUND(BS!AI55,0)=ROUND(SUM(BS!AI54,BS!AI48),0),"OK","ERROR")</f>
        <v>OK</v>
      </c>
      <c r="AJ117" s="217" t="str">
        <f>IF(ROUND(BS!AJ55,0)=ROUND(SUM(BS!AJ54,BS!AJ48),0),"OK","ERROR")</f>
        <v>OK</v>
      </c>
      <c r="AK117" s="217" t="str">
        <f>IF(ROUND(BS!AK55,0)=ROUND(SUM(BS!AK54,BS!AK48),0),"OK","ERROR")</f>
        <v>OK</v>
      </c>
      <c r="AL117" s="237" t="str">
        <f>IF(ROUND(BS!AL55,0)=ROUND(SUM(BS!AL54,BS!AL48),0),"OK","ERROR")</f>
        <v>OK</v>
      </c>
      <c r="AM117" s="248"/>
      <c r="AN117" s="217" t="str">
        <f>IF(ROUND(BS!AN55,0)=ROUND(SUM(BS!AN54,BS!AN48),0),"OK","ERROR")</f>
        <v>OK</v>
      </c>
      <c r="AO117" s="217" t="str">
        <f>IF(ROUND(BS!AO55,0)=ROUND(SUM(BS!AO54,BS!AO48),0),"OK","ERROR")</f>
        <v>OK</v>
      </c>
      <c r="AP117" s="217" t="str">
        <f>IF(ROUND(BS!AP55,0)=ROUND(SUM(BS!AP54,BS!AP48),0),"OK","ERROR")</f>
        <v>OK</v>
      </c>
      <c r="AQ117" s="217" t="str">
        <f>IF(ROUND(BS!AQ55,0)=ROUND(SUM(BS!AQ54,BS!AQ48),0),"OK","ERROR")</f>
        <v>OK</v>
      </c>
      <c r="AR117" s="237" t="str">
        <f>IF(ROUND(BS!AR55,0)=ROUND(SUM(BS!AR54,BS!AR48),0),"OK","ERROR")</f>
        <v>OK</v>
      </c>
      <c r="AS117" s="248"/>
      <c r="AT117" s="237" t="str">
        <f>IF(ROUND(BS!AT55,0)=ROUND(SUM(BS!AT54,BS!AT48),0),"OK","ERROR")</f>
        <v>OK</v>
      </c>
      <c r="AU117" s="248"/>
      <c r="AV117" s="237" t="str">
        <f>IF(ROUND(BS!AV55,0)=ROUND(SUM(BS!AV54,BS!AV48),0),"OK","ERROR")</f>
        <v>OK</v>
      </c>
      <c r="AW117" s="255"/>
      <c r="AX117" s="237" t="str">
        <f>IF(ROUND(BS!AX55,0)=ROUND(SUM(BS!AX54,BS!AX48),0),"OK","ERROR")</f>
        <v>OK</v>
      </c>
    </row>
    <row r="118" spans="1:50" ht="14.25" customHeight="1" thickTop="1"/>
    <row r="119" spans="1:50" s="41" customFormat="1" ht="15" customHeight="1">
      <c r="A119" s="44" t="s">
        <v>37</v>
      </c>
      <c r="B119" s="161" t="s">
        <v>711</v>
      </c>
      <c r="C119" s="18"/>
      <c r="D119" s="202">
        <f>F119</f>
        <v>2020</v>
      </c>
      <c r="E119" s="202">
        <f>F119</f>
        <v>2020</v>
      </c>
      <c r="F119" s="202">
        <v>2020</v>
      </c>
      <c r="G119" s="202">
        <f>F119</f>
        <v>2020</v>
      </c>
      <c r="H119" s="202">
        <f>F119</f>
        <v>2020</v>
      </c>
      <c r="I119" s="18"/>
      <c r="J119" s="202">
        <f>L119</f>
        <v>2021</v>
      </c>
      <c r="K119" s="202">
        <f>L119</f>
        <v>2021</v>
      </c>
      <c r="L119" s="202">
        <v>2021</v>
      </c>
      <c r="M119" s="202">
        <f>L119</f>
        <v>2021</v>
      </c>
      <c r="N119" s="202">
        <f>L119</f>
        <v>2021</v>
      </c>
      <c r="O119" s="169"/>
      <c r="P119" s="202">
        <f>R119</f>
        <v>2022</v>
      </c>
      <c r="Q119" s="202">
        <f>R119</f>
        <v>2022</v>
      </c>
      <c r="R119" s="202">
        <v>2022</v>
      </c>
      <c r="S119" s="202">
        <f>R119</f>
        <v>2022</v>
      </c>
      <c r="T119" s="202">
        <f>R119</f>
        <v>2022</v>
      </c>
      <c r="U119" s="169"/>
      <c r="V119" s="202">
        <f>X119</f>
        <v>2023</v>
      </c>
      <c r="W119" s="202">
        <f>X119</f>
        <v>2023</v>
      </c>
      <c r="X119" s="202">
        <v>2023</v>
      </c>
      <c r="Y119" s="202">
        <f>X119</f>
        <v>2023</v>
      </c>
      <c r="Z119" s="202">
        <f>X119</f>
        <v>2023</v>
      </c>
      <c r="AA119" s="170"/>
      <c r="AB119" s="202">
        <f>AD119</f>
        <v>2024</v>
      </c>
      <c r="AC119" s="202">
        <f>AD119</f>
        <v>2024</v>
      </c>
      <c r="AD119" s="202">
        <v>2024</v>
      </c>
      <c r="AE119" s="202">
        <f>AD119</f>
        <v>2024</v>
      </c>
      <c r="AF119" s="202">
        <f>AD119</f>
        <v>2024</v>
      </c>
      <c r="AG119" s="170"/>
      <c r="AH119" s="202">
        <f>AJ119</f>
        <v>2025</v>
      </c>
      <c r="AI119" s="202">
        <f>AJ119</f>
        <v>2025</v>
      </c>
      <c r="AJ119" s="203">
        <v>2025</v>
      </c>
      <c r="AK119" s="202">
        <f>AJ119</f>
        <v>2025</v>
      </c>
      <c r="AL119" s="202">
        <f>AJ119</f>
        <v>2025</v>
      </c>
      <c r="AM119" s="171"/>
      <c r="AN119" s="202">
        <f>AP119</f>
        <v>2025</v>
      </c>
      <c r="AO119" s="202">
        <f>AP119</f>
        <v>2025</v>
      </c>
      <c r="AP119" s="203">
        <v>2025</v>
      </c>
      <c r="AQ119" s="202">
        <f>AP119</f>
        <v>2025</v>
      </c>
      <c r="AR119" s="202">
        <f>AP119</f>
        <v>2025</v>
      </c>
      <c r="AS119" s="18"/>
      <c r="AT119" s="162"/>
      <c r="AU119" s="18"/>
      <c r="AV119" s="163"/>
      <c r="AW119" s="18"/>
      <c r="AX119" s="163"/>
    </row>
    <row r="120" spans="1:50" s="41" customFormat="1" ht="15" customHeight="1">
      <c r="B120" s="164"/>
      <c r="C120" s="18"/>
      <c r="D120" s="756">
        <v>2020</v>
      </c>
      <c r="E120" s="756"/>
      <c r="F120" s="756"/>
      <c r="G120" s="756"/>
      <c r="H120" s="756"/>
      <c r="I120" s="169"/>
      <c r="J120" s="756">
        <f>D120+1</f>
        <v>2021</v>
      </c>
      <c r="K120" s="756"/>
      <c r="L120" s="756"/>
      <c r="M120" s="756"/>
      <c r="N120" s="756"/>
      <c r="O120" s="169"/>
      <c r="P120" s="756">
        <f>J120+1</f>
        <v>2022</v>
      </c>
      <c r="Q120" s="756"/>
      <c r="R120" s="756"/>
      <c r="S120" s="756"/>
      <c r="T120" s="756"/>
      <c r="U120" s="169"/>
      <c r="V120" s="756">
        <f>P120+1</f>
        <v>2023</v>
      </c>
      <c r="W120" s="756"/>
      <c r="X120" s="756"/>
      <c r="Y120" s="756"/>
      <c r="Z120" s="756"/>
      <c r="AA120" s="169"/>
      <c r="AB120" s="756">
        <f>V120+1</f>
        <v>2024</v>
      </c>
      <c r="AC120" s="756"/>
      <c r="AD120" s="756"/>
      <c r="AE120" s="756"/>
      <c r="AF120" s="756"/>
      <c r="AG120" s="169"/>
      <c r="AH120" s="755">
        <f>AB120+1</f>
        <v>2025</v>
      </c>
      <c r="AI120" s="755"/>
      <c r="AJ120" s="755"/>
      <c r="AK120" s="755"/>
      <c r="AL120" s="755"/>
      <c r="AM120" s="169"/>
      <c r="AN120" s="755">
        <f>AH120+1</f>
        <v>2026</v>
      </c>
      <c r="AO120" s="755"/>
      <c r="AP120" s="755"/>
      <c r="AQ120" s="755"/>
      <c r="AR120" s="755"/>
      <c r="AS120" s="171"/>
      <c r="AT120" s="166">
        <f>AN120+1</f>
        <v>2027</v>
      </c>
      <c r="AU120" s="167"/>
      <c r="AV120" s="166">
        <f>+AT120+1</f>
        <v>2028</v>
      </c>
      <c r="AW120" s="167"/>
      <c r="AX120" s="166">
        <f>+AV120+1</f>
        <v>2029</v>
      </c>
    </row>
    <row r="121" spans="1:50" s="41" customFormat="1" ht="15" customHeight="1">
      <c r="B121" s="164"/>
      <c r="C121" s="18"/>
      <c r="D121" s="168" t="s">
        <v>207</v>
      </c>
      <c r="E121" s="168" t="s">
        <v>208</v>
      </c>
      <c r="F121" s="168" t="s">
        <v>209</v>
      </c>
      <c r="G121" s="168" t="s">
        <v>210</v>
      </c>
      <c r="H121" s="168" t="s">
        <v>211</v>
      </c>
      <c r="I121" s="18"/>
      <c r="J121" s="168" t="s">
        <v>207</v>
      </c>
      <c r="K121" s="168" t="s">
        <v>208</v>
      </c>
      <c r="L121" s="168" t="s">
        <v>209</v>
      </c>
      <c r="M121" s="168" t="s">
        <v>210</v>
      </c>
      <c r="N121" s="168" t="s">
        <v>211</v>
      </c>
      <c r="O121" s="165"/>
      <c r="P121" s="168" t="s">
        <v>207</v>
      </c>
      <c r="Q121" s="168" t="s">
        <v>208</v>
      </c>
      <c r="R121" s="168" t="s">
        <v>209</v>
      </c>
      <c r="S121" s="168" t="s">
        <v>210</v>
      </c>
      <c r="T121" s="168" t="s">
        <v>211</v>
      </c>
      <c r="U121" s="165"/>
      <c r="V121" s="168" t="s">
        <v>207</v>
      </c>
      <c r="W121" s="168" t="s">
        <v>208</v>
      </c>
      <c r="X121" s="168" t="s">
        <v>209</v>
      </c>
      <c r="Y121" s="168" t="s">
        <v>210</v>
      </c>
      <c r="Z121" s="168" t="s">
        <v>211</v>
      </c>
      <c r="AA121" s="165"/>
      <c r="AB121" s="168" t="s">
        <v>207</v>
      </c>
      <c r="AC121" s="168" t="s">
        <v>208</v>
      </c>
      <c r="AD121" s="168" t="s">
        <v>209</v>
      </c>
      <c r="AE121" s="168" t="s">
        <v>210</v>
      </c>
      <c r="AF121" s="168" t="s">
        <v>211</v>
      </c>
      <c r="AG121" s="165"/>
      <c r="AH121" s="168" t="s">
        <v>207</v>
      </c>
      <c r="AI121" s="168" t="s">
        <v>208</v>
      </c>
      <c r="AJ121" s="168" t="s">
        <v>209</v>
      </c>
      <c r="AK121" s="168" t="s">
        <v>210</v>
      </c>
      <c r="AL121" s="168" t="s">
        <v>211</v>
      </c>
      <c r="AM121" s="165"/>
      <c r="AN121" s="168" t="s">
        <v>207</v>
      </c>
      <c r="AO121" s="168" t="s">
        <v>208</v>
      </c>
      <c r="AP121" s="168" t="s">
        <v>209</v>
      </c>
      <c r="AQ121" s="168" t="s">
        <v>210</v>
      </c>
      <c r="AR121" s="168" t="s">
        <v>211</v>
      </c>
      <c r="AS121" s="165"/>
      <c r="AT121" s="168" t="s">
        <v>211</v>
      </c>
      <c r="AU121" s="165"/>
      <c r="AV121" s="168" t="s">
        <v>211</v>
      </c>
      <c r="AW121" s="165"/>
      <c r="AX121" s="168" t="s">
        <v>211</v>
      </c>
    </row>
    <row r="122" spans="1:50" s="41" customFormat="1" ht="3.95" customHeight="1">
      <c r="A122" s="43"/>
      <c r="B122" s="176"/>
      <c r="C122" s="35"/>
      <c r="D122" s="177"/>
      <c r="E122" s="177"/>
      <c r="F122" s="177"/>
      <c r="G122" s="177"/>
      <c r="H122" s="177"/>
      <c r="I122" s="35"/>
      <c r="J122" s="177"/>
      <c r="K122" s="177"/>
      <c r="L122" s="177"/>
      <c r="M122" s="177"/>
      <c r="N122" s="177"/>
      <c r="O122" s="178"/>
      <c r="P122" s="177"/>
      <c r="Q122" s="177"/>
      <c r="R122" s="177"/>
      <c r="S122" s="177"/>
      <c r="T122" s="177"/>
      <c r="U122" s="178"/>
      <c r="V122" s="177"/>
      <c r="W122" s="177"/>
      <c r="X122" s="177"/>
      <c r="Y122" s="177"/>
      <c r="Z122" s="177"/>
      <c r="AA122" s="178"/>
      <c r="AB122" s="177"/>
      <c r="AC122" s="177"/>
      <c r="AD122" s="177"/>
      <c r="AE122" s="177"/>
      <c r="AF122" s="177"/>
      <c r="AG122" s="178"/>
      <c r="AH122" s="177"/>
      <c r="AI122" s="177"/>
      <c r="AJ122" s="177"/>
      <c r="AK122" s="177"/>
      <c r="AL122" s="179"/>
      <c r="AM122" s="180"/>
      <c r="AN122" s="179"/>
      <c r="AO122" s="179"/>
      <c r="AP122" s="179"/>
      <c r="AQ122" s="179"/>
      <c r="AR122" s="179"/>
      <c r="AS122" s="180"/>
      <c r="AT122" s="179"/>
      <c r="AU122" s="180"/>
      <c r="AV122" s="179"/>
      <c r="AW122" s="180"/>
      <c r="AX122" s="179"/>
    </row>
    <row r="123" spans="1:50" s="41" customFormat="1" ht="3.95" customHeight="1">
      <c r="A123" s="43"/>
      <c r="B123" s="172"/>
      <c r="C123" s="19"/>
      <c r="D123" s="173"/>
      <c r="E123" s="173"/>
      <c r="F123" s="173"/>
      <c r="G123" s="173"/>
      <c r="H123" s="173"/>
      <c r="I123" s="19"/>
      <c r="J123" s="173"/>
      <c r="K123" s="173"/>
      <c r="L123" s="173"/>
      <c r="M123" s="173"/>
      <c r="N123" s="173"/>
      <c r="O123" s="174"/>
      <c r="P123" s="173"/>
      <c r="Q123" s="173"/>
      <c r="R123" s="173"/>
      <c r="S123" s="173"/>
      <c r="T123" s="173"/>
      <c r="U123" s="174"/>
      <c r="V123" s="173"/>
      <c r="W123" s="173"/>
      <c r="X123" s="173"/>
      <c r="Y123" s="173"/>
      <c r="Z123" s="173"/>
      <c r="AA123" s="174"/>
      <c r="AB123" s="173"/>
      <c r="AC123" s="173"/>
      <c r="AD123" s="173"/>
      <c r="AE123" s="173"/>
      <c r="AF123" s="173"/>
      <c r="AG123" s="204"/>
      <c r="AH123" s="173"/>
      <c r="AI123" s="173"/>
      <c r="AJ123" s="173"/>
      <c r="AK123" s="173"/>
      <c r="AL123" s="175"/>
      <c r="AM123" s="34"/>
      <c r="AN123" s="175"/>
      <c r="AO123" s="175"/>
      <c r="AP123" s="175"/>
      <c r="AQ123" s="175"/>
      <c r="AR123" s="175"/>
      <c r="AS123" s="34"/>
      <c r="AT123" s="175"/>
      <c r="AU123" s="34"/>
      <c r="AV123" s="175"/>
      <c r="AW123" s="34"/>
      <c r="AX123" s="175"/>
    </row>
    <row r="124" spans="1:50" s="54" customFormat="1" ht="15" customHeight="1">
      <c r="A124" s="44" t="s">
        <v>37</v>
      </c>
      <c r="B124" s="154" t="s">
        <v>681</v>
      </c>
      <c r="C124" s="17"/>
      <c r="D124" s="208"/>
      <c r="E124" s="208"/>
      <c r="F124" s="208"/>
      <c r="G124" s="208"/>
      <c r="H124" s="220"/>
      <c r="I124" s="210"/>
      <c r="J124" s="208"/>
      <c r="K124" s="208"/>
      <c r="L124" s="208"/>
      <c r="M124" s="208"/>
      <c r="N124" s="220"/>
      <c r="O124" s="209"/>
      <c r="P124" s="208"/>
      <c r="Q124" s="208"/>
      <c r="R124" s="208"/>
      <c r="S124" s="208"/>
      <c r="T124" s="220"/>
      <c r="U124" s="209"/>
      <c r="V124" s="208"/>
      <c r="W124" s="208"/>
      <c r="X124" s="208"/>
      <c r="Y124" s="208"/>
      <c r="Z124" s="220"/>
      <c r="AA124" s="209"/>
      <c r="AB124" s="208"/>
      <c r="AC124" s="208"/>
      <c r="AD124" s="208"/>
      <c r="AE124" s="208"/>
      <c r="AF124" s="220"/>
      <c r="AG124" s="211"/>
      <c r="AH124" s="208"/>
      <c r="AI124" s="208"/>
      <c r="AJ124" s="212"/>
      <c r="AK124" s="212"/>
      <c r="AL124" s="222"/>
      <c r="AM124" s="215"/>
      <c r="AN124" s="212"/>
      <c r="AO124" s="212"/>
      <c r="AP124" s="212"/>
      <c r="AQ124" s="212"/>
      <c r="AR124" s="222"/>
      <c r="AS124" s="215"/>
      <c r="AT124" s="222"/>
      <c r="AU124" s="215"/>
      <c r="AV124" s="222"/>
      <c r="AW124" s="246"/>
      <c r="AX124" s="246"/>
    </row>
    <row r="125" spans="1:50" s="54" customFormat="1" ht="15" customHeight="1">
      <c r="A125" s="43"/>
      <c r="B125" s="155" t="s">
        <v>558</v>
      </c>
      <c r="C125" s="17"/>
      <c r="D125" s="217"/>
      <c r="E125" s="217"/>
      <c r="F125" s="217"/>
      <c r="G125" s="217"/>
      <c r="H125" s="216" t="str">
        <f>IF(ROUND(CF!H15,0)=ROUND(SUM(CF!D15:G15),0),"OK","ERROR")</f>
        <v>OK</v>
      </c>
      <c r="I125" s="210"/>
      <c r="J125" s="217"/>
      <c r="K125" s="217"/>
      <c r="L125" s="217"/>
      <c r="M125" s="217"/>
      <c r="N125" s="216" t="str">
        <f>IF(ROUND(CF!N15,0)=ROUND(SUM(CF!J15:M15),0),"OK","ERROR")</f>
        <v>ERROR</v>
      </c>
      <c r="O125" s="209"/>
      <c r="P125" s="217"/>
      <c r="Q125" s="217"/>
      <c r="R125" s="217"/>
      <c r="S125" s="217"/>
      <c r="T125" s="216" t="str">
        <f>IF(ROUND(CF!T15,0)=ROUND(SUM(CF!P15:S15),0),"OK","ERROR")</f>
        <v>ERROR</v>
      </c>
      <c r="U125" s="209"/>
      <c r="V125" s="217"/>
      <c r="W125" s="217"/>
      <c r="X125" s="217"/>
      <c r="Y125" s="217"/>
      <c r="Z125" s="216" t="str">
        <f>IF(ROUND(CF!Z15,0)=ROUND(SUM(CF!V15:Y15),0),"OK","ERROR")</f>
        <v>OK</v>
      </c>
      <c r="AA125" s="209"/>
      <c r="AB125" s="217"/>
      <c r="AC125" s="217"/>
      <c r="AD125" s="217"/>
      <c r="AE125" s="217"/>
      <c r="AF125" s="216" t="str">
        <f>IF(ROUND(CF!AF15,0)=ROUND(SUM(CF!AB15:AE15),0),"OK","ERROR")</f>
        <v>OK</v>
      </c>
      <c r="AG125" s="211"/>
      <c r="AH125" s="217"/>
      <c r="AI125" s="217"/>
      <c r="AJ125" s="212"/>
      <c r="AK125" s="212"/>
      <c r="AL125" s="216" t="str">
        <f>IF(ROUND(CF!AL15,0)=ROUND(SUM(CF!AH15:AK15),0),"OK","ERROR")</f>
        <v>ERROR</v>
      </c>
      <c r="AM125" s="215"/>
      <c r="AN125" s="212"/>
      <c r="AO125" s="212"/>
      <c r="AP125" s="212"/>
      <c r="AQ125" s="212"/>
      <c r="AR125" s="216" t="str">
        <f>IF(ROUND(CF!AR15,0)=ROUND(SUM(CF!AN15:AQ15),0),"OK","ERROR")</f>
        <v>OK</v>
      </c>
      <c r="AS125" s="215"/>
      <c r="AT125" s="216" t="str">
        <f>IF(ROUND(CF!AT15,0)=ROUND(SUM(CF!AP15:AS15),0),"OK","ERROR")</f>
        <v>OK</v>
      </c>
      <c r="AU125" s="215"/>
      <c r="AV125" s="216" t="str">
        <f>IF(ROUND(CF!AV15,0)=ROUND(SUM(CF!AR15:AU15),0),"OK","ERROR")</f>
        <v>OK</v>
      </c>
      <c r="AW125" s="246"/>
      <c r="AX125" s="216" t="str">
        <f>IF(ROUND(CF!AX15,0)=ROUND(SUM(CF!AT15:AW15),0),"OK","ERROR")</f>
        <v>OK</v>
      </c>
    </row>
    <row r="126" spans="1:50" s="54" customFormat="1" ht="15" customHeight="1">
      <c r="A126" s="43"/>
      <c r="B126" s="155" t="s">
        <v>682</v>
      </c>
      <c r="C126" s="17"/>
      <c r="D126" s="208"/>
      <c r="E126" s="208"/>
      <c r="F126" s="208"/>
      <c r="G126" s="208"/>
      <c r="H126" s="216"/>
      <c r="I126" s="210"/>
      <c r="J126" s="208"/>
      <c r="K126" s="208"/>
      <c r="L126" s="208"/>
      <c r="M126" s="208"/>
      <c r="N126" s="216"/>
      <c r="O126" s="216"/>
      <c r="P126" s="208"/>
      <c r="Q126" s="208"/>
      <c r="R126" s="208"/>
      <c r="S126" s="208"/>
      <c r="T126" s="216"/>
      <c r="U126" s="216"/>
      <c r="V126" s="208"/>
      <c r="W126" s="208"/>
      <c r="X126" s="208"/>
      <c r="Y126" s="208"/>
      <c r="Z126" s="216"/>
      <c r="AA126" s="216"/>
      <c r="AB126" s="208"/>
      <c r="AC126" s="208"/>
      <c r="AD126" s="208"/>
      <c r="AE126" s="208"/>
      <c r="AF126" s="216"/>
      <c r="AG126" s="211"/>
      <c r="AH126" s="208"/>
      <c r="AI126" s="208"/>
      <c r="AJ126" s="212"/>
      <c r="AK126" s="212"/>
      <c r="AL126" s="216"/>
      <c r="AM126" s="215"/>
      <c r="AN126" s="212"/>
      <c r="AO126" s="212"/>
      <c r="AP126" s="212"/>
      <c r="AQ126" s="212"/>
      <c r="AR126" s="216"/>
      <c r="AS126" s="215"/>
      <c r="AT126" s="216"/>
      <c r="AU126" s="215"/>
      <c r="AV126" s="216"/>
      <c r="AW126" s="246"/>
      <c r="AX126" s="216"/>
    </row>
    <row r="127" spans="1:50" s="54" customFormat="1" ht="15" customHeight="1">
      <c r="A127" s="43"/>
      <c r="B127" s="156" t="s">
        <v>616</v>
      </c>
      <c r="C127" s="17"/>
      <c r="D127" s="217"/>
      <c r="E127" s="217"/>
      <c r="F127" s="217"/>
      <c r="G127" s="217"/>
      <c r="H127" s="216" t="str">
        <f>IF(ROUND(CF!H17,0)=ROUND(SUM(CF!D17:G17),0),"OK","ERROR")</f>
        <v>OK</v>
      </c>
      <c r="I127" s="210"/>
      <c r="J127" s="217"/>
      <c r="K127" s="217"/>
      <c r="L127" s="217"/>
      <c r="M127" s="217"/>
      <c r="N127" s="216" t="str">
        <f>IF(ROUND(CF!N17,0)=ROUND(SUM(CF!J17:M17),0),"OK","ERROR")</f>
        <v>OK</v>
      </c>
      <c r="O127" s="209"/>
      <c r="P127" s="217"/>
      <c r="Q127" s="217"/>
      <c r="R127" s="217"/>
      <c r="S127" s="217"/>
      <c r="T127" s="216" t="str">
        <f>IF(ROUND(CF!T17,0)=ROUND(SUM(CF!P17:S17),0),"OK","ERROR")</f>
        <v>OK</v>
      </c>
      <c r="U127" s="209"/>
      <c r="V127" s="217"/>
      <c r="W127" s="217"/>
      <c r="X127" s="217"/>
      <c r="Y127" s="217"/>
      <c r="Z127" s="216" t="str">
        <f>IF(ROUND(CF!Z17,0)=ROUND(SUM(CF!V17:Y17),0),"OK","ERROR")</f>
        <v>OK</v>
      </c>
      <c r="AA127" s="209"/>
      <c r="AB127" s="217"/>
      <c r="AC127" s="217"/>
      <c r="AD127" s="217"/>
      <c r="AE127" s="217"/>
      <c r="AF127" s="216" t="str">
        <f>IF(ROUND(CF!AF17,0)=ROUND(SUM(CF!AB17:AE17),0),"OK","ERROR")</f>
        <v>OK</v>
      </c>
      <c r="AG127" s="211"/>
      <c r="AH127" s="217"/>
      <c r="AI127" s="217"/>
      <c r="AJ127" s="212"/>
      <c r="AK127" s="212"/>
      <c r="AL127" s="216" t="str">
        <f>IF(ROUND(CF!AL17,0)=ROUND(SUM(CF!AH17:AK17),0),"OK","ERROR")</f>
        <v>ERROR</v>
      </c>
      <c r="AM127" s="215"/>
      <c r="AN127" s="212"/>
      <c r="AO127" s="212"/>
      <c r="AP127" s="212"/>
      <c r="AQ127" s="212"/>
      <c r="AR127" s="216" t="str">
        <f>IF(ROUND(CF!AR17,0)=ROUND(SUM(CF!AN17:AQ17),0),"OK","ERROR")</f>
        <v>OK</v>
      </c>
      <c r="AS127" s="215"/>
      <c r="AT127" s="216" t="str">
        <f>IF(ROUND(CF!AT17,0)=ROUND(SUM(CF!AP17:AS17),0),"OK","ERROR")</f>
        <v>OK</v>
      </c>
      <c r="AU127" s="215"/>
      <c r="AV127" s="216" t="str">
        <f>IF(ROUND(CF!AV17,0)=ROUND(SUM(CF!AR17:AU17),0),"OK","ERROR")</f>
        <v>OK</v>
      </c>
      <c r="AW127" s="246"/>
      <c r="AX127" s="216" t="str">
        <f>IF(ROUND(CF!AX17,0)=ROUND(SUM(CF!AT17:AW17),0),"OK","ERROR")</f>
        <v>OK</v>
      </c>
    </row>
    <row r="128" spans="1:50" s="54" customFormat="1" ht="15" customHeight="1">
      <c r="A128" s="43"/>
      <c r="B128" s="156" t="s">
        <v>712</v>
      </c>
      <c r="C128" s="17"/>
      <c r="D128" s="217"/>
      <c r="E128" s="217"/>
      <c r="F128" s="217"/>
      <c r="G128" s="217"/>
      <c r="H128" s="216" t="str">
        <f>IF(ROUND(CF!H18,0)=ROUND(SUM(CF!D18:G18),0),"OK","ERROR")</f>
        <v>OK</v>
      </c>
      <c r="I128" s="210"/>
      <c r="J128" s="217"/>
      <c r="K128" s="217"/>
      <c r="L128" s="217"/>
      <c r="M128" s="217"/>
      <c r="N128" s="216" t="str">
        <f>IF(ROUND(CF!N18,0)=ROUND(SUM(CF!J18:M18),0),"OK","ERROR")</f>
        <v>OK</v>
      </c>
      <c r="O128" s="209"/>
      <c r="P128" s="217"/>
      <c r="Q128" s="217"/>
      <c r="R128" s="217"/>
      <c r="S128" s="217"/>
      <c r="T128" s="216" t="str">
        <f>IF(ROUND(CF!T18,0)=ROUND(SUM(CF!P18:S18),0),"OK","ERROR")</f>
        <v>OK</v>
      </c>
      <c r="U128" s="209"/>
      <c r="V128" s="217"/>
      <c r="W128" s="217"/>
      <c r="X128" s="217"/>
      <c r="Y128" s="217"/>
      <c r="Z128" s="216" t="str">
        <f>IF(ROUND(CF!Z18,0)=ROUND(SUM(CF!V18:Y18),0),"OK","ERROR")</f>
        <v>OK</v>
      </c>
      <c r="AA128" s="209"/>
      <c r="AB128" s="217"/>
      <c r="AC128" s="217"/>
      <c r="AD128" s="217"/>
      <c r="AE128" s="217"/>
      <c r="AF128" s="216" t="str">
        <f>IF(ROUND(CF!AF18,0)=ROUND(SUM(CF!AB18:AE18),0),"OK","ERROR")</f>
        <v>OK</v>
      </c>
      <c r="AG128" s="211"/>
      <c r="AH128" s="217"/>
      <c r="AI128" s="217"/>
      <c r="AJ128" s="212"/>
      <c r="AK128" s="212"/>
      <c r="AL128" s="216" t="str">
        <f>IF(ROUND(CF!AL18,0)=ROUND(SUM(CF!AH18:AK18),0),"OK","ERROR")</f>
        <v>ERROR</v>
      </c>
      <c r="AM128" s="215"/>
      <c r="AN128" s="212"/>
      <c r="AO128" s="212"/>
      <c r="AP128" s="212"/>
      <c r="AQ128" s="212"/>
      <c r="AR128" s="216" t="str">
        <f>IF(ROUND(CF!AR18,0)=ROUND(SUM(CF!AN18:AQ18),0),"OK","ERROR")</f>
        <v>OK</v>
      </c>
      <c r="AS128" s="215"/>
      <c r="AT128" s="216" t="str">
        <f>IF(ROUND(CF!AT18,0)=ROUND(SUM(CF!AP18:AS18),0),"OK","ERROR")</f>
        <v>OK</v>
      </c>
      <c r="AU128" s="215"/>
      <c r="AV128" s="216" t="str">
        <f>IF(ROUND(CF!AV18,0)=ROUND(SUM(CF!AR18:AU18),0),"OK","ERROR")</f>
        <v>OK</v>
      </c>
      <c r="AW128" s="246"/>
      <c r="AX128" s="216" t="str">
        <f>IF(ROUND(CF!AX18,0)=ROUND(SUM(CF!AT18:AW18),0),"OK","ERROR")</f>
        <v>OK</v>
      </c>
    </row>
    <row r="129" spans="1:50" s="54" customFormat="1" ht="15" customHeight="1">
      <c r="A129" s="113"/>
      <c r="B129" s="156" t="s">
        <v>116</v>
      </c>
      <c r="C129" s="115"/>
      <c r="D129" s="217"/>
      <c r="E129" s="217"/>
      <c r="F129" s="217"/>
      <c r="G129" s="217"/>
      <c r="H129" s="216" t="str">
        <f>IF(ROUND(CF!H19,0)=ROUND(SUM(CF!D19:G19),0),"OK","ERROR")</f>
        <v>OK</v>
      </c>
      <c r="I129" s="210"/>
      <c r="J129" s="217"/>
      <c r="K129" s="217"/>
      <c r="L129" s="217"/>
      <c r="M129" s="217"/>
      <c r="N129" s="216" t="str">
        <f>IF(ROUND(CF!N19,0)=ROUND(SUM(CF!J19:M19),0),"OK","ERROR")</f>
        <v>ERROR</v>
      </c>
      <c r="O129" s="210"/>
      <c r="P129" s="217"/>
      <c r="Q129" s="217"/>
      <c r="R129" s="217"/>
      <c r="S129" s="217"/>
      <c r="T129" s="216" t="str">
        <f>IF(ROUND(CF!T19,0)=ROUND(SUM(CF!P19:S19),0),"OK","ERROR")</f>
        <v>ERROR</v>
      </c>
      <c r="U129" s="210"/>
      <c r="V129" s="217"/>
      <c r="W129" s="217"/>
      <c r="X129" s="217"/>
      <c r="Y129" s="217"/>
      <c r="Z129" s="216" t="str">
        <f>IF(ROUND(CF!Z19,0)=ROUND(SUM(CF!V19:Y19),0),"OK","ERROR")</f>
        <v>OK</v>
      </c>
      <c r="AA129" s="213"/>
      <c r="AB129" s="217"/>
      <c r="AC129" s="217"/>
      <c r="AD129" s="217"/>
      <c r="AE129" s="217"/>
      <c r="AF129" s="216" t="str">
        <f>IF(ROUND(CF!AF19,0)=ROUND(SUM(CF!AB19:AE19),0),"OK","ERROR")</f>
        <v>OK</v>
      </c>
      <c r="AG129" s="211"/>
      <c r="AH129" s="217"/>
      <c r="AI129" s="217"/>
      <c r="AJ129" s="212"/>
      <c r="AK129" s="212"/>
      <c r="AL129" s="216" t="str">
        <f>IF(ROUND(CF!AL19,0)=ROUND(SUM(CF!AH19:AK19),0),"OK","ERROR")</f>
        <v>ERROR</v>
      </c>
      <c r="AM129" s="223"/>
      <c r="AN129" s="212"/>
      <c r="AO129" s="212"/>
      <c r="AP129" s="212"/>
      <c r="AQ129" s="212"/>
      <c r="AR129" s="216" t="str">
        <f>IF(ROUND(CF!AR19,0)=ROUND(SUM(CF!AN19:AQ19),0),"OK","ERROR")</f>
        <v>OK</v>
      </c>
      <c r="AS129" s="223"/>
      <c r="AT129" s="216" t="str">
        <f>IF(ROUND(CF!AT19,0)=ROUND(SUM(CF!AP19:AS19),0),"OK","ERROR")</f>
        <v>OK</v>
      </c>
      <c r="AU129" s="223"/>
      <c r="AV129" s="216" t="str">
        <f>IF(ROUND(CF!AV19,0)=ROUND(SUM(CF!AR19:AU19),0),"OK","ERROR")</f>
        <v>OK</v>
      </c>
      <c r="AW129" s="246"/>
      <c r="AX129" s="216" t="str">
        <f>IF(ROUND(CF!AX19,0)=ROUND(SUM(CF!AT19:AW19),0),"OK","ERROR")</f>
        <v>OK</v>
      </c>
    </row>
    <row r="130" spans="1:50" s="54" customFormat="1" ht="15" customHeight="1">
      <c r="A130" s="43"/>
      <c r="B130" s="155" t="s">
        <v>684</v>
      </c>
      <c r="C130" s="17"/>
      <c r="D130" s="208"/>
      <c r="E130" s="208"/>
      <c r="F130" s="208"/>
      <c r="G130" s="208"/>
      <c r="H130" s="220"/>
      <c r="I130" s="210"/>
      <c r="J130" s="208"/>
      <c r="K130" s="208"/>
      <c r="L130" s="208"/>
      <c r="M130" s="208"/>
      <c r="N130" s="220"/>
      <c r="O130" s="210"/>
      <c r="P130" s="208"/>
      <c r="Q130" s="208"/>
      <c r="R130" s="208"/>
      <c r="S130" s="208"/>
      <c r="T130" s="220"/>
      <c r="U130" s="210"/>
      <c r="V130" s="208"/>
      <c r="W130" s="208"/>
      <c r="X130" s="208"/>
      <c r="Y130" s="208"/>
      <c r="Z130" s="220"/>
      <c r="AA130" s="213"/>
      <c r="AB130" s="208"/>
      <c r="AC130" s="208"/>
      <c r="AD130" s="208"/>
      <c r="AE130" s="208"/>
      <c r="AF130" s="220"/>
      <c r="AG130" s="211"/>
      <c r="AH130" s="208"/>
      <c r="AI130" s="208"/>
      <c r="AJ130" s="212"/>
      <c r="AK130" s="212"/>
      <c r="AL130" s="220"/>
      <c r="AM130" s="225"/>
      <c r="AN130" s="212"/>
      <c r="AO130" s="212"/>
      <c r="AP130" s="212"/>
      <c r="AQ130" s="212"/>
      <c r="AR130" s="220"/>
      <c r="AS130" s="225"/>
      <c r="AT130" s="220"/>
      <c r="AU130" s="225"/>
      <c r="AV130" s="220"/>
      <c r="AW130" s="246"/>
      <c r="AX130" s="220"/>
    </row>
    <row r="131" spans="1:50" s="54" customFormat="1" ht="15" customHeight="1">
      <c r="A131" s="113"/>
      <c r="B131" s="156" t="s">
        <v>650</v>
      </c>
      <c r="C131" s="115"/>
      <c r="D131" s="217"/>
      <c r="E131" s="217"/>
      <c r="F131" s="217"/>
      <c r="G131" s="217"/>
      <c r="H131" s="220" t="str">
        <f>IF(ROUND(CF!H21,0)=ROUND(SUM(CF!D21:G21),0),"OK","ERROR")</f>
        <v>OK</v>
      </c>
      <c r="I131" s="210"/>
      <c r="J131" s="217"/>
      <c r="K131" s="217"/>
      <c r="L131" s="217"/>
      <c r="M131" s="217"/>
      <c r="N131" s="220" t="str">
        <f>IF(ROUND(CF!N21,0)=ROUND(SUM(CF!J21:M21),0),"OK","ERROR")</f>
        <v>OK</v>
      </c>
      <c r="O131" s="210"/>
      <c r="P131" s="217"/>
      <c r="Q131" s="217"/>
      <c r="R131" s="217"/>
      <c r="S131" s="217"/>
      <c r="T131" s="220" t="str">
        <f>IF(ROUND(CF!T21,0)=ROUND(SUM(CF!P21:S21),0),"OK","ERROR")</f>
        <v>OK</v>
      </c>
      <c r="U131" s="210"/>
      <c r="V131" s="217"/>
      <c r="W131" s="217"/>
      <c r="X131" s="217"/>
      <c r="Y131" s="217"/>
      <c r="Z131" s="220" t="str">
        <f>IF(ROUND(CF!Z21,0)=ROUND(SUM(CF!V21:Y21),0),"OK","ERROR")</f>
        <v>OK</v>
      </c>
      <c r="AA131" s="213"/>
      <c r="AB131" s="217"/>
      <c r="AC131" s="217"/>
      <c r="AD131" s="217"/>
      <c r="AE131" s="217"/>
      <c r="AF131" s="220" t="str">
        <f>IF(ROUND(CF!AF21,0)=ROUND(SUM(CF!AB21:AE21),0),"OK","ERROR")</f>
        <v>OK</v>
      </c>
      <c r="AG131" s="211"/>
      <c r="AH131" s="217"/>
      <c r="AI131" s="217"/>
      <c r="AJ131" s="212"/>
      <c r="AK131" s="212"/>
      <c r="AL131" s="220" t="str">
        <f>IF(ROUND(CF!AL21,0)=ROUND(SUM(CF!AH21:AK21),0),"OK","ERROR")</f>
        <v>ERROR</v>
      </c>
      <c r="AM131" s="225"/>
      <c r="AN131" s="212"/>
      <c r="AO131" s="212"/>
      <c r="AP131" s="212"/>
      <c r="AQ131" s="212"/>
      <c r="AR131" s="220" t="str">
        <f>IF(ROUND(CF!AR21,0)=ROUND(SUM(CF!AN21:AQ21),0),"OK","ERROR")</f>
        <v>OK</v>
      </c>
      <c r="AS131" s="225"/>
      <c r="AT131" s="220" t="str">
        <f>IF(ROUND(CF!AT21,0)=ROUND(SUM(CF!AP21:AS21),0),"OK","ERROR")</f>
        <v>OK</v>
      </c>
      <c r="AU131" s="225"/>
      <c r="AV131" s="220" t="str">
        <f>IF(ROUND(CF!AV21,0)=ROUND(SUM(CF!AR21:AU21),0),"OK","ERROR")</f>
        <v>OK</v>
      </c>
      <c r="AW131" s="246"/>
      <c r="AX131" s="220" t="str">
        <f>IF(ROUND(CF!AX21,0)=ROUND(SUM(CF!AT21:AW21),0),"OK","ERROR")</f>
        <v>OK</v>
      </c>
    </row>
    <row r="132" spans="1:50" s="54" customFormat="1" ht="15" customHeight="1">
      <c r="A132" s="43"/>
      <c r="B132" s="156" t="s">
        <v>685</v>
      </c>
      <c r="C132" s="17"/>
      <c r="D132" s="217"/>
      <c r="E132" s="217"/>
      <c r="F132" s="217"/>
      <c r="G132" s="217"/>
      <c r="H132" s="220" t="str">
        <f>IF(ROUND(CF!H22,0)=ROUND(SUM(CF!D22:G22),0),"OK","ERROR")</f>
        <v>OK</v>
      </c>
      <c r="I132" s="210"/>
      <c r="J132" s="217"/>
      <c r="K132" s="217"/>
      <c r="L132" s="217"/>
      <c r="M132" s="217"/>
      <c r="N132" s="220" t="str">
        <f>IF(ROUND(CF!N22,0)=ROUND(SUM(CF!J22:M22),0),"OK","ERROR")</f>
        <v>OK</v>
      </c>
      <c r="O132" s="210"/>
      <c r="P132" s="217"/>
      <c r="Q132" s="217"/>
      <c r="R132" s="217"/>
      <c r="S132" s="217"/>
      <c r="T132" s="220" t="str">
        <f>IF(ROUND(CF!T22,0)=ROUND(SUM(CF!P22:S22),0),"OK","ERROR")</f>
        <v>OK</v>
      </c>
      <c r="U132" s="210"/>
      <c r="V132" s="217"/>
      <c r="W132" s="217"/>
      <c r="X132" s="217"/>
      <c r="Y132" s="217"/>
      <c r="Z132" s="220" t="str">
        <f>IF(ROUND(CF!Z22,0)=ROUND(SUM(CF!V22:Y22),0),"OK","ERROR")</f>
        <v>OK</v>
      </c>
      <c r="AA132" s="213"/>
      <c r="AB132" s="217"/>
      <c r="AC132" s="217"/>
      <c r="AD132" s="217"/>
      <c r="AE132" s="217"/>
      <c r="AF132" s="220" t="str">
        <f>IF(ROUND(CF!AF22,0)=ROUND(SUM(CF!AB22:AE22),0),"OK","ERROR")</f>
        <v>OK</v>
      </c>
      <c r="AG132" s="211"/>
      <c r="AH132" s="217"/>
      <c r="AI132" s="217"/>
      <c r="AJ132" s="212"/>
      <c r="AK132" s="212"/>
      <c r="AL132" s="220" t="str">
        <f>IF(ROUND(CF!AL22,0)=ROUND(SUM(CF!AH22:AK22),0),"OK","ERROR")</f>
        <v>ERROR</v>
      </c>
      <c r="AM132" s="225"/>
      <c r="AN132" s="212"/>
      <c r="AO132" s="212"/>
      <c r="AP132" s="212"/>
      <c r="AQ132" s="212"/>
      <c r="AR132" s="220" t="str">
        <f>IF(ROUND(CF!AR22,0)=ROUND(SUM(CF!AN22:AQ22),0),"OK","ERROR")</f>
        <v>OK</v>
      </c>
      <c r="AS132" s="225"/>
      <c r="AT132" s="220" t="str">
        <f>IF(ROUND(CF!AT22,0)=ROUND(SUM(CF!AP22:AS22),0),"OK","ERROR")</f>
        <v>OK</v>
      </c>
      <c r="AU132" s="225"/>
      <c r="AV132" s="220" t="str">
        <f>IF(ROUND(CF!AV22,0)=ROUND(SUM(CF!AR22:AU22),0),"OK","ERROR")</f>
        <v>OK</v>
      </c>
      <c r="AW132" s="246"/>
      <c r="AX132" s="220" t="str">
        <f>IF(ROUND(CF!AX22,0)=ROUND(SUM(CF!AT22:AW22),0),"OK","ERROR")</f>
        <v>OK</v>
      </c>
    </row>
    <row r="133" spans="1:50" s="54" customFormat="1" ht="15" customHeight="1">
      <c r="A133" s="113"/>
      <c r="B133" s="156" t="s">
        <v>662</v>
      </c>
      <c r="C133" s="115"/>
      <c r="D133" s="217"/>
      <c r="E133" s="217"/>
      <c r="F133" s="217"/>
      <c r="G133" s="217"/>
      <c r="H133" s="220" t="str">
        <f>IF(ROUND(CF!H23,0)=ROUND(SUM(CF!D23:G23),0),"OK","ERROR")</f>
        <v>OK</v>
      </c>
      <c r="I133" s="210"/>
      <c r="J133" s="217"/>
      <c r="K133" s="217"/>
      <c r="L133" s="217"/>
      <c r="M133" s="217"/>
      <c r="N133" s="220" t="str">
        <f>IF(ROUND(CF!N23,0)=ROUND(SUM(CF!J23:M23),0),"OK","ERROR")</f>
        <v>OK</v>
      </c>
      <c r="O133" s="210"/>
      <c r="P133" s="217"/>
      <c r="Q133" s="217"/>
      <c r="R133" s="217"/>
      <c r="S133" s="217"/>
      <c r="T133" s="220" t="str">
        <f>IF(ROUND(CF!T23,0)=ROUND(SUM(CF!P23:S23),0),"OK","ERROR")</f>
        <v>OK</v>
      </c>
      <c r="U133" s="210"/>
      <c r="V133" s="217"/>
      <c r="W133" s="217"/>
      <c r="X133" s="217"/>
      <c r="Y133" s="217"/>
      <c r="Z133" s="220" t="str">
        <f>IF(ROUND(CF!Z23,0)=ROUND(SUM(CF!V23:Y23),0),"OK","ERROR")</f>
        <v>OK</v>
      </c>
      <c r="AA133" s="213"/>
      <c r="AB133" s="217"/>
      <c r="AC133" s="217"/>
      <c r="AD133" s="217"/>
      <c r="AE133" s="217"/>
      <c r="AF133" s="220" t="str">
        <f>IF(ROUND(CF!AF23,0)=ROUND(SUM(CF!AB23:AE23),0),"OK","ERROR")</f>
        <v>OK</v>
      </c>
      <c r="AG133" s="211"/>
      <c r="AH133" s="217"/>
      <c r="AI133" s="217"/>
      <c r="AJ133" s="212"/>
      <c r="AK133" s="212"/>
      <c r="AL133" s="220" t="str">
        <f>IF(ROUND(CF!AL23,0)=ROUND(SUM(CF!AH23:AK23),0),"OK","ERROR")</f>
        <v>ERROR</v>
      </c>
      <c r="AM133" s="225"/>
      <c r="AN133" s="212"/>
      <c r="AO133" s="212"/>
      <c r="AP133" s="212"/>
      <c r="AQ133" s="212"/>
      <c r="AR133" s="220" t="str">
        <f>IF(ROUND(CF!AR23,0)=ROUND(SUM(CF!AN23:AQ23),0),"OK","ERROR")</f>
        <v>OK</v>
      </c>
      <c r="AS133" s="225"/>
      <c r="AT133" s="220" t="str">
        <f>IF(ROUND(CF!AT23,0)=ROUND(SUM(CF!AP23:AS23),0),"OK","ERROR")</f>
        <v>OK</v>
      </c>
      <c r="AU133" s="225"/>
      <c r="AV133" s="220" t="str">
        <f>IF(ROUND(CF!AV23,0)=ROUND(SUM(CF!AR23:AU23),0),"OK","ERROR")</f>
        <v>OK</v>
      </c>
      <c r="AW133" s="246"/>
      <c r="AX133" s="220" t="str">
        <f>IF(ROUND(CF!AX23,0)=ROUND(SUM(CF!AT23:AW23),0),"OK","ERROR")</f>
        <v>OK</v>
      </c>
    </row>
    <row r="134" spans="1:50" s="54" customFormat="1" ht="15" customHeight="1">
      <c r="A134" s="113"/>
      <c r="B134" s="156" t="s">
        <v>116</v>
      </c>
      <c r="C134" s="115"/>
      <c r="D134" s="217"/>
      <c r="E134" s="217"/>
      <c r="F134" s="217"/>
      <c r="G134" s="217"/>
      <c r="H134" s="226" t="str">
        <f>IF(ROUND(CF!H24,0)=ROUND(SUM(CF!D24:G24),0),"OK","ERROR")</f>
        <v>OK</v>
      </c>
      <c r="I134" s="210"/>
      <c r="J134" s="217"/>
      <c r="K134" s="217"/>
      <c r="L134" s="217"/>
      <c r="M134" s="217"/>
      <c r="N134" s="226" t="str">
        <f>IF(ROUND(CF!N24,0)=ROUND(SUM(CF!J24:M24),0),"OK","ERROR")</f>
        <v>OK</v>
      </c>
      <c r="O134" s="210"/>
      <c r="P134" s="217"/>
      <c r="Q134" s="217"/>
      <c r="R134" s="217"/>
      <c r="S134" s="217"/>
      <c r="T134" s="226" t="str">
        <f>IF(ROUND(CF!T24,0)=ROUND(SUM(CF!P24:S24),0),"OK","ERROR")</f>
        <v>OK</v>
      </c>
      <c r="U134" s="210"/>
      <c r="V134" s="217"/>
      <c r="W134" s="217"/>
      <c r="X134" s="217"/>
      <c r="Y134" s="217"/>
      <c r="Z134" s="226" t="str">
        <f>IF(ROUND(CF!Z24,0)=ROUND(SUM(CF!V24:Y24),0),"OK","ERROR")</f>
        <v>OK</v>
      </c>
      <c r="AA134" s="228"/>
      <c r="AB134" s="217"/>
      <c r="AC134" s="217"/>
      <c r="AD134" s="217"/>
      <c r="AE134" s="217"/>
      <c r="AF134" s="226" t="str">
        <f>IF(ROUND(CF!AF24,0)=ROUND(SUM(CF!AB24:AE24),0),"OK","ERROR")</f>
        <v>OK</v>
      </c>
      <c r="AG134" s="229"/>
      <c r="AH134" s="217"/>
      <c r="AI134" s="217"/>
      <c r="AJ134" s="212"/>
      <c r="AK134" s="212"/>
      <c r="AL134" s="226" t="str">
        <f>IF(ROUND(CF!AL24,0)=ROUND(SUM(CF!AH24:AK24),0),"OK","ERROR")</f>
        <v>ERROR</v>
      </c>
      <c r="AM134" s="230"/>
      <c r="AN134" s="212"/>
      <c r="AO134" s="212"/>
      <c r="AP134" s="212"/>
      <c r="AQ134" s="212"/>
      <c r="AR134" s="226" t="str">
        <f>IF(ROUND(CF!AR24,0)=ROUND(SUM(CF!AN24:AQ24),0),"OK","ERROR")</f>
        <v>OK</v>
      </c>
      <c r="AS134" s="230"/>
      <c r="AT134" s="226" t="str">
        <f>IF(ROUND(CF!AT24,0)=ROUND(SUM(CF!AP24:AS24),0),"OK","ERROR")</f>
        <v>OK</v>
      </c>
      <c r="AU134" s="230"/>
      <c r="AV134" s="226" t="str">
        <f>IF(ROUND(CF!AV24,0)=ROUND(SUM(CF!AR24:AU24),0),"OK","ERROR")</f>
        <v>OK</v>
      </c>
      <c r="AW134" s="246"/>
      <c r="AX134" s="226" t="str">
        <f>IF(ROUND(CF!AX24,0)=ROUND(SUM(CF!AT24:AW24),0),"OK","ERROR")</f>
        <v>OK</v>
      </c>
    </row>
    <row r="135" spans="1:50" s="54" customFormat="1" ht="15" customHeight="1" thickBot="1">
      <c r="A135" s="84"/>
      <c r="B135" s="157" t="s">
        <v>686</v>
      </c>
      <c r="C135" s="26"/>
      <c r="D135" s="217"/>
      <c r="E135" s="217"/>
      <c r="F135" s="217"/>
      <c r="G135" s="217"/>
      <c r="H135" s="237" t="str">
        <f>IF(ROUND(CF!H25,0)=ROUND(SUM(CF!D25:G25),0),"OK","ERROR")</f>
        <v>OK</v>
      </c>
      <c r="I135" s="210"/>
      <c r="J135" s="217"/>
      <c r="K135" s="217"/>
      <c r="L135" s="217"/>
      <c r="M135" s="217"/>
      <c r="N135" s="237" t="str">
        <f>IF(ROUND(CF!N25,0)=ROUND(SUM(CF!J25:M25),0),"OK","ERROR")</f>
        <v>OK</v>
      </c>
      <c r="O135" s="210"/>
      <c r="P135" s="217"/>
      <c r="Q135" s="217"/>
      <c r="R135" s="217"/>
      <c r="S135" s="217"/>
      <c r="T135" s="237" t="str">
        <f>IF(ROUND(CF!T25,0)=ROUND(SUM(CF!P25:S25),0),"OK","ERROR")</f>
        <v>OK</v>
      </c>
      <c r="U135" s="210"/>
      <c r="V135" s="217"/>
      <c r="W135" s="217"/>
      <c r="X135" s="217"/>
      <c r="Y135" s="217"/>
      <c r="Z135" s="237" t="str">
        <f>IF(ROUND(CF!Z25,0)=ROUND(SUM(CF!V25:Y25),0),"OK","ERROR")</f>
        <v>OK</v>
      </c>
      <c r="AA135" s="228"/>
      <c r="AB135" s="217"/>
      <c r="AC135" s="217"/>
      <c r="AD135" s="217"/>
      <c r="AE135" s="217"/>
      <c r="AF135" s="237" t="str">
        <f>IF(ROUND(CF!AF25,0)=ROUND(SUM(CF!AB25:AE25),0),"OK","ERROR")</f>
        <v>OK</v>
      </c>
      <c r="AG135" s="229"/>
      <c r="AH135" s="217"/>
      <c r="AI135" s="217"/>
      <c r="AJ135" s="212"/>
      <c r="AK135" s="212"/>
      <c r="AL135" s="237" t="str">
        <f>IF(ROUND(CF!AL25,0)=ROUND(SUM(CF!AH25:AK25),0),"OK","ERROR")</f>
        <v>ERROR</v>
      </c>
      <c r="AM135" s="230"/>
      <c r="AN135" s="212"/>
      <c r="AO135" s="212"/>
      <c r="AP135" s="212"/>
      <c r="AQ135" s="212"/>
      <c r="AR135" s="237" t="str">
        <f>IF(ROUND(CF!AR25,0)=ROUND(SUM(CF!AN25:AQ25),0),"OK","ERROR")</f>
        <v>OK</v>
      </c>
      <c r="AS135" s="230"/>
      <c r="AT135" s="237" t="str">
        <f>IF(ROUND(CF!AT25,0)=ROUND(SUM(CF!AP25:AS25),0),"OK","ERROR")</f>
        <v>OK</v>
      </c>
      <c r="AU135" s="230"/>
      <c r="AV135" s="237" t="str">
        <f>IF(ROUND(CF!AV25,0)=ROUND(SUM(CF!AR25:AU25),0),"OK","ERROR")</f>
        <v>OK</v>
      </c>
      <c r="AW135" s="246"/>
      <c r="AX135" s="237" t="str">
        <f>IF(ROUND(CF!AX25,0)=ROUND(SUM(CF!AT25:AW25),0),"OK","ERROR")</f>
        <v>OK</v>
      </c>
    </row>
    <row r="136" spans="1:50" s="54" customFormat="1" ht="15" customHeight="1" thickTop="1">
      <c r="A136" s="43"/>
      <c r="B136" s="154"/>
      <c r="C136" s="17"/>
      <c r="D136" s="208"/>
      <c r="E136" s="208"/>
      <c r="F136" s="208"/>
      <c r="G136" s="208"/>
      <c r="H136" s="220"/>
      <c r="I136" s="210"/>
      <c r="J136" s="208"/>
      <c r="K136" s="208"/>
      <c r="L136" s="208"/>
      <c r="M136" s="208"/>
      <c r="N136" s="220"/>
      <c r="O136" s="210"/>
      <c r="P136" s="208"/>
      <c r="Q136" s="208"/>
      <c r="R136" s="208"/>
      <c r="S136" s="208"/>
      <c r="T136" s="220"/>
      <c r="U136" s="210"/>
      <c r="V136" s="208"/>
      <c r="W136" s="208"/>
      <c r="X136" s="208"/>
      <c r="Y136" s="208"/>
      <c r="Z136" s="220"/>
      <c r="AA136" s="213"/>
      <c r="AB136" s="208"/>
      <c r="AC136" s="208"/>
      <c r="AD136" s="208"/>
      <c r="AE136" s="208"/>
      <c r="AF136" s="220"/>
      <c r="AG136" s="211"/>
      <c r="AH136" s="208"/>
      <c r="AI136" s="208"/>
      <c r="AJ136" s="212"/>
      <c r="AK136" s="212"/>
      <c r="AL136" s="220"/>
      <c r="AM136" s="225"/>
      <c r="AN136" s="212"/>
      <c r="AO136" s="212"/>
      <c r="AP136" s="212"/>
      <c r="AQ136" s="212"/>
      <c r="AR136" s="220"/>
      <c r="AS136" s="225"/>
      <c r="AT136" s="220"/>
      <c r="AU136" s="225"/>
      <c r="AV136" s="220"/>
      <c r="AW136" s="246"/>
      <c r="AX136" s="220"/>
    </row>
    <row r="137" spans="1:50" s="54" customFormat="1" ht="15" customHeight="1">
      <c r="A137" s="44" t="s">
        <v>37</v>
      </c>
      <c r="B137" s="158" t="s">
        <v>687</v>
      </c>
      <c r="C137" s="115"/>
      <c r="D137" s="208"/>
      <c r="E137" s="208"/>
      <c r="F137" s="208"/>
      <c r="G137" s="208"/>
      <c r="H137" s="220"/>
      <c r="I137" s="210"/>
      <c r="J137" s="208"/>
      <c r="K137" s="208"/>
      <c r="L137" s="208"/>
      <c r="M137" s="208"/>
      <c r="N137" s="220"/>
      <c r="O137" s="210"/>
      <c r="P137" s="208"/>
      <c r="Q137" s="208"/>
      <c r="R137" s="208"/>
      <c r="S137" s="208"/>
      <c r="T137" s="220"/>
      <c r="U137" s="210"/>
      <c r="V137" s="208"/>
      <c r="W137" s="208"/>
      <c r="X137" s="208"/>
      <c r="Y137" s="208"/>
      <c r="Z137" s="220"/>
      <c r="AA137" s="228"/>
      <c r="AB137" s="208"/>
      <c r="AC137" s="208"/>
      <c r="AD137" s="208"/>
      <c r="AE137" s="208"/>
      <c r="AF137" s="220"/>
      <c r="AG137" s="229"/>
      <c r="AH137" s="208"/>
      <c r="AI137" s="208"/>
      <c r="AJ137" s="212"/>
      <c r="AK137" s="212"/>
      <c r="AL137" s="220"/>
      <c r="AM137" s="230"/>
      <c r="AN137" s="212"/>
      <c r="AO137" s="212"/>
      <c r="AP137" s="212"/>
      <c r="AQ137" s="212"/>
      <c r="AR137" s="220"/>
      <c r="AS137" s="230"/>
      <c r="AT137" s="220"/>
      <c r="AU137" s="230"/>
      <c r="AV137" s="220"/>
      <c r="AW137" s="246"/>
      <c r="AX137" s="220"/>
    </row>
    <row r="138" spans="1:50" s="54" customFormat="1" ht="15" customHeight="1">
      <c r="A138" s="43"/>
      <c r="B138" s="159" t="s">
        <v>688</v>
      </c>
      <c r="C138" s="17"/>
      <c r="D138" s="217"/>
      <c r="E138" s="217"/>
      <c r="F138" s="217"/>
      <c r="G138" s="217"/>
      <c r="H138" s="220" t="str">
        <f>IF(ROUND(CF!H28,0)=ROUND(SUM(CF!D28:G28),0),"OK","ERROR")</f>
        <v>OK</v>
      </c>
      <c r="I138" s="210"/>
      <c r="J138" s="217"/>
      <c r="K138" s="217"/>
      <c r="L138" s="217"/>
      <c r="M138" s="217"/>
      <c r="N138" s="220" t="str">
        <f>IF(ROUND(CF!N28,0)=ROUND(SUM(CF!J28:M28),0),"OK","ERROR")</f>
        <v>OK</v>
      </c>
      <c r="O138" s="210"/>
      <c r="P138" s="217"/>
      <c r="Q138" s="217"/>
      <c r="R138" s="217"/>
      <c r="S138" s="217"/>
      <c r="T138" s="220" t="str">
        <f>IF(ROUND(CF!T28,0)=ROUND(SUM(CF!P28:S28),0),"OK","ERROR")</f>
        <v>OK</v>
      </c>
      <c r="U138" s="210"/>
      <c r="V138" s="217"/>
      <c r="W138" s="217"/>
      <c r="X138" s="217"/>
      <c r="Y138" s="217"/>
      <c r="Z138" s="220" t="str">
        <f>IF(ROUND(CF!Z28,0)=ROUND(SUM(CF!V28:Y28),0),"OK","ERROR")</f>
        <v>OK</v>
      </c>
      <c r="AA138" s="213"/>
      <c r="AB138" s="217"/>
      <c r="AC138" s="217"/>
      <c r="AD138" s="217"/>
      <c r="AE138" s="217"/>
      <c r="AF138" s="220" t="str">
        <f>IF(ROUND(CF!AF28,0)=ROUND(SUM(CF!AB28:AE28),0),"OK","ERROR")</f>
        <v>OK</v>
      </c>
      <c r="AG138" s="211"/>
      <c r="AH138" s="217"/>
      <c r="AI138" s="217"/>
      <c r="AJ138" s="212"/>
      <c r="AK138" s="212"/>
      <c r="AL138" s="220" t="str">
        <f>IF(ROUND(CF!AL28,0)=ROUND(SUM(CF!AH28:AK28),0),"OK","ERROR")</f>
        <v>ERROR</v>
      </c>
      <c r="AM138" s="225"/>
      <c r="AN138" s="212"/>
      <c r="AO138" s="212"/>
      <c r="AP138" s="212"/>
      <c r="AQ138" s="212"/>
      <c r="AR138" s="220" t="str">
        <f>IF(ROUND(CF!AR28,0)=ROUND(SUM(CF!AN28:AQ28),0),"OK","ERROR")</f>
        <v>OK</v>
      </c>
      <c r="AS138" s="225"/>
      <c r="AT138" s="220" t="str">
        <f>IF(ROUND(CF!AT28,0)=ROUND(SUM(CF!AP28:AS28),0),"OK","ERROR")</f>
        <v>OK</v>
      </c>
      <c r="AU138" s="225"/>
      <c r="AV138" s="220" t="str">
        <f>IF(ROUND(CF!AV28,0)=ROUND(SUM(CF!AR28:AU28),0),"OK","ERROR")</f>
        <v>OK</v>
      </c>
      <c r="AW138" s="246"/>
      <c r="AX138" s="220" t="str">
        <f>IF(ROUND(CF!AX28,0)=ROUND(SUM(CF!AT28:AW28),0),"OK","ERROR")</f>
        <v>OK</v>
      </c>
    </row>
    <row r="139" spans="1:50" s="54" customFormat="1" ht="15" customHeight="1">
      <c r="A139" s="113"/>
      <c r="B139" s="159" t="s">
        <v>689</v>
      </c>
      <c r="C139" s="115"/>
      <c r="D139" s="217"/>
      <c r="E139" s="217"/>
      <c r="F139" s="217"/>
      <c r="G139" s="217"/>
      <c r="H139" s="220" t="str">
        <f>IF(ROUND(CF!H29,0)=ROUND(SUM(CF!D29:G29),0),"OK","ERROR")</f>
        <v>OK</v>
      </c>
      <c r="I139" s="210"/>
      <c r="J139" s="217"/>
      <c r="K139" s="217"/>
      <c r="L139" s="217"/>
      <c r="M139" s="217"/>
      <c r="N139" s="220" t="str">
        <f>IF(ROUND(CF!N29,0)=ROUND(SUM(CF!J29:M29),0),"OK","ERROR")</f>
        <v>OK</v>
      </c>
      <c r="O139" s="210"/>
      <c r="P139" s="217"/>
      <c r="Q139" s="217"/>
      <c r="R139" s="217"/>
      <c r="S139" s="217"/>
      <c r="T139" s="220" t="str">
        <f>IF(ROUND(CF!T29,0)=ROUND(SUM(CF!P29:S29),0),"OK","ERROR")</f>
        <v>OK</v>
      </c>
      <c r="U139" s="210"/>
      <c r="V139" s="217"/>
      <c r="W139" s="217"/>
      <c r="X139" s="217"/>
      <c r="Y139" s="217"/>
      <c r="Z139" s="220" t="str">
        <f>IF(ROUND(CF!Z29,0)=ROUND(SUM(CF!V29:Y29),0),"OK","ERROR")</f>
        <v>OK</v>
      </c>
      <c r="AA139" s="228"/>
      <c r="AB139" s="217"/>
      <c r="AC139" s="217"/>
      <c r="AD139" s="217"/>
      <c r="AE139" s="217"/>
      <c r="AF139" s="220" t="str">
        <f>IF(ROUND(CF!AF29,0)=ROUND(SUM(CF!AB29:AE29),0),"OK","ERROR")</f>
        <v>OK</v>
      </c>
      <c r="AG139" s="229"/>
      <c r="AH139" s="217"/>
      <c r="AI139" s="217"/>
      <c r="AJ139" s="212"/>
      <c r="AK139" s="212"/>
      <c r="AL139" s="220" t="str">
        <f>IF(ROUND(CF!AL29,0)=ROUND(SUM(CF!AH29:AK29),0),"OK","ERROR")</f>
        <v>OK</v>
      </c>
      <c r="AM139" s="230"/>
      <c r="AN139" s="212"/>
      <c r="AO139" s="212"/>
      <c r="AP139" s="212"/>
      <c r="AQ139" s="212"/>
      <c r="AR139" s="220" t="str">
        <f>IF(ROUND(CF!AR29,0)=ROUND(SUM(CF!AN29:AQ29),0),"OK","ERROR")</f>
        <v>OK</v>
      </c>
      <c r="AS139" s="230"/>
      <c r="AT139" s="220" t="str">
        <f>IF(ROUND(CF!AT29,0)=ROUND(SUM(CF!AP29:AS29),0),"OK","ERROR")</f>
        <v>OK</v>
      </c>
      <c r="AU139" s="230"/>
      <c r="AV139" s="220" t="str">
        <f>IF(ROUND(CF!AV29,0)=ROUND(SUM(CF!AR29:AU29),0),"OK","ERROR")</f>
        <v>OK</v>
      </c>
      <c r="AW139" s="246"/>
      <c r="AX139" s="220" t="str">
        <f>IF(ROUND(CF!AX29,0)=ROUND(SUM(CF!AT29:AW29),0),"OK","ERROR")</f>
        <v>OK</v>
      </c>
    </row>
    <row r="140" spans="1:50" s="54" customFormat="1" ht="15" customHeight="1">
      <c r="A140" s="43"/>
      <c r="B140" s="159" t="s">
        <v>690</v>
      </c>
      <c r="C140" s="17"/>
      <c r="D140" s="217"/>
      <c r="E140" s="217"/>
      <c r="F140" s="217"/>
      <c r="G140" s="217"/>
      <c r="H140" s="220" t="str">
        <f>IF(ROUND(CF!H30,0)=ROUND(SUM(CF!D30:G30),0),"OK","ERROR")</f>
        <v>OK</v>
      </c>
      <c r="I140" s="210"/>
      <c r="J140" s="217"/>
      <c r="K140" s="217"/>
      <c r="L140" s="217"/>
      <c r="M140" s="217"/>
      <c r="N140" s="220" t="str">
        <f>IF(ROUND(CF!N30,0)=ROUND(SUM(CF!J30:M30),0),"OK","ERROR")</f>
        <v>OK</v>
      </c>
      <c r="O140" s="210"/>
      <c r="P140" s="217"/>
      <c r="Q140" s="217"/>
      <c r="R140" s="217"/>
      <c r="S140" s="217"/>
      <c r="T140" s="220" t="str">
        <f>IF(ROUND(CF!T30,0)=ROUND(SUM(CF!P30:S30),0),"OK","ERROR")</f>
        <v>OK</v>
      </c>
      <c r="U140" s="210"/>
      <c r="V140" s="217"/>
      <c r="W140" s="217"/>
      <c r="X140" s="217"/>
      <c r="Y140" s="217"/>
      <c r="Z140" s="220" t="str">
        <f>IF(ROUND(CF!Z30,0)=ROUND(SUM(CF!V30:Y30),0),"OK","ERROR")</f>
        <v>OK</v>
      </c>
      <c r="AA140" s="213"/>
      <c r="AB140" s="217"/>
      <c r="AC140" s="217"/>
      <c r="AD140" s="217"/>
      <c r="AE140" s="217"/>
      <c r="AF140" s="220" t="str">
        <f>IF(ROUND(CF!AF30,0)=ROUND(SUM(CF!AB30:AE30),0),"OK","ERROR")</f>
        <v>OK</v>
      </c>
      <c r="AG140" s="211"/>
      <c r="AH140" s="217"/>
      <c r="AI140" s="217"/>
      <c r="AJ140" s="212"/>
      <c r="AK140" s="212"/>
      <c r="AL140" s="220" t="str">
        <f>IF(ROUND(CF!AL30,0)=ROUND(SUM(CF!AH30:AK30),0),"OK","ERROR")</f>
        <v>OK</v>
      </c>
      <c r="AM140" s="225"/>
      <c r="AN140" s="212"/>
      <c r="AO140" s="212"/>
      <c r="AP140" s="212"/>
      <c r="AQ140" s="212"/>
      <c r="AR140" s="220" t="str">
        <f>IF(ROUND(CF!AR30,0)=ROUND(SUM(CF!AN30:AQ30),0),"OK","ERROR")</f>
        <v>OK</v>
      </c>
      <c r="AS140" s="225"/>
      <c r="AT140" s="220" t="str">
        <f>IF(ROUND(CF!AT30,0)=ROUND(SUM(CF!AP30:AS30),0),"OK","ERROR")</f>
        <v>OK</v>
      </c>
      <c r="AU140" s="225"/>
      <c r="AV140" s="220" t="str">
        <f>IF(ROUND(CF!AV30,0)=ROUND(SUM(CF!AR30:AU30),0),"OK","ERROR")</f>
        <v>OK</v>
      </c>
      <c r="AW140" s="246"/>
      <c r="AX140" s="220" t="str">
        <f>IF(ROUND(CF!AX30,0)=ROUND(SUM(CF!AT30:AW30),0),"OK","ERROR")</f>
        <v>OK</v>
      </c>
    </row>
    <row r="141" spans="1:50" s="54" customFormat="1" ht="15" customHeight="1">
      <c r="A141" s="113"/>
      <c r="B141" s="159" t="s">
        <v>691</v>
      </c>
      <c r="C141" s="115"/>
      <c r="D141" s="217"/>
      <c r="E141" s="217"/>
      <c r="F141" s="217"/>
      <c r="G141" s="217"/>
      <c r="H141" s="220" t="str">
        <f>IF(ROUND(CF!H31,0)=ROUND(SUM(CF!D31:G31),0),"OK","ERROR")</f>
        <v>OK</v>
      </c>
      <c r="I141" s="210"/>
      <c r="J141" s="217"/>
      <c r="K141" s="217"/>
      <c r="L141" s="217"/>
      <c r="M141" s="217"/>
      <c r="N141" s="220" t="str">
        <f>IF(ROUND(CF!N31,0)=ROUND(SUM(CF!J31:M31),0),"OK","ERROR")</f>
        <v>OK</v>
      </c>
      <c r="O141" s="210"/>
      <c r="P141" s="217"/>
      <c r="Q141" s="217"/>
      <c r="R141" s="217"/>
      <c r="S141" s="217"/>
      <c r="T141" s="220" t="str">
        <f>IF(ROUND(CF!T31,0)=ROUND(SUM(CF!P31:S31),0),"OK","ERROR")</f>
        <v>OK</v>
      </c>
      <c r="U141" s="210"/>
      <c r="V141" s="217"/>
      <c r="W141" s="217"/>
      <c r="X141" s="217"/>
      <c r="Y141" s="217"/>
      <c r="Z141" s="220" t="str">
        <f>IF(ROUND(CF!Z31,0)=ROUND(SUM(CF!V31:Y31),0),"OK","ERROR")</f>
        <v>OK</v>
      </c>
      <c r="AA141" s="228"/>
      <c r="AB141" s="217"/>
      <c r="AC141" s="217"/>
      <c r="AD141" s="217"/>
      <c r="AE141" s="217"/>
      <c r="AF141" s="220" t="str">
        <f>IF(ROUND(CF!AF31,0)=ROUND(SUM(CF!AB31:AE31),0),"OK","ERROR")</f>
        <v>OK</v>
      </c>
      <c r="AG141" s="229"/>
      <c r="AH141" s="217"/>
      <c r="AI141" s="217"/>
      <c r="AJ141" s="212"/>
      <c r="AK141" s="212"/>
      <c r="AL141" s="220" t="str">
        <f>IF(ROUND(CF!AL31,0)=ROUND(SUM(CF!AH31:AK31),0),"OK","ERROR")</f>
        <v>OK</v>
      </c>
      <c r="AM141" s="234"/>
      <c r="AN141" s="212"/>
      <c r="AO141" s="212"/>
      <c r="AP141" s="212"/>
      <c r="AQ141" s="212"/>
      <c r="AR141" s="220" t="str">
        <f>IF(ROUND(CF!AR31,0)=ROUND(SUM(CF!AN31:AQ31),0),"OK","ERROR")</f>
        <v>OK</v>
      </c>
      <c r="AS141" s="234"/>
      <c r="AT141" s="220" t="str">
        <f>IF(ROUND(CF!AT31,0)=ROUND(SUM(CF!AP31:AS31),0),"OK","ERROR")</f>
        <v>OK</v>
      </c>
      <c r="AU141" s="234"/>
      <c r="AV141" s="220" t="str">
        <f>IF(ROUND(CF!AV31,0)=ROUND(SUM(CF!AR31:AU31),0),"OK","ERROR")</f>
        <v>OK</v>
      </c>
      <c r="AW141" s="246"/>
      <c r="AX141" s="220" t="str">
        <f>IF(ROUND(CF!AX31,0)=ROUND(SUM(CF!AT31:AW31),0),"OK","ERROR")</f>
        <v>OK</v>
      </c>
    </row>
    <row r="142" spans="1:50" s="54" customFormat="1" ht="15" customHeight="1">
      <c r="A142" s="113"/>
      <c r="B142" s="159" t="s">
        <v>692</v>
      </c>
      <c r="C142" s="115"/>
      <c r="D142" s="217"/>
      <c r="E142" s="217"/>
      <c r="F142" s="217"/>
      <c r="G142" s="217"/>
      <c r="H142" s="220" t="str">
        <f>IF(ROUND(CF!H32,0)=ROUND(SUM(CF!D32:G32),0),"OK","ERROR")</f>
        <v>OK</v>
      </c>
      <c r="I142" s="210"/>
      <c r="J142" s="217"/>
      <c r="K142" s="217"/>
      <c r="L142" s="217"/>
      <c r="M142" s="217"/>
      <c r="N142" s="220" t="str">
        <f>IF(ROUND(CF!N32,0)=ROUND(SUM(CF!J32:M32),0),"OK","ERROR")</f>
        <v>OK</v>
      </c>
      <c r="O142" s="210"/>
      <c r="P142" s="217"/>
      <c r="Q142" s="217"/>
      <c r="R142" s="217"/>
      <c r="S142" s="217"/>
      <c r="T142" s="220" t="str">
        <f>IF(ROUND(CF!T32,0)=ROUND(SUM(CF!P32:S32),0),"OK","ERROR")</f>
        <v>OK</v>
      </c>
      <c r="U142" s="210"/>
      <c r="V142" s="217"/>
      <c r="W142" s="217"/>
      <c r="X142" s="217"/>
      <c r="Y142" s="217"/>
      <c r="Z142" s="220" t="str">
        <f>IF(ROUND(CF!Z32,0)=ROUND(SUM(CF!V32:Y32),0),"OK","ERROR")</f>
        <v>OK</v>
      </c>
      <c r="AA142" s="228"/>
      <c r="AB142" s="217"/>
      <c r="AC142" s="217"/>
      <c r="AD142" s="217"/>
      <c r="AE142" s="217"/>
      <c r="AF142" s="220" t="str">
        <f>IF(ROUND(CF!AF32,0)=ROUND(SUM(CF!AB32:AE32),0),"OK","ERROR")</f>
        <v>OK</v>
      </c>
      <c r="AG142" s="229"/>
      <c r="AH142" s="217"/>
      <c r="AI142" s="217"/>
      <c r="AJ142" s="212"/>
      <c r="AK142" s="212"/>
      <c r="AL142" s="220" t="str">
        <f>IF(ROUND(CF!AL32,0)=ROUND(SUM(CF!AH32:AK32),0),"OK","ERROR")</f>
        <v>OK</v>
      </c>
      <c r="AM142" s="234"/>
      <c r="AN142" s="212"/>
      <c r="AO142" s="212"/>
      <c r="AP142" s="212"/>
      <c r="AQ142" s="212"/>
      <c r="AR142" s="220" t="str">
        <f>IF(ROUND(CF!AR32,0)=ROUND(SUM(CF!AN32:AQ32),0),"OK","ERROR")</f>
        <v>OK</v>
      </c>
      <c r="AS142" s="234"/>
      <c r="AT142" s="220" t="str">
        <f>IF(ROUND(CF!AT32,0)=ROUND(SUM(CF!AP32:AS32),0),"OK","ERROR")</f>
        <v>OK</v>
      </c>
      <c r="AU142" s="234"/>
      <c r="AV142" s="220" t="str">
        <f>IF(ROUND(CF!AV32,0)=ROUND(SUM(CF!AR32:AU32),0),"OK","ERROR")</f>
        <v>OK</v>
      </c>
      <c r="AW142" s="246"/>
      <c r="AX142" s="220" t="str">
        <f>IF(ROUND(CF!AX32,0)=ROUND(SUM(CF!AT32:AW32),0),"OK","ERROR")</f>
        <v>OK</v>
      </c>
    </row>
    <row r="143" spans="1:50" s="54" customFormat="1" ht="15" customHeight="1">
      <c r="A143" s="113"/>
      <c r="B143" s="159" t="s">
        <v>693</v>
      </c>
      <c r="C143" s="17"/>
      <c r="D143" s="217"/>
      <c r="E143" s="217"/>
      <c r="F143" s="217"/>
      <c r="G143" s="217"/>
      <c r="H143" s="220" t="str">
        <f>IF(ROUND(CF!H33,0)=ROUND(SUM(CF!D33:G33),0),"OK","ERROR")</f>
        <v>OK</v>
      </c>
      <c r="I143" s="210"/>
      <c r="J143" s="217"/>
      <c r="K143" s="217"/>
      <c r="L143" s="217"/>
      <c r="M143" s="217"/>
      <c r="N143" s="220" t="str">
        <f>IF(ROUND(CF!N33,0)=ROUND(SUM(CF!J33:M33),0),"OK","ERROR")</f>
        <v>OK</v>
      </c>
      <c r="O143" s="210"/>
      <c r="P143" s="217"/>
      <c r="Q143" s="217"/>
      <c r="R143" s="217"/>
      <c r="S143" s="217"/>
      <c r="T143" s="220" t="str">
        <f>IF(ROUND(CF!T33,0)=ROUND(SUM(CF!P33:S33),0),"OK","ERROR")</f>
        <v>OK</v>
      </c>
      <c r="U143" s="210"/>
      <c r="V143" s="217"/>
      <c r="W143" s="217"/>
      <c r="X143" s="217"/>
      <c r="Y143" s="217"/>
      <c r="Z143" s="220" t="str">
        <f>IF(ROUND(CF!Z33,0)=ROUND(SUM(CF!V33:Y33),0),"OK","ERROR")</f>
        <v>OK</v>
      </c>
      <c r="AA143" s="213"/>
      <c r="AB143" s="217"/>
      <c r="AC143" s="217"/>
      <c r="AD143" s="217"/>
      <c r="AE143" s="217"/>
      <c r="AF143" s="220" t="str">
        <f>IF(ROUND(CF!AF33,0)=ROUND(SUM(CF!AB33:AE33),0),"OK","ERROR")</f>
        <v>ERROR</v>
      </c>
      <c r="AG143" s="211"/>
      <c r="AH143" s="217"/>
      <c r="AI143" s="217"/>
      <c r="AJ143" s="212"/>
      <c r="AK143" s="212"/>
      <c r="AL143" s="220" t="str">
        <f>IF(ROUND(CF!AL33,0)=ROUND(SUM(CF!AH33:AK33),0),"OK","ERROR")</f>
        <v>OK</v>
      </c>
      <c r="AM143" s="225"/>
      <c r="AN143" s="212"/>
      <c r="AO143" s="212"/>
      <c r="AP143" s="212"/>
      <c r="AQ143" s="212"/>
      <c r="AR143" s="220" t="str">
        <f>IF(ROUND(CF!AR33,0)=ROUND(SUM(CF!AN33:AQ33),0),"OK","ERROR")</f>
        <v>OK</v>
      </c>
      <c r="AS143" s="225"/>
      <c r="AT143" s="220" t="str">
        <f>IF(ROUND(CF!AT33,0)=ROUND(SUM(CF!AP33:AS33),0),"OK","ERROR")</f>
        <v>OK</v>
      </c>
      <c r="AU143" s="225"/>
      <c r="AV143" s="220" t="str">
        <f>IF(ROUND(CF!AV33,0)=ROUND(SUM(CF!AR33:AU33),0),"OK","ERROR")</f>
        <v>OK</v>
      </c>
      <c r="AW143" s="246"/>
      <c r="AX143" s="220" t="str">
        <f>IF(ROUND(CF!AX33,0)=ROUND(SUM(CF!AT33:AW33),0),"OK","ERROR")</f>
        <v>OK</v>
      </c>
    </row>
    <row r="144" spans="1:50" s="54" customFormat="1" ht="15" customHeight="1">
      <c r="A144" s="43"/>
      <c r="B144" s="159" t="s">
        <v>694</v>
      </c>
      <c r="C144" s="17"/>
      <c r="D144" s="217"/>
      <c r="E144" s="217"/>
      <c r="F144" s="217"/>
      <c r="G144" s="217"/>
      <c r="H144" s="220" t="str">
        <f>IF(ROUND(CF!H34,0)=ROUND(SUM(CF!D34:G34),0),"OK","ERROR")</f>
        <v>OK</v>
      </c>
      <c r="I144" s="210"/>
      <c r="J144" s="217"/>
      <c r="K144" s="217"/>
      <c r="L144" s="217"/>
      <c r="M144" s="217"/>
      <c r="N144" s="220" t="str">
        <f>IF(ROUND(CF!N34,0)=ROUND(SUM(CF!J34:M34),0),"OK","ERROR")</f>
        <v>OK</v>
      </c>
      <c r="O144" s="210"/>
      <c r="P144" s="217"/>
      <c r="Q144" s="217"/>
      <c r="R144" s="217"/>
      <c r="S144" s="217"/>
      <c r="T144" s="220" t="str">
        <f>IF(ROUND(CF!T34,0)=ROUND(SUM(CF!P34:S34),0),"OK","ERROR")</f>
        <v>OK</v>
      </c>
      <c r="U144" s="210"/>
      <c r="V144" s="217"/>
      <c r="W144" s="217"/>
      <c r="X144" s="217"/>
      <c r="Y144" s="217"/>
      <c r="Z144" s="220" t="str">
        <f>IF(ROUND(CF!Z34,0)=ROUND(SUM(CF!V34:Y34),0),"OK","ERROR")</f>
        <v>OK</v>
      </c>
      <c r="AA144" s="213"/>
      <c r="AB144" s="217"/>
      <c r="AC144" s="217"/>
      <c r="AD144" s="217"/>
      <c r="AE144" s="217"/>
      <c r="AF144" s="220" t="str">
        <f>IF(ROUND(CF!AF34,0)=ROUND(SUM(CF!AB34:AE34),0),"OK","ERROR")</f>
        <v>ERROR</v>
      </c>
      <c r="AG144" s="211"/>
      <c r="AH144" s="217"/>
      <c r="AI144" s="217"/>
      <c r="AJ144" s="212"/>
      <c r="AK144" s="212"/>
      <c r="AL144" s="220" t="str">
        <f>IF(ROUND(CF!AL34,0)=ROUND(SUM(CF!AH34:AK34),0),"OK","ERROR")</f>
        <v>OK</v>
      </c>
      <c r="AM144" s="225"/>
      <c r="AN144" s="212"/>
      <c r="AO144" s="212"/>
      <c r="AP144" s="212"/>
      <c r="AQ144" s="212"/>
      <c r="AR144" s="220" t="str">
        <f>IF(ROUND(CF!AR34,0)=ROUND(SUM(CF!AN34:AQ34),0),"OK","ERROR")</f>
        <v>OK</v>
      </c>
      <c r="AS144" s="225"/>
      <c r="AT144" s="220" t="str">
        <f>IF(ROUND(CF!AT34,0)=ROUND(SUM(CF!AP34:AS34),0),"OK","ERROR")</f>
        <v>OK</v>
      </c>
      <c r="AU144" s="225"/>
      <c r="AV144" s="220" t="str">
        <f>IF(ROUND(CF!AV34,0)=ROUND(SUM(CF!AR34:AU34),0),"OK","ERROR")</f>
        <v>OK</v>
      </c>
      <c r="AW144" s="246"/>
      <c r="AX144" s="220" t="str">
        <f>IF(ROUND(CF!AX34,0)=ROUND(SUM(CF!AT34:AW34),0),"OK","ERROR")</f>
        <v>OK</v>
      </c>
    </row>
    <row r="145" spans="1:50" s="54" customFormat="1" ht="15" customHeight="1">
      <c r="B145" s="159" t="s">
        <v>695</v>
      </c>
      <c r="C145" s="115"/>
      <c r="D145" s="217"/>
      <c r="E145" s="217"/>
      <c r="F145" s="217"/>
      <c r="G145" s="217"/>
      <c r="H145" s="226" t="str">
        <f>IF(ROUND(CF!H35,0)=ROUND(SUM(CF!D35:G35),0),"OK","ERROR")</f>
        <v>OK</v>
      </c>
      <c r="I145" s="210"/>
      <c r="J145" s="217"/>
      <c r="K145" s="217"/>
      <c r="L145" s="217"/>
      <c r="M145" s="217"/>
      <c r="N145" s="226" t="str">
        <f>IF(ROUND(CF!N35,0)=ROUND(SUM(CF!J35:M35),0),"OK","ERROR")</f>
        <v>OK</v>
      </c>
      <c r="O145" s="210"/>
      <c r="P145" s="217"/>
      <c r="Q145" s="217"/>
      <c r="R145" s="217"/>
      <c r="S145" s="217"/>
      <c r="T145" s="226" t="str">
        <f>IF(ROUND(CF!T35,0)=ROUND(SUM(CF!P35:S35),0),"OK","ERROR")</f>
        <v>OK</v>
      </c>
      <c r="U145" s="210"/>
      <c r="V145" s="217"/>
      <c r="W145" s="217"/>
      <c r="X145" s="217"/>
      <c r="Y145" s="217"/>
      <c r="Z145" s="226" t="str">
        <f>IF(ROUND(CF!Z35,0)=ROUND(SUM(CF!V35:Y35),0),"OK","ERROR")</f>
        <v>OK</v>
      </c>
      <c r="AA145" s="228"/>
      <c r="AB145" s="217"/>
      <c r="AC145" s="217"/>
      <c r="AD145" s="217"/>
      <c r="AE145" s="217"/>
      <c r="AF145" s="226" t="str">
        <f>IF(ROUND(CF!AF35,0)=ROUND(SUM(CF!AB35:AE35),0),"OK","ERROR")</f>
        <v>ERROR</v>
      </c>
      <c r="AG145" s="229"/>
      <c r="AH145" s="217"/>
      <c r="AI145" s="217"/>
      <c r="AJ145" s="212"/>
      <c r="AK145" s="212"/>
      <c r="AL145" s="226" t="str">
        <f>IF(ROUND(CF!AL35,0)=ROUND(SUM(CF!AH35:AK35),0),"OK","ERROR")</f>
        <v>ERROR</v>
      </c>
      <c r="AM145" s="230"/>
      <c r="AN145" s="212"/>
      <c r="AO145" s="212"/>
      <c r="AP145" s="212"/>
      <c r="AQ145" s="212"/>
      <c r="AR145" s="226" t="str">
        <f>IF(ROUND(CF!AR35,0)=ROUND(SUM(CF!AN35:AQ35),0),"OK","ERROR")</f>
        <v>OK</v>
      </c>
      <c r="AS145" s="230"/>
      <c r="AT145" s="226" t="str">
        <f>IF(ROUND(CF!AT35,0)=ROUND(SUM(CF!AP35:AS35),0),"OK","ERROR")</f>
        <v>OK</v>
      </c>
      <c r="AU145" s="230"/>
      <c r="AV145" s="226" t="str">
        <f>IF(ROUND(CF!AV35,0)=ROUND(SUM(CF!AR35:AU35),0),"OK","ERROR")</f>
        <v>OK</v>
      </c>
      <c r="AW145" s="246"/>
      <c r="AX145" s="226" t="str">
        <f>IF(ROUND(CF!AX35,0)=ROUND(SUM(CF!AT35:AW35),0),"OK","ERROR")</f>
        <v>OK</v>
      </c>
    </row>
    <row r="146" spans="1:50" s="54" customFormat="1" ht="15" customHeight="1" thickBot="1">
      <c r="A146" s="113"/>
      <c r="B146" s="160" t="s">
        <v>696</v>
      </c>
      <c r="C146" s="17"/>
      <c r="D146" s="217"/>
      <c r="E146" s="217"/>
      <c r="F146" s="217"/>
      <c r="G146" s="217"/>
      <c r="H146" s="237" t="str">
        <f>IF(ROUND(CF!H36,0)=ROUND(SUM(CF!D36:G36),0),"OK","ERROR")</f>
        <v>OK</v>
      </c>
      <c r="I146" s="210"/>
      <c r="J146" s="217"/>
      <c r="K146" s="217"/>
      <c r="L146" s="217"/>
      <c r="M146" s="217"/>
      <c r="N146" s="237" t="str">
        <f>IF(ROUND(CF!N36,0)=ROUND(SUM(CF!J36:M36),0),"OK","ERROR")</f>
        <v>OK</v>
      </c>
      <c r="O146" s="210"/>
      <c r="P146" s="217"/>
      <c r="Q146" s="217"/>
      <c r="R146" s="217"/>
      <c r="S146" s="217"/>
      <c r="T146" s="237" t="str">
        <f>IF(ROUND(CF!T36,0)=ROUND(SUM(CF!P36:S36),0),"OK","ERROR")</f>
        <v>OK</v>
      </c>
      <c r="U146" s="210"/>
      <c r="V146" s="217"/>
      <c r="W146" s="217"/>
      <c r="X146" s="217"/>
      <c r="Y146" s="217"/>
      <c r="Z146" s="237" t="str">
        <f>IF(ROUND(CF!Z36,0)=ROUND(SUM(CF!V36:Y36),0),"OK","ERROR")</f>
        <v>OK</v>
      </c>
      <c r="AA146" s="213"/>
      <c r="AB146" s="217"/>
      <c r="AC146" s="217"/>
      <c r="AD146" s="217"/>
      <c r="AE146" s="217"/>
      <c r="AF146" s="237" t="str">
        <f>IF(ROUND(CF!AF36,0)=ROUND(SUM(CF!AB36:AE36),0),"OK","ERROR")</f>
        <v>OK</v>
      </c>
      <c r="AG146" s="211"/>
      <c r="AH146" s="217"/>
      <c r="AI146" s="217"/>
      <c r="AJ146" s="212"/>
      <c r="AK146" s="212"/>
      <c r="AL146" s="237" t="str">
        <f>IF(ROUND(CF!AL36,0)=ROUND(SUM(CF!AH36:AK36),0),"OK","ERROR")</f>
        <v>ERROR</v>
      </c>
      <c r="AM146" s="215"/>
      <c r="AN146" s="212"/>
      <c r="AO146" s="212"/>
      <c r="AP146" s="212"/>
      <c r="AQ146" s="212"/>
      <c r="AR146" s="237" t="str">
        <f>IF(ROUND(CF!AR36,0)=ROUND(SUM(CF!AN36:AQ36),0),"OK","ERROR")</f>
        <v>OK</v>
      </c>
      <c r="AS146" s="215"/>
      <c r="AT146" s="237" t="str">
        <f>IF(ROUND(CF!AT36,0)=ROUND(SUM(CF!AP36:AS36),0),"OK","ERROR")</f>
        <v>OK</v>
      </c>
      <c r="AU146" s="215"/>
      <c r="AV146" s="237" t="str">
        <f>IF(ROUND(CF!AV36,0)=ROUND(SUM(CF!AR36:AU36),0),"OK","ERROR")</f>
        <v>OK</v>
      </c>
      <c r="AW146" s="246"/>
      <c r="AX146" s="237" t="str">
        <f>IF(ROUND(CF!AX36,0)=ROUND(SUM(CF!AT36:AW36),0),"OK","ERROR")</f>
        <v>OK</v>
      </c>
    </row>
    <row r="147" spans="1:50" s="54" customFormat="1" ht="15" customHeight="1" thickTop="1">
      <c r="A147" s="43"/>
      <c r="B147" s="154"/>
      <c r="C147" s="115"/>
      <c r="D147" s="208"/>
      <c r="E147" s="208"/>
      <c r="F147" s="208"/>
      <c r="G147" s="208"/>
      <c r="H147" s="220"/>
      <c r="I147" s="210"/>
      <c r="J147" s="208"/>
      <c r="K147" s="208"/>
      <c r="L147" s="208"/>
      <c r="M147" s="208"/>
      <c r="N147" s="220"/>
      <c r="O147" s="210"/>
      <c r="P147" s="208"/>
      <c r="Q147" s="208"/>
      <c r="R147" s="208"/>
      <c r="S147" s="208"/>
      <c r="T147" s="220"/>
      <c r="U147" s="210"/>
      <c r="V147" s="208"/>
      <c r="W147" s="208"/>
      <c r="X147" s="208"/>
      <c r="Y147" s="208"/>
      <c r="Z147" s="220"/>
      <c r="AA147" s="232"/>
      <c r="AB147" s="208"/>
      <c r="AC147" s="208"/>
      <c r="AD147" s="208"/>
      <c r="AE147" s="208"/>
      <c r="AF147" s="220"/>
      <c r="AG147" s="229"/>
      <c r="AH147" s="208"/>
      <c r="AI147" s="208"/>
      <c r="AJ147" s="212"/>
      <c r="AK147" s="212"/>
      <c r="AL147" s="220"/>
      <c r="AM147" s="230"/>
      <c r="AN147" s="212"/>
      <c r="AO147" s="212"/>
      <c r="AP147" s="212"/>
      <c r="AQ147" s="212"/>
      <c r="AR147" s="220"/>
      <c r="AS147" s="230"/>
      <c r="AT147" s="220"/>
      <c r="AU147" s="230"/>
      <c r="AV147" s="220"/>
      <c r="AW147" s="246"/>
      <c r="AX147" s="220"/>
    </row>
    <row r="148" spans="1:50" s="54" customFormat="1" ht="15" customHeight="1">
      <c r="A148" s="44" t="s">
        <v>37</v>
      </c>
      <c r="B148" s="158" t="s">
        <v>697</v>
      </c>
      <c r="C148" s="27"/>
      <c r="D148" s="208"/>
      <c r="E148" s="208"/>
      <c r="F148" s="208"/>
      <c r="G148" s="208"/>
      <c r="H148" s="220"/>
      <c r="I148" s="210"/>
      <c r="J148" s="208"/>
      <c r="K148" s="208"/>
      <c r="L148" s="208"/>
      <c r="M148" s="208"/>
      <c r="N148" s="220"/>
      <c r="O148" s="210"/>
      <c r="P148" s="208"/>
      <c r="Q148" s="208"/>
      <c r="R148" s="208"/>
      <c r="S148" s="208"/>
      <c r="T148" s="220"/>
      <c r="U148" s="210"/>
      <c r="V148" s="208"/>
      <c r="W148" s="208"/>
      <c r="X148" s="208"/>
      <c r="Y148" s="208"/>
      <c r="Z148" s="220"/>
      <c r="AA148" s="213"/>
      <c r="AB148" s="208"/>
      <c r="AC148" s="208"/>
      <c r="AD148" s="208"/>
      <c r="AE148" s="208"/>
      <c r="AF148" s="220"/>
      <c r="AG148" s="211"/>
      <c r="AH148" s="208"/>
      <c r="AI148" s="208"/>
      <c r="AJ148" s="212"/>
      <c r="AK148" s="212"/>
      <c r="AL148" s="220"/>
      <c r="AM148" s="215"/>
      <c r="AN148" s="212"/>
      <c r="AO148" s="212"/>
      <c r="AP148" s="212"/>
      <c r="AQ148" s="212"/>
      <c r="AR148" s="220"/>
      <c r="AS148" s="215"/>
      <c r="AT148" s="220"/>
      <c r="AU148" s="215"/>
      <c r="AV148" s="220"/>
      <c r="AW148" s="246"/>
      <c r="AX148" s="220"/>
    </row>
    <row r="149" spans="1:50" s="54" customFormat="1" ht="15" customHeight="1">
      <c r="A149" s="113"/>
      <c r="B149" s="159" t="s">
        <v>698</v>
      </c>
      <c r="C149" s="115"/>
      <c r="D149" s="217"/>
      <c r="E149" s="217"/>
      <c r="F149" s="217"/>
      <c r="G149" s="217"/>
      <c r="H149" s="220" t="str">
        <f>IF(ROUND(CF!H39,0)=ROUND(SUM(CF!D39:G39),0),"OK","ERROR")</f>
        <v>OK</v>
      </c>
      <c r="I149" s="210"/>
      <c r="J149" s="217"/>
      <c r="K149" s="217"/>
      <c r="L149" s="217"/>
      <c r="M149" s="217"/>
      <c r="N149" s="220" t="str">
        <f>IF(ROUND(CF!N39,0)=ROUND(SUM(CF!J39:M39),0),"OK","ERROR")</f>
        <v>OK</v>
      </c>
      <c r="O149" s="210"/>
      <c r="P149" s="217"/>
      <c r="Q149" s="217"/>
      <c r="R149" s="217"/>
      <c r="S149" s="217"/>
      <c r="T149" s="220" t="str">
        <f>IF(ROUND(CF!T39,0)=ROUND(SUM(CF!P39:S39),0),"OK","ERROR")</f>
        <v>OK</v>
      </c>
      <c r="U149" s="210"/>
      <c r="V149" s="217"/>
      <c r="W149" s="217"/>
      <c r="X149" s="217"/>
      <c r="Y149" s="217"/>
      <c r="Z149" s="220" t="str">
        <f>IF(ROUND(CF!Z39,0)=ROUND(SUM(CF!V39:Y39),0),"OK","ERROR")</f>
        <v>OK</v>
      </c>
      <c r="AA149" s="213"/>
      <c r="AB149" s="217"/>
      <c r="AC149" s="217"/>
      <c r="AD149" s="217"/>
      <c r="AE149" s="217"/>
      <c r="AF149" s="220" t="str">
        <f>IF(ROUND(CF!AF39,0)=ROUND(SUM(CF!AB39:AE39),0),"OK","ERROR")</f>
        <v>OK</v>
      </c>
      <c r="AG149" s="211"/>
      <c r="AH149" s="217"/>
      <c r="AI149" s="217"/>
      <c r="AJ149" s="212"/>
      <c r="AK149" s="212"/>
      <c r="AL149" s="220" t="str">
        <f>IF(ROUND(CF!AL39,0)=ROUND(SUM(CF!AH39:AK39),0),"OK","ERROR")</f>
        <v>OK</v>
      </c>
      <c r="AM149" s="215"/>
      <c r="AN149" s="212"/>
      <c r="AO149" s="212"/>
      <c r="AP149" s="212"/>
      <c r="AQ149" s="212"/>
      <c r="AR149" s="220" t="str">
        <f>IF(ROUND(CF!AR39,0)=ROUND(SUM(CF!AN39:AQ39),0),"OK","ERROR")</f>
        <v>OK</v>
      </c>
      <c r="AS149" s="215"/>
      <c r="AT149" s="220" t="str">
        <f>IF(ROUND(CF!AT39,0)=ROUND(SUM(CF!AP39:AS39),0),"OK","ERROR")</f>
        <v>OK</v>
      </c>
      <c r="AU149" s="215"/>
      <c r="AV149" s="220" t="str">
        <f>IF(ROUND(CF!AV39,0)=ROUND(SUM(CF!AR39:AU39),0),"OK","ERROR")</f>
        <v>OK</v>
      </c>
      <c r="AW149" s="246"/>
      <c r="AX149" s="220" t="str">
        <f>IF(ROUND(CF!AX39,0)=ROUND(SUM(CF!AT39:AW39),0),"OK","ERROR")</f>
        <v>OK</v>
      </c>
    </row>
    <row r="150" spans="1:50" s="54" customFormat="1" ht="15" customHeight="1">
      <c r="A150" s="113"/>
      <c r="B150" s="159" t="s">
        <v>699</v>
      </c>
      <c r="C150" s="115"/>
      <c r="D150" s="217"/>
      <c r="E150" s="217"/>
      <c r="F150" s="217"/>
      <c r="G150" s="217"/>
      <c r="H150" s="220" t="str">
        <f>IF(ROUND(CF!H40,0)=ROUND(SUM(CF!D40:G40),0),"OK","ERROR")</f>
        <v>OK</v>
      </c>
      <c r="I150" s="210"/>
      <c r="J150" s="217"/>
      <c r="K150" s="217"/>
      <c r="L150" s="217"/>
      <c r="M150" s="217"/>
      <c r="N150" s="220" t="str">
        <f>IF(ROUND(CF!N40,0)=ROUND(SUM(CF!J40:M40),0),"OK","ERROR")</f>
        <v>OK</v>
      </c>
      <c r="O150" s="210"/>
      <c r="P150" s="217"/>
      <c r="Q150" s="217"/>
      <c r="R150" s="217"/>
      <c r="S150" s="217"/>
      <c r="T150" s="220" t="str">
        <f>IF(ROUND(CF!T40,0)=ROUND(SUM(CF!P40:S40),0),"OK","ERROR")</f>
        <v>OK</v>
      </c>
      <c r="U150" s="210"/>
      <c r="V150" s="217"/>
      <c r="W150" s="217"/>
      <c r="X150" s="217"/>
      <c r="Y150" s="217"/>
      <c r="Z150" s="220" t="str">
        <f>IF(ROUND(CF!Z40,0)=ROUND(SUM(CF!V40:Y40),0),"OK","ERROR")</f>
        <v>OK</v>
      </c>
      <c r="AA150" s="213"/>
      <c r="AB150" s="217"/>
      <c r="AC150" s="217"/>
      <c r="AD150" s="217"/>
      <c r="AE150" s="217"/>
      <c r="AF150" s="220" t="str">
        <f>IF(ROUND(CF!AF40,0)=ROUND(SUM(CF!AB40:AE40),0),"OK","ERROR")</f>
        <v>OK</v>
      </c>
      <c r="AG150" s="211"/>
      <c r="AH150" s="217"/>
      <c r="AI150" s="217"/>
      <c r="AJ150" s="212"/>
      <c r="AK150" s="212"/>
      <c r="AL150" s="220" t="str">
        <f>IF(ROUND(CF!AL40,0)=ROUND(SUM(CF!AH40:AK40),0),"OK","ERROR")</f>
        <v>OK</v>
      </c>
      <c r="AM150" s="215"/>
      <c r="AN150" s="212"/>
      <c r="AO150" s="212"/>
      <c r="AP150" s="212"/>
      <c r="AQ150" s="212"/>
      <c r="AR150" s="220" t="str">
        <f>IF(ROUND(CF!AR40,0)=ROUND(SUM(CF!AN40:AQ40),0),"OK","ERROR")</f>
        <v>OK</v>
      </c>
      <c r="AS150" s="215"/>
      <c r="AT150" s="220" t="str">
        <f>IF(ROUND(CF!AT40,0)=ROUND(SUM(CF!AP40:AS40),0),"OK","ERROR")</f>
        <v>OK</v>
      </c>
      <c r="AU150" s="215"/>
      <c r="AV150" s="220" t="str">
        <f>IF(ROUND(CF!AV40,0)=ROUND(SUM(CF!AR40:AU40),0),"OK","ERROR")</f>
        <v>OK</v>
      </c>
      <c r="AW150" s="246"/>
      <c r="AX150" s="220" t="str">
        <f>IF(ROUND(CF!AX40,0)=ROUND(SUM(CF!AT40:AW40),0),"OK","ERROR")</f>
        <v>OK</v>
      </c>
    </row>
    <row r="151" spans="1:50" s="54" customFormat="1" ht="15" customHeight="1">
      <c r="A151" s="113"/>
      <c r="B151" s="159" t="s">
        <v>700</v>
      </c>
      <c r="C151" s="115"/>
      <c r="D151" s="217"/>
      <c r="E151" s="217"/>
      <c r="F151" s="217"/>
      <c r="G151" s="217"/>
      <c r="H151" s="220" t="str">
        <f>IF(ROUND(CF!H41,0)=ROUND(SUM(CF!D41:G41),0),"OK","ERROR")</f>
        <v>OK</v>
      </c>
      <c r="I151" s="210"/>
      <c r="J151" s="217"/>
      <c r="K151" s="217"/>
      <c r="L151" s="217"/>
      <c r="M151" s="217"/>
      <c r="N151" s="220" t="str">
        <f>IF(ROUND(CF!N41,0)=ROUND(SUM(CF!J41:M41),0),"OK","ERROR")</f>
        <v>OK</v>
      </c>
      <c r="O151" s="210"/>
      <c r="P151" s="217"/>
      <c r="Q151" s="217"/>
      <c r="R151" s="217"/>
      <c r="S151" s="217"/>
      <c r="T151" s="220" t="str">
        <f>IF(ROUND(CF!T41,0)=ROUND(SUM(CF!P41:S41),0),"OK","ERROR")</f>
        <v>OK</v>
      </c>
      <c r="U151" s="210"/>
      <c r="V151" s="217"/>
      <c r="W151" s="217"/>
      <c r="X151" s="217"/>
      <c r="Y151" s="217"/>
      <c r="Z151" s="220" t="str">
        <f>IF(ROUND(CF!Z41,0)=ROUND(SUM(CF!V41:Y41),0),"OK","ERROR")</f>
        <v>OK</v>
      </c>
      <c r="AA151" s="213"/>
      <c r="AB151" s="217"/>
      <c r="AC151" s="217"/>
      <c r="AD151" s="217"/>
      <c r="AE151" s="217"/>
      <c r="AF151" s="220" t="str">
        <f>IF(ROUND(CF!AF41,0)=ROUND(SUM(CF!AB41:AE41),0),"OK","ERROR")</f>
        <v>OK</v>
      </c>
      <c r="AG151" s="211"/>
      <c r="AH151" s="217"/>
      <c r="AI151" s="217"/>
      <c r="AJ151" s="212"/>
      <c r="AK151" s="212"/>
      <c r="AL151" s="220" t="str">
        <f>IF(ROUND(CF!AL41,0)=ROUND(SUM(CF!AH41:AK41),0),"OK","ERROR")</f>
        <v>OK</v>
      </c>
      <c r="AM151" s="215"/>
      <c r="AN151" s="212"/>
      <c r="AO151" s="212"/>
      <c r="AP151" s="212"/>
      <c r="AQ151" s="212"/>
      <c r="AR151" s="220" t="str">
        <f>IF(ROUND(CF!AR41,0)=ROUND(SUM(CF!AN41:AQ41),0),"OK","ERROR")</f>
        <v>OK</v>
      </c>
      <c r="AS151" s="215"/>
      <c r="AT151" s="220" t="str">
        <f>IF(ROUND(CF!AT41,0)=ROUND(SUM(CF!AP41:AS41),0),"OK","ERROR")</f>
        <v>OK</v>
      </c>
      <c r="AU151" s="215"/>
      <c r="AV151" s="220" t="str">
        <f>IF(ROUND(CF!AV41,0)=ROUND(SUM(CF!AR41:AU41),0),"OK","ERROR")</f>
        <v>OK</v>
      </c>
      <c r="AW151" s="246"/>
      <c r="AX151" s="220" t="str">
        <f>IF(ROUND(CF!AX41,0)=ROUND(SUM(CF!AT41:AW41),0),"OK","ERROR")</f>
        <v>OK</v>
      </c>
    </row>
    <row r="152" spans="1:50" s="54" customFormat="1" ht="15" customHeight="1">
      <c r="A152" s="142"/>
      <c r="B152" s="159" t="s">
        <v>701</v>
      </c>
      <c r="C152" s="27"/>
      <c r="D152" s="217"/>
      <c r="E152" s="217"/>
      <c r="F152" s="217"/>
      <c r="G152" s="217"/>
      <c r="H152" s="220" t="str">
        <f>IF(ROUND(CF!H42,0)=ROUND(SUM(CF!D42:G42),0),"OK","ERROR")</f>
        <v>OK</v>
      </c>
      <c r="I152" s="210"/>
      <c r="J152" s="217"/>
      <c r="K152" s="217"/>
      <c r="L152" s="217"/>
      <c r="M152" s="217"/>
      <c r="N152" s="220" t="str">
        <f>IF(ROUND(CF!N42,0)=ROUND(SUM(CF!J42:M42),0),"OK","ERROR")</f>
        <v>OK</v>
      </c>
      <c r="O152" s="210"/>
      <c r="P152" s="217"/>
      <c r="Q152" s="217"/>
      <c r="R152" s="217"/>
      <c r="S152" s="217"/>
      <c r="T152" s="220" t="str">
        <f>IF(ROUND(CF!T42,0)=ROUND(SUM(CF!P42:S42),0),"OK","ERROR")</f>
        <v>OK</v>
      </c>
      <c r="U152" s="210"/>
      <c r="V152" s="217"/>
      <c r="W152" s="217"/>
      <c r="X152" s="217"/>
      <c r="Y152" s="217"/>
      <c r="Z152" s="220" t="str">
        <f>IF(ROUND(CF!Z42,0)=ROUND(SUM(CF!V42:Y42),0),"OK","ERROR")</f>
        <v>OK</v>
      </c>
      <c r="AA152" s="213"/>
      <c r="AB152" s="217"/>
      <c r="AC152" s="217"/>
      <c r="AD152" s="217"/>
      <c r="AE152" s="217"/>
      <c r="AF152" s="220" t="str">
        <f>IF(ROUND(CF!AF42,0)=ROUND(SUM(CF!AB42:AE42),0),"OK","ERROR")</f>
        <v>OK</v>
      </c>
      <c r="AG152" s="211"/>
      <c r="AH152" s="217"/>
      <c r="AI152" s="217"/>
      <c r="AJ152" s="212"/>
      <c r="AK152" s="212"/>
      <c r="AL152" s="220" t="str">
        <f>IF(ROUND(CF!AL42,0)=ROUND(SUM(CF!AH42:AK42),0),"OK","ERROR")</f>
        <v>OK</v>
      </c>
      <c r="AM152" s="247"/>
      <c r="AN152" s="212"/>
      <c r="AO152" s="212"/>
      <c r="AP152" s="212"/>
      <c r="AQ152" s="212"/>
      <c r="AR152" s="220" t="str">
        <f>IF(ROUND(CF!AR42,0)=ROUND(SUM(CF!AN42:AQ42),0),"OK","ERROR")</f>
        <v>OK</v>
      </c>
      <c r="AS152" s="215"/>
      <c r="AT152" s="220" t="str">
        <f>IF(ROUND(CF!AT42,0)=ROUND(SUM(CF!AP42:AS42),0),"OK","ERROR")</f>
        <v>OK</v>
      </c>
      <c r="AU152" s="215"/>
      <c r="AV152" s="220" t="str">
        <f>IF(ROUND(CF!AV42,0)=ROUND(SUM(CF!AR42:AU42),0),"OK","ERROR")</f>
        <v>OK</v>
      </c>
      <c r="AW152" s="246"/>
      <c r="AX152" s="220" t="str">
        <f>IF(ROUND(CF!AX42,0)=ROUND(SUM(CF!AT42:AW42),0),"OK","ERROR")</f>
        <v>OK</v>
      </c>
    </row>
    <row r="153" spans="1:50" s="54" customFormat="1" ht="15" customHeight="1">
      <c r="A153" s="113"/>
      <c r="B153" s="159" t="s">
        <v>702</v>
      </c>
      <c r="C153" s="115"/>
      <c r="D153" s="217"/>
      <c r="E153" s="217"/>
      <c r="F153" s="217"/>
      <c r="G153" s="217"/>
      <c r="H153" s="220" t="str">
        <f>IF(ROUND(CF!H43,0)=ROUND(SUM(CF!D43:G43),0),"OK","ERROR")</f>
        <v>OK</v>
      </c>
      <c r="I153" s="210"/>
      <c r="J153" s="217"/>
      <c r="K153" s="217"/>
      <c r="L153" s="217"/>
      <c r="M153" s="217"/>
      <c r="N153" s="220" t="str">
        <f>IF(ROUND(CF!N43,0)=ROUND(SUM(CF!J43:M43),0),"OK","ERROR")</f>
        <v>OK</v>
      </c>
      <c r="O153" s="210"/>
      <c r="P153" s="217"/>
      <c r="Q153" s="217"/>
      <c r="R153" s="217"/>
      <c r="S153" s="217"/>
      <c r="T153" s="220" t="str">
        <f>IF(ROUND(CF!T43,0)=ROUND(SUM(CF!P43:S43),0),"OK","ERROR")</f>
        <v>OK</v>
      </c>
      <c r="U153" s="210"/>
      <c r="V153" s="217"/>
      <c r="W153" s="217"/>
      <c r="X153" s="217"/>
      <c r="Y153" s="217"/>
      <c r="Z153" s="220" t="str">
        <f>IF(ROUND(CF!Z43,0)=ROUND(SUM(CF!V43:Y43),0),"OK","ERROR")</f>
        <v>OK</v>
      </c>
      <c r="AA153" s="213"/>
      <c r="AB153" s="217"/>
      <c r="AC153" s="217"/>
      <c r="AD153" s="217"/>
      <c r="AE153" s="217"/>
      <c r="AF153" s="220" t="str">
        <f>IF(ROUND(CF!AF43,0)=ROUND(SUM(CF!AB43:AE43),0),"OK","ERROR")</f>
        <v>OK</v>
      </c>
      <c r="AG153" s="211"/>
      <c r="AH153" s="217"/>
      <c r="AI153" s="217"/>
      <c r="AJ153" s="212"/>
      <c r="AK153" s="212"/>
      <c r="AL153" s="220" t="str">
        <f>IF(ROUND(CF!AL43,0)=ROUND(SUM(CF!AH43:AK43),0),"OK","ERROR")</f>
        <v>OK</v>
      </c>
      <c r="AM153" s="247"/>
      <c r="AN153" s="212"/>
      <c r="AO153" s="212"/>
      <c r="AP153" s="212"/>
      <c r="AQ153" s="212"/>
      <c r="AR153" s="220" t="str">
        <f>IF(ROUND(CF!AR43,0)=ROUND(SUM(CF!AN43:AQ43),0),"OK","ERROR")</f>
        <v>OK</v>
      </c>
      <c r="AS153" s="215"/>
      <c r="AT153" s="220" t="str">
        <f>IF(ROUND(CF!AT43,0)=ROUND(SUM(CF!AP43:AS43),0),"OK","ERROR")</f>
        <v>OK</v>
      </c>
      <c r="AU153" s="215"/>
      <c r="AV153" s="220" t="str">
        <f>IF(ROUND(CF!AV43,0)=ROUND(SUM(CF!AR43:AU43),0),"OK","ERROR")</f>
        <v>OK</v>
      </c>
      <c r="AW153" s="246"/>
      <c r="AX153" s="220" t="str">
        <f>IF(ROUND(CF!AX43,0)=ROUND(SUM(CF!AT43:AW43),0),"OK","ERROR")</f>
        <v>OK</v>
      </c>
    </row>
    <row r="154" spans="1:50" s="54" customFormat="1" ht="15" customHeight="1">
      <c r="A154" s="113"/>
      <c r="B154" s="159" t="s">
        <v>703</v>
      </c>
      <c r="C154" s="115"/>
      <c r="D154" s="217"/>
      <c r="E154" s="217"/>
      <c r="F154" s="217"/>
      <c r="G154" s="217"/>
      <c r="H154" s="226" t="str">
        <f>IF(ROUND(CF!H44,0)=ROUND(SUM(CF!D44:G44),0),"OK","ERROR")</f>
        <v>OK</v>
      </c>
      <c r="I154" s="210"/>
      <c r="J154" s="217"/>
      <c r="K154" s="217"/>
      <c r="L154" s="217"/>
      <c r="M154" s="217"/>
      <c r="N154" s="226" t="str">
        <f>IF(ROUND(CF!N44,0)=ROUND(SUM(CF!J44:M44),0),"OK","ERROR")</f>
        <v>OK</v>
      </c>
      <c r="O154" s="210"/>
      <c r="P154" s="217"/>
      <c r="Q154" s="217"/>
      <c r="R154" s="217"/>
      <c r="S154" s="217"/>
      <c r="T154" s="226" t="str">
        <f>IF(ROUND(CF!T44,0)=ROUND(SUM(CF!P44:S44),0),"OK","ERROR")</f>
        <v>OK</v>
      </c>
      <c r="U154" s="210"/>
      <c r="V154" s="217"/>
      <c r="W154" s="217"/>
      <c r="X154" s="217"/>
      <c r="Y154" s="217"/>
      <c r="Z154" s="226" t="str">
        <f>IF(ROUND(CF!Z44,0)=ROUND(SUM(CF!V44:Y44),0),"OK","ERROR")</f>
        <v>OK</v>
      </c>
      <c r="AA154" s="228"/>
      <c r="AB154" s="217"/>
      <c r="AC154" s="217"/>
      <c r="AD154" s="217"/>
      <c r="AE154" s="217"/>
      <c r="AF154" s="226" t="str">
        <f>IF(ROUND(CF!AF44,0)=ROUND(SUM(CF!AB44:AE44),0),"OK","ERROR")</f>
        <v>OK</v>
      </c>
      <c r="AG154" s="229"/>
      <c r="AH154" s="217"/>
      <c r="AI154" s="217"/>
      <c r="AJ154" s="212"/>
      <c r="AK154" s="212"/>
      <c r="AL154" s="226" t="str">
        <f>IF(ROUND(CF!AL44,0)=ROUND(SUM(CF!AH44:AK44),0),"OK","ERROR")</f>
        <v>ERROR</v>
      </c>
      <c r="AM154" s="230"/>
      <c r="AN154" s="212"/>
      <c r="AO154" s="212"/>
      <c r="AP154" s="212"/>
      <c r="AQ154" s="212"/>
      <c r="AR154" s="226" t="str">
        <f>IF(ROUND(CF!AR44,0)=ROUND(SUM(CF!AN44:AQ44),0),"OK","ERROR")</f>
        <v>OK</v>
      </c>
      <c r="AS154" s="230"/>
      <c r="AT154" s="226" t="str">
        <f>IF(ROUND(CF!AT44,0)=ROUND(SUM(CF!AP44:AS44),0),"OK","ERROR")</f>
        <v>OK</v>
      </c>
      <c r="AU154" s="230"/>
      <c r="AV154" s="226" t="str">
        <f>IF(ROUND(CF!AV44,0)=ROUND(SUM(CF!AR44:AU44),0),"OK","ERROR")</f>
        <v>OK</v>
      </c>
      <c r="AW154" s="246"/>
      <c r="AX154" s="226" t="str">
        <f>IF(ROUND(CF!AX44,0)=ROUND(SUM(CF!AT44:AW44),0),"OK","ERROR")</f>
        <v>OK</v>
      </c>
    </row>
    <row r="155" spans="1:50" s="54" customFormat="1" ht="15" customHeight="1" thickBot="1">
      <c r="A155" s="113"/>
      <c r="B155" s="160" t="s">
        <v>704</v>
      </c>
      <c r="C155" s="17"/>
      <c r="D155" s="217"/>
      <c r="E155" s="217"/>
      <c r="F155" s="217"/>
      <c r="G155" s="217"/>
      <c r="H155" s="237" t="str">
        <f>IF(ROUND(CF!H45,0)=ROUND(SUM(CF!D45:G45),0),"OK","ERROR")</f>
        <v>OK</v>
      </c>
      <c r="I155" s="210"/>
      <c r="J155" s="217"/>
      <c r="K155" s="217"/>
      <c r="L155" s="217"/>
      <c r="M155" s="217"/>
      <c r="N155" s="237" t="str">
        <f>IF(ROUND(CF!N45,0)=ROUND(SUM(CF!J45:M45),0),"OK","ERROR")</f>
        <v>OK</v>
      </c>
      <c r="O155" s="210"/>
      <c r="P155" s="217"/>
      <c r="Q155" s="217"/>
      <c r="R155" s="217"/>
      <c r="S155" s="217"/>
      <c r="T155" s="237" t="str">
        <f>IF(ROUND(CF!T45,0)=ROUND(SUM(CF!P45:S45),0),"OK","ERROR")</f>
        <v>OK</v>
      </c>
      <c r="U155" s="210"/>
      <c r="V155" s="217"/>
      <c r="W155" s="217"/>
      <c r="X155" s="217"/>
      <c r="Y155" s="217"/>
      <c r="Z155" s="237" t="str">
        <f>IF(ROUND(CF!Z45,0)=ROUND(SUM(CF!V45:Y45),0),"OK","ERROR")</f>
        <v>OK</v>
      </c>
      <c r="AA155" s="210"/>
      <c r="AB155" s="217"/>
      <c r="AC155" s="217"/>
      <c r="AD155" s="217"/>
      <c r="AE155" s="217"/>
      <c r="AF155" s="237" t="str">
        <f>IF(ROUND(CF!AF45,0)=ROUND(SUM(CF!AB45:AE45),0),"OK","ERROR")</f>
        <v>OK</v>
      </c>
      <c r="AG155" s="238"/>
      <c r="AH155" s="217"/>
      <c r="AI155" s="217"/>
      <c r="AJ155" s="212"/>
      <c r="AK155" s="212"/>
      <c r="AL155" s="237" t="str">
        <f>IF(ROUND(CF!AL45,0)=ROUND(SUM(CF!AH45:AK45),0),"OK","ERROR")</f>
        <v>ERROR</v>
      </c>
      <c r="AM155" s="239"/>
      <c r="AN155" s="212"/>
      <c r="AO155" s="212"/>
      <c r="AP155" s="212"/>
      <c r="AQ155" s="212"/>
      <c r="AR155" s="237" t="str">
        <f>IF(ROUND(CF!AR45,0)=ROUND(SUM(CF!AN45:AQ45),0),"OK","ERROR")</f>
        <v>OK</v>
      </c>
      <c r="AS155" s="239"/>
      <c r="AT155" s="237" t="str">
        <f>IF(ROUND(CF!AT45,0)=ROUND(SUM(CF!AP45:AS45),0),"OK","ERROR")</f>
        <v>OK</v>
      </c>
      <c r="AU155" s="239"/>
      <c r="AV155" s="237" t="str">
        <f>IF(ROUND(CF!AV45,0)=ROUND(SUM(CF!AR45:AU45),0),"OK","ERROR")</f>
        <v>OK</v>
      </c>
      <c r="AW155" s="246"/>
      <c r="AX155" s="237" t="str">
        <f>IF(ROUND(CF!AX45,0)=ROUND(SUM(CF!AT45:AW45),0),"OK","ERROR")</f>
        <v>OK</v>
      </c>
    </row>
    <row r="156" spans="1:50" s="54" customFormat="1" ht="15" customHeight="1" thickTop="1">
      <c r="A156" s="113"/>
      <c r="B156" s="9"/>
      <c r="C156" s="115"/>
      <c r="D156" s="208"/>
      <c r="E156" s="208"/>
      <c r="F156" s="208"/>
      <c r="G156" s="208"/>
      <c r="H156" s="220"/>
      <c r="I156" s="210"/>
      <c r="J156" s="208"/>
      <c r="K156" s="208"/>
      <c r="L156" s="208"/>
      <c r="M156" s="208"/>
      <c r="N156" s="220"/>
      <c r="O156" s="210"/>
      <c r="P156" s="208"/>
      <c r="Q156" s="208"/>
      <c r="R156" s="208"/>
      <c r="S156" s="208"/>
      <c r="T156" s="220"/>
      <c r="U156" s="210"/>
      <c r="V156" s="208"/>
      <c r="W156" s="208"/>
      <c r="X156" s="208"/>
      <c r="Y156" s="208"/>
      <c r="Z156" s="220"/>
      <c r="AA156" s="228"/>
      <c r="AB156" s="208"/>
      <c r="AC156" s="208"/>
      <c r="AD156" s="208"/>
      <c r="AE156" s="208"/>
      <c r="AF156" s="220"/>
      <c r="AG156" s="229"/>
      <c r="AH156" s="208"/>
      <c r="AI156" s="208"/>
      <c r="AJ156" s="212"/>
      <c r="AK156" s="212"/>
      <c r="AL156" s="220"/>
      <c r="AM156" s="230"/>
      <c r="AN156" s="212"/>
      <c r="AO156" s="212"/>
      <c r="AP156" s="212"/>
      <c r="AQ156" s="212"/>
      <c r="AR156" s="220"/>
      <c r="AS156" s="230"/>
      <c r="AT156" s="220"/>
      <c r="AU156" s="230"/>
      <c r="AV156" s="220"/>
      <c r="AW156" s="246"/>
      <c r="AX156" s="220"/>
    </row>
    <row r="157" spans="1:50" s="54" customFormat="1" ht="15" customHeight="1">
      <c r="A157" s="44" t="s">
        <v>37</v>
      </c>
      <c r="B157" s="158" t="s">
        <v>705</v>
      </c>
      <c r="C157" s="17"/>
      <c r="D157" s="217"/>
      <c r="E157" s="217"/>
      <c r="F157" s="217"/>
      <c r="G157" s="217"/>
      <c r="H157" s="220" t="str">
        <f>IF(ROUND(CF!H47,0)=ROUND(SUM(CF!D47:G47),0),"OK","ERROR")</f>
        <v>OK</v>
      </c>
      <c r="I157" s="210"/>
      <c r="J157" s="217"/>
      <c r="K157" s="217"/>
      <c r="L157" s="217"/>
      <c r="M157" s="217"/>
      <c r="N157" s="220" t="str">
        <f>IF(ROUND(CF!N47,0)=ROUND(SUM(CF!J47:M47),0),"OK","ERROR")</f>
        <v>OK</v>
      </c>
      <c r="O157" s="210"/>
      <c r="P157" s="217"/>
      <c r="Q157" s="217"/>
      <c r="R157" s="217"/>
      <c r="S157" s="217"/>
      <c r="T157" s="220" t="str">
        <f>IF(ROUND(CF!T47,0)=ROUND(SUM(CF!P47:S47),0),"OK","ERROR")</f>
        <v>OK</v>
      </c>
      <c r="U157" s="210"/>
      <c r="V157" s="217"/>
      <c r="W157" s="217"/>
      <c r="X157" s="217"/>
      <c r="Y157" s="217"/>
      <c r="Z157" s="220" t="str">
        <f>IF(ROUND(CF!Z47,0)=ROUND(SUM(CF!V47:Y47),0),"OK","ERROR")</f>
        <v>OK</v>
      </c>
      <c r="AA157" s="210"/>
      <c r="AB157" s="217"/>
      <c r="AC157" s="217"/>
      <c r="AD157" s="217"/>
      <c r="AE157" s="217"/>
      <c r="AF157" s="220" t="str">
        <f>IF(ROUND(CF!AF47,0)=ROUND(SUM(CF!AB47:AE47),0),"OK","ERROR")</f>
        <v>OK</v>
      </c>
      <c r="AG157" s="238"/>
      <c r="AH157" s="217"/>
      <c r="AI157" s="217"/>
      <c r="AJ157" s="212"/>
      <c r="AK157" s="212"/>
      <c r="AL157" s="220" t="str">
        <f>IF(ROUND(CF!AL47,0)=ROUND(SUM(CF!AH47:AK47),0),"OK","ERROR")</f>
        <v>ERROR</v>
      </c>
      <c r="AM157" s="225"/>
      <c r="AN157" s="212"/>
      <c r="AO157" s="212"/>
      <c r="AP157" s="212"/>
      <c r="AQ157" s="212"/>
      <c r="AR157" s="220" t="str">
        <f>IF(ROUND(CF!AR47,0)=ROUND(SUM(CF!AN47:AQ47),0),"OK","ERROR")</f>
        <v>OK</v>
      </c>
      <c r="AS157" s="225"/>
      <c r="AT157" s="220" t="str">
        <f>IF(ROUND(CF!AT47,0)=ROUND(SUM(CF!AP47:AS47),0),"OK","ERROR")</f>
        <v>OK</v>
      </c>
      <c r="AU157" s="225"/>
      <c r="AV157" s="220" t="str">
        <f>IF(ROUND(CF!AV47,0)=ROUND(SUM(CF!AR47:AU47),0),"OK","ERROR")</f>
        <v>OK</v>
      </c>
      <c r="AW157" s="246"/>
      <c r="AX157" s="220" t="str">
        <f>IF(ROUND(CF!AX47,0)=ROUND(SUM(CF!AT47:AW47),0),"OK","ERROR")</f>
        <v>OK</v>
      </c>
    </row>
    <row r="158" spans="1:50" s="54" customFormat="1" ht="15" customHeight="1">
      <c r="A158" s="113"/>
      <c r="C158" s="115"/>
      <c r="D158" s="208"/>
      <c r="E158" s="208"/>
      <c r="F158" s="208"/>
      <c r="G158" s="208"/>
      <c r="H158" s="220"/>
      <c r="I158" s="210"/>
      <c r="J158" s="208"/>
      <c r="K158" s="208"/>
      <c r="L158" s="208"/>
      <c r="M158" s="208"/>
      <c r="N158" s="220"/>
      <c r="O158" s="210"/>
      <c r="P158" s="208"/>
      <c r="Q158" s="208"/>
      <c r="R158" s="208"/>
      <c r="S158" s="208"/>
      <c r="T158" s="220"/>
      <c r="U158" s="210"/>
      <c r="V158" s="208"/>
      <c r="W158" s="208"/>
      <c r="X158" s="208"/>
      <c r="Y158" s="208"/>
      <c r="Z158" s="220"/>
      <c r="AA158" s="210"/>
      <c r="AB158" s="208"/>
      <c r="AC158" s="208"/>
      <c r="AD158" s="208"/>
      <c r="AE158" s="208"/>
      <c r="AF158" s="220"/>
      <c r="AG158" s="238"/>
      <c r="AH158" s="208"/>
      <c r="AI158" s="208"/>
      <c r="AJ158" s="212"/>
      <c r="AK158" s="212"/>
      <c r="AL158" s="220"/>
      <c r="AM158" s="239"/>
      <c r="AN158" s="212"/>
      <c r="AO158" s="212"/>
      <c r="AP158" s="212"/>
      <c r="AQ158" s="212"/>
      <c r="AR158" s="220"/>
      <c r="AS158" s="239"/>
      <c r="AT158" s="220"/>
      <c r="AU158" s="239"/>
      <c r="AV158" s="220"/>
      <c r="AW158" s="246"/>
      <c r="AX158" s="220"/>
    </row>
    <row r="159" spans="1:50" s="54" customFormat="1" ht="15" customHeight="1">
      <c r="A159" s="44" t="s">
        <v>37</v>
      </c>
      <c r="B159" s="158" t="s">
        <v>706</v>
      </c>
      <c r="C159" s="17"/>
      <c r="D159" s="217"/>
      <c r="E159" s="217"/>
      <c r="F159" s="217"/>
      <c r="G159" s="217"/>
      <c r="H159" s="226" t="str">
        <f>IF(ROUND(CF!H49,0)=ROUND(SUM(CF!D49:G49),0),"OK","ERROR")</f>
        <v>OK</v>
      </c>
      <c r="I159" s="210"/>
      <c r="J159" s="217"/>
      <c r="K159" s="217"/>
      <c r="L159" s="217"/>
      <c r="M159" s="217"/>
      <c r="N159" s="226" t="str">
        <f>IF(ROUND(CF!N49,0)=ROUND(SUM(CF!J49:M49),0),"OK","ERROR")</f>
        <v>OK</v>
      </c>
      <c r="O159" s="210"/>
      <c r="P159" s="217"/>
      <c r="Q159" s="217"/>
      <c r="R159" s="217"/>
      <c r="S159" s="217"/>
      <c r="T159" s="226" t="str">
        <f>IF(ROUND(CF!T49,0)=ROUND(SUM(CF!P49:S49),0),"OK","ERROR")</f>
        <v>OK</v>
      </c>
      <c r="U159" s="210"/>
      <c r="V159" s="217"/>
      <c r="W159" s="217"/>
      <c r="X159" s="217"/>
      <c r="Y159" s="217"/>
      <c r="Z159" s="226" t="str">
        <f>IF(ROUND(CF!Z49,0)=ROUND(SUM(CF!V49:Y49),0),"OK","ERROR")</f>
        <v>OK</v>
      </c>
      <c r="AA159" s="210"/>
      <c r="AB159" s="217"/>
      <c r="AC159" s="217"/>
      <c r="AD159" s="217"/>
      <c r="AE159" s="217"/>
      <c r="AF159" s="226" t="str">
        <f>IF(ROUND(CF!AF49,0)=ROUND(SUM(CF!AB49:AE49),0),"OK","ERROR")</f>
        <v>OK</v>
      </c>
      <c r="AG159" s="238"/>
      <c r="AH159" s="217"/>
      <c r="AI159" s="217"/>
      <c r="AJ159" s="212"/>
      <c r="AK159" s="212"/>
      <c r="AL159" s="226" t="str">
        <f>IF(ROUND(CF!AL49,0)=ROUND(SUM(CF!AH49:AK49),0),"OK","ERROR")</f>
        <v>ERROR</v>
      </c>
      <c r="AM159" s="239"/>
      <c r="AN159" s="212"/>
      <c r="AO159" s="212"/>
      <c r="AP159" s="212"/>
      <c r="AQ159" s="212"/>
      <c r="AR159" s="226" t="str">
        <f>IF(ROUND(CF!AR49,0)=ROUND(SUM(CF!AN49:AQ49),0),"OK","ERROR")</f>
        <v>OK</v>
      </c>
      <c r="AS159" s="239"/>
      <c r="AT159" s="226" t="str">
        <f>IF(ROUND(CF!AT49,0)=ROUND(SUM(CF!AP49:AS49),0),"OK","ERROR")</f>
        <v>OK</v>
      </c>
      <c r="AU159" s="239"/>
      <c r="AV159" s="226" t="str">
        <f>IF(ROUND(CF!AV49,0)=ROUND(SUM(CF!AR49:AU49),0),"OK","ERROR")</f>
        <v>OK</v>
      </c>
      <c r="AW159" s="246"/>
      <c r="AX159" s="226" t="str">
        <f>IF(ROUND(CF!AX49,0)=ROUND(SUM(CF!AT49:AW49),0),"OK","ERROR")</f>
        <v>OK</v>
      </c>
    </row>
    <row r="161" spans="1:50" s="41" customFormat="1" ht="15" customHeight="1">
      <c r="A161" s="44" t="s">
        <v>37</v>
      </c>
      <c r="B161" s="161" t="s">
        <v>713</v>
      </c>
      <c r="C161" s="18"/>
      <c r="D161" s="202"/>
      <c r="E161" s="202">
        <f>F161</f>
        <v>2020</v>
      </c>
      <c r="F161" s="202">
        <v>2020</v>
      </c>
      <c r="G161" s="202">
        <f>F161</f>
        <v>2020</v>
      </c>
      <c r="H161" s="202">
        <f>F161</f>
        <v>2020</v>
      </c>
      <c r="I161" s="18"/>
      <c r="J161" s="202">
        <f>L161</f>
        <v>2021</v>
      </c>
      <c r="K161" s="202">
        <f>L161</f>
        <v>2021</v>
      </c>
      <c r="L161" s="202">
        <v>2021</v>
      </c>
      <c r="M161" s="202">
        <f>L161</f>
        <v>2021</v>
      </c>
      <c r="N161" s="202">
        <f>L161</f>
        <v>2021</v>
      </c>
      <c r="O161" s="169"/>
      <c r="P161" s="202">
        <f>R161</f>
        <v>2022</v>
      </c>
      <c r="Q161" s="202">
        <f>R161</f>
        <v>2022</v>
      </c>
      <c r="R161" s="202">
        <v>2022</v>
      </c>
      <c r="S161" s="202">
        <f>R161</f>
        <v>2022</v>
      </c>
      <c r="T161" s="202">
        <f>R161</f>
        <v>2022</v>
      </c>
      <c r="U161" s="169"/>
      <c r="V161" s="202">
        <f>X161</f>
        <v>2023</v>
      </c>
      <c r="W161" s="202">
        <f>X161</f>
        <v>2023</v>
      </c>
      <c r="X161" s="202">
        <v>2023</v>
      </c>
      <c r="Y161" s="202">
        <f>X161</f>
        <v>2023</v>
      </c>
      <c r="Z161" s="202">
        <f>X161</f>
        <v>2023</v>
      </c>
      <c r="AA161" s="170"/>
      <c r="AB161" s="202">
        <f>AD161</f>
        <v>2024</v>
      </c>
      <c r="AC161" s="202">
        <f>AD161</f>
        <v>2024</v>
      </c>
      <c r="AD161" s="202">
        <v>2024</v>
      </c>
      <c r="AE161" s="202">
        <f>AD161</f>
        <v>2024</v>
      </c>
      <c r="AF161" s="202">
        <f>AD161</f>
        <v>2024</v>
      </c>
      <c r="AG161" s="170"/>
      <c r="AH161" s="202">
        <f>AJ161</f>
        <v>2025</v>
      </c>
      <c r="AI161" s="202">
        <f>AJ161</f>
        <v>2025</v>
      </c>
      <c r="AJ161" s="203">
        <v>2025</v>
      </c>
      <c r="AK161" s="202">
        <f>AJ161</f>
        <v>2025</v>
      </c>
      <c r="AL161" s="202">
        <f>AJ161</f>
        <v>2025</v>
      </c>
      <c r="AM161" s="171"/>
      <c r="AN161" s="202">
        <f>AP161</f>
        <v>2025</v>
      </c>
      <c r="AO161" s="202">
        <f>AP161</f>
        <v>2025</v>
      </c>
      <c r="AP161" s="203">
        <v>2025</v>
      </c>
      <c r="AQ161" s="202">
        <f>AP161</f>
        <v>2025</v>
      </c>
      <c r="AR161" s="202">
        <f>AP161</f>
        <v>2025</v>
      </c>
      <c r="AS161" s="18"/>
      <c r="AT161" s="162"/>
      <c r="AU161" s="18"/>
      <c r="AV161" s="163"/>
      <c r="AW161" s="18"/>
      <c r="AX161" s="163"/>
    </row>
    <row r="162" spans="1:50" s="41" customFormat="1" ht="15" customHeight="1">
      <c r="B162" s="164"/>
      <c r="C162" s="18"/>
      <c r="D162" s="756">
        <v>2020</v>
      </c>
      <c r="E162" s="756"/>
      <c r="F162" s="756"/>
      <c r="G162" s="756"/>
      <c r="H162" s="756"/>
      <c r="I162" s="169"/>
      <c r="J162" s="756">
        <f>D162+1</f>
        <v>2021</v>
      </c>
      <c r="K162" s="756"/>
      <c r="L162" s="756"/>
      <c r="M162" s="756"/>
      <c r="N162" s="756"/>
      <c r="O162" s="169"/>
      <c r="P162" s="756">
        <f>J162+1</f>
        <v>2022</v>
      </c>
      <c r="Q162" s="756"/>
      <c r="R162" s="756"/>
      <c r="S162" s="756"/>
      <c r="T162" s="756"/>
      <c r="U162" s="169"/>
      <c r="V162" s="756">
        <f>P162+1</f>
        <v>2023</v>
      </c>
      <c r="W162" s="756"/>
      <c r="X162" s="756"/>
      <c r="Y162" s="756"/>
      <c r="Z162" s="756"/>
      <c r="AA162" s="169"/>
      <c r="AB162" s="756">
        <f>V162+1</f>
        <v>2024</v>
      </c>
      <c r="AC162" s="756"/>
      <c r="AD162" s="756"/>
      <c r="AE162" s="756"/>
      <c r="AF162" s="756"/>
      <c r="AG162" s="169"/>
      <c r="AH162" s="755">
        <f>AB162+1</f>
        <v>2025</v>
      </c>
      <c r="AI162" s="755"/>
      <c r="AJ162" s="755"/>
      <c r="AK162" s="755"/>
      <c r="AL162" s="755"/>
      <c r="AM162" s="169"/>
      <c r="AN162" s="755">
        <f>AH162+1</f>
        <v>2026</v>
      </c>
      <c r="AO162" s="755"/>
      <c r="AP162" s="755"/>
      <c r="AQ162" s="755"/>
      <c r="AR162" s="755"/>
      <c r="AS162" s="171"/>
      <c r="AT162" s="166">
        <f>AN162+1</f>
        <v>2027</v>
      </c>
      <c r="AU162" s="167"/>
      <c r="AV162" s="166">
        <f>+AT162+1</f>
        <v>2028</v>
      </c>
      <c r="AW162" s="167"/>
      <c r="AX162" s="166">
        <f>+AV162+1</f>
        <v>2029</v>
      </c>
    </row>
    <row r="163" spans="1:50" s="41" customFormat="1" ht="15" customHeight="1">
      <c r="B163" s="164"/>
      <c r="C163" s="18"/>
      <c r="D163" s="168" t="s">
        <v>207</v>
      </c>
      <c r="E163" s="168" t="s">
        <v>208</v>
      </c>
      <c r="F163" s="168" t="s">
        <v>209</v>
      </c>
      <c r="G163" s="168" t="s">
        <v>210</v>
      </c>
      <c r="H163" s="168" t="s">
        <v>211</v>
      </c>
      <c r="I163" s="18"/>
      <c r="J163" s="168" t="s">
        <v>207</v>
      </c>
      <c r="K163" s="168" t="s">
        <v>208</v>
      </c>
      <c r="L163" s="168" t="s">
        <v>209</v>
      </c>
      <c r="M163" s="168" t="s">
        <v>210</v>
      </c>
      <c r="N163" s="168" t="s">
        <v>211</v>
      </c>
      <c r="O163" s="165"/>
      <c r="P163" s="168" t="s">
        <v>207</v>
      </c>
      <c r="Q163" s="168" t="s">
        <v>208</v>
      </c>
      <c r="R163" s="168" t="s">
        <v>209</v>
      </c>
      <c r="S163" s="168" t="s">
        <v>210</v>
      </c>
      <c r="T163" s="168" t="s">
        <v>211</v>
      </c>
      <c r="U163" s="165"/>
      <c r="V163" s="168" t="s">
        <v>207</v>
      </c>
      <c r="W163" s="168" t="s">
        <v>208</v>
      </c>
      <c r="X163" s="168" t="s">
        <v>209</v>
      </c>
      <c r="Y163" s="168" t="s">
        <v>210</v>
      </c>
      <c r="Z163" s="168" t="s">
        <v>211</v>
      </c>
      <c r="AA163" s="165"/>
      <c r="AB163" s="168" t="s">
        <v>207</v>
      </c>
      <c r="AC163" s="168" t="s">
        <v>208</v>
      </c>
      <c r="AD163" s="168" t="s">
        <v>209</v>
      </c>
      <c r="AE163" s="168" t="s">
        <v>210</v>
      </c>
      <c r="AF163" s="168" t="s">
        <v>211</v>
      </c>
      <c r="AG163" s="165"/>
      <c r="AH163" s="168" t="s">
        <v>207</v>
      </c>
      <c r="AI163" s="168" t="s">
        <v>208</v>
      </c>
      <c r="AJ163" s="168" t="s">
        <v>209</v>
      </c>
      <c r="AK163" s="168" t="s">
        <v>210</v>
      </c>
      <c r="AL163" s="168" t="s">
        <v>211</v>
      </c>
      <c r="AM163" s="165"/>
      <c r="AN163" s="168" t="s">
        <v>207</v>
      </c>
      <c r="AO163" s="168" t="s">
        <v>208</v>
      </c>
      <c r="AP163" s="168" t="s">
        <v>209</v>
      </c>
      <c r="AQ163" s="168" t="s">
        <v>210</v>
      </c>
      <c r="AR163" s="168" t="s">
        <v>211</v>
      </c>
      <c r="AS163" s="165"/>
      <c r="AT163" s="168" t="s">
        <v>211</v>
      </c>
      <c r="AU163" s="165"/>
      <c r="AV163" s="168" t="s">
        <v>211</v>
      </c>
      <c r="AW163" s="165"/>
      <c r="AX163" s="168" t="s">
        <v>211</v>
      </c>
    </row>
    <row r="164" spans="1:50" s="41" customFormat="1" ht="3.95" customHeight="1">
      <c r="A164" s="43"/>
      <c r="B164" s="176"/>
      <c r="C164" s="35"/>
      <c r="D164" s="177"/>
      <c r="E164" s="177"/>
      <c r="F164" s="177"/>
      <c r="G164" s="177"/>
      <c r="H164" s="177"/>
      <c r="I164" s="35"/>
      <c r="J164" s="177"/>
      <c r="K164" s="177"/>
      <c r="L164" s="177"/>
      <c r="M164" s="177"/>
      <c r="N164" s="177"/>
      <c r="O164" s="178"/>
      <c r="P164" s="177"/>
      <c r="Q164" s="177"/>
      <c r="R164" s="177"/>
      <c r="S164" s="177"/>
      <c r="T164" s="177"/>
      <c r="U164" s="178"/>
      <c r="V164" s="177"/>
      <c r="W164" s="177"/>
      <c r="X164" s="177"/>
      <c r="Y164" s="177"/>
      <c r="Z164" s="177"/>
      <c r="AA164" s="178"/>
      <c r="AB164" s="177"/>
      <c r="AC164" s="177"/>
      <c r="AD164" s="177"/>
      <c r="AE164" s="177"/>
      <c r="AF164" s="177"/>
      <c r="AG164" s="178"/>
      <c r="AH164" s="177"/>
      <c r="AI164" s="177"/>
      <c r="AJ164" s="177"/>
      <c r="AK164" s="177"/>
      <c r="AL164" s="179"/>
      <c r="AM164" s="180"/>
      <c r="AN164" s="179"/>
      <c r="AO164" s="179"/>
      <c r="AP164" s="179"/>
      <c r="AQ164" s="179"/>
      <c r="AR164" s="179"/>
      <c r="AS164" s="180"/>
      <c r="AT164" s="179"/>
      <c r="AU164" s="180"/>
      <c r="AV164" s="179"/>
      <c r="AW164" s="180"/>
      <c r="AX164" s="179"/>
    </row>
    <row r="165" spans="1:50" s="41" customFormat="1" ht="3.95" customHeight="1">
      <c r="A165" s="43"/>
      <c r="B165" s="172"/>
      <c r="C165" s="19"/>
      <c r="D165" s="173"/>
      <c r="E165" s="173"/>
      <c r="F165" s="173"/>
      <c r="G165" s="173"/>
      <c r="H165" s="173"/>
      <c r="I165" s="19"/>
      <c r="J165" s="173"/>
      <c r="K165" s="173"/>
      <c r="L165" s="173"/>
      <c r="M165" s="173"/>
      <c r="N165" s="173"/>
      <c r="O165" s="174"/>
      <c r="P165" s="173"/>
      <c r="Q165" s="173"/>
      <c r="R165" s="173"/>
      <c r="S165" s="173"/>
      <c r="T165" s="173"/>
      <c r="U165" s="174"/>
      <c r="V165" s="173"/>
      <c r="W165" s="173"/>
      <c r="X165" s="173"/>
      <c r="Y165" s="173"/>
      <c r="Z165" s="173"/>
      <c r="AA165" s="174"/>
      <c r="AB165" s="173"/>
      <c r="AC165" s="173"/>
      <c r="AD165" s="173"/>
      <c r="AE165" s="173"/>
      <c r="AF165" s="173"/>
      <c r="AG165" s="204"/>
      <c r="AH165" s="173"/>
      <c r="AI165" s="173"/>
      <c r="AJ165" s="173"/>
      <c r="AK165" s="173"/>
      <c r="AL165" s="175"/>
      <c r="AM165" s="34"/>
      <c r="AN165" s="175"/>
      <c r="AO165" s="175"/>
      <c r="AP165" s="175"/>
      <c r="AQ165" s="175"/>
      <c r="AR165" s="175"/>
      <c r="AS165" s="34"/>
      <c r="AT165" s="175"/>
      <c r="AU165" s="34"/>
      <c r="AV165" s="175"/>
      <c r="AW165" s="34"/>
      <c r="AX165" s="175"/>
    </row>
    <row r="166" spans="1:50" s="54" customFormat="1" ht="15" customHeight="1">
      <c r="A166" s="43"/>
      <c r="B166" s="154"/>
      <c r="C166" s="17"/>
      <c r="D166" s="46"/>
      <c r="E166" s="46"/>
      <c r="F166" s="46"/>
      <c r="G166" s="46"/>
      <c r="H166" s="57"/>
      <c r="I166" s="48"/>
      <c r="J166" s="46"/>
      <c r="K166" s="46"/>
      <c r="L166" s="46"/>
      <c r="M166" s="46"/>
      <c r="N166" s="57"/>
      <c r="O166" s="47"/>
      <c r="P166" s="46"/>
      <c r="Q166" s="46"/>
      <c r="R166" s="46"/>
      <c r="S166" s="46"/>
      <c r="T166" s="57"/>
      <c r="U166" s="47"/>
      <c r="V166" s="46"/>
      <c r="W166" s="46"/>
      <c r="X166" s="46"/>
      <c r="Y166" s="46"/>
      <c r="Z166" s="57"/>
      <c r="AA166" s="47"/>
      <c r="AB166" s="46"/>
      <c r="AC166" s="46"/>
      <c r="AD166" s="46"/>
      <c r="AE166" s="46"/>
      <c r="AF166" s="57"/>
      <c r="AG166" s="49"/>
      <c r="AH166" s="46"/>
      <c r="AI166" s="46"/>
      <c r="AJ166" s="50"/>
      <c r="AK166" s="50"/>
      <c r="AL166" s="58"/>
      <c r="AM166" s="53"/>
      <c r="AN166" s="50"/>
      <c r="AO166" s="50"/>
      <c r="AP166" s="50"/>
      <c r="AQ166" s="50"/>
      <c r="AR166" s="58"/>
      <c r="AS166" s="53"/>
      <c r="AT166" s="58"/>
      <c r="AU166" s="53"/>
      <c r="AV166" s="58"/>
      <c r="AX166" s="58"/>
    </row>
    <row r="167" spans="1:50" s="54" customFormat="1" ht="15" customHeight="1">
      <c r="A167" s="44" t="s">
        <v>37</v>
      </c>
      <c r="B167" s="154" t="s">
        <v>681</v>
      </c>
      <c r="C167" s="17"/>
      <c r="D167" s="208"/>
      <c r="E167" s="208"/>
      <c r="F167" s="208"/>
      <c r="G167" s="208"/>
      <c r="H167" s="220"/>
      <c r="I167" s="210"/>
      <c r="J167" s="208"/>
      <c r="K167" s="208"/>
      <c r="L167" s="208"/>
      <c r="M167" s="208"/>
      <c r="N167" s="220"/>
      <c r="O167" s="209"/>
      <c r="P167" s="208"/>
      <c r="Q167" s="208"/>
      <c r="R167" s="208"/>
      <c r="S167" s="208"/>
      <c r="T167" s="220"/>
      <c r="U167" s="209"/>
      <c r="V167" s="208"/>
      <c r="W167" s="208"/>
      <c r="X167" s="208"/>
      <c r="Y167" s="208"/>
      <c r="Z167" s="220"/>
      <c r="AA167" s="209"/>
      <c r="AB167" s="208"/>
      <c r="AC167" s="208"/>
      <c r="AD167" s="208"/>
      <c r="AE167" s="208"/>
      <c r="AF167" s="220"/>
      <c r="AG167" s="211"/>
      <c r="AH167" s="208"/>
      <c r="AI167" s="208"/>
      <c r="AJ167" s="212"/>
      <c r="AK167" s="212"/>
      <c r="AL167" s="222"/>
      <c r="AM167" s="215"/>
      <c r="AN167" s="212"/>
      <c r="AO167" s="212"/>
      <c r="AP167" s="212"/>
      <c r="AQ167" s="212"/>
      <c r="AR167" s="222"/>
      <c r="AS167" s="215"/>
      <c r="AT167" s="222"/>
      <c r="AU167" s="215"/>
      <c r="AV167" s="222"/>
      <c r="AW167" s="246"/>
      <c r="AX167" s="222"/>
    </row>
    <row r="168" spans="1:50" s="54" customFormat="1" ht="15" customHeight="1" thickBot="1">
      <c r="A168" s="84"/>
      <c r="B168" s="157" t="s">
        <v>686</v>
      </c>
      <c r="C168" s="26"/>
      <c r="D168" s="217" t="str">
        <f>IF(ROUND(CF!D25,0)=ROUND(SUM(CF!D15,CF!D17:D19,CF!D21:D24),0),"OK","ERROR")</f>
        <v>ERROR</v>
      </c>
      <c r="E168" s="217" t="str">
        <f>IF(ROUND(CF!E25,0)=ROUND(SUM(CF!E15,CF!E17:E19,CF!E21:E24),0),"OK","ERROR")</f>
        <v>ERROR</v>
      </c>
      <c r="F168" s="217" t="str">
        <f>IF(ROUND(CF!F25,0)=ROUND(SUM(CF!F15,CF!F17:F19,CF!F21:F24),0),"OK","ERROR")</f>
        <v>OK</v>
      </c>
      <c r="G168" s="217" t="str">
        <f>IF(ROUND(CF!G25,0)=ROUND(SUM(CF!G15,CF!G17:G19,CF!G21:G24),0),"OK","ERROR")</f>
        <v>OK</v>
      </c>
      <c r="H168" s="237" t="str">
        <f>IF(ROUND(CF!H25,0)=ROUND(SUM(CF!H15,CF!H17:H19,CF!H21:H24),0),"OK","ERROR")</f>
        <v>ERROR</v>
      </c>
      <c r="I168" s="210"/>
      <c r="J168" s="217" t="str">
        <f>IF(ROUND(CF!J25,0)=ROUND(SUM(CF!J15,CF!J17:J19,CF!J21:J24),0),"OK","ERROR")</f>
        <v>ERROR</v>
      </c>
      <c r="K168" s="217" t="str">
        <f>IF(ROUND(CF!K25,0)=ROUND(SUM(CF!K15,CF!K17:K19,CF!K21:K24),0),"OK","ERROR")</f>
        <v>OK</v>
      </c>
      <c r="L168" s="217" t="str">
        <f>IF(ROUND(CF!L25,0)=ROUND(SUM(CF!L15,CF!L17:L19,CF!L21:L24),0),"OK","ERROR")</f>
        <v>ERROR</v>
      </c>
      <c r="M168" s="217" t="str">
        <f>IF(ROUND(CF!M25,0)=ROUND(SUM(CF!M15,CF!M17:M19,CF!M21:M24),0),"OK","ERROR")</f>
        <v>ERROR</v>
      </c>
      <c r="N168" s="237" t="str">
        <f>IF(ROUND(CF!N25,0)=ROUND(SUM(CF!N15,CF!N17:N19,CF!N21:N24),0),"OK","ERROR")</f>
        <v>ERROR</v>
      </c>
      <c r="O168" s="210"/>
      <c r="P168" s="217" t="str">
        <f>IF(ROUND(CF!P25,0)=ROUND(SUM(CF!P15,CF!P17:P19,CF!P21:P24),0),"OK","ERROR")</f>
        <v>ERROR</v>
      </c>
      <c r="Q168" s="217" t="str">
        <f>IF(ROUND(CF!Q25,0)=ROUND(SUM(CF!Q15,CF!Q17:Q19,CF!Q21:Q24),0),"OK","ERROR")</f>
        <v>ERROR</v>
      </c>
      <c r="R168" s="217" t="str">
        <f>IF(ROUND(CF!R25,0)=ROUND(SUM(CF!R15,CF!R17:R19,CF!R21:R24),0),"OK","ERROR")</f>
        <v>ERROR</v>
      </c>
      <c r="S168" s="217" t="str">
        <f>IF(ROUND(CF!S25,0)=ROUND(SUM(CF!S15,CF!S17:S19,CF!S21:S24),0),"OK","ERROR")</f>
        <v>ERROR</v>
      </c>
      <c r="T168" s="237" t="str">
        <f>IF(ROUND(CF!T25,0)=ROUND(SUM(CF!T15,CF!T17:T19,CF!T21:T24),0),"OK","ERROR")</f>
        <v>ERROR</v>
      </c>
      <c r="U168" s="210"/>
      <c r="V168" s="217" t="str">
        <f>IF(ROUND(CF!V25,0)=ROUND(SUM(CF!V15,CF!V17:V19,CF!V21:V24),0),"OK","ERROR")</f>
        <v>ERROR</v>
      </c>
      <c r="W168" s="217" t="str">
        <f>IF(ROUND(CF!W25,0)=ROUND(SUM(CF!W15,CF!W17:W19,CF!W21:W24),0),"OK","ERROR")</f>
        <v>ERROR</v>
      </c>
      <c r="X168" s="217" t="str">
        <f>IF(ROUND(CF!X25,0)=ROUND(SUM(CF!X15,CF!X17:X19,CF!X21:X24),0),"OK","ERROR")</f>
        <v>ERROR</v>
      </c>
      <c r="Y168" s="217" t="str">
        <f>IF(ROUND(CF!Y25,0)=ROUND(SUM(CF!Y15,CF!Y17:Y19,CF!Y21:Y24),0),"OK","ERROR")</f>
        <v>ERROR</v>
      </c>
      <c r="Z168" s="237" t="str">
        <f>IF(ROUND(CF!Z25,0)=ROUND(SUM(CF!Z15,CF!Z17:Z19,CF!Z21:Z24),0),"OK","ERROR")</f>
        <v>ERROR</v>
      </c>
      <c r="AA168" s="228"/>
      <c r="AB168" s="217" t="str">
        <f>IF(ROUND(CF!AB25,0)=ROUND(SUM(CF!AB15,CF!AB17:AB19,CF!AB21:AB24),0),"OK","ERROR")</f>
        <v>ERROR</v>
      </c>
      <c r="AC168" s="217" t="str">
        <f>IF(ROUND(CF!AC25,0)=ROUND(SUM(CF!AC15,CF!AC17:AC19,CF!AC21:AC24),0),"OK","ERROR")</f>
        <v>ERROR</v>
      </c>
      <c r="AD168" s="217" t="str">
        <f>IF(ROUND(CF!AD25,0)=ROUND(SUM(CF!AD15,CF!AD17:AD19,CF!AD21:AD24),0),"OK","ERROR")</f>
        <v>ERROR</v>
      </c>
      <c r="AE168" s="217" t="str">
        <f>IF(ROUND(CF!AE25,0)=ROUND(SUM(CF!AE15,CF!AE17:AE19,CF!AE21:AE24),0),"OK","ERROR")</f>
        <v>ERROR</v>
      </c>
      <c r="AF168" s="237" t="str">
        <f>IF(ROUND(CF!AF25,0)=ROUND(SUM(CF!AF15,CF!AF17:AF19,CF!AF21:AF24),0),"OK","ERROR")</f>
        <v>ERROR</v>
      </c>
      <c r="AG168" s="229"/>
      <c r="AH168" s="217" t="str">
        <f>IF(ROUND(CF!AH25,0)=ROUND(SUM(CF!AH15,CF!AH17:AH19,CF!AH21:AH24),0),"OK","ERROR")</f>
        <v>ERROR</v>
      </c>
      <c r="AI168" s="217" t="str">
        <f>IF(ROUND(CF!AI25,0)=ROUND(SUM(CF!AI15,CF!AI17:AI19,CF!AI21:AI24),0),"OK","ERROR")</f>
        <v>ERROR</v>
      </c>
      <c r="AJ168" s="217" t="str">
        <f>IF(ROUND(CF!AJ24,0)=ROUND(SUM(CF!AJ15,CF!AJ17:AJ19,CF!AJ21:AJ24),0),"OK","ERROR")</f>
        <v>OK</v>
      </c>
      <c r="AK168" s="217" t="str">
        <f>IF(ROUND(CF!AK25,0)=ROUND(SUM(CF!AK15,CF!AK17:AK19,CF!AK21:AK24),0),"OK","ERROR")</f>
        <v>OK</v>
      </c>
      <c r="AL168" s="237" t="str">
        <f>IF(ROUND(CF!AL25,0)=ROUND(SUM(CF!AL15,CF!AL17:AL19,CF!AL21:AL24),0),"OK","ERROR")</f>
        <v>OK</v>
      </c>
      <c r="AM168" s="230"/>
      <c r="AN168" s="217" t="str">
        <f>IF(ROUND(CF!AN25,0)=ROUND(SUM(CF!AN15,CF!AN17:AN19,CF!AN21:AN24),0),"OK","ERROR")</f>
        <v>OK</v>
      </c>
      <c r="AO168" s="217" t="str">
        <f>IF(ROUND(CF!AO25,0)=ROUND(SUM(CF!AO15,CF!AO17:AO19,CF!AO21:AO24),0),"OK","ERROR")</f>
        <v>OK</v>
      </c>
      <c r="AP168" s="217" t="str">
        <f>IF(ROUND(CF!AP25,0)=ROUND(SUM(CF!AP15,CF!AP17:AP19,CF!AP21:AP24),0),"OK","ERROR")</f>
        <v>OK</v>
      </c>
      <c r="AQ168" s="217" t="str">
        <f>IF(ROUND(CF!AQ25,0)=ROUND(SUM(CF!AQ15,CF!AQ17:AQ19,CF!AQ21:AQ24),0),"OK","ERROR")</f>
        <v>OK</v>
      </c>
      <c r="AR168" s="237" t="str">
        <f>IF(ROUND(CF!AR25,0)=ROUND(SUM(CF!AR15,CF!AR17:AR19,CF!AR21:AR24),0),"OK","ERROR")</f>
        <v>OK</v>
      </c>
      <c r="AS168" s="230"/>
      <c r="AT168" s="237" t="str">
        <f>IF(ROUND(CF!AT25,0)=ROUND(SUM(CF!AT15,CF!AT17:AT19,CF!AT21:AT24),0),"OK","ERROR")</f>
        <v>OK</v>
      </c>
      <c r="AU168" s="230"/>
      <c r="AV168" s="237" t="str">
        <f>IF(ROUND(CF!AV25,0)=ROUND(SUM(CF!AV15,CF!AV17:AV19,CF!AV21:AV24),0),"OK","ERROR")</f>
        <v>OK</v>
      </c>
      <c r="AW168" s="246"/>
      <c r="AX168" s="237" t="str">
        <f>IF(ROUND(CF!AX25,0)=ROUND(SUM(CF!AX15,CF!AX17:AX19,CF!AX21:AX24),0),"OK","ERROR")</f>
        <v>OK</v>
      </c>
    </row>
    <row r="169" spans="1:50" s="54" customFormat="1" ht="15" customHeight="1" thickTop="1">
      <c r="A169" s="43"/>
      <c r="B169" s="154"/>
      <c r="C169" s="17"/>
      <c r="D169" s="208"/>
      <c r="E169" s="208"/>
      <c r="F169" s="208"/>
      <c r="G169" s="208"/>
      <c r="H169" s="220"/>
      <c r="I169" s="210"/>
      <c r="J169" s="208"/>
      <c r="K169" s="208"/>
      <c r="L169" s="208"/>
      <c r="M169" s="208"/>
      <c r="N169" s="220"/>
      <c r="O169" s="210"/>
      <c r="P169" s="208"/>
      <c r="Q169" s="208"/>
      <c r="R169" s="208"/>
      <c r="S169" s="208"/>
      <c r="T169" s="220"/>
      <c r="U169" s="210"/>
      <c r="V169" s="208"/>
      <c r="W169" s="208"/>
      <c r="X169" s="208"/>
      <c r="Y169" s="208"/>
      <c r="Z169" s="220"/>
      <c r="AA169" s="213"/>
      <c r="AB169" s="208"/>
      <c r="AC169" s="208"/>
      <c r="AD169" s="208"/>
      <c r="AE169" s="208"/>
      <c r="AF169" s="220"/>
      <c r="AG169" s="211"/>
      <c r="AH169" s="208"/>
      <c r="AI169" s="208"/>
      <c r="AJ169" s="208"/>
      <c r="AK169" s="208"/>
      <c r="AL169" s="220"/>
      <c r="AM169" s="225"/>
      <c r="AN169" s="208"/>
      <c r="AO169" s="208"/>
      <c r="AP169" s="208"/>
      <c r="AQ169" s="208"/>
      <c r="AR169" s="220"/>
      <c r="AS169" s="225"/>
      <c r="AT169" s="220"/>
      <c r="AU169" s="225"/>
      <c r="AV169" s="220"/>
      <c r="AW169" s="246"/>
      <c r="AX169" s="220"/>
    </row>
    <row r="170" spans="1:50" s="54" customFormat="1" ht="15" customHeight="1">
      <c r="A170" s="44" t="s">
        <v>37</v>
      </c>
      <c r="B170" s="158" t="s">
        <v>687</v>
      </c>
      <c r="C170" s="115"/>
      <c r="D170" s="208"/>
      <c r="E170" s="208"/>
      <c r="F170" s="208"/>
      <c r="G170" s="208"/>
      <c r="H170" s="220"/>
      <c r="I170" s="210"/>
      <c r="J170" s="208"/>
      <c r="K170" s="208"/>
      <c r="L170" s="208"/>
      <c r="M170" s="208"/>
      <c r="N170" s="220"/>
      <c r="O170" s="210"/>
      <c r="P170" s="208"/>
      <c r="Q170" s="208"/>
      <c r="R170" s="208"/>
      <c r="S170" s="208"/>
      <c r="T170" s="220"/>
      <c r="U170" s="210"/>
      <c r="V170" s="208"/>
      <c r="W170" s="208"/>
      <c r="X170" s="208"/>
      <c r="Y170" s="208"/>
      <c r="Z170" s="220"/>
      <c r="AA170" s="228"/>
      <c r="AB170" s="208"/>
      <c r="AC170" s="208"/>
      <c r="AD170" s="208"/>
      <c r="AE170" s="208"/>
      <c r="AF170" s="220"/>
      <c r="AG170" s="229"/>
      <c r="AH170" s="208"/>
      <c r="AI170" s="208"/>
      <c r="AJ170" s="208"/>
      <c r="AK170" s="208"/>
      <c r="AL170" s="220"/>
      <c r="AM170" s="230"/>
      <c r="AN170" s="208"/>
      <c r="AO170" s="208"/>
      <c r="AP170" s="208"/>
      <c r="AQ170" s="208"/>
      <c r="AR170" s="220"/>
      <c r="AS170" s="230"/>
      <c r="AT170" s="220"/>
      <c r="AU170" s="230"/>
      <c r="AV170" s="220"/>
      <c r="AW170" s="246"/>
      <c r="AX170" s="220"/>
    </row>
    <row r="171" spans="1:50" s="54" customFormat="1" ht="15" customHeight="1" thickBot="1">
      <c r="A171" s="113"/>
      <c r="B171" s="160" t="s">
        <v>696</v>
      </c>
      <c r="C171" s="17"/>
      <c r="D171" s="217" t="str">
        <f>IF(ROUND(CF!D36,0)=ROUND(SUM(CF!D28:D35),0),"OK","ERROR")</f>
        <v>OK</v>
      </c>
      <c r="E171" s="217" t="str">
        <f>IF(ROUND(CF!E36,0)=ROUND(SUM(CF!E28:E35),0),"OK","ERROR")</f>
        <v>OK</v>
      </c>
      <c r="F171" s="217" t="str">
        <f>IF(ROUND(CF!F36,0)=ROUND(SUM(CF!F28:F35),0),"OK","ERROR")</f>
        <v>OK</v>
      </c>
      <c r="G171" s="217" t="str">
        <f>IF(ROUND(CF!G36,0)=ROUND(SUM(CF!G28:G35),0),"OK","ERROR")</f>
        <v>OK</v>
      </c>
      <c r="H171" s="237" t="str">
        <f>IF(ROUND(CF!H36,0)=ROUND(SUM(CF!H28:H35),0),"OK","ERROR")</f>
        <v>OK</v>
      </c>
      <c r="I171" s="210"/>
      <c r="J171" s="217" t="str">
        <f>IF(ROUND(CF!J36,0)=ROUND(SUM(CF!J28:J35),0),"OK","ERROR")</f>
        <v>OK</v>
      </c>
      <c r="K171" s="217" t="str">
        <f>IF(ROUND(CF!K36,0)=ROUND(SUM(CF!K28:K35),0),"OK","ERROR")</f>
        <v>OK</v>
      </c>
      <c r="L171" s="217" t="str">
        <f>IF(ROUND(CF!L36,0)=ROUND(SUM(CF!L28:L35),0),"OK","ERROR")</f>
        <v>OK</v>
      </c>
      <c r="M171" s="217" t="str">
        <f>IF(ROUND(CF!M36,0)=ROUND(SUM(CF!M28:M35),0),"OK","ERROR")</f>
        <v>OK</v>
      </c>
      <c r="N171" s="237" t="str">
        <f>IF(ROUND(CF!N36,0)=ROUND(SUM(CF!N28:N35),0),"OK","ERROR")</f>
        <v>OK</v>
      </c>
      <c r="O171" s="210"/>
      <c r="P171" s="217" t="str">
        <f>IF(ROUND(CF!P36,0)=ROUND(SUM(CF!P28:P35),0),"OK","ERROR")</f>
        <v>OK</v>
      </c>
      <c r="Q171" s="217" t="str">
        <f>IF(ROUND(CF!Q36,0)=ROUND(SUM(CF!Q28:Q35),0),"OK","ERROR")</f>
        <v>OK</v>
      </c>
      <c r="R171" s="217" t="str">
        <f>IF(ROUND(CF!R36,0)=ROUND(SUM(CF!R28:R35),0),"OK","ERROR")</f>
        <v>OK</v>
      </c>
      <c r="S171" s="217" t="str">
        <f>IF(ROUND(CF!S36,0)=ROUND(SUM(CF!S28:S35),0),"OK","ERROR")</f>
        <v>OK</v>
      </c>
      <c r="T171" s="237" t="str">
        <f>IF(ROUND(CF!T36,0)=ROUND(SUM(CF!T28:T35),0),"OK","ERROR")</f>
        <v>OK</v>
      </c>
      <c r="U171" s="210"/>
      <c r="V171" s="217" t="str">
        <f>IF(ROUND(CF!V36,0)=ROUND(SUM(CF!V28:V35),0),"OK","ERROR")</f>
        <v>OK</v>
      </c>
      <c r="W171" s="217" t="str">
        <f>IF(ROUND(CF!W36,0)=ROUND(SUM(CF!W28:W35),0),"OK","ERROR")</f>
        <v>OK</v>
      </c>
      <c r="X171" s="217" t="str">
        <f>IF(ROUND(CF!X36,0)=ROUND(SUM(CF!X28:X35),0),"OK","ERROR")</f>
        <v>OK</v>
      </c>
      <c r="Y171" s="217" t="str">
        <f>IF(ROUND(CF!Y36,0)=ROUND(SUM(CF!Y28:Y35),0),"OK","ERROR")</f>
        <v>OK</v>
      </c>
      <c r="Z171" s="237" t="str">
        <f>IF(ROUND(CF!Z36,0)=ROUND(SUM(CF!Z28:Z35),0),"OK","ERROR")</f>
        <v>OK</v>
      </c>
      <c r="AA171" s="213"/>
      <c r="AB171" s="217" t="str">
        <f>IF(ROUND(CF!AB36,0)=ROUND(SUM(CF!AB28:AB35),0),"OK","ERROR")</f>
        <v>OK</v>
      </c>
      <c r="AC171" s="217" t="str">
        <f>IF(ROUND(CF!AC36,0)=ROUND(SUM(CF!AC28:AC35),0),"OK","ERROR")</f>
        <v>OK</v>
      </c>
      <c r="AD171" s="217" t="str">
        <f>IF(ROUND(CF!AD36,0)=ROUND(SUM(CF!AD28:AD35),0),"OK","ERROR")</f>
        <v>OK</v>
      </c>
      <c r="AE171" s="217" t="str">
        <f>IF(ROUND(CF!AE36,0)=ROUND(SUM(CF!AE28:AE35),0),"OK","ERROR")</f>
        <v>OK</v>
      </c>
      <c r="AF171" s="237" t="str">
        <f>IF(ROUND(CF!AF36,0)=ROUND(SUM(CF!AF28:AF35),0),"OK","ERROR")</f>
        <v>OK</v>
      </c>
      <c r="AG171" s="211"/>
      <c r="AH171" s="217" t="str">
        <f>IF(ROUND(CF!AH36,0)=ROUND(SUM(CF!AH28:AH35),0),"OK","ERROR")</f>
        <v>OK</v>
      </c>
      <c r="AI171" s="217" t="str">
        <f>IF(ROUND(CF!AI36,0)=ROUND(SUM(CF!AI28:AI35),0),"OK","ERROR")</f>
        <v>OK</v>
      </c>
      <c r="AJ171" s="217" t="str">
        <f>IF(ROUND(CF!AJ36,0)=ROUND(SUM(CF!AJ28:AJ35),0),"OK","ERROR")</f>
        <v>OK</v>
      </c>
      <c r="AK171" s="217" t="str">
        <f>IF(ROUND(CF!AK36,0)=ROUND(SUM(CF!AK28:AK35),0),"OK","ERROR")</f>
        <v>OK</v>
      </c>
      <c r="AL171" s="237" t="str">
        <f>IF(ROUND(CF!AL36,0)=ROUND(SUM(CF!AL28:AL35),0),"OK","ERROR")</f>
        <v>OK</v>
      </c>
      <c r="AM171" s="215"/>
      <c r="AN171" s="217" t="str">
        <f>IF(ROUND(CF!AN36,0)=ROUND(SUM(CF!AN28:AN35),0),"OK","ERROR")</f>
        <v>OK</v>
      </c>
      <c r="AO171" s="217" t="str">
        <f>IF(ROUND(CF!AO36,0)=ROUND(SUM(CF!AO28:AO35),0),"OK","ERROR")</f>
        <v>OK</v>
      </c>
      <c r="AP171" s="217" t="str">
        <f>IF(ROUND(CF!AP36,0)=ROUND(SUM(CF!AP28:AP35),0),"OK","ERROR")</f>
        <v>OK</v>
      </c>
      <c r="AQ171" s="217" t="str">
        <f>IF(ROUND(CF!AQ36,0)=ROUND(SUM(CF!AQ28:AQ35),0),"OK","ERROR")</f>
        <v>OK</v>
      </c>
      <c r="AR171" s="237" t="str">
        <f>IF(ROUND(CF!AR36,0)=ROUND(SUM(CF!AR28:AR35),0),"OK","ERROR")</f>
        <v>OK</v>
      </c>
      <c r="AS171" s="215"/>
      <c r="AT171" s="237" t="str">
        <f>IF(ROUND(CF!AT36,0)=ROUND(SUM(CF!AT28:AT35),0),"OK","ERROR")</f>
        <v>OK</v>
      </c>
      <c r="AU171" s="215"/>
      <c r="AV171" s="237" t="str">
        <f>IF(ROUND(CF!AV36,0)=ROUND(SUM(CF!AV28:AV35),0),"OK","ERROR")</f>
        <v>OK</v>
      </c>
      <c r="AW171" s="246"/>
      <c r="AX171" s="237" t="str">
        <f>IF(ROUND(CF!AX36,0)=ROUND(SUM(CF!AX28:AX35),0),"OK","ERROR")</f>
        <v>OK</v>
      </c>
    </row>
    <row r="172" spans="1:50" s="54" customFormat="1" ht="15" customHeight="1" thickTop="1">
      <c r="A172" s="43"/>
      <c r="B172" s="154"/>
      <c r="C172" s="115"/>
      <c r="D172" s="208"/>
      <c r="E172" s="208"/>
      <c r="F172" s="208"/>
      <c r="G172" s="208"/>
      <c r="H172" s="220"/>
      <c r="I172" s="210"/>
      <c r="J172" s="208"/>
      <c r="K172" s="208"/>
      <c r="L172" s="208"/>
      <c r="M172" s="208"/>
      <c r="N172" s="220"/>
      <c r="O172" s="210"/>
      <c r="P172" s="208"/>
      <c r="Q172" s="208"/>
      <c r="R172" s="208"/>
      <c r="S172" s="208"/>
      <c r="T172" s="220"/>
      <c r="U172" s="210"/>
      <c r="V172" s="208"/>
      <c r="W172" s="208"/>
      <c r="X172" s="208"/>
      <c r="Y172" s="208"/>
      <c r="Z172" s="220"/>
      <c r="AA172" s="232"/>
      <c r="AB172" s="208"/>
      <c r="AC172" s="208"/>
      <c r="AD172" s="208"/>
      <c r="AE172" s="208"/>
      <c r="AF172" s="220"/>
      <c r="AG172" s="229"/>
      <c r="AH172" s="208"/>
      <c r="AI172" s="208"/>
      <c r="AJ172" s="208"/>
      <c r="AK172" s="208"/>
      <c r="AL172" s="220"/>
      <c r="AM172" s="230"/>
      <c r="AN172" s="208"/>
      <c r="AO172" s="208"/>
      <c r="AP172" s="208"/>
      <c r="AQ172" s="208"/>
      <c r="AR172" s="220"/>
      <c r="AS172" s="230"/>
      <c r="AT172" s="220"/>
      <c r="AU172" s="230"/>
      <c r="AV172" s="220"/>
      <c r="AW172" s="246"/>
      <c r="AX172" s="220"/>
    </row>
    <row r="173" spans="1:50" s="54" customFormat="1" ht="15" customHeight="1">
      <c r="A173" s="44" t="s">
        <v>37</v>
      </c>
      <c r="B173" s="158" t="s">
        <v>697</v>
      </c>
      <c r="C173" s="27"/>
      <c r="D173" s="208"/>
      <c r="E173" s="208"/>
      <c r="F173" s="208"/>
      <c r="G173" s="208"/>
      <c r="H173" s="220"/>
      <c r="I173" s="210"/>
      <c r="J173" s="208"/>
      <c r="K173" s="208"/>
      <c r="L173" s="208"/>
      <c r="M173" s="208"/>
      <c r="N173" s="220"/>
      <c r="O173" s="210"/>
      <c r="P173" s="208"/>
      <c r="Q173" s="208"/>
      <c r="R173" s="208"/>
      <c r="S173" s="208"/>
      <c r="T173" s="220"/>
      <c r="U173" s="210"/>
      <c r="V173" s="208"/>
      <c r="W173" s="208"/>
      <c r="X173" s="208"/>
      <c r="Y173" s="208"/>
      <c r="Z173" s="220"/>
      <c r="AA173" s="213"/>
      <c r="AB173" s="208"/>
      <c r="AC173" s="208"/>
      <c r="AD173" s="208"/>
      <c r="AE173" s="208"/>
      <c r="AF173" s="220"/>
      <c r="AG173" s="211"/>
      <c r="AH173" s="208"/>
      <c r="AI173" s="208"/>
      <c r="AJ173" s="208"/>
      <c r="AK173" s="208"/>
      <c r="AL173" s="220"/>
      <c r="AM173" s="215"/>
      <c r="AN173" s="208"/>
      <c r="AO173" s="208"/>
      <c r="AP173" s="208"/>
      <c r="AQ173" s="208"/>
      <c r="AR173" s="220"/>
      <c r="AS173" s="215"/>
      <c r="AT173" s="220"/>
      <c r="AU173" s="215"/>
      <c r="AV173" s="220"/>
      <c r="AW173" s="246"/>
      <c r="AX173" s="220"/>
    </row>
    <row r="174" spans="1:50" s="54" customFormat="1" ht="15" customHeight="1" thickBot="1">
      <c r="A174" s="113"/>
      <c r="B174" s="160" t="s">
        <v>704</v>
      </c>
      <c r="C174" s="17"/>
      <c r="D174" s="217" t="str">
        <f>IF(ROUND(CF!D45,0)=ROUND(SUM(CF!D39:D44),0),"OK","ERROR")</f>
        <v>OK</v>
      </c>
      <c r="E174" s="217" t="str">
        <f>IF(ROUND(CF!E45,0)=ROUND(SUM(CF!E39:E44),0),"OK","ERROR")</f>
        <v>OK</v>
      </c>
      <c r="F174" s="217" t="str">
        <f>IF(ROUND(CF!F45,0)=ROUND(SUM(CF!F39:F44),0),"OK","ERROR")</f>
        <v>OK</v>
      </c>
      <c r="G174" s="217" t="str">
        <f>IF(ROUND(CF!G45,0)=ROUND(SUM(CF!G39:G44),0),"OK","ERROR")</f>
        <v>OK</v>
      </c>
      <c r="H174" s="237" t="str">
        <f>IF(ROUND(CF!H45,0)=ROUND(SUM(CF!H39:H44),0),"OK","ERROR")</f>
        <v>OK</v>
      </c>
      <c r="I174" s="210"/>
      <c r="J174" s="217" t="str">
        <f>IF(ROUND(CF!J45,0)=ROUND(SUM(CF!J39:J44),0),"OK","ERROR")</f>
        <v>OK</v>
      </c>
      <c r="K174" s="217" t="str">
        <f>IF(ROUND(CF!K45,0)=ROUND(SUM(CF!K39:K44),0),"OK","ERROR")</f>
        <v>OK</v>
      </c>
      <c r="L174" s="217" t="str">
        <f>IF(ROUND(CF!L45,0)=ROUND(SUM(CF!L39:L44),0),"OK","ERROR")</f>
        <v>OK</v>
      </c>
      <c r="M174" s="217" t="str">
        <f>IF(ROUND(CF!M45,0)=ROUND(SUM(CF!M39:M44),0),"OK","ERROR")</f>
        <v>OK</v>
      </c>
      <c r="N174" s="237" t="str">
        <f>IF(ROUND(CF!N45,0)=ROUND(SUM(CF!N39:N44),0),"OK","ERROR")</f>
        <v>OK</v>
      </c>
      <c r="O174" s="210"/>
      <c r="P174" s="217" t="str">
        <f>IF(ROUND(CF!P45,0)=ROUND(SUM(CF!P39:P44),0),"OK","ERROR")</f>
        <v>OK</v>
      </c>
      <c r="Q174" s="217" t="str">
        <f>IF(ROUND(CF!Q45,0)=ROUND(SUM(CF!Q39:Q44),0),"OK","ERROR")</f>
        <v>OK</v>
      </c>
      <c r="R174" s="217" t="str">
        <f>IF(ROUND(CF!R45,0)=ROUND(SUM(CF!R39:R44),0),"OK","ERROR")</f>
        <v>OK</v>
      </c>
      <c r="S174" s="217" t="str">
        <f>IF(ROUND(CF!S45,0)=ROUND(SUM(CF!S39:S44),0),"OK","ERROR")</f>
        <v>OK</v>
      </c>
      <c r="T174" s="237" t="str">
        <f>IF(ROUND(CF!T45,0)=ROUND(SUM(CF!T39:T44),0),"OK","ERROR")</f>
        <v>OK</v>
      </c>
      <c r="U174" s="210"/>
      <c r="V174" s="217" t="str">
        <f>IF(ROUND(CF!V45,0)=ROUND(SUM(CF!V39:V44),0),"OK","ERROR")</f>
        <v>OK</v>
      </c>
      <c r="W174" s="217" t="str">
        <f>IF(ROUND(CF!W45,0)=ROUND(SUM(CF!W39:W44),0),"OK","ERROR")</f>
        <v>OK</v>
      </c>
      <c r="X174" s="217" t="str">
        <f>IF(ROUND(CF!X45,0)=ROUND(SUM(CF!X39:X44),0),"OK","ERROR")</f>
        <v>OK</v>
      </c>
      <c r="Y174" s="217" t="str">
        <f>IF(ROUND(CF!Y45,0)=ROUND(SUM(CF!Y39:Y44),0),"OK","ERROR")</f>
        <v>OK</v>
      </c>
      <c r="Z174" s="237" t="str">
        <f>IF(ROUND(CF!Z45,0)=ROUND(SUM(CF!Z39:Z44),0),"OK","ERROR")</f>
        <v>OK</v>
      </c>
      <c r="AA174" s="210"/>
      <c r="AB174" s="217" t="str">
        <f>IF(ROUND(CF!AB45,0)=ROUND(SUM(CF!AB39:AB44),0),"OK","ERROR")</f>
        <v>OK</v>
      </c>
      <c r="AC174" s="217" t="str">
        <f>IF(ROUND(CF!AC45,0)=ROUND(SUM(CF!AC39:AC44),0),"OK","ERROR")</f>
        <v>OK</v>
      </c>
      <c r="AD174" s="217" t="str">
        <f>IF(ROUND(CF!AD45,0)=ROUND(SUM(CF!AD39:AD44),0),"OK","ERROR")</f>
        <v>OK</v>
      </c>
      <c r="AE174" s="217" t="str">
        <f>IF(ROUND(CF!AE45,0)=ROUND(SUM(CF!AE39:AE44),0),"OK","ERROR")</f>
        <v>OK</v>
      </c>
      <c r="AF174" s="237" t="str">
        <f>IF(ROUND(CF!AF45,0)=ROUND(SUM(CF!AF39:AF44),0),"OK","ERROR")</f>
        <v>OK</v>
      </c>
      <c r="AG174" s="238"/>
      <c r="AH174" s="217" t="str">
        <f>IF(ROUND(CF!AH45,0)=ROUND(SUM(CF!AH39:AH44),0),"OK","ERROR")</f>
        <v>OK</v>
      </c>
      <c r="AI174" s="217" t="str">
        <f>IF(ROUND(CF!AI45,0)=ROUND(SUM(CF!AI39:AI44),0),"OK","ERROR")</f>
        <v>OK</v>
      </c>
      <c r="AJ174" s="217" t="str">
        <f>IF(ROUND(CF!AJ45,0)=ROUND(SUM(CF!AJ39:AJ44),0),"OK","ERROR")</f>
        <v>OK</v>
      </c>
      <c r="AK174" s="217" t="str">
        <f>IF(ROUND(CF!AK45,0)=ROUND(SUM(CF!AK39:AK44),0),"OK","ERROR")</f>
        <v>OK</v>
      </c>
      <c r="AL174" s="237" t="str">
        <f>IF(ROUND(CF!AL45,0)=ROUND(SUM(CF!AL39:AL44),0),"OK","ERROR")</f>
        <v>OK</v>
      </c>
      <c r="AM174" s="239"/>
      <c r="AN174" s="217" t="str">
        <f>IF(ROUND(CF!AN45,0)=ROUND(SUM(CF!AN39:AN44),0),"OK","ERROR")</f>
        <v>OK</v>
      </c>
      <c r="AO174" s="217" t="str">
        <f>IF(ROUND(CF!AO45,0)=ROUND(SUM(CF!AO39:AO44),0),"OK","ERROR")</f>
        <v>OK</v>
      </c>
      <c r="AP174" s="217" t="str">
        <f>IF(ROUND(CF!AP45,0)=ROUND(SUM(CF!AP39:AP44),0),"OK","ERROR")</f>
        <v>OK</v>
      </c>
      <c r="AQ174" s="217" t="str">
        <f>IF(ROUND(CF!AQ45,0)=ROUND(SUM(CF!AQ39:AQ44),0),"OK","ERROR")</f>
        <v>OK</v>
      </c>
      <c r="AR174" s="237" t="str">
        <f>IF(ROUND(CF!AR45,0)=ROUND(SUM(CF!AR39:AR44),0),"OK","ERROR")</f>
        <v>OK</v>
      </c>
      <c r="AS174" s="239"/>
      <c r="AT174" s="237" t="str">
        <f>IF(ROUND(CF!AT45,0)=ROUND(SUM(CF!AT39:AT44),0),"OK","ERROR")</f>
        <v>OK</v>
      </c>
      <c r="AU174" s="239"/>
      <c r="AV174" s="237" t="str">
        <f>IF(ROUND(CF!AV45,0)=ROUND(SUM(CF!AV39:AV44),0),"OK","ERROR")</f>
        <v>OK</v>
      </c>
      <c r="AW174" s="246"/>
      <c r="AX174" s="237" t="str">
        <f>IF(ROUND(CF!AX45,0)=ROUND(SUM(CF!AX39:AX44),0),"OK","ERROR")</f>
        <v>OK</v>
      </c>
    </row>
    <row r="175" spans="1:50" s="54" customFormat="1" ht="15" customHeight="1" thickTop="1">
      <c r="A175" s="113"/>
      <c r="B175" s="9"/>
      <c r="C175" s="115"/>
      <c r="D175" s="208"/>
      <c r="E175" s="208"/>
      <c r="F175" s="208"/>
      <c r="G175" s="208"/>
      <c r="H175" s="220"/>
      <c r="I175" s="210"/>
      <c r="J175" s="208"/>
      <c r="K175" s="208"/>
      <c r="L175" s="208"/>
      <c r="M175" s="208"/>
      <c r="N175" s="220"/>
      <c r="O175" s="210"/>
      <c r="P175" s="208"/>
      <c r="Q175" s="208"/>
      <c r="R175" s="208"/>
      <c r="S175" s="208"/>
      <c r="T175" s="220"/>
      <c r="U175" s="210"/>
      <c r="V175" s="208"/>
      <c r="W175" s="208"/>
      <c r="X175" s="208"/>
      <c r="Y175" s="208"/>
      <c r="Z175" s="220"/>
      <c r="AA175" s="228"/>
      <c r="AB175" s="208"/>
      <c r="AC175" s="208"/>
      <c r="AD175" s="208"/>
      <c r="AE175" s="208"/>
      <c r="AF175" s="220"/>
      <c r="AG175" s="229"/>
      <c r="AH175" s="208"/>
      <c r="AI175" s="208"/>
      <c r="AJ175" s="208"/>
      <c r="AK175" s="208"/>
      <c r="AL175" s="220"/>
      <c r="AM175" s="230"/>
      <c r="AN175" s="208"/>
      <c r="AO175" s="208"/>
      <c r="AP175" s="208"/>
      <c r="AQ175" s="208"/>
      <c r="AR175" s="220"/>
      <c r="AS175" s="230"/>
      <c r="AT175" s="220"/>
      <c r="AU175" s="230"/>
      <c r="AV175" s="220"/>
      <c r="AW175" s="246"/>
      <c r="AX175" s="220"/>
    </row>
    <row r="176" spans="1:50" s="54" customFormat="1" ht="15" customHeight="1">
      <c r="A176" s="44" t="s">
        <v>37</v>
      </c>
      <c r="B176" s="158" t="s">
        <v>706</v>
      </c>
      <c r="C176" s="17"/>
      <c r="D176" s="217" t="str">
        <f>IF(ROUND(CF!D49,0)=ROUND(SUM(CF!D25,CF!D36,CF!D45,CF!D47),0),"OK","ERROR")</f>
        <v>OK</v>
      </c>
      <c r="E176" s="217" t="str">
        <f>IF(ROUND(CF!E49,0)=ROUND(SUM(CF!E25,CF!E36,CF!E45,CF!E47),0),"OK","ERROR")</f>
        <v>OK</v>
      </c>
      <c r="F176" s="217" t="str">
        <f>IF(ROUND(CF!F49,0)=ROUND(SUM(CF!F25,CF!F36,CF!F45,CF!F47),0),"OK","ERROR")</f>
        <v>OK</v>
      </c>
      <c r="G176" s="217" t="str">
        <f>IF(ROUND(CF!G49,0)=ROUND(SUM(CF!G25,CF!G36,CF!G45,CF!G47),0),"OK","ERROR")</f>
        <v>OK</v>
      </c>
      <c r="H176" s="226" t="str">
        <f>IF(ROUND(CF!H49,0)=ROUND(SUM(CF!H25,CF!H36,CF!H45,CF!H47),0),"OK","ERROR")</f>
        <v>OK</v>
      </c>
      <c r="I176" s="210"/>
      <c r="J176" s="217" t="str">
        <f>IF(ROUND(CF!J49,0)=ROUND(SUM(CF!J25,CF!J36,CF!J45,CF!J47),0),"OK","ERROR")</f>
        <v>OK</v>
      </c>
      <c r="K176" s="217" t="str">
        <f>IF(ROUND(CF!K49,0)=ROUND(SUM(CF!K25,CF!K36,CF!K45,CF!K47),0),"OK","ERROR")</f>
        <v>OK</v>
      </c>
      <c r="L176" s="217" t="str">
        <f>IF(ROUND(CF!L49,0)=ROUND(SUM(CF!L25,CF!L36,CF!L45,CF!L47),0),"OK","ERROR")</f>
        <v>OK</v>
      </c>
      <c r="M176" s="217" t="str">
        <f>IF(ROUND(CF!M49,0)=ROUND(SUM(CF!M25,CF!M36,CF!M45,CF!M47),0),"OK","ERROR")</f>
        <v>OK</v>
      </c>
      <c r="N176" s="226" t="str">
        <f>IF(ROUND(CF!N49,0)=ROUND(SUM(CF!N25,CF!N36,CF!N45,CF!N47),0),"OK","ERROR")</f>
        <v>OK</v>
      </c>
      <c r="O176" s="210"/>
      <c r="P176" s="217" t="str">
        <f>IF(ROUND(CF!P49,0)=ROUND(SUM(CF!P25,CF!P36,CF!P45,CF!P47),0),"OK","ERROR")</f>
        <v>OK</v>
      </c>
      <c r="Q176" s="217" t="str">
        <f>IF(ROUND(CF!Q49,0)=ROUND(SUM(CF!Q25,CF!Q36,CF!Q45,CF!Q47),0),"OK","ERROR")</f>
        <v>OK</v>
      </c>
      <c r="R176" s="217" t="str">
        <f>IF(ROUND(CF!R49,0)=ROUND(SUM(CF!R25,CF!R36,CF!R45,CF!R47),0),"OK","ERROR")</f>
        <v>OK</v>
      </c>
      <c r="S176" s="217" t="str">
        <f>IF(ROUND(CF!S49,0)=ROUND(SUM(CF!S25,CF!S36,CF!S45,CF!S47),0),"OK","ERROR")</f>
        <v>OK</v>
      </c>
      <c r="T176" s="226" t="str">
        <f>IF(ROUND(CF!T49,0)=ROUND(SUM(CF!T25,CF!T36,CF!T45,CF!T47),0),"OK","ERROR")</f>
        <v>OK</v>
      </c>
      <c r="U176" s="210"/>
      <c r="V176" s="217" t="str">
        <f>IF(ROUND(CF!V49,0)=ROUND(SUM(CF!V25,CF!V36,CF!V45,CF!V47),0),"OK","ERROR")</f>
        <v>OK</v>
      </c>
      <c r="W176" s="217" t="str">
        <f>IF(ROUND(CF!W49,0)=ROUND(SUM(CF!W25,CF!W36,CF!W45,CF!W47),0),"OK","ERROR")</f>
        <v>OK</v>
      </c>
      <c r="X176" s="217" t="str">
        <f>IF(ROUND(CF!X49,0)=ROUND(SUM(CF!X25,CF!X36,CF!X45,CF!X47),0),"OK","ERROR")</f>
        <v>OK</v>
      </c>
      <c r="Y176" s="217" t="str">
        <f>IF(ROUND(CF!Y49,0)=ROUND(SUM(CF!Y25,CF!Y36,CF!Y45,CF!Y47),0),"OK","ERROR")</f>
        <v>OK</v>
      </c>
      <c r="Z176" s="226" t="str">
        <f>IF(ROUND(CF!Z49,0)=ROUND(SUM(CF!Z25,CF!Z36,CF!Z45,CF!Z47),0),"OK","ERROR")</f>
        <v>OK</v>
      </c>
      <c r="AA176" s="210"/>
      <c r="AB176" s="217" t="str">
        <f>IF(ROUND(CF!AB49,0)=ROUND(SUM(CF!AB25,CF!AB36,CF!AB45,CF!AB47),0),"OK","ERROR")</f>
        <v>OK</v>
      </c>
      <c r="AC176" s="217" t="str">
        <f>IF(ROUND(CF!AC49,0)=ROUND(SUM(CF!AC25,CF!AC36,CF!AC45,CF!AC47),0),"OK","ERROR")</f>
        <v>OK</v>
      </c>
      <c r="AD176" s="217" t="str">
        <f>IF(ROUND(CF!AD49,0)=ROUND(SUM(CF!AD25,CF!AD36,CF!AD45,CF!AD47),0),"OK","ERROR")</f>
        <v>OK</v>
      </c>
      <c r="AE176" s="217" t="str">
        <f>IF(ROUND(CF!AE49,0)=ROUND(SUM(CF!AE25,CF!AE36,CF!AE45,CF!AE47),0),"OK","ERROR")</f>
        <v>OK</v>
      </c>
      <c r="AF176" s="226" t="str">
        <f>IF(ROUND(CF!AF49,0)=ROUND(SUM(CF!AF25,CF!AF36,CF!AF45,CF!AF47),0),"OK","ERROR")</f>
        <v>OK</v>
      </c>
      <c r="AG176" s="238"/>
      <c r="AH176" s="217" t="str">
        <f>IF(ROUND(CF!AH49,0)=ROUND(SUM(CF!AH25,CF!AH36,CF!AH45,CF!AH47),0),"OK","ERROR")</f>
        <v>OK</v>
      </c>
      <c r="AI176" s="217" t="str">
        <f>IF(ROUND(CF!AI49,0)=ROUND(SUM(CF!AI25,CF!AI36,CF!AI45,CF!AI47),0),"OK","ERROR")</f>
        <v>OK</v>
      </c>
      <c r="AJ176" s="217" t="str">
        <f>IF(ROUND(CF!AJ49,0)=ROUND(SUM(CF!AJ24,CF!AJ36,CF!AJ45,CF!AJ47),0),"OK","ERROR")</f>
        <v>OK</v>
      </c>
      <c r="AK176" s="217" t="str">
        <f>IF(ROUND(CF!AK49,0)=ROUND(SUM(CF!AK25,CF!AK36,CF!AK45,CF!AK47),0),"OK","ERROR")</f>
        <v>OK</v>
      </c>
      <c r="AL176" s="226" t="str">
        <f>IF(ROUND(CF!AL49,0)=ROUND(SUM(CF!AL25,CF!AL36,CF!AL45,CF!AL47),0),"OK","ERROR")</f>
        <v>OK</v>
      </c>
      <c r="AM176" s="239"/>
      <c r="AN176" s="217" t="str">
        <f>IF(ROUND(CF!AN49,0)=ROUND(SUM(CF!AN25,CF!AN36,CF!AN45,CF!AN47),0),"OK","ERROR")</f>
        <v>OK</v>
      </c>
      <c r="AO176" s="217" t="str">
        <f>IF(ROUND(CF!AO49,0)=ROUND(SUM(CF!AO25,CF!AO36,CF!AO45,CF!AO47),0),"OK","ERROR")</f>
        <v>OK</v>
      </c>
      <c r="AP176" s="217" t="str">
        <f>IF(ROUND(CF!AP49,0)=ROUND(SUM(CF!AP25,CF!AP36,CF!AP45,CF!AP47),0),"OK","ERROR")</f>
        <v>OK</v>
      </c>
      <c r="AQ176" s="217" t="str">
        <f>IF(ROUND(CF!AQ49,0)=ROUND(SUM(CF!AQ25,CF!AQ36,CF!AQ45,CF!AQ47),0),"OK","ERROR")</f>
        <v>OK</v>
      </c>
      <c r="AR176" s="226" t="str">
        <f>IF(ROUND(CF!AR49,0)=ROUND(SUM(CF!AR25,CF!AR36,CF!AR45,CF!AR47),0),"OK","ERROR")</f>
        <v>OK</v>
      </c>
      <c r="AS176" s="239"/>
      <c r="AT176" s="226" t="str">
        <f>IF(ROUND(CF!AT49,0)=ROUND(SUM(CF!AT25,CF!AT36,CF!AT45,CF!AT47),0),"OK","ERROR")</f>
        <v>OK</v>
      </c>
      <c r="AU176" s="239"/>
      <c r="AV176" s="226" t="str">
        <f>IF(ROUND(CF!AV49,0)=ROUND(SUM(CF!AV25,CF!AV36,CF!AV45,CF!AV47),0),"OK","ERROR")</f>
        <v>OK</v>
      </c>
      <c r="AW176" s="246"/>
      <c r="AX176" s="226" t="str">
        <f>IF(ROUND(CF!AX49,0)=ROUND(SUM(CF!AX25,CF!AX36,CF!AX45,CF!AX47),0),"OK","ERROR")</f>
        <v>OK</v>
      </c>
    </row>
    <row r="177" spans="2:50" s="54" customFormat="1" ht="15" customHeight="1" thickBot="1">
      <c r="B177" s="158" t="s">
        <v>707</v>
      </c>
      <c r="C177" s="115"/>
      <c r="D177" s="208" t="str">
        <f>IF(ROUND(CF!D50,0)=ROUND(SUM(CF!D49,CF!D12),0),"OK","ERROR")</f>
        <v>OK</v>
      </c>
      <c r="E177" s="208" t="str">
        <f>IF(ROUND(CF!E50,0)=ROUND(SUM(CF!E49,CF!E12),0),"OK","ERROR")</f>
        <v>OK</v>
      </c>
      <c r="F177" s="208" t="str">
        <f>IF(ROUND(CF!F50,0)=ROUND(SUM(CF!F49,CF!F12),0),"OK","ERROR")</f>
        <v>OK</v>
      </c>
      <c r="G177" s="208" t="str">
        <f>IF(ROUND(CF!G50,0)=ROUND(SUM(CF!G49,CF!G12),0),"OK","ERROR")</f>
        <v>OK</v>
      </c>
      <c r="H177" s="237" t="str">
        <f>IF(ROUND(CF!H50,0)=ROUND(SUM(CF!H49,CF!H12),0),"OK","ERROR")</f>
        <v>ERROR</v>
      </c>
      <c r="I177" s="210"/>
      <c r="J177" s="208" t="str">
        <f>IF(ROUND(CF!J50,0)=ROUND(SUM(CF!J49,CF!J12),0),"OK","ERROR")</f>
        <v>OK</v>
      </c>
      <c r="K177" s="208" t="str">
        <f>IF(ROUND(CF!K50,0)=ROUND(SUM(CF!K49,CF!K12),0),"OK","ERROR")</f>
        <v>OK</v>
      </c>
      <c r="L177" s="208" t="str">
        <f>IF(ROUND(CF!L50,0)=ROUND(SUM(CF!L49,CF!L12),0),"OK","ERROR")</f>
        <v>OK</v>
      </c>
      <c r="M177" s="208" t="str">
        <f>IF(ROUND(CF!M50,0)=ROUND(SUM(CF!M49,CF!M12),0),"OK","ERROR")</f>
        <v>OK</v>
      </c>
      <c r="N177" s="237" t="str">
        <f>IF(ROUND(CF!N50,0)=ROUND(SUM(CF!N49,CF!N12),0),"OK","ERROR")</f>
        <v>ERROR</v>
      </c>
      <c r="O177" s="210"/>
      <c r="P177" s="208" t="str">
        <f>IF(ROUND(CF!P50,0)=ROUND(SUM(CF!P49,CF!P12),0),"OK","ERROR")</f>
        <v>OK</v>
      </c>
      <c r="Q177" s="208" t="str">
        <f>IF(ROUND(CF!Q50,0)=ROUND(SUM(CF!Q49,CF!Q12),0),"OK","ERROR")</f>
        <v>OK</v>
      </c>
      <c r="R177" s="208" t="str">
        <f>IF(ROUND(CF!R50,0)=ROUND(SUM(CF!R49,CF!R12),0),"OK","ERROR")</f>
        <v>OK</v>
      </c>
      <c r="S177" s="208" t="str">
        <f>IF(ROUND(CF!S50,0)=ROUND(SUM(CF!S49,CF!S12),0),"OK","ERROR")</f>
        <v>OK</v>
      </c>
      <c r="T177" s="237" t="str">
        <f>IF(ROUND(CF!T50,0)=ROUND(SUM(CF!T49,CF!T12),0),"OK","ERROR")</f>
        <v>ERROR</v>
      </c>
      <c r="U177" s="210"/>
      <c r="V177" s="208" t="str">
        <f>IF(ROUND(CF!V50,0)=ROUND(SUM(CF!V49,CF!V12),0),"OK","ERROR")</f>
        <v>OK</v>
      </c>
      <c r="W177" s="208" t="str">
        <f>IF(ROUND(CF!W50,0)=ROUND(SUM(CF!W49,CF!W12),0),"OK","ERROR")</f>
        <v>OK</v>
      </c>
      <c r="X177" s="208" t="str">
        <f>IF(ROUND(CF!X50,0)=ROUND(SUM(CF!X49,CF!X12),0),"OK","ERROR")</f>
        <v>OK</v>
      </c>
      <c r="Y177" s="208" t="str">
        <f>IF(ROUND(CF!Y50,0)=ROUND(SUM(CF!Y49,CF!Y12),0),"OK","ERROR")</f>
        <v>OK</v>
      </c>
      <c r="Z177" s="237" t="str">
        <f>IF(ROUND(CF!Z50,0)=ROUND(SUM(CF!Z49,CF!Z12),0),"OK","ERROR")</f>
        <v>ERROR</v>
      </c>
      <c r="AA177" s="210"/>
      <c r="AB177" s="208" t="str">
        <f>IF(ROUND(CF!AB50,0)=ROUND(SUM(CF!AB49,CF!AB12),0),"OK","ERROR")</f>
        <v>OK</v>
      </c>
      <c r="AC177" s="208" t="str">
        <f>IF(ROUND(CF!AC50,0)=ROUND(SUM(CF!AC49,CF!AC12),0),"OK","ERROR")</f>
        <v>OK</v>
      </c>
      <c r="AD177" s="208" t="str">
        <f>IF(ROUND(CF!AD50,0)=ROUND(SUM(CF!AD49,CF!AD12),0),"OK","ERROR")</f>
        <v>OK</v>
      </c>
      <c r="AE177" s="208" t="str">
        <f>IF(ROUND(CF!AE50,0)=ROUND(SUM(CF!AE49,CF!AE12),0),"OK","ERROR")</f>
        <v>OK</v>
      </c>
      <c r="AF177" s="237" t="str">
        <f>IF(ROUND(CF!AF50,0)=ROUND(SUM(CF!AF49,CF!AF12),0),"OK","ERROR")</f>
        <v>ERROR</v>
      </c>
      <c r="AG177" s="238"/>
      <c r="AH177" s="208" t="str">
        <f>IF(ROUND(CF!AH50,0)=ROUND(SUM(CF!AH49,CF!AH12),0),"OK","ERROR")</f>
        <v>OK</v>
      </c>
      <c r="AI177" s="208" t="str">
        <f>IF(ROUND(CF!AI50,0)=ROUND(SUM(CF!AI49,CF!AI12),0),"OK","ERROR")</f>
        <v>OK</v>
      </c>
      <c r="AJ177" s="208" t="str">
        <f>IF(ROUND(CF!AJ50,0)=ROUND(SUM(CF!AJ49,CF!AJ12),0),"OK","ERROR")</f>
        <v>OK</v>
      </c>
      <c r="AK177" s="208" t="str">
        <f>IF(ROUND(CF!AK50,0)=ROUND(SUM(CF!AK49,CF!AK12),0),"OK","ERROR")</f>
        <v>OK</v>
      </c>
      <c r="AL177" s="237" t="str">
        <f>IF(ROUND(CF!AL50,0)=ROUND(SUM(CF!AL49,CF!AL12),0),"OK","ERROR")</f>
        <v>OK</v>
      </c>
      <c r="AM177" s="239"/>
      <c r="AN177" s="208" t="str">
        <f>IF(ROUND(CF!AN50,0)=ROUND(SUM(CF!AN49,CF!AN12),0),"OK","ERROR")</f>
        <v>OK</v>
      </c>
      <c r="AO177" s="208" t="str">
        <f>IF(ROUND(CF!AO50,0)=ROUND(SUM(CF!AO49,CF!AO12),0),"OK","ERROR")</f>
        <v>OK</v>
      </c>
      <c r="AP177" s="208" t="str">
        <f>IF(ROUND(CF!AP50,0)=ROUND(SUM(CF!AP49,CF!AP12),0),"OK","ERROR")</f>
        <v>OK</v>
      </c>
      <c r="AQ177" s="208" t="str">
        <f>IF(ROUND(CF!AQ50,0)=ROUND(SUM(CF!AQ49,CF!AQ12),0),"OK","ERROR")</f>
        <v>OK</v>
      </c>
      <c r="AR177" s="237" t="str">
        <f>IF(ROUND(CF!AR50,0)=ROUND(SUM(CF!AR49,CF!AR12),0),"OK","ERROR")</f>
        <v>OK</v>
      </c>
      <c r="AS177" s="239"/>
      <c r="AT177" s="237" t="str">
        <f>IF(ROUND(CF!AT50,0)=ROUND(SUM(CF!AT49,CF!AT12),0),"OK","ERROR")</f>
        <v>OK</v>
      </c>
      <c r="AU177" s="239"/>
      <c r="AV177" s="237" t="str">
        <f>IF(ROUND(CF!AV50,0)=ROUND(SUM(CF!AV49,CF!AV12),0),"OK","ERROR")</f>
        <v>OK</v>
      </c>
      <c r="AW177" s="246"/>
      <c r="AX177" s="237" t="str">
        <f>IF(ROUND(CF!AX50,0)=ROUND(SUM(CF!AX49,CF!AX12),0),"OK","ERROR")</f>
        <v>OK</v>
      </c>
    </row>
  </sheetData>
  <mergeCells count="35">
    <mergeCell ref="AN162:AR162"/>
    <mergeCell ref="D162:H162"/>
    <mergeCell ref="J162:N162"/>
    <mergeCell ref="P162:T162"/>
    <mergeCell ref="V162:Z162"/>
    <mergeCell ref="AB162:AF162"/>
    <mergeCell ref="AH162:AL162"/>
    <mergeCell ref="AN90:AR90"/>
    <mergeCell ref="D120:H120"/>
    <mergeCell ref="J120:N120"/>
    <mergeCell ref="P120:T120"/>
    <mergeCell ref="V120:Z120"/>
    <mergeCell ref="AB120:AF120"/>
    <mergeCell ref="AH120:AL120"/>
    <mergeCell ref="AN120:AR120"/>
    <mergeCell ref="D90:H90"/>
    <mergeCell ref="J90:N90"/>
    <mergeCell ref="P90:T90"/>
    <mergeCell ref="V90:Z90"/>
    <mergeCell ref="AB90:AF90"/>
    <mergeCell ref="AH90:AL90"/>
    <mergeCell ref="AN8:AR8"/>
    <mergeCell ref="D63:H63"/>
    <mergeCell ref="J63:N63"/>
    <mergeCell ref="P63:T63"/>
    <mergeCell ref="V63:Z63"/>
    <mergeCell ref="AB63:AF63"/>
    <mergeCell ref="AH63:AL63"/>
    <mergeCell ref="AN63:AR63"/>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499984740745262"/>
    <pageSetUpPr autoPageBreaks="0"/>
  </sheetPr>
  <dimension ref="A1:W176"/>
  <sheetViews>
    <sheetView showGridLines="0" topLeftCell="A15" zoomScaleNormal="100" workbookViewId="0">
      <selection activeCell="B7" sqref="B7"/>
    </sheetView>
  </sheetViews>
  <sheetFormatPr defaultColWidth="9" defaultRowHeight="15" customHeight="1"/>
  <cols>
    <col min="1" max="1" width="2.125" customWidth="1"/>
    <col min="2" max="2" width="12.625" customWidth="1"/>
    <col min="3" max="3" width="9.5" bestFit="1" customWidth="1"/>
    <col min="4" max="4" width="18.125" customWidth="1"/>
    <col min="5" max="5" width="8.875"/>
    <col min="6" max="6" width="11.875" customWidth="1"/>
    <col min="7" max="9" width="8.875"/>
    <col min="10" max="10" width="10.375" customWidth="1"/>
    <col min="11" max="11" width="8.875"/>
    <col min="12" max="12" width="14" customWidth="1"/>
    <col min="13" max="15" width="8.875"/>
    <col min="16" max="16" width="10.125" customWidth="1"/>
    <col min="17" max="17" width="10.625" customWidth="1"/>
    <col min="18" max="18" width="12.5" customWidth="1"/>
    <col min="19" max="20" width="8.875"/>
    <col min="21" max="21" width="12.375" customWidth="1"/>
    <col min="22" max="23" width="8.875" customWidth="1"/>
    <col min="24" max="16384" width="9" style="4"/>
  </cols>
  <sheetData>
    <row r="1" spans="1:23" s="576" customFormat="1" ht="15" customHeight="1"/>
    <row r="2" spans="1:23" s="576" customFormat="1" ht="15" customHeight="1"/>
    <row r="3" spans="1:23" s="576" customFormat="1" ht="15" customHeight="1"/>
    <row r="4" spans="1:23" s="576" customFormat="1" ht="15" customHeight="1"/>
    <row r="5" spans="1:23" s="575" customFormat="1" ht="3.95" customHeight="1">
      <c r="A5" s="38"/>
      <c r="B5" s="38"/>
      <c r="C5" s="38"/>
      <c r="D5" s="38"/>
      <c r="E5" s="38"/>
      <c r="F5" s="38"/>
      <c r="G5" s="38"/>
      <c r="H5" s="38"/>
      <c r="I5" s="38"/>
      <c r="J5" s="38"/>
      <c r="K5" s="38"/>
      <c r="L5" s="38"/>
      <c r="M5" s="38"/>
      <c r="N5" s="38"/>
      <c r="O5" s="38"/>
      <c r="P5" s="38"/>
      <c r="Q5" s="38"/>
      <c r="R5" s="38"/>
      <c r="S5" s="38"/>
      <c r="T5" s="38"/>
      <c r="U5" s="38"/>
      <c r="V5" s="38"/>
      <c r="W5" s="38"/>
    </row>
    <row r="7" spans="1:23" s="560" customFormat="1" ht="15" customHeight="1">
      <c r="B7" s="2" t="s">
        <v>714</v>
      </c>
      <c r="C7" s="2"/>
      <c r="D7" s="2"/>
      <c r="E7" s="2"/>
      <c r="F7" s="2"/>
      <c r="G7" s="2"/>
      <c r="H7" s="2"/>
      <c r="I7" s="2"/>
      <c r="J7" s="2"/>
      <c r="K7" s="2"/>
      <c r="L7" s="2"/>
      <c r="M7" s="2"/>
      <c r="N7" s="2"/>
      <c r="O7" s="2"/>
      <c r="P7" s="2"/>
      <c r="Q7" s="2"/>
      <c r="R7" s="2"/>
      <c r="S7" s="13" t="str">
        <f>+_xll.BDP(D15,"SHORT_NAME")</f>
        <v>AZZAS 2154 SA</v>
      </c>
    </row>
    <row r="8" spans="1:23" s="560" customFormat="1" ht="15" customHeight="1">
      <c r="B8" s="2"/>
      <c r="C8" s="2"/>
      <c r="D8" s="2"/>
      <c r="E8" s="2"/>
      <c r="F8" s="2"/>
      <c r="G8" s="2"/>
      <c r="H8" s="2"/>
      <c r="I8" s="2"/>
      <c r="J8" s="2"/>
      <c r="K8" s="2"/>
      <c r="L8" s="2"/>
      <c r="M8" s="2"/>
      <c r="N8" s="2"/>
      <c r="O8" s="2"/>
      <c r="P8" s="2"/>
      <c r="Q8" s="2"/>
      <c r="R8" s="2"/>
    </row>
    <row r="9" spans="1:23" s="560" customFormat="1" ht="15" customHeight="1">
      <c r="B9" s="2"/>
      <c r="C9" s="2"/>
      <c r="D9" s="2"/>
      <c r="E9" s="2"/>
      <c r="F9" s="2"/>
      <c r="G9" s="2"/>
      <c r="H9" s="2"/>
      <c r="I9" s="2"/>
      <c r="J9" s="2"/>
      <c r="K9" s="2"/>
      <c r="L9" s="2"/>
      <c r="M9" s="2"/>
      <c r="N9" s="2"/>
      <c r="O9" s="2"/>
      <c r="P9" s="2"/>
      <c r="Q9" s="2"/>
      <c r="R9" s="2"/>
    </row>
    <row r="10" spans="1:23" ht="3.95" customHeight="1">
      <c r="B10" s="38"/>
      <c r="C10" s="38"/>
      <c r="D10" s="38"/>
      <c r="E10" s="38"/>
      <c r="F10" s="38"/>
      <c r="G10" s="38"/>
      <c r="H10" s="38"/>
      <c r="I10" s="38"/>
      <c r="J10" s="38"/>
      <c r="K10" s="38"/>
      <c r="L10" s="38"/>
      <c r="M10" s="38"/>
      <c r="N10" s="38"/>
      <c r="O10" s="38"/>
      <c r="P10" s="38"/>
      <c r="Q10" s="38"/>
      <c r="R10" s="38"/>
    </row>
    <row r="11" spans="1:23" ht="3.95" customHeight="1"/>
    <row r="12" spans="1:23" ht="15" customHeight="1" thickBot="1">
      <c r="B12" s="405" t="s">
        <v>81</v>
      </c>
      <c r="C12" s="406"/>
      <c r="D12" s="406"/>
      <c r="F12" s="407" t="s">
        <v>715</v>
      </c>
      <c r="G12" s="406"/>
      <c r="H12" s="406"/>
      <c r="I12" s="406"/>
      <c r="J12" s="406"/>
      <c r="L12" s="407" t="s">
        <v>716</v>
      </c>
      <c r="M12" s="406"/>
      <c r="O12" s="407" t="s">
        <v>717</v>
      </c>
      <c r="P12" s="406"/>
      <c r="Q12" s="406"/>
      <c r="R12" s="406"/>
    </row>
    <row r="13" spans="1:23" ht="15" customHeight="1">
      <c r="B13" s="1" t="s">
        <v>718</v>
      </c>
      <c r="D13" s="404" t="s">
        <v>719</v>
      </c>
      <c r="F13" s="6" t="s">
        <v>720</v>
      </c>
      <c r="J13" s="348">
        <f>'Stock Data'!AQ4</f>
        <v>6655.1665762999992</v>
      </c>
      <c r="L13" s="1" t="s">
        <v>721</v>
      </c>
      <c r="M13" s="351">
        <f>J18/(IS!AI18+IS!AH18+IS!AE18+IS!AD18)</f>
        <v>0.83767407638608538</v>
      </c>
      <c r="O13" s="10" t="s">
        <v>722</v>
      </c>
      <c r="R13" s="362" t="s">
        <v>723</v>
      </c>
    </row>
    <row r="14" spans="1:23" ht="15" customHeight="1">
      <c r="B14" s="1" t="s">
        <v>724</v>
      </c>
      <c r="D14" s="362" t="s">
        <v>725</v>
      </c>
      <c r="F14" s="6" t="s">
        <v>726</v>
      </c>
      <c r="J14" s="348">
        <f>Inputs!U63</f>
        <v>0</v>
      </c>
      <c r="L14" s="1" t="s">
        <v>727</v>
      </c>
      <c r="M14" s="351">
        <f>J18/(IS!AI33+IS!AH33+IS!AE33+IS!AD33+IS!AI28+IS!AH28+IS!AE28+IS!AD28)</f>
        <v>9.3917402255854441</v>
      </c>
      <c r="O14" s="10" t="s">
        <v>728</v>
      </c>
      <c r="R14" s="362"/>
    </row>
    <row r="15" spans="1:23" ht="15" customHeight="1">
      <c r="B15" s="1" t="s">
        <v>729</v>
      </c>
      <c r="D15" s="361" t="s">
        <v>730</v>
      </c>
      <c r="F15" s="6" t="s">
        <v>731</v>
      </c>
      <c r="J15" s="349">
        <f>BS!AI53</f>
        <v>0</v>
      </c>
      <c r="L15" s="1" t="s">
        <v>732</v>
      </c>
      <c r="M15" s="351">
        <f>J13/(IS!AI52+IS!AH52+IS!AE52+IS!AD52)</f>
        <v>6.9411039659567972</v>
      </c>
    </row>
    <row r="16" spans="1:23" ht="15" customHeight="1" thickBot="1">
      <c r="B16" s="367" t="s">
        <v>733</v>
      </c>
      <c r="D16" s="361"/>
      <c r="F16" s="6" t="s">
        <v>734</v>
      </c>
      <c r="J16" s="349">
        <f>BS!AI38+BS!AI39+BS!AI44+BS!AI45</f>
        <v>3841.7790000000005</v>
      </c>
      <c r="L16" s="1" t="s">
        <v>735</v>
      </c>
      <c r="M16" s="351">
        <f>W63</f>
        <v>0.44350000000000001</v>
      </c>
      <c r="O16" s="407" t="s">
        <v>736</v>
      </c>
      <c r="P16" s="406"/>
      <c r="Q16" s="406"/>
      <c r="R16" s="406"/>
    </row>
    <row r="17" spans="1:23" ht="15" customHeight="1">
      <c r="B17" t="s">
        <v>737</v>
      </c>
      <c r="C17" s="10"/>
      <c r="D17" s="15" t="s">
        <v>738</v>
      </c>
      <c r="F17" s="16" t="s">
        <v>739</v>
      </c>
      <c r="G17" s="7"/>
      <c r="H17" s="7"/>
      <c r="I17" s="7"/>
      <c r="J17" s="350">
        <f>BS!AI15</f>
        <v>823.16200000000003</v>
      </c>
      <c r="O17" s="1" t="s">
        <v>718</v>
      </c>
      <c r="R17" s="404" t="s">
        <v>719</v>
      </c>
    </row>
    <row r="18" spans="1:23" ht="15" customHeight="1">
      <c r="B18" t="s">
        <v>740</v>
      </c>
      <c r="C18" s="10"/>
      <c r="D18" t="s">
        <v>741</v>
      </c>
      <c r="F18" s="5" t="s">
        <v>534</v>
      </c>
      <c r="G18" s="1"/>
      <c r="H18" s="1"/>
      <c r="I18" s="1"/>
      <c r="J18" s="8">
        <f>J13+J14-J17+J16+J15</f>
        <v>9673.7835763000003</v>
      </c>
      <c r="L18" s="1" t="s">
        <v>20</v>
      </c>
      <c r="M18" s="40">
        <v>1.1667380000000001</v>
      </c>
      <c r="O18" s="1" t="s">
        <v>724</v>
      </c>
      <c r="Q18" s="4"/>
      <c r="R18" s="362" t="s">
        <v>725</v>
      </c>
      <c r="S18" s="4"/>
    </row>
    <row r="19" spans="1:23" ht="15" customHeight="1">
      <c r="C19" s="10"/>
      <c r="F19" s="5"/>
      <c r="G19" s="1"/>
      <c r="H19" s="1"/>
      <c r="I19" s="1"/>
      <c r="J19" s="8"/>
      <c r="O19" s="10"/>
    </row>
    <row r="20" spans="1:23" ht="15" customHeight="1" thickBot="1">
      <c r="B20" s="407" t="s">
        <v>742</v>
      </c>
      <c r="C20" s="406"/>
      <c r="D20" s="406"/>
      <c r="E20" s="406"/>
      <c r="F20" s="406"/>
      <c r="G20" s="1"/>
      <c r="H20" s="407" t="s">
        <v>742</v>
      </c>
      <c r="I20" s="406"/>
      <c r="J20" s="406"/>
      <c r="K20" s="406"/>
      <c r="L20" s="406"/>
      <c r="N20" s="407" t="s">
        <v>742</v>
      </c>
      <c r="O20" s="406"/>
      <c r="P20" s="406"/>
      <c r="Q20" s="406"/>
      <c r="R20" s="406"/>
    </row>
    <row r="21" spans="1:23" ht="15" customHeight="1">
      <c r="B21" t="s">
        <v>238</v>
      </c>
      <c r="C21" s="10"/>
      <c r="E21" s="368" t="s">
        <v>743</v>
      </c>
      <c r="F21" s="369"/>
      <c r="G21" s="1"/>
      <c r="H21" t="s">
        <v>243</v>
      </c>
      <c r="I21" s="10"/>
      <c r="K21" s="368" t="s">
        <v>744</v>
      </c>
      <c r="L21" s="369"/>
      <c r="N21" t="s">
        <v>248</v>
      </c>
      <c r="O21" s="10"/>
      <c r="Q21" s="368" t="s">
        <v>745</v>
      </c>
      <c r="R21" s="369"/>
    </row>
    <row r="22" spans="1:23" ht="15" customHeight="1">
      <c r="B22" t="s">
        <v>239</v>
      </c>
      <c r="C22" s="10"/>
      <c r="E22" s="370" t="s">
        <v>746</v>
      </c>
      <c r="F22" s="371"/>
      <c r="G22" s="1"/>
      <c r="H22" t="s">
        <v>244</v>
      </c>
      <c r="I22" s="10"/>
      <c r="K22" s="370" t="s">
        <v>747</v>
      </c>
      <c r="L22" s="371"/>
      <c r="N22" t="s">
        <v>249</v>
      </c>
      <c r="O22" s="10"/>
      <c r="Q22" s="370" t="s">
        <v>748</v>
      </c>
      <c r="R22" s="371"/>
    </row>
    <row r="23" spans="1:23" ht="15" customHeight="1">
      <c r="B23" t="s">
        <v>240</v>
      </c>
      <c r="C23" s="10"/>
      <c r="E23" s="370" t="s">
        <v>749</v>
      </c>
      <c r="F23" s="371"/>
      <c r="G23" s="1"/>
      <c r="H23" t="s">
        <v>245</v>
      </c>
      <c r="I23" s="10"/>
      <c r="K23" s="370" t="s">
        <v>750</v>
      </c>
      <c r="L23" s="371"/>
      <c r="N23" t="s">
        <v>250</v>
      </c>
      <c r="O23" s="10"/>
      <c r="Q23" s="370" t="s">
        <v>751</v>
      </c>
      <c r="R23" s="371"/>
    </row>
    <row r="24" spans="1:23" ht="15" customHeight="1">
      <c r="B24" t="s">
        <v>241</v>
      </c>
      <c r="C24" s="10"/>
      <c r="E24" s="370" t="s">
        <v>752</v>
      </c>
      <c r="F24" s="371"/>
      <c r="G24" s="1"/>
      <c r="H24" t="s">
        <v>246</v>
      </c>
      <c r="I24" s="10"/>
      <c r="K24" s="370" t="s">
        <v>753</v>
      </c>
      <c r="L24" s="371"/>
      <c r="N24" t="s">
        <v>251</v>
      </c>
      <c r="O24" s="10"/>
      <c r="Q24" s="370" t="s">
        <v>754</v>
      </c>
      <c r="R24" s="371"/>
    </row>
    <row r="25" spans="1:23" ht="15" customHeight="1">
      <c r="B25" t="s">
        <v>242</v>
      </c>
      <c r="C25" s="10"/>
      <c r="E25" s="368" t="s">
        <v>755</v>
      </c>
      <c r="F25" s="369"/>
      <c r="G25" s="1"/>
      <c r="H25" t="s">
        <v>247</v>
      </c>
      <c r="I25" s="10"/>
      <c r="K25" s="368" t="s">
        <v>756</v>
      </c>
      <c r="L25" s="369"/>
      <c r="N25" t="s">
        <v>252</v>
      </c>
      <c r="O25" s="10"/>
      <c r="Q25" s="368" t="s">
        <v>757</v>
      </c>
      <c r="R25" s="369"/>
    </row>
    <row r="26" spans="1:23" ht="15" customHeight="1">
      <c r="A26" s="4"/>
      <c r="B26" s="4"/>
      <c r="C26" s="4"/>
      <c r="D26" s="4"/>
      <c r="E26" s="4"/>
      <c r="F26" s="4"/>
      <c r="G26" s="4"/>
      <c r="H26" s="4"/>
      <c r="I26" s="4"/>
      <c r="J26" s="4"/>
      <c r="K26" s="4"/>
      <c r="L26" s="4"/>
      <c r="M26" s="4"/>
      <c r="N26" s="4"/>
      <c r="O26" s="4"/>
      <c r="P26" s="4"/>
      <c r="Q26" s="4"/>
      <c r="R26" s="4"/>
      <c r="S26" s="4"/>
      <c r="T26" s="4"/>
      <c r="U26" s="4"/>
      <c r="V26" s="4"/>
      <c r="W26" s="4"/>
    </row>
    <row r="27" spans="1:23" s="560" customFormat="1" ht="15" customHeight="1">
      <c r="B27" s="2" t="s">
        <v>3</v>
      </c>
      <c r="C27" s="2"/>
      <c r="D27" s="2"/>
      <c r="E27" s="2"/>
      <c r="F27" s="2"/>
      <c r="G27" s="2"/>
      <c r="H27" s="2"/>
      <c r="I27" s="2"/>
      <c r="J27" s="2"/>
      <c r="K27" s="2"/>
      <c r="L27" s="2"/>
      <c r="M27" s="2"/>
      <c r="N27" s="2"/>
      <c r="O27" s="2"/>
      <c r="P27" s="2"/>
      <c r="Q27" s="2"/>
      <c r="R27" s="2"/>
      <c r="S27" s="2"/>
      <c r="T27" s="2"/>
      <c r="U27" s="2"/>
    </row>
    <row r="28" spans="1:23" ht="3.95" customHeight="1">
      <c r="B28" s="38"/>
      <c r="C28" s="38"/>
      <c r="D28" s="38"/>
      <c r="E28" s="38"/>
      <c r="F28" s="38"/>
      <c r="G28" s="38"/>
      <c r="H28" s="38"/>
      <c r="I28" s="38"/>
      <c r="J28" s="38"/>
      <c r="K28" s="38"/>
      <c r="L28" s="38"/>
      <c r="M28" s="38"/>
      <c r="N28" s="38"/>
      <c r="O28" s="38"/>
      <c r="P28" s="38"/>
      <c r="Q28" s="38"/>
      <c r="R28" s="38"/>
      <c r="S28" s="38"/>
      <c r="T28" s="38"/>
      <c r="U28" s="38"/>
    </row>
    <row r="30" spans="1:23" ht="15" customHeight="1">
      <c r="B30" s="2" t="str">
        <f>S7&amp;" vs "&amp;R13</f>
        <v>AZZAS 2154 SA vs IBOV Index</v>
      </c>
      <c r="C30" s="2"/>
      <c r="D30" s="2"/>
      <c r="E30" s="2"/>
      <c r="F30" s="2"/>
      <c r="G30" s="2"/>
      <c r="H30" s="2"/>
      <c r="I30" s="2"/>
      <c r="J30" s="2"/>
      <c r="L30" s="2" t="s">
        <v>758</v>
      </c>
      <c r="M30" s="2"/>
      <c r="N30" s="2"/>
      <c r="O30" s="2"/>
      <c r="P30" s="2"/>
      <c r="Q30" s="2"/>
      <c r="R30" s="2"/>
      <c r="S30" s="2"/>
      <c r="T30" s="2"/>
      <c r="U30" s="2"/>
    </row>
    <row r="56" spans="1:23" s="560" customFormat="1" ht="15" customHeight="1">
      <c r="A56" s="12"/>
      <c r="B56" s="2" t="s">
        <v>714</v>
      </c>
      <c r="C56" s="2"/>
      <c r="D56" s="2"/>
      <c r="E56" s="2"/>
      <c r="F56" s="2"/>
      <c r="G56" s="2"/>
      <c r="H56" s="2"/>
      <c r="I56" s="2"/>
      <c r="J56" s="2"/>
      <c r="K56" s="2"/>
      <c r="L56" s="2"/>
      <c r="M56" s="2"/>
      <c r="N56" s="2"/>
      <c r="O56" s="2"/>
      <c r="P56" s="2"/>
      <c r="Q56" s="2"/>
      <c r="R56" s="2"/>
      <c r="S56" s="2"/>
      <c r="T56" s="2"/>
      <c r="U56" s="2"/>
      <c r="V56" s="2"/>
      <c r="W56" s="2"/>
    </row>
    <row r="57" spans="1:23" s="560" customFormat="1" ht="15" customHeight="1">
      <c r="A57" s="12"/>
      <c r="B57" s="2"/>
      <c r="C57" s="2"/>
      <c r="D57" s="2"/>
      <c r="E57" s="2"/>
      <c r="F57" s="2"/>
      <c r="G57" s="2"/>
      <c r="H57" s="2"/>
      <c r="I57" s="2"/>
      <c r="J57" s="2"/>
      <c r="K57" s="2"/>
      <c r="L57" s="2"/>
      <c r="M57" s="2"/>
      <c r="N57" s="2"/>
      <c r="O57" s="2"/>
      <c r="P57" s="2"/>
      <c r="Q57" s="2"/>
      <c r="R57" s="2"/>
      <c r="S57" s="2"/>
      <c r="T57" s="2"/>
      <c r="U57" s="2"/>
      <c r="V57" s="2"/>
      <c r="W57" s="2"/>
    </row>
    <row r="58" spans="1:23" s="560" customFormat="1" ht="15" customHeight="1">
      <c r="A58" s="12"/>
      <c r="B58" s="2"/>
      <c r="C58" s="2"/>
      <c r="D58" s="2"/>
      <c r="E58" s="2"/>
      <c r="F58" s="2"/>
      <c r="G58" s="2"/>
      <c r="H58" s="2"/>
      <c r="I58" s="2"/>
      <c r="J58" s="2"/>
      <c r="K58" s="2"/>
      <c r="L58" s="2"/>
      <c r="M58" s="2"/>
      <c r="N58" s="2"/>
      <c r="O58" s="2"/>
      <c r="P58" s="2"/>
      <c r="Q58" s="2"/>
      <c r="R58" s="2"/>
      <c r="S58" s="2"/>
      <c r="T58" s="2"/>
      <c r="U58" s="2"/>
      <c r="V58" s="2"/>
      <c r="W58" s="2"/>
    </row>
    <row r="59" spans="1:23" ht="3.95" customHeight="1">
      <c r="B59" s="38"/>
      <c r="C59" s="38"/>
      <c r="D59" s="38"/>
      <c r="E59" s="38"/>
      <c r="F59" s="38"/>
      <c r="G59" s="38"/>
      <c r="H59" s="38"/>
      <c r="I59" s="38"/>
      <c r="J59" s="38"/>
      <c r="K59" s="38"/>
      <c r="L59" s="38"/>
      <c r="M59" s="38"/>
      <c r="N59" s="38"/>
      <c r="O59" s="38"/>
      <c r="P59" s="38"/>
      <c r="Q59" s="38"/>
      <c r="R59" s="38"/>
      <c r="S59" s="38"/>
      <c r="T59" s="38"/>
      <c r="U59" s="38"/>
      <c r="V59" s="38"/>
      <c r="W59" s="38"/>
    </row>
    <row r="60" spans="1:23" ht="3.95" customHeight="1"/>
    <row r="61" spans="1:23" ht="15" customHeight="1">
      <c r="A61" s="13" t="str">
        <f>D13</f>
        <v>BRL</v>
      </c>
      <c r="B61" s="10"/>
      <c r="C61" s="10"/>
      <c r="D61" s="10"/>
      <c r="E61" s="10"/>
      <c r="F61" s="10"/>
      <c r="G61" s="10"/>
      <c r="H61" s="10"/>
      <c r="I61" s="10"/>
      <c r="J61" s="10"/>
      <c r="K61" s="10"/>
      <c r="L61" s="10"/>
      <c r="M61" s="10"/>
      <c r="N61" s="10"/>
      <c r="O61" s="10"/>
      <c r="P61" s="10"/>
      <c r="Q61" s="10"/>
      <c r="R61" s="10"/>
      <c r="S61" s="10"/>
      <c r="T61" s="10"/>
      <c r="U61" s="10"/>
      <c r="V61" s="10"/>
      <c r="W61" s="10"/>
    </row>
    <row r="62" spans="1:23" ht="15" customHeight="1">
      <c r="A62" s="10" t="s">
        <v>37</v>
      </c>
      <c r="B62" s="365" t="str">
        <f>$D$15</f>
        <v>AZZA3 BZ Equity</v>
      </c>
      <c r="C62" s="366"/>
      <c r="D62" s="366"/>
      <c r="E62" s="363">
        <v>2015</v>
      </c>
      <c r="F62" s="363">
        <f t="shared" ref="F62:N62" si="0">+E62+1</f>
        <v>2016</v>
      </c>
      <c r="G62" s="363">
        <f t="shared" si="0"/>
        <v>2017</v>
      </c>
      <c r="H62" s="363">
        <f t="shared" si="0"/>
        <v>2018</v>
      </c>
      <c r="I62" s="363">
        <f t="shared" si="0"/>
        <v>2019</v>
      </c>
      <c r="J62" s="363">
        <f t="shared" si="0"/>
        <v>2020</v>
      </c>
      <c r="K62" s="363">
        <f t="shared" si="0"/>
        <v>2021</v>
      </c>
      <c r="L62" s="363">
        <f t="shared" si="0"/>
        <v>2022</v>
      </c>
      <c r="M62" s="363">
        <f t="shared" si="0"/>
        <v>2023</v>
      </c>
      <c r="N62" s="363">
        <f t="shared" si="0"/>
        <v>2024</v>
      </c>
      <c r="O62" s="10"/>
      <c r="P62" s="3"/>
      <c r="Q62" s="3"/>
      <c r="R62" s="409" t="s">
        <v>331</v>
      </c>
      <c r="S62" s="561" t="s">
        <v>759</v>
      </c>
      <c r="T62" s="3"/>
      <c r="U62" s="409" t="s">
        <v>760</v>
      </c>
      <c r="V62" s="3"/>
      <c r="W62" s="409" t="s">
        <v>761</v>
      </c>
    </row>
    <row r="63" spans="1:23" ht="15" customHeight="1">
      <c r="A63" s="10"/>
      <c r="B63" s="10" t="s">
        <v>409</v>
      </c>
      <c r="C63" s="10"/>
      <c r="D63" s="10"/>
      <c r="E63" s="11">
        <v>1120.557</v>
      </c>
      <c r="F63" s="11">
        <v>1239.1099999999999</v>
      </c>
      <c r="G63" s="11">
        <v>1360.4739999999999</v>
      </c>
      <c r="H63" s="11">
        <v>1526.6590000000001</v>
      </c>
      <c r="I63" s="11">
        <v>1679.2349999999999</v>
      </c>
      <c r="J63" s="11">
        <v>1590.992</v>
      </c>
      <c r="K63" s="11">
        <v>2923.8270000000002</v>
      </c>
      <c r="L63" s="11">
        <v>4233.7259999999997</v>
      </c>
      <c r="M63" s="11">
        <v>4846.768</v>
      </c>
      <c r="N63" s="11">
        <v>8379.7530000000006</v>
      </c>
      <c r="O63" s="10"/>
      <c r="P63" s="10"/>
      <c r="Q63" s="15">
        <v>45927</v>
      </c>
      <c r="R63" s="304">
        <v>0</v>
      </c>
      <c r="S63" s="304">
        <v>206.48981000000001</v>
      </c>
      <c r="U63" s="408">
        <v>0</v>
      </c>
      <c r="W63" s="351">
        <v>0.44350000000000001</v>
      </c>
    </row>
    <row r="64" spans="1:23" ht="15" customHeight="1">
      <c r="A64" s="10"/>
      <c r="B64" s="10" t="s">
        <v>762</v>
      </c>
      <c r="C64" s="10"/>
      <c r="D64" s="10"/>
      <c r="E64" s="11">
        <v>142.88499999999999</v>
      </c>
      <c r="F64" s="11">
        <v>151.32300000000001</v>
      </c>
      <c r="G64" s="11">
        <v>174.11199999999999</v>
      </c>
      <c r="H64" s="11">
        <v>190.566</v>
      </c>
      <c r="I64" s="11">
        <v>219.851</v>
      </c>
      <c r="J64" s="11">
        <v>112.821</v>
      </c>
      <c r="K64" s="11">
        <v>323.04500000000002</v>
      </c>
      <c r="L64" s="11">
        <v>566.65800000000002</v>
      </c>
      <c r="M64" s="11">
        <v>582.49400000000003</v>
      </c>
      <c r="N64" s="11">
        <v>623.01900000000001</v>
      </c>
      <c r="O64" s="10"/>
      <c r="P64" s="10"/>
      <c r="Q64" s="303">
        <v>45926</v>
      </c>
      <c r="R64" s="304">
        <v>0</v>
      </c>
      <c r="S64" s="304">
        <v>206.48981000000001</v>
      </c>
      <c r="U64" s="408">
        <v>0</v>
      </c>
      <c r="W64" s="351">
        <v>0.44350000000000001</v>
      </c>
    </row>
    <row r="65" spans="1:23" ht="15" customHeight="1">
      <c r="A65" s="10"/>
      <c r="B65" s="10" t="s">
        <v>267</v>
      </c>
      <c r="C65" s="10"/>
      <c r="D65" s="10"/>
      <c r="E65" s="14">
        <v>0.1434927696596893</v>
      </c>
      <c r="F65" s="14">
        <v>0.14508340457036203</v>
      </c>
      <c r="G65" s="14">
        <v>0.17777932592048717</v>
      </c>
      <c r="H65" s="14">
        <v>0.18944833204420816</v>
      </c>
      <c r="I65" s="14">
        <v>0.17787064934730307</v>
      </c>
      <c r="J65" s="14">
        <v>4.9444813678074837E-2</v>
      </c>
      <c r="K65" s="14">
        <v>0.17605844653462316</v>
      </c>
      <c r="L65" s="14">
        <v>0.17053265068831674</v>
      </c>
      <c r="M65" s="14">
        <v>0.13270817109983868</v>
      </c>
      <c r="N65" s="14">
        <v>7.8992903841140036E-2</v>
      </c>
      <c r="O65" s="10"/>
      <c r="P65" s="10"/>
      <c r="Q65" s="303">
        <v>45925</v>
      </c>
      <c r="R65" s="304">
        <v>0</v>
      </c>
      <c r="S65" s="304">
        <v>206.48981000000001</v>
      </c>
      <c r="U65" s="408">
        <v>0</v>
      </c>
      <c r="W65" s="351">
        <v>0.44629999999999997</v>
      </c>
    </row>
    <row r="66" spans="1:23" ht="15" customHeight="1">
      <c r="A66" s="10"/>
      <c r="B66" s="10" t="s">
        <v>400</v>
      </c>
      <c r="C66" s="10"/>
      <c r="D66" s="10"/>
      <c r="E66" s="14">
        <v>0.15843191496599437</v>
      </c>
      <c r="F66" s="14">
        <v>0.13451127099470156</v>
      </c>
      <c r="G66" s="14">
        <v>0.1250717765184936</v>
      </c>
      <c r="H66" s="14">
        <v>0.14500442753822385</v>
      </c>
      <c r="I66" s="14">
        <v>0.1054102885781443</v>
      </c>
      <c r="J66" s="14">
        <v>0.1058633309489783</v>
      </c>
      <c r="K66" s="14">
        <v>0.22372439305643974</v>
      </c>
      <c r="L66" s="14">
        <v>0.21285585060212081</v>
      </c>
      <c r="M66" s="14">
        <v>0.13058273987430194</v>
      </c>
      <c r="N66" s="14">
        <v>0.17319895301040034</v>
      </c>
      <c r="O66" s="10"/>
      <c r="P66" s="10"/>
      <c r="Q66" s="303">
        <v>45924</v>
      </c>
      <c r="R66" s="304">
        <v>0</v>
      </c>
      <c r="S66" s="304">
        <v>206.48981000000001</v>
      </c>
      <c r="U66" s="408">
        <v>0</v>
      </c>
      <c r="W66" s="351">
        <v>0.45569999999999999</v>
      </c>
    </row>
    <row r="67" spans="1:23" ht="15" customHeight="1">
      <c r="A67" s="10"/>
      <c r="B67" s="10" t="s">
        <v>763</v>
      </c>
      <c r="C67" s="10"/>
      <c r="D67" s="10"/>
      <c r="E67" s="11">
        <v>-25.774999999999999</v>
      </c>
      <c r="F67" s="11">
        <v>-25.065999999999999</v>
      </c>
      <c r="G67" s="11">
        <v>-21.547999999999998</v>
      </c>
      <c r="H67" s="11">
        <v>-48.613999999999997</v>
      </c>
      <c r="I67" s="11">
        <v>-65.606999999999999</v>
      </c>
      <c r="J67" s="11">
        <v>-46.185000000000002</v>
      </c>
      <c r="K67" s="11">
        <v>-168.881</v>
      </c>
      <c r="L67" s="11">
        <v>-233.143</v>
      </c>
      <c r="M67" s="11">
        <v>-235.20099999999999</v>
      </c>
      <c r="N67" s="11">
        <v>-418.96199999999999</v>
      </c>
      <c r="O67" s="10"/>
      <c r="P67" s="10"/>
      <c r="Q67" s="303">
        <v>45923</v>
      </c>
      <c r="R67" s="304">
        <v>0</v>
      </c>
      <c r="S67" s="304">
        <v>206.48981000000001</v>
      </c>
      <c r="U67" s="408">
        <v>0</v>
      </c>
      <c r="W67" s="351">
        <v>0.46100000000000002</v>
      </c>
    </row>
    <row r="68" spans="1:23" ht="15" customHeight="1">
      <c r="A68" s="10"/>
      <c r="B68" s="10" t="s">
        <v>764</v>
      </c>
      <c r="C68" s="10"/>
      <c r="D68" s="10"/>
      <c r="E68" s="14">
        <v>0.19930700000000001</v>
      </c>
      <c r="F68" s="14">
        <v>0.15835299999999999</v>
      </c>
      <c r="G68" s="14">
        <v>0.27331700000000003</v>
      </c>
      <c r="H68" s="14">
        <v>0.15663099999999999</v>
      </c>
      <c r="I68" s="14">
        <v>0.52252699999999996</v>
      </c>
      <c r="J68" s="14">
        <v>0.62852699999999995</v>
      </c>
      <c r="K68" s="14">
        <v>0.481462</v>
      </c>
      <c r="L68" s="14">
        <v>0.29247800000000002</v>
      </c>
      <c r="M68" s="14">
        <v>0.544983</v>
      </c>
      <c r="N68" s="14">
        <v>0.45721600000000001</v>
      </c>
      <c r="O68" s="10"/>
      <c r="P68" s="10"/>
      <c r="Q68" s="303">
        <v>45922</v>
      </c>
      <c r="R68" s="304">
        <v>0</v>
      </c>
      <c r="S68" s="304">
        <v>206.48981000000001</v>
      </c>
      <c r="U68" s="408">
        <v>0</v>
      </c>
      <c r="W68" s="351">
        <v>0.45479999999999998</v>
      </c>
    </row>
    <row r="69" spans="1:23" ht="15" customHeight="1">
      <c r="A69" s="10"/>
      <c r="B69" s="10" t="s">
        <v>765</v>
      </c>
      <c r="C69" s="10"/>
      <c r="D69" s="10"/>
      <c r="E69" s="14">
        <v>0.127512478169339</v>
      </c>
      <c r="F69" s="14">
        <v>0.12212232973666586</v>
      </c>
      <c r="G69" s="14">
        <v>0.12797892499231886</v>
      </c>
      <c r="H69" s="14">
        <v>0.12482551768273072</v>
      </c>
      <c r="I69" s="14">
        <v>0.13092330733935395</v>
      </c>
      <c r="J69" s="14">
        <v>7.0912361595784262E-2</v>
      </c>
      <c r="K69" s="14">
        <v>0.11048704318005134</v>
      </c>
      <c r="L69" s="14">
        <v>0.13384380566904899</v>
      </c>
      <c r="M69" s="14">
        <v>0.12018194392634432</v>
      </c>
      <c r="N69" s="14">
        <v>7.4348134127581081E-2</v>
      </c>
      <c r="O69" s="10"/>
      <c r="P69" s="10"/>
      <c r="Q69" s="303">
        <v>45921</v>
      </c>
      <c r="R69" s="304">
        <v>0</v>
      </c>
      <c r="S69" s="304">
        <v>0</v>
      </c>
      <c r="U69" s="408">
        <v>0</v>
      </c>
      <c r="W69" s="351">
        <v>0</v>
      </c>
    </row>
    <row r="70" spans="1:23" ht="15" customHeight="1">
      <c r="A70" s="10"/>
      <c r="B70" s="10" t="s">
        <v>766</v>
      </c>
      <c r="C70" s="10"/>
      <c r="D70" s="10"/>
      <c r="E70" s="364">
        <v>0.90570621260551198</v>
      </c>
      <c r="F70" s="364">
        <v>1.0785966372741873</v>
      </c>
      <c r="G70" s="364">
        <v>1.4214184116446129</v>
      </c>
      <c r="H70" s="364">
        <v>1.3065003273384097</v>
      </c>
      <c r="I70" s="364">
        <v>1.687412602190548</v>
      </c>
      <c r="J70" s="364">
        <v>0.46706270466688005</v>
      </c>
      <c r="K70" s="364">
        <v>0.78694345363676221</v>
      </c>
      <c r="L70" s="364">
        <v>0.80116496777475765</v>
      </c>
      <c r="M70" s="364">
        <v>1.0162765096488453</v>
      </c>
      <c r="N70" s="364">
        <v>0.45608187848801046</v>
      </c>
      <c r="O70" s="10"/>
      <c r="P70" s="10"/>
      <c r="Q70" s="303">
        <v>45920</v>
      </c>
      <c r="R70" s="304">
        <v>0</v>
      </c>
      <c r="S70" s="304">
        <v>0</v>
      </c>
      <c r="U70" s="408">
        <v>0</v>
      </c>
      <c r="W70" s="351">
        <v>0</v>
      </c>
    </row>
    <row r="71" spans="1:23" ht="15" customHeight="1">
      <c r="A71" s="10"/>
      <c r="B71" s="10" t="s">
        <v>767</v>
      </c>
      <c r="C71" s="10"/>
      <c r="D71" s="10"/>
      <c r="E71" s="14">
        <v>2.3001953492771898E-2</v>
      </c>
      <c r="F71" s="14">
        <v>2.0229035356021663E-2</v>
      </c>
      <c r="G71" s="14">
        <v>1.5838597430013361E-2</v>
      </c>
      <c r="H71" s="14">
        <v>3.1843391353275352E-2</v>
      </c>
      <c r="I71" s="14">
        <v>3.9069576324933679E-2</v>
      </c>
      <c r="J71" s="14">
        <v>2.9029058599917539E-2</v>
      </c>
      <c r="K71" s="14">
        <v>5.7760257361328143E-2</v>
      </c>
      <c r="L71" s="14">
        <v>5.5068041720224697E-2</v>
      </c>
      <c r="M71" s="14">
        <v>4.8527389798727727E-2</v>
      </c>
      <c r="N71" s="14">
        <v>4.9996939050590147E-2</v>
      </c>
      <c r="O71" s="10"/>
      <c r="P71" s="10"/>
      <c r="Q71" s="10"/>
      <c r="R71" s="304"/>
      <c r="S71" s="304"/>
      <c r="U71" s="408"/>
      <c r="W71" s="351"/>
    </row>
    <row r="72" spans="1:23" ht="15" customHeight="1">
      <c r="A72" s="10"/>
      <c r="B72" s="10"/>
      <c r="C72" s="10"/>
      <c r="D72" s="10"/>
      <c r="E72" s="10"/>
      <c r="F72" s="10"/>
      <c r="G72" s="10"/>
      <c r="H72" s="10"/>
      <c r="I72" s="10"/>
      <c r="J72" s="10"/>
      <c r="K72" s="10"/>
      <c r="L72" s="10"/>
      <c r="M72" s="10"/>
      <c r="N72" s="10"/>
      <c r="O72" s="10"/>
      <c r="P72" s="10"/>
      <c r="Q72" s="10"/>
      <c r="R72" s="10"/>
      <c r="S72" s="10"/>
      <c r="T72" s="10"/>
      <c r="U72" s="10"/>
      <c r="V72" s="10"/>
      <c r="W72" s="10"/>
    </row>
    <row r="73" spans="1:23" ht="15" customHeight="1">
      <c r="A73" s="10" t="s">
        <v>37</v>
      </c>
      <c r="B73" s="365" t="s">
        <v>743</v>
      </c>
      <c r="C73" s="366"/>
      <c r="D73" s="366"/>
      <c r="E73" s="363">
        <v>2015</v>
      </c>
      <c r="F73" s="363">
        <v>2016</v>
      </c>
      <c r="G73" s="363">
        <v>2017</v>
      </c>
      <c r="H73" s="363">
        <v>2018</v>
      </c>
      <c r="I73" s="363">
        <v>2019</v>
      </c>
      <c r="J73" s="363">
        <v>2020</v>
      </c>
      <c r="K73" s="363">
        <v>2021</v>
      </c>
      <c r="L73" s="363">
        <v>2022</v>
      </c>
      <c r="M73" s="363">
        <v>2023</v>
      </c>
      <c r="N73" s="363">
        <v>2024</v>
      </c>
      <c r="O73" s="10"/>
      <c r="P73" s="10"/>
      <c r="Q73" s="10"/>
      <c r="R73" s="10"/>
      <c r="S73" s="10"/>
      <c r="T73" s="10"/>
      <c r="U73" s="10"/>
      <c r="V73" s="10"/>
      <c r="W73" s="10"/>
    </row>
    <row r="74" spans="1:23" ht="15" customHeight="1">
      <c r="A74" s="10"/>
      <c r="B74" s="10" t="s">
        <v>409</v>
      </c>
      <c r="C74" s="10"/>
      <c r="D74" s="10"/>
      <c r="E74" s="11">
        <v>5507.3059999999996</v>
      </c>
      <c r="F74" s="11">
        <v>5921.65</v>
      </c>
      <c r="G74" s="11">
        <v>6444.6589999999997</v>
      </c>
      <c r="H74" s="11">
        <v>7192.5959999999995</v>
      </c>
      <c r="I74" s="11">
        <v>7808.0439999999999</v>
      </c>
      <c r="J74" s="11">
        <v>6245.3720000000003</v>
      </c>
      <c r="K74" s="11">
        <v>7221.1809999999996</v>
      </c>
      <c r="L74" s="11">
        <v>8458.6630000000005</v>
      </c>
      <c r="M74" s="11">
        <v>8795.3860000000004</v>
      </c>
      <c r="N74" s="11">
        <v>9634.2070000000003</v>
      </c>
      <c r="O74" s="10"/>
      <c r="S74" s="10"/>
      <c r="T74" s="10"/>
      <c r="U74" s="10"/>
      <c r="V74" s="10"/>
      <c r="W74" s="10"/>
    </row>
    <row r="75" spans="1:23" ht="15" customHeight="1">
      <c r="A75" s="10"/>
      <c r="B75" s="10" t="s">
        <v>762</v>
      </c>
      <c r="C75" s="10"/>
      <c r="D75" s="10"/>
      <c r="E75" s="11">
        <v>474.053</v>
      </c>
      <c r="F75" s="11">
        <v>403.63299999999998</v>
      </c>
      <c r="G75" s="11">
        <v>887.97299999999996</v>
      </c>
      <c r="H75" s="11">
        <v>1409.421</v>
      </c>
      <c r="I75" s="11">
        <v>807.30399999999997</v>
      </c>
      <c r="J75" s="11">
        <v>-164.44900000000001</v>
      </c>
      <c r="K75" s="11">
        <v>278.52499999999998</v>
      </c>
      <c r="L75" s="11">
        <v>412.24099999999999</v>
      </c>
      <c r="M75" s="11">
        <v>403.779</v>
      </c>
      <c r="N75" s="11">
        <v>799.5</v>
      </c>
      <c r="O75" s="10"/>
      <c r="S75" s="10"/>
      <c r="T75" s="10"/>
      <c r="U75" s="10"/>
      <c r="V75" s="10"/>
      <c r="W75" s="10"/>
    </row>
    <row r="76" spans="1:23" ht="15" customHeight="1">
      <c r="A76" s="10"/>
      <c r="B76" s="10" t="s">
        <v>267</v>
      </c>
      <c r="C76" s="10"/>
      <c r="D76" s="10"/>
      <c r="E76" s="14">
        <v>8.9589636684971344E-2</v>
      </c>
      <c r="F76" s="14">
        <v>7.2593985861648794E-2</v>
      </c>
      <c r="G76" s="14">
        <v>0.11449732162879184</v>
      </c>
      <c r="H76" s="14">
        <v>0.13957521380551752</v>
      </c>
      <c r="I76" s="14">
        <v>7.3906975515926843E-2</v>
      </c>
      <c r="J76" s="14">
        <v>8.2792957050763748E-3</v>
      </c>
      <c r="K76" s="14">
        <v>5.7805508165046288E-2</v>
      </c>
      <c r="L76" s="14">
        <v>3.1356200740481288E-2</v>
      </c>
      <c r="M76" s="14">
        <v>2.5312972094705469E-2</v>
      </c>
      <c r="N76" s="14">
        <v>5.297930953586398E-2</v>
      </c>
      <c r="O76" s="10"/>
      <c r="S76" s="10"/>
      <c r="T76" s="10"/>
      <c r="U76" s="10"/>
      <c r="V76" s="10"/>
      <c r="W76" s="10"/>
    </row>
    <row r="77" spans="1:23" ht="15" customHeight="1">
      <c r="A77" s="10"/>
      <c r="B77" s="10" t="s">
        <v>400</v>
      </c>
      <c r="C77" s="10"/>
      <c r="D77" s="10"/>
      <c r="E77" s="14">
        <v>0.17556222396781174</v>
      </c>
      <c r="F77" s="14">
        <v>0.14183863084998671</v>
      </c>
      <c r="G77" s="14">
        <v>0.12230457210331214</v>
      </c>
      <c r="H77" s="14">
        <v>0.13351838863634305</v>
      </c>
      <c r="I77" s="14">
        <v>0.10232428482523995</v>
      </c>
      <c r="J77" s="14">
        <v>0.10520489384165163</v>
      </c>
      <c r="K77" s="14">
        <v>0.20900740829893613</v>
      </c>
      <c r="L77" s="14">
        <v>0.2090701220467151</v>
      </c>
      <c r="M77" s="14">
        <v>0.14248600358316943</v>
      </c>
      <c r="N77" s="14">
        <v>0.1431671253443681</v>
      </c>
      <c r="O77" s="10"/>
      <c r="S77" s="10"/>
      <c r="T77" s="10"/>
      <c r="U77" s="10"/>
      <c r="V77" s="10"/>
      <c r="W77" s="10"/>
    </row>
    <row r="78" spans="1:23" ht="15" customHeight="1">
      <c r="A78" s="10"/>
      <c r="B78" s="10" t="s">
        <v>763</v>
      </c>
      <c r="C78" s="10"/>
      <c r="D78" s="10"/>
      <c r="E78" s="11">
        <v>-483.19900000000001</v>
      </c>
      <c r="F78" s="11">
        <v>-178.04599999999999</v>
      </c>
      <c r="G78" s="11">
        <v>-175.47900000000001</v>
      </c>
      <c r="H78" s="11">
        <v>-385.709</v>
      </c>
      <c r="I78" s="11">
        <v>-379.447</v>
      </c>
      <c r="J78" s="11">
        <v>-365.75</v>
      </c>
      <c r="K78" s="11">
        <v>-568.54300000000001</v>
      </c>
      <c r="L78" s="11">
        <v>-588.82799999999997</v>
      </c>
      <c r="M78" s="11">
        <v>-376.96600000000001</v>
      </c>
      <c r="N78" s="11">
        <v>-419.00599999999997</v>
      </c>
      <c r="O78" s="10"/>
      <c r="S78" s="10"/>
      <c r="T78" s="10"/>
      <c r="U78" s="10"/>
      <c r="V78" s="10"/>
      <c r="W78" s="10"/>
    </row>
    <row r="79" spans="1:23" ht="15" customHeight="1">
      <c r="A79" s="10"/>
      <c r="B79" s="10" t="s">
        <v>764</v>
      </c>
      <c r="C79" s="10"/>
      <c r="D79" s="10"/>
      <c r="E79" s="14">
        <v>0.418298</v>
      </c>
      <c r="F79" s="14">
        <v>0.43984699999999999</v>
      </c>
      <c r="G79" s="14">
        <v>0.32289999999999996</v>
      </c>
      <c r="H79" s="14">
        <v>0.43487599999999998</v>
      </c>
      <c r="I79" s="14">
        <v>0.73989300000000002</v>
      </c>
      <c r="J79" s="14">
        <v>1.012451</v>
      </c>
      <c r="K79" s="14">
        <v>0.86906700000000003</v>
      </c>
      <c r="L79" s="14">
        <v>0.95555400000000001</v>
      </c>
      <c r="M79" s="14">
        <v>0.88276100000000002</v>
      </c>
      <c r="N79" s="14">
        <v>0.564079</v>
      </c>
      <c r="O79" s="10"/>
      <c r="S79" s="10"/>
      <c r="T79" s="10"/>
      <c r="U79" s="10"/>
      <c r="V79" s="10"/>
      <c r="W79" s="10"/>
    </row>
    <row r="80" spans="1:23" ht="15" customHeight="1">
      <c r="A80" s="10"/>
      <c r="B80" s="10" t="s">
        <v>765</v>
      </c>
      <c r="C80" s="10"/>
      <c r="D80" s="10"/>
      <c r="E80" s="14">
        <v>8.6077112838836276E-2</v>
      </c>
      <c r="F80" s="14">
        <v>6.8162252075012877E-2</v>
      </c>
      <c r="G80" s="14">
        <v>0.1377843265252669</v>
      </c>
      <c r="H80" s="14">
        <v>0.19595442313178721</v>
      </c>
      <c r="I80" s="14">
        <v>0.10339388456315052</v>
      </c>
      <c r="J80" s="14">
        <v>-2.6331337829035645E-2</v>
      </c>
      <c r="K80" s="14">
        <v>3.8570560688064734E-2</v>
      </c>
      <c r="L80" s="14">
        <v>4.8735952714985806E-2</v>
      </c>
      <c r="M80" s="14">
        <v>4.5908047696826493E-2</v>
      </c>
      <c r="N80" s="14">
        <v>8.2985553455515323E-2</v>
      </c>
      <c r="O80" s="10"/>
      <c r="S80" s="10"/>
      <c r="T80" s="10"/>
      <c r="U80" s="10"/>
      <c r="V80" s="10"/>
      <c r="W80" s="10"/>
    </row>
    <row r="81" spans="1:23" ht="15" customHeight="1">
      <c r="A81" s="10"/>
      <c r="B81" s="10" t="s">
        <v>766</v>
      </c>
      <c r="C81" s="10"/>
      <c r="D81" s="10"/>
      <c r="E81" s="364">
        <v>0.51030133168851322</v>
      </c>
      <c r="F81" s="364">
        <v>0.51180687113672596</v>
      </c>
      <c r="G81" s="364">
        <v>0.93616550599657533</v>
      </c>
      <c r="H81" s="364">
        <v>1.0453632284738781</v>
      </c>
      <c r="I81" s="364">
        <v>0.72228186732165156</v>
      </c>
      <c r="J81" s="364">
        <v>7.8696868584249471E-2</v>
      </c>
      <c r="K81" s="364">
        <v>0.27657157531167054</v>
      </c>
      <c r="L81" s="364">
        <v>0.14997934871571456</v>
      </c>
      <c r="M81" s="364">
        <v>0.17765234098891844</v>
      </c>
      <c r="N81" s="364">
        <v>0.37005219884404195</v>
      </c>
      <c r="O81" s="10"/>
      <c r="S81" s="10"/>
      <c r="T81" s="10"/>
      <c r="U81" s="10"/>
      <c r="V81" s="10"/>
      <c r="W81" s="10"/>
    </row>
    <row r="82" spans="1:23" ht="15" customHeight="1">
      <c r="A82" s="10"/>
      <c r="B82" s="10" t="s">
        <v>767</v>
      </c>
      <c r="C82" s="10"/>
      <c r="D82" s="10"/>
      <c r="E82" s="14">
        <v>8.7737815912171946E-2</v>
      </c>
      <c r="F82" s="14">
        <v>3.0066957689157583E-2</v>
      </c>
      <c r="G82" s="14">
        <v>2.722859347562067E-2</v>
      </c>
      <c r="H82" s="14">
        <v>5.3625839682918383E-2</v>
      </c>
      <c r="I82" s="14">
        <v>4.8596934136129359E-2</v>
      </c>
      <c r="J82" s="14">
        <v>5.856336500051558E-2</v>
      </c>
      <c r="K82" s="14">
        <v>7.8732689292790203E-2</v>
      </c>
      <c r="L82" s="14">
        <v>6.9612419835144157E-2</v>
      </c>
      <c r="M82" s="14">
        <v>4.2859517478823557E-2</v>
      </c>
      <c r="N82" s="14">
        <v>4.3491488194098378E-2</v>
      </c>
      <c r="O82" s="10"/>
      <c r="S82" s="10"/>
      <c r="T82" s="10"/>
      <c r="U82" s="10"/>
      <c r="V82" s="10"/>
      <c r="W82" s="10"/>
    </row>
    <row r="83" spans="1:23" ht="15" customHeight="1">
      <c r="A83" s="10"/>
      <c r="B83" s="10"/>
      <c r="C83" s="10"/>
      <c r="D83" s="10"/>
      <c r="E83" s="10"/>
      <c r="F83" s="10"/>
      <c r="G83" s="10"/>
      <c r="H83" s="10"/>
      <c r="I83" s="10"/>
      <c r="J83" s="10"/>
      <c r="K83" s="10"/>
      <c r="L83" s="10"/>
      <c r="M83" s="10"/>
      <c r="N83" s="10"/>
      <c r="O83" s="10"/>
      <c r="S83" s="10"/>
      <c r="T83" s="10"/>
      <c r="U83" s="10"/>
      <c r="V83" s="10"/>
      <c r="W83" s="10"/>
    </row>
    <row r="84" spans="1:23" ht="15" customHeight="1">
      <c r="A84" s="10" t="s">
        <v>37</v>
      </c>
      <c r="B84" s="365" t="s">
        <v>746</v>
      </c>
      <c r="C84" s="366"/>
      <c r="D84" s="366"/>
      <c r="E84" s="363">
        <v>2015</v>
      </c>
      <c r="F84" s="363">
        <v>2016</v>
      </c>
      <c r="G84" s="363">
        <v>2017</v>
      </c>
      <c r="H84" s="363">
        <v>2018</v>
      </c>
      <c r="I84" s="363">
        <v>2019</v>
      </c>
      <c r="J84" s="363">
        <v>2020</v>
      </c>
      <c r="K84" s="363">
        <v>2021</v>
      </c>
      <c r="L84" s="363">
        <v>2022</v>
      </c>
      <c r="M84" s="363">
        <v>2023</v>
      </c>
      <c r="N84" s="363">
        <v>2024</v>
      </c>
      <c r="O84" s="10"/>
      <c r="S84" s="10"/>
      <c r="T84" s="10"/>
      <c r="U84" s="10"/>
      <c r="V84" s="10"/>
      <c r="W84" s="10"/>
    </row>
    <row r="85" spans="1:23" ht="15" customHeight="1">
      <c r="A85" s="10"/>
      <c r="B85" s="10" t="s">
        <v>409</v>
      </c>
      <c r="C85" s="10"/>
      <c r="D85" s="10"/>
      <c r="E85" s="11">
        <v>6145.1980000000003</v>
      </c>
      <c r="F85" s="11">
        <v>6451.5780000000004</v>
      </c>
      <c r="G85" s="11">
        <v>7444.3050000000003</v>
      </c>
      <c r="H85" s="11">
        <v>8426.5409999999993</v>
      </c>
      <c r="I85" s="11">
        <v>9588.4369999999999</v>
      </c>
      <c r="J85" s="11">
        <v>7537.18</v>
      </c>
      <c r="K85" s="11">
        <v>10571.566000000001</v>
      </c>
      <c r="L85" s="11">
        <v>13271.137000000001</v>
      </c>
      <c r="M85" s="11">
        <v>13647.849</v>
      </c>
      <c r="N85" s="11">
        <v>14436.366</v>
      </c>
      <c r="O85" s="10"/>
      <c r="S85" s="10"/>
      <c r="T85" s="10"/>
      <c r="U85" s="10"/>
      <c r="V85" s="10"/>
      <c r="W85" s="10"/>
    </row>
    <row r="86" spans="1:23" ht="15" customHeight="1">
      <c r="A86" s="10"/>
      <c r="B86" s="10" t="s">
        <v>762</v>
      </c>
      <c r="C86" s="10"/>
      <c r="D86" s="10"/>
      <c r="E86" s="11">
        <v>946.01</v>
      </c>
      <c r="F86" s="11">
        <v>997.07100000000003</v>
      </c>
      <c r="G86" s="11">
        <v>1122.0899999999999</v>
      </c>
      <c r="H86" s="11">
        <v>1429.951</v>
      </c>
      <c r="I86" s="11">
        <v>1700.145</v>
      </c>
      <c r="J86" s="11">
        <v>877.41200000000003</v>
      </c>
      <c r="K86" s="11">
        <v>822.93799999999999</v>
      </c>
      <c r="L86" s="11">
        <v>1445.106</v>
      </c>
      <c r="M86" s="11">
        <v>1029.9190000000001</v>
      </c>
      <c r="N86" s="11">
        <v>1402.68</v>
      </c>
    </row>
    <row r="87" spans="1:23" ht="15" customHeight="1">
      <c r="A87" s="10"/>
      <c r="B87" s="10" t="s">
        <v>267</v>
      </c>
      <c r="C87" s="10"/>
      <c r="D87" s="10"/>
      <c r="E87" s="14">
        <v>0.152457500033747</v>
      </c>
      <c r="F87" s="14">
        <v>0.15046828663503978</v>
      </c>
      <c r="G87" s="14">
        <v>0.15569933610263925</v>
      </c>
      <c r="H87" s="14">
        <v>0.18080900302651487</v>
      </c>
      <c r="I87" s="14">
        <v>0.16451853111018927</v>
      </c>
      <c r="J87" s="14">
        <v>8.0465497547663634E-2</v>
      </c>
      <c r="K87" s="14">
        <v>5.9791957743384583E-2</v>
      </c>
      <c r="L87" s="14">
        <v>8.3382251292298537E-2</v>
      </c>
      <c r="M87" s="14">
        <v>6.7376834371481606E-2</v>
      </c>
      <c r="N87" s="14">
        <v>7.7504513757975055E-2</v>
      </c>
    </row>
    <row r="88" spans="1:23" ht="15" customHeight="1">
      <c r="A88" s="10"/>
      <c r="B88" s="10" t="s">
        <v>400</v>
      </c>
      <c r="C88" s="10"/>
      <c r="D88" s="10"/>
      <c r="E88" s="14">
        <v>0.157498125467217</v>
      </c>
      <c r="F88" s="14">
        <v>0.1330988922641109</v>
      </c>
      <c r="G88" s="14">
        <v>0.12460618750321879</v>
      </c>
      <c r="H88" s="14">
        <v>0.14373032242137498</v>
      </c>
      <c r="I88" s="14">
        <v>0.10723183930257636</v>
      </c>
      <c r="J88" s="14">
        <v>0.1065149696220868</v>
      </c>
      <c r="K88" s="14">
        <v>0.2155716061544756</v>
      </c>
      <c r="L88" s="14">
        <v>0.20965059853560844</v>
      </c>
      <c r="M88" s="14">
        <v>0.13521312537135755</v>
      </c>
      <c r="N88" s="14">
        <v>0.1587866075002474</v>
      </c>
    </row>
    <row r="89" spans="1:23" ht="15" customHeight="1">
      <c r="A89" s="10"/>
      <c r="B89" s="10" t="s">
        <v>763</v>
      </c>
      <c r="C89" s="10"/>
      <c r="D89" s="10"/>
      <c r="E89" s="11">
        <v>-571.31200000000001</v>
      </c>
      <c r="F89" s="11">
        <v>-477.19400000000002</v>
      </c>
      <c r="G89" s="11">
        <v>-550.36300000000006</v>
      </c>
      <c r="H89" s="11">
        <v>-610.40700000000004</v>
      </c>
      <c r="I89" s="11">
        <v>-751.428</v>
      </c>
      <c r="J89" s="11">
        <v>-543.976</v>
      </c>
      <c r="K89" s="11">
        <v>-933.96299999999997</v>
      </c>
      <c r="L89" s="11">
        <v>-1105.271</v>
      </c>
      <c r="M89" s="11">
        <v>-892.88599999999997</v>
      </c>
      <c r="N89" s="11">
        <v>-679.20100000000002</v>
      </c>
    </row>
    <row r="90" spans="1:23" ht="15" customHeight="1">
      <c r="A90" s="10"/>
      <c r="B90" s="10" t="s">
        <v>764</v>
      </c>
      <c r="C90" s="10"/>
      <c r="D90" s="10"/>
      <c r="E90" s="14">
        <v>0.82349500000000009</v>
      </c>
      <c r="F90" s="14">
        <v>0.71143900000000004</v>
      </c>
      <c r="G90" s="14">
        <v>0.58037799999999995</v>
      </c>
      <c r="H90" s="14">
        <v>0.486429</v>
      </c>
      <c r="I90" s="14">
        <v>0.72146199999999994</v>
      </c>
      <c r="J90" s="14">
        <v>0.95383799999999996</v>
      </c>
      <c r="K90" s="14">
        <v>0.62489800000000006</v>
      </c>
      <c r="L90" s="14">
        <v>0.52691699999999997</v>
      </c>
      <c r="M90" s="14">
        <v>0.46472200000000002</v>
      </c>
      <c r="N90" s="14">
        <v>0.33202700000000002</v>
      </c>
    </row>
    <row r="91" spans="1:23" ht="15" customHeight="1">
      <c r="A91" s="10"/>
      <c r="B91" s="10" t="s">
        <v>765</v>
      </c>
      <c r="C91" s="10"/>
      <c r="D91" s="10"/>
      <c r="E91" s="14">
        <v>0.15394296489714407</v>
      </c>
      <c r="F91" s="14">
        <v>0.15454684109841033</v>
      </c>
      <c r="G91" s="14">
        <v>0.15073133086298854</v>
      </c>
      <c r="H91" s="14">
        <v>0.1696960828885779</v>
      </c>
      <c r="I91" s="14">
        <v>0.17731200611736825</v>
      </c>
      <c r="J91" s="14">
        <v>0.11641117765530344</v>
      </c>
      <c r="K91" s="14">
        <v>7.7844474508317871E-2</v>
      </c>
      <c r="L91" s="14">
        <v>0.10889089608524122</v>
      </c>
      <c r="M91" s="14">
        <v>7.5463833165211602E-2</v>
      </c>
      <c r="N91" s="14">
        <v>9.7162956383898838E-2</v>
      </c>
    </row>
    <row r="92" spans="1:23" ht="15" customHeight="1">
      <c r="A92" s="10"/>
      <c r="B92" s="10" t="s">
        <v>766</v>
      </c>
      <c r="C92" s="10"/>
      <c r="D92" s="10"/>
      <c r="E92" s="364">
        <v>0.96799564808459138</v>
      </c>
      <c r="F92" s="364">
        <v>1.1304999168322336</v>
      </c>
      <c r="G92" s="364">
        <v>1.2495313372669978</v>
      </c>
      <c r="H92" s="364">
        <v>1.2579739610994269</v>
      </c>
      <c r="I92" s="364">
        <v>1.5342321103526622</v>
      </c>
      <c r="J92" s="364">
        <v>0.75543839361879161</v>
      </c>
      <c r="K92" s="364">
        <v>0.27736471797003964</v>
      </c>
      <c r="L92" s="364">
        <v>0.39772007270533188</v>
      </c>
      <c r="M92" s="364">
        <v>0.49830099102016739</v>
      </c>
      <c r="N92" s="364">
        <v>0.48810485328779568</v>
      </c>
    </row>
    <row r="93" spans="1:23" ht="15" customHeight="1">
      <c r="A93" s="10"/>
      <c r="B93" s="10" t="s">
        <v>767</v>
      </c>
      <c r="C93" s="10"/>
      <c r="D93" s="10"/>
      <c r="E93" s="14">
        <v>9.296885145116561E-2</v>
      </c>
      <c r="F93" s="14">
        <v>7.3965470153193533E-2</v>
      </c>
      <c r="G93" s="14">
        <v>7.3930743031082158E-2</v>
      </c>
      <c r="H93" s="14">
        <v>7.243861983226571E-2</v>
      </c>
      <c r="I93" s="14">
        <v>7.8368142795327334E-2</v>
      </c>
      <c r="J93" s="14">
        <v>7.2172350932311558E-2</v>
      </c>
      <c r="K93" s="14">
        <v>8.8346702844214364E-2</v>
      </c>
      <c r="L93" s="14">
        <v>8.3283821122485585E-2</v>
      </c>
      <c r="M93" s="14">
        <v>6.5423203319438836E-2</v>
      </c>
      <c r="N93" s="14">
        <v>4.7047920508526873E-2</v>
      </c>
    </row>
    <row r="94" spans="1:23" ht="15" customHeight="1">
      <c r="A94" s="10"/>
      <c r="B94" s="10"/>
      <c r="C94" s="10"/>
      <c r="D94" s="10"/>
      <c r="E94" s="10"/>
      <c r="F94" s="10"/>
      <c r="G94" s="10"/>
      <c r="H94" s="10"/>
      <c r="I94" s="10"/>
      <c r="J94" s="10"/>
      <c r="K94" s="10"/>
      <c r="L94" s="10"/>
      <c r="M94" s="10"/>
      <c r="N94" s="10"/>
    </row>
    <row r="95" spans="1:23" ht="15" customHeight="1">
      <c r="A95" s="10" t="s">
        <v>37</v>
      </c>
      <c r="B95" s="365" t="s">
        <v>749</v>
      </c>
      <c r="C95" s="366"/>
      <c r="D95" s="366"/>
      <c r="E95" s="363">
        <v>2015</v>
      </c>
      <c r="F95" s="363">
        <v>2016</v>
      </c>
      <c r="G95" s="363">
        <v>2017</v>
      </c>
      <c r="H95" s="363">
        <v>2018</v>
      </c>
      <c r="I95" s="363">
        <v>2019</v>
      </c>
      <c r="J95" s="363">
        <v>2020</v>
      </c>
      <c r="K95" s="363">
        <v>2021</v>
      </c>
      <c r="L95" s="363">
        <v>2022</v>
      </c>
      <c r="M95" s="363">
        <v>2023</v>
      </c>
      <c r="N95" s="363">
        <v>2024</v>
      </c>
    </row>
    <row r="96" spans="1:23" ht="15" customHeight="1">
      <c r="A96" s="10"/>
      <c r="B96" s="10" t="s">
        <v>409</v>
      </c>
      <c r="C96" s="10"/>
      <c r="D96" s="10"/>
      <c r="E96" s="11">
        <v>0</v>
      </c>
      <c r="F96" s="11">
        <v>4780.6940000000004</v>
      </c>
      <c r="G96" s="11">
        <v>5035.6099999999997</v>
      </c>
      <c r="H96" s="11">
        <v>5166.3599999999997</v>
      </c>
      <c r="I96" s="11">
        <v>5285.1760000000004</v>
      </c>
      <c r="J96" s="11">
        <v>4085.4859999999999</v>
      </c>
      <c r="K96" s="11">
        <v>5153.2049999999999</v>
      </c>
      <c r="L96" s="11">
        <v>6183.55</v>
      </c>
      <c r="M96" s="11">
        <v>6719.317</v>
      </c>
      <c r="N96" s="11">
        <v>7636.5389999999998</v>
      </c>
    </row>
    <row r="97" spans="1:14" ht="15" customHeight="1">
      <c r="A97" s="10"/>
      <c r="B97" s="10" t="s">
        <v>762</v>
      </c>
      <c r="C97" s="10"/>
      <c r="D97" s="10"/>
      <c r="E97" s="11">
        <v>0</v>
      </c>
      <c r="F97" s="11">
        <v>0.53400000000000003</v>
      </c>
      <c r="G97" s="11">
        <v>318.90699999999998</v>
      </c>
      <c r="H97" s="11">
        <v>355.78899999999999</v>
      </c>
      <c r="I97" s="11">
        <v>443.67599999999999</v>
      </c>
      <c r="J97" s="11">
        <v>-272.92899999999997</v>
      </c>
      <c r="K97" s="11">
        <v>91.426000000000002</v>
      </c>
      <c r="L97" s="11">
        <v>508.185</v>
      </c>
      <c r="M97" s="11">
        <v>476.07299999999998</v>
      </c>
      <c r="N97" s="11">
        <v>507.23599999999999</v>
      </c>
    </row>
    <row r="98" spans="1:14" ht="15" customHeight="1">
      <c r="A98" s="10"/>
      <c r="B98" s="10" t="s">
        <v>267</v>
      </c>
      <c r="C98" s="10"/>
      <c r="D98" s="10"/>
      <c r="E98" s="14" t="e">
        <v>#VALUE!</v>
      </c>
      <c r="F98" s="14" t="e">
        <v>#VALUE!</v>
      </c>
      <c r="G98" s="14">
        <v>0.28162839963362468</v>
      </c>
      <c r="H98" s="14">
        <v>0.32006398866157298</v>
      </c>
      <c r="I98" s="14">
        <v>0.10641873156400884</v>
      </c>
      <c r="J98" s="14">
        <v>-4.2850266672419715E-2</v>
      </c>
      <c r="K98" s="14">
        <v>7.8582919460305378E-2</v>
      </c>
      <c r="L98" s="14">
        <v>3.7334906878431967E-2</v>
      </c>
      <c r="M98" s="14">
        <v>5.0388725921434743E-2</v>
      </c>
      <c r="N98" s="14">
        <v>0.11096442407138601</v>
      </c>
    </row>
    <row r="99" spans="1:14" ht="15" customHeight="1">
      <c r="A99" s="10"/>
      <c r="B99" s="10" t="s">
        <v>400</v>
      </c>
      <c r="C99" s="10"/>
      <c r="D99" s="10"/>
      <c r="E99" s="14" t="e">
        <v>#VALUE!</v>
      </c>
      <c r="F99" s="14">
        <v>0.13835151207519472</v>
      </c>
      <c r="G99" s="14">
        <v>0.12827066498971965</v>
      </c>
      <c r="H99" s="14">
        <v>0.1537789621869643</v>
      </c>
      <c r="I99" s="14">
        <v>0.14141362077648142</v>
      </c>
      <c r="J99" s="14">
        <v>0.1247912102753634</v>
      </c>
      <c r="K99" s="14">
        <v>0.20430922792940132</v>
      </c>
      <c r="L99" s="14">
        <v>0.19411394264212017</v>
      </c>
      <c r="M99" s="14">
        <v>0.14189875003338476</v>
      </c>
      <c r="N99" s="14">
        <v>0.17055849112312532</v>
      </c>
    </row>
    <row r="100" spans="1:14" ht="15" customHeight="1">
      <c r="A100" s="10"/>
      <c r="B100" s="10" t="s">
        <v>763</v>
      </c>
      <c r="C100" s="10"/>
      <c r="D100" s="10"/>
      <c r="E100" s="11">
        <v>0</v>
      </c>
      <c r="F100" s="11">
        <v>-118.616</v>
      </c>
      <c r="G100" s="11">
        <v>-90.373000000000005</v>
      </c>
      <c r="H100" s="11">
        <v>-246.459</v>
      </c>
      <c r="I100" s="11">
        <v>-321.30599999999998</v>
      </c>
      <c r="J100" s="11">
        <v>-260.08999999999997</v>
      </c>
      <c r="K100" s="11">
        <v>-571.40599999999995</v>
      </c>
      <c r="L100" s="11">
        <v>-471.96800000000002</v>
      </c>
      <c r="M100" s="11">
        <v>-235.96600000000001</v>
      </c>
      <c r="N100" s="11">
        <v>-291.83600000000001</v>
      </c>
    </row>
    <row r="101" spans="1:14" ht="15" customHeight="1">
      <c r="A101" s="10"/>
      <c r="B101" s="10" t="s">
        <v>764</v>
      </c>
      <c r="C101" s="10"/>
      <c r="D101" s="10"/>
      <c r="E101" s="14">
        <v>0</v>
      </c>
      <c r="F101" s="14">
        <v>2.895E-3</v>
      </c>
      <c r="G101" s="14">
        <v>2.091E-3</v>
      </c>
      <c r="H101" s="14">
        <v>1.6569999999999998E-3</v>
      </c>
      <c r="I101" s="14">
        <v>0.57953600000000005</v>
      </c>
      <c r="J101" s="14">
        <v>0.45624999999999999</v>
      </c>
      <c r="K101" s="14">
        <v>1.0647629999999999</v>
      </c>
      <c r="L101" s="14">
        <v>0.71689700000000001</v>
      </c>
      <c r="M101" s="14">
        <v>1.214402</v>
      </c>
      <c r="N101" s="14">
        <v>1.0049570000000001</v>
      </c>
    </row>
    <row r="102" spans="1:14" ht="15" customHeight="1">
      <c r="A102" s="10"/>
      <c r="B102" s="10" t="s">
        <v>765</v>
      </c>
      <c r="C102" s="10"/>
      <c r="D102" s="10"/>
      <c r="E102" s="14" t="e">
        <v>#DIV/0!</v>
      </c>
      <c r="F102" s="14">
        <v>1.1169926374706266E-4</v>
      </c>
      <c r="G102" s="14">
        <v>6.3330361167763194E-2</v>
      </c>
      <c r="H102" s="14">
        <v>6.8866474655269863E-2</v>
      </c>
      <c r="I102" s="14">
        <v>8.3947251709309195E-2</v>
      </c>
      <c r="J102" s="14">
        <v>-6.6804536840904608E-2</v>
      </c>
      <c r="K102" s="14">
        <v>1.7741580239870141E-2</v>
      </c>
      <c r="L102" s="14">
        <v>8.2183373628417336E-2</v>
      </c>
      <c r="M102" s="14">
        <v>7.0851397545315983E-2</v>
      </c>
      <c r="N102" s="14">
        <v>6.6422236565543635E-2</v>
      </c>
    </row>
    <row r="103" spans="1:14" ht="15" customHeight="1">
      <c r="A103" s="10"/>
      <c r="B103" s="10" t="s">
        <v>766</v>
      </c>
      <c r="C103" s="10"/>
      <c r="D103" s="10"/>
      <c r="E103" s="364" t="e">
        <v>#VALUE!</v>
      </c>
      <c r="F103" s="364" t="e">
        <v>#VALUE!</v>
      </c>
      <c r="G103" s="364">
        <v>2.1955791657913055</v>
      </c>
      <c r="H103" s="364">
        <v>2.0813249361927642</v>
      </c>
      <c r="I103" s="364">
        <v>0.75253522948977059</v>
      </c>
      <c r="J103" s="364">
        <v>-0.34337567988856443</v>
      </c>
      <c r="K103" s="364">
        <v>0.38462736243836998</v>
      </c>
      <c r="L103" s="364">
        <v>0.19233500886262861</v>
      </c>
      <c r="M103" s="364">
        <v>0.35510338117551921</v>
      </c>
      <c r="N103" s="364">
        <v>0.65059454583988641</v>
      </c>
    </row>
    <row r="104" spans="1:14" ht="15" customHeight="1">
      <c r="A104" s="10"/>
      <c r="B104" s="10" t="s">
        <v>767</v>
      </c>
      <c r="C104" s="10"/>
      <c r="D104" s="10"/>
      <c r="E104" s="14" t="e">
        <v>#DIV/0!</v>
      </c>
      <c r="F104" s="14">
        <v>2.4811460428130306E-2</v>
      </c>
      <c r="G104" s="14">
        <v>1.7946783011392863E-2</v>
      </c>
      <c r="H104" s="14">
        <v>4.7704573432745687E-2</v>
      </c>
      <c r="I104" s="14">
        <v>6.0793812732064169E-2</v>
      </c>
      <c r="J104" s="14">
        <v>6.3661948664124654E-2</v>
      </c>
      <c r="K104" s="14">
        <v>0.11088361514824269</v>
      </c>
      <c r="L104" s="14">
        <v>7.6326382094427964E-2</v>
      </c>
      <c r="M104" s="14">
        <v>3.5117557335068432E-2</v>
      </c>
      <c r="N104" s="14">
        <v>3.82157414504136E-2</v>
      </c>
    </row>
    <row r="105" spans="1:14" ht="15" customHeight="1">
      <c r="A105" s="10"/>
      <c r="B105" s="10"/>
      <c r="C105" s="10"/>
      <c r="D105" s="10"/>
      <c r="E105" s="10"/>
      <c r="F105" s="10"/>
      <c r="G105" s="10"/>
      <c r="H105" s="10"/>
      <c r="I105" s="10"/>
      <c r="J105" s="10"/>
      <c r="K105" s="10"/>
      <c r="L105" s="10"/>
      <c r="M105" s="10"/>
      <c r="N105" s="10"/>
    </row>
    <row r="106" spans="1:14" ht="15" customHeight="1">
      <c r="A106" s="10" t="s">
        <v>37</v>
      </c>
      <c r="B106" s="365" t="s">
        <v>752</v>
      </c>
      <c r="C106" s="366"/>
      <c r="D106" s="366"/>
      <c r="E106" s="363">
        <v>2015</v>
      </c>
      <c r="F106" s="363">
        <v>2016</v>
      </c>
      <c r="G106" s="363">
        <v>2017</v>
      </c>
      <c r="H106" s="363">
        <v>2018</v>
      </c>
      <c r="I106" s="363">
        <v>2019</v>
      </c>
      <c r="J106" s="363">
        <v>2020</v>
      </c>
      <c r="K106" s="363">
        <v>2021</v>
      </c>
      <c r="L106" s="363">
        <v>2022</v>
      </c>
      <c r="M106" s="363">
        <v>2023</v>
      </c>
      <c r="N106" s="363">
        <v>2024</v>
      </c>
    </row>
    <row r="107" spans="1:14" ht="15" customHeight="1">
      <c r="A107" s="10"/>
      <c r="B107" s="10" t="s">
        <v>409</v>
      </c>
      <c r="C107" s="10"/>
      <c r="D107" s="10"/>
      <c r="E107" s="11">
        <v>3164.9059999999999</v>
      </c>
      <c r="F107" s="11">
        <v>2852.7849999999999</v>
      </c>
      <c r="G107" s="11">
        <v>2875.5770000000002</v>
      </c>
      <c r="H107" s="11">
        <v>2764.13</v>
      </c>
      <c r="I107" s="11">
        <v>2882.422</v>
      </c>
      <c r="J107" s="11">
        <v>2139.4169999999999</v>
      </c>
      <c r="K107" s="11">
        <v>2525.4479999999999</v>
      </c>
      <c r="L107" s="11">
        <v>2422.5810000000001</v>
      </c>
      <c r="M107" s="11">
        <v>1656.751</v>
      </c>
      <c r="N107" s="11">
        <v>1392.1690000000001</v>
      </c>
    </row>
    <row r="108" spans="1:14" ht="15" customHeight="1">
      <c r="A108" s="10"/>
      <c r="B108" s="10" t="s">
        <v>762</v>
      </c>
      <c r="C108" s="10"/>
      <c r="D108" s="10"/>
      <c r="E108" s="11">
        <v>77.072000000000003</v>
      </c>
      <c r="F108" s="11">
        <v>9.3550000000000004</v>
      </c>
      <c r="G108" s="11">
        <v>127.831</v>
      </c>
      <c r="H108" s="11">
        <v>309.46699999999998</v>
      </c>
      <c r="I108" s="11">
        <v>74.831999999999994</v>
      </c>
      <c r="J108" s="11">
        <v>-281.32100000000003</v>
      </c>
      <c r="K108" s="11">
        <v>0.26600000000000001</v>
      </c>
      <c r="L108" s="11">
        <v>-82.742999999999995</v>
      </c>
      <c r="M108" s="11">
        <v>-258.113</v>
      </c>
      <c r="N108" s="11">
        <v>-43.601999999999997</v>
      </c>
    </row>
    <row r="109" spans="1:14" ht="15" customHeight="1">
      <c r="A109" s="10"/>
      <c r="B109" s="10" t="s">
        <v>267</v>
      </c>
      <c r="C109" s="10"/>
      <c r="D109" s="10"/>
      <c r="E109" s="14">
        <v>2.8761771302918529E-2</v>
      </c>
      <c r="F109" s="14">
        <v>6.6040994836856562E-3</v>
      </c>
      <c r="G109" s="14">
        <v>1.0137008654562952E-2</v>
      </c>
      <c r="H109" s="14">
        <v>7.2295150761208671E-3</v>
      </c>
      <c r="I109" s="14">
        <v>-5.8114056283009342E-3</v>
      </c>
      <c r="J109" s="14">
        <v>-0.11965056646162379</v>
      </c>
      <c r="K109" s="14">
        <v>1.2555732389757251E-2</v>
      </c>
      <c r="L109" s="14">
        <v>-0.12431464713025553</v>
      </c>
      <c r="M109" s="14">
        <v>-0.22454214083767396</v>
      </c>
      <c r="N109" s="14">
        <v>-0.13918999559277218</v>
      </c>
    </row>
    <row r="110" spans="1:14" ht="15" customHeight="1">
      <c r="A110" s="10"/>
      <c r="B110" s="10" t="s">
        <v>400</v>
      </c>
      <c r="C110" s="10"/>
      <c r="D110" s="10"/>
      <c r="E110" s="14">
        <v>0.19509289506045491</v>
      </c>
      <c r="F110" s="14">
        <v>0.1415966180416488</v>
      </c>
      <c r="G110" s="14">
        <v>0.12537408245011922</v>
      </c>
      <c r="H110" s="14">
        <v>0.1063272936721021</v>
      </c>
      <c r="I110" s="14">
        <v>0.10078891373071577</v>
      </c>
      <c r="J110" s="14">
        <v>0.10949845803936541</v>
      </c>
      <c r="K110" s="14">
        <v>0.21543032516044405</v>
      </c>
      <c r="L110" s="14">
        <v>0.20263301703012196</v>
      </c>
      <c r="M110" s="14">
        <v>0.14486482073714449</v>
      </c>
      <c r="N110" s="14">
        <v>0.18391634112188143</v>
      </c>
    </row>
    <row r="111" spans="1:14" ht="15" customHeight="1">
      <c r="A111" s="10"/>
      <c r="B111" s="10" t="s">
        <v>763</v>
      </c>
      <c r="C111" s="10"/>
      <c r="D111" s="10"/>
      <c r="E111" s="11">
        <v>-112.879</v>
      </c>
      <c r="F111" s="11">
        <v>-78.834999999999994</v>
      </c>
      <c r="G111" s="11">
        <v>-55.66</v>
      </c>
      <c r="H111" s="11">
        <v>-47.448999999999998</v>
      </c>
      <c r="I111" s="11">
        <v>-59.960999999999999</v>
      </c>
      <c r="J111" s="11">
        <v>-47.152000000000001</v>
      </c>
      <c r="K111" s="11">
        <v>-81.772000000000006</v>
      </c>
      <c r="L111" s="11">
        <v>-75.977999999999994</v>
      </c>
      <c r="M111" s="11">
        <v>-8.0709999999999997</v>
      </c>
      <c r="N111" s="11">
        <v>-8.5980000000000008</v>
      </c>
    </row>
    <row r="112" spans="1:14" ht="15" customHeight="1">
      <c r="A112" s="10"/>
      <c r="B112" s="10" t="s">
        <v>764</v>
      </c>
      <c r="C112" s="10"/>
      <c r="D112" s="10"/>
      <c r="E112" s="14">
        <v>0.98142300000000005</v>
      </c>
      <c r="F112" s="14">
        <v>0.81207499999999999</v>
      </c>
      <c r="G112" s="14">
        <v>1.0464599999999999</v>
      </c>
      <c r="H112" s="14">
        <v>1.0438350000000001</v>
      </c>
      <c r="I112" s="14">
        <v>1.070068</v>
      </c>
      <c r="J112" s="14">
        <v>1.4590160000000001</v>
      </c>
      <c r="K112" s="14">
        <v>1.463684</v>
      </c>
      <c r="L112" s="14">
        <v>1.737266</v>
      </c>
      <c r="M112" s="14">
        <v>1655.8822270000001</v>
      </c>
      <c r="N112" s="14">
        <v>2.2456680000000002</v>
      </c>
    </row>
    <row r="113" spans="1:23" ht="15" customHeight="1">
      <c r="A113" s="10"/>
      <c r="B113" s="10" t="s">
        <v>765</v>
      </c>
      <c r="C113" s="10"/>
      <c r="D113" s="10"/>
      <c r="E113" s="14">
        <v>2.4352066064521349E-2</v>
      </c>
      <c r="F113" s="14">
        <v>3.2792516786228198E-3</v>
      </c>
      <c r="G113" s="14">
        <v>4.4454034790235138E-2</v>
      </c>
      <c r="H113" s="14">
        <v>0.11195819299381721</v>
      </c>
      <c r="I113" s="14">
        <v>2.5961500432622284E-2</v>
      </c>
      <c r="J113" s="14">
        <v>-0.13149423417688091</v>
      </c>
      <c r="K113" s="14">
        <v>1.0532784678203631E-4</v>
      </c>
      <c r="L113" s="14">
        <v>-3.4154895130441454E-2</v>
      </c>
      <c r="M113" s="14">
        <v>-0.15579468489833415</v>
      </c>
      <c r="N113" s="14">
        <v>-3.1319473425999285E-2</v>
      </c>
    </row>
    <row r="114" spans="1:23" ht="15" customHeight="1">
      <c r="A114" s="10"/>
      <c r="B114" s="10" t="s">
        <v>766</v>
      </c>
      <c r="C114" s="10"/>
      <c r="D114" s="10"/>
      <c r="E114" s="364">
        <v>0.14742603155284514</v>
      </c>
      <c r="F114" s="364">
        <v>4.6640234597574541E-2</v>
      </c>
      <c r="G114" s="364">
        <v>8.0854100436555679E-2</v>
      </c>
      <c r="H114" s="364">
        <v>6.7993031952977567E-2</v>
      </c>
      <c r="I114" s="364">
        <v>-5.7659175133364771E-2</v>
      </c>
      <c r="J114" s="364">
        <v>-1.0927146245165265</v>
      </c>
      <c r="K114" s="364">
        <v>5.8282102950948218E-2</v>
      </c>
      <c r="L114" s="364">
        <v>-0.61349650196332917</v>
      </c>
      <c r="M114" s="364">
        <v>-1.5500115189808783</v>
      </c>
      <c r="N114" s="364">
        <v>-0.75681146516790976</v>
      </c>
    </row>
    <row r="115" spans="1:23" ht="15" customHeight="1">
      <c r="A115" s="10"/>
      <c r="B115" s="10" t="s">
        <v>767</v>
      </c>
      <c r="C115" s="10"/>
      <c r="D115" s="10"/>
      <c r="E115" s="14">
        <v>3.5665830201592086E-2</v>
      </c>
      <c r="F115" s="14">
        <v>2.7634399367635485E-2</v>
      </c>
      <c r="G115" s="14">
        <v>1.9356115311813939E-2</v>
      </c>
      <c r="H115" s="14">
        <v>1.7165979892407375E-2</v>
      </c>
      <c r="I115" s="14">
        <v>2.0802297512300418E-2</v>
      </c>
      <c r="J115" s="14">
        <v>2.2039649119362893E-2</v>
      </c>
      <c r="K115" s="14">
        <v>3.2379205590453659E-2</v>
      </c>
      <c r="L115" s="14">
        <v>3.1362418841722937E-2</v>
      </c>
      <c r="M115" s="14">
        <v>4.8715829958756625E-3</v>
      </c>
      <c r="N115" s="14">
        <v>6.1759743249562371E-3</v>
      </c>
    </row>
    <row r="116" spans="1:23" ht="15" customHeight="1">
      <c r="A116" s="10"/>
      <c r="B116" s="10"/>
      <c r="C116" s="10"/>
      <c r="D116" s="10"/>
      <c r="E116" s="10"/>
      <c r="F116" s="10"/>
      <c r="G116" s="10"/>
      <c r="H116" s="10"/>
      <c r="I116" s="10"/>
      <c r="J116" s="10"/>
      <c r="K116" s="10"/>
      <c r="L116" s="10"/>
      <c r="M116" s="10"/>
      <c r="N116" s="10"/>
    </row>
    <row r="117" spans="1:23" ht="15" customHeight="1">
      <c r="A117" s="10" t="s">
        <v>37</v>
      </c>
      <c r="B117" s="365" t="s">
        <v>755</v>
      </c>
      <c r="C117" s="366"/>
      <c r="D117" s="366"/>
      <c r="E117" s="363">
        <v>2015</v>
      </c>
      <c r="F117" s="363">
        <v>2016</v>
      </c>
      <c r="G117" s="363">
        <v>2017</v>
      </c>
      <c r="H117" s="363">
        <v>2018</v>
      </c>
      <c r="I117" s="363">
        <v>2019</v>
      </c>
      <c r="J117" s="363">
        <v>2020</v>
      </c>
      <c r="K117" s="363">
        <v>2021</v>
      </c>
      <c r="L117" s="363">
        <v>2022</v>
      </c>
      <c r="M117" s="363">
        <v>2023</v>
      </c>
      <c r="N117" s="363">
        <v>2024</v>
      </c>
    </row>
    <row r="118" spans="1:23" ht="15" customHeight="1">
      <c r="A118" s="10"/>
      <c r="B118" s="10" t="s">
        <v>409</v>
      </c>
      <c r="C118" s="10"/>
      <c r="D118" s="10"/>
      <c r="E118" s="11">
        <v>1188.7429999999999</v>
      </c>
      <c r="F118" s="11">
        <v>1125.829</v>
      </c>
      <c r="G118" s="11">
        <v>1249.816</v>
      </c>
      <c r="H118" s="11">
        <v>1244.145</v>
      </c>
      <c r="I118" s="11">
        <v>954.08299999999997</v>
      </c>
      <c r="J118" s="11">
        <v>598.81600000000003</v>
      </c>
      <c r="K118" s="11">
        <v>875.92</v>
      </c>
      <c r="L118" s="11">
        <v>1065.8979999999999</v>
      </c>
      <c r="M118" s="11">
        <v>1109.8230000000001</v>
      </c>
      <c r="N118" s="11">
        <v>1111.5550000000001</v>
      </c>
      <c r="O118" s="10"/>
      <c r="P118" s="10"/>
      <c r="Q118" s="10"/>
      <c r="R118" s="10"/>
      <c r="S118" s="10"/>
      <c r="T118" s="10"/>
      <c r="U118" s="10"/>
      <c r="V118" s="10"/>
      <c r="W118" s="10"/>
    </row>
    <row r="119" spans="1:23" ht="15" customHeight="1">
      <c r="A119" s="10"/>
      <c r="B119" s="10" t="s">
        <v>762</v>
      </c>
      <c r="C119" s="10"/>
      <c r="D119" s="10"/>
      <c r="E119" s="11">
        <v>152.131</v>
      </c>
      <c r="F119" s="11">
        <v>126.035</v>
      </c>
      <c r="G119" s="11">
        <v>145.458</v>
      </c>
      <c r="H119" s="11">
        <v>273.416</v>
      </c>
      <c r="I119" s="11">
        <v>-110.988</v>
      </c>
      <c r="J119" s="11">
        <v>-325.29300000000001</v>
      </c>
      <c r="K119" s="11">
        <v>-119.17400000000001</v>
      </c>
      <c r="L119" s="11">
        <v>224.32499999999999</v>
      </c>
      <c r="M119" s="11">
        <v>32.670999999999999</v>
      </c>
      <c r="N119" s="11">
        <v>43.44</v>
      </c>
      <c r="O119" s="10"/>
      <c r="P119" s="10"/>
      <c r="Q119" s="10"/>
      <c r="R119" s="10"/>
      <c r="S119" s="10"/>
      <c r="T119" s="10"/>
      <c r="U119" s="10"/>
      <c r="V119" s="10"/>
      <c r="W119" s="10"/>
    </row>
    <row r="120" spans="1:23" ht="15" customHeight="1">
      <c r="A120" s="10"/>
      <c r="B120" s="10" t="s">
        <v>267</v>
      </c>
      <c r="C120" s="10"/>
      <c r="D120" s="10"/>
      <c r="E120" s="14">
        <v>3.8424250119266416E-2</v>
      </c>
      <c r="F120" s="14">
        <v>2.8494858255497853E-2</v>
      </c>
      <c r="G120" s="14">
        <v>0.20526295541973577</v>
      </c>
      <c r="H120" s="14">
        <v>8.4592401020766095E-2</v>
      </c>
      <c r="I120" s="14">
        <v>-2.7744483836332323E-2</v>
      </c>
      <c r="J120" s="14">
        <v>-0.8462123846197529</v>
      </c>
      <c r="K120" s="14">
        <v>-0.52741504846583653</v>
      </c>
      <c r="L120" s="14">
        <v>0.22155185981740722</v>
      </c>
      <c r="M120" s="14">
        <v>7.4334161089456133E-2</v>
      </c>
      <c r="N120" s="14">
        <v>3.2440121249701664E-2</v>
      </c>
      <c r="O120" s="10"/>
      <c r="P120" s="10"/>
      <c r="Q120" s="10"/>
      <c r="R120" s="10"/>
      <c r="S120" s="10"/>
      <c r="T120" s="10"/>
      <c r="U120" s="10"/>
      <c r="V120" s="10"/>
      <c r="W120" s="10"/>
    </row>
    <row r="121" spans="1:23" ht="15" customHeight="1">
      <c r="A121" s="10"/>
      <c r="B121" s="10" t="s">
        <v>400</v>
      </c>
      <c r="C121" s="10"/>
      <c r="D121" s="10"/>
      <c r="E121" s="14">
        <v>0.2016161655556479</v>
      </c>
      <c r="F121" s="14">
        <v>0.14048346692311819</v>
      </c>
      <c r="G121" s="14">
        <v>0.117517688487339</v>
      </c>
      <c r="H121" s="14">
        <v>0.11860513102912094</v>
      </c>
      <c r="I121" s="14">
        <v>9.4118346660343535E-2</v>
      </c>
      <c r="J121" s="14">
        <v>0.1021465235443558</v>
      </c>
      <c r="K121" s="14">
        <v>0.15906974149602746</v>
      </c>
      <c r="L121" s="14">
        <v>0.21532869741043523</v>
      </c>
      <c r="M121" s="14">
        <v>0.12933122814858161</v>
      </c>
      <c r="N121" s="14">
        <v>0.16801951418007632</v>
      </c>
      <c r="O121" s="10"/>
      <c r="P121" s="10"/>
      <c r="Q121" s="10"/>
      <c r="R121" s="10"/>
      <c r="S121" s="10"/>
      <c r="T121" s="10"/>
      <c r="U121" s="10"/>
      <c r="V121" s="10"/>
      <c r="W121" s="10"/>
    </row>
    <row r="122" spans="1:23" ht="15" customHeight="1">
      <c r="A122" s="10"/>
      <c r="B122" s="10" t="s">
        <v>763</v>
      </c>
      <c r="C122" s="10"/>
      <c r="D122" s="10"/>
      <c r="E122" s="11">
        <v>-42.023000000000003</v>
      </c>
      <c r="F122" s="11">
        <v>-16.367000000000001</v>
      </c>
      <c r="G122" s="11">
        <v>-114.41500000000001</v>
      </c>
      <c r="H122" s="11">
        <v>-149.12799999999999</v>
      </c>
      <c r="I122" s="11">
        <v>-126.468</v>
      </c>
      <c r="J122" s="11">
        <v>-79.650000000000006</v>
      </c>
      <c r="K122" s="11">
        <v>-86.688999999999993</v>
      </c>
      <c r="L122" s="11">
        <v>-130.75899999999999</v>
      </c>
      <c r="M122" s="11">
        <v>-165.28700000000001</v>
      </c>
      <c r="N122" s="11">
        <v>-129.86699999999999</v>
      </c>
      <c r="O122" s="10"/>
      <c r="P122" s="10"/>
      <c r="Q122" s="10"/>
      <c r="R122" s="10"/>
      <c r="S122" s="10"/>
      <c r="T122" s="10"/>
      <c r="U122" s="10"/>
      <c r="V122" s="10"/>
      <c r="W122" s="10"/>
    </row>
    <row r="123" spans="1:23" ht="15" customHeight="1">
      <c r="A123" s="10"/>
      <c r="B123" s="10" t="s">
        <v>764</v>
      </c>
      <c r="C123" s="10"/>
      <c r="D123" s="10"/>
      <c r="E123" s="14">
        <v>0.60220700000000005</v>
      </c>
      <c r="F123" s="14">
        <v>0.61507000000000001</v>
      </c>
      <c r="G123" s="14">
        <v>0.47827500000000001</v>
      </c>
      <c r="H123" s="14">
        <v>0.49945000000000001</v>
      </c>
      <c r="I123" s="14">
        <v>0.64926000000000006</v>
      </c>
      <c r="J123" s="14">
        <v>5.9132100000000003</v>
      </c>
      <c r="K123" s="14">
        <v>0</v>
      </c>
      <c r="L123" s="14">
        <v>0.31036400000000003</v>
      </c>
      <c r="M123" s="14">
        <v>0.30482500000000001</v>
      </c>
      <c r="N123" s="14">
        <v>0.33345999999999998</v>
      </c>
      <c r="O123" s="10"/>
      <c r="P123" s="10"/>
      <c r="Q123" s="10"/>
      <c r="R123" s="10"/>
      <c r="S123" s="10"/>
      <c r="T123" s="10"/>
      <c r="U123" s="10"/>
      <c r="V123" s="10"/>
      <c r="W123" s="10"/>
    </row>
    <row r="124" spans="1:23" ht="15" customHeight="1">
      <c r="A124" s="10"/>
      <c r="B124" s="10" t="s">
        <v>765</v>
      </c>
      <c r="C124" s="10"/>
      <c r="D124" s="10"/>
      <c r="E124" s="14">
        <v>0.12797635822040593</v>
      </c>
      <c r="F124" s="14">
        <v>0.11194861741880872</v>
      </c>
      <c r="G124" s="14">
        <v>0.11638353165585974</v>
      </c>
      <c r="H124" s="14">
        <v>0.21976216598547596</v>
      </c>
      <c r="I124" s="14">
        <v>-0.11632950173098149</v>
      </c>
      <c r="J124" s="14">
        <v>-0.54322696788328972</v>
      </c>
      <c r="K124" s="14">
        <v>-0.13605580418303043</v>
      </c>
      <c r="L124" s="14">
        <v>0.21045634760549323</v>
      </c>
      <c r="M124" s="14">
        <v>2.9438027505286877E-2</v>
      </c>
      <c r="N124" s="14">
        <v>3.9080387385239591E-2</v>
      </c>
      <c r="O124" s="10"/>
      <c r="P124" s="10"/>
      <c r="Q124" s="10"/>
      <c r="R124" s="10"/>
      <c r="S124" s="10"/>
      <c r="T124" s="10"/>
      <c r="U124" s="10"/>
      <c r="V124" s="10"/>
      <c r="W124" s="10"/>
    </row>
    <row r="125" spans="1:23" ht="15" customHeight="1">
      <c r="A125" s="10"/>
      <c r="B125" s="10" t="s">
        <v>766</v>
      </c>
      <c r="C125" s="10"/>
      <c r="D125" s="10"/>
      <c r="E125" s="364">
        <v>0.19058119676748328</v>
      </c>
      <c r="F125" s="364">
        <v>0.20283424718648294</v>
      </c>
      <c r="G125" s="364">
        <v>1.7466558274063584</v>
      </c>
      <c r="H125" s="364">
        <v>0.71322716215368664</v>
      </c>
      <c r="I125" s="364">
        <v>-0.29478294956091033</v>
      </c>
      <c r="J125" s="364">
        <v>-8.2842994089005497</v>
      </c>
      <c r="K125" s="364">
        <v>-3.3156214595282285</v>
      </c>
      <c r="L125" s="364">
        <v>1.0289007572228521</v>
      </c>
      <c r="M125" s="364">
        <v>0.57475802366971773</v>
      </c>
      <c r="N125" s="364">
        <v>0.19307353320242132</v>
      </c>
      <c r="O125" s="10"/>
      <c r="P125" s="10"/>
      <c r="Q125" s="10"/>
      <c r="R125" s="10"/>
      <c r="S125" s="10"/>
      <c r="T125" s="10"/>
      <c r="U125" s="10"/>
      <c r="V125" s="10"/>
      <c r="W125" s="10"/>
    </row>
    <row r="126" spans="1:23" ht="15" customHeight="1">
      <c r="A126" s="10"/>
      <c r="B126" s="10" t="s">
        <v>767</v>
      </c>
      <c r="C126" s="10"/>
      <c r="D126" s="10"/>
      <c r="E126" s="14">
        <v>3.5350786503054073E-2</v>
      </c>
      <c r="F126" s="14">
        <v>1.4537731751447158E-2</v>
      </c>
      <c r="G126" s="14">
        <v>9.1545475493992723E-2</v>
      </c>
      <c r="H126" s="14">
        <v>0.11986384223703828</v>
      </c>
      <c r="I126" s="14">
        <v>0.13255450521600323</v>
      </c>
      <c r="J126" s="14">
        <v>0.13301247795650084</v>
      </c>
      <c r="K126" s="14">
        <v>9.8969083934605892E-2</v>
      </c>
      <c r="L126" s="14">
        <v>0.12267496514675888</v>
      </c>
      <c r="M126" s="14">
        <v>0.14893095565689302</v>
      </c>
      <c r="N126" s="14">
        <v>0.11683362496682574</v>
      </c>
      <c r="O126" s="10"/>
      <c r="P126" s="10"/>
      <c r="Q126" s="10"/>
      <c r="R126" s="10"/>
      <c r="S126" s="10"/>
      <c r="T126" s="10"/>
      <c r="U126" s="10"/>
      <c r="V126" s="10"/>
      <c r="W126" s="10"/>
    </row>
    <row r="127" spans="1:23" ht="1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spans="1:23" ht="15" customHeight="1">
      <c r="A128" s="10"/>
      <c r="B128" s="381" t="s">
        <v>768</v>
      </c>
      <c r="C128" s="381"/>
      <c r="D128" s="381"/>
      <c r="E128" s="32"/>
      <c r="F128" s="337"/>
      <c r="G128" s="337"/>
      <c r="H128" s="337"/>
      <c r="I128" s="337"/>
      <c r="J128" s="337"/>
      <c r="K128" s="32"/>
      <c r="L128" s="337"/>
      <c r="M128" s="337"/>
      <c r="N128" s="337"/>
      <c r="O128" s="337"/>
      <c r="P128" s="337"/>
      <c r="Q128" s="32"/>
      <c r="R128" s="337"/>
      <c r="S128" s="337"/>
      <c r="T128" s="337"/>
      <c r="U128" s="337"/>
      <c r="V128" s="32"/>
      <c r="W128" s="337"/>
    </row>
    <row r="129" spans="1:23" ht="15" customHeight="1">
      <c r="A129" s="10"/>
      <c r="B129" s="382"/>
      <c r="C129" s="382"/>
      <c r="D129" s="382"/>
      <c r="E129" s="32"/>
      <c r="F129" s="383"/>
      <c r="G129" s="383"/>
      <c r="H129" s="383"/>
      <c r="I129" s="383"/>
      <c r="J129" s="383"/>
      <c r="K129" s="384"/>
      <c r="L129" s="383"/>
      <c r="M129" s="383"/>
      <c r="N129" s="383"/>
      <c r="O129" s="383"/>
      <c r="P129" s="383"/>
      <c r="Q129" s="384"/>
      <c r="R129" s="383"/>
      <c r="S129" s="383"/>
      <c r="T129" s="383"/>
      <c r="U129" s="383"/>
      <c r="V129" s="384"/>
      <c r="W129" s="527"/>
    </row>
    <row r="130" spans="1:23" ht="15" customHeight="1">
      <c r="A130" s="10"/>
      <c r="B130" s="382"/>
      <c r="C130" s="382"/>
      <c r="D130" s="382"/>
      <c r="E130" s="32"/>
      <c r="F130" s="385"/>
      <c r="G130" s="385"/>
      <c r="H130" s="385"/>
      <c r="I130" s="385"/>
      <c r="J130" s="385"/>
      <c r="K130" s="383"/>
      <c r="L130" s="385"/>
      <c r="M130" s="385"/>
      <c r="N130" s="385"/>
      <c r="O130" s="385"/>
      <c r="P130" s="385"/>
      <c r="Q130" s="383"/>
      <c r="R130" s="385"/>
      <c r="S130" s="385"/>
      <c r="T130" s="385"/>
      <c r="U130" s="385"/>
      <c r="V130" s="383"/>
      <c r="W130" s="385"/>
    </row>
    <row r="131" spans="1:23" ht="3.95" customHeight="1">
      <c r="A131" s="10"/>
      <c r="B131" s="386"/>
      <c r="C131" s="386"/>
      <c r="D131" s="386"/>
      <c r="E131" s="387"/>
      <c r="F131" s="388"/>
      <c r="G131" s="388"/>
      <c r="H131" s="388"/>
      <c r="I131" s="388"/>
      <c r="J131" s="388"/>
      <c r="K131" s="389"/>
      <c r="L131" s="388"/>
      <c r="M131" s="388"/>
      <c r="N131" s="388"/>
      <c r="O131" s="388"/>
      <c r="P131" s="388"/>
      <c r="Q131" s="389"/>
      <c r="R131" s="388"/>
      <c r="S131" s="388"/>
      <c r="T131" s="388"/>
      <c r="U131" s="388"/>
      <c r="V131" s="389"/>
      <c r="W131" s="388"/>
    </row>
    <row r="132" spans="1:23" ht="3.95" customHeight="1">
      <c r="A132" s="10"/>
      <c r="B132" s="377"/>
      <c r="C132" s="377"/>
      <c r="D132" s="377"/>
      <c r="E132" s="378"/>
      <c r="F132" s="377"/>
      <c r="G132" s="377"/>
      <c r="H132" s="377"/>
      <c r="I132" s="377"/>
      <c r="J132" s="377"/>
      <c r="K132" s="377"/>
      <c r="L132" s="377"/>
      <c r="M132" s="377"/>
      <c r="N132" s="377"/>
      <c r="O132" s="377"/>
      <c r="P132" s="377"/>
      <c r="Q132" s="377"/>
      <c r="R132" s="377"/>
      <c r="S132" s="377"/>
      <c r="T132" s="377"/>
      <c r="U132" s="377"/>
      <c r="V132" s="377"/>
      <c r="W132" s="377"/>
    </row>
    <row r="133" spans="1:23" ht="15" customHeight="1">
      <c r="A133" s="10"/>
      <c r="B133" s="381" t="s">
        <v>89</v>
      </c>
      <c r="C133" s="532" t="s">
        <v>769</v>
      </c>
      <c r="D133" s="382"/>
      <c r="E133" s="32"/>
      <c r="F133" s="385"/>
      <c r="G133" s="385">
        <v>2017</v>
      </c>
      <c r="H133" s="385">
        <f t="shared" ref="H133:N133" si="1">+G133+1</f>
        <v>2018</v>
      </c>
      <c r="I133" s="385">
        <f t="shared" si="1"/>
        <v>2019</v>
      </c>
      <c r="J133" s="385">
        <f t="shared" si="1"/>
        <v>2020</v>
      </c>
      <c r="K133" s="385">
        <f t="shared" si="1"/>
        <v>2021</v>
      </c>
      <c r="L133" s="385">
        <f t="shared" si="1"/>
        <v>2022</v>
      </c>
      <c r="M133" s="385">
        <f t="shared" si="1"/>
        <v>2023</v>
      </c>
      <c r="N133" s="385">
        <f t="shared" si="1"/>
        <v>2024</v>
      </c>
      <c r="O133" s="377"/>
      <c r="P133" s="385">
        <v>2017</v>
      </c>
      <c r="Q133" s="385">
        <f t="shared" ref="Q133:W133" si="2">+P133+1</f>
        <v>2018</v>
      </c>
      <c r="R133" s="385">
        <f t="shared" si="2"/>
        <v>2019</v>
      </c>
      <c r="S133" s="385">
        <f t="shared" si="2"/>
        <v>2020</v>
      </c>
      <c r="T133" s="385">
        <f t="shared" si="2"/>
        <v>2021</v>
      </c>
      <c r="U133" s="385">
        <f t="shared" si="2"/>
        <v>2022</v>
      </c>
      <c r="V133" s="385">
        <f t="shared" si="2"/>
        <v>2023</v>
      </c>
      <c r="W133" s="385">
        <f t="shared" si="2"/>
        <v>2024</v>
      </c>
    </row>
    <row r="135" spans="1:23" ht="15" customHeight="1">
      <c r="B135" s="377" t="str">
        <f>+_xll.BDP(C135,"SHORT_NAME")</f>
        <v>AZZAS 2154 SA</v>
      </c>
      <c r="C135" s="531" t="str">
        <f>Inputs!$D$15</f>
        <v>AZZA3 BZ Equity</v>
      </c>
      <c r="D135" s="377"/>
      <c r="E135" s="378"/>
      <c r="F135" s="377"/>
      <c r="G135" s="377" t="str">
        <f>_xll.BDH($C$135,$C$133,"FY"&amp;G$133,"FY"&amp;G$133,"Period=FY","BEST_FPERIOD_OVERRIDE=FY","FILING_STATUS=MR","SCALING_FORMAT=K","FA_ADJUSTED=Adjusted","Sort=A","Dates=H","DateFormat=P","Fill=NA","Direction=H","UseDPDF=Y")</f>
        <v>#N/A</v>
      </c>
      <c r="H135" s="377" t="str">
        <f>_xll.BDH($C$135,$C$133,"FY"&amp;H$133,"FY"&amp;H$133,"Period=FY","BEST_FPERIOD_OVERRIDE=FY","FILING_STATUS=MR","SCALING_FORMAT=K","FA_ADJUSTED=Adjusted","Sort=A","Dates=H","DateFormat=P","Fill=NA","Direction=H","UseDPDF=Y")</f>
        <v>#N/A</v>
      </c>
      <c r="I135" s="377" t="str">
        <f>_xll.BDH($C$135,$C$133,"FY"&amp;I$133,"FY"&amp;I$133,"Period=FY","BEST_FPERIOD_OVERRIDE=FY","FILING_STATUS=MR","SCALING_FORMAT=K","FA_ADJUSTED=Adjusted","Sort=A","Dates=H","DateFormat=P","Fill=NA","Direction=H","UseDPDF=Y")</f>
        <v>#N/A</v>
      </c>
      <c r="J135" s="377" t="str">
        <f>_xll.BDH($C$135,$C$133,"FY"&amp;J$133,"FY"&amp;J$133,"Period=FY","BEST_FPERIOD_OVERRIDE=FY","FILING_STATUS=MR","SCALING_FORMAT=K","FA_ADJUSTED=Adjusted","Sort=A","Dates=H","DateFormat=P","Fill=NA","Direction=H","UseDPDF=Y")</f>
        <v>#N/A</v>
      </c>
      <c r="K135" s="377">
        <f>_xll.BDH($C$135,$C$133,"FY"&amp;K$133,"FY"&amp;K$133,"Period=FY","BEST_FPERIOD_OVERRIDE=FY","FILING_STATUS=MR","SCALING_FORMAT=K","FA_ADJUSTED=Adjusted","Sort=A","Dates=H","DateFormat=P","Fill=NA","Direction=H","UseDPDF=Y")</f>
        <v>0.46700000000000003</v>
      </c>
      <c r="L135" s="377">
        <f>_xll.BDH($C$135,$C$133,"FY"&amp;L$133,"FY"&amp;L$133,"Period=FY","BEST_FPERIOD_OVERRIDE=FY","FILING_STATUS=MR","SCALING_FORMAT=K","FA_ADJUSTED=Adjusted","Sort=A","Dates=H","DateFormat=P","Fill=NA","Direction=H","UseDPDF=Y")</f>
        <v>0.73599999999999999</v>
      </c>
      <c r="M135" s="377">
        <f>_xll.BDH($C$135,$C$133,"FY"&amp;M$133,"FY"&amp;M$133,"Period=FY","BEST_FPERIOD_OVERRIDE=FY","FILING_STATUS=MR","SCALING_FORMAT=K","FA_ADJUSTED=Adjusted","Sort=A","Dates=H","DateFormat=P","Fill=NA","Direction=H","UseDPDF=Y")</f>
        <v>1.5820000000000001</v>
      </c>
      <c r="N135" s="377">
        <f>_xll.BDH($C$135,$C$133,"FY"&amp;N$133,"FY"&amp;N$133,"Period=FY","BEST_FPERIOD_OVERRIDE=FY","FILING_STATUS=MR","SCALING_FORMAT=K","FA_ADJUSTED=Adjusted","Sort=A","Dates=H","DateFormat=P","Fill=NA","Direction=H","UseDPDF=Y")</f>
        <v>12.304</v>
      </c>
      <c r="O135" s="377"/>
      <c r="P135" s="377" t="e">
        <f t="shared" ref="P135:W140" si="3">+G135/G171</f>
        <v>#VALUE!</v>
      </c>
      <c r="Q135" s="377" t="e">
        <f t="shared" si="3"/>
        <v>#VALUE!</v>
      </c>
      <c r="R135" s="377" t="e">
        <f t="shared" si="3"/>
        <v>#VALUE!</v>
      </c>
      <c r="S135" s="377" t="e">
        <f t="shared" si="3"/>
        <v>#VALUE!</v>
      </c>
      <c r="T135" s="377">
        <f t="shared" si="3"/>
        <v>1.5972217234467019E-4</v>
      </c>
      <c r="U135" s="377">
        <f t="shared" si="3"/>
        <v>1.7384214283116102E-4</v>
      </c>
      <c r="V135" s="377">
        <f t="shared" si="3"/>
        <v>3.264030793303909E-4</v>
      </c>
      <c r="W135" s="377">
        <f t="shared" si="3"/>
        <v>1.4683010346486346E-3</v>
      </c>
    </row>
    <row r="136" spans="1:23" ht="15" customHeight="1">
      <c r="B136" s="377" t="str">
        <f>+_xll.BDP(C136,"SHORT_NAME")</f>
        <v>GUARARAPES</v>
      </c>
      <c r="C136" s="531" t="str">
        <f>+Inputs!$E$21</f>
        <v>GUAR3 BZ Equity</v>
      </c>
      <c r="D136" s="377"/>
      <c r="E136" s="378"/>
      <c r="F136" s="377"/>
      <c r="G136" s="377" t="str">
        <f>_xll.BDH($C$136,$C$133,"FY"&amp;G$133,"FY"&amp;G$133,"Period=FY","BEST_FPERIOD_OVERRIDE=FY","FILING_STATUS=MR","SCALING_FORMAT=K","FA_ADJUSTED=Adjusted","Sort=A","Dates=H","DateFormat=P","Fill=NA","Direction=H","UseDPDF=Y")</f>
        <v>#N/A</v>
      </c>
      <c r="H136" s="377" t="str">
        <f>_xll.BDH($C$136,$C$133,"FY"&amp;H$133,"FY"&amp;H$133,"Period=FY","BEST_FPERIOD_OVERRIDE=FY","FILING_STATUS=MR","SCALING_FORMAT=K","FA_ADJUSTED=Adjusted","Sort=A","Dates=H","DateFormat=P","Fill=NA","Direction=H","UseDPDF=Y")</f>
        <v>#N/A</v>
      </c>
      <c r="I136" s="377">
        <f>_xll.BDH($C$136,$C$133,"FY"&amp;I$133,"FY"&amp;I$133,"Period=FY","BEST_FPERIOD_OVERRIDE=FY","FILING_STATUS=MR","SCALING_FORMAT=K","FA_ADJUSTED=Adjusted","Sort=A","Dates=H","DateFormat=P","Fill=NA","Direction=H","UseDPDF=Y")</f>
        <v>30.946999999999999</v>
      </c>
      <c r="J136" s="377">
        <f>_xll.BDH($C$136,$C$133,"FY"&amp;J$133,"FY"&amp;J$133,"Period=FY","BEST_FPERIOD_OVERRIDE=FY","FILING_STATUS=MR","SCALING_FORMAT=K","FA_ADJUSTED=Adjusted","Sort=A","Dates=H","DateFormat=P","Fill=NA","Direction=H","UseDPDF=Y")</f>
        <v>26.122</v>
      </c>
      <c r="K136" s="377">
        <f>_xll.BDH($C$136,$C$133,"FY"&amp;K$133,"FY"&amp;K$133,"Period=FY","BEST_FPERIOD_OVERRIDE=FY","FILING_STATUS=MR","SCALING_FORMAT=K","FA_ADJUSTED=Adjusted","Sort=A","Dates=H","DateFormat=P","Fill=NA","Direction=H","UseDPDF=Y")</f>
        <v>32.853000000000002</v>
      </c>
      <c r="L136" s="377">
        <f>_xll.BDH($C$136,$C$133,"FY"&amp;L$133,"FY"&amp;L$133,"Period=FY","BEST_FPERIOD_OVERRIDE=FY","FILING_STATUS=MR","SCALING_FORMAT=K","FA_ADJUSTED=Adjusted","Sort=A","Dates=H","DateFormat=P","Fill=NA","Direction=H","UseDPDF=Y")</f>
        <v>37.210999999999999</v>
      </c>
      <c r="M136" s="377">
        <f>_xll.BDH($C$136,$C$133,"FY"&amp;M$133,"FY"&amp;M$133,"Period=FY","BEST_FPERIOD_OVERRIDE=FY","FILING_STATUS=MR","SCALING_FORMAT=K","FA_ADJUSTED=Adjusted","Sort=A","Dates=H","DateFormat=P","Fill=NA","Direction=H","UseDPDF=Y")</f>
        <v>28.824999999999999</v>
      </c>
      <c r="N136" s="377">
        <f>_xll.BDH($C$136,$C$133,"FY"&amp;N$133,"FY"&amp;N$133,"Period=FY","BEST_FPERIOD_OVERRIDE=FY","FILING_STATUS=MR","SCALING_FORMAT=K","FA_ADJUSTED=Adjusted","Sort=A","Dates=H","DateFormat=P","Fill=NA","Direction=H","UseDPDF=Y")</f>
        <v>34.054000000000002</v>
      </c>
      <c r="O136" s="377"/>
      <c r="P136" s="377" t="e">
        <f t="shared" si="3"/>
        <v>#VALUE!</v>
      </c>
      <c r="Q136" s="377" t="e">
        <f t="shared" si="3"/>
        <v>#VALUE!</v>
      </c>
      <c r="R136" s="377">
        <f t="shared" si="3"/>
        <v>3.9634766402443424E-3</v>
      </c>
      <c r="S136" s="377">
        <f t="shared" si="3"/>
        <v>4.1826171443430432E-3</v>
      </c>
      <c r="T136" s="377">
        <f t="shared" si="3"/>
        <v>4.5495328257247674E-3</v>
      </c>
      <c r="U136" s="377">
        <f t="shared" si="3"/>
        <v>4.3991585904297166E-3</v>
      </c>
      <c r="V136" s="377">
        <f t="shared" si="3"/>
        <v>3.2772865227290761E-3</v>
      </c>
      <c r="W136" s="377">
        <f t="shared" si="3"/>
        <v>3.5346967321752587E-3</v>
      </c>
    </row>
    <row r="137" spans="1:23" ht="15" customHeight="1">
      <c r="B137" s="377" t="str">
        <f>+_xll.BDP(C137,"SHORT_NAME")</f>
        <v>LOJAS RENNER SA</v>
      </c>
      <c r="C137" s="531" t="str">
        <f>+Inputs!$E$22</f>
        <v>LREN3 BZ Equity</v>
      </c>
      <c r="D137" s="377"/>
      <c r="E137" s="378"/>
      <c r="F137" s="377"/>
      <c r="G137" s="377">
        <f>_xll.BDH($C$137,$C$133,"FY"&amp;G$133,"FY"&amp;G$133,"Period=FY","BEST_FPERIOD_OVERRIDE=FY","FILING_STATUS=MR","SCALING_FORMAT=K","FA_ADJUSTED=Adjusted","Sort=A","Dates=H","DateFormat=P","Fill=NA","Direction=H","UseDPDF=Y")</f>
        <v>5.633</v>
      </c>
      <c r="H137" s="377">
        <f>_xll.BDH($C$137,$C$133,"FY"&amp;H$133,"FY"&amp;H$133,"Period=FY","BEST_FPERIOD_OVERRIDE=FY","FILING_STATUS=MR","SCALING_FORMAT=K","FA_ADJUSTED=Adjusted","Sort=A","Dates=H","DateFormat=P","Fill=NA","Direction=H","UseDPDF=Y")</f>
        <v>3.343</v>
      </c>
      <c r="I137" s="377">
        <f>_xll.BDH($C$137,$C$133,"FY"&amp;I$133,"FY"&amp;I$133,"Period=FY","BEST_FPERIOD_OVERRIDE=FY","FILING_STATUS=MR","SCALING_FORMAT=K","FA_ADJUSTED=Adjusted","Sort=A","Dates=H","DateFormat=P","Fill=NA","Direction=H","UseDPDF=Y")</f>
        <v>3.4350000000000001</v>
      </c>
      <c r="J137" s="377">
        <f>_xll.BDH($C$137,$C$133,"FY"&amp;J$133,"FY"&amp;J$133,"Period=FY","BEST_FPERIOD_OVERRIDE=FY","FILING_STATUS=MR","SCALING_FORMAT=K","FA_ADJUSTED=Adjusted","Sort=A","Dates=H","DateFormat=P","Fill=NA","Direction=H","UseDPDF=Y")</f>
        <v>4.9139999999999997</v>
      </c>
      <c r="K137" s="377">
        <f>_xll.BDH($C$137,$C$133,"FY"&amp;K$133,"FY"&amp;K$133,"Period=FY","BEST_FPERIOD_OVERRIDE=FY","FILING_STATUS=MR","SCALING_FORMAT=K","FA_ADJUSTED=Adjusted","Sort=A","Dates=H","DateFormat=P","Fill=NA","Direction=H","UseDPDF=Y")</f>
        <v>5.0540000000000003</v>
      </c>
      <c r="L137" s="377">
        <f>_xll.BDH($C$137,$C$133,"FY"&amp;L$133,"FY"&amp;L$133,"Period=FY","BEST_FPERIOD_OVERRIDE=FY","FILING_STATUS=MR","SCALING_FORMAT=K","FA_ADJUSTED=Adjusted","Sort=A","Dates=H","DateFormat=P","Fill=NA","Direction=H","UseDPDF=Y")</f>
        <v>5.3339999999999996</v>
      </c>
      <c r="M137" s="377">
        <f>_xll.BDH($C$137,$C$133,"FY"&amp;M$133,"FY"&amp;M$133,"Period=FY","BEST_FPERIOD_OVERRIDE=FY","FILING_STATUS=MR","SCALING_FORMAT=K","FA_ADJUSTED=Adjusted","Sort=A","Dates=H","DateFormat=P","Fill=NA","Direction=H","UseDPDF=Y")</f>
        <v>4.58</v>
      </c>
      <c r="N137" s="377">
        <f>_xll.BDH($C$137,$C$133,"FY"&amp;N$133,"FY"&amp;N$133,"Period=FY","BEST_FPERIOD_OVERRIDE=FY","FILING_STATUS=MR","SCALING_FORMAT=K","FA_ADJUSTED=Adjusted","Sort=A","Dates=H","DateFormat=P","Fill=NA","Direction=H","UseDPDF=Y")</f>
        <v>4.3970000000000002</v>
      </c>
      <c r="O137" s="377"/>
      <c r="P137" s="377">
        <f t="shared" si="3"/>
        <v>7.5668581553281326E-4</v>
      </c>
      <c r="Q137" s="377">
        <f t="shared" si="3"/>
        <v>3.9672268846730824E-4</v>
      </c>
      <c r="R137" s="377">
        <f t="shared" si="3"/>
        <v>3.5824399743148962E-4</v>
      </c>
      <c r="S137" s="377">
        <f t="shared" si="3"/>
        <v>6.51967977413303E-4</v>
      </c>
      <c r="T137" s="377">
        <f t="shared" si="3"/>
        <v>4.7807486610782168E-4</v>
      </c>
      <c r="U137" s="377">
        <f t="shared" si="3"/>
        <v>4.0192486898447353E-4</v>
      </c>
      <c r="V137" s="377">
        <f t="shared" si="3"/>
        <v>3.355840176719423E-4</v>
      </c>
      <c r="W137" s="377">
        <f t="shared" si="3"/>
        <v>3.0457803577437701E-4</v>
      </c>
    </row>
    <row r="138" spans="1:23" ht="15" customHeight="1">
      <c r="B138" s="377" t="str">
        <f>+_xll.BDP(C138,"SHORT_NAME")</f>
        <v>C&amp;A MODAS LTDA</v>
      </c>
      <c r="C138" s="531" t="str">
        <f>+Inputs!$E$23</f>
        <v>CEAB3 BZ EQUITY</v>
      </c>
      <c r="D138" s="377"/>
      <c r="E138" s="378"/>
      <c r="F138" s="377"/>
      <c r="G138" s="377" t="str">
        <f>_xll.BDH($C$138,$C$133,"FY"&amp;G$133,"FY"&amp;G$133,"Period=FY","BEST_FPERIOD_OVERRIDE=FY","FILING_STATUS=MR","SCALING_FORMAT=K","FA_ADJUSTED=Adjusted","Sort=A","Dates=H","DateFormat=P","Fill=NA","Direction=H","UseDPDF=Y")</f>
        <v>#N/A</v>
      </c>
      <c r="H138" s="377" t="str">
        <f>_xll.BDH($C$138,$C$133,"FY"&amp;H$133,"FY"&amp;H$133,"Period=FY","BEST_FPERIOD_OVERRIDE=FY","FILING_STATUS=MR","SCALING_FORMAT=K","FA_ADJUSTED=Adjusted","Sort=A","Dates=H","DateFormat=P","Fill=NA","Direction=H","UseDPDF=Y")</f>
        <v>#N/A</v>
      </c>
      <c r="I138" s="377">
        <f>_xll.BDH($C$138,$C$133,"FY"&amp;I$133,"FY"&amp;I$133,"Period=FY","BEST_FPERIOD_OVERRIDE=FY","FILING_STATUS=MR","SCALING_FORMAT=K","FA_ADJUSTED=Adjusted","Sort=A","Dates=H","DateFormat=P","Fill=NA","Direction=H","UseDPDF=Y")</f>
        <v>0.46400000000000002</v>
      </c>
      <c r="J138" s="377">
        <f>_xll.BDH($C$138,$C$133,"FY"&amp;J$133,"FY"&amp;J$133,"Period=FY","BEST_FPERIOD_OVERRIDE=FY","FILING_STATUS=MR","SCALING_FORMAT=K","FA_ADJUSTED=Adjusted","Sort=A","Dates=H","DateFormat=P","Fill=NA","Direction=H","UseDPDF=Y")</f>
        <v>234.357</v>
      </c>
      <c r="K138" s="377">
        <f>_xll.BDH($C$138,$C$133,"FY"&amp;K$133,"FY"&amp;K$133,"Period=FY","BEST_FPERIOD_OVERRIDE=FY","FILING_STATUS=MR","SCALING_FORMAT=K","FA_ADJUSTED=Adjusted","Sort=A","Dates=H","DateFormat=P","Fill=NA","Direction=H","UseDPDF=Y")</f>
        <v>1.1659999999999999</v>
      </c>
      <c r="L138" s="377">
        <f>_xll.BDH($C$138,$C$133,"FY"&amp;L$133,"FY"&amp;L$133,"Period=FY","BEST_FPERIOD_OVERRIDE=FY","FILING_STATUS=MR","SCALING_FORMAT=K","FA_ADJUSTED=Adjusted","Sort=A","Dates=H","DateFormat=P","Fill=NA","Direction=H","UseDPDF=Y")</f>
        <v>2.4449999999999998</v>
      </c>
      <c r="M138" s="377">
        <f>_xll.BDH($C$138,$C$133,"FY"&amp;M$133,"FY"&amp;M$133,"Period=FY","BEST_FPERIOD_OVERRIDE=FY","FILING_STATUS=MR","SCALING_FORMAT=K","FA_ADJUSTED=Adjusted","Sort=A","Dates=H","DateFormat=P","Fill=NA","Direction=H","UseDPDF=Y")</f>
        <v>8.1959999999999997</v>
      </c>
      <c r="N138" s="377">
        <f>_xll.BDH($C$138,$C$133,"FY"&amp;N$133,"FY"&amp;N$133,"Period=FY","BEST_FPERIOD_OVERRIDE=FY","FILING_STATUS=MR","SCALING_FORMAT=K","FA_ADJUSTED=Adjusted","Sort=A","Dates=H","DateFormat=P","Fill=NA","Direction=H","UseDPDF=Y")</f>
        <v>6.3540000000000001</v>
      </c>
      <c r="O138" s="377"/>
      <c r="P138" s="377" t="e">
        <f t="shared" si="3"/>
        <v>#VALUE!</v>
      </c>
      <c r="Q138" s="377" t="e">
        <f t="shared" si="3"/>
        <v>#VALUE!</v>
      </c>
      <c r="R138" s="377">
        <f t="shared" si="3"/>
        <v>8.7792724405015088E-5</v>
      </c>
      <c r="S138" s="377">
        <f t="shared" si="3"/>
        <v>5.7363310019909505E-2</v>
      </c>
      <c r="T138" s="377">
        <f t="shared" si="3"/>
        <v>2.2626695425468228E-4</v>
      </c>
      <c r="U138" s="377">
        <f t="shared" si="3"/>
        <v>3.9540393463301823E-4</v>
      </c>
      <c r="V138" s="377">
        <f t="shared" si="3"/>
        <v>1.2197668304680372E-3</v>
      </c>
      <c r="W138" s="377">
        <f t="shared" si="3"/>
        <v>8.3205232108419798E-4</v>
      </c>
    </row>
    <row r="139" spans="1:23" ht="15" customHeight="1">
      <c r="B139" s="377" t="str">
        <f>+_xll.BDP(C139,"SHORT_NAME")</f>
        <v>MARISA LOJAS SA</v>
      </c>
      <c r="C139" s="531" t="str">
        <f>+Inputs!$E$24</f>
        <v>AMAR3 BZ Equity</v>
      </c>
      <c r="D139" s="377"/>
      <c r="E139" s="378"/>
      <c r="F139" s="377"/>
      <c r="G139" s="377" t="str">
        <f>_xll.BDH($C$139,$C$133,"FY"&amp;G$133,"FY"&amp;G$133,"Period=FY","BEST_FPERIOD_OVERRIDE=FY","FILING_STATUS=MR","SCALING_FORMAT=K","FA_ADJUSTED=Adjusted","Sort=A","Dates=H","DateFormat=P","Fill=NA","Direction=H","UseDPDF=Y")</f>
        <v>#N/A</v>
      </c>
      <c r="H139" s="377" t="str">
        <f>_xll.BDH($C$139,$C$133,"FY"&amp;H$133,"FY"&amp;H$133,"Period=FY","BEST_FPERIOD_OVERRIDE=FY","FILING_STATUS=MR","SCALING_FORMAT=K","FA_ADJUSTED=Adjusted","Sort=A","Dates=H","DateFormat=P","Fill=NA","Direction=H","UseDPDF=Y")</f>
        <v>#N/A</v>
      </c>
      <c r="I139" s="377" t="str">
        <f>_xll.BDH($C$139,$C$133,"FY"&amp;I$133,"FY"&amp;I$133,"Period=FY","BEST_FPERIOD_OVERRIDE=FY","FILING_STATUS=MR","SCALING_FORMAT=K","FA_ADJUSTED=Adjusted","Sort=A","Dates=H","DateFormat=P","Fill=NA","Direction=H","UseDPDF=Y")</f>
        <v>#N/A</v>
      </c>
      <c r="J139" s="377" t="str">
        <f>_xll.BDH($C$139,$C$133,"FY"&amp;J$133,"FY"&amp;J$133,"Period=FY","BEST_FPERIOD_OVERRIDE=FY","FILING_STATUS=MR","SCALING_FORMAT=K","FA_ADJUSTED=Adjusted","Sort=A","Dates=H","DateFormat=P","Fill=NA","Direction=H","UseDPDF=Y")</f>
        <v>#N/A</v>
      </c>
      <c r="K139" s="377" t="str">
        <f>_xll.BDH($C$139,$C$133,"FY"&amp;K$133,"FY"&amp;K$133,"Period=FY","BEST_FPERIOD_OVERRIDE=FY","FILING_STATUS=MR","SCALING_FORMAT=K","FA_ADJUSTED=Adjusted","Sort=A","Dates=H","DateFormat=P","Fill=NA","Direction=H","UseDPDF=Y")</f>
        <v>#N/A</v>
      </c>
      <c r="L139" s="377" t="str">
        <f>_xll.BDH($C$139,$C$133,"FY"&amp;L$133,"FY"&amp;L$133,"Period=FY","BEST_FPERIOD_OVERRIDE=FY","FILING_STATUS=MR","SCALING_FORMAT=K","FA_ADJUSTED=Adjusted","Sort=A","Dates=H","DateFormat=P","Fill=NA","Direction=H","UseDPDF=Y")</f>
        <v>#N/A</v>
      </c>
      <c r="M139" s="377" t="str">
        <f>_xll.BDH($C$139,$C$133,"FY"&amp;M$133,"FY"&amp;M$133,"Period=FY","BEST_FPERIOD_OVERRIDE=FY","FILING_STATUS=MR","SCALING_FORMAT=K","FA_ADJUSTED=Adjusted","Sort=A","Dates=H","DateFormat=P","Fill=NA","Direction=H","UseDPDF=Y")</f>
        <v>#N/A</v>
      </c>
      <c r="N139" s="377" t="str">
        <f>_xll.BDH($C$139,$C$133,"FY"&amp;N$133,"FY"&amp;N$133,"Period=FY","BEST_FPERIOD_OVERRIDE=FY","FILING_STATUS=MR","SCALING_FORMAT=K","FA_ADJUSTED=Adjusted","Sort=A","Dates=H","DateFormat=P","Fill=NA","Direction=H","UseDPDF=Y")</f>
        <v>#N/A</v>
      </c>
      <c r="O139" s="377"/>
      <c r="P139" s="377" t="e">
        <f t="shared" si="3"/>
        <v>#VALUE!</v>
      </c>
      <c r="Q139" s="377" t="e">
        <f t="shared" si="3"/>
        <v>#VALUE!</v>
      </c>
      <c r="R139" s="377" t="e">
        <f t="shared" si="3"/>
        <v>#VALUE!</v>
      </c>
      <c r="S139" s="377" t="e">
        <f t="shared" si="3"/>
        <v>#VALUE!</v>
      </c>
      <c r="T139" s="377" t="e">
        <f t="shared" si="3"/>
        <v>#VALUE!</v>
      </c>
      <c r="U139" s="377" t="e">
        <f t="shared" si="3"/>
        <v>#VALUE!</v>
      </c>
      <c r="V139" s="377" t="e">
        <f t="shared" si="3"/>
        <v>#VALUE!</v>
      </c>
      <c r="W139" s="377" t="e">
        <f t="shared" si="3"/>
        <v>#VALUE!</v>
      </c>
    </row>
    <row r="140" spans="1:23" ht="15" customHeight="1">
      <c r="B140" s="377" t="str">
        <f>+_xll.BDP(C140,"SHORT_NAME")</f>
        <v>VESTE SA ESTILO</v>
      </c>
      <c r="C140" s="531" t="str">
        <f>+Inputs!$E$25</f>
        <v>VSTE3 BZ Equity</v>
      </c>
      <c r="D140" s="377"/>
      <c r="E140" s="378"/>
      <c r="F140" s="377"/>
      <c r="G140" s="377" t="str">
        <f>_xll.BDH($C$140,$C$133,"FY"&amp;G$133,"FY"&amp;G$133,"Period=FY","BEST_FPERIOD_OVERRIDE=FY","FILING_STATUS=MR","SCALING_FORMAT=K","FA_ADJUSTED=Adjusted","Sort=A","Dates=H","DateFormat=P","Fill=NA","Direction=H","UseDPDF=Y")</f>
        <v>#N/A</v>
      </c>
      <c r="H140" s="377" t="str">
        <f>_xll.BDH($C$140,$C$133,"FY"&amp;H$133,"FY"&amp;H$133,"Period=FY","BEST_FPERIOD_OVERRIDE=FY","FILING_STATUS=MR","SCALING_FORMAT=K","FA_ADJUSTED=Adjusted","Sort=A","Dates=H","DateFormat=P","Fill=NA","Direction=H","UseDPDF=Y")</f>
        <v>#N/A</v>
      </c>
      <c r="I140" s="377" t="str">
        <f>_xll.BDH($C$140,$C$133,"FY"&amp;I$133,"FY"&amp;I$133,"Period=FY","BEST_FPERIOD_OVERRIDE=FY","FILING_STATUS=MR","SCALING_FORMAT=K","FA_ADJUSTED=Adjusted","Sort=A","Dates=H","DateFormat=P","Fill=NA","Direction=H","UseDPDF=Y")</f>
        <v>#N/A</v>
      </c>
      <c r="J140" s="377" t="str">
        <f>_xll.BDH($C$140,$C$133,"FY"&amp;J$133,"FY"&amp;J$133,"Period=FY","BEST_FPERIOD_OVERRIDE=FY","FILING_STATUS=MR","SCALING_FORMAT=K","FA_ADJUSTED=Adjusted","Sort=A","Dates=H","DateFormat=P","Fill=NA","Direction=H","UseDPDF=Y")</f>
        <v>#N/A</v>
      </c>
      <c r="K140" s="377" t="str">
        <f>_xll.BDH($C$140,$C$133,"FY"&amp;K$133,"FY"&amp;K$133,"Period=FY","BEST_FPERIOD_OVERRIDE=FY","FILING_STATUS=MR","SCALING_FORMAT=K","FA_ADJUSTED=Adjusted","Sort=A","Dates=H","DateFormat=P","Fill=NA","Direction=H","UseDPDF=Y")</f>
        <v>#N/A</v>
      </c>
      <c r="L140" s="377" t="str">
        <f>_xll.BDH($C$140,$C$133,"FY"&amp;L$133,"FY"&amp;L$133,"Period=FY","BEST_FPERIOD_OVERRIDE=FY","FILING_STATUS=MR","SCALING_FORMAT=K","FA_ADJUSTED=Adjusted","Sort=A","Dates=H","DateFormat=P","Fill=NA","Direction=H","UseDPDF=Y")</f>
        <v>#N/A</v>
      </c>
      <c r="M140" s="377" t="str">
        <f>_xll.BDH($C$140,$C$133,"FY"&amp;M$133,"FY"&amp;M$133,"Period=FY","BEST_FPERIOD_OVERRIDE=FY","FILING_STATUS=MR","SCALING_FORMAT=K","FA_ADJUSTED=Adjusted","Sort=A","Dates=H","DateFormat=P","Fill=NA","Direction=H","UseDPDF=Y")</f>
        <v>#N/A</v>
      </c>
      <c r="N140" s="377" t="str">
        <f>_xll.BDH($C$140,$C$133,"FY"&amp;N$133,"FY"&amp;N$133,"Period=FY","BEST_FPERIOD_OVERRIDE=FY","FILING_STATUS=MR","SCALING_FORMAT=K","FA_ADJUSTED=Adjusted","Sort=A","Dates=H","DateFormat=P","Fill=NA","Direction=H","UseDPDF=Y")</f>
        <v>#N/A</v>
      </c>
      <c r="O140" s="377"/>
      <c r="P140" s="377" t="e">
        <f t="shared" si="3"/>
        <v>#VALUE!</v>
      </c>
      <c r="Q140" s="377" t="e">
        <f t="shared" si="3"/>
        <v>#VALUE!</v>
      </c>
      <c r="R140" s="377" t="e">
        <f t="shared" si="3"/>
        <v>#VALUE!</v>
      </c>
      <c r="S140" s="377" t="e">
        <f t="shared" si="3"/>
        <v>#VALUE!</v>
      </c>
      <c r="T140" s="377" t="e">
        <f t="shared" si="3"/>
        <v>#VALUE!</v>
      </c>
      <c r="U140" s="377" t="e">
        <f t="shared" si="3"/>
        <v>#VALUE!</v>
      </c>
      <c r="V140" s="377" t="e">
        <f t="shared" si="3"/>
        <v>#VALUE!</v>
      </c>
      <c r="W140" s="377" t="e">
        <f t="shared" si="3"/>
        <v>#VALUE!</v>
      </c>
    </row>
    <row r="141" spans="1:23" ht="15" customHeight="1">
      <c r="B141" s="377"/>
      <c r="C141" s="377"/>
      <c r="D141" s="377"/>
      <c r="E141" s="378"/>
      <c r="F141" s="377"/>
      <c r="G141" s="377"/>
      <c r="H141" s="377"/>
      <c r="I141" s="377"/>
      <c r="J141" s="377"/>
      <c r="K141" s="377"/>
      <c r="L141" s="377"/>
      <c r="M141" s="377"/>
      <c r="N141" s="377"/>
      <c r="O141" s="377"/>
      <c r="P141" s="377"/>
      <c r="Q141" s="377"/>
      <c r="R141" s="377"/>
      <c r="S141" s="377"/>
      <c r="T141" s="377"/>
      <c r="U141" s="377"/>
      <c r="V141" s="377"/>
      <c r="W141" s="377"/>
    </row>
    <row r="142" spans="1:23" ht="15" customHeight="1">
      <c r="B142" s="381" t="s">
        <v>103</v>
      </c>
      <c r="C142" s="532" t="s">
        <v>770</v>
      </c>
      <c r="D142" s="382"/>
      <c r="E142" s="32"/>
      <c r="F142" s="385"/>
      <c r="G142" s="385">
        <v>2017</v>
      </c>
      <c r="H142" s="385">
        <f t="shared" ref="H142:N142" si="4">+G142+1</f>
        <v>2018</v>
      </c>
      <c r="I142" s="385">
        <f t="shared" si="4"/>
        <v>2019</v>
      </c>
      <c r="J142" s="385">
        <f t="shared" si="4"/>
        <v>2020</v>
      </c>
      <c r="K142" s="385">
        <f t="shared" si="4"/>
        <v>2021</v>
      </c>
      <c r="L142" s="385">
        <f t="shared" si="4"/>
        <v>2022</v>
      </c>
      <c r="M142" s="385">
        <f t="shared" si="4"/>
        <v>2023</v>
      </c>
      <c r="N142" s="385">
        <f t="shared" si="4"/>
        <v>2024</v>
      </c>
      <c r="O142" s="377"/>
      <c r="P142" s="385">
        <v>2017</v>
      </c>
      <c r="Q142" s="385">
        <f t="shared" ref="Q142:W142" si="5">+P142+1</f>
        <v>2018</v>
      </c>
      <c r="R142" s="385">
        <f t="shared" si="5"/>
        <v>2019</v>
      </c>
      <c r="S142" s="385">
        <f t="shared" si="5"/>
        <v>2020</v>
      </c>
      <c r="T142" s="385">
        <f t="shared" si="5"/>
        <v>2021</v>
      </c>
      <c r="U142" s="385">
        <f t="shared" si="5"/>
        <v>2022</v>
      </c>
      <c r="V142" s="385">
        <f t="shared" si="5"/>
        <v>2023</v>
      </c>
      <c r="W142" s="385">
        <f t="shared" si="5"/>
        <v>2024</v>
      </c>
    </row>
    <row r="143" spans="1:23" ht="3.95" customHeight="1">
      <c r="B143" s="386"/>
      <c r="C143" s="386"/>
      <c r="D143" s="386"/>
      <c r="E143" s="387"/>
      <c r="F143" s="388"/>
      <c r="G143" s="388"/>
      <c r="H143" s="388"/>
      <c r="I143" s="388"/>
      <c r="J143" s="388"/>
      <c r="K143" s="388"/>
      <c r="L143" s="388"/>
      <c r="M143" s="388"/>
      <c r="N143" s="388"/>
      <c r="O143" s="377"/>
      <c r="P143" s="388"/>
      <c r="Q143" s="388"/>
      <c r="R143" s="388"/>
      <c r="S143" s="388"/>
      <c r="T143" s="388"/>
      <c r="U143" s="388"/>
      <c r="V143" s="388"/>
      <c r="W143" s="388"/>
    </row>
    <row r="144" spans="1:23" ht="15" customHeight="1">
      <c r="B144" s="377" t="str">
        <f>+_xll.BDP(C144,"SHORT_NAME")</f>
        <v>AZZAS 2154 SA</v>
      </c>
      <c r="C144" s="531" t="str">
        <f>Inputs!$D$15</f>
        <v>AZZA3 BZ Equity</v>
      </c>
      <c r="D144" s="377"/>
      <c r="E144" s="378"/>
      <c r="F144" s="377"/>
      <c r="G144" s="377" t="str">
        <f>_xll.BDH($C$135,$C$142,"FY"&amp;G$133,"FY"&amp;G$133,"Period=FY","BEST_FPERIOD_OVERRIDE=FY","FILING_STATUS=MR","SCALING_FORMAT=K","FA_ADJUSTED=Adjusted","Sort=A","Dates=H","DateFormat=P","Fill=NA","Direction=H","UseDPDF=Y")</f>
        <v>#N/A</v>
      </c>
      <c r="H144" s="377" t="str">
        <f>_xll.BDH($C$135,$C$142,"FY"&amp;H$133,"FY"&amp;H$133,"Period=FY","BEST_FPERIOD_OVERRIDE=FY","FILING_STATUS=MR","SCALING_FORMAT=K","FA_ADJUSTED=Adjusted","Sort=A","Dates=H","DateFormat=P","Fill=NA","Direction=H","UseDPDF=Y")</f>
        <v>#N/A</v>
      </c>
      <c r="I144" s="377" t="str">
        <f>_xll.BDH($C$135,$C$142,"FY"&amp;I$133,"FY"&amp;I$133,"Period=FY","BEST_FPERIOD_OVERRIDE=FY","FILING_STATUS=MR","SCALING_FORMAT=K","FA_ADJUSTED=Adjusted","Sort=A","Dates=H","DateFormat=P","Fill=NA","Direction=H","UseDPDF=Y")</f>
        <v>#N/A</v>
      </c>
      <c r="J144" s="377" t="str">
        <f>_xll.BDH($C$135,$C$142,"FY"&amp;J$133,"FY"&amp;J$133,"Period=FY","BEST_FPERIOD_OVERRIDE=FY","FILING_STATUS=MR","SCALING_FORMAT=K","FA_ADJUSTED=Adjusted","Sort=A","Dates=H","DateFormat=P","Fill=NA","Direction=H","UseDPDF=Y")</f>
        <v>#N/A</v>
      </c>
      <c r="K144" s="377">
        <f>_xll.BDH($C$135,$C$142,"FY"&amp;K$133,"FY"&amp;K$133,"Period=FY","BEST_FPERIOD_OVERRIDE=FY","FILING_STATUS=MR","SCALING_FORMAT=K","FA_ADJUSTED=Adjusted","Sort=A","Dates=H","DateFormat=P","Fill=NA","Direction=H","UseDPDF=Y")</f>
        <v>13.079000000000001</v>
      </c>
      <c r="L144" s="377">
        <f>_xll.BDH($C$135,$C$142,"FY"&amp;L$133,"FY"&amp;L$133,"Period=FY","BEST_FPERIOD_OVERRIDE=FY","FILING_STATUS=MR","SCALING_FORMAT=K","FA_ADJUSTED=Adjusted","Sort=A","Dates=H","DateFormat=P","Fill=NA","Direction=H","UseDPDF=Y")</f>
        <v>16.129000000000001</v>
      </c>
      <c r="M144" s="377">
        <f>_xll.BDH($C$135,$C$142,"FY"&amp;M$133,"FY"&amp;M$133,"Period=FY","BEST_FPERIOD_OVERRIDE=FY","FILING_STATUS=MR","SCALING_FORMAT=K","FA_ADJUSTED=Adjusted","Sort=A","Dates=H","DateFormat=P","Fill=NA","Direction=H","UseDPDF=Y")</f>
        <v>18.789000000000001</v>
      </c>
      <c r="N144" s="377">
        <f>_xll.BDH($C$135,$C$142,"FY"&amp;N$133,"FY"&amp;N$133,"Period=FY","BEST_FPERIOD_OVERRIDE=FY","FILING_STATUS=MR","SCALING_FORMAT=K","FA_ADJUSTED=Adjusted","Sort=A","Dates=H","DateFormat=P","Fill=NA","Direction=H","UseDPDF=Y")</f>
        <v>184.917</v>
      </c>
      <c r="O144" s="377"/>
      <c r="P144" s="377" t="e">
        <f t="shared" ref="P144:W149" si="6">+G144/G171</f>
        <v>#VALUE!</v>
      </c>
      <c r="Q144" s="377" t="e">
        <f t="shared" si="6"/>
        <v>#VALUE!</v>
      </c>
      <c r="R144" s="377" t="e">
        <f t="shared" si="6"/>
        <v>#VALUE!</v>
      </c>
      <c r="S144" s="377" t="e">
        <f t="shared" si="6"/>
        <v>#VALUE!</v>
      </c>
      <c r="T144" s="377">
        <f t="shared" si="6"/>
        <v>4.4732468781497675E-3</v>
      </c>
      <c r="U144" s="377">
        <f t="shared" si="6"/>
        <v>3.8096466327768976E-3</v>
      </c>
      <c r="V144" s="377">
        <f t="shared" si="6"/>
        <v>3.8766039554606288E-3</v>
      </c>
      <c r="W144" s="377">
        <f t="shared" si="6"/>
        <v>2.2067118207422104E-2</v>
      </c>
    </row>
    <row r="145" spans="2:23" ht="15" customHeight="1">
      <c r="B145" s="377" t="str">
        <f>+_xll.BDP(C145,"SHORT_NAME")</f>
        <v>GUARARAPES</v>
      </c>
      <c r="C145" s="531" t="str">
        <f>+Inputs!$E$21</f>
        <v>GUAR3 BZ Equity</v>
      </c>
      <c r="D145" s="377"/>
      <c r="E145" s="378"/>
      <c r="F145" s="377"/>
      <c r="G145" s="377" t="str">
        <f>_xll.BDH($C$136,$C$142,"FY"&amp;G$133,"FY"&amp;G$133,"Period=FY","BEST_FPERIOD_OVERRIDE=FY","FILING_STATUS=MR","SCALING_FORMAT=K","FA_ADJUSTED=Adjusted","Sort=A","Dates=H","DateFormat=P","Fill=NA","Direction=H","UseDPDF=Y")</f>
        <v>#N/A</v>
      </c>
      <c r="H145" s="377" t="str">
        <f>_xll.BDH($C$136,$C$142,"FY"&amp;H$133,"FY"&amp;H$133,"Period=FY","BEST_FPERIOD_OVERRIDE=FY","FILING_STATUS=MR","SCALING_FORMAT=K","FA_ADJUSTED=Adjusted","Sort=A","Dates=H","DateFormat=P","Fill=NA","Direction=H","UseDPDF=Y")</f>
        <v>#N/A</v>
      </c>
      <c r="I145" s="377">
        <f>_xll.BDH($C$136,$C$142,"FY"&amp;I$133,"FY"&amp;I$133,"Period=FY","BEST_FPERIOD_OVERRIDE=FY","FILING_STATUS=MR","SCALING_FORMAT=K","FA_ADJUSTED=Adjusted","Sort=A","Dates=H","DateFormat=P","Fill=NA","Direction=H","UseDPDF=Y")</f>
        <v>266.90100000000001</v>
      </c>
      <c r="J145" s="377">
        <f>_xll.BDH($C$136,$C$142,"FY"&amp;J$133,"FY"&amp;J$133,"Period=FY","BEST_FPERIOD_OVERRIDE=FY","FILING_STATUS=MR","SCALING_FORMAT=K","FA_ADJUSTED=Adjusted","Sort=A","Dates=H","DateFormat=P","Fill=NA","Direction=H","UseDPDF=Y")</f>
        <v>286.654</v>
      </c>
      <c r="K145" s="377">
        <f>_xll.BDH($C$136,$C$142,"FY"&amp;K$133,"FY"&amp;K$133,"Period=FY","BEST_FPERIOD_OVERRIDE=FY","FILING_STATUS=MR","SCALING_FORMAT=K","FA_ADJUSTED=Adjusted","Sort=A","Dates=H","DateFormat=P","Fill=NA","Direction=H","UseDPDF=Y")</f>
        <v>341.06900000000002</v>
      </c>
      <c r="L145" s="377">
        <f>_xll.BDH($C$136,$C$142,"FY"&amp;L$133,"FY"&amp;L$133,"Period=FY","BEST_FPERIOD_OVERRIDE=FY","FILING_STATUS=MR","SCALING_FORMAT=K","FA_ADJUSTED=Adjusted","Sort=A","Dates=H","DateFormat=P","Fill=NA","Direction=H","UseDPDF=Y")</f>
        <v>351.39100000000002</v>
      </c>
      <c r="M145" s="377">
        <f>_xll.BDH($C$136,$C$142,"FY"&amp;M$133,"FY"&amp;M$133,"Period=FY","BEST_FPERIOD_OVERRIDE=FY","FILING_STATUS=MR","SCALING_FORMAT=K","FA_ADJUSTED=Adjusted","Sort=A","Dates=H","DateFormat=P","Fill=NA","Direction=H","UseDPDF=Y")</f>
        <v>451.202</v>
      </c>
      <c r="N145" s="377">
        <f>_xll.BDH($C$136,$C$142,"FY"&amp;N$133,"FY"&amp;N$133,"Period=FY","BEST_FPERIOD_OVERRIDE=FY","FILING_STATUS=MR","SCALING_FORMAT=K","FA_ADJUSTED=Adjusted","Sort=A","Dates=H","DateFormat=P","Fill=NA","Direction=H","UseDPDF=Y")</f>
        <v>355.142</v>
      </c>
      <c r="O145" s="377"/>
      <c r="P145" s="377" t="e">
        <f t="shared" si="6"/>
        <v>#VALUE!</v>
      </c>
      <c r="Q145" s="377" t="e">
        <f t="shared" si="6"/>
        <v>#VALUE!</v>
      </c>
      <c r="R145" s="377">
        <f t="shared" si="6"/>
        <v>3.418282478940949E-2</v>
      </c>
      <c r="S145" s="377">
        <f t="shared" si="6"/>
        <v>4.5898627015332309E-2</v>
      </c>
      <c r="T145" s="377">
        <f t="shared" si="6"/>
        <v>4.7231747826290471E-2</v>
      </c>
      <c r="U145" s="377">
        <f t="shared" si="6"/>
        <v>4.1542144426370928E-2</v>
      </c>
      <c r="V145" s="377">
        <f t="shared" si="6"/>
        <v>5.1299851990577787E-2</v>
      </c>
      <c r="W145" s="377">
        <f t="shared" si="6"/>
        <v>3.6862608411880708E-2</v>
      </c>
    </row>
    <row r="146" spans="2:23" ht="15" customHeight="1">
      <c r="B146" s="377" t="str">
        <f>+_xll.BDP(C146,"SHORT_NAME")</f>
        <v>LOJAS RENNER SA</v>
      </c>
      <c r="C146" s="531" t="str">
        <f>+Inputs!$E$22</f>
        <v>LREN3 BZ Equity</v>
      </c>
      <c r="D146" s="377"/>
      <c r="E146" s="378"/>
      <c r="F146" s="377"/>
      <c r="G146" s="377">
        <f>_xll.BDH($C$137,$C$142,"FY"&amp;G$133,"FY"&amp;G$133,"Period=FY","BEST_FPERIOD_OVERRIDE=FY","FILING_STATUS=MR","SCALING_FORMAT=K","FA_ADJUSTED=Adjusted","Sort=A","Dates=H","DateFormat=P","Fill=NA","Direction=H","UseDPDF=Y")</f>
        <v>194.62</v>
      </c>
      <c r="H146" s="377">
        <f>_xll.BDH($C$137,$C$142,"FY"&amp;H$133,"FY"&amp;H$133,"Period=FY","BEST_FPERIOD_OVERRIDE=FY","FILING_STATUS=MR","SCALING_FORMAT=K","FA_ADJUSTED=Adjusted","Sort=A","Dates=H","DateFormat=P","Fill=NA","Direction=H","UseDPDF=Y")</f>
        <v>181.428</v>
      </c>
      <c r="I146" s="377">
        <f>_xll.BDH($C$137,$C$142,"FY"&amp;I$133,"FY"&amp;I$133,"Period=FY","BEST_FPERIOD_OVERRIDE=FY","FILING_STATUS=MR","SCALING_FORMAT=K","FA_ADJUSTED=Adjusted","Sort=A","Dates=H","DateFormat=P","Fill=NA","Direction=H","UseDPDF=Y")</f>
        <v>183.13900000000001</v>
      </c>
      <c r="J146" s="377">
        <f>_xll.BDH($C$137,$C$142,"FY"&amp;J$133,"FY"&amp;J$133,"Period=FY","BEST_FPERIOD_OVERRIDE=FY","FILING_STATUS=MR","SCALING_FORMAT=K","FA_ADJUSTED=Adjusted","Sort=A","Dates=H","DateFormat=P","Fill=NA","Direction=H","UseDPDF=Y")</f>
        <v>137.5</v>
      </c>
      <c r="K146" s="377">
        <f>_xll.BDH($C$137,$C$142,"FY"&amp;K$133,"FY"&amp;K$133,"Period=FY","BEST_FPERIOD_OVERRIDE=FY","FILING_STATUS=MR","SCALING_FORMAT=K","FA_ADJUSTED=Adjusted","Sort=A","Dates=H","DateFormat=P","Fill=NA","Direction=H","UseDPDF=Y")</f>
        <v>185.631</v>
      </c>
      <c r="L146" s="377">
        <f>_xll.BDH($C$137,$C$142,"FY"&amp;L$133,"FY"&amp;L$133,"Period=FY","BEST_FPERIOD_OVERRIDE=FY","FILING_STATUS=MR","SCALING_FORMAT=K","FA_ADJUSTED=Adjusted","Sort=A","Dates=H","DateFormat=P","Fill=NA","Direction=H","UseDPDF=Y")</f>
        <v>208.19800000000001</v>
      </c>
      <c r="M146" s="377">
        <f>_xll.BDH($C$137,$C$142,"FY"&amp;M$133,"FY"&amp;M$133,"Period=FY","BEST_FPERIOD_OVERRIDE=FY","FILING_STATUS=MR","SCALING_FORMAT=K","FA_ADJUSTED=Adjusted","Sort=A","Dates=H","DateFormat=P","Fill=NA","Direction=H","UseDPDF=Y")</f>
        <v>226.97</v>
      </c>
      <c r="N146" s="377">
        <f>_xll.BDH($C$137,$C$142,"FY"&amp;N$133,"FY"&amp;N$133,"Period=FY","BEST_FPERIOD_OVERRIDE=FY","FILING_STATUS=MR","SCALING_FORMAT=K","FA_ADJUSTED=Adjusted","Sort=A","Dates=H","DateFormat=P","Fill=NA","Direction=H","UseDPDF=Y")</f>
        <v>237.19399999999999</v>
      </c>
      <c r="O146" s="377"/>
      <c r="P146" s="377">
        <f t="shared" si="6"/>
        <v>2.6143474777027539E-2</v>
      </c>
      <c r="Q146" s="377">
        <f t="shared" si="6"/>
        <v>2.1530542603424112E-2</v>
      </c>
      <c r="R146" s="377">
        <f t="shared" si="6"/>
        <v>1.9099984700321856E-2</v>
      </c>
      <c r="S146" s="377">
        <f t="shared" si="6"/>
        <v>1.82428972108932E-2</v>
      </c>
      <c r="T146" s="377">
        <f t="shared" si="6"/>
        <v>1.7559460916197277E-2</v>
      </c>
      <c r="U146" s="377">
        <f t="shared" si="6"/>
        <v>1.56880303473621E-2</v>
      </c>
      <c r="V146" s="377">
        <f t="shared" si="6"/>
        <v>1.663045949585169E-2</v>
      </c>
      <c r="W146" s="377">
        <f t="shared" si="6"/>
        <v>1.6430312171359467E-2</v>
      </c>
    </row>
    <row r="147" spans="2:23" ht="15" customHeight="1">
      <c r="B147" s="377" t="str">
        <f>+_xll.BDP(C147,"SHORT_NAME")</f>
        <v>C&amp;A MODAS LTDA</v>
      </c>
      <c r="C147" s="531" t="str">
        <f>+Inputs!$E$23</f>
        <v>CEAB3 BZ EQUITY</v>
      </c>
      <c r="D147" s="377"/>
      <c r="E147" s="378"/>
      <c r="F147" s="377"/>
      <c r="G147" s="377" t="str">
        <f>_xll.BDH($C$138,$C$142,"FY"&amp;G$133,"FY"&amp;G$133,"Period=FY","BEST_FPERIOD_OVERRIDE=FY","FILING_STATUS=MR","SCALING_FORMAT=K","FA_ADJUSTED=Adjusted","Sort=A","Dates=H","DateFormat=P","Fill=NA","Direction=H","UseDPDF=Y")</f>
        <v>#N/A</v>
      </c>
      <c r="H147" s="377" t="str">
        <f>_xll.BDH($C$138,$C$142,"FY"&amp;H$133,"FY"&amp;H$133,"Period=FY","BEST_FPERIOD_OVERRIDE=FY","FILING_STATUS=MR","SCALING_FORMAT=K","FA_ADJUSTED=Adjusted","Sort=A","Dates=H","DateFormat=P","Fill=NA","Direction=H","UseDPDF=Y")</f>
        <v>#N/A</v>
      </c>
      <c r="I147" s="377">
        <f>_xll.BDH($C$138,$C$142,"FY"&amp;I$133,"FY"&amp;I$133,"Period=FY","BEST_FPERIOD_OVERRIDE=FY","FILING_STATUS=MR","SCALING_FORMAT=K","FA_ADJUSTED=Adjusted","Sort=A","Dates=H","DateFormat=P","Fill=NA","Direction=H","UseDPDF=Y")</f>
        <v>183.18799999999999</v>
      </c>
      <c r="J147" s="377">
        <f>_xll.BDH($C$138,$C$142,"FY"&amp;J$133,"FY"&amp;J$133,"Period=FY","BEST_FPERIOD_OVERRIDE=FY","FILING_STATUS=MR","SCALING_FORMAT=K","FA_ADJUSTED=Adjusted","Sort=A","Dates=H","DateFormat=P","Fill=NA","Direction=H","UseDPDF=Y")</f>
        <v>139.63300000000001</v>
      </c>
      <c r="K147" s="377" t="str">
        <f>_xll.BDH($C$138,$C$142,"FY"&amp;K$133,"FY"&amp;K$133,"Period=FY","BEST_FPERIOD_OVERRIDE=FY","FILING_STATUS=MR","SCALING_FORMAT=K","FA_ADJUSTED=Adjusted","Sort=A","Dates=H","DateFormat=P","Fill=NA","Direction=H","UseDPDF=Y")</f>
        <v>#N/A</v>
      </c>
      <c r="L147" s="377">
        <f>_xll.BDH($C$138,$C$142,"FY"&amp;L$133,"FY"&amp;L$133,"Period=FY","BEST_FPERIOD_OVERRIDE=FY","FILING_STATUS=MR","SCALING_FORMAT=K","FA_ADJUSTED=Adjusted","Sort=A","Dates=H","DateFormat=P","Fill=NA","Direction=H","UseDPDF=Y")</f>
        <v>188.428</v>
      </c>
      <c r="M147" s="377">
        <f>_xll.BDH($C$138,$C$142,"FY"&amp;M$133,"FY"&amp;M$133,"Period=FY","BEST_FPERIOD_OVERRIDE=FY","FILING_STATUS=MR","SCALING_FORMAT=K","FA_ADJUSTED=Adjusted","Sort=A","Dates=H","DateFormat=P","Fill=NA","Direction=H","UseDPDF=Y")</f>
        <v>179.535</v>
      </c>
      <c r="N147" s="377" t="str">
        <f>_xll.BDH($C$138,$C$142,"FY"&amp;N$133,"FY"&amp;N$133,"Period=FY","BEST_FPERIOD_OVERRIDE=FY","FILING_STATUS=MR","SCALING_FORMAT=K","FA_ADJUSTED=Adjusted","Sort=A","Dates=H","DateFormat=P","Fill=NA","Direction=H","UseDPDF=Y")</f>
        <v>#N/A</v>
      </c>
      <c r="O147" s="377"/>
      <c r="P147" s="377" t="e">
        <f t="shared" si="6"/>
        <v>#VALUE!</v>
      </c>
      <c r="Q147" s="377" t="e">
        <f t="shared" si="6"/>
        <v>#VALUE!</v>
      </c>
      <c r="R147" s="377">
        <f t="shared" si="6"/>
        <v>3.4660718961866163E-2</v>
      </c>
      <c r="S147" s="377">
        <f t="shared" si="6"/>
        <v>3.4177818746655847E-2</v>
      </c>
      <c r="T147" s="377" t="e">
        <f t="shared" si="6"/>
        <v>#VALUE!</v>
      </c>
      <c r="U147" s="377">
        <f t="shared" si="6"/>
        <v>3.0472463229051273E-2</v>
      </c>
      <c r="V147" s="377">
        <f t="shared" si="6"/>
        <v>2.671923351733517E-2</v>
      </c>
      <c r="W147" s="377" t="e">
        <f t="shared" si="6"/>
        <v>#VALUE!</v>
      </c>
    </row>
    <row r="148" spans="2:23" ht="15" customHeight="1">
      <c r="B148" s="377" t="str">
        <f>+_xll.BDP(C148,"SHORT_NAME")</f>
        <v>MARISA LOJAS SA</v>
      </c>
      <c r="C148" s="531" t="str">
        <f>+Inputs!$E$24</f>
        <v>AMAR3 BZ Equity</v>
      </c>
      <c r="D148" s="377"/>
      <c r="E148" s="378"/>
      <c r="F148" s="377"/>
      <c r="G148" s="377" t="str">
        <f>_xll.BDH($C$139,$C$142,"FY"&amp;G$133,"FY"&amp;G$133,"Period=FY","BEST_FPERIOD_OVERRIDE=FY","FILING_STATUS=MR","SCALING_FORMAT=K","FA_ADJUSTED=Adjusted","Sort=A","Dates=H","DateFormat=P","Fill=NA","Direction=H","UseDPDF=Y")</f>
        <v>#N/A</v>
      </c>
      <c r="H148" s="377" t="str">
        <f>_xll.BDH($C$139,$C$142,"FY"&amp;H$133,"FY"&amp;H$133,"Period=FY","BEST_FPERIOD_OVERRIDE=FY","FILING_STATUS=MR","SCALING_FORMAT=K","FA_ADJUSTED=Adjusted","Sort=A","Dates=H","DateFormat=P","Fill=NA","Direction=H","UseDPDF=Y")</f>
        <v>#N/A</v>
      </c>
      <c r="I148" s="377" t="str">
        <f>_xll.BDH($C$139,$C$142,"FY"&amp;I$133,"FY"&amp;I$133,"Period=FY","BEST_FPERIOD_OVERRIDE=FY","FILING_STATUS=MR","SCALING_FORMAT=K","FA_ADJUSTED=Adjusted","Sort=A","Dates=H","DateFormat=P","Fill=NA","Direction=H","UseDPDF=Y")</f>
        <v>#N/A</v>
      </c>
      <c r="J148" s="377" t="str">
        <f>_xll.BDH($C$139,$C$142,"FY"&amp;J$133,"FY"&amp;J$133,"Period=FY","BEST_FPERIOD_OVERRIDE=FY","FILING_STATUS=MR","SCALING_FORMAT=K","FA_ADJUSTED=Adjusted","Sort=A","Dates=H","DateFormat=P","Fill=NA","Direction=H","UseDPDF=Y")</f>
        <v>#N/A</v>
      </c>
      <c r="K148" s="377" t="str">
        <f>_xll.BDH($C$139,$C$142,"FY"&amp;K$133,"FY"&amp;K$133,"Period=FY","BEST_FPERIOD_OVERRIDE=FY","FILING_STATUS=MR","SCALING_FORMAT=K","FA_ADJUSTED=Adjusted","Sort=A","Dates=H","DateFormat=P","Fill=NA","Direction=H","UseDPDF=Y")</f>
        <v>#N/A</v>
      </c>
      <c r="L148" s="377" t="str">
        <f>_xll.BDH($C$139,$C$142,"FY"&amp;L$133,"FY"&amp;L$133,"Period=FY","BEST_FPERIOD_OVERRIDE=FY","FILING_STATUS=MR","SCALING_FORMAT=K","FA_ADJUSTED=Adjusted","Sort=A","Dates=H","DateFormat=P","Fill=NA","Direction=H","UseDPDF=Y")</f>
        <v>#N/A</v>
      </c>
      <c r="M148" s="377" t="str">
        <f>_xll.BDH($C$139,$C$142,"FY"&amp;M$133,"FY"&amp;M$133,"Period=FY","BEST_FPERIOD_OVERRIDE=FY","FILING_STATUS=MR","SCALING_FORMAT=K","FA_ADJUSTED=Adjusted","Sort=A","Dates=H","DateFormat=P","Fill=NA","Direction=H","UseDPDF=Y")</f>
        <v>#N/A</v>
      </c>
      <c r="N148" s="377" t="str">
        <f>_xll.BDH($C$139,$C$142,"FY"&amp;N$133,"FY"&amp;N$133,"Period=FY","BEST_FPERIOD_OVERRIDE=FY","FILING_STATUS=MR","SCALING_FORMAT=K","FA_ADJUSTED=Adjusted","Sort=A","Dates=H","DateFormat=P","Fill=NA","Direction=H","UseDPDF=Y")</f>
        <v>#N/A</v>
      </c>
      <c r="O148" s="377"/>
      <c r="P148" s="377" t="e">
        <f t="shared" si="6"/>
        <v>#VALUE!</v>
      </c>
      <c r="Q148" s="377" t="e">
        <f t="shared" si="6"/>
        <v>#VALUE!</v>
      </c>
      <c r="R148" s="377" t="e">
        <f t="shared" si="6"/>
        <v>#VALUE!</v>
      </c>
      <c r="S148" s="377" t="e">
        <f t="shared" si="6"/>
        <v>#VALUE!</v>
      </c>
      <c r="T148" s="377" t="e">
        <f t="shared" si="6"/>
        <v>#VALUE!</v>
      </c>
      <c r="U148" s="377" t="e">
        <f t="shared" si="6"/>
        <v>#VALUE!</v>
      </c>
      <c r="V148" s="377" t="e">
        <f t="shared" si="6"/>
        <v>#VALUE!</v>
      </c>
      <c r="W148" s="377" t="e">
        <f t="shared" si="6"/>
        <v>#VALUE!</v>
      </c>
    </row>
    <row r="149" spans="2:23" ht="15" customHeight="1">
      <c r="B149" s="377" t="str">
        <f>+_xll.BDP(C149,"SHORT_NAME")</f>
        <v>VESTE SA ESTILO</v>
      </c>
      <c r="C149" s="531" t="str">
        <f>+Inputs!$E$25</f>
        <v>VSTE3 BZ Equity</v>
      </c>
      <c r="D149" s="377"/>
      <c r="E149" s="378"/>
      <c r="F149" s="377"/>
      <c r="G149" s="377" t="str">
        <f>_xll.BDH($C$140,$C$142,"FY"&amp;G$133,"FY"&amp;G$133,"Period=FY","BEST_FPERIOD_OVERRIDE=FY","FILING_STATUS=MR","SCALING_FORMAT=K","FA_ADJUSTED=Adjusted","Sort=A","Dates=H","DateFormat=P","Fill=NA","Direction=H","UseDPDF=Y")</f>
        <v>#N/A</v>
      </c>
      <c r="H149" s="377" t="str">
        <f>_xll.BDH($C$140,$C$142,"FY"&amp;H$133,"FY"&amp;H$133,"Period=FY","BEST_FPERIOD_OVERRIDE=FY","FILING_STATUS=MR","SCALING_FORMAT=K","FA_ADJUSTED=Adjusted","Sort=A","Dates=H","DateFormat=P","Fill=NA","Direction=H","UseDPDF=Y")</f>
        <v>#N/A</v>
      </c>
      <c r="I149" s="377" t="str">
        <f>_xll.BDH($C$140,$C$142,"FY"&amp;I$133,"FY"&amp;I$133,"Period=FY","BEST_FPERIOD_OVERRIDE=FY","FILING_STATUS=MR","SCALING_FORMAT=K","FA_ADJUSTED=Adjusted","Sort=A","Dates=H","DateFormat=P","Fill=NA","Direction=H","UseDPDF=Y")</f>
        <v>#N/A</v>
      </c>
      <c r="J149" s="377" t="str">
        <f>_xll.BDH($C$140,$C$142,"FY"&amp;J$133,"FY"&amp;J$133,"Period=FY","BEST_FPERIOD_OVERRIDE=FY","FILING_STATUS=MR","SCALING_FORMAT=K","FA_ADJUSTED=Adjusted","Sort=A","Dates=H","DateFormat=P","Fill=NA","Direction=H","UseDPDF=Y")</f>
        <v>#N/A</v>
      </c>
      <c r="K149" s="377" t="str">
        <f>_xll.BDH($C$140,$C$142,"FY"&amp;K$133,"FY"&amp;K$133,"Period=FY","BEST_FPERIOD_OVERRIDE=FY","FILING_STATUS=MR","SCALING_FORMAT=K","FA_ADJUSTED=Adjusted","Sort=A","Dates=H","DateFormat=P","Fill=NA","Direction=H","UseDPDF=Y")</f>
        <v>#N/A</v>
      </c>
      <c r="L149" s="377" t="str">
        <f>_xll.BDH($C$140,$C$142,"FY"&amp;L$133,"FY"&amp;L$133,"Period=FY","BEST_FPERIOD_OVERRIDE=FY","FILING_STATUS=MR","SCALING_FORMAT=K","FA_ADJUSTED=Adjusted","Sort=A","Dates=H","DateFormat=P","Fill=NA","Direction=H","UseDPDF=Y")</f>
        <v>#N/A</v>
      </c>
      <c r="M149" s="377" t="str">
        <f>_xll.BDH($C$140,$C$142,"FY"&amp;M$133,"FY"&amp;M$133,"Period=FY","BEST_FPERIOD_OVERRIDE=FY","FILING_STATUS=MR","SCALING_FORMAT=K","FA_ADJUSTED=Adjusted","Sort=A","Dates=H","DateFormat=P","Fill=NA","Direction=H","UseDPDF=Y")</f>
        <v>#N/A</v>
      </c>
      <c r="N149" s="377" t="str">
        <f>_xll.BDH($C$140,$C$142,"FY"&amp;N$133,"FY"&amp;N$133,"Period=FY","BEST_FPERIOD_OVERRIDE=FY","FILING_STATUS=MR","SCALING_FORMAT=K","FA_ADJUSTED=Adjusted","Sort=A","Dates=H","DateFormat=P","Fill=NA","Direction=H","UseDPDF=Y")</f>
        <v>#N/A</v>
      </c>
      <c r="O149" s="377"/>
      <c r="P149" s="377" t="e">
        <f t="shared" si="6"/>
        <v>#VALUE!</v>
      </c>
      <c r="Q149" s="377" t="e">
        <f t="shared" si="6"/>
        <v>#VALUE!</v>
      </c>
      <c r="R149" s="377" t="e">
        <f t="shared" si="6"/>
        <v>#VALUE!</v>
      </c>
      <c r="S149" s="377" t="e">
        <f t="shared" si="6"/>
        <v>#VALUE!</v>
      </c>
      <c r="T149" s="377" t="e">
        <f t="shared" si="6"/>
        <v>#VALUE!</v>
      </c>
      <c r="U149" s="377" t="e">
        <f t="shared" si="6"/>
        <v>#VALUE!</v>
      </c>
      <c r="V149" s="377" t="e">
        <f t="shared" si="6"/>
        <v>#VALUE!</v>
      </c>
      <c r="W149" s="377" t="e">
        <f t="shared" si="6"/>
        <v>#VALUE!</v>
      </c>
    </row>
    <row r="151" spans="2:23" ht="15" customHeight="1">
      <c r="B151" s="381" t="s">
        <v>97</v>
      </c>
      <c r="C151" s="532" t="s">
        <v>771</v>
      </c>
      <c r="D151" s="382"/>
      <c r="E151" s="32"/>
      <c r="F151" s="385"/>
      <c r="G151" s="385">
        <v>2017</v>
      </c>
      <c r="H151" s="385">
        <f t="shared" ref="H151:N151" si="7">+G151+1</f>
        <v>2018</v>
      </c>
      <c r="I151" s="385">
        <f t="shared" si="7"/>
        <v>2019</v>
      </c>
      <c r="J151" s="385">
        <f t="shared" si="7"/>
        <v>2020</v>
      </c>
      <c r="K151" s="385">
        <f t="shared" si="7"/>
        <v>2021</v>
      </c>
      <c r="L151" s="385">
        <f t="shared" si="7"/>
        <v>2022</v>
      </c>
      <c r="M151" s="385">
        <f t="shared" si="7"/>
        <v>2023</v>
      </c>
      <c r="N151" s="385">
        <f t="shared" si="7"/>
        <v>2024</v>
      </c>
      <c r="O151" s="377"/>
      <c r="P151" s="385">
        <v>2017</v>
      </c>
      <c r="Q151" s="385">
        <f t="shared" ref="Q151:W151" si="8">+P151+1</f>
        <v>2018</v>
      </c>
      <c r="R151" s="385">
        <f t="shared" si="8"/>
        <v>2019</v>
      </c>
      <c r="S151" s="385">
        <f t="shared" si="8"/>
        <v>2020</v>
      </c>
      <c r="T151" s="385">
        <f t="shared" si="8"/>
        <v>2021</v>
      </c>
      <c r="U151" s="385">
        <f t="shared" si="8"/>
        <v>2022</v>
      </c>
      <c r="V151" s="385">
        <f t="shared" si="8"/>
        <v>2023</v>
      </c>
      <c r="W151" s="385">
        <f t="shared" si="8"/>
        <v>2024</v>
      </c>
    </row>
    <row r="152" spans="2:23" ht="3.95" customHeight="1">
      <c r="B152" s="386"/>
      <c r="C152" s="386"/>
      <c r="D152" s="386"/>
      <c r="E152" s="387"/>
      <c r="F152" s="388"/>
      <c r="G152" s="388"/>
      <c r="H152" s="388"/>
      <c r="I152" s="388"/>
      <c r="J152" s="388"/>
      <c r="K152" s="388"/>
      <c r="L152" s="388"/>
      <c r="M152" s="388"/>
      <c r="N152" s="388"/>
      <c r="O152" s="377"/>
      <c r="P152" s="388"/>
      <c r="Q152" s="388"/>
      <c r="R152" s="388"/>
      <c r="S152" s="388"/>
      <c r="T152" s="388"/>
      <c r="U152" s="388"/>
      <c r="V152" s="388"/>
      <c r="W152" s="388"/>
    </row>
    <row r="153" spans="2:23" ht="15" customHeight="1">
      <c r="B153" s="377" t="str">
        <f>+_xll.BDP(C153,"SHORT_NAME")</f>
        <v>AZZAS 2154 SA</v>
      </c>
      <c r="C153" s="531" t="str">
        <f>Inputs!$D$15</f>
        <v>AZZA3 BZ Equity</v>
      </c>
      <c r="D153" s="377"/>
      <c r="E153" s="378"/>
      <c r="F153" s="377"/>
      <c r="G153" s="377" t="str">
        <f>_xll.BDH($C$135,$C$151,"FY"&amp;G$133,"FY"&amp;G$133,"Period=FY","BEST_FPERIOD_OVERRIDE=FY","FILING_STATUS=MR","SCALING_FORMAT=K","FA_ADJUSTED=Adjusted","Sort=A","Dates=H","DateFormat=P","Fill=NA","Direction=H","UseDPDF=Y")</f>
        <v>#N/A</v>
      </c>
      <c r="H153" s="377" t="str">
        <f>_xll.BDH($C$135,$C$151,"FY"&amp;H$133,"FY"&amp;H$133,"Period=FY","BEST_FPERIOD_OVERRIDE=FY","FILING_STATUS=MR","SCALING_FORMAT=K","FA_ADJUSTED=Adjusted","Sort=A","Dates=H","DateFormat=P","Fill=NA","Direction=H","UseDPDF=Y")</f>
        <v>#N/A</v>
      </c>
      <c r="I153" s="377" t="str">
        <f>_xll.BDH($C$135,$C$151,"FY"&amp;I$133,"FY"&amp;I$133,"Period=FY","BEST_FPERIOD_OVERRIDE=FY","FILING_STATUS=MR","SCALING_FORMAT=K","FA_ADJUSTED=Adjusted","Sort=A","Dates=H","DateFormat=P","Fill=NA","Direction=H","UseDPDF=Y")</f>
        <v>#N/A</v>
      </c>
      <c r="J153" s="377" t="str">
        <f>_xll.BDH($C$135,$C$151,"FY"&amp;J$133,"FY"&amp;J$133,"Period=FY","BEST_FPERIOD_OVERRIDE=FY","FILING_STATUS=MR","SCALING_FORMAT=K","FA_ADJUSTED=Adjusted","Sort=A","Dates=H","DateFormat=P","Fill=NA","Direction=H","UseDPDF=Y")</f>
        <v>#N/A</v>
      </c>
      <c r="K153" s="377" t="str">
        <f>_xll.BDH($C$135,$C$151,"FY"&amp;K$133,"FY"&amp;K$133,"Period=FY","BEST_FPERIOD_OVERRIDE=FY","FILING_STATUS=MR","SCALING_FORMAT=K","FA_ADJUSTED=Adjusted","Sort=A","Dates=H","DateFormat=P","Fill=NA","Direction=H","UseDPDF=Y")</f>
        <v>#N/A</v>
      </c>
      <c r="L153" s="377" t="str">
        <f>_xll.BDH($C$135,$C$151,"FY"&amp;L$133,"FY"&amp;L$133,"Period=FY","BEST_FPERIOD_OVERRIDE=FY","FILING_STATUS=MR","SCALING_FORMAT=K","FA_ADJUSTED=Adjusted","Sort=A","Dates=H","DateFormat=P","Fill=NA","Direction=H","UseDPDF=Y")</f>
        <v>#N/A</v>
      </c>
      <c r="M153" s="377" t="str">
        <f>_xll.BDH($C$135,$C$151,"FY"&amp;M$133,"FY"&amp;M$133,"Period=FY","BEST_FPERIOD_OVERRIDE=FY","FILING_STATUS=MR","SCALING_FORMAT=K","FA_ADJUSTED=Adjusted","Sort=A","Dates=H","DateFormat=P","Fill=NA","Direction=H","UseDPDF=Y")</f>
        <v>#N/A</v>
      </c>
      <c r="N153" s="377">
        <f>_xll.BDH($C$135,$C$151,"FY"&amp;N$133,"FY"&amp;N$133,"Period=FY","BEST_FPERIOD_OVERRIDE=FY","FILING_STATUS=MR","SCALING_FORMAT=K","FA_ADJUSTED=Adjusted","Sort=A","Dates=H","DateFormat=P","Fill=NA","Direction=H","UseDPDF=Y")</f>
        <v>1203.77</v>
      </c>
      <c r="O153" s="377"/>
      <c r="P153" s="377" t="e">
        <f t="shared" ref="P153:W158" si="9">+G153/G171</f>
        <v>#VALUE!</v>
      </c>
      <c r="Q153" s="377" t="e">
        <f t="shared" si="9"/>
        <v>#VALUE!</v>
      </c>
      <c r="R153" s="377" t="e">
        <f t="shared" si="9"/>
        <v>#VALUE!</v>
      </c>
      <c r="S153" s="377" t="e">
        <f t="shared" si="9"/>
        <v>#VALUE!</v>
      </c>
      <c r="T153" s="377" t="e">
        <f t="shared" si="9"/>
        <v>#VALUE!</v>
      </c>
      <c r="U153" s="377" t="e">
        <f t="shared" si="9"/>
        <v>#VALUE!</v>
      </c>
      <c r="V153" s="377" t="e">
        <f t="shared" si="9"/>
        <v>#VALUE!</v>
      </c>
      <c r="W153" s="377">
        <f t="shared" si="9"/>
        <v>0.14365220550056784</v>
      </c>
    </row>
    <row r="154" spans="2:23" ht="15" customHeight="1">
      <c r="B154" s="377" t="str">
        <f>+_xll.BDP(C154,"SHORT_NAME")</f>
        <v>GUARARAPES</v>
      </c>
      <c r="C154" s="531" t="str">
        <f>+Inputs!$E$21</f>
        <v>GUAR3 BZ Equity</v>
      </c>
      <c r="D154" s="377"/>
      <c r="E154" s="378"/>
      <c r="F154" s="377"/>
      <c r="G154" s="377" t="str">
        <f>_xll.BDH($C$136,$C$151,"FY"&amp;G$133,"FY"&amp;G$133,"Period=FY","BEST_FPERIOD_OVERRIDE=FY","FILING_STATUS=MR","SCALING_FORMAT=K","FA_ADJUSTED=Adjusted","Sort=A","Dates=H","DateFormat=P","Fill=NA","Direction=H","UseDPDF=Y")</f>
        <v>#N/A</v>
      </c>
      <c r="H154" s="377" t="str">
        <f>_xll.BDH($C$136,$C$151,"FY"&amp;H$133,"FY"&amp;H$133,"Period=FY","BEST_FPERIOD_OVERRIDE=FY","FILING_STATUS=MR","SCALING_FORMAT=K","FA_ADJUSTED=Adjusted","Sort=A","Dates=H","DateFormat=P","Fill=NA","Direction=H","UseDPDF=Y")</f>
        <v>#N/A</v>
      </c>
      <c r="I154" s="377" t="str">
        <f>_xll.BDH($C$136,$C$151,"FY"&amp;I$133,"FY"&amp;I$133,"Period=FY","BEST_FPERIOD_OVERRIDE=FY","FILING_STATUS=MR","SCALING_FORMAT=K","FA_ADJUSTED=Adjusted","Sort=A","Dates=H","DateFormat=P","Fill=NA","Direction=H","UseDPDF=Y")</f>
        <v>#N/A</v>
      </c>
      <c r="J154" s="377">
        <f>_xll.BDH($C$136,$C$151,"FY"&amp;J$133,"FY"&amp;J$133,"Period=FY","BEST_FPERIOD_OVERRIDE=FY","FILING_STATUS=MR","SCALING_FORMAT=K","FA_ADJUSTED=Adjusted","Sort=A","Dates=H","DateFormat=P","Fill=NA","Direction=H","UseDPDF=Y")</f>
        <v>285868</v>
      </c>
      <c r="K154" s="377">
        <f>_xll.BDH($C$136,$C$151,"FY"&amp;K$133,"FY"&amp;K$133,"Period=FY","BEST_FPERIOD_OVERRIDE=FY","FILING_STATUS=MR","SCALING_FORMAT=K","FA_ADJUSTED=Adjusted","Sort=A","Dates=H","DateFormat=P","Fill=NA","Direction=H","UseDPDF=Y")</f>
        <v>314241</v>
      </c>
      <c r="L154" s="377">
        <f>_xll.BDH($C$136,$C$151,"FY"&amp;L$133,"FY"&amp;L$133,"Period=FY","BEST_FPERIOD_OVERRIDE=FY","FILING_STATUS=MR","SCALING_FORMAT=K","FA_ADJUSTED=Adjusted","Sort=A","Dates=H","DateFormat=P","Fill=NA","Direction=H","UseDPDF=Y")</f>
        <v>212</v>
      </c>
      <c r="M154" s="377">
        <f>_xll.BDH($C$136,$C$151,"FY"&amp;M$133,"FY"&amp;M$133,"Period=FY","BEST_FPERIOD_OVERRIDE=FY","FILING_STATUS=MR","SCALING_FORMAT=K","FA_ADJUSTED=Adjusted","Sort=A","Dates=H","DateFormat=P","Fill=NA","Direction=H","UseDPDF=Y")</f>
        <v>234.81</v>
      </c>
      <c r="N154" s="377">
        <f>_xll.BDH($C$136,$C$151,"FY"&amp;N$133,"FY"&amp;N$133,"Period=FY","BEST_FPERIOD_OVERRIDE=FY","FILING_STATUS=MR","SCALING_FORMAT=K","FA_ADJUSTED=Adjusted","Sort=A","Dates=H","DateFormat=P","Fill=NA","Direction=H","UseDPDF=Y")</f>
        <v>327.35000000000002</v>
      </c>
      <c r="O154" s="377"/>
      <c r="P154" s="377" t="e">
        <f t="shared" si="9"/>
        <v>#VALUE!</v>
      </c>
      <c r="Q154" s="377" t="e">
        <f t="shared" si="9"/>
        <v>#VALUE!</v>
      </c>
      <c r="R154" s="377" t="e">
        <f t="shared" si="9"/>
        <v>#VALUE!</v>
      </c>
      <c r="S154" s="377">
        <f t="shared" si="9"/>
        <v>45.772773823560868</v>
      </c>
      <c r="T154" s="377">
        <f t="shared" si="9"/>
        <v>43.516566057546548</v>
      </c>
      <c r="U154" s="377">
        <f t="shared" si="9"/>
        <v>2.5063062566743701E-2</v>
      </c>
      <c r="V154" s="377">
        <f t="shared" si="9"/>
        <v>2.6696952242914636E-2</v>
      </c>
      <c r="W154" s="377">
        <f t="shared" si="9"/>
        <v>3.3977887334162529E-2</v>
      </c>
    </row>
    <row r="155" spans="2:23" ht="15" customHeight="1">
      <c r="B155" s="377" t="str">
        <f>+_xll.BDP(C155,"SHORT_NAME")</f>
        <v>LOJAS RENNER SA</v>
      </c>
      <c r="C155" s="531" t="str">
        <f>+Inputs!$E$22</f>
        <v>LREN3 BZ Equity</v>
      </c>
      <c r="D155" s="377"/>
      <c r="E155" s="378"/>
      <c r="F155" s="377"/>
      <c r="G155" s="377" t="str">
        <f>_xll.BDH($C$137,$C$151,"FY"&amp;G$133,"FY"&amp;G$133,"Period=FY","BEST_FPERIOD_OVERRIDE=FY","FILING_STATUS=MR","SCALING_FORMAT=K","FA_ADJUSTED=Adjusted","Sort=A","Dates=H","DateFormat=P","Fill=NA","Direction=H","UseDPDF=Y")</f>
        <v>#N/A</v>
      </c>
      <c r="H155" s="377" t="str">
        <f>_xll.BDH($C$137,$C$151,"FY"&amp;H$133,"FY"&amp;H$133,"Period=FY","BEST_FPERIOD_OVERRIDE=FY","FILING_STATUS=MR","SCALING_FORMAT=K","FA_ADJUSTED=Adjusted","Sort=A","Dates=H","DateFormat=P","Fill=NA","Direction=H","UseDPDF=Y")</f>
        <v>#N/A</v>
      </c>
      <c r="I155" s="377" t="str">
        <f>_xll.BDH($C$137,$C$151,"FY"&amp;I$133,"FY"&amp;I$133,"Period=FY","BEST_FPERIOD_OVERRIDE=FY","FILING_STATUS=MR","SCALING_FORMAT=K","FA_ADJUSTED=Adjusted","Sort=A","Dates=H","DateFormat=P","Fill=NA","Direction=H","UseDPDF=Y")</f>
        <v>#N/A</v>
      </c>
      <c r="J155" s="377" t="str">
        <f>_xll.BDH($C$137,$C$151,"FY"&amp;J$133,"FY"&amp;J$133,"Period=FY","BEST_FPERIOD_OVERRIDE=FY","FILING_STATUS=MR","SCALING_FORMAT=K","FA_ADJUSTED=Adjusted","Sort=A","Dates=H","DateFormat=P","Fill=NA","Direction=H","UseDPDF=Y")</f>
        <v>#N/A</v>
      </c>
      <c r="K155" s="377" t="str">
        <f>_xll.BDH($C$137,$C$151,"FY"&amp;K$133,"FY"&amp;K$133,"Period=FY","BEST_FPERIOD_OVERRIDE=FY","FILING_STATUS=MR","SCALING_FORMAT=K","FA_ADJUSTED=Adjusted","Sort=A","Dates=H","DateFormat=P","Fill=NA","Direction=H","UseDPDF=Y")</f>
        <v>#N/A</v>
      </c>
      <c r="L155" s="377" t="str">
        <f>_xll.BDH($C$137,$C$151,"FY"&amp;L$133,"FY"&amp;L$133,"Period=FY","BEST_FPERIOD_OVERRIDE=FY","FILING_STATUS=MR","SCALING_FORMAT=K","FA_ADJUSTED=Adjusted","Sort=A","Dates=H","DateFormat=P","Fill=NA","Direction=H","UseDPDF=Y")</f>
        <v>#N/A</v>
      </c>
      <c r="M155" s="377">
        <f>_xll.BDH($C$137,$C$151,"FY"&amp;M$133,"FY"&amp;M$133,"Period=FY","BEST_FPERIOD_OVERRIDE=FY","FILING_STATUS=MR","SCALING_FORMAT=K","FA_ADJUSTED=Adjusted","Sort=A","Dates=H","DateFormat=P","Fill=NA","Direction=H","UseDPDF=Y")</f>
        <v>104.41800000000001</v>
      </c>
      <c r="N155" s="377">
        <f>_xll.BDH($C$137,$C$151,"FY"&amp;N$133,"FY"&amp;N$133,"Period=FY","BEST_FPERIOD_OVERRIDE=FY","FILING_STATUS=MR","SCALING_FORMAT=K","FA_ADJUSTED=Adjusted","Sort=A","Dates=H","DateFormat=P","Fill=NA","Direction=H","UseDPDF=Y")</f>
        <v>81.555000000000007</v>
      </c>
      <c r="O155" s="377"/>
      <c r="P155" s="377" t="e">
        <f t="shared" si="9"/>
        <v>#VALUE!</v>
      </c>
      <c r="Q155" s="377" t="e">
        <f t="shared" si="9"/>
        <v>#VALUE!</v>
      </c>
      <c r="R155" s="377" t="e">
        <f t="shared" si="9"/>
        <v>#VALUE!</v>
      </c>
      <c r="S155" s="377" t="e">
        <f t="shared" si="9"/>
        <v>#VALUE!</v>
      </c>
      <c r="T155" s="377" t="e">
        <f t="shared" si="9"/>
        <v>#VALUE!</v>
      </c>
      <c r="U155" s="377" t="e">
        <f t="shared" si="9"/>
        <v>#VALUE!</v>
      </c>
      <c r="V155" s="377">
        <f t="shared" si="9"/>
        <v>7.6508759732028106E-3</v>
      </c>
      <c r="W155" s="377">
        <f t="shared" si="9"/>
        <v>5.6492748936955465E-3</v>
      </c>
    </row>
    <row r="156" spans="2:23" ht="15" customHeight="1">
      <c r="B156" s="377" t="str">
        <f>+_xll.BDP(C156,"SHORT_NAME")</f>
        <v>C&amp;A MODAS LTDA</v>
      </c>
      <c r="C156" s="531" t="str">
        <f>+Inputs!$E$23</f>
        <v>CEAB3 BZ EQUITY</v>
      </c>
      <c r="D156" s="377"/>
      <c r="E156" s="378"/>
      <c r="F156" s="377"/>
      <c r="G156" s="377" t="str">
        <f>_xll.BDH($C$138,$C$151,"FY"&amp;G$133,"FY"&amp;G$133,"Period=FY","BEST_FPERIOD_OVERRIDE=FY","FILING_STATUS=MR","SCALING_FORMAT=K","FA_ADJUSTED=Adjusted","Sort=A","Dates=H","DateFormat=P","Fill=NA","Direction=H","UseDPDF=Y")</f>
        <v>#N/A</v>
      </c>
      <c r="H156" s="377" t="str">
        <f>_xll.BDH($C$138,$C$151,"FY"&amp;H$133,"FY"&amp;H$133,"Period=FY","BEST_FPERIOD_OVERRIDE=FY","FILING_STATUS=MR","SCALING_FORMAT=K","FA_ADJUSTED=Adjusted","Sort=A","Dates=H","DateFormat=P","Fill=NA","Direction=H","UseDPDF=Y")</f>
        <v>#N/A</v>
      </c>
      <c r="I156" s="377">
        <f>_xll.BDH($C$138,$C$151,"FY"&amp;I$133,"FY"&amp;I$133,"Period=FY","BEST_FPERIOD_OVERRIDE=FY","FILING_STATUS=MR","SCALING_FORMAT=K","FA_ADJUSTED=Adjusted","Sort=A","Dates=H","DateFormat=P","Fill=NA","Direction=H","UseDPDF=Y")</f>
        <v>0.185</v>
      </c>
      <c r="J156" s="377">
        <f>_xll.BDH($C$138,$C$151,"FY"&amp;J$133,"FY"&amp;J$133,"Period=FY","BEST_FPERIOD_OVERRIDE=FY","FILING_STATUS=MR","SCALING_FORMAT=K","FA_ADJUSTED=Adjusted","Sort=A","Dates=H","DateFormat=P","Fill=NA","Direction=H","UseDPDF=Y")</f>
        <v>0.152</v>
      </c>
      <c r="K156" s="377">
        <f>_xll.BDH($C$138,$C$151,"FY"&amp;K$133,"FY"&amp;K$133,"Period=FY","BEST_FPERIOD_OVERRIDE=FY","FILING_STATUS=MR","SCALING_FORMAT=K","FA_ADJUSTED=Adjusted","Sort=A","Dates=H","DateFormat=P","Fill=NA","Direction=H","UseDPDF=Y")</f>
        <v>0.16600000000000001</v>
      </c>
      <c r="L156" s="377" t="str">
        <f>_xll.BDH($C$138,$C$151,"FY"&amp;L$133,"FY"&amp;L$133,"Period=FY","BEST_FPERIOD_OVERRIDE=FY","FILING_STATUS=MR","SCALING_FORMAT=K","FA_ADJUSTED=Adjusted","Sort=A","Dates=H","DateFormat=P","Fill=NA","Direction=H","UseDPDF=Y")</f>
        <v>#N/A</v>
      </c>
      <c r="M156" s="377" t="str">
        <f>_xll.BDH($C$138,$C$151,"FY"&amp;M$133,"FY"&amp;M$133,"Period=FY","BEST_FPERIOD_OVERRIDE=FY","FILING_STATUS=MR","SCALING_FORMAT=K","FA_ADJUSTED=Adjusted","Sort=A","Dates=H","DateFormat=P","Fill=NA","Direction=H","UseDPDF=Y")</f>
        <v>#N/A</v>
      </c>
      <c r="N156" s="377" t="str">
        <f>_xll.BDH($C$138,$C$151,"FY"&amp;N$133,"FY"&amp;N$133,"Period=FY","BEST_FPERIOD_OVERRIDE=FY","FILING_STATUS=MR","SCALING_FORMAT=K","FA_ADJUSTED=Adjusted","Sort=A","Dates=H","DateFormat=P","Fill=NA","Direction=H","UseDPDF=Y")</f>
        <v>#N/A</v>
      </c>
      <c r="O156" s="377"/>
      <c r="P156" s="377" t="e">
        <f t="shared" si="9"/>
        <v>#VALUE!</v>
      </c>
      <c r="Q156" s="377" t="e">
        <f t="shared" si="9"/>
        <v>#VALUE!</v>
      </c>
      <c r="R156" s="377">
        <f t="shared" si="9"/>
        <v>3.5003564687344373E-5</v>
      </c>
      <c r="S156" s="377">
        <f t="shared" si="9"/>
        <v>3.7204875992721549E-5</v>
      </c>
      <c r="T156" s="377">
        <f t="shared" si="9"/>
        <v>3.2212962612587699E-5</v>
      </c>
      <c r="U156" s="377" t="e">
        <f t="shared" si="9"/>
        <v>#VALUE!</v>
      </c>
      <c r="V156" s="377" t="e">
        <f t="shared" si="9"/>
        <v>#VALUE!</v>
      </c>
      <c r="W156" s="377" t="e">
        <f t="shared" si="9"/>
        <v>#VALUE!</v>
      </c>
    </row>
    <row r="157" spans="2:23" ht="15" customHeight="1">
      <c r="B157" s="377" t="str">
        <f>+_xll.BDP(C157,"SHORT_NAME")</f>
        <v>MARISA LOJAS SA</v>
      </c>
      <c r="C157" s="531" t="str">
        <f>+Inputs!$E$24</f>
        <v>AMAR3 BZ Equity</v>
      </c>
      <c r="D157" s="377"/>
      <c r="E157" s="378"/>
      <c r="F157" s="377"/>
      <c r="G157" s="377" t="str">
        <f>_xll.BDH($C$139,$C$151,"FY"&amp;G$133,"FY"&amp;G$133,"Period=FY","BEST_FPERIOD_OVERRIDE=FY","FILING_STATUS=MR","SCALING_FORMAT=K","FA_ADJUSTED=Adjusted","Sort=A","Dates=H","DateFormat=P","Fill=NA","Direction=H","UseDPDF=Y")</f>
        <v>#N/A</v>
      </c>
      <c r="H157" s="377" t="str">
        <f>_xll.BDH($C$139,$C$151,"FY"&amp;H$133,"FY"&amp;H$133,"Period=FY","BEST_FPERIOD_OVERRIDE=FY","FILING_STATUS=MR","SCALING_FORMAT=K","FA_ADJUSTED=Adjusted","Sort=A","Dates=H","DateFormat=P","Fill=NA","Direction=H","UseDPDF=Y")</f>
        <v>#N/A</v>
      </c>
      <c r="I157" s="377" t="str">
        <f>_xll.BDH($C$139,$C$151,"FY"&amp;I$133,"FY"&amp;I$133,"Period=FY","BEST_FPERIOD_OVERRIDE=FY","FILING_STATUS=MR","SCALING_FORMAT=K","FA_ADJUSTED=Adjusted","Sort=A","Dates=H","DateFormat=P","Fill=NA","Direction=H","UseDPDF=Y")</f>
        <v>#N/A</v>
      </c>
      <c r="J157" s="377" t="str">
        <f>_xll.BDH($C$139,$C$151,"FY"&amp;J$133,"FY"&amp;J$133,"Period=FY","BEST_FPERIOD_OVERRIDE=FY","FILING_STATUS=MR","SCALING_FORMAT=K","FA_ADJUSTED=Adjusted","Sort=A","Dates=H","DateFormat=P","Fill=NA","Direction=H","UseDPDF=Y")</f>
        <v>#N/A</v>
      </c>
      <c r="K157" s="377" t="str">
        <f>_xll.BDH($C$139,$C$151,"FY"&amp;K$133,"FY"&amp;K$133,"Period=FY","BEST_FPERIOD_OVERRIDE=FY","FILING_STATUS=MR","SCALING_FORMAT=K","FA_ADJUSTED=Adjusted","Sort=A","Dates=H","DateFormat=P","Fill=NA","Direction=H","UseDPDF=Y")</f>
        <v>#N/A</v>
      </c>
      <c r="L157" s="377" t="str">
        <f>_xll.BDH($C$139,$C$151,"FY"&amp;L$133,"FY"&amp;L$133,"Period=FY","BEST_FPERIOD_OVERRIDE=FY","FILING_STATUS=MR","SCALING_FORMAT=K","FA_ADJUSTED=Adjusted","Sort=A","Dates=H","DateFormat=P","Fill=NA","Direction=H","UseDPDF=Y")</f>
        <v>#N/A</v>
      </c>
      <c r="M157" s="377" t="str">
        <f>_xll.BDH($C$139,$C$151,"FY"&amp;M$133,"FY"&amp;M$133,"Period=FY","BEST_FPERIOD_OVERRIDE=FY","FILING_STATUS=MR","SCALING_FORMAT=K","FA_ADJUSTED=Adjusted","Sort=A","Dates=H","DateFormat=P","Fill=NA","Direction=H","UseDPDF=Y")</f>
        <v>#N/A</v>
      </c>
      <c r="N157" s="377" t="str">
        <f>_xll.BDH($C$139,$C$151,"FY"&amp;N$133,"FY"&amp;N$133,"Period=FY","BEST_FPERIOD_OVERRIDE=FY","FILING_STATUS=MR","SCALING_FORMAT=K","FA_ADJUSTED=Adjusted","Sort=A","Dates=H","DateFormat=P","Fill=NA","Direction=H","UseDPDF=Y")</f>
        <v>#N/A</v>
      </c>
      <c r="O157" s="377"/>
      <c r="P157" s="377" t="e">
        <f t="shared" si="9"/>
        <v>#VALUE!</v>
      </c>
      <c r="Q157" s="377" t="e">
        <f t="shared" si="9"/>
        <v>#VALUE!</v>
      </c>
      <c r="R157" s="377" t="e">
        <f t="shared" si="9"/>
        <v>#VALUE!</v>
      </c>
      <c r="S157" s="377" t="e">
        <f t="shared" si="9"/>
        <v>#VALUE!</v>
      </c>
      <c r="T157" s="377" t="e">
        <f t="shared" si="9"/>
        <v>#VALUE!</v>
      </c>
      <c r="U157" s="377" t="e">
        <f t="shared" si="9"/>
        <v>#VALUE!</v>
      </c>
      <c r="V157" s="377" t="e">
        <f t="shared" si="9"/>
        <v>#VALUE!</v>
      </c>
      <c r="W157" s="377" t="e">
        <f t="shared" si="9"/>
        <v>#VALUE!</v>
      </c>
    </row>
    <row r="158" spans="2:23" ht="15" customHeight="1">
      <c r="B158" s="377" t="str">
        <f>+_xll.BDP(C158,"SHORT_NAME")</f>
        <v>VESTE SA ESTILO</v>
      </c>
      <c r="C158" s="531" t="str">
        <f>+Inputs!$E$25</f>
        <v>VSTE3 BZ Equity</v>
      </c>
      <c r="D158" s="377"/>
      <c r="E158" s="378"/>
      <c r="F158" s="377"/>
      <c r="G158" s="377" t="str">
        <f>_xll.BDH($C$140,$C$151,"FY"&amp;G$133,"FY"&amp;G$133,"Period=FY","BEST_FPERIOD_OVERRIDE=FY","FILING_STATUS=MR","SCALING_FORMAT=K","FA_ADJUSTED=Adjusted","Sort=A","Dates=H","DateFormat=P","Fill=NA","Direction=H","UseDPDF=Y")</f>
        <v>#N/A</v>
      </c>
      <c r="H158" s="377" t="str">
        <f>_xll.BDH($C$140,$C$151,"FY"&amp;H$133,"FY"&amp;H$133,"Period=FY","BEST_FPERIOD_OVERRIDE=FY","FILING_STATUS=MR","SCALING_FORMAT=K","FA_ADJUSTED=Adjusted","Sort=A","Dates=H","DateFormat=P","Fill=NA","Direction=H","UseDPDF=Y")</f>
        <v>#N/A</v>
      </c>
      <c r="I158" s="377" t="str">
        <f>_xll.BDH($C$140,$C$151,"FY"&amp;I$133,"FY"&amp;I$133,"Period=FY","BEST_FPERIOD_OVERRIDE=FY","FILING_STATUS=MR","SCALING_FORMAT=K","FA_ADJUSTED=Adjusted","Sort=A","Dates=H","DateFormat=P","Fill=NA","Direction=H","UseDPDF=Y")</f>
        <v>#N/A</v>
      </c>
      <c r="J158" s="377" t="str">
        <f>_xll.BDH($C$140,$C$151,"FY"&amp;J$133,"FY"&amp;J$133,"Period=FY","BEST_FPERIOD_OVERRIDE=FY","FILING_STATUS=MR","SCALING_FORMAT=K","FA_ADJUSTED=Adjusted","Sort=A","Dates=H","DateFormat=P","Fill=NA","Direction=H","UseDPDF=Y")</f>
        <v>#N/A</v>
      </c>
      <c r="K158" s="377" t="str">
        <f>_xll.BDH($C$140,$C$151,"FY"&amp;K$133,"FY"&amp;K$133,"Period=FY","BEST_FPERIOD_OVERRIDE=FY","FILING_STATUS=MR","SCALING_FORMAT=K","FA_ADJUSTED=Adjusted","Sort=A","Dates=H","DateFormat=P","Fill=NA","Direction=H","UseDPDF=Y")</f>
        <v>#N/A</v>
      </c>
      <c r="L158" s="377" t="str">
        <f>_xll.BDH($C$140,$C$151,"FY"&amp;L$133,"FY"&amp;L$133,"Period=FY","BEST_FPERIOD_OVERRIDE=FY","FILING_STATUS=MR","SCALING_FORMAT=K","FA_ADJUSTED=Adjusted","Sort=A","Dates=H","DateFormat=P","Fill=NA","Direction=H","UseDPDF=Y")</f>
        <v>#N/A</v>
      </c>
      <c r="M158" s="377" t="str">
        <f>_xll.BDH($C$140,$C$151,"FY"&amp;M$133,"FY"&amp;M$133,"Period=FY","BEST_FPERIOD_OVERRIDE=FY","FILING_STATUS=MR","SCALING_FORMAT=K","FA_ADJUSTED=Adjusted","Sort=A","Dates=H","DateFormat=P","Fill=NA","Direction=H","UseDPDF=Y")</f>
        <v>#N/A</v>
      </c>
      <c r="N158" s="377" t="str">
        <f>_xll.BDH($C$140,$C$151,"FY"&amp;N$133,"FY"&amp;N$133,"Period=FY","BEST_FPERIOD_OVERRIDE=FY","FILING_STATUS=MR","SCALING_FORMAT=K","FA_ADJUSTED=Adjusted","Sort=A","Dates=H","DateFormat=P","Fill=NA","Direction=H","UseDPDF=Y")</f>
        <v>#N/A</v>
      </c>
      <c r="O158" s="377"/>
      <c r="P158" s="377" t="e">
        <f t="shared" si="9"/>
        <v>#VALUE!</v>
      </c>
      <c r="Q158" s="377" t="e">
        <f t="shared" si="9"/>
        <v>#VALUE!</v>
      </c>
      <c r="R158" s="377" t="e">
        <f t="shared" si="9"/>
        <v>#VALUE!</v>
      </c>
      <c r="S158" s="377" t="e">
        <f t="shared" si="9"/>
        <v>#VALUE!</v>
      </c>
      <c r="T158" s="377" t="e">
        <f t="shared" si="9"/>
        <v>#VALUE!</v>
      </c>
      <c r="U158" s="377" t="e">
        <f t="shared" si="9"/>
        <v>#VALUE!</v>
      </c>
      <c r="V158" s="377" t="e">
        <f t="shared" si="9"/>
        <v>#VALUE!</v>
      </c>
      <c r="W158" s="377" t="e">
        <f t="shared" si="9"/>
        <v>#VALUE!</v>
      </c>
    </row>
    <row r="159" spans="2:23" ht="15" customHeight="1">
      <c r="B159" s="377"/>
      <c r="C159" s="377"/>
      <c r="D159" s="377"/>
      <c r="E159" s="378"/>
      <c r="F159" s="377"/>
      <c r="G159" s="377"/>
      <c r="H159" s="377"/>
      <c r="I159" s="377"/>
      <c r="J159" s="377"/>
      <c r="K159" s="377"/>
      <c r="L159" s="377"/>
      <c r="M159" s="377"/>
      <c r="N159" s="377"/>
      <c r="O159" s="377"/>
      <c r="P159" s="377"/>
      <c r="Q159" s="377"/>
      <c r="R159" s="377"/>
      <c r="S159" s="377"/>
      <c r="T159" s="377"/>
      <c r="U159" s="377"/>
      <c r="V159" s="377"/>
      <c r="W159" s="377"/>
    </row>
    <row r="160" spans="2:23" ht="15" customHeight="1">
      <c r="B160" s="381" t="s">
        <v>772</v>
      </c>
      <c r="C160" s="532" t="s">
        <v>773</v>
      </c>
      <c r="D160" s="382"/>
      <c r="E160" s="32"/>
      <c r="F160" s="385"/>
      <c r="G160" s="385">
        <v>2017</v>
      </c>
      <c r="H160" s="385">
        <f t="shared" ref="H160:N160" si="10">+G160+1</f>
        <v>2018</v>
      </c>
      <c r="I160" s="385">
        <f t="shared" si="10"/>
        <v>2019</v>
      </c>
      <c r="J160" s="385">
        <f t="shared" si="10"/>
        <v>2020</v>
      </c>
      <c r="K160" s="385">
        <f t="shared" si="10"/>
        <v>2021</v>
      </c>
      <c r="L160" s="385">
        <f t="shared" si="10"/>
        <v>2022</v>
      </c>
      <c r="M160" s="385">
        <f t="shared" si="10"/>
        <v>2023</v>
      </c>
      <c r="N160" s="385">
        <f t="shared" si="10"/>
        <v>2024</v>
      </c>
      <c r="O160" s="377"/>
      <c r="P160" s="385">
        <v>2017</v>
      </c>
      <c r="Q160" s="385">
        <f t="shared" ref="Q160:W160" si="11">+P160+1</f>
        <v>2018</v>
      </c>
      <c r="R160" s="385">
        <f t="shared" si="11"/>
        <v>2019</v>
      </c>
      <c r="S160" s="385">
        <f t="shared" si="11"/>
        <v>2020</v>
      </c>
      <c r="T160" s="385">
        <f t="shared" si="11"/>
        <v>2021</v>
      </c>
      <c r="U160" s="385">
        <f t="shared" si="11"/>
        <v>2022</v>
      </c>
      <c r="V160" s="385">
        <f t="shared" si="11"/>
        <v>2023</v>
      </c>
      <c r="W160" s="385">
        <f t="shared" si="11"/>
        <v>2024</v>
      </c>
    </row>
    <row r="161" spans="2:23" ht="3.95" customHeight="1">
      <c r="B161" s="386"/>
      <c r="C161" s="386"/>
      <c r="D161" s="386"/>
      <c r="E161" s="387"/>
      <c r="F161" s="388"/>
      <c r="G161" s="388"/>
      <c r="H161" s="388"/>
      <c r="I161" s="388"/>
      <c r="J161" s="388"/>
      <c r="K161" s="388"/>
      <c r="L161" s="388"/>
      <c r="M161" s="388"/>
      <c r="N161" s="388"/>
      <c r="O161" s="377"/>
      <c r="P161" s="388"/>
      <c r="Q161" s="388"/>
      <c r="R161" s="388"/>
      <c r="S161" s="388"/>
      <c r="T161" s="388"/>
      <c r="U161" s="388"/>
      <c r="V161" s="388"/>
      <c r="W161" s="388"/>
    </row>
    <row r="162" spans="2:23" ht="15" customHeight="1">
      <c r="B162" s="377" t="str">
        <f>+_xll.BDP(C162,"SHORT_NAME")</f>
        <v>AZZAS 2154 SA</v>
      </c>
      <c r="C162" s="531" t="str">
        <f>Inputs!$D$15</f>
        <v>AZZA3 BZ Equity</v>
      </c>
      <c r="D162" s="377"/>
      <c r="E162" s="378"/>
      <c r="F162" s="377"/>
      <c r="G162" s="377" t="str">
        <f>_xll.BDH($C$135,$C$160,"FY"&amp;G$133,"FY"&amp;G$133,"Period=FY","BEST_FPERIOD_OVERRIDE=FY","FILING_STATUS=MR","SCALING_FORMAT=K","FA_ADJUSTED=Adjusted","Sort=A","Dates=H","DateFormat=P","Fill=NA","Direction=H","UseDPDF=Y")</f>
        <v>#N/A</v>
      </c>
      <c r="H162" s="377" t="str">
        <f>_xll.BDH($C$135,$C$160,"FY"&amp;H$133,"FY"&amp;H$133,"Period=FY","BEST_FPERIOD_OVERRIDE=FY","FILING_STATUS=MR","SCALING_FORMAT=K","FA_ADJUSTED=Adjusted","Sort=A","Dates=H","DateFormat=P","Fill=NA","Direction=H","UseDPDF=Y")</f>
        <v>#N/A</v>
      </c>
      <c r="I162" s="377" t="str">
        <f>_xll.BDH($C$135,$C$160,"FY"&amp;I$133,"FY"&amp;I$133,"Period=FY","BEST_FPERIOD_OVERRIDE=FY","FILING_STATUS=MR","SCALING_FORMAT=K","FA_ADJUSTED=Adjusted","Sort=A","Dates=H","DateFormat=P","Fill=NA","Direction=H","UseDPDF=Y")</f>
        <v>#N/A</v>
      </c>
      <c r="J162" s="377" t="str">
        <f>_xll.BDH($C$135,$C$160,"FY"&amp;J$133,"FY"&amp;J$133,"Period=FY","BEST_FPERIOD_OVERRIDE=FY","FILING_STATUS=MR","SCALING_FORMAT=K","FA_ADJUSTED=Adjusted","Sort=A","Dates=H","DateFormat=P","Fill=NA","Direction=H","UseDPDF=Y")</f>
        <v>#N/A</v>
      </c>
      <c r="K162" s="377">
        <f>_xll.BDH($C$135,$C$160,"FY"&amp;K$133,"FY"&amp;K$133,"Period=FY","BEST_FPERIOD_OVERRIDE=FY","FILING_STATUS=MR","SCALING_FORMAT=K","FA_ADJUSTED=Adjusted","Sort=A","Dates=H","DateFormat=P","Fill=NA","Direction=H","UseDPDF=Y")</f>
        <v>0.81200000000000006</v>
      </c>
      <c r="L162" s="377">
        <f>_xll.BDH($C$135,$C$160,"FY"&amp;L$133,"FY"&amp;L$133,"Period=FY","BEST_FPERIOD_OVERRIDE=FY","FILING_STATUS=MR","SCALING_FORMAT=K","FA_ADJUSTED=Adjusted","Sort=A","Dates=H","DateFormat=P","Fill=NA","Direction=H","UseDPDF=Y")</f>
        <v>1.1499999999999999</v>
      </c>
      <c r="M162" s="377">
        <f>_xll.BDH($C$135,$C$160,"FY"&amp;M$133,"FY"&amp;M$133,"Period=FY","BEST_FPERIOD_OVERRIDE=FY","FILING_STATUS=MR","SCALING_FORMAT=K","FA_ADJUSTED=Adjusted","Sort=A","Dates=H","DateFormat=P","Fill=NA","Direction=H","UseDPDF=Y")</f>
        <v>1.754</v>
      </c>
      <c r="N162" s="377">
        <f>_xll.BDH($C$135,$C$160,"FY"&amp;N$133,"FY"&amp;N$133,"Period=FY","BEST_FPERIOD_OVERRIDE=FY","FILING_STATUS=MR","SCALING_FORMAT=K","FA_ADJUSTED=Adjusted","Sort=A","Dates=H","DateFormat=P","Fill=NA","Direction=H","UseDPDF=Y")</f>
        <v>10.249000000000001</v>
      </c>
      <c r="O162" s="377"/>
      <c r="P162" s="377" t="e">
        <f t="shared" ref="P162:W167" si="12">+G162/G171</f>
        <v>#VALUE!</v>
      </c>
      <c r="Q162" s="377" t="e">
        <f t="shared" si="12"/>
        <v>#VALUE!</v>
      </c>
      <c r="R162" s="377" t="e">
        <f t="shared" si="12"/>
        <v>#VALUE!</v>
      </c>
      <c r="S162" s="377" t="e">
        <f t="shared" si="12"/>
        <v>#VALUE!</v>
      </c>
      <c r="T162" s="377">
        <f t="shared" si="12"/>
        <v>2.7771820972991902E-4</v>
      </c>
      <c r="U162" s="377">
        <f t="shared" si="12"/>
        <v>2.7162834817368909E-4</v>
      </c>
      <c r="V162" s="377">
        <f t="shared" si="12"/>
        <v>3.6189064547756362E-4</v>
      </c>
      <c r="W162" s="377">
        <f t="shared" si="12"/>
        <v>1.2230670760820755E-3</v>
      </c>
    </row>
    <row r="163" spans="2:23" ht="15" customHeight="1">
      <c r="B163" s="377" t="str">
        <f>+_xll.BDP(C163,"SHORT_NAME")</f>
        <v>GUARARAPES</v>
      </c>
      <c r="C163" s="531" t="str">
        <f>+Inputs!$E$21</f>
        <v>GUAR3 BZ Equity</v>
      </c>
      <c r="D163" s="377"/>
      <c r="E163" s="378"/>
      <c r="F163" s="377"/>
      <c r="G163" s="377" t="str">
        <f>_xll.BDH($C$136,$C$160,"FY"&amp;G$133,"FY"&amp;G$133,"Period=FY","BEST_FPERIOD_OVERRIDE=FY","FILING_STATUS=MR","SCALING_FORMAT=K","FA_ADJUSTED=Adjusted","Sort=A","Dates=H","DateFormat=P","Fill=NA","Direction=H","UseDPDF=Y")</f>
        <v>#N/A</v>
      </c>
      <c r="H163" s="377" t="str">
        <f>_xll.BDH($C$136,$C$160,"FY"&amp;H$133,"FY"&amp;H$133,"Period=FY","BEST_FPERIOD_OVERRIDE=FY","FILING_STATUS=MR","SCALING_FORMAT=K","FA_ADJUSTED=Adjusted","Sort=A","Dates=H","DateFormat=P","Fill=NA","Direction=H","UseDPDF=Y")</f>
        <v>#N/A</v>
      </c>
      <c r="I163" s="377">
        <f>_xll.BDH($C$136,$C$160,"FY"&amp;I$133,"FY"&amp;I$133,"Period=FY","BEST_FPERIOD_OVERRIDE=FY","FILING_STATUS=MR","SCALING_FORMAT=K","FA_ADJUSTED=Adjusted","Sort=A","Dates=H","DateFormat=P","Fill=NA","Direction=H","UseDPDF=Y")</f>
        <v>12.672000000000001</v>
      </c>
      <c r="J163" s="377">
        <f>_xll.BDH($C$136,$C$160,"FY"&amp;J$133,"FY"&amp;J$133,"Period=FY","BEST_FPERIOD_OVERRIDE=FY","FILING_STATUS=MR","SCALING_FORMAT=K","FA_ADJUSTED=Adjusted","Sort=A","Dates=H","DateFormat=P","Fill=NA","Direction=H","UseDPDF=Y")</f>
        <v>8.6829999999999998</v>
      </c>
      <c r="K163" s="377">
        <f>_xll.BDH($C$136,$C$160,"FY"&amp;K$133,"FY"&amp;K$133,"Period=FY","BEST_FPERIOD_OVERRIDE=FY","FILING_STATUS=MR","SCALING_FORMAT=K","FA_ADJUSTED=Adjusted","Sort=A","Dates=H","DateFormat=P","Fill=NA","Direction=H","UseDPDF=Y")</f>
        <v>12.114000000000001</v>
      </c>
      <c r="L163" s="377">
        <f>_xll.BDH($C$136,$C$160,"FY"&amp;L$133,"FY"&amp;L$133,"Period=FY","BEST_FPERIOD_OVERRIDE=FY","FILING_STATUS=MR","SCALING_FORMAT=K","FA_ADJUSTED=Adjusted","Sort=A","Dates=H","DateFormat=P","Fill=NA","Direction=H","UseDPDF=Y")</f>
        <v>11.978</v>
      </c>
      <c r="M163" s="377">
        <f>_xll.BDH($C$136,$C$160,"FY"&amp;M$133,"FY"&amp;M$133,"Period=FY","BEST_FPERIOD_OVERRIDE=FY","FILING_STATUS=MR","SCALING_FORMAT=K","FA_ADJUSTED=Adjusted","Sort=A","Dates=H","DateFormat=P","Fill=NA","Direction=H","UseDPDF=Y")</f>
        <v>10.298999999999999</v>
      </c>
      <c r="N163" s="377">
        <f>_xll.BDH($C$136,$C$160,"FY"&amp;N$133,"FY"&amp;N$133,"Period=FY","BEST_FPERIOD_OVERRIDE=FY","FILING_STATUS=MR","SCALING_FORMAT=K","FA_ADJUSTED=Adjusted","Sort=A","Dates=H","DateFormat=P","Fill=NA","Direction=H","UseDPDF=Y")</f>
        <v>11.759</v>
      </c>
      <c r="O163" s="377"/>
      <c r="P163" s="377" t="e">
        <f t="shared" si="12"/>
        <v>#VALUE!</v>
      </c>
      <c r="Q163" s="377" t="e">
        <f t="shared" si="12"/>
        <v>#VALUE!</v>
      </c>
      <c r="R163" s="377">
        <f t="shared" si="12"/>
        <v>1.6229416739967143E-3</v>
      </c>
      <c r="S163" s="377">
        <f t="shared" si="12"/>
        <v>1.3903094963758763E-3</v>
      </c>
      <c r="T163" s="377">
        <f t="shared" si="12"/>
        <v>1.6775649301686249E-3</v>
      </c>
      <c r="U163" s="377">
        <f t="shared" si="12"/>
        <v>1.4160630350210192E-3</v>
      </c>
      <c r="V163" s="377">
        <f t="shared" si="12"/>
        <v>1.1709548620151518E-3</v>
      </c>
      <c r="W163" s="377">
        <f t="shared" si="12"/>
        <v>1.2205467455702374E-3</v>
      </c>
    </row>
    <row r="164" spans="2:23" ht="15" customHeight="1">
      <c r="B164" s="377" t="str">
        <f>+_xll.BDP(C164,"SHORT_NAME")</f>
        <v>LOJAS RENNER SA</v>
      </c>
      <c r="C164" s="531" t="str">
        <f>+Inputs!$E$22</f>
        <v>LREN3 BZ Equity</v>
      </c>
      <c r="D164" s="377"/>
      <c r="E164" s="378"/>
      <c r="F164" s="377"/>
      <c r="G164" s="377">
        <f>_xll.BDH($C$137,$C$160,"FY"&amp;G$133,"FY"&amp;G$133,"Period=FY","BEST_FPERIOD_OVERRIDE=FY","FILING_STATUS=MR","SCALING_FORMAT=K","FA_ADJUSTED=Adjusted","Sort=A","Dates=H","DateFormat=P","Fill=NA","Direction=H","UseDPDF=Y")</f>
        <v>2.4420000000000002</v>
      </c>
      <c r="H164" s="377">
        <f>_xll.BDH($C$137,$C$160,"FY"&amp;H$133,"FY"&amp;H$133,"Period=FY","BEST_FPERIOD_OVERRIDE=FY","FILING_STATUS=MR","SCALING_FORMAT=K","FA_ADJUSTED=Adjusted","Sort=A","Dates=H","DateFormat=P","Fill=NA","Direction=H","UseDPDF=Y")</f>
        <v>2.3279999999999998</v>
      </c>
      <c r="I164" s="377">
        <f>_xll.BDH($C$137,$C$160,"FY"&amp;I$133,"FY"&amp;I$133,"Period=FY","BEST_FPERIOD_OVERRIDE=FY","FILING_STATUS=MR","SCALING_FORMAT=K","FA_ADJUSTED=Adjusted","Sort=A","Dates=H","DateFormat=P","Fill=NA","Direction=H","UseDPDF=Y")</f>
        <v>2.984</v>
      </c>
      <c r="J164" s="377">
        <f>_xll.BDH($C$137,$C$160,"FY"&amp;J$133,"FY"&amp;J$133,"Period=FY","BEST_FPERIOD_OVERRIDE=FY","FILING_STATUS=MR","SCALING_FORMAT=K","FA_ADJUSTED=Adjusted","Sort=A","Dates=H","DateFormat=P","Fill=NA","Direction=H","UseDPDF=Y")</f>
        <v>2.351</v>
      </c>
      <c r="K164" s="377">
        <f>_xll.BDH($C$137,$C$160,"FY"&amp;K$133,"FY"&amp;K$133,"Period=FY","BEST_FPERIOD_OVERRIDE=FY","FILING_STATUS=MR","SCALING_FORMAT=K","FA_ADJUSTED=Adjusted","Sort=A","Dates=H","DateFormat=P","Fill=NA","Direction=H","UseDPDF=Y")</f>
        <v>2.7719999999999998</v>
      </c>
      <c r="L164" s="377">
        <f>_xll.BDH($C$137,$C$160,"FY"&amp;L$133,"FY"&amp;L$133,"Period=FY","BEST_FPERIOD_OVERRIDE=FY","FILING_STATUS=MR","SCALING_FORMAT=K","FA_ADJUSTED=Adjusted","Sort=A","Dates=H","DateFormat=P","Fill=NA","Direction=H","UseDPDF=Y")</f>
        <v>3.5379999999999998</v>
      </c>
      <c r="M164" s="377">
        <f>_xll.BDH($C$137,$C$160,"FY"&amp;M$133,"FY"&amp;M$133,"Period=FY","BEST_FPERIOD_OVERRIDE=FY","FILING_STATUS=MR","SCALING_FORMAT=K","FA_ADJUSTED=Adjusted","Sort=A","Dates=H","DateFormat=P","Fill=NA","Direction=H","UseDPDF=Y")</f>
        <v>6.0339999999999998</v>
      </c>
      <c r="N164" s="377">
        <f>_xll.BDH($C$137,$C$160,"FY"&amp;N$133,"FY"&amp;N$133,"Period=FY","BEST_FPERIOD_OVERRIDE=FY","FILING_STATUS=MR","SCALING_FORMAT=K","FA_ADJUSTED=Adjusted","Sort=A","Dates=H","DateFormat=P","Fill=NA","Direction=H","UseDPDF=Y")</f>
        <v>9.6020000000000003</v>
      </c>
      <c r="O164" s="377"/>
      <c r="P164" s="377">
        <f t="shared" si="12"/>
        <v>3.2803599530110603E-4</v>
      </c>
      <c r="Q164" s="377">
        <f t="shared" si="12"/>
        <v>2.7626994279147281E-4</v>
      </c>
      <c r="R164" s="377">
        <f t="shared" si="12"/>
        <v>3.1120817709914556E-4</v>
      </c>
      <c r="S164" s="377">
        <f t="shared" si="12"/>
        <v>3.1192037340225387E-4</v>
      </c>
      <c r="T164" s="377">
        <f t="shared" si="12"/>
        <v>2.6221280744971934E-4</v>
      </c>
      <c r="U164" s="377">
        <f t="shared" si="12"/>
        <v>2.6659358576435458E-4</v>
      </c>
      <c r="V164" s="377">
        <f t="shared" si="12"/>
        <v>4.4212095253984708E-4</v>
      </c>
      <c r="W164" s="377">
        <f t="shared" si="12"/>
        <v>6.6512583568468684E-4</v>
      </c>
    </row>
    <row r="165" spans="2:23" ht="15" customHeight="1">
      <c r="B165" s="377" t="str">
        <f>+_xll.BDP(C165,"SHORT_NAME")</f>
        <v>C&amp;A MODAS LTDA</v>
      </c>
      <c r="C165" s="531" t="str">
        <f>+Inputs!$E$23</f>
        <v>CEAB3 BZ EQUITY</v>
      </c>
      <c r="D165" s="377"/>
      <c r="E165" s="378"/>
      <c r="F165" s="377"/>
      <c r="G165" s="377" t="str">
        <f>_xll.BDH($C$138,$C$160,"FY"&amp;G$133,"FY"&amp;G$133,"Period=FY","BEST_FPERIOD_OVERRIDE=FY","FILING_STATUS=MR","SCALING_FORMAT=K","FA_ADJUSTED=Adjusted","Sort=A","Dates=H","DateFormat=P","Fill=NA","Direction=H","UseDPDF=Y")</f>
        <v>#N/A</v>
      </c>
      <c r="H165" s="377" t="str">
        <f>_xll.BDH($C$138,$C$160,"FY"&amp;H$133,"FY"&amp;H$133,"Period=FY","BEST_FPERIOD_OVERRIDE=FY","FILING_STATUS=MR","SCALING_FORMAT=K","FA_ADJUSTED=Adjusted","Sort=A","Dates=H","DateFormat=P","Fill=NA","Direction=H","UseDPDF=Y")</f>
        <v>#N/A</v>
      </c>
      <c r="I165" s="377">
        <f>_xll.BDH($C$138,$C$160,"FY"&amp;I$133,"FY"&amp;I$133,"Period=FY","BEST_FPERIOD_OVERRIDE=FY","FILING_STATUS=MR","SCALING_FORMAT=K","FA_ADJUSTED=Adjusted","Sort=A","Dates=H","DateFormat=P","Fill=NA","Direction=H","UseDPDF=Y")</f>
        <v>10.074999999999999</v>
      </c>
      <c r="J165" s="377">
        <f>_xll.BDH($C$138,$C$160,"FY"&amp;J$133,"FY"&amp;J$133,"Period=FY","BEST_FPERIOD_OVERRIDE=FY","FILING_STATUS=MR","SCALING_FORMAT=K","FA_ADJUSTED=Adjusted","Sort=A","Dates=H","DateFormat=P","Fill=NA","Direction=H","UseDPDF=Y")</f>
        <v>6.5149999999999997</v>
      </c>
      <c r="K165" s="377">
        <f>_xll.BDH($C$138,$C$160,"FY"&amp;K$133,"FY"&amp;K$133,"Period=FY","BEST_FPERIOD_OVERRIDE=FY","FILING_STATUS=MR","SCALING_FORMAT=K","FA_ADJUSTED=Adjusted","Sort=A","Dates=H","DateFormat=P","Fill=NA","Direction=H","UseDPDF=Y")</f>
        <v>6.93</v>
      </c>
      <c r="L165" s="377">
        <f>_xll.BDH($C$138,$C$160,"FY"&amp;L$133,"FY"&amp;L$133,"Period=FY","BEST_FPERIOD_OVERRIDE=FY","FILING_STATUS=MR","SCALING_FORMAT=K","FA_ADJUSTED=Adjusted","Sort=A","Dates=H","DateFormat=P","Fill=NA","Direction=H","UseDPDF=Y")</f>
        <v>1.194</v>
      </c>
      <c r="M165" s="377">
        <f>_xll.BDH($C$138,$C$160,"FY"&amp;M$133,"FY"&amp;M$133,"Period=FY","BEST_FPERIOD_OVERRIDE=FY","FILING_STATUS=MR","SCALING_FORMAT=K","FA_ADJUSTED=Adjusted","Sort=A","Dates=H","DateFormat=P","Fill=NA","Direction=H","UseDPDF=Y")</f>
        <v>16.901</v>
      </c>
      <c r="N165" s="377">
        <f>_xll.BDH($C$138,$C$160,"FY"&amp;N$133,"FY"&amp;N$133,"Period=FY","BEST_FPERIOD_OVERRIDE=FY","FILING_STATUS=MR","SCALING_FORMAT=K","FA_ADJUSTED=Adjusted","Sort=A","Dates=H","DateFormat=P","Fill=NA","Direction=H","UseDPDF=Y")</f>
        <v>1.083</v>
      </c>
      <c r="O165" s="377"/>
      <c r="P165" s="377" t="e">
        <f t="shared" si="12"/>
        <v>#VALUE!</v>
      </c>
      <c r="Q165" s="377" t="e">
        <f t="shared" si="12"/>
        <v>#VALUE!</v>
      </c>
      <c r="R165" s="377">
        <f t="shared" si="12"/>
        <v>1.9062752120269975E-3</v>
      </c>
      <c r="S165" s="377">
        <f t="shared" si="12"/>
        <v>1.5946695203459269E-3</v>
      </c>
      <c r="T165" s="377">
        <f t="shared" si="12"/>
        <v>1.3447941620797154E-3</v>
      </c>
      <c r="U165" s="377">
        <f t="shared" si="12"/>
        <v>1.9309296439747392E-4</v>
      </c>
      <c r="V165" s="377">
        <f t="shared" si="12"/>
        <v>2.5152854077281962E-3</v>
      </c>
      <c r="W165" s="377">
        <f t="shared" si="12"/>
        <v>1.4181817181841146E-4</v>
      </c>
    </row>
    <row r="166" spans="2:23" ht="15" customHeight="1">
      <c r="B166" s="377" t="str">
        <f>+_xll.BDP(C166,"SHORT_NAME")</f>
        <v>MARISA LOJAS SA</v>
      </c>
      <c r="C166" s="531" t="str">
        <f>+Inputs!$E$24</f>
        <v>AMAR3 BZ Equity</v>
      </c>
      <c r="D166" s="377"/>
      <c r="E166" s="378"/>
      <c r="F166" s="377"/>
      <c r="G166" s="377" t="str">
        <f>_xll.BDH($C$139,$C$160,"FY"&amp;G$133,"FY"&amp;G$133,"Period=FY","BEST_FPERIOD_OVERRIDE=FY","FILING_STATUS=MR","SCALING_FORMAT=K","FA_ADJUSTED=Adjusted","Sort=A","Dates=H","DateFormat=P","Fill=NA","Direction=H","UseDPDF=Y")</f>
        <v>#N/A</v>
      </c>
      <c r="H166" s="377" t="str">
        <f>_xll.BDH($C$139,$C$160,"FY"&amp;H$133,"FY"&amp;H$133,"Period=FY","BEST_FPERIOD_OVERRIDE=FY","FILING_STATUS=MR","SCALING_FORMAT=K","FA_ADJUSTED=Adjusted","Sort=A","Dates=H","DateFormat=P","Fill=NA","Direction=H","UseDPDF=Y")</f>
        <v>#N/A</v>
      </c>
      <c r="I166" s="377" t="str">
        <f>_xll.BDH($C$139,$C$160,"FY"&amp;I$133,"FY"&amp;I$133,"Period=FY","BEST_FPERIOD_OVERRIDE=FY","FILING_STATUS=MR","SCALING_FORMAT=K","FA_ADJUSTED=Adjusted","Sort=A","Dates=H","DateFormat=P","Fill=NA","Direction=H","UseDPDF=Y")</f>
        <v>#N/A</v>
      </c>
      <c r="J166" s="377" t="str">
        <f>_xll.BDH($C$139,$C$160,"FY"&amp;J$133,"FY"&amp;J$133,"Period=FY","BEST_FPERIOD_OVERRIDE=FY","FILING_STATUS=MR","SCALING_FORMAT=K","FA_ADJUSTED=Adjusted","Sort=A","Dates=H","DateFormat=P","Fill=NA","Direction=H","UseDPDF=Y")</f>
        <v>#N/A</v>
      </c>
      <c r="K166" s="377" t="str">
        <f>_xll.BDH($C$139,$C$160,"FY"&amp;K$133,"FY"&amp;K$133,"Period=FY","BEST_FPERIOD_OVERRIDE=FY","FILING_STATUS=MR","SCALING_FORMAT=K","FA_ADJUSTED=Adjusted","Sort=A","Dates=H","DateFormat=P","Fill=NA","Direction=H","UseDPDF=Y")</f>
        <v>#N/A</v>
      </c>
      <c r="L166" s="377" t="str">
        <f>_xll.BDH($C$139,$C$160,"FY"&amp;L$133,"FY"&amp;L$133,"Period=FY","BEST_FPERIOD_OVERRIDE=FY","FILING_STATUS=MR","SCALING_FORMAT=K","FA_ADJUSTED=Adjusted","Sort=A","Dates=H","DateFormat=P","Fill=NA","Direction=H","UseDPDF=Y")</f>
        <v>#N/A</v>
      </c>
      <c r="M166" s="377" t="str">
        <f>_xll.BDH($C$139,$C$160,"FY"&amp;M$133,"FY"&amp;M$133,"Period=FY","BEST_FPERIOD_OVERRIDE=FY","FILING_STATUS=MR","SCALING_FORMAT=K","FA_ADJUSTED=Adjusted","Sort=A","Dates=H","DateFormat=P","Fill=NA","Direction=H","UseDPDF=Y")</f>
        <v>#N/A</v>
      </c>
      <c r="N166" s="377" t="str">
        <f>_xll.BDH($C$139,$C$160,"FY"&amp;N$133,"FY"&amp;N$133,"Period=FY","BEST_FPERIOD_OVERRIDE=FY","FILING_STATUS=MR","SCALING_FORMAT=K","FA_ADJUSTED=Adjusted","Sort=A","Dates=H","DateFormat=P","Fill=NA","Direction=H","UseDPDF=Y")</f>
        <v>#N/A</v>
      </c>
      <c r="O166" s="377"/>
      <c r="P166" s="377" t="e">
        <f t="shared" si="12"/>
        <v>#VALUE!</v>
      </c>
      <c r="Q166" s="377" t="e">
        <f t="shared" si="12"/>
        <v>#VALUE!</v>
      </c>
      <c r="R166" s="377" t="e">
        <f t="shared" si="12"/>
        <v>#VALUE!</v>
      </c>
      <c r="S166" s="377" t="e">
        <f t="shared" si="12"/>
        <v>#VALUE!</v>
      </c>
      <c r="T166" s="377" t="e">
        <f t="shared" si="12"/>
        <v>#VALUE!</v>
      </c>
      <c r="U166" s="377" t="e">
        <f t="shared" si="12"/>
        <v>#VALUE!</v>
      </c>
      <c r="V166" s="377" t="e">
        <f t="shared" si="12"/>
        <v>#VALUE!</v>
      </c>
      <c r="W166" s="377" t="e">
        <f t="shared" si="12"/>
        <v>#VALUE!</v>
      </c>
    </row>
    <row r="167" spans="2:23" ht="15" customHeight="1">
      <c r="B167" s="377" t="str">
        <f>+_xll.BDP(C167,"SHORT_NAME")</f>
        <v>VESTE SA ESTILO</v>
      </c>
      <c r="C167" s="531" t="str">
        <f>+Inputs!$E$25</f>
        <v>VSTE3 BZ Equity</v>
      </c>
      <c r="D167" s="377"/>
      <c r="E167" s="378"/>
      <c r="F167" s="377"/>
      <c r="G167" s="377" t="str">
        <f>_xll.BDH($C$140,$C$160,"FY"&amp;G$133,"FY"&amp;G$133,"Period=FY","BEST_FPERIOD_OVERRIDE=FY","FILING_STATUS=MR","SCALING_FORMAT=K","FA_ADJUSTED=Adjusted","Sort=A","Dates=H","DateFormat=P","Fill=NA","Direction=H","UseDPDF=Y")</f>
        <v>#N/A</v>
      </c>
      <c r="H167" s="377" t="str">
        <f>_xll.BDH($C$140,$C$160,"FY"&amp;H$133,"FY"&amp;H$133,"Period=FY","BEST_FPERIOD_OVERRIDE=FY","FILING_STATUS=MR","SCALING_FORMAT=K","FA_ADJUSTED=Adjusted","Sort=A","Dates=H","DateFormat=P","Fill=NA","Direction=H","UseDPDF=Y")</f>
        <v>#N/A</v>
      </c>
      <c r="I167" s="377" t="str">
        <f>_xll.BDH($C$140,$C$160,"FY"&amp;I$133,"FY"&amp;I$133,"Period=FY","BEST_FPERIOD_OVERRIDE=FY","FILING_STATUS=MR","SCALING_FORMAT=K","FA_ADJUSTED=Adjusted","Sort=A","Dates=H","DateFormat=P","Fill=NA","Direction=H","UseDPDF=Y")</f>
        <v>#N/A</v>
      </c>
      <c r="J167" s="377" t="str">
        <f>_xll.BDH($C$140,$C$160,"FY"&amp;J$133,"FY"&amp;J$133,"Period=FY","BEST_FPERIOD_OVERRIDE=FY","FILING_STATUS=MR","SCALING_FORMAT=K","FA_ADJUSTED=Adjusted","Sort=A","Dates=H","DateFormat=P","Fill=NA","Direction=H","UseDPDF=Y")</f>
        <v>#N/A</v>
      </c>
      <c r="K167" s="377" t="str">
        <f>_xll.BDH($C$140,$C$160,"FY"&amp;K$133,"FY"&amp;K$133,"Period=FY","BEST_FPERIOD_OVERRIDE=FY","FILING_STATUS=MR","SCALING_FORMAT=K","FA_ADJUSTED=Adjusted","Sort=A","Dates=H","DateFormat=P","Fill=NA","Direction=H","UseDPDF=Y")</f>
        <v>#N/A</v>
      </c>
      <c r="L167" s="377" t="str">
        <f>_xll.BDH($C$140,$C$160,"FY"&amp;L$133,"FY"&amp;L$133,"Period=FY","BEST_FPERIOD_OVERRIDE=FY","FILING_STATUS=MR","SCALING_FORMAT=K","FA_ADJUSTED=Adjusted","Sort=A","Dates=H","DateFormat=P","Fill=NA","Direction=H","UseDPDF=Y")</f>
        <v>#N/A</v>
      </c>
      <c r="M167" s="377" t="str">
        <f>_xll.BDH($C$140,$C$160,"FY"&amp;M$133,"FY"&amp;M$133,"Period=FY","BEST_FPERIOD_OVERRIDE=FY","FILING_STATUS=MR","SCALING_FORMAT=K","FA_ADJUSTED=Adjusted","Sort=A","Dates=H","DateFormat=P","Fill=NA","Direction=H","UseDPDF=Y")</f>
        <v>#N/A</v>
      </c>
      <c r="N167" s="377" t="str">
        <f>_xll.BDH($C$140,$C$160,"FY"&amp;N$133,"FY"&amp;N$133,"Period=FY","BEST_FPERIOD_OVERRIDE=FY","FILING_STATUS=MR","SCALING_FORMAT=K","FA_ADJUSTED=Adjusted","Sort=A","Dates=H","DateFormat=P","Fill=NA","Direction=H","UseDPDF=Y")</f>
        <v>#N/A</v>
      </c>
      <c r="O167" s="377"/>
      <c r="P167" s="377" t="e">
        <f t="shared" si="12"/>
        <v>#VALUE!</v>
      </c>
      <c r="Q167" s="377" t="e">
        <f t="shared" si="12"/>
        <v>#VALUE!</v>
      </c>
      <c r="R167" s="377" t="e">
        <f t="shared" si="12"/>
        <v>#VALUE!</v>
      </c>
      <c r="S167" s="377" t="e">
        <f t="shared" si="12"/>
        <v>#VALUE!</v>
      </c>
      <c r="T167" s="377" t="e">
        <f t="shared" si="12"/>
        <v>#VALUE!</v>
      </c>
      <c r="U167" s="377" t="e">
        <f t="shared" si="12"/>
        <v>#VALUE!</v>
      </c>
      <c r="V167" s="377" t="e">
        <f t="shared" si="12"/>
        <v>#VALUE!</v>
      </c>
      <c r="W167" s="377" t="e">
        <f t="shared" si="12"/>
        <v>#VALUE!</v>
      </c>
    </row>
    <row r="168" spans="2:23" ht="15" customHeight="1">
      <c r="B168" s="377"/>
      <c r="C168" s="377"/>
      <c r="D168" s="377"/>
      <c r="E168" s="378"/>
      <c r="F168" s="377"/>
      <c r="G168" s="377"/>
      <c r="H168" s="377"/>
      <c r="I168" s="377"/>
      <c r="J168" s="377"/>
      <c r="K168" s="377"/>
      <c r="L168" s="377"/>
      <c r="M168" s="377"/>
      <c r="N168" s="377"/>
      <c r="O168" s="377"/>
      <c r="P168" s="377"/>
      <c r="Q168" s="377"/>
      <c r="R168" s="377"/>
      <c r="S168" s="377"/>
      <c r="T168" s="377"/>
      <c r="U168" s="377"/>
      <c r="V168" s="377"/>
      <c r="W168" s="377"/>
    </row>
    <row r="169" spans="2:23" ht="15" customHeight="1">
      <c r="B169" s="381" t="s">
        <v>334</v>
      </c>
      <c r="C169" s="532" t="s">
        <v>774</v>
      </c>
      <c r="D169" s="382"/>
      <c r="E169" s="32"/>
      <c r="F169" s="385"/>
      <c r="G169" s="385">
        <v>2017</v>
      </c>
      <c r="H169" s="385">
        <f t="shared" ref="H169:N169" si="13">+G169+1</f>
        <v>2018</v>
      </c>
      <c r="I169" s="385">
        <f t="shared" si="13"/>
        <v>2019</v>
      </c>
      <c r="J169" s="385">
        <f t="shared" si="13"/>
        <v>2020</v>
      </c>
      <c r="K169" s="385">
        <f t="shared" si="13"/>
        <v>2021</v>
      </c>
      <c r="L169" s="385">
        <f t="shared" si="13"/>
        <v>2022</v>
      </c>
      <c r="M169" s="385">
        <f t="shared" si="13"/>
        <v>2023</v>
      </c>
      <c r="N169" s="385">
        <f t="shared" si="13"/>
        <v>2024</v>
      </c>
      <c r="O169" s="377"/>
      <c r="P169" s="377"/>
      <c r="Q169" s="377"/>
      <c r="R169" s="377"/>
      <c r="S169" s="377"/>
      <c r="T169" s="377"/>
      <c r="U169" s="377"/>
      <c r="V169" s="377"/>
      <c r="W169" s="377"/>
    </row>
    <row r="170" spans="2:23" ht="3.95" customHeight="1">
      <c r="B170" s="386"/>
      <c r="C170" s="386"/>
      <c r="D170" s="386"/>
      <c r="E170" s="387"/>
      <c r="F170" s="388"/>
      <c r="G170" s="388"/>
      <c r="H170" s="388"/>
      <c r="I170" s="388"/>
      <c r="J170" s="388"/>
      <c r="K170" s="388"/>
      <c r="L170" s="388"/>
      <c r="M170" s="388"/>
      <c r="N170" s="388"/>
      <c r="O170" s="377"/>
      <c r="P170" s="377"/>
      <c r="Q170" s="377"/>
      <c r="R170" s="377"/>
      <c r="S170" s="377"/>
      <c r="T170" s="377"/>
      <c r="U170" s="377"/>
      <c r="V170" s="377"/>
      <c r="W170" s="377"/>
    </row>
    <row r="171" spans="2:23" ht="15" customHeight="1">
      <c r="B171" s="377" t="str">
        <f>+_xll.BDP(C171,"SHORT_NAME")</f>
        <v>AZZAS 2154 SA</v>
      </c>
      <c r="C171" s="531" t="str">
        <f>Inputs!$D$15</f>
        <v>AZZA3 BZ Equity</v>
      </c>
      <c r="D171" s="377"/>
      <c r="E171" s="378"/>
      <c r="F171" s="377"/>
      <c r="G171" s="377">
        <v>1360.4739999999999</v>
      </c>
      <c r="H171" s="377">
        <v>1526.6590000000001</v>
      </c>
      <c r="I171" s="377">
        <v>1679.2349999999999</v>
      </c>
      <c r="J171" s="377">
        <v>1590.992</v>
      </c>
      <c r="K171" s="377">
        <v>2923.8270000000002</v>
      </c>
      <c r="L171" s="377">
        <v>4233.7259999999997</v>
      </c>
      <c r="M171" s="377">
        <v>4846.768</v>
      </c>
      <c r="N171" s="377">
        <v>8379.7530000000006</v>
      </c>
      <c r="O171" s="377"/>
      <c r="P171" s="377"/>
      <c r="Q171" s="377"/>
      <c r="R171" s="377"/>
      <c r="S171" s="377"/>
      <c r="T171" s="377"/>
      <c r="U171" s="377"/>
      <c r="V171" s="377"/>
      <c r="W171" s="377"/>
    </row>
    <row r="172" spans="2:23" ht="15" customHeight="1">
      <c r="B172" s="377" t="str">
        <f>+_xll.BDP(C172,"SHORT_NAME")</f>
        <v>GUARARAPES</v>
      </c>
      <c r="C172" s="531" t="str">
        <f>+Inputs!$E$21</f>
        <v>GUAR3 BZ Equity</v>
      </c>
      <c r="D172" s="377"/>
      <c r="E172" s="378"/>
      <c r="F172" s="377"/>
      <c r="G172" s="377">
        <v>6444.6589999999997</v>
      </c>
      <c r="H172" s="377">
        <v>7192.5959999999995</v>
      </c>
      <c r="I172" s="377">
        <v>7808.0439999999999</v>
      </c>
      <c r="J172" s="377">
        <v>6245.3720000000003</v>
      </c>
      <c r="K172" s="377">
        <v>7221.1809999999996</v>
      </c>
      <c r="L172" s="377">
        <v>8458.6630000000005</v>
      </c>
      <c r="M172" s="377">
        <v>8795.3860000000004</v>
      </c>
      <c r="N172" s="377">
        <v>9634.2070000000003</v>
      </c>
      <c r="O172" s="377"/>
      <c r="P172" s="377"/>
      <c r="Q172" s="377"/>
      <c r="R172" s="377"/>
      <c r="S172" s="377"/>
      <c r="T172" s="377"/>
      <c r="U172" s="377"/>
      <c r="V172" s="377"/>
      <c r="W172" s="377"/>
    </row>
    <row r="173" spans="2:23" ht="15" customHeight="1">
      <c r="B173" s="377" t="str">
        <f>+_xll.BDP(C173,"SHORT_NAME")</f>
        <v>LOJAS RENNER SA</v>
      </c>
      <c r="C173" s="531" t="str">
        <f>+Inputs!$E$22</f>
        <v>LREN3 BZ Equity</v>
      </c>
      <c r="D173" s="377"/>
      <c r="E173" s="378"/>
      <c r="F173" s="377"/>
      <c r="G173" s="377">
        <v>7444.3050000000003</v>
      </c>
      <c r="H173" s="377">
        <v>8426.5409999999993</v>
      </c>
      <c r="I173" s="377">
        <v>9588.4369999999999</v>
      </c>
      <c r="J173" s="377">
        <v>7537.18</v>
      </c>
      <c r="K173" s="377">
        <v>10571.566000000001</v>
      </c>
      <c r="L173" s="377">
        <v>13271.137000000001</v>
      </c>
      <c r="M173" s="377">
        <v>13647.849</v>
      </c>
      <c r="N173" s="377">
        <v>14436.366</v>
      </c>
      <c r="O173" s="377"/>
      <c r="P173" s="377"/>
      <c r="Q173" s="377"/>
      <c r="R173" s="377"/>
      <c r="S173" s="377"/>
      <c r="T173" s="377"/>
      <c r="U173" s="377"/>
      <c r="V173" s="377"/>
      <c r="W173" s="377"/>
    </row>
    <row r="174" spans="2:23" ht="15" customHeight="1">
      <c r="B174" s="377" t="str">
        <f>+_xll.BDP(C174,"SHORT_NAME")</f>
        <v>C&amp;A MODAS LTDA</v>
      </c>
      <c r="C174" s="531" t="str">
        <f>+Inputs!$E$23</f>
        <v>CEAB3 BZ EQUITY</v>
      </c>
      <c r="D174" s="377"/>
      <c r="E174" s="378"/>
      <c r="F174" s="377"/>
      <c r="G174" s="377">
        <v>5035.6099999999997</v>
      </c>
      <c r="H174" s="377">
        <v>5166.3599999999997</v>
      </c>
      <c r="I174" s="377">
        <v>5285.1760000000004</v>
      </c>
      <c r="J174" s="377">
        <v>4085.4859999999999</v>
      </c>
      <c r="K174" s="377">
        <v>5153.2049999999999</v>
      </c>
      <c r="L174" s="377">
        <v>6183.55</v>
      </c>
      <c r="M174" s="377">
        <v>6719.317</v>
      </c>
      <c r="N174" s="377">
        <v>7636.5389999999998</v>
      </c>
      <c r="O174" s="377"/>
      <c r="P174" s="377"/>
      <c r="Q174" s="377"/>
      <c r="R174" s="377"/>
      <c r="S174" s="377"/>
      <c r="T174" s="377"/>
      <c r="U174" s="377"/>
      <c r="V174" s="377"/>
      <c r="W174" s="377"/>
    </row>
    <row r="175" spans="2:23" ht="15" customHeight="1">
      <c r="B175" s="377" t="str">
        <f>+_xll.BDP(C175,"SHORT_NAME")</f>
        <v>MARISA LOJAS SA</v>
      </c>
      <c r="C175" s="531" t="str">
        <f>+Inputs!$E$24</f>
        <v>AMAR3 BZ Equity</v>
      </c>
      <c r="D175" s="377"/>
      <c r="E175" s="378"/>
      <c r="F175" s="377"/>
      <c r="G175" s="377">
        <v>2875.5770000000002</v>
      </c>
      <c r="H175" s="377">
        <v>2764.13</v>
      </c>
      <c r="I175" s="377">
        <v>2882.422</v>
      </c>
      <c r="J175" s="377">
        <v>2139.4169999999999</v>
      </c>
      <c r="K175" s="377">
        <v>2525.4479999999999</v>
      </c>
      <c r="L175" s="377">
        <v>2422.5810000000001</v>
      </c>
      <c r="M175" s="377">
        <v>1656.751</v>
      </c>
      <c r="N175" s="377">
        <v>1392.1690000000001</v>
      </c>
      <c r="O175" s="377"/>
      <c r="P175" s="377"/>
      <c r="Q175" s="377"/>
      <c r="R175" s="377"/>
      <c r="S175" s="377"/>
      <c r="T175" s="377"/>
      <c r="U175" s="377"/>
      <c r="V175" s="377"/>
      <c r="W175" s="377"/>
    </row>
    <row r="176" spans="2:23" ht="15" customHeight="1">
      <c r="B176" s="377" t="str">
        <f>+_xll.BDP(C176,"SHORT_NAME")</f>
        <v>VESTE SA ESTILO</v>
      </c>
      <c r="C176" s="531" t="str">
        <f>+Inputs!$E$25</f>
        <v>VSTE3 BZ Equity</v>
      </c>
      <c r="D176" s="377"/>
      <c r="E176" s="378"/>
      <c r="F176" s="377"/>
      <c r="G176" s="377">
        <v>1249.816</v>
      </c>
      <c r="H176" s="377">
        <v>1244.145</v>
      </c>
      <c r="I176" s="377">
        <v>954.08299999999997</v>
      </c>
      <c r="J176" s="377">
        <v>598.81600000000003</v>
      </c>
      <c r="K176" s="377">
        <v>875.92</v>
      </c>
      <c r="L176" s="377">
        <v>1065.8979999999999</v>
      </c>
      <c r="M176" s="377">
        <v>1109.8230000000001</v>
      </c>
      <c r="N176" s="377">
        <v>1111.5550000000001</v>
      </c>
      <c r="O176" s="377"/>
      <c r="P176" s="377"/>
      <c r="Q176" s="377"/>
      <c r="R176" s="377"/>
      <c r="S176" s="377"/>
      <c r="T176" s="377"/>
      <c r="U176" s="377"/>
      <c r="V176" s="377"/>
      <c r="W176" s="377"/>
    </row>
  </sheetData>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499984740745262"/>
  </sheetPr>
  <dimension ref="B3:AR1051"/>
  <sheetViews>
    <sheetView showGridLines="0" topLeftCell="A136" zoomScale="70" zoomScaleNormal="70" workbookViewId="0">
      <selection activeCell="E164" sqref="E164:E174"/>
    </sheetView>
  </sheetViews>
  <sheetFormatPr defaultColWidth="9" defaultRowHeight="13.9"/>
  <cols>
    <col min="1" max="1" width="9" style="4"/>
    <col min="2" max="2" width="10.5" style="4" bestFit="1" customWidth="1"/>
    <col min="3" max="8" width="9.125" style="4" bestFit="1" customWidth="1"/>
    <col min="9" max="9" width="10.5" style="4" bestFit="1" customWidth="1"/>
    <col min="10" max="15" width="9.125" style="4" bestFit="1" customWidth="1"/>
    <col min="16" max="16" width="9" style="4"/>
    <col min="17" max="17" width="11.5" style="4" bestFit="1" customWidth="1"/>
    <col min="18" max="23" width="9.125" style="4" bestFit="1" customWidth="1"/>
    <col min="24" max="24" width="9" style="4"/>
    <col min="25" max="30" width="9.125" style="4" bestFit="1" customWidth="1"/>
    <col min="31" max="31" width="9" style="4"/>
    <col min="32" max="37" width="9.125" style="4" bestFit="1" customWidth="1"/>
    <col min="38" max="38" width="9" style="4"/>
    <col min="39" max="39" width="9.125" style="4" bestFit="1" customWidth="1"/>
    <col min="40" max="40" width="11" style="4" bestFit="1" customWidth="1"/>
    <col min="41" max="41" width="12.125" style="4" bestFit="1" customWidth="1"/>
    <col min="42" max="42" width="13.375" style="4" bestFit="1" customWidth="1"/>
    <col min="43" max="43" width="12.625" style="4" bestFit="1" customWidth="1"/>
    <col min="44" max="44" width="14" style="4" bestFit="1" customWidth="1"/>
    <col min="45" max="16384" width="9" style="4"/>
  </cols>
  <sheetData>
    <row r="3" spans="2:44">
      <c r="B3" s="555"/>
      <c r="C3" s="757" t="s">
        <v>727</v>
      </c>
      <c r="D3" s="757"/>
      <c r="E3" s="757"/>
      <c r="F3" s="757"/>
      <c r="G3" s="757"/>
      <c r="H3" s="757"/>
      <c r="I3" s="555"/>
      <c r="J3" s="757" t="s">
        <v>732</v>
      </c>
      <c r="K3" s="757"/>
      <c r="L3" s="757"/>
      <c r="M3" s="757"/>
      <c r="N3" s="757"/>
      <c r="O3" s="757"/>
      <c r="P3" s="555"/>
      <c r="R3" s="758" t="s">
        <v>775</v>
      </c>
      <c r="S3" s="758"/>
      <c r="T3" s="758"/>
      <c r="U3" s="758"/>
      <c r="V3" s="758"/>
      <c r="W3" s="758"/>
      <c r="Y3" s="757" t="s">
        <v>776</v>
      </c>
      <c r="Z3" s="757"/>
      <c r="AA3" s="757"/>
      <c r="AB3" s="757"/>
      <c r="AC3" s="757"/>
      <c r="AD3" s="757"/>
      <c r="AF3" s="757" t="s">
        <v>777</v>
      </c>
      <c r="AG3" s="757"/>
      <c r="AH3" s="757"/>
      <c r="AI3" s="757"/>
      <c r="AJ3" s="757"/>
      <c r="AK3" s="757"/>
      <c r="AN3" s="556" t="s">
        <v>331</v>
      </c>
      <c r="AO3" s="556" t="s">
        <v>778</v>
      </c>
      <c r="AP3" s="556" t="s">
        <v>759</v>
      </c>
      <c r="AQ3" s="556" t="s">
        <v>760</v>
      </c>
      <c r="AR3" s="556" t="s">
        <v>761</v>
      </c>
    </row>
    <row r="4" spans="2:44">
      <c r="B4" s="555"/>
      <c r="C4" s="4" t="str">
        <f>+Inputs!B62</f>
        <v>AZZA3 BZ Equity</v>
      </c>
      <c r="D4" s="4" t="str">
        <f>+Inputs!B73</f>
        <v>GUAR3 BZ Equity</v>
      </c>
      <c r="E4" s="4" t="str">
        <f>+Inputs!B84</f>
        <v>LREN3 BZ Equity</v>
      </c>
      <c r="F4" s="4" t="str">
        <f>+Inputs!B95</f>
        <v>CEAB3 BZ EQUITY</v>
      </c>
      <c r="G4" s="4" t="str">
        <f>+Inputs!B106</f>
        <v>AMAR3 BZ Equity</v>
      </c>
      <c r="H4" s="4" t="str">
        <f>+Inputs!B117</f>
        <v>VSTE3 BZ Equity</v>
      </c>
      <c r="I4" s="555"/>
      <c r="J4" s="4" t="str">
        <f t="shared" ref="J4:O4" si="0">+C4</f>
        <v>AZZA3 BZ Equity</v>
      </c>
      <c r="K4" s="4" t="str">
        <f t="shared" si="0"/>
        <v>GUAR3 BZ Equity</v>
      </c>
      <c r="L4" s="4" t="str">
        <f t="shared" si="0"/>
        <v>LREN3 BZ Equity</v>
      </c>
      <c r="M4" s="4" t="str">
        <f t="shared" si="0"/>
        <v>CEAB3 BZ EQUITY</v>
      </c>
      <c r="N4" s="4" t="str">
        <f t="shared" si="0"/>
        <v>AMAR3 BZ Equity</v>
      </c>
      <c r="O4" s="4" t="str">
        <f t="shared" si="0"/>
        <v>VSTE3 BZ Equity</v>
      </c>
      <c r="P4" s="555"/>
      <c r="R4" s="4" t="str">
        <f>+J4</f>
        <v>AZZA3 BZ Equity</v>
      </c>
      <c r="S4" s="4" t="str">
        <f>+Inputs!R13</f>
        <v>IBOV Index</v>
      </c>
      <c r="T4" s="4">
        <f>+Inputs!R14</f>
        <v>0</v>
      </c>
      <c r="U4" s="4" t="str">
        <f>R4</f>
        <v>AZZA3 BZ Equity</v>
      </c>
      <c r="V4" s="4" t="str">
        <f>+S4</f>
        <v>IBOV Index</v>
      </c>
      <c r="W4" s="4">
        <f>+T4</f>
        <v>0</v>
      </c>
      <c r="Y4" s="4" t="str">
        <f t="shared" ref="Y4:AD4" si="1">+J4</f>
        <v>AZZA3 BZ Equity</v>
      </c>
      <c r="Z4" s="4" t="str">
        <f t="shared" si="1"/>
        <v>GUAR3 BZ Equity</v>
      </c>
      <c r="AA4" s="4" t="str">
        <f t="shared" si="1"/>
        <v>LREN3 BZ Equity</v>
      </c>
      <c r="AB4" s="4" t="str">
        <f t="shared" si="1"/>
        <v>CEAB3 BZ EQUITY</v>
      </c>
      <c r="AC4" s="4" t="str">
        <f t="shared" si="1"/>
        <v>AMAR3 BZ Equity</v>
      </c>
      <c r="AD4" s="4" t="str">
        <f t="shared" si="1"/>
        <v>VSTE3 BZ Equity</v>
      </c>
      <c r="AF4" s="4" t="str">
        <f t="shared" ref="AF4:AK4" si="2">+Y4</f>
        <v>AZZA3 BZ Equity</v>
      </c>
      <c r="AG4" s="4" t="str">
        <f t="shared" si="2"/>
        <v>GUAR3 BZ Equity</v>
      </c>
      <c r="AH4" s="4" t="str">
        <f t="shared" si="2"/>
        <v>LREN3 BZ Equity</v>
      </c>
      <c r="AI4" s="4" t="str">
        <f t="shared" si="2"/>
        <v>CEAB3 BZ EQUITY</v>
      </c>
      <c r="AJ4" s="4" t="str">
        <f t="shared" si="2"/>
        <v>AMAR3 BZ Equity</v>
      </c>
      <c r="AK4" s="4" t="str">
        <f t="shared" si="2"/>
        <v>VSTE3 BZ Equity</v>
      </c>
      <c r="AM4" s="557">
        <f ca="1">TODAY()</f>
        <v>45954</v>
      </c>
      <c r="AN4" s="558">
        <v>32.229999999999997</v>
      </c>
      <c r="AO4" s="558">
        <v>2714800</v>
      </c>
      <c r="AP4" s="558">
        <v>206.48981000000001</v>
      </c>
      <c r="AQ4" s="558">
        <v>6655.1665762999992</v>
      </c>
      <c r="AR4" s="558">
        <v>0.46529999999999999</v>
      </c>
    </row>
    <row r="5" spans="2:44">
      <c r="B5" s="559">
        <f ca="1">+TODAY()</f>
        <v>45954</v>
      </c>
      <c r="C5" s="555">
        <f ca="1">(IFERROR(IFERROR(VALUE(_xll.BDH(C$4,"CURRENT_EV_TO_T12M_EBITDA",$B5,$B5)),VALUE(_xll.BDH(C$4,"CURRENT_EV_TO_T12M_EBITDA",$B5+1,$B5+1))),C6))</f>
        <v>0</v>
      </c>
      <c r="D5" s="555">
        <f ca="1">(IFERROR(IFERROR(VALUE(_xll.BDH(D$4,"CURRENT_EV_TO_T12M_EBITDA",$B5,$B5)),VALUE(_xll.BDH(D$4,"CURRENT_EV_TO_T12M_EBITDA",$B5+1,$B5+1))),D6))</f>
        <v>0</v>
      </c>
      <c r="E5" s="555">
        <f ca="1">(IFERROR(IFERROR(VALUE(_xll.BDH(E$4,"CURRENT_EV_TO_T12M_EBITDA",$B5,$B5)),VALUE(_xll.BDH(E$4,"CURRENT_EV_TO_T12M_EBITDA",$B5+1,$B5+1))),E6))</f>
        <v>0</v>
      </c>
      <c r="F5" s="555">
        <f ca="1">(IFERROR(IFERROR(VALUE(_xll.BDH(F$4,"CURRENT_EV_TO_T12M_EBITDA",$B5,$B5)),VALUE(_xll.BDH(F$4,"CURRENT_EV_TO_T12M_EBITDA",$B5+1,$B5+1))),F6))</f>
        <v>0</v>
      </c>
      <c r="G5" s="555">
        <f ca="1">(IFERROR(IFERROR(VALUE(_xll.BDH(G$4,"CURRENT_EV_TO_T12M_EBITDA",$B5,$B5)),VALUE(_xll.BDH(G$4,"CURRENT_EV_TO_T12M_EBITDA",$B5+1,$B5+1))),G6))</f>
        <v>0</v>
      </c>
      <c r="H5" s="555">
        <f ca="1">(IFERROR(IFERROR(VALUE(_xll.BDH(H$4,"CURRENT_EV_TO_T12M_EBITDA",$B5,$B5)),VALUE(_xll.BDH(H$4,"CURRENT_EV_TO_T12M_EBITDA",$B5+1,$B5+1))),H6))</f>
        <v>0</v>
      </c>
      <c r="I5" s="559">
        <f t="shared" ref="I5:I36" ca="1" si="3">+B5</f>
        <v>45954</v>
      </c>
      <c r="J5" s="555">
        <f ca="1">(IFERROR(IFERROR(VALUE(_xll.BDH(J$4,"PE_RATIO",$B5,$B5)),VALUE(_xll.BDH(J$4,"PE_RATIO",$B5+1,$B5+1))),J6))</f>
        <v>0</v>
      </c>
      <c r="K5" s="555">
        <f ca="1">(IFERROR(IFERROR(VALUE(_xll.BDH(K$4,"PE_RATIO",$B5,$B5)),VALUE(_xll.BDH(K$4,"PE_RATIO",$B5+1,$B5+1))),K6))</f>
        <v>0</v>
      </c>
      <c r="L5" s="555">
        <f ca="1">(IFERROR(IFERROR(VALUE(_xll.BDH(L$4,"PE_RATIO",$B5,$B5)),VALUE(_xll.BDH(L$4,"PE_RATIO",$B5+1,$B5+1))),L6))</f>
        <v>0</v>
      </c>
      <c r="M5" s="555">
        <f ca="1">(IFERROR(IFERROR(VALUE(_xll.BDH(M$4,"PE_RATIO",$B5,$B5)),VALUE(_xll.BDH(M$4,"PE_RATIO",$B5+1,$B5+1))),M6))</f>
        <v>0</v>
      </c>
      <c r="N5" s="555">
        <f ca="1">(IFERROR(IFERROR(VALUE(_xll.BDH(N$4,"PE_RATIO",$B5,$B5)),VALUE(_xll.BDH(N$4,"PE_RATIO",$B5+1,$B5+1))),N6))</f>
        <v>0</v>
      </c>
      <c r="O5" s="555">
        <f ca="1">(IFERROR(IFERROR(VALUE(_xll.BDH(O$4,"PE_RATIO",$B5,$B5)),VALUE(_xll.BDH(O$4,"PE_RATIO",$B5+1,$B5+1))),O6))</f>
        <v>0</v>
      </c>
      <c r="P5" s="555"/>
      <c r="Q5" s="559">
        <f t="shared" ref="Q5:Q36" ca="1" si="4">+I5</f>
        <v>45954</v>
      </c>
      <c r="R5" s="4">
        <v>33.79</v>
      </c>
      <c r="S5" s="4">
        <v>140335.16</v>
      </c>
      <c r="T5" s="4">
        <v>0</v>
      </c>
      <c r="U5" s="4">
        <v>0.35015544041450775</v>
      </c>
      <c r="V5" s="4">
        <v>1.2948873070554598</v>
      </c>
      <c r="W5" s="4" t="e">
        <v>#DIV/0!</v>
      </c>
      <c r="Y5" s="555">
        <f t="shared" ref="Y5:Y36" si="5">+R5</f>
        <v>33.79</v>
      </c>
      <c r="Z5" s="4">
        <f ca="1">IFERROR(VALUE(_xll.BDH(Z$4,"PX_LAST",$Q5,$Q5)),Z6)</f>
        <v>0</v>
      </c>
      <c r="AA5" s="4">
        <f ca="1">IFERROR(VALUE(_xll.BDH(AA$4,"PX_LAST",$Q5,$Q5)),AA6)</f>
        <v>0</v>
      </c>
      <c r="AB5" s="4">
        <f ca="1">IFERROR(VALUE(_xll.BDH(AB$4,"PX_LAST",$Q5,$Q5)),AB6)</f>
        <v>0</v>
      </c>
      <c r="AC5" s="4">
        <f ca="1">IFERROR(VALUE(_xll.BDH(AC$4,"PX_LAST",$Q5,$Q5)),AC6)</f>
        <v>0</v>
      </c>
      <c r="AD5" s="4">
        <f ca="1">IFERROR(VALUE(_xll.BDH(AD$4,"PX_LAST",$Q5,$Q5)),AD6)</f>
        <v>0</v>
      </c>
      <c r="AF5" s="4">
        <f t="shared" ref="AF5:AF36" si="6">+Y5/Y$159</f>
        <v>0.35015544041450775</v>
      </c>
      <c r="AG5" s="4" t="e">
        <f t="shared" ref="AG5:AG36" ca="1" si="7">+Z5/Z$159</f>
        <v>#DIV/0!</v>
      </c>
      <c r="AH5" s="4" t="e">
        <f t="shared" ref="AH5:AH36" ca="1" si="8">+AA5/AA$159</f>
        <v>#DIV/0!</v>
      </c>
      <c r="AI5" s="4" t="e">
        <f t="shared" ref="AI5:AI36" ca="1" si="9">+AB5/AB$159</f>
        <v>#DIV/0!</v>
      </c>
      <c r="AJ5" s="4" t="e">
        <f t="shared" ref="AJ5:AJ36" ca="1" si="10">+AC5/AC$159</f>
        <v>#DIV/0!</v>
      </c>
      <c r="AK5" s="4" t="e">
        <f t="shared" ref="AK5:AK36" ca="1" si="11">+AD5/AD$159</f>
        <v>#DIV/0!</v>
      </c>
      <c r="AM5" s="557">
        <f t="shared" ref="AM5:AM68" ca="1" si="12">AM4-1</f>
        <v>45953</v>
      </c>
      <c r="AN5" s="558">
        <v>32.229999999999997</v>
      </c>
      <c r="AO5" s="558">
        <v>2714800</v>
      </c>
      <c r="AP5" s="558">
        <v>206.48981000000001</v>
      </c>
      <c r="AQ5" s="558">
        <v>6655.1665762999992</v>
      </c>
      <c r="AR5" s="558">
        <v>0.46529999999999999</v>
      </c>
    </row>
    <row r="6" spans="2:44">
      <c r="B6" s="559">
        <f t="shared" ref="B6:B37" ca="1" si="13">+B5-7</f>
        <v>45947</v>
      </c>
      <c r="C6" s="555">
        <f ca="1">(IFERROR(IFERROR(VALUE(_xll.BDH(C$4,"CURRENT_EV_TO_T12M_EBITDA",$B6,$B6)),VALUE(_xll.BDH(C$4,"CURRENT_EV_TO_T12M_EBITDA",$B6+1,$B6+1))),C7))</f>
        <v>0</v>
      </c>
      <c r="D6" s="555">
        <f ca="1">(IFERROR(IFERROR(VALUE(_xll.BDH(D$4,"CURRENT_EV_TO_T12M_EBITDA",$B6,$B6)),VALUE(_xll.BDH(D$4,"CURRENT_EV_TO_T12M_EBITDA",$B6+1,$B6+1))),D7))</f>
        <v>0</v>
      </c>
      <c r="E6" s="555">
        <f ca="1">(IFERROR(IFERROR(VALUE(_xll.BDH(E$4,"CURRENT_EV_TO_T12M_EBITDA",$B6,$B6)),VALUE(_xll.BDH(E$4,"CURRENT_EV_TO_T12M_EBITDA",$B6+1,$B6+1))),E7))</f>
        <v>0</v>
      </c>
      <c r="F6" s="555">
        <f ca="1">(IFERROR(IFERROR(VALUE(_xll.BDH(F$4,"CURRENT_EV_TO_T12M_EBITDA",$B6,$B6)),VALUE(_xll.BDH(F$4,"CURRENT_EV_TO_T12M_EBITDA",$B6+1,$B6+1))),F7))</f>
        <v>0</v>
      </c>
      <c r="G6" s="555">
        <f ca="1">(IFERROR(IFERROR(VALUE(_xll.BDH(G$4,"CURRENT_EV_TO_T12M_EBITDA",$B6,$B6)),VALUE(_xll.BDH(G$4,"CURRENT_EV_TO_T12M_EBITDA",$B6+1,$B6+1))),G7))</f>
        <v>0</v>
      </c>
      <c r="H6" s="555">
        <f ca="1">(IFERROR(IFERROR(VALUE(_xll.BDH(H$4,"CURRENT_EV_TO_T12M_EBITDA",$B6,$B6)),VALUE(_xll.BDH(H$4,"CURRENT_EV_TO_T12M_EBITDA",$B6+1,$B6+1))),H7))</f>
        <v>0</v>
      </c>
      <c r="I6" s="559">
        <f t="shared" ca="1" si="3"/>
        <v>45947</v>
      </c>
      <c r="J6" s="555">
        <f ca="1">(IFERROR(IFERROR(VALUE(_xll.BDH(J$4,"PE_RATIO",$B6,$B6)),VALUE(_xll.BDH(J$4,"PE_RATIO",$B6+1,$B6+1))),J7))</f>
        <v>0</v>
      </c>
      <c r="K6" s="555">
        <f ca="1">(IFERROR(IFERROR(VALUE(_xll.BDH(K$4,"PE_RATIO",$B6,$B6)),VALUE(_xll.BDH(K$4,"PE_RATIO",$B6+1,$B6+1))),K7))</f>
        <v>0</v>
      </c>
      <c r="L6" s="555">
        <f ca="1">(IFERROR(IFERROR(VALUE(_xll.BDH(L$4,"PE_RATIO",$B6,$B6)),VALUE(_xll.BDH(L$4,"PE_RATIO",$B6+1,$B6+1))),L7))</f>
        <v>0</v>
      </c>
      <c r="M6" s="555">
        <f ca="1">(IFERROR(IFERROR(VALUE(_xll.BDH(M$4,"PE_RATIO",$B6,$B6)),VALUE(_xll.BDH(M$4,"PE_RATIO",$B6+1,$B6+1))),M7))</f>
        <v>0</v>
      </c>
      <c r="N6" s="555">
        <f ca="1">(IFERROR(IFERROR(VALUE(_xll.BDH(N$4,"PE_RATIO",$B6,$B6)),VALUE(_xll.BDH(N$4,"PE_RATIO",$B6+1,$B6+1))),N7))</f>
        <v>0</v>
      </c>
      <c r="O6" s="555">
        <f ca="1">(IFERROR(IFERROR(VALUE(_xll.BDH(O$4,"PE_RATIO",$B6,$B6)),VALUE(_xll.BDH(O$4,"PE_RATIO",$B6+1,$B6+1))),O7))</f>
        <v>0</v>
      </c>
      <c r="P6" s="555"/>
      <c r="Q6" s="559">
        <f t="shared" ca="1" si="4"/>
        <v>45947</v>
      </c>
      <c r="R6" s="4">
        <v>33.79</v>
      </c>
      <c r="S6" s="4">
        <v>140335.16</v>
      </c>
      <c r="T6" s="4">
        <v>0</v>
      </c>
      <c r="U6" s="4">
        <v>0.35015544041450775</v>
      </c>
      <c r="V6" s="4">
        <v>1.2948873070554598</v>
      </c>
      <c r="W6" s="4" t="e">
        <v>#DIV/0!</v>
      </c>
      <c r="Y6" s="555">
        <f t="shared" si="5"/>
        <v>33.79</v>
      </c>
      <c r="Z6" s="4">
        <f ca="1">IFERROR(VALUE(_xll.BDH(Z$4,"PX_LAST",$Q6,$Q6)),Z7)</f>
        <v>0</v>
      </c>
      <c r="AA6" s="4">
        <f ca="1">IFERROR(VALUE(_xll.BDH(AA$4,"PX_LAST",$Q6,$Q6)),AA7)</f>
        <v>0</v>
      </c>
      <c r="AB6" s="4">
        <f ca="1">IFERROR(VALUE(_xll.BDH(AB$4,"PX_LAST",$Q6,$Q6)),AB7)</f>
        <v>0</v>
      </c>
      <c r="AC6" s="4">
        <f ca="1">IFERROR(VALUE(_xll.BDH(AC$4,"PX_LAST",$Q6,$Q6)),AC7)</f>
        <v>0</v>
      </c>
      <c r="AD6" s="4">
        <f ca="1">IFERROR(VALUE(_xll.BDH(AD$4,"PX_LAST",$Q6,$Q6)),AD7)</f>
        <v>0</v>
      </c>
      <c r="AF6" s="4">
        <f t="shared" si="6"/>
        <v>0.35015544041450775</v>
      </c>
      <c r="AG6" s="4" t="e">
        <f t="shared" ca="1" si="7"/>
        <v>#DIV/0!</v>
      </c>
      <c r="AH6" s="4" t="e">
        <f t="shared" ca="1" si="8"/>
        <v>#DIV/0!</v>
      </c>
      <c r="AI6" s="4" t="e">
        <f t="shared" ca="1" si="9"/>
        <v>#DIV/0!</v>
      </c>
      <c r="AJ6" s="4" t="e">
        <f t="shared" ca="1" si="10"/>
        <v>#DIV/0!</v>
      </c>
      <c r="AK6" s="4" t="e">
        <f t="shared" ca="1" si="11"/>
        <v>#DIV/0!</v>
      </c>
      <c r="AM6" s="557">
        <f t="shared" ca="1" si="12"/>
        <v>45952</v>
      </c>
      <c r="AN6" s="558">
        <v>32.869999999999997</v>
      </c>
      <c r="AO6" s="558">
        <v>4000000</v>
      </c>
      <c r="AP6" s="558">
        <v>206.48981000000001</v>
      </c>
      <c r="AQ6" s="558">
        <v>6787.3200546999997</v>
      </c>
      <c r="AR6" s="558">
        <v>0.47460000000000002</v>
      </c>
    </row>
    <row r="7" spans="2:44">
      <c r="B7" s="559">
        <f t="shared" ca="1" si="13"/>
        <v>45940</v>
      </c>
      <c r="C7" s="555">
        <f ca="1">(IFERROR(IFERROR(VALUE(_xll.BDH(C$4,"CURRENT_EV_TO_T12M_EBITDA",$B7,$B7)),VALUE(_xll.BDH(C$4,"CURRENT_EV_TO_T12M_EBITDA",$B7+1,$B7+1))),C8))</f>
        <v>0</v>
      </c>
      <c r="D7" s="555">
        <f ca="1">(IFERROR(IFERROR(VALUE(_xll.BDH(D$4,"CURRENT_EV_TO_T12M_EBITDA",$B7,$B7)),VALUE(_xll.BDH(D$4,"CURRENT_EV_TO_T12M_EBITDA",$B7+1,$B7+1))),D8))</f>
        <v>0</v>
      </c>
      <c r="E7" s="555">
        <f ca="1">(IFERROR(IFERROR(VALUE(_xll.BDH(E$4,"CURRENT_EV_TO_T12M_EBITDA",$B7,$B7)),VALUE(_xll.BDH(E$4,"CURRENT_EV_TO_T12M_EBITDA",$B7+1,$B7+1))),E8))</f>
        <v>0</v>
      </c>
      <c r="F7" s="555">
        <f ca="1">(IFERROR(IFERROR(VALUE(_xll.BDH(F$4,"CURRENT_EV_TO_T12M_EBITDA",$B7,$B7)),VALUE(_xll.BDH(F$4,"CURRENT_EV_TO_T12M_EBITDA",$B7+1,$B7+1))),F8))</f>
        <v>0</v>
      </c>
      <c r="G7" s="555">
        <f ca="1">(IFERROR(IFERROR(VALUE(_xll.BDH(G$4,"CURRENT_EV_TO_T12M_EBITDA",$B7,$B7)),VALUE(_xll.BDH(G$4,"CURRENT_EV_TO_T12M_EBITDA",$B7+1,$B7+1))),G8))</f>
        <v>0</v>
      </c>
      <c r="H7" s="555">
        <f ca="1">(IFERROR(IFERROR(VALUE(_xll.BDH(H$4,"CURRENT_EV_TO_T12M_EBITDA",$B7,$B7)),VALUE(_xll.BDH(H$4,"CURRENT_EV_TO_T12M_EBITDA",$B7+1,$B7+1))),H8))</f>
        <v>0</v>
      </c>
      <c r="I7" s="559">
        <f t="shared" ca="1" si="3"/>
        <v>45940</v>
      </c>
      <c r="J7" s="555">
        <f ca="1">(IFERROR(IFERROR(VALUE(_xll.BDH(J$4,"PE_RATIO",$B7,$B7)),VALUE(_xll.BDH(J$4,"PE_RATIO",$B7+1,$B7+1))),J8))</f>
        <v>0</v>
      </c>
      <c r="K7" s="555">
        <f ca="1">(IFERROR(IFERROR(VALUE(_xll.BDH(K$4,"PE_RATIO",$B7,$B7)),VALUE(_xll.BDH(K$4,"PE_RATIO",$B7+1,$B7+1))),K8))</f>
        <v>0</v>
      </c>
      <c r="L7" s="555">
        <f ca="1">(IFERROR(IFERROR(VALUE(_xll.BDH(L$4,"PE_RATIO",$B7,$B7)),VALUE(_xll.BDH(L$4,"PE_RATIO",$B7+1,$B7+1))),L8))</f>
        <v>0</v>
      </c>
      <c r="M7" s="555">
        <f ca="1">(IFERROR(IFERROR(VALUE(_xll.BDH(M$4,"PE_RATIO",$B7,$B7)),VALUE(_xll.BDH(M$4,"PE_RATIO",$B7+1,$B7+1))),M8))</f>
        <v>0</v>
      </c>
      <c r="N7" s="555">
        <f ca="1">(IFERROR(IFERROR(VALUE(_xll.BDH(N$4,"PE_RATIO",$B7,$B7)),VALUE(_xll.BDH(N$4,"PE_RATIO",$B7+1,$B7+1))),N8))</f>
        <v>0</v>
      </c>
      <c r="O7" s="555">
        <f ca="1">(IFERROR(IFERROR(VALUE(_xll.BDH(O$4,"PE_RATIO",$B7,$B7)),VALUE(_xll.BDH(O$4,"PE_RATIO",$B7+1,$B7+1))),O8))</f>
        <v>0</v>
      </c>
      <c r="P7" s="555"/>
      <c r="Q7" s="559">
        <f t="shared" ca="1" si="4"/>
        <v>45940</v>
      </c>
      <c r="R7" s="4">
        <v>33.799999999999997</v>
      </c>
      <c r="S7" s="4">
        <v>137771.39000000001</v>
      </c>
      <c r="T7" s="4">
        <v>0</v>
      </c>
      <c r="U7" s="4">
        <v>0.35025906735751294</v>
      </c>
      <c r="V7" s="4">
        <v>1.2712311311462325</v>
      </c>
      <c r="W7" s="4" t="e">
        <v>#DIV/0!</v>
      </c>
      <c r="Y7" s="555">
        <f t="shared" si="5"/>
        <v>33.799999999999997</v>
      </c>
      <c r="Z7" s="4">
        <f ca="1">IFERROR(VALUE(_xll.BDH(Z$4,"PX_LAST",$Q7,$Q7)),Z8)</f>
        <v>0</v>
      </c>
      <c r="AA7" s="4">
        <f ca="1">IFERROR(VALUE(_xll.BDH(AA$4,"PX_LAST",$Q7,$Q7)),AA8)</f>
        <v>0</v>
      </c>
      <c r="AB7" s="4">
        <f ca="1">IFERROR(VALUE(_xll.BDH(AB$4,"PX_LAST",$Q7,$Q7)),AB8)</f>
        <v>0</v>
      </c>
      <c r="AC7" s="4">
        <f ca="1">IFERROR(VALUE(_xll.BDH(AC$4,"PX_LAST",$Q7,$Q7)),AC8)</f>
        <v>0</v>
      </c>
      <c r="AD7" s="4">
        <f ca="1">IFERROR(VALUE(_xll.BDH(AD$4,"PX_LAST",$Q7,$Q7)),AD8)</f>
        <v>0</v>
      </c>
      <c r="AF7" s="4">
        <f t="shared" si="6"/>
        <v>0.35025906735751294</v>
      </c>
      <c r="AG7" s="4" t="e">
        <f t="shared" ca="1" si="7"/>
        <v>#DIV/0!</v>
      </c>
      <c r="AH7" s="4" t="e">
        <f t="shared" ca="1" si="8"/>
        <v>#DIV/0!</v>
      </c>
      <c r="AI7" s="4" t="e">
        <f t="shared" ca="1" si="9"/>
        <v>#DIV/0!</v>
      </c>
      <c r="AJ7" s="4" t="e">
        <f t="shared" ca="1" si="10"/>
        <v>#DIV/0!</v>
      </c>
      <c r="AK7" s="4" t="e">
        <f t="shared" ca="1" si="11"/>
        <v>#DIV/0!</v>
      </c>
      <c r="AM7" s="557">
        <f t="shared" ca="1" si="12"/>
        <v>45951</v>
      </c>
      <c r="AN7" s="558">
        <v>32.869999999999997</v>
      </c>
      <c r="AO7" s="558">
        <v>4000000</v>
      </c>
      <c r="AP7" s="558">
        <v>206.48981000000001</v>
      </c>
      <c r="AQ7" s="558">
        <v>6787.3200546999997</v>
      </c>
      <c r="AR7" s="558">
        <v>0.47460000000000002</v>
      </c>
    </row>
    <row r="8" spans="2:44">
      <c r="B8" s="559">
        <f t="shared" ca="1" si="13"/>
        <v>45933</v>
      </c>
      <c r="C8" s="555">
        <f ca="1">(IFERROR(IFERROR(VALUE(_xll.BDH(C$4,"CURRENT_EV_TO_T12M_EBITDA",$B8,$B8)),VALUE(_xll.BDH(C$4,"CURRENT_EV_TO_T12M_EBITDA",$B8+1,$B8+1))),C9))</f>
        <v>0</v>
      </c>
      <c r="D8" s="555">
        <f ca="1">(IFERROR(IFERROR(VALUE(_xll.BDH(D$4,"CURRENT_EV_TO_T12M_EBITDA",$B8,$B8)),VALUE(_xll.BDH(D$4,"CURRENT_EV_TO_T12M_EBITDA",$B8+1,$B8+1))),D9))</f>
        <v>0</v>
      </c>
      <c r="E8" s="555">
        <f ca="1">(IFERROR(IFERROR(VALUE(_xll.BDH(E$4,"CURRENT_EV_TO_T12M_EBITDA",$B8,$B8)),VALUE(_xll.BDH(E$4,"CURRENT_EV_TO_T12M_EBITDA",$B8+1,$B8+1))),E9))</f>
        <v>0</v>
      </c>
      <c r="F8" s="555">
        <f ca="1">(IFERROR(IFERROR(VALUE(_xll.BDH(F$4,"CURRENT_EV_TO_T12M_EBITDA",$B8,$B8)),VALUE(_xll.BDH(F$4,"CURRENT_EV_TO_T12M_EBITDA",$B8+1,$B8+1))),F9))</f>
        <v>0</v>
      </c>
      <c r="G8" s="555">
        <f ca="1">(IFERROR(IFERROR(VALUE(_xll.BDH(G$4,"CURRENT_EV_TO_T12M_EBITDA",$B8,$B8)),VALUE(_xll.BDH(G$4,"CURRENT_EV_TO_T12M_EBITDA",$B8+1,$B8+1))),G9))</f>
        <v>0</v>
      </c>
      <c r="H8" s="555">
        <f ca="1">(IFERROR(IFERROR(VALUE(_xll.BDH(H$4,"CURRENT_EV_TO_T12M_EBITDA",$B8,$B8)),VALUE(_xll.BDH(H$4,"CURRENT_EV_TO_T12M_EBITDA",$B8+1,$B8+1))),H9))</f>
        <v>0</v>
      </c>
      <c r="I8" s="559">
        <f t="shared" ca="1" si="3"/>
        <v>45933</v>
      </c>
      <c r="J8" s="555">
        <f ca="1">(IFERROR(IFERROR(VALUE(_xll.BDH(J$4,"PE_RATIO",$B8,$B8)),VALUE(_xll.BDH(J$4,"PE_RATIO",$B8+1,$B8+1))),J9))</f>
        <v>0</v>
      </c>
      <c r="K8" s="555">
        <f ca="1">(IFERROR(IFERROR(VALUE(_xll.BDH(K$4,"PE_RATIO",$B8,$B8)),VALUE(_xll.BDH(K$4,"PE_RATIO",$B8+1,$B8+1))),K9))</f>
        <v>0</v>
      </c>
      <c r="L8" s="555">
        <f ca="1">(IFERROR(IFERROR(VALUE(_xll.BDH(L$4,"PE_RATIO",$B8,$B8)),VALUE(_xll.BDH(L$4,"PE_RATIO",$B8+1,$B8+1))),L9))</f>
        <v>0</v>
      </c>
      <c r="M8" s="555">
        <f ca="1">(IFERROR(IFERROR(VALUE(_xll.BDH(M$4,"PE_RATIO",$B8,$B8)),VALUE(_xll.BDH(M$4,"PE_RATIO",$B8+1,$B8+1))),M9))</f>
        <v>0</v>
      </c>
      <c r="N8" s="555">
        <f ca="1">(IFERROR(IFERROR(VALUE(_xll.BDH(N$4,"PE_RATIO",$B8,$B8)),VALUE(_xll.BDH(N$4,"PE_RATIO",$B8+1,$B8+1))),N9))</f>
        <v>0</v>
      </c>
      <c r="O8" s="555">
        <f ca="1">(IFERROR(IFERROR(VALUE(_xll.BDH(O$4,"PE_RATIO",$B8,$B8)),VALUE(_xll.BDH(O$4,"PE_RATIO",$B8+1,$B8+1))),O9))</f>
        <v>0</v>
      </c>
      <c r="P8" s="555"/>
      <c r="Q8" s="559">
        <f t="shared" ca="1" si="4"/>
        <v>45933</v>
      </c>
      <c r="R8" s="4">
        <v>32.44</v>
      </c>
      <c r="S8" s="4">
        <v>134432.26</v>
      </c>
      <c r="T8" s="4">
        <v>0</v>
      </c>
      <c r="U8" s="4">
        <v>0.33616580310880828</v>
      </c>
      <c r="V8" s="4">
        <v>1.2404206268249485</v>
      </c>
      <c r="W8" s="4" t="e">
        <v>#DIV/0!</v>
      </c>
      <c r="Y8" s="555">
        <f t="shared" si="5"/>
        <v>32.44</v>
      </c>
      <c r="Z8" s="4">
        <f ca="1">IFERROR(VALUE(_xll.BDH(Z$4,"PX_LAST",$Q8,$Q8)),Z9)</f>
        <v>0</v>
      </c>
      <c r="AA8" s="4">
        <f ca="1">IFERROR(VALUE(_xll.BDH(AA$4,"PX_LAST",$Q8,$Q8)),AA9)</f>
        <v>0</v>
      </c>
      <c r="AB8" s="4">
        <f ca="1">IFERROR(VALUE(_xll.BDH(AB$4,"PX_LAST",$Q8,$Q8)),AB9)</f>
        <v>0</v>
      </c>
      <c r="AC8" s="4">
        <f ca="1">IFERROR(VALUE(_xll.BDH(AC$4,"PX_LAST",$Q8,$Q8)),AC9)</f>
        <v>0</v>
      </c>
      <c r="AD8" s="4">
        <f ca="1">IFERROR(VALUE(_xll.BDH(AD$4,"PX_LAST",$Q8,$Q8)),AD9)</f>
        <v>0</v>
      </c>
      <c r="AF8" s="4">
        <f t="shared" si="6"/>
        <v>0.33616580310880828</v>
      </c>
      <c r="AG8" s="4" t="e">
        <f t="shared" ca="1" si="7"/>
        <v>#DIV/0!</v>
      </c>
      <c r="AH8" s="4" t="e">
        <f t="shared" ca="1" si="8"/>
        <v>#DIV/0!</v>
      </c>
      <c r="AI8" s="4" t="e">
        <f t="shared" ca="1" si="9"/>
        <v>#DIV/0!</v>
      </c>
      <c r="AJ8" s="4" t="e">
        <f t="shared" ca="1" si="10"/>
        <v>#DIV/0!</v>
      </c>
      <c r="AK8" s="4" t="e">
        <f t="shared" ca="1" si="11"/>
        <v>#DIV/0!</v>
      </c>
      <c r="AM8" s="557">
        <f t="shared" ca="1" si="12"/>
        <v>45950</v>
      </c>
      <c r="AN8" s="558">
        <v>32.869999999999997</v>
      </c>
      <c r="AO8" s="558">
        <v>4000000</v>
      </c>
      <c r="AP8" s="558">
        <v>206.48981000000001</v>
      </c>
      <c r="AQ8" s="558">
        <v>6787.3200546999997</v>
      </c>
      <c r="AR8" s="558">
        <v>0.47460000000000002</v>
      </c>
    </row>
    <row r="9" spans="2:44">
      <c r="B9" s="559">
        <f t="shared" ca="1" si="13"/>
        <v>45926</v>
      </c>
      <c r="C9" s="555">
        <f ca="1">(IFERROR(IFERROR(VALUE(_xll.BDH(C$4,"CURRENT_EV_TO_T12M_EBITDA",$B9,$B9)),VALUE(_xll.BDH(C$4,"CURRENT_EV_TO_T12M_EBITDA",$B9+1,$B9+1))),C10))</f>
        <v>0</v>
      </c>
      <c r="D9" s="555">
        <f ca="1">(IFERROR(IFERROR(VALUE(_xll.BDH(D$4,"CURRENT_EV_TO_T12M_EBITDA",$B9,$B9)),VALUE(_xll.BDH(D$4,"CURRENT_EV_TO_T12M_EBITDA",$B9+1,$B9+1))),D10))</f>
        <v>0</v>
      </c>
      <c r="E9" s="555">
        <f ca="1">(IFERROR(IFERROR(VALUE(_xll.BDH(E$4,"CURRENT_EV_TO_T12M_EBITDA",$B9,$B9)),VALUE(_xll.BDH(E$4,"CURRENT_EV_TO_T12M_EBITDA",$B9+1,$B9+1))),E10))</f>
        <v>0</v>
      </c>
      <c r="F9" s="555">
        <f ca="1">(IFERROR(IFERROR(VALUE(_xll.BDH(F$4,"CURRENT_EV_TO_T12M_EBITDA",$B9,$B9)),VALUE(_xll.BDH(F$4,"CURRENT_EV_TO_T12M_EBITDA",$B9+1,$B9+1))),F10))</f>
        <v>0</v>
      </c>
      <c r="G9" s="555">
        <f ca="1">(IFERROR(IFERROR(VALUE(_xll.BDH(G$4,"CURRENT_EV_TO_T12M_EBITDA",$B9,$B9)),VALUE(_xll.BDH(G$4,"CURRENT_EV_TO_T12M_EBITDA",$B9+1,$B9+1))),G10))</f>
        <v>0</v>
      </c>
      <c r="H9" s="555">
        <f ca="1">(IFERROR(IFERROR(VALUE(_xll.BDH(H$4,"CURRENT_EV_TO_T12M_EBITDA",$B9,$B9)),VALUE(_xll.BDH(H$4,"CURRENT_EV_TO_T12M_EBITDA",$B9+1,$B9+1))),H10))</f>
        <v>0</v>
      </c>
      <c r="I9" s="559">
        <f t="shared" ca="1" si="3"/>
        <v>45926</v>
      </c>
      <c r="J9" s="555">
        <f ca="1">(IFERROR(IFERROR(VALUE(_xll.BDH(J$4,"PE_RATIO",$B9,$B9)),VALUE(_xll.BDH(J$4,"PE_RATIO",$B9+1,$B9+1))),J10))</f>
        <v>0</v>
      </c>
      <c r="K9" s="555">
        <f ca="1">(IFERROR(IFERROR(VALUE(_xll.BDH(K$4,"PE_RATIO",$B9,$B9)),VALUE(_xll.BDH(K$4,"PE_RATIO",$B9+1,$B9+1))),K10))</f>
        <v>0</v>
      </c>
      <c r="L9" s="555">
        <f ca="1">(IFERROR(IFERROR(VALUE(_xll.BDH(L$4,"PE_RATIO",$B9,$B9)),VALUE(_xll.BDH(L$4,"PE_RATIO",$B9+1,$B9+1))),L10))</f>
        <v>0</v>
      </c>
      <c r="M9" s="555">
        <f ca="1">(IFERROR(IFERROR(VALUE(_xll.BDH(M$4,"PE_RATIO",$B9,$B9)),VALUE(_xll.BDH(M$4,"PE_RATIO",$B9+1,$B9+1))),M10))</f>
        <v>0</v>
      </c>
      <c r="N9" s="555">
        <f ca="1">(IFERROR(IFERROR(VALUE(_xll.BDH(N$4,"PE_RATIO",$B9,$B9)),VALUE(_xll.BDH(N$4,"PE_RATIO",$B9+1,$B9+1))),N10))</f>
        <v>0</v>
      </c>
      <c r="O9" s="555">
        <f ca="1">(IFERROR(IFERROR(VALUE(_xll.BDH(O$4,"PE_RATIO",$B9,$B9)),VALUE(_xll.BDH(O$4,"PE_RATIO",$B9+1,$B9+1))),O10))</f>
        <v>0</v>
      </c>
      <c r="P9" s="555"/>
      <c r="Q9" s="559">
        <f t="shared" ca="1" si="4"/>
        <v>45926</v>
      </c>
      <c r="R9" s="4">
        <v>34.340000000000003</v>
      </c>
      <c r="S9" s="4">
        <v>137913.68</v>
      </c>
      <c r="T9" s="4">
        <v>0</v>
      </c>
      <c r="U9" s="4">
        <v>0.35585492227979276</v>
      </c>
      <c r="V9" s="4">
        <v>1.2725440559679302</v>
      </c>
      <c r="W9" s="4" t="e">
        <v>#DIV/0!</v>
      </c>
      <c r="Y9" s="555">
        <f t="shared" si="5"/>
        <v>34.340000000000003</v>
      </c>
      <c r="Z9" s="4">
        <f ca="1">IFERROR(VALUE(_xll.BDH(Z$4,"PX_LAST",$Q9,$Q9)),Z10)</f>
        <v>0</v>
      </c>
      <c r="AA9" s="4">
        <f ca="1">IFERROR(VALUE(_xll.BDH(AA$4,"PX_LAST",$Q9,$Q9)),AA10)</f>
        <v>0</v>
      </c>
      <c r="AB9" s="4">
        <f ca="1">IFERROR(VALUE(_xll.BDH(AB$4,"PX_LAST",$Q9,$Q9)),AB10)</f>
        <v>0</v>
      </c>
      <c r="AC9" s="4">
        <f ca="1">IFERROR(VALUE(_xll.BDH(AC$4,"PX_LAST",$Q9,$Q9)),AC10)</f>
        <v>0</v>
      </c>
      <c r="AD9" s="4">
        <f ca="1">IFERROR(VALUE(_xll.BDH(AD$4,"PX_LAST",$Q9,$Q9)),AD10)</f>
        <v>0</v>
      </c>
      <c r="AF9" s="4">
        <f t="shared" si="6"/>
        <v>0.35585492227979276</v>
      </c>
      <c r="AG9" s="4" t="e">
        <f t="shared" ca="1" si="7"/>
        <v>#DIV/0!</v>
      </c>
      <c r="AH9" s="4" t="e">
        <f t="shared" ca="1" si="8"/>
        <v>#DIV/0!</v>
      </c>
      <c r="AI9" s="4" t="e">
        <f t="shared" ca="1" si="9"/>
        <v>#DIV/0!</v>
      </c>
      <c r="AJ9" s="4" t="e">
        <f t="shared" ca="1" si="10"/>
        <v>#DIV/0!</v>
      </c>
      <c r="AK9" s="4" t="e">
        <f t="shared" ca="1" si="11"/>
        <v>#DIV/0!</v>
      </c>
      <c r="AM9" s="557">
        <f t="shared" ca="1" si="12"/>
        <v>45949</v>
      </c>
      <c r="AN9" s="558">
        <v>33.24</v>
      </c>
      <c r="AO9" s="558">
        <v>2395400</v>
      </c>
      <c r="AP9" s="558">
        <v>206.48981000000001</v>
      </c>
      <c r="AQ9" s="558">
        <v>6863.7212844000005</v>
      </c>
      <c r="AR9" s="558">
        <v>0.4798</v>
      </c>
    </row>
    <row r="10" spans="2:44">
      <c r="B10" s="559">
        <f t="shared" ca="1" si="13"/>
        <v>45919</v>
      </c>
      <c r="C10" s="555">
        <f ca="1">(IFERROR(IFERROR(VALUE(_xll.BDH(C$4,"CURRENT_EV_TO_T12M_EBITDA",$B10,$B10)),VALUE(_xll.BDH(C$4,"CURRENT_EV_TO_T12M_EBITDA",$B10+1,$B10+1))),C11))</f>
        <v>0</v>
      </c>
      <c r="D10" s="555">
        <f ca="1">(IFERROR(IFERROR(VALUE(_xll.BDH(D$4,"CURRENT_EV_TO_T12M_EBITDA",$B10,$B10)),VALUE(_xll.BDH(D$4,"CURRENT_EV_TO_T12M_EBITDA",$B10+1,$B10+1))),D11))</f>
        <v>0</v>
      </c>
      <c r="E10" s="555">
        <f ca="1">(IFERROR(IFERROR(VALUE(_xll.BDH(E$4,"CURRENT_EV_TO_T12M_EBITDA",$B10,$B10)),VALUE(_xll.BDH(E$4,"CURRENT_EV_TO_T12M_EBITDA",$B10+1,$B10+1))),E11))</f>
        <v>0</v>
      </c>
      <c r="F10" s="555">
        <f ca="1">(IFERROR(IFERROR(VALUE(_xll.BDH(F$4,"CURRENT_EV_TO_T12M_EBITDA",$B10,$B10)),VALUE(_xll.BDH(F$4,"CURRENT_EV_TO_T12M_EBITDA",$B10+1,$B10+1))),F11))</f>
        <v>0</v>
      </c>
      <c r="G10" s="555">
        <f ca="1">(IFERROR(IFERROR(VALUE(_xll.BDH(G$4,"CURRENT_EV_TO_T12M_EBITDA",$B10,$B10)),VALUE(_xll.BDH(G$4,"CURRENT_EV_TO_T12M_EBITDA",$B10+1,$B10+1))),G11))</f>
        <v>0</v>
      </c>
      <c r="H10" s="555">
        <f ca="1">(IFERROR(IFERROR(VALUE(_xll.BDH(H$4,"CURRENT_EV_TO_T12M_EBITDA",$B10,$B10)),VALUE(_xll.BDH(H$4,"CURRENT_EV_TO_T12M_EBITDA",$B10+1,$B10+1))),H11))</f>
        <v>0</v>
      </c>
      <c r="I10" s="559">
        <f t="shared" ca="1" si="3"/>
        <v>45919</v>
      </c>
      <c r="J10" s="555">
        <f ca="1">(IFERROR(IFERROR(VALUE(_xll.BDH(J$4,"PE_RATIO",$B10,$B10)),VALUE(_xll.BDH(J$4,"PE_RATIO",$B10+1,$B10+1))),J11))</f>
        <v>0</v>
      </c>
      <c r="K10" s="555">
        <f ca="1">(IFERROR(IFERROR(VALUE(_xll.BDH(K$4,"PE_RATIO",$B10,$B10)),VALUE(_xll.BDH(K$4,"PE_RATIO",$B10+1,$B10+1))),K11))</f>
        <v>0</v>
      </c>
      <c r="L10" s="555">
        <f ca="1">(IFERROR(IFERROR(VALUE(_xll.BDH(L$4,"PE_RATIO",$B10,$B10)),VALUE(_xll.BDH(L$4,"PE_RATIO",$B10+1,$B10+1))),L11))</f>
        <v>0</v>
      </c>
      <c r="M10" s="555">
        <f ca="1">(IFERROR(IFERROR(VALUE(_xll.BDH(M$4,"PE_RATIO",$B10,$B10)),VALUE(_xll.BDH(M$4,"PE_RATIO",$B10+1,$B10+1))),M11))</f>
        <v>0</v>
      </c>
      <c r="N10" s="555">
        <f ca="1">(IFERROR(IFERROR(VALUE(_xll.BDH(N$4,"PE_RATIO",$B10,$B10)),VALUE(_xll.BDH(N$4,"PE_RATIO",$B10+1,$B10+1))),N11))</f>
        <v>0</v>
      </c>
      <c r="O10" s="555">
        <f ca="1">(IFERROR(IFERROR(VALUE(_xll.BDH(O$4,"PE_RATIO",$B10,$B10)),VALUE(_xll.BDH(O$4,"PE_RATIO",$B10+1,$B10+1))),O11))</f>
        <v>0</v>
      </c>
      <c r="P10" s="555"/>
      <c r="Q10" s="559">
        <f t="shared" ca="1" si="4"/>
        <v>45919</v>
      </c>
      <c r="R10" s="4">
        <v>35.61</v>
      </c>
      <c r="S10" s="4">
        <v>133151.29999999999</v>
      </c>
      <c r="T10" s="4">
        <v>0</v>
      </c>
      <c r="U10" s="4">
        <v>0.36901554404145076</v>
      </c>
      <c r="V10" s="4">
        <v>1.2286010739427926</v>
      </c>
      <c r="W10" s="4" t="e">
        <v>#DIV/0!</v>
      </c>
      <c r="Y10" s="555">
        <f t="shared" si="5"/>
        <v>35.61</v>
      </c>
      <c r="Z10" s="4">
        <f ca="1">IFERROR(VALUE(_xll.BDH(Z$4,"PX_LAST",$Q10,$Q10)),Z11)</f>
        <v>0</v>
      </c>
      <c r="AA10" s="4">
        <f ca="1">IFERROR(VALUE(_xll.BDH(AA$4,"PX_LAST",$Q10,$Q10)),AA11)</f>
        <v>0</v>
      </c>
      <c r="AB10" s="4">
        <f ca="1">IFERROR(VALUE(_xll.BDH(AB$4,"PX_LAST",$Q10,$Q10)),AB11)</f>
        <v>0</v>
      </c>
      <c r="AC10" s="4">
        <f ca="1">IFERROR(VALUE(_xll.BDH(AC$4,"PX_LAST",$Q10,$Q10)),AC11)</f>
        <v>0</v>
      </c>
      <c r="AD10" s="4">
        <f ca="1">IFERROR(VALUE(_xll.BDH(AD$4,"PX_LAST",$Q10,$Q10)),AD11)</f>
        <v>0</v>
      </c>
      <c r="AF10" s="4">
        <f t="shared" si="6"/>
        <v>0.36901554404145076</v>
      </c>
      <c r="AG10" s="4" t="e">
        <f t="shared" ca="1" si="7"/>
        <v>#DIV/0!</v>
      </c>
      <c r="AH10" s="4" t="e">
        <f t="shared" ca="1" si="8"/>
        <v>#DIV/0!</v>
      </c>
      <c r="AI10" s="4" t="e">
        <f t="shared" ca="1" si="9"/>
        <v>#DIV/0!</v>
      </c>
      <c r="AJ10" s="4" t="e">
        <f t="shared" ca="1" si="10"/>
        <v>#DIV/0!</v>
      </c>
      <c r="AK10" s="4" t="e">
        <f t="shared" ca="1" si="11"/>
        <v>#DIV/0!</v>
      </c>
      <c r="AM10" s="557">
        <f t="shared" ca="1" si="12"/>
        <v>45948</v>
      </c>
      <c r="AN10" s="558">
        <v>33.53</v>
      </c>
      <c r="AO10" s="558">
        <v>1267600</v>
      </c>
      <c r="AP10" s="558">
        <v>206.48981000000001</v>
      </c>
      <c r="AQ10" s="558">
        <v>6923.6033293</v>
      </c>
      <c r="AR10" s="558">
        <v>0.48509999999999998</v>
      </c>
    </row>
    <row r="11" spans="2:44">
      <c r="B11" s="559">
        <f t="shared" ca="1" si="13"/>
        <v>45912</v>
      </c>
      <c r="C11" s="555">
        <f ca="1">(IFERROR(IFERROR(VALUE(_xll.BDH(C$4,"CURRENT_EV_TO_T12M_EBITDA",$B11,$B11)),VALUE(_xll.BDH(C$4,"CURRENT_EV_TO_T12M_EBITDA",$B11+1,$B11+1))),C12))</f>
        <v>0</v>
      </c>
      <c r="D11" s="555">
        <f ca="1">(IFERROR(IFERROR(VALUE(_xll.BDH(D$4,"CURRENT_EV_TO_T12M_EBITDA",$B11,$B11)),VALUE(_xll.BDH(D$4,"CURRENT_EV_TO_T12M_EBITDA",$B11+1,$B11+1))),D12))</f>
        <v>0</v>
      </c>
      <c r="E11" s="555">
        <f ca="1">(IFERROR(IFERROR(VALUE(_xll.BDH(E$4,"CURRENT_EV_TO_T12M_EBITDA",$B11,$B11)),VALUE(_xll.BDH(E$4,"CURRENT_EV_TO_T12M_EBITDA",$B11+1,$B11+1))),E12))</f>
        <v>0</v>
      </c>
      <c r="F11" s="555">
        <f ca="1">(IFERROR(IFERROR(VALUE(_xll.BDH(F$4,"CURRENT_EV_TO_T12M_EBITDA",$B11,$B11)),VALUE(_xll.BDH(F$4,"CURRENT_EV_TO_T12M_EBITDA",$B11+1,$B11+1))),F12))</f>
        <v>0</v>
      </c>
      <c r="G11" s="555">
        <f ca="1">(IFERROR(IFERROR(VALUE(_xll.BDH(G$4,"CURRENT_EV_TO_T12M_EBITDA",$B11,$B11)),VALUE(_xll.BDH(G$4,"CURRENT_EV_TO_T12M_EBITDA",$B11+1,$B11+1))),G12))</f>
        <v>0</v>
      </c>
      <c r="H11" s="555">
        <f ca="1">(IFERROR(IFERROR(VALUE(_xll.BDH(H$4,"CURRENT_EV_TO_T12M_EBITDA",$B11,$B11)),VALUE(_xll.BDH(H$4,"CURRENT_EV_TO_T12M_EBITDA",$B11+1,$B11+1))),H12))</f>
        <v>0</v>
      </c>
      <c r="I11" s="559">
        <f t="shared" ca="1" si="3"/>
        <v>45912</v>
      </c>
      <c r="J11" s="555">
        <f ca="1">(IFERROR(IFERROR(VALUE(_xll.BDH(J$4,"PE_RATIO",$B11,$B11)),VALUE(_xll.BDH(J$4,"PE_RATIO",$B11+1,$B11+1))),J12))</f>
        <v>0</v>
      </c>
      <c r="K11" s="555">
        <f ca="1">(IFERROR(IFERROR(VALUE(_xll.BDH(K$4,"PE_RATIO",$B11,$B11)),VALUE(_xll.BDH(K$4,"PE_RATIO",$B11+1,$B11+1))),K12))</f>
        <v>0</v>
      </c>
      <c r="L11" s="555">
        <f ca="1">(IFERROR(IFERROR(VALUE(_xll.BDH(L$4,"PE_RATIO",$B11,$B11)),VALUE(_xll.BDH(L$4,"PE_RATIO",$B11+1,$B11+1))),L12))</f>
        <v>0</v>
      </c>
      <c r="M11" s="555">
        <f ca="1">(IFERROR(IFERROR(VALUE(_xll.BDH(M$4,"PE_RATIO",$B11,$B11)),VALUE(_xll.BDH(M$4,"PE_RATIO",$B11+1,$B11+1))),M12))</f>
        <v>0</v>
      </c>
      <c r="N11" s="555">
        <f ca="1">(IFERROR(IFERROR(VALUE(_xll.BDH(N$4,"PE_RATIO",$B11,$B11)),VALUE(_xll.BDH(N$4,"PE_RATIO",$B11+1,$B11+1))),N12))</f>
        <v>0</v>
      </c>
      <c r="O11" s="555">
        <f ca="1">(IFERROR(IFERROR(VALUE(_xll.BDH(O$4,"PE_RATIO",$B11,$B11)),VALUE(_xll.BDH(O$4,"PE_RATIO",$B11+1,$B11+1))),O12))</f>
        <v>0</v>
      </c>
      <c r="P11" s="555"/>
      <c r="Q11" s="559">
        <f t="shared" ca="1" si="4"/>
        <v>45912</v>
      </c>
      <c r="R11" s="4">
        <v>35.65</v>
      </c>
      <c r="S11" s="4">
        <v>132725.68</v>
      </c>
      <c r="T11" s="4">
        <v>0</v>
      </c>
      <c r="U11" s="4">
        <v>0.36943005181347149</v>
      </c>
      <c r="V11" s="4">
        <v>1.2246738333593998</v>
      </c>
      <c r="W11" s="4" t="e">
        <v>#DIV/0!</v>
      </c>
      <c r="Y11" s="555">
        <f t="shared" si="5"/>
        <v>35.65</v>
      </c>
      <c r="Z11" s="4">
        <f ca="1">IFERROR(VALUE(_xll.BDH(Z$4,"PX_LAST",$Q11,$Q11)),Z12)</f>
        <v>0</v>
      </c>
      <c r="AA11" s="4">
        <f ca="1">IFERROR(VALUE(_xll.BDH(AA$4,"PX_LAST",$Q11,$Q11)),AA12)</f>
        <v>0</v>
      </c>
      <c r="AB11" s="4">
        <f ca="1">IFERROR(VALUE(_xll.BDH(AB$4,"PX_LAST",$Q11,$Q11)),AB12)</f>
        <v>0</v>
      </c>
      <c r="AC11" s="4">
        <f ca="1">IFERROR(VALUE(_xll.BDH(AC$4,"PX_LAST",$Q11,$Q11)),AC12)</f>
        <v>0</v>
      </c>
      <c r="AD11" s="4">
        <f ca="1">IFERROR(VALUE(_xll.BDH(AD$4,"PX_LAST",$Q11,$Q11)),AD12)</f>
        <v>0</v>
      </c>
      <c r="AF11" s="4">
        <f t="shared" si="6"/>
        <v>0.36943005181347149</v>
      </c>
      <c r="AG11" s="4" t="e">
        <f t="shared" ca="1" si="7"/>
        <v>#DIV/0!</v>
      </c>
      <c r="AH11" s="4" t="e">
        <f t="shared" ca="1" si="8"/>
        <v>#DIV/0!</v>
      </c>
      <c r="AI11" s="4" t="e">
        <f t="shared" ca="1" si="9"/>
        <v>#DIV/0!</v>
      </c>
      <c r="AJ11" s="4" t="e">
        <f t="shared" ca="1" si="10"/>
        <v>#DIV/0!</v>
      </c>
      <c r="AK11" s="4" t="e">
        <f t="shared" ca="1" si="11"/>
        <v>#DIV/0!</v>
      </c>
      <c r="AM11" s="557">
        <f t="shared" ca="1" si="12"/>
        <v>45947</v>
      </c>
      <c r="AN11" s="558">
        <v>33.774999999999999</v>
      </c>
      <c r="AO11" s="558">
        <v>1714300</v>
      </c>
      <c r="AP11" s="558">
        <v>206.48981000000001</v>
      </c>
      <c r="AQ11" s="558">
        <v>6974.1933327500001</v>
      </c>
      <c r="AR11" s="558">
        <v>0.4879</v>
      </c>
    </row>
    <row r="12" spans="2:44">
      <c r="B12" s="559">
        <f t="shared" ca="1" si="13"/>
        <v>45905</v>
      </c>
      <c r="C12" s="555">
        <f ca="1">(IFERROR(IFERROR(VALUE(_xll.BDH(C$4,"CURRENT_EV_TO_T12M_EBITDA",$B12,$B12)),VALUE(_xll.BDH(C$4,"CURRENT_EV_TO_T12M_EBITDA",$B12+1,$B12+1))),C13))</f>
        <v>0</v>
      </c>
      <c r="D12" s="555">
        <f ca="1">(IFERROR(IFERROR(VALUE(_xll.BDH(D$4,"CURRENT_EV_TO_T12M_EBITDA",$B12,$B12)),VALUE(_xll.BDH(D$4,"CURRENT_EV_TO_T12M_EBITDA",$B12+1,$B12+1))),D13))</f>
        <v>0</v>
      </c>
      <c r="E12" s="555">
        <f ca="1">(IFERROR(IFERROR(VALUE(_xll.BDH(E$4,"CURRENT_EV_TO_T12M_EBITDA",$B12,$B12)),VALUE(_xll.BDH(E$4,"CURRENT_EV_TO_T12M_EBITDA",$B12+1,$B12+1))),E13))</f>
        <v>0</v>
      </c>
      <c r="F12" s="555">
        <f ca="1">(IFERROR(IFERROR(VALUE(_xll.BDH(F$4,"CURRENT_EV_TO_T12M_EBITDA",$B12,$B12)),VALUE(_xll.BDH(F$4,"CURRENT_EV_TO_T12M_EBITDA",$B12+1,$B12+1))),F13))</f>
        <v>0</v>
      </c>
      <c r="G12" s="555">
        <f ca="1">(IFERROR(IFERROR(VALUE(_xll.BDH(G$4,"CURRENT_EV_TO_T12M_EBITDA",$B12,$B12)),VALUE(_xll.BDH(G$4,"CURRENT_EV_TO_T12M_EBITDA",$B12+1,$B12+1))),G13))</f>
        <v>0</v>
      </c>
      <c r="H12" s="555">
        <f ca="1">(IFERROR(IFERROR(VALUE(_xll.BDH(H$4,"CURRENT_EV_TO_T12M_EBITDA",$B12,$B12)),VALUE(_xll.BDH(H$4,"CURRENT_EV_TO_T12M_EBITDA",$B12+1,$B12+1))),H13))</f>
        <v>0</v>
      </c>
      <c r="I12" s="559">
        <f t="shared" ca="1" si="3"/>
        <v>45905</v>
      </c>
      <c r="J12" s="555">
        <f ca="1">(IFERROR(IFERROR(VALUE(_xll.BDH(J$4,"PE_RATIO",$B12,$B12)),VALUE(_xll.BDH(J$4,"PE_RATIO",$B12+1,$B12+1))),J13))</f>
        <v>0</v>
      </c>
      <c r="K12" s="555">
        <f ca="1">(IFERROR(IFERROR(VALUE(_xll.BDH(K$4,"PE_RATIO",$B12,$B12)),VALUE(_xll.BDH(K$4,"PE_RATIO",$B12+1,$B12+1))),K13))</f>
        <v>0</v>
      </c>
      <c r="L12" s="555">
        <f ca="1">(IFERROR(IFERROR(VALUE(_xll.BDH(L$4,"PE_RATIO",$B12,$B12)),VALUE(_xll.BDH(L$4,"PE_RATIO",$B12+1,$B12+1))),L13))</f>
        <v>0</v>
      </c>
      <c r="M12" s="555">
        <f ca="1">(IFERROR(IFERROR(VALUE(_xll.BDH(M$4,"PE_RATIO",$B12,$B12)),VALUE(_xll.BDH(M$4,"PE_RATIO",$B12+1,$B12+1))),M13))</f>
        <v>0</v>
      </c>
      <c r="N12" s="555">
        <f ca="1">(IFERROR(IFERROR(VALUE(_xll.BDH(N$4,"PE_RATIO",$B12,$B12)),VALUE(_xll.BDH(N$4,"PE_RATIO",$B12+1,$B12+1))),N13))</f>
        <v>0</v>
      </c>
      <c r="O12" s="555">
        <f ca="1">(IFERROR(IFERROR(VALUE(_xll.BDH(O$4,"PE_RATIO",$B12,$B12)),VALUE(_xll.BDH(O$4,"PE_RATIO",$B12+1,$B12+1))),O13))</f>
        <v>0</v>
      </c>
      <c r="P12" s="555"/>
      <c r="Q12" s="559">
        <f t="shared" ca="1" si="4"/>
        <v>45905</v>
      </c>
      <c r="R12" s="4">
        <v>35.99</v>
      </c>
      <c r="S12" s="4">
        <v>134035.72</v>
      </c>
      <c r="T12" s="4">
        <v>0</v>
      </c>
      <c r="U12" s="4">
        <v>0.3729533678756477</v>
      </c>
      <c r="V12" s="4">
        <v>1.2367617104654289</v>
      </c>
      <c r="W12" s="4" t="e">
        <v>#DIV/0!</v>
      </c>
      <c r="Y12" s="555">
        <f t="shared" si="5"/>
        <v>35.99</v>
      </c>
      <c r="Z12" s="4">
        <f ca="1">IFERROR(VALUE(_xll.BDH(Z$4,"PX_LAST",$Q12,$Q12)),Z13)</f>
        <v>0</v>
      </c>
      <c r="AA12" s="4">
        <f ca="1">IFERROR(VALUE(_xll.BDH(AA$4,"PX_LAST",$Q12,$Q12)),AA13)</f>
        <v>0</v>
      </c>
      <c r="AB12" s="4">
        <f ca="1">IFERROR(VALUE(_xll.BDH(AB$4,"PX_LAST",$Q12,$Q12)),AB13)</f>
        <v>0</v>
      </c>
      <c r="AC12" s="4">
        <f ca="1">IFERROR(VALUE(_xll.BDH(AC$4,"PX_LAST",$Q12,$Q12)),AC13)</f>
        <v>0</v>
      </c>
      <c r="AD12" s="4">
        <f ca="1">IFERROR(VALUE(_xll.BDH(AD$4,"PX_LAST",$Q12,$Q12)),AD13)</f>
        <v>0</v>
      </c>
      <c r="AF12" s="4">
        <f t="shared" si="6"/>
        <v>0.3729533678756477</v>
      </c>
      <c r="AG12" s="4" t="e">
        <f t="shared" ca="1" si="7"/>
        <v>#DIV/0!</v>
      </c>
      <c r="AH12" s="4" t="e">
        <f t="shared" ca="1" si="8"/>
        <v>#DIV/0!</v>
      </c>
      <c r="AI12" s="4" t="e">
        <f t="shared" ca="1" si="9"/>
        <v>#DIV/0!</v>
      </c>
      <c r="AJ12" s="4" t="e">
        <f t="shared" ca="1" si="10"/>
        <v>#DIV/0!</v>
      </c>
      <c r="AK12" s="4" t="e">
        <f t="shared" ca="1" si="11"/>
        <v>#DIV/0!</v>
      </c>
      <c r="AM12" s="557">
        <f t="shared" ca="1" si="12"/>
        <v>45946</v>
      </c>
      <c r="AN12" s="558">
        <v>34.695</v>
      </c>
      <c r="AO12" s="558">
        <v>830900</v>
      </c>
      <c r="AP12" s="558">
        <v>206.48981000000001</v>
      </c>
      <c r="AQ12" s="558">
        <v>7164.1639579500006</v>
      </c>
      <c r="AR12" s="558">
        <v>0.50160000000000005</v>
      </c>
    </row>
    <row r="13" spans="2:44">
      <c r="B13" s="559">
        <f t="shared" ca="1" si="13"/>
        <v>45898</v>
      </c>
      <c r="C13" s="555">
        <f ca="1">(IFERROR(IFERROR(VALUE(_xll.BDH(C$4,"CURRENT_EV_TO_T12M_EBITDA",$B13,$B13)),VALUE(_xll.BDH(C$4,"CURRENT_EV_TO_T12M_EBITDA",$B13+1,$B13+1))),C14))</f>
        <v>0</v>
      </c>
      <c r="D13" s="555">
        <f ca="1">(IFERROR(IFERROR(VALUE(_xll.BDH(D$4,"CURRENT_EV_TO_T12M_EBITDA",$B13,$B13)),VALUE(_xll.BDH(D$4,"CURRENT_EV_TO_T12M_EBITDA",$B13+1,$B13+1))),D14))</f>
        <v>0</v>
      </c>
      <c r="E13" s="555">
        <f ca="1">(IFERROR(IFERROR(VALUE(_xll.BDH(E$4,"CURRENT_EV_TO_T12M_EBITDA",$B13,$B13)),VALUE(_xll.BDH(E$4,"CURRENT_EV_TO_T12M_EBITDA",$B13+1,$B13+1))),E14))</f>
        <v>0</v>
      </c>
      <c r="F13" s="555">
        <f ca="1">(IFERROR(IFERROR(VALUE(_xll.BDH(F$4,"CURRENT_EV_TO_T12M_EBITDA",$B13,$B13)),VALUE(_xll.BDH(F$4,"CURRENT_EV_TO_T12M_EBITDA",$B13+1,$B13+1))),F14))</f>
        <v>0</v>
      </c>
      <c r="G13" s="555">
        <f ca="1">(IFERROR(IFERROR(VALUE(_xll.BDH(G$4,"CURRENT_EV_TO_T12M_EBITDA",$B13,$B13)),VALUE(_xll.BDH(G$4,"CURRENT_EV_TO_T12M_EBITDA",$B13+1,$B13+1))),G14))</f>
        <v>0</v>
      </c>
      <c r="H13" s="555">
        <f ca="1">(IFERROR(IFERROR(VALUE(_xll.BDH(H$4,"CURRENT_EV_TO_T12M_EBITDA",$B13,$B13)),VALUE(_xll.BDH(H$4,"CURRENT_EV_TO_T12M_EBITDA",$B13+1,$B13+1))),H14))</f>
        <v>0</v>
      </c>
      <c r="I13" s="559">
        <f t="shared" ca="1" si="3"/>
        <v>45898</v>
      </c>
      <c r="J13" s="555">
        <f ca="1">(IFERROR(IFERROR(VALUE(_xll.BDH(J$4,"PE_RATIO",$B13,$B13)),VALUE(_xll.BDH(J$4,"PE_RATIO",$B13+1,$B13+1))),J14))</f>
        <v>0</v>
      </c>
      <c r="K13" s="555">
        <f ca="1">(IFERROR(IFERROR(VALUE(_xll.BDH(K$4,"PE_RATIO",$B13,$B13)),VALUE(_xll.BDH(K$4,"PE_RATIO",$B13+1,$B13+1))),K14))</f>
        <v>0</v>
      </c>
      <c r="L13" s="555">
        <f ca="1">(IFERROR(IFERROR(VALUE(_xll.BDH(L$4,"PE_RATIO",$B13,$B13)),VALUE(_xll.BDH(L$4,"PE_RATIO",$B13+1,$B13+1))),L14))</f>
        <v>0</v>
      </c>
      <c r="M13" s="555">
        <f ca="1">(IFERROR(IFERROR(VALUE(_xll.BDH(M$4,"PE_RATIO",$B13,$B13)),VALUE(_xll.BDH(M$4,"PE_RATIO",$B13+1,$B13+1))),M14))</f>
        <v>0</v>
      </c>
      <c r="N13" s="555">
        <f ca="1">(IFERROR(IFERROR(VALUE(_xll.BDH(N$4,"PE_RATIO",$B13,$B13)),VALUE(_xll.BDH(N$4,"PE_RATIO",$B13+1,$B13+1))),N14))</f>
        <v>0</v>
      </c>
      <c r="O13" s="555">
        <f ca="1">(IFERROR(IFERROR(VALUE(_xll.BDH(O$4,"PE_RATIO",$B13,$B13)),VALUE(_xll.BDH(O$4,"PE_RATIO",$B13+1,$B13+1))),O14))</f>
        <v>0</v>
      </c>
      <c r="P13" s="555"/>
      <c r="Q13" s="559">
        <f t="shared" ca="1" si="4"/>
        <v>45898</v>
      </c>
      <c r="R13" s="4">
        <v>36.200000000000003</v>
      </c>
      <c r="S13" s="4">
        <v>135250.1</v>
      </c>
      <c r="T13" s="4">
        <v>0</v>
      </c>
      <c r="U13" s="4">
        <v>0.37512953367875651</v>
      </c>
      <c r="V13" s="4">
        <v>1.2479669226727048</v>
      </c>
      <c r="W13" s="4" t="e">
        <v>#DIV/0!</v>
      </c>
      <c r="Y13" s="555">
        <f t="shared" si="5"/>
        <v>36.200000000000003</v>
      </c>
      <c r="Z13" s="4">
        <f ca="1">IFERROR(VALUE(_xll.BDH(Z$4,"PX_LAST",$Q13,$Q13)),Z14)</f>
        <v>0</v>
      </c>
      <c r="AA13" s="4">
        <f ca="1">IFERROR(VALUE(_xll.BDH(AA$4,"PX_LAST",$Q13,$Q13)),AA14)</f>
        <v>0</v>
      </c>
      <c r="AB13" s="4">
        <f ca="1">IFERROR(VALUE(_xll.BDH(AB$4,"PX_LAST",$Q13,$Q13)),AB14)</f>
        <v>0</v>
      </c>
      <c r="AC13" s="4">
        <f ca="1">IFERROR(VALUE(_xll.BDH(AC$4,"PX_LAST",$Q13,$Q13)),AC14)</f>
        <v>0</v>
      </c>
      <c r="AD13" s="4">
        <f ca="1">IFERROR(VALUE(_xll.BDH(AD$4,"PX_LAST",$Q13,$Q13)),AD14)</f>
        <v>0</v>
      </c>
      <c r="AF13" s="4">
        <f t="shared" si="6"/>
        <v>0.37512953367875651</v>
      </c>
      <c r="AG13" s="4" t="e">
        <f t="shared" ca="1" si="7"/>
        <v>#DIV/0!</v>
      </c>
      <c r="AH13" s="4" t="e">
        <f t="shared" ca="1" si="8"/>
        <v>#DIV/0!</v>
      </c>
      <c r="AI13" s="4" t="e">
        <f t="shared" ca="1" si="9"/>
        <v>#DIV/0!</v>
      </c>
      <c r="AJ13" s="4" t="e">
        <f t="shared" ca="1" si="10"/>
        <v>#DIV/0!</v>
      </c>
      <c r="AK13" s="4" t="e">
        <f t="shared" ca="1" si="11"/>
        <v>#DIV/0!</v>
      </c>
      <c r="AM13" s="557">
        <f t="shared" ca="1" si="12"/>
        <v>45945</v>
      </c>
      <c r="AN13" s="558">
        <v>34.905000000000001</v>
      </c>
      <c r="AO13" s="558">
        <v>962100</v>
      </c>
      <c r="AP13" s="558">
        <v>206.48981000000001</v>
      </c>
      <c r="AQ13" s="558">
        <v>7207.5268180500007</v>
      </c>
      <c r="AR13" s="558">
        <v>0.50119999999999998</v>
      </c>
    </row>
    <row r="14" spans="2:44">
      <c r="B14" s="559">
        <f t="shared" ca="1" si="13"/>
        <v>45891</v>
      </c>
      <c r="C14" s="555">
        <f ca="1">(IFERROR(IFERROR(VALUE(_xll.BDH(C$4,"CURRENT_EV_TO_T12M_EBITDA",$B14,$B14)),VALUE(_xll.BDH(C$4,"CURRENT_EV_TO_T12M_EBITDA",$B14+1,$B14+1))),C15))</f>
        <v>0</v>
      </c>
      <c r="D14" s="555">
        <f ca="1">(IFERROR(IFERROR(VALUE(_xll.BDH(D$4,"CURRENT_EV_TO_T12M_EBITDA",$B14,$B14)),VALUE(_xll.BDH(D$4,"CURRENT_EV_TO_T12M_EBITDA",$B14+1,$B14+1))),D15))</f>
        <v>0</v>
      </c>
      <c r="E14" s="555">
        <f ca="1">(IFERROR(IFERROR(VALUE(_xll.BDH(E$4,"CURRENT_EV_TO_T12M_EBITDA",$B14,$B14)),VALUE(_xll.BDH(E$4,"CURRENT_EV_TO_T12M_EBITDA",$B14+1,$B14+1))),E15))</f>
        <v>0</v>
      </c>
      <c r="F14" s="555">
        <f ca="1">(IFERROR(IFERROR(VALUE(_xll.BDH(F$4,"CURRENT_EV_TO_T12M_EBITDA",$B14,$B14)),VALUE(_xll.BDH(F$4,"CURRENT_EV_TO_T12M_EBITDA",$B14+1,$B14+1))),F15))</f>
        <v>0</v>
      </c>
      <c r="G14" s="555">
        <f ca="1">(IFERROR(IFERROR(VALUE(_xll.BDH(G$4,"CURRENT_EV_TO_T12M_EBITDA",$B14,$B14)),VALUE(_xll.BDH(G$4,"CURRENT_EV_TO_T12M_EBITDA",$B14+1,$B14+1))),G15))</f>
        <v>0</v>
      </c>
      <c r="H14" s="555">
        <f ca="1">(IFERROR(IFERROR(VALUE(_xll.BDH(H$4,"CURRENT_EV_TO_T12M_EBITDA",$B14,$B14)),VALUE(_xll.BDH(H$4,"CURRENT_EV_TO_T12M_EBITDA",$B14+1,$B14+1))),H15))</f>
        <v>0</v>
      </c>
      <c r="I14" s="559">
        <f t="shared" ca="1" si="3"/>
        <v>45891</v>
      </c>
      <c r="J14" s="555">
        <f ca="1">(IFERROR(IFERROR(VALUE(_xll.BDH(J$4,"PE_RATIO",$B14,$B14)),VALUE(_xll.BDH(J$4,"PE_RATIO",$B14+1,$B14+1))),J15))</f>
        <v>0</v>
      </c>
      <c r="K14" s="555">
        <f ca="1">(IFERROR(IFERROR(VALUE(_xll.BDH(K$4,"PE_RATIO",$B14,$B14)),VALUE(_xll.BDH(K$4,"PE_RATIO",$B14+1,$B14+1))),K15))</f>
        <v>0</v>
      </c>
      <c r="L14" s="555">
        <f ca="1">(IFERROR(IFERROR(VALUE(_xll.BDH(L$4,"PE_RATIO",$B14,$B14)),VALUE(_xll.BDH(L$4,"PE_RATIO",$B14+1,$B14+1))),L15))</f>
        <v>0</v>
      </c>
      <c r="M14" s="555">
        <f ca="1">(IFERROR(IFERROR(VALUE(_xll.BDH(M$4,"PE_RATIO",$B14,$B14)),VALUE(_xll.BDH(M$4,"PE_RATIO",$B14+1,$B14+1))),M15))</f>
        <v>0</v>
      </c>
      <c r="N14" s="555">
        <f ca="1">(IFERROR(IFERROR(VALUE(_xll.BDH(N$4,"PE_RATIO",$B14,$B14)),VALUE(_xll.BDH(N$4,"PE_RATIO",$B14+1,$B14+1))),N15))</f>
        <v>0</v>
      </c>
      <c r="O14" s="555">
        <f ca="1">(IFERROR(IFERROR(VALUE(_xll.BDH(O$4,"PE_RATIO",$B14,$B14)),VALUE(_xll.BDH(O$4,"PE_RATIO",$B14+1,$B14+1))),O15))</f>
        <v>0</v>
      </c>
      <c r="P14" s="555"/>
      <c r="Q14" s="559">
        <f t="shared" ca="1" si="4"/>
        <v>45891</v>
      </c>
      <c r="R14" s="4">
        <v>38.700000000000003</v>
      </c>
      <c r="S14" s="4">
        <v>139302.85</v>
      </c>
      <c r="T14" s="4">
        <v>0</v>
      </c>
      <c r="U14" s="4">
        <v>0.40103626943005183</v>
      </c>
      <c r="V14" s="4">
        <v>1.2853620739211091</v>
      </c>
      <c r="W14" s="4" t="e">
        <v>#DIV/0!</v>
      </c>
      <c r="Y14" s="555">
        <f t="shared" si="5"/>
        <v>38.700000000000003</v>
      </c>
      <c r="Z14" s="4">
        <f ca="1">IFERROR(VALUE(_xll.BDH(Z$4,"PX_LAST",$Q14,$Q14)),Z15)</f>
        <v>0</v>
      </c>
      <c r="AA14" s="4">
        <f ca="1">IFERROR(VALUE(_xll.BDH(AA$4,"PX_LAST",$Q14,$Q14)),AA15)</f>
        <v>0</v>
      </c>
      <c r="AB14" s="4">
        <f ca="1">IFERROR(VALUE(_xll.BDH(AB$4,"PX_LAST",$Q14,$Q14)),AB15)</f>
        <v>0</v>
      </c>
      <c r="AC14" s="4">
        <f ca="1">IFERROR(VALUE(_xll.BDH(AC$4,"PX_LAST",$Q14,$Q14)),AC15)</f>
        <v>0</v>
      </c>
      <c r="AD14" s="4">
        <f ca="1">IFERROR(VALUE(_xll.BDH(AD$4,"PX_LAST",$Q14,$Q14)),AD15)</f>
        <v>0</v>
      </c>
      <c r="AF14" s="4">
        <f t="shared" si="6"/>
        <v>0.40103626943005183</v>
      </c>
      <c r="AG14" s="4" t="e">
        <f t="shared" ca="1" si="7"/>
        <v>#DIV/0!</v>
      </c>
      <c r="AH14" s="4" t="e">
        <f t="shared" ca="1" si="8"/>
        <v>#DIV/0!</v>
      </c>
      <c r="AI14" s="4" t="e">
        <f t="shared" ca="1" si="9"/>
        <v>#DIV/0!</v>
      </c>
      <c r="AJ14" s="4" t="e">
        <f t="shared" ca="1" si="10"/>
        <v>#DIV/0!</v>
      </c>
      <c r="AK14" s="4" t="e">
        <f t="shared" ca="1" si="11"/>
        <v>#DIV/0!</v>
      </c>
      <c r="AM14" s="557">
        <f t="shared" ca="1" si="12"/>
        <v>45944</v>
      </c>
      <c r="AN14" s="558">
        <v>34.905000000000001</v>
      </c>
      <c r="AO14" s="558">
        <v>962100</v>
      </c>
      <c r="AP14" s="558">
        <v>206.48981000000001</v>
      </c>
      <c r="AQ14" s="558">
        <v>7207.5268180500007</v>
      </c>
      <c r="AR14" s="558">
        <v>0.50119999999999998</v>
      </c>
    </row>
    <row r="15" spans="2:44">
      <c r="B15" s="559">
        <f t="shared" ca="1" si="13"/>
        <v>45884</v>
      </c>
      <c r="C15" s="555">
        <f ca="1">(IFERROR(IFERROR(VALUE(_xll.BDH(C$4,"CURRENT_EV_TO_T12M_EBITDA",$B15,$B15)),VALUE(_xll.BDH(C$4,"CURRENT_EV_TO_T12M_EBITDA",$B15+1,$B15+1))),C16))</f>
        <v>0</v>
      </c>
      <c r="D15" s="555">
        <f ca="1">(IFERROR(IFERROR(VALUE(_xll.BDH(D$4,"CURRENT_EV_TO_T12M_EBITDA",$B15,$B15)),VALUE(_xll.BDH(D$4,"CURRENT_EV_TO_T12M_EBITDA",$B15+1,$B15+1))),D16))</f>
        <v>0</v>
      </c>
      <c r="E15" s="555">
        <f ca="1">(IFERROR(IFERROR(VALUE(_xll.BDH(E$4,"CURRENT_EV_TO_T12M_EBITDA",$B15,$B15)),VALUE(_xll.BDH(E$4,"CURRENT_EV_TO_T12M_EBITDA",$B15+1,$B15+1))),E16))</f>
        <v>0</v>
      </c>
      <c r="F15" s="555">
        <f ca="1">(IFERROR(IFERROR(VALUE(_xll.BDH(F$4,"CURRENT_EV_TO_T12M_EBITDA",$B15,$B15)),VALUE(_xll.BDH(F$4,"CURRENT_EV_TO_T12M_EBITDA",$B15+1,$B15+1))),F16))</f>
        <v>0</v>
      </c>
      <c r="G15" s="555">
        <f ca="1">(IFERROR(IFERROR(VALUE(_xll.BDH(G$4,"CURRENT_EV_TO_T12M_EBITDA",$B15,$B15)),VALUE(_xll.BDH(G$4,"CURRENT_EV_TO_T12M_EBITDA",$B15+1,$B15+1))),G16))</f>
        <v>0</v>
      </c>
      <c r="H15" s="555">
        <f ca="1">(IFERROR(IFERROR(VALUE(_xll.BDH(H$4,"CURRENT_EV_TO_T12M_EBITDA",$B15,$B15)),VALUE(_xll.BDH(H$4,"CURRENT_EV_TO_T12M_EBITDA",$B15+1,$B15+1))),H16))</f>
        <v>0</v>
      </c>
      <c r="I15" s="559">
        <f t="shared" ca="1" si="3"/>
        <v>45884</v>
      </c>
      <c r="J15" s="555">
        <f ca="1">(IFERROR(IFERROR(VALUE(_xll.BDH(J$4,"PE_RATIO",$B15,$B15)),VALUE(_xll.BDH(J$4,"PE_RATIO",$B15+1,$B15+1))),J16))</f>
        <v>0</v>
      </c>
      <c r="K15" s="555">
        <f ca="1">(IFERROR(IFERROR(VALUE(_xll.BDH(K$4,"PE_RATIO",$B15,$B15)),VALUE(_xll.BDH(K$4,"PE_RATIO",$B15+1,$B15+1))),K16))</f>
        <v>0</v>
      </c>
      <c r="L15" s="555">
        <f ca="1">(IFERROR(IFERROR(VALUE(_xll.BDH(L$4,"PE_RATIO",$B15,$B15)),VALUE(_xll.BDH(L$4,"PE_RATIO",$B15+1,$B15+1))),L16))</f>
        <v>0</v>
      </c>
      <c r="M15" s="555">
        <f ca="1">(IFERROR(IFERROR(VALUE(_xll.BDH(M$4,"PE_RATIO",$B15,$B15)),VALUE(_xll.BDH(M$4,"PE_RATIO",$B15+1,$B15+1))),M16))</f>
        <v>0</v>
      </c>
      <c r="N15" s="555">
        <f ca="1">(IFERROR(IFERROR(VALUE(_xll.BDH(N$4,"PE_RATIO",$B15,$B15)),VALUE(_xll.BDH(N$4,"PE_RATIO",$B15+1,$B15+1))),N16))</f>
        <v>0</v>
      </c>
      <c r="O15" s="555">
        <f ca="1">(IFERROR(IFERROR(VALUE(_xll.BDH(O$4,"PE_RATIO",$B15,$B15)),VALUE(_xll.BDH(O$4,"PE_RATIO",$B15+1,$B15+1))),O16))</f>
        <v>0</v>
      </c>
      <c r="P15" s="555"/>
      <c r="Q15" s="559">
        <f t="shared" ca="1" si="4"/>
        <v>45884</v>
      </c>
      <c r="R15" s="4">
        <v>41.1</v>
      </c>
      <c r="S15" s="4">
        <v>139549.43</v>
      </c>
      <c r="T15" s="4">
        <v>0</v>
      </c>
      <c r="U15" s="4">
        <v>0.42590673575129534</v>
      </c>
      <c r="V15" s="4">
        <v>1.2876372935608182</v>
      </c>
      <c r="W15" s="4" t="e">
        <v>#DIV/0!</v>
      </c>
      <c r="Y15" s="555">
        <f t="shared" si="5"/>
        <v>41.1</v>
      </c>
      <c r="Z15" s="4">
        <f ca="1">IFERROR(VALUE(_xll.BDH(Z$4,"PX_LAST",$Q15,$Q15)),Z16)</f>
        <v>0</v>
      </c>
      <c r="AA15" s="4">
        <f ca="1">IFERROR(VALUE(_xll.BDH(AA$4,"PX_LAST",$Q15,$Q15)),AA16)</f>
        <v>0</v>
      </c>
      <c r="AB15" s="4">
        <f ca="1">IFERROR(VALUE(_xll.BDH(AB$4,"PX_LAST",$Q15,$Q15)),AB16)</f>
        <v>0</v>
      </c>
      <c r="AC15" s="4">
        <f ca="1">IFERROR(VALUE(_xll.BDH(AC$4,"PX_LAST",$Q15,$Q15)),AC16)</f>
        <v>0</v>
      </c>
      <c r="AD15" s="4">
        <f ca="1">IFERROR(VALUE(_xll.BDH(AD$4,"PX_LAST",$Q15,$Q15)),AD16)</f>
        <v>0</v>
      </c>
      <c r="AF15" s="4">
        <f t="shared" si="6"/>
        <v>0.42590673575129534</v>
      </c>
      <c r="AG15" s="4" t="e">
        <f t="shared" ca="1" si="7"/>
        <v>#DIV/0!</v>
      </c>
      <c r="AH15" s="4" t="e">
        <f t="shared" ca="1" si="8"/>
        <v>#DIV/0!</v>
      </c>
      <c r="AI15" s="4" t="e">
        <f t="shared" ca="1" si="9"/>
        <v>#DIV/0!</v>
      </c>
      <c r="AJ15" s="4" t="e">
        <f t="shared" ca="1" si="10"/>
        <v>#DIV/0!</v>
      </c>
      <c r="AK15" s="4" t="e">
        <f t="shared" ca="1" si="11"/>
        <v>#DIV/0!</v>
      </c>
      <c r="AM15" s="557">
        <f t="shared" ca="1" si="12"/>
        <v>45943</v>
      </c>
      <c r="AN15" s="558">
        <v>34.905000000000001</v>
      </c>
      <c r="AO15" s="558">
        <v>962100</v>
      </c>
      <c r="AP15" s="558">
        <v>206.48981000000001</v>
      </c>
      <c r="AQ15" s="558">
        <v>7207.5268180500007</v>
      </c>
      <c r="AR15" s="558">
        <v>0.50119999999999998</v>
      </c>
    </row>
    <row r="16" spans="2:44">
      <c r="B16" s="559">
        <f t="shared" ca="1" si="13"/>
        <v>45877</v>
      </c>
      <c r="C16" s="555">
        <f ca="1">(IFERROR(IFERROR(VALUE(_xll.BDH(C$4,"CURRENT_EV_TO_T12M_EBITDA",$B16,$B16)),VALUE(_xll.BDH(C$4,"CURRENT_EV_TO_T12M_EBITDA",$B16+1,$B16+1))),C17))</f>
        <v>0</v>
      </c>
      <c r="D16" s="555">
        <f ca="1">(IFERROR(IFERROR(VALUE(_xll.BDH(D$4,"CURRENT_EV_TO_T12M_EBITDA",$B16,$B16)),VALUE(_xll.BDH(D$4,"CURRENT_EV_TO_T12M_EBITDA",$B16+1,$B16+1))),D17))</f>
        <v>0</v>
      </c>
      <c r="E16" s="555">
        <f ca="1">(IFERROR(IFERROR(VALUE(_xll.BDH(E$4,"CURRENT_EV_TO_T12M_EBITDA",$B16,$B16)),VALUE(_xll.BDH(E$4,"CURRENT_EV_TO_T12M_EBITDA",$B16+1,$B16+1))),E17))</f>
        <v>0</v>
      </c>
      <c r="F16" s="555">
        <f ca="1">(IFERROR(IFERROR(VALUE(_xll.BDH(F$4,"CURRENT_EV_TO_T12M_EBITDA",$B16,$B16)),VALUE(_xll.BDH(F$4,"CURRENT_EV_TO_T12M_EBITDA",$B16+1,$B16+1))),F17))</f>
        <v>0</v>
      </c>
      <c r="G16" s="555">
        <f ca="1">(IFERROR(IFERROR(VALUE(_xll.BDH(G$4,"CURRENT_EV_TO_T12M_EBITDA",$B16,$B16)),VALUE(_xll.BDH(G$4,"CURRENT_EV_TO_T12M_EBITDA",$B16+1,$B16+1))),G17))</f>
        <v>0</v>
      </c>
      <c r="H16" s="555">
        <f ca="1">(IFERROR(IFERROR(VALUE(_xll.BDH(H$4,"CURRENT_EV_TO_T12M_EBITDA",$B16,$B16)),VALUE(_xll.BDH(H$4,"CURRENT_EV_TO_T12M_EBITDA",$B16+1,$B16+1))),H17))</f>
        <v>0</v>
      </c>
      <c r="I16" s="559">
        <f t="shared" ca="1" si="3"/>
        <v>45877</v>
      </c>
      <c r="J16" s="555">
        <f ca="1">(IFERROR(IFERROR(VALUE(_xll.BDH(J$4,"PE_RATIO",$B16,$B16)),VALUE(_xll.BDH(J$4,"PE_RATIO",$B16+1,$B16+1))),J17))</f>
        <v>0</v>
      </c>
      <c r="K16" s="555">
        <f ca="1">(IFERROR(IFERROR(VALUE(_xll.BDH(K$4,"PE_RATIO",$B16,$B16)),VALUE(_xll.BDH(K$4,"PE_RATIO",$B16+1,$B16+1))),K17))</f>
        <v>0</v>
      </c>
      <c r="L16" s="555">
        <f ca="1">(IFERROR(IFERROR(VALUE(_xll.BDH(L$4,"PE_RATIO",$B16,$B16)),VALUE(_xll.BDH(L$4,"PE_RATIO",$B16+1,$B16+1))),L17))</f>
        <v>0</v>
      </c>
      <c r="M16" s="555">
        <f ca="1">(IFERROR(IFERROR(VALUE(_xll.BDH(M$4,"PE_RATIO",$B16,$B16)),VALUE(_xll.BDH(M$4,"PE_RATIO",$B16+1,$B16+1))),M17))</f>
        <v>0</v>
      </c>
      <c r="N16" s="555">
        <f ca="1">(IFERROR(IFERROR(VALUE(_xll.BDH(N$4,"PE_RATIO",$B16,$B16)),VALUE(_xll.BDH(N$4,"PE_RATIO",$B16+1,$B16+1))),N17))</f>
        <v>0</v>
      </c>
      <c r="O16" s="555">
        <f ca="1">(IFERROR(IFERROR(VALUE(_xll.BDH(O$4,"PE_RATIO",$B16,$B16)),VALUE(_xll.BDH(O$4,"PE_RATIO",$B16+1,$B16+1))),O17))</f>
        <v>0</v>
      </c>
      <c r="P16" s="555"/>
      <c r="Q16" s="559">
        <f t="shared" ca="1" si="4"/>
        <v>45877</v>
      </c>
      <c r="R16" s="4">
        <v>40.369999999999997</v>
      </c>
      <c r="S16" s="4">
        <v>137164.60999999999</v>
      </c>
      <c r="T16" s="4">
        <v>0</v>
      </c>
      <c r="U16" s="4">
        <v>0.41834196891191705</v>
      </c>
      <c r="V16" s="4">
        <v>1.2656323081557921</v>
      </c>
      <c r="W16" s="4" t="e">
        <v>#DIV/0!</v>
      </c>
      <c r="Y16" s="555">
        <f t="shared" si="5"/>
        <v>40.369999999999997</v>
      </c>
      <c r="Z16" s="4">
        <f ca="1">IFERROR(VALUE(_xll.BDH(Z$4,"PX_LAST",$Q16,$Q16)),Z17)</f>
        <v>0</v>
      </c>
      <c r="AA16" s="4">
        <f ca="1">IFERROR(VALUE(_xll.BDH(AA$4,"PX_LAST",$Q16,$Q16)),AA17)</f>
        <v>0</v>
      </c>
      <c r="AB16" s="4">
        <f ca="1">IFERROR(VALUE(_xll.BDH(AB$4,"PX_LAST",$Q16,$Q16)),AB17)</f>
        <v>0</v>
      </c>
      <c r="AC16" s="4">
        <f ca="1">IFERROR(VALUE(_xll.BDH(AC$4,"PX_LAST",$Q16,$Q16)),AC17)</f>
        <v>0</v>
      </c>
      <c r="AD16" s="4">
        <f ca="1">IFERROR(VALUE(_xll.BDH(AD$4,"PX_LAST",$Q16,$Q16)),AD17)</f>
        <v>0</v>
      </c>
      <c r="AF16" s="4">
        <f t="shared" si="6"/>
        <v>0.41834196891191705</v>
      </c>
      <c r="AG16" s="4" t="e">
        <f t="shared" ca="1" si="7"/>
        <v>#DIV/0!</v>
      </c>
      <c r="AH16" s="4" t="e">
        <f t="shared" ca="1" si="8"/>
        <v>#DIV/0!</v>
      </c>
      <c r="AI16" s="4" t="e">
        <f t="shared" ca="1" si="9"/>
        <v>#DIV/0!</v>
      </c>
      <c r="AJ16" s="4" t="e">
        <f t="shared" ca="1" si="10"/>
        <v>#DIV/0!</v>
      </c>
      <c r="AK16" s="4" t="e">
        <f t="shared" ca="1" si="11"/>
        <v>#DIV/0!</v>
      </c>
      <c r="AM16" s="557">
        <f t="shared" ca="1" si="12"/>
        <v>45942</v>
      </c>
      <c r="AN16" s="558">
        <v>34.905000000000001</v>
      </c>
      <c r="AO16" s="558">
        <v>1773600</v>
      </c>
      <c r="AP16" s="558">
        <v>206.48981000000001</v>
      </c>
      <c r="AQ16" s="558">
        <v>7207.5268180500007</v>
      </c>
      <c r="AR16" s="558">
        <v>0.50509999999999999</v>
      </c>
    </row>
    <row r="17" spans="2:44">
      <c r="B17" s="559">
        <f t="shared" ca="1" si="13"/>
        <v>45870</v>
      </c>
      <c r="C17" s="555">
        <f ca="1">(IFERROR(IFERROR(VALUE(_xll.BDH(C$4,"CURRENT_EV_TO_T12M_EBITDA",$B17,$B17)),VALUE(_xll.BDH(C$4,"CURRENT_EV_TO_T12M_EBITDA",$B17+1,$B17+1))),C18))</f>
        <v>0</v>
      </c>
      <c r="D17" s="555">
        <f ca="1">(IFERROR(IFERROR(VALUE(_xll.BDH(D$4,"CURRENT_EV_TO_T12M_EBITDA",$B17,$B17)),VALUE(_xll.BDH(D$4,"CURRENT_EV_TO_T12M_EBITDA",$B17+1,$B17+1))),D18))</f>
        <v>0</v>
      </c>
      <c r="E17" s="555">
        <f ca="1">(IFERROR(IFERROR(VALUE(_xll.BDH(E$4,"CURRENT_EV_TO_T12M_EBITDA",$B17,$B17)),VALUE(_xll.BDH(E$4,"CURRENT_EV_TO_T12M_EBITDA",$B17+1,$B17+1))),E18))</f>
        <v>0</v>
      </c>
      <c r="F17" s="555">
        <f ca="1">(IFERROR(IFERROR(VALUE(_xll.BDH(F$4,"CURRENT_EV_TO_T12M_EBITDA",$B17,$B17)),VALUE(_xll.BDH(F$4,"CURRENT_EV_TO_T12M_EBITDA",$B17+1,$B17+1))),F18))</f>
        <v>0</v>
      </c>
      <c r="G17" s="555">
        <f ca="1">(IFERROR(IFERROR(VALUE(_xll.BDH(G$4,"CURRENT_EV_TO_T12M_EBITDA",$B17,$B17)),VALUE(_xll.BDH(G$4,"CURRENT_EV_TO_T12M_EBITDA",$B17+1,$B17+1))),G18))</f>
        <v>0</v>
      </c>
      <c r="H17" s="555">
        <f ca="1">(IFERROR(IFERROR(VALUE(_xll.BDH(H$4,"CURRENT_EV_TO_T12M_EBITDA",$B17,$B17)),VALUE(_xll.BDH(H$4,"CURRENT_EV_TO_T12M_EBITDA",$B17+1,$B17+1))),H18))</f>
        <v>0</v>
      </c>
      <c r="I17" s="559">
        <f t="shared" ca="1" si="3"/>
        <v>45870</v>
      </c>
      <c r="J17" s="555">
        <f ca="1">(IFERROR(IFERROR(VALUE(_xll.BDH(J$4,"PE_RATIO",$B17,$B17)),VALUE(_xll.BDH(J$4,"PE_RATIO",$B17+1,$B17+1))),J18))</f>
        <v>0</v>
      </c>
      <c r="K17" s="555">
        <f ca="1">(IFERROR(IFERROR(VALUE(_xll.BDH(K$4,"PE_RATIO",$B17,$B17)),VALUE(_xll.BDH(K$4,"PE_RATIO",$B17+1,$B17+1))),K18))</f>
        <v>0</v>
      </c>
      <c r="L17" s="555">
        <f ca="1">(IFERROR(IFERROR(VALUE(_xll.BDH(L$4,"PE_RATIO",$B17,$B17)),VALUE(_xll.BDH(L$4,"PE_RATIO",$B17+1,$B17+1))),L18))</f>
        <v>0</v>
      </c>
      <c r="M17" s="555">
        <f ca="1">(IFERROR(IFERROR(VALUE(_xll.BDH(M$4,"PE_RATIO",$B17,$B17)),VALUE(_xll.BDH(M$4,"PE_RATIO",$B17+1,$B17+1))),M18))</f>
        <v>0</v>
      </c>
      <c r="N17" s="555">
        <f ca="1">(IFERROR(IFERROR(VALUE(_xll.BDH(N$4,"PE_RATIO",$B17,$B17)),VALUE(_xll.BDH(N$4,"PE_RATIO",$B17+1,$B17+1))),N18))</f>
        <v>0</v>
      </c>
      <c r="O17" s="555">
        <f ca="1">(IFERROR(IFERROR(VALUE(_xll.BDH(O$4,"PE_RATIO",$B17,$B17)),VALUE(_xll.BDH(O$4,"PE_RATIO",$B17+1,$B17+1))),O18))</f>
        <v>0</v>
      </c>
      <c r="P17" s="555"/>
      <c r="Q17" s="559">
        <f t="shared" ca="1" si="4"/>
        <v>45870</v>
      </c>
      <c r="R17" s="4">
        <v>40.68</v>
      </c>
      <c r="S17" s="4">
        <v>138840.01999999999</v>
      </c>
      <c r="T17" s="4">
        <v>0</v>
      </c>
      <c r="U17" s="4">
        <v>0.42155440414507772</v>
      </c>
      <c r="V17" s="4">
        <v>1.2810914927472643</v>
      </c>
      <c r="W17" s="4" t="e">
        <v>#DIV/0!</v>
      </c>
      <c r="Y17" s="555">
        <f t="shared" si="5"/>
        <v>40.68</v>
      </c>
      <c r="Z17" s="4">
        <f ca="1">IFERROR(VALUE(_xll.BDH(Z$4,"PX_LAST",$Q17,$Q17)),Z18)</f>
        <v>0</v>
      </c>
      <c r="AA17" s="4">
        <f ca="1">IFERROR(VALUE(_xll.BDH(AA$4,"PX_LAST",$Q17,$Q17)),AA18)</f>
        <v>0</v>
      </c>
      <c r="AB17" s="4">
        <f ca="1">IFERROR(VALUE(_xll.BDH(AB$4,"PX_LAST",$Q17,$Q17)),AB18)</f>
        <v>0</v>
      </c>
      <c r="AC17" s="4">
        <f ca="1">IFERROR(VALUE(_xll.BDH(AC$4,"PX_LAST",$Q17,$Q17)),AC18)</f>
        <v>0</v>
      </c>
      <c r="AD17" s="4">
        <f ca="1">IFERROR(VALUE(_xll.BDH(AD$4,"PX_LAST",$Q17,$Q17)),AD18)</f>
        <v>0</v>
      </c>
      <c r="AF17" s="4">
        <f t="shared" si="6"/>
        <v>0.42155440414507772</v>
      </c>
      <c r="AG17" s="4" t="e">
        <f t="shared" ca="1" si="7"/>
        <v>#DIV/0!</v>
      </c>
      <c r="AH17" s="4" t="e">
        <f t="shared" ca="1" si="8"/>
        <v>#DIV/0!</v>
      </c>
      <c r="AI17" s="4" t="e">
        <f t="shared" ca="1" si="9"/>
        <v>#DIV/0!</v>
      </c>
      <c r="AJ17" s="4" t="e">
        <f t="shared" ca="1" si="10"/>
        <v>#DIV/0!</v>
      </c>
      <c r="AK17" s="4" t="e">
        <f t="shared" ca="1" si="11"/>
        <v>#DIV/0!</v>
      </c>
      <c r="AM17" s="557">
        <f t="shared" ca="1" si="12"/>
        <v>45941</v>
      </c>
      <c r="AN17" s="558">
        <v>34.564999999999998</v>
      </c>
      <c r="AO17" s="558">
        <v>1041900</v>
      </c>
      <c r="AP17" s="558">
        <v>206.48981000000001</v>
      </c>
      <c r="AQ17" s="558">
        <v>7137.3202826500001</v>
      </c>
      <c r="AR17" s="558">
        <v>0.49840000000000001</v>
      </c>
    </row>
    <row r="18" spans="2:44">
      <c r="B18" s="559">
        <f t="shared" ca="1" si="13"/>
        <v>45863</v>
      </c>
      <c r="C18" s="555">
        <f ca="1">(IFERROR(IFERROR(VALUE(_xll.BDH(C$4,"CURRENT_EV_TO_T12M_EBITDA",$B18,$B18)),VALUE(_xll.BDH(C$4,"CURRENT_EV_TO_T12M_EBITDA",$B18+1,$B18+1))),C19))</f>
        <v>0</v>
      </c>
      <c r="D18" s="555">
        <f ca="1">(IFERROR(IFERROR(VALUE(_xll.BDH(D$4,"CURRENT_EV_TO_T12M_EBITDA",$B18,$B18)),VALUE(_xll.BDH(D$4,"CURRENT_EV_TO_T12M_EBITDA",$B18+1,$B18+1))),D19))</f>
        <v>0</v>
      </c>
      <c r="E18" s="555">
        <f ca="1">(IFERROR(IFERROR(VALUE(_xll.BDH(E$4,"CURRENT_EV_TO_T12M_EBITDA",$B18,$B18)),VALUE(_xll.BDH(E$4,"CURRENT_EV_TO_T12M_EBITDA",$B18+1,$B18+1))),E19))</f>
        <v>0</v>
      </c>
      <c r="F18" s="555">
        <f ca="1">(IFERROR(IFERROR(VALUE(_xll.BDH(F$4,"CURRENT_EV_TO_T12M_EBITDA",$B18,$B18)),VALUE(_xll.BDH(F$4,"CURRENT_EV_TO_T12M_EBITDA",$B18+1,$B18+1))),F19))</f>
        <v>0</v>
      </c>
      <c r="G18" s="555">
        <f ca="1">(IFERROR(IFERROR(VALUE(_xll.BDH(G$4,"CURRENT_EV_TO_T12M_EBITDA",$B18,$B18)),VALUE(_xll.BDH(G$4,"CURRENT_EV_TO_T12M_EBITDA",$B18+1,$B18+1))),G19))</f>
        <v>0</v>
      </c>
      <c r="H18" s="555">
        <f ca="1">(IFERROR(IFERROR(VALUE(_xll.BDH(H$4,"CURRENT_EV_TO_T12M_EBITDA",$B18,$B18)),VALUE(_xll.BDH(H$4,"CURRENT_EV_TO_T12M_EBITDA",$B18+1,$B18+1))),H19))</f>
        <v>0</v>
      </c>
      <c r="I18" s="559">
        <f t="shared" ca="1" si="3"/>
        <v>45863</v>
      </c>
      <c r="J18" s="555">
        <f ca="1">(IFERROR(IFERROR(VALUE(_xll.BDH(J$4,"PE_RATIO",$B18,$B18)),VALUE(_xll.BDH(J$4,"PE_RATIO",$B18+1,$B18+1))),J19))</f>
        <v>0</v>
      </c>
      <c r="K18" s="555">
        <f ca="1">(IFERROR(IFERROR(VALUE(_xll.BDH(K$4,"PE_RATIO",$B18,$B18)),VALUE(_xll.BDH(K$4,"PE_RATIO",$B18+1,$B18+1))),K19))</f>
        <v>0</v>
      </c>
      <c r="L18" s="555">
        <f ca="1">(IFERROR(IFERROR(VALUE(_xll.BDH(L$4,"PE_RATIO",$B18,$B18)),VALUE(_xll.BDH(L$4,"PE_RATIO",$B18+1,$B18+1))),L19))</f>
        <v>0</v>
      </c>
      <c r="M18" s="555">
        <f ca="1">(IFERROR(IFERROR(VALUE(_xll.BDH(M$4,"PE_RATIO",$B18,$B18)),VALUE(_xll.BDH(M$4,"PE_RATIO",$B18+1,$B18+1))),M19))</f>
        <v>0</v>
      </c>
      <c r="N18" s="555">
        <f ca="1">(IFERROR(IFERROR(VALUE(_xll.BDH(N$4,"PE_RATIO",$B18,$B18)),VALUE(_xll.BDH(N$4,"PE_RATIO",$B18+1,$B18+1))),N19))</f>
        <v>0</v>
      </c>
      <c r="O18" s="555">
        <f ca="1">(IFERROR(IFERROR(VALUE(_xll.BDH(O$4,"PE_RATIO",$B18,$B18)),VALUE(_xll.BDH(O$4,"PE_RATIO",$B18+1,$B18+1))),O19))</f>
        <v>0</v>
      </c>
      <c r="P18" s="555"/>
      <c r="Q18" s="559">
        <f t="shared" ca="1" si="4"/>
        <v>45863</v>
      </c>
      <c r="R18" s="4">
        <v>42.85</v>
      </c>
      <c r="S18" s="4">
        <v>136436.07</v>
      </c>
      <c r="T18" s="4">
        <v>0</v>
      </c>
      <c r="U18" s="4">
        <v>0.44404145077720208</v>
      </c>
      <c r="V18" s="4">
        <v>1.2589099928166985</v>
      </c>
      <c r="W18" s="4" t="e">
        <v>#DIV/0!</v>
      </c>
      <c r="Y18" s="555">
        <f t="shared" si="5"/>
        <v>42.85</v>
      </c>
      <c r="Z18" s="4">
        <f ca="1">IFERROR(VALUE(_xll.BDH(Z$4,"PX_LAST",$Q18,$Q18)),Z19)</f>
        <v>0</v>
      </c>
      <c r="AA18" s="4">
        <f ca="1">IFERROR(VALUE(_xll.BDH(AA$4,"PX_LAST",$Q18,$Q18)),AA19)</f>
        <v>0</v>
      </c>
      <c r="AB18" s="4">
        <f ca="1">IFERROR(VALUE(_xll.BDH(AB$4,"PX_LAST",$Q18,$Q18)),AB19)</f>
        <v>0</v>
      </c>
      <c r="AC18" s="4">
        <f ca="1">IFERROR(VALUE(_xll.BDH(AC$4,"PX_LAST",$Q18,$Q18)),AC19)</f>
        <v>0</v>
      </c>
      <c r="AD18" s="4">
        <f ca="1">IFERROR(VALUE(_xll.BDH(AD$4,"PX_LAST",$Q18,$Q18)),AD19)</f>
        <v>0</v>
      </c>
      <c r="AF18" s="4">
        <f t="shared" si="6"/>
        <v>0.44404145077720208</v>
      </c>
      <c r="AG18" s="4" t="e">
        <f t="shared" ca="1" si="7"/>
        <v>#DIV/0!</v>
      </c>
      <c r="AH18" s="4" t="e">
        <f t="shared" ca="1" si="8"/>
        <v>#DIV/0!</v>
      </c>
      <c r="AI18" s="4" t="e">
        <f t="shared" ca="1" si="9"/>
        <v>#DIV/0!</v>
      </c>
      <c r="AJ18" s="4" t="e">
        <f t="shared" ca="1" si="10"/>
        <v>#DIV/0!</v>
      </c>
      <c r="AK18" s="4" t="e">
        <f t="shared" ca="1" si="11"/>
        <v>#DIV/0!</v>
      </c>
      <c r="AM18" s="557">
        <f t="shared" ca="1" si="12"/>
        <v>45940</v>
      </c>
      <c r="AN18" s="558">
        <v>33.9</v>
      </c>
      <c r="AO18" s="558">
        <v>1579700</v>
      </c>
      <c r="AP18" s="558">
        <v>206.48981000000001</v>
      </c>
      <c r="AQ18" s="558">
        <v>7000.004559</v>
      </c>
      <c r="AR18" s="558">
        <v>0.48799999999999999</v>
      </c>
    </row>
    <row r="19" spans="2:44">
      <c r="B19" s="559">
        <f t="shared" ca="1" si="13"/>
        <v>45856</v>
      </c>
      <c r="C19" s="555">
        <f ca="1">(IFERROR(IFERROR(VALUE(_xll.BDH(C$4,"CURRENT_EV_TO_T12M_EBITDA",$B19,$B19)),VALUE(_xll.BDH(C$4,"CURRENT_EV_TO_T12M_EBITDA",$B19+1,$B19+1))),C20))</f>
        <v>0</v>
      </c>
      <c r="D19" s="555">
        <f ca="1">(IFERROR(IFERROR(VALUE(_xll.BDH(D$4,"CURRENT_EV_TO_T12M_EBITDA",$B19,$B19)),VALUE(_xll.BDH(D$4,"CURRENT_EV_TO_T12M_EBITDA",$B19+1,$B19+1))),D20))</f>
        <v>0</v>
      </c>
      <c r="E19" s="555">
        <f ca="1">(IFERROR(IFERROR(VALUE(_xll.BDH(E$4,"CURRENT_EV_TO_T12M_EBITDA",$B19,$B19)),VALUE(_xll.BDH(E$4,"CURRENT_EV_TO_T12M_EBITDA",$B19+1,$B19+1))),E20))</f>
        <v>0</v>
      </c>
      <c r="F19" s="555">
        <f ca="1">(IFERROR(IFERROR(VALUE(_xll.BDH(F$4,"CURRENT_EV_TO_T12M_EBITDA",$B19,$B19)),VALUE(_xll.BDH(F$4,"CURRENT_EV_TO_T12M_EBITDA",$B19+1,$B19+1))),F20))</f>
        <v>0</v>
      </c>
      <c r="G19" s="555">
        <f ca="1">(IFERROR(IFERROR(VALUE(_xll.BDH(G$4,"CURRENT_EV_TO_T12M_EBITDA",$B19,$B19)),VALUE(_xll.BDH(G$4,"CURRENT_EV_TO_T12M_EBITDA",$B19+1,$B19+1))),G20))</f>
        <v>0</v>
      </c>
      <c r="H19" s="555">
        <f ca="1">(IFERROR(IFERROR(VALUE(_xll.BDH(H$4,"CURRENT_EV_TO_T12M_EBITDA",$B19,$B19)),VALUE(_xll.BDH(H$4,"CURRENT_EV_TO_T12M_EBITDA",$B19+1,$B19+1))),H20))</f>
        <v>0</v>
      </c>
      <c r="I19" s="559">
        <f t="shared" ca="1" si="3"/>
        <v>45856</v>
      </c>
      <c r="J19" s="555">
        <f ca="1">(IFERROR(IFERROR(VALUE(_xll.BDH(J$4,"PE_RATIO",$B19,$B19)),VALUE(_xll.BDH(J$4,"PE_RATIO",$B19+1,$B19+1))),J20))</f>
        <v>0</v>
      </c>
      <c r="K19" s="555">
        <f ca="1">(IFERROR(IFERROR(VALUE(_xll.BDH(K$4,"PE_RATIO",$B19,$B19)),VALUE(_xll.BDH(K$4,"PE_RATIO",$B19+1,$B19+1))),K20))</f>
        <v>0</v>
      </c>
      <c r="L19" s="555">
        <f ca="1">(IFERROR(IFERROR(VALUE(_xll.BDH(L$4,"PE_RATIO",$B19,$B19)),VALUE(_xll.BDH(L$4,"PE_RATIO",$B19+1,$B19+1))),L20))</f>
        <v>0</v>
      </c>
      <c r="M19" s="555">
        <f ca="1">(IFERROR(IFERROR(VALUE(_xll.BDH(M$4,"PE_RATIO",$B19,$B19)),VALUE(_xll.BDH(M$4,"PE_RATIO",$B19+1,$B19+1))),M20))</f>
        <v>0</v>
      </c>
      <c r="N19" s="555">
        <f ca="1">(IFERROR(IFERROR(VALUE(_xll.BDH(N$4,"PE_RATIO",$B19,$B19)),VALUE(_xll.BDH(N$4,"PE_RATIO",$B19+1,$B19+1))),N20))</f>
        <v>0</v>
      </c>
      <c r="O19" s="555">
        <f ca="1">(IFERROR(IFERROR(VALUE(_xll.BDH(O$4,"PE_RATIO",$B19,$B19)),VALUE(_xll.BDH(O$4,"PE_RATIO",$B19+1,$B19+1))),O20))</f>
        <v>0</v>
      </c>
      <c r="P19" s="555"/>
      <c r="Q19" s="559">
        <f t="shared" ca="1" si="4"/>
        <v>45856</v>
      </c>
      <c r="R19" s="4">
        <v>44.87</v>
      </c>
      <c r="S19" s="4">
        <v>137546.26</v>
      </c>
      <c r="T19" s="4">
        <v>0</v>
      </c>
      <c r="U19" s="4">
        <v>0.46497409326424866</v>
      </c>
      <c r="V19" s="4">
        <v>1.2691538329164989</v>
      </c>
      <c r="W19" s="4" t="e">
        <v>#DIV/0!</v>
      </c>
      <c r="Y19" s="555">
        <f t="shared" si="5"/>
        <v>44.87</v>
      </c>
      <c r="Z19" s="4">
        <f ca="1">IFERROR(VALUE(_xll.BDH(Z$4,"PX_LAST",$Q19,$Q19)),Z20)</f>
        <v>0</v>
      </c>
      <c r="AA19" s="4">
        <f ca="1">IFERROR(VALUE(_xll.BDH(AA$4,"PX_LAST",$Q19,$Q19)),AA20)</f>
        <v>0</v>
      </c>
      <c r="AB19" s="4">
        <f ca="1">IFERROR(VALUE(_xll.BDH(AB$4,"PX_LAST",$Q19,$Q19)),AB20)</f>
        <v>0</v>
      </c>
      <c r="AC19" s="4">
        <f ca="1">IFERROR(VALUE(_xll.BDH(AC$4,"PX_LAST",$Q19,$Q19)),AC20)</f>
        <v>0</v>
      </c>
      <c r="AD19" s="4">
        <f ca="1">IFERROR(VALUE(_xll.BDH(AD$4,"PX_LAST",$Q19,$Q19)),AD20)</f>
        <v>0</v>
      </c>
      <c r="AF19" s="4">
        <f t="shared" si="6"/>
        <v>0.46497409326424866</v>
      </c>
      <c r="AG19" s="4" t="e">
        <f t="shared" ca="1" si="7"/>
        <v>#DIV/0!</v>
      </c>
      <c r="AH19" s="4" t="e">
        <f t="shared" ca="1" si="8"/>
        <v>#DIV/0!</v>
      </c>
      <c r="AI19" s="4" t="e">
        <f t="shared" ca="1" si="9"/>
        <v>#DIV/0!</v>
      </c>
      <c r="AJ19" s="4" t="e">
        <f t="shared" ca="1" si="10"/>
        <v>#DIV/0!</v>
      </c>
      <c r="AK19" s="4" t="e">
        <f t="shared" ca="1" si="11"/>
        <v>#DIV/0!</v>
      </c>
      <c r="AM19" s="557">
        <f t="shared" ca="1" si="12"/>
        <v>45939</v>
      </c>
      <c r="AN19" s="558">
        <v>33.44</v>
      </c>
      <c r="AO19" s="558">
        <v>1632200</v>
      </c>
      <c r="AP19" s="558">
        <v>206.48981000000001</v>
      </c>
      <c r="AQ19" s="558">
        <v>6905.0192464000002</v>
      </c>
      <c r="AR19" s="558">
        <v>0.48299999999999998</v>
      </c>
    </row>
    <row r="20" spans="2:44">
      <c r="B20" s="559">
        <f t="shared" ca="1" si="13"/>
        <v>45849</v>
      </c>
      <c r="C20" s="555">
        <f ca="1">(IFERROR(IFERROR(VALUE(_xll.BDH(C$4,"CURRENT_EV_TO_T12M_EBITDA",$B20,$B20)),VALUE(_xll.BDH(C$4,"CURRENT_EV_TO_T12M_EBITDA",$B20+1,$B20+1))),C21))</f>
        <v>0</v>
      </c>
      <c r="D20" s="555">
        <f ca="1">(IFERROR(IFERROR(VALUE(_xll.BDH(D$4,"CURRENT_EV_TO_T12M_EBITDA",$B20,$B20)),VALUE(_xll.BDH(D$4,"CURRENT_EV_TO_T12M_EBITDA",$B20+1,$B20+1))),D21))</f>
        <v>0</v>
      </c>
      <c r="E20" s="555">
        <f ca="1">(IFERROR(IFERROR(VALUE(_xll.BDH(E$4,"CURRENT_EV_TO_T12M_EBITDA",$B20,$B20)),VALUE(_xll.BDH(E$4,"CURRENT_EV_TO_T12M_EBITDA",$B20+1,$B20+1))),E21))</f>
        <v>0</v>
      </c>
      <c r="F20" s="555">
        <f ca="1">(IFERROR(IFERROR(VALUE(_xll.BDH(F$4,"CURRENT_EV_TO_T12M_EBITDA",$B20,$B20)),VALUE(_xll.BDH(F$4,"CURRENT_EV_TO_T12M_EBITDA",$B20+1,$B20+1))),F21))</f>
        <v>0</v>
      </c>
      <c r="G20" s="555">
        <f ca="1">(IFERROR(IFERROR(VALUE(_xll.BDH(G$4,"CURRENT_EV_TO_T12M_EBITDA",$B20,$B20)),VALUE(_xll.BDH(G$4,"CURRENT_EV_TO_T12M_EBITDA",$B20+1,$B20+1))),G21))</f>
        <v>0</v>
      </c>
      <c r="H20" s="555">
        <f ca="1">(IFERROR(IFERROR(VALUE(_xll.BDH(H$4,"CURRENT_EV_TO_T12M_EBITDA",$B20,$B20)),VALUE(_xll.BDH(H$4,"CURRENT_EV_TO_T12M_EBITDA",$B20+1,$B20+1))),H21))</f>
        <v>0</v>
      </c>
      <c r="I20" s="559">
        <f t="shared" ca="1" si="3"/>
        <v>45849</v>
      </c>
      <c r="J20" s="555">
        <f ca="1">(IFERROR(IFERROR(VALUE(_xll.BDH(J$4,"PE_RATIO",$B20,$B20)),VALUE(_xll.BDH(J$4,"PE_RATIO",$B20+1,$B20+1))),J21))</f>
        <v>0</v>
      </c>
      <c r="K20" s="555">
        <f ca="1">(IFERROR(IFERROR(VALUE(_xll.BDH(K$4,"PE_RATIO",$B20,$B20)),VALUE(_xll.BDH(K$4,"PE_RATIO",$B20+1,$B20+1))),K21))</f>
        <v>0</v>
      </c>
      <c r="L20" s="555">
        <f ca="1">(IFERROR(IFERROR(VALUE(_xll.BDH(L$4,"PE_RATIO",$B20,$B20)),VALUE(_xll.BDH(L$4,"PE_RATIO",$B20+1,$B20+1))),L21))</f>
        <v>0</v>
      </c>
      <c r="M20" s="555">
        <f ca="1">(IFERROR(IFERROR(VALUE(_xll.BDH(M$4,"PE_RATIO",$B20,$B20)),VALUE(_xll.BDH(M$4,"PE_RATIO",$B20+1,$B20+1))),M21))</f>
        <v>0</v>
      </c>
      <c r="N20" s="555">
        <f ca="1">(IFERROR(IFERROR(VALUE(_xll.BDH(N$4,"PE_RATIO",$B20,$B20)),VALUE(_xll.BDH(N$4,"PE_RATIO",$B20+1,$B20+1))),N21))</f>
        <v>0</v>
      </c>
      <c r="O20" s="555">
        <f ca="1">(IFERROR(IFERROR(VALUE(_xll.BDH(O$4,"PE_RATIO",$B20,$B20)),VALUE(_xll.BDH(O$4,"PE_RATIO",$B20+1,$B20+1))),O21))</f>
        <v>0</v>
      </c>
      <c r="P20" s="555"/>
      <c r="Q20" s="559">
        <f t="shared" ca="1" si="4"/>
        <v>45849</v>
      </c>
      <c r="R20" s="4">
        <v>42</v>
      </c>
      <c r="S20" s="4">
        <v>139541.23000000001</v>
      </c>
      <c r="T20" s="4">
        <v>0</v>
      </c>
      <c r="U20" s="4">
        <v>0.43523316062176165</v>
      </c>
      <c r="V20" s="4">
        <v>1.2875616312968652</v>
      </c>
      <c r="W20" s="4" t="e">
        <v>#DIV/0!</v>
      </c>
      <c r="Y20" s="555">
        <f t="shared" si="5"/>
        <v>42</v>
      </c>
      <c r="Z20" s="4">
        <f ca="1">IFERROR(VALUE(_xll.BDH(Z$4,"PX_LAST",$Q20,$Q20)),Z21)</f>
        <v>0</v>
      </c>
      <c r="AA20" s="4">
        <f ca="1">IFERROR(VALUE(_xll.BDH(AA$4,"PX_LAST",$Q20,$Q20)),AA21)</f>
        <v>0</v>
      </c>
      <c r="AB20" s="4">
        <f ca="1">IFERROR(VALUE(_xll.BDH(AB$4,"PX_LAST",$Q20,$Q20)),AB21)</f>
        <v>0</v>
      </c>
      <c r="AC20" s="4">
        <f ca="1">IFERROR(VALUE(_xll.BDH(AC$4,"PX_LAST",$Q20,$Q20)),AC21)</f>
        <v>0</v>
      </c>
      <c r="AD20" s="4">
        <f ca="1">IFERROR(VALUE(_xll.BDH(AD$4,"PX_LAST",$Q20,$Q20)),AD21)</f>
        <v>0</v>
      </c>
      <c r="AF20" s="4">
        <f t="shared" si="6"/>
        <v>0.43523316062176165</v>
      </c>
      <c r="AG20" s="4" t="e">
        <f t="shared" ca="1" si="7"/>
        <v>#DIV/0!</v>
      </c>
      <c r="AH20" s="4" t="e">
        <f t="shared" ca="1" si="8"/>
        <v>#DIV/0!</v>
      </c>
      <c r="AI20" s="4" t="e">
        <f t="shared" ca="1" si="9"/>
        <v>#DIV/0!</v>
      </c>
      <c r="AJ20" s="4" t="e">
        <f t="shared" ca="1" si="10"/>
        <v>#DIV/0!</v>
      </c>
      <c r="AK20" s="4" t="e">
        <f t="shared" ca="1" si="11"/>
        <v>#DIV/0!</v>
      </c>
      <c r="AM20" s="557">
        <f t="shared" ca="1" si="12"/>
        <v>45938</v>
      </c>
      <c r="AN20" s="558">
        <v>33.08</v>
      </c>
      <c r="AO20" s="558">
        <v>1914800</v>
      </c>
      <c r="AP20" s="558">
        <v>206.48981000000001</v>
      </c>
      <c r="AQ20" s="558">
        <v>6830.6829147999997</v>
      </c>
      <c r="AR20" s="558">
        <v>0.47789999999999999</v>
      </c>
    </row>
    <row r="21" spans="2:44">
      <c r="B21" s="559">
        <f t="shared" ca="1" si="13"/>
        <v>45842</v>
      </c>
      <c r="C21" s="555">
        <f ca="1">(IFERROR(IFERROR(VALUE(_xll.BDH(C$4,"CURRENT_EV_TO_T12M_EBITDA",$B21,$B21)),VALUE(_xll.BDH(C$4,"CURRENT_EV_TO_T12M_EBITDA",$B21+1,$B21+1))),C22))</f>
        <v>0</v>
      </c>
      <c r="D21" s="555">
        <f ca="1">(IFERROR(IFERROR(VALUE(_xll.BDH(D$4,"CURRENT_EV_TO_T12M_EBITDA",$B21,$B21)),VALUE(_xll.BDH(D$4,"CURRENT_EV_TO_T12M_EBITDA",$B21+1,$B21+1))),D22))</f>
        <v>0</v>
      </c>
      <c r="E21" s="555">
        <f ca="1">(IFERROR(IFERROR(VALUE(_xll.BDH(E$4,"CURRENT_EV_TO_T12M_EBITDA",$B21,$B21)),VALUE(_xll.BDH(E$4,"CURRENT_EV_TO_T12M_EBITDA",$B21+1,$B21+1))),E22))</f>
        <v>0</v>
      </c>
      <c r="F21" s="555">
        <f ca="1">(IFERROR(IFERROR(VALUE(_xll.BDH(F$4,"CURRENT_EV_TO_T12M_EBITDA",$B21,$B21)),VALUE(_xll.BDH(F$4,"CURRENT_EV_TO_T12M_EBITDA",$B21+1,$B21+1))),F22))</f>
        <v>0</v>
      </c>
      <c r="G21" s="555">
        <f ca="1">(IFERROR(IFERROR(VALUE(_xll.BDH(G$4,"CURRENT_EV_TO_T12M_EBITDA",$B21,$B21)),VALUE(_xll.BDH(G$4,"CURRENT_EV_TO_T12M_EBITDA",$B21+1,$B21+1))),G22))</f>
        <v>0</v>
      </c>
      <c r="H21" s="555">
        <f ca="1">(IFERROR(IFERROR(VALUE(_xll.BDH(H$4,"CURRENT_EV_TO_T12M_EBITDA",$B21,$B21)),VALUE(_xll.BDH(H$4,"CURRENT_EV_TO_T12M_EBITDA",$B21+1,$B21+1))),H22))</f>
        <v>0</v>
      </c>
      <c r="I21" s="559">
        <f t="shared" ca="1" si="3"/>
        <v>45842</v>
      </c>
      <c r="J21" s="555">
        <f ca="1">(IFERROR(IFERROR(VALUE(_xll.BDH(J$4,"PE_RATIO",$B21,$B21)),VALUE(_xll.BDH(J$4,"PE_RATIO",$B21+1,$B21+1))),J22))</f>
        <v>0</v>
      </c>
      <c r="K21" s="555">
        <f ca="1">(IFERROR(IFERROR(VALUE(_xll.BDH(K$4,"PE_RATIO",$B21,$B21)),VALUE(_xll.BDH(K$4,"PE_RATIO",$B21+1,$B21+1))),K22))</f>
        <v>0</v>
      </c>
      <c r="L21" s="555">
        <f ca="1">(IFERROR(IFERROR(VALUE(_xll.BDH(L$4,"PE_RATIO",$B21,$B21)),VALUE(_xll.BDH(L$4,"PE_RATIO",$B21+1,$B21+1))),L22))</f>
        <v>0</v>
      </c>
      <c r="M21" s="555">
        <f ca="1">(IFERROR(IFERROR(VALUE(_xll.BDH(M$4,"PE_RATIO",$B21,$B21)),VALUE(_xll.BDH(M$4,"PE_RATIO",$B21+1,$B21+1))),M22))</f>
        <v>0</v>
      </c>
      <c r="N21" s="555">
        <f ca="1">(IFERROR(IFERROR(VALUE(_xll.BDH(N$4,"PE_RATIO",$B21,$B21)),VALUE(_xll.BDH(N$4,"PE_RATIO",$B21+1,$B21+1))),N22))</f>
        <v>0</v>
      </c>
      <c r="O21" s="555">
        <f ca="1">(IFERROR(IFERROR(VALUE(_xll.BDH(O$4,"PE_RATIO",$B21,$B21)),VALUE(_xll.BDH(O$4,"PE_RATIO",$B21+1,$B21+1))),O22))</f>
        <v>0</v>
      </c>
      <c r="P21" s="555"/>
      <c r="Q21" s="559">
        <f t="shared" ca="1" si="4"/>
        <v>45842</v>
      </c>
      <c r="R21" s="4">
        <v>43.86</v>
      </c>
      <c r="S21" s="4">
        <v>140109.63</v>
      </c>
      <c r="T21" s="4">
        <v>0</v>
      </c>
      <c r="U21" s="4">
        <v>0.4545077720207254</v>
      </c>
      <c r="V21" s="4">
        <v>1.2928063179835823</v>
      </c>
      <c r="W21" s="4" t="e">
        <v>#DIV/0!</v>
      </c>
      <c r="Y21" s="555">
        <f t="shared" si="5"/>
        <v>43.86</v>
      </c>
      <c r="Z21" s="4">
        <f ca="1">IFERROR(VALUE(_xll.BDH(Z$4,"PX_LAST",$Q21,$Q21)),Z22)</f>
        <v>0</v>
      </c>
      <c r="AA21" s="4">
        <f ca="1">IFERROR(VALUE(_xll.BDH(AA$4,"PX_LAST",$Q21,$Q21)),AA22)</f>
        <v>0</v>
      </c>
      <c r="AB21" s="4">
        <f ca="1">IFERROR(VALUE(_xll.BDH(AB$4,"PX_LAST",$Q21,$Q21)),AB22)</f>
        <v>0</v>
      </c>
      <c r="AC21" s="4">
        <f ca="1">IFERROR(VALUE(_xll.BDH(AC$4,"PX_LAST",$Q21,$Q21)),AC22)</f>
        <v>0</v>
      </c>
      <c r="AD21" s="4">
        <f ca="1">IFERROR(VALUE(_xll.BDH(AD$4,"PX_LAST",$Q21,$Q21)),AD22)</f>
        <v>0</v>
      </c>
      <c r="AF21" s="4">
        <f t="shared" si="6"/>
        <v>0.4545077720207254</v>
      </c>
      <c r="AG21" s="4" t="e">
        <f t="shared" ca="1" si="7"/>
        <v>#DIV/0!</v>
      </c>
      <c r="AH21" s="4" t="e">
        <f t="shared" ca="1" si="8"/>
        <v>#DIV/0!</v>
      </c>
      <c r="AI21" s="4" t="e">
        <f t="shared" ca="1" si="9"/>
        <v>#DIV/0!</v>
      </c>
      <c r="AJ21" s="4" t="e">
        <f t="shared" ca="1" si="10"/>
        <v>#DIV/0!</v>
      </c>
      <c r="AK21" s="4" t="e">
        <f t="shared" ca="1" si="11"/>
        <v>#DIV/0!</v>
      </c>
      <c r="AM21" s="557">
        <f t="shared" ca="1" si="12"/>
        <v>45937</v>
      </c>
      <c r="AN21" s="558">
        <v>33.08</v>
      </c>
      <c r="AO21" s="558">
        <v>1914800</v>
      </c>
      <c r="AP21" s="558">
        <v>206.48981000000001</v>
      </c>
      <c r="AQ21" s="558">
        <v>6830.6829147999997</v>
      </c>
      <c r="AR21" s="558">
        <v>0.47789999999999999</v>
      </c>
    </row>
    <row r="22" spans="2:44">
      <c r="B22" s="559">
        <f t="shared" ca="1" si="13"/>
        <v>45835</v>
      </c>
      <c r="C22" s="555">
        <f ca="1">(IFERROR(IFERROR(VALUE(_xll.BDH(C$4,"CURRENT_EV_TO_T12M_EBITDA",$B22,$B22)),VALUE(_xll.BDH(C$4,"CURRENT_EV_TO_T12M_EBITDA",$B22+1,$B22+1))),C23))</f>
        <v>0</v>
      </c>
      <c r="D22" s="555">
        <f ca="1">(IFERROR(IFERROR(VALUE(_xll.BDH(D$4,"CURRENT_EV_TO_T12M_EBITDA",$B22,$B22)),VALUE(_xll.BDH(D$4,"CURRENT_EV_TO_T12M_EBITDA",$B22+1,$B22+1))),D23))</f>
        <v>0</v>
      </c>
      <c r="E22" s="555">
        <f ca="1">(IFERROR(IFERROR(VALUE(_xll.BDH(E$4,"CURRENT_EV_TO_T12M_EBITDA",$B22,$B22)),VALUE(_xll.BDH(E$4,"CURRENT_EV_TO_T12M_EBITDA",$B22+1,$B22+1))),E23))</f>
        <v>0</v>
      </c>
      <c r="F22" s="555">
        <f ca="1">(IFERROR(IFERROR(VALUE(_xll.BDH(F$4,"CURRENT_EV_TO_T12M_EBITDA",$B22,$B22)),VALUE(_xll.BDH(F$4,"CURRENT_EV_TO_T12M_EBITDA",$B22+1,$B22+1))),F23))</f>
        <v>0</v>
      </c>
      <c r="G22" s="555">
        <f ca="1">(IFERROR(IFERROR(VALUE(_xll.BDH(G$4,"CURRENT_EV_TO_T12M_EBITDA",$B22,$B22)),VALUE(_xll.BDH(G$4,"CURRENT_EV_TO_T12M_EBITDA",$B22+1,$B22+1))),G23))</f>
        <v>0</v>
      </c>
      <c r="H22" s="555">
        <f ca="1">(IFERROR(IFERROR(VALUE(_xll.BDH(H$4,"CURRENT_EV_TO_T12M_EBITDA",$B22,$B22)),VALUE(_xll.BDH(H$4,"CURRENT_EV_TO_T12M_EBITDA",$B22+1,$B22+1))),H23))</f>
        <v>0</v>
      </c>
      <c r="I22" s="559">
        <f t="shared" ca="1" si="3"/>
        <v>45835</v>
      </c>
      <c r="J22" s="555">
        <f ca="1">(IFERROR(IFERROR(VALUE(_xll.BDH(J$4,"PE_RATIO",$B22,$B22)),VALUE(_xll.BDH(J$4,"PE_RATIO",$B22+1,$B22+1))),J23))</f>
        <v>0</v>
      </c>
      <c r="K22" s="555">
        <f ca="1">(IFERROR(IFERROR(VALUE(_xll.BDH(K$4,"PE_RATIO",$B22,$B22)),VALUE(_xll.BDH(K$4,"PE_RATIO",$B22+1,$B22+1))),K23))</f>
        <v>0</v>
      </c>
      <c r="L22" s="555">
        <f ca="1">(IFERROR(IFERROR(VALUE(_xll.BDH(L$4,"PE_RATIO",$B22,$B22)),VALUE(_xll.BDH(L$4,"PE_RATIO",$B22+1,$B22+1))),L23))</f>
        <v>0</v>
      </c>
      <c r="M22" s="555">
        <f ca="1">(IFERROR(IFERROR(VALUE(_xll.BDH(M$4,"PE_RATIO",$B22,$B22)),VALUE(_xll.BDH(M$4,"PE_RATIO",$B22+1,$B22+1))),M23))</f>
        <v>0</v>
      </c>
      <c r="N22" s="555">
        <f ca="1">(IFERROR(IFERROR(VALUE(_xll.BDH(N$4,"PE_RATIO",$B22,$B22)),VALUE(_xll.BDH(N$4,"PE_RATIO",$B22+1,$B22+1))),N23))</f>
        <v>0</v>
      </c>
      <c r="O22" s="555">
        <f ca="1">(IFERROR(IFERROR(VALUE(_xll.BDH(O$4,"PE_RATIO",$B22,$B22)),VALUE(_xll.BDH(O$4,"PE_RATIO",$B22+1,$B22+1))),O23))</f>
        <v>0</v>
      </c>
      <c r="P22" s="555"/>
      <c r="Q22" s="559">
        <f t="shared" ca="1" si="4"/>
        <v>45835</v>
      </c>
      <c r="R22" s="4">
        <v>41.31</v>
      </c>
      <c r="S22" s="4">
        <v>138963.10999999999</v>
      </c>
      <c r="T22" s="4">
        <v>0</v>
      </c>
      <c r="U22" s="4">
        <v>0.42808290155440415</v>
      </c>
      <c r="V22" s="4">
        <v>1.2822272571460469</v>
      </c>
      <c r="W22" s="4" t="e">
        <v>#DIV/0!</v>
      </c>
      <c r="Y22" s="555">
        <f t="shared" si="5"/>
        <v>41.31</v>
      </c>
      <c r="Z22" s="4">
        <f ca="1">IFERROR(VALUE(_xll.BDH(Z$4,"PX_LAST",$Q22,$Q22)),Z23)</f>
        <v>0</v>
      </c>
      <c r="AA22" s="4">
        <f ca="1">IFERROR(VALUE(_xll.BDH(AA$4,"PX_LAST",$Q22,$Q22)),AA23)</f>
        <v>0</v>
      </c>
      <c r="AB22" s="4">
        <f ca="1">IFERROR(VALUE(_xll.BDH(AB$4,"PX_LAST",$Q22,$Q22)),AB23)</f>
        <v>0</v>
      </c>
      <c r="AC22" s="4">
        <f ca="1">IFERROR(VALUE(_xll.BDH(AC$4,"PX_LAST",$Q22,$Q22)),AC23)</f>
        <v>0</v>
      </c>
      <c r="AD22" s="4">
        <f ca="1">IFERROR(VALUE(_xll.BDH(AD$4,"PX_LAST",$Q22,$Q22)),AD23)</f>
        <v>0</v>
      </c>
      <c r="AF22" s="4">
        <f t="shared" si="6"/>
        <v>0.42808290155440415</v>
      </c>
      <c r="AG22" s="4" t="e">
        <f t="shared" ca="1" si="7"/>
        <v>#DIV/0!</v>
      </c>
      <c r="AH22" s="4" t="e">
        <f t="shared" ca="1" si="8"/>
        <v>#DIV/0!</v>
      </c>
      <c r="AI22" s="4" t="e">
        <f t="shared" ca="1" si="9"/>
        <v>#DIV/0!</v>
      </c>
      <c r="AJ22" s="4" t="e">
        <f t="shared" ca="1" si="10"/>
        <v>#DIV/0!</v>
      </c>
      <c r="AK22" s="4" t="e">
        <f t="shared" ca="1" si="11"/>
        <v>#DIV/0!</v>
      </c>
      <c r="AM22" s="557">
        <f t="shared" ca="1" si="12"/>
        <v>45936</v>
      </c>
      <c r="AN22" s="558">
        <v>33.08</v>
      </c>
      <c r="AO22" s="558">
        <v>1914800</v>
      </c>
      <c r="AP22" s="558">
        <v>206.48981000000001</v>
      </c>
      <c r="AQ22" s="558">
        <v>6830.6829147999997</v>
      </c>
      <c r="AR22" s="558">
        <v>0.47789999999999999</v>
      </c>
    </row>
    <row r="23" spans="2:44">
      <c r="B23" s="559">
        <f t="shared" ca="1" si="13"/>
        <v>45828</v>
      </c>
      <c r="C23" s="555">
        <f ca="1">(IFERROR(IFERROR(VALUE(_xll.BDH(C$4,"CURRENT_EV_TO_T12M_EBITDA",$B23,$B23)),VALUE(_xll.BDH(C$4,"CURRENT_EV_TO_T12M_EBITDA",$B23+1,$B23+1))),C24))</f>
        <v>0</v>
      </c>
      <c r="D23" s="555">
        <f ca="1">(IFERROR(IFERROR(VALUE(_xll.BDH(D$4,"CURRENT_EV_TO_T12M_EBITDA",$B23,$B23)),VALUE(_xll.BDH(D$4,"CURRENT_EV_TO_T12M_EBITDA",$B23+1,$B23+1))),D24))</f>
        <v>0</v>
      </c>
      <c r="E23" s="555">
        <f ca="1">(IFERROR(IFERROR(VALUE(_xll.BDH(E$4,"CURRENT_EV_TO_T12M_EBITDA",$B23,$B23)),VALUE(_xll.BDH(E$4,"CURRENT_EV_TO_T12M_EBITDA",$B23+1,$B23+1))),E24))</f>
        <v>0</v>
      </c>
      <c r="F23" s="555">
        <f ca="1">(IFERROR(IFERROR(VALUE(_xll.BDH(F$4,"CURRENT_EV_TO_T12M_EBITDA",$B23,$B23)),VALUE(_xll.BDH(F$4,"CURRENT_EV_TO_T12M_EBITDA",$B23+1,$B23+1))),F24))</f>
        <v>0</v>
      </c>
      <c r="G23" s="555">
        <f ca="1">(IFERROR(IFERROR(VALUE(_xll.BDH(G$4,"CURRENT_EV_TO_T12M_EBITDA",$B23,$B23)),VALUE(_xll.BDH(G$4,"CURRENT_EV_TO_T12M_EBITDA",$B23+1,$B23+1))),G24))</f>
        <v>0</v>
      </c>
      <c r="H23" s="555">
        <f ca="1">(IFERROR(IFERROR(VALUE(_xll.BDH(H$4,"CURRENT_EV_TO_T12M_EBITDA",$B23,$B23)),VALUE(_xll.BDH(H$4,"CURRENT_EV_TO_T12M_EBITDA",$B23+1,$B23+1))),H24))</f>
        <v>0</v>
      </c>
      <c r="I23" s="559">
        <f t="shared" ca="1" si="3"/>
        <v>45828</v>
      </c>
      <c r="J23" s="555">
        <f ca="1">(IFERROR(IFERROR(VALUE(_xll.BDH(J$4,"PE_RATIO",$B23,$B23)),VALUE(_xll.BDH(J$4,"PE_RATIO",$B23+1,$B23+1))),J24))</f>
        <v>0</v>
      </c>
      <c r="K23" s="555">
        <f ca="1">(IFERROR(IFERROR(VALUE(_xll.BDH(K$4,"PE_RATIO",$B23,$B23)),VALUE(_xll.BDH(K$4,"PE_RATIO",$B23+1,$B23+1))),K24))</f>
        <v>0</v>
      </c>
      <c r="L23" s="555">
        <f ca="1">(IFERROR(IFERROR(VALUE(_xll.BDH(L$4,"PE_RATIO",$B23,$B23)),VALUE(_xll.BDH(L$4,"PE_RATIO",$B23+1,$B23+1))),L24))</f>
        <v>0</v>
      </c>
      <c r="M23" s="555">
        <f ca="1">(IFERROR(IFERROR(VALUE(_xll.BDH(M$4,"PE_RATIO",$B23,$B23)),VALUE(_xll.BDH(M$4,"PE_RATIO",$B23+1,$B23+1))),M24))</f>
        <v>0</v>
      </c>
      <c r="N23" s="555">
        <f ca="1">(IFERROR(IFERROR(VALUE(_xll.BDH(N$4,"PE_RATIO",$B23,$B23)),VALUE(_xll.BDH(N$4,"PE_RATIO",$B23+1,$B23+1))),N24))</f>
        <v>0</v>
      </c>
      <c r="O23" s="555">
        <f ca="1">(IFERROR(IFERROR(VALUE(_xll.BDH(O$4,"PE_RATIO",$B23,$B23)),VALUE(_xll.BDH(O$4,"PE_RATIO",$B23+1,$B23+1))),O24))</f>
        <v>0</v>
      </c>
      <c r="P23" s="555"/>
      <c r="Q23" s="559">
        <f t="shared" ca="1" si="4"/>
        <v>45828</v>
      </c>
      <c r="R23" s="4">
        <v>32.700000000000003</v>
      </c>
      <c r="S23" s="4">
        <v>133515.82</v>
      </c>
      <c r="T23" s="4">
        <v>0</v>
      </c>
      <c r="U23" s="4">
        <v>0.33886010362694302</v>
      </c>
      <c r="V23" s="4">
        <v>1.2319645383886799</v>
      </c>
      <c r="W23" s="4" t="e">
        <v>#DIV/0!</v>
      </c>
      <c r="Y23" s="555">
        <f t="shared" si="5"/>
        <v>32.700000000000003</v>
      </c>
      <c r="Z23" s="4">
        <f ca="1">IFERROR(VALUE(_xll.BDH(Z$4,"PX_LAST",$Q23,$Q23)),Z24)</f>
        <v>0</v>
      </c>
      <c r="AA23" s="4">
        <f ca="1">IFERROR(VALUE(_xll.BDH(AA$4,"PX_LAST",$Q23,$Q23)),AA24)</f>
        <v>0</v>
      </c>
      <c r="AB23" s="4">
        <f ca="1">IFERROR(VALUE(_xll.BDH(AB$4,"PX_LAST",$Q23,$Q23)),AB24)</f>
        <v>0</v>
      </c>
      <c r="AC23" s="4">
        <f ca="1">IFERROR(VALUE(_xll.BDH(AC$4,"PX_LAST",$Q23,$Q23)),AC24)</f>
        <v>0</v>
      </c>
      <c r="AD23" s="4">
        <f ca="1">IFERROR(VALUE(_xll.BDH(AD$4,"PX_LAST",$Q23,$Q23)),AD24)</f>
        <v>0</v>
      </c>
      <c r="AF23" s="4">
        <f t="shared" si="6"/>
        <v>0.33886010362694302</v>
      </c>
      <c r="AG23" s="4" t="e">
        <f t="shared" ca="1" si="7"/>
        <v>#DIV/0!</v>
      </c>
      <c r="AH23" s="4" t="e">
        <f t="shared" ca="1" si="8"/>
        <v>#DIV/0!</v>
      </c>
      <c r="AI23" s="4" t="e">
        <f t="shared" ca="1" si="9"/>
        <v>#DIV/0!</v>
      </c>
      <c r="AJ23" s="4" t="e">
        <f t="shared" ca="1" si="10"/>
        <v>#DIV/0!</v>
      </c>
      <c r="AK23" s="4" t="e">
        <f t="shared" ca="1" si="11"/>
        <v>#DIV/0!</v>
      </c>
      <c r="AM23" s="557">
        <f t="shared" ca="1" si="12"/>
        <v>45935</v>
      </c>
      <c r="AN23" s="558">
        <v>31.28</v>
      </c>
      <c r="AO23" s="558">
        <v>1431900</v>
      </c>
      <c r="AP23" s="558">
        <v>206.48981000000001</v>
      </c>
      <c r="AQ23" s="558">
        <v>6459.0012568000002</v>
      </c>
      <c r="AR23" s="558">
        <v>0.45179999999999998</v>
      </c>
    </row>
    <row r="24" spans="2:44">
      <c r="B24" s="559">
        <f t="shared" ca="1" si="13"/>
        <v>45821</v>
      </c>
      <c r="C24" s="555">
        <f ca="1">(IFERROR(IFERROR(VALUE(_xll.BDH(C$4,"CURRENT_EV_TO_T12M_EBITDA",$B24,$B24)),VALUE(_xll.BDH(C$4,"CURRENT_EV_TO_T12M_EBITDA",$B24+1,$B24+1))),C25))</f>
        <v>0</v>
      </c>
      <c r="D24" s="555">
        <f ca="1">(IFERROR(IFERROR(VALUE(_xll.BDH(D$4,"CURRENT_EV_TO_T12M_EBITDA",$B24,$B24)),VALUE(_xll.BDH(D$4,"CURRENT_EV_TO_T12M_EBITDA",$B24+1,$B24+1))),D25))</f>
        <v>0</v>
      </c>
      <c r="E24" s="555">
        <f ca="1">(IFERROR(IFERROR(VALUE(_xll.BDH(E$4,"CURRENT_EV_TO_T12M_EBITDA",$B24,$B24)),VALUE(_xll.BDH(E$4,"CURRENT_EV_TO_T12M_EBITDA",$B24+1,$B24+1))),E25))</f>
        <v>0</v>
      </c>
      <c r="F24" s="555">
        <f ca="1">(IFERROR(IFERROR(VALUE(_xll.BDH(F$4,"CURRENT_EV_TO_T12M_EBITDA",$B24,$B24)),VALUE(_xll.BDH(F$4,"CURRENT_EV_TO_T12M_EBITDA",$B24+1,$B24+1))),F25))</f>
        <v>0</v>
      </c>
      <c r="G24" s="555">
        <f ca="1">(IFERROR(IFERROR(VALUE(_xll.BDH(G$4,"CURRENT_EV_TO_T12M_EBITDA",$B24,$B24)),VALUE(_xll.BDH(G$4,"CURRENT_EV_TO_T12M_EBITDA",$B24+1,$B24+1))),G25))</f>
        <v>0</v>
      </c>
      <c r="H24" s="555">
        <f ca="1">(IFERROR(IFERROR(VALUE(_xll.BDH(H$4,"CURRENT_EV_TO_T12M_EBITDA",$B24,$B24)),VALUE(_xll.BDH(H$4,"CURRENT_EV_TO_T12M_EBITDA",$B24+1,$B24+1))),H25))</f>
        <v>0</v>
      </c>
      <c r="I24" s="559">
        <f t="shared" ca="1" si="3"/>
        <v>45821</v>
      </c>
      <c r="J24" s="555">
        <f ca="1">(IFERROR(IFERROR(VALUE(_xll.BDH(J$4,"PE_RATIO",$B24,$B24)),VALUE(_xll.BDH(J$4,"PE_RATIO",$B24+1,$B24+1))),J25))</f>
        <v>0</v>
      </c>
      <c r="K24" s="555">
        <f ca="1">(IFERROR(IFERROR(VALUE(_xll.BDH(K$4,"PE_RATIO",$B24,$B24)),VALUE(_xll.BDH(K$4,"PE_RATIO",$B24+1,$B24+1))),K25))</f>
        <v>0</v>
      </c>
      <c r="L24" s="555">
        <f ca="1">(IFERROR(IFERROR(VALUE(_xll.BDH(L$4,"PE_RATIO",$B24,$B24)),VALUE(_xll.BDH(L$4,"PE_RATIO",$B24+1,$B24+1))),L25))</f>
        <v>0</v>
      </c>
      <c r="M24" s="555">
        <f ca="1">(IFERROR(IFERROR(VALUE(_xll.BDH(M$4,"PE_RATIO",$B24,$B24)),VALUE(_xll.BDH(M$4,"PE_RATIO",$B24+1,$B24+1))),M25))</f>
        <v>0</v>
      </c>
      <c r="N24" s="555">
        <f ca="1">(IFERROR(IFERROR(VALUE(_xll.BDH(N$4,"PE_RATIO",$B24,$B24)),VALUE(_xll.BDH(N$4,"PE_RATIO",$B24+1,$B24+1))),N25))</f>
        <v>0</v>
      </c>
      <c r="O24" s="555">
        <f ca="1">(IFERROR(IFERROR(VALUE(_xll.BDH(O$4,"PE_RATIO",$B24,$B24)),VALUE(_xll.BDH(O$4,"PE_RATIO",$B24+1,$B24+1))),O25))</f>
        <v>0</v>
      </c>
      <c r="P24" s="555"/>
      <c r="Q24" s="559">
        <f t="shared" ca="1" si="4"/>
        <v>45821</v>
      </c>
      <c r="R24" s="4">
        <v>30.98</v>
      </c>
      <c r="S24" s="4">
        <v>135092.99</v>
      </c>
      <c r="T24" s="4">
        <v>0</v>
      </c>
      <c r="U24" s="4">
        <v>0.32103626943005181</v>
      </c>
      <c r="V24" s="4">
        <v>1.2465172521495693</v>
      </c>
      <c r="W24" s="4" t="e">
        <v>#DIV/0!</v>
      </c>
      <c r="Y24" s="555">
        <f t="shared" si="5"/>
        <v>30.98</v>
      </c>
      <c r="Z24" s="4">
        <f ca="1">IFERROR(VALUE(_xll.BDH(Z$4,"PX_LAST",$Q24,$Q24)),Z25)</f>
        <v>0</v>
      </c>
      <c r="AA24" s="4">
        <f ca="1">IFERROR(VALUE(_xll.BDH(AA$4,"PX_LAST",$Q24,$Q24)),AA25)</f>
        <v>0</v>
      </c>
      <c r="AB24" s="4">
        <f ca="1">IFERROR(VALUE(_xll.BDH(AB$4,"PX_LAST",$Q24,$Q24)),AB25)</f>
        <v>0</v>
      </c>
      <c r="AC24" s="4">
        <f ca="1">IFERROR(VALUE(_xll.BDH(AC$4,"PX_LAST",$Q24,$Q24)),AC25)</f>
        <v>0</v>
      </c>
      <c r="AD24" s="4">
        <f ca="1">IFERROR(VALUE(_xll.BDH(AD$4,"PX_LAST",$Q24,$Q24)),AD25)</f>
        <v>0</v>
      </c>
      <c r="AF24" s="4">
        <f t="shared" si="6"/>
        <v>0.32103626943005181</v>
      </c>
      <c r="AG24" s="4" t="e">
        <f t="shared" ca="1" si="7"/>
        <v>#DIV/0!</v>
      </c>
      <c r="AH24" s="4" t="e">
        <f t="shared" ca="1" si="8"/>
        <v>#DIV/0!</v>
      </c>
      <c r="AI24" s="4" t="e">
        <f t="shared" ca="1" si="9"/>
        <v>#DIV/0!</v>
      </c>
      <c r="AJ24" s="4" t="e">
        <f t="shared" ca="1" si="10"/>
        <v>#DIV/0!</v>
      </c>
      <c r="AK24" s="4" t="e">
        <f t="shared" ca="1" si="11"/>
        <v>#DIV/0!</v>
      </c>
      <c r="AM24" s="557">
        <f t="shared" ca="1" si="12"/>
        <v>45934</v>
      </c>
      <c r="AN24" s="558">
        <v>31.34</v>
      </c>
      <c r="AO24" s="558">
        <v>2932400</v>
      </c>
      <c r="AP24" s="558">
        <v>206.48981000000001</v>
      </c>
      <c r="AQ24" s="558">
        <v>6471.3906453999998</v>
      </c>
      <c r="AR24" s="558">
        <v>0.45240000000000002</v>
      </c>
    </row>
    <row r="25" spans="2:44">
      <c r="B25" s="559">
        <f t="shared" ca="1" si="13"/>
        <v>45814</v>
      </c>
      <c r="C25" s="555">
        <f ca="1">(IFERROR(IFERROR(VALUE(_xll.BDH(C$4,"CURRENT_EV_TO_T12M_EBITDA",$B25,$B25)),VALUE(_xll.BDH(C$4,"CURRENT_EV_TO_T12M_EBITDA",$B25+1,$B25+1))),C26))</f>
        <v>0</v>
      </c>
      <c r="D25" s="555">
        <f ca="1">(IFERROR(IFERROR(VALUE(_xll.BDH(D$4,"CURRENT_EV_TO_T12M_EBITDA",$B25,$B25)),VALUE(_xll.BDH(D$4,"CURRENT_EV_TO_T12M_EBITDA",$B25+1,$B25+1))),D26))</f>
        <v>0</v>
      </c>
      <c r="E25" s="555">
        <f ca="1">(IFERROR(IFERROR(VALUE(_xll.BDH(E$4,"CURRENT_EV_TO_T12M_EBITDA",$B25,$B25)),VALUE(_xll.BDH(E$4,"CURRENT_EV_TO_T12M_EBITDA",$B25+1,$B25+1))),E26))</f>
        <v>0</v>
      </c>
      <c r="F25" s="555">
        <f ca="1">(IFERROR(IFERROR(VALUE(_xll.BDH(F$4,"CURRENT_EV_TO_T12M_EBITDA",$B25,$B25)),VALUE(_xll.BDH(F$4,"CURRENT_EV_TO_T12M_EBITDA",$B25+1,$B25+1))),F26))</f>
        <v>0</v>
      </c>
      <c r="G25" s="555">
        <f ca="1">(IFERROR(IFERROR(VALUE(_xll.BDH(G$4,"CURRENT_EV_TO_T12M_EBITDA",$B25,$B25)),VALUE(_xll.BDH(G$4,"CURRENT_EV_TO_T12M_EBITDA",$B25+1,$B25+1))),G26))</f>
        <v>0</v>
      </c>
      <c r="H25" s="555">
        <f ca="1">(IFERROR(IFERROR(VALUE(_xll.BDH(H$4,"CURRENT_EV_TO_T12M_EBITDA",$B25,$B25)),VALUE(_xll.BDH(H$4,"CURRENT_EV_TO_T12M_EBITDA",$B25+1,$B25+1))),H26))</f>
        <v>0</v>
      </c>
      <c r="I25" s="559">
        <f t="shared" ca="1" si="3"/>
        <v>45814</v>
      </c>
      <c r="J25" s="555">
        <f ca="1">(IFERROR(IFERROR(VALUE(_xll.BDH(J$4,"PE_RATIO",$B25,$B25)),VALUE(_xll.BDH(J$4,"PE_RATIO",$B25+1,$B25+1))),J26))</f>
        <v>0</v>
      </c>
      <c r="K25" s="555">
        <f ca="1">(IFERROR(IFERROR(VALUE(_xll.BDH(K$4,"PE_RATIO",$B25,$B25)),VALUE(_xll.BDH(K$4,"PE_RATIO",$B25+1,$B25+1))),K26))</f>
        <v>0</v>
      </c>
      <c r="L25" s="555">
        <f ca="1">(IFERROR(IFERROR(VALUE(_xll.BDH(L$4,"PE_RATIO",$B25,$B25)),VALUE(_xll.BDH(L$4,"PE_RATIO",$B25+1,$B25+1))),L26))</f>
        <v>0</v>
      </c>
      <c r="M25" s="555">
        <f ca="1">(IFERROR(IFERROR(VALUE(_xll.BDH(M$4,"PE_RATIO",$B25,$B25)),VALUE(_xll.BDH(M$4,"PE_RATIO",$B25+1,$B25+1))),M26))</f>
        <v>0</v>
      </c>
      <c r="N25" s="555">
        <f ca="1">(IFERROR(IFERROR(VALUE(_xll.BDH(N$4,"PE_RATIO",$B25,$B25)),VALUE(_xll.BDH(N$4,"PE_RATIO",$B25+1,$B25+1))),N26))</f>
        <v>0</v>
      </c>
      <c r="O25" s="555">
        <f ca="1">(IFERROR(IFERROR(VALUE(_xll.BDH(O$4,"PE_RATIO",$B25,$B25)),VALUE(_xll.BDH(O$4,"PE_RATIO",$B25+1,$B25+1))),O26))</f>
        <v>0</v>
      </c>
      <c r="P25" s="555"/>
      <c r="Q25" s="559">
        <f t="shared" ca="1" si="4"/>
        <v>45814</v>
      </c>
      <c r="R25" s="4">
        <v>28</v>
      </c>
      <c r="S25" s="4">
        <v>130464.38</v>
      </c>
      <c r="T25" s="4">
        <v>0</v>
      </c>
      <c r="U25" s="4">
        <v>0.29015544041450775</v>
      </c>
      <c r="V25" s="4">
        <v>1.2038085800084612</v>
      </c>
      <c r="W25" s="4" t="e">
        <v>#DIV/0!</v>
      </c>
      <c r="Y25" s="555">
        <f t="shared" si="5"/>
        <v>28</v>
      </c>
      <c r="Z25" s="4">
        <f ca="1">IFERROR(VALUE(_xll.BDH(Z$4,"PX_LAST",$Q25,$Q25)),Z26)</f>
        <v>0</v>
      </c>
      <c r="AA25" s="4">
        <f ca="1">IFERROR(VALUE(_xll.BDH(AA$4,"PX_LAST",$Q25,$Q25)),AA26)</f>
        <v>0</v>
      </c>
      <c r="AB25" s="4">
        <f ca="1">IFERROR(VALUE(_xll.BDH(AB$4,"PX_LAST",$Q25,$Q25)),AB26)</f>
        <v>0</v>
      </c>
      <c r="AC25" s="4">
        <f ca="1">IFERROR(VALUE(_xll.BDH(AC$4,"PX_LAST",$Q25,$Q25)),AC26)</f>
        <v>0</v>
      </c>
      <c r="AD25" s="4">
        <f ca="1">IFERROR(VALUE(_xll.BDH(AD$4,"PX_LAST",$Q25,$Q25)),AD26)</f>
        <v>0</v>
      </c>
      <c r="AF25" s="4">
        <f t="shared" si="6"/>
        <v>0.29015544041450775</v>
      </c>
      <c r="AG25" s="4" t="e">
        <f t="shared" ca="1" si="7"/>
        <v>#DIV/0!</v>
      </c>
      <c r="AH25" s="4" t="e">
        <f t="shared" ca="1" si="8"/>
        <v>#DIV/0!</v>
      </c>
      <c r="AI25" s="4" t="e">
        <f t="shared" ca="1" si="9"/>
        <v>#DIV/0!</v>
      </c>
      <c r="AJ25" s="4" t="e">
        <f t="shared" ca="1" si="10"/>
        <v>#DIV/0!</v>
      </c>
      <c r="AK25" s="4" t="e">
        <f t="shared" ca="1" si="11"/>
        <v>#DIV/0!</v>
      </c>
      <c r="AM25" s="557">
        <f t="shared" ca="1" si="12"/>
        <v>45933</v>
      </c>
      <c r="AN25" s="558">
        <v>32.494999999999997</v>
      </c>
      <c r="AO25" s="558">
        <v>1623500</v>
      </c>
      <c r="AP25" s="558">
        <v>206.48981000000001</v>
      </c>
      <c r="AQ25" s="558">
        <v>6709.88637595</v>
      </c>
      <c r="AR25" s="558">
        <v>0.46839999999999998</v>
      </c>
    </row>
    <row r="26" spans="2:44">
      <c r="B26" s="559">
        <f t="shared" ca="1" si="13"/>
        <v>45807</v>
      </c>
      <c r="C26" s="555">
        <f ca="1">(IFERROR(IFERROR(VALUE(_xll.BDH(C$4,"CURRENT_EV_TO_T12M_EBITDA",$B26,$B26)),VALUE(_xll.BDH(C$4,"CURRENT_EV_TO_T12M_EBITDA",$B26+1,$B26+1))),C27))</f>
        <v>0</v>
      </c>
      <c r="D26" s="555">
        <f ca="1">(IFERROR(IFERROR(VALUE(_xll.BDH(D$4,"CURRENT_EV_TO_T12M_EBITDA",$B26,$B26)),VALUE(_xll.BDH(D$4,"CURRENT_EV_TO_T12M_EBITDA",$B26+1,$B26+1))),D27))</f>
        <v>0</v>
      </c>
      <c r="E26" s="555">
        <f ca="1">(IFERROR(IFERROR(VALUE(_xll.BDH(E$4,"CURRENT_EV_TO_T12M_EBITDA",$B26,$B26)),VALUE(_xll.BDH(E$4,"CURRENT_EV_TO_T12M_EBITDA",$B26+1,$B26+1))),E27))</f>
        <v>0</v>
      </c>
      <c r="F26" s="555">
        <f ca="1">(IFERROR(IFERROR(VALUE(_xll.BDH(F$4,"CURRENT_EV_TO_T12M_EBITDA",$B26,$B26)),VALUE(_xll.BDH(F$4,"CURRENT_EV_TO_T12M_EBITDA",$B26+1,$B26+1))),F27))</f>
        <v>0</v>
      </c>
      <c r="G26" s="555">
        <f ca="1">(IFERROR(IFERROR(VALUE(_xll.BDH(G$4,"CURRENT_EV_TO_T12M_EBITDA",$B26,$B26)),VALUE(_xll.BDH(G$4,"CURRENT_EV_TO_T12M_EBITDA",$B26+1,$B26+1))),G27))</f>
        <v>0</v>
      </c>
      <c r="H26" s="555">
        <f ca="1">(IFERROR(IFERROR(VALUE(_xll.BDH(H$4,"CURRENT_EV_TO_T12M_EBITDA",$B26,$B26)),VALUE(_xll.BDH(H$4,"CURRENT_EV_TO_T12M_EBITDA",$B26+1,$B26+1))),H27))</f>
        <v>0</v>
      </c>
      <c r="I26" s="559">
        <f t="shared" ca="1" si="3"/>
        <v>45807</v>
      </c>
      <c r="J26" s="555">
        <f ca="1">(IFERROR(IFERROR(VALUE(_xll.BDH(J$4,"PE_RATIO",$B26,$B26)),VALUE(_xll.BDH(J$4,"PE_RATIO",$B26+1,$B26+1))),J27))</f>
        <v>0</v>
      </c>
      <c r="K26" s="555">
        <f ca="1">(IFERROR(IFERROR(VALUE(_xll.BDH(K$4,"PE_RATIO",$B26,$B26)),VALUE(_xll.BDH(K$4,"PE_RATIO",$B26+1,$B26+1))),K27))</f>
        <v>0</v>
      </c>
      <c r="L26" s="555">
        <f ca="1">(IFERROR(IFERROR(VALUE(_xll.BDH(L$4,"PE_RATIO",$B26,$B26)),VALUE(_xll.BDH(L$4,"PE_RATIO",$B26+1,$B26+1))),L27))</f>
        <v>0</v>
      </c>
      <c r="M26" s="555">
        <f ca="1">(IFERROR(IFERROR(VALUE(_xll.BDH(M$4,"PE_RATIO",$B26,$B26)),VALUE(_xll.BDH(M$4,"PE_RATIO",$B26+1,$B26+1))),M27))</f>
        <v>0</v>
      </c>
      <c r="N26" s="555">
        <f ca="1">(IFERROR(IFERROR(VALUE(_xll.BDH(N$4,"PE_RATIO",$B26,$B26)),VALUE(_xll.BDH(N$4,"PE_RATIO",$B26+1,$B26+1))),N27))</f>
        <v>0</v>
      </c>
      <c r="O26" s="555">
        <f ca="1">(IFERROR(IFERROR(VALUE(_xll.BDH(O$4,"PE_RATIO",$B26,$B26)),VALUE(_xll.BDH(O$4,"PE_RATIO",$B26+1,$B26+1))),O27))</f>
        <v>0</v>
      </c>
      <c r="P26" s="555"/>
      <c r="Q26" s="559">
        <f t="shared" ca="1" si="4"/>
        <v>45807</v>
      </c>
      <c r="R26" s="4">
        <v>27</v>
      </c>
      <c r="S26" s="4">
        <v>129245.39</v>
      </c>
      <c r="T26" s="4">
        <v>0</v>
      </c>
      <c r="U26" s="4">
        <v>0.27979274611398963</v>
      </c>
      <c r="V26" s="4">
        <v>1.1925608308454749</v>
      </c>
      <c r="W26" s="4" t="e">
        <v>#DIV/0!</v>
      </c>
      <c r="Y26" s="555">
        <f t="shared" si="5"/>
        <v>27</v>
      </c>
      <c r="Z26" s="4">
        <f ca="1">IFERROR(VALUE(_xll.BDH(Z$4,"PX_LAST",$Q26,$Q26)),Z27)</f>
        <v>0</v>
      </c>
      <c r="AA26" s="4">
        <f ca="1">IFERROR(VALUE(_xll.BDH(AA$4,"PX_LAST",$Q26,$Q26)),AA27)</f>
        <v>0</v>
      </c>
      <c r="AB26" s="4">
        <f ca="1">IFERROR(VALUE(_xll.BDH(AB$4,"PX_LAST",$Q26,$Q26)),AB27)</f>
        <v>0</v>
      </c>
      <c r="AC26" s="4">
        <f ca="1">IFERROR(VALUE(_xll.BDH(AC$4,"PX_LAST",$Q26,$Q26)),AC27)</f>
        <v>0</v>
      </c>
      <c r="AD26" s="4">
        <f ca="1">IFERROR(VALUE(_xll.BDH(AD$4,"PX_LAST",$Q26,$Q26)),AD27)</f>
        <v>0</v>
      </c>
      <c r="AF26" s="4">
        <f t="shared" si="6"/>
        <v>0.27979274611398963</v>
      </c>
      <c r="AG26" s="4" t="e">
        <f t="shared" ca="1" si="7"/>
        <v>#DIV/0!</v>
      </c>
      <c r="AH26" s="4" t="e">
        <f t="shared" ca="1" si="8"/>
        <v>#DIV/0!</v>
      </c>
      <c r="AI26" s="4" t="e">
        <f t="shared" ca="1" si="9"/>
        <v>#DIV/0!</v>
      </c>
      <c r="AJ26" s="4" t="e">
        <f t="shared" ca="1" si="10"/>
        <v>#DIV/0!</v>
      </c>
      <c r="AK26" s="4" t="e">
        <f t="shared" ca="1" si="11"/>
        <v>#DIV/0!</v>
      </c>
      <c r="AM26" s="557">
        <f t="shared" ca="1" si="12"/>
        <v>45932</v>
      </c>
      <c r="AN26" s="558">
        <v>34.024999999999999</v>
      </c>
      <c r="AO26" s="558">
        <v>1861200</v>
      </c>
      <c r="AP26" s="558">
        <v>206.48981000000001</v>
      </c>
      <c r="AQ26" s="558">
        <v>7025.8157852499999</v>
      </c>
      <c r="AR26" s="558">
        <v>0.4909</v>
      </c>
    </row>
    <row r="27" spans="2:44">
      <c r="B27" s="559">
        <f t="shared" ca="1" si="13"/>
        <v>45800</v>
      </c>
      <c r="C27" s="555">
        <f ca="1">(IFERROR(IFERROR(VALUE(_xll.BDH(C$4,"CURRENT_EV_TO_T12M_EBITDA",$B27,$B27)),VALUE(_xll.BDH(C$4,"CURRENT_EV_TO_T12M_EBITDA",$B27+1,$B27+1))),C28))</f>
        <v>0</v>
      </c>
      <c r="D27" s="555">
        <f ca="1">(IFERROR(IFERROR(VALUE(_xll.BDH(D$4,"CURRENT_EV_TO_T12M_EBITDA",$B27,$B27)),VALUE(_xll.BDH(D$4,"CURRENT_EV_TO_T12M_EBITDA",$B27+1,$B27+1))),D28))</f>
        <v>0</v>
      </c>
      <c r="E27" s="555">
        <f ca="1">(IFERROR(IFERROR(VALUE(_xll.BDH(E$4,"CURRENT_EV_TO_T12M_EBITDA",$B27,$B27)),VALUE(_xll.BDH(E$4,"CURRENT_EV_TO_T12M_EBITDA",$B27+1,$B27+1))),E28))</f>
        <v>0</v>
      </c>
      <c r="F27" s="555">
        <f ca="1">(IFERROR(IFERROR(VALUE(_xll.BDH(F$4,"CURRENT_EV_TO_T12M_EBITDA",$B27,$B27)),VALUE(_xll.BDH(F$4,"CURRENT_EV_TO_T12M_EBITDA",$B27+1,$B27+1))),F28))</f>
        <v>0</v>
      </c>
      <c r="G27" s="555">
        <f ca="1">(IFERROR(IFERROR(VALUE(_xll.BDH(G$4,"CURRENT_EV_TO_T12M_EBITDA",$B27,$B27)),VALUE(_xll.BDH(G$4,"CURRENT_EV_TO_T12M_EBITDA",$B27+1,$B27+1))),G28))</f>
        <v>0</v>
      </c>
      <c r="H27" s="555">
        <f ca="1">(IFERROR(IFERROR(VALUE(_xll.BDH(H$4,"CURRENT_EV_TO_T12M_EBITDA",$B27,$B27)),VALUE(_xll.BDH(H$4,"CURRENT_EV_TO_T12M_EBITDA",$B27+1,$B27+1))),H28))</f>
        <v>0</v>
      </c>
      <c r="I27" s="559">
        <f t="shared" ca="1" si="3"/>
        <v>45800</v>
      </c>
      <c r="J27" s="555">
        <f ca="1">(IFERROR(IFERROR(VALUE(_xll.BDH(J$4,"PE_RATIO",$B27,$B27)),VALUE(_xll.BDH(J$4,"PE_RATIO",$B27+1,$B27+1))),J28))</f>
        <v>0</v>
      </c>
      <c r="K27" s="555">
        <f ca="1">(IFERROR(IFERROR(VALUE(_xll.BDH(K$4,"PE_RATIO",$B27,$B27)),VALUE(_xll.BDH(K$4,"PE_RATIO",$B27+1,$B27+1))),K28))</f>
        <v>0</v>
      </c>
      <c r="L27" s="555">
        <f ca="1">(IFERROR(IFERROR(VALUE(_xll.BDH(L$4,"PE_RATIO",$B27,$B27)),VALUE(_xll.BDH(L$4,"PE_RATIO",$B27+1,$B27+1))),L28))</f>
        <v>0</v>
      </c>
      <c r="M27" s="555">
        <f ca="1">(IFERROR(IFERROR(VALUE(_xll.BDH(M$4,"PE_RATIO",$B27,$B27)),VALUE(_xll.BDH(M$4,"PE_RATIO",$B27+1,$B27+1))),M28))</f>
        <v>0</v>
      </c>
      <c r="N27" s="555">
        <f ca="1">(IFERROR(IFERROR(VALUE(_xll.BDH(N$4,"PE_RATIO",$B27,$B27)),VALUE(_xll.BDH(N$4,"PE_RATIO",$B27+1,$B27+1))),N28))</f>
        <v>0</v>
      </c>
      <c r="O27" s="555">
        <f ca="1">(IFERROR(IFERROR(VALUE(_xll.BDH(O$4,"PE_RATIO",$B27,$B27)),VALUE(_xll.BDH(O$4,"PE_RATIO",$B27+1,$B27+1))),O28))</f>
        <v>0</v>
      </c>
      <c r="P27" s="555"/>
      <c r="Q27" s="559">
        <f t="shared" ca="1" si="4"/>
        <v>45800</v>
      </c>
      <c r="R27" s="4">
        <v>24.75</v>
      </c>
      <c r="S27" s="4">
        <v>123931.89</v>
      </c>
      <c r="T27" s="4">
        <v>0</v>
      </c>
      <c r="U27" s="4">
        <v>0.25647668393782386</v>
      </c>
      <c r="V27" s="4">
        <v>1.1435326065142442</v>
      </c>
      <c r="W27" s="4" t="e">
        <v>#DIV/0!</v>
      </c>
      <c r="Y27" s="555">
        <f t="shared" si="5"/>
        <v>24.75</v>
      </c>
      <c r="Z27" s="4">
        <f ca="1">IFERROR(VALUE(_xll.BDH(Z$4,"PX_LAST",$Q27,$Q27)),Z28)</f>
        <v>0</v>
      </c>
      <c r="AA27" s="4">
        <f ca="1">IFERROR(VALUE(_xll.BDH(AA$4,"PX_LAST",$Q27,$Q27)),AA28)</f>
        <v>0</v>
      </c>
      <c r="AB27" s="4">
        <f ca="1">IFERROR(VALUE(_xll.BDH(AB$4,"PX_LAST",$Q27,$Q27)),AB28)</f>
        <v>0</v>
      </c>
      <c r="AC27" s="4">
        <f ca="1">IFERROR(VALUE(_xll.BDH(AC$4,"PX_LAST",$Q27,$Q27)),AC28)</f>
        <v>0</v>
      </c>
      <c r="AD27" s="4">
        <f ca="1">IFERROR(VALUE(_xll.BDH(AD$4,"PX_LAST",$Q27,$Q27)),AD28)</f>
        <v>0</v>
      </c>
      <c r="AF27" s="4">
        <f t="shared" si="6"/>
        <v>0.25647668393782386</v>
      </c>
      <c r="AG27" s="4" t="e">
        <f t="shared" ca="1" si="7"/>
        <v>#DIV/0!</v>
      </c>
      <c r="AH27" s="4" t="e">
        <f t="shared" ca="1" si="8"/>
        <v>#DIV/0!</v>
      </c>
      <c r="AI27" s="4" t="e">
        <f t="shared" ca="1" si="9"/>
        <v>#DIV/0!</v>
      </c>
      <c r="AJ27" s="4" t="e">
        <f t="shared" ca="1" si="10"/>
        <v>#DIV/0!</v>
      </c>
      <c r="AK27" s="4" t="e">
        <f t="shared" ca="1" si="11"/>
        <v>#DIV/0!</v>
      </c>
      <c r="AM27" s="557">
        <f t="shared" ca="1" si="12"/>
        <v>45931</v>
      </c>
      <c r="AN27" s="558">
        <v>32.85</v>
      </c>
      <c r="AO27" s="558">
        <v>1799000</v>
      </c>
      <c r="AP27" s="558">
        <v>206.48981000000001</v>
      </c>
      <c r="AQ27" s="558">
        <v>6783.1902585000007</v>
      </c>
      <c r="AR27" s="558">
        <v>0.47499999999999998</v>
      </c>
    </row>
    <row r="28" spans="2:44">
      <c r="B28" s="559">
        <f t="shared" ca="1" si="13"/>
        <v>45793</v>
      </c>
      <c r="C28" s="555">
        <f ca="1">(IFERROR(IFERROR(VALUE(_xll.BDH(C$4,"CURRENT_EV_TO_T12M_EBITDA",$B28,$B28)),VALUE(_xll.BDH(C$4,"CURRENT_EV_TO_T12M_EBITDA",$B28+1,$B28+1))),C29))</f>
        <v>0</v>
      </c>
      <c r="D28" s="555">
        <f ca="1">(IFERROR(IFERROR(VALUE(_xll.BDH(D$4,"CURRENT_EV_TO_T12M_EBITDA",$B28,$B28)),VALUE(_xll.BDH(D$4,"CURRENT_EV_TO_T12M_EBITDA",$B28+1,$B28+1))),D29))</f>
        <v>0</v>
      </c>
      <c r="E28" s="555">
        <f ca="1">(IFERROR(IFERROR(VALUE(_xll.BDH(E$4,"CURRENT_EV_TO_T12M_EBITDA",$B28,$B28)),VALUE(_xll.BDH(E$4,"CURRENT_EV_TO_T12M_EBITDA",$B28+1,$B28+1))),E29))</f>
        <v>0</v>
      </c>
      <c r="F28" s="555">
        <f ca="1">(IFERROR(IFERROR(VALUE(_xll.BDH(F$4,"CURRENT_EV_TO_T12M_EBITDA",$B28,$B28)),VALUE(_xll.BDH(F$4,"CURRENT_EV_TO_T12M_EBITDA",$B28+1,$B28+1))),F29))</f>
        <v>0</v>
      </c>
      <c r="G28" s="555">
        <f ca="1">(IFERROR(IFERROR(VALUE(_xll.BDH(G$4,"CURRENT_EV_TO_T12M_EBITDA",$B28,$B28)),VALUE(_xll.BDH(G$4,"CURRENT_EV_TO_T12M_EBITDA",$B28+1,$B28+1))),G29))</f>
        <v>0</v>
      </c>
      <c r="H28" s="555">
        <f ca="1">(IFERROR(IFERROR(VALUE(_xll.BDH(H$4,"CURRENT_EV_TO_T12M_EBITDA",$B28,$B28)),VALUE(_xll.BDH(H$4,"CURRENT_EV_TO_T12M_EBITDA",$B28+1,$B28+1))),H29))</f>
        <v>0</v>
      </c>
      <c r="I28" s="559">
        <f t="shared" ca="1" si="3"/>
        <v>45793</v>
      </c>
      <c r="J28" s="555">
        <f ca="1">(IFERROR(IFERROR(VALUE(_xll.BDH(J$4,"PE_RATIO",$B28,$B28)),VALUE(_xll.BDH(J$4,"PE_RATIO",$B28+1,$B28+1))),J29))</f>
        <v>0</v>
      </c>
      <c r="K28" s="555">
        <f ca="1">(IFERROR(IFERROR(VALUE(_xll.BDH(K$4,"PE_RATIO",$B28,$B28)),VALUE(_xll.BDH(K$4,"PE_RATIO",$B28+1,$B28+1))),K29))</f>
        <v>0</v>
      </c>
      <c r="L28" s="555">
        <f ca="1">(IFERROR(IFERROR(VALUE(_xll.BDH(L$4,"PE_RATIO",$B28,$B28)),VALUE(_xll.BDH(L$4,"PE_RATIO",$B28+1,$B28+1))),L29))</f>
        <v>0</v>
      </c>
      <c r="M28" s="555">
        <f ca="1">(IFERROR(IFERROR(VALUE(_xll.BDH(M$4,"PE_RATIO",$B28,$B28)),VALUE(_xll.BDH(M$4,"PE_RATIO",$B28+1,$B28+1))),M29))</f>
        <v>0</v>
      </c>
      <c r="N28" s="555">
        <f ca="1">(IFERROR(IFERROR(VALUE(_xll.BDH(N$4,"PE_RATIO",$B28,$B28)),VALUE(_xll.BDH(N$4,"PE_RATIO",$B28+1,$B28+1))),N29))</f>
        <v>0</v>
      </c>
      <c r="O28" s="555">
        <f ca="1">(IFERROR(IFERROR(VALUE(_xll.BDH(O$4,"PE_RATIO",$B28,$B28)),VALUE(_xll.BDH(O$4,"PE_RATIO",$B28+1,$B28+1))),O29))</f>
        <v>0</v>
      </c>
      <c r="P28" s="555"/>
      <c r="Q28" s="559">
        <f t="shared" ca="1" si="4"/>
        <v>45793</v>
      </c>
      <c r="R28" s="4">
        <v>24.7</v>
      </c>
      <c r="S28" s="4">
        <v>131147.29</v>
      </c>
      <c r="T28" s="4">
        <v>0</v>
      </c>
      <c r="U28" s="4">
        <v>0.25595854922279793</v>
      </c>
      <c r="V28" s="4">
        <v>1.2101098625299709</v>
      </c>
      <c r="W28" s="4" t="e">
        <v>#DIV/0!</v>
      </c>
      <c r="Y28" s="555">
        <f t="shared" si="5"/>
        <v>24.7</v>
      </c>
      <c r="Z28" s="4">
        <f ca="1">IFERROR(VALUE(_xll.BDH(Z$4,"PX_LAST",$Q28,$Q28)),Z29)</f>
        <v>0</v>
      </c>
      <c r="AA28" s="4">
        <f ca="1">IFERROR(VALUE(_xll.BDH(AA$4,"PX_LAST",$Q28,$Q28)),AA29)</f>
        <v>0</v>
      </c>
      <c r="AB28" s="4">
        <f ca="1">IFERROR(VALUE(_xll.BDH(AB$4,"PX_LAST",$Q28,$Q28)),AB29)</f>
        <v>0</v>
      </c>
      <c r="AC28" s="4">
        <f ca="1">IFERROR(VALUE(_xll.BDH(AC$4,"PX_LAST",$Q28,$Q28)),AC29)</f>
        <v>0</v>
      </c>
      <c r="AD28" s="4">
        <f ca="1">IFERROR(VALUE(_xll.BDH(AD$4,"PX_LAST",$Q28,$Q28)),AD29)</f>
        <v>0</v>
      </c>
      <c r="AF28" s="4">
        <f t="shared" si="6"/>
        <v>0.25595854922279793</v>
      </c>
      <c r="AG28" s="4" t="e">
        <f t="shared" ca="1" si="7"/>
        <v>#DIV/0!</v>
      </c>
      <c r="AH28" s="4" t="e">
        <f t="shared" ca="1" si="8"/>
        <v>#DIV/0!</v>
      </c>
      <c r="AI28" s="4" t="e">
        <f t="shared" ca="1" si="9"/>
        <v>#DIV/0!</v>
      </c>
      <c r="AJ28" s="4" t="e">
        <f t="shared" ca="1" si="10"/>
        <v>#DIV/0!</v>
      </c>
      <c r="AK28" s="4" t="e">
        <f t="shared" ca="1" si="11"/>
        <v>#DIV/0!</v>
      </c>
      <c r="AM28" s="557">
        <f t="shared" ca="1" si="12"/>
        <v>45930</v>
      </c>
      <c r="AN28" s="558">
        <v>32.85</v>
      </c>
      <c r="AO28" s="558">
        <v>1799000</v>
      </c>
      <c r="AP28" s="558">
        <v>206.48981000000001</v>
      </c>
      <c r="AQ28" s="558">
        <v>6783.1902585000007</v>
      </c>
      <c r="AR28" s="558">
        <v>0.47499999999999998</v>
      </c>
    </row>
    <row r="29" spans="2:44">
      <c r="B29" s="559">
        <f t="shared" ca="1" si="13"/>
        <v>45786</v>
      </c>
      <c r="C29" s="555">
        <f ca="1">(IFERROR(IFERROR(VALUE(_xll.BDH(C$4,"CURRENT_EV_TO_T12M_EBITDA",$B29,$B29)),VALUE(_xll.BDH(C$4,"CURRENT_EV_TO_T12M_EBITDA",$B29+1,$B29+1))),C30))</f>
        <v>0</v>
      </c>
      <c r="D29" s="555">
        <f ca="1">(IFERROR(IFERROR(VALUE(_xll.BDH(D$4,"CURRENT_EV_TO_T12M_EBITDA",$B29,$B29)),VALUE(_xll.BDH(D$4,"CURRENT_EV_TO_T12M_EBITDA",$B29+1,$B29+1))),D30))</f>
        <v>0</v>
      </c>
      <c r="E29" s="555">
        <f ca="1">(IFERROR(IFERROR(VALUE(_xll.BDH(E$4,"CURRENT_EV_TO_T12M_EBITDA",$B29,$B29)),VALUE(_xll.BDH(E$4,"CURRENT_EV_TO_T12M_EBITDA",$B29+1,$B29+1))),E30))</f>
        <v>0</v>
      </c>
      <c r="F29" s="555">
        <f ca="1">(IFERROR(IFERROR(VALUE(_xll.BDH(F$4,"CURRENT_EV_TO_T12M_EBITDA",$B29,$B29)),VALUE(_xll.BDH(F$4,"CURRENT_EV_TO_T12M_EBITDA",$B29+1,$B29+1))),F30))</f>
        <v>0</v>
      </c>
      <c r="G29" s="555">
        <f ca="1">(IFERROR(IFERROR(VALUE(_xll.BDH(G$4,"CURRENT_EV_TO_T12M_EBITDA",$B29,$B29)),VALUE(_xll.BDH(G$4,"CURRENT_EV_TO_T12M_EBITDA",$B29+1,$B29+1))),G30))</f>
        <v>0</v>
      </c>
      <c r="H29" s="555">
        <f ca="1">(IFERROR(IFERROR(VALUE(_xll.BDH(H$4,"CURRENT_EV_TO_T12M_EBITDA",$B29,$B29)),VALUE(_xll.BDH(H$4,"CURRENT_EV_TO_T12M_EBITDA",$B29+1,$B29+1))),H30))</f>
        <v>0</v>
      </c>
      <c r="I29" s="559">
        <f t="shared" ca="1" si="3"/>
        <v>45786</v>
      </c>
      <c r="J29" s="555">
        <f ca="1">(IFERROR(IFERROR(VALUE(_xll.BDH(J$4,"PE_RATIO",$B29,$B29)),VALUE(_xll.BDH(J$4,"PE_RATIO",$B29+1,$B29+1))),J30))</f>
        <v>0</v>
      </c>
      <c r="K29" s="555">
        <f ca="1">(IFERROR(IFERROR(VALUE(_xll.BDH(K$4,"PE_RATIO",$B29,$B29)),VALUE(_xll.BDH(K$4,"PE_RATIO",$B29+1,$B29+1))),K30))</f>
        <v>0</v>
      </c>
      <c r="L29" s="555">
        <f ca="1">(IFERROR(IFERROR(VALUE(_xll.BDH(L$4,"PE_RATIO",$B29,$B29)),VALUE(_xll.BDH(L$4,"PE_RATIO",$B29+1,$B29+1))),L30))</f>
        <v>0</v>
      </c>
      <c r="M29" s="555">
        <f ca="1">(IFERROR(IFERROR(VALUE(_xll.BDH(M$4,"PE_RATIO",$B29,$B29)),VALUE(_xll.BDH(M$4,"PE_RATIO",$B29+1,$B29+1))),M30))</f>
        <v>0</v>
      </c>
      <c r="N29" s="555">
        <f ca="1">(IFERROR(IFERROR(VALUE(_xll.BDH(N$4,"PE_RATIO",$B29,$B29)),VALUE(_xll.BDH(N$4,"PE_RATIO",$B29+1,$B29+1))),N30))</f>
        <v>0</v>
      </c>
      <c r="O29" s="555">
        <f ca="1">(IFERROR(IFERROR(VALUE(_xll.BDH(O$4,"PE_RATIO",$B29,$B29)),VALUE(_xll.BDH(O$4,"PE_RATIO",$B29+1,$B29+1))),O30))</f>
        <v>0</v>
      </c>
      <c r="P29" s="555"/>
      <c r="Q29" s="559">
        <f t="shared" ca="1" si="4"/>
        <v>45786</v>
      </c>
      <c r="R29" s="4">
        <v>23.79</v>
      </c>
      <c r="S29" s="4">
        <v>132067.69</v>
      </c>
      <c r="T29" s="4">
        <v>0</v>
      </c>
      <c r="U29" s="4">
        <v>0.24652849740932642</v>
      </c>
      <c r="V29" s="4">
        <v>1.2186024903034656</v>
      </c>
      <c r="W29" s="4" t="e">
        <v>#DIV/0!</v>
      </c>
      <c r="Y29" s="555">
        <f t="shared" si="5"/>
        <v>23.79</v>
      </c>
      <c r="Z29" s="4">
        <f ca="1">IFERROR(VALUE(_xll.BDH(Z$4,"PX_LAST",$Q29,$Q29)),Z30)</f>
        <v>0</v>
      </c>
      <c r="AA29" s="4">
        <f ca="1">IFERROR(VALUE(_xll.BDH(AA$4,"PX_LAST",$Q29,$Q29)),AA30)</f>
        <v>0</v>
      </c>
      <c r="AB29" s="4">
        <f ca="1">IFERROR(VALUE(_xll.BDH(AB$4,"PX_LAST",$Q29,$Q29)),AB30)</f>
        <v>0</v>
      </c>
      <c r="AC29" s="4">
        <f ca="1">IFERROR(VALUE(_xll.BDH(AC$4,"PX_LAST",$Q29,$Q29)),AC30)</f>
        <v>0</v>
      </c>
      <c r="AD29" s="4">
        <f ca="1">IFERROR(VALUE(_xll.BDH(AD$4,"PX_LAST",$Q29,$Q29)),AD30)</f>
        <v>0</v>
      </c>
      <c r="AF29" s="4">
        <f t="shared" si="6"/>
        <v>0.24652849740932642</v>
      </c>
      <c r="AG29" s="4" t="e">
        <f t="shared" ca="1" si="7"/>
        <v>#DIV/0!</v>
      </c>
      <c r="AH29" s="4" t="e">
        <f t="shared" ca="1" si="8"/>
        <v>#DIV/0!</v>
      </c>
      <c r="AI29" s="4" t="e">
        <f t="shared" ca="1" si="9"/>
        <v>#DIV/0!</v>
      </c>
      <c r="AJ29" s="4" t="e">
        <f t="shared" ca="1" si="10"/>
        <v>#DIV/0!</v>
      </c>
      <c r="AK29" s="4" t="e">
        <f t="shared" ca="1" si="11"/>
        <v>#DIV/0!</v>
      </c>
      <c r="AM29" s="557">
        <f t="shared" ca="1" si="12"/>
        <v>45929</v>
      </c>
      <c r="AN29" s="558">
        <v>32.85</v>
      </c>
      <c r="AO29" s="558">
        <v>1799000</v>
      </c>
      <c r="AP29" s="558">
        <v>206.48981000000001</v>
      </c>
      <c r="AQ29" s="558">
        <v>6783.1902585000007</v>
      </c>
      <c r="AR29" s="558">
        <v>0.47499999999999998</v>
      </c>
    </row>
    <row r="30" spans="2:44">
      <c r="B30" s="559">
        <f t="shared" ca="1" si="13"/>
        <v>45779</v>
      </c>
      <c r="C30" s="555">
        <f ca="1">(IFERROR(IFERROR(VALUE(_xll.BDH(C$4,"CURRENT_EV_TO_T12M_EBITDA",$B30,$B30)),VALUE(_xll.BDH(C$4,"CURRENT_EV_TO_T12M_EBITDA",$B30+1,$B30+1))),C31))</f>
        <v>0</v>
      </c>
      <c r="D30" s="555">
        <f ca="1">(IFERROR(IFERROR(VALUE(_xll.BDH(D$4,"CURRENT_EV_TO_T12M_EBITDA",$B30,$B30)),VALUE(_xll.BDH(D$4,"CURRENT_EV_TO_T12M_EBITDA",$B30+1,$B30+1))),D31))</f>
        <v>0</v>
      </c>
      <c r="E30" s="555">
        <f ca="1">(IFERROR(IFERROR(VALUE(_xll.BDH(E$4,"CURRENT_EV_TO_T12M_EBITDA",$B30,$B30)),VALUE(_xll.BDH(E$4,"CURRENT_EV_TO_T12M_EBITDA",$B30+1,$B30+1))),E31))</f>
        <v>0</v>
      </c>
      <c r="F30" s="555">
        <f ca="1">(IFERROR(IFERROR(VALUE(_xll.BDH(F$4,"CURRENT_EV_TO_T12M_EBITDA",$B30,$B30)),VALUE(_xll.BDH(F$4,"CURRENT_EV_TO_T12M_EBITDA",$B30+1,$B30+1))),F31))</f>
        <v>0</v>
      </c>
      <c r="G30" s="555">
        <f ca="1">(IFERROR(IFERROR(VALUE(_xll.BDH(G$4,"CURRENT_EV_TO_T12M_EBITDA",$B30,$B30)),VALUE(_xll.BDH(G$4,"CURRENT_EV_TO_T12M_EBITDA",$B30+1,$B30+1))),G31))</f>
        <v>0</v>
      </c>
      <c r="H30" s="555">
        <f ca="1">(IFERROR(IFERROR(VALUE(_xll.BDH(H$4,"CURRENT_EV_TO_T12M_EBITDA",$B30,$B30)),VALUE(_xll.BDH(H$4,"CURRENT_EV_TO_T12M_EBITDA",$B30+1,$B30+1))),H31))</f>
        <v>0</v>
      </c>
      <c r="I30" s="559">
        <f t="shared" ca="1" si="3"/>
        <v>45779</v>
      </c>
      <c r="J30" s="555">
        <f ca="1">(IFERROR(IFERROR(VALUE(_xll.BDH(J$4,"PE_RATIO",$B30,$B30)),VALUE(_xll.BDH(J$4,"PE_RATIO",$B30+1,$B30+1))),J31))</f>
        <v>0</v>
      </c>
      <c r="K30" s="555">
        <f ca="1">(IFERROR(IFERROR(VALUE(_xll.BDH(K$4,"PE_RATIO",$B30,$B30)),VALUE(_xll.BDH(K$4,"PE_RATIO",$B30+1,$B30+1))),K31))</f>
        <v>0</v>
      </c>
      <c r="L30" s="555">
        <f ca="1">(IFERROR(IFERROR(VALUE(_xll.BDH(L$4,"PE_RATIO",$B30,$B30)),VALUE(_xll.BDH(L$4,"PE_RATIO",$B30+1,$B30+1))),L31))</f>
        <v>0</v>
      </c>
      <c r="M30" s="555">
        <f ca="1">(IFERROR(IFERROR(VALUE(_xll.BDH(M$4,"PE_RATIO",$B30,$B30)),VALUE(_xll.BDH(M$4,"PE_RATIO",$B30+1,$B30+1))),M31))</f>
        <v>0</v>
      </c>
      <c r="N30" s="555">
        <f ca="1">(IFERROR(IFERROR(VALUE(_xll.BDH(N$4,"PE_RATIO",$B30,$B30)),VALUE(_xll.BDH(N$4,"PE_RATIO",$B30+1,$B30+1))),N31))</f>
        <v>0</v>
      </c>
      <c r="O30" s="555">
        <f ca="1">(IFERROR(IFERROR(VALUE(_xll.BDH(O$4,"PE_RATIO",$B30,$B30)),VALUE(_xll.BDH(O$4,"PE_RATIO",$B30+1,$B30+1))),O31))</f>
        <v>0</v>
      </c>
      <c r="P30" s="555"/>
      <c r="Q30" s="559">
        <f t="shared" ca="1" si="4"/>
        <v>45779</v>
      </c>
      <c r="R30" s="4">
        <v>23</v>
      </c>
      <c r="S30" s="4">
        <v>131474.73000000001</v>
      </c>
      <c r="T30" s="4">
        <v>0</v>
      </c>
      <c r="U30" s="4">
        <v>0.23834196891191708</v>
      </c>
      <c r="V30" s="4">
        <v>1.213131185909103</v>
      </c>
      <c r="W30" s="4" t="e">
        <v>#DIV/0!</v>
      </c>
      <c r="Y30" s="555">
        <f t="shared" si="5"/>
        <v>23</v>
      </c>
      <c r="Z30" s="4">
        <f ca="1">IFERROR(VALUE(_xll.BDH(Z$4,"PX_LAST",$Q30,$Q30)),Z31)</f>
        <v>0</v>
      </c>
      <c r="AA30" s="4">
        <f ca="1">IFERROR(VALUE(_xll.BDH(AA$4,"PX_LAST",$Q30,$Q30)),AA31)</f>
        <v>0</v>
      </c>
      <c r="AB30" s="4">
        <f ca="1">IFERROR(VALUE(_xll.BDH(AB$4,"PX_LAST",$Q30,$Q30)),AB31)</f>
        <v>0</v>
      </c>
      <c r="AC30" s="4">
        <f ca="1">IFERROR(VALUE(_xll.BDH(AC$4,"PX_LAST",$Q30,$Q30)),AC31)</f>
        <v>0</v>
      </c>
      <c r="AD30" s="4">
        <f ca="1">IFERROR(VALUE(_xll.BDH(AD$4,"PX_LAST",$Q30,$Q30)),AD31)</f>
        <v>0</v>
      </c>
      <c r="AF30" s="4">
        <f t="shared" si="6"/>
        <v>0.23834196891191708</v>
      </c>
      <c r="AG30" s="4" t="e">
        <f t="shared" ca="1" si="7"/>
        <v>#DIV/0!</v>
      </c>
      <c r="AH30" s="4" t="e">
        <f t="shared" ca="1" si="8"/>
        <v>#DIV/0!</v>
      </c>
      <c r="AI30" s="4" t="e">
        <f t="shared" ca="1" si="9"/>
        <v>#DIV/0!</v>
      </c>
      <c r="AJ30" s="4" t="e">
        <f t="shared" ca="1" si="10"/>
        <v>#DIV/0!</v>
      </c>
      <c r="AK30" s="4" t="e">
        <f t="shared" ca="1" si="11"/>
        <v>#DIV/0!</v>
      </c>
      <c r="AM30" s="557">
        <f t="shared" ca="1" si="12"/>
        <v>45928</v>
      </c>
      <c r="AN30" s="558">
        <v>32.045000000000002</v>
      </c>
      <c r="AO30" s="558">
        <v>3073700</v>
      </c>
      <c r="AP30" s="558">
        <v>206.48981000000001</v>
      </c>
      <c r="AQ30" s="558">
        <v>6616.9659614500006</v>
      </c>
      <c r="AR30" s="558">
        <v>0.46329999999999999</v>
      </c>
    </row>
    <row r="31" spans="2:44">
      <c r="B31" s="559">
        <f t="shared" ca="1" si="13"/>
        <v>45772</v>
      </c>
      <c r="C31" s="555">
        <f ca="1">(IFERROR(IFERROR(VALUE(_xll.BDH(C$4,"CURRENT_EV_TO_T12M_EBITDA",$B31,$B31)),VALUE(_xll.BDH(C$4,"CURRENT_EV_TO_T12M_EBITDA",$B31+1,$B31+1))),C32))</f>
        <v>0</v>
      </c>
      <c r="D31" s="555">
        <f ca="1">(IFERROR(IFERROR(VALUE(_xll.BDH(D$4,"CURRENT_EV_TO_T12M_EBITDA",$B31,$B31)),VALUE(_xll.BDH(D$4,"CURRENT_EV_TO_T12M_EBITDA",$B31+1,$B31+1))),D32))</f>
        <v>0</v>
      </c>
      <c r="E31" s="555">
        <f ca="1">(IFERROR(IFERROR(VALUE(_xll.BDH(E$4,"CURRENT_EV_TO_T12M_EBITDA",$B31,$B31)),VALUE(_xll.BDH(E$4,"CURRENT_EV_TO_T12M_EBITDA",$B31+1,$B31+1))),E32))</f>
        <v>0</v>
      </c>
      <c r="F31" s="555">
        <f ca="1">(IFERROR(IFERROR(VALUE(_xll.BDH(F$4,"CURRENT_EV_TO_T12M_EBITDA",$B31,$B31)),VALUE(_xll.BDH(F$4,"CURRENT_EV_TO_T12M_EBITDA",$B31+1,$B31+1))),F32))</f>
        <v>0</v>
      </c>
      <c r="G31" s="555">
        <f ca="1">(IFERROR(IFERROR(VALUE(_xll.BDH(G$4,"CURRENT_EV_TO_T12M_EBITDA",$B31,$B31)),VALUE(_xll.BDH(G$4,"CURRENT_EV_TO_T12M_EBITDA",$B31+1,$B31+1))),G32))</f>
        <v>0</v>
      </c>
      <c r="H31" s="555">
        <f ca="1">(IFERROR(IFERROR(VALUE(_xll.BDH(H$4,"CURRENT_EV_TO_T12M_EBITDA",$B31,$B31)),VALUE(_xll.BDH(H$4,"CURRENT_EV_TO_T12M_EBITDA",$B31+1,$B31+1))),H32))</f>
        <v>0</v>
      </c>
      <c r="I31" s="559">
        <f t="shared" ca="1" si="3"/>
        <v>45772</v>
      </c>
      <c r="J31" s="555">
        <f ca="1">(IFERROR(IFERROR(VALUE(_xll.BDH(J$4,"PE_RATIO",$B31,$B31)),VALUE(_xll.BDH(J$4,"PE_RATIO",$B31+1,$B31+1))),J32))</f>
        <v>0</v>
      </c>
      <c r="K31" s="555">
        <f ca="1">(IFERROR(IFERROR(VALUE(_xll.BDH(K$4,"PE_RATIO",$B31,$B31)),VALUE(_xll.BDH(K$4,"PE_RATIO",$B31+1,$B31+1))),K32))</f>
        <v>0</v>
      </c>
      <c r="L31" s="555">
        <f ca="1">(IFERROR(IFERROR(VALUE(_xll.BDH(L$4,"PE_RATIO",$B31,$B31)),VALUE(_xll.BDH(L$4,"PE_RATIO",$B31+1,$B31+1))),L32))</f>
        <v>0</v>
      </c>
      <c r="M31" s="555">
        <f ca="1">(IFERROR(IFERROR(VALUE(_xll.BDH(M$4,"PE_RATIO",$B31,$B31)),VALUE(_xll.BDH(M$4,"PE_RATIO",$B31+1,$B31+1))),M32))</f>
        <v>0</v>
      </c>
      <c r="N31" s="555">
        <f ca="1">(IFERROR(IFERROR(VALUE(_xll.BDH(N$4,"PE_RATIO",$B31,$B31)),VALUE(_xll.BDH(N$4,"PE_RATIO",$B31+1,$B31+1))),N32))</f>
        <v>0</v>
      </c>
      <c r="O31" s="555">
        <f ca="1">(IFERROR(IFERROR(VALUE(_xll.BDH(O$4,"PE_RATIO",$B31,$B31)),VALUE(_xll.BDH(O$4,"PE_RATIO",$B31+1,$B31+1))),O32))</f>
        <v>0</v>
      </c>
      <c r="P31" s="555"/>
      <c r="Q31" s="559">
        <f t="shared" ca="1" si="4"/>
        <v>45772</v>
      </c>
      <c r="R31" s="4">
        <v>26.43</v>
      </c>
      <c r="S31" s="4">
        <v>123507.35</v>
      </c>
      <c r="T31" s="4">
        <v>0</v>
      </c>
      <c r="U31" s="4">
        <v>0.27388601036269428</v>
      </c>
      <c r="V31" s="4">
        <v>1.1396153312046402</v>
      </c>
      <c r="W31" s="4" t="e">
        <v>#DIV/0!</v>
      </c>
      <c r="Y31" s="555">
        <f t="shared" si="5"/>
        <v>26.43</v>
      </c>
      <c r="Z31" s="4">
        <f ca="1">IFERROR(VALUE(_xll.BDH(Z$4,"PX_LAST",$Q31,$Q31)),Z32)</f>
        <v>0</v>
      </c>
      <c r="AA31" s="4">
        <f ca="1">IFERROR(VALUE(_xll.BDH(AA$4,"PX_LAST",$Q31,$Q31)),AA32)</f>
        <v>0</v>
      </c>
      <c r="AB31" s="4">
        <f ca="1">IFERROR(VALUE(_xll.BDH(AB$4,"PX_LAST",$Q31,$Q31)),AB32)</f>
        <v>0</v>
      </c>
      <c r="AC31" s="4">
        <f ca="1">IFERROR(VALUE(_xll.BDH(AC$4,"PX_LAST",$Q31,$Q31)),AC32)</f>
        <v>0</v>
      </c>
      <c r="AD31" s="4">
        <f ca="1">IFERROR(VALUE(_xll.BDH(AD$4,"PX_LAST",$Q31,$Q31)),AD32)</f>
        <v>0</v>
      </c>
      <c r="AF31" s="4">
        <f t="shared" si="6"/>
        <v>0.27388601036269428</v>
      </c>
      <c r="AG31" s="4" t="e">
        <f t="shared" ca="1" si="7"/>
        <v>#DIV/0!</v>
      </c>
      <c r="AH31" s="4" t="e">
        <f t="shared" ca="1" si="8"/>
        <v>#DIV/0!</v>
      </c>
      <c r="AI31" s="4" t="e">
        <f t="shared" ca="1" si="9"/>
        <v>#DIV/0!</v>
      </c>
      <c r="AJ31" s="4" t="e">
        <f t="shared" ca="1" si="10"/>
        <v>#DIV/0!</v>
      </c>
      <c r="AK31" s="4" t="e">
        <f t="shared" ca="1" si="11"/>
        <v>#DIV/0!</v>
      </c>
      <c r="AM31" s="557">
        <f t="shared" ca="1" si="12"/>
        <v>45927</v>
      </c>
      <c r="AN31" s="558">
        <v>33.085000000000001</v>
      </c>
      <c r="AO31" s="558">
        <v>3495000</v>
      </c>
      <c r="AP31" s="558">
        <v>206.48981000000001</v>
      </c>
      <c r="AQ31" s="558">
        <v>6831.7153638500004</v>
      </c>
      <c r="AR31" s="558">
        <v>0.4768</v>
      </c>
    </row>
    <row r="32" spans="2:44">
      <c r="B32" s="559">
        <f t="shared" ca="1" si="13"/>
        <v>45765</v>
      </c>
      <c r="C32" s="555">
        <f ca="1">(IFERROR(IFERROR(VALUE(_xll.BDH(C$4,"CURRENT_EV_TO_T12M_EBITDA",$B32,$B32)),VALUE(_xll.BDH(C$4,"CURRENT_EV_TO_T12M_EBITDA",$B32+1,$B32+1))),C33))</f>
        <v>0</v>
      </c>
      <c r="D32" s="555">
        <f ca="1">(IFERROR(IFERROR(VALUE(_xll.BDH(D$4,"CURRENT_EV_TO_T12M_EBITDA",$B32,$B32)),VALUE(_xll.BDH(D$4,"CURRENT_EV_TO_T12M_EBITDA",$B32+1,$B32+1))),D33))</f>
        <v>0</v>
      </c>
      <c r="E32" s="555">
        <f ca="1">(IFERROR(IFERROR(VALUE(_xll.BDH(E$4,"CURRENT_EV_TO_T12M_EBITDA",$B32,$B32)),VALUE(_xll.BDH(E$4,"CURRENT_EV_TO_T12M_EBITDA",$B32+1,$B32+1))),E33))</f>
        <v>0</v>
      </c>
      <c r="F32" s="555">
        <f ca="1">(IFERROR(IFERROR(VALUE(_xll.BDH(F$4,"CURRENT_EV_TO_T12M_EBITDA",$B32,$B32)),VALUE(_xll.BDH(F$4,"CURRENT_EV_TO_T12M_EBITDA",$B32+1,$B32+1))),F33))</f>
        <v>0</v>
      </c>
      <c r="G32" s="555">
        <f ca="1">(IFERROR(IFERROR(VALUE(_xll.BDH(G$4,"CURRENT_EV_TO_T12M_EBITDA",$B32,$B32)),VALUE(_xll.BDH(G$4,"CURRENT_EV_TO_T12M_EBITDA",$B32+1,$B32+1))),G33))</f>
        <v>0</v>
      </c>
      <c r="H32" s="555">
        <f ca="1">(IFERROR(IFERROR(VALUE(_xll.BDH(H$4,"CURRENT_EV_TO_T12M_EBITDA",$B32,$B32)),VALUE(_xll.BDH(H$4,"CURRENT_EV_TO_T12M_EBITDA",$B32+1,$B32+1))),H33))</f>
        <v>0</v>
      </c>
      <c r="I32" s="559">
        <f t="shared" ca="1" si="3"/>
        <v>45765</v>
      </c>
      <c r="J32" s="555">
        <f ca="1">(IFERROR(IFERROR(VALUE(_xll.BDH(J$4,"PE_RATIO",$B32,$B32)),VALUE(_xll.BDH(J$4,"PE_RATIO",$B32+1,$B32+1))),J33))</f>
        <v>0</v>
      </c>
      <c r="K32" s="555">
        <f ca="1">(IFERROR(IFERROR(VALUE(_xll.BDH(K$4,"PE_RATIO",$B32,$B32)),VALUE(_xll.BDH(K$4,"PE_RATIO",$B32+1,$B32+1))),K33))</f>
        <v>0</v>
      </c>
      <c r="L32" s="555">
        <f ca="1">(IFERROR(IFERROR(VALUE(_xll.BDH(L$4,"PE_RATIO",$B32,$B32)),VALUE(_xll.BDH(L$4,"PE_RATIO",$B32+1,$B32+1))),L33))</f>
        <v>0</v>
      </c>
      <c r="M32" s="555">
        <f ca="1">(IFERROR(IFERROR(VALUE(_xll.BDH(M$4,"PE_RATIO",$B32,$B32)),VALUE(_xll.BDH(M$4,"PE_RATIO",$B32+1,$B32+1))),M33))</f>
        <v>0</v>
      </c>
      <c r="N32" s="555">
        <f ca="1">(IFERROR(IFERROR(VALUE(_xll.BDH(N$4,"PE_RATIO",$B32,$B32)),VALUE(_xll.BDH(N$4,"PE_RATIO",$B32+1,$B32+1))),N33))</f>
        <v>0</v>
      </c>
      <c r="O32" s="555">
        <f ca="1">(IFERROR(IFERROR(VALUE(_xll.BDH(O$4,"PE_RATIO",$B32,$B32)),VALUE(_xll.BDH(O$4,"PE_RATIO",$B32+1,$B32+1))),O33))</f>
        <v>0</v>
      </c>
      <c r="P32" s="555"/>
      <c r="Q32" s="559">
        <f t="shared" ca="1" si="4"/>
        <v>45765</v>
      </c>
      <c r="R32" s="4">
        <v>27.72</v>
      </c>
      <c r="S32" s="4">
        <v>125979.5</v>
      </c>
      <c r="T32" s="4">
        <v>0</v>
      </c>
      <c r="U32" s="4">
        <v>0.28725388601036267</v>
      </c>
      <c r="V32" s="4">
        <v>1.1624261197207693</v>
      </c>
      <c r="W32" s="4" t="e">
        <v>#DIV/0!</v>
      </c>
      <c r="Y32" s="555">
        <f t="shared" si="5"/>
        <v>27.72</v>
      </c>
      <c r="Z32" s="4">
        <f ca="1">IFERROR(VALUE(_xll.BDH(Z$4,"PX_LAST",$Q32,$Q32)),Z33)</f>
        <v>0</v>
      </c>
      <c r="AA32" s="4">
        <f ca="1">IFERROR(VALUE(_xll.BDH(AA$4,"PX_LAST",$Q32,$Q32)),AA33)</f>
        <v>0</v>
      </c>
      <c r="AB32" s="4">
        <f ca="1">IFERROR(VALUE(_xll.BDH(AB$4,"PX_LAST",$Q32,$Q32)),AB33)</f>
        <v>0</v>
      </c>
      <c r="AC32" s="4">
        <f ca="1">IFERROR(VALUE(_xll.BDH(AC$4,"PX_LAST",$Q32,$Q32)),AC33)</f>
        <v>0</v>
      </c>
      <c r="AD32" s="4">
        <f ca="1">IFERROR(VALUE(_xll.BDH(AD$4,"PX_LAST",$Q32,$Q32)),AD33)</f>
        <v>0</v>
      </c>
      <c r="AF32" s="4">
        <f t="shared" si="6"/>
        <v>0.28725388601036267</v>
      </c>
      <c r="AG32" s="4" t="e">
        <f t="shared" ca="1" si="7"/>
        <v>#DIV/0!</v>
      </c>
      <c r="AH32" s="4" t="e">
        <f t="shared" ca="1" si="8"/>
        <v>#DIV/0!</v>
      </c>
      <c r="AI32" s="4" t="e">
        <f t="shared" ca="1" si="9"/>
        <v>#DIV/0!</v>
      </c>
      <c r="AJ32" s="4" t="e">
        <f t="shared" ca="1" si="10"/>
        <v>#DIV/0!</v>
      </c>
      <c r="AK32" s="4" t="e">
        <f t="shared" ca="1" si="11"/>
        <v>#DIV/0!</v>
      </c>
      <c r="AM32" s="557">
        <f t="shared" ca="1" si="12"/>
        <v>45926</v>
      </c>
      <c r="AN32" s="558">
        <v>34.344999999999999</v>
      </c>
      <c r="AO32" s="558">
        <v>2987200</v>
      </c>
      <c r="AP32" s="558">
        <v>206.48981000000001</v>
      </c>
      <c r="AQ32" s="558">
        <v>7091.8925244499997</v>
      </c>
      <c r="AR32" s="558">
        <v>0.49580000000000002</v>
      </c>
    </row>
    <row r="33" spans="2:44">
      <c r="B33" s="559">
        <f t="shared" ca="1" si="13"/>
        <v>45758</v>
      </c>
      <c r="C33" s="555">
        <f ca="1">(IFERROR(IFERROR(VALUE(_xll.BDH(C$4,"CURRENT_EV_TO_T12M_EBITDA",$B33,$B33)),VALUE(_xll.BDH(C$4,"CURRENT_EV_TO_T12M_EBITDA",$B33+1,$B33+1))),C34))</f>
        <v>0</v>
      </c>
      <c r="D33" s="555">
        <f ca="1">(IFERROR(IFERROR(VALUE(_xll.BDH(D$4,"CURRENT_EV_TO_T12M_EBITDA",$B33,$B33)),VALUE(_xll.BDH(D$4,"CURRENT_EV_TO_T12M_EBITDA",$B33+1,$B33+1))),D34))</f>
        <v>0</v>
      </c>
      <c r="E33" s="555">
        <f ca="1">(IFERROR(IFERROR(VALUE(_xll.BDH(E$4,"CURRENT_EV_TO_T12M_EBITDA",$B33,$B33)),VALUE(_xll.BDH(E$4,"CURRENT_EV_TO_T12M_EBITDA",$B33+1,$B33+1))),E34))</f>
        <v>0</v>
      </c>
      <c r="F33" s="555">
        <f ca="1">(IFERROR(IFERROR(VALUE(_xll.BDH(F$4,"CURRENT_EV_TO_T12M_EBITDA",$B33,$B33)),VALUE(_xll.BDH(F$4,"CURRENT_EV_TO_T12M_EBITDA",$B33+1,$B33+1))),F34))</f>
        <v>0</v>
      </c>
      <c r="G33" s="555">
        <f ca="1">(IFERROR(IFERROR(VALUE(_xll.BDH(G$4,"CURRENT_EV_TO_T12M_EBITDA",$B33,$B33)),VALUE(_xll.BDH(G$4,"CURRENT_EV_TO_T12M_EBITDA",$B33+1,$B33+1))),G34))</f>
        <v>0</v>
      </c>
      <c r="H33" s="555">
        <f ca="1">(IFERROR(IFERROR(VALUE(_xll.BDH(H$4,"CURRENT_EV_TO_T12M_EBITDA",$B33,$B33)),VALUE(_xll.BDH(H$4,"CURRENT_EV_TO_T12M_EBITDA",$B33+1,$B33+1))),H34))</f>
        <v>0</v>
      </c>
      <c r="I33" s="559">
        <f t="shared" ca="1" si="3"/>
        <v>45758</v>
      </c>
      <c r="J33" s="555">
        <f ca="1">(IFERROR(IFERROR(VALUE(_xll.BDH(J$4,"PE_RATIO",$B33,$B33)),VALUE(_xll.BDH(J$4,"PE_RATIO",$B33+1,$B33+1))),J34))</f>
        <v>0</v>
      </c>
      <c r="K33" s="555">
        <f ca="1">(IFERROR(IFERROR(VALUE(_xll.BDH(K$4,"PE_RATIO",$B33,$B33)),VALUE(_xll.BDH(K$4,"PE_RATIO",$B33+1,$B33+1))),K34))</f>
        <v>0</v>
      </c>
      <c r="L33" s="555">
        <f ca="1">(IFERROR(IFERROR(VALUE(_xll.BDH(L$4,"PE_RATIO",$B33,$B33)),VALUE(_xll.BDH(L$4,"PE_RATIO",$B33+1,$B33+1))),L34))</f>
        <v>0</v>
      </c>
      <c r="M33" s="555">
        <f ca="1">(IFERROR(IFERROR(VALUE(_xll.BDH(M$4,"PE_RATIO",$B33,$B33)),VALUE(_xll.BDH(M$4,"PE_RATIO",$B33+1,$B33+1))),M34))</f>
        <v>0</v>
      </c>
      <c r="N33" s="555">
        <f ca="1">(IFERROR(IFERROR(VALUE(_xll.BDH(N$4,"PE_RATIO",$B33,$B33)),VALUE(_xll.BDH(N$4,"PE_RATIO",$B33+1,$B33+1))),N34))</f>
        <v>0</v>
      </c>
      <c r="O33" s="555">
        <f ca="1">(IFERROR(IFERROR(VALUE(_xll.BDH(O$4,"PE_RATIO",$B33,$B33)),VALUE(_xll.BDH(O$4,"PE_RATIO",$B33+1,$B33+1))),O34))</f>
        <v>0</v>
      </c>
      <c r="P33" s="555"/>
      <c r="Q33" s="559">
        <f t="shared" ca="1" si="4"/>
        <v>45758</v>
      </c>
      <c r="R33" s="4">
        <v>27.72</v>
      </c>
      <c r="S33" s="4">
        <v>125979.5</v>
      </c>
      <c r="T33" s="4">
        <v>0</v>
      </c>
      <c r="U33" s="4">
        <v>0.28725388601036267</v>
      </c>
      <c r="V33" s="4">
        <v>1.1624261197207693</v>
      </c>
      <c r="W33" s="4" t="e">
        <v>#DIV/0!</v>
      </c>
      <c r="Y33" s="555">
        <f t="shared" si="5"/>
        <v>27.72</v>
      </c>
      <c r="Z33" s="4">
        <f ca="1">IFERROR(VALUE(_xll.BDH(Z$4,"PX_LAST",$Q33,$Q33)),Z34)</f>
        <v>0</v>
      </c>
      <c r="AA33" s="4">
        <f ca="1">IFERROR(VALUE(_xll.BDH(AA$4,"PX_LAST",$Q33,$Q33)),AA34)</f>
        <v>0</v>
      </c>
      <c r="AB33" s="4">
        <f ca="1">IFERROR(VALUE(_xll.BDH(AB$4,"PX_LAST",$Q33,$Q33)),AB34)</f>
        <v>0</v>
      </c>
      <c r="AC33" s="4">
        <f ca="1">IFERROR(VALUE(_xll.BDH(AC$4,"PX_LAST",$Q33,$Q33)),AC34)</f>
        <v>0</v>
      </c>
      <c r="AD33" s="4">
        <f ca="1">IFERROR(VALUE(_xll.BDH(AD$4,"PX_LAST",$Q33,$Q33)),AD34)</f>
        <v>0</v>
      </c>
      <c r="AF33" s="4">
        <f t="shared" si="6"/>
        <v>0.28725388601036267</v>
      </c>
      <c r="AG33" s="4" t="e">
        <f t="shared" ca="1" si="7"/>
        <v>#DIV/0!</v>
      </c>
      <c r="AH33" s="4" t="e">
        <f t="shared" ca="1" si="8"/>
        <v>#DIV/0!</v>
      </c>
      <c r="AI33" s="4" t="e">
        <f t="shared" ca="1" si="9"/>
        <v>#DIV/0!</v>
      </c>
      <c r="AJ33" s="4" t="e">
        <f t="shared" ca="1" si="10"/>
        <v>#DIV/0!</v>
      </c>
      <c r="AK33" s="4" t="e">
        <f t="shared" ca="1" si="11"/>
        <v>#DIV/0!</v>
      </c>
      <c r="AM33" s="557">
        <f t="shared" ca="1" si="12"/>
        <v>45925</v>
      </c>
      <c r="AN33" s="558">
        <v>33.274999999999999</v>
      </c>
      <c r="AO33" s="558">
        <v>5990900</v>
      </c>
      <c r="AP33" s="558">
        <v>206.48981000000001</v>
      </c>
      <c r="AQ33" s="558">
        <v>6870.9484277499996</v>
      </c>
      <c r="AR33" s="558">
        <v>0.48149999999999998</v>
      </c>
    </row>
    <row r="34" spans="2:44">
      <c r="B34" s="559">
        <f t="shared" ca="1" si="13"/>
        <v>45751</v>
      </c>
      <c r="C34" s="555">
        <f ca="1">(IFERROR(IFERROR(VALUE(_xll.BDH(C$4,"CURRENT_EV_TO_T12M_EBITDA",$B34,$B34)),VALUE(_xll.BDH(C$4,"CURRENT_EV_TO_T12M_EBITDA",$B34+1,$B34+1))),C35))</f>
        <v>0</v>
      </c>
      <c r="D34" s="555">
        <f ca="1">(IFERROR(IFERROR(VALUE(_xll.BDH(D$4,"CURRENT_EV_TO_T12M_EBITDA",$B34,$B34)),VALUE(_xll.BDH(D$4,"CURRENT_EV_TO_T12M_EBITDA",$B34+1,$B34+1))),D35))</f>
        <v>0</v>
      </c>
      <c r="E34" s="555">
        <f ca="1">(IFERROR(IFERROR(VALUE(_xll.BDH(E$4,"CURRENT_EV_TO_T12M_EBITDA",$B34,$B34)),VALUE(_xll.BDH(E$4,"CURRENT_EV_TO_T12M_EBITDA",$B34+1,$B34+1))),E35))</f>
        <v>0</v>
      </c>
      <c r="F34" s="555">
        <f ca="1">(IFERROR(IFERROR(VALUE(_xll.BDH(F$4,"CURRENT_EV_TO_T12M_EBITDA",$B34,$B34)),VALUE(_xll.BDH(F$4,"CURRENT_EV_TO_T12M_EBITDA",$B34+1,$B34+1))),F35))</f>
        <v>0</v>
      </c>
      <c r="G34" s="555">
        <f ca="1">(IFERROR(IFERROR(VALUE(_xll.BDH(G$4,"CURRENT_EV_TO_T12M_EBITDA",$B34,$B34)),VALUE(_xll.BDH(G$4,"CURRENT_EV_TO_T12M_EBITDA",$B34+1,$B34+1))),G35))</f>
        <v>0</v>
      </c>
      <c r="H34" s="555">
        <f ca="1">(IFERROR(IFERROR(VALUE(_xll.BDH(H$4,"CURRENT_EV_TO_T12M_EBITDA",$B34,$B34)),VALUE(_xll.BDH(H$4,"CURRENT_EV_TO_T12M_EBITDA",$B34+1,$B34+1))),H35))</f>
        <v>0</v>
      </c>
      <c r="I34" s="559">
        <f t="shared" ca="1" si="3"/>
        <v>45751</v>
      </c>
      <c r="J34" s="555">
        <f ca="1">(IFERROR(IFERROR(VALUE(_xll.BDH(J$4,"PE_RATIO",$B34,$B34)),VALUE(_xll.BDH(J$4,"PE_RATIO",$B34+1,$B34+1))),J35))</f>
        <v>0</v>
      </c>
      <c r="K34" s="555">
        <f ca="1">(IFERROR(IFERROR(VALUE(_xll.BDH(K$4,"PE_RATIO",$B34,$B34)),VALUE(_xll.BDH(K$4,"PE_RATIO",$B34+1,$B34+1))),K35))</f>
        <v>0</v>
      </c>
      <c r="L34" s="555">
        <f ca="1">(IFERROR(IFERROR(VALUE(_xll.BDH(L$4,"PE_RATIO",$B34,$B34)),VALUE(_xll.BDH(L$4,"PE_RATIO",$B34+1,$B34+1))),L35))</f>
        <v>0</v>
      </c>
      <c r="M34" s="555">
        <f ca="1">(IFERROR(IFERROR(VALUE(_xll.BDH(M$4,"PE_RATIO",$B34,$B34)),VALUE(_xll.BDH(M$4,"PE_RATIO",$B34+1,$B34+1))),M35))</f>
        <v>0</v>
      </c>
      <c r="N34" s="555">
        <f ca="1">(IFERROR(IFERROR(VALUE(_xll.BDH(N$4,"PE_RATIO",$B34,$B34)),VALUE(_xll.BDH(N$4,"PE_RATIO",$B34+1,$B34+1))),N35))</f>
        <v>0</v>
      </c>
      <c r="O34" s="555">
        <f ca="1">(IFERROR(IFERROR(VALUE(_xll.BDH(O$4,"PE_RATIO",$B34,$B34)),VALUE(_xll.BDH(O$4,"PE_RATIO",$B34+1,$B34+1))),O35))</f>
        <v>0</v>
      </c>
      <c r="P34" s="555"/>
      <c r="Q34" s="559">
        <f t="shared" ca="1" si="4"/>
        <v>45751</v>
      </c>
      <c r="R34" s="4">
        <v>32.81</v>
      </c>
      <c r="S34" s="4">
        <v>128531.71</v>
      </c>
      <c r="T34" s="4">
        <v>0</v>
      </c>
      <c r="U34" s="4">
        <v>0.34</v>
      </c>
      <c r="V34" s="4">
        <v>1.1859756302920332</v>
      </c>
      <c r="W34" s="4" t="e">
        <v>#DIV/0!</v>
      </c>
      <c r="Y34" s="555">
        <f t="shared" si="5"/>
        <v>32.81</v>
      </c>
      <c r="Z34" s="4">
        <f ca="1">IFERROR(VALUE(_xll.BDH(Z$4,"PX_LAST",$Q34,$Q34)),Z35)</f>
        <v>0</v>
      </c>
      <c r="AA34" s="4">
        <f ca="1">IFERROR(VALUE(_xll.BDH(AA$4,"PX_LAST",$Q34,$Q34)),AA35)</f>
        <v>0</v>
      </c>
      <c r="AB34" s="4">
        <f ca="1">IFERROR(VALUE(_xll.BDH(AB$4,"PX_LAST",$Q34,$Q34)),AB35)</f>
        <v>0</v>
      </c>
      <c r="AC34" s="4">
        <f ca="1">IFERROR(VALUE(_xll.BDH(AC$4,"PX_LAST",$Q34,$Q34)),AC35)</f>
        <v>0</v>
      </c>
      <c r="AD34" s="4">
        <f ca="1">IFERROR(VALUE(_xll.BDH(AD$4,"PX_LAST",$Q34,$Q34)),AD35)</f>
        <v>0</v>
      </c>
      <c r="AF34" s="4">
        <f t="shared" si="6"/>
        <v>0.34</v>
      </c>
      <c r="AG34" s="4" t="e">
        <f t="shared" ca="1" si="7"/>
        <v>#DIV/0!</v>
      </c>
      <c r="AH34" s="4" t="e">
        <f t="shared" ca="1" si="8"/>
        <v>#DIV/0!</v>
      </c>
      <c r="AI34" s="4" t="e">
        <f t="shared" ca="1" si="9"/>
        <v>#DIV/0!</v>
      </c>
      <c r="AJ34" s="4" t="e">
        <f t="shared" ca="1" si="10"/>
        <v>#DIV/0!</v>
      </c>
      <c r="AK34" s="4" t="e">
        <f t="shared" ca="1" si="11"/>
        <v>#DIV/0!</v>
      </c>
      <c r="AM34" s="557">
        <f t="shared" ca="1" si="12"/>
        <v>45924</v>
      </c>
      <c r="AN34" s="558">
        <v>35.405000000000001</v>
      </c>
      <c r="AO34" s="558">
        <v>8061200</v>
      </c>
      <c r="AP34" s="558">
        <v>206.48981000000001</v>
      </c>
      <c r="AQ34" s="558">
        <v>7310.7717230500002</v>
      </c>
      <c r="AR34" s="558">
        <v>0.5111</v>
      </c>
    </row>
    <row r="35" spans="2:44">
      <c r="B35" s="559">
        <f t="shared" ca="1" si="13"/>
        <v>45744</v>
      </c>
      <c r="C35" s="555">
        <f ca="1">(IFERROR(IFERROR(VALUE(_xll.BDH(C$4,"CURRENT_EV_TO_T12M_EBITDA",$B35,$B35)),VALUE(_xll.BDH(C$4,"CURRENT_EV_TO_T12M_EBITDA",$B35+1,$B35+1))),C36))</f>
        <v>0</v>
      </c>
      <c r="D35" s="555">
        <f ca="1">(IFERROR(IFERROR(VALUE(_xll.BDH(D$4,"CURRENT_EV_TO_T12M_EBITDA",$B35,$B35)),VALUE(_xll.BDH(D$4,"CURRENT_EV_TO_T12M_EBITDA",$B35+1,$B35+1))),D36))</f>
        <v>0</v>
      </c>
      <c r="E35" s="555">
        <f ca="1">(IFERROR(IFERROR(VALUE(_xll.BDH(E$4,"CURRENT_EV_TO_T12M_EBITDA",$B35,$B35)),VALUE(_xll.BDH(E$4,"CURRENT_EV_TO_T12M_EBITDA",$B35+1,$B35+1))),E36))</f>
        <v>0</v>
      </c>
      <c r="F35" s="555">
        <f ca="1">(IFERROR(IFERROR(VALUE(_xll.BDH(F$4,"CURRENT_EV_TO_T12M_EBITDA",$B35,$B35)),VALUE(_xll.BDH(F$4,"CURRENT_EV_TO_T12M_EBITDA",$B35+1,$B35+1))),F36))</f>
        <v>0</v>
      </c>
      <c r="G35" s="555">
        <f ca="1">(IFERROR(IFERROR(VALUE(_xll.BDH(G$4,"CURRENT_EV_TO_T12M_EBITDA",$B35,$B35)),VALUE(_xll.BDH(G$4,"CURRENT_EV_TO_T12M_EBITDA",$B35+1,$B35+1))),G36))</f>
        <v>0</v>
      </c>
      <c r="H35" s="555">
        <f ca="1">(IFERROR(IFERROR(VALUE(_xll.BDH(H$4,"CURRENT_EV_TO_T12M_EBITDA",$B35,$B35)),VALUE(_xll.BDH(H$4,"CURRENT_EV_TO_T12M_EBITDA",$B35+1,$B35+1))),H36))</f>
        <v>0</v>
      </c>
      <c r="I35" s="559">
        <f t="shared" ca="1" si="3"/>
        <v>45744</v>
      </c>
      <c r="J35" s="555">
        <f ca="1">(IFERROR(IFERROR(VALUE(_xll.BDH(J$4,"PE_RATIO",$B35,$B35)),VALUE(_xll.BDH(J$4,"PE_RATIO",$B35+1,$B35+1))),J36))</f>
        <v>0</v>
      </c>
      <c r="K35" s="555">
        <f ca="1">(IFERROR(IFERROR(VALUE(_xll.BDH(K$4,"PE_RATIO",$B35,$B35)),VALUE(_xll.BDH(K$4,"PE_RATIO",$B35+1,$B35+1))),K36))</f>
        <v>0</v>
      </c>
      <c r="L35" s="555">
        <f ca="1">(IFERROR(IFERROR(VALUE(_xll.BDH(L$4,"PE_RATIO",$B35,$B35)),VALUE(_xll.BDH(L$4,"PE_RATIO",$B35+1,$B35+1))),L36))</f>
        <v>0</v>
      </c>
      <c r="M35" s="555">
        <f ca="1">(IFERROR(IFERROR(VALUE(_xll.BDH(M$4,"PE_RATIO",$B35,$B35)),VALUE(_xll.BDH(M$4,"PE_RATIO",$B35+1,$B35+1))),M36))</f>
        <v>0</v>
      </c>
      <c r="N35" s="555">
        <f ca="1">(IFERROR(IFERROR(VALUE(_xll.BDH(N$4,"PE_RATIO",$B35,$B35)),VALUE(_xll.BDH(N$4,"PE_RATIO",$B35+1,$B35+1))),N36))</f>
        <v>0</v>
      </c>
      <c r="O35" s="555">
        <f ca="1">(IFERROR(IFERROR(VALUE(_xll.BDH(O$4,"PE_RATIO",$B35,$B35)),VALUE(_xll.BDH(O$4,"PE_RATIO",$B35+1,$B35+1))),O36))</f>
        <v>0</v>
      </c>
      <c r="P35" s="555"/>
      <c r="Q35" s="559">
        <f t="shared" ca="1" si="4"/>
        <v>45744</v>
      </c>
      <c r="R35" s="4">
        <v>32.700000000000003</v>
      </c>
      <c r="S35" s="4">
        <v>126521.66</v>
      </c>
      <c r="T35" s="4">
        <v>0</v>
      </c>
      <c r="U35" s="4">
        <v>0.33886010362694302</v>
      </c>
      <c r="V35" s="4">
        <v>1.1674286871628359</v>
      </c>
      <c r="W35" s="4" t="e">
        <v>#DIV/0!</v>
      </c>
      <c r="Y35" s="555">
        <f t="shared" si="5"/>
        <v>32.700000000000003</v>
      </c>
      <c r="Z35" s="4">
        <f ca="1">IFERROR(VALUE(_xll.BDH(Z$4,"PX_LAST",$Q35,$Q35)),Z36)</f>
        <v>0</v>
      </c>
      <c r="AA35" s="4">
        <f ca="1">IFERROR(VALUE(_xll.BDH(AA$4,"PX_LAST",$Q35,$Q35)),AA36)</f>
        <v>0</v>
      </c>
      <c r="AB35" s="4">
        <f ca="1">IFERROR(VALUE(_xll.BDH(AB$4,"PX_LAST",$Q35,$Q35)),AB36)</f>
        <v>0</v>
      </c>
      <c r="AC35" s="4">
        <f ca="1">IFERROR(VALUE(_xll.BDH(AC$4,"PX_LAST",$Q35,$Q35)),AC36)</f>
        <v>0</v>
      </c>
      <c r="AD35" s="4">
        <f ca="1">IFERROR(VALUE(_xll.BDH(AD$4,"PX_LAST",$Q35,$Q35)),AD36)</f>
        <v>0</v>
      </c>
      <c r="AF35" s="4">
        <f t="shared" si="6"/>
        <v>0.33886010362694302</v>
      </c>
      <c r="AG35" s="4" t="e">
        <f t="shared" ca="1" si="7"/>
        <v>#DIV/0!</v>
      </c>
      <c r="AH35" s="4" t="e">
        <f t="shared" ca="1" si="8"/>
        <v>#DIV/0!</v>
      </c>
      <c r="AI35" s="4" t="e">
        <f t="shared" ca="1" si="9"/>
        <v>#DIV/0!</v>
      </c>
      <c r="AJ35" s="4" t="e">
        <f t="shared" ca="1" si="10"/>
        <v>#DIV/0!</v>
      </c>
      <c r="AK35" s="4" t="e">
        <f t="shared" ca="1" si="11"/>
        <v>#DIV/0!</v>
      </c>
      <c r="AM35" s="557">
        <f t="shared" ca="1" si="12"/>
        <v>45923</v>
      </c>
      <c r="AN35" s="558">
        <v>35.405000000000001</v>
      </c>
      <c r="AO35" s="558">
        <v>8061200</v>
      </c>
      <c r="AP35" s="558">
        <v>206.48981000000001</v>
      </c>
      <c r="AQ35" s="558">
        <v>7310.7717230500002</v>
      </c>
      <c r="AR35" s="558">
        <v>0.5111</v>
      </c>
    </row>
    <row r="36" spans="2:44">
      <c r="B36" s="559">
        <f t="shared" ca="1" si="13"/>
        <v>45737</v>
      </c>
      <c r="C36" s="555">
        <f ca="1">(IFERROR(IFERROR(VALUE(_xll.BDH(C$4,"CURRENT_EV_TO_T12M_EBITDA",$B36,$B36)),VALUE(_xll.BDH(C$4,"CURRENT_EV_TO_T12M_EBITDA",$B36+1,$B36+1))),C37))</f>
        <v>0</v>
      </c>
      <c r="D36" s="555">
        <f ca="1">(IFERROR(IFERROR(VALUE(_xll.BDH(D$4,"CURRENT_EV_TO_T12M_EBITDA",$B36,$B36)),VALUE(_xll.BDH(D$4,"CURRENT_EV_TO_T12M_EBITDA",$B36+1,$B36+1))),D37))</f>
        <v>0</v>
      </c>
      <c r="E36" s="555">
        <f ca="1">(IFERROR(IFERROR(VALUE(_xll.BDH(E$4,"CURRENT_EV_TO_T12M_EBITDA",$B36,$B36)),VALUE(_xll.BDH(E$4,"CURRENT_EV_TO_T12M_EBITDA",$B36+1,$B36+1))),E37))</f>
        <v>0</v>
      </c>
      <c r="F36" s="555">
        <f ca="1">(IFERROR(IFERROR(VALUE(_xll.BDH(F$4,"CURRENT_EV_TO_T12M_EBITDA",$B36,$B36)),VALUE(_xll.BDH(F$4,"CURRENT_EV_TO_T12M_EBITDA",$B36+1,$B36+1))),F37))</f>
        <v>0</v>
      </c>
      <c r="G36" s="555">
        <f ca="1">(IFERROR(IFERROR(VALUE(_xll.BDH(G$4,"CURRENT_EV_TO_T12M_EBITDA",$B36,$B36)),VALUE(_xll.BDH(G$4,"CURRENT_EV_TO_T12M_EBITDA",$B36+1,$B36+1))),G37))</f>
        <v>0</v>
      </c>
      <c r="H36" s="555">
        <f ca="1">(IFERROR(IFERROR(VALUE(_xll.BDH(H$4,"CURRENT_EV_TO_T12M_EBITDA",$B36,$B36)),VALUE(_xll.BDH(H$4,"CURRENT_EV_TO_T12M_EBITDA",$B36+1,$B36+1))),H37))</f>
        <v>0</v>
      </c>
      <c r="I36" s="559">
        <f t="shared" ca="1" si="3"/>
        <v>45737</v>
      </c>
      <c r="J36" s="555">
        <f ca="1">(IFERROR(IFERROR(VALUE(_xll.BDH(J$4,"PE_RATIO",$B36,$B36)),VALUE(_xll.BDH(J$4,"PE_RATIO",$B36+1,$B36+1))),J37))</f>
        <v>0</v>
      </c>
      <c r="K36" s="555">
        <f ca="1">(IFERROR(IFERROR(VALUE(_xll.BDH(K$4,"PE_RATIO",$B36,$B36)),VALUE(_xll.BDH(K$4,"PE_RATIO",$B36+1,$B36+1))),K37))</f>
        <v>0</v>
      </c>
      <c r="L36" s="555">
        <f ca="1">(IFERROR(IFERROR(VALUE(_xll.BDH(L$4,"PE_RATIO",$B36,$B36)),VALUE(_xll.BDH(L$4,"PE_RATIO",$B36+1,$B36+1))),L37))</f>
        <v>0</v>
      </c>
      <c r="M36" s="555">
        <f ca="1">(IFERROR(IFERROR(VALUE(_xll.BDH(M$4,"PE_RATIO",$B36,$B36)),VALUE(_xll.BDH(M$4,"PE_RATIO",$B36+1,$B36+1))),M37))</f>
        <v>0</v>
      </c>
      <c r="N36" s="555">
        <f ca="1">(IFERROR(IFERROR(VALUE(_xll.BDH(N$4,"PE_RATIO",$B36,$B36)),VALUE(_xll.BDH(N$4,"PE_RATIO",$B36+1,$B36+1))),N37))</f>
        <v>0</v>
      </c>
      <c r="O36" s="555">
        <f ca="1">(IFERROR(IFERROR(VALUE(_xll.BDH(O$4,"PE_RATIO",$B36,$B36)),VALUE(_xll.BDH(O$4,"PE_RATIO",$B36+1,$B36+1))),O37))</f>
        <v>0</v>
      </c>
      <c r="P36" s="555"/>
      <c r="Q36" s="559">
        <f t="shared" ca="1" si="4"/>
        <v>45737</v>
      </c>
      <c r="R36" s="4">
        <v>33.65</v>
      </c>
      <c r="S36" s="4">
        <v>125147.42</v>
      </c>
      <c r="T36" s="4">
        <v>0</v>
      </c>
      <c r="U36" s="4">
        <v>0.34870466321243521</v>
      </c>
      <c r="V36" s="4">
        <v>1.154748429892684</v>
      </c>
      <c r="W36" s="4" t="e">
        <v>#DIV/0!</v>
      </c>
      <c r="Y36" s="555">
        <f t="shared" si="5"/>
        <v>33.65</v>
      </c>
      <c r="Z36" s="4">
        <f ca="1">IFERROR(VALUE(_xll.BDH(Z$4,"PX_LAST",$Q36,$Q36)),Z37)</f>
        <v>0</v>
      </c>
      <c r="AA36" s="4">
        <f ca="1">IFERROR(VALUE(_xll.BDH(AA$4,"PX_LAST",$Q36,$Q36)),AA37)</f>
        <v>0</v>
      </c>
      <c r="AB36" s="4">
        <f ca="1">IFERROR(VALUE(_xll.BDH(AB$4,"PX_LAST",$Q36,$Q36)),AB37)</f>
        <v>0</v>
      </c>
      <c r="AC36" s="4">
        <f ca="1">IFERROR(VALUE(_xll.BDH(AC$4,"PX_LAST",$Q36,$Q36)),AC37)</f>
        <v>0</v>
      </c>
      <c r="AD36" s="4">
        <f ca="1">IFERROR(VALUE(_xll.BDH(AD$4,"PX_LAST",$Q36,$Q36)),AD37)</f>
        <v>0</v>
      </c>
      <c r="AF36" s="4">
        <f t="shared" si="6"/>
        <v>0.34870466321243521</v>
      </c>
      <c r="AG36" s="4" t="e">
        <f t="shared" ca="1" si="7"/>
        <v>#DIV/0!</v>
      </c>
      <c r="AH36" s="4" t="e">
        <f t="shared" ca="1" si="8"/>
        <v>#DIV/0!</v>
      </c>
      <c r="AI36" s="4" t="e">
        <f t="shared" ca="1" si="9"/>
        <v>#DIV/0!</v>
      </c>
      <c r="AJ36" s="4" t="e">
        <f t="shared" ca="1" si="10"/>
        <v>#DIV/0!</v>
      </c>
      <c r="AK36" s="4" t="e">
        <f t="shared" ca="1" si="11"/>
        <v>#DIV/0!</v>
      </c>
      <c r="AM36" s="557">
        <f t="shared" ca="1" si="12"/>
        <v>45922</v>
      </c>
      <c r="AN36" s="558">
        <v>35.405000000000001</v>
      </c>
      <c r="AO36" s="558">
        <v>8061200</v>
      </c>
      <c r="AP36" s="558">
        <v>206.48981000000001</v>
      </c>
      <c r="AQ36" s="558">
        <v>7310.7717230500002</v>
      </c>
      <c r="AR36" s="558">
        <v>0.5111</v>
      </c>
    </row>
    <row r="37" spans="2:44">
      <c r="B37" s="559">
        <f t="shared" ca="1" si="13"/>
        <v>45730</v>
      </c>
      <c r="C37" s="555">
        <f ca="1">(IFERROR(IFERROR(VALUE(_xll.BDH(C$4,"CURRENT_EV_TO_T12M_EBITDA",$B37,$B37)),VALUE(_xll.BDH(C$4,"CURRENT_EV_TO_T12M_EBITDA",$B37+1,$B37+1))),C38))</f>
        <v>0</v>
      </c>
      <c r="D37" s="555">
        <f ca="1">(IFERROR(IFERROR(VALUE(_xll.BDH(D$4,"CURRENT_EV_TO_T12M_EBITDA",$B37,$B37)),VALUE(_xll.BDH(D$4,"CURRENT_EV_TO_T12M_EBITDA",$B37+1,$B37+1))),D38))</f>
        <v>0</v>
      </c>
      <c r="E37" s="555">
        <f ca="1">(IFERROR(IFERROR(VALUE(_xll.BDH(E$4,"CURRENT_EV_TO_T12M_EBITDA",$B37,$B37)),VALUE(_xll.BDH(E$4,"CURRENT_EV_TO_T12M_EBITDA",$B37+1,$B37+1))),E38))</f>
        <v>0</v>
      </c>
      <c r="F37" s="555">
        <f ca="1">(IFERROR(IFERROR(VALUE(_xll.BDH(F$4,"CURRENT_EV_TO_T12M_EBITDA",$B37,$B37)),VALUE(_xll.BDH(F$4,"CURRENT_EV_TO_T12M_EBITDA",$B37+1,$B37+1))),F38))</f>
        <v>0</v>
      </c>
      <c r="G37" s="555">
        <f ca="1">(IFERROR(IFERROR(VALUE(_xll.BDH(G$4,"CURRENT_EV_TO_T12M_EBITDA",$B37,$B37)),VALUE(_xll.BDH(G$4,"CURRENT_EV_TO_T12M_EBITDA",$B37+1,$B37+1))),G38))</f>
        <v>0</v>
      </c>
      <c r="H37" s="555">
        <f ca="1">(IFERROR(IFERROR(VALUE(_xll.BDH(H$4,"CURRENT_EV_TO_T12M_EBITDA",$B37,$B37)),VALUE(_xll.BDH(H$4,"CURRENT_EV_TO_T12M_EBITDA",$B37+1,$B37+1))),H38))</f>
        <v>0</v>
      </c>
      <c r="I37" s="559">
        <f t="shared" ref="I37:I68" ca="1" si="14">+B37</f>
        <v>45730</v>
      </c>
      <c r="J37" s="555">
        <f ca="1">(IFERROR(IFERROR(VALUE(_xll.BDH(J$4,"PE_RATIO",$B37,$B37)),VALUE(_xll.BDH(J$4,"PE_RATIO",$B37+1,$B37+1))),J38))</f>
        <v>0</v>
      </c>
      <c r="K37" s="555">
        <f ca="1">(IFERROR(IFERROR(VALUE(_xll.BDH(K$4,"PE_RATIO",$B37,$B37)),VALUE(_xll.BDH(K$4,"PE_RATIO",$B37+1,$B37+1))),K38))</f>
        <v>0</v>
      </c>
      <c r="L37" s="555">
        <f ca="1">(IFERROR(IFERROR(VALUE(_xll.BDH(L$4,"PE_RATIO",$B37,$B37)),VALUE(_xll.BDH(L$4,"PE_RATIO",$B37+1,$B37+1))),L38))</f>
        <v>0</v>
      </c>
      <c r="M37" s="555">
        <f ca="1">(IFERROR(IFERROR(VALUE(_xll.BDH(M$4,"PE_RATIO",$B37,$B37)),VALUE(_xll.BDH(M$4,"PE_RATIO",$B37+1,$B37+1))),M38))</f>
        <v>0</v>
      </c>
      <c r="N37" s="555">
        <f ca="1">(IFERROR(IFERROR(VALUE(_xll.BDH(N$4,"PE_RATIO",$B37,$B37)),VALUE(_xll.BDH(N$4,"PE_RATIO",$B37+1,$B37+1))),N38))</f>
        <v>0</v>
      </c>
      <c r="O37" s="555">
        <f ca="1">(IFERROR(IFERROR(VALUE(_xll.BDH(O$4,"PE_RATIO",$B37,$B37)),VALUE(_xll.BDH(O$4,"PE_RATIO",$B37+1,$B37+1))),O38))</f>
        <v>0</v>
      </c>
      <c r="P37" s="555"/>
      <c r="Q37" s="559">
        <f t="shared" ref="Q37:Q68" ca="1" si="15">+I37</f>
        <v>45730</v>
      </c>
      <c r="R37" s="4">
        <v>33.75</v>
      </c>
      <c r="S37" s="4">
        <v>124055.5</v>
      </c>
      <c r="T37" s="4">
        <v>0</v>
      </c>
      <c r="U37" s="4">
        <v>0.34974093264248707</v>
      </c>
      <c r="V37" s="4">
        <v>1.144673169007814</v>
      </c>
      <c r="W37" s="4" t="e">
        <v>#DIV/0!</v>
      </c>
      <c r="Y37" s="555">
        <f t="shared" ref="Y37:Y68" si="16">+R37</f>
        <v>33.75</v>
      </c>
      <c r="Z37" s="4">
        <f ca="1">IFERROR(VALUE(_xll.BDH(Z$4,"PX_LAST",$Q37,$Q37)),Z38)</f>
        <v>0</v>
      </c>
      <c r="AA37" s="4">
        <f ca="1">IFERROR(VALUE(_xll.BDH(AA$4,"PX_LAST",$Q37,$Q37)),AA38)</f>
        <v>0</v>
      </c>
      <c r="AB37" s="4">
        <f ca="1">IFERROR(VALUE(_xll.BDH(AB$4,"PX_LAST",$Q37,$Q37)),AB38)</f>
        <v>0</v>
      </c>
      <c r="AC37" s="4">
        <f ca="1">IFERROR(VALUE(_xll.BDH(AC$4,"PX_LAST",$Q37,$Q37)),AC38)</f>
        <v>0</v>
      </c>
      <c r="AD37" s="4">
        <f ca="1">IFERROR(VALUE(_xll.BDH(AD$4,"PX_LAST",$Q37,$Q37)),AD38)</f>
        <v>0</v>
      </c>
      <c r="AF37" s="4">
        <f t="shared" ref="AF37:AF68" si="17">+Y37/Y$159</f>
        <v>0.34974093264248707</v>
      </c>
      <c r="AG37" s="4" t="e">
        <f t="shared" ref="AG37:AG68" ca="1" si="18">+Z37/Z$159</f>
        <v>#DIV/0!</v>
      </c>
      <c r="AH37" s="4" t="e">
        <f t="shared" ref="AH37:AH68" ca="1" si="19">+AA37/AA$159</f>
        <v>#DIV/0!</v>
      </c>
      <c r="AI37" s="4" t="e">
        <f t="shared" ref="AI37:AI68" ca="1" si="20">+AB37/AB$159</f>
        <v>#DIV/0!</v>
      </c>
      <c r="AJ37" s="4" t="e">
        <f t="shared" ref="AJ37:AJ68" ca="1" si="21">+AC37/AC$159</f>
        <v>#DIV/0!</v>
      </c>
      <c r="AK37" s="4" t="e">
        <f t="shared" ref="AK37:AK68" ca="1" si="22">+AD37/AD$159</f>
        <v>#DIV/0!</v>
      </c>
      <c r="AM37" s="557">
        <f t="shared" ca="1" si="12"/>
        <v>45921</v>
      </c>
      <c r="AN37" s="558">
        <v>38.024999999999999</v>
      </c>
      <c r="AO37" s="558">
        <v>2507600</v>
      </c>
      <c r="AP37" s="558">
        <v>206.48981000000001</v>
      </c>
      <c r="AQ37" s="558">
        <v>7851.77502525</v>
      </c>
      <c r="AR37" s="558">
        <v>0.54979999999999996</v>
      </c>
    </row>
    <row r="38" spans="2:44">
      <c r="B38" s="559">
        <f t="shared" ref="B38:B69" ca="1" si="23">+B37-7</f>
        <v>45723</v>
      </c>
      <c r="C38" s="555">
        <f ca="1">(IFERROR(IFERROR(VALUE(_xll.BDH(C$4,"CURRENT_EV_TO_T12M_EBITDA",$B38,$B38)),VALUE(_xll.BDH(C$4,"CURRENT_EV_TO_T12M_EBITDA",$B38+1,$B38+1))),C39))</f>
        <v>0</v>
      </c>
      <c r="D38" s="555">
        <f ca="1">(IFERROR(IFERROR(VALUE(_xll.BDH(D$4,"CURRENT_EV_TO_T12M_EBITDA",$B38,$B38)),VALUE(_xll.BDH(D$4,"CURRENT_EV_TO_T12M_EBITDA",$B38+1,$B38+1))),D39))</f>
        <v>0</v>
      </c>
      <c r="E38" s="555">
        <f ca="1">(IFERROR(IFERROR(VALUE(_xll.BDH(E$4,"CURRENT_EV_TO_T12M_EBITDA",$B38,$B38)),VALUE(_xll.BDH(E$4,"CURRENT_EV_TO_T12M_EBITDA",$B38+1,$B38+1))),E39))</f>
        <v>0</v>
      </c>
      <c r="F38" s="555">
        <f ca="1">(IFERROR(IFERROR(VALUE(_xll.BDH(F$4,"CURRENT_EV_TO_T12M_EBITDA",$B38,$B38)),VALUE(_xll.BDH(F$4,"CURRENT_EV_TO_T12M_EBITDA",$B38+1,$B38+1))),F39))</f>
        <v>0</v>
      </c>
      <c r="G38" s="555">
        <f ca="1">(IFERROR(IFERROR(VALUE(_xll.BDH(G$4,"CURRENT_EV_TO_T12M_EBITDA",$B38,$B38)),VALUE(_xll.BDH(G$4,"CURRENT_EV_TO_T12M_EBITDA",$B38+1,$B38+1))),G39))</f>
        <v>0</v>
      </c>
      <c r="H38" s="555">
        <f ca="1">(IFERROR(IFERROR(VALUE(_xll.BDH(H$4,"CURRENT_EV_TO_T12M_EBITDA",$B38,$B38)),VALUE(_xll.BDH(H$4,"CURRENT_EV_TO_T12M_EBITDA",$B38+1,$B38+1))),H39))</f>
        <v>0</v>
      </c>
      <c r="I38" s="559">
        <f t="shared" ca="1" si="14"/>
        <v>45723</v>
      </c>
      <c r="J38" s="555">
        <f ca="1">(IFERROR(IFERROR(VALUE(_xll.BDH(J$4,"PE_RATIO",$B38,$B38)),VALUE(_xll.BDH(J$4,"PE_RATIO",$B38+1,$B38+1))),J39))</f>
        <v>0</v>
      </c>
      <c r="K38" s="555">
        <f ca="1">(IFERROR(IFERROR(VALUE(_xll.BDH(K$4,"PE_RATIO",$B38,$B38)),VALUE(_xll.BDH(K$4,"PE_RATIO",$B38+1,$B38+1))),K39))</f>
        <v>0</v>
      </c>
      <c r="L38" s="555">
        <f ca="1">(IFERROR(IFERROR(VALUE(_xll.BDH(L$4,"PE_RATIO",$B38,$B38)),VALUE(_xll.BDH(L$4,"PE_RATIO",$B38+1,$B38+1))),L39))</f>
        <v>0</v>
      </c>
      <c r="M38" s="555">
        <f ca="1">(IFERROR(IFERROR(VALUE(_xll.BDH(M$4,"PE_RATIO",$B38,$B38)),VALUE(_xll.BDH(M$4,"PE_RATIO",$B38+1,$B38+1))),M39))</f>
        <v>0</v>
      </c>
      <c r="N38" s="555">
        <f ca="1">(IFERROR(IFERROR(VALUE(_xll.BDH(N$4,"PE_RATIO",$B38,$B38)),VALUE(_xll.BDH(N$4,"PE_RATIO",$B38+1,$B38+1))),N39))</f>
        <v>0</v>
      </c>
      <c r="O38" s="555">
        <f ca="1">(IFERROR(IFERROR(VALUE(_xll.BDH(O$4,"PE_RATIO",$B38,$B38)),VALUE(_xll.BDH(O$4,"PE_RATIO",$B38+1,$B38+1))),O39))</f>
        <v>0</v>
      </c>
      <c r="P38" s="555"/>
      <c r="Q38" s="559">
        <f t="shared" ca="1" si="15"/>
        <v>45723</v>
      </c>
      <c r="R38" s="4">
        <v>31.45</v>
      </c>
      <c r="S38" s="4">
        <v>123338.34</v>
      </c>
      <c r="T38" s="4">
        <v>0</v>
      </c>
      <c r="U38" s="4">
        <v>0.32590673575129531</v>
      </c>
      <c r="V38" s="4">
        <v>1.1380558581277187</v>
      </c>
      <c r="W38" s="4" t="e">
        <v>#DIV/0!</v>
      </c>
      <c r="Y38" s="555">
        <f t="shared" si="16"/>
        <v>31.45</v>
      </c>
      <c r="Z38" s="4">
        <f ca="1">IFERROR(VALUE(_xll.BDH(Z$4,"PX_LAST",$Q38,$Q38)),Z39)</f>
        <v>0</v>
      </c>
      <c r="AA38" s="4">
        <f ca="1">IFERROR(VALUE(_xll.BDH(AA$4,"PX_LAST",$Q38,$Q38)),AA39)</f>
        <v>0</v>
      </c>
      <c r="AB38" s="4">
        <f ca="1">IFERROR(VALUE(_xll.BDH(AB$4,"PX_LAST",$Q38,$Q38)),AB39)</f>
        <v>0</v>
      </c>
      <c r="AC38" s="4">
        <f ca="1">IFERROR(VALUE(_xll.BDH(AC$4,"PX_LAST",$Q38,$Q38)),AC39)</f>
        <v>0</v>
      </c>
      <c r="AD38" s="4">
        <f ca="1">IFERROR(VALUE(_xll.BDH(AD$4,"PX_LAST",$Q38,$Q38)),AD39)</f>
        <v>0</v>
      </c>
      <c r="AF38" s="4">
        <f t="shared" si="17"/>
        <v>0.32590673575129531</v>
      </c>
      <c r="AG38" s="4" t="e">
        <f t="shared" ca="1" si="18"/>
        <v>#DIV/0!</v>
      </c>
      <c r="AH38" s="4" t="e">
        <f t="shared" ca="1" si="19"/>
        <v>#DIV/0!</v>
      </c>
      <c r="AI38" s="4" t="e">
        <f t="shared" ca="1" si="20"/>
        <v>#DIV/0!</v>
      </c>
      <c r="AJ38" s="4" t="e">
        <f t="shared" ca="1" si="21"/>
        <v>#DIV/0!</v>
      </c>
      <c r="AK38" s="4" t="e">
        <f t="shared" ca="1" si="22"/>
        <v>#DIV/0!</v>
      </c>
      <c r="AM38" s="557">
        <f t="shared" ca="1" si="12"/>
        <v>45920</v>
      </c>
      <c r="AN38" s="558">
        <v>36.935000000000002</v>
      </c>
      <c r="AO38" s="558">
        <v>1410800</v>
      </c>
      <c r="AP38" s="558">
        <v>206.48981000000001</v>
      </c>
      <c r="AQ38" s="558">
        <v>7626.701132350001</v>
      </c>
      <c r="AR38" s="558">
        <v>0.53469999999999995</v>
      </c>
    </row>
    <row r="39" spans="2:44">
      <c r="B39" s="559">
        <f t="shared" ca="1" si="23"/>
        <v>45716</v>
      </c>
      <c r="C39" s="555">
        <f ca="1">(IFERROR(IFERROR(VALUE(_xll.BDH(C$4,"CURRENT_EV_TO_T12M_EBITDA",$B39,$B39)),VALUE(_xll.BDH(C$4,"CURRENT_EV_TO_T12M_EBITDA",$B39+1,$B39+1))),C40))</f>
        <v>0</v>
      </c>
      <c r="D39" s="555">
        <f ca="1">(IFERROR(IFERROR(VALUE(_xll.BDH(D$4,"CURRENT_EV_TO_T12M_EBITDA",$B39,$B39)),VALUE(_xll.BDH(D$4,"CURRENT_EV_TO_T12M_EBITDA",$B39+1,$B39+1))),D40))</f>
        <v>0</v>
      </c>
      <c r="E39" s="555">
        <f ca="1">(IFERROR(IFERROR(VALUE(_xll.BDH(E$4,"CURRENT_EV_TO_T12M_EBITDA",$B39,$B39)),VALUE(_xll.BDH(E$4,"CURRENT_EV_TO_T12M_EBITDA",$B39+1,$B39+1))),E40))</f>
        <v>0</v>
      </c>
      <c r="F39" s="555">
        <f ca="1">(IFERROR(IFERROR(VALUE(_xll.BDH(F$4,"CURRENT_EV_TO_T12M_EBITDA",$B39,$B39)),VALUE(_xll.BDH(F$4,"CURRENT_EV_TO_T12M_EBITDA",$B39+1,$B39+1))),F40))</f>
        <v>0</v>
      </c>
      <c r="G39" s="555">
        <f ca="1">(IFERROR(IFERROR(VALUE(_xll.BDH(G$4,"CURRENT_EV_TO_T12M_EBITDA",$B39,$B39)),VALUE(_xll.BDH(G$4,"CURRENT_EV_TO_T12M_EBITDA",$B39+1,$B39+1))),G40))</f>
        <v>0</v>
      </c>
      <c r="H39" s="555">
        <f ca="1">(IFERROR(IFERROR(VALUE(_xll.BDH(H$4,"CURRENT_EV_TO_T12M_EBITDA",$B39,$B39)),VALUE(_xll.BDH(H$4,"CURRENT_EV_TO_T12M_EBITDA",$B39+1,$B39+1))),H40))</f>
        <v>0</v>
      </c>
      <c r="I39" s="559">
        <f t="shared" ca="1" si="14"/>
        <v>45716</v>
      </c>
      <c r="J39" s="555">
        <f ca="1">(IFERROR(IFERROR(VALUE(_xll.BDH(J$4,"PE_RATIO",$B39,$B39)),VALUE(_xll.BDH(J$4,"PE_RATIO",$B39+1,$B39+1))),J40))</f>
        <v>0</v>
      </c>
      <c r="K39" s="555">
        <f ca="1">(IFERROR(IFERROR(VALUE(_xll.BDH(K$4,"PE_RATIO",$B39,$B39)),VALUE(_xll.BDH(K$4,"PE_RATIO",$B39+1,$B39+1))),K40))</f>
        <v>0</v>
      </c>
      <c r="L39" s="555">
        <f ca="1">(IFERROR(IFERROR(VALUE(_xll.BDH(L$4,"PE_RATIO",$B39,$B39)),VALUE(_xll.BDH(L$4,"PE_RATIO",$B39+1,$B39+1))),L40))</f>
        <v>0</v>
      </c>
      <c r="M39" s="555">
        <f ca="1">(IFERROR(IFERROR(VALUE(_xll.BDH(M$4,"PE_RATIO",$B39,$B39)),VALUE(_xll.BDH(M$4,"PE_RATIO",$B39+1,$B39+1))),M40))</f>
        <v>0</v>
      </c>
      <c r="N39" s="555">
        <f ca="1">(IFERROR(IFERROR(VALUE(_xll.BDH(N$4,"PE_RATIO",$B39,$B39)),VALUE(_xll.BDH(N$4,"PE_RATIO",$B39+1,$B39+1))),N40))</f>
        <v>0</v>
      </c>
      <c r="O39" s="555">
        <f ca="1">(IFERROR(IFERROR(VALUE(_xll.BDH(O$4,"PE_RATIO",$B39,$B39)),VALUE(_xll.BDH(O$4,"PE_RATIO",$B39+1,$B39+1))),O40))</f>
        <v>0</v>
      </c>
      <c r="P39" s="555"/>
      <c r="Q39" s="559">
        <f t="shared" ca="1" si="15"/>
        <v>45716</v>
      </c>
      <c r="R39" s="4">
        <v>30.3</v>
      </c>
      <c r="S39" s="4">
        <v>119298.67</v>
      </c>
      <c r="T39" s="4">
        <v>0</v>
      </c>
      <c r="U39" s="4">
        <v>0.31398963730569951</v>
      </c>
      <c r="V39" s="4">
        <v>1.1007813974174254</v>
      </c>
      <c r="W39" s="4" t="e">
        <v>#DIV/0!</v>
      </c>
      <c r="Y39" s="555">
        <f t="shared" si="16"/>
        <v>30.3</v>
      </c>
      <c r="Z39" s="4">
        <f ca="1">IFERROR(VALUE(_xll.BDH(Z$4,"PX_LAST",$Q39,$Q39)),Z40)</f>
        <v>0</v>
      </c>
      <c r="AA39" s="4">
        <f ca="1">IFERROR(VALUE(_xll.BDH(AA$4,"PX_LAST",$Q39,$Q39)),AA40)</f>
        <v>0</v>
      </c>
      <c r="AB39" s="4">
        <f ca="1">IFERROR(VALUE(_xll.BDH(AB$4,"PX_LAST",$Q39,$Q39)),AB40)</f>
        <v>0</v>
      </c>
      <c r="AC39" s="4">
        <f ca="1">IFERROR(VALUE(_xll.BDH(AC$4,"PX_LAST",$Q39,$Q39)),AC40)</f>
        <v>0</v>
      </c>
      <c r="AD39" s="4">
        <f ca="1">IFERROR(VALUE(_xll.BDH(AD$4,"PX_LAST",$Q39,$Q39)),AD40)</f>
        <v>0</v>
      </c>
      <c r="AF39" s="4">
        <f t="shared" si="17"/>
        <v>0.31398963730569951</v>
      </c>
      <c r="AG39" s="4" t="e">
        <f t="shared" ca="1" si="18"/>
        <v>#DIV/0!</v>
      </c>
      <c r="AH39" s="4" t="e">
        <f t="shared" ca="1" si="19"/>
        <v>#DIV/0!</v>
      </c>
      <c r="AI39" s="4" t="e">
        <f t="shared" ca="1" si="20"/>
        <v>#DIV/0!</v>
      </c>
      <c r="AJ39" s="4" t="e">
        <f t="shared" ca="1" si="21"/>
        <v>#DIV/0!</v>
      </c>
      <c r="AK39" s="4" t="e">
        <f t="shared" ca="1" si="22"/>
        <v>#DIV/0!</v>
      </c>
      <c r="AM39" s="557">
        <f t="shared" ca="1" si="12"/>
        <v>45919</v>
      </c>
      <c r="AN39" s="558">
        <v>35.604999999999997</v>
      </c>
      <c r="AO39" s="558">
        <v>1137500</v>
      </c>
      <c r="AP39" s="558">
        <v>206.48981000000001</v>
      </c>
      <c r="AQ39" s="558">
        <v>7352.0696850499999</v>
      </c>
      <c r="AR39" s="558">
        <v>0.5141</v>
      </c>
    </row>
    <row r="40" spans="2:44">
      <c r="B40" s="559">
        <f t="shared" ca="1" si="23"/>
        <v>45709</v>
      </c>
      <c r="C40" s="555">
        <f ca="1">(IFERROR(IFERROR(VALUE(_xll.BDH(C$4,"CURRENT_EV_TO_T12M_EBITDA",$B40,$B40)),VALUE(_xll.BDH(C$4,"CURRENT_EV_TO_T12M_EBITDA",$B40+1,$B40+1))),C41))</f>
        <v>0</v>
      </c>
      <c r="D40" s="555">
        <f ca="1">(IFERROR(IFERROR(VALUE(_xll.BDH(D$4,"CURRENT_EV_TO_T12M_EBITDA",$B40,$B40)),VALUE(_xll.BDH(D$4,"CURRENT_EV_TO_T12M_EBITDA",$B40+1,$B40+1))),D41))</f>
        <v>0</v>
      </c>
      <c r="E40" s="555">
        <f ca="1">(IFERROR(IFERROR(VALUE(_xll.BDH(E$4,"CURRENT_EV_TO_T12M_EBITDA",$B40,$B40)),VALUE(_xll.BDH(E$4,"CURRENT_EV_TO_T12M_EBITDA",$B40+1,$B40+1))),E41))</f>
        <v>0</v>
      </c>
      <c r="F40" s="555">
        <f ca="1">(IFERROR(IFERROR(VALUE(_xll.BDH(F$4,"CURRENT_EV_TO_T12M_EBITDA",$B40,$B40)),VALUE(_xll.BDH(F$4,"CURRENT_EV_TO_T12M_EBITDA",$B40+1,$B40+1))),F41))</f>
        <v>0</v>
      </c>
      <c r="G40" s="555">
        <f ca="1">(IFERROR(IFERROR(VALUE(_xll.BDH(G$4,"CURRENT_EV_TO_T12M_EBITDA",$B40,$B40)),VALUE(_xll.BDH(G$4,"CURRENT_EV_TO_T12M_EBITDA",$B40+1,$B40+1))),G41))</f>
        <v>0</v>
      </c>
      <c r="H40" s="555">
        <f ca="1">(IFERROR(IFERROR(VALUE(_xll.BDH(H$4,"CURRENT_EV_TO_T12M_EBITDA",$B40,$B40)),VALUE(_xll.BDH(H$4,"CURRENT_EV_TO_T12M_EBITDA",$B40+1,$B40+1))),H41))</f>
        <v>0</v>
      </c>
      <c r="I40" s="559">
        <f t="shared" ca="1" si="14"/>
        <v>45709</v>
      </c>
      <c r="J40" s="555">
        <f ca="1">(IFERROR(IFERROR(VALUE(_xll.BDH(J$4,"PE_RATIO",$B40,$B40)),VALUE(_xll.BDH(J$4,"PE_RATIO",$B40+1,$B40+1))),J41))</f>
        <v>0</v>
      </c>
      <c r="K40" s="555">
        <f ca="1">(IFERROR(IFERROR(VALUE(_xll.BDH(K$4,"PE_RATIO",$B40,$B40)),VALUE(_xll.BDH(K$4,"PE_RATIO",$B40+1,$B40+1))),K41))</f>
        <v>0</v>
      </c>
      <c r="L40" s="555">
        <f ca="1">(IFERROR(IFERROR(VALUE(_xll.BDH(L$4,"PE_RATIO",$B40,$B40)),VALUE(_xll.BDH(L$4,"PE_RATIO",$B40+1,$B40+1))),L41))</f>
        <v>0</v>
      </c>
      <c r="M40" s="555">
        <f ca="1">(IFERROR(IFERROR(VALUE(_xll.BDH(M$4,"PE_RATIO",$B40,$B40)),VALUE(_xll.BDH(M$4,"PE_RATIO",$B40+1,$B40+1))),M41))</f>
        <v>0</v>
      </c>
      <c r="N40" s="555">
        <f ca="1">(IFERROR(IFERROR(VALUE(_xll.BDH(N$4,"PE_RATIO",$B40,$B40)),VALUE(_xll.BDH(N$4,"PE_RATIO",$B40+1,$B40+1))),N41))</f>
        <v>0</v>
      </c>
      <c r="O40" s="555">
        <f ca="1">(IFERROR(IFERROR(VALUE(_xll.BDH(O$4,"PE_RATIO",$B40,$B40)),VALUE(_xll.BDH(O$4,"PE_RATIO",$B40+1,$B40+1))),O41))</f>
        <v>0</v>
      </c>
      <c r="P40" s="555"/>
      <c r="Q40" s="559">
        <f t="shared" ca="1" si="15"/>
        <v>45709</v>
      </c>
      <c r="R40" s="4">
        <v>31.32</v>
      </c>
      <c r="S40" s="4">
        <v>121162.66</v>
      </c>
      <c r="T40" s="4">
        <v>0</v>
      </c>
      <c r="U40" s="4">
        <v>0.32455958549222796</v>
      </c>
      <c r="V40" s="4">
        <v>1.1179806295377175</v>
      </c>
      <c r="W40" s="4" t="e">
        <v>#DIV/0!</v>
      </c>
      <c r="Y40" s="555">
        <f t="shared" si="16"/>
        <v>31.32</v>
      </c>
      <c r="Z40" s="4">
        <f ca="1">IFERROR(VALUE(_xll.BDH(Z$4,"PX_LAST",$Q40,$Q40)),Z41)</f>
        <v>0</v>
      </c>
      <c r="AA40" s="4">
        <f ca="1">IFERROR(VALUE(_xll.BDH(AA$4,"PX_LAST",$Q40,$Q40)),AA41)</f>
        <v>0</v>
      </c>
      <c r="AB40" s="4">
        <f ca="1">IFERROR(VALUE(_xll.BDH(AB$4,"PX_LAST",$Q40,$Q40)),AB41)</f>
        <v>0</v>
      </c>
      <c r="AC40" s="4">
        <f ca="1">IFERROR(VALUE(_xll.BDH(AC$4,"PX_LAST",$Q40,$Q40)),AC41)</f>
        <v>0</v>
      </c>
      <c r="AD40" s="4">
        <f ca="1">IFERROR(VALUE(_xll.BDH(AD$4,"PX_LAST",$Q40,$Q40)),AD41)</f>
        <v>0</v>
      </c>
      <c r="AF40" s="4">
        <f t="shared" si="17"/>
        <v>0.32455958549222796</v>
      </c>
      <c r="AG40" s="4" t="e">
        <f t="shared" ca="1" si="18"/>
        <v>#DIV/0!</v>
      </c>
      <c r="AH40" s="4" t="e">
        <f t="shared" ca="1" si="19"/>
        <v>#DIV/0!</v>
      </c>
      <c r="AI40" s="4" t="e">
        <f t="shared" ca="1" si="20"/>
        <v>#DIV/0!</v>
      </c>
      <c r="AJ40" s="4" t="e">
        <f t="shared" ca="1" si="21"/>
        <v>#DIV/0!</v>
      </c>
      <c r="AK40" s="4" t="e">
        <f t="shared" ca="1" si="22"/>
        <v>#DIV/0!</v>
      </c>
      <c r="AM40" s="557">
        <f t="shared" ca="1" si="12"/>
        <v>45918</v>
      </c>
      <c r="AN40" s="558">
        <v>35.229999999999997</v>
      </c>
      <c r="AO40" s="558">
        <v>1235200</v>
      </c>
      <c r="AP40" s="558">
        <v>206.48981000000001</v>
      </c>
      <c r="AQ40" s="558">
        <v>7274.6360062999993</v>
      </c>
      <c r="AR40" s="558">
        <v>0.50900000000000001</v>
      </c>
    </row>
    <row r="41" spans="2:44">
      <c r="B41" s="559">
        <f t="shared" ca="1" si="23"/>
        <v>45702</v>
      </c>
      <c r="C41" s="555">
        <f ca="1">(IFERROR(IFERROR(VALUE(_xll.BDH(C$4,"CURRENT_EV_TO_T12M_EBITDA",$B41,$B41)),VALUE(_xll.BDH(C$4,"CURRENT_EV_TO_T12M_EBITDA",$B41+1,$B41+1))),C42))</f>
        <v>0</v>
      </c>
      <c r="D41" s="555">
        <f ca="1">(IFERROR(IFERROR(VALUE(_xll.BDH(D$4,"CURRENT_EV_TO_T12M_EBITDA",$B41,$B41)),VALUE(_xll.BDH(D$4,"CURRENT_EV_TO_T12M_EBITDA",$B41+1,$B41+1))),D42))</f>
        <v>0</v>
      </c>
      <c r="E41" s="555">
        <f ca="1">(IFERROR(IFERROR(VALUE(_xll.BDH(E$4,"CURRENT_EV_TO_T12M_EBITDA",$B41,$B41)),VALUE(_xll.BDH(E$4,"CURRENT_EV_TO_T12M_EBITDA",$B41+1,$B41+1))),E42))</f>
        <v>0</v>
      </c>
      <c r="F41" s="555">
        <f ca="1">(IFERROR(IFERROR(VALUE(_xll.BDH(F$4,"CURRENT_EV_TO_T12M_EBITDA",$B41,$B41)),VALUE(_xll.BDH(F$4,"CURRENT_EV_TO_T12M_EBITDA",$B41+1,$B41+1))),F42))</f>
        <v>0</v>
      </c>
      <c r="G41" s="555">
        <f ca="1">(IFERROR(IFERROR(VALUE(_xll.BDH(G$4,"CURRENT_EV_TO_T12M_EBITDA",$B41,$B41)),VALUE(_xll.BDH(G$4,"CURRENT_EV_TO_T12M_EBITDA",$B41+1,$B41+1))),G42))</f>
        <v>0</v>
      </c>
      <c r="H41" s="555">
        <f ca="1">(IFERROR(IFERROR(VALUE(_xll.BDH(H$4,"CURRENT_EV_TO_T12M_EBITDA",$B41,$B41)),VALUE(_xll.BDH(H$4,"CURRENT_EV_TO_T12M_EBITDA",$B41+1,$B41+1))),H42))</f>
        <v>0</v>
      </c>
      <c r="I41" s="559">
        <f t="shared" ca="1" si="14"/>
        <v>45702</v>
      </c>
      <c r="J41" s="555">
        <f ca="1">(IFERROR(IFERROR(VALUE(_xll.BDH(J$4,"PE_RATIO",$B41,$B41)),VALUE(_xll.BDH(J$4,"PE_RATIO",$B41+1,$B41+1))),J42))</f>
        <v>0</v>
      </c>
      <c r="K41" s="555">
        <f ca="1">(IFERROR(IFERROR(VALUE(_xll.BDH(K$4,"PE_RATIO",$B41,$B41)),VALUE(_xll.BDH(K$4,"PE_RATIO",$B41+1,$B41+1))),K42))</f>
        <v>0</v>
      </c>
      <c r="L41" s="555">
        <f ca="1">(IFERROR(IFERROR(VALUE(_xll.BDH(L$4,"PE_RATIO",$B41,$B41)),VALUE(_xll.BDH(L$4,"PE_RATIO",$B41+1,$B41+1))),L42))</f>
        <v>0</v>
      </c>
      <c r="M41" s="555">
        <f ca="1">(IFERROR(IFERROR(VALUE(_xll.BDH(M$4,"PE_RATIO",$B41,$B41)),VALUE(_xll.BDH(M$4,"PE_RATIO",$B41+1,$B41+1))),M42))</f>
        <v>0</v>
      </c>
      <c r="N41" s="555">
        <f ca="1">(IFERROR(IFERROR(VALUE(_xll.BDH(N$4,"PE_RATIO",$B41,$B41)),VALUE(_xll.BDH(N$4,"PE_RATIO",$B41+1,$B41+1))),N42))</f>
        <v>0</v>
      </c>
      <c r="O41" s="555">
        <f ca="1">(IFERROR(IFERROR(VALUE(_xll.BDH(O$4,"PE_RATIO",$B41,$B41)),VALUE(_xll.BDH(O$4,"PE_RATIO",$B41+1,$B41+1))),O42))</f>
        <v>0</v>
      </c>
      <c r="P41" s="555"/>
      <c r="Q41" s="559">
        <f t="shared" ca="1" si="15"/>
        <v>45702</v>
      </c>
      <c r="R41" s="4">
        <v>30.91</v>
      </c>
      <c r="S41" s="4">
        <v>124698.04</v>
      </c>
      <c r="T41" s="4">
        <v>0</v>
      </c>
      <c r="U41" s="4">
        <v>0.32031088082901554</v>
      </c>
      <c r="V41" s="4">
        <v>1.1506019532859335</v>
      </c>
      <c r="W41" s="4" t="e">
        <v>#DIV/0!</v>
      </c>
      <c r="Y41" s="555">
        <f t="shared" si="16"/>
        <v>30.91</v>
      </c>
      <c r="Z41" s="4">
        <f ca="1">IFERROR(VALUE(_xll.BDH(Z$4,"PX_LAST",$Q41,$Q41)),Z42)</f>
        <v>0</v>
      </c>
      <c r="AA41" s="4">
        <f ca="1">IFERROR(VALUE(_xll.BDH(AA$4,"PX_LAST",$Q41,$Q41)),AA42)</f>
        <v>0</v>
      </c>
      <c r="AB41" s="4">
        <f ca="1">IFERROR(VALUE(_xll.BDH(AB$4,"PX_LAST",$Q41,$Q41)),AB42)</f>
        <v>0</v>
      </c>
      <c r="AC41" s="4">
        <f ca="1">IFERROR(VALUE(_xll.BDH(AC$4,"PX_LAST",$Q41,$Q41)),AC42)</f>
        <v>0</v>
      </c>
      <c r="AD41" s="4">
        <f ca="1">IFERROR(VALUE(_xll.BDH(AD$4,"PX_LAST",$Q41,$Q41)),AD42)</f>
        <v>0</v>
      </c>
      <c r="AF41" s="4">
        <f t="shared" si="17"/>
        <v>0.32031088082901554</v>
      </c>
      <c r="AG41" s="4" t="e">
        <f t="shared" ca="1" si="18"/>
        <v>#DIV/0!</v>
      </c>
      <c r="AH41" s="4" t="e">
        <f t="shared" ca="1" si="19"/>
        <v>#DIV/0!</v>
      </c>
      <c r="AI41" s="4" t="e">
        <f t="shared" ca="1" si="20"/>
        <v>#DIV/0!</v>
      </c>
      <c r="AJ41" s="4" t="e">
        <f t="shared" ca="1" si="21"/>
        <v>#DIV/0!</v>
      </c>
      <c r="AK41" s="4" t="e">
        <f t="shared" ca="1" si="22"/>
        <v>#DIV/0!</v>
      </c>
      <c r="AM41" s="557">
        <f t="shared" ca="1" si="12"/>
        <v>45917</v>
      </c>
      <c r="AN41" s="558">
        <v>35.270000000000003</v>
      </c>
      <c r="AO41" s="558">
        <v>1877000</v>
      </c>
      <c r="AP41" s="558">
        <v>206.48981000000001</v>
      </c>
      <c r="AQ41" s="558">
        <v>7282.8955987000008</v>
      </c>
      <c r="AR41" s="558">
        <v>0.5091</v>
      </c>
    </row>
    <row r="42" spans="2:44">
      <c r="B42" s="559">
        <f t="shared" ca="1" si="23"/>
        <v>45695</v>
      </c>
      <c r="C42" s="555">
        <f ca="1">(IFERROR(IFERROR(VALUE(_xll.BDH(C$4,"CURRENT_EV_TO_T12M_EBITDA",$B42,$B42)),VALUE(_xll.BDH(C$4,"CURRENT_EV_TO_T12M_EBITDA",$B42+1,$B42+1))),C43))</f>
        <v>0</v>
      </c>
      <c r="D42" s="555">
        <f ca="1">(IFERROR(IFERROR(VALUE(_xll.BDH(D$4,"CURRENT_EV_TO_T12M_EBITDA",$B42,$B42)),VALUE(_xll.BDH(D$4,"CURRENT_EV_TO_T12M_EBITDA",$B42+1,$B42+1))),D43))</f>
        <v>0</v>
      </c>
      <c r="E42" s="555">
        <f ca="1">(IFERROR(IFERROR(VALUE(_xll.BDH(E$4,"CURRENT_EV_TO_T12M_EBITDA",$B42,$B42)),VALUE(_xll.BDH(E$4,"CURRENT_EV_TO_T12M_EBITDA",$B42+1,$B42+1))),E43))</f>
        <v>0</v>
      </c>
      <c r="F42" s="555">
        <f ca="1">(IFERROR(IFERROR(VALUE(_xll.BDH(F$4,"CURRENT_EV_TO_T12M_EBITDA",$B42,$B42)),VALUE(_xll.BDH(F$4,"CURRENT_EV_TO_T12M_EBITDA",$B42+1,$B42+1))),F43))</f>
        <v>0</v>
      </c>
      <c r="G42" s="555">
        <f ca="1">(IFERROR(IFERROR(VALUE(_xll.BDH(G$4,"CURRENT_EV_TO_T12M_EBITDA",$B42,$B42)),VALUE(_xll.BDH(G$4,"CURRENT_EV_TO_T12M_EBITDA",$B42+1,$B42+1))),G43))</f>
        <v>0</v>
      </c>
      <c r="H42" s="555">
        <f ca="1">(IFERROR(IFERROR(VALUE(_xll.BDH(H$4,"CURRENT_EV_TO_T12M_EBITDA",$B42,$B42)),VALUE(_xll.BDH(H$4,"CURRENT_EV_TO_T12M_EBITDA",$B42+1,$B42+1))),H43))</f>
        <v>0</v>
      </c>
      <c r="I42" s="559">
        <f t="shared" ca="1" si="14"/>
        <v>45695</v>
      </c>
      <c r="J42" s="555">
        <f ca="1">(IFERROR(IFERROR(VALUE(_xll.BDH(J$4,"PE_RATIO",$B42,$B42)),VALUE(_xll.BDH(J$4,"PE_RATIO",$B42+1,$B42+1))),J43))</f>
        <v>0</v>
      </c>
      <c r="K42" s="555">
        <f ca="1">(IFERROR(IFERROR(VALUE(_xll.BDH(K$4,"PE_RATIO",$B42,$B42)),VALUE(_xll.BDH(K$4,"PE_RATIO",$B42+1,$B42+1))),K43))</f>
        <v>0</v>
      </c>
      <c r="L42" s="555">
        <f ca="1">(IFERROR(IFERROR(VALUE(_xll.BDH(L$4,"PE_RATIO",$B42,$B42)),VALUE(_xll.BDH(L$4,"PE_RATIO",$B42+1,$B42+1))),L43))</f>
        <v>0</v>
      </c>
      <c r="M42" s="555">
        <f ca="1">(IFERROR(IFERROR(VALUE(_xll.BDH(M$4,"PE_RATIO",$B42,$B42)),VALUE(_xll.BDH(M$4,"PE_RATIO",$B42+1,$B42+1))),M43))</f>
        <v>0</v>
      </c>
      <c r="N42" s="555">
        <f ca="1">(IFERROR(IFERROR(VALUE(_xll.BDH(N$4,"PE_RATIO",$B42,$B42)),VALUE(_xll.BDH(N$4,"PE_RATIO",$B42+1,$B42+1))),N43))</f>
        <v>0</v>
      </c>
      <c r="O42" s="555">
        <f ca="1">(IFERROR(IFERROR(VALUE(_xll.BDH(O$4,"PE_RATIO",$B42,$B42)),VALUE(_xll.BDH(O$4,"PE_RATIO",$B42+1,$B42+1))),O43))</f>
        <v>0</v>
      </c>
      <c r="P42" s="555"/>
      <c r="Q42" s="559">
        <f t="shared" ca="1" si="15"/>
        <v>45695</v>
      </c>
      <c r="R42" s="4">
        <v>30.91</v>
      </c>
      <c r="S42" s="4">
        <v>124698.04</v>
      </c>
      <c r="T42" s="4">
        <v>0</v>
      </c>
      <c r="U42" s="4">
        <v>0.32031088082901554</v>
      </c>
      <c r="V42" s="4">
        <v>1.1506019532859335</v>
      </c>
      <c r="W42" s="4" t="e">
        <v>#DIV/0!</v>
      </c>
      <c r="Y42" s="555">
        <f t="shared" si="16"/>
        <v>30.91</v>
      </c>
      <c r="Z42" s="4">
        <f ca="1">IFERROR(VALUE(_xll.BDH(Z$4,"PX_LAST",$Q42,$Q42)),Z43)</f>
        <v>0</v>
      </c>
      <c r="AA42" s="4">
        <f ca="1">IFERROR(VALUE(_xll.BDH(AA$4,"PX_LAST",$Q42,$Q42)),AA43)</f>
        <v>0</v>
      </c>
      <c r="AB42" s="4">
        <f ca="1">IFERROR(VALUE(_xll.BDH(AB$4,"PX_LAST",$Q42,$Q42)),AB43)</f>
        <v>0</v>
      </c>
      <c r="AC42" s="4">
        <f ca="1">IFERROR(VALUE(_xll.BDH(AC$4,"PX_LAST",$Q42,$Q42)),AC43)</f>
        <v>0</v>
      </c>
      <c r="AD42" s="4">
        <f ca="1">IFERROR(VALUE(_xll.BDH(AD$4,"PX_LAST",$Q42,$Q42)),AD43)</f>
        <v>0</v>
      </c>
      <c r="AF42" s="4">
        <f t="shared" si="17"/>
        <v>0.32031088082901554</v>
      </c>
      <c r="AG42" s="4" t="e">
        <f t="shared" ca="1" si="18"/>
        <v>#DIV/0!</v>
      </c>
      <c r="AH42" s="4" t="e">
        <f t="shared" ca="1" si="19"/>
        <v>#DIV/0!</v>
      </c>
      <c r="AI42" s="4" t="e">
        <f t="shared" ca="1" si="20"/>
        <v>#DIV/0!</v>
      </c>
      <c r="AJ42" s="4" t="e">
        <f t="shared" ca="1" si="21"/>
        <v>#DIV/0!</v>
      </c>
      <c r="AK42" s="4" t="e">
        <f t="shared" ca="1" si="22"/>
        <v>#DIV/0!</v>
      </c>
      <c r="AM42" s="557">
        <f t="shared" ca="1" si="12"/>
        <v>45916</v>
      </c>
      <c r="AN42" s="558">
        <v>35.270000000000003</v>
      </c>
      <c r="AO42" s="558">
        <v>1877000</v>
      </c>
      <c r="AP42" s="558">
        <v>206.48981000000001</v>
      </c>
      <c r="AQ42" s="558">
        <v>7282.8955987000008</v>
      </c>
      <c r="AR42" s="558">
        <v>0.5091</v>
      </c>
    </row>
    <row r="43" spans="2:44">
      <c r="B43" s="559">
        <f t="shared" ca="1" si="23"/>
        <v>45688</v>
      </c>
      <c r="C43" s="555">
        <f ca="1">(IFERROR(IFERROR(VALUE(_xll.BDH(C$4,"CURRENT_EV_TO_T12M_EBITDA",$B43,$B43)),VALUE(_xll.BDH(C$4,"CURRENT_EV_TO_T12M_EBITDA",$B43+1,$B43+1))),C44))</f>
        <v>0</v>
      </c>
      <c r="D43" s="555">
        <f ca="1">(IFERROR(IFERROR(VALUE(_xll.BDH(D$4,"CURRENT_EV_TO_T12M_EBITDA",$B43,$B43)),VALUE(_xll.BDH(D$4,"CURRENT_EV_TO_T12M_EBITDA",$B43+1,$B43+1))),D44))</f>
        <v>0</v>
      </c>
      <c r="E43" s="555">
        <f ca="1">(IFERROR(IFERROR(VALUE(_xll.BDH(E$4,"CURRENT_EV_TO_T12M_EBITDA",$B43,$B43)),VALUE(_xll.BDH(E$4,"CURRENT_EV_TO_T12M_EBITDA",$B43+1,$B43+1))),E44))</f>
        <v>0</v>
      </c>
      <c r="F43" s="555">
        <f ca="1">(IFERROR(IFERROR(VALUE(_xll.BDH(F$4,"CURRENT_EV_TO_T12M_EBITDA",$B43,$B43)),VALUE(_xll.BDH(F$4,"CURRENT_EV_TO_T12M_EBITDA",$B43+1,$B43+1))),F44))</f>
        <v>0</v>
      </c>
      <c r="G43" s="555">
        <f ca="1">(IFERROR(IFERROR(VALUE(_xll.BDH(G$4,"CURRENT_EV_TO_T12M_EBITDA",$B43,$B43)),VALUE(_xll.BDH(G$4,"CURRENT_EV_TO_T12M_EBITDA",$B43+1,$B43+1))),G44))</f>
        <v>0</v>
      </c>
      <c r="H43" s="555">
        <f ca="1">(IFERROR(IFERROR(VALUE(_xll.BDH(H$4,"CURRENT_EV_TO_T12M_EBITDA",$B43,$B43)),VALUE(_xll.BDH(H$4,"CURRENT_EV_TO_T12M_EBITDA",$B43+1,$B43+1))),H44))</f>
        <v>0</v>
      </c>
      <c r="I43" s="559">
        <f t="shared" ca="1" si="14"/>
        <v>45688</v>
      </c>
      <c r="J43" s="555">
        <f ca="1">(IFERROR(IFERROR(VALUE(_xll.BDH(J$4,"PE_RATIO",$B43,$B43)),VALUE(_xll.BDH(J$4,"PE_RATIO",$B43+1,$B43+1))),J44))</f>
        <v>0</v>
      </c>
      <c r="K43" s="555">
        <f ca="1">(IFERROR(IFERROR(VALUE(_xll.BDH(K$4,"PE_RATIO",$B43,$B43)),VALUE(_xll.BDH(K$4,"PE_RATIO",$B43+1,$B43+1))),K44))</f>
        <v>0</v>
      </c>
      <c r="L43" s="555">
        <f ca="1">(IFERROR(IFERROR(VALUE(_xll.BDH(L$4,"PE_RATIO",$B43,$B43)),VALUE(_xll.BDH(L$4,"PE_RATIO",$B43+1,$B43+1))),L44))</f>
        <v>0</v>
      </c>
      <c r="M43" s="555">
        <f ca="1">(IFERROR(IFERROR(VALUE(_xll.BDH(M$4,"PE_RATIO",$B43,$B43)),VALUE(_xll.BDH(M$4,"PE_RATIO",$B43+1,$B43+1))),M44))</f>
        <v>0</v>
      </c>
      <c r="N43" s="555">
        <f ca="1">(IFERROR(IFERROR(VALUE(_xll.BDH(N$4,"PE_RATIO",$B43,$B43)),VALUE(_xll.BDH(N$4,"PE_RATIO",$B43+1,$B43+1))),N44))</f>
        <v>0</v>
      </c>
      <c r="O43" s="555">
        <f ca="1">(IFERROR(IFERROR(VALUE(_xll.BDH(O$4,"PE_RATIO",$B43,$B43)),VALUE(_xll.BDH(O$4,"PE_RATIO",$B43+1,$B43+1))),O44))</f>
        <v>0</v>
      </c>
      <c r="P43" s="555"/>
      <c r="Q43" s="559">
        <f t="shared" ca="1" si="15"/>
        <v>45688</v>
      </c>
      <c r="R43" s="4">
        <v>30.91</v>
      </c>
      <c r="S43" s="4">
        <v>124698.04</v>
      </c>
      <c r="T43" s="4">
        <v>0</v>
      </c>
      <c r="U43" s="4">
        <v>0.32031088082901554</v>
      </c>
      <c r="V43" s="4">
        <v>1.1506019532859335</v>
      </c>
      <c r="W43" s="4" t="e">
        <v>#DIV/0!</v>
      </c>
      <c r="Y43" s="555">
        <f t="shared" si="16"/>
        <v>30.91</v>
      </c>
      <c r="Z43" s="4">
        <f ca="1">IFERROR(VALUE(_xll.BDH(Z$4,"PX_LAST",$Q43,$Q43)),Z44)</f>
        <v>0</v>
      </c>
      <c r="AA43" s="4">
        <f ca="1">IFERROR(VALUE(_xll.BDH(AA$4,"PX_LAST",$Q43,$Q43)),AA44)</f>
        <v>0</v>
      </c>
      <c r="AB43" s="4">
        <f ca="1">IFERROR(VALUE(_xll.BDH(AB$4,"PX_LAST",$Q43,$Q43)),AB44)</f>
        <v>0</v>
      </c>
      <c r="AC43" s="4">
        <f ca="1">IFERROR(VALUE(_xll.BDH(AC$4,"PX_LAST",$Q43,$Q43)),AC44)</f>
        <v>0</v>
      </c>
      <c r="AD43" s="4">
        <f ca="1">IFERROR(VALUE(_xll.BDH(AD$4,"PX_LAST",$Q43,$Q43)),AD44)</f>
        <v>0</v>
      </c>
      <c r="AF43" s="4">
        <f t="shared" si="17"/>
        <v>0.32031088082901554</v>
      </c>
      <c r="AG43" s="4" t="e">
        <f t="shared" ca="1" si="18"/>
        <v>#DIV/0!</v>
      </c>
      <c r="AH43" s="4" t="e">
        <f t="shared" ca="1" si="19"/>
        <v>#DIV/0!</v>
      </c>
      <c r="AI43" s="4" t="e">
        <f t="shared" ca="1" si="20"/>
        <v>#DIV/0!</v>
      </c>
      <c r="AJ43" s="4" t="e">
        <f t="shared" ca="1" si="21"/>
        <v>#DIV/0!</v>
      </c>
      <c r="AK43" s="4" t="e">
        <f t="shared" ca="1" si="22"/>
        <v>#DIV/0!</v>
      </c>
      <c r="AM43" s="557">
        <f t="shared" ca="1" si="12"/>
        <v>45915</v>
      </c>
      <c r="AN43" s="558">
        <v>35.270000000000003</v>
      </c>
      <c r="AO43" s="558">
        <v>1877000</v>
      </c>
      <c r="AP43" s="558">
        <v>206.48981000000001</v>
      </c>
      <c r="AQ43" s="558">
        <v>7282.8955987000008</v>
      </c>
      <c r="AR43" s="558">
        <v>0.5091</v>
      </c>
    </row>
    <row r="44" spans="2:44">
      <c r="B44" s="559">
        <f t="shared" ca="1" si="23"/>
        <v>45681</v>
      </c>
      <c r="C44" s="555">
        <f ca="1">(IFERROR(IFERROR(VALUE(_xll.BDH(C$4,"CURRENT_EV_TO_T12M_EBITDA",$B44,$B44)),VALUE(_xll.BDH(C$4,"CURRENT_EV_TO_T12M_EBITDA",$B44+1,$B44+1))),C45))</f>
        <v>0</v>
      </c>
      <c r="D44" s="555">
        <f ca="1">(IFERROR(IFERROR(VALUE(_xll.BDH(D$4,"CURRENT_EV_TO_T12M_EBITDA",$B44,$B44)),VALUE(_xll.BDH(D$4,"CURRENT_EV_TO_T12M_EBITDA",$B44+1,$B44+1))),D45))</f>
        <v>0</v>
      </c>
      <c r="E44" s="555">
        <f ca="1">(IFERROR(IFERROR(VALUE(_xll.BDH(E$4,"CURRENT_EV_TO_T12M_EBITDA",$B44,$B44)),VALUE(_xll.BDH(E$4,"CURRENT_EV_TO_T12M_EBITDA",$B44+1,$B44+1))),E45))</f>
        <v>0</v>
      </c>
      <c r="F44" s="555">
        <f ca="1">(IFERROR(IFERROR(VALUE(_xll.BDH(F$4,"CURRENT_EV_TO_T12M_EBITDA",$B44,$B44)),VALUE(_xll.BDH(F$4,"CURRENT_EV_TO_T12M_EBITDA",$B44+1,$B44+1))),F45))</f>
        <v>0</v>
      </c>
      <c r="G44" s="555">
        <f ca="1">(IFERROR(IFERROR(VALUE(_xll.BDH(G$4,"CURRENT_EV_TO_T12M_EBITDA",$B44,$B44)),VALUE(_xll.BDH(G$4,"CURRENT_EV_TO_T12M_EBITDA",$B44+1,$B44+1))),G45))</f>
        <v>0</v>
      </c>
      <c r="H44" s="555">
        <f ca="1">(IFERROR(IFERROR(VALUE(_xll.BDH(H$4,"CURRENT_EV_TO_T12M_EBITDA",$B44,$B44)),VALUE(_xll.BDH(H$4,"CURRENT_EV_TO_T12M_EBITDA",$B44+1,$B44+1))),H45))</f>
        <v>0</v>
      </c>
      <c r="I44" s="559">
        <f t="shared" ca="1" si="14"/>
        <v>45681</v>
      </c>
      <c r="J44" s="555">
        <f ca="1">(IFERROR(IFERROR(VALUE(_xll.BDH(J$4,"PE_RATIO",$B44,$B44)),VALUE(_xll.BDH(J$4,"PE_RATIO",$B44+1,$B44+1))),J45))</f>
        <v>0</v>
      </c>
      <c r="K44" s="555">
        <f ca="1">(IFERROR(IFERROR(VALUE(_xll.BDH(K$4,"PE_RATIO",$B44,$B44)),VALUE(_xll.BDH(K$4,"PE_RATIO",$B44+1,$B44+1))),K45))</f>
        <v>0</v>
      </c>
      <c r="L44" s="555">
        <f ca="1">(IFERROR(IFERROR(VALUE(_xll.BDH(L$4,"PE_RATIO",$B44,$B44)),VALUE(_xll.BDH(L$4,"PE_RATIO",$B44+1,$B44+1))),L45))</f>
        <v>0</v>
      </c>
      <c r="M44" s="555">
        <f ca="1">(IFERROR(IFERROR(VALUE(_xll.BDH(M$4,"PE_RATIO",$B44,$B44)),VALUE(_xll.BDH(M$4,"PE_RATIO",$B44+1,$B44+1))),M45))</f>
        <v>0</v>
      </c>
      <c r="N44" s="555">
        <f ca="1">(IFERROR(IFERROR(VALUE(_xll.BDH(N$4,"PE_RATIO",$B44,$B44)),VALUE(_xll.BDH(N$4,"PE_RATIO",$B44+1,$B44+1))),N45))</f>
        <v>0</v>
      </c>
      <c r="O44" s="555">
        <f ca="1">(IFERROR(IFERROR(VALUE(_xll.BDH(O$4,"PE_RATIO",$B44,$B44)),VALUE(_xll.BDH(O$4,"PE_RATIO",$B44+1,$B44+1))),O45))</f>
        <v>0</v>
      </c>
      <c r="P44" s="555"/>
      <c r="Q44" s="559">
        <f t="shared" ca="1" si="15"/>
        <v>45681</v>
      </c>
      <c r="R44" s="4">
        <v>33.9</v>
      </c>
      <c r="S44" s="4">
        <v>128228.49</v>
      </c>
      <c r="T44" s="4">
        <v>0</v>
      </c>
      <c r="U44" s="4">
        <v>0.35129533678756475</v>
      </c>
      <c r="V44" s="4">
        <v>1.1831777874047245</v>
      </c>
      <c r="W44" s="4" t="e">
        <v>#DIV/0!</v>
      </c>
      <c r="Y44" s="555">
        <f t="shared" si="16"/>
        <v>33.9</v>
      </c>
      <c r="Z44" s="4">
        <f ca="1">IFERROR(VALUE(_xll.BDH(Z$4,"PX_LAST",$Q44,$Q44)),Z45)</f>
        <v>0</v>
      </c>
      <c r="AA44" s="4">
        <f ca="1">IFERROR(VALUE(_xll.BDH(AA$4,"PX_LAST",$Q44,$Q44)),AA45)</f>
        <v>0</v>
      </c>
      <c r="AB44" s="4">
        <f ca="1">IFERROR(VALUE(_xll.BDH(AB$4,"PX_LAST",$Q44,$Q44)),AB45)</f>
        <v>0</v>
      </c>
      <c r="AC44" s="4">
        <f ca="1">IFERROR(VALUE(_xll.BDH(AC$4,"PX_LAST",$Q44,$Q44)),AC45)</f>
        <v>0</v>
      </c>
      <c r="AD44" s="4">
        <f ca="1">IFERROR(VALUE(_xll.BDH(AD$4,"PX_LAST",$Q44,$Q44)),AD45)</f>
        <v>0</v>
      </c>
      <c r="AF44" s="4">
        <f t="shared" si="17"/>
        <v>0.35129533678756475</v>
      </c>
      <c r="AG44" s="4" t="e">
        <f t="shared" ca="1" si="18"/>
        <v>#DIV/0!</v>
      </c>
      <c r="AH44" s="4" t="e">
        <f t="shared" ca="1" si="19"/>
        <v>#DIV/0!</v>
      </c>
      <c r="AI44" s="4" t="e">
        <f t="shared" ca="1" si="20"/>
        <v>#DIV/0!</v>
      </c>
      <c r="AJ44" s="4" t="e">
        <f t="shared" ca="1" si="21"/>
        <v>#DIV/0!</v>
      </c>
      <c r="AK44" s="4" t="e">
        <f t="shared" ca="1" si="22"/>
        <v>#DIV/0!</v>
      </c>
      <c r="AM44" s="557">
        <f t="shared" ca="1" si="12"/>
        <v>45914</v>
      </c>
      <c r="AN44" s="558">
        <v>35.69</v>
      </c>
      <c r="AO44" s="558">
        <v>1187700</v>
      </c>
      <c r="AP44" s="558">
        <v>206.48981000000001</v>
      </c>
      <c r="AQ44" s="558">
        <v>7369.6213189</v>
      </c>
      <c r="AR44" s="558">
        <v>0.51519999999999999</v>
      </c>
    </row>
    <row r="45" spans="2:44">
      <c r="B45" s="559">
        <f t="shared" ca="1" si="23"/>
        <v>45674</v>
      </c>
      <c r="C45" s="555">
        <f ca="1">(IFERROR(IFERROR(VALUE(_xll.BDH(C$4,"CURRENT_EV_TO_T12M_EBITDA",$B45,$B45)),VALUE(_xll.BDH(C$4,"CURRENT_EV_TO_T12M_EBITDA",$B45+1,$B45+1))),C46))</f>
        <v>0</v>
      </c>
      <c r="D45" s="555">
        <f ca="1">(IFERROR(IFERROR(VALUE(_xll.BDH(D$4,"CURRENT_EV_TO_T12M_EBITDA",$B45,$B45)),VALUE(_xll.BDH(D$4,"CURRENT_EV_TO_T12M_EBITDA",$B45+1,$B45+1))),D46))</f>
        <v>0</v>
      </c>
      <c r="E45" s="555">
        <f ca="1">(IFERROR(IFERROR(VALUE(_xll.BDH(E$4,"CURRENT_EV_TO_T12M_EBITDA",$B45,$B45)),VALUE(_xll.BDH(E$4,"CURRENT_EV_TO_T12M_EBITDA",$B45+1,$B45+1))),E46))</f>
        <v>0</v>
      </c>
      <c r="F45" s="555">
        <f ca="1">(IFERROR(IFERROR(VALUE(_xll.BDH(F$4,"CURRENT_EV_TO_T12M_EBITDA",$B45,$B45)),VALUE(_xll.BDH(F$4,"CURRENT_EV_TO_T12M_EBITDA",$B45+1,$B45+1))),F46))</f>
        <v>0</v>
      </c>
      <c r="G45" s="555">
        <f ca="1">(IFERROR(IFERROR(VALUE(_xll.BDH(G$4,"CURRENT_EV_TO_T12M_EBITDA",$B45,$B45)),VALUE(_xll.BDH(G$4,"CURRENT_EV_TO_T12M_EBITDA",$B45+1,$B45+1))),G46))</f>
        <v>0</v>
      </c>
      <c r="H45" s="555">
        <f ca="1">(IFERROR(IFERROR(VALUE(_xll.BDH(H$4,"CURRENT_EV_TO_T12M_EBITDA",$B45,$B45)),VALUE(_xll.BDH(H$4,"CURRENT_EV_TO_T12M_EBITDA",$B45+1,$B45+1))),H46))</f>
        <v>0</v>
      </c>
      <c r="I45" s="559">
        <f t="shared" ca="1" si="14"/>
        <v>45674</v>
      </c>
      <c r="J45" s="555">
        <f ca="1">(IFERROR(IFERROR(VALUE(_xll.BDH(J$4,"PE_RATIO",$B45,$B45)),VALUE(_xll.BDH(J$4,"PE_RATIO",$B45+1,$B45+1))),J46))</f>
        <v>0</v>
      </c>
      <c r="K45" s="555">
        <f ca="1">(IFERROR(IFERROR(VALUE(_xll.BDH(K$4,"PE_RATIO",$B45,$B45)),VALUE(_xll.BDH(K$4,"PE_RATIO",$B45+1,$B45+1))),K46))</f>
        <v>0</v>
      </c>
      <c r="L45" s="555">
        <f ca="1">(IFERROR(IFERROR(VALUE(_xll.BDH(L$4,"PE_RATIO",$B45,$B45)),VALUE(_xll.BDH(L$4,"PE_RATIO",$B45+1,$B45+1))),L46))</f>
        <v>0</v>
      </c>
      <c r="M45" s="555">
        <f ca="1">(IFERROR(IFERROR(VALUE(_xll.BDH(M$4,"PE_RATIO",$B45,$B45)),VALUE(_xll.BDH(M$4,"PE_RATIO",$B45+1,$B45+1))),M46))</f>
        <v>0</v>
      </c>
      <c r="N45" s="555">
        <f ca="1">(IFERROR(IFERROR(VALUE(_xll.BDH(N$4,"PE_RATIO",$B45,$B45)),VALUE(_xll.BDH(N$4,"PE_RATIO",$B45+1,$B45+1))),N46))</f>
        <v>0</v>
      </c>
      <c r="O45" s="555">
        <f ca="1">(IFERROR(IFERROR(VALUE(_xll.BDH(O$4,"PE_RATIO",$B45,$B45)),VALUE(_xll.BDH(O$4,"PE_RATIO",$B45+1,$B45+1))),O46))</f>
        <v>0</v>
      </c>
      <c r="P45" s="555"/>
      <c r="Q45" s="559">
        <f t="shared" ca="1" si="15"/>
        <v>45674</v>
      </c>
      <c r="R45" s="4">
        <v>36.74</v>
      </c>
      <c r="S45" s="4">
        <v>126139.2</v>
      </c>
      <c r="T45" s="4">
        <v>0</v>
      </c>
      <c r="U45" s="4">
        <v>0.38072538860103627</v>
      </c>
      <c r="V45" s="4">
        <v>1.1638996884467874</v>
      </c>
      <c r="W45" s="4" t="e">
        <v>#DIV/0!</v>
      </c>
      <c r="Y45" s="555">
        <f t="shared" si="16"/>
        <v>36.74</v>
      </c>
      <c r="Z45" s="4">
        <f ca="1">IFERROR(VALUE(_xll.BDH(Z$4,"PX_LAST",$Q45,$Q45)),Z46)</f>
        <v>0</v>
      </c>
      <c r="AA45" s="4">
        <f ca="1">IFERROR(VALUE(_xll.BDH(AA$4,"PX_LAST",$Q45,$Q45)),AA46)</f>
        <v>0</v>
      </c>
      <c r="AB45" s="4">
        <f ca="1">IFERROR(VALUE(_xll.BDH(AB$4,"PX_LAST",$Q45,$Q45)),AB46)</f>
        <v>0</v>
      </c>
      <c r="AC45" s="4">
        <f ca="1">IFERROR(VALUE(_xll.BDH(AC$4,"PX_LAST",$Q45,$Q45)),AC46)</f>
        <v>0</v>
      </c>
      <c r="AD45" s="4">
        <f ca="1">IFERROR(VALUE(_xll.BDH(AD$4,"PX_LAST",$Q45,$Q45)),AD46)</f>
        <v>0</v>
      </c>
      <c r="AF45" s="4">
        <f t="shared" si="17"/>
        <v>0.38072538860103627</v>
      </c>
      <c r="AG45" s="4" t="e">
        <f t="shared" ca="1" si="18"/>
        <v>#DIV/0!</v>
      </c>
      <c r="AH45" s="4" t="e">
        <f t="shared" ca="1" si="19"/>
        <v>#DIV/0!</v>
      </c>
      <c r="AI45" s="4" t="e">
        <f t="shared" ca="1" si="20"/>
        <v>#DIV/0!</v>
      </c>
      <c r="AJ45" s="4" t="e">
        <f t="shared" ca="1" si="21"/>
        <v>#DIV/0!</v>
      </c>
      <c r="AK45" s="4" t="e">
        <f t="shared" ca="1" si="22"/>
        <v>#DIV/0!</v>
      </c>
      <c r="AM45" s="557">
        <f t="shared" ca="1" si="12"/>
        <v>45913</v>
      </c>
      <c r="AN45" s="558">
        <v>36.69</v>
      </c>
      <c r="AO45" s="558">
        <v>786100</v>
      </c>
      <c r="AP45" s="558">
        <v>206.48981000000001</v>
      </c>
      <c r="AQ45" s="558">
        <v>7576.1111289</v>
      </c>
      <c r="AR45" s="558">
        <v>0.5302</v>
      </c>
    </row>
    <row r="46" spans="2:44">
      <c r="B46" s="559">
        <f t="shared" ca="1" si="23"/>
        <v>45667</v>
      </c>
      <c r="C46" s="555">
        <f ca="1">(IFERROR(IFERROR(VALUE(_xll.BDH(C$4,"CURRENT_EV_TO_T12M_EBITDA",$B46,$B46)),VALUE(_xll.BDH(C$4,"CURRENT_EV_TO_T12M_EBITDA",$B46+1,$B46+1))),C47))</f>
        <v>0</v>
      </c>
      <c r="D46" s="555">
        <f ca="1">(IFERROR(IFERROR(VALUE(_xll.BDH(D$4,"CURRENT_EV_TO_T12M_EBITDA",$B46,$B46)),VALUE(_xll.BDH(D$4,"CURRENT_EV_TO_T12M_EBITDA",$B46+1,$B46+1))),D47))</f>
        <v>0</v>
      </c>
      <c r="E46" s="555">
        <f ca="1">(IFERROR(IFERROR(VALUE(_xll.BDH(E$4,"CURRENT_EV_TO_T12M_EBITDA",$B46,$B46)),VALUE(_xll.BDH(E$4,"CURRENT_EV_TO_T12M_EBITDA",$B46+1,$B46+1))),E47))</f>
        <v>0</v>
      </c>
      <c r="F46" s="555">
        <f ca="1">(IFERROR(IFERROR(VALUE(_xll.BDH(F$4,"CURRENT_EV_TO_T12M_EBITDA",$B46,$B46)),VALUE(_xll.BDH(F$4,"CURRENT_EV_TO_T12M_EBITDA",$B46+1,$B46+1))),F47))</f>
        <v>0</v>
      </c>
      <c r="G46" s="555">
        <f ca="1">(IFERROR(IFERROR(VALUE(_xll.BDH(G$4,"CURRENT_EV_TO_T12M_EBITDA",$B46,$B46)),VALUE(_xll.BDH(G$4,"CURRENT_EV_TO_T12M_EBITDA",$B46+1,$B46+1))),G47))</f>
        <v>0</v>
      </c>
      <c r="H46" s="555">
        <f ca="1">(IFERROR(IFERROR(VALUE(_xll.BDH(H$4,"CURRENT_EV_TO_T12M_EBITDA",$B46,$B46)),VALUE(_xll.BDH(H$4,"CURRENT_EV_TO_T12M_EBITDA",$B46+1,$B46+1))),H47))</f>
        <v>0</v>
      </c>
      <c r="I46" s="559">
        <f t="shared" ca="1" si="14"/>
        <v>45667</v>
      </c>
      <c r="J46" s="555">
        <f ca="1">(IFERROR(IFERROR(VALUE(_xll.BDH(J$4,"PE_RATIO",$B46,$B46)),VALUE(_xll.BDH(J$4,"PE_RATIO",$B46+1,$B46+1))),J47))</f>
        <v>0</v>
      </c>
      <c r="K46" s="555">
        <f ca="1">(IFERROR(IFERROR(VALUE(_xll.BDH(K$4,"PE_RATIO",$B46,$B46)),VALUE(_xll.BDH(K$4,"PE_RATIO",$B46+1,$B46+1))),K47))</f>
        <v>0</v>
      </c>
      <c r="L46" s="555">
        <f ca="1">(IFERROR(IFERROR(VALUE(_xll.BDH(L$4,"PE_RATIO",$B46,$B46)),VALUE(_xll.BDH(L$4,"PE_RATIO",$B46+1,$B46+1))),L47))</f>
        <v>0</v>
      </c>
      <c r="M46" s="555">
        <f ca="1">(IFERROR(IFERROR(VALUE(_xll.BDH(M$4,"PE_RATIO",$B46,$B46)),VALUE(_xll.BDH(M$4,"PE_RATIO",$B46+1,$B46+1))),M47))</f>
        <v>0</v>
      </c>
      <c r="N46" s="555">
        <f ca="1">(IFERROR(IFERROR(VALUE(_xll.BDH(N$4,"PE_RATIO",$B46,$B46)),VALUE(_xll.BDH(N$4,"PE_RATIO",$B46+1,$B46+1))),N47))</f>
        <v>0</v>
      </c>
      <c r="O46" s="555">
        <f ca="1">(IFERROR(IFERROR(VALUE(_xll.BDH(O$4,"PE_RATIO",$B46,$B46)),VALUE(_xll.BDH(O$4,"PE_RATIO",$B46+1,$B46+1))),O47))</f>
        <v>0</v>
      </c>
      <c r="P46" s="555"/>
      <c r="Q46" s="559">
        <f t="shared" ca="1" si="15"/>
        <v>45667</v>
      </c>
      <c r="R46" s="4">
        <v>42.46</v>
      </c>
      <c r="S46" s="4">
        <v>129922.38</v>
      </c>
      <c r="T46" s="4">
        <v>0</v>
      </c>
      <c r="U46" s="4">
        <v>0.44</v>
      </c>
      <c r="V46" s="4">
        <v>1.1988074889032525</v>
      </c>
      <c r="W46" s="4" t="e">
        <v>#DIV/0!</v>
      </c>
      <c r="Y46" s="555">
        <f t="shared" si="16"/>
        <v>42.46</v>
      </c>
      <c r="Z46" s="4">
        <f ca="1">IFERROR(VALUE(_xll.BDH(Z$4,"PX_LAST",$Q46,$Q46)),Z47)</f>
        <v>0</v>
      </c>
      <c r="AA46" s="4">
        <f ca="1">IFERROR(VALUE(_xll.BDH(AA$4,"PX_LAST",$Q46,$Q46)),AA47)</f>
        <v>0</v>
      </c>
      <c r="AB46" s="4">
        <f ca="1">IFERROR(VALUE(_xll.BDH(AB$4,"PX_LAST",$Q46,$Q46)),AB47)</f>
        <v>0</v>
      </c>
      <c r="AC46" s="4">
        <f ca="1">IFERROR(VALUE(_xll.BDH(AC$4,"PX_LAST",$Q46,$Q46)),AC47)</f>
        <v>0</v>
      </c>
      <c r="AD46" s="4">
        <f ca="1">IFERROR(VALUE(_xll.BDH(AD$4,"PX_LAST",$Q46,$Q46)),AD47)</f>
        <v>0</v>
      </c>
      <c r="AF46" s="4">
        <f t="shared" si="17"/>
        <v>0.44</v>
      </c>
      <c r="AG46" s="4" t="e">
        <f t="shared" ca="1" si="18"/>
        <v>#DIV/0!</v>
      </c>
      <c r="AH46" s="4" t="e">
        <f t="shared" ca="1" si="19"/>
        <v>#DIV/0!</v>
      </c>
      <c r="AI46" s="4" t="e">
        <f t="shared" ca="1" si="20"/>
        <v>#DIV/0!</v>
      </c>
      <c r="AJ46" s="4" t="e">
        <f t="shared" ca="1" si="21"/>
        <v>#DIV/0!</v>
      </c>
      <c r="AK46" s="4" t="e">
        <f t="shared" ca="1" si="22"/>
        <v>#DIV/0!</v>
      </c>
      <c r="AM46" s="557">
        <f t="shared" ca="1" si="12"/>
        <v>45912</v>
      </c>
      <c r="AN46" s="558">
        <v>35.67</v>
      </c>
      <c r="AO46" s="558">
        <v>582700</v>
      </c>
      <c r="AP46" s="558">
        <v>206.48981000000001</v>
      </c>
      <c r="AQ46" s="558">
        <v>7365.4915227000001</v>
      </c>
      <c r="AR46" s="558">
        <v>0.51470000000000005</v>
      </c>
    </row>
    <row r="47" spans="2:44">
      <c r="B47" s="559">
        <f t="shared" ca="1" si="23"/>
        <v>45660</v>
      </c>
      <c r="C47" s="555">
        <f ca="1">(IFERROR(IFERROR(VALUE(_xll.BDH(C$4,"CURRENT_EV_TO_T12M_EBITDA",$B47,$B47)),VALUE(_xll.BDH(C$4,"CURRENT_EV_TO_T12M_EBITDA",$B47+1,$B47+1))),C48))</f>
        <v>0</v>
      </c>
      <c r="D47" s="555">
        <f ca="1">(IFERROR(IFERROR(VALUE(_xll.BDH(D$4,"CURRENT_EV_TO_T12M_EBITDA",$B47,$B47)),VALUE(_xll.BDH(D$4,"CURRENT_EV_TO_T12M_EBITDA",$B47+1,$B47+1))),D48))</f>
        <v>0</v>
      </c>
      <c r="E47" s="555">
        <f ca="1">(IFERROR(IFERROR(VALUE(_xll.BDH(E$4,"CURRENT_EV_TO_T12M_EBITDA",$B47,$B47)),VALUE(_xll.BDH(E$4,"CURRENT_EV_TO_T12M_EBITDA",$B47+1,$B47+1))),E48))</f>
        <v>0</v>
      </c>
      <c r="F47" s="555">
        <f ca="1">(IFERROR(IFERROR(VALUE(_xll.BDH(F$4,"CURRENT_EV_TO_T12M_EBITDA",$B47,$B47)),VALUE(_xll.BDH(F$4,"CURRENT_EV_TO_T12M_EBITDA",$B47+1,$B47+1))),F48))</f>
        <v>0</v>
      </c>
      <c r="G47" s="555">
        <f ca="1">(IFERROR(IFERROR(VALUE(_xll.BDH(G$4,"CURRENT_EV_TO_T12M_EBITDA",$B47,$B47)),VALUE(_xll.BDH(G$4,"CURRENT_EV_TO_T12M_EBITDA",$B47+1,$B47+1))),G48))</f>
        <v>0</v>
      </c>
      <c r="H47" s="555">
        <f ca="1">(IFERROR(IFERROR(VALUE(_xll.BDH(H$4,"CURRENT_EV_TO_T12M_EBITDA",$B47,$B47)),VALUE(_xll.BDH(H$4,"CURRENT_EV_TO_T12M_EBITDA",$B47+1,$B47+1))),H48))</f>
        <v>0</v>
      </c>
      <c r="I47" s="559">
        <f t="shared" ca="1" si="14"/>
        <v>45660</v>
      </c>
      <c r="J47" s="555">
        <f ca="1">(IFERROR(IFERROR(VALUE(_xll.BDH(J$4,"PE_RATIO",$B47,$B47)),VALUE(_xll.BDH(J$4,"PE_RATIO",$B47+1,$B47+1))),J48))</f>
        <v>0</v>
      </c>
      <c r="K47" s="555">
        <f ca="1">(IFERROR(IFERROR(VALUE(_xll.BDH(K$4,"PE_RATIO",$B47,$B47)),VALUE(_xll.BDH(K$4,"PE_RATIO",$B47+1,$B47+1))),K48))</f>
        <v>0</v>
      </c>
      <c r="L47" s="555">
        <f ca="1">(IFERROR(IFERROR(VALUE(_xll.BDH(L$4,"PE_RATIO",$B47,$B47)),VALUE(_xll.BDH(L$4,"PE_RATIO",$B47+1,$B47+1))),L48))</f>
        <v>0</v>
      </c>
      <c r="M47" s="555">
        <f ca="1">(IFERROR(IFERROR(VALUE(_xll.BDH(M$4,"PE_RATIO",$B47,$B47)),VALUE(_xll.BDH(M$4,"PE_RATIO",$B47+1,$B47+1))),M48))</f>
        <v>0</v>
      </c>
      <c r="N47" s="555">
        <f ca="1">(IFERROR(IFERROR(VALUE(_xll.BDH(N$4,"PE_RATIO",$B47,$B47)),VALUE(_xll.BDH(N$4,"PE_RATIO",$B47+1,$B47+1))),N48))</f>
        <v>0</v>
      </c>
      <c r="O47" s="555">
        <f ca="1">(IFERROR(IFERROR(VALUE(_xll.BDH(O$4,"PE_RATIO",$B47,$B47)),VALUE(_xll.BDH(O$4,"PE_RATIO",$B47+1,$B47+1))),O48))</f>
        <v>0</v>
      </c>
      <c r="P47" s="555"/>
      <c r="Q47" s="559">
        <f t="shared" ca="1" si="15"/>
        <v>45660</v>
      </c>
      <c r="R47" s="4">
        <v>41.18</v>
      </c>
      <c r="S47" s="4">
        <v>128197.25</v>
      </c>
      <c r="T47" s="4">
        <v>0</v>
      </c>
      <c r="U47" s="4">
        <v>0.42673575129533681</v>
      </c>
      <c r="V47" s="4">
        <v>1.1828895326332727</v>
      </c>
      <c r="W47" s="4" t="e">
        <v>#DIV/0!</v>
      </c>
      <c r="Y47" s="555">
        <f t="shared" si="16"/>
        <v>41.18</v>
      </c>
      <c r="Z47" s="4">
        <f ca="1">IFERROR(VALUE(_xll.BDH(Z$4,"PX_LAST",$Q47,$Q47)),Z48)</f>
        <v>0</v>
      </c>
      <c r="AA47" s="4">
        <f ca="1">IFERROR(VALUE(_xll.BDH(AA$4,"PX_LAST",$Q47,$Q47)),AA48)</f>
        <v>0</v>
      </c>
      <c r="AB47" s="4">
        <f ca="1">IFERROR(VALUE(_xll.BDH(AB$4,"PX_LAST",$Q47,$Q47)),AB48)</f>
        <v>0</v>
      </c>
      <c r="AC47" s="4">
        <f ca="1">IFERROR(VALUE(_xll.BDH(AC$4,"PX_LAST",$Q47,$Q47)),AC48)</f>
        <v>0</v>
      </c>
      <c r="AD47" s="4">
        <f ca="1">IFERROR(VALUE(_xll.BDH(AD$4,"PX_LAST",$Q47,$Q47)),AD48)</f>
        <v>0</v>
      </c>
      <c r="AF47" s="4">
        <f t="shared" si="17"/>
        <v>0.42673575129533681</v>
      </c>
      <c r="AG47" s="4" t="e">
        <f t="shared" ca="1" si="18"/>
        <v>#DIV/0!</v>
      </c>
      <c r="AH47" s="4" t="e">
        <f t="shared" ca="1" si="19"/>
        <v>#DIV/0!</v>
      </c>
      <c r="AI47" s="4" t="e">
        <f t="shared" ca="1" si="20"/>
        <v>#DIV/0!</v>
      </c>
      <c r="AJ47" s="4" t="e">
        <f t="shared" ca="1" si="21"/>
        <v>#DIV/0!</v>
      </c>
      <c r="AK47" s="4" t="e">
        <f t="shared" ca="1" si="22"/>
        <v>#DIV/0!</v>
      </c>
      <c r="AM47" s="557">
        <f t="shared" ca="1" si="12"/>
        <v>45911</v>
      </c>
      <c r="AN47" s="558">
        <v>35.18</v>
      </c>
      <c r="AO47" s="558">
        <v>684500</v>
      </c>
      <c r="AP47" s="558">
        <v>206.48981000000001</v>
      </c>
      <c r="AQ47" s="558">
        <v>7264.3115158000001</v>
      </c>
      <c r="AR47" s="558">
        <v>0.50770000000000004</v>
      </c>
    </row>
    <row r="48" spans="2:44">
      <c r="B48" s="559">
        <f t="shared" ca="1" si="23"/>
        <v>45653</v>
      </c>
      <c r="C48" s="555">
        <f ca="1">(IFERROR(IFERROR(VALUE(_xll.BDH(C$4,"CURRENT_EV_TO_T12M_EBITDA",$B48,$B48)),VALUE(_xll.BDH(C$4,"CURRENT_EV_TO_T12M_EBITDA",$B48+1,$B48+1))),C49))</f>
        <v>0</v>
      </c>
      <c r="D48" s="555">
        <f ca="1">(IFERROR(IFERROR(VALUE(_xll.BDH(D$4,"CURRENT_EV_TO_T12M_EBITDA",$B48,$B48)),VALUE(_xll.BDH(D$4,"CURRENT_EV_TO_T12M_EBITDA",$B48+1,$B48+1))),D49))</f>
        <v>0</v>
      </c>
      <c r="E48" s="555">
        <f ca="1">(IFERROR(IFERROR(VALUE(_xll.BDH(E$4,"CURRENT_EV_TO_T12M_EBITDA",$B48,$B48)),VALUE(_xll.BDH(E$4,"CURRENT_EV_TO_T12M_EBITDA",$B48+1,$B48+1))),E49))</f>
        <v>0</v>
      </c>
      <c r="F48" s="555">
        <f ca="1">(IFERROR(IFERROR(VALUE(_xll.BDH(F$4,"CURRENT_EV_TO_T12M_EBITDA",$B48,$B48)),VALUE(_xll.BDH(F$4,"CURRENT_EV_TO_T12M_EBITDA",$B48+1,$B48+1))),F49))</f>
        <v>0</v>
      </c>
      <c r="G48" s="555">
        <f ca="1">(IFERROR(IFERROR(VALUE(_xll.BDH(G$4,"CURRENT_EV_TO_T12M_EBITDA",$B48,$B48)),VALUE(_xll.BDH(G$4,"CURRENT_EV_TO_T12M_EBITDA",$B48+1,$B48+1))),G49))</f>
        <v>0</v>
      </c>
      <c r="H48" s="555">
        <f ca="1">(IFERROR(IFERROR(VALUE(_xll.BDH(H$4,"CURRENT_EV_TO_T12M_EBITDA",$B48,$B48)),VALUE(_xll.BDH(H$4,"CURRENT_EV_TO_T12M_EBITDA",$B48+1,$B48+1))),H49))</f>
        <v>0</v>
      </c>
      <c r="I48" s="559">
        <f t="shared" ca="1" si="14"/>
        <v>45653</v>
      </c>
      <c r="J48" s="555">
        <f ca="1">(IFERROR(IFERROR(VALUE(_xll.BDH(J$4,"PE_RATIO",$B48,$B48)),VALUE(_xll.BDH(J$4,"PE_RATIO",$B48+1,$B48+1))),J49))</f>
        <v>0</v>
      </c>
      <c r="K48" s="555">
        <f ca="1">(IFERROR(IFERROR(VALUE(_xll.BDH(K$4,"PE_RATIO",$B48,$B48)),VALUE(_xll.BDH(K$4,"PE_RATIO",$B48+1,$B48+1))),K49))</f>
        <v>0</v>
      </c>
      <c r="L48" s="555">
        <f ca="1">(IFERROR(IFERROR(VALUE(_xll.BDH(L$4,"PE_RATIO",$B48,$B48)),VALUE(_xll.BDH(L$4,"PE_RATIO",$B48+1,$B48+1))),L49))</f>
        <v>0</v>
      </c>
      <c r="M48" s="555">
        <f ca="1">(IFERROR(IFERROR(VALUE(_xll.BDH(M$4,"PE_RATIO",$B48,$B48)),VALUE(_xll.BDH(M$4,"PE_RATIO",$B48+1,$B48+1))),M49))</f>
        <v>0</v>
      </c>
      <c r="N48" s="555">
        <f ca="1">(IFERROR(IFERROR(VALUE(_xll.BDH(N$4,"PE_RATIO",$B48,$B48)),VALUE(_xll.BDH(N$4,"PE_RATIO",$B48+1,$B48+1))),N49))</f>
        <v>0</v>
      </c>
      <c r="O48" s="555">
        <f ca="1">(IFERROR(IFERROR(VALUE(_xll.BDH(O$4,"PE_RATIO",$B48,$B48)),VALUE(_xll.BDH(O$4,"PE_RATIO",$B48+1,$B48+1))),O49))</f>
        <v>0</v>
      </c>
      <c r="P48" s="555"/>
      <c r="Q48" s="559">
        <f t="shared" ca="1" si="15"/>
        <v>45653</v>
      </c>
      <c r="R48" s="4">
        <v>40.1</v>
      </c>
      <c r="S48" s="4">
        <v>127698.32</v>
      </c>
      <c r="T48" s="4">
        <v>0</v>
      </c>
      <c r="U48" s="4">
        <v>0.41554404145077722</v>
      </c>
      <c r="V48" s="4">
        <v>1.1782858529559264</v>
      </c>
      <c r="W48" s="4" t="e">
        <v>#DIV/0!</v>
      </c>
      <c r="Y48" s="555">
        <f t="shared" si="16"/>
        <v>40.1</v>
      </c>
      <c r="Z48" s="4">
        <f ca="1">IFERROR(VALUE(_xll.BDH(Z$4,"PX_LAST",$Q48,$Q48)),Z49)</f>
        <v>0</v>
      </c>
      <c r="AA48" s="4">
        <f ca="1">IFERROR(VALUE(_xll.BDH(AA$4,"PX_LAST",$Q48,$Q48)),AA49)</f>
        <v>0</v>
      </c>
      <c r="AB48" s="4">
        <f ca="1">IFERROR(VALUE(_xll.BDH(AB$4,"PX_LAST",$Q48,$Q48)),AB49)</f>
        <v>0</v>
      </c>
      <c r="AC48" s="4">
        <f ca="1">IFERROR(VALUE(_xll.BDH(AC$4,"PX_LAST",$Q48,$Q48)),AC49)</f>
        <v>0</v>
      </c>
      <c r="AD48" s="4">
        <f ca="1">IFERROR(VALUE(_xll.BDH(AD$4,"PX_LAST",$Q48,$Q48)),AD49)</f>
        <v>0</v>
      </c>
      <c r="AF48" s="4">
        <f t="shared" si="17"/>
        <v>0.41554404145077722</v>
      </c>
      <c r="AG48" s="4" t="e">
        <f t="shared" ca="1" si="18"/>
        <v>#DIV/0!</v>
      </c>
      <c r="AH48" s="4" t="e">
        <f t="shared" ca="1" si="19"/>
        <v>#DIV/0!</v>
      </c>
      <c r="AI48" s="4" t="e">
        <f t="shared" ca="1" si="20"/>
        <v>#DIV/0!</v>
      </c>
      <c r="AJ48" s="4" t="e">
        <f t="shared" ca="1" si="21"/>
        <v>#DIV/0!</v>
      </c>
      <c r="AK48" s="4" t="e">
        <f t="shared" ca="1" si="22"/>
        <v>#DIV/0!</v>
      </c>
      <c r="AM48" s="557">
        <f t="shared" ca="1" si="12"/>
        <v>45910</v>
      </c>
      <c r="AN48" s="558">
        <v>36.365000000000002</v>
      </c>
      <c r="AO48" s="558">
        <v>602100</v>
      </c>
      <c r="AP48" s="558">
        <v>206.48981000000001</v>
      </c>
      <c r="AQ48" s="558">
        <v>7509.0019406500005</v>
      </c>
      <c r="AR48" s="558">
        <v>0.52510000000000001</v>
      </c>
    </row>
    <row r="49" spans="2:44">
      <c r="B49" s="559">
        <f t="shared" ca="1" si="23"/>
        <v>45646</v>
      </c>
      <c r="C49" s="555">
        <f ca="1">(IFERROR(IFERROR(VALUE(_xll.BDH(C$4,"CURRENT_EV_TO_T12M_EBITDA",$B49,$B49)),VALUE(_xll.BDH(C$4,"CURRENT_EV_TO_T12M_EBITDA",$B49+1,$B49+1))),C50))</f>
        <v>0</v>
      </c>
      <c r="D49" s="555">
        <f ca="1">(IFERROR(IFERROR(VALUE(_xll.BDH(D$4,"CURRENT_EV_TO_T12M_EBITDA",$B49,$B49)),VALUE(_xll.BDH(D$4,"CURRENT_EV_TO_T12M_EBITDA",$B49+1,$B49+1))),D50))</f>
        <v>0</v>
      </c>
      <c r="E49" s="555">
        <f ca="1">(IFERROR(IFERROR(VALUE(_xll.BDH(E$4,"CURRENT_EV_TO_T12M_EBITDA",$B49,$B49)),VALUE(_xll.BDH(E$4,"CURRENT_EV_TO_T12M_EBITDA",$B49+1,$B49+1))),E50))</f>
        <v>0</v>
      </c>
      <c r="F49" s="555">
        <f ca="1">(IFERROR(IFERROR(VALUE(_xll.BDH(F$4,"CURRENT_EV_TO_T12M_EBITDA",$B49,$B49)),VALUE(_xll.BDH(F$4,"CURRENT_EV_TO_T12M_EBITDA",$B49+1,$B49+1))),F50))</f>
        <v>0</v>
      </c>
      <c r="G49" s="555">
        <f ca="1">(IFERROR(IFERROR(VALUE(_xll.BDH(G$4,"CURRENT_EV_TO_T12M_EBITDA",$B49,$B49)),VALUE(_xll.BDH(G$4,"CURRENT_EV_TO_T12M_EBITDA",$B49+1,$B49+1))),G50))</f>
        <v>0</v>
      </c>
      <c r="H49" s="555">
        <f ca="1">(IFERROR(IFERROR(VALUE(_xll.BDH(H$4,"CURRENT_EV_TO_T12M_EBITDA",$B49,$B49)),VALUE(_xll.BDH(H$4,"CURRENT_EV_TO_T12M_EBITDA",$B49+1,$B49+1))),H50))</f>
        <v>0</v>
      </c>
      <c r="I49" s="559">
        <f t="shared" ca="1" si="14"/>
        <v>45646</v>
      </c>
      <c r="J49" s="555">
        <f ca="1">(IFERROR(IFERROR(VALUE(_xll.BDH(J$4,"PE_RATIO",$B49,$B49)),VALUE(_xll.BDH(J$4,"PE_RATIO",$B49+1,$B49+1))),J50))</f>
        <v>0</v>
      </c>
      <c r="K49" s="555">
        <f ca="1">(IFERROR(IFERROR(VALUE(_xll.BDH(K$4,"PE_RATIO",$B49,$B49)),VALUE(_xll.BDH(K$4,"PE_RATIO",$B49+1,$B49+1))),K50))</f>
        <v>0</v>
      </c>
      <c r="L49" s="555">
        <f ca="1">(IFERROR(IFERROR(VALUE(_xll.BDH(L$4,"PE_RATIO",$B49,$B49)),VALUE(_xll.BDH(L$4,"PE_RATIO",$B49+1,$B49+1))),L50))</f>
        <v>0</v>
      </c>
      <c r="M49" s="555">
        <f ca="1">(IFERROR(IFERROR(VALUE(_xll.BDH(M$4,"PE_RATIO",$B49,$B49)),VALUE(_xll.BDH(M$4,"PE_RATIO",$B49+1,$B49+1))),M50))</f>
        <v>0</v>
      </c>
      <c r="N49" s="555">
        <f ca="1">(IFERROR(IFERROR(VALUE(_xll.BDH(N$4,"PE_RATIO",$B49,$B49)),VALUE(_xll.BDH(N$4,"PE_RATIO",$B49+1,$B49+1))),N50))</f>
        <v>0</v>
      </c>
      <c r="O49" s="555">
        <f ca="1">(IFERROR(IFERROR(VALUE(_xll.BDH(O$4,"PE_RATIO",$B49,$B49)),VALUE(_xll.BDH(O$4,"PE_RATIO",$B49+1,$B49+1))),O50))</f>
        <v>0</v>
      </c>
      <c r="P49" s="555"/>
      <c r="Q49" s="559">
        <f t="shared" ca="1" si="15"/>
        <v>45646</v>
      </c>
      <c r="R49" s="4">
        <v>41.33</v>
      </c>
      <c r="S49" s="4">
        <v>130660.75</v>
      </c>
      <c r="T49" s="4">
        <v>0</v>
      </c>
      <c r="U49" s="4">
        <v>0.42829015544041449</v>
      </c>
      <c r="V49" s="4">
        <v>1.2056205066880366</v>
      </c>
      <c r="W49" s="4" t="e">
        <v>#DIV/0!</v>
      </c>
      <c r="Y49" s="555">
        <f t="shared" si="16"/>
        <v>41.33</v>
      </c>
      <c r="Z49" s="4">
        <f ca="1">IFERROR(VALUE(_xll.BDH(Z$4,"PX_LAST",$Q49,$Q49)),Z50)</f>
        <v>0</v>
      </c>
      <c r="AA49" s="4">
        <f ca="1">IFERROR(VALUE(_xll.BDH(AA$4,"PX_LAST",$Q49,$Q49)),AA50)</f>
        <v>0</v>
      </c>
      <c r="AB49" s="4">
        <f ca="1">IFERROR(VALUE(_xll.BDH(AB$4,"PX_LAST",$Q49,$Q49)),AB50)</f>
        <v>0</v>
      </c>
      <c r="AC49" s="4">
        <f ca="1">IFERROR(VALUE(_xll.BDH(AC$4,"PX_LAST",$Q49,$Q49)),AC50)</f>
        <v>0</v>
      </c>
      <c r="AD49" s="4">
        <f ca="1">IFERROR(VALUE(_xll.BDH(AD$4,"PX_LAST",$Q49,$Q49)),AD50)</f>
        <v>0</v>
      </c>
      <c r="AF49" s="4">
        <f t="shared" si="17"/>
        <v>0.42829015544041449</v>
      </c>
      <c r="AG49" s="4" t="e">
        <f t="shared" ca="1" si="18"/>
        <v>#DIV/0!</v>
      </c>
      <c r="AH49" s="4" t="e">
        <f t="shared" ca="1" si="19"/>
        <v>#DIV/0!</v>
      </c>
      <c r="AI49" s="4" t="e">
        <f t="shared" ca="1" si="20"/>
        <v>#DIV/0!</v>
      </c>
      <c r="AJ49" s="4" t="e">
        <f t="shared" ca="1" si="21"/>
        <v>#DIV/0!</v>
      </c>
      <c r="AK49" s="4" t="e">
        <f t="shared" ca="1" si="22"/>
        <v>#DIV/0!</v>
      </c>
      <c r="AM49" s="557">
        <f t="shared" ca="1" si="12"/>
        <v>45909</v>
      </c>
      <c r="AN49" s="558">
        <v>36.365000000000002</v>
      </c>
      <c r="AO49" s="558">
        <v>602100</v>
      </c>
      <c r="AP49" s="558">
        <v>206.48981000000001</v>
      </c>
      <c r="AQ49" s="558">
        <v>7509.0019406500005</v>
      </c>
      <c r="AR49" s="558">
        <v>0.52510000000000001</v>
      </c>
    </row>
    <row r="50" spans="2:44">
      <c r="B50" s="559">
        <f t="shared" ca="1" si="23"/>
        <v>45639</v>
      </c>
      <c r="C50" s="555">
        <f ca="1">(IFERROR(IFERROR(VALUE(_xll.BDH(C$4,"CURRENT_EV_TO_T12M_EBITDA",$B50,$B50)),VALUE(_xll.BDH(C$4,"CURRENT_EV_TO_T12M_EBITDA",$B50+1,$B50+1))),C51))</f>
        <v>0</v>
      </c>
      <c r="D50" s="555">
        <f ca="1">(IFERROR(IFERROR(VALUE(_xll.BDH(D$4,"CURRENT_EV_TO_T12M_EBITDA",$B50,$B50)),VALUE(_xll.BDH(D$4,"CURRENT_EV_TO_T12M_EBITDA",$B50+1,$B50+1))),D51))</f>
        <v>0</v>
      </c>
      <c r="E50" s="555">
        <f ca="1">(IFERROR(IFERROR(VALUE(_xll.BDH(E$4,"CURRENT_EV_TO_T12M_EBITDA",$B50,$B50)),VALUE(_xll.BDH(E$4,"CURRENT_EV_TO_T12M_EBITDA",$B50+1,$B50+1))),E51))</f>
        <v>0</v>
      </c>
      <c r="F50" s="555">
        <f ca="1">(IFERROR(IFERROR(VALUE(_xll.BDH(F$4,"CURRENT_EV_TO_T12M_EBITDA",$B50,$B50)),VALUE(_xll.BDH(F$4,"CURRENT_EV_TO_T12M_EBITDA",$B50+1,$B50+1))),F51))</f>
        <v>0</v>
      </c>
      <c r="G50" s="555">
        <f ca="1">(IFERROR(IFERROR(VALUE(_xll.BDH(G$4,"CURRENT_EV_TO_T12M_EBITDA",$B50,$B50)),VALUE(_xll.BDH(G$4,"CURRENT_EV_TO_T12M_EBITDA",$B50+1,$B50+1))),G51))</f>
        <v>0</v>
      </c>
      <c r="H50" s="555">
        <f ca="1">(IFERROR(IFERROR(VALUE(_xll.BDH(H$4,"CURRENT_EV_TO_T12M_EBITDA",$B50,$B50)),VALUE(_xll.BDH(H$4,"CURRENT_EV_TO_T12M_EBITDA",$B50+1,$B50+1))),H51))</f>
        <v>0</v>
      </c>
      <c r="I50" s="559">
        <f t="shared" ca="1" si="14"/>
        <v>45639</v>
      </c>
      <c r="J50" s="555">
        <f ca="1">(IFERROR(IFERROR(VALUE(_xll.BDH(J$4,"PE_RATIO",$B50,$B50)),VALUE(_xll.BDH(J$4,"PE_RATIO",$B50+1,$B50+1))),J51))</f>
        <v>0</v>
      </c>
      <c r="K50" s="555">
        <f ca="1">(IFERROR(IFERROR(VALUE(_xll.BDH(K$4,"PE_RATIO",$B50,$B50)),VALUE(_xll.BDH(K$4,"PE_RATIO",$B50+1,$B50+1))),K51))</f>
        <v>0</v>
      </c>
      <c r="L50" s="555">
        <f ca="1">(IFERROR(IFERROR(VALUE(_xll.BDH(L$4,"PE_RATIO",$B50,$B50)),VALUE(_xll.BDH(L$4,"PE_RATIO",$B50+1,$B50+1))),L51))</f>
        <v>0</v>
      </c>
      <c r="M50" s="555">
        <f ca="1">(IFERROR(IFERROR(VALUE(_xll.BDH(M$4,"PE_RATIO",$B50,$B50)),VALUE(_xll.BDH(M$4,"PE_RATIO",$B50+1,$B50+1))),M51))</f>
        <v>0</v>
      </c>
      <c r="N50" s="555">
        <f ca="1">(IFERROR(IFERROR(VALUE(_xll.BDH(N$4,"PE_RATIO",$B50,$B50)),VALUE(_xll.BDH(N$4,"PE_RATIO",$B50+1,$B50+1))),N51))</f>
        <v>0</v>
      </c>
      <c r="O50" s="555">
        <f ca="1">(IFERROR(IFERROR(VALUE(_xll.BDH(O$4,"PE_RATIO",$B50,$B50)),VALUE(_xll.BDH(O$4,"PE_RATIO",$B50+1,$B50+1))),O51))</f>
        <v>0</v>
      </c>
      <c r="P50" s="555"/>
      <c r="Q50" s="559">
        <f t="shared" ca="1" si="15"/>
        <v>45639</v>
      </c>
      <c r="R50" s="4">
        <v>40.159999999999997</v>
      </c>
      <c r="S50" s="4">
        <v>130729.93</v>
      </c>
      <c r="T50" s="4">
        <v>0</v>
      </c>
      <c r="U50" s="4">
        <v>0.41616580310880824</v>
      </c>
      <c r="V50" s="4">
        <v>1.2062588378368526</v>
      </c>
      <c r="W50" s="4" t="e">
        <v>#DIV/0!</v>
      </c>
      <c r="Y50" s="555">
        <f t="shared" si="16"/>
        <v>40.159999999999997</v>
      </c>
      <c r="Z50" s="4">
        <f ca="1">IFERROR(VALUE(_xll.BDH(Z$4,"PX_LAST",$Q50,$Q50)),Z51)</f>
        <v>0</v>
      </c>
      <c r="AA50" s="4">
        <f ca="1">IFERROR(VALUE(_xll.BDH(AA$4,"PX_LAST",$Q50,$Q50)),AA51)</f>
        <v>0</v>
      </c>
      <c r="AB50" s="4">
        <f ca="1">IFERROR(VALUE(_xll.BDH(AB$4,"PX_LAST",$Q50,$Q50)),AB51)</f>
        <v>0</v>
      </c>
      <c r="AC50" s="4">
        <f ca="1">IFERROR(VALUE(_xll.BDH(AC$4,"PX_LAST",$Q50,$Q50)),AC51)</f>
        <v>0</v>
      </c>
      <c r="AD50" s="4">
        <f ca="1">IFERROR(VALUE(_xll.BDH(AD$4,"PX_LAST",$Q50,$Q50)),AD51)</f>
        <v>0</v>
      </c>
      <c r="AF50" s="4">
        <f t="shared" si="17"/>
        <v>0.41616580310880824</v>
      </c>
      <c r="AG50" s="4" t="e">
        <f t="shared" ca="1" si="18"/>
        <v>#DIV/0!</v>
      </c>
      <c r="AH50" s="4" t="e">
        <f t="shared" ca="1" si="19"/>
        <v>#DIV/0!</v>
      </c>
      <c r="AI50" s="4" t="e">
        <f t="shared" ca="1" si="20"/>
        <v>#DIV/0!</v>
      </c>
      <c r="AJ50" s="4" t="e">
        <f t="shared" ca="1" si="21"/>
        <v>#DIV/0!</v>
      </c>
      <c r="AK50" s="4" t="e">
        <f t="shared" ca="1" si="22"/>
        <v>#DIV/0!</v>
      </c>
      <c r="AM50" s="557">
        <f t="shared" ca="1" si="12"/>
        <v>45908</v>
      </c>
      <c r="AN50" s="558">
        <v>36.365000000000002</v>
      </c>
      <c r="AO50" s="558">
        <v>602100</v>
      </c>
      <c r="AP50" s="558">
        <v>206.48981000000001</v>
      </c>
      <c r="AQ50" s="558">
        <v>7509.0019406500005</v>
      </c>
      <c r="AR50" s="558">
        <v>0.52510000000000001</v>
      </c>
    </row>
    <row r="51" spans="2:44">
      <c r="B51" s="559">
        <f t="shared" ca="1" si="23"/>
        <v>45632</v>
      </c>
      <c r="C51" s="555">
        <f ca="1">(IFERROR(IFERROR(VALUE(_xll.BDH(C$4,"CURRENT_EV_TO_T12M_EBITDA",$B51,$B51)),VALUE(_xll.BDH(C$4,"CURRENT_EV_TO_T12M_EBITDA",$B51+1,$B51+1))),C52))</f>
        <v>0</v>
      </c>
      <c r="D51" s="555">
        <f ca="1">(IFERROR(IFERROR(VALUE(_xll.BDH(D$4,"CURRENT_EV_TO_T12M_EBITDA",$B51,$B51)),VALUE(_xll.BDH(D$4,"CURRENT_EV_TO_T12M_EBITDA",$B51+1,$B51+1))),D52))</f>
        <v>0</v>
      </c>
      <c r="E51" s="555">
        <f ca="1">(IFERROR(IFERROR(VALUE(_xll.BDH(E$4,"CURRENT_EV_TO_T12M_EBITDA",$B51,$B51)),VALUE(_xll.BDH(E$4,"CURRENT_EV_TO_T12M_EBITDA",$B51+1,$B51+1))),E52))</f>
        <v>0</v>
      </c>
      <c r="F51" s="555">
        <f ca="1">(IFERROR(IFERROR(VALUE(_xll.BDH(F$4,"CURRENT_EV_TO_T12M_EBITDA",$B51,$B51)),VALUE(_xll.BDH(F$4,"CURRENT_EV_TO_T12M_EBITDA",$B51+1,$B51+1))),F52))</f>
        <v>0</v>
      </c>
      <c r="G51" s="555">
        <f ca="1">(IFERROR(IFERROR(VALUE(_xll.BDH(G$4,"CURRENT_EV_TO_T12M_EBITDA",$B51,$B51)),VALUE(_xll.BDH(G$4,"CURRENT_EV_TO_T12M_EBITDA",$B51+1,$B51+1))),G52))</f>
        <v>0</v>
      </c>
      <c r="H51" s="555">
        <f ca="1">(IFERROR(IFERROR(VALUE(_xll.BDH(H$4,"CURRENT_EV_TO_T12M_EBITDA",$B51,$B51)),VALUE(_xll.BDH(H$4,"CURRENT_EV_TO_T12M_EBITDA",$B51+1,$B51+1))),H52))</f>
        <v>0</v>
      </c>
      <c r="I51" s="559">
        <f t="shared" ca="1" si="14"/>
        <v>45632</v>
      </c>
      <c r="J51" s="555">
        <f ca="1">(IFERROR(IFERROR(VALUE(_xll.BDH(J$4,"PE_RATIO",$B51,$B51)),VALUE(_xll.BDH(J$4,"PE_RATIO",$B51+1,$B51+1))),J52))</f>
        <v>0</v>
      </c>
      <c r="K51" s="555">
        <f ca="1">(IFERROR(IFERROR(VALUE(_xll.BDH(K$4,"PE_RATIO",$B51,$B51)),VALUE(_xll.BDH(K$4,"PE_RATIO",$B51+1,$B51+1))),K52))</f>
        <v>0</v>
      </c>
      <c r="L51" s="555">
        <f ca="1">(IFERROR(IFERROR(VALUE(_xll.BDH(L$4,"PE_RATIO",$B51,$B51)),VALUE(_xll.BDH(L$4,"PE_RATIO",$B51+1,$B51+1))),L52))</f>
        <v>0</v>
      </c>
      <c r="M51" s="555">
        <f ca="1">(IFERROR(IFERROR(VALUE(_xll.BDH(M$4,"PE_RATIO",$B51,$B51)),VALUE(_xll.BDH(M$4,"PE_RATIO",$B51+1,$B51+1))),M52))</f>
        <v>0</v>
      </c>
      <c r="N51" s="555">
        <f ca="1">(IFERROR(IFERROR(VALUE(_xll.BDH(N$4,"PE_RATIO",$B51,$B51)),VALUE(_xll.BDH(N$4,"PE_RATIO",$B51+1,$B51+1))),N52))</f>
        <v>0</v>
      </c>
      <c r="O51" s="555">
        <f ca="1">(IFERROR(IFERROR(VALUE(_xll.BDH(O$4,"PE_RATIO",$B51,$B51)),VALUE(_xll.BDH(O$4,"PE_RATIO",$B51+1,$B51+1))),O52))</f>
        <v>0</v>
      </c>
      <c r="P51" s="555"/>
      <c r="Q51" s="559">
        <f t="shared" ca="1" si="15"/>
        <v>45632</v>
      </c>
      <c r="R51" s="4">
        <v>40.229999999999997</v>
      </c>
      <c r="S51" s="4">
        <v>129951.37</v>
      </c>
      <c r="T51" s="4">
        <v>0</v>
      </c>
      <c r="U51" s="4">
        <v>0.41689119170984451</v>
      </c>
      <c r="V51" s="4">
        <v>1.1990749826876435</v>
      </c>
      <c r="W51" s="4" t="e">
        <v>#DIV/0!</v>
      </c>
      <c r="Y51" s="555">
        <f t="shared" si="16"/>
        <v>40.229999999999997</v>
      </c>
      <c r="Z51" s="4">
        <f ca="1">IFERROR(VALUE(_xll.BDH(Z$4,"PX_LAST",$Q51,$Q51)),Z52)</f>
        <v>0</v>
      </c>
      <c r="AA51" s="4">
        <f ca="1">IFERROR(VALUE(_xll.BDH(AA$4,"PX_LAST",$Q51,$Q51)),AA52)</f>
        <v>0</v>
      </c>
      <c r="AB51" s="4">
        <f ca="1">IFERROR(VALUE(_xll.BDH(AB$4,"PX_LAST",$Q51,$Q51)),AB52)</f>
        <v>0</v>
      </c>
      <c r="AC51" s="4">
        <f ca="1">IFERROR(VALUE(_xll.BDH(AC$4,"PX_LAST",$Q51,$Q51)),AC52)</f>
        <v>0</v>
      </c>
      <c r="AD51" s="4">
        <f ca="1">IFERROR(VALUE(_xll.BDH(AD$4,"PX_LAST",$Q51,$Q51)),AD52)</f>
        <v>0</v>
      </c>
      <c r="AF51" s="4">
        <f t="shared" si="17"/>
        <v>0.41689119170984451</v>
      </c>
      <c r="AG51" s="4" t="e">
        <f t="shared" ca="1" si="18"/>
        <v>#DIV/0!</v>
      </c>
      <c r="AH51" s="4" t="e">
        <f t="shared" ca="1" si="19"/>
        <v>#DIV/0!</v>
      </c>
      <c r="AI51" s="4" t="e">
        <f t="shared" ca="1" si="20"/>
        <v>#DIV/0!</v>
      </c>
      <c r="AJ51" s="4" t="e">
        <f t="shared" ca="1" si="21"/>
        <v>#DIV/0!</v>
      </c>
      <c r="AK51" s="4" t="e">
        <f t="shared" ca="1" si="22"/>
        <v>#DIV/0!</v>
      </c>
      <c r="AM51" s="557">
        <f t="shared" ca="1" si="12"/>
        <v>45907</v>
      </c>
      <c r="AN51" s="558">
        <v>36.549999999999997</v>
      </c>
      <c r="AO51" s="558">
        <v>904200</v>
      </c>
      <c r="AP51" s="558">
        <v>206.48981000000001</v>
      </c>
      <c r="AQ51" s="558">
        <v>7547.2025555</v>
      </c>
      <c r="AR51" s="558">
        <v>0.52710000000000001</v>
      </c>
    </row>
    <row r="52" spans="2:44">
      <c r="B52" s="559">
        <f t="shared" ca="1" si="23"/>
        <v>45625</v>
      </c>
      <c r="C52" s="555">
        <f ca="1">(IFERROR(IFERROR(VALUE(_xll.BDH(C$4,"CURRENT_EV_TO_T12M_EBITDA",$B52,$B52)),VALUE(_xll.BDH(C$4,"CURRENT_EV_TO_T12M_EBITDA",$B52+1,$B52+1))),C53))</f>
        <v>0</v>
      </c>
      <c r="D52" s="555">
        <f ca="1">(IFERROR(IFERROR(VALUE(_xll.BDH(D$4,"CURRENT_EV_TO_T12M_EBITDA",$B52,$B52)),VALUE(_xll.BDH(D$4,"CURRENT_EV_TO_T12M_EBITDA",$B52+1,$B52+1))),D53))</f>
        <v>0</v>
      </c>
      <c r="E52" s="555">
        <f ca="1">(IFERROR(IFERROR(VALUE(_xll.BDH(E$4,"CURRENT_EV_TO_T12M_EBITDA",$B52,$B52)),VALUE(_xll.BDH(E$4,"CURRENT_EV_TO_T12M_EBITDA",$B52+1,$B52+1))),E53))</f>
        <v>0</v>
      </c>
      <c r="F52" s="555">
        <f ca="1">(IFERROR(IFERROR(VALUE(_xll.BDH(F$4,"CURRENT_EV_TO_T12M_EBITDA",$B52,$B52)),VALUE(_xll.BDH(F$4,"CURRENT_EV_TO_T12M_EBITDA",$B52+1,$B52+1))),F53))</f>
        <v>0</v>
      </c>
      <c r="G52" s="555">
        <f ca="1">(IFERROR(IFERROR(VALUE(_xll.BDH(G$4,"CURRENT_EV_TO_T12M_EBITDA",$B52,$B52)),VALUE(_xll.BDH(G$4,"CURRENT_EV_TO_T12M_EBITDA",$B52+1,$B52+1))),G53))</f>
        <v>0</v>
      </c>
      <c r="H52" s="555">
        <f ca="1">(IFERROR(IFERROR(VALUE(_xll.BDH(H$4,"CURRENT_EV_TO_T12M_EBITDA",$B52,$B52)),VALUE(_xll.BDH(H$4,"CURRENT_EV_TO_T12M_EBITDA",$B52+1,$B52+1))),H53))</f>
        <v>0</v>
      </c>
      <c r="I52" s="559">
        <f t="shared" ca="1" si="14"/>
        <v>45625</v>
      </c>
      <c r="J52" s="555">
        <f ca="1">(IFERROR(IFERROR(VALUE(_xll.BDH(J$4,"PE_RATIO",$B52,$B52)),VALUE(_xll.BDH(J$4,"PE_RATIO",$B52+1,$B52+1))),J53))</f>
        <v>0</v>
      </c>
      <c r="K52" s="555">
        <f ca="1">(IFERROR(IFERROR(VALUE(_xll.BDH(K$4,"PE_RATIO",$B52,$B52)),VALUE(_xll.BDH(K$4,"PE_RATIO",$B52+1,$B52+1))),K53))</f>
        <v>0</v>
      </c>
      <c r="L52" s="555">
        <f ca="1">(IFERROR(IFERROR(VALUE(_xll.BDH(L$4,"PE_RATIO",$B52,$B52)),VALUE(_xll.BDH(L$4,"PE_RATIO",$B52+1,$B52+1))),L53))</f>
        <v>0</v>
      </c>
      <c r="M52" s="555">
        <f ca="1">(IFERROR(IFERROR(VALUE(_xll.BDH(M$4,"PE_RATIO",$B52,$B52)),VALUE(_xll.BDH(M$4,"PE_RATIO",$B52+1,$B52+1))),M53))</f>
        <v>0</v>
      </c>
      <c r="N52" s="555">
        <f ca="1">(IFERROR(IFERROR(VALUE(_xll.BDH(N$4,"PE_RATIO",$B52,$B52)),VALUE(_xll.BDH(N$4,"PE_RATIO",$B52+1,$B52+1))),N53))</f>
        <v>0</v>
      </c>
      <c r="O52" s="555">
        <f ca="1">(IFERROR(IFERROR(VALUE(_xll.BDH(O$4,"PE_RATIO",$B52,$B52)),VALUE(_xll.BDH(O$4,"PE_RATIO",$B52+1,$B52+1))),O53))</f>
        <v>0</v>
      </c>
      <c r="P52" s="555"/>
      <c r="Q52" s="559">
        <f t="shared" ca="1" si="15"/>
        <v>45625</v>
      </c>
      <c r="R52" s="4">
        <v>42.03</v>
      </c>
      <c r="S52" s="4">
        <v>131043.27</v>
      </c>
      <c r="T52" s="4">
        <v>0</v>
      </c>
      <c r="U52" s="4">
        <v>0.43554404145077719</v>
      </c>
      <c r="V52" s="4">
        <v>1.2091500590304065</v>
      </c>
      <c r="W52" s="4" t="e">
        <v>#DIV/0!</v>
      </c>
      <c r="Y52" s="555">
        <f t="shared" si="16"/>
        <v>42.03</v>
      </c>
      <c r="Z52" s="4">
        <f ca="1">IFERROR(VALUE(_xll.BDH(Z$4,"PX_LAST",$Q52,$Q52)),Z53)</f>
        <v>0</v>
      </c>
      <c r="AA52" s="4">
        <f ca="1">IFERROR(VALUE(_xll.BDH(AA$4,"PX_LAST",$Q52,$Q52)),AA53)</f>
        <v>0</v>
      </c>
      <c r="AB52" s="4">
        <f ca="1">IFERROR(VALUE(_xll.BDH(AB$4,"PX_LAST",$Q52,$Q52)),AB53)</f>
        <v>0</v>
      </c>
      <c r="AC52" s="4">
        <f ca="1">IFERROR(VALUE(_xll.BDH(AC$4,"PX_LAST",$Q52,$Q52)),AC53)</f>
        <v>0</v>
      </c>
      <c r="AD52" s="4">
        <f ca="1">IFERROR(VALUE(_xll.BDH(AD$4,"PX_LAST",$Q52,$Q52)),AD53)</f>
        <v>0</v>
      </c>
      <c r="AF52" s="4">
        <f t="shared" si="17"/>
        <v>0.43554404145077719</v>
      </c>
      <c r="AG52" s="4" t="e">
        <f t="shared" ca="1" si="18"/>
        <v>#DIV/0!</v>
      </c>
      <c r="AH52" s="4" t="e">
        <f t="shared" ca="1" si="19"/>
        <v>#DIV/0!</v>
      </c>
      <c r="AI52" s="4" t="e">
        <f t="shared" ca="1" si="20"/>
        <v>#DIV/0!</v>
      </c>
      <c r="AJ52" s="4" t="e">
        <f t="shared" ca="1" si="21"/>
        <v>#DIV/0!</v>
      </c>
      <c r="AK52" s="4" t="e">
        <f t="shared" ca="1" si="22"/>
        <v>#DIV/0!</v>
      </c>
      <c r="AM52" s="557">
        <f t="shared" ca="1" si="12"/>
        <v>45906</v>
      </c>
      <c r="AN52" s="558">
        <v>37.17</v>
      </c>
      <c r="AO52" s="558">
        <v>1491800</v>
      </c>
      <c r="AP52" s="558">
        <v>206.48981000000001</v>
      </c>
      <c r="AQ52" s="558">
        <v>7675.2262377000006</v>
      </c>
      <c r="AR52" s="558">
        <v>0.53600000000000003</v>
      </c>
    </row>
    <row r="53" spans="2:44">
      <c r="B53" s="559">
        <f t="shared" ca="1" si="23"/>
        <v>45618</v>
      </c>
      <c r="C53" s="555">
        <f ca="1">(IFERROR(IFERROR(VALUE(_xll.BDH(C$4,"CURRENT_EV_TO_T12M_EBITDA",$B53,$B53)),VALUE(_xll.BDH(C$4,"CURRENT_EV_TO_T12M_EBITDA",$B53+1,$B53+1))),C54))</f>
        <v>0</v>
      </c>
      <c r="D53" s="555">
        <f ca="1">(IFERROR(IFERROR(VALUE(_xll.BDH(D$4,"CURRENT_EV_TO_T12M_EBITDA",$B53,$B53)),VALUE(_xll.BDH(D$4,"CURRENT_EV_TO_T12M_EBITDA",$B53+1,$B53+1))),D54))</f>
        <v>0</v>
      </c>
      <c r="E53" s="555">
        <f ca="1">(IFERROR(IFERROR(VALUE(_xll.BDH(E$4,"CURRENT_EV_TO_T12M_EBITDA",$B53,$B53)),VALUE(_xll.BDH(E$4,"CURRENT_EV_TO_T12M_EBITDA",$B53+1,$B53+1))),E54))</f>
        <v>0</v>
      </c>
      <c r="F53" s="555">
        <f ca="1">(IFERROR(IFERROR(VALUE(_xll.BDH(F$4,"CURRENT_EV_TO_T12M_EBITDA",$B53,$B53)),VALUE(_xll.BDH(F$4,"CURRENT_EV_TO_T12M_EBITDA",$B53+1,$B53+1))),F54))</f>
        <v>0</v>
      </c>
      <c r="G53" s="555">
        <f ca="1">(IFERROR(IFERROR(VALUE(_xll.BDH(G$4,"CURRENT_EV_TO_T12M_EBITDA",$B53,$B53)),VALUE(_xll.BDH(G$4,"CURRENT_EV_TO_T12M_EBITDA",$B53+1,$B53+1))),G54))</f>
        <v>0</v>
      </c>
      <c r="H53" s="555">
        <f ca="1">(IFERROR(IFERROR(VALUE(_xll.BDH(H$4,"CURRENT_EV_TO_T12M_EBITDA",$B53,$B53)),VALUE(_xll.BDH(H$4,"CURRENT_EV_TO_T12M_EBITDA",$B53+1,$B53+1))),H54))</f>
        <v>0</v>
      </c>
      <c r="I53" s="559">
        <f t="shared" ca="1" si="14"/>
        <v>45618</v>
      </c>
      <c r="J53" s="555">
        <f ca="1">(IFERROR(IFERROR(VALUE(_xll.BDH(J$4,"PE_RATIO",$B53,$B53)),VALUE(_xll.BDH(J$4,"PE_RATIO",$B53+1,$B53+1))),J54))</f>
        <v>0</v>
      </c>
      <c r="K53" s="555">
        <f ca="1">(IFERROR(IFERROR(VALUE(_xll.BDH(K$4,"PE_RATIO",$B53,$B53)),VALUE(_xll.BDH(K$4,"PE_RATIO",$B53+1,$B53+1))),K54))</f>
        <v>0</v>
      </c>
      <c r="L53" s="555">
        <f ca="1">(IFERROR(IFERROR(VALUE(_xll.BDH(L$4,"PE_RATIO",$B53,$B53)),VALUE(_xll.BDH(L$4,"PE_RATIO",$B53+1,$B53+1))),L54))</f>
        <v>0</v>
      </c>
      <c r="M53" s="555">
        <f ca="1">(IFERROR(IFERROR(VALUE(_xll.BDH(M$4,"PE_RATIO",$B53,$B53)),VALUE(_xll.BDH(M$4,"PE_RATIO",$B53+1,$B53+1))),M54))</f>
        <v>0</v>
      </c>
      <c r="N53" s="555">
        <f ca="1">(IFERROR(IFERROR(VALUE(_xll.BDH(N$4,"PE_RATIO",$B53,$B53)),VALUE(_xll.BDH(N$4,"PE_RATIO",$B53+1,$B53+1))),N54))</f>
        <v>0</v>
      </c>
      <c r="O53" s="555">
        <f ca="1">(IFERROR(IFERROR(VALUE(_xll.BDH(O$4,"PE_RATIO",$B53,$B53)),VALUE(_xll.BDH(O$4,"PE_RATIO",$B53+1,$B53+1))),O54))</f>
        <v>0</v>
      </c>
      <c r="P53" s="555"/>
      <c r="Q53" s="559">
        <f t="shared" ca="1" si="15"/>
        <v>45618</v>
      </c>
      <c r="R53" s="4">
        <v>41.83</v>
      </c>
      <c r="S53" s="4">
        <v>131511.73000000001</v>
      </c>
      <c r="T53" s="4">
        <v>0</v>
      </c>
      <c r="U53" s="4">
        <v>0.43347150259067357</v>
      </c>
      <c r="V53" s="4">
        <v>1.2134725888074289</v>
      </c>
      <c r="W53" s="4" t="e">
        <v>#DIV/0!</v>
      </c>
      <c r="Y53" s="555">
        <f t="shared" si="16"/>
        <v>41.83</v>
      </c>
      <c r="Z53" s="4">
        <f ca="1">IFERROR(VALUE(_xll.BDH(Z$4,"PX_LAST",$Q53,$Q53)),Z54)</f>
        <v>0</v>
      </c>
      <c r="AA53" s="4">
        <f ca="1">IFERROR(VALUE(_xll.BDH(AA$4,"PX_LAST",$Q53,$Q53)),AA54)</f>
        <v>0</v>
      </c>
      <c r="AB53" s="4">
        <f ca="1">IFERROR(VALUE(_xll.BDH(AB$4,"PX_LAST",$Q53,$Q53)),AB54)</f>
        <v>0</v>
      </c>
      <c r="AC53" s="4">
        <f ca="1">IFERROR(VALUE(_xll.BDH(AC$4,"PX_LAST",$Q53,$Q53)),AC54)</f>
        <v>0</v>
      </c>
      <c r="AD53" s="4">
        <f ca="1">IFERROR(VALUE(_xll.BDH(AD$4,"PX_LAST",$Q53,$Q53)),AD54)</f>
        <v>0</v>
      </c>
      <c r="AF53" s="4">
        <f t="shared" si="17"/>
        <v>0.43347150259067357</v>
      </c>
      <c r="AG53" s="4" t="e">
        <f t="shared" ca="1" si="18"/>
        <v>#DIV/0!</v>
      </c>
      <c r="AH53" s="4" t="e">
        <f t="shared" ca="1" si="19"/>
        <v>#DIV/0!</v>
      </c>
      <c r="AI53" s="4" t="e">
        <f t="shared" ca="1" si="20"/>
        <v>#DIV/0!</v>
      </c>
      <c r="AJ53" s="4" t="e">
        <f t="shared" ca="1" si="21"/>
        <v>#DIV/0!</v>
      </c>
      <c r="AK53" s="4" t="e">
        <f t="shared" ca="1" si="22"/>
        <v>#DIV/0!</v>
      </c>
      <c r="AM53" s="557">
        <f t="shared" ca="1" si="12"/>
        <v>45905</v>
      </c>
      <c r="AN53" s="558">
        <v>35.99</v>
      </c>
      <c r="AO53" s="558">
        <v>1028400</v>
      </c>
      <c r="AP53" s="558">
        <v>206.48981000000001</v>
      </c>
      <c r="AQ53" s="558">
        <v>7431.5682619000008</v>
      </c>
      <c r="AR53" s="558">
        <v>0.51959999999999995</v>
      </c>
    </row>
    <row r="54" spans="2:44">
      <c r="B54" s="559">
        <f t="shared" ca="1" si="23"/>
        <v>45611</v>
      </c>
      <c r="C54" s="555">
        <f ca="1">(IFERROR(IFERROR(VALUE(_xll.BDH(C$4,"CURRENT_EV_TO_T12M_EBITDA",$B54,$B54)),VALUE(_xll.BDH(C$4,"CURRENT_EV_TO_T12M_EBITDA",$B54+1,$B54+1))),C55))</f>
        <v>0</v>
      </c>
      <c r="D54" s="555">
        <f ca="1">(IFERROR(IFERROR(VALUE(_xll.BDH(D$4,"CURRENT_EV_TO_T12M_EBITDA",$B54,$B54)),VALUE(_xll.BDH(D$4,"CURRENT_EV_TO_T12M_EBITDA",$B54+1,$B54+1))),D55))</f>
        <v>0</v>
      </c>
      <c r="E54" s="555">
        <f ca="1">(IFERROR(IFERROR(VALUE(_xll.BDH(E$4,"CURRENT_EV_TO_T12M_EBITDA",$B54,$B54)),VALUE(_xll.BDH(E$4,"CURRENT_EV_TO_T12M_EBITDA",$B54+1,$B54+1))),E55))</f>
        <v>0</v>
      </c>
      <c r="F54" s="555">
        <f ca="1">(IFERROR(IFERROR(VALUE(_xll.BDH(F$4,"CURRENT_EV_TO_T12M_EBITDA",$B54,$B54)),VALUE(_xll.BDH(F$4,"CURRENT_EV_TO_T12M_EBITDA",$B54+1,$B54+1))),F55))</f>
        <v>0</v>
      </c>
      <c r="G54" s="555">
        <f ca="1">(IFERROR(IFERROR(VALUE(_xll.BDH(G$4,"CURRENT_EV_TO_T12M_EBITDA",$B54,$B54)),VALUE(_xll.BDH(G$4,"CURRENT_EV_TO_T12M_EBITDA",$B54+1,$B54+1))),G55))</f>
        <v>0</v>
      </c>
      <c r="H54" s="555">
        <f ca="1">(IFERROR(IFERROR(VALUE(_xll.BDH(H$4,"CURRENT_EV_TO_T12M_EBITDA",$B54,$B54)),VALUE(_xll.BDH(H$4,"CURRENT_EV_TO_T12M_EBITDA",$B54+1,$B54+1))),H55))</f>
        <v>0</v>
      </c>
      <c r="I54" s="559">
        <f t="shared" ca="1" si="14"/>
        <v>45611</v>
      </c>
      <c r="J54" s="555">
        <f ca="1">(IFERROR(IFERROR(VALUE(_xll.BDH(J$4,"PE_RATIO",$B54,$B54)),VALUE(_xll.BDH(J$4,"PE_RATIO",$B54+1,$B54+1))),J55))</f>
        <v>0</v>
      </c>
      <c r="K54" s="555">
        <f ca="1">(IFERROR(IFERROR(VALUE(_xll.BDH(K$4,"PE_RATIO",$B54,$B54)),VALUE(_xll.BDH(K$4,"PE_RATIO",$B54+1,$B54+1))),K55))</f>
        <v>0</v>
      </c>
      <c r="L54" s="555">
        <f ca="1">(IFERROR(IFERROR(VALUE(_xll.BDH(L$4,"PE_RATIO",$B54,$B54)),VALUE(_xll.BDH(L$4,"PE_RATIO",$B54+1,$B54+1))),L55))</f>
        <v>0</v>
      </c>
      <c r="M54" s="555">
        <f ca="1">(IFERROR(IFERROR(VALUE(_xll.BDH(M$4,"PE_RATIO",$B54,$B54)),VALUE(_xll.BDH(M$4,"PE_RATIO",$B54+1,$B54+1))),M55))</f>
        <v>0</v>
      </c>
      <c r="N54" s="555">
        <f ca="1">(IFERROR(IFERROR(VALUE(_xll.BDH(N$4,"PE_RATIO",$B54,$B54)),VALUE(_xll.BDH(N$4,"PE_RATIO",$B54+1,$B54+1))),N55))</f>
        <v>0</v>
      </c>
      <c r="O54" s="555">
        <f ca="1">(IFERROR(IFERROR(VALUE(_xll.BDH(O$4,"PE_RATIO",$B54,$B54)),VALUE(_xll.BDH(O$4,"PE_RATIO",$B54+1,$B54+1))),O55))</f>
        <v>0</v>
      </c>
      <c r="P54" s="555"/>
      <c r="Q54" s="559">
        <f t="shared" ca="1" si="15"/>
        <v>45611</v>
      </c>
      <c r="R54" s="4">
        <v>41.76</v>
      </c>
      <c r="S54" s="4">
        <v>132495.16</v>
      </c>
      <c r="T54" s="4">
        <v>0</v>
      </c>
      <c r="U54" s="4">
        <v>0.4327461139896373</v>
      </c>
      <c r="V54" s="4">
        <v>1.2225468010317748</v>
      </c>
      <c r="W54" s="4" t="e">
        <v>#DIV/0!</v>
      </c>
      <c r="Y54" s="555">
        <f t="shared" si="16"/>
        <v>41.76</v>
      </c>
      <c r="Z54" s="4">
        <f ca="1">IFERROR(VALUE(_xll.BDH(Z$4,"PX_LAST",$Q54,$Q54)),Z55)</f>
        <v>0</v>
      </c>
      <c r="AA54" s="4">
        <f ca="1">IFERROR(VALUE(_xll.BDH(AA$4,"PX_LAST",$Q54,$Q54)),AA55)</f>
        <v>0</v>
      </c>
      <c r="AB54" s="4">
        <f ca="1">IFERROR(VALUE(_xll.BDH(AB$4,"PX_LAST",$Q54,$Q54)),AB55)</f>
        <v>0</v>
      </c>
      <c r="AC54" s="4">
        <f ca="1">IFERROR(VALUE(_xll.BDH(AC$4,"PX_LAST",$Q54,$Q54)),AC55)</f>
        <v>0</v>
      </c>
      <c r="AD54" s="4">
        <f ca="1">IFERROR(VALUE(_xll.BDH(AD$4,"PX_LAST",$Q54,$Q54)),AD55)</f>
        <v>0</v>
      </c>
      <c r="AF54" s="4">
        <f t="shared" si="17"/>
        <v>0.4327461139896373</v>
      </c>
      <c r="AG54" s="4" t="e">
        <f t="shared" ca="1" si="18"/>
        <v>#DIV/0!</v>
      </c>
      <c r="AH54" s="4" t="e">
        <f t="shared" ca="1" si="19"/>
        <v>#DIV/0!</v>
      </c>
      <c r="AI54" s="4" t="e">
        <f t="shared" ca="1" si="20"/>
        <v>#DIV/0!</v>
      </c>
      <c r="AJ54" s="4" t="e">
        <f t="shared" ca="1" si="21"/>
        <v>#DIV/0!</v>
      </c>
      <c r="AK54" s="4" t="e">
        <f t="shared" ca="1" si="22"/>
        <v>#DIV/0!</v>
      </c>
      <c r="AM54" s="557">
        <f t="shared" ca="1" si="12"/>
        <v>45904</v>
      </c>
      <c r="AN54" s="558">
        <v>35.54</v>
      </c>
      <c r="AO54" s="558">
        <v>855600</v>
      </c>
      <c r="AP54" s="558">
        <v>206.48981000000001</v>
      </c>
      <c r="AQ54" s="558">
        <v>7338.6478473999996</v>
      </c>
      <c r="AR54" s="558">
        <v>0.51300000000000001</v>
      </c>
    </row>
    <row r="55" spans="2:44">
      <c r="B55" s="559">
        <f t="shared" ca="1" si="23"/>
        <v>45604</v>
      </c>
      <c r="C55" s="555">
        <f ca="1">(IFERROR(IFERROR(VALUE(_xll.BDH(C$4,"CURRENT_EV_TO_T12M_EBITDA",$B55,$B55)),VALUE(_xll.BDH(C$4,"CURRENT_EV_TO_T12M_EBITDA",$B55+1,$B55+1))),C56))</f>
        <v>0</v>
      </c>
      <c r="D55" s="555">
        <f ca="1">(IFERROR(IFERROR(VALUE(_xll.BDH(D$4,"CURRENT_EV_TO_T12M_EBITDA",$B55,$B55)),VALUE(_xll.BDH(D$4,"CURRENT_EV_TO_T12M_EBITDA",$B55+1,$B55+1))),D56))</f>
        <v>0</v>
      </c>
      <c r="E55" s="555">
        <f ca="1">(IFERROR(IFERROR(VALUE(_xll.BDH(E$4,"CURRENT_EV_TO_T12M_EBITDA",$B55,$B55)),VALUE(_xll.BDH(E$4,"CURRENT_EV_TO_T12M_EBITDA",$B55+1,$B55+1))),E56))</f>
        <v>0</v>
      </c>
      <c r="F55" s="555">
        <f ca="1">(IFERROR(IFERROR(VALUE(_xll.BDH(F$4,"CURRENT_EV_TO_T12M_EBITDA",$B55,$B55)),VALUE(_xll.BDH(F$4,"CURRENT_EV_TO_T12M_EBITDA",$B55+1,$B55+1))),F56))</f>
        <v>0</v>
      </c>
      <c r="G55" s="555">
        <f ca="1">(IFERROR(IFERROR(VALUE(_xll.BDH(G$4,"CURRENT_EV_TO_T12M_EBITDA",$B55,$B55)),VALUE(_xll.BDH(G$4,"CURRENT_EV_TO_T12M_EBITDA",$B55+1,$B55+1))),G56))</f>
        <v>0</v>
      </c>
      <c r="H55" s="555">
        <f ca="1">(IFERROR(IFERROR(VALUE(_xll.BDH(H$4,"CURRENT_EV_TO_T12M_EBITDA",$B55,$B55)),VALUE(_xll.BDH(H$4,"CURRENT_EV_TO_T12M_EBITDA",$B55+1,$B55+1))),H56))</f>
        <v>0</v>
      </c>
      <c r="I55" s="559">
        <f t="shared" ca="1" si="14"/>
        <v>45604</v>
      </c>
      <c r="J55" s="555">
        <f ca="1">(IFERROR(IFERROR(VALUE(_xll.BDH(J$4,"PE_RATIO",$B55,$B55)),VALUE(_xll.BDH(J$4,"PE_RATIO",$B55+1,$B55+1))),J56))</f>
        <v>0</v>
      </c>
      <c r="K55" s="555">
        <f ca="1">(IFERROR(IFERROR(VALUE(_xll.BDH(K$4,"PE_RATIO",$B55,$B55)),VALUE(_xll.BDH(K$4,"PE_RATIO",$B55+1,$B55+1))),K56))</f>
        <v>0</v>
      </c>
      <c r="L55" s="555">
        <f ca="1">(IFERROR(IFERROR(VALUE(_xll.BDH(L$4,"PE_RATIO",$B55,$B55)),VALUE(_xll.BDH(L$4,"PE_RATIO",$B55+1,$B55+1))),L56))</f>
        <v>0</v>
      </c>
      <c r="M55" s="555">
        <f ca="1">(IFERROR(IFERROR(VALUE(_xll.BDH(M$4,"PE_RATIO",$B55,$B55)),VALUE(_xll.BDH(M$4,"PE_RATIO",$B55+1,$B55+1))),M56))</f>
        <v>0</v>
      </c>
      <c r="N55" s="555">
        <f ca="1">(IFERROR(IFERROR(VALUE(_xll.BDH(N$4,"PE_RATIO",$B55,$B55)),VALUE(_xll.BDH(N$4,"PE_RATIO",$B55+1,$B55+1))),N56))</f>
        <v>0</v>
      </c>
      <c r="O55" s="555">
        <f ca="1">(IFERROR(IFERROR(VALUE(_xll.BDH(O$4,"PE_RATIO",$B55,$B55)),VALUE(_xll.BDH(O$4,"PE_RATIO",$B55+1,$B55+1))),O56))</f>
        <v>0</v>
      </c>
      <c r="P55" s="555"/>
      <c r="Q55" s="559">
        <f t="shared" ca="1" si="15"/>
        <v>45604</v>
      </c>
      <c r="R55" s="4">
        <v>44.81</v>
      </c>
      <c r="S55" s="4">
        <v>132155.76</v>
      </c>
      <c r="T55" s="4">
        <v>0</v>
      </c>
      <c r="U55" s="4">
        <v>0.46435233160621764</v>
      </c>
      <c r="V55" s="4">
        <v>1.2194151214725353</v>
      </c>
      <c r="W55" s="4" t="e">
        <v>#DIV/0!</v>
      </c>
      <c r="Y55" s="555">
        <f t="shared" si="16"/>
        <v>44.81</v>
      </c>
      <c r="Z55" s="4">
        <f ca="1">IFERROR(VALUE(_xll.BDH(Z$4,"PX_LAST",$Q55,$Q55)),Z56)</f>
        <v>0</v>
      </c>
      <c r="AA55" s="4">
        <f ca="1">IFERROR(VALUE(_xll.BDH(AA$4,"PX_LAST",$Q55,$Q55)),AA56)</f>
        <v>0</v>
      </c>
      <c r="AB55" s="4">
        <f ca="1">IFERROR(VALUE(_xll.BDH(AB$4,"PX_LAST",$Q55,$Q55)),AB56)</f>
        <v>0</v>
      </c>
      <c r="AC55" s="4">
        <f ca="1">IFERROR(VALUE(_xll.BDH(AC$4,"PX_LAST",$Q55,$Q55)),AC56)</f>
        <v>0</v>
      </c>
      <c r="AD55" s="4">
        <f ca="1">IFERROR(VALUE(_xll.BDH(AD$4,"PX_LAST",$Q55,$Q55)),AD56)</f>
        <v>0</v>
      </c>
      <c r="AF55" s="4">
        <f t="shared" si="17"/>
        <v>0.46435233160621764</v>
      </c>
      <c r="AG55" s="4" t="e">
        <f t="shared" ca="1" si="18"/>
        <v>#DIV/0!</v>
      </c>
      <c r="AH55" s="4" t="e">
        <f t="shared" ca="1" si="19"/>
        <v>#DIV/0!</v>
      </c>
      <c r="AI55" s="4" t="e">
        <f t="shared" ca="1" si="20"/>
        <v>#DIV/0!</v>
      </c>
      <c r="AJ55" s="4" t="e">
        <f t="shared" ca="1" si="21"/>
        <v>#DIV/0!</v>
      </c>
      <c r="AK55" s="4" t="e">
        <f t="shared" ca="1" si="22"/>
        <v>#DIV/0!</v>
      </c>
      <c r="AM55" s="557">
        <f t="shared" ca="1" si="12"/>
        <v>45903</v>
      </c>
      <c r="AN55" s="558">
        <v>35.695</v>
      </c>
      <c r="AO55" s="558">
        <v>2625200</v>
      </c>
      <c r="AP55" s="558">
        <v>206.48981000000001</v>
      </c>
      <c r="AQ55" s="558">
        <v>7370.6537679500007</v>
      </c>
      <c r="AR55" s="558">
        <v>0.51529999999999998</v>
      </c>
    </row>
    <row r="56" spans="2:44">
      <c r="B56" s="559">
        <f t="shared" ca="1" si="23"/>
        <v>45597</v>
      </c>
      <c r="C56" s="555">
        <f ca="1">(IFERROR(IFERROR(VALUE(_xll.BDH(C$4,"CURRENT_EV_TO_T12M_EBITDA",$B56,$B56)),VALUE(_xll.BDH(C$4,"CURRENT_EV_TO_T12M_EBITDA",$B56+1,$B56+1))),C57))</f>
        <v>0</v>
      </c>
      <c r="D56" s="555">
        <f ca="1">(IFERROR(IFERROR(VALUE(_xll.BDH(D$4,"CURRENT_EV_TO_T12M_EBITDA",$B56,$B56)),VALUE(_xll.BDH(D$4,"CURRENT_EV_TO_T12M_EBITDA",$B56+1,$B56+1))),D57))</f>
        <v>0</v>
      </c>
      <c r="E56" s="555">
        <f ca="1">(IFERROR(IFERROR(VALUE(_xll.BDH(E$4,"CURRENT_EV_TO_T12M_EBITDA",$B56,$B56)),VALUE(_xll.BDH(E$4,"CURRENT_EV_TO_T12M_EBITDA",$B56+1,$B56+1))),E57))</f>
        <v>0</v>
      </c>
      <c r="F56" s="555">
        <f ca="1">(IFERROR(IFERROR(VALUE(_xll.BDH(F$4,"CURRENT_EV_TO_T12M_EBITDA",$B56,$B56)),VALUE(_xll.BDH(F$4,"CURRENT_EV_TO_T12M_EBITDA",$B56+1,$B56+1))),F57))</f>
        <v>0</v>
      </c>
      <c r="G56" s="555">
        <f ca="1">(IFERROR(IFERROR(VALUE(_xll.BDH(G$4,"CURRENT_EV_TO_T12M_EBITDA",$B56,$B56)),VALUE(_xll.BDH(G$4,"CURRENT_EV_TO_T12M_EBITDA",$B56+1,$B56+1))),G57))</f>
        <v>0</v>
      </c>
      <c r="H56" s="555">
        <f ca="1">(IFERROR(IFERROR(VALUE(_xll.BDH(H$4,"CURRENT_EV_TO_T12M_EBITDA",$B56,$B56)),VALUE(_xll.BDH(H$4,"CURRENT_EV_TO_T12M_EBITDA",$B56+1,$B56+1))),H57))</f>
        <v>0</v>
      </c>
      <c r="I56" s="559">
        <f t="shared" ca="1" si="14"/>
        <v>45597</v>
      </c>
      <c r="J56" s="555">
        <f ca="1">(IFERROR(IFERROR(VALUE(_xll.BDH(J$4,"PE_RATIO",$B56,$B56)),VALUE(_xll.BDH(J$4,"PE_RATIO",$B56+1,$B56+1))),J57))</f>
        <v>0</v>
      </c>
      <c r="K56" s="555">
        <f ca="1">(IFERROR(IFERROR(VALUE(_xll.BDH(K$4,"PE_RATIO",$B56,$B56)),VALUE(_xll.BDH(K$4,"PE_RATIO",$B56+1,$B56+1))),K57))</f>
        <v>0</v>
      </c>
      <c r="L56" s="555">
        <f ca="1">(IFERROR(IFERROR(VALUE(_xll.BDH(L$4,"PE_RATIO",$B56,$B56)),VALUE(_xll.BDH(L$4,"PE_RATIO",$B56+1,$B56+1))),L57))</f>
        <v>0</v>
      </c>
      <c r="M56" s="555">
        <f ca="1">(IFERROR(IFERROR(VALUE(_xll.BDH(M$4,"PE_RATIO",$B56,$B56)),VALUE(_xll.BDH(M$4,"PE_RATIO",$B56+1,$B56+1))),M57))</f>
        <v>0</v>
      </c>
      <c r="N56" s="555">
        <f ca="1">(IFERROR(IFERROR(VALUE(_xll.BDH(N$4,"PE_RATIO",$B56,$B56)),VALUE(_xll.BDH(N$4,"PE_RATIO",$B56+1,$B56+1))),N57))</f>
        <v>0</v>
      </c>
      <c r="O56" s="555">
        <f ca="1">(IFERROR(IFERROR(VALUE(_xll.BDH(O$4,"PE_RATIO",$B56,$B56)),VALUE(_xll.BDH(O$4,"PE_RATIO",$B56+1,$B56+1))),O57))</f>
        <v>0</v>
      </c>
      <c r="P56" s="555"/>
      <c r="Q56" s="559">
        <f t="shared" ca="1" si="15"/>
        <v>45597</v>
      </c>
      <c r="R56" s="4">
        <v>47.14</v>
      </c>
      <c r="S56" s="4">
        <v>134960.19</v>
      </c>
      <c r="T56" s="4">
        <v>0</v>
      </c>
      <c r="U56" s="4">
        <v>0.48849740932642488</v>
      </c>
      <c r="V56" s="4">
        <v>1.2452918925577396</v>
      </c>
      <c r="W56" s="4" t="e">
        <v>#DIV/0!</v>
      </c>
      <c r="Y56" s="555">
        <f t="shared" si="16"/>
        <v>47.14</v>
      </c>
      <c r="Z56" s="4">
        <f ca="1">IFERROR(VALUE(_xll.BDH(Z$4,"PX_LAST",$Q56,$Q56)),Z57)</f>
        <v>0</v>
      </c>
      <c r="AA56" s="4">
        <f ca="1">IFERROR(VALUE(_xll.BDH(AA$4,"PX_LAST",$Q56,$Q56)),AA57)</f>
        <v>0</v>
      </c>
      <c r="AB56" s="4">
        <f ca="1">IFERROR(VALUE(_xll.BDH(AB$4,"PX_LAST",$Q56,$Q56)),AB57)</f>
        <v>0</v>
      </c>
      <c r="AC56" s="4">
        <f ca="1">IFERROR(VALUE(_xll.BDH(AC$4,"PX_LAST",$Q56,$Q56)),AC57)</f>
        <v>0</v>
      </c>
      <c r="AD56" s="4">
        <f ca="1">IFERROR(VALUE(_xll.BDH(AD$4,"PX_LAST",$Q56,$Q56)),AD57)</f>
        <v>0</v>
      </c>
      <c r="AF56" s="4">
        <f t="shared" si="17"/>
        <v>0.48849740932642488</v>
      </c>
      <c r="AG56" s="4" t="e">
        <f t="shared" ca="1" si="18"/>
        <v>#DIV/0!</v>
      </c>
      <c r="AH56" s="4" t="e">
        <f t="shared" ca="1" si="19"/>
        <v>#DIV/0!</v>
      </c>
      <c r="AI56" s="4" t="e">
        <f t="shared" ca="1" si="20"/>
        <v>#DIV/0!</v>
      </c>
      <c r="AJ56" s="4" t="e">
        <f t="shared" ca="1" si="21"/>
        <v>#DIV/0!</v>
      </c>
      <c r="AK56" s="4" t="e">
        <f t="shared" ca="1" si="22"/>
        <v>#DIV/0!</v>
      </c>
      <c r="AM56" s="557">
        <f t="shared" ca="1" si="12"/>
        <v>45902</v>
      </c>
      <c r="AN56" s="558">
        <v>35.695</v>
      </c>
      <c r="AO56" s="558">
        <v>2625200</v>
      </c>
      <c r="AP56" s="558">
        <v>206.48981000000001</v>
      </c>
      <c r="AQ56" s="558">
        <v>7370.6537679500007</v>
      </c>
      <c r="AR56" s="558">
        <v>0.51529999999999998</v>
      </c>
    </row>
    <row r="57" spans="2:44">
      <c r="B57" s="559">
        <f t="shared" ca="1" si="23"/>
        <v>45590</v>
      </c>
      <c r="C57" s="555">
        <f ca="1">(IFERROR(IFERROR(VALUE(_xll.BDH(C$4,"CURRENT_EV_TO_T12M_EBITDA",$B57,$B57)),VALUE(_xll.BDH(C$4,"CURRENT_EV_TO_T12M_EBITDA",$B57+1,$B57+1))),C58))</f>
        <v>0</v>
      </c>
      <c r="D57" s="555">
        <f ca="1">(IFERROR(IFERROR(VALUE(_xll.BDH(D$4,"CURRENT_EV_TO_T12M_EBITDA",$B57,$B57)),VALUE(_xll.BDH(D$4,"CURRENT_EV_TO_T12M_EBITDA",$B57+1,$B57+1))),D58))</f>
        <v>0</v>
      </c>
      <c r="E57" s="555">
        <f ca="1">(IFERROR(IFERROR(VALUE(_xll.BDH(E$4,"CURRENT_EV_TO_T12M_EBITDA",$B57,$B57)),VALUE(_xll.BDH(E$4,"CURRENT_EV_TO_T12M_EBITDA",$B57+1,$B57+1))),E58))</f>
        <v>0</v>
      </c>
      <c r="F57" s="555">
        <f ca="1">(IFERROR(IFERROR(VALUE(_xll.BDH(F$4,"CURRENT_EV_TO_T12M_EBITDA",$B57,$B57)),VALUE(_xll.BDH(F$4,"CURRENT_EV_TO_T12M_EBITDA",$B57+1,$B57+1))),F58))</f>
        <v>0</v>
      </c>
      <c r="G57" s="555">
        <f ca="1">(IFERROR(IFERROR(VALUE(_xll.BDH(G$4,"CURRENT_EV_TO_T12M_EBITDA",$B57,$B57)),VALUE(_xll.BDH(G$4,"CURRENT_EV_TO_T12M_EBITDA",$B57+1,$B57+1))),G58))</f>
        <v>0</v>
      </c>
      <c r="H57" s="555">
        <f ca="1">(IFERROR(IFERROR(VALUE(_xll.BDH(H$4,"CURRENT_EV_TO_T12M_EBITDA",$B57,$B57)),VALUE(_xll.BDH(H$4,"CURRENT_EV_TO_T12M_EBITDA",$B57+1,$B57+1))),H58))</f>
        <v>0</v>
      </c>
      <c r="I57" s="559">
        <f t="shared" ca="1" si="14"/>
        <v>45590</v>
      </c>
      <c r="J57" s="555">
        <f ca="1">(IFERROR(IFERROR(VALUE(_xll.BDH(J$4,"PE_RATIO",$B57,$B57)),VALUE(_xll.BDH(J$4,"PE_RATIO",$B57+1,$B57+1))),J58))</f>
        <v>0</v>
      </c>
      <c r="K57" s="555">
        <f ca="1">(IFERROR(IFERROR(VALUE(_xll.BDH(K$4,"PE_RATIO",$B57,$B57)),VALUE(_xll.BDH(K$4,"PE_RATIO",$B57+1,$B57+1))),K58))</f>
        <v>0</v>
      </c>
      <c r="L57" s="555">
        <f ca="1">(IFERROR(IFERROR(VALUE(_xll.BDH(L$4,"PE_RATIO",$B57,$B57)),VALUE(_xll.BDH(L$4,"PE_RATIO",$B57+1,$B57+1))),L58))</f>
        <v>0</v>
      </c>
      <c r="M57" s="555">
        <f ca="1">(IFERROR(IFERROR(VALUE(_xll.BDH(M$4,"PE_RATIO",$B57,$B57)),VALUE(_xll.BDH(M$4,"PE_RATIO",$B57+1,$B57+1))),M58))</f>
        <v>0</v>
      </c>
      <c r="N57" s="555">
        <f ca="1">(IFERROR(IFERROR(VALUE(_xll.BDH(N$4,"PE_RATIO",$B57,$B57)),VALUE(_xll.BDH(N$4,"PE_RATIO",$B57+1,$B57+1))),N58))</f>
        <v>0</v>
      </c>
      <c r="O57" s="555">
        <f ca="1">(IFERROR(IFERROR(VALUE(_xll.BDH(O$4,"PE_RATIO",$B57,$B57)),VALUE(_xll.BDH(O$4,"PE_RATIO",$B57+1,$B57+1))),O58))</f>
        <v>0</v>
      </c>
      <c r="P57" s="555"/>
      <c r="Q57" s="559">
        <f t="shared" ca="1" si="15"/>
        <v>45590</v>
      </c>
      <c r="R57" s="4">
        <v>47.59</v>
      </c>
      <c r="S57" s="4">
        <v>134319.57999999999</v>
      </c>
      <c r="T57" s="4">
        <v>0</v>
      </c>
      <c r="U57" s="4">
        <v>0.49316062176165809</v>
      </c>
      <c r="V57" s="4">
        <v>1.239380916592965</v>
      </c>
      <c r="W57" s="4" t="e">
        <v>#DIV/0!</v>
      </c>
      <c r="Y57" s="555">
        <f t="shared" si="16"/>
        <v>47.59</v>
      </c>
      <c r="Z57" s="4">
        <f ca="1">IFERROR(VALUE(_xll.BDH(Z$4,"PX_LAST",$Q57,$Q57)),Z58)</f>
        <v>0</v>
      </c>
      <c r="AA57" s="4">
        <f ca="1">IFERROR(VALUE(_xll.BDH(AA$4,"PX_LAST",$Q57,$Q57)),AA58)</f>
        <v>0</v>
      </c>
      <c r="AB57" s="4">
        <f ca="1">IFERROR(VALUE(_xll.BDH(AB$4,"PX_LAST",$Q57,$Q57)),AB58)</f>
        <v>0</v>
      </c>
      <c r="AC57" s="4">
        <f ca="1">IFERROR(VALUE(_xll.BDH(AC$4,"PX_LAST",$Q57,$Q57)),AC58)</f>
        <v>0</v>
      </c>
      <c r="AD57" s="4">
        <f ca="1">IFERROR(VALUE(_xll.BDH(AD$4,"PX_LAST",$Q57,$Q57)),AD58)</f>
        <v>0</v>
      </c>
      <c r="AF57" s="4">
        <f t="shared" si="17"/>
        <v>0.49316062176165809</v>
      </c>
      <c r="AG57" s="4" t="e">
        <f t="shared" ca="1" si="18"/>
        <v>#DIV/0!</v>
      </c>
      <c r="AH57" s="4" t="e">
        <f t="shared" ca="1" si="19"/>
        <v>#DIV/0!</v>
      </c>
      <c r="AI57" s="4" t="e">
        <f t="shared" ca="1" si="20"/>
        <v>#DIV/0!</v>
      </c>
      <c r="AJ57" s="4" t="e">
        <f t="shared" ca="1" si="21"/>
        <v>#DIV/0!</v>
      </c>
      <c r="AK57" s="4" t="e">
        <f t="shared" ca="1" si="22"/>
        <v>#DIV/0!</v>
      </c>
      <c r="AM57" s="557">
        <f t="shared" ca="1" si="12"/>
        <v>45901</v>
      </c>
      <c r="AN57" s="558">
        <v>35.695</v>
      </c>
      <c r="AO57" s="558">
        <v>2625200</v>
      </c>
      <c r="AP57" s="558">
        <v>206.48981000000001</v>
      </c>
      <c r="AQ57" s="558">
        <v>7370.6537679500007</v>
      </c>
      <c r="AR57" s="558">
        <v>0.51529999999999998</v>
      </c>
    </row>
    <row r="58" spans="2:44">
      <c r="B58" s="559">
        <f t="shared" ca="1" si="23"/>
        <v>45583</v>
      </c>
      <c r="C58" s="555">
        <f ca="1">(IFERROR(IFERROR(VALUE(_xll.BDH(C$4,"CURRENT_EV_TO_T12M_EBITDA",$B58,$B58)),VALUE(_xll.BDH(C$4,"CURRENT_EV_TO_T12M_EBITDA",$B58+1,$B58+1))),C59))</f>
        <v>0</v>
      </c>
      <c r="D58" s="555">
        <f ca="1">(IFERROR(IFERROR(VALUE(_xll.BDH(D$4,"CURRENT_EV_TO_T12M_EBITDA",$B58,$B58)),VALUE(_xll.BDH(D$4,"CURRENT_EV_TO_T12M_EBITDA",$B58+1,$B58+1))),D59))</f>
        <v>0</v>
      </c>
      <c r="E58" s="555">
        <f ca="1">(IFERROR(IFERROR(VALUE(_xll.BDH(E$4,"CURRENT_EV_TO_T12M_EBITDA",$B58,$B58)),VALUE(_xll.BDH(E$4,"CURRENT_EV_TO_T12M_EBITDA",$B58+1,$B58+1))),E59))</f>
        <v>0</v>
      </c>
      <c r="F58" s="555">
        <f ca="1">(IFERROR(IFERROR(VALUE(_xll.BDH(F$4,"CURRENT_EV_TO_T12M_EBITDA",$B58,$B58)),VALUE(_xll.BDH(F$4,"CURRENT_EV_TO_T12M_EBITDA",$B58+1,$B58+1))),F59))</f>
        <v>0</v>
      </c>
      <c r="G58" s="555">
        <f ca="1">(IFERROR(IFERROR(VALUE(_xll.BDH(G$4,"CURRENT_EV_TO_T12M_EBITDA",$B58,$B58)),VALUE(_xll.BDH(G$4,"CURRENT_EV_TO_T12M_EBITDA",$B58+1,$B58+1))),G59))</f>
        <v>0</v>
      </c>
      <c r="H58" s="555">
        <f ca="1">(IFERROR(IFERROR(VALUE(_xll.BDH(H$4,"CURRENT_EV_TO_T12M_EBITDA",$B58,$B58)),VALUE(_xll.BDH(H$4,"CURRENT_EV_TO_T12M_EBITDA",$B58+1,$B58+1))),H59))</f>
        <v>0</v>
      </c>
      <c r="I58" s="559">
        <f t="shared" ca="1" si="14"/>
        <v>45583</v>
      </c>
      <c r="J58" s="555">
        <f ca="1">(IFERROR(IFERROR(VALUE(_xll.BDH(J$4,"PE_RATIO",$B58,$B58)),VALUE(_xll.BDH(J$4,"PE_RATIO",$B58+1,$B58+1))),J59))</f>
        <v>0</v>
      </c>
      <c r="K58" s="555">
        <f ca="1">(IFERROR(IFERROR(VALUE(_xll.BDH(K$4,"PE_RATIO",$B58,$B58)),VALUE(_xll.BDH(K$4,"PE_RATIO",$B58+1,$B58+1))),K59))</f>
        <v>0</v>
      </c>
      <c r="L58" s="555">
        <f ca="1">(IFERROR(IFERROR(VALUE(_xll.BDH(L$4,"PE_RATIO",$B58,$B58)),VALUE(_xll.BDH(L$4,"PE_RATIO",$B58+1,$B58+1))),L59))</f>
        <v>0</v>
      </c>
      <c r="M58" s="555">
        <f ca="1">(IFERROR(IFERROR(VALUE(_xll.BDH(M$4,"PE_RATIO",$B58,$B58)),VALUE(_xll.BDH(M$4,"PE_RATIO",$B58+1,$B58+1))),M59))</f>
        <v>0</v>
      </c>
      <c r="N58" s="555">
        <f ca="1">(IFERROR(IFERROR(VALUE(_xll.BDH(N$4,"PE_RATIO",$B58,$B58)),VALUE(_xll.BDH(N$4,"PE_RATIO",$B58+1,$B58+1))),N59))</f>
        <v>0</v>
      </c>
      <c r="O58" s="555">
        <f ca="1">(IFERROR(IFERROR(VALUE(_xll.BDH(O$4,"PE_RATIO",$B58,$B58)),VALUE(_xll.BDH(O$4,"PE_RATIO",$B58+1,$B58+1))),O59))</f>
        <v>0</v>
      </c>
      <c r="P58" s="555"/>
      <c r="Q58" s="559">
        <f t="shared" ca="1" si="15"/>
        <v>45583</v>
      </c>
      <c r="R58" s="4">
        <v>47.41</v>
      </c>
      <c r="S58" s="4">
        <v>134353.48000000001</v>
      </c>
      <c r="T58" s="4">
        <v>0</v>
      </c>
      <c r="U58" s="4">
        <v>0.49129533678756471</v>
      </c>
      <c r="V58" s="4">
        <v>1.2396937154646748</v>
      </c>
      <c r="W58" s="4" t="e">
        <v>#DIV/0!</v>
      </c>
      <c r="Y58" s="555">
        <f t="shared" si="16"/>
        <v>47.41</v>
      </c>
      <c r="Z58" s="4">
        <f ca="1">IFERROR(VALUE(_xll.BDH(Z$4,"PX_LAST",$Q58,$Q58)),Z59)</f>
        <v>0</v>
      </c>
      <c r="AA58" s="4">
        <f ca="1">IFERROR(VALUE(_xll.BDH(AA$4,"PX_LAST",$Q58,$Q58)),AA59)</f>
        <v>0</v>
      </c>
      <c r="AB58" s="4">
        <f ca="1">IFERROR(VALUE(_xll.BDH(AB$4,"PX_LAST",$Q58,$Q58)),AB59)</f>
        <v>0</v>
      </c>
      <c r="AC58" s="4">
        <f ca="1">IFERROR(VALUE(_xll.BDH(AC$4,"PX_LAST",$Q58,$Q58)),AC59)</f>
        <v>0</v>
      </c>
      <c r="AD58" s="4">
        <f ca="1">IFERROR(VALUE(_xll.BDH(AD$4,"PX_LAST",$Q58,$Q58)),AD59)</f>
        <v>0</v>
      </c>
      <c r="AF58" s="4">
        <f t="shared" si="17"/>
        <v>0.49129533678756471</v>
      </c>
      <c r="AG58" s="4" t="e">
        <f t="shared" ca="1" si="18"/>
        <v>#DIV/0!</v>
      </c>
      <c r="AH58" s="4" t="e">
        <f t="shared" ca="1" si="19"/>
        <v>#DIV/0!</v>
      </c>
      <c r="AI58" s="4" t="e">
        <f t="shared" ca="1" si="20"/>
        <v>#DIV/0!</v>
      </c>
      <c r="AJ58" s="4" t="e">
        <f t="shared" ca="1" si="21"/>
        <v>#DIV/0!</v>
      </c>
      <c r="AK58" s="4" t="e">
        <f t="shared" ca="1" si="22"/>
        <v>#DIV/0!</v>
      </c>
      <c r="AM58" s="557">
        <f t="shared" ca="1" si="12"/>
        <v>45900</v>
      </c>
      <c r="AN58" s="558">
        <v>36.384999999999998</v>
      </c>
      <c r="AO58" s="558">
        <v>1955400</v>
      </c>
      <c r="AP58" s="558">
        <v>206.48981000000001</v>
      </c>
      <c r="AQ58" s="558">
        <v>7513.1317368499995</v>
      </c>
      <c r="AR58" s="558">
        <v>0.52539999999999998</v>
      </c>
    </row>
    <row r="59" spans="2:44">
      <c r="B59" s="559">
        <f t="shared" ca="1" si="23"/>
        <v>45576</v>
      </c>
      <c r="C59" s="555">
        <f ca="1">(IFERROR(IFERROR(VALUE(_xll.BDH(C$4,"CURRENT_EV_TO_T12M_EBITDA",$B59,$B59)),VALUE(_xll.BDH(C$4,"CURRENT_EV_TO_T12M_EBITDA",$B59+1,$B59+1))),C60))</f>
        <v>0</v>
      </c>
      <c r="D59" s="555">
        <f ca="1">(IFERROR(IFERROR(VALUE(_xll.BDH(D$4,"CURRENT_EV_TO_T12M_EBITDA",$B59,$B59)),VALUE(_xll.BDH(D$4,"CURRENT_EV_TO_T12M_EBITDA",$B59+1,$B59+1))),D60))</f>
        <v>0</v>
      </c>
      <c r="E59" s="555">
        <f ca="1">(IFERROR(IFERROR(VALUE(_xll.BDH(E$4,"CURRENT_EV_TO_T12M_EBITDA",$B59,$B59)),VALUE(_xll.BDH(E$4,"CURRENT_EV_TO_T12M_EBITDA",$B59+1,$B59+1))),E60))</f>
        <v>0</v>
      </c>
      <c r="F59" s="555">
        <f ca="1">(IFERROR(IFERROR(VALUE(_xll.BDH(F$4,"CURRENT_EV_TO_T12M_EBITDA",$B59,$B59)),VALUE(_xll.BDH(F$4,"CURRENT_EV_TO_T12M_EBITDA",$B59+1,$B59+1))),F60))</f>
        <v>0</v>
      </c>
      <c r="G59" s="555">
        <f ca="1">(IFERROR(IFERROR(VALUE(_xll.BDH(G$4,"CURRENT_EV_TO_T12M_EBITDA",$B59,$B59)),VALUE(_xll.BDH(G$4,"CURRENT_EV_TO_T12M_EBITDA",$B59+1,$B59+1))),G60))</f>
        <v>0</v>
      </c>
      <c r="H59" s="555">
        <f ca="1">(IFERROR(IFERROR(VALUE(_xll.BDH(H$4,"CURRENT_EV_TO_T12M_EBITDA",$B59,$B59)),VALUE(_xll.BDH(H$4,"CURRENT_EV_TO_T12M_EBITDA",$B59+1,$B59+1))),H60))</f>
        <v>0</v>
      </c>
      <c r="I59" s="559">
        <f t="shared" ca="1" si="14"/>
        <v>45576</v>
      </c>
      <c r="J59" s="555">
        <f ca="1">(IFERROR(IFERROR(VALUE(_xll.BDH(J$4,"PE_RATIO",$B59,$B59)),VALUE(_xll.BDH(J$4,"PE_RATIO",$B59+1,$B59+1))),J60))</f>
        <v>0</v>
      </c>
      <c r="K59" s="555">
        <f ca="1">(IFERROR(IFERROR(VALUE(_xll.BDH(K$4,"PE_RATIO",$B59,$B59)),VALUE(_xll.BDH(K$4,"PE_RATIO",$B59+1,$B59+1))),K60))</f>
        <v>0</v>
      </c>
      <c r="L59" s="555">
        <f ca="1">(IFERROR(IFERROR(VALUE(_xll.BDH(L$4,"PE_RATIO",$B59,$B59)),VALUE(_xll.BDH(L$4,"PE_RATIO",$B59+1,$B59+1))),L60))</f>
        <v>0</v>
      </c>
      <c r="M59" s="555">
        <f ca="1">(IFERROR(IFERROR(VALUE(_xll.BDH(M$4,"PE_RATIO",$B59,$B59)),VALUE(_xll.BDH(M$4,"PE_RATIO",$B59+1,$B59+1))),M60))</f>
        <v>0</v>
      </c>
      <c r="N59" s="555">
        <f ca="1">(IFERROR(IFERROR(VALUE(_xll.BDH(N$4,"PE_RATIO",$B59,$B59)),VALUE(_xll.BDH(N$4,"PE_RATIO",$B59+1,$B59+1))),N60))</f>
        <v>0</v>
      </c>
      <c r="O59" s="555">
        <f ca="1">(IFERROR(IFERROR(VALUE(_xll.BDH(O$4,"PE_RATIO",$B59,$B59)),VALUE(_xll.BDH(O$4,"PE_RATIO",$B59+1,$B59+1))),O60))</f>
        <v>0</v>
      </c>
      <c r="P59" s="555"/>
      <c r="Q59" s="559">
        <f t="shared" ca="1" si="15"/>
        <v>45576</v>
      </c>
      <c r="R59" s="4">
        <v>53.8</v>
      </c>
      <c r="S59" s="4">
        <v>136775.91</v>
      </c>
      <c r="T59" s="4">
        <v>0</v>
      </c>
      <c r="U59" s="4">
        <v>0.55751295336787565</v>
      </c>
      <c r="V59" s="4">
        <v>1.2620457323022964</v>
      </c>
      <c r="W59" s="4" t="e">
        <v>#DIV/0!</v>
      </c>
      <c r="Y59" s="555">
        <f t="shared" si="16"/>
        <v>53.8</v>
      </c>
      <c r="Z59" s="4">
        <f ca="1">IFERROR(VALUE(_xll.BDH(Z$4,"PX_LAST",$Q59,$Q59)),Z60)</f>
        <v>0</v>
      </c>
      <c r="AA59" s="4">
        <f ca="1">IFERROR(VALUE(_xll.BDH(AA$4,"PX_LAST",$Q59,$Q59)),AA60)</f>
        <v>0</v>
      </c>
      <c r="AB59" s="4">
        <f ca="1">IFERROR(VALUE(_xll.BDH(AB$4,"PX_LAST",$Q59,$Q59)),AB60)</f>
        <v>0</v>
      </c>
      <c r="AC59" s="4">
        <f ca="1">IFERROR(VALUE(_xll.BDH(AC$4,"PX_LAST",$Q59,$Q59)),AC60)</f>
        <v>0</v>
      </c>
      <c r="AD59" s="4">
        <f ca="1">IFERROR(VALUE(_xll.BDH(AD$4,"PX_LAST",$Q59,$Q59)),AD60)</f>
        <v>0</v>
      </c>
      <c r="AF59" s="4">
        <f t="shared" si="17"/>
        <v>0.55751295336787565</v>
      </c>
      <c r="AG59" s="4" t="e">
        <f t="shared" ca="1" si="18"/>
        <v>#DIV/0!</v>
      </c>
      <c r="AH59" s="4" t="e">
        <f t="shared" ca="1" si="19"/>
        <v>#DIV/0!</v>
      </c>
      <c r="AI59" s="4" t="e">
        <f t="shared" ca="1" si="20"/>
        <v>#DIV/0!</v>
      </c>
      <c r="AJ59" s="4" t="e">
        <f t="shared" ca="1" si="21"/>
        <v>#DIV/0!</v>
      </c>
      <c r="AK59" s="4" t="e">
        <f t="shared" ca="1" si="22"/>
        <v>#DIV/0!</v>
      </c>
      <c r="AM59" s="557">
        <f t="shared" ca="1" si="12"/>
        <v>45899</v>
      </c>
      <c r="AN59" s="558">
        <v>36.22</v>
      </c>
      <c r="AO59" s="558">
        <v>1610200</v>
      </c>
      <c r="AP59" s="558">
        <v>206.48981000000001</v>
      </c>
      <c r="AQ59" s="558">
        <v>7479.0609181999998</v>
      </c>
      <c r="AR59" s="558">
        <v>0.52280000000000004</v>
      </c>
    </row>
    <row r="60" spans="2:44">
      <c r="B60" s="559">
        <f t="shared" ca="1" si="23"/>
        <v>45569</v>
      </c>
      <c r="C60" s="555">
        <f ca="1">(IFERROR(IFERROR(VALUE(_xll.BDH(C$4,"CURRENT_EV_TO_T12M_EBITDA",$B60,$B60)),VALUE(_xll.BDH(C$4,"CURRENT_EV_TO_T12M_EBITDA",$B60+1,$B60+1))),C61))</f>
        <v>0</v>
      </c>
      <c r="D60" s="555">
        <f ca="1">(IFERROR(IFERROR(VALUE(_xll.BDH(D$4,"CURRENT_EV_TO_T12M_EBITDA",$B60,$B60)),VALUE(_xll.BDH(D$4,"CURRENT_EV_TO_T12M_EBITDA",$B60+1,$B60+1))),D61))</f>
        <v>0</v>
      </c>
      <c r="E60" s="555">
        <f ca="1">(IFERROR(IFERROR(VALUE(_xll.BDH(E$4,"CURRENT_EV_TO_T12M_EBITDA",$B60,$B60)),VALUE(_xll.BDH(E$4,"CURRENT_EV_TO_T12M_EBITDA",$B60+1,$B60+1))),E61))</f>
        <v>0</v>
      </c>
      <c r="F60" s="555">
        <f ca="1">(IFERROR(IFERROR(VALUE(_xll.BDH(F$4,"CURRENT_EV_TO_T12M_EBITDA",$B60,$B60)),VALUE(_xll.BDH(F$4,"CURRENT_EV_TO_T12M_EBITDA",$B60+1,$B60+1))),F61))</f>
        <v>0</v>
      </c>
      <c r="G60" s="555">
        <f ca="1">(IFERROR(IFERROR(VALUE(_xll.BDH(G$4,"CURRENT_EV_TO_T12M_EBITDA",$B60,$B60)),VALUE(_xll.BDH(G$4,"CURRENT_EV_TO_T12M_EBITDA",$B60+1,$B60+1))),G61))</f>
        <v>0</v>
      </c>
      <c r="H60" s="555">
        <f ca="1">(IFERROR(IFERROR(VALUE(_xll.BDH(H$4,"CURRENT_EV_TO_T12M_EBITDA",$B60,$B60)),VALUE(_xll.BDH(H$4,"CURRENT_EV_TO_T12M_EBITDA",$B60+1,$B60+1))),H61))</f>
        <v>0</v>
      </c>
      <c r="I60" s="559">
        <f t="shared" ca="1" si="14"/>
        <v>45569</v>
      </c>
      <c r="J60" s="555">
        <f ca="1">(IFERROR(IFERROR(VALUE(_xll.BDH(J$4,"PE_RATIO",$B60,$B60)),VALUE(_xll.BDH(J$4,"PE_RATIO",$B60+1,$B60+1))),J61))</f>
        <v>0</v>
      </c>
      <c r="K60" s="555">
        <f ca="1">(IFERROR(IFERROR(VALUE(_xll.BDH(K$4,"PE_RATIO",$B60,$B60)),VALUE(_xll.BDH(K$4,"PE_RATIO",$B60+1,$B60+1))),K61))</f>
        <v>0</v>
      </c>
      <c r="L60" s="555">
        <f ca="1">(IFERROR(IFERROR(VALUE(_xll.BDH(L$4,"PE_RATIO",$B60,$B60)),VALUE(_xll.BDH(L$4,"PE_RATIO",$B60+1,$B60+1))),L61))</f>
        <v>0</v>
      </c>
      <c r="M60" s="555">
        <f ca="1">(IFERROR(IFERROR(VALUE(_xll.BDH(M$4,"PE_RATIO",$B60,$B60)),VALUE(_xll.BDH(M$4,"PE_RATIO",$B60+1,$B60+1))),M61))</f>
        <v>0</v>
      </c>
      <c r="N60" s="555">
        <f ca="1">(IFERROR(IFERROR(VALUE(_xll.BDH(N$4,"PE_RATIO",$B60,$B60)),VALUE(_xll.BDH(N$4,"PE_RATIO",$B60+1,$B60+1))),N61))</f>
        <v>0</v>
      </c>
      <c r="O60" s="555">
        <f ca="1">(IFERROR(IFERROR(VALUE(_xll.BDH(O$4,"PE_RATIO",$B60,$B60)),VALUE(_xll.BDH(O$4,"PE_RATIO",$B60+1,$B60+1))),O61))</f>
        <v>0</v>
      </c>
      <c r="P60" s="555"/>
      <c r="Q60" s="559">
        <f t="shared" ca="1" si="15"/>
        <v>45569</v>
      </c>
      <c r="R60" s="4">
        <v>52.26</v>
      </c>
      <c r="S60" s="4">
        <v>136087.41</v>
      </c>
      <c r="T60" s="4">
        <v>0</v>
      </c>
      <c r="U60" s="4">
        <v>0.54155440414507772</v>
      </c>
      <c r="V60" s="4">
        <v>1.2556928702618237</v>
      </c>
      <c r="W60" s="4" t="e">
        <v>#DIV/0!</v>
      </c>
      <c r="Y60" s="555">
        <f t="shared" si="16"/>
        <v>52.26</v>
      </c>
      <c r="Z60" s="4">
        <f ca="1">IFERROR(VALUE(_xll.BDH(Z$4,"PX_LAST",$Q60,$Q60)),Z61)</f>
        <v>0</v>
      </c>
      <c r="AA60" s="4">
        <f ca="1">IFERROR(VALUE(_xll.BDH(AA$4,"PX_LAST",$Q60,$Q60)),AA61)</f>
        <v>0</v>
      </c>
      <c r="AB60" s="4">
        <f ca="1">IFERROR(VALUE(_xll.BDH(AB$4,"PX_LAST",$Q60,$Q60)),AB61)</f>
        <v>0</v>
      </c>
      <c r="AC60" s="4">
        <f ca="1">IFERROR(VALUE(_xll.BDH(AC$4,"PX_LAST",$Q60,$Q60)),AC61)</f>
        <v>0</v>
      </c>
      <c r="AD60" s="4">
        <f ca="1">IFERROR(VALUE(_xll.BDH(AD$4,"PX_LAST",$Q60,$Q60)),AD61)</f>
        <v>0</v>
      </c>
      <c r="AF60" s="4">
        <f t="shared" si="17"/>
        <v>0.54155440414507772</v>
      </c>
      <c r="AG60" s="4" t="e">
        <f t="shared" ca="1" si="18"/>
        <v>#DIV/0!</v>
      </c>
      <c r="AH60" s="4" t="e">
        <f t="shared" ca="1" si="19"/>
        <v>#DIV/0!</v>
      </c>
      <c r="AI60" s="4" t="e">
        <f t="shared" ca="1" si="20"/>
        <v>#DIV/0!</v>
      </c>
      <c r="AJ60" s="4" t="e">
        <f t="shared" ca="1" si="21"/>
        <v>#DIV/0!</v>
      </c>
      <c r="AK60" s="4" t="e">
        <f t="shared" ca="1" si="22"/>
        <v>#DIV/0!</v>
      </c>
      <c r="AM60" s="557">
        <f t="shared" ca="1" si="12"/>
        <v>45898</v>
      </c>
      <c r="AN60" s="558">
        <v>36.200000000000003</v>
      </c>
      <c r="AO60" s="558">
        <v>2385800</v>
      </c>
      <c r="AP60" s="558">
        <v>206.48981000000001</v>
      </c>
      <c r="AQ60" s="558">
        <v>7474.9311220000009</v>
      </c>
      <c r="AR60" s="558">
        <v>0.52270000000000005</v>
      </c>
    </row>
    <row r="61" spans="2:44">
      <c r="B61" s="559">
        <f t="shared" ca="1" si="23"/>
        <v>45562</v>
      </c>
      <c r="C61" s="555">
        <f ca="1">(IFERROR(IFERROR(VALUE(_xll.BDH(C$4,"CURRENT_EV_TO_T12M_EBITDA",$B61,$B61)),VALUE(_xll.BDH(C$4,"CURRENT_EV_TO_T12M_EBITDA",$B61+1,$B61+1))),C62))</f>
        <v>0</v>
      </c>
      <c r="D61" s="555">
        <f ca="1">(IFERROR(IFERROR(VALUE(_xll.BDH(D$4,"CURRENT_EV_TO_T12M_EBITDA",$B61,$B61)),VALUE(_xll.BDH(D$4,"CURRENT_EV_TO_T12M_EBITDA",$B61+1,$B61+1))),D62))</f>
        <v>0</v>
      </c>
      <c r="E61" s="555">
        <f ca="1">(IFERROR(IFERROR(VALUE(_xll.BDH(E$4,"CURRENT_EV_TO_T12M_EBITDA",$B61,$B61)),VALUE(_xll.BDH(E$4,"CURRENT_EV_TO_T12M_EBITDA",$B61+1,$B61+1))),E62))</f>
        <v>0</v>
      </c>
      <c r="F61" s="555">
        <f ca="1">(IFERROR(IFERROR(VALUE(_xll.BDH(F$4,"CURRENT_EV_TO_T12M_EBITDA",$B61,$B61)),VALUE(_xll.BDH(F$4,"CURRENT_EV_TO_T12M_EBITDA",$B61+1,$B61+1))),F62))</f>
        <v>0</v>
      </c>
      <c r="G61" s="555">
        <f ca="1">(IFERROR(IFERROR(VALUE(_xll.BDH(G$4,"CURRENT_EV_TO_T12M_EBITDA",$B61,$B61)),VALUE(_xll.BDH(G$4,"CURRENT_EV_TO_T12M_EBITDA",$B61+1,$B61+1))),G62))</f>
        <v>0</v>
      </c>
      <c r="H61" s="555">
        <f ca="1">(IFERROR(IFERROR(VALUE(_xll.BDH(H$4,"CURRENT_EV_TO_T12M_EBITDA",$B61,$B61)),VALUE(_xll.BDH(H$4,"CURRENT_EV_TO_T12M_EBITDA",$B61+1,$B61+1))),H62))</f>
        <v>0</v>
      </c>
      <c r="I61" s="559">
        <f t="shared" ca="1" si="14"/>
        <v>45562</v>
      </c>
      <c r="J61" s="555">
        <f ca="1">(IFERROR(IFERROR(VALUE(_xll.BDH(J$4,"PE_RATIO",$B61,$B61)),VALUE(_xll.BDH(J$4,"PE_RATIO",$B61+1,$B61+1))),J62))</f>
        <v>0</v>
      </c>
      <c r="K61" s="555">
        <f ca="1">(IFERROR(IFERROR(VALUE(_xll.BDH(K$4,"PE_RATIO",$B61,$B61)),VALUE(_xll.BDH(K$4,"PE_RATIO",$B61+1,$B61+1))),K62))</f>
        <v>0</v>
      </c>
      <c r="L61" s="555">
        <f ca="1">(IFERROR(IFERROR(VALUE(_xll.BDH(L$4,"PE_RATIO",$B61,$B61)),VALUE(_xll.BDH(L$4,"PE_RATIO",$B61+1,$B61+1))),L62))</f>
        <v>0</v>
      </c>
      <c r="M61" s="555">
        <f ca="1">(IFERROR(IFERROR(VALUE(_xll.BDH(M$4,"PE_RATIO",$B61,$B61)),VALUE(_xll.BDH(M$4,"PE_RATIO",$B61+1,$B61+1))),M62))</f>
        <v>0</v>
      </c>
      <c r="N61" s="555">
        <f ca="1">(IFERROR(IFERROR(VALUE(_xll.BDH(N$4,"PE_RATIO",$B61,$B61)),VALUE(_xll.BDH(N$4,"PE_RATIO",$B61+1,$B61+1))),N62))</f>
        <v>0</v>
      </c>
      <c r="O61" s="555">
        <f ca="1">(IFERROR(IFERROR(VALUE(_xll.BDH(O$4,"PE_RATIO",$B61,$B61)),VALUE(_xll.BDH(O$4,"PE_RATIO",$B61+1,$B61+1))),O62))</f>
        <v>0</v>
      </c>
      <c r="P61" s="555"/>
      <c r="Q61" s="559">
        <f t="shared" ca="1" si="15"/>
        <v>45562</v>
      </c>
      <c r="R61" s="4">
        <v>54.35</v>
      </c>
      <c r="S61" s="4">
        <v>132397.97</v>
      </c>
      <c r="T61" s="4">
        <v>0</v>
      </c>
      <c r="U61" s="4">
        <v>0.56321243523316067</v>
      </c>
      <c r="V61" s="4">
        <v>1.2216500186618204</v>
      </c>
      <c r="W61" s="4" t="e">
        <v>#DIV/0!</v>
      </c>
      <c r="Y61" s="555">
        <f t="shared" si="16"/>
        <v>54.35</v>
      </c>
      <c r="Z61" s="4">
        <f ca="1">IFERROR(VALUE(_xll.BDH(Z$4,"PX_LAST",$Q61,$Q61)),Z62)</f>
        <v>0</v>
      </c>
      <c r="AA61" s="4">
        <f ca="1">IFERROR(VALUE(_xll.BDH(AA$4,"PX_LAST",$Q61,$Q61)),AA62)</f>
        <v>0</v>
      </c>
      <c r="AB61" s="4">
        <f ca="1">IFERROR(VALUE(_xll.BDH(AB$4,"PX_LAST",$Q61,$Q61)),AB62)</f>
        <v>0</v>
      </c>
      <c r="AC61" s="4">
        <f ca="1">IFERROR(VALUE(_xll.BDH(AC$4,"PX_LAST",$Q61,$Q61)),AC62)</f>
        <v>0</v>
      </c>
      <c r="AD61" s="4">
        <f ca="1">IFERROR(VALUE(_xll.BDH(AD$4,"PX_LAST",$Q61,$Q61)),AD62)</f>
        <v>0</v>
      </c>
      <c r="AF61" s="4">
        <f t="shared" si="17"/>
        <v>0.56321243523316067</v>
      </c>
      <c r="AG61" s="4" t="e">
        <f t="shared" ca="1" si="18"/>
        <v>#DIV/0!</v>
      </c>
      <c r="AH61" s="4" t="e">
        <f t="shared" ca="1" si="19"/>
        <v>#DIV/0!</v>
      </c>
      <c r="AI61" s="4" t="e">
        <f t="shared" ca="1" si="20"/>
        <v>#DIV/0!</v>
      </c>
      <c r="AJ61" s="4" t="e">
        <f t="shared" ca="1" si="21"/>
        <v>#DIV/0!</v>
      </c>
      <c r="AK61" s="4" t="e">
        <f t="shared" ca="1" si="22"/>
        <v>#DIV/0!</v>
      </c>
      <c r="AM61" s="557">
        <f t="shared" ca="1" si="12"/>
        <v>45897</v>
      </c>
      <c r="AN61" s="558">
        <v>35.1</v>
      </c>
      <c r="AO61" s="558">
        <v>2370200</v>
      </c>
      <c r="AP61" s="558">
        <v>206.48981000000001</v>
      </c>
      <c r="AQ61" s="558">
        <v>7247.7923310000006</v>
      </c>
      <c r="AR61" s="558">
        <v>0.5081</v>
      </c>
    </row>
    <row r="62" spans="2:44">
      <c r="B62" s="559">
        <f t="shared" ca="1" si="23"/>
        <v>45555</v>
      </c>
      <c r="C62" s="555">
        <f ca="1">(IFERROR(IFERROR(VALUE(_xll.BDH(C$4,"CURRENT_EV_TO_T12M_EBITDA",$B62,$B62)),VALUE(_xll.BDH(C$4,"CURRENT_EV_TO_T12M_EBITDA",$B62+1,$B62+1))),C63))</f>
        <v>0</v>
      </c>
      <c r="D62" s="555">
        <f ca="1">(IFERROR(IFERROR(VALUE(_xll.BDH(D$4,"CURRENT_EV_TO_T12M_EBITDA",$B62,$B62)),VALUE(_xll.BDH(D$4,"CURRENT_EV_TO_T12M_EBITDA",$B62+1,$B62+1))),D63))</f>
        <v>0</v>
      </c>
      <c r="E62" s="555">
        <f ca="1">(IFERROR(IFERROR(VALUE(_xll.BDH(E$4,"CURRENT_EV_TO_T12M_EBITDA",$B62,$B62)),VALUE(_xll.BDH(E$4,"CURRENT_EV_TO_T12M_EBITDA",$B62+1,$B62+1))),E63))</f>
        <v>0</v>
      </c>
      <c r="F62" s="555">
        <f ca="1">(IFERROR(IFERROR(VALUE(_xll.BDH(F$4,"CURRENT_EV_TO_T12M_EBITDA",$B62,$B62)),VALUE(_xll.BDH(F$4,"CURRENT_EV_TO_T12M_EBITDA",$B62+1,$B62+1))),F63))</f>
        <v>0</v>
      </c>
      <c r="G62" s="555">
        <f ca="1">(IFERROR(IFERROR(VALUE(_xll.BDH(G$4,"CURRENT_EV_TO_T12M_EBITDA",$B62,$B62)),VALUE(_xll.BDH(G$4,"CURRENT_EV_TO_T12M_EBITDA",$B62+1,$B62+1))),G63))</f>
        <v>0</v>
      </c>
      <c r="H62" s="555">
        <f ca="1">(IFERROR(IFERROR(VALUE(_xll.BDH(H$4,"CURRENT_EV_TO_T12M_EBITDA",$B62,$B62)),VALUE(_xll.BDH(H$4,"CURRENT_EV_TO_T12M_EBITDA",$B62+1,$B62+1))),H63))</f>
        <v>0</v>
      </c>
      <c r="I62" s="559">
        <f t="shared" ca="1" si="14"/>
        <v>45555</v>
      </c>
      <c r="J62" s="555">
        <f ca="1">(IFERROR(IFERROR(VALUE(_xll.BDH(J$4,"PE_RATIO",$B62,$B62)),VALUE(_xll.BDH(J$4,"PE_RATIO",$B62+1,$B62+1))),J63))</f>
        <v>0</v>
      </c>
      <c r="K62" s="555">
        <f ca="1">(IFERROR(IFERROR(VALUE(_xll.BDH(K$4,"PE_RATIO",$B62,$B62)),VALUE(_xll.BDH(K$4,"PE_RATIO",$B62+1,$B62+1))),K63))</f>
        <v>0</v>
      </c>
      <c r="L62" s="555">
        <f ca="1">(IFERROR(IFERROR(VALUE(_xll.BDH(L$4,"PE_RATIO",$B62,$B62)),VALUE(_xll.BDH(L$4,"PE_RATIO",$B62+1,$B62+1))),L63))</f>
        <v>0</v>
      </c>
      <c r="M62" s="555">
        <f ca="1">(IFERROR(IFERROR(VALUE(_xll.BDH(M$4,"PE_RATIO",$B62,$B62)),VALUE(_xll.BDH(M$4,"PE_RATIO",$B62+1,$B62+1))),M63))</f>
        <v>0</v>
      </c>
      <c r="N62" s="555">
        <f ca="1">(IFERROR(IFERROR(VALUE(_xll.BDH(N$4,"PE_RATIO",$B62,$B62)),VALUE(_xll.BDH(N$4,"PE_RATIO",$B62+1,$B62+1))),N63))</f>
        <v>0</v>
      </c>
      <c r="O62" s="555">
        <f ca="1">(IFERROR(IFERROR(VALUE(_xll.BDH(O$4,"PE_RATIO",$B62,$B62)),VALUE(_xll.BDH(O$4,"PE_RATIO",$B62+1,$B62+1))),O63))</f>
        <v>0</v>
      </c>
      <c r="P62" s="555"/>
      <c r="Q62" s="559">
        <f t="shared" ca="1" si="15"/>
        <v>45555</v>
      </c>
      <c r="R62" s="4">
        <v>49.38</v>
      </c>
      <c r="S62" s="4">
        <v>126266.7</v>
      </c>
      <c r="T62" s="4">
        <v>0</v>
      </c>
      <c r="U62" s="4">
        <v>0.51170984455958557</v>
      </c>
      <c r="V62" s="4">
        <v>1.1650761443802082</v>
      </c>
      <c r="W62" s="4" t="e">
        <v>#DIV/0!</v>
      </c>
      <c r="Y62" s="555">
        <f t="shared" si="16"/>
        <v>49.38</v>
      </c>
      <c r="Z62" s="4">
        <f ca="1">IFERROR(VALUE(_xll.BDH(Z$4,"PX_LAST",$Q62,$Q62)),Z63)</f>
        <v>0</v>
      </c>
      <c r="AA62" s="4">
        <f ca="1">IFERROR(VALUE(_xll.BDH(AA$4,"PX_LAST",$Q62,$Q62)),AA63)</f>
        <v>0</v>
      </c>
      <c r="AB62" s="4">
        <f ca="1">IFERROR(VALUE(_xll.BDH(AB$4,"PX_LAST",$Q62,$Q62)),AB63)</f>
        <v>0</v>
      </c>
      <c r="AC62" s="4">
        <f ca="1">IFERROR(VALUE(_xll.BDH(AC$4,"PX_LAST",$Q62,$Q62)),AC63)</f>
        <v>0</v>
      </c>
      <c r="AD62" s="4">
        <f ca="1">IFERROR(VALUE(_xll.BDH(AD$4,"PX_LAST",$Q62,$Q62)),AD63)</f>
        <v>0</v>
      </c>
      <c r="AF62" s="4">
        <f t="shared" si="17"/>
        <v>0.51170984455958557</v>
      </c>
      <c r="AG62" s="4" t="e">
        <f t="shared" ca="1" si="18"/>
        <v>#DIV/0!</v>
      </c>
      <c r="AH62" s="4" t="e">
        <f t="shared" ca="1" si="19"/>
        <v>#DIV/0!</v>
      </c>
      <c r="AI62" s="4" t="e">
        <f t="shared" ca="1" si="20"/>
        <v>#DIV/0!</v>
      </c>
      <c r="AJ62" s="4" t="e">
        <f t="shared" ca="1" si="21"/>
        <v>#DIV/0!</v>
      </c>
      <c r="AK62" s="4" t="e">
        <f t="shared" ca="1" si="22"/>
        <v>#DIV/0!</v>
      </c>
      <c r="AM62" s="557">
        <f t="shared" ca="1" si="12"/>
        <v>45896</v>
      </c>
      <c r="AN62" s="558">
        <v>35.615000000000002</v>
      </c>
      <c r="AO62" s="558">
        <v>1759000</v>
      </c>
      <c r="AP62" s="558">
        <v>206.48981000000001</v>
      </c>
      <c r="AQ62" s="558">
        <v>7354.1345831500003</v>
      </c>
      <c r="AR62" s="558">
        <v>0.51519999999999999</v>
      </c>
    </row>
    <row r="63" spans="2:44">
      <c r="B63" s="559">
        <f t="shared" ca="1" si="23"/>
        <v>45548</v>
      </c>
      <c r="C63" s="555">
        <f ca="1">(IFERROR(IFERROR(VALUE(_xll.BDH(C$4,"CURRENT_EV_TO_T12M_EBITDA",$B63,$B63)),VALUE(_xll.BDH(C$4,"CURRENT_EV_TO_T12M_EBITDA",$B63+1,$B63+1))),C64))</f>
        <v>0</v>
      </c>
      <c r="D63" s="555">
        <f ca="1">(IFERROR(IFERROR(VALUE(_xll.BDH(D$4,"CURRENT_EV_TO_T12M_EBITDA",$B63,$B63)),VALUE(_xll.BDH(D$4,"CURRENT_EV_TO_T12M_EBITDA",$B63+1,$B63+1))),D64))</f>
        <v>0</v>
      </c>
      <c r="E63" s="555">
        <f ca="1">(IFERROR(IFERROR(VALUE(_xll.BDH(E$4,"CURRENT_EV_TO_T12M_EBITDA",$B63,$B63)),VALUE(_xll.BDH(E$4,"CURRENT_EV_TO_T12M_EBITDA",$B63+1,$B63+1))),E64))</f>
        <v>0</v>
      </c>
      <c r="F63" s="555">
        <f ca="1">(IFERROR(IFERROR(VALUE(_xll.BDH(F$4,"CURRENT_EV_TO_T12M_EBITDA",$B63,$B63)),VALUE(_xll.BDH(F$4,"CURRENT_EV_TO_T12M_EBITDA",$B63+1,$B63+1))),F64))</f>
        <v>0</v>
      </c>
      <c r="G63" s="555">
        <f ca="1">(IFERROR(IFERROR(VALUE(_xll.BDH(G$4,"CURRENT_EV_TO_T12M_EBITDA",$B63,$B63)),VALUE(_xll.BDH(G$4,"CURRENT_EV_TO_T12M_EBITDA",$B63+1,$B63+1))),G64))</f>
        <v>0</v>
      </c>
      <c r="H63" s="555">
        <f ca="1">(IFERROR(IFERROR(VALUE(_xll.BDH(H$4,"CURRENT_EV_TO_T12M_EBITDA",$B63,$B63)),VALUE(_xll.BDH(H$4,"CURRENT_EV_TO_T12M_EBITDA",$B63+1,$B63+1))),H64))</f>
        <v>0</v>
      </c>
      <c r="I63" s="559">
        <f t="shared" ca="1" si="14"/>
        <v>45548</v>
      </c>
      <c r="J63" s="555">
        <f ca="1">(IFERROR(IFERROR(VALUE(_xll.BDH(J$4,"PE_RATIO",$B63,$B63)),VALUE(_xll.BDH(J$4,"PE_RATIO",$B63+1,$B63+1))),J64))</f>
        <v>0</v>
      </c>
      <c r="K63" s="555">
        <f ca="1">(IFERROR(IFERROR(VALUE(_xll.BDH(K$4,"PE_RATIO",$B63,$B63)),VALUE(_xll.BDH(K$4,"PE_RATIO",$B63+1,$B63+1))),K64))</f>
        <v>0</v>
      </c>
      <c r="L63" s="555">
        <f ca="1">(IFERROR(IFERROR(VALUE(_xll.BDH(L$4,"PE_RATIO",$B63,$B63)),VALUE(_xll.BDH(L$4,"PE_RATIO",$B63+1,$B63+1))),L64))</f>
        <v>0</v>
      </c>
      <c r="M63" s="555">
        <f ca="1">(IFERROR(IFERROR(VALUE(_xll.BDH(M$4,"PE_RATIO",$B63,$B63)),VALUE(_xll.BDH(M$4,"PE_RATIO",$B63+1,$B63+1))),M64))</f>
        <v>0</v>
      </c>
      <c r="N63" s="555">
        <f ca="1">(IFERROR(IFERROR(VALUE(_xll.BDH(N$4,"PE_RATIO",$B63,$B63)),VALUE(_xll.BDH(N$4,"PE_RATIO",$B63+1,$B63+1))),N64))</f>
        <v>0</v>
      </c>
      <c r="O63" s="555">
        <f ca="1">(IFERROR(IFERROR(VALUE(_xll.BDH(O$4,"PE_RATIO",$B63,$B63)),VALUE(_xll.BDH(O$4,"PE_RATIO",$B63+1,$B63+1))),O64))</f>
        <v>0</v>
      </c>
      <c r="P63" s="555"/>
      <c r="Q63" s="559">
        <f t="shared" ca="1" si="15"/>
        <v>45548</v>
      </c>
      <c r="R63" s="4">
        <v>48.69</v>
      </c>
      <c r="S63" s="4">
        <v>126139.21</v>
      </c>
      <c r="T63" s="4">
        <v>0</v>
      </c>
      <c r="U63" s="4">
        <v>0.5045595854922279</v>
      </c>
      <c r="V63" s="4">
        <v>1.1638997807178411</v>
      </c>
      <c r="W63" s="4" t="e">
        <v>#DIV/0!</v>
      </c>
      <c r="Y63" s="555">
        <f t="shared" si="16"/>
        <v>48.69</v>
      </c>
      <c r="Z63" s="4">
        <f ca="1">IFERROR(VALUE(_xll.BDH(Z$4,"PX_LAST",$Q63,$Q63)),Z64)</f>
        <v>0</v>
      </c>
      <c r="AA63" s="4">
        <f ca="1">IFERROR(VALUE(_xll.BDH(AA$4,"PX_LAST",$Q63,$Q63)),AA64)</f>
        <v>0</v>
      </c>
      <c r="AB63" s="4">
        <f ca="1">IFERROR(VALUE(_xll.BDH(AB$4,"PX_LAST",$Q63,$Q63)),AB64)</f>
        <v>0</v>
      </c>
      <c r="AC63" s="4">
        <f ca="1">IFERROR(VALUE(_xll.BDH(AC$4,"PX_LAST",$Q63,$Q63)),AC64)</f>
        <v>0</v>
      </c>
      <c r="AD63" s="4">
        <f ca="1">IFERROR(VALUE(_xll.BDH(AD$4,"PX_LAST",$Q63,$Q63)),AD64)</f>
        <v>0</v>
      </c>
      <c r="AF63" s="4">
        <f t="shared" si="17"/>
        <v>0.5045595854922279</v>
      </c>
      <c r="AG63" s="4" t="e">
        <f t="shared" ca="1" si="18"/>
        <v>#DIV/0!</v>
      </c>
      <c r="AH63" s="4" t="e">
        <f t="shared" ca="1" si="19"/>
        <v>#DIV/0!</v>
      </c>
      <c r="AI63" s="4" t="e">
        <f t="shared" ca="1" si="20"/>
        <v>#DIV/0!</v>
      </c>
      <c r="AJ63" s="4" t="e">
        <f t="shared" ca="1" si="21"/>
        <v>#DIV/0!</v>
      </c>
      <c r="AK63" s="4" t="e">
        <f t="shared" ca="1" si="22"/>
        <v>#DIV/0!</v>
      </c>
      <c r="AM63" s="557">
        <f t="shared" ca="1" si="12"/>
        <v>45895</v>
      </c>
      <c r="AN63" s="558">
        <v>35.615000000000002</v>
      </c>
      <c r="AO63" s="558">
        <v>1759000</v>
      </c>
      <c r="AP63" s="558">
        <v>206.48981000000001</v>
      </c>
      <c r="AQ63" s="558">
        <v>7354.1345831500003</v>
      </c>
      <c r="AR63" s="558">
        <v>0.51519999999999999</v>
      </c>
    </row>
    <row r="64" spans="2:44">
      <c r="B64" s="559">
        <f t="shared" ca="1" si="23"/>
        <v>45541</v>
      </c>
      <c r="C64" s="555">
        <f ca="1">(IFERROR(IFERROR(VALUE(_xll.BDH(C$4,"CURRENT_EV_TO_T12M_EBITDA",$B64,$B64)),VALUE(_xll.BDH(C$4,"CURRENT_EV_TO_T12M_EBITDA",$B64+1,$B64+1))),C65))</f>
        <v>0</v>
      </c>
      <c r="D64" s="555">
        <f ca="1">(IFERROR(IFERROR(VALUE(_xll.BDH(D$4,"CURRENT_EV_TO_T12M_EBITDA",$B64,$B64)),VALUE(_xll.BDH(D$4,"CURRENT_EV_TO_T12M_EBITDA",$B64+1,$B64+1))),D65))</f>
        <v>0</v>
      </c>
      <c r="E64" s="555">
        <f ca="1">(IFERROR(IFERROR(VALUE(_xll.BDH(E$4,"CURRENT_EV_TO_T12M_EBITDA",$B64,$B64)),VALUE(_xll.BDH(E$4,"CURRENT_EV_TO_T12M_EBITDA",$B64+1,$B64+1))),E65))</f>
        <v>0</v>
      </c>
      <c r="F64" s="555">
        <f ca="1">(IFERROR(IFERROR(VALUE(_xll.BDH(F$4,"CURRENT_EV_TO_T12M_EBITDA",$B64,$B64)),VALUE(_xll.BDH(F$4,"CURRENT_EV_TO_T12M_EBITDA",$B64+1,$B64+1))),F65))</f>
        <v>0</v>
      </c>
      <c r="G64" s="555">
        <f ca="1">(IFERROR(IFERROR(VALUE(_xll.BDH(G$4,"CURRENT_EV_TO_T12M_EBITDA",$B64,$B64)),VALUE(_xll.BDH(G$4,"CURRENT_EV_TO_T12M_EBITDA",$B64+1,$B64+1))),G65))</f>
        <v>0</v>
      </c>
      <c r="H64" s="555">
        <f ca="1">(IFERROR(IFERROR(VALUE(_xll.BDH(H$4,"CURRENT_EV_TO_T12M_EBITDA",$B64,$B64)),VALUE(_xll.BDH(H$4,"CURRENT_EV_TO_T12M_EBITDA",$B64+1,$B64+1))),H65))</f>
        <v>0</v>
      </c>
      <c r="I64" s="559">
        <f t="shared" ca="1" si="14"/>
        <v>45541</v>
      </c>
      <c r="J64" s="555">
        <f ca="1">(IFERROR(IFERROR(VALUE(_xll.BDH(J$4,"PE_RATIO",$B64,$B64)),VALUE(_xll.BDH(J$4,"PE_RATIO",$B64+1,$B64+1))),J65))</f>
        <v>0</v>
      </c>
      <c r="K64" s="555">
        <f ca="1">(IFERROR(IFERROR(VALUE(_xll.BDH(K$4,"PE_RATIO",$B64,$B64)),VALUE(_xll.BDH(K$4,"PE_RATIO",$B64+1,$B64+1))),K65))</f>
        <v>0</v>
      </c>
      <c r="L64" s="555">
        <f ca="1">(IFERROR(IFERROR(VALUE(_xll.BDH(L$4,"PE_RATIO",$B64,$B64)),VALUE(_xll.BDH(L$4,"PE_RATIO",$B64+1,$B64+1))),L65))</f>
        <v>0</v>
      </c>
      <c r="M64" s="555">
        <f ca="1">(IFERROR(IFERROR(VALUE(_xll.BDH(M$4,"PE_RATIO",$B64,$B64)),VALUE(_xll.BDH(M$4,"PE_RATIO",$B64+1,$B64+1))),M65))</f>
        <v>0</v>
      </c>
      <c r="N64" s="555">
        <f ca="1">(IFERROR(IFERROR(VALUE(_xll.BDH(N$4,"PE_RATIO",$B64,$B64)),VALUE(_xll.BDH(N$4,"PE_RATIO",$B64+1,$B64+1))),N65))</f>
        <v>0</v>
      </c>
      <c r="O64" s="555">
        <f ca="1">(IFERROR(IFERROR(VALUE(_xll.BDH(O$4,"PE_RATIO",$B64,$B64)),VALUE(_xll.BDH(O$4,"PE_RATIO",$B64+1,$B64+1))),O65))</f>
        <v>0</v>
      </c>
      <c r="P64" s="555"/>
      <c r="Q64" s="559">
        <f t="shared" ca="1" si="15"/>
        <v>45541</v>
      </c>
      <c r="R64" s="4">
        <v>52.61</v>
      </c>
      <c r="S64" s="4">
        <v>126589.84</v>
      </c>
      <c r="T64" s="4">
        <v>0</v>
      </c>
      <c r="U64" s="4">
        <v>0.54518134715025901</v>
      </c>
      <c r="V64" s="4">
        <v>1.1680577912062917</v>
      </c>
      <c r="W64" s="4" t="e">
        <v>#DIV/0!</v>
      </c>
      <c r="Y64" s="555">
        <f t="shared" si="16"/>
        <v>52.61</v>
      </c>
      <c r="Z64" s="4">
        <f ca="1">IFERROR(VALUE(_xll.BDH(Z$4,"PX_LAST",$Q64,$Q64)),Z65)</f>
        <v>0</v>
      </c>
      <c r="AA64" s="4">
        <f ca="1">IFERROR(VALUE(_xll.BDH(AA$4,"PX_LAST",$Q64,$Q64)),AA65)</f>
        <v>0</v>
      </c>
      <c r="AB64" s="4">
        <f ca="1">IFERROR(VALUE(_xll.BDH(AB$4,"PX_LAST",$Q64,$Q64)),AB65)</f>
        <v>0</v>
      </c>
      <c r="AC64" s="4">
        <f ca="1">IFERROR(VALUE(_xll.BDH(AC$4,"PX_LAST",$Q64,$Q64)),AC65)</f>
        <v>0</v>
      </c>
      <c r="AD64" s="4">
        <f ca="1">IFERROR(VALUE(_xll.BDH(AD$4,"PX_LAST",$Q64,$Q64)),AD65)</f>
        <v>0</v>
      </c>
      <c r="AF64" s="4">
        <f t="shared" si="17"/>
        <v>0.54518134715025901</v>
      </c>
      <c r="AG64" s="4" t="e">
        <f t="shared" ca="1" si="18"/>
        <v>#DIV/0!</v>
      </c>
      <c r="AH64" s="4" t="e">
        <f t="shared" ca="1" si="19"/>
        <v>#DIV/0!</v>
      </c>
      <c r="AI64" s="4" t="e">
        <f t="shared" ca="1" si="20"/>
        <v>#DIV/0!</v>
      </c>
      <c r="AJ64" s="4" t="e">
        <f t="shared" ca="1" si="21"/>
        <v>#DIV/0!</v>
      </c>
      <c r="AK64" s="4" t="e">
        <f t="shared" ca="1" si="22"/>
        <v>#DIV/0!</v>
      </c>
      <c r="AM64" s="557">
        <f t="shared" ca="1" si="12"/>
        <v>45894</v>
      </c>
      <c r="AN64" s="558">
        <v>35.615000000000002</v>
      </c>
      <c r="AO64" s="558">
        <v>1759000</v>
      </c>
      <c r="AP64" s="558">
        <v>206.48981000000001</v>
      </c>
      <c r="AQ64" s="558">
        <v>7354.1345831500003</v>
      </c>
      <c r="AR64" s="558">
        <v>0.51519999999999999</v>
      </c>
    </row>
    <row r="65" spans="2:44">
      <c r="B65" s="559">
        <f t="shared" ca="1" si="23"/>
        <v>45534</v>
      </c>
      <c r="C65" s="555">
        <f ca="1">(IFERROR(IFERROR(VALUE(_xll.BDH(C$4,"CURRENT_EV_TO_T12M_EBITDA",$B65,$B65)),VALUE(_xll.BDH(C$4,"CURRENT_EV_TO_T12M_EBITDA",$B65+1,$B65+1))),C66))</f>
        <v>0</v>
      </c>
      <c r="D65" s="555">
        <f ca="1">(IFERROR(IFERROR(VALUE(_xll.BDH(D$4,"CURRENT_EV_TO_T12M_EBITDA",$B65,$B65)),VALUE(_xll.BDH(D$4,"CURRENT_EV_TO_T12M_EBITDA",$B65+1,$B65+1))),D66))</f>
        <v>0</v>
      </c>
      <c r="E65" s="555">
        <f ca="1">(IFERROR(IFERROR(VALUE(_xll.BDH(E$4,"CURRENT_EV_TO_T12M_EBITDA",$B65,$B65)),VALUE(_xll.BDH(E$4,"CURRENT_EV_TO_T12M_EBITDA",$B65+1,$B65+1))),E66))</f>
        <v>0</v>
      </c>
      <c r="F65" s="555">
        <f ca="1">(IFERROR(IFERROR(VALUE(_xll.BDH(F$4,"CURRENT_EV_TO_T12M_EBITDA",$B65,$B65)),VALUE(_xll.BDH(F$4,"CURRENT_EV_TO_T12M_EBITDA",$B65+1,$B65+1))),F66))</f>
        <v>0</v>
      </c>
      <c r="G65" s="555">
        <f ca="1">(IFERROR(IFERROR(VALUE(_xll.BDH(G$4,"CURRENT_EV_TO_T12M_EBITDA",$B65,$B65)),VALUE(_xll.BDH(G$4,"CURRENT_EV_TO_T12M_EBITDA",$B65+1,$B65+1))),G66))</f>
        <v>0</v>
      </c>
      <c r="H65" s="555">
        <f ca="1">(IFERROR(IFERROR(VALUE(_xll.BDH(H$4,"CURRENT_EV_TO_T12M_EBITDA",$B65,$B65)),VALUE(_xll.BDH(H$4,"CURRENT_EV_TO_T12M_EBITDA",$B65+1,$B65+1))),H66))</f>
        <v>0</v>
      </c>
      <c r="I65" s="559">
        <f t="shared" ca="1" si="14"/>
        <v>45534</v>
      </c>
      <c r="J65" s="555">
        <f ca="1">(IFERROR(IFERROR(VALUE(_xll.BDH(J$4,"PE_RATIO",$B65,$B65)),VALUE(_xll.BDH(J$4,"PE_RATIO",$B65+1,$B65+1))),J66))</f>
        <v>0</v>
      </c>
      <c r="K65" s="555">
        <f ca="1">(IFERROR(IFERROR(VALUE(_xll.BDH(K$4,"PE_RATIO",$B65,$B65)),VALUE(_xll.BDH(K$4,"PE_RATIO",$B65+1,$B65+1))),K66))</f>
        <v>0</v>
      </c>
      <c r="L65" s="555">
        <f ca="1">(IFERROR(IFERROR(VALUE(_xll.BDH(L$4,"PE_RATIO",$B65,$B65)),VALUE(_xll.BDH(L$4,"PE_RATIO",$B65+1,$B65+1))),L66))</f>
        <v>0</v>
      </c>
      <c r="M65" s="555">
        <f ca="1">(IFERROR(IFERROR(VALUE(_xll.BDH(M$4,"PE_RATIO",$B65,$B65)),VALUE(_xll.BDH(M$4,"PE_RATIO",$B65+1,$B65+1))),M66))</f>
        <v>0</v>
      </c>
      <c r="N65" s="555">
        <f ca="1">(IFERROR(IFERROR(VALUE(_xll.BDH(N$4,"PE_RATIO",$B65,$B65)),VALUE(_xll.BDH(N$4,"PE_RATIO",$B65+1,$B65+1))),N66))</f>
        <v>0</v>
      </c>
      <c r="O65" s="555">
        <f ca="1">(IFERROR(IFERROR(VALUE(_xll.BDH(O$4,"PE_RATIO",$B65,$B65)),VALUE(_xll.BDH(O$4,"PE_RATIO",$B65+1,$B65+1))),O66))</f>
        <v>0</v>
      </c>
      <c r="P65" s="555"/>
      <c r="Q65" s="559">
        <f t="shared" ca="1" si="15"/>
        <v>45534</v>
      </c>
      <c r="R65" s="4">
        <v>53.38</v>
      </c>
      <c r="S65" s="4">
        <v>129110.38</v>
      </c>
      <c r="T65" s="4">
        <v>0</v>
      </c>
      <c r="U65" s="4">
        <v>0.55316062176165803</v>
      </c>
      <c r="V65" s="4">
        <v>1.1913150793507994</v>
      </c>
      <c r="W65" s="4" t="e">
        <v>#DIV/0!</v>
      </c>
      <c r="Y65" s="555">
        <f t="shared" si="16"/>
        <v>53.38</v>
      </c>
      <c r="Z65" s="4">
        <f ca="1">IFERROR(VALUE(_xll.BDH(Z$4,"PX_LAST",$Q65,$Q65)),Z66)</f>
        <v>0</v>
      </c>
      <c r="AA65" s="4">
        <f ca="1">IFERROR(VALUE(_xll.BDH(AA$4,"PX_LAST",$Q65,$Q65)),AA66)</f>
        <v>0</v>
      </c>
      <c r="AB65" s="4">
        <f ca="1">IFERROR(VALUE(_xll.BDH(AB$4,"PX_LAST",$Q65,$Q65)),AB66)</f>
        <v>0</v>
      </c>
      <c r="AC65" s="4">
        <f ca="1">IFERROR(VALUE(_xll.BDH(AC$4,"PX_LAST",$Q65,$Q65)),AC66)</f>
        <v>0</v>
      </c>
      <c r="AD65" s="4">
        <f ca="1">IFERROR(VALUE(_xll.BDH(AD$4,"PX_LAST",$Q65,$Q65)),AD66)</f>
        <v>0</v>
      </c>
      <c r="AF65" s="4">
        <f t="shared" si="17"/>
        <v>0.55316062176165803</v>
      </c>
      <c r="AG65" s="4" t="e">
        <f t="shared" ca="1" si="18"/>
        <v>#DIV/0!</v>
      </c>
      <c r="AH65" s="4" t="e">
        <f t="shared" ca="1" si="19"/>
        <v>#DIV/0!</v>
      </c>
      <c r="AI65" s="4" t="e">
        <f t="shared" ca="1" si="20"/>
        <v>#DIV/0!</v>
      </c>
      <c r="AJ65" s="4" t="e">
        <f t="shared" ca="1" si="21"/>
        <v>#DIV/0!</v>
      </c>
      <c r="AK65" s="4" t="e">
        <f t="shared" ca="1" si="22"/>
        <v>#DIV/0!</v>
      </c>
      <c r="AM65" s="557">
        <f t="shared" ca="1" si="12"/>
        <v>45893</v>
      </c>
      <c r="AN65" s="558">
        <v>36.475000000000001</v>
      </c>
      <c r="AO65" s="558">
        <v>5381000</v>
      </c>
      <c r="AP65" s="558">
        <v>206.48981000000001</v>
      </c>
      <c r="AQ65" s="558">
        <v>7531.7158197500003</v>
      </c>
      <c r="AR65" s="558">
        <v>0.52690000000000003</v>
      </c>
    </row>
    <row r="66" spans="2:44">
      <c r="B66" s="559">
        <f t="shared" ca="1" si="23"/>
        <v>45527</v>
      </c>
      <c r="C66" s="555">
        <f ca="1">(IFERROR(IFERROR(VALUE(_xll.BDH(C$4,"CURRENT_EV_TO_T12M_EBITDA",$B66,$B66)),VALUE(_xll.BDH(C$4,"CURRENT_EV_TO_T12M_EBITDA",$B66+1,$B66+1))),C67))</f>
        <v>0</v>
      </c>
      <c r="D66" s="555">
        <f ca="1">(IFERROR(IFERROR(VALUE(_xll.BDH(D$4,"CURRENT_EV_TO_T12M_EBITDA",$B66,$B66)),VALUE(_xll.BDH(D$4,"CURRENT_EV_TO_T12M_EBITDA",$B66+1,$B66+1))),D67))</f>
        <v>0</v>
      </c>
      <c r="E66" s="555">
        <f ca="1">(IFERROR(IFERROR(VALUE(_xll.BDH(E$4,"CURRENT_EV_TO_T12M_EBITDA",$B66,$B66)),VALUE(_xll.BDH(E$4,"CURRENT_EV_TO_T12M_EBITDA",$B66+1,$B66+1))),E67))</f>
        <v>0</v>
      </c>
      <c r="F66" s="555">
        <f ca="1">(IFERROR(IFERROR(VALUE(_xll.BDH(F$4,"CURRENT_EV_TO_T12M_EBITDA",$B66,$B66)),VALUE(_xll.BDH(F$4,"CURRENT_EV_TO_T12M_EBITDA",$B66+1,$B66+1))),F67))</f>
        <v>0</v>
      </c>
      <c r="G66" s="555">
        <f ca="1">(IFERROR(IFERROR(VALUE(_xll.BDH(G$4,"CURRENT_EV_TO_T12M_EBITDA",$B66,$B66)),VALUE(_xll.BDH(G$4,"CURRENT_EV_TO_T12M_EBITDA",$B66+1,$B66+1))),G67))</f>
        <v>0</v>
      </c>
      <c r="H66" s="555">
        <f ca="1">(IFERROR(IFERROR(VALUE(_xll.BDH(H$4,"CURRENT_EV_TO_T12M_EBITDA",$B66,$B66)),VALUE(_xll.BDH(H$4,"CURRENT_EV_TO_T12M_EBITDA",$B66+1,$B66+1))),H67))</f>
        <v>0</v>
      </c>
      <c r="I66" s="559">
        <f t="shared" ca="1" si="14"/>
        <v>45527</v>
      </c>
      <c r="J66" s="555">
        <f ca="1">(IFERROR(IFERROR(VALUE(_xll.BDH(J$4,"PE_RATIO",$B66,$B66)),VALUE(_xll.BDH(J$4,"PE_RATIO",$B66+1,$B66+1))),J67))</f>
        <v>0</v>
      </c>
      <c r="K66" s="555">
        <f ca="1">(IFERROR(IFERROR(VALUE(_xll.BDH(K$4,"PE_RATIO",$B66,$B66)),VALUE(_xll.BDH(K$4,"PE_RATIO",$B66+1,$B66+1))),K67))</f>
        <v>0</v>
      </c>
      <c r="L66" s="555">
        <f ca="1">(IFERROR(IFERROR(VALUE(_xll.BDH(L$4,"PE_RATIO",$B66,$B66)),VALUE(_xll.BDH(L$4,"PE_RATIO",$B66+1,$B66+1))),L67))</f>
        <v>0</v>
      </c>
      <c r="M66" s="555">
        <f ca="1">(IFERROR(IFERROR(VALUE(_xll.BDH(M$4,"PE_RATIO",$B66,$B66)),VALUE(_xll.BDH(M$4,"PE_RATIO",$B66+1,$B66+1))),M67))</f>
        <v>0</v>
      </c>
      <c r="N66" s="555">
        <f ca="1">(IFERROR(IFERROR(VALUE(_xll.BDH(N$4,"PE_RATIO",$B66,$B66)),VALUE(_xll.BDH(N$4,"PE_RATIO",$B66+1,$B66+1))),N67))</f>
        <v>0</v>
      </c>
      <c r="O66" s="555">
        <f ca="1">(IFERROR(IFERROR(VALUE(_xll.BDH(O$4,"PE_RATIO",$B66,$B66)),VALUE(_xll.BDH(O$4,"PE_RATIO",$B66+1,$B66+1))),O67))</f>
        <v>0</v>
      </c>
      <c r="P66" s="555"/>
      <c r="Q66" s="559">
        <f t="shared" ca="1" si="15"/>
        <v>45527</v>
      </c>
      <c r="R66" s="4">
        <v>53.95</v>
      </c>
      <c r="S66" s="4">
        <v>127108.22</v>
      </c>
      <c r="T66" s="4">
        <v>0</v>
      </c>
      <c r="U66" s="4">
        <v>0.55906735751295344</v>
      </c>
      <c r="V66" s="4">
        <v>1.1728409380828935</v>
      </c>
      <c r="W66" s="4" t="e">
        <v>#DIV/0!</v>
      </c>
      <c r="Y66" s="555">
        <f t="shared" si="16"/>
        <v>53.95</v>
      </c>
      <c r="Z66" s="4">
        <f ca="1">IFERROR(VALUE(_xll.BDH(Z$4,"PX_LAST",$Q66,$Q66)),Z67)</f>
        <v>0</v>
      </c>
      <c r="AA66" s="4">
        <f ca="1">IFERROR(VALUE(_xll.BDH(AA$4,"PX_LAST",$Q66,$Q66)),AA67)</f>
        <v>0</v>
      </c>
      <c r="AB66" s="4">
        <f ca="1">IFERROR(VALUE(_xll.BDH(AB$4,"PX_LAST",$Q66,$Q66)),AB67)</f>
        <v>0</v>
      </c>
      <c r="AC66" s="4">
        <f ca="1">IFERROR(VALUE(_xll.BDH(AC$4,"PX_LAST",$Q66,$Q66)),AC67)</f>
        <v>0</v>
      </c>
      <c r="AD66" s="4">
        <f ca="1">IFERROR(VALUE(_xll.BDH(AD$4,"PX_LAST",$Q66,$Q66)),AD67)</f>
        <v>0</v>
      </c>
      <c r="AF66" s="4">
        <f t="shared" si="17"/>
        <v>0.55906735751295344</v>
      </c>
      <c r="AG66" s="4" t="e">
        <f t="shared" ca="1" si="18"/>
        <v>#DIV/0!</v>
      </c>
      <c r="AH66" s="4" t="e">
        <f t="shared" ca="1" si="19"/>
        <v>#DIV/0!</v>
      </c>
      <c r="AI66" s="4" t="e">
        <f t="shared" ca="1" si="20"/>
        <v>#DIV/0!</v>
      </c>
      <c r="AJ66" s="4" t="e">
        <f t="shared" ca="1" si="21"/>
        <v>#DIV/0!</v>
      </c>
      <c r="AK66" s="4" t="e">
        <f t="shared" ca="1" si="22"/>
        <v>#DIV/0!</v>
      </c>
      <c r="AM66" s="557">
        <f t="shared" ca="1" si="12"/>
        <v>45892</v>
      </c>
      <c r="AN66" s="558">
        <v>36.96</v>
      </c>
      <c r="AO66" s="558">
        <v>4716300</v>
      </c>
      <c r="AP66" s="558">
        <v>206.48981000000001</v>
      </c>
      <c r="AQ66" s="558">
        <v>7631.8633776000006</v>
      </c>
      <c r="AR66" s="558">
        <v>0.53420000000000001</v>
      </c>
    </row>
    <row r="67" spans="2:44">
      <c r="B67" s="559">
        <f t="shared" ca="1" si="23"/>
        <v>45520</v>
      </c>
      <c r="C67" s="555">
        <f ca="1">(IFERROR(IFERROR(VALUE(_xll.BDH(C$4,"CURRENT_EV_TO_T12M_EBITDA",$B67,$B67)),VALUE(_xll.BDH(C$4,"CURRENT_EV_TO_T12M_EBITDA",$B67+1,$B67+1))),C68))</f>
        <v>0</v>
      </c>
      <c r="D67" s="555">
        <f ca="1">(IFERROR(IFERROR(VALUE(_xll.BDH(D$4,"CURRENT_EV_TO_T12M_EBITDA",$B67,$B67)),VALUE(_xll.BDH(D$4,"CURRENT_EV_TO_T12M_EBITDA",$B67+1,$B67+1))),D68))</f>
        <v>0</v>
      </c>
      <c r="E67" s="555">
        <f ca="1">(IFERROR(IFERROR(VALUE(_xll.BDH(E$4,"CURRENT_EV_TO_T12M_EBITDA",$B67,$B67)),VALUE(_xll.BDH(E$4,"CURRENT_EV_TO_T12M_EBITDA",$B67+1,$B67+1))),E68))</f>
        <v>0</v>
      </c>
      <c r="F67" s="555">
        <f ca="1">(IFERROR(IFERROR(VALUE(_xll.BDH(F$4,"CURRENT_EV_TO_T12M_EBITDA",$B67,$B67)),VALUE(_xll.BDH(F$4,"CURRENT_EV_TO_T12M_EBITDA",$B67+1,$B67+1))),F68))</f>
        <v>0</v>
      </c>
      <c r="G67" s="555">
        <f ca="1">(IFERROR(IFERROR(VALUE(_xll.BDH(G$4,"CURRENT_EV_TO_T12M_EBITDA",$B67,$B67)),VALUE(_xll.BDH(G$4,"CURRENT_EV_TO_T12M_EBITDA",$B67+1,$B67+1))),G68))</f>
        <v>0</v>
      </c>
      <c r="H67" s="555">
        <f ca="1">(IFERROR(IFERROR(VALUE(_xll.BDH(H$4,"CURRENT_EV_TO_T12M_EBITDA",$B67,$B67)),VALUE(_xll.BDH(H$4,"CURRENT_EV_TO_T12M_EBITDA",$B67+1,$B67+1))),H68))</f>
        <v>0</v>
      </c>
      <c r="I67" s="559">
        <f t="shared" ca="1" si="14"/>
        <v>45520</v>
      </c>
      <c r="J67" s="555">
        <f ca="1">(IFERROR(IFERROR(VALUE(_xll.BDH(J$4,"PE_RATIO",$B67,$B67)),VALUE(_xll.BDH(J$4,"PE_RATIO",$B67+1,$B67+1))),J68))</f>
        <v>0</v>
      </c>
      <c r="K67" s="555">
        <f ca="1">(IFERROR(IFERROR(VALUE(_xll.BDH(K$4,"PE_RATIO",$B67,$B67)),VALUE(_xll.BDH(K$4,"PE_RATIO",$B67+1,$B67+1))),K68))</f>
        <v>0</v>
      </c>
      <c r="L67" s="555">
        <f ca="1">(IFERROR(IFERROR(VALUE(_xll.BDH(L$4,"PE_RATIO",$B67,$B67)),VALUE(_xll.BDH(L$4,"PE_RATIO",$B67+1,$B67+1))),L68))</f>
        <v>0</v>
      </c>
      <c r="M67" s="555">
        <f ca="1">(IFERROR(IFERROR(VALUE(_xll.BDH(M$4,"PE_RATIO",$B67,$B67)),VALUE(_xll.BDH(M$4,"PE_RATIO",$B67+1,$B67+1))),M68))</f>
        <v>0</v>
      </c>
      <c r="N67" s="555">
        <f ca="1">(IFERROR(IFERROR(VALUE(_xll.BDH(N$4,"PE_RATIO",$B67,$B67)),VALUE(_xll.BDH(N$4,"PE_RATIO",$B67+1,$B67+1))),N68))</f>
        <v>0</v>
      </c>
      <c r="O67" s="555">
        <f ca="1">(IFERROR(IFERROR(VALUE(_xll.BDH(O$4,"PE_RATIO",$B67,$B67)),VALUE(_xll.BDH(O$4,"PE_RATIO",$B67+1,$B67+1))),O68))</f>
        <v>0</v>
      </c>
      <c r="P67" s="555"/>
      <c r="Q67" s="559">
        <f t="shared" ca="1" si="15"/>
        <v>45520</v>
      </c>
      <c r="R67" s="4">
        <v>50.81</v>
      </c>
      <c r="S67" s="4">
        <v>124787.08</v>
      </c>
      <c r="T67" s="4">
        <v>0</v>
      </c>
      <c r="U67" s="4">
        <v>0.5265284974093265</v>
      </c>
      <c r="V67" s="4">
        <v>1.1514235347472026</v>
      </c>
      <c r="W67" s="4" t="e">
        <v>#DIV/0!</v>
      </c>
      <c r="Y67" s="555">
        <f t="shared" si="16"/>
        <v>50.81</v>
      </c>
      <c r="Z67" s="4">
        <f ca="1">IFERROR(VALUE(_xll.BDH(Z$4,"PX_LAST",$Q67,$Q67)),Z68)</f>
        <v>0</v>
      </c>
      <c r="AA67" s="4">
        <f ca="1">IFERROR(VALUE(_xll.BDH(AA$4,"PX_LAST",$Q67,$Q67)),AA68)</f>
        <v>0</v>
      </c>
      <c r="AB67" s="4">
        <f ca="1">IFERROR(VALUE(_xll.BDH(AB$4,"PX_LAST",$Q67,$Q67)),AB68)</f>
        <v>0</v>
      </c>
      <c r="AC67" s="4">
        <f ca="1">IFERROR(VALUE(_xll.BDH(AC$4,"PX_LAST",$Q67,$Q67)),AC68)</f>
        <v>0</v>
      </c>
      <c r="AD67" s="4">
        <f ca="1">IFERROR(VALUE(_xll.BDH(AD$4,"PX_LAST",$Q67,$Q67)),AD68)</f>
        <v>0</v>
      </c>
      <c r="AF67" s="4">
        <f t="shared" si="17"/>
        <v>0.5265284974093265</v>
      </c>
      <c r="AG67" s="4" t="e">
        <f t="shared" ca="1" si="18"/>
        <v>#DIV/0!</v>
      </c>
      <c r="AH67" s="4" t="e">
        <f t="shared" ca="1" si="19"/>
        <v>#DIV/0!</v>
      </c>
      <c r="AI67" s="4" t="e">
        <f t="shared" ca="1" si="20"/>
        <v>#DIV/0!</v>
      </c>
      <c r="AJ67" s="4" t="e">
        <f t="shared" ca="1" si="21"/>
        <v>#DIV/0!</v>
      </c>
      <c r="AK67" s="4" t="e">
        <f t="shared" ca="1" si="22"/>
        <v>#DIV/0!</v>
      </c>
      <c r="AM67" s="557">
        <f t="shared" ca="1" si="12"/>
        <v>45891</v>
      </c>
      <c r="AN67" s="558">
        <v>38.69</v>
      </c>
      <c r="AO67" s="558">
        <v>2442600</v>
      </c>
      <c r="AP67" s="558">
        <v>206.48981000000001</v>
      </c>
      <c r="AQ67" s="558">
        <v>7989.0907489000001</v>
      </c>
      <c r="AR67" s="558">
        <v>0.55879999999999996</v>
      </c>
    </row>
    <row r="68" spans="2:44">
      <c r="B68" s="559">
        <f t="shared" ca="1" si="23"/>
        <v>45513</v>
      </c>
      <c r="C68" s="555">
        <f ca="1">(IFERROR(IFERROR(VALUE(_xll.BDH(C$4,"CURRENT_EV_TO_T12M_EBITDA",$B68,$B68)),VALUE(_xll.BDH(C$4,"CURRENT_EV_TO_T12M_EBITDA",$B68+1,$B68+1))),C69))</f>
        <v>0</v>
      </c>
      <c r="D68" s="555">
        <f ca="1">(IFERROR(IFERROR(VALUE(_xll.BDH(D$4,"CURRENT_EV_TO_T12M_EBITDA",$B68,$B68)),VALUE(_xll.BDH(D$4,"CURRENT_EV_TO_T12M_EBITDA",$B68+1,$B68+1))),D69))</f>
        <v>0</v>
      </c>
      <c r="E68" s="555">
        <f ca="1">(IFERROR(IFERROR(VALUE(_xll.BDH(E$4,"CURRENT_EV_TO_T12M_EBITDA",$B68,$B68)),VALUE(_xll.BDH(E$4,"CURRENT_EV_TO_T12M_EBITDA",$B68+1,$B68+1))),E69))</f>
        <v>0</v>
      </c>
      <c r="F68" s="555">
        <f ca="1">(IFERROR(IFERROR(VALUE(_xll.BDH(F$4,"CURRENT_EV_TO_T12M_EBITDA",$B68,$B68)),VALUE(_xll.BDH(F$4,"CURRENT_EV_TO_T12M_EBITDA",$B68+1,$B68+1))),F69))</f>
        <v>0</v>
      </c>
      <c r="G68" s="555">
        <f ca="1">(IFERROR(IFERROR(VALUE(_xll.BDH(G$4,"CURRENT_EV_TO_T12M_EBITDA",$B68,$B68)),VALUE(_xll.BDH(G$4,"CURRENT_EV_TO_T12M_EBITDA",$B68+1,$B68+1))),G69))</f>
        <v>0</v>
      </c>
      <c r="H68" s="555">
        <f ca="1">(IFERROR(IFERROR(VALUE(_xll.BDH(H$4,"CURRENT_EV_TO_T12M_EBITDA",$B68,$B68)),VALUE(_xll.BDH(H$4,"CURRENT_EV_TO_T12M_EBITDA",$B68+1,$B68+1))),H69))</f>
        <v>0</v>
      </c>
      <c r="I68" s="559">
        <f t="shared" ca="1" si="14"/>
        <v>45513</v>
      </c>
      <c r="J68" s="555">
        <f ca="1">(IFERROR(IFERROR(VALUE(_xll.BDH(J$4,"PE_RATIO",$B68,$B68)),VALUE(_xll.BDH(J$4,"PE_RATIO",$B68+1,$B68+1))),J69))</f>
        <v>0</v>
      </c>
      <c r="K68" s="555">
        <f ca="1">(IFERROR(IFERROR(VALUE(_xll.BDH(K$4,"PE_RATIO",$B68,$B68)),VALUE(_xll.BDH(K$4,"PE_RATIO",$B68+1,$B68+1))),K69))</f>
        <v>0</v>
      </c>
      <c r="L68" s="555">
        <f ca="1">(IFERROR(IFERROR(VALUE(_xll.BDH(L$4,"PE_RATIO",$B68,$B68)),VALUE(_xll.BDH(L$4,"PE_RATIO",$B68+1,$B68+1))),L69))</f>
        <v>0</v>
      </c>
      <c r="M68" s="555">
        <f ca="1">(IFERROR(IFERROR(VALUE(_xll.BDH(M$4,"PE_RATIO",$B68,$B68)),VALUE(_xll.BDH(M$4,"PE_RATIO",$B68+1,$B68+1))),M69))</f>
        <v>0</v>
      </c>
      <c r="N68" s="555">
        <f ca="1">(IFERROR(IFERROR(VALUE(_xll.BDH(N$4,"PE_RATIO",$B68,$B68)),VALUE(_xll.BDH(N$4,"PE_RATIO",$B68+1,$B68+1))),N69))</f>
        <v>0</v>
      </c>
      <c r="O68" s="555">
        <f ca="1">(IFERROR(IFERROR(VALUE(_xll.BDH(O$4,"PE_RATIO",$B68,$B68)),VALUE(_xll.BDH(O$4,"PE_RATIO",$B68+1,$B68+1))),O69))</f>
        <v>0</v>
      </c>
      <c r="P68" s="555"/>
      <c r="Q68" s="559">
        <f t="shared" ca="1" si="15"/>
        <v>45513</v>
      </c>
      <c r="R68" s="4">
        <v>50.93</v>
      </c>
      <c r="S68" s="4">
        <v>122331.39</v>
      </c>
      <c r="T68" s="4">
        <v>0</v>
      </c>
      <c r="U68" s="4">
        <v>0.52777202072538865</v>
      </c>
      <c r="V68" s="4">
        <v>1.1287646243853018</v>
      </c>
      <c r="W68" s="4" t="e">
        <v>#DIV/0!</v>
      </c>
      <c r="Y68" s="555">
        <f t="shared" si="16"/>
        <v>50.93</v>
      </c>
      <c r="Z68" s="4">
        <f ca="1">IFERROR(VALUE(_xll.BDH(Z$4,"PX_LAST",$Q68,$Q68)),Z69)</f>
        <v>0</v>
      </c>
      <c r="AA68" s="4">
        <f ca="1">IFERROR(VALUE(_xll.BDH(AA$4,"PX_LAST",$Q68,$Q68)),AA69)</f>
        <v>0</v>
      </c>
      <c r="AB68" s="4">
        <f ca="1">IFERROR(VALUE(_xll.BDH(AB$4,"PX_LAST",$Q68,$Q68)),AB69)</f>
        <v>0</v>
      </c>
      <c r="AC68" s="4">
        <f ca="1">IFERROR(VALUE(_xll.BDH(AC$4,"PX_LAST",$Q68,$Q68)),AC69)</f>
        <v>0</v>
      </c>
      <c r="AD68" s="4">
        <f ca="1">IFERROR(VALUE(_xll.BDH(AD$4,"PX_LAST",$Q68,$Q68)),AD69)</f>
        <v>0</v>
      </c>
      <c r="AF68" s="4">
        <f t="shared" si="17"/>
        <v>0.52777202072538865</v>
      </c>
      <c r="AG68" s="4" t="e">
        <f t="shared" ca="1" si="18"/>
        <v>#DIV/0!</v>
      </c>
      <c r="AH68" s="4" t="e">
        <f t="shared" ca="1" si="19"/>
        <v>#DIV/0!</v>
      </c>
      <c r="AI68" s="4" t="e">
        <f t="shared" ca="1" si="20"/>
        <v>#DIV/0!</v>
      </c>
      <c r="AJ68" s="4" t="e">
        <f t="shared" ca="1" si="21"/>
        <v>#DIV/0!</v>
      </c>
      <c r="AK68" s="4" t="e">
        <f t="shared" ca="1" si="22"/>
        <v>#DIV/0!</v>
      </c>
      <c r="AM68" s="557">
        <f t="shared" ca="1" si="12"/>
        <v>45890</v>
      </c>
      <c r="AN68" s="558">
        <v>40.274999999999999</v>
      </c>
      <c r="AO68" s="558">
        <v>821500</v>
      </c>
      <c r="AP68" s="558">
        <v>206.48981000000001</v>
      </c>
      <c r="AQ68" s="558">
        <v>8316.3770977500008</v>
      </c>
      <c r="AR68" s="558">
        <v>0.58160000000000001</v>
      </c>
    </row>
    <row r="69" spans="2:44">
      <c r="B69" s="559">
        <f t="shared" ca="1" si="23"/>
        <v>45506</v>
      </c>
      <c r="C69" s="555">
        <f ca="1">(IFERROR(IFERROR(VALUE(_xll.BDH(C$4,"CURRENT_EV_TO_T12M_EBITDA",$B69,$B69)),VALUE(_xll.BDH(C$4,"CURRENT_EV_TO_T12M_EBITDA",$B69+1,$B69+1))),C70))</f>
        <v>0</v>
      </c>
      <c r="D69" s="555">
        <f ca="1">(IFERROR(IFERROR(VALUE(_xll.BDH(D$4,"CURRENT_EV_TO_T12M_EBITDA",$B69,$B69)),VALUE(_xll.BDH(D$4,"CURRENT_EV_TO_T12M_EBITDA",$B69+1,$B69+1))),D70))</f>
        <v>0</v>
      </c>
      <c r="E69" s="555">
        <f ca="1">(IFERROR(IFERROR(VALUE(_xll.BDH(E$4,"CURRENT_EV_TO_T12M_EBITDA",$B69,$B69)),VALUE(_xll.BDH(E$4,"CURRENT_EV_TO_T12M_EBITDA",$B69+1,$B69+1))),E70))</f>
        <v>0</v>
      </c>
      <c r="F69" s="555">
        <f ca="1">(IFERROR(IFERROR(VALUE(_xll.BDH(F$4,"CURRENT_EV_TO_T12M_EBITDA",$B69,$B69)),VALUE(_xll.BDH(F$4,"CURRENT_EV_TO_T12M_EBITDA",$B69+1,$B69+1))),F70))</f>
        <v>0</v>
      </c>
      <c r="G69" s="555">
        <f ca="1">(IFERROR(IFERROR(VALUE(_xll.BDH(G$4,"CURRENT_EV_TO_T12M_EBITDA",$B69,$B69)),VALUE(_xll.BDH(G$4,"CURRENT_EV_TO_T12M_EBITDA",$B69+1,$B69+1))),G70))</f>
        <v>0</v>
      </c>
      <c r="H69" s="555">
        <f ca="1">(IFERROR(IFERROR(VALUE(_xll.BDH(H$4,"CURRENT_EV_TO_T12M_EBITDA",$B69,$B69)),VALUE(_xll.BDH(H$4,"CURRENT_EV_TO_T12M_EBITDA",$B69+1,$B69+1))),H70))</f>
        <v>0</v>
      </c>
      <c r="I69" s="559">
        <f t="shared" ref="I69:I100" ca="1" si="24">+B69</f>
        <v>45506</v>
      </c>
      <c r="J69" s="555">
        <f ca="1">(IFERROR(IFERROR(VALUE(_xll.BDH(J$4,"PE_RATIO",$B69,$B69)),VALUE(_xll.BDH(J$4,"PE_RATIO",$B69+1,$B69+1))),J70))</f>
        <v>0</v>
      </c>
      <c r="K69" s="555">
        <f ca="1">(IFERROR(IFERROR(VALUE(_xll.BDH(K$4,"PE_RATIO",$B69,$B69)),VALUE(_xll.BDH(K$4,"PE_RATIO",$B69+1,$B69+1))),K70))</f>
        <v>0</v>
      </c>
      <c r="L69" s="555">
        <f ca="1">(IFERROR(IFERROR(VALUE(_xll.BDH(L$4,"PE_RATIO",$B69,$B69)),VALUE(_xll.BDH(L$4,"PE_RATIO",$B69+1,$B69+1))),L70))</f>
        <v>0</v>
      </c>
      <c r="M69" s="555">
        <f ca="1">(IFERROR(IFERROR(VALUE(_xll.BDH(M$4,"PE_RATIO",$B69,$B69)),VALUE(_xll.BDH(M$4,"PE_RATIO",$B69+1,$B69+1))),M70))</f>
        <v>0</v>
      </c>
      <c r="N69" s="555">
        <f ca="1">(IFERROR(IFERROR(VALUE(_xll.BDH(N$4,"PE_RATIO",$B69,$B69)),VALUE(_xll.BDH(N$4,"PE_RATIO",$B69+1,$B69+1))),N70))</f>
        <v>0</v>
      </c>
      <c r="O69" s="555">
        <f ca="1">(IFERROR(IFERROR(VALUE(_xll.BDH(O$4,"PE_RATIO",$B69,$B69)),VALUE(_xll.BDH(O$4,"PE_RATIO",$B69+1,$B69+1))),O70))</f>
        <v>0</v>
      </c>
      <c r="P69" s="555"/>
      <c r="Q69" s="559">
        <f t="shared" ref="Q69:Q100" ca="1" si="25">+I69</f>
        <v>45506</v>
      </c>
      <c r="R69" s="4">
        <v>50.19</v>
      </c>
      <c r="S69" s="4">
        <v>119630.44</v>
      </c>
      <c r="T69" s="4">
        <v>0</v>
      </c>
      <c r="U69" s="4">
        <v>0.52010362694300516</v>
      </c>
      <c r="V69" s="4">
        <v>1.1038426741627669</v>
      </c>
      <c r="W69" s="4" t="e">
        <v>#DIV/0!</v>
      </c>
      <c r="Y69" s="555">
        <f t="shared" ref="Y69:Y100" si="26">+R69</f>
        <v>50.19</v>
      </c>
      <c r="Z69" s="4">
        <f ca="1">IFERROR(VALUE(_xll.BDH(Z$4,"PX_LAST",$Q69,$Q69)),Z70)</f>
        <v>0</v>
      </c>
      <c r="AA69" s="4">
        <f ca="1">IFERROR(VALUE(_xll.BDH(AA$4,"PX_LAST",$Q69,$Q69)),AA70)</f>
        <v>0</v>
      </c>
      <c r="AB69" s="4">
        <f ca="1">IFERROR(VALUE(_xll.BDH(AB$4,"PX_LAST",$Q69,$Q69)),AB70)</f>
        <v>0</v>
      </c>
      <c r="AC69" s="4">
        <f ca="1">IFERROR(VALUE(_xll.BDH(AC$4,"PX_LAST",$Q69,$Q69)),AC70)</f>
        <v>0</v>
      </c>
      <c r="AD69" s="4">
        <f ca="1">IFERROR(VALUE(_xll.BDH(AD$4,"PX_LAST",$Q69,$Q69)),AD70)</f>
        <v>0</v>
      </c>
      <c r="AF69" s="4">
        <f t="shared" ref="AF69:AF100" si="27">+Y69/Y$159</f>
        <v>0.52010362694300516</v>
      </c>
      <c r="AG69" s="4" t="e">
        <f t="shared" ref="AG69:AG100" ca="1" si="28">+Z69/Z$159</f>
        <v>#DIV/0!</v>
      </c>
      <c r="AH69" s="4" t="e">
        <f t="shared" ref="AH69:AH100" ca="1" si="29">+AA69/AA$159</f>
        <v>#DIV/0!</v>
      </c>
      <c r="AI69" s="4" t="e">
        <f t="shared" ref="AI69:AI100" ca="1" si="30">+AB69/AB$159</f>
        <v>#DIV/0!</v>
      </c>
      <c r="AJ69" s="4" t="e">
        <f t="shared" ref="AJ69:AJ100" ca="1" si="31">+AC69/AC$159</f>
        <v>#DIV/0!</v>
      </c>
      <c r="AK69" s="4" t="e">
        <f t="shared" ref="AK69:AK100" ca="1" si="32">+AD69/AD$159</f>
        <v>#DIV/0!</v>
      </c>
      <c r="AM69" s="557">
        <f t="shared" ref="AM69:AM132" ca="1" si="33">AM68-1</f>
        <v>45889</v>
      </c>
      <c r="AN69" s="558">
        <v>41.1</v>
      </c>
      <c r="AO69" s="558">
        <v>757200</v>
      </c>
      <c r="AP69" s="558">
        <v>206.48981000000001</v>
      </c>
      <c r="AQ69" s="558">
        <v>8486.7311910000008</v>
      </c>
      <c r="AR69" s="558">
        <v>0.59330000000000005</v>
      </c>
    </row>
    <row r="70" spans="2:44">
      <c r="B70" s="559">
        <f t="shared" ref="B70:B101" ca="1" si="34">+B69-7</f>
        <v>45499</v>
      </c>
      <c r="C70" s="555">
        <f ca="1">(IFERROR(IFERROR(VALUE(_xll.BDH(C$4,"CURRENT_EV_TO_T12M_EBITDA",$B70,$B70)),VALUE(_xll.BDH(C$4,"CURRENT_EV_TO_T12M_EBITDA",$B70+1,$B70+1))),C71))</f>
        <v>0</v>
      </c>
      <c r="D70" s="555">
        <f ca="1">(IFERROR(IFERROR(VALUE(_xll.BDH(D$4,"CURRENT_EV_TO_T12M_EBITDA",$B70,$B70)),VALUE(_xll.BDH(D$4,"CURRENT_EV_TO_T12M_EBITDA",$B70+1,$B70+1))),D71))</f>
        <v>0</v>
      </c>
      <c r="E70" s="555">
        <f ca="1">(IFERROR(IFERROR(VALUE(_xll.BDH(E$4,"CURRENT_EV_TO_T12M_EBITDA",$B70,$B70)),VALUE(_xll.BDH(E$4,"CURRENT_EV_TO_T12M_EBITDA",$B70+1,$B70+1))),E71))</f>
        <v>0</v>
      </c>
      <c r="F70" s="555">
        <f ca="1">(IFERROR(IFERROR(VALUE(_xll.BDH(F$4,"CURRENT_EV_TO_T12M_EBITDA",$B70,$B70)),VALUE(_xll.BDH(F$4,"CURRENT_EV_TO_T12M_EBITDA",$B70+1,$B70+1))),F71))</f>
        <v>0</v>
      </c>
      <c r="G70" s="555">
        <f ca="1">(IFERROR(IFERROR(VALUE(_xll.BDH(G$4,"CURRENT_EV_TO_T12M_EBITDA",$B70,$B70)),VALUE(_xll.BDH(G$4,"CURRENT_EV_TO_T12M_EBITDA",$B70+1,$B70+1))),G71))</f>
        <v>0</v>
      </c>
      <c r="H70" s="555">
        <f ca="1">(IFERROR(IFERROR(VALUE(_xll.BDH(H$4,"CURRENT_EV_TO_T12M_EBITDA",$B70,$B70)),VALUE(_xll.BDH(H$4,"CURRENT_EV_TO_T12M_EBITDA",$B70+1,$B70+1))),H71))</f>
        <v>0</v>
      </c>
      <c r="I70" s="559">
        <f t="shared" ca="1" si="24"/>
        <v>45499</v>
      </c>
      <c r="J70" s="555">
        <f ca="1">(IFERROR(IFERROR(VALUE(_xll.BDH(J$4,"PE_RATIO",$B70,$B70)),VALUE(_xll.BDH(J$4,"PE_RATIO",$B70+1,$B70+1))),J71))</f>
        <v>0</v>
      </c>
      <c r="K70" s="555">
        <f ca="1">(IFERROR(IFERROR(VALUE(_xll.BDH(K$4,"PE_RATIO",$B70,$B70)),VALUE(_xll.BDH(K$4,"PE_RATIO",$B70+1,$B70+1))),K71))</f>
        <v>0</v>
      </c>
      <c r="L70" s="555">
        <f ca="1">(IFERROR(IFERROR(VALUE(_xll.BDH(L$4,"PE_RATIO",$B70,$B70)),VALUE(_xll.BDH(L$4,"PE_RATIO",$B70+1,$B70+1))),L71))</f>
        <v>0</v>
      </c>
      <c r="M70" s="555">
        <f ca="1">(IFERROR(IFERROR(VALUE(_xll.BDH(M$4,"PE_RATIO",$B70,$B70)),VALUE(_xll.BDH(M$4,"PE_RATIO",$B70+1,$B70+1))),M71))</f>
        <v>0</v>
      </c>
      <c r="N70" s="555">
        <f ca="1">(IFERROR(IFERROR(VALUE(_xll.BDH(N$4,"PE_RATIO",$B70,$B70)),VALUE(_xll.BDH(N$4,"PE_RATIO",$B70+1,$B70+1))),N71))</f>
        <v>0</v>
      </c>
      <c r="O70" s="555">
        <f ca="1">(IFERROR(IFERROR(VALUE(_xll.BDH(O$4,"PE_RATIO",$B70,$B70)),VALUE(_xll.BDH(O$4,"PE_RATIO",$B70+1,$B70+1))),O71))</f>
        <v>0</v>
      </c>
      <c r="P70" s="555"/>
      <c r="Q70" s="559">
        <f t="shared" ca="1" si="25"/>
        <v>45499</v>
      </c>
      <c r="R70" s="4">
        <v>49.56</v>
      </c>
      <c r="S70" s="4">
        <v>121635.06</v>
      </c>
      <c r="T70" s="4">
        <v>0</v>
      </c>
      <c r="U70" s="4">
        <v>0.51357512953367879</v>
      </c>
      <c r="V70" s="4">
        <v>1.1223395141098587</v>
      </c>
      <c r="W70" s="4" t="e">
        <v>#DIV/0!</v>
      </c>
      <c r="Y70" s="555">
        <f t="shared" si="26"/>
        <v>49.56</v>
      </c>
      <c r="Z70" s="4">
        <f ca="1">IFERROR(VALUE(_xll.BDH(Z$4,"PX_LAST",$Q70,$Q70)),Z71)</f>
        <v>0</v>
      </c>
      <c r="AA70" s="4">
        <f ca="1">IFERROR(VALUE(_xll.BDH(AA$4,"PX_LAST",$Q70,$Q70)),AA71)</f>
        <v>0</v>
      </c>
      <c r="AB70" s="4">
        <f ca="1">IFERROR(VALUE(_xll.BDH(AB$4,"PX_LAST",$Q70,$Q70)),AB71)</f>
        <v>0</v>
      </c>
      <c r="AC70" s="4">
        <f ca="1">IFERROR(VALUE(_xll.BDH(AC$4,"PX_LAST",$Q70,$Q70)),AC71)</f>
        <v>0</v>
      </c>
      <c r="AD70" s="4">
        <f ca="1">IFERROR(VALUE(_xll.BDH(AD$4,"PX_LAST",$Q70,$Q70)),AD71)</f>
        <v>0</v>
      </c>
      <c r="AF70" s="4">
        <f t="shared" si="27"/>
        <v>0.51357512953367879</v>
      </c>
      <c r="AG70" s="4" t="e">
        <f t="shared" ca="1" si="28"/>
        <v>#DIV/0!</v>
      </c>
      <c r="AH70" s="4" t="e">
        <f t="shared" ca="1" si="29"/>
        <v>#DIV/0!</v>
      </c>
      <c r="AI70" s="4" t="e">
        <f t="shared" ca="1" si="30"/>
        <v>#DIV/0!</v>
      </c>
      <c r="AJ70" s="4" t="e">
        <f t="shared" ca="1" si="31"/>
        <v>#DIV/0!</v>
      </c>
      <c r="AK70" s="4" t="e">
        <f t="shared" ca="1" si="32"/>
        <v>#DIV/0!</v>
      </c>
      <c r="AM70" s="557">
        <f t="shared" ca="1" si="33"/>
        <v>45888</v>
      </c>
      <c r="AN70" s="558">
        <v>41.1</v>
      </c>
      <c r="AO70" s="558">
        <v>757200</v>
      </c>
      <c r="AP70" s="558">
        <v>206.48981000000001</v>
      </c>
      <c r="AQ70" s="558">
        <v>8486.7311910000008</v>
      </c>
      <c r="AR70" s="558">
        <v>0.59330000000000005</v>
      </c>
    </row>
    <row r="71" spans="2:44">
      <c r="B71" s="559">
        <f t="shared" ca="1" si="34"/>
        <v>45492</v>
      </c>
      <c r="C71" s="555">
        <f ca="1">(IFERROR(IFERROR(VALUE(_xll.BDH(C$4,"CURRENT_EV_TO_T12M_EBITDA",$B71,$B71)),VALUE(_xll.BDH(C$4,"CURRENT_EV_TO_T12M_EBITDA",$B71+1,$B71+1))),C72))</f>
        <v>0</v>
      </c>
      <c r="D71" s="555">
        <f ca="1">(IFERROR(IFERROR(VALUE(_xll.BDH(D$4,"CURRENT_EV_TO_T12M_EBITDA",$B71,$B71)),VALUE(_xll.BDH(D$4,"CURRENT_EV_TO_T12M_EBITDA",$B71+1,$B71+1))),D72))</f>
        <v>0</v>
      </c>
      <c r="E71" s="555">
        <f ca="1">(IFERROR(IFERROR(VALUE(_xll.BDH(E$4,"CURRENT_EV_TO_T12M_EBITDA",$B71,$B71)),VALUE(_xll.BDH(E$4,"CURRENT_EV_TO_T12M_EBITDA",$B71+1,$B71+1))),E72))</f>
        <v>0</v>
      </c>
      <c r="F71" s="555">
        <f ca="1">(IFERROR(IFERROR(VALUE(_xll.BDH(F$4,"CURRENT_EV_TO_T12M_EBITDA",$B71,$B71)),VALUE(_xll.BDH(F$4,"CURRENT_EV_TO_T12M_EBITDA",$B71+1,$B71+1))),F72))</f>
        <v>0</v>
      </c>
      <c r="G71" s="555">
        <f ca="1">(IFERROR(IFERROR(VALUE(_xll.BDH(G$4,"CURRENT_EV_TO_T12M_EBITDA",$B71,$B71)),VALUE(_xll.BDH(G$4,"CURRENT_EV_TO_T12M_EBITDA",$B71+1,$B71+1))),G72))</f>
        <v>0</v>
      </c>
      <c r="H71" s="555">
        <f ca="1">(IFERROR(IFERROR(VALUE(_xll.BDH(H$4,"CURRENT_EV_TO_T12M_EBITDA",$B71,$B71)),VALUE(_xll.BDH(H$4,"CURRENT_EV_TO_T12M_EBITDA",$B71+1,$B71+1))),H72))</f>
        <v>0</v>
      </c>
      <c r="I71" s="559">
        <f t="shared" ca="1" si="24"/>
        <v>45492</v>
      </c>
      <c r="J71" s="555">
        <f ca="1">(IFERROR(IFERROR(VALUE(_xll.BDH(J$4,"PE_RATIO",$B71,$B71)),VALUE(_xll.BDH(J$4,"PE_RATIO",$B71+1,$B71+1))),J72))</f>
        <v>0</v>
      </c>
      <c r="K71" s="555">
        <f ca="1">(IFERROR(IFERROR(VALUE(_xll.BDH(K$4,"PE_RATIO",$B71,$B71)),VALUE(_xll.BDH(K$4,"PE_RATIO",$B71+1,$B71+1))),K72))</f>
        <v>0</v>
      </c>
      <c r="L71" s="555">
        <f ca="1">(IFERROR(IFERROR(VALUE(_xll.BDH(L$4,"PE_RATIO",$B71,$B71)),VALUE(_xll.BDH(L$4,"PE_RATIO",$B71+1,$B71+1))),L72))</f>
        <v>0</v>
      </c>
      <c r="M71" s="555">
        <f ca="1">(IFERROR(IFERROR(VALUE(_xll.BDH(M$4,"PE_RATIO",$B71,$B71)),VALUE(_xll.BDH(M$4,"PE_RATIO",$B71+1,$B71+1))),M72))</f>
        <v>0</v>
      </c>
      <c r="N71" s="555">
        <f ca="1">(IFERROR(IFERROR(VALUE(_xll.BDH(N$4,"PE_RATIO",$B71,$B71)),VALUE(_xll.BDH(N$4,"PE_RATIO",$B71+1,$B71+1))),N72))</f>
        <v>0</v>
      </c>
      <c r="O71" s="555">
        <f ca="1">(IFERROR(IFERROR(VALUE(_xll.BDH(O$4,"PE_RATIO",$B71,$B71)),VALUE(_xll.BDH(O$4,"PE_RATIO",$B71+1,$B71+1))),O72))</f>
        <v>0</v>
      </c>
      <c r="P71" s="555"/>
      <c r="Q71" s="559">
        <f t="shared" ca="1" si="25"/>
        <v>45492</v>
      </c>
      <c r="R71" s="4">
        <v>50.78</v>
      </c>
      <c r="S71" s="4">
        <v>121802.06</v>
      </c>
      <c r="T71" s="4">
        <v>0</v>
      </c>
      <c r="U71" s="4">
        <v>0.52621761658031085</v>
      </c>
      <c r="V71" s="4">
        <v>1.123880440705006</v>
      </c>
      <c r="W71" s="4" t="e">
        <v>#DIV/0!</v>
      </c>
      <c r="Y71" s="555">
        <f t="shared" si="26"/>
        <v>50.78</v>
      </c>
      <c r="Z71" s="4">
        <f ca="1">IFERROR(VALUE(_xll.BDH(Z$4,"PX_LAST",$Q71,$Q71)),Z72)</f>
        <v>0</v>
      </c>
      <c r="AA71" s="4">
        <f ca="1">IFERROR(VALUE(_xll.BDH(AA$4,"PX_LAST",$Q71,$Q71)),AA72)</f>
        <v>0</v>
      </c>
      <c r="AB71" s="4">
        <f ca="1">IFERROR(VALUE(_xll.BDH(AB$4,"PX_LAST",$Q71,$Q71)),AB72)</f>
        <v>0</v>
      </c>
      <c r="AC71" s="4">
        <f ca="1">IFERROR(VALUE(_xll.BDH(AC$4,"PX_LAST",$Q71,$Q71)),AC72)</f>
        <v>0</v>
      </c>
      <c r="AD71" s="4">
        <f ca="1">IFERROR(VALUE(_xll.BDH(AD$4,"PX_LAST",$Q71,$Q71)),AD72)</f>
        <v>0</v>
      </c>
      <c r="AF71" s="4">
        <f t="shared" si="27"/>
        <v>0.52621761658031085</v>
      </c>
      <c r="AG71" s="4" t="e">
        <f t="shared" ca="1" si="28"/>
        <v>#DIV/0!</v>
      </c>
      <c r="AH71" s="4" t="e">
        <f t="shared" ca="1" si="29"/>
        <v>#DIV/0!</v>
      </c>
      <c r="AI71" s="4" t="e">
        <f t="shared" ca="1" si="30"/>
        <v>#DIV/0!</v>
      </c>
      <c r="AJ71" s="4" t="e">
        <f t="shared" ca="1" si="31"/>
        <v>#DIV/0!</v>
      </c>
      <c r="AK71" s="4" t="e">
        <f t="shared" ca="1" si="32"/>
        <v>#DIV/0!</v>
      </c>
      <c r="AM71" s="557">
        <f t="shared" ca="1" si="33"/>
        <v>45887</v>
      </c>
      <c r="AN71" s="558">
        <v>41.1</v>
      </c>
      <c r="AO71" s="558">
        <v>757200</v>
      </c>
      <c r="AP71" s="558">
        <v>206.48981000000001</v>
      </c>
      <c r="AQ71" s="558">
        <v>8486.7311910000008</v>
      </c>
      <c r="AR71" s="558">
        <v>0.59330000000000005</v>
      </c>
    </row>
    <row r="72" spans="2:44">
      <c r="B72" s="559">
        <f t="shared" ca="1" si="34"/>
        <v>45485</v>
      </c>
      <c r="C72" s="555">
        <f ca="1">(IFERROR(IFERROR(VALUE(_xll.BDH(C$4,"CURRENT_EV_TO_T12M_EBITDA",$B72,$B72)),VALUE(_xll.BDH(C$4,"CURRENT_EV_TO_T12M_EBITDA",$B72+1,$B72+1))),C73))</f>
        <v>0</v>
      </c>
      <c r="D72" s="555">
        <f ca="1">(IFERROR(IFERROR(VALUE(_xll.BDH(D$4,"CURRENT_EV_TO_T12M_EBITDA",$B72,$B72)),VALUE(_xll.BDH(D$4,"CURRENT_EV_TO_T12M_EBITDA",$B72+1,$B72+1))),D73))</f>
        <v>0</v>
      </c>
      <c r="E72" s="555">
        <f ca="1">(IFERROR(IFERROR(VALUE(_xll.BDH(E$4,"CURRENT_EV_TO_T12M_EBITDA",$B72,$B72)),VALUE(_xll.BDH(E$4,"CURRENT_EV_TO_T12M_EBITDA",$B72+1,$B72+1))),E73))</f>
        <v>0</v>
      </c>
      <c r="F72" s="555">
        <f ca="1">(IFERROR(IFERROR(VALUE(_xll.BDH(F$4,"CURRENT_EV_TO_T12M_EBITDA",$B72,$B72)),VALUE(_xll.BDH(F$4,"CURRENT_EV_TO_T12M_EBITDA",$B72+1,$B72+1))),F73))</f>
        <v>0</v>
      </c>
      <c r="G72" s="555">
        <f ca="1">(IFERROR(IFERROR(VALUE(_xll.BDH(G$4,"CURRENT_EV_TO_T12M_EBITDA",$B72,$B72)),VALUE(_xll.BDH(G$4,"CURRENT_EV_TO_T12M_EBITDA",$B72+1,$B72+1))),G73))</f>
        <v>0</v>
      </c>
      <c r="H72" s="555">
        <f ca="1">(IFERROR(IFERROR(VALUE(_xll.BDH(H$4,"CURRENT_EV_TO_T12M_EBITDA",$B72,$B72)),VALUE(_xll.BDH(H$4,"CURRENT_EV_TO_T12M_EBITDA",$B72+1,$B72+1))),H73))</f>
        <v>0</v>
      </c>
      <c r="I72" s="559">
        <f t="shared" ca="1" si="24"/>
        <v>45485</v>
      </c>
      <c r="J72" s="555">
        <f ca="1">(IFERROR(IFERROR(VALUE(_xll.BDH(J$4,"PE_RATIO",$B72,$B72)),VALUE(_xll.BDH(J$4,"PE_RATIO",$B72+1,$B72+1))),J73))</f>
        <v>0</v>
      </c>
      <c r="K72" s="555">
        <f ca="1">(IFERROR(IFERROR(VALUE(_xll.BDH(K$4,"PE_RATIO",$B72,$B72)),VALUE(_xll.BDH(K$4,"PE_RATIO",$B72+1,$B72+1))),K73))</f>
        <v>0</v>
      </c>
      <c r="L72" s="555">
        <f ca="1">(IFERROR(IFERROR(VALUE(_xll.BDH(L$4,"PE_RATIO",$B72,$B72)),VALUE(_xll.BDH(L$4,"PE_RATIO",$B72+1,$B72+1))),L73))</f>
        <v>0</v>
      </c>
      <c r="M72" s="555">
        <f ca="1">(IFERROR(IFERROR(VALUE(_xll.BDH(M$4,"PE_RATIO",$B72,$B72)),VALUE(_xll.BDH(M$4,"PE_RATIO",$B72+1,$B72+1))),M73))</f>
        <v>0</v>
      </c>
      <c r="N72" s="555">
        <f ca="1">(IFERROR(IFERROR(VALUE(_xll.BDH(N$4,"PE_RATIO",$B72,$B72)),VALUE(_xll.BDH(N$4,"PE_RATIO",$B72+1,$B72+1))),N73))</f>
        <v>0</v>
      </c>
      <c r="O72" s="555">
        <f ca="1">(IFERROR(IFERROR(VALUE(_xll.BDH(O$4,"PE_RATIO",$B72,$B72)),VALUE(_xll.BDH(O$4,"PE_RATIO",$B72+1,$B72+1))),O73))</f>
        <v>0</v>
      </c>
      <c r="P72" s="555"/>
      <c r="Q72" s="559">
        <f t="shared" ca="1" si="25"/>
        <v>45485</v>
      </c>
      <c r="R72" s="4">
        <v>50.99</v>
      </c>
      <c r="S72" s="4">
        <v>123779.54</v>
      </c>
      <c r="T72" s="4">
        <v>0</v>
      </c>
      <c r="U72" s="4">
        <v>0.52839378238341972</v>
      </c>
      <c r="V72" s="4">
        <v>1.1421268570126231</v>
      </c>
      <c r="W72" s="4" t="e">
        <v>#DIV/0!</v>
      </c>
      <c r="Y72" s="555">
        <f t="shared" si="26"/>
        <v>50.99</v>
      </c>
      <c r="Z72" s="4">
        <f ca="1">IFERROR(VALUE(_xll.BDH(Z$4,"PX_LAST",$Q72,$Q72)),Z73)</f>
        <v>0</v>
      </c>
      <c r="AA72" s="4">
        <f ca="1">IFERROR(VALUE(_xll.BDH(AA$4,"PX_LAST",$Q72,$Q72)),AA73)</f>
        <v>0</v>
      </c>
      <c r="AB72" s="4">
        <f ca="1">IFERROR(VALUE(_xll.BDH(AB$4,"PX_LAST",$Q72,$Q72)),AB73)</f>
        <v>0</v>
      </c>
      <c r="AC72" s="4">
        <f ca="1">IFERROR(VALUE(_xll.BDH(AC$4,"PX_LAST",$Q72,$Q72)),AC73)</f>
        <v>0</v>
      </c>
      <c r="AD72" s="4">
        <f ca="1">IFERROR(VALUE(_xll.BDH(AD$4,"PX_LAST",$Q72,$Q72)),AD73)</f>
        <v>0</v>
      </c>
      <c r="AF72" s="4">
        <f t="shared" si="27"/>
        <v>0.52839378238341972</v>
      </c>
      <c r="AG72" s="4" t="e">
        <f t="shared" ca="1" si="28"/>
        <v>#DIV/0!</v>
      </c>
      <c r="AH72" s="4" t="e">
        <f t="shared" ca="1" si="29"/>
        <v>#DIV/0!</v>
      </c>
      <c r="AI72" s="4" t="e">
        <f t="shared" ca="1" si="30"/>
        <v>#DIV/0!</v>
      </c>
      <c r="AJ72" s="4" t="e">
        <f t="shared" ca="1" si="31"/>
        <v>#DIV/0!</v>
      </c>
      <c r="AK72" s="4" t="e">
        <f t="shared" ca="1" si="32"/>
        <v>#DIV/0!</v>
      </c>
      <c r="AM72" s="557">
        <f t="shared" ca="1" si="33"/>
        <v>45886</v>
      </c>
      <c r="AN72" s="558">
        <v>40.96</v>
      </c>
      <c r="AO72" s="558">
        <v>1525800</v>
      </c>
      <c r="AP72" s="558">
        <v>206.48981000000001</v>
      </c>
      <c r="AQ72" s="558">
        <v>8457.8226176000007</v>
      </c>
      <c r="AR72" s="558">
        <v>0.59279999999999999</v>
      </c>
    </row>
    <row r="73" spans="2:44">
      <c r="B73" s="559">
        <f t="shared" ca="1" si="34"/>
        <v>45478</v>
      </c>
      <c r="C73" s="555">
        <f ca="1">(IFERROR(IFERROR(VALUE(_xll.BDH(C$4,"CURRENT_EV_TO_T12M_EBITDA",$B73,$B73)),VALUE(_xll.BDH(C$4,"CURRENT_EV_TO_T12M_EBITDA",$B73+1,$B73+1))),C74))</f>
        <v>0</v>
      </c>
      <c r="D73" s="555">
        <f ca="1">(IFERROR(IFERROR(VALUE(_xll.BDH(D$4,"CURRENT_EV_TO_T12M_EBITDA",$B73,$B73)),VALUE(_xll.BDH(D$4,"CURRENT_EV_TO_T12M_EBITDA",$B73+1,$B73+1))),D74))</f>
        <v>0</v>
      </c>
      <c r="E73" s="555">
        <f ca="1">(IFERROR(IFERROR(VALUE(_xll.BDH(E$4,"CURRENT_EV_TO_T12M_EBITDA",$B73,$B73)),VALUE(_xll.BDH(E$4,"CURRENT_EV_TO_T12M_EBITDA",$B73+1,$B73+1))),E74))</f>
        <v>0</v>
      </c>
      <c r="F73" s="555">
        <f ca="1">(IFERROR(IFERROR(VALUE(_xll.BDH(F$4,"CURRENT_EV_TO_T12M_EBITDA",$B73,$B73)),VALUE(_xll.BDH(F$4,"CURRENT_EV_TO_T12M_EBITDA",$B73+1,$B73+1))),F74))</f>
        <v>0</v>
      </c>
      <c r="G73" s="555">
        <f ca="1">(IFERROR(IFERROR(VALUE(_xll.BDH(G$4,"CURRENT_EV_TO_T12M_EBITDA",$B73,$B73)),VALUE(_xll.BDH(G$4,"CURRENT_EV_TO_T12M_EBITDA",$B73+1,$B73+1))),G74))</f>
        <v>0</v>
      </c>
      <c r="H73" s="555">
        <f ca="1">(IFERROR(IFERROR(VALUE(_xll.BDH(H$4,"CURRENT_EV_TO_T12M_EBITDA",$B73,$B73)),VALUE(_xll.BDH(H$4,"CURRENT_EV_TO_T12M_EBITDA",$B73+1,$B73+1))),H74))</f>
        <v>0</v>
      </c>
      <c r="I73" s="559">
        <f t="shared" ca="1" si="24"/>
        <v>45478</v>
      </c>
      <c r="J73" s="555">
        <f ca="1">(IFERROR(IFERROR(VALUE(_xll.BDH(J$4,"PE_RATIO",$B73,$B73)),VALUE(_xll.BDH(J$4,"PE_RATIO",$B73+1,$B73+1))),J74))</f>
        <v>0</v>
      </c>
      <c r="K73" s="555">
        <f ca="1">(IFERROR(IFERROR(VALUE(_xll.BDH(K$4,"PE_RATIO",$B73,$B73)),VALUE(_xll.BDH(K$4,"PE_RATIO",$B73+1,$B73+1))),K74))</f>
        <v>0</v>
      </c>
      <c r="L73" s="555">
        <f ca="1">(IFERROR(IFERROR(VALUE(_xll.BDH(L$4,"PE_RATIO",$B73,$B73)),VALUE(_xll.BDH(L$4,"PE_RATIO",$B73+1,$B73+1))),L74))</f>
        <v>0</v>
      </c>
      <c r="M73" s="555">
        <f ca="1">(IFERROR(IFERROR(VALUE(_xll.BDH(M$4,"PE_RATIO",$B73,$B73)),VALUE(_xll.BDH(M$4,"PE_RATIO",$B73+1,$B73+1))),M74))</f>
        <v>0</v>
      </c>
      <c r="N73" s="555">
        <f ca="1">(IFERROR(IFERROR(VALUE(_xll.BDH(N$4,"PE_RATIO",$B73,$B73)),VALUE(_xll.BDH(N$4,"PE_RATIO",$B73+1,$B73+1))),N74))</f>
        <v>0</v>
      </c>
      <c r="O73" s="555">
        <f ca="1">(IFERROR(IFERROR(VALUE(_xll.BDH(O$4,"PE_RATIO",$B73,$B73)),VALUE(_xll.BDH(O$4,"PE_RATIO",$B73+1,$B73+1))),O74))</f>
        <v>0</v>
      </c>
      <c r="P73" s="555"/>
      <c r="Q73" s="559">
        <f t="shared" ca="1" si="25"/>
        <v>45478</v>
      </c>
      <c r="R73" s="4">
        <v>49.98</v>
      </c>
      <c r="S73" s="4">
        <v>127411.55</v>
      </c>
      <c r="T73" s="4">
        <v>0</v>
      </c>
      <c r="U73" s="4">
        <v>0.51792746113989629</v>
      </c>
      <c r="V73" s="4">
        <v>1.1756397959517921</v>
      </c>
      <c r="W73" s="4" t="e">
        <v>#DIV/0!</v>
      </c>
      <c r="Y73" s="555">
        <f t="shared" si="26"/>
        <v>49.98</v>
      </c>
      <c r="Z73" s="4">
        <f ca="1">IFERROR(VALUE(_xll.BDH(Z$4,"PX_LAST",$Q73,$Q73)),Z74)</f>
        <v>0</v>
      </c>
      <c r="AA73" s="4">
        <f ca="1">IFERROR(VALUE(_xll.BDH(AA$4,"PX_LAST",$Q73,$Q73)),AA74)</f>
        <v>0</v>
      </c>
      <c r="AB73" s="4">
        <f ca="1">IFERROR(VALUE(_xll.BDH(AB$4,"PX_LAST",$Q73,$Q73)),AB74)</f>
        <v>0</v>
      </c>
      <c r="AC73" s="4">
        <f ca="1">IFERROR(VALUE(_xll.BDH(AC$4,"PX_LAST",$Q73,$Q73)),AC74)</f>
        <v>0</v>
      </c>
      <c r="AD73" s="4">
        <f ca="1">IFERROR(VALUE(_xll.BDH(AD$4,"PX_LAST",$Q73,$Q73)),AD74)</f>
        <v>0</v>
      </c>
      <c r="AF73" s="4">
        <f t="shared" si="27"/>
        <v>0.51792746113989629</v>
      </c>
      <c r="AG73" s="4" t="e">
        <f t="shared" ca="1" si="28"/>
        <v>#DIV/0!</v>
      </c>
      <c r="AH73" s="4" t="e">
        <f t="shared" ca="1" si="29"/>
        <v>#DIV/0!</v>
      </c>
      <c r="AI73" s="4" t="e">
        <f t="shared" ca="1" si="30"/>
        <v>#DIV/0!</v>
      </c>
      <c r="AJ73" s="4" t="e">
        <f t="shared" ca="1" si="31"/>
        <v>#DIV/0!</v>
      </c>
      <c r="AK73" s="4" t="e">
        <f t="shared" ca="1" si="32"/>
        <v>#DIV/0!</v>
      </c>
      <c r="AM73" s="557">
        <f t="shared" ca="1" si="33"/>
        <v>45885</v>
      </c>
      <c r="AN73" s="558">
        <v>39.57</v>
      </c>
      <c r="AO73" s="558">
        <v>2555500</v>
      </c>
      <c r="AP73" s="558">
        <v>206.48981000000001</v>
      </c>
      <c r="AQ73" s="558">
        <v>8170.8017817</v>
      </c>
      <c r="AR73" s="558">
        <v>0.57150000000000001</v>
      </c>
    </row>
    <row r="74" spans="2:44">
      <c r="B74" s="559">
        <f t="shared" ca="1" si="34"/>
        <v>45471</v>
      </c>
      <c r="C74" s="555">
        <f ca="1">(IFERROR(IFERROR(VALUE(_xll.BDH(C$4,"CURRENT_EV_TO_T12M_EBITDA",$B74,$B74)),VALUE(_xll.BDH(C$4,"CURRENT_EV_TO_T12M_EBITDA",$B74+1,$B74+1))),C75))</f>
        <v>0</v>
      </c>
      <c r="D74" s="555">
        <f ca="1">(IFERROR(IFERROR(VALUE(_xll.BDH(D$4,"CURRENT_EV_TO_T12M_EBITDA",$B74,$B74)),VALUE(_xll.BDH(D$4,"CURRENT_EV_TO_T12M_EBITDA",$B74+1,$B74+1))),D75))</f>
        <v>0</v>
      </c>
      <c r="E74" s="555">
        <f ca="1">(IFERROR(IFERROR(VALUE(_xll.BDH(E$4,"CURRENT_EV_TO_T12M_EBITDA",$B74,$B74)),VALUE(_xll.BDH(E$4,"CURRENT_EV_TO_T12M_EBITDA",$B74+1,$B74+1))),E75))</f>
        <v>0</v>
      </c>
      <c r="F74" s="555">
        <f ca="1">(IFERROR(IFERROR(VALUE(_xll.BDH(F$4,"CURRENT_EV_TO_T12M_EBITDA",$B74,$B74)),VALUE(_xll.BDH(F$4,"CURRENT_EV_TO_T12M_EBITDA",$B74+1,$B74+1))),F75))</f>
        <v>0</v>
      </c>
      <c r="G74" s="555">
        <f ca="1">(IFERROR(IFERROR(VALUE(_xll.BDH(G$4,"CURRENT_EV_TO_T12M_EBITDA",$B74,$B74)),VALUE(_xll.BDH(G$4,"CURRENT_EV_TO_T12M_EBITDA",$B74+1,$B74+1))),G75))</f>
        <v>0</v>
      </c>
      <c r="H74" s="555">
        <f ca="1">(IFERROR(IFERROR(VALUE(_xll.BDH(H$4,"CURRENT_EV_TO_T12M_EBITDA",$B74,$B74)),VALUE(_xll.BDH(H$4,"CURRENT_EV_TO_T12M_EBITDA",$B74+1,$B74+1))),H75))</f>
        <v>0</v>
      </c>
      <c r="I74" s="559">
        <f t="shared" ca="1" si="24"/>
        <v>45471</v>
      </c>
      <c r="J74" s="555">
        <f ca="1">(IFERROR(IFERROR(VALUE(_xll.BDH(J$4,"PE_RATIO",$B74,$B74)),VALUE(_xll.BDH(J$4,"PE_RATIO",$B74+1,$B74+1))),J75))</f>
        <v>0</v>
      </c>
      <c r="K74" s="555">
        <f ca="1">(IFERROR(IFERROR(VALUE(_xll.BDH(K$4,"PE_RATIO",$B74,$B74)),VALUE(_xll.BDH(K$4,"PE_RATIO",$B74+1,$B74+1))),K75))</f>
        <v>0</v>
      </c>
      <c r="L74" s="555">
        <f ca="1">(IFERROR(IFERROR(VALUE(_xll.BDH(L$4,"PE_RATIO",$B74,$B74)),VALUE(_xll.BDH(L$4,"PE_RATIO",$B74+1,$B74+1))),L75))</f>
        <v>0</v>
      </c>
      <c r="M74" s="555">
        <f ca="1">(IFERROR(IFERROR(VALUE(_xll.BDH(M$4,"PE_RATIO",$B74,$B74)),VALUE(_xll.BDH(M$4,"PE_RATIO",$B74+1,$B74+1))),M75))</f>
        <v>0</v>
      </c>
      <c r="N74" s="555">
        <f ca="1">(IFERROR(IFERROR(VALUE(_xll.BDH(N$4,"PE_RATIO",$B74,$B74)),VALUE(_xll.BDH(N$4,"PE_RATIO",$B74+1,$B74+1))),N75))</f>
        <v>0</v>
      </c>
      <c r="O74" s="555">
        <f ca="1">(IFERROR(IFERROR(VALUE(_xll.BDH(O$4,"PE_RATIO",$B74,$B74)),VALUE(_xll.BDH(O$4,"PE_RATIO",$B74+1,$B74+1))),O75))</f>
        <v>0</v>
      </c>
      <c r="P74" s="555"/>
      <c r="Q74" s="559">
        <f t="shared" ca="1" si="25"/>
        <v>45471</v>
      </c>
      <c r="R74" s="4">
        <v>46.83</v>
      </c>
      <c r="S74" s="4">
        <v>128515.49</v>
      </c>
      <c r="T74" s="4">
        <v>0</v>
      </c>
      <c r="U74" s="4">
        <v>0.48528497409326421</v>
      </c>
      <c r="V74" s="4">
        <v>1.1858259666430915</v>
      </c>
      <c r="W74" s="4" t="e">
        <v>#DIV/0!</v>
      </c>
      <c r="Y74" s="555">
        <f t="shared" si="26"/>
        <v>46.83</v>
      </c>
      <c r="Z74" s="4">
        <f ca="1">IFERROR(VALUE(_xll.BDH(Z$4,"PX_LAST",$Q74,$Q74)),Z75)</f>
        <v>0</v>
      </c>
      <c r="AA74" s="4">
        <f ca="1">IFERROR(VALUE(_xll.BDH(AA$4,"PX_LAST",$Q74,$Q74)),AA75)</f>
        <v>0</v>
      </c>
      <c r="AB74" s="4">
        <f ca="1">IFERROR(VALUE(_xll.BDH(AB$4,"PX_LAST",$Q74,$Q74)),AB75)</f>
        <v>0</v>
      </c>
      <c r="AC74" s="4">
        <f ca="1">IFERROR(VALUE(_xll.BDH(AC$4,"PX_LAST",$Q74,$Q74)),AC75)</f>
        <v>0</v>
      </c>
      <c r="AD74" s="4">
        <f ca="1">IFERROR(VALUE(_xll.BDH(AD$4,"PX_LAST",$Q74,$Q74)),AD75)</f>
        <v>0</v>
      </c>
      <c r="AF74" s="4">
        <f t="shared" si="27"/>
        <v>0.48528497409326421</v>
      </c>
      <c r="AG74" s="4" t="e">
        <f t="shared" ca="1" si="28"/>
        <v>#DIV/0!</v>
      </c>
      <c r="AH74" s="4" t="e">
        <f t="shared" ca="1" si="29"/>
        <v>#DIV/0!</v>
      </c>
      <c r="AI74" s="4" t="e">
        <f t="shared" ca="1" si="30"/>
        <v>#DIV/0!</v>
      </c>
      <c r="AJ74" s="4" t="e">
        <f t="shared" ca="1" si="31"/>
        <v>#DIV/0!</v>
      </c>
      <c r="AK74" s="4" t="e">
        <f t="shared" ca="1" si="32"/>
        <v>#DIV/0!</v>
      </c>
      <c r="AM74" s="557">
        <f t="shared" ca="1" si="33"/>
        <v>45884</v>
      </c>
      <c r="AN74" s="558">
        <v>41.104999999999997</v>
      </c>
      <c r="AO74" s="558">
        <v>3061100</v>
      </c>
      <c r="AP74" s="558">
        <v>206.48981000000001</v>
      </c>
      <c r="AQ74" s="558">
        <v>8487.7636400499996</v>
      </c>
      <c r="AR74" s="558">
        <v>0.59340000000000004</v>
      </c>
    </row>
    <row r="75" spans="2:44">
      <c r="B75" s="559">
        <f t="shared" ca="1" si="34"/>
        <v>45464</v>
      </c>
      <c r="C75" s="555">
        <f ca="1">(IFERROR(IFERROR(VALUE(_xll.BDH(C$4,"CURRENT_EV_TO_T12M_EBITDA",$B75,$B75)),VALUE(_xll.BDH(C$4,"CURRENT_EV_TO_T12M_EBITDA",$B75+1,$B75+1))),C76))</f>
        <v>0</v>
      </c>
      <c r="D75" s="555">
        <f ca="1">(IFERROR(IFERROR(VALUE(_xll.BDH(D$4,"CURRENT_EV_TO_T12M_EBITDA",$B75,$B75)),VALUE(_xll.BDH(D$4,"CURRENT_EV_TO_T12M_EBITDA",$B75+1,$B75+1))),D76))</f>
        <v>0</v>
      </c>
      <c r="E75" s="555">
        <f ca="1">(IFERROR(IFERROR(VALUE(_xll.BDH(E$4,"CURRENT_EV_TO_T12M_EBITDA",$B75,$B75)),VALUE(_xll.BDH(E$4,"CURRENT_EV_TO_T12M_EBITDA",$B75+1,$B75+1))),E76))</f>
        <v>0</v>
      </c>
      <c r="F75" s="555">
        <f ca="1">(IFERROR(IFERROR(VALUE(_xll.BDH(F$4,"CURRENT_EV_TO_T12M_EBITDA",$B75,$B75)),VALUE(_xll.BDH(F$4,"CURRENT_EV_TO_T12M_EBITDA",$B75+1,$B75+1))),F76))</f>
        <v>0</v>
      </c>
      <c r="G75" s="555">
        <f ca="1">(IFERROR(IFERROR(VALUE(_xll.BDH(G$4,"CURRENT_EV_TO_T12M_EBITDA",$B75,$B75)),VALUE(_xll.BDH(G$4,"CURRENT_EV_TO_T12M_EBITDA",$B75+1,$B75+1))),G76))</f>
        <v>0</v>
      </c>
      <c r="H75" s="555">
        <f ca="1">(IFERROR(IFERROR(VALUE(_xll.BDH(H$4,"CURRENT_EV_TO_T12M_EBITDA",$B75,$B75)),VALUE(_xll.BDH(H$4,"CURRENT_EV_TO_T12M_EBITDA",$B75+1,$B75+1))),H76))</f>
        <v>0</v>
      </c>
      <c r="I75" s="559">
        <f t="shared" ca="1" si="24"/>
        <v>45464</v>
      </c>
      <c r="J75" s="555">
        <f ca="1">(IFERROR(IFERROR(VALUE(_xll.BDH(J$4,"PE_RATIO",$B75,$B75)),VALUE(_xll.BDH(J$4,"PE_RATIO",$B75+1,$B75+1))),J76))</f>
        <v>0</v>
      </c>
      <c r="K75" s="555">
        <f ca="1">(IFERROR(IFERROR(VALUE(_xll.BDH(K$4,"PE_RATIO",$B75,$B75)),VALUE(_xll.BDH(K$4,"PE_RATIO",$B75+1,$B75+1))),K76))</f>
        <v>0</v>
      </c>
      <c r="L75" s="555">
        <f ca="1">(IFERROR(IFERROR(VALUE(_xll.BDH(L$4,"PE_RATIO",$B75,$B75)),VALUE(_xll.BDH(L$4,"PE_RATIO",$B75+1,$B75+1))),L76))</f>
        <v>0</v>
      </c>
      <c r="M75" s="555">
        <f ca="1">(IFERROR(IFERROR(VALUE(_xll.BDH(M$4,"PE_RATIO",$B75,$B75)),VALUE(_xll.BDH(M$4,"PE_RATIO",$B75+1,$B75+1))),M76))</f>
        <v>0</v>
      </c>
      <c r="N75" s="555">
        <f ca="1">(IFERROR(IFERROR(VALUE(_xll.BDH(N$4,"PE_RATIO",$B75,$B75)),VALUE(_xll.BDH(N$4,"PE_RATIO",$B75+1,$B75+1))),N76))</f>
        <v>0</v>
      </c>
      <c r="O75" s="555">
        <f ca="1">(IFERROR(IFERROR(VALUE(_xll.BDH(O$4,"PE_RATIO",$B75,$B75)),VALUE(_xll.BDH(O$4,"PE_RATIO",$B75+1,$B75+1))),O76))</f>
        <v>0</v>
      </c>
      <c r="P75" s="555"/>
      <c r="Q75" s="559">
        <f t="shared" ca="1" si="25"/>
        <v>45464</v>
      </c>
      <c r="R75" s="4">
        <v>51.79</v>
      </c>
      <c r="S75" s="4">
        <v>129210.48</v>
      </c>
      <c r="T75" s="4">
        <v>0</v>
      </c>
      <c r="U75" s="4">
        <v>0.53668393782383417</v>
      </c>
      <c r="V75" s="4">
        <v>1.1922387125973517</v>
      </c>
      <c r="W75" s="4" t="e">
        <v>#DIV/0!</v>
      </c>
      <c r="Y75" s="555">
        <f t="shared" si="26"/>
        <v>51.79</v>
      </c>
      <c r="Z75" s="4">
        <f ca="1">IFERROR(VALUE(_xll.BDH(Z$4,"PX_LAST",$Q75,$Q75)),Z76)</f>
        <v>0</v>
      </c>
      <c r="AA75" s="4">
        <f ca="1">IFERROR(VALUE(_xll.BDH(AA$4,"PX_LAST",$Q75,$Q75)),AA76)</f>
        <v>0</v>
      </c>
      <c r="AB75" s="4">
        <f ca="1">IFERROR(VALUE(_xll.BDH(AB$4,"PX_LAST",$Q75,$Q75)),AB76)</f>
        <v>0</v>
      </c>
      <c r="AC75" s="4">
        <f ca="1">IFERROR(VALUE(_xll.BDH(AC$4,"PX_LAST",$Q75,$Q75)),AC76)</f>
        <v>0</v>
      </c>
      <c r="AD75" s="4">
        <f ca="1">IFERROR(VALUE(_xll.BDH(AD$4,"PX_LAST",$Q75,$Q75)),AD76)</f>
        <v>0</v>
      </c>
      <c r="AF75" s="4">
        <f t="shared" si="27"/>
        <v>0.53668393782383417</v>
      </c>
      <c r="AG75" s="4" t="e">
        <f t="shared" ca="1" si="28"/>
        <v>#DIV/0!</v>
      </c>
      <c r="AH75" s="4" t="e">
        <f t="shared" ca="1" si="29"/>
        <v>#DIV/0!</v>
      </c>
      <c r="AI75" s="4" t="e">
        <f t="shared" ca="1" si="30"/>
        <v>#DIV/0!</v>
      </c>
      <c r="AJ75" s="4" t="e">
        <f t="shared" ca="1" si="31"/>
        <v>#DIV/0!</v>
      </c>
      <c r="AK75" s="4" t="e">
        <f t="shared" ca="1" si="32"/>
        <v>#DIV/0!</v>
      </c>
      <c r="AM75" s="557">
        <f t="shared" ca="1" si="33"/>
        <v>45883</v>
      </c>
      <c r="AN75" s="558">
        <v>42.96</v>
      </c>
      <c r="AO75" s="558">
        <v>4304600</v>
      </c>
      <c r="AP75" s="558">
        <v>206.48981000000001</v>
      </c>
      <c r="AQ75" s="558">
        <v>8870.8022376000008</v>
      </c>
      <c r="AR75" s="558">
        <v>0.62080000000000002</v>
      </c>
    </row>
    <row r="76" spans="2:44">
      <c r="B76" s="559">
        <f t="shared" ca="1" si="34"/>
        <v>45457</v>
      </c>
      <c r="C76" s="555">
        <f ca="1">(IFERROR(IFERROR(VALUE(_xll.BDH(C$4,"CURRENT_EV_TO_T12M_EBITDA",$B76,$B76)),VALUE(_xll.BDH(C$4,"CURRENT_EV_TO_T12M_EBITDA",$B76+1,$B76+1))),C77))</f>
        <v>0</v>
      </c>
      <c r="D76" s="555">
        <f ca="1">(IFERROR(IFERROR(VALUE(_xll.BDH(D$4,"CURRENT_EV_TO_T12M_EBITDA",$B76,$B76)),VALUE(_xll.BDH(D$4,"CURRENT_EV_TO_T12M_EBITDA",$B76+1,$B76+1))),D77))</f>
        <v>0</v>
      </c>
      <c r="E76" s="555">
        <f ca="1">(IFERROR(IFERROR(VALUE(_xll.BDH(E$4,"CURRENT_EV_TO_T12M_EBITDA",$B76,$B76)),VALUE(_xll.BDH(E$4,"CURRENT_EV_TO_T12M_EBITDA",$B76+1,$B76+1))),E77))</f>
        <v>0</v>
      </c>
      <c r="F76" s="555">
        <f ca="1">(IFERROR(IFERROR(VALUE(_xll.BDH(F$4,"CURRENT_EV_TO_T12M_EBITDA",$B76,$B76)),VALUE(_xll.BDH(F$4,"CURRENT_EV_TO_T12M_EBITDA",$B76+1,$B76+1))),F77))</f>
        <v>0</v>
      </c>
      <c r="G76" s="555">
        <f ca="1">(IFERROR(IFERROR(VALUE(_xll.BDH(G$4,"CURRENT_EV_TO_T12M_EBITDA",$B76,$B76)),VALUE(_xll.BDH(G$4,"CURRENT_EV_TO_T12M_EBITDA",$B76+1,$B76+1))),G77))</f>
        <v>0</v>
      </c>
      <c r="H76" s="555">
        <f ca="1">(IFERROR(IFERROR(VALUE(_xll.BDH(H$4,"CURRENT_EV_TO_T12M_EBITDA",$B76,$B76)),VALUE(_xll.BDH(H$4,"CURRENT_EV_TO_T12M_EBITDA",$B76+1,$B76+1))),H77))</f>
        <v>0</v>
      </c>
      <c r="I76" s="559">
        <f t="shared" ca="1" si="24"/>
        <v>45457</v>
      </c>
      <c r="J76" s="555">
        <f ca="1">(IFERROR(IFERROR(VALUE(_xll.BDH(J$4,"PE_RATIO",$B76,$B76)),VALUE(_xll.BDH(J$4,"PE_RATIO",$B76+1,$B76+1))),J77))</f>
        <v>0</v>
      </c>
      <c r="K76" s="555">
        <f ca="1">(IFERROR(IFERROR(VALUE(_xll.BDH(K$4,"PE_RATIO",$B76,$B76)),VALUE(_xll.BDH(K$4,"PE_RATIO",$B76+1,$B76+1))),K77))</f>
        <v>0</v>
      </c>
      <c r="L76" s="555">
        <f ca="1">(IFERROR(IFERROR(VALUE(_xll.BDH(L$4,"PE_RATIO",$B76,$B76)),VALUE(_xll.BDH(L$4,"PE_RATIO",$B76+1,$B76+1))),L77))</f>
        <v>0</v>
      </c>
      <c r="M76" s="555">
        <f ca="1">(IFERROR(IFERROR(VALUE(_xll.BDH(M$4,"PE_RATIO",$B76,$B76)),VALUE(_xll.BDH(M$4,"PE_RATIO",$B76+1,$B76+1))),M77))</f>
        <v>0</v>
      </c>
      <c r="N76" s="555">
        <f ca="1">(IFERROR(IFERROR(VALUE(_xll.BDH(N$4,"PE_RATIO",$B76,$B76)),VALUE(_xll.BDH(N$4,"PE_RATIO",$B76+1,$B76+1))),N77))</f>
        <v>0</v>
      </c>
      <c r="O76" s="555">
        <f ca="1">(IFERROR(IFERROR(VALUE(_xll.BDH(O$4,"PE_RATIO",$B76,$B76)),VALUE(_xll.BDH(O$4,"PE_RATIO",$B76+1,$B76+1))),O77))</f>
        <v>0</v>
      </c>
      <c r="P76" s="555"/>
      <c r="Q76" s="559">
        <f t="shared" ca="1" si="25"/>
        <v>45457</v>
      </c>
      <c r="R76" s="4">
        <v>51.92</v>
      </c>
      <c r="S76" s="4">
        <v>125924.19</v>
      </c>
      <c r="T76" s="4">
        <v>0</v>
      </c>
      <c r="U76" s="4">
        <v>0.53803108808290157</v>
      </c>
      <c r="V76" s="4">
        <v>1.1619157685232986</v>
      </c>
      <c r="W76" s="4" t="e">
        <v>#DIV/0!</v>
      </c>
      <c r="Y76" s="555">
        <f t="shared" si="26"/>
        <v>51.92</v>
      </c>
      <c r="Z76" s="4">
        <f ca="1">IFERROR(VALUE(_xll.BDH(Z$4,"PX_LAST",$Q76,$Q76)),Z77)</f>
        <v>0</v>
      </c>
      <c r="AA76" s="4">
        <f ca="1">IFERROR(VALUE(_xll.BDH(AA$4,"PX_LAST",$Q76,$Q76)),AA77)</f>
        <v>0</v>
      </c>
      <c r="AB76" s="4">
        <f ca="1">IFERROR(VALUE(_xll.BDH(AB$4,"PX_LAST",$Q76,$Q76)),AB77)</f>
        <v>0</v>
      </c>
      <c r="AC76" s="4">
        <f ca="1">IFERROR(VALUE(_xll.BDH(AC$4,"PX_LAST",$Q76,$Q76)),AC77)</f>
        <v>0</v>
      </c>
      <c r="AD76" s="4">
        <f ca="1">IFERROR(VALUE(_xll.BDH(AD$4,"PX_LAST",$Q76,$Q76)),AD77)</f>
        <v>0</v>
      </c>
      <c r="AF76" s="4">
        <f t="shared" si="27"/>
        <v>0.53803108808290157</v>
      </c>
      <c r="AG76" s="4" t="e">
        <f t="shared" ca="1" si="28"/>
        <v>#DIV/0!</v>
      </c>
      <c r="AH76" s="4" t="e">
        <f t="shared" ca="1" si="29"/>
        <v>#DIV/0!</v>
      </c>
      <c r="AI76" s="4" t="e">
        <f t="shared" ca="1" si="30"/>
        <v>#DIV/0!</v>
      </c>
      <c r="AJ76" s="4" t="e">
        <f t="shared" ca="1" si="31"/>
        <v>#DIV/0!</v>
      </c>
      <c r="AK76" s="4" t="e">
        <f t="shared" ca="1" si="32"/>
        <v>#DIV/0!</v>
      </c>
      <c r="AM76" s="557">
        <f t="shared" ca="1" si="33"/>
        <v>45882</v>
      </c>
      <c r="AN76" s="558">
        <v>41.045000000000002</v>
      </c>
      <c r="AO76" s="558">
        <v>1959300</v>
      </c>
      <c r="AP76" s="558">
        <v>206.48981000000001</v>
      </c>
      <c r="AQ76" s="558">
        <v>8475.3742514500009</v>
      </c>
      <c r="AR76" s="558">
        <v>0.60909999999999997</v>
      </c>
    </row>
    <row r="77" spans="2:44">
      <c r="B77" s="559">
        <f t="shared" ca="1" si="34"/>
        <v>45450</v>
      </c>
      <c r="C77" s="555">
        <f ca="1">(IFERROR(IFERROR(VALUE(_xll.BDH(C$4,"CURRENT_EV_TO_T12M_EBITDA",$B77,$B77)),VALUE(_xll.BDH(C$4,"CURRENT_EV_TO_T12M_EBITDA",$B77+1,$B77+1))),C78))</f>
        <v>0</v>
      </c>
      <c r="D77" s="555">
        <f ca="1">(IFERROR(IFERROR(VALUE(_xll.BDH(D$4,"CURRENT_EV_TO_T12M_EBITDA",$B77,$B77)),VALUE(_xll.BDH(D$4,"CURRENT_EV_TO_T12M_EBITDA",$B77+1,$B77+1))),D78))</f>
        <v>0</v>
      </c>
      <c r="E77" s="555">
        <f ca="1">(IFERROR(IFERROR(VALUE(_xll.BDH(E$4,"CURRENT_EV_TO_T12M_EBITDA",$B77,$B77)),VALUE(_xll.BDH(E$4,"CURRENT_EV_TO_T12M_EBITDA",$B77+1,$B77+1))),E78))</f>
        <v>0</v>
      </c>
      <c r="F77" s="555">
        <f ca="1">(IFERROR(IFERROR(VALUE(_xll.BDH(F$4,"CURRENT_EV_TO_T12M_EBITDA",$B77,$B77)),VALUE(_xll.BDH(F$4,"CURRENT_EV_TO_T12M_EBITDA",$B77+1,$B77+1))),F78))</f>
        <v>0</v>
      </c>
      <c r="G77" s="555">
        <f ca="1">(IFERROR(IFERROR(VALUE(_xll.BDH(G$4,"CURRENT_EV_TO_T12M_EBITDA",$B77,$B77)),VALUE(_xll.BDH(G$4,"CURRENT_EV_TO_T12M_EBITDA",$B77+1,$B77+1))),G78))</f>
        <v>0</v>
      </c>
      <c r="H77" s="555">
        <f ca="1">(IFERROR(IFERROR(VALUE(_xll.BDH(H$4,"CURRENT_EV_TO_T12M_EBITDA",$B77,$B77)),VALUE(_xll.BDH(H$4,"CURRENT_EV_TO_T12M_EBITDA",$B77+1,$B77+1))),H78))</f>
        <v>0</v>
      </c>
      <c r="I77" s="559">
        <f t="shared" ca="1" si="24"/>
        <v>45450</v>
      </c>
      <c r="J77" s="555">
        <f ca="1">(IFERROR(IFERROR(VALUE(_xll.BDH(J$4,"PE_RATIO",$B77,$B77)),VALUE(_xll.BDH(J$4,"PE_RATIO",$B77+1,$B77+1))),J78))</f>
        <v>0</v>
      </c>
      <c r="K77" s="555">
        <f ca="1">(IFERROR(IFERROR(VALUE(_xll.BDH(K$4,"PE_RATIO",$B77,$B77)),VALUE(_xll.BDH(K$4,"PE_RATIO",$B77+1,$B77+1))),K78))</f>
        <v>0</v>
      </c>
      <c r="L77" s="555">
        <f ca="1">(IFERROR(IFERROR(VALUE(_xll.BDH(L$4,"PE_RATIO",$B77,$B77)),VALUE(_xll.BDH(L$4,"PE_RATIO",$B77+1,$B77+1))),L78))</f>
        <v>0</v>
      </c>
      <c r="M77" s="555">
        <f ca="1">(IFERROR(IFERROR(VALUE(_xll.BDH(M$4,"PE_RATIO",$B77,$B77)),VALUE(_xll.BDH(M$4,"PE_RATIO",$B77+1,$B77+1))),M78))</f>
        <v>0</v>
      </c>
      <c r="N77" s="555">
        <f ca="1">(IFERROR(IFERROR(VALUE(_xll.BDH(N$4,"PE_RATIO",$B77,$B77)),VALUE(_xll.BDH(N$4,"PE_RATIO",$B77+1,$B77+1))),N78))</f>
        <v>0</v>
      </c>
      <c r="O77" s="555">
        <f ca="1">(IFERROR(IFERROR(VALUE(_xll.BDH(O$4,"PE_RATIO",$B77,$B77)),VALUE(_xll.BDH(O$4,"PE_RATIO",$B77+1,$B77+1))),O78))</f>
        <v>0</v>
      </c>
      <c r="P77" s="555"/>
      <c r="Q77" s="559">
        <f t="shared" ca="1" si="25"/>
        <v>45450</v>
      </c>
      <c r="R77" s="4">
        <v>52.25</v>
      </c>
      <c r="S77" s="4">
        <v>125148.07</v>
      </c>
      <c r="T77" s="4">
        <v>0</v>
      </c>
      <c r="U77" s="4">
        <v>0.54145077720207258</v>
      </c>
      <c r="V77" s="4">
        <v>1.1547544275111683</v>
      </c>
      <c r="W77" s="4" t="e">
        <v>#DIV/0!</v>
      </c>
      <c r="Y77" s="555">
        <f t="shared" si="26"/>
        <v>52.25</v>
      </c>
      <c r="Z77" s="4">
        <f ca="1">IFERROR(VALUE(_xll.BDH(Z$4,"PX_LAST",$Q77,$Q77)),Z78)</f>
        <v>0</v>
      </c>
      <c r="AA77" s="4">
        <f ca="1">IFERROR(VALUE(_xll.BDH(AA$4,"PX_LAST",$Q77,$Q77)),AA78)</f>
        <v>0</v>
      </c>
      <c r="AB77" s="4">
        <f ca="1">IFERROR(VALUE(_xll.BDH(AB$4,"PX_LAST",$Q77,$Q77)),AB78)</f>
        <v>0</v>
      </c>
      <c r="AC77" s="4">
        <f ca="1">IFERROR(VALUE(_xll.BDH(AC$4,"PX_LAST",$Q77,$Q77)),AC78)</f>
        <v>0</v>
      </c>
      <c r="AD77" s="4">
        <f ca="1">IFERROR(VALUE(_xll.BDH(AD$4,"PX_LAST",$Q77,$Q77)),AD78)</f>
        <v>0</v>
      </c>
      <c r="AF77" s="4">
        <f t="shared" si="27"/>
        <v>0.54145077720207258</v>
      </c>
      <c r="AG77" s="4" t="e">
        <f t="shared" ca="1" si="28"/>
        <v>#DIV/0!</v>
      </c>
      <c r="AH77" s="4" t="e">
        <f t="shared" ca="1" si="29"/>
        <v>#DIV/0!</v>
      </c>
      <c r="AI77" s="4" t="e">
        <f t="shared" ca="1" si="30"/>
        <v>#DIV/0!</v>
      </c>
      <c r="AJ77" s="4" t="e">
        <f t="shared" ca="1" si="31"/>
        <v>#DIV/0!</v>
      </c>
      <c r="AK77" s="4" t="e">
        <f t="shared" ca="1" si="32"/>
        <v>#DIV/0!</v>
      </c>
      <c r="AM77" s="557">
        <f t="shared" ca="1" si="33"/>
        <v>45881</v>
      </c>
      <c r="AN77" s="558">
        <v>41.045000000000002</v>
      </c>
      <c r="AO77" s="558">
        <v>1959300</v>
      </c>
      <c r="AP77" s="558">
        <v>206.48981000000001</v>
      </c>
      <c r="AQ77" s="558">
        <v>8475.3742514500009</v>
      </c>
      <c r="AR77" s="558">
        <v>0.60909999999999997</v>
      </c>
    </row>
    <row r="78" spans="2:44">
      <c r="B78" s="559">
        <f t="shared" ca="1" si="34"/>
        <v>45443</v>
      </c>
      <c r="C78" s="555">
        <f ca="1">(IFERROR(IFERROR(VALUE(_xll.BDH(C$4,"CURRENT_EV_TO_T12M_EBITDA",$B78,$B78)),VALUE(_xll.BDH(C$4,"CURRENT_EV_TO_T12M_EBITDA",$B78+1,$B78+1))),C79))</f>
        <v>0</v>
      </c>
      <c r="D78" s="555">
        <f ca="1">(IFERROR(IFERROR(VALUE(_xll.BDH(D$4,"CURRENT_EV_TO_T12M_EBITDA",$B78,$B78)),VALUE(_xll.BDH(D$4,"CURRENT_EV_TO_T12M_EBITDA",$B78+1,$B78+1))),D79))</f>
        <v>0</v>
      </c>
      <c r="E78" s="555">
        <f ca="1">(IFERROR(IFERROR(VALUE(_xll.BDH(E$4,"CURRENT_EV_TO_T12M_EBITDA",$B78,$B78)),VALUE(_xll.BDH(E$4,"CURRENT_EV_TO_T12M_EBITDA",$B78+1,$B78+1))),E79))</f>
        <v>0</v>
      </c>
      <c r="F78" s="555">
        <f ca="1">(IFERROR(IFERROR(VALUE(_xll.BDH(F$4,"CURRENT_EV_TO_T12M_EBITDA",$B78,$B78)),VALUE(_xll.BDH(F$4,"CURRENT_EV_TO_T12M_EBITDA",$B78+1,$B78+1))),F79))</f>
        <v>0</v>
      </c>
      <c r="G78" s="555">
        <f ca="1">(IFERROR(IFERROR(VALUE(_xll.BDH(G$4,"CURRENT_EV_TO_T12M_EBITDA",$B78,$B78)),VALUE(_xll.BDH(G$4,"CURRENT_EV_TO_T12M_EBITDA",$B78+1,$B78+1))),G79))</f>
        <v>0</v>
      </c>
      <c r="H78" s="555">
        <f ca="1">(IFERROR(IFERROR(VALUE(_xll.BDH(H$4,"CURRENT_EV_TO_T12M_EBITDA",$B78,$B78)),VALUE(_xll.BDH(H$4,"CURRENT_EV_TO_T12M_EBITDA",$B78+1,$B78+1))),H79))</f>
        <v>0</v>
      </c>
      <c r="I78" s="559">
        <f t="shared" ca="1" si="24"/>
        <v>45443</v>
      </c>
      <c r="J78" s="555">
        <f ca="1">(IFERROR(IFERROR(VALUE(_xll.BDH(J$4,"PE_RATIO",$B78,$B78)),VALUE(_xll.BDH(J$4,"PE_RATIO",$B78+1,$B78+1))),J79))</f>
        <v>0</v>
      </c>
      <c r="K78" s="555">
        <f ca="1">(IFERROR(IFERROR(VALUE(_xll.BDH(K$4,"PE_RATIO",$B78,$B78)),VALUE(_xll.BDH(K$4,"PE_RATIO",$B78+1,$B78+1))),K79))</f>
        <v>0</v>
      </c>
      <c r="L78" s="555">
        <f ca="1">(IFERROR(IFERROR(VALUE(_xll.BDH(L$4,"PE_RATIO",$B78,$B78)),VALUE(_xll.BDH(L$4,"PE_RATIO",$B78+1,$B78+1))),L79))</f>
        <v>0</v>
      </c>
      <c r="M78" s="555">
        <f ca="1">(IFERROR(IFERROR(VALUE(_xll.BDH(M$4,"PE_RATIO",$B78,$B78)),VALUE(_xll.BDH(M$4,"PE_RATIO",$B78+1,$B78+1))),M79))</f>
        <v>0</v>
      </c>
      <c r="N78" s="555">
        <f ca="1">(IFERROR(IFERROR(VALUE(_xll.BDH(N$4,"PE_RATIO",$B78,$B78)),VALUE(_xll.BDH(N$4,"PE_RATIO",$B78+1,$B78+1))),N79))</f>
        <v>0</v>
      </c>
      <c r="O78" s="555">
        <f ca="1">(IFERROR(IFERROR(VALUE(_xll.BDH(O$4,"PE_RATIO",$B78,$B78)),VALUE(_xll.BDH(O$4,"PE_RATIO",$B78+1,$B78+1))),O79))</f>
        <v>0</v>
      </c>
      <c r="P78" s="555"/>
      <c r="Q78" s="559">
        <f t="shared" ca="1" si="25"/>
        <v>45443</v>
      </c>
      <c r="R78" s="4">
        <v>51.4</v>
      </c>
      <c r="S78" s="4">
        <v>124388.62</v>
      </c>
      <c r="T78" s="4">
        <v>0</v>
      </c>
      <c r="U78" s="4">
        <v>0.53264248704663208</v>
      </c>
      <c r="V78" s="4">
        <v>1.1477469023453917</v>
      </c>
      <c r="W78" s="4" t="e">
        <v>#DIV/0!</v>
      </c>
      <c r="Y78" s="555">
        <f t="shared" si="26"/>
        <v>51.4</v>
      </c>
      <c r="Z78" s="4">
        <f ca="1">IFERROR(VALUE(_xll.BDH(Z$4,"PX_LAST",$Q78,$Q78)),Z79)</f>
        <v>0</v>
      </c>
      <c r="AA78" s="4">
        <f ca="1">IFERROR(VALUE(_xll.BDH(AA$4,"PX_LAST",$Q78,$Q78)),AA79)</f>
        <v>0</v>
      </c>
      <c r="AB78" s="4">
        <f ca="1">IFERROR(VALUE(_xll.BDH(AB$4,"PX_LAST",$Q78,$Q78)),AB79)</f>
        <v>0</v>
      </c>
      <c r="AC78" s="4">
        <f ca="1">IFERROR(VALUE(_xll.BDH(AC$4,"PX_LAST",$Q78,$Q78)),AC79)</f>
        <v>0</v>
      </c>
      <c r="AD78" s="4">
        <f ca="1">IFERROR(VALUE(_xll.BDH(AD$4,"PX_LAST",$Q78,$Q78)),AD79)</f>
        <v>0</v>
      </c>
      <c r="AF78" s="4">
        <f t="shared" si="27"/>
        <v>0.53264248704663208</v>
      </c>
      <c r="AG78" s="4" t="e">
        <f t="shared" ca="1" si="28"/>
        <v>#DIV/0!</v>
      </c>
      <c r="AH78" s="4" t="e">
        <f t="shared" ca="1" si="29"/>
        <v>#DIV/0!</v>
      </c>
      <c r="AI78" s="4" t="e">
        <f t="shared" ca="1" si="30"/>
        <v>#DIV/0!</v>
      </c>
      <c r="AJ78" s="4" t="e">
        <f t="shared" ca="1" si="31"/>
        <v>#DIV/0!</v>
      </c>
      <c r="AK78" s="4" t="e">
        <f t="shared" ca="1" si="32"/>
        <v>#DIV/0!</v>
      </c>
      <c r="AM78" s="557">
        <f t="shared" ca="1" si="33"/>
        <v>45880</v>
      </c>
      <c r="AN78" s="558">
        <v>41.045000000000002</v>
      </c>
      <c r="AO78" s="558">
        <v>1959300</v>
      </c>
      <c r="AP78" s="558">
        <v>206.48981000000001</v>
      </c>
      <c r="AQ78" s="558">
        <v>8475.3742514500009</v>
      </c>
      <c r="AR78" s="558">
        <v>0.60909999999999997</v>
      </c>
    </row>
    <row r="79" spans="2:44">
      <c r="B79" s="559">
        <f t="shared" ca="1" si="34"/>
        <v>45436</v>
      </c>
      <c r="C79" s="555">
        <f ca="1">(IFERROR(IFERROR(VALUE(_xll.BDH(C$4,"CURRENT_EV_TO_T12M_EBITDA",$B79,$B79)),VALUE(_xll.BDH(C$4,"CURRENT_EV_TO_T12M_EBITDA",$B79+1,$B79+1))),C80))</f>
        <v>0</v>
      </c>
      <c r="D79" s="555">
        <f ca="1">(IFERROR(IFERROR(VALUE(_xll.BDH(D$4,"CURRENT_EV_TO_T12M_EBITDA",$B79,$B79)),VALUE(_xll.BDH(D$4,"CURRENT_EV_TO_T12M_EBITDA",$B79+1,$B79+1))),D80))</f>
        <v>0</v>
      </c>
      <c r="E79" s="555">
        <f ca="1">(IFERROR(IFERROR(VALUE(_xll.BDH(E$4,"CURRENT_EV_TO_T12M_EBITDA",$B79,$B79)),VALUE(_xll.BDH(E$4,"CURRENT_EV_TO_T12M_EBITDA",$B79+1,$B79+1))),E80))</f>
        <v>0</v>
      </c>
      <c r="F79" s="555">
        <f ca="1">(IFERROR(IFERROR(VALUE(_xll.BDH(F$4,"CURRENT_EV_TO_T12M_EBITDA",$B79,$B79)),VALUE(_xll.BDH(F$4,"CURRENT_EV_TO_T12M_EBITDA",$B79+1,$B79+1))),F80))</f>
        <v>0</v>
      </c>
      <c r="G79" s="555">
        <f ca="1">(IFERROR(IFERROR(VALUE(_xll.BDH(G$4,"CURRENT_EV_TO_T12M_EBITDA",$B79,$B79)),VALUE(_xll.BDH(G$4,"CURRENT_EV_TO_T12M_EBITDA",$B79+1,$B79+1))),G80))</f>
        <v>0</v>
      </c>
      <c r="H79" s="555">
        <f ca="1">(IFERROR(IFERROR(VALUE(_xll.BDH(H$4,"CURRENT_EV_TO_T12M_EBITDA",$B79,$B79)),VALUE(_xll.BDH(H$4,"CURRENT_EV_TO_T12M_EBITDA",$B79+1,$B79+1))),H80))</f>
        <v>0</v>
      </c>
      <c r="I79" s="559">
        <f t="shared" ca="1" si="24"/>
        <v>45436</v>
      </c>
      <c r="J79" s="555">
        <f ca="1">(IFERROR(IFERROR(VALUE(_xll.BDH(J$4,"PE_RATIO",$B79,$B79)),VALUE(_xll.BDH(J$4,"PE_RATIO",$B79+1,$B79+1))),J80))</f>
        <v>0</v>
      </c>
      <c r="K79" s="555">
        <f ca="1">(IFERROR(IFERROR(VALUE(_xll.BDH(K$4,"PE_RATIO",$B79,$B79)),VALUE(_xll.BDH(K$4,"PE_RATIO",$B79+1,$B79+1))),K80))</f>
        <v>0</v>
      </c>
      <c r="L79" s="555">
        <f ca="1">(IFERROR(IFERROR(VALUE(_xll.BDH(L$4,"PE_RATIO",$B79,$B79)),VALUE(_xll.BDH(L$4,"PE_RATIO",$B79+1,$B79+1))),L80))</f>
        <v>0</v>
      </c>
      <c r="M79" s="555">
        <f ca="1">(IFERROR(IFERROR(VALUE(_xll.BDH(M$4,"PE_RATIO",$B79,$B79)),VALUE(_xll.BDH(M$4,"PE_RATIO",$B79+1,$B79+1))),M80))</f>
        <v>0</v>
      </c>
      <c r="N79" s="555">
        <f ca="1">(IFERROR(IFERROR(VALUE(_xll.BDH(N$4,"PE_RATIO",$B79,$B79)),VALUE(_xll.BDH(N$4,"PE_RATIO",$B79+1,$B79+1))),N80))</f>
        <v>0</v>
      </c>
      <c r="O79" s="555">
        <f ca="1">(IFERROR(IFERROR(VALUE(_xll.BDH(O$4,"PE_RATIO",$B79,$B79)),VALUE(_xll.BDH(O$4,"PE_RATIO",$B79+1,$B79+1))),O80))</f>
        <v>0</v>
      </c>
      <c r="P79" s="555"/>
      <c r="Q79" s="559">
        <f t="shared" ca="1" si="25"/>
        <v>45436</v>
      </c>
      <c r="R79" s="4">
        <v>56.8</v>
      </c>
      <c r="S79" s="4">
        <v>129890.37</v>
      </c>
      <c r="T79" s="4">
        <v>0</v>
      </c>
      <c r="U79" s="4">
        <v>0.58860103626943006</v>
      </c>
      <c r="V79" s="4">
        <v>1.1985121292606735</v>
      </c>
      <c r="W79" s="4" t="e">
        <v>#DIV/0!</v>
      </c>
      <c r="Y79" s="555">
        <f t="shared" si="26"/>
        <v>56.8</v>
      </c>
      <c r="Z79" s="4">
        <f ca="1">IFERROR(VALUE(_xll.BDH(Z$4,"PX_LAST",$Q79,$Q79)),Z80)</f>
        <v>0</v>
      </c>
      <c r="AA79" s="4">
        <f ca="1">IFERROR(VALUE(_xll.BDH(AA$4,"PX_LAST",$Q79,$Q79)),AA80)</f>
        <v>0</v>
      </c>
      <c r="AB79" s="4">
        <f ca="1">IFERROR(VALUE(_xll.BDH(AB$4,"PX_LAST",$Q79,$Q79)),AB80)</f>
        <v>0</v>
      </c>
      <c r="AC79" s="4">
        <f ca="1">IFERROR(VALUE(_xll.BDH(AC$4,"PX_LAST",$Q79,$Q79)),AC80)</f>
        <v>0</v>
      </c>
      <c r="AD79" s="4">
        <f ca="1">IFERROR(VALUE(_xll.BDH(AD$4,"PX_LAST",$Q79,$Q79)),AD80)</f>
        <v>0</v>
      </c>
      <c r="AF79" s="4">
        <f t="shared" si="27"/>
        <v>0.58860103626943006</v>
      </c>
      <c r="AG79" s="4" t="e">
        <f t="shared" ca="1" si="28"/>
        <v>#DIV/0!</v>
      </c>
      <c r="AH79" s="4" t="e">
        <f t="shared" ca="1" si="29"/>
        <v>#DIV/0!</v>
      </c>
      <c r="AI79" s="4" t="e">
        <f t="shared" ca="1" si="30"/>
        <v>#DIV/0!</v>
      </c>
      <c r="AJ79" s="4" t="e">
        <f t="shared" ca="1" si="31"/>
        <v>#DIV/0!</v>
      </c>
      <c r="AK79" s="4" t="e">
        <f t="shared" ca="1" si="32"/>
        <v>#DIV/0!</v>
      </c>
      <c r="AM79" s="557">
        <f t="shared" ca="1" si="33"/>
        <v>45879</v>
      </c>
      <c r="AN79" s="558">
        <v>40.83</v>
      </c>
      <c r="AO79" s="558">
        <v>2668600</v>
      </c>
      <c r="AP79" s="558">
        <v>206.48981000000001</v>
      </c>
      <c r="AQ79" s="558">
        <v>8430.9789423000002</v>
      </c>
      <c r="AR79" s="558">
        <v>0.60540000000000005</v>
      </c>
    </row>
    <row r="80" spans="2:44">
      <c r="B80" s="559">
        <f t="shared" ca="1" si="34"/>
        <v>45429</v>
      </c>
      <c r="C80" s="555">
        <f ca="1">(IFERROR(IFERROR(VALUE(_xll.BDH(C$4,"CURRENT_EV_TO_T12M_EBITDA",$B80,$B80)),VALUE(_xll.BDH(C$4,"CURRENT_EV_TO_T12M_EBITDA",$B80+1,$B80+1))),C81))</f>
        <v>0</v>
      </c>
      <c r="D80" s="555">
        <f ca="1">(IFERROR(IFERROR(VALUE(_xll.BDH(D$4,"CURRENT_EV_TO_T12M_EBITDA",$B80,$B80)),VALUE(_xll.BDH(D$4,"CURRENT_EV_TO_T12M_EBITDA",$B80+1,$B80+1))),D81))</f>
        <v>0</v>
      </c>
      <c r="E80" s="555">
        <f ca="1">(IFERROR(IFERROR(VALUE(_xll.BDH(E$4,"CURRENT_EV_TO_T12M_EBITDA",$B80,$B80)),VALUE(_xll.BDH(E$4,"CURRENT_EV_TO_T12M_EBITDA",$B80+1,$B80+1))),E81))</f>
        <v>0</v>
      </c>
      <c r="F80" s="555">
        <f ca="1">(IFERROR(IFERROR(VALUE(_xll.BDH(F$4,"CURRENT_EV_TO_T12M_EBITDA",$B80,$B80)),VALUE(_xll.BDH(F$4,"CURRENT_EV_TO_T12M_EBITDA",$B80+1,$B80+1))),F81))</f>
        <v>0</v>
      </c>
      <c r="G80" s="555">
        <f ca="1">(IFERROR(IFERROR(VALUE(_xll.BDH(G$4,"CURRENT_EV_TO_T12M_EBITDA",$B80,$B80)),VALUE(_xll.BDH(G$4,"CURRENT_EV_TO_T12M_EBITDA",$B80+1,$B80+1))),G81))</f>
        <v>0</v>
      </c>
      <c r="H80" s="555">
        <f ca="1">(IFERROR(IFERROR(VALUE(_xll.BDH(H$4,"CURRENT_EV_TO_T12M_EBITDA",$B80,$B80)),VALUE(_xll.BDH(H$4,"CURRENT_EV_TO_T12M_EBITDA",$B80+1,$B80+1))),H81))</f>
        <v>0</v>
      </c>
      <c r="I80" s="559">
        <f t="shared" ca="1" si="24"/>
        <v>45429</v>
      </c>
      <c r="J80" s="555">
        <f ca="1">(IFERROR(IFERROR(VALUE(_xll.BDH(J$4,"PE_RATIO",$B80,$B80)),VALUE(_xll.BDH(J$4,"PE_RATIO",$B80+1,$B80+1))),J81))</f>
        <v>0</v>
      </c>
      <c r="K80" s="555">
        <f ca="1">(IFERROR(IFERROR(VALUE(_xll.BDH(K$4,"PE_RATIO",$B80,$B80)),VALUE(_xll.BDH(K$4,"PE_RATIO",$B80+1,$B80+1))),K81))</f>
        <v>0</v>
      </c>
      <c r="L80" s="555">
        <f ca="1">(IFERROR(IFERROR(VALUE(_xll.BDH(L$4,"PE_RATIO",$B80,$B80)),VALUE(_xll.BDH(L$4,"PE_RATIO",$B80+1,$B80+1))),L81))</f>
        <v>0</v>
      </c>
      <c r="M80" s="555">
        <f ca="1">(IFERROR(IFERROR(VALUE(_xll.BDH(M$4,"PE_RATIO",$B80,$B80)),VALUE(_xll.BDH(M$4,"PE_RATIO",$B80+1,$B80+1))),M81))</f>
        <v>0</v>
      </c>
      <c r="N80" s="555">
        <f ca="1">(IFERROR(IFERROR(VALUE(_xll.BDH(N$4,"PE_RATIO",$B80,$B80)),VALUE(_xll.BDH(N$4,"PE_RATIO",$B80+1,$B80+1))),N81))</f>
        <v>0</v>
      </c>
      <c r="O80" s="555">
        <f ca="1">(IFERROR(IFERROR(VALUE(_xll.BDH(O$4,"PE_RATIO",$B80,$B80)),VALUE(_xll.BDH(O$4,"PE_RATIO",$B80+1,$B80+1))),O81))</f>
        <v>0</v>
      </c>
      <c r="P80" s="555"/>
      <c r="Q80" s="559">
        <f t="shared" ca="1" si="25"/>
        <v>45429</v>
      </c>
      <c r="R80" s="4">
        <v>62.62</v>
      </c>
      <c r="S80" s="4">
        <v>127548.52</v>
      </c>
      <c r="T80" s="4">
        <v>0</v>
      </c>
      <c r="U80" s="4">
        <v>0.64891191709844553</v>
      </c>
      <c r="V80" s="4">
        <v>1.1769036325729736</v>
      </c>
      <c r="W80" s="4" t="e">
        <v>#DIV/0!</v>
      </c>
      <c r="Y80" s="555">
        <f t="shared" si="26"/>
        <v>62.62</v>
      </c>
      <c r="Z80" s="4">
        <f ca="1">IFERROR(VALUE(_xll.BDH(Z$4,"PX_LAST",$Q80,$Q80)),Z81)</f>
        <v>0</v>
      </c>
      <c r="AA80" s="4">
        <f ca="1">IFERROR(VALUE(_xll.BDH(AA$4,"PX_LAST",$Q80,$Q80)),AA81)</f>
        <v>0</v>
      </c>
      <c r="AB80" s="4">
        <f ca="1">IFERROR(VALUE(_xll.BDH(AB$4,"PX_LAST",$Q80,$Q80)),AB81)</f>
        <v>0</v>
      </c>
      <c r="AC80" s="4">
        <f ca="1">IFERROR(VALUE(_xll.BDH(AC$4,"PX_LAST",$Q80,$Q80)),AC81)</f>
        <v>0</v>
      </c>
      <c r="AD80" s="4">
        <f ca="1">IFERROR(VALUE(_xll.BDH(AD$4,"PX_LAST",$Q80,$Q80)),AD81)</f>
        <v>0</v>
      </c>
      <c r="AF80" s="4">
        <f t="shared" si="27"/>
        <v>0.64891191709844553</v>
      </c>
      <c r="AG80" s="4" t="e">
        <f t="shared" ca="1" si="28"/>
        <v>#DIV/0!</v>
      </c>
      <c r="AH80" s="4" t="e">
        <f t="shared" ca="1" si="29"/>
        <v>#DIV/0!</v>
      </c>
      <c r="AI80" s="4" t="e">
        <f t="shared" ca="1" si="30"/>
        <v>#DIV/0!</v>
      </c>
      <c r="AJ80" s="4" t="e">
        <f t="shared" ca="1" si="31"/>
        <v>#DIV/0!</v>
      </c>
      <c r="AK80" s="4" t="e">
        <f t="shared" ca="1" si="32"/>
        <v>#DIV/0!</v>
      </c>
      <c r="AM80" s="557">
        <f t="shared" ca="1" si="33"/>
        <v>45878</v>
      </c>
      <c r="AN80" s="558">
        <v>38.545000000000002</v>
      </c>
      <c r="AO80" s="558">
        <v>2545400</v>
      </c>
      <c r="AP80" s="558">
        <v>206.48981000000001</v>
      </c>
      <c r="AQ80" s="558">
        <v>7959.1497264500003</v>
      </c>
      <c r="AR80" s="558">
        <v>0.57130000000000003</v>
      </c>
    </row>
    <row r="81" spans="2:44">
      <c r="B81" s="559">
        <f t="shared" ca="1" si="34"/>
        <v>45422</v>
      </c>
      <c r="C81" s="555">
        <f ca="1">(IFERROR(IFERROR(VALUE(_xll.BDH(C$4,"CURRENT_EV_TO_T12M_EBITDA",$B81,$B81)),VALUE(_xll.BDH(C$4,"CURRENT_EV_TO_T12M_EBITDA",$B81+1,$B81+1))),C82))</f>
        <v>0</v>
      </c>
      <c r="D81" s="555">
        <f ca="1">(IFERROR(IFERROR(VALUE(_xll.BDH(D$4,"CURRENT_EV_TO_T12M_EBITDA",$B81,$B81)),VALUE(_xll.BDH(D$4,"CURRENT_EV_TO_T12M_EBITDA",$B81+1,$B81+1))),D82))</f>
        <v>0</v>
      </c>
      <c r="E81" s="555">
        <f ca="1">(IFERROR(IFERROR(VALUE(_xll.BDH(E$4,"CURRENT_EV_TO_T12M_EBITDA",$B81,$B81)),VALUE(_xll.BDH(E$4,"CURRENT_EV_TO_T12M_EBITDA",$B81+1,$B81+1))),E82))</f>
        <v>0</v>
      </c>
      <c r="F81" s="555">
        <f ca="1">(IFERROR(IFERROR(VALUE(_xll.BDH(F$4,"CURRENT_EV_TO_T12M_EBITDA",$B81,$B81)),VALUE(_xll.BDH(F$4,"CURRENT_EV_TO_T12M_EBITDA",$B81+1,$B81+1))),F82))</f>
        <v>0</v>
      </c>
      <c r="G81" s="555">
        <f ca="1">(IFERROR(IFERROR(VALUE(_xll.BDH(G$4,"CURRENT_EV_TO_T12M_EBITDA",$B81,$B81)),VALUE(_xll.BDH(G$4,"CURRENT_EV_TO_T12M_EBITDA",$B81+1,$B81+1))),G82))</f>
        <v>0</v>
      </c>
      <c r="H81" s="555">
        <f ca="1">(IFERROR(IFERROR(VALUE(_xll.BDH(H$4,"CURRENT_EV_TO_T12M_EBITDA",$B81,$B81)),VALUE(_xll.BDH(H$4,"CURRENT_EV_TO_T12M_EBITDA",$B81+1,$B81+1))),H82))</f>
        <v>0</v>
      </c>
      <c r="I81" s="559">
        <f t="shared" ca="1" si="24"/>
        <v>45422</v>
      </c>
      <c r="J81" s="555">
        <f ca="1">(IFERROR(IFERROR(VALUE(_xll.BDH(J$4,"PE_RATIO",$B81,$B81)),VALUE(_xll.BDH(J$4,"PE_RATIO",$B81+1,$B81+1))),J82))</f>
        <v>0</v>
      </c>
      <c r="K81" s="555">
        <f ca="1">(IFERROR(IFERROR(VALUE(_xll.BDH(K$4,"PE_RATIO",$B81,$B81)),VALUE(_xll.BDH(K$4,"PE_RATIO",$B81+1,$B81+1))),K82))</f>
        <v>0</v>
      </c>
      <c r="L81" s="555">
        <f ca="1">(IFERROR(IFERROR(VALUE(_xll.BDH(L$4,"PE_RATIO",$B81,$B81)),VALUE(_xll.BDH(L$4,"PE_RATIO",$B81+1,$B81+1))),L82))</f>
        <v>0</v>
      </c>
      <c r="M81" s="555">
        <f ca="1">(IFERROR(IFERROR(VALUE(_xll.BDH(M$4,"PE_RATIO",$B81,$B81)),VALUE(_xll.BDH(M$4,"PE_RATIO",$B81+1,$B81+1))),M82))</f>
        <v>0</v>
      </c>
      <c r="N81" s="555">
        <f ca="1">(IFERROR(IFERROR(VALUE(_xll.BDH(N$4,"PE_RATIO",$B81,$B81)),VALUE(_xll.BDH(N$4,"PE_RATIO",$B81+1,$B81+1))),N82))</f>
        <v>0</v>
      </c>
      <c r="O81" s="555">
        <f ca="1">(IFERROR(IFERROR(VALUE(_xll.BDH(O$4,"PE_RATIO",$B81,$B81)),VALUE(_xll.BDH(O$4,"PE_RATIO",$B81+1,$B81+1))),O82))</f>
        <v>0</v>
      </c>
      <c r="P81" s="555"/>
      <c r="Q81" s="559">
        <f t="shared" ca="1" si="25"/>
        <v>45422</v>
      </c>
      <c r="R81" s="4">
        <v>62.16</v>
      </c>
      <c r="S81" s="4">
        <v>126863.02</v>
      </c>
      <c r="T81" s="4">
        <v>0</v>
      </c>
      <c r="U81" s="4">
        <v>0.64414507772020724</v>
      </c>
      <c r="V81" s="4">
        <v>1.1705784518485813</v>
      </c>
      <c r="W81" s="4" t="e">
        <v>#DIV/0!</v>
      </c>
      <c r="Y81" s="555">
        <f t="shared" si="26"/>
        <v>62.16</v>
      </c>
      <c r="Z81" s="4">
        <f ca="1">IFERROR(VALUE(_xll.BDH(Z$4,"PX_LAST",$Q81,$Q81)),Z82)</f>
        <v>0</v>
      </c>
      <c r="AA81" s="4">
        <f ca="1">IFERROR(VALUE(_xll.BDH(AA$4,"PX_LAST",$Q81,$Q81)),AA82)</f>
        <v>0</v>
      </c>
      <c r="AB81" s="4">
        <f ca="1">IFERROR(VALUE(_xll.BDH(AB$4,"PX_LAST",$Q81,$Q81)),AB82)</f>
        <v>0</v>
      </c>
      <c r="AC81" s="4">
        <f ca="1">IFERROR(VALUE(_xll.BDH(AC$4,"PX_LAST",$Q81,$Q81)),AC82)</f>
        <v>0</v>
      </c>
      <c r="AD81" s="4">
        <f ca="1">IFERROR(VALUE(_xll.BDH(AD$4,"PX_LAST",$Q81,$Q81)),AD82)</f>
        <v>0</v>
      </c>
      <c r="AF81" s="4">
        <f t="shared" si="27"/>
        <v>0.64414507772020724</v>
      </c>
      <c r="AG81" s="4" t="e">
        <f t="shared" ca="1" si="28"/>
        <v>#DIV/0!</v>
      </c>
      <c r="AH81" s="4" t="e">
        <f t="shared" ca="1" si="29"/>
        <v>#DIV/0!</v>
      </c>
      <c r="AI81" s="4" t="e">
        <f t="shared" ca="1" si="30"/>
        <v>#DIV/0!</v>
      </c>
      <c r="AJ81" s="4" t="e">
        <f t="shared" ca="1" si="31"/>
        <v>#DIV/0!</v>
      </c>
      <c r="AK81" s="4" t="e">
        <f t="shared" ca="1" si="32"/>
        <v>#DIV/0!</v>
      </c>
      <c r="AM81" s="557">
        <f t="shared" ca="1" si="33"/>
        <v>45877</v>
      </c>
      <c r="AN81" s="558">
        <v>40.375</v>
      </c>
      <c r="AO81" s="558">
        <v>3410500</v>
      </c>
      <c r="AP81" s="558">
        <v>206.48981000000001</v>
      </c>
      <c r="AQ81" s="558">
        <v>8337.026078750001</v>
      </c>
      <c r="AR81" s="558">
        <v>0.5988</v>
      </c>
    </row>
    <row r="82" spans="2:44">
      <c r="B82" s="559">
        <f t="shared" ca="1" si="34"/>
        <v>45415</v>
      </c>
      <c r="C82" s="555">
        <f ca="1">(IFERROR(IFERROR(VALUE(_xll.BDH(C$4,"CURRENT_EV_TO_T12M_EBITDA",$B82,$B82)),VALUE(_xll.BDH(C$4,"CURRENT_EV_TO_T12M_EBITDA",$B82+1,$B82+1))),C83))</f>
        <v>0</v>
      </c>
      <c r="D82" s="555">
        <f ca="1">(IFERROR(IFERROR(VALUE(_xll.BDH(D$4,"CURRENT_EV_TO_T12M_EBITDA",$B82,$B82)),VALUE(_xll.BDH(D$4,"CURRENT_EV_TO_T12M_EBITDA",$B82+1,$B82+1))),D83))</f>
        <v>0</v>
      </c>
      <c r="E82" s="555">
        <f ca="1">(IFERROR(IFERROR(VALUE(_xll.BDH(E$4,"CURRENT_EV_TO_T12M_EBITDA",$B82,$B82)),VALUE(_xll.BDH(E$4,"CURRENT_EV_TO_T12M_EBITDA",$B82+1,$B82+1))),E83))</f>
        <v>0</v>
      </c>
      <c r="F82" s="555">
        <f ca="1">(IFERROR(IFERROR(VALUE(_xll.BDH(F$4,"CURRENT_EV_TO_T12M_EBITDA",$B82,$B82)),VALUE(_xll.BDH(F$4,"CURRENT_EV_TO_T12M_EBITDA",$B82+1,$B82+1))),F83))</f>
        <v>0</v>
      </c>
      <c r="G82" s="555">
        <f ca="1">(IFERROR(IFERROR(VALUE(_xll.BDH(G$4,"CURRENT_EV_TO_T12M_EBITDA",$B82,$B82)),VALUE(_xll.BDH(G$4,"CURRENT_EV_TO_T12M_EBITDA",$B82+1,$B82+1))),G83))</f>
        <v>0</v>
      </c>
      <c r="H82" s="555">
        <f ca="1">(IFERROR(IFERROR(VALUE(_xll.BDH(H$4,"CURRENT_EV_TO_T12M_EBITDA",$B82,$B82)),VALUE(_xll.BDH(H$4,"CURRENT_EV_TO_T12M_EBITDA",$B82+1,$B82+1))),H83))</f>
        <v>0</v>
      </c>
      <c r="I82" s="559">
        <f t="shared" ca="1" si="24"/>
        <v>45415</v>
      </c>
      <c r="J82" s="555">
        <f ca="1">(IFERROR(IFERROR(VALUE(_xll.BDH(J$4,"PE_RATIO",$B82,$B82)),VALUE(_xll.BDH(J$4,"PE_RATIO",$B82+1,$B82+1))),J83))</f>
        <v>0</v>
      </c>
      <c r="K82" s="555">
        <f ca="1">(IFERROR(IFERROR(VALUE(_xll.BDH(K$4,"PE_RATIO",$B82,$B82)),VALUE(_xll.BDH(K$4,"PE_RATIO",$B82+1,$B82+1))),K83))</f>
        <v>0</v>
      </c>
      <c r="L82" s="555">
        <f ca="1">(IFERROR(IFERROR(VALUE(_xll.BDH(L$4,"PE_RATIO",$B82,$B82)),VALUE(_xll.BDH(L$4,"PE_RATIO",$B82+1,$B82+1))),L83))</f>
        <v>0</v>
      </c>
      <c r="M82" s="555">
        <f ca="1">(IFERROR(IFERROR(VALUE(_xll.BDH(M$4,"PE_RATIO",$B82,$B82)),VALUE(_xll.BDH(M$4,"PE_RATIO",$B82+1,$B82+1))),M83))</f>
        <v>0</v>
      </c>
      <c r="N82" s="555">
        <f ca="1">(IFERROR(IFERROR(VALUE(_xll.BDH(N$4,"PE_RATIO",$B82,$B82)),VALUE(_xll.BDH(N$4,"PE_RATIO",$B82+1,$B82+1))),N83))</f>
        <v>0</v>
      </c>
      <c r="O82" s="555">
        <f ca="1">(IFERROR(IFERROR(VALUE(_xll.BDH(O$4,"PE_RATIO",$B82,$B82)),VALUE(_xll.BDH(O$4,"PE_RATIO",$B82+1,$B82+1))),O83))</f>
        <v>0</v>
      </c>
      <c r="P82" s="555"/>
      <c r="Q82" s="559">
        <f t="shared" ca="1" si="25"/>
        <v>45415</v>
      </c>
      <c r="R82" s="4">
        <v>59.6</v>
      </c>
      <c r="S82" s="4">
        <v>127528.85</v>
      </c>
      <c r="T82" s="4">
        <v>0</v>
      </c>
      <c r="U82" s="4">
        <v>0.61761658031088085</v>
      </c>
      <c r="V82" s="4">
        <v>1.1767221354105393</v>
      </c>
      <c r="W82" s="4" t="e">
        <v>#DIV/0!</v>
      </c>
      <c r="Y82" s="555">
        <f t="shared" si="26"/>
        <v>59.6</v>
      </c>
      <c r="Z82" s="4">
        <f ca="1">IFERROR(VALUE(_xll.BDH(Z$4,"PX_LAST",$Q82,$Q82)),Z83)</f>
        <v>0</v>
      </c>
      <c r="AA82" s="4">
        <f ca="1">IFERROR(VALUE(_xll.BDH(AA$4,"PX_LAST",$Q82,$Q82)),AA83)</f>
        <v>0</v>
      </c>
      <c r="AB82" s="4">
        <f ca="1">IFERROR(VALUE(_xll.BDH(AB$4,"PX_LAST",$Q82,$Q82)),AB83)</f>
        <v>0</v>
      </c>
      <c r="AC82" s="4">
        <f ca="1">IFERROR(VALUE(_xll.BDH(AC$4,"PX_LAST",$Q82,$Q82)),AC83)</f>
        <v>0</v>
      </c>
      <c r="AD82" s="4">
        <f ca="1">IFERROR(VALUE(_xll.BDH(AD$4,"PX_LAST",$Q82,$Q82)),AD83)</f>
        <v>0</v>
      </c>
      <c r="AF82" s="4">
        <f t="shared" si="27"/>
        <v>0.61761658031088085</v>
      </c>
      <c r="AG82" s="4" t="e">
        <f t="shared" ca="1" si="28"/>
        <v>#DIV/0!</v>
      </c>
      <c r="AH82" s="4" t="e">
        <f t="shared" ca="1" si="29"/>
        <v>#DIV/0!</v>
      </c>
      <c r="AI82" s="4" t="e">
        <f t="shared" ca="1" si="30"/>
        <v>#DIV/0!</v>
      </c>
      <c r="AJ82" s="4" t="e">
        <f t="shared" ca="1" si="31"/>
        <v>#DIV/0!</v>
      </c>
      <c r="AK82" s="4" t="e">
        <f t="shared" ca="1" si="32"/>
        <v>#DIV/0!</v>
      </c>
      <c r="AM82" s="557">
        <f t="shared" ca="1" si="33"/>
        <v>45876</v>
      </c>
      <c r="AN82" s="558">
        <v>38.619999999999997</v>
      </c>
      <c r="AO82" s="558">
        <v>2233400</v>
      </c>
      <c r="AP82" s="558">
        <v>206.48981000000001</v>
      </c>
      <c r="AQ82" s="558">
        <v>7974.6364622000001</v>
      </c>
      <c r="AR82" s="558">
        <v>0.57289999999999996</v>
      </c>
    </row>
    <row r="83" spans="2:44">
      <c r="B83" s="559">
        <f t="shared" ca="1" si="34"/>
        <v>45408</v>
      </c>
      <c r="C83" s="555">
        <f ca="1">(IFERROR(IFERROR(VALUE(_xll.BDH(C$4,"CURRENT_EV_TO_T12M_EBITDA",$B83,$B83)),VALUE(_xll.BDH(C$4,"CURRENT_EV_TO_T12M_EBITDA",$B83+1,$B83+1))),C84))</f>
        <v>0</v>
      </c>
      <c r="D83" s="555">
        <f ca="1">(IFERROR(IFERROR(VALUE(_xll.BDH(D$4,"CURRENT_EV_TO_T12M_EBITDA",$B83,$B83)),VALUE(_xll.BDH(D$4,"CURRENT_EV_TO_T12M_EBITDA",$B83+1,$B83+1))),D84))</f>
        <v>0</v>
      </c>
      <c r="E83" s="555">
        <f ca="1">(IFERROR(IFERROR(VALUE(_xll.BDH(E$4,"CURRENT_EV_TO_T12M_EBITDA",$B83,$B83)),VALUE(_xll.BDH(E$4,"CURRENT_EV_TO_T12M_EBITDA",$B83+1,$B83+1))),E84))</f>
        <v>0</v>
      </c>
      <c r="F83" s="555">
        <f ca="1">(IFERROR(IFERROR(VALUE(_xll.BDH(F$4,"CURRENT_EV_TO_T12M_EBITDA",$B83,$B83)),VALUE(_xll.BDH(F$4,"CURRENT_EV_TO_T12M_EBITDA",$B83+1,$B83+1))),F84))</f>
        <v>0</v>
      </c>
      <c r="G83" s="555">
        <f ca="1">(IFERROR(IFERROR(VALUE(_xll.BDH(G$4,"CURRENT_EV_TO_T12M_EBITDA",$B83,$B83)),VALUE(_xll.BDH(G$4,"CURRENT_EV_TO_T12M_EBITDA",$B83+1,$B83+1))),G84))</f>
        <v>0</v>
      </c>
      <c r="H83" s="555">
        <f ca="1">(IFERROR(IFERROR(VALUE(_xll.BDH(H$4,"CURRENT_EV_TO_T12M_EBITDA",$B83,$B83)),VALUE(_xll.BDH(H$4,"CURRENT_EV_TO_T12M_EBITDA",$B83+1,$B83+1))),H84))</f>
        <v>0</v>
      </c>
      <c r="I83" s="559">
        <f t="shared" ca="1" si="24"/>
        <v>45408</v>
      </c>
      <c r="J83" s="555">
        <f ca="1">(IFERROR(IFERROR(VALUE(_xll.BDH(J$4,"PE_RATIO",$B83,$B83)),VALUE(_xll.BDH(J$4,"PE_RATIO",$B83+1,$B83+1))),J84))</f>
        <v>0</v>
      </c>
      <c r="K83" s="555">
        <f ca="1">(IFERROR(IFERROR(VALUE(_xll.BDH(K$4,"PE_RATIO",$B83,$B83)),VALUE(_xll.BDH(K$4,"PE_RATIO",$B83+1,$B83+1))),K84))</f>
        <v>0</v>
      </c>
      <c r="L83" s="555">
        <f ca="1">(IFERROR(IFERROR(VALUE(_xll.BDH(L$4,"PE_RATIO",$B83,$B83)),VALUE(_xll.BDH(L$4,"PE_RATIO",$B83+1,$B83+1))),L84))</f>
        <v>0</v>
      </c>
      <c r="M83" s="555">
        <f ca="1">(IFERROR(IFERROR(VALUE(_xll.BDH(M$4,"PE_RATIO",$B83,$B83)),VALUE(_xll.BDH(M$4,"PE_RATIO",$B83+1,$B83+1))),M84))</f>
        <v>0</v>
      </c>
      <c r="N83" s="555">
        <f ca="1">(IFERROR(IFERROR(VALUE(_xll.BDH(N$4,"PE_RATIO",$B83,$B83)),VALUE(_xll.BDH(N$4,"PE_RATIO",$B83+1,$B83+1))),N84))</f>
        <v>0</v>
      </c>
      <c r="O83" s="555">
        <f ca="1">(IFERROR(IFERROR(VALUE(_xll.BDH(O$4,"PE_RATIO",$B83,$B83)),VALUE(_xll.BDH(O$4,"PE_RATIO",$B83+1,$B83+1))),O84))</f>
        <v>0</v>
      </c>
      <c r="P83" s="555"/>
      <c r="Q83" s="559">
        <f t="shared" ca="1" si="25"/>
        <v>45408</v>
      </c>
      <c r="R83" s="4">
        <v>60.6</v>
      </c>
      <c r="S83" s="4">
        <v>127667.84</v>
      </c>
      <c r="T83" s="4">
        <v>0</v>
      </c>
      <c r="U83" s="4">
        <v>0.62797927461139902</v>
      </c>
      <c r="V83" s="4">
        <v>1.1780046107845483</v>
      </c>
      <c r="W83" s="4" t="e">
        <v>#DIV/0!</v>
      </c>
      <c r="Y83" s="555">
        <f t="shared" si="26"/>
        <v>60.6</v>
      </c>
      <c r="Z83" s="4">
        <f ca="1">IFERROR(VALUE(_xll.BDH(Z$4,"PX_LAST",$Q83,$Q83)),Z84)</f>
        <v>0</v>
      </c>
      <c r="AA83" s="4">
        <f ca="1">IFERROR(VALUE(_xll.BDH(AA$4,"PX_LAST",$Q83,$Q83)),AA84)</f>
        <v>0</v>
      </c>
      <c r="AB83" s="4">
        <f ca="1">IFERROR(VALUE(_xll.BDH(AB$4,"PX_LAST",$Q83,$Q83)),AB84)</f>
        <v>0</v>
      </c>
      <c r="AC83" s="4">
        <f ca="1">IFERROR(VALUE(_xll.BDH(AC$4,"PX_LAST",$Q83,$Q83)),AC84)</f>
        <v>0</v>
      </c>
      <c r="AD83" s="4">
        <f ca="1">IFERROR(VALUE(_xll.BDH(AD$4,"PX_LAST",$Q83,$Q83)),AD84)</f>
        <v>0</v>
      </c>
      <c r="AF83" s="4">
        <f t="shared" si="27"/>
        <v>0.62797927461139902</v>
      </c>
      <c r="AG83" s="4" t="e">
        <f t="shared" ca="1" si="28"/>
        <v>#DIV/0!</v>
      </c>
      <c r="AH83" s="4" t="e">
        <f t="shared" ca="1" si="29"/>
        <v>#DIV/0!</v>
      </c>
      <c r="AI83" s="4" t="e">
        <f t="shared" ca="1" si="30"/>
        <v>#DIV/0!</v>
      </c>
      <c r="AJ83" s="4" t="e">
        <f t="shared" ca="1" si="31"/>
        <v>#DIV/0!</v>
      </c>
      <c r="AK83" s="4" t="e">
        <f t="shared" ca="1" si="32"/>
        <v>#DIV/0!</v>
      </c>
      <c r="AM83" s="557">
        <f t="shared" ca="1" si="33"/>
        <v>45875</v>
      </c>
      <c r="AN83" s="558">
        <v>40.265000000000001</v>
      </c>
      <c r="AO83" s="558">
        <v>1586200</v>
      </c>
      <c r="AP83" s="558">
        <v>206.48981000000001</v>
      </c>
      <c r="AQ83" s="558">
        <v>8314.3121996499995</v>
      </c>
      <c r="AR83" s="558">
        <v>0.59699999999999998</v>
      </c>
    </row>
    <row r="84" spans="2:44">
      <c r="B84" s="559">
        <f t="shared" ca="1" si="34"/>
        <v>45401</v>
      </c>
      <c r="C84" s="555">
        <f ca="1">(IFERROR(IFERROR(VALUE(_xll.BDH(C$4,"CURRENT_EV_TO_T12M_EBITDA",$B84,$B84)),VALUE(_xll.BDH(C$4,"CURRENT_EV_TO_T12M_EBITDA",$B84+1,$B84+1))),C85))</f>
        <v>0</v>
      </c>
      <c r="D84" s="555">
        <f ca="1">(IFERROR(IFERROR(VALUE(_xll.BDH(D$4,"CURRENT_EV_TO_T12M_EBITDA",$B84,$B84)),VALUE(_xll.BDH(D$4,"CURRENT_EV_TO_T12M_EBITDA",$B84+1,$B84+1))),D85))</f>
        <v>0</v>
      </c>
      <c r="E84" s="555">
        <f ca="1">(IFERROR(IFERROR(VALUE(_xll.BDH(E$4,"CURRENT_EV_TO_T12M_EBITDA",$B84,$B84)),VALUE(_xll.BDH(E$4,"CURRENT_EV_TO_T12M_EBITDA",$B84+1,$B84+1))),E85))</f>
        <v>0</v>
      </c>
      <c r="F84" s="555">
        <f ca="1">(IFERROR(IFERROR(VALUE(_xll.BDH(F$4,"CURRENT_EV_TO_T12M_EBITDA",$B84,$B84)),VALUE(_xll.BDH(F$4,"CURRENT_EV_TO_T12M_EBITDA",$B84+1,$B84+1))),F85))</f>
        <v>0</v>
      </c>
      <c r="G84" s="555">
        <f ca="1">(IFERROR(IFERROR(VALUE(_xll.BDH(G$4,"CURRENT_EV_TO_T12M_EBITDA",$B84,$B84)),VALUE(_xll.BDH(G$4,"CURRENT_EV_TO_T12M_EBITDA",$B84+1,$B84+1))),G85))</f>
        <v>0</v>
      </c>
      <c r="H84" s="555">
        <f ca="1">(IFERROR(IFERROR(VALUE(_xll.BDH(H$4,"CURRENT_EV_TO_T12M_EBITDA",$B84,$B84)),VALUE(_xll.BDH(H$4,"CURRENT_EV_TO_T12M_EBITDA",$B84+1,$B84+1))),H85))</f>
        <v>0</v>
      </c>
      <c r="I84" s="559">
        <f t="shared" ca="1" si="24"/>
        <v>45401</v>
      </c>
      <c r="J84" s="555">
        <f ca="1">(IFERROR(IFERROR(VALUE(_xll.BDH(J$4,"PE_RATIO",$B84,$B84)),VALUE(_xll.BDH(J$4,"PE_RATIO",$B84+1,$B84+1))),J85))</f>
        <v>0</v>
      </c>
      <c r="K84" s="555">
        <f ca="1">(IFERROR(IFERROR(VALUE(_xll.BDH(K$4,"PE_RATIO",$B84,$B84)),VALUE(_xll.BDH(K$4,"PE_RATIO",$B84+1,$B84+1))),K85))</f>
        <v>0</v>
      </c>
      <c r="L84" s="555">
        <f ca="1">(IFERROR(IFERROR(VALUE(_xll.BDH(L$4,"PE_RATIO",$B84,$B84)),VALUE(_xll.BDH(L$4,"PE_RATIO",$B84+1,$B84+1))),L85))</f>
        <v>0</v>
      </c>
      <c r="M84" s="555">
        <f ca="1">(IFERROR(IFERROR(VALUE(_xll.BDH(M$4,"PE_RATIO",$B84,$B84)),VALUE(_xll.BDH(M$4,"PE_RATIO",$B84+1,$B84+1))),M85))</f>
        <v>0</v>
      </c>
      <c r="N84" s="555">
        <f ca="1">(IFERROR(IFERROR(VALUE(_xll.BDH(N$4,"PE_RATIO",$B84,$B84)),VALUE(_xll.BDH(N$4,"PE_RATIO",$B84+1,$B84+1))),N85))</f>
        <v>0</v>
      </c>
      <c r="O84" s="555">
        <f ca="1">(IFERROR(IFERROR(VALUE(_xll.BDH(O$4,"PE_RATIO",$B84,$B84)),VALUE(_xll.BDH(O$4,"PE_RATIO",$B84+1,$B84+1))),O85))</f>
        <v>0</v>
      </c>
      <c r="P84" s="555"/>
      <c r="Q84" s="559">
        <f t="shared" ca="1" si="25"/>
        <v>45401</v>
      </c>
      <c r="R84" s="4">
        <v>57.9</v>
      </c>
      <c r="S84" s="4">
        <v>128098.11</v>
      </c>
      <c r="T84" s="4">
        <v>0</v>
      </c>
      <c r="U84" s="4">
        <v>0.6</v>
      </c>
      <c r="V84" s="4">
        <v>1.1819747574078661</v>
      </c>
      <c r="W84" s="4" t="e">
        <v>#DIV/0!</v>
      </c>
      <c r="Y84" s="555">
        <f t="shared" si="26"/>
        <v>57.9</v>
      </c>
      <c r="Z84" s="4">
        <f ca="1">IFERROR(VALUE(_xll.BDH(Z$4,"PX_LAST",$Q84,$Q84)),Z85)</f>
        <v>0</v>
      </c>
      <c r="AA84" s="4">
        <f ca="1">IFERROR(VALUE(_xll.BDH(AA$4,"PX_LAST",$Q84,$Q84)),AA85)</f>
        <v>0</v>
      </c>
      <c r="AB84" s="4">
        <f ca="1">IFERROR(VALUE(_xll.BDH(AB$4,"PX_LAST",$Q84,$Q84)),AB85)</f>
        <v>0</v>
      </c>
      <c r="AC84" s="4">
        <f ca="1">IFERROR(VALUE(_xll.BDH(AC$4,"PX_LAST",$Q84,$Q84)),AC85)</f>
        <v>0</v>
      </c>
      <c r="AD84" s="4">
        <f ca="1">IFERROR(VALUE(_xll.BDH(AD$4,"PX_LAST",$Q84,$Q84)),AD85)</f>
        <v>0</v>
      </c>
      <c r="AF84" s="4">
        <f t="shared" si="27"/>
        <v>0.6</v>
      </c>
      <c r="AG84" s="4" t="e">
        <f t="shared" ca="1" si="28"/>
        <v>#DIV/0!</v>
      </c>
      <c r="AH84" s="4" t="e">
        <f t="shared" ca="1" si="29"/>
        <v>#DIV/0!</v>
      </c>
      <c r="AI84" s="4" t="e">
        <f t="shared" ca="1" si="30"/>
        <v>#DIV/0!</v>
      </c>
      <c r="AJ84" s="4" t="e">
        <f t="shared" ca="1" si="31"/>
        <v>#DIV/0!</v>
      </c>
      <c r="AK84" s="4" t="e">
        <f t="shared" ca="1" si="32"/>
        <v>#DIV/0!</v>
      </c>
      <c r="AM84" s="557">
        <f t="shared" ca="1" si="33"/>
        <v>45874</v>
      </c>
      <c r="AN84" s="558">
        <v>40.265000000000001</v>
      </c>
      <c r="AO84" s="558">
        <v>1586200</v>
      </c>
      <c r="AP84" s="558">
        <v>206.48981000000001</v>
      </c>
      <c r="AQ84" s="558">
        <v>8314.3121996499995</v>
      </c>
      <c r="AR84" s="558">
        <v>0.59699999999999998</v>
      </c>
    </row>
    <row r="85" spans="2:44">
      <c r="B85" s="559">
        <f t="shared" ca="1" si="34"/>
        <v>45394</v>
      </c>
      <c r="C85" s="555">
        <f ca="1">(IFERROR(IFERROR(VALUE(_xll.BDH(C$4,"CURRENT_EV_TO_T12M_EBITDA",$B85,$B85)),VALUE(_xll.BDH(C$4,"CURRENT_EV_TO_T12M_EBITDA",$B85+1,$B85+1))),C86))</f>
        <v>0</v>
      </c>
      <c r="D85" s="555">
        <f ca="1">(IFERROR(IFERROR(VALUE(_xll.BDH(D$4,"CURRENT_EV_TO_T12M_EBITDA",$B85,$B85)),VALUE(_xll.BDH(D$4,"CURRENT_EV_TO_T12M_EBITDA",$B85+1,$B85+1))),D86))</f>
        <v>0</v>
      </c>
      <c r="E85" s="555">
        <f ca="1">(IFERROR(IFERROR(VALUE(_xll.BDH(E$4,"CURRENT_EV_TO_T12M_EBITDA",$B85,$B85)),VALUE(_xll.BDH(E$4,"CURRENT_EV_TO_T12M_EBITDA",$B85+1,$B85+1))),E86))</f>
        <v>0</v>
      </c>
      <c r="F85" s="555">
        <f ca="1">(IFERROR(IFERROR(VALUE(_xll.BDH(F$4,"CURRENT_EV_TO_T12M_EBITDA",$B85,$B85)),VALUE(_xll.BDH(F$4,"CURRENT_EV_TO_T12M_EBITDA",$B85+1,$B85+1))),F86))</f>
        <v>0</v>
      </c>
      <c r="G85" s="555">
        <f ca="1">(IFERROR(IFERROR(VALUE(_xll.BDH(G$4,"CURRENT_EV_TO_T12M_EBITDA",$B85,$B85)),VALUE(_xll.BDH(G$4,"CURRENT_EV_TO_T12M_EBITDA",$B85+1,$B85+1))),G86))</f>
        <v>0</v>
      </c>
      <c r="H85" s="555">
        <f ca="1">(IFERROR(IFERROR(VALUE(_xll.BDH(H$4,"CURRENT_EV_TO_T12M_EBITDA",$B85,$B85)),VALUE(_xll.BDH(H$4,"CURRENT_EV_TO_T12M_EBITDA",$B85+1,$B85+1))),H86))</f>
        <v>0</v>
      </c>
      <c r="I85" s="559">
        <f t="shared" ca="1" si="24"/>
        <v>45394</v>
      </c>
      <c r="J85" s="555">
        <f ca="1">(IFERROR(IFERROR(VALUE(_xll.BDH(J$4,"PE_RATIO",$B85,$B85)),VALUE(_xll.BDH(J$4,"PE_RATIO",$B85+1,$B85+1))),J86))</f>
        <v>0</v>
      </c>
      <c r="K85" s="555">
        <f ca="1">(IFERROR(IFERROR(VALUE(_xll.BDH(K$4,"PE_RATIO",$B85,$B85)),VALUE(_xll.BDH(K$4,"PE_RATIO",$B85+1,$B85+1))),K86))</f>
        <v>0</v>
      </c>
      <c r="L85" s="555">
        <f ca="1">(IFERROR(IFERROR(VALUE(_xll.BDH(L$4,"PE_RATIO",$B85,$B85)),VALUE(_xll.BDH(L$4,"PE_RATIO",$B85+1,$B85+1))),L86))</f>
        <v>0</v>
      </c>
      <c r="M85" s="555">
        <f ca="1">(IFERROR(IFERROR(VALUE(_xll.BDH(M$4,"PE_RATIO",$B85,$B85)),VALUE(_xll.BDH(M$4,"PE_RATIO",$B85+1,$B85+1))),M86))</f>
        <v>0</v>
      </c>
      <c r="N85" s="555">
        <f ca="1">(IFERROR(IFERROR(VALUE(_xll.BDH(N$4,"PE_RATIO",$B85,$B85)),VALUE(_xll.BDH(N$4,"PE_RATIO",$B85+1,$B85+1))),N86))</f>
        <v>0</v>
      </c>
      <c r="O85" s="555">
        <f ca="1">(IFERROR(IFERROR(VALUE(_xll.BDH(O$4,"PE_RATIO",$B85,$B85)),VALUE(_xll.BDH(O$4,"PE_RATIO",$B85+1,$B85+1))),O86))</f>
        <v>0</v>
      </c>
      <c r="P85" s="555"/>
      <c r="Q85" s="559">
        <f t="shared" ca="1" si="25"/>
        <v>45394</v>
      </c>
      <c r="R85" s="4">
        <v>59.48</v>
      </c>
      <c r="S85" s="4">
        <v>131689.37</v>
      </c>
      <c r="T85" s="4">
        <v>0</v>
      </c>
      <c r="U85" s="4">
        <v>0.61637305699481859</v>
      </c>
      <c r="V85" s="4">
        <v>1.2151116918036082</v>
      </c>
      <c r="W85" s="4" t="e">
        <v>#DIV/0!</v>
      </c>
      <c r="Y85" s="555">
        <f t="shared" si="26"/>
        <v>59.48</v>
      </c>
      <c r="Z85" s="4">
        <f ca="1">IFERROR(VALUE(_xll.BDH(Z$4,"PX_LAST",$Q85,$Q85)),Z86)</f>
        <v>0</v>
      </c>
      <c r="AA85" s="4">
        <f ca="1">IFERROR(VALUE(_xll.BDH(AA$4,"PX_LAST",$Q85,$Q85)),AA86)</f>
        <v>0</v>
      </c>
      <c r="AB85" s="4">
        <f ca="1">IFERROR(VALUE(_xll.BDH(AB$4,"PX_LAST",$Q85,$Q85)),AB86)</f>
        <v>0</v>
      </c>
      <c r="AC85" s="4">
        <f ca="1">IFERROR(VALUE(_xll.BDH(AC$4,"PX_LAST",$Q85,$Q85)),AC86)</f>
        <v>0</v>
      </c>
      <c r="AD85" s="4">
        <f ca="1">IFERROR(VALUE(_xll.BDH(AD$4,"PX_LAST",$Q85,$Q85)),AD86)</f>
        <v>0</v>
      </c>
      <c r="AF85" s="4">
        <f t="shared" si="27"/>
        <v>0.61637305699481859</v>
      </c>
      <c r="AG85" s="4" t="e">
        <f t="shared" ca="1" si="28"/>
        <v>#DIV/0!</v>
      </c>
      <c r="AH85" s="4" t="e">
        <f t="shared" ca="1" si="29"/>
        <v>#DIV/0!</v>
      </c>
      <c r="AI85" s="4" t="e">
        <f t="shared" ca="1" si="30"/>
        <v>#DIV/0!</v>
      </c>
      <c r="AJ85" s="4" t="e">
        <f t="shared" ca="1" si="31"/>
        <v>#DIV/0!</v>
      </c>
      <c r="AK85" s="4" t="e">
        <f t="shared" ca="1" si="32"/>
        <v>#DIV/0!</v>
      </c>
      <c r="AM85" s="557">
        <f t="shared" ca="1" si="33"/>
        <v>45873</v>
      </c>
      <c r="AN85" s="558">
        <v>40.265000000000001</v>
      </c>
      <c r="AO85" s="558">
        <v>1586200</v>
      </c>
      <c r="AP85" s="558">
        <v>206.48981000000001</v>
      </c>
      <c r="AQ85" s="558">
        <v>8314.3121996499995</v>
      </c>
      <c r="AR85" s="558">
        <v>0.59699999999999998</v>
      </c>
    </row>
    <row r="86" spans="2:44">
      <c r="B86" s="559">
        <f t="shared" ca="1" si="34"/>
        <v>45387</v>
      </c>
      <c r="C86" s="555">
        <f ca="1">(IFERROR(IFERROR(VALUE(_xll.BDH(C$4,"CURRENT_EV_TO_T12M_EBITDA",$B86,$B86)),VALUE(_xll.BDH(C$4,"CURRENT_EV_TO_T12M_EBITDA",$B86+1,$B86+1))),C87))</f>
        <v>0</v>
      </c>
      <c r="D86" s="555">
        <f ca="1">(IFERROR(IFERROR(VALUE(_xll.BDH(D$4,"CURRENT_EV_TO_T12M_EBITDA",$B86,$B86)),VALUE(_xll.BDH(D$4,"CURRENT_EV_TO_T12M_EBITDA",$B86+1,$B86+1))),D87))</f>
        <v>0</v>
      </c>
      <c r="E86" s="555">
        <f ca="1">(IFERROR(IFERROR(VALUE(_xll.BDH(E$4,"CURRENT_EV_TO_T12M_EBITDA",$B86,$B86)),VALUE(_xll.BDH(E$4,"CURRENT_EV_TO_T12M_EBITDA",$B86+1,$B86+1))),E87))</f>
        <v>0</v>
      </c>
      <c r="F86" s="555">
        <f ca="1">(IFERROR(IFERROR(VALUE(_xll.BDH(F$4,"CURRENT_EV_TO_T12M_EBITDA",$B86,$B86)),VALUE(_xll.BDH(F$4,"CURRENT_EV_TO_T12M_EBITDA",$B86+1,$B86+1))),F87))</f>
        <v>0</v>
      </c>
      <c r="G86" s="555">
        <f ca="1">(IFERROR(IFERROR(VALUE(_xll.BDH(G$4,"CURRENT_EV_TO_T12M_EBITDA",$B86,$B86)),VALUE(_xll.BDH(G$4,"CURRENT_EV_TO_T12M_EBITDA",$B86+1,$B86+1))),G87))</f>
        <v>0</v>
      </c>
      <c r="H86" s="555">
        <f ca="1">(IFERROR(IFERROR(VALUE(_xll.BDH(H$4,"CURRENT_EV_TO_T12M_EBITDA",$B86,$B86)),VALUE(_xll.BDH(H$4,"CURRENT_EV_TO_T12M_EBITDA",$B86+1,$B86+1))),H87))</f>
        <v>0</v>
      </c>
      <c r="I86" s="559">
        <f t="shared" ca="1" si="24"/>
        <v>45387</v>
      </c>
      <c r="J86" s="555">
        <f ca="1">(IFERROR(IFERROR(VALUE(_xll.BDH(J$4,"PE_RATIO",$B86,$B86)),VALUE(_xll.BDH(J$4,"PE_RATIO",$B86+1,$B86+1))),J87))</f>
        <v>0</v>
      </c>
      <c r="K86" s="555">
        <f ca="1">(IFERROR(IFERROR(VALUE(_xll.BDH(K$4,"PE_RATIO",$B86,$B86)),VALUE(_xll.BDH(K$4,"PE_RATIO",$B86+1,$B86+1))),K87))</f>
        <v>0</v>
      </c>
      <c r="L86" s="555">
        <f ca="1">(IFERROR(IFERROR(VALUE(_xll.BDH(L$4,"PE_RATIO",$B86,$B86)),VALUE(_xll.BDH(L$4,"PE_RATIO",$B86+1,$B86+1))),L87))</f>
        <v>0</v>
      </c>
      <c r="M86" s="555">
        <f ca="1">(IFERROR(IFERROR(VALUE(_xll.BDH(M$4,"PE_RATIO",$B86,$B86)),VALUE(_xll.BDH(M$4,"PE_RATIO",$B86+1,$B86+1))),M87))</f>
        <v>0</v>
      </c>
      <c r="N86" s="555">
        <f ca="1">(IFERROR(IFERROR(VALUE(_xll.BDH(N$4,"PE_RATIO",$B86,$B86)),VALUE(_xll.BDH(N$4,"PE_RATIO",$B86+1,$B86+1))),N87))</f>
        <v>0</v>
      </c>
      <c r="O86" s="555">
        <f ca="1">(IFERROR(IFERROR(VALUE(_xll.BDH(O$4,"PE_RATIO",$B86,$B86)),VALUE(_xll.BDH(O$4,"PE_RATIO",$B86+1,$B86+1))),O87))</f>
        <v>0</v>
      </c>
      <c r="P86" s="555"/>
      <c r="Q86" s="559">
        <f t="shared" ca="1" si="25"/>
        <v>45387</v>
      </c>
      <c r="R86" s="4">
        <v>60.37</v>
      </c>
      <c r="S86" s="4">
        <v>129916.11</v>
      </c>
      <c r="T86" s="4">
        <v>0</v>
      </c>
      <c r="U86" s="4">
        <v>0.62559585492227976</v>
      </c>
      <c r="V86" s="4">
        <v>1.1987496349526441</v>
      </c>
      <c r="W86" s="4" t="e">
        <v>#DIV/0!</v>
      </c>
      <c r="Y86" s="555">
        <f t="shared" si="26"/>
        <v>60.37</v>
      </c>
      <c r="Z86" s="4">
        <f ca="1">IFERROR(VALUE(_xll.BDH(Z$4,"PX_LAST",$Q86,$Q86)),Z87)</f>
        <v>0</v>
      </c>
      <c r="AA86" s="4">
        <f ca="1">IFERROR(VALUE(_xll.BDH(AA$4,"PX_LAST",$Q86,$Q86)),AA87)</f>
        <v>0</v>
      </c>
      <c r="AB86" s="4">
        <f ca="1">IFERROR(VALUE(_xll.BDH(AB$4,"PX_LAST",$Q86,$Q86)),AB87)</f>
        <v>0</v>
      </c>
      <c r="AC86" s="4">
        <f ca="1">IFERROR(VALUE(_xll.BDH(AC$4,"PX_LAST",$Q86,$Q86)),AC87)</f>
        <v>0</v>
      </c>
      <c r="AD86" s="4">
        <f ca="1">IFERROR(VALUE(_xll.BDH(AD$4,"PX_LAST",$Q86,$Q86)),AD87)</f>
        <v>0</v>
      </c>
      <c r="AF86" s="4">
        <f t="shared" si="27"/>
        <v>0.62559585492227976</v>
      </c>
      <c r="AG86" s="4" t="e">
        <f t="shared" ca="1" si="28"/>
        <v>#DIV/0!</v>
      </c>
      <c r="AH86" s="4" t="e">
        <f t="shared" ca="1" si="29"/>
        <v>#DIV/0!</v>
      </c>
      <c r="AI86" s="4" t="e">
        <f t="shared" ca="1" si="30"/>
        <v>#DIV/0!</v>
      </c>
      <c r="AJ86" s="4" t="e">
        <f t="shared" ca="1" si="31"/>
        <v>#DIV/0!</v>
      </c>
      <c r="AK86" s="4" t="e">
        <f t="shared" ca="1" si="32"/>
        <v>#DIV/0!</v>
      </c>
      <c r="AM86" s="557">
        <f t="shared" ca="1" si="33"/>
        <v>45872</v>
      </c>
      <c r="AN86" s="558">
        <v>41.295000000000002</v>
      </c>
      <c r="AO86" s="558">
        <v>1365200</v>
      </c>
      <c r="AP86" s="558">
        <v>206.48981000000001</v>
      </c>
      <c r="AQ86" s="558">
        <v>8526.9967039500007</v>
      </c>
      <c r="AR86" s="558">
        <v>0.61280000000000001</v>
      </c>
    </row>
    <row r="87" spans="2:44">
      <c r="B87" s="559">
        <f t="shared" ca="1" si="34"/>
        <v>45380</v>
      </c>
      <c r="C87" s="555">
        <f ca="1">(IFERROR(IFERROR(VALUE(_xll.BDH(C$4,"CURRENT_EV_TO_T12M_EBITDA",$B87,$B87)),VALUE(_xll.BDH(C$4,"CURRENT_EV_TO_T12M_EBITDA",$B87+1,$B87+1))),C88))</f>
        <v>0</v>
      </c>
      <c r="D87" s="555">
        <f ca="1">(IFERROR(IFERROR(VALUE(_xll.BDH(D$4,"CURRENT_EV_TO_T12M_EBITDA",$B87,$B87)),VALUE(_xll.BDH(D$4,"CURRENT_EV_TO_T12M_EBITDA",$B87+1,$B87+1))),D88))</f>
        <v>0</v>
      </c>
      <c r="E87" s="555">
        <f ca="1">(IFERROR(IFERROR(VALUE(_xll.BDH(E$4,"CURRENT_EV_TO_T12M_EBITDA",$B87,$B87)),VALUE(_xll.BDH(E$4,"CURRENT_EV_TO_T12M_EBITDA",$B87+1,$B87+1))),E88))</f>
        <v>0</v>
      </c>
      <c r="F87" s="555">
        <f ca="1">(IFERROR(IFERROR(VALUE(_xll.BDH(F$4,"CURRENT_EV_TO_T12M_EBITDA",$B87,$B87)),VALUE(_xll.BDH(F$4,"CURRENT_EV_TO_T12M_EBITDA",$B87+1,$B87+1))),F88))</f>
        <v>0</v>
      </c>
      <c r="G87" s="555">
        <f ca="1">(IFERROR(IFERROR(VALUE(_xll.BDH(G$4,"CURRENT_EV_TO_T12M_EBITDA",$B87,$B87)),VALUE(_xll.BDH(G$4,"CURRENT_EV_TO_T12M_EBITDA",$B87+1,$B87+1))),G88))</f>
        <v>0</v>
      </c>
      <c r="H87" s="555">
        <f ca="1">(IFERROR(IFERROR(VALUE(_xll.BDH(H$4,"CURRENT_EV_TO_T12M_EBITDA",$B87,$B87)),VALUE(_xll.BDH(H$4,"CURRENT_EV_TO_T12M_EBITDA",$B87+1,$B87+1))),H88))</f>
        <v>0</v>
      </c>
      <c r="I87" s="559">
        <f t="shared" ca="1" si="24"/>
        <v>45380</v>
      </c>
      <c r="J87" s="555">
        <f ca="1">(IFERROR(IFERROR(VALUE(_xll.BDH(J$4,"PE_RATIO",$B87,$B87)),VALUE(_xll.BDH(J$4,"PE_RATIO",$B87+1,$B87+1))),J88))</f>
        <v>0</v>
      </c>
      <c r="K87" s="555">
        <f ca="1">(IFERROR(IFERROR(VALUE(_xll.BDH(K$4,"PE_RATIO",$B87,$B87)),VALUE(_xll.BDH(K$4,"PE_RATIO",$B87+1,$B87+1))),K88))</f>
        <v>0</v>
      </c>
      <c r="L87" s="555">
        <f ca="1">(IFERROR(IFERROR(VALUE(_xll.BDH(L$4,"PE_RATIO",$B87,$B87)),VALUE(_xll.BDH(L$4,"PE_RATIO",$B87+1,$B87+1))),L88))</f>
        <v>0</v>
      </c>
      <c r="M87" s="555">
        <f ca="1">(IFERROR(IFERROR(VALUE(_xll.BDH(M$4,"PE_RATIO",$B87,$B87)),VALUE(_xll.BDH(M$4,"PE_RATIO",$B87+1,$B87+1))),M88))</f>
        <v>0</v>
      </c>
      <c r="N87" s="555">
        <f ca="1">(IFERROR(IFERROR(VALUE(_xll.BDH(N$4,"PE_RATIO",$B87,$B87)),VALUE(_xll.BDH(N$4,"PE_RATIO",$B87+1,$B87+1))),N88))</f>
        <v>0</v>
      </c>
      <c r="O87" s="555">
        <f ca="1">(IFERROR(IFERROR(VALUE(_xll.BDH(O$4,"PE_RATIO",$B87,$B87)),VALUE(_xll.BDH(O$4,"PE_RATIO",$B87+1,$B87+1))),O88))</f>
        <v>0</v>
      </c>
      <c r="P87" s="555"/>
      <c r="Q87" s="559">
        <f t="shared" ca="1" si="25"/>
        <v>45380</v>
      </c>
      <c r="R87" s="4">
        <v>59.5</v>
      </c>
      <c r="S87" s="4">
        <v>130416.31</v>
      </c>
      <c r="T87" s="4">
        <v>0</v>
      </c>
      <c r="U87" s="4">
        <v>0.61658031088082899</v>
      </c>
      <c r="V87" s="4">
        <v>1.2033650330537982</v>
      </c>
      <c r="W87" s="4" t="e">
        <v>#DIV/0!</v>
      </c>
      <c r="Y87" s="555">
        <f t="shared" si="26"/>
        <v>59.5</v>
      </c>
      <c r="Z87" s="4">
        <f ca="1">IFERROR(VALUE(_xll.BDH(Z$4,"PX_LAST",$Q87,$Q87)),Z88)</f>
        <v>0</v>
      </c>
      <c r="AA87" s="4">
        <f ca="1">IFERROR(VALUE(_xll.BDH(AA$4,"PX_LAST",$Q87,$Q87)),AA88)</f>
        <v>0</v>
      </c>
      <c r="AB87" s="4">
        <f ca="1">IFERROR(VALUE(_xll.BDH(AB$4,"PX_LAST",$Q87,$Q87)),AB88)</f>
        <v>0</v>
      </c>
      <c r="AC87" s="4">
        <f ca="1">IFERROR(VALUE(_xll.BDH(AC$4,"PX_LAST",$Q87,$Q87)),AC88)</f>
        <v>0</v>
      </c>
      <c r="AD87" s="4">
        <f ca="1">IFERROR(VALUE(_xll.BDH(AD$4,"PX_LAST",$Q87,$Q87)),AD88)</f>
        <v>0</v>
      </c>
      <c r="AF87" s="4">
        <f t="shared" si="27"/>
        <v>0.61658031088082899</v>
      </c>
      <c r="AG87" s="4" t="e">
        <f t="shared" ca="1" si="28"/>
        <v>#DIV/0!</v>
      </c>
      <c r="AH87" s="4" t="e">
        <f t="shared" ca="1" si="29"/>
        <v>#DIV/0!</v>
      </c>
      <c r="AI87" s="4" t="e">
        <f t="shared" ca="1" si="30"/>
        <v>#DIV/0!</v>
      </c>
      <c r="AJ87" s="4" t="e">
        <f t="shared" ca="1" si="31"/>
        <v>#DIV/0!</v>
      </c>
      <c r="AK87" s="4" t="e">
        <f t="shared" ca="1" si="32"/>
        <v>#DIV/0!</v>
      </c>
      <c r="AM87" s="557">
        <f t="shared" ca="1" si="33"/>
        <v>45871</v>
      </c>
      <c r="AN87" s="558">
        <v>41.295000000000002</v>
      </c>
      <c r="AO87" s="558">
        <v>1365200</v>
      </c>
      <c r="AP87" s="558">
        <v>206.48981000000001</v>
      </c>
      <c r="AQ87" s="558">
        <v>8526.9967039500007</v>
      </c>
      <c r="AR87" s="558">
        <v>0.61280000000000001</v>
      </c>
    </row>
    <row r="88" spans="2:44">
      <c r="B88" s="559">
        <f t="shared" ca="1" si="34"/>
        <v>45373</v>
      </c>
      <c r="C88" s="555">
        <f ca="1">(IFERROR(IFERROR(VALUE(_xll.BDH(C$4,"CURRENT_EV_TO_T12M_EBITDA",$B88,$B88)),VALUE(_xll.BDH(C$4,"CURRENT_EV_TO_T12M_EBITDA",$B88+1,$B88+1))),C89))</f>
        <v>0</v>
      </c>
      <c r="D88" s="555">
        <f ca="1">(IFERROR(IFERROR(VALUE(_xll.BDH(D$4,"CURRENT_EV_TO_T12M_EBITDA",$B88,$B88)),VALUE(_xll.BDH(D$4,"CURRENT_EV_TO_T12M_EBITDA",$B88+1,$B88+1))),D89))</f>
        <v>0</v>
      </c>
      <c r="E88" s="555">
        <f ca="1">(IFERROR(IFERROR(VALUE(_xll.BDH(E$4,"CURRENT_EV_TO_T12M_EBITDA",$B88,$B88)),VALUE(_xll.BDH(E$4,"CURRENT_EV_TO_T12M_EBITDA",$B88+1,$B88+1))),E89))</f>
        <v>0</v>
      </c>
      <c r="F88" s="555">
        <f ca="1">(IFERROR(IFERROR(VALUE(_xll.BDH(F$4,"CURRENT_EV_TO_T12M_EBITDA",$B88,$B88)),VALUE(_xll.BDH(F$4,"CURRENT_EV_TO_T12M_EBITDA",$B88+1,$B88+1))),F89))</f>
        <v>0</v>
      </c>
      <c r="G88" s="555">
        <f ca="1">(IFERROR(IFERROR(VALUE(_xll.BDH(G$4,"CURRENT_EV_TO_T12M_EBITDA",$B88,$B88)),VALUE(_xll.BDH(G$4,"CURRENT_EV_TO_T12M_EBITDA",$B88+1,$B88+1))),G89))</f>
        <v>0</v>
      </c>
      <c r="H88" s="555">
        <f ca="1">(IFERROR(IFERROR(VALUE(_xll.BDH(H$4,"CURRENT_EV_TO_T12M_EBITDA",$B88,$B88)),VALUE(_xll.BDH(H$4,"CURRENT_EV_TO_T12M_EBITDA",$B88+1,$B88+1))),H89))</f>
        <v>0</v>
      </c>
      <c r="I88" s="559">
        <f t="shared" ca="1" si="24"/>
        <v>45373</v>
      </c>
      <c r="J88" s="555">
        <f ca="1">(IFERROR(IFERROR(VALUE(_xll.BDH(J$4,"PE_RATIO",$B88,$B88)),VALUE(_xll.BDH(J$4,"PE_RATIO",$B88+1,$B88+1))),J89))</f>
        <v>0</v>
      </c>
      <c r="K88" s="555">
        <f ca="1">(IFERROR(IFERROR(VALUE(_xll.BDH(K$4,"PE_RATIO",$B88,$B88)),VALUE(_xll.BDH(K$4,"PE_RATIO",$B88+1,$B88+1))),K89))</f>
        <v>0</v>
      </c>
      <c r="L88" s="555">
        <f ca="1">(IFERROR(IFERROR(VALUE(_xll.BDH(L$4,"PE_RATIO",$B88,$B88)),VALUE(_xll.BDH(L$4,"PE_RATIO",$B88+1,$B88+1))),L89))</f>
        <v>0</v>
      </c>
      <c r="M88" s="555">
        <f ca="1">(IFERROR(IFERROR(VALUE(_xll.BDH(M$4,"PE_RATIO",$B88,$B88)),VALUE(_xll.BDH(M$4,"PE_RATIO",$B88+1,$B88+1))),M89))</f>
        <v>0</v>
      </c>
      <c r="N88" s="555">
        <f ca="1">(IFERROR(IFERROR(VALUE(_xll.BDH(N$4,"PE_RATIO",$B88,$B88)),VALUE(_xll.BDH(N$4,"PE_RATIO",$B88+1,$B88+1))),N89))</f>
        <v>0</v>
      </c>
      <c r="O88" s="555">
        <f ca="1">(IFERROR(IFERROR(VALUE(_xll.BDH(O$4,"PE_RATIO",$B88,$B88)),VALUE(_xll.BDH(O$4,"PE_RATIO",$B88+1,$B88+1))),O89))</f>
        <v>0</v>
      </c>
      <c r="P88" s="555"/>
      <c r="Q88" s="559">
        <f t="shared" ca="1" si="25"/>
        <v>45373</v>
      </c>
      <c r="R88" s="4">
        <v>59.5</v>
      </c>
      <c r="S88" s="4">
        <v>130416.31</v>
      </c>
      <c r="T88" s="4">
        <v>0</v>
      </c>
      <c r="U88" s="4">
        <v>0.61658031088082899</v>
      </c>
      <c r="V88" s="4">
        <v>1.2033650330537982</v>
      </c>
      <c r="W88" s="4" t="e">
        <v>#DIV/0!</v>
      </c>
      <c r="Y88" s="555">
        <f t="shared" si="26"/>
        <v>59.5</v>
      </c>
      <c r="Z88" s="4">
        <f ca="1">IFERROR(VALUE(_xll.BDH(Z$4,"PX_LAST",$Q88,$Q88)),Z89)</f>
        <v>0</v>
      </c>
      <c r="AA88" s="4">
        <f ca="1">IFERROR(VALUE(_xll.BDH(AA$4,"PX_LAST",$Q88,$Q88)),AA89)</f>
        <v>0</v>
      </c>
      <c r="AB88" s="4">
        <f ca="1">IFERROR(VALUE(_xll.BDH(AB$4,"PX_LAST",$Q88,$Q88)),AB89)</f>
        <v>0</v>
      </c>
      <c r="AC88" s="4">
        <f ca="1">IFERROR(VALUE(_xll.BDH(AC$4,"PX_LAST",$Q88,$Q88)),AC89)</f>
        <v>0</v>
      </c>
      <c r="AD88" s="4">
        <f ca="1">IFERROR(VALUE(_xll.BDH(AD$4,"PX_LAST",$Q88,$Q88)),AD89)</f>
        <v>0</v>
      </c>
      <c r="AF88" s="4">
        <f t="shared" si="27"/>
        <v>0.61658031088082899</v>
      </c>
      <c r="AG88" s="4" t="e">
        <f t="shared" ca="1" si="28"/>
        <v>#DIV/0!</v>
      </c>
      <c r="AH88" s="4" t="e">
        <f t="shared" ca="1" si="29"/>
        <v>#DIV/0!</v>
      </c>
      <c r="AI88" s="4" t="e">
        <f t="shared" ca="1" si="30"/>
        <v>#DIV/0!</v>
      </c>
      <c r="AJ88" s="4" t="e">
        <f t="shared" ca="1" si="31"/>
        <v>#DIV/0!</v>
      </c>
      <c r="AK88" s="4" t="e">
        <f t="shared" ca="1" si="32"/>
        <v>#DIV/0!</v>
      </c>
      <c r="AM88" s="557">
        <f t="shared" ca="1" si="33"/>
        <v>45870</v>
      </c>
      <c r="AN88" s="558">
        <v>40.590000000000003</v>
      </c>
      <c r="AO88" s="558">
        <v>3040400</v>
      </c>
      <c r="AP88" s="558">
        <v>206.48981000000001</v>
      </c>
      <c r="AQ88" s="558">
        <v>8381.4213879000017</v>
      </c>
      <c r="AR88" s="558">
        <v>0.60329999999999995</v>
      </c>
    </row>
    <row r="89" spans="2:44">
      <c r="B89" s="559">
        <f t="shared" ca="1" si="34"/>
        <v>45366</v>
      </c>
      <c r="C89" s="555">
        <f ca="1">(IFERROR(IFERROR(VALUE(_xll.BDH(C$4,"CURRENT_EV_TO_T12M_EBITDA",$B89,$B89)),VALUE(_xll.BDH(C$4,"CURRENT_EV_TO_T12M_EBITDA",$B89+1,$B89+1))),C90))</f>
        <v>0</v>
      </c>
      <c r="D89" s="555">
        <f ca="1">(IFERROR(IFERROR(VALUE(_xll.BDH(D$4,"CURRENT_EV_TO_T12M_EBITDA",$B89,$B89)),VALUE(_xll.BDH(D$4,"CURRENT_EV_TO_T12M_EBITDA",$B89+1,$B89+1))),D90))</f>
        <v>0</v>
      </c>
      <c r="E89" s="555">
        <f ca="1">(IFERROR(IFERROR(VALUE(_xll.BDH(E$4,"CURRENT_EV_TO_T12M_EBITDA",$B89,$B89)),VALUE(_xll.BDH(E$4,"CURRENT_EV_TO_T12M_EBITDA",$B89+1,$B89+1))),E90))</f>
        <v>0</v>
      </c>
      <c r="F89" s="555">
        <f ca="1">(IFERROR(IFERROR(VALUE(_xll.BDH(F$4,"CURRENT_EV_TO_T12M_EBITDA",$B89,$B89)),VALUE(_xll.BDH(F$4,"CURRENT_EV_TO_T12M_EBITDA",$B89+1,$B89+1))),F90))</f>
        <v>0</v>
      </c>
      <c r="G89" s="555">
        <f ca="1">(IFERROR(IFERROR(VALUE(_xll.BDH(G$4,"CURRENT_EV_TO_T12M_EBITDA",$B89,$B89)),VALUE(_xll.BDH(G$4,"CURRENT_EV_TO_T12M_EBITDA",$B89+1,$B89+1))),G90))</f>
        <v>0</v>
      </c>
      <c r="H89" s="555">
        <f ca="1">(IFERROR(IFERROR(VALUE(_xll.BDH(H$4,"CURRENT_EV_TO_T12M_EBITDA",$B89,$B89)),VALUE(_xll.BDH(H$4,"CURRENT_EV_TO_T12M_EBITDA",$B89+1,$B89+1))),H90))</f>
        <v>0</v>
      </c>
      <c r="I89" s="559">
        <f t="shared" ca="1" si="24"/>
        <v>45366</v>
      </c>
      <c r="J89" s="555">
        <f ca="1">(IFERROR(IFERROR(VALUE(_xll.BDH(J$4,"PE_RATIO",$B89,$B89)),VALUE(_xll.BDH(J$4,"PE_RATIO",$B89+1,$B89+1))),J90))</f>
        <v>0</v>
      </c>
      <c r="K89" s="555">
        <f ca="1">(IFERROR(IFERROR(VALUE(_xll.BDH(K$4,"PE_RATIO",$B89,$B89)),VALUE(_xll.BDH(K$4,"PE_RATIO",$B89+1,$B89+1))),K90))</f>
        <v>0</v>
      </c>
      <c r="L89" s="555">
        <f ca="1">(IFERROR(IFERROR(VALUE(_xll.BDH(L$4,"PE_RATIO",$B89,$B89)),VALUE(_xll.BDH(L$4,"PE_RATIO",$B89+1,$B89+1))),L90))</f>
        <v>0</v>
      </c>
      <c r="M89" s="555">
        <f ca="1">(IFERROR(IFERROR(VALUE(_xll.BDH(M$4,"PE_RATIO",$B89,$B89)),VALUE(_xll.BDH(M$4,"PE_RATIO",$B89+1,$B89+1))),M90))</f>
        <v>0</v>
      </c>
      <c r="N89" s="555">
        <f ca="1">(IFERROR(IFERROR(VALUE(_xll.BDH(N$4,"PE_RATIO",$B89,$B89)),VALUE(_xll.BDH(N$4,"PE_RATIO",$B89+1,$B89+1))),N90))</f>
        <v>0</v>
      </c>
      <c r="O89" s="555">
        <f ca="1">(IFERROR(IFERROR(VALUE(_xll.BDH(O$4,"PE_RATIO",$B89,$B89)),VALUE(_xll.BDH(O$4,"PE_RATIO",$B89+1,$B89+1))),O90))</f>
        <v>0</v>
      </c>
      <c r="P89" s="555"/>
      <c r="Q89" s="559">
        <f t="shared" ca="1" si="25"/>
        <v>45366</v>
      </c>
      <c r="R89" s="4">
        <v>55.84</v>
      </c>
      <c r="S89" s="4">
        <v>127401.81</v>
      </c>
      <c r="T89" s="4">
        <v>0</v>
      </c>
      <c r="U89" s="4">
        <v>0.57865284974093267</v>
      </c>
      <c r="V89" s="4">
        <v>1.175549923945584</v>
      </c>
      <c r="W89" s="4" t="e">
        <v>#DIV/0!</v>
      </c>
      <c r="Y89" s="555">
        <f t="shared" si="26"/>
        <v>55.84</v>
      </c>
      <c r="Z89" s="4">
        <f ca="1">IFERROR(VALUE(_xll.BDH(Z$4,"PX_LAST",$Q89,$Q89)),Z90)</f>
        <v>0</v>
      </c>
      <c r="AA89" s="4">
        <f ca="1">IFERROR(VALUE(_xll.BDH(AA$4,"PX_LAST",$Q89,$Q89)),AA90)</f>
        <v>0</v>
      </c>
      <c r="AB89" s="4">
        <f ca="1">IFERROR(VALUE(_xll.BDH(AB$4,"PX_LAST",$Q89,$Q89)),AB90)</f>
        <v>0</v>
      </c>
      <c r="AC89" s="4">
        <f ca="1">IFERROR(VALUE(_xll.BDH(AC$4,"PX_LAST",$Q89,$Q89)),AC90)</f>
        <v>0</v>
      </c>
      <c r="AD89" s="4">
        <f ca="1">IFERROR(VALUE(_xll.BDH(AD$4,"PX_LAST",$Q89,$Q89)),AD90)</f>
        <v>0</v>
      </c>
      <c r="AF89" s="4">
        <f t="shared" si="27"/>
        <v>0.57865284974093267</v>
      </c>
      <c r="AG89" s="4" t="e">
        <f t="shared" ca="1" si="28"/>
        <v>#DIV/0!</v>
      </c>
      <c r="AH89" s="4" t="e">
        <f t="shared" ca="1" si="29"/>
        <v>#DIV/0!</v>
      </c>
      <c r="AI89" s="4" t="e">
        <f t="shared" ca="1" si="30"/>
        <v>#DIV/0!</v>
      </c>
      <c r="AJ89" s="4" t="e">
        <f t="shared" ca="1" si="31"/>
        <v>#DIV/0!</v>
      </c>
      <c r="AK89" s="4" t="e">
        <f t="shared" ca="1" si="32"/>
        <v>#DIV/0!</v>
      </c>
      <c r="AM89" s="557">
        <f t="shared" ca="1" si="33"/>
        <v>45869</v>
      </c>
      <c r="AN89" s="558">
        <v>41.734999999999999</v>
      </c>
      <c r="AO89" s="558">
        <v>5046100</v>
      </c>
      <c r="AP89" s="558">
        <v>206.48981000000001</v>
      </c>
      <c r="AQ89" s="558">
        <v>8617.8522203499997</v>
      </c>
      <c r="AR89" s="558">
        <v>0.61919999999999997</v>
      </c>
    </row>
    <row r="90" spans="2:44">
      <c r="B90" s="559">
        <f t="shared" ca="1" si="34"/>
        <v>45359</v>
      </c>
      <c r="C90" s="555">
        <f ca="1">(IFERROR(IFERROR(VALUE(_xll.BDH(C$4,"CURRENT_EV_TO_T12M_EBITDA",$B90,$B90)),VALUE(_xll.BDH(C$4,"CURRENT_EV_TO_T12M_EBITDA",$B90+1,$B90+1))),C91))</f>
        <v>0</v>
      </c>
      <c r="D90" s="555">
        <f ca="1">(IFERROR(IFERROR(VALUE(_xll.BDH(D$4,"CURRENT_EV_TO_T12M_EBITDA",$B90,$B90)),VALUE(_xll.BDH(D$4,"CURRENT_EV_TO_T12M_EBITDA",$B90+1,$B90+1))),D91))</f>
        <v>0</v>
      </c>
      <c r="E90" s="555">
        <f ca="1">(IFERROR(IFERROR(VALUE(_xll.BDH(E$4,"CURRENT_EV_TO_T12M_EBITDA",$B90,$B90)),VALUE(_xll.BDH(E$4,"CURRENT_EV_TO_T12M_EBITDA",$B90+1,$B90+1))),E91))</f>
        <v>0</v>
      </c>
      <c r="F90" s="555">
        <f ca="1">(IFERROR(IFERROR(VALUE(_xll.BDH(F$4,"CURRENT_EV_TO_T12M_EBITDA",$B90,$B90)),VALUE(_xll.BDH(F$4,"CURRENT_EV_TO_T12M_EBITDA",$B90+1,$B90+1))),F91))</f>
        <v>0</v>
      </c>
      <c r="G90" s="555">
        <f ca="1">(IFERROR(IFERROR(VALUE(_xll.BDH(G$4,"CURRENT_EV_TO_T12M_EBITDA",$B90,$B90)),VALUE(_xll.BDH(G$4,"CURRENT_EV_TO_T12M_EBITDA",$B90+1,$B90+1))),G91))</f>
        <v>0</v>
      </c>
      <c r="H90" s="555">
        <f ca="1">(IFERROR(IFERROR(VALUE(_xll.BDH(H$4,"CURRENT_EV_TO_T12M_EBITDA",$B90,$B90)),VALUE(_xll.BDH(H$4,"CURRENT_EV_TO_T12M_EBITDA",$B90+1,$B90+1))),H91))</f>
        <v>0</v>
      </c>
      <c r="I90" s="559">
        <f t="shared" ca="1" si="24"/>
        <v>45359</v>
      </c>
      <c r="J90" s="555">
        <f ca="1">(IFERROR(IFERROR(VALUE(_xll.BDH(J$4,"PE_RATIO",$B90,$B90)),VALUE(_xll.BDH(J$4,"PE_RATIO",$B90+1,$B90+1))),J91))</f>
        <v>0</v>
      </c>
      <c r="K90" s="555">
        <f ca="1">(IFERROR(IFERROR(VALUE(_xll.BDH(K$4,"PE_RATIO",$B90,$B90)),VALUE(_xll.BDH(K$4,"PE_RATIO",$B90+1,$B90+1))),K91))</f>
        <v>0</v>
      </c>
      <c r="L90" s="555">
        <f ca="1">(IFERROR(IFERROR(VALUE(_xll.BDH(L$4,"PE_RATIO",$B90,$B90)),VALUE(_xll.BDH(L$4,"PE_RATIO",$B90+1,$B90+1))),L91))</f>
        <v>0</v>
      </c>
      <c r="M90" s="555">
        <f ca="1">(IFERROR(IFERROR(VALUE(_xll.BDH(M$4,"PE_RATIO",$B90,$B90)),VALUE(_xll.BDH(M$4,"PE_RATIO",$B90+1,$B90+1))),M91))</f>
        <v>0</v>
      </c>
      <c r="N90" s="555">
        <f ca="1">(IFERROR(IFERROR(VALUE(_xll.BDH(N$4,"PE_RATIO",$B90,$B90)),VALUE(_xll.BDH(N$4,"PE_RATIO",$B90+1,$B90+1))),N91))</f>
        <v>0</v>
      </c>
      <c r="O90" s="555">
        <f ca="1">(IFERROR(IFERROR(VALUE(_xll.BDH(O$4,"PE_RATIO",$B90,$B90)),VALUE(_xll.BDH(O$4,"PE_RATIO",$B90+1,$B90+1))),O91))</f>
        <v>0</v>
      </c>
      <c r="P90" s="555"/>
      <c r="Q90" s="559">
        <f t="shared" ca="1" si="25"/>
        <v>45359</v>
      </c>
      <c r="R90" s="4">
        <v>57.5</v>
      </c>
      <c r="S90" s="4">
        <v>128262.52</v>
      </c>
      <c r="T90" s="4">
        <v>0</v>
      </c>
      <c r="U90" s="4">
        <v>0.59585492227979275</v>
      </c>
      <c r="V90" s="4">
        <v>1.1834917858001308</v>
      </c>
      <c r="W90" s="4" t="e">
        <v>#DIV/0!</v>
      </c>
      <c r="Y90" s="555">
        <f t="shared" si="26"/>
        <v>57.5</v>
      </c>
      <c r="Z90" s="4">
        <f ca="1">IFERROR(VALUE(_xll.BDH(Z$4,"PX_LAST",$Q90,$Q90)),Z91)</f>
        <v>0</v>
      </c>
      <c r="AA90" s="4">
        <f ca="1">IFERROR(VALUE(_xll.BDH(AA$4,"PX_LAST",$Q90,$Q90)),AA91)</f>
        <v>0</v>
      </c>
      <c r="AB90" s="4">
        <f ca="1">IFERROR(VALUE(_xll.BDH(AB$4,"PX_LAST",$Q90,$Q90)),AB91)</f>
        <v>0</v>
      </c>
      <c r="AC90" s="4">
        <f ca="1">IFERROR(VALUE(_xll.BDH(AC$4,"PX_LAST",$Q90,$Q90)),AC91)</f>
        <v>0</v>
      </c>
      <c r="AD90" s="4">
        <f ca="1">IFERROR(VALUE(_xll.BDH(AD$4,"PX_LAST",$Q90,$Q90)),AD91)</f>
        <v>0</v>
      </c>
      <c r="AF90" s="4">
        <f t="shared" si="27"/>
        <v>0.59585492227979275</v>
      </c>
      <c r="AG90" s="4" t="e">
        <f t="shared" ca="1" si="28"/>
        <v>#DIV/0!</v>
      </c>
      <c r="AH90" s="4" t="e">
        <f t="shared" ca="1" si="29"/>
        <v>#DIV/0!</v>
      </c>
      <c r="AI90" s="4" t="e">
        <f t="shared" ca="1" si="30"/>
        <v>#DIV/0!</v>
      </c>
      <c r="AJ90" s="4" t="e">
        <f t="shared" ca="1" si="31"/>
        <v>#DIV/0!</v>
      </c>
      <c r="AK90" s="4" t="e">
        <f t="shared" ca="1" si="32"/>
        <v>#DIV/0!</v>
      </c>
      <c r="AM90" s="557">
        <f t="shared" ca="1" si="33"/>
        <v>45868</v>
      </c>
      <c r="AN90" s="558">
        <v>41.145000000000003</v>
      </c>
      <c r="AO90" s="558">
        <v>3975400</v>
      </c>
      <c r="AP90" s="558">
        <v>206.48981000000001</v>
      </c>
      <c r="AQ90" s="558">
        <v>8496.0232324500012</v>
      </c>
      <c r="AR90" s="558">
        <v>0.61</v>
      </c>
    </row>
    <row r="91" spans="2:44">
      <c r="B91" s="559">
        <f t="shared" ca="1" si="34"/>
        <v>45352</v>
      </c>
      <c r="C91" s="555">
        <f ca="1">(IFERROR(IFERROR(VALUE(_xll.BDH(C$4,"CURRENT_EV_TO_T12M_EBITDA",$B91,$B91)),VALUE(_xll.BDH(C$4,"CURRENT_EV_TO_T12M_EBITDA",$B91+1,$B91+1))),C92))</f>
        <v>0</v>
      </c>
      <c r="D91" s="555">
        <f ca="1">(IFERROR(IFERROR(VALUE(_xll.BDH(D$4,"CURRENT_EV_TO_T12M_EBITDA",$B91,$B91)),VALUE(_xll.BDH(D$4,"CURRENT_EV_TO_T12M_EBITDA",$B91+1,$B91+1))),D92))</f>
        <v>0</v>
      </c>
      <c r="E91" s="555">
        <f ca="1">(IFERROR(IFERROR(VALUE(_xll.BDH(E$4,"CURRENT_EV_TO_T12M_EBITDA",$B91,$B91)),VALUE(_xll.BDH(E$4,"CURRENT_EV_TO_T12M_EBITDA",$B91+1,$B91+1))),E92))</f>
        <v>0</v>
      </c>
      <c r="F91" s="555">
        <f ca="1">(IFERROR(IFERROR(VALUE(_xll.BDH(F$4,"CURRENT_EV_TO_T12M_EBITDA",$B91,$B91)),VALUE(_xll.BDH(F$4,"CURRENT_EV_TO_T12M_EBITDA",$B91+1,$B91+1))),F92))</f>
        <v>0</v>
      </c>
      <c r="G91" s="555">
        <f ca="1">(IFERROR(IFERROR(VALUE(_xll.BDH(G$4,"CURRENT_EV_TO_T12M_EBITDA",$B91,$B91)),VALUE(_xll.BDH(G$4,"CURRENT_EV_TO_T12M_EBITDA",$B91+1,$B91+1))),G92))</f>
        <v>0</v>
      </c>
      <c r="H91" s="555">
        <f ca="1">(IFERROR(IFERROR(VALUE(_xll.BDH(H$4,"CURRENT_EV_TO_T12M_EBITDA",$B91,$B91)),VALUE(_xll.BDH(H$4,"CURRENT_EV_TO_T12M_EBITDA",$B91+1,$B91+1))),H92))</f>
        <v>0</v>
      </c>
      <c r="I91" s="559">
        <f t="shared" ca="1" si="24"/>
        <v>45352</v>
      </c>
      <c r="J91" s="555">
        <f ca="1">(IFERROR(IFERROR(VALUE(_xll.BDH(J$4,"PE_RATIO",$B91,$B91)),VALUE(_xll.BDH(J$4,"PE_RATIO",$B91+1,$B91+1))),J92))</f>
        <v>0</v>
      </c>
      <c r="K91" s="555">
        <f ca="1">(IFERROR(IFERROR(VALUE(_xll.BDH(K$4,"PE_RATIO",$B91,$B91)),VALUE(_xll.BDH(K$4,"PE_RATIO",$B91+1,$B91+1))),K92))</f>
        <v>0</v>
      </c>
      <c r="L91" s="555">
        <f ca="1">(IFERROR(IFERROR(VALUE(_xll.BDH(L$4,"PE_RATIO",$B91,$B91)),VALUE(_xll.BDH(L$4,"PE_RATIO",$B91+1,$B91+1))),L92))</f>
        <v>0</v>
      </c>
      <c r="M91" s="555">
        <f ca="1">(IFERROR(IFERROR(VALUE(_xll.BDH(M$4,"PE_RATIO",$B91,$B91)),VALUE(_xll.BDH(M$4,"PE_RATIO",$B91+1,$B91+1))),M92))</f>
        <v>0</v>
      </c>
      <c r="N91" s="555">
        <f ca="1">(IFERROR(IFERROR(VALUE(_xll.BDH(N$4,"PE_RATIO",$B91,$B91)),VALUE(_xll.BDH(N$4,"PE_RATIO",$B91+1,$B91+1))),N92))</f>
        <v>0</v>
      </c>
      <c r="O91" s="555">
        <f ca="1">(IFERROR(IFERROR(VALUE(_xll.BDH(O$4,"PE_RATIO",$B91,$B91)),VALUE(_xll.BDH(O$4,"PE_RATIO",$B91+1,$B91+1))),O92))</f>
        <v>0</v>
      </c>
      <c r="P91" s="555"/>
      <c r="Q91" s="559">
        <f t="shared" ca="1" si="25"/>
        <v>45352</v>
      </c>
      <c r="R91" s="4">
        <v>60.66</v>
      </c>
      <c r="S91" s="4">
        <v>129294.04</v>
      </c>
      <c r="T91" s="4">
        <v>0</v>
      </c>
      <c r="U91" s="4">
        <v>0.62860103626942998</v>
      </c>
      <c r="V91" s="4">
        <v>1.193009729521247</v>
      </c>
      <c r="W91" s="4" t="e">
        <v>#DIV/0!</v>
      </c>
      <c r="Y91" s="555">
        <f t="shared" si="26"/>
        <v>60.66</v>
      </c>
      <c r="Z91" s="4">
        <f ca="1">IFERROR(VALUE(_xll.BDH(Z$4,"PX_LAST",$Q91,$Q91)),Z92)</f>
        <v>0</v>
      </c>
      <c r="AA91" s="4">
        <f ca="1">IFERROR(VALUE(_xll.BDH(AA$4,"PX_LAST",$Q91,$Q91)),AA92)</f>
        <v>0</v>
      </c>
      <c r="AB91" s="4">
        <f ca="1">IFERROR(VALUE(_xll.BDH(AB$4,"PX_LAST",$Q91,$Q91)),AB92)</f>
        <v>0</v>
      </c>
      <c r="AC91" s="4">
        <f ca="1">IFERROR(VALUE(_xll.BDH(AC$4,"PX_LAST",$Q91,$Q91)),AC92)</f>
        <v>0</v>
      </c>
      <c r="AD91" s="4">
        <f ca="1">IFERROR(VALUE(_xll.BDH(AD$4,"PX_LAST",$Q91,$Q91)),AD92)</f>
        <v>0</v>
      </c>
      <c r="AF91" s="4">
        <f t="shared" si="27"/>
        <v>0.62860103626942998</v>
      </c>
      <c r="AG91" s="4" t="e">
        <f t="shared" ca="1" si="28"/>
        <v>#DIV/0!</v>
      </c>
      <c r="AH91" s="4" t="e">
        <f t="shared" ca="1" si="29"/>
        <v>#DIV/0!</v>
      </c>
      <c r="AI91" s="4" t="e">
        <f t="shared" ca="1" si="30"/>
        <v>#DIV/0!</v>
      </c>
      <c r="AJ91" s="4" t="e">
        <f t="shared" ca="1" si="31"/>
        <v>#DIV/0!</v>
      </c>
      <c r="AK91" s="4" t="e">
        <f t="shared" ca="1" si="32"/>
        <v>#DIV/0!</v>
      </c>
      <c r="AM91" s="557">
        <f t="shared" ca="1" si="33"/>
        <v>45867</v>
      </c>
      <c r="AN91" s="558">
        <v>41.145000000000003</v>
      </c>
      <c r="AO91" s="558">
        <v>3975400</v>
      </c>
      <c r="AP91" s="558">
        <v>206.48981000000001</v>
      </c>
      <c r="AQ91" s="558">
        <v>8496.0232324500012</v>
      </c>
      <c r="AR91" s="558">
        <v>0.61</v>
      </c>
    </row>
    <row r="92" spans="2:44">
      <c r="B92" s="559">
        <f t="shared" ca="1" si="34"/>
        <v>45345</v>
      </c>
      <c r="C92" s="555">
        <f ca="1">(IFERROR(IFERROR(VALUE(_xll.BDH(C$4,"CURRENT_EV_TO_T12M_EBITDA",$B92,$B92)),VALUE(_xll.BDH(C$4,"CURRENT_EV_TO_T12M_EBITDA",$B92+1,$B92+1))),C93))</f>
        <v>0</v>
      </c>
      <c r="D92" s="555">
        <f ca="1">(IFERROR(IFERROR(VALUE(_xll.BDH(D$4,"CURRENT_EV_TO_T12M_EBITDA",$B92,$B92)),VALUE(_xll.BDH(D$4,"CURRENT_EV_TO_T12M_EBITDA",$B92+1,$B92+1))),D93))</f>
        <v>0</v>
      </c>
      <c r="E92" s="555">
        <f ca="1">(IFERROR(IFERROR(VALUE(_xll.BDH(E$4,"CURRENT_EV_TO_T12M_EBITDA",$B92,$B92)),VALUE(_xll.BDH(E$4,"CURRENT_EV_TO_T12M_EBITDA",$B92+1,$B92+1))),E93))</f>
        <v>0</v>
      </c>
      <c r="F92" s="555">
        <f ca="1">(IFERROR(IFERROR(VALUE(_xll.BDH(F$4,"CURRENT_EV_TO_T12M_EBITDA",$B92,$B92)),VALUE(_xll.BDH(F$4,"CURRENT_EV_TO_T12M_EBITDA",$B92+1,$B92+1))),F93))</f>
        <v>0</v>
      </c>
      <c r="G92" s="555">
        <f ca="1">(IFERROR(IFERROR(VALUE(_xll.BDH(G$4,"CURRENT_EV_TO_T12M_EBITDA",$B92,$B92)),VALUE(_xll.BDH(G$4,"CURRENT_EV_TO_T12M_EBITDA",$B92+1,$B92+1))),G93))</f>
        <v>0</v>
      </c>
      <c r="H92" s="555">
        <f ca="1">(IFERROR(IFERROR(VALUE(_xll.BDH(H$4,"CURRENT_EV_TO_T12M_EBITDA",$B92,$B92)),VALUE(_xll.BDH(H$4,"CURRENT_EV_TO_T12M_EBITDA",$B92+1,$B92+1))),H93))</f>
        <v>0</v>
      </c>
      <c r="I92" s="559">
        <f t="shared" ca="1" si="24"/>
        <v>45345</v>
      </c>
      <c r="J92" s="555">
        <f ca="1">(IFERROR(IFERROR(VALUE(_xll.BDH(J$4,"PE_RATIO",$B92,$B92)),VALUE(_xll.BDH(J$4,"PE_RATIO",$B92+1,$B92+1))),J93))</f>
        <v>0</v>
      </c>
      <c r="K92" s="555">
        <f ca="1">(IFERROR(IFERROR(VALUE(_xll.BDH(K$4,"PE_RATIO",$B92,$B92)),VALUE(_xll.BDH(K$4,"PE_RATIO",$B92+1,$B92+1))),K93))</f>
        <v>0</v>
      </c>
      <c r="L92" s="555">
        <f ca="1">(IFERROR(IFERROR(VALUE(_xll.BDH(L$4,"PE_RATIO",$B92,$B92)),VALUE(_xll.BDH(L$4,"PE_RATIO",$B92+1,$B92+1))),L93))</f>
        <v>0</v>
      </c>
      <c r="M92" s="555">
        <f ca="1">(IFERROR(IFERROR(VALUE(_xll.BDH(M$4,"PE_RATIO",$B92,$B92)),VALUE(_xll.BDH(M$4,"PE_RATIO",$B92+1,$B92+1))),M93))</f>
        <v>0</v>
      </c>
      <c r="N92" s="555">
        <f ca="1">(IFERROR(IFERROR(VALUE(_xll.BDH(N$4,"PE_RATIO",$B92,$B92)),VALUE(_xll.BDH(N$4,"PE_RATIO",$B92+1,$B92+1))),N93))</f>
        <v>0</v>
      </c>
      <c r="O92" s="555">
        <f ca="1">(IFERROR(IFERROR(VALUE(_xll.BDH(O$4,"PE_RATIO",$B92,$B92)),VALUE(_xll.BDH(O$4,"PE_RATIO",$B92+1,$B92+1))),O93))</f>
        <v>0</v>
      </c>
      <c r="P92" s="555"/>
      <c r="Q92" s="559">
        <f t="shared" ca="1" si="25"/>
        <v>45345</v>
      </c>
      <c r="R92" s="4">
        <v>64.03</v>
      </c>
      <c r="S92" s="4">
        <v>131446.59</v>
      </c>
      <c r="T92" s="4">
        <v>0</v>
      </c>
      <c r="U92" s="4">
        <v>0.66352331606217618</v>
      </c>
      <c r="V92" s="4">
        <v>1.2128715351642678</v>
      </c>
      <c r="W92" s="4" t="e">
        <v>#DIV/0!</v>
      </c>
      <c r="Y92" s="555">
        <f t="shared" si="26"/>
        <v>64.03</v>
      </c>
      <c r="Z92" s="4">
        <f ca="1">IFERROR(VALUE(_xll.BDH(Z$4,"PX_LAST",$Q92,$Q92)),Z93)</f>
        <v>0</v>
      </c>
      <c r="AA92" s="4">
        <f ca="1">IFERROR(VALUE(_xll.BDH(AA$4,"PX_LAST",$Q92,$Q92)),AA93)</f>
        <v>0</v>
      </c>
      <c r="AB92" s="4">
        <f ca="1">IFERROR(VALUE(_xll.BDH(AB$4,"PX_LAST",$Q92,$Q92)),AB93)</f>
        <v>0</v>
      </c>
      <c r="AC92" s="4">
        <f ca="1">IFERROR(VALUE(_xll.BDH(AC$4,"PX_LAST",$Q92,$Q92)),AC93)</f>
        <v>0</v>
      </c>
      <c r="AD92" s="4">
        <f ca="1">IFERROR(VALUE(_xll.BDH(AD$4,"PX_LAST",$Q92,$Q92)),AD93)</f>
        <v>0</v>
      </c>
      <c r="AF92" s="4">
        <f t="shared" si="27"/>
        <v>0.66352331606217618</v>
      </c>
      <c r="AG92" s="4" t="e">
        <f t="shared" ca="1" si="28"/>
        <v>#DIV/0!</v>
      </c>
      <c r="AH92" s="4" t="e">
        <f t="shared" ca="1" si="29"/>
        <v>#DIV/0!</v>
      </c>
      <c r="AI92" s="4" t="e">
        <f t="shared" ca="1" si="30"/>
        <v>#DIV/0!</v>
      </c>
      <c r="AJ92" s="4" t="e">
        <f t="shared" ca="1" si="31"/>
        <v>#DIV/0!</v>
      </c>
      <c r="AK92" s="4" t="e">
        <f t="shared" ca="1" si="32"/>
        <v>#DIV/0!</v>
      </c>
      <c r="AM92" s="557">
        <f t="shared" ca="1" si="33"/>
        <v>45866</v>
      </c>
      <c r="AN92" s="558">
        <v>41.145000000000003</v>
      </c>
      <c r="AO92" s="558">
        <v>3975400</v>
      </c>
      <c r="AP92" s="558">
        <v>206.48981000000001</v>
      </c>
      <c r="AQ92" s="558">
        <v>8496.0232324500012</v>
      </c>
      <c r="AR92" s="558">
        <v>0.61</v>
      </c>
    </row>
    <row r="93" spans="2:44">
      <c r="B93" s="559">
        <f t="shared" ca="1" si="34"/>
        <v>45338</v>
      </c>
      <c r="C93" s="555">
        <f ca="1">(IFERROR(IFERROR(VALUE(_xll.BDH(C$4,"CURRENT_EV_TO_T12M_EBITDA",$B93,$B93)),VALUE(_xll.BDH(C$4,"CURRENT_EV_TO_T12M_EBITDA",$B93+1,$B93+1))),C94))</f>
        <v>0</v>
      </c>
      <c r="D93" s="555">
        <f ca="1">(IFERROR(IFERROR(VALUE(_xll.BDH(D$4,"CURRENT_EV_TO_T12M_EBITDA",$B93,$B93)),VALUE(_xll.BDH(D$4,"CURRENT_EV_TO_T12M_EBITDA",$B93+1,$B93+1))),D94))</f>
        <v>0</v>
      </c>
      <c r="E93" s="555">
        <f ca="1">(IFERROR(IFERROR(VALUE(_xll.BDH(E$4,"CURRENT_EV_TO_T12M_EBITDA",$B93,$B93)),VALUE(_xll.BDH(E$4,"CURRENT_EV_TO_T12M_EBITDA",$B93+1,$B93+1))),E94))</f>
        <v>0</v>
      </c>
      <c r="F93" s="555">
        <f ca="1">(IFERROR(IFERROR(VALUE(_xll.BDH(F$4,"CURRENT_EV_TO_T12M_EBITDA",$B93,$B93)),VALUE(_xll.BDH(F$4,"CURRENT_EV_TO_T12M_EBITDA",$B93+1,$B93+1))),F94))</f>
        <v>0</v>
      </c>
      <c r="G93" s="555">
        <f ca="1">(IFERROR(IFERROR(VALUE(_xll.BDH(G$4,"CURRENT_EV_TO_T12M_EBITDA",$B93,$B93)),VALUE(_xll.BDH(G$4,"CURRENT_EV_TO_T12M_EBITDA",$B93+1,$B93+1))),G94))</f>
        <v>0</v>
      </c>
      <c r="H93" s="555">
        <f ca="1">(IFERROR(IFERROR(VALUE(_xll.BDH(H$4,"CURRENT_EV_TO_T12M_EBITDA",$B93,$B93)),VALUE(_xll.BDH(H$4,"CURRENT_EV_TO_T12M_EBITDA",$B93+1,$B93+1))),H94))</f>
        <v>0</v>
      </c>
      <c r="I93" s="559">
        <f t="shared" ca="1" si="24"/>
        <v>45338</v>
      </c>
      <c r="J93" s="555">
        <f ca="1">(IFERROR(IFERROR(VALUE(_xll.BDH(J$4,"PE_RATIO",$B93,$B93)),VALUE(_xll.BDH(J$4,"PE_RATIO",$B93+1,$B93+1))),J94))</f>
        <v>0</v>
      </c>
      <c r="K93" s="555">
        <f ca="1">(IFERROR(IFERROR(VALUE(_xll.BDH(K$4,"PE_RATIO",$B93,$B93)),VALUE(_xll.BDH(K$4,"PE_RATIO",$B93+1,$B93+1))),K94))</f>
        <v>0</v>
      </c>
      <c r="L93" s="555">
        <f ca="1">(IFERROR(IFERROR(VALUE(_xll.BDH(L$4,"PE_RATIO",$B93,$B93)),VALUE(_xll.BDH(L$4,"PE_RATIO",$B93+1,$B93+1))),L94))</f>
        <v>0</v>
      </c>
      <c r="M93" s="555">
        <f ca="1">(IFERROR(IFERROR(VALUE(_xll.BDH(M$4,"PE_RATIO",$B93,$B93)),VALUE(_xll.BDH(M$4,"PE_RATIO",$B93+1,$B93+1))),M94))</f>
        <v>0</v>
      </c>
      <c r="N93" s="555">
        <f ca="1">(IFERROR(IFERROR(VALUE(_xll.BDH(N$4,"PE_RATIO",$B93,$B93)),VALUE(_xll.BDH(N$4,"PE_RATIO",$B93+1,$B93+1))),N94))</f>
        <v>0</v>
      </c>
      <c r="O93" s="555">
        <f ca="1">(IFERROR(IFERROR(VALUE(_xll.BDH(O$4,"PE_RATIO",$B93,$B93)),VALUE(_xll.BDH(O$4,"PE_RATIO",$B93+1,$B93+1))),O94))</f>
        <v>0</v>
      </c>
      <c r="P93" s="555"/>
      <c r="Q93" s="559">
        <f t="shared" ca="1" si="25"/>
        <v>45338</v>
      </c>
      <c r="R93" s="4">
        <v>62.27</v>
      </c>
      <c r="S93" s="4">
        <v>132696.63</v>
      </c>
      <c r="T93" s="4">
        <v>0</v>
      </c>
      <c r="U93" s="4">
        <v>0.64528497409326424</v>
      </c>
      <c r="V93" s="4">
        <v>1.2244057859486872</v>
      </c>
      <c r="W93" s="4" t="e">
        <v>#DIV/0!</v>
      </c>
      <c r="Y93" s="555">
        <f t="shared" si="26"/>
        <v>62.27</v>
      </c>
      <c r="Z93" s="4">
        <f ca="1">IFERROR(VALUE(_xll.BDH(Z$4,"PX_LAST",$Q93,$Q93)),Z94)</f>
        <v>0</v>
      </c>
      <c r="AA93" s="4">
        <f ca="1">IFERROR(VALUE(_xll.BDH(AA$4,"PX_LAST",$Q93,$Q93)),AA94)</f>
        <v>0</v>
      </c>
      <c r="AB93" s="4">
        <f ca="1">IFERROR(VALUE(_xll.BDH(AB$4,"PX_LAST",$Q93,$Q93)),AB94)</f>
        <v>0</v>
      </c>
      <c r="AC93" s="4">
        <f ca="1">IFERROR(VALUE(_xll.BDH(AC$4,"PX_LAST",$Q93,$Q93)),AC94)</f>
        <v>0</v>
      </c>
      <c r="AD93" s="4">
        <f ca="1">IFERROR(VALUE(_xll.BDH(AD$4,"PX_LAST",$Q93,$Q93)),AD94)</f>
        <v>0</v>
      </c>
      <c r="AF93" s="4">
        <f t="shared" si="27"/>
        <v>0.64528497409326424</v>
      </c>
      <c r="AG93" s="4" t="e">
        <f t="shared" ca="1" si="28"/>
        <v>#DIV/0!</v>
      </c>
      <c r="AH93" s="4" t="e">
        <f t="shared" ca="1" si="29"/>
        <v>#DIV/0!</v>
      </c>
      <c r="AI93" s="4" t="e">
        <f t="shared" ca="1" si="30"/>
        <v>#DIV/0!</v>
      </c>
      <c r="AJ93" s="4" t="e">
        <f t="shared" ca="1" si="31"/>
        <v>#DIV/0!</v>
      </c>
      <c r="AK93" s="4" t="e">
        <f t="shared" ca="1" si="32"/>
        <v>#DIV/0!</v>
      </c>
      <c r="AM93" s="557">
        <f t="shared" ca="1" si="33"/>
        <v>45865</v>
      </c>
      <c r="AN93" s="558">
        <v>42.53</v>
      </c>
      <c r="AO93" s="558">
        <v>2987500</v>
      </c>
      <c r="AP93" s="558">
        <v>206.48981000000001</v>
      </c>
      <c r="AQ93" s="558">
        <v>8782.0116193000013</v>
      </c>
      <c r="AR93" s="558">
        <v>0.63049999999999995</v>
      </c>
    </row>
    <row r="94" spans="2:44">
      <c r="B94" s="559">
        <f t="shared" ca="1" si="34"/>
        <v>45331</v>
      </c>
      <c r="C94" s="555">
        <f ca="1">(IFERROR(IFERROR(VALUE(_xll.BDH(C$4,"CURRENT_EV_TO_T12M_EBITDA",$B94,$B94)),VALUE(_xll.BDH(C$4,"CURRENT_EV_TO_T12M_EBITDA",$B94+1,$B94+1))),C95))</f>
        <v>0</v>
      </c>
      <c r="D94" s="555">
        <f ca="1">(IFERROR(IFERROR(VALUE(_xll.BDH(D$4,"CURRENT_EV_TO_T12M_EBITDA",$B94,$B94)),VALUE(_xll.BDH(D$4,"CURRENT_EV_TO_T12M_EBITDA",$B94+1,$B94+1))),D95))</f>
        <v>0</v>
      </c>
      <c r="E94" s="555">
        <f ca="1">(IFERROR(IFERROR(VALUE(_xll.BDH(E$4,"CURRENT_EV_TO_T12M_EBITDA",$B94,$B94)),VALUE(_xll.BDH(E$4,"CURRENT_EV_TO_T12M_EBITDA",$B94+1,$B94+1))),E95))</f>
        <v>0</v>
      </c>
      <c r="F94" s="555">
        <f ca="1">(IFERROR(IFERROR(VALUE(_xll.BDH(F$4,"CURRENT_EV_TO_T12M_EBITDA",$B94,$B94)),VALUE(_xll.BDH(F$4,"CURRENT_EV_TO_T12M_EBITDA",$B94+1,$B94+1))),F95))</f>
        <v>0</v>
      </c>
      <c r="G94" s="555">
        <f ca="1">(IFERROR(IFERROR(VALUE(_xll.BDH(G$4,"CURRENT_EV_TO_T12M_EBITDA",$B94,$B94)),VALUE(_xll.BDH(G$4,"CURRENT_EV_TO_T12M_EBITDA",$B94+1,$B94+1))),G95))</f>
        <v>0</v>
      </c>
      <c r="H94" s="555">
        <f ca="1">(IFERROR(IFERROR(VALUE(_xll.BDH(H$4,"CURRENT_EV_TO_T12M_EBITDA",$B94,$B94)),VALUE(_xll.BDH(H$4,"CURRENT_EV_TO_T12M_EBITDA",$B94+1,$B94+1))),H95))</f>
        <v>0</v>
      </c>
      <c r="I94" s="559">
        <f t="shared" ca="1" si="24"/>
        <v>45331</v>
      </c>
      <c r="J94" s="555">
        <f ca="1">(IFERROR(IFERROR(VALUE(_xll.BDH(J$4,"PE_RATIO",$B94,$B94)),VALUE(_xll.BDH(J$4,"PE_RATIO",$B94+1,$B94+1))),J95))</f>
        <v>0</v>
      </c>
      <c r="K94" s="555">
        <f ca="1">(IFERROR(IFERROR(VALUE(_xll.BDH(K$4,"PE_RATIO",$B94,$B94)),VALUE(_xll.BDH(K$4,"PE_RATIO",$B94+1,$B94+1))),K95))</f>
        <v>0</v>
      </c>
      <c r="L94" s="555">
        <f ca="1">(IFERROR(IFERROR(VALUE(_xll.BDH(L$4,"PE_RATIO",$B94,$B94)),VALUE(_xll.BDH(L$4,"PE_RATIO",$B94+1,$B94+1))),L95))</f>
        <v>0</v>
      </c>
      <c r="M94" s="555">
        <f ca="1">(IFERROR(IFERROR(VALUE(_xll.BDH(M$4,"PE_RATIO",$B94,$B94)),VALUE(_xll.BDH(M$4,"PE_RATIO",$B94+1,$B94+1))),M95))</f>
        <v>0</v>
      </c>
      <c r="N94" s="555">
        <f ca="1">(IFERROR(IFERROR(VALUE(_xll.BDH(N$4,"PE_RATIO",$B94,$B94)),VALUE(_xll.BDH(N$4,"PE_RATIO",$B94+1,$B94+1))),N95))</f>
        <v>0</v>
      </c>
      <c r="O94" s="555">
        <f ca="1">(IFERROR(IFERROR(VALUE(_xll.BDH(O$4,"PE_RATIO",$B94,$B94)),VALUE(_xll.BDH(O$4,"PE_RATIO",$B94+1,$B94+1))),O95))</f>
        <v>0</v>
      </c>
      <c r="P94" s="555"/>
      <c r="Q94" s="559">
        <f t="shared" ca="1" si="25"/>
        <v>45331</v>
      </c>
      <c r="R94" s="4">
        <v>66.400000000000006</v>
      </c>
      <c r="S94" s="4">
        <v>133532.92000000001</v>
      </c>
      <c r="T94" s="4">
        <v>0</v>
      </c>
      <c r="U94" s="4">
        <v>0.68808290155440421</v>
      </c>
      <c r="V94" s="4">
        <v>1.2321223218903388</v>
      </c>
      <c r="W94" s="4" t="e">
        <v>#DIV/0!</v>
      </c>
      <c r="Y94" s="555">
        <f t="shared" si="26"/>
        <v>66.400000000000006</v>
      </c>
      <c r="Z94" s="4">
        <f ca="1">IFERROR(VALUE(_xll.BDH(Z$4,"PX_LAST",$Q94,$Q94)),Z95)</f>
        <v>0</v>
      </c>
      <c r="AA94" s="4">
        <f ca="1">IFERROR(VALUE(_xll.BDH(AA$4,"PX_LAST",$Q94,$Q94)),AA95)</f>
        <v>0</v>
      </c>
      <c r="AB94" s="4">
        <f ca="1">IFERROR(VALUE(_xll.BDH(AB$4,"PX_LAST",$Q94,$Q94)),AB95)</f>
        <v>0</v>
      </c>
      <c r="AC94" s="4">
        <f ca="1">IFERROR(VALUE(_xll.BDH(AC$4,"PX_LAST",$Q94,$Q94)),AC95)</f>
        <v>0</v>
      </c>
      <c r="AD94" s="4">
        <f ca="1">IFERROR(VALUE(_xll.BDH(AD$4,"PX_LAST",$Q94,$Q94)),AD95)</f>
        <v>0</v>
      </c>
      <c r="AF94" s="4">
        <f t="shared" si="27"/>
        <v>0.68808290155440421</v>
      </c>
      <c r="AG94" s="4" t="e">
        <f t="shared" ca="1" si="28"/>
        <v>#DIV/0!</v>
      </c>
      <c r="AH94" s="4" t="e">
        <f t="shared" ca="1" si="29"/>
        <v>#DIV/0!</v>
      </c>
      <c r="AI94" s="4" t="e">
        <f t="shared" ca="1" si="30"/>
        <v>#DIV/0!</v>
      </c>
      <c r="AJ94" s="4" t="e">
        <f t="shared" ca="1" si="31"/>
        <v>#DIV/0!</v>
      </c>
      <c r="AK94" s="4" t="e">
        <f t="shared" ca="1" si="32"/>
        <v>#DIV/0!</v>
      </c>
      <c r="AM94" s="557">
        <f t="shared" ca="1" si="33"/>
        <v>45864</v>
      </c>
      <c r="AN94" s="558">
        <v>41.795000000000002</v>
      </c>
      <c r="AO94" s="558">
        <v>3015700</v>
      </c>
      <c r="AP94" s="558">
        <v>206.48981000000001</v>
      </c>
      <c r="AQ94" s="558">
        <v>8630.2416089500002</v>
      </c>
      <c r="AR94" s="558">
        <v>0.61909999999999998</v>
      </c>
    </row>
    <row r="95" spans="2:44">
      <c r="B95" s="559">
        <f t="shared" ca="1" si="34"/>
        <v>45324</v>
      </c>
      <c r="C95" s="555">
        <f ca="1">(IFERROR(IFERROR(VALUE(_xll.BDH(C$4,"CURRENT_EV_TO_T12M_EBITDA",$B95,$B95)),VALUE(_xll.BDH(C$4,"CURRENT_EV_TO_T12M_EBITDA",$B95+1,$B95+1))),C96))</f>
        <v>0</v>
      </c>
      <c r="D95" s="555">
        <f ca="1">(IFERROR(IFERROR(VALUE(_xll.BDH(D$4,"CURRENT_EV_TO_T12M_EBITDA",$B95,$B95)),VALUE(_xll.BDH(D$4,"CURRENT_EV_TO_T12M_EBITDA",$B95+1,$B95+1))),D96))</f>
        <v>0</v>
      </c>
      <c r="E95" s="555">
        <f ca="1">(IFERROR(IFERROR(VALUE(_xll.BDH(E$4,"CURRENT_EV_TO_T12M_EBITDA",$B95,$B95)),VALUE(_xll.BDH(E$4,"CURRENT_EV_TO_T12M_EBITDA",$B95+1,$B95+1))),E96))</f>
        <v>0</v>
      </c>
      <c r="F95" s="555">
        <f ca="1">(IFERROR(IFERROR(VALUE(_xll.BDH(F$4,"CURRENT_EV_TO_T12M_EBITDA",$B95,$B95)),VALUE(_xll.BDH(F$4,"CURRENT_EV_TO_T12M_EBITDA",$B95+1,$B95+1))),F96))</f>
        <v>0</v>
      </c>
      <c r="G95" s="555">
        <f ca="1">(IFERROR(IFERROR(VALUE(_xll.BDH(G$4,"CURRENT_EV_TO_T12M_EBITDA",$B95,$B95)),VALUE(_xll.BDH(G$4,"CURRENT_EV_TO_T12M_EBITDA",$B95+1,$B95+1))),G96))</f>
        <v>0</v>
      </c>
      <c r="H95" s="555">
        <f ca="1">(IFERROR(IFERROR(VALUE(_xll.BDH(H$4,"CURRENT_EV_TO_T12M_EBITDA",$B95,$B95)),VALUE(_xll.BDH(H$4,"CURRENT_EV_TO_T12M_EBITDA",$B95+1,$B95+1))),H96))</f>
        <v>0</v>
      </c>
      <c r="I95" s="559">
        <f t="shared" ca="1" si="24"/>
        <v>45324</v>
      </c>
      <c r="J95" s="555">
        <f ca="1">(IFERROR(IFERROR(VALUE(_xll.BDH(J$4,"PE_RATIO",$B95,$B95)),VALUE(_xll.BDH(J$4,"PE_RATIO",$B95+1,$B95+1))),J96))</f>
        <v>0</v>
      </c>
      <c r="K95" s="555">
        <f ca="1">(IFERROR(IFERROR(VALUE(_xll.BDH(K$4,"PE_RATIO",$B95,$B95)),VALUE(_xll.BDH(K$4,"PE_RATIO",$B95+1,$B95+1))),K96))</f>
        <v>0</v>
      </c>
      <c r="L95" s="555">
        <f ca="1">(IFERROR(IFERROR(VALUE(_xll.BDH(L$4,"PE_RATIO",$B95,$B95)),VALUE(_xll.BDH(L$4,"PE_RATIO",$B95+1,$B95+1))),L96))</f>
        <v>0</v>
      </c>
      <c r="M95" s="555">
        <f ca="1">(IFERROR(IFERROR(VALUE(_xll.BDH(M$4,"PE_RATIO",$B95,$B95)),VALUE(_xll.BDH(M$4,"PE_RATIO",$B95+1,$B95+1))),M96))</f>
        <v>0</v>
      </c>
      <c r="N95" s="555">
        <f ca="1">(IFERROR(IFERROR(VALUE(_xll.BDH(N$4,"PE_RATIO",$B95,$B95)),VALUE(_xll.BDH(N$4,"PE_RATIO",$B95+1,$B95+1))),N96))</f>
        <v>0</v>
      </c>
      <c r="O95" s="555">
        <f ca="1">(IFERROR(IFERROR(VALUE(_xll.BDH(O$4,"PE_RATIO",$B95,$B95)),VALUE(_xll.BDH(O$4,"PE_RATIO",$B95+1,$B95+1))),O96))</f>
        <v>0</v>
      </c>
      <c r="P95" s="555"/>
      <c r="Q95" s="559">
        <f t="shared" ca="1" si="25"/>
        <v>45324</v>
      </c>
      <c r="R95" s="4">
        <v>66.47</v>
      </c>
      <c r="S95" s="4">
        <v>131850.9</v>
      </c>
      <c r="T95" s="4">
        <v>0</v>
      </c>
      <c r="U95" s="4">
        <v>0.68880829015544043</v>
      </c>
      <c r="V95" s="4">
        <v>1.2166021461324357</v>
      </c>
      <c r="W95" s="4" t="e">
        <v>#DIV/0!</v>
      </c>
      <c r="Y95" s="555">
        <f t="shared" si="26"/>
        <v>66.47</v>
      </c>
      <c r="Z95" s="4">
        <f ca="1">IFERROR(VALUE(_xll.BDH(Z$4,"PX_LAST",$Q95,$Q95)),Z96)</f>
        <v>0</v>
      </c>
      <c r="AA95" s="4">
        <f ca="1">IFERROR(VALUE(_xll.BDH(AA$4,"PX_LAST",$Q95,$Q95)),AA96)</f>
        <v>0</v>
      </c>
      <c r="AB95" s="4">
        <f ca="1">IFERROR(VALUE(_xll.BDH(AB$4,"PX_LAST",$Q95,$Q95)),AB96)</f>
        <v>0</v>
      </c>
      <c r="AC95" s="4">
        <f ca="1">IFERROR(VALUE(_xll.BDH(AC$4,"PX_LAST",$Q95,$Q95)),AC96)</f>
        <v>0</v>
      </c>
      <c r="AD95" s="4">
        <f ca="1">IFERROR(VALUE(_xll.BDH(AD$4,"PX_LAST",$Q95,$Q95)),AD96)</f>
        <v>0</v>
      </c>
      <c r="AF95" s="4">
        <f t="shared" si="27"/>
        <v>0.68880829015544043</v>
      </c>
      <c r="AG95" s="4" t="e">
        <f t="shared" ca="1" si="28"/>
        <v>#DIV/0!</v>
      </c>
      <c r="AH95" s="4" t="e">
        <f t="shared" ca="1" si="29"/>
        <v>#DIV/0!</v>
      </c>
      <c r="AI95" s="4" t="e">
        <f t="shared" ca="1" si="30"/>
        <v>#DIV/0!</v>
      </c>
      <c r="AJ95" s="4" t="e">
        <f t="shared" ca="1" si="31"/>
        <v>#DIV/0!</v>
      </c>
      <c r="AK95" s="4" t="e">
        <f t="shared" ca="1" si="32"/>
        <v>#DIV/0!</v>
      </c>
      <c r="AM95" s="557">
        <f t="shared" ca="1" si="33"/>
        <v>45863</v>
      </c>
      <c r="AN95" s="558">
        <v>42.844999999999999</v>
      </c>
      <c r="AO95" s="558">
        <v>3549900</v>
      </c>
      <c r="AP95" s="558">
        <v>206.48981000000001</v>
      </c>
      <c r="AQ95" s="558">
        <v>8847.0559094500004</v>
      </c>
      <c r="AR95" s="558">
        <v>0.63549999999999995</v>
      </c>
    </row>
    <row r="96" spans="2:44">
      <c r="B96" s="559">
        <f t="shared" ca="1" si="34"/>
        <v>45317</v>
      </c>
      <c r="C96" s="555">
        <f ca="1">(IFERROR(IFERROR(VALUE(_xll.BDH(C$4,"CURRENT_EV_TO_T12M_EBITDA",$B96,$B96)),VALUE(_xll.BDH(C$4,"CURRENT_EV_TO_T12M_EBITDA",$B96+1,$B96+1))),C97))</f>
        <v>0</v>
      </c>
      <c r="D96" s="555">
        <f ca="1">(IFERROR(IFERROR(VALUE(_xll.BDH(D$4,"CURRENT_EV_TO_T12M_EBITDA",$B96,$B96)),VALUE(_xll.BDH(D$4,"CURRENT_EV_TO_T12M_EBITDA",$B96+1,$B96+1))),D97))</f>
        <v>0</v>
      </c>
      <c r="E96" s="555">
        <f ca="1">(IFERROR(IFERROR(VALUE(_xll.BDH(E$4,"CURRENT_EV_TO_T12M_EBITDA",$B96,$B96)),VALUE(_xll.BDH(E$4,"CURRENT_EV_TO_T12M_EBITDA",$B96+1,$B96+1))),E97))</f>
        <v>0</v>
      </c>
      <c r="F96" s="555">
        <f ca="1">(IFERROR(IFERROR(VALUE(_xll.BDH(F$4,"CURRENT_EV_TO_T12M_EBITDA",$B96,$B96)),VALUE(_xll.BDH(F$4,"CURRENT_EV_TO_T12M_EBITDA",$B96+1,$B96+1))),F97))</f>
        <v>0</v>
      </c>
      <c r="G96" s="555">
        <f ca="1">(IFERROR(IFERROR(VALUE(_xll.BDH(G$4,"CURRENT_EV_TO_T12M_EBITDA",$B96,$B96)),VALUE(_xll.BDH(G$4,"CURRENT_EV_TO_T12M_EBITDA",$B96+1,$B96+1))),G97))</f>
        <v>0</v>
      </c>
      <c r="H96" s="555">
        <f ca="1">(IFERROR(IFERROR(VALUE(_xll.BDH(H$4,"CURRENT_EV_TO_T12M_EBITDA",$B96,$B96)),VALUE(_xll.BDH(H$4,"CURRENT_EV_TO_T12M_EBITDA",$B96+1,$B96+1))),H97))</f>
        <v>0</v>
      </c>
      <c r="I96" s="559">
        <f t="shared" ca="1" si="24"/>
        <v>45317</v>
      </c>
      <c r="J96" s="555">
        <f ca="1">(IFERROR(IFERROR(VALUE(_xll.BDH(J$4,"PE_RATIO",$B96,$B96)),VALUE(_xll.BDH(J$4,"PE_RATIO",$B96+1,$B96+1))),J97))</f>
        <v>0</v>
      </c>
      <c r="K96" s="555">
        <f ca="1">(IFERROR(IFERROR(VALUE(_xll.BDH(K$4,"PE_RATIO",$B96,$B96)),VALUE(_xll.BDH(K$4,"PE_RATIO",$B96+1,$B96+1))),K97))</f>
        <v>0</v>
      </c>
      <c r="L96" s="555">
        <f ca="1">(IFERROR(IFERROR(VALUE(_xll.BDH(L$4,"PE_RATIO",$B96,$B96)),VALUE(_xll.BDH(L$4,"PE_RATIO",$B96+1,$B96+1))),L97))</f>
        <v>0</v>
      </c>
      <c r="M96" s="555">
        <f ca="1">(IFERROR(IFERROR(VALUE(_xll.BDH(M$4,"PE_RATIO",$B96,$B96)),VALUE(_xll.BDH(M$4,"PE_RATIO",$B96+1,$B96+1))),M97))</f>
        <v>0</v>
      </c>
      <c r="N96" s="555">
        <f ca="1">(IFERROR(IFERROR(VALUE(_xll.BDH(N$4,"PE_RATIO",$B96,$B96)),VALUE(_xll.BDH(N$4,"PE_RATIO",$B96+1,$B96+1))),N97))</f>
        <v>0</v>
      </c>
      <c r="O96" s="555">
        <f ca="1">(IFERROR(IFERROR(VALUE(_xll.BDH(O$4,"PE_RATIO",$B96,$B96)),VALUE(_xll.BDH(O$4,"PE_RATIO",$B96+1,$B96+1))),O97))</f>
        <v>0</v>
      </c>
      <c r="P96" s="555"/>
      <c r="Q96" s="559">
        <f t="shared" ca="1" si="25"/>
        <v>45317</v>
      </c>
      <c r="R96" s="4">
        <v>64.900000000000006</v>
      </c>
      <c r="S96" s="4">
        <v>126403.03</v>
      </c>
      <c r="T96" s="4">
        <v>0</v>
      </c>
      <c r="U96" s="4">
        <v>0.67253886010362696</v>
      </c>
      <c r="V96" s="4">
        <v>1.1663340756539595</v>
      </c>
      <c r="W96" s="4" t="e">
        <v>#DIV/0!</v>
      </c>
      <c r="Y96" s="555">
        <f t="shared" si="26"/>
        <v>64.900000000000006</v>
      </c>
      <c r="Z96" s="4">
        <f ca="1">IFERROR(VALUE(_xll.BDH(Z$4,"PX_LAST",$Q96,$Q96)),Z97)</f>
        <v>0</v>
      </c>
      <c r="AA96" s="4">
        <f ca="1">IFERROR(VALUE(_xll.BDH(AA$4,"PX_LAST",$Q96,$Q96)),AA97)</f>
        <v>0</v>
      </c>
      <c r="AB96" s="4">
        <f ca="1">IFERROR(VALUE(_xll.BDH(AB$4,"PX_LAST",$Q96,$Q96)),AB97)</f>
        <v>0</v>
      </c>
      <c r="AC96" s="4">
        <f ca="1">IFERROR(VALUE(_xll.BDH(AC$4,"PX_LAST",$Q96,$Q96)),AC97)</f>
        <v>0</v>
      </c>
      <c r="AD96" s="4">
        <f ca="1">IFERROR(VALUE(_xll.BDH(AD$4,"PX_LAST",$Q96,$Q96)),AD97)</f>
        <v>0</v>
      </c>
      <c r="AF96" s="4">
        <f t="shared" si="27"/>
        <v>0.67253886010362696</v>
      </c>
      <c r="AG96" s="4" t="e">
        <f t="shared" ca="1" si="28"/>
        <v>#DIV/0!</v>
      </c>
      <c r="AH96" s="4" t="e">
        <f t="shared" ca="1" si="29"/>
        <v>#DIV/0!</v>
      </c>
      <c r="AI96" s="4" t="e">
        <f t="shared" ca="1" si="30"/>
        <v>#DIV/0!</v>
      </c>
      <c r="AJ96" s="4" t="e">
        <f t="shared" ca="1" si="31"/>
        <v>#DIV/0!</v>
      </c>
      <c r="AK96" s="4" t="e">
        <f t="shared" ca="1" si="32"/>
        <v>#DIV/0!</v>
      </c>
      <c r="AM96" s="557">
        <f t="shared" ca="1" si="33"/>
        <v>45862</v>
      </c>
      <c r="AN96" s="558">
        <v>42.204999999999998</v>
      </c>
      <c r="AO96" s="558">
        <v>3098400</v>
      </c>
      <c r="AP96" s="558">
        <v>206.48981000000001</v>
      </c>
      <c r="AQ96" s="558">
        <v>8714.902431049999</v>
      </c>
      <c r="AR96" s="558">
        <v>0.62590000000000001</v>
      </c>
    </row>
    <row r="97" spans="2:44">
      <c r="B97" s="559">
        <f t="shared" ca="1" si="34"/>
        <v>45310</v>
      </c>
      <c r="C97" s="555">
        <f ca="1">(IFERROR(IFERROR(VALUE(_xll.BDH(C$4,"CURRENT_EV_TO_T12M_EBITDA",$B97,$B97)),VALUE(_xll.BDH(C$4,"CURRENT_EV_TO_T12M_EBITDA",$B97+1,$B97+1))),C98))</f>
        <v>0</v>
      </c>
      <c r="D97" s="555">
        <f ca="1">(IFERROR(IFERROR(VALUE(_xll.BDH(D$4,"CURRENT_EV_TO_T12M_EBITDA",$B97,$B97)),VALUE(_xll.BDH(D$4,"CURRENT_EV_TO_T12M_EBITDA",$B97+1,$B97+1))),D98))</f>
        <v>0</v>
      </c>
      <c r="E97" s="555">
        <f ca="1">(IFERROR(IFERROR(VALUE(_xll.BDH(E$4,"CURRENT_EV_TO_T12M_EBITDA",$B97,$B97)),VALUE(_xll.BDH(E$4,"CURRENT_EV_TO_T12M_EBITDA",$B97+1,$B97+1))),E98))</f>
        <v>0</v>
      </c>
      <c r="F97" s="555">
        <f ca="1">(IFERROR(IFERROR(VALUE(_xll.BDH(F$4,"CURRENT_EV_TO_T12M_EBITDA",$B97,$B97)),VALUE(_xll.BDH(F$4,"CURRENT_EV_TO_T12M_EBITDA",$B97+1,$B97+1))),F98))</f>
        <v>0</v>
      </c>
      <c r="G97" s="555">
        <f ca="1">(IFERROR(IFERROR(VALUE(_xll.BDH(G$4,"CURRENT_EV_TO_T12M_EBITDA",$B97,$B97)),VALUE(_xll.BDH(G$4,"CURRENT_EV_TO_T12M_EBITDA",$B97+1,$B97+1))),G98))</f>
        <v>0</v>
      </c>
      <c r="H97" s="555">
        <f ca="1">(IFERROR(IFERROR(VALUE(_xll.BDH(H$4,"CURRENT_EV_TO_T12M_EBITDA",$B97,$B97)),VALUE(_xll.BDH(H$4,"CURRENT_EV_TO_T12M_EBITDA",$B97+1,$B97+1))),H98))</f>
        <v>0</v>
      </c>
      <c r="I97" s="559">
        <f t="shared" ca="1" si="24"/>
        <v>45310</v>
      </c>
      <c r="J97" s="555">
        <f ca="1">(IFERROR(IFERROR(VALUE(_xll.BDH(J$4,"PE_RATIO",$B97,$B97)),VALUE(_xll.BDH(J$4,"PE_RATIO",$B97+1,$B97+1))),J98))</f>
        <v>0</v>
      </c>
      <c r="K97" s="555">
        <f ca="1">(IFERROR(IFERROR(VALUE(_xll.BDH(K$4,"PE_RATIO",$B97,$B97)),VALUE(_xll.BDH(K$4,"PE_RATIO",$B97+1,$B97+1))),K98))</f>
        <v>0</v>
      </c>
      <c r="L97" s="555">
        <f ca="1">(IFERROR(IFERROR(VALUE(_xll.BDH(L$4,"PE_RATIO",$B97,$B97)),VALUE(_xll.BDH(L$4,"PE_RATIO",$B97+1,$B97+1))),L98))</f>
        <v>0</v>
      </c>
      <c r="M97" s="555">
        <f ca="1">(IFERROR(IFERROR(VALUE(_xll.BDH(M$4,"PE_RATIO",$B97,$B97)),VALUE(_xll.BDH(M$4,"PE_RATIO",$B97+1,$B97+1))),M98))</f>
        <v>0</v>
      </c>
      <c r="N97" s="555">
        <f ca="1">(IFERROR(IFERROR(VALUE(_xll.BDH(N$4,"PE_RATIO",$B97,$B97)),VALUE(_xll.BDH(N$4,"PE_RATIO",$B97+1,$B97+1))),N98))</f>
        <v>0</v>
      </c>
      <c r="O97" s="555">
        <f ca="1">(IFERROR(IFERROR(VALUE(_xll.BDH(O$4,"PE_RATIO",$B97,$B97)),VALUE(_xll.BDH(O$4,"PE_RATIO",$B97+1,$B97+1))),O98))</f>
        <v>0</v>
      </c>
      <c r="P97" s="555"/>
      <c r="Q97" s="559">
        <f t="shared" ca="1" si="25"/>
        <v>45310</v>
      </c>
      <c r="R97" s="4">
        <v>59.69</v>
      </c>
      <c r="S97" s="4">
        <v>126903.25</v>
      </c>
      <c r="T97" s="4">
        <v>0</v>
      </c>
      <c r="U97" s="4">
        <v>0.61854922279792746</v>
      </c>
      <c r="V97" s="4">
        <v>1.1709496582972208</v>
      </c>
      <c r="W97" s="4" t="e">
        <v>#DIV/0!</v>
      </c>
      <c r="Y97" s="555">
        <f t="shared" si="26"/>
        <v>59.69</v>
      </c>
      <c r="Z97" s="4">
        <f ca="1">IFERROR(VALUE(_xll.BDH(Z$4,"PX_LAST",$Q97,$Q97)),Z98)</f>
        <v>0</v>
      </c>
      <c r="AA97" s="4">
        <f ca="1">IFERROR(VALUE(_xll.BDH(AA$4,"PX_LAST",$Q97,$Q97)),AA98)</f>
        <v>0</v>
      </c>
      <c r="AB97" s="4">
        <f ca="1">IFERROR(VALUE(_xll.BDH(AB$4,"PX_LAST",$Q97,$Q97)),AB98)</f>
        <v>0</v>
      </c>
      <c r="AC97" s="4">
        <f ca="1">IFERROR(VALUE(_xll.BDH(AC$4,"PX_LAST",$Q97,$Q97)),AC98)</f>
        <v>0</v>
      </c>
      <c r="AD97" s="4">
        <f ca="1">IFERROR(VALUE(_xll.BDH(AD$4,"PX_LAST",$Q97,$Q97)),AD98)</f>
        <v>0</v>
      </c>
      <c r="AF97" s="4">
        <f t="shared" si="27"/>
        <v>0.61854922279792746</v>
      </c>
      <c r="AG97" s="4" t="e">
        <f t="shared" ca="1" si="28"/>
        <v>#DIV/0!</v>
      </c>
      <c r="AH97" s="4" t="e">
        <f t="shared" ca="1" si="29"/>
        <v>#DIV/0!</v>
      </c>
      <c r="AI97" s="4" t="e">
        <f t="shared" ca="1" si="30"/>
        <v>#DIV/0!</v>
      </c>
      <c r="AJ97" s="4" t="e">
        <f t="shared" ca="1" si="31"/>
        <v>#DIV/0!</v>
      </c>
      <c r="AK97" s="4" t="e">
        <f t="shared" ca="1" si="32"/>
        <v>#DIV/0!</v>
      </c>
      <c r="AM97" s="557">
        <f t="shared" ca="1" si="33"/>
        <v>45861</v>
      </c>
      <c r="AN97" s="558">
        <v>42.78</v>
      </c>
      <c r="AO97" s="558">
        <v>5855000</v>
      </c>
      <c r="AP97" s="558">
        <v>206.48981000000001</v>
      </c>
      <c r="AQ97" s="558">
        <v>8833.634071800001</v>
      </c>
      <c r="AR97" s="558">
        <v>0.63460000000000005</v>
      </c>
    </row>
    <row r="98" spans="2:44">
      <c r="B98" s="559">
        <f t="shared" ca="1" si="34"/>
        <v>45303</v>
      </c>
      <c r="C98" s="555">
        <f ca="1">(IFERROR(IFERROR(VALUE(_xll.BDH(C$4,"CURRENT_EV_TO_T12M_EBITDA",$B98,$B98)),VALUE(_xll.BDH(C$4,"CURRENT_EV_TO_T12M_EBITDA",$B98+1,$B98+1))),C99))</f>
        <v>0</v>
      </c>
      <c r="D98" s="555">
        <f ca="1">(IFERROR(IFERROR(VALUE(_xll.BDH(D$4,"CURRENT_EV_TO_T12M_EBITDA",$B98,$B98)),VALUE(_xll.BDH(D$4,"CURRENT_EV_TO_T12M_EBITDA",$B98+1,$B98+1))),D99))</f>
        <v>0</v>
      </c>
      <c r="E98" s="555">
        <f ca="1">(IFERROR(IFERROR(VALUE(_xll.BDH(E$4,"CURRENT_EV_TO_T12M_EBITDA",$B98,$B98)),VALUE(_xll.BDH(E$4,"CURRENT_EV_TO_T12M_EBITDA",$B98+1,$B98+1))),E99))</f>
        <v>0</v>
      </c>
      <c r="F98" s="555">
        <f ca="1">(IFERROR(IFERROR(VALUE(_xll.BDH(F$4,"CURRENT_EV_TO_T12M_EBITDA",$B98,$B98)),VALUE(_xll.BDH(F$4,"CURRENT_EV_TO_T12M_EBITDA",$B98+1,$B98+1))),F99))</f>
        <v>0</v>
      </c>
      <c r="G98" s="555">
        <f ca="1">(IFERROR(IFERROR(VALUE(_xll.BDH(G$4,"CURRENT_EV_TO_T12M_EBITDA",$B98,$B98)),VALUE(_xll.BDH(G$4,"CURRENT_EV_TO_T12M_EBITDA",$B98+1,$B98+1))),G99))</f>
        <v>0</v>
      </c>
      <c r="H98" s="555">
        <f ca="1">(IFERROR(IFERROR(VALUE(_xll.BDH(H$4,"CURRENT_EV_TO_T12M_EBITDA",$B98,$B98)),VALUE(_xll.BDH(H$4,"CURRENT_EV_TO_T12M_EBITDA",$B98+1,$B98+1))),H99))</f>
        <v>0</v>
      </c>
      <c r="I98" s="559">
        <f t="shared" ca="1" si="24"/>
        <v>45303</v>
      </c>
      <c r="J98" s="555">
        <f ca="1">(IFERROR(IFERROR(VALUE(_xll.BDH(J$4,"PE_RATIO",$B98,$B98)),VALUE(_xll.BDH(J$4,"PE_RATIO",$B98+1,$B98+1))),J99))</f>
        <v>0</v>
      </c>
      <c r="K98" s="555">
        <f ca="1">(IFERROR(IFERROR(VALUE(_xll.BDH(K$4,"PE_RATIO",$B98,$B98)),VALUE(_xll.BDH(K$4,"PE_RATIO",$B98+1,$B98+1))),K99))</f>
        <v>0</v>
      </c>
      <c r="L98" s="555">
        <f ca="1">(IFERROR(IFERROR(VALUE(_xll.BDH(L$4,"PE_RATIO",$B98,$B98)),VALUE(_xll.BDH(L$4,"PE_RATIO",$B98+1,$B98+1))),L99))</f>
        <v>0</v>
      </c>
      <c r="M98" s="555">
        <f ca="1">(IFERROR(IFERROR(VALUE(_xll.BDH(M$4,"PE_RATIO",$B98,$B98)),VALUE(_xll.BDH(M$4,"PE_RATIO",$B98+1,$B98+1))),M99))</f>
        <v>0</v>
      </c>
      <c r="N98" s="555">
        <f ca="1">(IFERROR(IFERROR(VALUE(_xll.BDH(N$4,"PE_RATIO",$B98,$B98)),VALUE(_xll.BDH(N$4,"PE_RATIO",$B98+1,$B98+1))),N99))</f>
        <v>0</v>
      </c>
      <c r="O98" s="555">
        <f ca="1">(IFERROR(IFERROR(VALUE(_xll.BDH(O$4,"PE_RATIO",$B98,$B98)),VALUE(_xll.BDH(O$4,"PE_RATIO",$B98+1,$B98+1))),O99))</f>
        <v>0</v>
      </c>
      <c r="P98" s="555"/>
      <c r="Q98" s="559">
        <f t="shared" ca="1" si="25"/>
        <v>45303</v>
      </c>
      <c r="R98" s="4">
        <v>60.8</v>
      </c>
      <c r="S98" s="4">
        <v>126538.32</v>
      </c>
      <c r="T98" s="4">
        <v>0</v>
      </c>
      <c r="U98" s="4">
        <v>0.63005181347150252</v>
      </c>
      <c r="V98" s="4">
        <v>1.1675824107381361</v>
      </c>
      <c r="W98" s="4" t="e">
        <v>#DIV/0!</v>
      </c>
      <c r="Y98" s="555">
        <f t="shared" si="26"/>
        <v>60.8</v>
      </c>
      <c r="Z98" s="4">
        <f ca="1">IFERROR(VALUE(_xll.BDH(Z$4,"PX_LAST",$Q98,$Q98)),Z99)</f>
        <v>0</v>
      </c>
      <c r="AA98" s="4">
        <f ca="1">IFERROR(VALUE(_xll.BDH(AA$4,"PX_LAST",$Q98,$Q98)),AA99)</f>
        <v>0</v>
      </c>
      <c r="AB98" s="4">
        <f ca="1">IFERROR(VALUE(_xll.BDH(AB$4,"PX_LAST",$Q98,$Q98)),AB99)</f>
        <v>0</v>
      </c>
      <c r="AC98" s="4">
        <f ca="1">IFERROR(VALUE(_xll.BDH(AC$4,"PX_LAST",$Q98,$Q98)),AC99)</f>
        <v>0</v>
      </c>
      <c r="AD98" s="4">
        <f ca="1">IFERROR(VALUE(_xll.BDH(AD$4,"PX_LAST",$Q98,$Q98)),AD99)</f>
        <v>0</v>
      </c>
      <c r="AF98" s="4">
        <f t="shared" si="27"/>
        <v>0.63005181347150252</v>
      </c>
      <c r="AG98" s="4" t="e">
        <f t="shared" ca="1" si="28"/>
        <v>#DIV/0!</v>
      </c>
      <c r="AH98" s="4" t="e">
        <f t="shared" ca="1" si="29"/>
        <v>#DIV/0!</v>
      </c>
      <c r="AI98" s="4" t="e">
        <f t="shared" ca="1" si="30"/>
        <v>#DIV/0!</v>
      </c>
      <c r="AJ98" s="4" t="e">
        <f t="shared" ca="1" si="31"/>
        <v>#DIV/0!</v>
      </c>
      <c r="AK98" s="4" t="e">
        <f t="shared" ca="1" si="32"/>
        <v>#DIV/0!</v>
      </c>
      <c r="AM98" s="557">
        <f t="shared" ca="1" si="33"/>
        <v>45860</v>
      </c>
      <c r="AN98" s="558">
        <v>42.78</v>
      </c>
      <c r="AO98" s="558">
        <v>5855000</v>
      </c>
      <c r="AP98" s="558">
        <v>206.48981000000001</v>
      </c>
      <c r="AQ98" s="558">
        <v>8833.634071800001</v>
      </c>
      <c r="AR98" s="558">
        <v>0.63460000000000005</v>
      </c>
    </row>
    <row r="99" spans="2:44">
      <c r="B99" s="559">
        <f t="shared" ca="1" si="34"/>
        <v>45296</v>
      </c>
      <c r="C99" s="555">
        <f ca="1">(IFERROR(IFERROR(VALUE(_xll.BDH(C$4,"CURRENT_EV_TO_T12M_EBITDA",$B99,$B99)),VALUE(_xll.BDH(C$4,"CURRENT_EV_TO_T12M_EBITDA",$B99+1,$B99+1))),C100))</f>
        <v>0</v>
      </c>
      <c r="D99" s="555">
        <f ca="1">(IFERROR(IFERROR(VALUE(_xll.BDH(D$4,"CURRENT_EV_TO_T12M_EBITDA",$B99,$B99)),VALUE(_xll.BDH(D$4,"CURRENT_EV_TO_T12M_EBITDA",$B99+1,$B99+1))),D100))</f>
        <v>0</v>
      </c>
      <c r="E99" s="555">
        <f ca="1">(IFERROR(IFERROR(VALUE(_xll.BDH(E$4,"CURRENT_EV_TO_T12M_EBITDA",$B99,$B99)),VALUE(_xll.BDH(E$4,"CURRENT_EV_TO_T12M_EBITDA",$B99+1,$B99+1))),E100))</f>
        <v>0</v>
      </c>
      <c r="F99" s="555">
        <f ca="1">(IFERROR(IFERROR(VALUE(_xll.BDH(F$4,"CURRENT_EV_TO_T12M_EBITDA",$B99,$B99)),VALUE(_xll.BDH(F$4,"CURRENT_EV_TO_T12M_EBITDA",$B99+1,$B99+1))),F100))</f>
        <v>0</v>
      </c>
      <c r="G99" s="555">
        <f ca="1">(IFERROR(IFERROR(VALUE(_xll.BDH(G$4,"CURRENT_EV_TO_T12M_EBITDA",$B99,$B99)),VALUE(_xll.BDH(G$4,"CURRENT_EV_TO_T12M_EBITDA",$B99+1,$B99+1))),G100))</f>
        <v>0</v>
      </c>
      <c r="H99" s="555">
        <f ca="1">(IFERROR(IFERROR(VALUE(_xll.BDH(H$4,"CURRENT_EV_TO_T12M_EBITDA",$B99,$B99)),VALUE(_xll.BDH(H$4,"CURRENT_EV_TO_T12M_EBITDA",$B99+1,$B99+1))),H100))</f>
        <v>0</v>
      </c>
      <c r="I99" s="559">
        <f t="shared" ca="1" si="24"/>
        <v>45296</v>
      </c>
      <c r="J99" s="555">
        <f ca="1">(IFERROR(IFERROR(VALUE(_xll.BDH(J$4,"PE_RATIO",$B99,$B99)),VALUE(_xll.BDH(J$4,"PE_RATIO",$B99+1,$B99+1))),J100))</f>
        <v>0</v>
      </c>
      <c r="K99" s="555">
        <f ca="1">(IFERROR(IFERROR(VALUE(_xll.BDH(K$4,"PE_RATIO",$B99,$B99)),VALUE(_xll.BDH(K$4,"PE_RATIO",$B99+1,$B99+1))),K100))</f>
        <v>0</v>
      </c>
      <c r="L99" s="555">
        <f ca="1">(IFERROR(IFERROR(VALUE(_xll.BDH(L$4,"PE_RATIO",$B99,$B99)),VALUE(_xll.BDH(L$4,"PE_RATIO",$B99+1,$B99+1))),L100))</f>
        <v>0</v>
      </c>
      <c r="M99" s="555">
        <f ca="1">(IFERROR(IFERROR(VALUE(_xll.BDH(M$4,"PE_RATIO",$B99,$B99)),VALUE(_xll.BDH(M$4,"PE_RATIO",$B99+1,$B99+1))),M100))</f>
        <v>0</v>
      </c>
      <c r="N99" s="555">
        <f ca="1">(IFERROR(IFERROR(VALUE(_xll.BDH(N$4,"PE_RATIO",$B99,$B99)),VALUE(_xll.BDH(N$4,"PE_RATIO",$B99+1,$B99+1))),N100))</f>
        <v>0</v>
      </c>
      <c r="O99" s="555">
        <f ca="1">(IFERROR(IFERROR(VALUE(_xll.BDH(O$4,"PE_RATIO",$B99,$B99)),VALUE(_xll.BDH(O$4,"PE_RATIO",$B99+1,$B99+1))),O100))</f>
        <v>0</v>
      </c>
      <c r="P99" s="555"/>
      <c r="Q99" s="559">
        <f t="shared" ca="1" si="25"/>
        <v>45296</v>
      </c>
      <c r="R99" s="4">
        <v>61.17</v>
      </c>
      <c r="S99" s="4">
        <v>125626.03</v>
      </c>
      <c r="T99" s="4">
        <v>0</v>
      </c>
      <c r="U99" s="4">
        <v>0.63388601036269432</v>
      </c>
      <c r="V99" s="4">
        <v>1.1591646147891121</v>
      </c>
      <c r="W99" s="4" t="e">
        <v>#DIV/0!</v>
      </c>
      <c r="Y99" s="555">
        <f t="shared" si="26"/>
        <v>61.17</v>
      </c>
      <c r="Z99" s="4">
        <f ca="1">IFERROR(VALUE(_xll.BDH(Z$4,"PX_LAST",$Q99,$Q99)),Z100)</f>
        <v>0</v>
      </c>
      <c r="AA99" s="4">
        <f ca="1">IFERROR(VALUE(_xll.BDH(AA$4,"PX_LAST",$Q99,$Q99)),AA100)</f>
        <v>0</v>
      </c>
      <c r="AB99" s="4">
        <f ca="1">IFERROR(VALUE(_xll.BDH(AB$4,"PX_LAST",$Q99,$Q99)),AB100)</f>
        <v>0</v>
      </c>
      <c r="AC99" s="4">
        <f ca="1">IFERROR(VALUE(_xll.BDH(AC$4,"PX_LAST",$Q99,$Q99)),AC100)</f>
        <v>0</v>
      </c>
      <c r="AD99" s="4">
        <f ca="1">IFERROR(VALUE(_xll.BDH(AD$4,"PX_LAST",$Q99,$Q99)),AD100)</f>
        <v>0</v>
      </c>
      <c r="AF99" s="4">
        <f t="shared" si="27"/>
        <v>0.63388601036269432</v>
      </c>
      <c r="AG99" s="4" t="e">
        <f t="shared" ca="1" si="28"/>
        <v>#DIV/0!</v>
      </c>
      <c r="AH99" s="4" t="e">
        <f t="shared" ca="1" si="29"/>
        <v>#DIV/0!</v>
      </c>
      <c r="AI99" s="4" t="e">
        <f t="shared" ca="1" si="30"/>
        <v>#DIV/0!</v>
      </c>
      <c r="AJ99" s="4" t="e">
        <f t="shared" ca="1" si="31"/>
        <v>#DIV/0!</v>
      </c>
      <c r="AK99" s="4" t="e">
        <f t="shared" ca="1" si="32"/>
        <v>#DIV/0!</v>
      </c>
      <c r="AM99" s="557">
        <f t="shared" ca="1" si="33"/>
        <v>45859</v>
      </c>
      <c r="AN99" s="558">
        <v>42.78</v>
      </c>
      <c r="AO99" s="558">
        <v>5855000</v>
      </c>
      <c r="AP99" s="558">
        <v>206.48981000000001</v>
      </c>
      <c r="AQ99" s="558">
        <v>8833.634071800001</v>
      </c>
      <c r="AR99" s="558">
        <v>0.63460000000000005</v>
      </c>
    </row>
    <row r="100" spans="2:44">
      <c r="B100" s="559">
        <f t="shared" ca="1" si="34"/>
        <v>45289</v>
      </c>
      <c r="C100" s="555">
        <f ca="1">(IFERROR(IFERROR(VALUE(_xll.BDH(C$4,"CURRENT_EV_TO_T12M_EBITDA",$B100,$B100)),VALUE(_xll.BDH(C$4,"CURRENT_EV_TO_T12M_EBITDA",$B100+1,$B100+1))),C101))</f>
        <v>0</v>
      </c>
      <c r="D100" s="555">
        <f ca="1">(IFERROR(IFERROR(VALUE(_xll.BDH(D$4,"CURRENT_EV_TO_T12M_EBITDA",$B100,$B100)),VALUE(_xll.BDH(D$4,"CURRENT_EV_TO_T12M_EBITDA",$B100+1,$B100+1))),D101))</f>
        <v>0</v>
      </c>
      <c r="E100" s="555">
        <f ca="1">(IFERROR(IFERROR(VALUE(_xll.BDH(E$4,"CURRENT_EV_TO_T12M_EBITDA",$B100,$B100)),VALUE(_xll.BDH(E$4,"CURRENT_EV_TO_T12M_EBITDA",$B100+1,$B100+1))),E101))</f>
        <v>0</v>
      </c>
      <c r="F100" s="555">
        <f ca="1">(IFERROR(IFERROR(VALUE(_xll.BDH(F$4,"CURRENT_EV_TO_T12M_EBITDA",$B100,$B100)),VALUE(_xll.BDH(F$4,"CURRENT_EV_TO_T12M_EBITDA",$B100+1,$B100+1))),F101))</f>
        <v>0</v>
      </c>
      <c r="G100" s="555">
        <f ca="1">(IFERROR(IFERROR(VALUE(_xll.BDH(G$4,"CURRENT_EV_TO_T12M_EBITDA",$B100,$B100)),VALUE(_xll.BDH(G$4,"CURRENT_EV_TO_T12M_EBITDA",$B100+1,$B100+1))),G101))</f>
        <v>0</v>
      </c>
      <c r="H100" s="555">
        <f ca="1">(IFERROR(IFERROR(VALUE(_xll.BDH(H$4,"CURRENT_EV_TO_T12M_EBITDA",$B100,$B100)),VALUE(_xll.BDH(H$4,"CURRENT_EV_TO_T12M_EBITDA",$B100+1,$B100+1))),H101))</f>
        <v>0</v>
      </c>
      <c r="I100" s="559">
        <f t="shared" ca="1" si="24"/>
        <v>45289</v>
      </c>
      <c r="J100" s="555">
        <f ca="1">(IFERROR(IFERROR(VALUE(_xll.BDH(J$4,"PE_RATIO",$B100,$B100)),VALUE(_xll.BDH(J$4,"PE_RATIO",$B100+1,$B100+1))),J101))</f>
        <v>0</v>
      </c>
      <c r="K100" s="555">
        <f ca="1">(IFERROR(IFERROR(VALUE(_xll.BDH(K$4,"PE_RATIO",$B100,$B100)),VALUE(_xll.BDH(K$4,"PE_RATIO",$B100+1,$B100+1))),K101))</f>
        <v>0</v>
      </c>
      <c r="L100" s="555">
        <f ca="1">(IFERROR(IFERROR(VALUE(_xll.BDH(L$4,"PE_RATIO",$B100,$B100)),VALUE(_xll.BDH(L$4,"PE_RATIO",$B100+1,$B100+1))),L101))</f>
        <v>0</v>
      </c>
      <c r="M100" s="555">
        <f ca="1">(IFERROR(IFERROR(VALUE(_xll.BDH(M$4,"PE_RATIO",$B100,$B100)),VALUE(_xll.BDH(M$4,"PE_RATIO",$B100+1,$B100+1))),M101))</f>
        <v>0</v>
      </c>
      <c r="N100" s="555">
        <f ca="1">(IFERROR(IFERROR(VALUE(_xll.BDH(N$4,"PE_RATIO",$B100,$B100)),VALUE(_xll.BDH(N$4,"PE_RATIO",$B100+1,$B100+1))),N101))</f>
        <v>0</v>
      </c>
      <c r="O100" s="555">
        <f ca="1">(IFERROR(IFERROR(VALUE(_xll.BDH(O$4,"PE_RATIO",$B100,$B100)),VALUE(_xll.BDH(O$4,"PE_RATIO",$B100+1,$B100+1))),O101))</f>
        <v>0</v>
      </c>
      <c r="P100" s="555"/>
      <c r="Q100" s="559">
        <f t="shared" ca="1" si="25"/>
        <v>45289</v>
      </c>
      <c r="R100" s="4">
        <v>60.52</v>
      </c>
      <c r="S100" s="4">
        <v>123165.75999999999</v>
      </c>
      <c r="T100" s="4">
        <v>0</v>
      </c>
      <c r="U100" s="4">
        <v>0.62715025906735755</v>
      </c>
      <c r="V100" s="4">
        <v>1.1364634442846617</v>
      </c>
      <c r="W100" s="4" t="e">
        <v>#DIV/0!</v>
      </c>
      <c r="Y100" s="555">
        <f t="shared" si="26"/>
        <v>60.52</v>
      </c>
      <c r="Z100" s="4">
        <f ca="1">IFERROR(VALUE(_xll.BDH(Z$4,"PX_LAST",$Q100,$Q100)),Z101)</f>
        <v>0</v>
      </c>
      <c r="AA100" s="4">
        <f ca="1">IFERROR(VALUE(_xll.BDH(AA$4,"PX_LAST",$Q100,$Q100)),AA101)</f>
        <v>0</v>
      </c>
      <c r="AB100" s="4">
        <f ca="1">IFERROR(VALUE(_xll.BDH(AB$4,"PX_LAST",$Q100,$Q100)),AB101)</f>
        <v>0</v>
      </c>
      <c r="AC100" s="4">
        <f ca="1">IFERROR(VALUE(_xll.BDH(AC$4,"PX_LAST",$Q100,$Q100)),AC101)</f>
        <v>0</v>
      </c>
      <c r="AD100" s="4">
        <f ca="1">IFERROR(VALUE(_xll.BDH(AD$4,"PX_LAST",$Q100,$Q100)),AD101)</f>
        <v>0</v>
      </c>
      <c r="AF100" s="4">
        <f t="shared" si="27"/>
        <v>0.62715025906735755</v>
      </c>
      <c r="AG100" s="4" t="e">
        <f t="shared" ca="1" si="28"/>
        <v>#DIV/0!</v>
      </c>
      <c r="AH100" s="4" t="e">
        <f t="shared" ca="1" si="29"/>
        <v>#DIV/0!</v>
      </c>
      <c r="AI100" s="4" t="e">
        <f t="shared" ca="1" si="30"/>
        <v>#DIV/0!</v>
      </c>
      <c r="AJ100" s="4" t="e">
        <f t="shared" ca="1" si="31"/>
        <v>#DIV/0!</v>
      </c>
      <c r="AK100" s="4" t="e">
        <f t="shared" ca="1" si="32"/>
        <v>#DIV/0!</v>
      </c>
      <c r="AM100" s="557">
        <f t="shared" ca="1" si="33"/>
        <v>45858</v>
      </c>
      <c r="AN100" s="558">
        <v>43.564999999999998</v>
      </c>
      <c r="AO100" s="558">
        <v>2305200</v>
      </c>
      <c r="AP100" s="558">
        <v>206.48981000000001</v>
      </c>
      <c r="AQ100" s="558">
        <v>8995.7285726499995</v>
      </c>
      <c r="AR100" s="558">
        <v>0.64639999999999997</v>
      </c>
    </row>
    <row r="101" spans="2:44">
      <c r="B101" s="559">
        <f t="shared" ca="1" si="34"/>
        <v>45282</v>
      </c>
      <c r="C101" s="555">
        <f ca="1">(IFERROR(IFERROR(VALUE(_xll.BDH(C$4,"CURRENT_EV_TO_T12M_EBITDA",$B101,$B101)),VALUE(_xll.BDH(C$4,"CURRENT_EV_TO_T12M_EBITDA",$B101+1,$B101+1))),C102))</f>
        <v>0</v>
      </c>
      <c r="D101" s="555">
        <f ca="1">(IFERROR(IFERROR(VALUE(_xll.BDH(D$4,"CURRENT_EV_TO_T12M_EBITDA",$B101,$B101)),VALUE(_xll.BDH(D$4,"CURRENT_EV_TO_T12M_EBITDA",$B101+1,$B101+1))),D102))</f>
        <v>0</v>
      </c>
      <c r="E101" s="555">
        <f ca="1">(IFERROR(IFERROR(VALUE(_xll.BDH(E$4,"CURRENT_EV_TO_T12M_EBITDA",$B101,$B101)),VALUE(_xll.BDH(E$4,"CURRENT_EV_TO_T12M_EBITDA",$B101+1,$B101+1))),E102))</f>
        <v>0</v>
      </c>
      <c r="F101" s="555">
        <f ca="1">(IFERROR(IFERROR(VALUE(_xll.BDH(F$4,"CURRENT_EV_TO_T12M_EBITDA",$B101,$B101)),VALUE(_xll.BDH(F$4,"CURRENT_EV_TO_T12M_EBITDA",$B101+1,$B101+1))),F102))</f>
        <v>0</v>
      </c>
      <c r="G101" s="555">
        <f ca="1">(IFERROR(IFERROR(VALUE(_xll.BDH(G$4,"CURRENT_EV_TO_T12M_EBITDA",$B101,$B101)),VALUE(_xll.BDH(G$4,"CURRENT_EV_TO_T12M_EBITDA",$B101+1,$B101+1))),G102))</f>
        <v>0</v>
      </c>
      <c r="H101" s="555">
        <f ca="1">(IFERROR(IFERROR(VALUE(_xll.BDH(H$4,"CURRENT_EV_TO_T12M_EBITDA",$B101,$B101)),VALUE(_xll.BDH(H$4,"CURRENT_EV_TO_T12M_EBITDA",$B101+1,$B101+1))),H102))</f>
        <v>0</v>
      </c>
      <c r="I101" s="559">
        <f t="shared" ref="I101:I132" ca="1" si="35">+B101</f>
        <v>45282</v>
      </c>
      <c r="J101" s="555">
        <f ca="1">(IFERROR(IFERROR(VALUE(_xll.BDH(J$4,"PE_RATIO",$B101,$B101)),VALUE(_xll.BDH(J$4,"PE_RATIO",$B101+1,$B101+1))),J102))</f>
        <v>0</v>
      </c>
      <c r="K101" s="555">
        <f ca="1">(IFERROR(IFERROR(VALUE(_xll.BDH(K$4,"PE_RATIO",$B101,$B101)),VALUE(_xll.BDH(K$4,"PE_RATIO",$B101+1,$B101+1))),K102))</f>
        <v>0</v>
      </c>
      <c r="L101" s="555">
        <f ca="1">(IFERROR(IFERROR(VALUE(_xll.BDH(L$4,"PE_RATIO",$B101,$B101)),VALUE(_xll.BDH(L$4,"PE_RATIO",$B101+1,$B101+1))),L102))</f>
        <v>0</v>
      </c>
      <c r="M101" s="555">
        <f ca="1">(IFERROR(IFERROR(VALUE(_xll.BDH(M$4,"PE_RATIO",$B101,$B101)),VALUE(_xll.BDH(M$4,"PE_RATIO",$B101+1,$B101+1))),M102))</f>
        <v>0</v>
      </c>
      <c r="N101" s="555">
        <f ca="1">(IFERROR(IFERROR(VALUE(_xll.BDH(N$4,"PE_RATIO",$B101,$B101)),VALUE(_xll.BDH(N$4,"PE_RATIO",$B101+1,$B101+1))),N102))</f>
        <v>0</v>
      </c>
      <c r="O101" s="555">
        <f ca="1">(IFERROR(IFERROR(VALUE(_xll.BDH(O$4,"PE_RATIO",$B101,$B101)),VALUE(_xll.BDH(O$4,"PE_RATIO",$B101+1,$B101+1))),O102))</f>
        <v>0</v>
      </c>
      <c r="P101" s="555"/>
      <c r="Q101" s="559">
        <f t="shared" ref="Q101:Q132" ca="1" si="36">+I101</f>
        <v>45282</v>
      </c>
      <c r="R101" s="4">
        <v>62.57</v>
      </c>
      <c r="S101" s="4">
        <v>119268.06</v>
      </c>
      <c r="T101" s="4">
        <v>0</v>
      </c>
      <c r="U101" s="4">
        <v>0.64839378238341971</v>
      </c>
      <c r="V101" s="4">
        <v>1.1004989557223508</v>
      </c>
      <c r="W101" s="4" t="e">
        <v>#DIV/0!</v>
      </c>
      <c r="Y101" s="555">
        <f t="shared" ref="Y101:Y132" si="37">+R101</f>
        <v>62.57</v>
      </c>
      <c r="Z101" s="4">
        <f ca="1">IFERROR(VALUE(_xll.BDH(Z$4,"PX_LAST",$Q101,$Q101)),Z102)</f>
        <v>0</v>
      </c>
      <c r="AA101" s="4">
        <f ca="1">IFERROR(VALUE(_xll.BDH(AA$4,"PX_LAST",$Q101,$Q101)),AA102)</f>
        <v>0</v>
      </c>
      <c r="AB101" s="4">
        <f ca="1">IFERROR(VALUE(_xll.BDH(AB$4,"PX_LAST",$Q101,$Q101)),AB102)</f>
        <v>0</v>
      </c>
      <c r="AC101" s="4">
        <f ca="1">IFERROR(VALUE(_xll.BDH(AC$4,"PX_LAST",$Q101,$Q101)),AC102)</f>
        <v>0</v>
      </c>
      <c r="AD101" s="4">
        <f ca="1">IFERROR(VALUE(_xll.BDH(AD$4,"PX_LAST",$Q101,$Q101)),AD102)</f>
        <v>0</v>
      </c>
      <c r="AF101" s="4">
        <f t="shared" ref="AF101:AF132" si="38">+Y101/Y$159</f>
        <v>0.64839378238341971</v>
      </c>
      <c r="AG101" s="4" t="e">
        <f t="shared" ref="AG101:AG132" ca="1" si="39">+Z101/Z$159</f>
        <v>#DIV/0!</v>
      </c>
      <c r="AH101" s="4" t="e">
        <f t="shared" ref="AH101:AH132" ca="1" si="40">+AA101/AA$159</f>
        <v>#DIV/0!</v>
      </c>
      <c r="AI101" s="4" t="e">
        <f t="shared" ref="AI101:AI132" ca="1" si="41">+AB101/AB$159</f>
        <v>#DIV/0!</v>
      </c>
      <c r="AJ101" s="4" t="e">
        <f t="shared" ref="AJ101:AJ132" ca="1" si="42">+AC101/AC$159</f>
        <v>#DIV/0!</v>
      </c>
      <c r="AK101" s="4" t="e">
        <f t="shared" ref="AK101:AK132" ca="1" si="43">+AD101/AD$159</f>
        <v>#DIV/0!</v>
      </c>
      <c r="AM101" s="557">
        <f t="shared" ca="1" si="33"/>
        <v>45857</v>
      </c>
      <c r="AN101" s="558">
        <v>43.69</v>
      </c>
      <c r="AO101" s="558">
        <v>3744300</v>
      </c>
      <c r="AP101" s="558">
        <v>206.48981000000001</v>
      </c>
      <c r="AQ101" s="558">
        <v>9021.5397988999994</v>
      </c>
      <c r="AR101" s="558">
        <v>0.64810000000000001</v>
      </c>
    </row>
    <row r="102" spans="2:44">
      <c r="B102" s="559">
        <f t="shared" ref="B102:B133" ca="1" si="44">+B101-7</f>
        <v>45275</v>
      </c>
      <c r="C102" s="555">
        <f ca="1">(IFERROR(IFERROR(VALUE(_xll.BDH(C$4,"CURRENT_EV_TO_T12M_EBITDA",$B102,$B102)),VALUE(_xll.BDH(C$4,"CURRENT_EV_TO_T12M_EBITDA",$B102+1,$B102+1))),C103))</f>
        <v>0</v>
      </c>
      <c r="D102" s="555">
        <f ca="1">(IFERROR(IFERROR(VALUE(_xll.BDH(D$4,"CURRENT_EV_TO_T12M_EBITDA",$B102,$B102)),VALUE(_xll.BDH(D$4,"CURRENT_EV_TO_T12M_EBITDA",$B102+1,$B102+1))),D103))</f>
        <v>0</v>
      </c>
      <c r="E102" s="555">
        <f ca="1">(IFERROR(IFERROR(VALUE(_xll.BDH(E$4,"CURRENT_EV_TO_T12M_EBITDA",$B102,$B102)),VALUE(_xll.BDH(E$4,"CURRENT_EV_TO_T12M_EBITDA",$B102+1,$B102+1))),E103))</f>
        <v>0</v>
      </c>
      <c r="F102" s="555">
        <f ca="1">(IFERROR(IFERROR(VALUE(_xll.BDH(F$4,"CURRENT_EV_TO_T12M_EBITDA",$B102,$B102)),VALUE(_xll.BDH(F$4,"CURRENT_EV_TO_T12M_EBITDA",$B102+1,$B102+1))),F103))</f>
        <v>0</v>
      </c>
      <c r="G102" s="555">
        <f ca="1">(IFERROR(IFERROR(VALUE(_xll.BDH(G$4,"CURRENT_EV_TO_T12M_EBITDA",$B102,$B102)),VALUE(_xll.BDH(G$4,"CURRENT_EV_TO_T12M_EBITDA",$B102+1,$B102+1))),G103))</f>
        <v>0</v>
      </c>
      <c r="H102" s="555">
        <f ca="1">(IFERROR(IFERROR(VALUE(_xll.BDH(H$4,"CURRENT_EV_TO_T12M_EBITDA",$B102,$B102)),VALUE(_xll.BDH(H$4,"CURRENT_EV_TO_T12M_EBITDA",$B102+1,$B102+1))),H103))</f>
        <v>0</v>
      </c>
      <c r="I102" s="559">
        <f t="shared" ca="1" si="35"/>
        <v>45275</v>
      </c>
      <c r="J102" s="555">
        <f ca="1">(IFERROR(IFERROR(VALUE(_xll.BDH(J$4,"PE_RATIO",$B102,$B102)),VALUE(_xll.BDH(J$4,"PE_RATIO",$B102+1,$B102+1))),J103))</f>
        <v>0</v>
      </c>
      <c r="K102" s="555">
        <f ca="1">(IFERROR(IFERROR(VALUE(_xll.BDH(K$4,"PE_RATIO",$B102,$B102)),VALUE(_xll.BDH(K$4,"PE_RATIO",$B102+1,$B102+1))),K103))</f>
        <v>0</v>
      </c>
      <c r="L102" s="555">
        <f ca="1">(IFERROR(IFERROR(VALUE(_xll.BDH(L$4,"PE_RATIO",$B102,$B102)),VALUE(_xll.BDH(L$4,"PE_RATIO",$B102+1,$B102+1))),L103))</f>
        <v>0</v>
      </c>
      <c r="M102" s="555">
        <f ca="1">(IFERROR(IFERROR(VALUE(_xll.BDH(M$4,"PE_RATIO",$B102,$B102)),VALUE(_xll.BDH(M$4,"PE_RATIO",$B102+1,$B102+1))),M103))</f>
        <v>0</v>
      </c>
      <c r="N102" s="555">
        <f ca="1">(IFERROR(IFERROR(VALUE(_xll.BDH(N$4,"PE_RATIO",$B102,$B102)),VALUE(_xll.BDH(N$4,"PE_RATIO",$B102+1,$B102+1))),N103))</f>
        <v>0</v>
      </c>
      <c r="O102" s="555">
        <f ca="1">(IFERROR(IFERROR(VALUE(_xll.BDH(O$4,"PE_RATIO",$B102,$B102)),VALUE(_xll.BDH(O$4,"PE_RATIO",$B102+1,$B102+1))),O103))</f>
        <v>0</v>
      </c>
      <c r="P102" s="555"/>
      <c r="Q102" s="559">
        <f t="shared" ca="1" si="36"/>
        <v>45275</v>
      </c>
      <c r="R102" s="4">
        <v>58.39</v>
      </c>
      <c r="S102" s="4">
        <v>113143.67</v>
      </c>
      <c r="T102" s="4">
        <v>0</v>
      </c>
      <c r="U102" s="4">
        <v>0.60507772020725392</v>
      </c>
      <c r="V102" s="4">
        <v>1.0439885639256166</v>
      </c>
      <c r="W102" s="4" t="e">
        <v>#DIV/0!</v>
      </c>
      <c r="Y102" s="555">
        <f t="shared" si="37"/>
        <v>58.39</v>
      </c>
      <c r="Z102" s="4">
        <f ca="1">IFERROR(VALUE(_xll.BDH(Z$4,"PX_LAST",$Q102,$Q102)),Z103)</f>
        <v>0</v>
      </c>
      <c r="AA102" s="4">
        <f ca="1">IFERROR(VALUE(_xll.BDH(AA$4,"PX_LAST",$Q102,$Q102)),AA103)</f>
        <v>0</v>
      </c>
      <c r="AB102" s="4">
        <f ca="1">IFERROR(VALUE(_xll.BDH(AB$4,"PX_LAST",$Q102,$Q102)),AB103)</f>
        <v>0</v>
      </c>
      <c r="AC102" s="4">
        <f ca="1">IFERROR(VALUE(_xll.BDH(AC$4,"PX_LAST",$Q102,$Q102)),AC103)</f>
        <v>0</v>
      </c>
      <c r="AD102" s="4">
        <f ca="1">IFERROR(VALUE(_xll.BDH(AD$4,"PX_LAST",$Q102,$Q102)),AD103)</f>
        <v>0</v>
      </c>
      <c r="AF102" s="4">
        <f t="shared" si="38"/>
        <v>0.60507772020725392</v>
      </c>
      <c r="AG102" s="4" t="e">
        <f t="shared" ca="1" si="39"/>
        <v>#DIV/0!</v>
      </c>
      <c r="AH102" s="4" t="e">
        <f t="shared" ca="1" si="40"/>
        <v>#DIV/0!</v>
      </c>
      <c r="AI102" s="4" t="e">
        <f t="shared" ca="1" si="41"/>
        <v>#DIV/0!</v>
      </c>
      <c r="AJ102" s="4" t="e">
        <f t="shared" ca="1" si="42"/>
        <v>#DIV/0!</v>
      </c>
      <c r="AK102" s="4" t="e">
        <f t="shared" ca="1" si="43"/>
        <v>#DIV/0!</v>
      </c>
      <c r="AM102" s="557">
        <f t="shared" ca="1" si="33"/>
        <v>45856</v>
      </c>
      <c r="AN102" s="558">
        <v>44.884999999999998</v>
      </c>
      <c r="AO102" s="558">
        <v>1178900</v>
      </c>
      <c r="AP102" s="558">
        <v>206.48981000000001</v>
      </c>
      <c r="AQ102" s="558">
        <v>9268.2951218500002</v>
      </c>
      <c r="AR102" s="558">
        <v>0.66549999999999998</v>
      </c>
    </row>
    <row r="103" spans="2:44">
      <c r="B103" s="559">
        <f t="shared" ca="1" si="44"/>
        <v>45268</v>
      </c>
      <c r="C103" s="555">
        <f ca="1">(IFERROR(IFERROR(VALUE(_xll.BDH(C$4,"CURRENT_EV_TO_T12M_EBITDA",$B103,$B103)),VALUE(_xll.BDH(C$4,"CURRENT_EV_TO_T12M_EBITDA",$B103+1,$B103+1))),C104))</f>
        <v>0</v>
      </c>
      <c r="D103" s="555">
        <f ca="1">(IFERROR(IFERROR(VALUE(_xll.BDH(D$4,"CURRENT_EV_TO_T12M_EBITDA",$B103,$B103)),VALUE(_xll.BDH(D$4,"CURRENT_EV_TO_T12M_EBITDA",$B103+1,$B103+1))),D104))</f>
        <v>0</v>
      </c>
      <c r="E103" s="555">
        <f ca="1">(IFERROR(IFERROR(VALUE(_xll.BDH(E$4,"CURRENT_EV_TO_T12M_EBITDA",$B103,$B103)),VALUE(_xll.BDH(E$4,"CURRENT_EV_TO_T12M_EBITDA",$B103+1,$B103+1))),E104))</f>
        <v>0</v>
      </c>
      <c r="F103" s="555">
        <f ca="1">(IFERROR(IFERROR(VALUE(_xll.BDH(F$4,"CURRENT_EV_TO_T12M_EBITDA",$B103,$B103)),VALUE(_xll.BDH(F$4,"CURRENT_EV_TO_T12M_EBITDA",$B103+1,$B103+1))),F104))</f>
        <v>0</v>
      </c>
      <c r="G103" s="555">
        <f ca="1">(IFERROR(IFERROR(VALUE(_xll.BDH(G$4,"CURRENT_EV_TO_T12M_EBITDA",$B103,$B103)),VALUE(_xll.BDH(G$4,"CURRENT_EV_TO_T12M_EBITDA",$B103+1,$B103+1))),G104))</f>
        <v>0</v>
      </c>
      <c r="H103" s="555">
        <f ca="1">(IFERROR(IFERROR(VALUE(_xll.BDH(H$4,"CURRENT_EV_TO_T12M_EBITDA",$B103,$B103)),VALUE(_xll.BDH(H$4,"CURRENT_EV_TO_T12M_EBITDA",$B103+1,$B103+1))),H104))</f>
        <v>0</v>
      </c>
      <c r="I103" s="559">
        <f t="shared" ca="1" si="35"/>
        <v>45268</v>
      </c>
      <c r="J103" s="555">
        <f ca="1">(IFERROR(IFERROR(VALUE(_xll.BDH(J$4,"PE_RATIO",$B103,$B103)),VALUE(_xll.BDH(J$4,"PE_RATIO",$B103+1,$B103+1))),J104))</f>
        <v>0</v>
      </c>
      <c r="K103" s="555">
        <f ca="1">(IFERROR(IFERROR(VALUE(_xll.BDH(K$4,"PE_RATIO",$B103,$B103)),VALUE(_xll.BDH(K$4,"PE_RATIO",$B103+1,$B103+1))),K104))</f>
        <v>0</v>
      </c>
      <c r="L103" s="555">
        <f ca="1">(IFERROR(IFERROR(VALUE(_xll.BDH(L$4,"PE_RATIO",$B103,$B103)),VALUE(_xll.BDH(L$4,"PE_RATIO",$B103+1,$B103+1))),L104))</f>
        <v>0</v>
      </c>
      <c r="M103" s="555">
        <f ca="1">(IFERROR(IFERROR(VALUE(_xll.BDH(M$4,"PE_RATIO",$B103,$B103)),VALUE(_xll.BDH(M$4,"PE_RATIO",$B103+1,$B103+1))),M104))</f>
        <v>0</v>
      </c>
      <c r="N103" s="555">
        <f ca="1">(IFERROR(IFERROR(VALUE(_xll.BDH(N$4,"PE_RATIO",$B103,$B103)),VALUE(_xll.BDH(N$4,"PE_RATIO",$B103+1,$B103+1))),N104))</f>
        <v>0</v>
      </c>
      <c r="O103" s="555">
        <f ca="1">(IFERROR(IFERROR(VALUE(_xll.BDH(O$4,"PE_RATIO",$B103,$B103)),VALUE(_xll.BDH(O$4,"PE_RATIO",$B103+1,$B103+1))),O104))</f>
        <v>0</v>
      </c>
      <c r="P103" s="555"/>
      <c r="Q103" s="559">
        <f t="shared" ca="1" si="36"/>
        <v>45268</v>
      </c>
      <c r="R103" s="4">
        <v>60.52</v>
      </c>
      <c r="S103" s="4">
        <v>113761.9</v>
      </c>
      <c r="T103" s="4">
        <v>0</v>
      </c>
      <c r="U103" s="4">
        <v>0.62715025906735755</v>
      </c>
      <c r="V103" s="4">
        <v>1.0496930372724307</v>
      </c>
      <c r="W103" s="4" t="e">
        <v>#DIV/0!</v>
      </c>
      <c r="Y103" s="555">
        <f t="shared" si="37"/>
        <v>60.52</v>
      </c>
      <c r="Z103" s="4">
        <f ca="1">IFERROR(VALUE(_xll.BDH(Z$4,"PX_LAST",$Q103,$Q103)),Z104)</f>
        <v>0</v>
      </c>
      <c r="AA103" s="4">
        <f ca="1">IFERROR(VALUE(_xll.BDH(AA$4,"PX_LAST",$Q103,$Q103)),AA104)</f>
        <v>0</v>
      </c>
      <c r="AB103" s="4">
        <f ca="1">IFERROR(VALUE(_xll.BDH(AB$4,"PX_LAST",$Q103,$Q103)),AB104)</f>
        <v>0</v>
      </c>
      <c r="AC103" s="4">
        <f ca="1">IFERROR(VALUE(_xll.BDH(AC$4,"PX_LAST",$Q103,$Q103)),AC104)</f>
        <v>0</v>
      </c>
      <c r="AD103" s="4">
        <f ca="1">IFERROR(VALUE(_xll.BDH(AD$4,"PX_LAST",$Q103,$Q103)),AD104)</f>
        <v>0</v>
      </c>
      <c r="AF103" s="4">
        <f t="shared" si="38"/>
        <v>0.62715025906735755</v>
      </c>
      <c r="AG103" s="4" t="e">
        <f t="shared" ca="1" si="39"/>
        <v>#DIV/0!</v>
      </c>
      <c r="AH103" s="4" t="e">
        <f t="shared" ca="1" si="40"/>
        <v>#DIV/0!</v>
      </c>
      <c r="AI103" s="4" t="e">
        <f t="shared" ca="1" si="41"/>
        <v>#DIV/0!</v>
      </c>
      <c r="AJ103" s="4" t="e">
        <f t="shared" ca="1" si="42"/>
        <v>#DIV/0!</v>
      </c>
      <c r="AK103" s="4" t="e">
        <f t="shared" ca="1" si="43"/>
        <v>#DIV/0!</v>
      </c>
      <c r="AM103" s="557">
        <f t="shared" ca="1" si="33"/>
        <v>45855</v>
      </c>
      <c r="AN103" s="558">
        <v>45.225000000000001</v>
      </c>
      <c r="AO103" s="558">
        <v>2295900</v>
      </c>
      <c r="AP103" s="558">
        <v>206.48981000000001</v>
      </c>
      <c r="AQ103" s="558">
        <v>9338.5016572500008</v>
      </c>
      <c r="AR103" s="558">
        <v>0.67190000000000005</v>
      </c>
    </row>
    <row r="104" spans="2:44">
      <c r="B104" s="559">
        <f t="shared" ca="1" si="44"/>
        <v>45261</v>
      </c>
      <c r="C104" s="555">
        <f ca="1">(IFERROR(IFERROR(VALUE(_xll.BDH(C$4,"CURRENT_EV_TO_T12M_EBITDA",$B104,$B104)),VALUE(_xll.BDH(C$4,"CURRENT_EV_TO_T12M_EBITDA",$B104+1,$B104+1))),C105))</f>
        <v>0</v>
      </c>
      <c r="D104" s="555">
        <f ca="1">(IFERROR(IFERROR(VALUE(_xll.BDH(D$4,"CURRENT_EV_TO_T12M_EBITDA",$B104,$B104)),VALUE(_xll.BDH(D$4,"CURRENT_EV_TO_T12M_EBITDA",$B104+1,$B104+1))),D105))</f>
        <v>0</v>
      </c>
      <c r="E104" s="555">
        <f ca="1">(IFERROR(IFERROR(VALUE(_xll.BDH(E$4,"CURRENT_EV_TO_T12M_EBITDA",$B104,$B104)),VALUE(_xll.BDH(E$4,"CURRENT_EV_TO_T12M_EBITDA",$B104+1,$B104+1))),E105))</f>
        <v>0</v>
      </c>
      <c r="F104" s="555">
        <f ca="1">(IFERROR(IFERROR(VALUE(_xll.BDH(F$4,"CURRENT_EV_TO_T12M_EBITDA",$B104,$B104)),VALUE(_xll.BDH(F$4,"CURRENT_EV_TO_T12M_EBITDA",$B104+1,$B104+1))),F105))</f>
        <v>0</v>
      </c>
      <c r="G104" s="555">
        <f ca="1">(IFERROR(IFERROR(VALUE(_xll.BDH(G$4,"CURRENT_EV_TO_T12M_EBITDA",$B104,$B104)),VALUE(_xll.BDH(G$4,"CURRENT_EV_TO_T12M_EBITDA",$B104+1,$B104+1))),G105))</f>
        <v>0</v>
      </c>
      <c r="H104" s="555">
        <f ca="1">(IFERROR(IFERROR(VALUE(_xll.BDH(H$4,"CURRENT_EV_TO_T12M_EBITDA",$B104,$B104)),VALUE(_xll.BDH(H$4,"CURRENT_EV_TO_T12M_EBITDA",$B104+1,$B104+1))),H105))</f>
        <v>0</v>
      </c>
      <c r="I104" s="559">
        <f t="shared" ca="1" si="35"/>
        <v>45261</v>
      </c>
      <c r="J104" s="555">
        <f ca="1">(IFERROR(IFERROR(VALUE(_xll.BDH(J$4,"PE_RATIO",$B104,$B104)),VALUE(_xll.BDH(J$4,"PE_RATIO",$B104+1,$B104+1))),J105))</f>
        <v>0</v>
      </c>
      <c r="K104" s="555">
        <f ca="1">(IFERROR(IFERROR(VALUE(_xll.BDH(K$4,"PE_RATIO",$B104,$B104)),VALUE(_xll.BDH(K$4,"PE_RATIO",$B104+1,$B104+1))),K105))</f>
        <v>0</v>
      </c>
      <c r="L104" s="555">
        <f ca="1">(IFERROR(IFERROR(VALUE(_xll.BDH(L$4,"PE_RATIO",$B104,$B104)),VALUE(_xll.BDH(L$4,"PE_RATIO",$B104+1,$B104+1))),L105))</f>
        <v>0</v>
      </c>
      <c r="M104" s="555">
        <f ca="1">(IFERROR(IFERROR(VALUE(_xll.BDH(M$4,"PE_RATIO",$B104,$B104)),VALUE(_xll.BDH(M$4,"PE_RATIO",$B104+1,$B104+1))),M105))</f>
        <v>0</v>
      </c>
      <c r="N104" s="555">
        <f ca="1">(IFERROR(IFERROR(VALUE(_xll.BDH(N$4,"PE_RATIO",$B104,$B104)),VALUE(_xll.BDH(N$4,"PE_RATIO",$B104+1,$B104+1))),N105))</f>
        <v>0</v>
      </c>
      <c r="O104" s="555">
        <f ca="1">(IFERROR(IFERROR(VALUE(_xll.BDH(O$4,"PE_RATIO",$B104,$B104)),VALUE(_xll.BDH(O$4,"PE_RATIO",$B104+1,$B104+1))),O105))</f>
        <v>0</v>
      </c>
      <c r="P104" s="555"/>
      <c r="Q104" s="559">
        <f t="shared" ca="1" si="36"/>
        <v>45261</v>
      </c>
      <c r="R104" s="4">
        <v>62.78</v>
      </c>
      <c r="S104" s="4">
        <v>115908.43</v>
      </c>
      <c r="T104" s="4">
        <v>0</v>
      </c>
      <c r="U104" s="4">
        <v>0.65056994818652847</v>
      </c>
      <c r="V104" s="4">
        <v>1.0694992957411833</v>
      </c>
      <c r="W104" s="4" t="e">
        <v>#DIV/0!</v>
      </c>
      <c r="Y104" s="555">
        <f t="shared" si="37"/>
        <v>62.78</v>
      </c>
      <c r="Z104" s="4">
        <f ca="1">IFERROR(VALUE(_xll.BDH(Z$4,"PX_LAST",$Q104,$Q104)),Z105)</f>
        <v>0</v>
      </c>
      <c r="AA104" s="4">
        <f ca="1">IFERROR(VALUE(_xll.BDH(AA$4,"PX_LAST",$Q104,$Q104)),AA105)</f>
        <v>0</v>
      </c>
      <c r="AB104" s="4">
        <f ca="1">IFERROR(VALUE(_xll.BDH(AB$4,"PX_LAST",$Q104,$Q104)),AB105)</f>
        <v>0</v>
      </c>
      <c r="AC104" s="4">
        <f ca="1">IFERROR(VALUE(_xll.BDH(AC$4,"PX_LAST",$Q104,$Q104)),AC105)</f>
        <v>0</v>
      </c>
      <c r="AD104" s="4">
        <f ca="1">IFERROR(VALUE(_xll.BDH(AD$4,"PX_LAST",$Q104,$Q104)),AD105)</f>
        <v>0</v>
      </c>
      <c r="AF104" s="4">
        <f t="shared" si="38"/>
        <v>0.65056994818652847</v>
      </c>
      <c r="AG104" s="4" t="e">
        <f t="shared" ca="1" si="39"/>
        <v>#DIV/0!</v>
      </c>
      <c r="AH104" s="4" t="e">
        <f t="shared" ca="1" si="40"/>
        <v>#DIV/0!</v>
      </c>
      <c r="AI104" s="4" t="e">
        <f t="shared" ca="1" si="41"/>
        <v>#DIV/0!</v>
      </c>
      <c r="AJ104" s="4" t="e">
        <f t="shared" ca="1" si="42"/>
        <v>#DIV/0!</v>
      </c>
      <c r="AK104" s="4" t="e">
        <f t="shared" ca="1" si="43"/>
        <v>#DIV/0!</v>
      </c>
      <c r="AM104" s="557">
        <f t="shared" ca="1" si="33"/>
        <v>45854</v>
      </c>
      <c r="AN104" s="558">
        <v>44.14</v>
      </c>
      <c r="AO104" s="558">
        <v>3442700</v>
      </c>
      <c r="AP104" s="558">
        <v>206.48981000000001</v>
      </c>
      <c r="AQ104" s="558">
        <v>9114.4602133999997</v>
      </c>
      <c r="AR104" s="558">
        <v>0.65480000000000005</v>
      </c>
    </row>
    <row r="105" spans="2:44">
      <c r="B105" s="559">
        <f t="shared" ca="1" si="44"/>
        <v>45254</v>
      </c>
      <c r="C105" s="555">
        <f ca="1">(IFERROR(IFERROR(VALUE(_xll.BDH(C$4,"CURRENT_EV_TO_T12M_EBITDA",$B105,$B105)),VALUE(_xll.BDH(C$4,"CURRENT_EV_TO_T12M_EBITDA",$B105+1,$B105+1))),C106))</f>
        <v>0</v>
      </c>
      <c r="D105" s="555">
        <f ca="1">(IFERROR(IFERROR(VALUE(_xll.BDH(D$4,"CURRENT_EV_TO_T12M_EBITDA",$B105,$B105)),VALUE(_xll.BDH(D$4,"CURRENT_EV_TO_T12M_EBITDA",$B105+1,$B105+1))),D106))</f>
        <v>0</v>
      </c>
      <c r="E105" s="555">
        <f ca="1">(IFERROR(IFERROR(VALUE(_xll.BDH(E$4,"CURRENT_EV_TO_T12M_EBITDA",$B105,$B105)),VALUE(_xll.BDH(E$4,"CURRENT_EV_TO_T12M_EBITDA",$B105+1,$B105+1))),E106))</f>
        <v>0</v>
      </c>
      <c r="F105" s="555">
        <f ca="1">(IFERROR(IFERROR(VALUE(_xll.BDH(F$4,"CURRENT_EV_TO_T12M_EBITDA",$B105,$B105)),VALUE(_xll.BDH(F$4,"CURRENT_EV_TO_T12M_EBITDA",$B105+1,$B105+1))),F106))</f>
        <v>0</v>
      </c>
      <c r="G105" s="555">
        <f ca="1">(IFERROR(IFERROR(VALUE(_xll.BDH(G$4,"CURRENT_EV_TO_T12M_EBITDA",$B105,$B105)),VALUE(_xll.BDH(G$4,"CURRENT_EV_TO_T12M_EBITDA",$B105+1,$B105+1))),G106))</f>
        <v>0</v>
      </c>
      <c r="H105" s="555">
        <f ca="1">(IFERROR(IFERROR(VALUE(_xll.BDH(H$4,"CURRENT_EV_TO_T12M_EBITDA",$B105,$B105)),VALUE(_xll.BDH(H$4,"CURRENT_EV_TO_T12M_EBITDA",$B105+1,$B105+1))),H106))</f>
        <v>0</v>
      </c>
      <c r="I105" s="559">
        <f t="shared" ca="1" si="35"/>
        <v>45254</v>
      </c>
      <c r="J105" s="555">
        <f ca="1">(IFERROR(IFERROR(VALUE(_xll.BDH(J$4,"PE_RATIO",$B105,$B105)),VALUE(_xll.BDH(J$4,"PE_RATIO",$B105+1,$B105+1))),J106))</f>
        <v>0</v>
      </c>
      <c r="K105" s="555">
        <f ca="1">(IFERROR(IFERROR(VALUE(_xll.BDH(K$4,"PE_RATIO",$B105,$B105)),VALUE(_xll.BDH(K$4,"PE_RATIO",$B105+1,$B105+1))),K106))</f>
        <v>0</v>
      </c>
      <c r="L105" s="555">
        <f ca="1">(IFERROR(IFERROR(VALUE(_xll.BDH(L$4,"PE_RATIO",$B105,$B105)),VALUE(_xll.BDH(L$4,"PE_RATIO",$B105+1,$B105+1))),L106))</f>
        <v>0</v>
      </c>
      <c r="M105" s="555">
        <f ca="1">(IFERROR(IFERROR(VALUE(_xll.BDH(M$4,"PE_RATIO",$B105,$B105)),VALUE(_xll.BDH(M$4,"PE_RATIO",$B105+1,$B105+1))),M106))</f>
        <v>0</v>
      </c>
      <c r="N105" s="555">
        <f ca="1">(IFERROR(IFERROR(VALUE(_xll.BDH(N$4,"PE_RATIO",$B105,$B105)),VALUE(_xll.BDH(N$4,"PE_RATIO",$B105+1,$B105+1))),N106))</f>
        <v>0</v>
      </c>
      <c r="O105" s="555">
        <f ca="1">(IFERROR(IFERROR(VALUE(_xll.BDH(O$4,"PE_RATIO",$B105,$B105)),VALUE(_xll.BDH(O$4,"PE_RATIO",$B105+1,$B105+1))),O106))</f>
        <v>0</v>
      </c>
      <c r="P105" s="555"/>
      <c r="Q105" s="559">
        <f t="shared" ca="1" si="36"/>
        <v>45254</v>
      </c>
      <c r="R105" s="4">
        <v>67.599999999999994</v>
      </c>
      <c r="S105" s="4">
        <v>116736.95</v>
      </c>
      <c r="T105" s="4">
        <v>0</v>
      </c>
      <c r="U105" s="4">
        <v>0.70051813471502589</v>
      </c>
      <c r="V105" s="4">
        <v>1.0771441370741863</v>
      </c>
      <c r="W105" s="4" t="e">
        <v>#DIV/0!</v>
      </c>
      <c r="Y105" s="555">
        <f t="shared" si="37"/>
        <v>67.599999999999994</v>
      </c>
      <c r="Z105" s="4">
        <f ca="1">IFERROR(VALUE(_xll.BDH(Z$4,"PX_LAST",$Q105,$Q105)),Z106)</f>
        <v>0</v>
      </c>
      <c r="AA105" s="4">
        <f ca="1">IFERROR(VALUE(_xll.BDH(AA$4,"PX_LAST",$Q105,$Q105)),AA106)</f>
        <v>0</v>
      </c>
      <c r="AB105" s="4">
        <f ca="1">IFERROR(VALUE(_xll.BDH(AB$4,"PX_LAST",$Q105,$Q105)),AB106)</f>
        <v>0</v>
      </c>
      <c r="AC105" s="4">
        <f ca="1">IFERROR(VALUE(_xll.BDH(AC$4,"PX_LAST",$Q105,$Q105)),AC106)</f>
        <v>0</v>
      </c>
      <c r="AD105" s="4">
        <f ca="1">IFERROR(VALUE(_xll.BDH(AD$4,"PX_LAST",$Q105,$Q105)),AD106)</f>
        <v>0</v>
      </c>
      <c r="AF105" s="4">
        <f t="shared" si="38"/>
        <v>0.70051813471502589</v>
      </c>
      <c r="AG105" s="4" t="e">
        <f t="shared" ca="1" si="39"/>
        <v>#DIV/0!</v>
      </c>
      <c r="AH105" s="4" t="e">
        <f t="shared" ca="1" si="40"/>
        <v>#DIV/0!</v>
      </c>
      <c r="AI105" s="4" t="e">
        <f t="shared" ca="1" si="41"/>
        <v>#DIV/0!</v>
      </c>
      <c r="AJ105" s="4" t="e">
        <f t="shared" ca="1" si="42"/>
        <v>#DIV/0!</v>
      </c>
      <c r="AK105" s="4" t="e">
        <f t="shared" ca="1" si="43"/>
        <v>#DIV/0!</v>
      </c>
      <c r="AM105" s="557">
        <f t="shared" ca="1" si="33"/>
        <v>45853</v>
      </c>
      <c r="AN105" s="558">
        <v>44.14</v>
      </c>
      <c r="AO105" s="558">
        <v>3442700</v>
      </c>
      <c r="AP105" s="558">
        <v>206.48981000000001</v>
      </c>
      <c r="AQ105" s="558">
        <v>9114.4602133999997</v>
      </c>
      <c r="AR105" s="558">
        <v>0.65480000000000005</v>
      </c>
    </row>
    <row r="106" spans="2:44">
      <c r="B106" s="559">
        <f t="shared" ca="1" si="44"/>
        <v>45247</v>
      </c>
      <c r="C106" s="555">
        <f ca="1">(IFERROR(IFERROR(VALUE(_xll.BDH(C$4,"CURRENT_EV_TO_T12M_EBITDA",$B106,$B106)),VALUE(_xll.BDH(C$4,"CURRENT_EV_TO_T12M_EBITDA",$B106+1,$B106+1))),C107))</f>
        <v>0</v>
      </c>
      <c r="D106" s="555">
        <f ca="1">(IFERROR(IFERROR(VALUE(_xll.BDH(D$4,"CURRENT_EV_TO_T12M_EBITDA",$B106,$B106)),VALUE(_xll.BDH(D$4,"CURRENT_EV_TO_T12M_EBITDA",$B106+1,$B106+1))),D107))</f>
        <v>0</v>
      </c>
      <c r="E106" s="555">
        <f ca="1">(IFERROR(IFERROR(VALUE(_xll.BDH(E$4,"CURRENT_EV_TO_T12M_EBITDA",$B106,$B106)),VALUE(_xll.BDH(E$4,"CURRENT_EV_TO_T12M_EBITDA",$B106+1,$B106+1))),E107))</f>
        <v>0</v>
      </c>
      <c r="F106" s="555">
        <f ca="1">(IFERROR(IFERROR(VALUE(_xll.BDH(F$4,"CURRENT_EV_TO_T12M_EBITDA",$B106,$B106)),VALUE(_xll.BDH(F$4,"CURRENT_EV_TO_T12M_EBITDA",$B106+1,$B106+1))),F107))</f>
        <v>0</v>
      </c>
      <c r="G106" s="555">
        <f ca="1">(IFERROR(IFERROR(VALUE(_xll.BDH(G$4,"CURRENT_EV_TO_T12M_EBITDA",$B106,$B106)),VALUE(_xll.BDH(G$4,"CURRENT_EV_TO_T12M_EBITDA",$B106+1,$B106+1))),G107))</f>
        <v>0</v>
      </c>
      <c r="H106" s="555">
        <f ca="1">(IFERROR(IFERROR(VALUE(_xll.BDH(H$4,"CURRENT_EV_TO_T12M_EBITDA",$B106,$B106)),VALUE(_xll.BDH(H$4,"CURRENT_EV_TO_T12M_EBITDA",$B106+1,$B106+1))),H107))</f>
        <v>0</v>
      </c>
      <c r="I106" s="559">
        <f t="shared" ca="1" si="35"/>
        <v>45247</v>
      </c>
      <c r="J106" s="555">
        <f ca="1">(IFERROR(IFERROR(VALUE(_xll.BDH(J$4,"PE_RATIO",$B106,$B106)),VALUE(_xll.BDH(J$4,"PE_RATIO",$B106+1,$B106+1))),J107))</f>
        <v>0</v>
      </c>
      <c r="K106" s="555">
        <f ca="1">(IFERROR(IFERROR(VALUE(_xll.BDH(K$4,"PE_RATIO",$B106,$B106)),VALUE(_xll.BDH(K$4,"PE_RATIO",$B106+1,$B106+1))),K107))</f>
        <v>0</v>
      </c>
      <c r="L106" s="555">
        <f ca="1">(IFERROR(IFERROR(VALUE(_xll.BDH(L$4,"PE_RATIO",$B106,$B106)),VALUE(_xll.BDH(L$4,"PE_RATIO",$B106+1,$B106+1))),L107))</f>
        <v>0</v>
      </c>
      <c r="M106" s="555">
        <f ca="1">(IFERROR(IFERROR(VALUE(_xll.BDH(M$4,"PE_RATIO",$B106,$B106)),VALUE(_xll.BDH(M$4,"PE_RATIO",$B106+1,$B106+1))),M107))</f>
        <v>0</v>
      </c>
      <c r="N106" s="555">
        <f ca="1">(IFERROR(IFERROR(VALUE(_xll.BDH(N$4,"PE_RATIO",$B106,$B106)),VALUE(_xll.BDH(N$4,"PE_RATIO",$B106+1,$B106+1))),N107))</f>
        <v>0</v>
      </c>
      <c r="O106" s="555">
        <f ca="1">(IFERROR(IFERROR(VALUE(_xll.BDH(O$4,"PE_RATIO",$B106,$B106)),VALUE(_xll.BDH(O$4,"PE_RATIO",$B106+1,$B106+1))),O107))</f>
        <v>0</v>
      </c>
      <c r="P106" s="555"/>
      <c r="Q106" s="559">
        <f t="shared" ca="1" si="36"/>
        <v>45247</v>
      </c>
      <c r="R106" s="4">
        <v>61.71</v>
      </c>
      <c r="S106" s="4">
        <v>113419.04</v>
      </c>
      <c r="T106" s="4">
        <v>0</v>
      </c>
      <c r="U106" s="4">
        <v>0.63948186528497408</v>
      </c>
      <c r="V106" s="4">
        <v>1.0465294319286449</v>
      </c>
      <c r="W106" s="4" t="e">
        <v>#DIV/0!</v>
      </c>
      <c r="Y106" s="555">
        <f t="shared" si="37"/>
        <v>61.71</v>
      </c>
      <c r="Z106" s="4">
        <f ca="1">IFERROR(VALUE(_xll.BDH(Z$4,"PX_LAST",$Q106,$Q106)),Z107)</f>
        <v>0</v>
      </c>
      <c r="AA106" s="4">
        <f ca="1">IFERROR(VALUE(_xll.BDH(AA$4,"PX_LAST",$Q106,$Q106)),AA107)</f>
        <v>0</v>
      </c>
      <c r="AB106" s="4">
        <f ca="1">IFERROR(VALUE(_xll.BDH(AB$4,"PX_LAST",$Q106,$Q106)),AB107)</f>
        <v>0</v>
      </c>
      <c r="AC106" s="4">
        <f ca="1">IFERROR(VALUE(_xll.BDH(AC$4,"PX_LAST",$Q106,$Q106)),AC107)</f>
        <v>0</v>
      </c>
      <c r="AD106" s="4">
        <f ca="1">IFERROR(VALUE(_xll.BDH(AD$4,"PX_LAST",$Q106,$Q106)),AD107)</f>
        <v>0</v>
      </c>
      <c r="AF106" s="4">
        <f t="shared" si="38"/>
        <v>0.63948186528497408</v>
      </c>
      <c r="AG106" s="4" t="e">
        <f t="shared" ca="1" si="39"/>
        <v>#DIV/0!</v>
      </c>
      <c r="AH106" s="4" t="e">
        <f t="shared" ca="1" si="40"/>
        <v>#DIV/0!</v>
      </c>
      <c r="AI106" s="4" t="e">
        <f t="shared" ca="1" si="41"/>
        <v>#DIV/0!</v>
      </c>
      <c r="AJ106" s="4" t="e">
        <f t="shared" ca="1" si="42"/>
        <v>#DIV/0!</v>
      </c>
      <c r="AK106" s="4" t="e">
        <f t="shared" ca="1" si="43"/>
        <v>#DIV/0!</v>
      </c>
      <c r="AM106" s="557">
        <f t="shared" ca="1" si="33"/>
        <v>45852</v>
      </c>
      <c r="AN106" s="558">
        <v>44.14</v>
      </c>
      <c r="AO106" s="558">
        <v>3442700</v>
      </c>
      <c r="AP106" s="558">
        <v>206.48981000000001</v>
      </c>
      <c r="AQ106" s="558">
        <v>9114.4602133999997</v>
      </c>
      <c r="AR106" s="558">
        <v>0.65480000000000005</v>
      </c>
    </row>
    <row r="107" spans="2:44">
      <c r="B107" s="559">
        <f t="shared" ca="1" si="44"/>
        <v>45240</v>
      </c>
      <c r="C107" s="555">
        <f ca="1">(IFERROR(IFERROR(VALUE(_xll.BDH(C$4,"CURRENT_EV_TO_T12M_EBITDA",$B107,$B107)),VALUE(_xll.BDH(C$4,"CURRENT_EV_TO_T12M_EBITDA",$B107+1,$B107+1))),C108))</f>
        <v>0</v>
      </c>
      <c r="D107" s="555">
        <f ca="1">(IFERROR(IFERROR(VALUE(_xll.BDH(D$4,"CURRENT_EV_TO_T12M_EBITDA",$B107,$B107)),VALUE(_xll.BDH(D$4,"CURRENT_EV_TO_T12M_EBITDA",$B107+1,$B107+1))),D108))</f>
        <v>0</v>
      </c>
      <c r="E107" s="555">
        <f ca="1">(IFERROR(IFERROR(VALUE(_xll.BDH(E$4,"CURRENT_EV_TO_T12M_EBITDA",$B107,$B107)),VALUE(_xll.BDH(E$4,"CURRENT_EV_TO_T12M_EBITDA",$B107+1,$B107+1))),E108))</f>
        <v>0</v>
      </c>
      <c r="F107" s="555">
        <f ca="1">(IFERROR(IFERROR(VALUE(_xll.BDH(F$4,"CURRENT_EV_TO_T12M_EBITDA",$B107,$B107)),VALUE(_xll.BDH(F$4,"CURRENT_EV_TO_T12M_EBITDA",$B107+1,$B107+1))),F108))</f>
        <v>0</v>
      </c>
      <c r="G107" s="555">
        <f ca="1">(IFERROR(IFERROR(VALUE(_xll.BDH(G$4,"CURRENT_EV_TO_T12M_EBITDA",$B107,$B107)),VALUE(_xll.BDH(G$4,"CURRENT_EV_TO_T12M_EBITDA",$B107+1,$B107+1))),G108))</f>
        <v>0</v>
      </c>
      <c r="H107" s="555">
        <f ca="1">(IFERROR(IFERROR(VALUE(_xll.BDH(H$4,"CURRENT_EV_TO_T12M_EBITDA",$B107,$B107)),VALUE(_xll.BDH(H$4,"CURRENT_EV_TO_T12M_EBITDA",$B107+1,$B107+1))),H108))</f>
        <v>0</v>
      </c>
      <c r="I107" s="559">
        <f t="shared" ca="1" si="35"/>
        <v>45240</v>
      </c>
      <c r="J107" s="555">
        <f ca="1">(IFERROR(IFERROR(VALUE(_xll.BDH(J$4,"PE_RATIO",$B107,$B107)),VALUE(_xll.BDH(J$4,"PE_RATIO",$B107+1,$B107+1))),J108))</f>
        <v>0</v>
      </c>
      <c r="K107" s="555">
        <f ca="1">(IFERROR(IFERROR(VALUE(_xll.BDH(K$4,"PE_RATIO",$B107,$B107)),VALUE(_xll.BDH(K$4,"PE_RATIO",$B107+1,$B107+1))),K108))</f>
        <v>0</v>
      </c>
      <c r="L107" s="555">
        <f ca="1">(IFERROR(IFERROR(VALUE(_xll.BDH(L$4,"PE_RATIO",$B107,$B107)),VALUE(_xll.BDH(L$4,"PE_RATIO",$B107+1,$B107+1))),L108))</f>
        <v>0</v>
      </c>
      <c r="M107" s="555">
        <f ca="1">(IFERROR(IFERROR(VALUE(_xll.BDH(M$4,"PE_RATIO",$B107,$B107)),VALUE(_xll.BDH(M$4,"PE_RATIO",$B107+1,$B107+1))),M108))</f>
        <v>0</v>
      </c>
      <c r="N107" s="555">
        <f ca="1">(IFERROR(IFERROR(VALUE(_xll.BDH(N$4,"PE_RATIO",$B107,$B107)),VALUE(_xll.BDH(N$4,"PE_RATIO",$B107+1,$B107+1))),N108))</f>
        <v>0</v>
      </c>
      <c r="O107" s="555">
        <f ca="1">(IFERROR(IFERROR(VALUE(_xll.BDH(O$4,"PE_RATIO",$B107,$B107)),VALUE(_xll.BDH(O$4,"PE_RATIO",$B107+1,$B107+1))),O108))</f>
        <v>0</v>
      </c>
      <c r="P107" s="555"/>
      <c r="Q107" s="559">
        <f t="shared" ca="1" si="36"/>
        <v>45240</v>
      </c>
      <c r="R107" s="4">
        <v>61.48</v>
      </c>
      <c r="S107" s="4">
        <v>114193.43</v>
      </c>
      <c r="T107" s="4">
        <v>0</v>
      </c>
      <c r="U107" s="4">
        <v>0.63709844559585493</v>
      </c>
      <c r="V107" s="4">
        <v>1.0536748100485021</v>
      </c>
      <c r="W107" s="4" t="e">
        <v>#DIV/0!</v>
      </c>
      <c r="Y107" s="555">
        <f t="shared" si="37"/>
        <v>61.48</v>
      </c>
      <c r="Z107" s="4">
        <f ca="1">IFERROR(VALUE(_xll.BDH(Z$4,"PX_LAST",$Q107,$Q107)),Z108)</f>
        <v>0</v>
      </c>
      <c r="AA107" s="4">
        <f ca="1">IFERROR(VALUE(_xll.BDH(AA$4,"PX_LAST",$Q107,$Q107)),AA108)</f>
        <v>0</v>
      </c>
      <c r="AB107" s="4">
        <f ca="1">IFERROR(VALUE(_xll.BDH(AB$4,"PX_LAST",$Q107,$Q107)),AB108)</f>
        <v>0</v>
      </c>
      <c r="AC107" s="4">
        <f ca="1">IFERROR(VALUE(_xll.BDH(AC$4,"PX_LAST",$Q107,$Q107)),AC108)</f>
        <v>0</v>
      </c>
      <c r="AD107" s="4">
        <f ca="1">IFERROR(VALUE(_xll.BDH(AD$4,"PX_LAST",$Q107,$Q107)),AD108)</f>
        <v>0</v>
      </c>
      <c r="AF107" s="4">
        <f t="shared" si="38"/>
        <v>0.63709844559585493</v>
      </c>
      <c r="AG107" s="4" t="e">
        <f t="shared" ca="1" si="39"/>
        <v>#DIV/0!</v>
      </c>
      <c r="AH107" s="4" t="e">
        <f t="shared" ca="1" si="40"/>
        <v>#DIV/0!</v>
      </c>
      <c r="AI107" s="4" t="e">
        <f t="shared" ca="1" si="41"/>
        <v>#DIV/0!</v>
      </c>
      <c r="AJ107" s="4" t="e">
        <f t="shared" ca="1" si="42"/>
        <v>#DIV/0!</v>
      </c>
      <c r="AK107" s="4" t="e">
        <f t="shared" ca="1" si="43"/>
        <v>#DIV/0!</v>
      </c>
      <c r="AM107" s="557">
        <f t="shared" ca="1" si="33"/>
        <v>45851</v>
      </c>
      <c r="AN107" s="558">
        <v>42.564999999999998</v>
      </c>
      <c r="AO107" s="558">
        <v>2200100</v>
      </c>
      <c r="AP107" s="558">
        <v>206.48981000000001</v>
      </c>
      <c r="AQ107" s="558">
        <v>8789.2387626500004</v>
      </c>
      <c r="AR107" s="558">
        <v>0.63139999999999996</v>
      </c>
    </row>
    <row r="108" spans="2:44">
      <c r="B108" s="559">
        <f t="shared" ca="1" si="44"/>
        <v>45233</v>
      </c>
      <c r="C108" s="555">
        <f ca="1">(IFERROR(IFERROR(VALUE(_xll.BDH(C$4,"CURRENT_EV_TO_T12M_EBITDA",$B108,$B108)),VALUE(_xll.BDH(C$4,"CURRENT_EV_TO_T12M_EBITDA",$B108+1,$B108+1))),C109))</f>
        <v>0</v>
      </c>
      <c r="D108" s="555">
        <f ca="1">(IFERROR(IFERROR(VALUE(_xll.BDH(D$4,"CURRENT_EV_TO_T12M_EBITDA",$B108,$B108)),VALUE(_xll.BDH(D$4,"CURRENT_EV_TO_T12M_EBITDA",$B108+1,$B108+1))),D109))</f>
        <v>0</v>
      </c>
      <c r="E108" s="555">
        <f ca="1">(IFERROR(IFERROR(VALUE(_xll.BDH(E$4,"CURRENT_EV_TO_T12M_EBITDA",$B108,$B108)),VALUE(_xll.BDH(E$4,"CURRENT_EV_TO_T12M_EBITDA",$B108+1,$B108+1))),E109))</f>
        <v>0</v>
      </c>
      <c r="F108" s="555">
        <f ca="1">(IFERROR(IFERROR(VALUE(_xll.BDH(F$4,"CURRENT_EV_TO_T12M_EBITDA",$B108,$B108)),VALUE(_xll.BDH(F$4,"CURRENT_EV_TO_T12M_EBITDA",$B108+1,$B108+1))),F109))</f>
        <v>0</v>
      </c>
      <c r="G108" s="555">
        <f ca="1">(IFERROR(IFERROR(VALUE(_xll.BDH(G$4,"CURRENT_EV_TO_T12M_EBITDA",$B108,$B108)),VALUE(_xll.BDH(G$4,"CURRENT_EV_TO_T12M_EBITDA",$B108+1,$B108+1))),G109))</f>
        <v>0</v>
      </c>
      <c r="H108" s="555">
        <f ca="1">(IFERROR(IFERROR(VALUE(_xll.BDH(H$4,"CURRENT_EV_TO_T12M_EBITDA",$B108,$B108)),VALUE(_xll.BDH(H$4,"CURRENT_EV_TO_T12M_EBITDA",$B108+1,$B108+1))),H109))</f>
        <v>0</v>
      </c>
      <c r="I108" s="559">
        <f t="shared" ca="1" si="35"/>
        <v>45233</v>
      </c>
      <c r="J108" s="555">
        <f ca="1">(IFERROR(IFERROR(VALUE(_xll.BDH(J$4,"PE_RATIO",$B108,$B108)),VALUE(_xll.BDH(J$4,"PE_RATIO",$B108+1,$B108+1))),J109))</f>
        <v>0</v>
      </c>
      <c r="K108" s="555">
        <f ca="1">(IFERROR(IFERROR(VALUE(_xll.BDH(K$4,"PE_RATIO",$B108,$B108)),VALUE(_xll.BDH(K$4,"PE_RATIO",$B108+1,$B108+1))),K109))</f>
        <v>0</v>
      </c>
      <c r="L108" s="555">
        <f ca="1">(IFERROR(IFERROR(VALUE(_xll.BDH(L$4,"PE_RATIO",$B108,$B108)),VALUE(_xll.BDH(L$4,"PE_RATIO",$B108+1,$B108+1))),L109))</f>
        <v>0</v>
      </c>
      <c r="M108" s="555">
        <f ca="1">(IFERROR(IFERROR(VALUE(_xll.BDH(M$4,"PE_RATIO",$B108,$B108)),VALUE(_xll.BDH(M$4,"PE_RATIO",$B108+1,$B108+1))),M109))</f>
        <v>0</v>
      </c>
      <c r="N108" s="555">
        <f ca="1">(IFERROR(IFERROR(VALUE(_xll.BDH(N$4,"PE_RATIO",$B108,$B108)),VALUE(_xll.BDH(N$4,"PE_RATIO",$B108+1,$B108+1))),N109))</f>
        <v>0</v>
      </c>
      <c r="O108" s="555">
        <f ca="1">(IFERROR(IFERROR(VALUE(_xll.BDH(O$4,"PE_RATIO",$B108,$B108)),VALUE(_xll.BDH(O$4,"PE_RATIO",$B108+1,$B108+1))),O109))</f>
        <v>0</v>
      </c>
      <c r="P108" s="555"/>
      <c r="Q108" s="559">
        <f t="shared" ca="1" si="36"/>
        <v>45233</v>
      </c>
      <c r="R108" s="4">
        <v>69.400000000000006</v>
      </c>
      <c r="S108" s="4">
        <v>117845.78</v>
      </c>
      <c r="T108" s="4">
        <v>0</v>
      </c>
      <c r="U108" s="4">
        <v>0.71917098445595862</v>
      </c>
      <c r="V108" s="4">
        <v>1.0873754283106969</v>
      </c>
      <c r="W108" s="4" t="e">
        <v>#DIV/0!</v>
      </c>
      <c r="Y108" s="555">
        <f t="shared" si="37"/>
        <v>69.400000000000006</v>
      </c>
      <c r="Z108" s="4">
        <f ca="1">IFERROR(VALUE(_xll.BDH(Z$4,"PX_LAST",$Q108,$Q108)),Z109)</f>
        <v>0</v>
      </c>
      <c r="AA108" s="4">
        <f ca="1">IFERROR(VALUE(_xll.BDH(AA$4,"PX_LAST",$Q108,$Q108)),AA109)</f>
        <v>0</v>
      </c>
      <c r="AB108" s="4">
        <f ca="1">IFERROR(VALUE(_xll.BDH(AB$4,"PX_LAST",$Q108,$Q108)),AB109)</f>
        <v>0</v>
      </c>
      <c r="AC108" s="4">
        <f ca="1">IFERROR(VALUE(_xll.BDH(AC$4,"PX_LAST",$Q108,$Q108)),AC109)</f>
        <v>0</v>
      </c>
      <c r="AD108" s="4">
        <f ca="1">IFERROR(VALUE(_xll.BDH(AD$4,"PX_LAST",$Q108,$Q108)),AD109)</f>
        <v>0</v>
      </c>
      <c r="AF108" s="4">
        <f t="shared" si="38"/>
        <v>0.71917098445595862</v>
      </c>
      <c r="AG108" s="4" t="e">
        <f t="shared" ca="1" si="39"/>
        <v>#DIV/0!</v>
      </c>
      <c r="AH108" s="4" t="e">
        <f t="shared" ca="1" si="40"/>
        <v>#DIV/0!</v>
      </c>
      <c r="AI108" s="4" t="e">
        <f t="shared" ca="1" si="41"/>
        <v>#DIV/0!</v>
      </c>
      <c r="AJ108" s="4" t="e">
        <f t="shared" ca="1" si="42"/>
        <v>#DIV/0!</v>
      </c>
      <c r="AK108" s="4" t="e">
        <f t="shared" ca="1" si="43"/>
        <v>#DIV/0!</v>
      </c>
      <c r="AM108" s="557">
        <f t="shared" ca="1" si="33"/>
        <v>45850</v>
      </c>
      <c r="AN108" s="558">
        <v>41.854999999999997</v>
      </c>
      <c r="AO108" s="558">
        <v>1235200</v>
      </c>
      <c r="AP108" s="558">
        <v>206.48981000000001</v>
      </c>
      <c r="AQ108" s="558">
        <v>8642.6309975499989</v>
      </c>
      <c r="AR108" s="558">
        <v>0.62070000000000003</v>
      </c>
    </row>
    <row r="109" spans="2:44">
      <c r="B109" s="559">
        <f t="shared" ca="1" si="44"/>
        <v>45226</v>
      </c>
      <c r="C109" s="555">
        <f ca="1">(IFERROR(IFERROR(VALUE(_xll.BDH(C$4,"CURRENT_EV_TO_T12M_EBITDA",$B109,$B109)),VALUE(_xll.BDH(C$4,"CURRENT_EV_TO_T12M_EBITDA",$B109+1,$B109+1))),C110))</f>
        <v>0</v>
      </c>
      <c r="D109" s="555">
        <f ca="1">(IFERROR(IFERROR(VALUE(_xll.BDH(D$4,"CURRENT_EV_TO_T12M_EBITDA",$B109,$B109)),VALUE(_xll.BDH(D$4,"CURRENT_EV_TO_T12M_EBITDA",$B109+1,$B109+1))),D110))</f>
        <v>0</v>
      </c>
      <c r="E109" s="555">
        <f ca="1">(IFERROR(IFERROR(VALUE(_xll.BDH(E$4,"CURRENT_EV_TO_T12M_EBITDA",$B109,$B109)),VALUE(_xll.BDH(E$4,"CURRENT_EV_TO_T12M_EBITDA",$B109+1,$B109+1))),E110))</f>
        <v>0</v>
      </c>
      <c r="F109" s="555">
        <f ca="1">(IFERROR(IFERROR(VALUE(_xll.BDH(F$4,"CURRENT_EV_TO_T12M_EBITDA",$B109,$B109)),VALUE(_xll.BDH(F$4,"CURRENT_EV_TO_T12M_EBITDA",$B109+1,$B109+1))),F110))</f>
        <v>0</v>
      </c>
      <c r="G109" s="555">
        <f ca="1">(IFERROR(IFERROR(VALUE(_xll.BDH(G$4,"CURRENT_EV_TO_T12M_EBITDA",$B109,$B109)),VALUE(_xll.BDH(G$4,"CURRENT_EV_TO_T12M_EBITDA",$B109+1,$B109+1))),G110))</f>
        <v>0</v>
      </c>
      <c r="H109" s="555">
        <f ca="1">(IFERROR(IFERROR(VALUE(_xll.BDH(H$4,"CURRENT_EV_TO_T12M_EBITDA",$B109,$B109)),VALUE(_xll.BDH(H$4,"CURRENT_EV_TO_T12M_EBITDA",$B109+1,$B109+1))),H110))</f>
        <v>0</v>
      </c>
      <c r="I109" s="559">
        <f t="shared" ca="1" si="35"/>
        <v>45226</v>
      </c>
      <c r="J109" s="555">
        <f ca="1">(IFERROR(IFERROR(VALUE(_xll.BDH(J$4,"PE_RATIO",$B109,$B109)),VALUE(_xll.BDH(J$4,"PE_RATIO",$B109+1,$B109+1))),J110))</f>
        <v>0</v>
      </c>
      <c r="K109" s="555">
        <f ca="1">(IFERROR(IFERROR(VALUE(_xll.BDH(K$4,"PE_RATIO",$B109,$B109)),VALUE(_xll.BDH(K$4,"PE_RATIO",$B109+1,$B109+1))),K110))</f>
        <v>0</v>
      </c>
      <c r="L109" s="555">
        <f ca="1">(IFERROR(IFERROR(VALUE(_xll.BDH(L$4,"PE_RATIO",$B109,$B109)),VALUE(_xll.BDH(L$4,"PE_RATIO",$B109+1,$B109+1))),L110))</f>
        <v>0</v>
      </c>
      <c r="M109" s="555">
        <f ca="1">(IFERROR(IFERROR(VALUE(_xll.BDH(M$4,"PE_RATIO",$B109,$B109)),VALUE(_xll.BDH(M$4,"PE_RATIO",$B109+1,$B109+1))),M110))</f>
        <v>0</v>
      </c>
      <c r="N109" s="555">
        <f ca="1">(IFERROR(IFERROR(VALUE(_xll.BDH(N$4,"PE_RATIO",$B109,$B109)),VALUE(_xll.BDH(N$4,"PE_RATIO",$B109+1,$B109+1))),N110))</f>
        <v>0</v>
      </c>
      <c r="O109" s="555">
        <f ca="1">(IFERROR(IFERROR(VALUE(_xll.BDH(O$4,"PE_RATIO",$B109,$B109)),VALUE(_xll.BDH(O$4,"PE_RATIO",$B109+1,$B109+1))),O110))</f>
        <v>0</v>
      </c>
      <c r="P109" s="555"/>
      <c r="Q109" s="559">
        <f t="shared" ca="1" si="36"/>
        <v>45226</v>
      </c>
      <c r="R109" s="4">
        <v>70.349999999999994</v>
      </c>
      <c r="S109" s="4">
        <v>117968.12</v>
      </c>
      <c r="T109" s="4">
        <v>0</v>
      </c>
      <c r="U109" s="4">
        <v>0.72901554404145075</v>
      </c>
      <c r="V109" s="4">
        <v>1.0885042723804592</v>
      </c>
      <c r="W109" s="4" t="e">
        <v>#DIV/0!</v>
      </c>
      <c r="Y109" s="555">
        <f t="shared" si="37"/>
        <v>70.349999999999994</v>
      </c>
      <c r="Z109" s="4">
        <f ca="1">IFERROR(VALUE(_xll.BDH(Z$4,"PX_LAST",$Q109,$Q109)),Z110)</f>
        <v>0</v>
      </c>
      <c r="AA109" s="4">
        <f ca="1">IFERROR(VALUE(_xll.BDH(AA$4,"PX_LAST",$Q109,$Q109)),AA110)</f>
        <v>0</v>
      </c>
      <c r="AB109" s="4">
        <f ca="1">IFERROR(VALUE(_xll.BDH(AB$4,"PX_LAST",$Q109,$Q109)),AB110)</f>
        <v>0</v>
      </c>
      <c r="AC109" s="4">
        <f ca="1">IFERROR(VALUE(_xll.BDH(AC$4,"PX_LAST",$Q109,$Q109)),AC110)</f>
        <v>0</v>
      </c>
      <c r="AD109" s="4">
        <f ca="1">IFERROR(VALUE(_xll.BDH(AD$4,"PX_LAST",$Q109,$Q109)),AD110)</f>
        <v>0</v>
      </c>
      <c r="AF109" s="4">
        <f t="shared" si="38"/>
        <v>0.72901554404145075</v>
      </c>
      <c r="AG109" s="4" t="e">
        <f t="shared" ca="1" si="39"/>
        <v>#DIV/0!</v>
      </c>
      <c r="AH109" s="4" t="e">
        <f t="shared" ca="1" si="40"/>
        <v>#DIV/0!</v>
      </c>
      <c r="AI109" s="4" t="e">
        <f t="shared" ca="1" si="41"/>
        <v>#DIV/0!</v>
      </c>
      <c r="AJ109" s="4" t="e">
        <f t="shared" ca="1" si="42"/>
        <v>#DIV/0!</v>
      </c>
      <c r="AK109" s="4" t="e">
        <f t="shared" ca="1" si="43"/>
        <v>#DIV/0!</v>
      </c>
      <c r="AM109" s="557">
        <f t="shared" ca="1" si="33"/>
        <v>45849</v>
      </c>
      <c r="AN109" s="558">
        <v>41.975000000000001</v>
      </c>
      <c r="AO109" s="558">
        <v>3637700</v>
      </c>
      <c r="AP109" s="558">
        <v>206.48981000000001</v>
      </c>
      <c r="AQ109" s="558">
        <v>8667.40977475</v>
      </c>
      <c r="AR109" s="558">
        <v>0.62290000000000001</v>
      </c>
    </row>
    <row r="110" spans="2:44">
      <c r="B110" s="559">
        <f t="shared" ca="1" si="44"/>
        <v>45219</v>
      </c>
      <c r="C110" s="555">
        <f ca="1">(IFERROR(IFERROR(VALUE(_xll.BDH(C$4,"CURRENT_EV_TO_T12M_EBITDA",$B110,$B110)),VALUE(_xll.BDH(C$4,"CURRENT_EV_TO_T12M_EBITDA",$B110+1,$B110+1))),C111))</f>
        <v>0</v>
      </c>
      <c r="D110" s="555">
        <f ca="1">(IFERROR(IFERROR(VALUE(_xll.BDH(D$4,"CURRENT_EV_TO_T12M_EBITDA",$B110,$B110)),VALUE(_xll.BDH(D$4,"CURRENT_EV_TO_T12M_EBITDA",$B110+1,$B110+1))),D111))</f>
        <v>0</v>
      </c>
      <c r="E110" s="555">
        <f ca="1">(IFERROR(IFERROR(VALUE(_xll.BDH(E$4,"CURRENT_EV_TO_T12M_EBITDA",$B110,$B110)),VALUE(_xll.BDH(E$4,"CURRENT_EV_TO_T12M_EBITDA",$B110+1,$B110+1))),E111))</f>
        <v>0</v>
      </c>
      <c r="F110" s="555">
        <f ca="1">(IFERROR(IFERROR(VALUE(_xll.BDH(F$4,"CURRENT_EV_TO_T12M_EBITDA",$B110,$B110)),VALUE(_xll.BDH(F$4,"CURRENT_EV_TO_T12M_EBITDA",$B110+1,$B110+1))),F111))</f>
        <v>0</v>
      </c>
      <c r="G110" s="555">
        <f ca="1">(IFERROR(IFERROR(VALUE(_xll.BDH(G$4,"CURRENT_EV_TO_T12M_EBITDA",$B110,$B110)),VALUE(_xll.BDH(G$4,"CURRENT_EV_TO_T12M_EBITDA",$B110+1,$B110+1))),G111))</f>
        <v>0</v>
      </c>
      <c r="H110" s="555">
        <f ca="1">(IFERROR(IFERROR(VALUE(_xll.BDH(H$4,"CURRENT_EV_TO_T12M_EBITDA",$B110,$B110)),VALUE(_xll.BDH(H$4,"CURRENT_EV_TO_T12M_EBITDA",$B110+1,$B110+1))),H111))</f>
        <v>0</v>
      </c>
      <c r="I110" s="559">
        <f t="shared" ca="1" si="35"/>
        <v>45219</v>
      </c>
      <c r="J110" s="555">
        <f ca="1">(IFERROR(IFERROR(VALUE(_xll.BDH(J$4,"PE_RATIO",$B110,$B110)),VALUE(_xll.BDH(J$4,"PE_RATIO",$B110+1,$B110+1))),J111))</f>
        <v>0</v>
      </c>
      <c r="K110" s="555">
        <f ca="1">(IFERROR(IFERROR(VALUE(_xll.BDH(K$4,"PE_RATIO",$B110,$B110)),VALUE(_xll.BDH(K$4,"PE_RATIO",$B110+1,$B110+1))),K111))</f>
        <v>0</v>
      </c>
      <c r="L110" s="555">
        <f ca="1">(IFERROR(IFERROR(VALUE(_xll.BDH(L$4,"PE_RATIO",$B110,$B110)),VALUE(_xll.BDH(L$4,"PE_RATIO",$B110+1,$B110+1))),L111))</f>
        <v>0</v>
      </c>
      <c r="M110" s="555">
        <f ca="1">(IFERROR(IFERROR(VALUE(_xll.BDH(M$4,"PE_RATIO",$B110,$B110)),VALUE(_xll.BDH(M$4,"PE_RATIO",$B110+1,$B110+1))),M111))</f>
        <v>0</v>
      </c>
      <c r="N110" s="555">
        <f ca="1">(IFERROR(IFERROR(VALUE(_xll.BDH(N$4,"PE_RATIO",$B110,$B110)),VALUE(_xll.BDH(N$4,"PE_RATIO",$B110+1,$B110+1))),N111))</f>
        <v>0</v>
      </c>
      <c r="O110" s="555">
        <f ca="1">(IFERROR(IFERROR(VALUE(_xll.BDH(O$4,"PE_RATIO",$B110,$B110)),VALUE(_xll.BDH(O$4,"PE_RATIO",$B110+1,$B110+1))),O111))</f>
        <v>0</v>
      </c>
      <c r="P110" s="555"/>
      <c r="Q110" s="559">
        <f t="shared" ca="1" si="36"/>
        <v>45219</v>
      </c>
      <c r="R110" s="4">
        <v>71.83</v>
      </c>
      <c r="S110" s="4">
        <v>117331.3</v>
      </c>
      <c r="T110" s="4">
        <v>0</v>
      </c>
      <c r="U110" s="4">
        <v>0.74435233160621761</v>
      </c>
      <c r="V110" s="4">
        <v>1.0826282671449998</v>
      </c>
      <c r="W110" s="4" t="e">
        <v>#DIV/0!</v>
      </c>
      <c r="Y110" s="555">
        <f t="shared" si="37"/>
        <v>71.83</v>
      </c>
      <c r="Z110" s="4">
        <f ca="1">IFERROR(VALUE(_xll.BDH(Z$4,"PX_LAST",$Q110,$Q110)),Z111)</f>
        <v>0</v>
      </c>
      <c r="AA110" s="4">
        <f ca="1">IFERROR(VALUE(_xll.BDH(AA$4,"PX_LAST",$Q110,$Q110)),AA111)</f>
        <v>0</v>
      </c>
      <c r="AB110" s="4">
        <f ca="1">IFERROR(VALUE(_xll.BDH(AB$4,"PX_LAST",$Q110,$Q110)),AB111)</f>
        <v>0</v>
      </c>
      <c r="AC110" s="4">
        <f ca="1">IFERROR(VALUE(_xll.BDH(AC$4,"PX_LAST",$Q110,$Q110)),AC111)</f>
        <v>0</v>
      </c>
      <c r="AD110" s="4">
        <f ca="1">IFERROR(VALUE(_xll.BDH(AD$4,"PX_LAST",$Q110,$Q110)),AD111)</f>
        <v>0</v>
      </c>
      <c r="AF110" s="4">
        <f t="shared" si="38"/>
        <v>0.74435233160621761</v>
      </c>
      <c r="AG110" s="4" t="e">
        <f t="shared" ca="1" si="39"/>
        <v>#DIV/0!</v>
      </c>
      <c r="AH110" s="4" t="e">
        <f t="shared" ca="1" si="40"/>
        <v>#DIV/0!</v>
      </c>
      <c r="AI110" s="4" t="e">
        <f t="shared" ca="1" si="41"/>
        <v>#DIV/0!</v>
      </c>
      <c r="AJ110" s="4" t="e">
        <f t="shared" ca="1" si="42"/>
        <v>#DIV/0!</v>
      </c>
      <c r="AK110" s="4" t="e">
        <f t="shared" ca="1" si="43"/>
        <v>#DIV/0!</v>
      </c>
      <c r="AM110" s="557">
        <f t="shared" ca="1" si="33"/>
        <v>45848</v>
      </c>
      <c r="AN110" s="558">
        <v>39.47</v>
      </c>
      <c r="AO110" s="558">
        <v>1871700</v>
      </c>
      <c r="AP110" s="558">
        <v>206.48981000000001</v>
      </c>
      <c r="AQ110" s="558">
        <v>8150.1528006999997</v>
      </c>
      <c r="AR110" s="558">
        <v>0.58699999999999997</v>
      </c>
    </row>
    <row r="111" spans="2:44">
      <c r="B111" s="559">
        <f t="shared" ca="1" si="44"/>
        <v>45212</v>
      </c>
      <c r="C111" s="555">
        <f ca="1">(IFERROR(IFERROR(VALUE(_xll.BDH(C$4,"CURRENT_EV_TO_T12M_EBITDA",$B111,$B111)),VALUE(_xll.BDH(C$4,"CURRENT_EV_TO_T12M_EBITDA",$B111+1,$B111+1))),C112))</f>
        <v>0</v>
      </c>
      <c r="D111" s="555">
        <f ca="1">(IFERROR(IFERROR(VALUE(_xll.BDH(D$4,"CURRENT_EV_TO_T12M_EBITDA",$B111,$B111)),VALUE(_xll.BDH(D$4,"CURRENT_EV_TO_T12M_EBITDA",$B111+1,$B111+1))),D112))</f>
        <v>0</v>
      </c>
      <c r="E111" s="555">
        <f ca="1">(IFERROR(IFERROR(VALUE(_xll.BDH(E$4,"CURRENT_EV_TO_T12M_EBITDA",$B111,$B111)),VALUE(_xll.BDH(E$4,"CURRENT_EV_TO_T12M_EBITDA",$B111+1,$B111+1))),E112))</f>
        <v>0</v>
      </c>
      <c r="F111" s="555">
        <f ca="1">(IFERROR(IFERROR(VALUE(_xll.BDH(F$4,"CURRENT_EV_TO_T12M_EBITDA",$B111,$B111)),VALUE(_xll.BDH(F$4,"CURRENT_EV_TO_T12M_EBITDA",$B111+1,$B111+1))),F112))</f>
        <v>0</v>
      </c>
      <c r="G111" s="555">
        <f ca="1">(IFERROR(IFERROR(VALUE(_xll.BDH(G$4,"CURRENT_EV_TO_T12M_EBITDA",$B111,$B111)),VALUE(_xll.BDH(G$4,"CURRENT_EV_TO_T12M_EBITDA",$B111+1,$B111+1))),G112))</f>
        <v>0</v>
      </c>
      <c r="H111" s="555">
        <f ca="1">(IFERROR(IFERROR(VALUE(_xll.BDH(H$4,"CURRENT_EV_TO_T12M_EBITDA",$B111,$B111)),VALUE(_xll.BDH(H$4,"CURRENT_EV_TO_T12M_EBITDA",$B111+1,$B111+1))),H112))</f>
        <v>0</v>
      </c>
      <c r="I111" s="559">
        <f t="shared" ca="1" si="35"/>
        <v>45212</v>
      </c>
      <c r="J111" s="555">
        <f ca="1">(IFERROR(IFERROR(VALUE(_xll.BDH(J$4,"PE_RATIO",$B111,$B111)),VALUE(_xll.BDH(J$4,"PE_RATIO",$B111+1,$B111+1))),J112))</f>
        <v>0</v>
      </c>
      <c r="K111" s="555">
        <f ca="1">(IFERROR(IFERROR(VALUE(_xll.BDH(K$4,"PE_RATIO",$B111,$B111)),VALUE(_xll.BDH(K$4,"PE_RATIO",$B111+1,$B111+1))),K112))</f>
        <v>0</v>
      </c>
      <c r="L111" s="555">
        <f ca="1">(IFERROR(IFERROR(VALUE(_xll.BDH(L$4,"PE_RATIO",$B111,$B111)),VALUE(_xll.BDH(L$4,"PE_RATIO",$B111+1,$B111+1))),L112))</f>
        <v>0</v>
      </c>
      <c r="M111" s="555">
        <f ca="1">(IFERROR(IFERROR(VALUE(_xll.BDH(M$4,"PE_RATIO",$B111,$B111)),VALUE(_xll.BDH(M$4,"PE_RATIO",$B111+1,$B111+1))),M112))</f>
        <v>0</v>
      </c>
      <c r="N111" s="555">
        <f ca="1">(IFERROR(IFERROR(VALUE(_xll.BDH(N$4,"PE_RATIO",$B111,$B111)),VALUE(_xll.BDH(N$4,"PE_RATIO",$B111+1,$B111+1))),N112))</f>
        <v>0</v>
      </c>
      <c r="O111" s="555">
        <f ca="1">(IFERROR(IFERROR(VALUE(_xll.BDH(O$4,"PE_RATIO",$B111,$B111)),VALUE(_xll.BDH(O$4,"PE_RATIO",$B111+1,$B111+1))),O112))</f>
        <v>0</v>
      </c>
      <c r="P111" s="555"/>
      <c r="Q111" s="559">
        <f t="shared" ca="1" si="36"/>
        <v>45212</v>
      </c>
      <c r="R111" s="4">
        <v>73.55</v>
      </c>
      <c r="S111" s="4">
        <v>118403.61</v>
      </c>
      <c r="T111" s="4">
        <v>0</v>
      </c>
      <c r="U111" s="4">
        <v>0.76217616580310876</v>
      </c>
      <c r="V111" s="4">
        <v>1.0925225844937572</v>
      </c>
      <c r="W111" s="4" t="e">
        <v>#DIV/0!</v>
      </c>
      <c r="Y111" s="555">
        <f t="shared" si="37"/>
        <v>73.55</v>
      </c>
      <c r="Z111" s="4">
        <f ca="1">IFERROR(VALUE(_xll.BDH(Z$4,"PX_LAST",$Q111,$Q111)),Z112)</f>
        <v>0</v>
      </c>
      <c r="AA111" s="4">
        <f ca="1">IFERROR(VALUE(_xll.BDH(AA$4,"PX_LAST",$Q111,$Q111)),AA112)</f>
        <v>0</v>
      </c>
      <c r="AB111" s="4">
        <f ca="1">IFERROR(VALUE(_xll.BDH(AB$4,"PX_LAST",$Q111,$Q111)),AB112)</f>
        <v>0</v>
      </c>
      <c r="AC111" s="4">
        <f ca="1">IFERROR(VALUE(_xll.BDH(AC$4,"PX_LAST",$Q111,$Q111)),AC112)</f>
        <v>0</v>
      </c>
      <c r="AD111" s="4">
        <f ca="1">IFERROR(VALUE(_xll.BDH(AD$4,"PX_LAST",$Q111,$Q111)),AD112)</f>
        <v>0</v>
      </c>
      <c r="AF111" s="4">
        <f t="shared" si="38"/>
        <v>0.76217616580310876</v>
      </c>
      <c r="AG111" s="4" t="e">
        <f t="shared" ca="1" si="39"/>
        <v>#DIV/0!</v>
      </c>
      <c r="AH111" s="4" t="e">
        <f t="shared" ca="1" si="40"/>
        <v>#DIV/0!</v>
      </c>
      <c r="AI111" s="4" t="e">
        <f t="shared" ca="1" si="41"/>
        <v>#DIV/0!</v>
      </c>
      <c r="AJ111" s="4" t="e">
        <f t="shared" ca="1" si="42"/>
        <v>#DIV/0!</v>
      </c>
      <c r="AK111" s="4" t="e">
        <f t="shared" ca="1" si="43"/>
        <v>#DIV/0!</v>
      </c>
      <c r="AM111" s="557">
        <f t="shared" ca="1" si="33"/>
        <v>45847</v>
      </c>
      <c r="AN111" s="558">
        <v>38.71</v>
      </c>
      <c r="AO111" s="558">
        <v>6159600</v>
      </c>
      <c r="AP111" s="558">
        <v>206.48981000000001</v>
      </c>
      <c r="AQ111" s="558">
        <v>7993.2205451</v>
      </c>
      <c r="AR111" s="558">
        <v>0.57399999999999995</v>
      </c>
    </row>
    <row r="112" spans="2:44">
      <c r="B112" s="559">
        <f t="shared" ca="1" si="44"/>
        <v>45205</v>
      </c>
      <c r="C112" s="555">
        <f ca="1">(IFERROR(IFERROR(VALUE(_xll.BDH(C$4,"CURRENT_EV_TO_T12M_EBITDA",$B112,$B112)),VALUE(_xll.BDH(C$4,"CURRENT_EV_TO_T12M_EBITDA",$B112+1,$B112+1))),C113))</f>
        <v>0</v>
      </c>
      <c r="D112" s="555">
        <f ca="1">(IFERROR(IFERROR(VALUE(_xll.BDH(D$4,"CURRENT_EV_TO_T12M_EBITDA",$B112,$B112)),VALUE(_xll.BDH(D$4,"CURRENT_EV_TO_T12M_EBITDA",$B112+1,$B112+1))),D113))</f>
        <v>0</v>
      </c>
      <c r="E112" s="555">
        <f ca="1">(IFERROR(IFERROR(VALUE(_xll.BDH(E$4,"CURRENT_EV_TO_T12M_EBITDA",$B112,$B112)),VALUE(_xll.BDH(E$4,"CURRENT_EV_TO_T12M_EBITDA",$B112+1,$B112+1))),E113))</f>
        <v>0</v>
      </c>
      <c r="F112" s="555">
        <f ca="1">(IFERROR(IFERROR(VALUE(_xll.BDH(F$4,"CURRENT_EV_TO_T12M_EBITDA",$B112,$B112)),VALUE(_xll.BDH(F$4,"CURRENT_EV_TO_T12M_EBITDA",$B112+1,$B112+1))),F113))</f>
        <v>0</v>
      </c>
      <c r="G112" s="555">
        <f ca="1">(IFERROR(IFERROR(VALUE(_xll.BDH(G$4,"CURRENT_EV_TO_T12M_EBITDA",$B112,$B112)),VALUE(_xll.BDH(G$4,"CURRENT_EV_TO_T12M_EBITDA",$B112+1,$B112+1))),G113))</f>
        <v>0</v>
      </c>
      <c r="H112" s="555">
        <f ca="1">(IFERROR(IFERROR(VALUE(_xll.BDH(H$4,"CURRENT_EV_TO_T12M_EBITDA",$B112,$B112)),VALUE(_xll.BDH(H$4,"CURRENT_EV_TO_T12M_EBITDA",$B112+1,$B112+1))),H113))</f>
        <v>0</v>
      </c>
      <c r="I112" s="559">
        <f t="shared" ca="1" si="35"/>
        <v>45205</v>
      </c>
      <c r="J112" s="555">
        <f ca="1">(IFERROR(IFERROR(VALUE(_xll.BDH(J$4,"PE_RATIO",$B112,$B112)),VALUE(_xll.BDH(J$4,"PE_RATIO",$B112+1,$B112+1))),J113))</f>
        <v>0</v>
      </c>
      <c r="K112" s="555">
        <f ca="1">(IFERROR(IFERROR(VALUE(_xll.BDH(K$4,"PE_RATIO",$B112,$B112)),VALUE(_xll.BDH(K$4,"PE_RATIO",$B112+1,$B112+1))),K113))</f>
        <v>0</v>
      </c>
      <c r="L112" s="555">
        <f ca="1">(IFERROR(IFERROR(VALUE(_xll.BDH(L$4,"PE_RATIO",$B112,$B112)),VALUE(_xll.BDH(L$4,"PE_RATIO",$B112+1,$B112+1))),L113))</f>
        <v>0</v>
      </c>
      <c r="M112" s="555">
        <f ca="1">(IFERROR(IFERROR(VALUE(_xll.BDH(M$4,"PE_RATIO",$B112,$B112)),VALUE(_xll.BDH(M$4,"PE_RATIO",$B112+1,$B112+1))),M113))</f>
        <v>0</v>
      </c>
      <c r="N112" s="555">
        <f ca="1">(IFERROR(IFERROR(VALUE(_xll.BDH(N$4,"PE_RATIO",$B112,$B112)),VALUE(_xll.BDH(N$4,"PE_RATIO",$B112+1,$B112+1))),N113))</f>
        <v>0</v>
      </c>
      <c r="O112" s="555">
        <f ca="1">(IFERROR(IFERROR(VALUE(_xll.BDH(O$4,"PE_RATIO",$B112,$B112)),VALUE(_xll.BDH(O$4,"PE_RATIO",$B112+1,$B112+1))),O113))</f>
        <v>0</v>
      </c>
      <c r="P112" s="555"/>
      <c r="Q112" s="559">
        <f t="shared" ca="1" si="36"/>
        <v>45205</v>
      </c>
      <c r="R112" s="4">
        <v>81.19</v>
      </c>
      <c r="S112" s="4">
        <v>116156.01</v>
      </c>
      <c r="T112" s="4">
        <v>0</v>
      </c>
      <c r="U112" s="4">
        <v>0.84134715025906737</v>
      </c>
      <c r="V112" s="4">
        <v>1.0717837424862526</v>
      </c>
      <c r="W112" s="4" t="e">
        <v>#DIV/0!</v>
      </c>
      <c r="Y112" s="555">
        <f t="shared" si="37"/>
        <v>81.19</v>
      </c>
      <c r="Z112" s="4">
        <f ca="1">IFERROR(VALUE(_xll.BDH(Z$4,"PX_LAST",$Q112,$Q112)),Z113)</f>
        <v>0</v>
      </c>
      <c r="AA112" s="4">
        <f ca="1">IFERROR(VALUE(_xll.BDH(AA$4,"PX_LAST",$Q112,$Q112)),AA113)</f>
        <v>0</v>
      </c>
      <c r="AB112" s="4">
        <f ca="1">IFERROR(VALUE(_xll.BDH(AB$4,"PX_LAST",$Q112,$Q112)),AB113)</f>
        <v>0</v>
      </c>
      <c r="AC112" s="4">
        <f ca="1">IFERROR(VALUE(_xll.BDH(AC$4,"PX_LAST",$Q112,$Q112)),AC113)</f>
        <v>0</v>
      </c>
      <c r="AD112" s="4">
        <f ca="1">IFERROR(VALUE(_xll.BDH(AD$4,"PX_LAST",$Q112,$Q112)),AD113)</f>
        <v>0</v>
      </c>
      <c r="AF112" s="4">
        <f t="shared" si="38"/>
        <v>0.84134715025906737</v>
      </c>
      <c r="AG112" s="4" t="e">
        <f t="shared" ca="1" si="39"/>
        <v>#DIV/0!</v>
      </c>
      <c r="AH112" s="4" t="e">
        <f t="shared" ca="1" si="40"/>
        <v>#DIV/0!</v>
      </c>
      <c r="AI112" s="4" t="e">
        <f t="shared" ca="1" si="41"/>
        <v>#DIV/0!</v>
      </c>
      <c r="AJ112" s="4" t="e">
        <f t="shared" ca="1" si="42"/>
        <v>#DIV/0!</v>
      </c>
      <c r="AK112" s="4" t="e">
        <f t="shared" ca="1" si="43"/>
        <v>#DIV/0!</v>
      </c>
      <c r="AM112" s="557">
        <f t="shared" ca="1" si="33"/>
        <v>45846</v>
      </c>
      <c r="AN112" s="558">
        <v>38.71</v>
      </c>
      <c r="AO112" s="558">
        <v>6159600</v>
      </c>
      <c r="AP112" s="558">
        <v>206.48981000000001</v>
      </c>
      <c r="AQ112" s="558">
        <v>7993.2205451</v>
      </c>
      <c r="AR112" s="558">
        <v>0.57399999999999995</v>
      </c>
    </row>
    <row r="113" spans="2:44">
      <c r="B113" s="559">
        <f t="shared" ca="1" si="44"/>
        <v>45198</v>
      </c>
      <c r="C113" s="555">
        <f ca="1">(IFERROR(IFERROR(VALUE(_xll.BDH(C$4,"CURRENT_EV_TO_T12M_EBITDA",$B113,$B113)),VALUE(_xll.BDH(C$4,"CURRENT_EV_TO_T12M_EBITDA",$B113+1,$B113+1))),C114))</f>
        <v>0</v>
      </c>
      <c r="D113" s="555">
        <f ca="1">(IFERROR(IFERROR(VALUE(_xll.BDH(D$4,"CURRENT_EV_TO_T12M_EBITDA",$B113,$B113)),VALUE(_xll.BDH(D$4,"CURRENT_EV_TO_T12M_EBITDA",$B113+1,$B113+1))),D114))</f>
        <v>0</v>
      </c>
      <c r="E113" s="555">
        <f ca="1">(IFERROR(IFERROR(VALUE(_xll.BDH(E$4,"CURRENT_EV_TO_T12M_EBITDA",$B113,$B113)),VALUE(_xll.BDH(E$4,"CURRENT_EV_TO_T12M_EBITDA",$B113+1,$B113+1))),E114))</f>
        <v>0</v>
      </c>
      <c r="F113" s="555">
        <f ca="1">(IFERROR(IFERROR(VALUE(_xll.BDH(F$4,"CURRENT_EV_TO_T12M_EBITDA",$B113,$B113)),VALUE(_xll.BDH(F$4,"CURRENT_EV_TO_T12M_EBITDA",$B113+1,$B113+1))),F114))</f>
        <v>0</v>
      </c>
      <c r="G113" s="555">
        <f ca="1">(IFERROR(IFERROR(VALUE(_xll.BDH(G$4,"CURRENT_EV_TO_T12M_EBITDA",$B113,$B113)),VALUE(_xll.BDH(G$4,"CURRENT_EV_TO_T12M_EBITDA",$B113+1,$B113+1))),G114))</f>
        <v>0</v>
      </c>
      <c r="H113" s="555">
        <f ca="1">(IFERROR(IFERROR(VALUE(_xll.BDH(H$4,"CURRENT_EV_TO_T12M_EBITDA",$B113,$B113)),VALUE(_xll.BDH(H$4,"CURRENT_EV_TO_T12M_EBITDA",$B113+1,$B113+1))),H114))</f>
        <v>0</v>
      </c>
      <c r="I113" s="559">
        <f t="shared" ca="1" si="35"/>
        <v>45198</v>
      </c>
      <c r="J113" s="555">
        <f ca="1">(IFERROR(IFERROR(VALUE(_xll.BDH(J$4,"PE_RATIO",$B113,$B113)),VALUE(_xll.BDH(J$4,"PE_RATIO",$B113+1,$B113+1))),J114))</f>
        <v>0</v>
      </c>
      <c r="K113" s="555">
        <f ca="1">(IFERROR(IFERROR(VALUE(_xll.BDH(K$4,"PE_RATIO",$B113,$B113)),VALUE(_xll.BDH(K$4,"PE_RATIO",$B113+1,$B113+1))),K114))</f>
        <v>0</v>
      </c>
      <c r="L113" s="555">
        <f ca="1">(IFERROR(IFERROR(VALUE(_xll.BDH(L$4,"PE_RATIO",$B113,$B113)),VALUE(_xll.BDH(L$4,"PE_RATIO",$B113+1,$B113+1))),L114))</f>
        <v>0</v>
      </c>
      <c r="M113" s="555">
        <f ca="1">(IFERROR(IFERROR(VALUE(_xll.BDH(M$4,"PE_RATIO",$B113,$B113)),VALUE(_xll.BDH(M$4,"PE_RATIO",$B113+1,$B113+1))),M114))</f>
        <v>0</v>
      </c>
      <c r="N113" s="555">
        <f ca="1">(IFERROR(IFERROR(VALUE(_xll.BDH(N$4,"PE_RATIO",$B113,$B113)),VALUE(_xll.BDH(N$4,"PE_RATIO",$B113+1,$B113+1))),N114))</f>
        <v>0</v>
      </c>
      <c r="O113" s="555">
        <f ca="1">(IFERROR(IFERROR(VALUE(_xll.BDH(O$4,"PE_RATIO",$B113,$B113)),VALUE(_xll.BDH(O$4,"PE_RATIO",$B113+1,$B113+1))),O114))</f>
        <v>0</v>
      </c>
      <c r="P113" s="555"/>
      <c r="Q113" s="559">
        <f t="shared" ca="1" si="36"/>
        <v>45198</v>
      </c>
      <c r="R113" s="4">
        <v>81.3</v>
      </c>
      <c r="S113" s="4">
        <v>116171.42</v>
      </c>
      <c r="T113" s="4">
        <v>0</v>
      </c>
      <c r="U113" s="4">
        <v>0.84248704663212437</v>
      </c>
      <c r="V113" s="4">
        <v>1.0719259321798529</v>
      </c>
      <c r="W113" s="4" t="e">
        <v>#DIV/0!</v>
      </c>
      <c r="Y113" s="555">
        <f t="shared" si="37"/>
        <v>81.3</v>
      </c>
      <c r="Z113" s="4">
        <f ca="1">IFERROR(VALUE(_xll.BDH(Z$4,"PX_LAST",$Q113,$Q113)),Z114)</f>
        <v>0</v>
      </c>
      <c r="AA113" s="4">
        <f ca="1">IFERROR(VALUE(_xll.BDH(AA$4,"PX_LAST",$Q113,$Q113)),AA114)</f>
        <v>0</v>
      </c>
      <c r="AB113" s="4">
        <f ca="1">IFERROR(VALUE(_xll.BDH(AB$4,"PX_LAST",$Q113,$Q113)),AB114)</f>
        <v>0</v>
      </c>
      <c r="AC113" s="4">
        <f ca="1">IFERROR(VALUE(_xll.BDH(AC$4,"PX_LAST",$Q113,$Q113)),AC114)</f>
        <v>0</v>
      </c>
      <c r="AD113" s="4">
        <f ca="1">IFERROR(VALUE(_xll.BDH(AD$4,"PX_LAST",$Q113,$Q113)),AD114)</f>
        <v>0</v>
      </c>
      <c r="AF113" s="4">
        <f t="shared" si="38"/>
        <v>0.84248704663212437</v>
      </c>
      <c r="AG113" s="4" t="e">
        <f t="shared" ca="1" si="39"/>
        <v>#DIV/0!</v>
      </c>
      <c r="AH113" s="4" t="e">
        <f t="shared" ca="1" si="40"/>
        <v>#DIV/0!</v>
      </c>
      <c r="AI113" s="4" t="e">
        <f t="shared" ca="1" si="41"/>
        <v>#DIV/0!</v>
      </c>
      <c r="AJ113" s="4" t="e">
        <f t="shared" ca="1" si="42"/>
        <v>#DIV/0!</v>
      </c>
      <c r="AK113" s="4" t="e">
        <f t="shared" ca="1" si="43"/>
        <v>#DIV/0!</v>
      </c>
      <c r="AM113" s="557">
        <f t="shared" ca="1" si="33"/>
        <v>45845</v>
      </c>
      <c r="AN113" s="558">
        <v>38.71</v>
      </c>
      <c r="AO113" s="558">
        <v>6159600</v>
      </c>
      <c r="AP113" s="558">
        <v>206.48981000000001</v>
      </c>
      <c r="AQ113" s="558">
        <v>7993.2205451</v>
      </c>
      <c r="AR113" s="558">
        <v>0.57399999999999995</v>
      </c>
    </row>
    <row r="114" spans="2:44">
      <c r="B114" s="559">
        <f t="shared" ca="1" si="44"/>
        <v>45191</v>
      </c>
      <c r="C114" s="555">
        <f ca="1">(IFERROR(IFERROR(VALUE(_xll.BDH(C$4,"CURRENT_EV_TO_T12M_EBITDA",$B114,$B114)),VALUE(_xll.BDH(C$4,"CURRENT_EV_TO_T12M_EBITDA",$B114+1,$B114+1))),C115))</f>
        <v>0</v>
      </c>
      <c r="D114" s="555">
        <f ca="1">(IFERROR(IFERROR(VALUE(_xll.BDH(D$4,"CURRENT_EV_TO_T12M_EBITDA",$B114,$B114)),VALUE(_xll.BDH(D$4,"CURRENT_EV_TO_T12M_EBITDA",$B114+1,$B114+1))),D115))</f>
        <v>0</v>
      </c>
      <c r="E114" s="555">
        <f ca="1">(IFERROR(IFERROR(VALUE(_xll.BDH(E$4,"CURRENT_EV_TO_T12M_EBITDA",$B114,$B114)),VALUE(_xll.BDH(E$4,"CURRENT_EV_TO_T12M_EBITDA",$B114+1,$B114+1))),E115))</f>
        <v>0</v>
      </c>
      <c r="F114" s="555">
        <f ca="1">(IFERROR(IFERROR(VALUE(_xll.BDH(F$4,"CURRENT_EV_TO_T12M_EBITDA",$B114,$B114)),VALUE(_xll.BDH(F$4,"CURRENT_EV_TO_T12M_EBITDA",$B114+1,$B114+1))),F115))</f>
        <v>0</v>
      </c>
      <c r="G114" s="555">
        <f ca="1">(IFERROR(IFERROR(VALUE(_xll.BDH(G$4,"CURRENT_EV_TO_T12M_EBITDA",$B114,$B114)),VALUE(_xll.BDH(G$4,"CURRENT_EV_TO_T12M_EBITDA",$B114+1,$B114+1))),G115))</f>
        <v>0</v>
      </c>
      <c r="H114" s="555">
        <f ca="1">(IFERROR(IFERROR(VALUE(_xll.BDH(H$4,"CURRENT_EV_TO_T12M_EBITDA",$B114,$B114)),VALUE(_xll.BDH(H$4,"CURRENT_EV_TO_T12M_EBITDA",$B114+1,$B114+1))),H115))</f>
        <v>0</v>
      </c>
      <c r="I114" s="559">
        <f t="shared" ca="1" si="35"/>
        <v>45191</v>
      </c>
      <c r="J114" s="555">
        <f ca="1">(IFERROR(IFERROR(VALUE(_xll.BDH(J$4,"PE_RATIO",$B114,$B114)),VALUE(_xll.BDH(J$4,"PE_RATIO",$B114+1,$B114+1))),J115))</f>
        <v>0</v>
      </c>
      <c r="K114" s="555">
        <f ca="1">(IFERROR(IFERROR(VALUE(_xll.BDH(K$4,"PE_RATIO",$B114,$B114)),VALUE(_xll.BDH(K$4,"PE_RATIO",$B114+1,$B114+1))),K115))</f>
        <v>0</v>
      </c>
      <c r="L114" s="555">
        <f ca="1">(IFERROR(IFERROR(VALUE(_xll.BDH(L$4,"PE_RATIO",$B114,$B114)),VALUE(_xll.BDH(L$4,"PE_RATIO",$B114+1,$B114+1))),L115))</f>
        <v>0</v>
      </c>
      <c r="M114" s="555">
        <f ca="1">(IFERROR(IFERROR(VALUE(_xll.BDH(M$4,"PE_RATIO",$B114,$B114)),VALUE(_xll.BDH(M$4,"PE_RATIO",$B114+1,$B114+1))),M115))</f>
        <v>0</v>
      </c>
      <c r="N114" s="555">
        <f ca="1">(IFERROR(IFERROR(VALUE(_xll.BDH(N$4,"PE_RATIO",$B114,$B114)),VALUE(_xll.BDH(N$4,"PE_RATIO",$B114+1,$B114+1))),N115))</f>
        <v>0</v>
      </c>
      <c r="O114" s="555">
        <f ca="1">(IFERROR(IFERROR(VALUE(_xll.BDH(O$4,"PE_RATIO",$B114,$B114)),VALUE(_xll.BDH(O$4,"PE_RATIO",$B114+1,$B114+1))),O115))</f>
        <v>0</v>
      </c>
      <c r="P114" s="555"/>
      <c r="Q114" s="559">
        <f t="shared" ca="1" si="36"/>
        <v>45191</v>
      </c>
      <c r="R114" s="4">
        <v>82.35</v>
      </c>
      <c r="S114" s="4">
        <v>119090.24000000001</v>
      </c>
      <c r="T114" s="4">
        <v>0</v>
      </c>
      <c r="U114" s="4">
        <v>0.85336787564766836</v>
      </c>
      <c r="V114" s="4">
        <v>1.0988581918472065</v>
      </c>
      <c r="W114" s="4" t="e">
        <v>#DIV/0!</v>
      </c>
      <c r="Y114" s="555">
        <f t="shared" si="37"/>
        <v>82.35</v>
      </c>
      <c r="Z114" s="4">
        <f ca="1">IFERROR(VALUE(_xll.BDH(Z$4,"PX_LAST",$Q114,$Q114)),Z115)</f>
        <v>0</v>
      </c>
      <c r="AA114" s="4">
        <f ca="1">IFERROR(VALUE(_xll.BDH(AA$4,"PX_LAST",$Q114,$Q114)),AA115)</f>
        <v>0</v>
      </c>
      <c r="AB114" s="4">
        <f ca="1">IFERROR(VALUE(_xll.BDH(AB$4,"PX_LAST",$Q114,$Q114)),AB115)</f>
        <v>0</v>
      </c>
      <c r="AC114" s="4">
        <f ca="1">IFERROR(VALUE(_xll.BDH(AC$4,"PX_LAST",$Q114,$Q114)),AC115)</f>
        <v>0</v>
      </c>
      <c r="AD114" s="4">
        <f ca="1">IFERROR(VALUE(_xll.BDH(AD$4,"PX_LAST",$Q114,$Q114)),AD115)</f>
        <v>0</v>
      </c>
      <c r="AF114" s="4">
        <f t="shared" si="38"/>
        <v>0.85336787564766836</v>
      </c>
      <c r="AG114" s="4" t="e">
        <f t="shared" ca="1" si="39"/>
        <v>#DIV/0!</v>
      </c>
      <c r="AH114" s="4" t="e">
        <f t="shared" ca="1" si="40"/>
        <v>#DIV/0!</v>
      </c>
      <c r="AI114" s="4" t="e">
        <f t="shared" ca="1" si="41"/>
        <v>#DIV/0!</v>
      </c>
      <c r="AJ114" s="4" t="e">
        <f t="shared" ca="1" si="42"/>
        <v>#DIV/0!</v>
      </c>
      <c r="AK114" s="4" t="e">
        <f t="shared" ca="1" si="43"/>
        <v>#DIV/0!</v>
      </c>
      <c r="AM114" s="557">
        <f t="shared" ca="1" si="33"/>
        <v>45844</v>
      </c>
      <c r="AN114" s="558">
        <v>41.174999999999997</v>
      </c>
      <c r="AO114" s="558">
        <v>3122400</v>
      </c>
      <c r="AP114" s="558">
        <v>206.48981000000001</v>
      </c>
      <c r="AQ114" s="558">
        <v>8502.2179267499996</v>
      </c>
      <c r="AR114" s="558">
        <v>0.61109999999999998</v>
      </c>
    </row>
    <row r="115" spans="2:44">
      <c r="B115" s="559">
        <f t="shared" ca="1" si="44"/>
        <v>45184</v>
      </c>
      <c r="C115" s="555">
        <f ca="1">(IFERROR(IFERROR(VALUE(_xll.BDH(C$4,"CURRENT_EV_TO_T12M_EBITDA",$B115,$B115)),VALUE(_xll.BDH(C$4,"CURRENT_EV_TO_T12M_EBITDA",$B115+1,$B115+1))),C116))</f>
        <v>0</v>
      </c>
      <c r="D115" s="555">
        <f ca="1">(IFERROR(IFERROR(VALUE(_xll.BDH(D$4,"CURRENT_EV_TO_T12M_EBITDA",$B115,$B115)),VALUE(_xll.BDH(D$4,"CURRENT_EV_TO_T12M_EBITDA",$B115+1,$B115+1))),D116))</f>
        <v>0</v>
      </c>
      <c r="E115" s="555">
        <f ca="1">(IFERROR(IFERROR(VALUE(_xll.BDH(E$4,"CURRENT_EV_TO_T12M_EBITDA",$B115,$B115)),VALUE(_xll.BDH(E$4,"CURRENT_EV_TO_T12M_EBITDA",$B115+1,$B115+1))),E116))</f>
        <v>0</v>
      </c>
      <c r="F115" s="555">
        <f ca="1">(IFERROR(IFERROR(VALUE(_xll.BDH(F$4,"CURRENT_EV_TO_T12M_EBITDA",$B115,$B115)),VALUE(_xll.BDH(F$4,"CURRENT_EV_TO_T12M_EBITDA",$B115+1,$B115+1))),F116))</f>
        <v>0</v>
      </c>
      <c r="G115" s="555">
        <f ca="1">(IFERROR(IFERROR(VALUE(_xll.BDH(G$4,"CURRENT_EV_TO_T12M_EBITDA",$B115,$B115)),VALUE(_xll.BDH(G$4,"CURRENT_EV_TO_T12M_EBITDA",$B115+1,$B115+1))),G116))</f>
        <v>0</v>
      </c>
      <c r="H115" s="555">
        <f ca="1">(IFERROR(IFERROR(VALUE(_xll.BDH(H$4,"CURRENT_EV_TO_T12M_EBITDA",$B115,$B115)),VALUE(_xll.BDH(H$4,"CURRENT_EV_TO_T12M_EBITDA",$B115+1,$B115+1))),H116))</f>
        <v>0</v>
      </c>
      <c r="I115" s="559">
        <f t="shared" ca="1" si="35"/>
        <v>45184</v>
      </c>
      <c r="J115" s="555">
        <f ca="1">(IFERROR(IFERROR(VALUE(_xll.BDH(J$4,"PE_RATIO",$B115,$B115)),VALUE(_xll.BDH(J$4,"PE_RATIO",$B115+1,$B115+1))),J116))</f>
        <v>0</v>
      </c>
      <c r="K115" s="555">
        <f ca="1">(IFERROR(IFERROR(VALUE(_xll.BDH(K$4,"PE_RATIO",$B115,$B115)),VALUE(_xll.BDH(K$4,"PE_RATIO",$B115+1,$B115+1))),K116))</f>
        <v>0</v>
      </c>
      <c r="L115" s="555">
        <f ca="1">(IFERROR(IFERROR(VALUE(_xll.BDH(L$4,"PE_RATIO",$B115,$B115)),VALUE(_xll.BDH(L$4,"PE_RATIO",$B115+1,$B115+1))),L116))</f>
        <v>0</v>
      </c>
      <c r="M115" s="555">
        <f ca="1">(IFERROR(IFERROR(VALUE(_xll.BDH(M$4,"PE_RATIO",$B115,$B115)),VALUE(_xll.BDH(M$4,"PE_RATIO",$B115+1,$B115+1))),M116))</f>
        <v>0</v>
      </c>
      <c r="N115" s="555">
        <f ca="1">(IFERROR(IFERROR(VALUE(_xll.BDH(N$4,"PE_RATIO",$B115,$B115)),VALUE(_xll.BDH(N$4,"PE_RATIO",$B115+1,$B115+1))),N116))</f>
        <v>0</v>
      </c>
      <c r="O115" s="555">
        <f ca="1">(IFERROR(IFERROR(VALUE(_xll.BDH(O$4,"PE_RATIO",$B115,$B115)),VALUE(_xll.BDH(O$4,"PE_RATIO",$B115+1,$B115+1))),O116))</f>
        <v>0</v>
      </c>
      <c r="P115" s="555"/>
      <c r="Q115" s="559">
        <f t="shared" ca="1" si="36"/>
        <v>45184</v>
      </c>
      <c r="R115" s="4">
        <v>79.7</v>
      </c>
      <c r="S115" s="4">
        <v>121248.39</v>
      </c>
      <c r="T115" s="4">
        <v>0</v>
      </c>
      <c r="U115" s="4">
        <v>0.82590673575129536</v>
      </c>
      <c r="V115" s="4">
        <v>1.1187716692802443</v>
      </c>
      <c r="W115" s="4" t="e">
        <v>#DIV/0!</v>
      </c>
      <c r="Y115" s="555">
        <f t="shared" si="37"/>
        <v>79.7</v>
      </c>
      <c r="Z115" s="4">
        <f ca="1">IFERROR(VALUE(_xll.BDH(Z$4,"PX_LAST",$Q115,$Q115)),Z116)</f>
        <v>0</v>
      </c>
      <c r="AA115" s="4">
        <f ca="1">IFERROR(VALUE(_xll.BDH(AA$4,"PX_LAST",$Q115,$Q115)),AA116)</f>
        <v>0</v>
      </c>
      <c r="AB115" s="4">
        <f ca="1">IFERROR(VALUE(_xll.BDH(AB$4,"PX_LAST",$Q115,$Q115)),AB116)</f>
        <v>0</v>
      </c>
      <c r="AC115" s="4">
        <f ca="1">IFERROR(VALUE(_xll.BDH(AC$4,"PX_LAST",$Q115,$Q115)),AC116)</f>
        <v>0</v>
      </c>
      <c r="AD115" s="4">
        <f ca="1">IFERROR(VALUE(_xll.BDH(AD$4,"PX_LAST",$Q115,$Q115)),AD116)</f>
        <v>0</v>
      </c>
      <c r="AF115" s="4">
        <f t="shared" si="38"/>
        <v>0.82590673575129536</v>
      </c>
      <c r="AG115" s="4" t="e">
        <f t="shared" ca="1" si="39"/>
        <v>#DIV/0!</v>
      </c>
      <c r="AH115" s="4" t="e">
        <f t="shared" ca="1" si="40"/>
        <v>#DIV/0!</v>
      </c>
      <c r="AI115" s="4" t="e">
        <f t="shared" ca="1" si="41"/>
        <v>#DIV/0!</v>
      </c>
      <c r="AJ115" s="4" t="e">
        <f t="shared" ca="1" si="42"/>
        <v>#DIV/0!</v>
      </c>
      <c r="AK115" s="4" t="e">
        <f t="shared" ca="1" si="43"/>
        <v>#DIV/0!</v>
      </c>
      <c r="AM115" s="557">
        <f t="shared" ca="1" si="33"/>
        <v>45843</v>
      </c>
      <c r="AN115" s="558">
        <v>41.445</v>
      </c>
      <c r="AO115" s="558">
        <v>2554800</v>
      </c>
      <c r="AP115" s="558">
        <v>206.48981000000001</v>
      </c>
      <c r="AQ115" s="558">
        <v>8557.9701754500002</v>
      </c>
      <c r="AR115" s="558">
        <v>0.61450000000000005</v>
      </c>
    </row>
    <row r="116" spans="2:44">
      <c r="B116" s="559">
        <f t="shared" ca="1" si="44"/>
        <v>45177</v>
      </c>
      <c r="C116" s="555">
        <f ca="1">(IFERROR(IFERROR(VALUE(_xll.BDH(C$4,"CURRENT_EV_TO_T12M_EBITDA",$B116,$B116)),VALUE(_xll.BDH(C$4,"CURRENT_EV_TO_T12M_EBITDA",$B116+1,$B116+1))),C117))</f>
        <v>0</v>
      </c>
      <c r="D116" s="555">
        <f ca="1">(IFERROR(IFERROR(VALUE(_xll.BDH(D$4,"CURRENT_EV_TO_T12M_EBITDA",$B116,$B116)),VALUE(_xll.BDH(D$4,"CURRENT_EV_TO_T12M_EBITDA",$B116+1,$B116+1))),D117))</f>
        <v>0</v>
      </c>
      <c r="E116" s="555">
        <f ca="1">(IFERROR(IFERROR(VALUE(_xll.BDH(E$4,"CURRENT_EV_TO_T12M_EBITDA",$B116,$B116)),VALUE(_xll.BDH(E$4,"CURRENT_EV_TO_T12M_EBITDA",$B116+1,$B116+1))),E117))</f>
        <v>0</v>
      </c>
      <c r="F116" s="555">
        <f ca="1">(IFERROR(IFERROR(VALUE(_xll.BDH(F$4,"CURRENT_EV_TO_T12M_EBITDA",$B116,$B116)),VALUE(_xll.BDH(F$4,"CURRENT_EV_TO_T12M_EBITDA",$B116+1,$B116+1))),F117))</f>
        <v>0</v>
      </c>
      <c r="G116" s="555">
        <f ca="1">(IFERROR(IFERROR(VALUE(_xll.BDH(G$4,"CURRENT_EV_TO_T12M_EBITDA",$B116,$B116)),VALUE(_xll.BDH(G$4,"CURRENT_EV_TO_T12M_EBITDA",$B116+1,$B116+1))),G117))</f>
        <v>0</v>
      </c>
      <c r="H116" s="555">
        <f ca="1">(IFERROR(IFERROR(VALUE(_xll.BDH(H$4,"CURRENT_EV_TO_T12M_EBITDA",$B116,$B116)),VALUE(_xll.BDH(H$4,"CURRENT_EV_TO_T12M_EBITDA",$B116+1,$B116+1))),H117))</f>
        <v>0</v>
      </c>
      <c r="I116" s="559">
        <f t="shared" ca="1" si="35"/>
        <v>45177</v>
      </c>
      <c r="J116" s="555">
        <f ca="1">(IFERROR(IFERROR(VALUE(_xll.BDH(J$4,"PE_RATIO",$B116,$B116)),VALUE(_xll.BDH(J$4,"PE_RATIO",$B116+1,$B116+1))),J117))</f>
        <v>0</v>
      </c>
      <c r="K116" s="555">
        <f ca="1">(IFERROR(IFERROR(VALUE(_xll.BDH(K$4,"PE_RATIO",$B116,$B116)),VALUE(_xll.BDH(K$4,"PE_RATIO",$B116+1,$B116+1))),K117))</f>
        <v>0</v>
      </c>
      <c r="L116" s="555">
        <f ca="1">(IFERROR(IFERROR(VALUE(_xll.BDH(L$4,"PE_RATIO",$B116,$B116)),VALUE(_xll.BDH(L$4,"PE_RATIO",$B116+1,$B116+1))),L117))</f>
        <v>0</v>
      </c>
      <c r="M116" s="555">
        <f ca="1">(IFERROR(IFERROR(VALUE(_xll.BDH(M$4,"PE_RATIO",$B116,$B116)),VALUE(_xll.BDH(M$4,"PE_RATIO",$B116+1,$B116+1))),M117))</f>
        <v>0</v>
      </c>
      <c r="N116" s="555">
        <f ca="1">(IFERROR(IFERROR(VALUE(_xll.BDH(N$4,"PE_RATIO",$B116,$B116)),VALUE(_xll.BDH(N$4,"PE_RATIO",$B116+1,$B116+1))),N117))</f>
        <v>0</v>
      </c>
      <c r="O116" s="555">
        <f ca="1">(IFERROR(IFERROR(VALUE(_xll.BDH(O$4,"PE_RATIO",$B116,$B116)),VALUE(_xll.BDH(O$4,"PE_RATIO",$B116+1,$B116+1))),O117))</f>
        <v>0</v>
      </c>
      <c r="P116" s="555"/>
      <c r="Q116" s="559">
        <f t="shared" ca="1" si="36"/>
        <v>45177</v>
      </c>
      <c r="R116" s="4">
        <v>83</v>
      </c>
      <c r="S116" s="4">
        <v>122007.77</v>
      </c>
      <c r="T116" s="4">
        <v>0</v>
      </c>
      <c r="U116" s="4">
        <v>0.86010362694300513</v>
      </c>
      <c r="V116" s="4">
        <v>1.1257785485486456</v>
      </c>
      <c r="W116" s="4" t="e">
        <v>#DIV/0!</v>
      </c>
      <c r="Y116" s="555">
        <f t="shared" si="37"/>
        <v>83</v>
      </c>
      <c r="Z116" s="4">
        <f ca="1">IFERROR(VALUE(_xll.BDH(Z$4,"PX_LAST",$Q116,$Q116)),Z117)</f>
        <v>0</v>
      </c>
      <c r="AA116" s="4">
        <f ca="1">IFERROR(VALUE(_xll.BDH(AA$4,"PX_LAST",$Q116,$Q116)),AA117)</f>
        <v>0</v>
      </c>
      <c r="AB116" s="4">
        <f ca="1">IFERROR(VALUE(_xll.BDH(AB$4,"PX_LAST",$Q116,$Q116)),AB117)</f>
        <v>0</v>
      </c>
      <c r="AC116" s="4">
        <f ca="1">IFERROR(VALUE(_xll.BDH(AC$4,"PX_LAST",$Q116,$Q116)),AC117)</f>
        <v>0</v>
      </c>
      <c r="AD116" s="4">
        <f ca="1">IFERROR(VALUE(_xll.BDH(AD$4,"PX_LAST",$Q116,$Q116)),AD117)</f>
        <v>0</v>
      </c>
      <c r="AF116" s="4">
        <f t="shared" si="38"/>
        <v>0.86010362694300513</v>
      </c>
      <c r="AG116" s="4" t="e">
        <f t="shared" ca="1" si="39"/>
        <v>#DIV/0!</v>
      </c>
      <c r="AH116" s="4" t="e">
        <f t="shared" ca="1" si="40"/>
        <v>#DIV/0!</v>
      </c>
      <c r="AI116" s="4" t="e">
        <f t="shared" ca="1" si="41"/>
        <v>#DIV/0!</v>
      </c>
      <c r="AJ116" s="4" t="e">
        <f t="shared" ca="1" si="42"/>
        <v>#DIV/0!</v>
      </c>
      <c r="AK116" s="4" t="e">
        <f t="shared" ca="1" si="43"/>
        <v>#DIV/0!</v>
      </c>
      <c r="AM116" s="557">
        <f t="shared" ca="1" si="33"/>
        <v>45842</v>
      </c>
      <c r="AN116" s="558">
        <v>43.905000000000001</v>
      </c>
      <c r="AO116" s="558">
        <v>1603100</v>
      </c>
      <c r="AP116" s="558">
        <v>206.48981000000001</v>
      </c>
      <c r="AQ116" s="558">
        <v>9065.9351080500001</v>
      </c>
      <c r="AR116" s="558">
        <v>0.65049999999999997</v>
      </c>
    </row>
    <row r="117" spans="2:44">
      <c r="B117" s="559">
        <f t="shared" ca="1" si="44"/>
        <v>45170</v>
      </c>
      <c r="C117" s="555">
        <f ca="1">(IFERROR(IFERROR(VALUE(_xll.BDH(C$4,"CURRENT_EV_TO_T12M_EBITDA",$B117,$B117)),VALUE(_xll.BDH(C$4,"CURRENT_EV_TO_T12M_EBITDA",$B117+1,$B117+1))),C118))</f>
        <v>0</v>
      </c>
      <c r="D117" s="555">
        <f ca="1">(IFERROR(IFERROR(VALUE(_xll.BDH(D$4,"CURRENT_EV_TO_T12M_EBITDA",$B117,$B117)),VALUE(_xll.BDH(D$4,"CURRENT_EV_TO_T12M_EBITDA",$B117+1,$B117+1))),D118))</f>
        <v>0</v>
      </c>
      <c r="E117" s="555">
        <f ca="1">(IFERROR(IFERROR(VALUE(_xll.BDH(E$4,"CURRENT_EV_TO_T12M_EBITDA",$B117,$B117)),VALUE(_xll.BDH(E$4,"CURRENT_EV_TO_T12M_EBITDA",$B117+1,$B117+1))),E118))</f>
        <v>0</v>
      </c>
      <c r="F117" s="555">
        <f ca="1">(IFERROR(IFERROR(VALUE(_xll.BDH(F$4,"CURRENT_EV_TO_T12M_EBITDA",$B117,$B117)),VALUE(_xll.BDH(F$4,"CURRENT_EV_TO_T12M_EBITDA",$B117+1,$B117+1))),F118))</f>
        <v>0</v>
      </c>
      <c r="G117" s="555">
        <f ca="1">(IFERROR(IFERROR(VALUE(_xll.BDH(G$4,"CURRENT_EV_TO_T12M_EBITDA",$B117,$B117)),VALUE(_xll.BDH(G$4,"CURRENT_EV_TO_T12M_EBITDA",$B117+1,$B117+1))),G118))</f>
        <v>0</v>
      </c>
      <c r="H117" s="555">
        <f ca="1">(IFERROR(IFERROR(VALUE(_xll.BDH(H$4,"CURRENT_EV_TO_T12M_EBITDA",$B117,$B117)),VALUE(_xll.BDH(H$4,"CURRENT_EV_TO_T12M_EBITDA",$B117+1,$B117+1))),H118))</f>
        <v>0</v>
      </c>
      <c r="I117" s="559">
        <f t="shared" ca="1" si="35"/>
        <v>45170</v>
      </c>
      <c r="J117" s="555">
        <f ca="1">(IFERROR(IFERROR(VALUE(_xll.BDH(J$4,"PE_RATIO",$B117,$B117)),VALUE(_xll.BDH(J$4,"PE_RATIO",$B117+1,$B117+1))),J118))</f>
        <v>0</v>
      </c>
      <c r="K117" s="555">
        <f ca="1">(IFERROR(IFERROR(VALUE(_xll.BDH(K$4,"PE_RATIO",$B117,$B117)),VALUE(_xll.BDH(K$4,"PE_RATIO",$B117+1,$B117+1))),K118))</f>
        <v>0</v>
      </c>
      <c r="L117" s="555">
        <f ca="1">(IFERROR(IFERROR(VALUE(_xll.BDH(L$4,"PE_RATIO",$B117,$B117)),VALUE(_xll.BDH(L$4,"PE_RATIO",$B117+1,$B117+1))),L118))</f>
        <v>0</v>
      </c>
      <c r="M117" s="555">
        <f ca="1">(IFERROR(IFERROR(VALUE(_xll.BDH(M$4,"PE_RATIO",$B117,$B117)),VALUE(_xll.BDH(M$4,"PE_RATIO",$B117+1,$B117+1))),M118))</f>
        <v>0</v>
      </c>
      <c r="N117" s="555">
        <f ca="1">(IFERROR(IFERROR(VALUE(_xll.BDH(N$4,"PE_RATIO",$B117,$B117)),VALUE(_xll.BDH(N$4,"PE_RATIO",$B117+1,$B117+1))),N118))</f>
        <v>0</v>
      </c>
      <c r="O117" s="555">
        <f ca="1">(IFERROR(IFERROR(VALUE(_xll.BDH(O$4,"PE_RATIO",$B117,$B117)),VALUE(_xll.BDH(O$4,"PE_RATIO",$B117+1,$B117+1))),O118))</f>
        <v>0</v>
      </c>
      <c r="P117" s="555"/>
      <c r="Q117" s="559">
        <f t="shared" ca="1" si="36"/>
        <v>45170</v>
      </c>
      <c r="R117" s="4">
        <v>79.010000000000005</v>
      </c>
      <c r="S117" s="4">
        <v>117841.19</v>
      </c>
      <c r="T117" s="4">
        <v>0</v>
      </c>
      <c r="U117" s="4">
        <v>0.81875647668393792</v>
      </c>
      <c r="V117" s="4">
        <v>1.0873330758970938</v>
      </c>
      <c r="W117" s="4" t="e">
        <v>#DIV/0!</v>
      </c>
      <c r="Y117" s="555">
        <f t="shared" si="37"/>
        <v>79.010000000000005</v>
      </c>
      <c r="Z117" s="4">
        <f ca="1">IFERROR(VALUE(_xll.BDH(Z$4,"PX_LAST",$Q117,$Q117)),Z118)</f>
        <v>0</v>
      </c>
      <c r="AA117" s="4">
        <f ca="1">IFERROR(VALUE(_xll.BDH(AA$4,"PX_LAST",$Q117,$Q117)),AA118)</f>
        <v>0</v>
      </c>
      <c r="AB117" s="4">
        <f ca="1">IFERROR(VALUE(_xll.BDH(AB$4,"PX_LAST",$Q117,$Q117)),AB118)</f>
        <v>0</v>
      </c>
      <c r="AC117" s="4">
        <f ca="1">IFERROR(VALUE(_xll.BDH(AC$4,"PX_LAST",$Q117,$Q117)),AC118)</f>
        <v>0</v>
      </c>
      <c r="AD117" s="4">
        <f ca="1">IFERROR(VALUE(_xll.BDH(AD$4,"PX_LAST",$Q117,$Q117)),AD118)</f>
        <v>0</v>
      </c>
      <c r="AF117" s="4">
        <f t="shared" si="38"/>
        <v>0.81875647668393792</v>
      </c>
      <c r="AG117" s="4" t="e">
        <f t="shared" ca="1" si="39"/>
        <v>#DIV/0!</v>
      </c>
      <c r="AH117" s="4" t="e">
        <f t="shared" ca="1" si="40"/>
        <v>#DIV/0!</v>
      </c>
      <c r="AI117" s="4" t="e">
        <f t="shared" ca="1" si="41"/>
        <v>#DIV/0!</v>
      </c>
      <c r="AJ117" s="4" t="e">
        <f t="shared" ca="1" si="42"/>
        <v>#DIV/0!</v>
      </c>
      <c r="AK117" s="4" t="e">
        <f t="shared" ca="1" si="43"/>
        <v>#DIV/0!</v>
      </c>
      <c r="AM117" s="557">
        <f t="shared" ca="1" si="33"/>
        <v>45841</v>
      </c>
      <c r="AN117" s="558">
        <v>44.98</v>
      </c>
      <c r="AO117" s="558">
        <v>1792800</v>
      </c>
      <c r="AP117" s="558">
        <v>206.48981000000001</v>
      </c>
      <c r="AQ117" s="558">
        <v>9287.9116537999998</v>
      </c>
      <c r="AR117" s="558">
        <v>0.66739999999999999</v>
      </c>
    </row>
    <row r="118" spans="2:44">
      <c r="B118" s="559">
        <f t="shared" ca="1" si="44"/>
        <v>45163</v>
      </c>
      <c r="C118" s="555">
        <f ca="1">(IFERROR(IFERROR(VALUE(_xll.BDH(C$4,"CURRENT_EV_TO_T12M_EBITDA",$B118,$B118)),VALUE(_xll.BDH(C$4,"CURRENT_EV_TO_T12M_EBITDA",$B118+1,$B118+1))),C119))</f>
        <v>0</v>
      </c>
      <c r="D118" s="555">
        <f ca="1">(IFERROR(IFERROR(VALUE(_xll.BDH(D$4,"CURRENT_EV_TO_T12M_EBITDA",$B118,$B118)),VALUE(_xll.BDH(D$4,"CURRENT_EV_TO_T12M_EBITDA",$B118+1,$B118+1))),D119))</f>
        <v>0</v>
      </c>
      <c r="E118" s="555">
        <f ca="1">(IFERROR(IFERROR(VALUE(_xll.BDH(E$4,"CURRENT_EV_TO_T12M_EBITDA",$B118,$B118)),VALUE(_xll.BDH(E$4,"CURRENT_EV_TO_T12M_EBITDA",$B118+1,$B118+1))),E119))</f>
        <v>0</v>
      </c>
      <c r="F118" s="555">
        <f ca="1">(IFERROR(IFERROR(VALUE(_xll.BDH(F$4,"CURRENT_EV_TO_T12M_EBITDA",$B118,$B118)),VALUE(_xll.BDH(F$4,"CURRENT_EV_TO_T12M_EBITDA",$B118+1,$B118+1))),F119))</f>
        <v>0</v>
      </c>
      <c r="G118" s="555">
        <f ca="1">(IFERROR(IFERROR(VALUE(_xll.BDH(G$4,"CURRENT_EV_TO_T12M_EBITDA",$B118,$B118)),VALUE(_xll.BDH(G$4,"CURRENT_EV_TO_T12M_EBITDA",$B118+1,$B118+1))),G119))</f>
        <v>0</v>
      </c>
      <c r="H118" s="555">
        <f ca="1">(IFERROR(IFERROR(VALUE(_xll.BDH(H$4,"CURRENT_EV_TO_T12M_EBITDA",$B118,$B118)),VALUE(_xll.BDH(H$4,"CURRENT_EV_TO_T12M_EBITDA",$B118+1,$B118+1))),H119))</f>
        <v>0</v>
      </c>
      <c r="I118" s="559">
        <f t="shared" ca="1" si="35"/>
        <v>45163</v>
      </c>
      <c r="J118" s="555">
        <f ca="1">(IFERROR(IFERROR(VALUE(_xll.BDH(J$4,"PE_RATIO",$B118,$B118)),VALUE(_xll.BDH(J$4,"PE_RATIO",$B118+1,$B118+1))),J119))</f>
        <v>0</v>
      </c>
      <c r="K118" s="555">
        <f ca="1">(IFERROR(IFERROR(VALUE(_xll.BDH(K$4,"PE_RATIO",$B118,$B118)),VALUE(_xll.BDH(K$4,"PE_RATIO",$B118+1,$B118+1))),K119))</f>
        <v>0</v>
      </c>
      <c r="L118" s="555">
        <f ca="1">(IFERROR(IFERROR(VALUE(_xll.BDH(L$4,"PE_RATIO",$B118,$B118)),VALUE(_xll.BDH(L$4,"PE_RATIO",$B118+1,$B118+1))),L119))</f>
        <v>0</v>
      </c>
      <c r="M118" s="555">
        <f ca="1">(IFERROR(IFERROR(VALUE(_xll.BDH(M$4,"PE_RATIO",$B118,$B118)),VALUE(_xll.BDH(M$4,"PE_RATIO",$B118+1,$B118+1))),M119))</f>
        <v>0</v>
      </c>
      <c r="N118" s="555">
        <f ca="1">(IFERROR(IFERROR(VALUE(_xll.BDH(N$4,"PE_RATIO",$B118,$B118)),VALUE(_xll.BDH(N$4,"PE_RATIO",$B118+1,$B118+1))),N119))</f>
        <v>0</v>
      </c>
      <c r="O118" s="555">
        <f ca="1">(IFERROR(IFERROR(VALUE(_xll.BDH(O$4,"PE_RATIO",$B118,$B118)),VALUE(_xll.BDH(O$4,"PE_RATIO",$B118+1,$B118+1))),O119))</f>
        <v>0</v>
      </c>
      <c r="P118" s="555"/>
      <c r="Q118" s="559">
        <f t="shared" ca="1" si="36"/>
        <v>45163</v>
      </c>
      <c r="R118" s="4">
        <v>80.75</v>
      </c>
      <c r="S118" s="4">
        <v>117555.5</v>
      </c>
      <c r="T118" s="4">
        <v>0</v>
      </c>
      <c r="U118" s="4">
        <v>0.83678756476683935</v>
      </c>
      <c r="V118" s="4">
        <v>1.0846969841667484</v>
      </c>
      <c r="W118" s="4" t="e">
        <v>#DIV/0!</v>
      </c>
      <c r="Y118" s="555">
        <f t="shared" si="37"/>
        <v>80.75</v>
      </c>
      <c r="Z118" s="4">
        <f ca="1">IFERROR(VALUE(_xll.BDH(Z$4,"PX_LAST",$Q118,$Q118)),Z119)</f>
        <v>0</v>
      </c>
      <c r="AA118" s="4">
        <f ca="1">IFERROR(VALUE(_xll.BDH(AA$4,"PX_LAST",$Q118,$Q118)),AA119)</f>
        <v>0</v>
      </c>
      <c r="AB118" s="4">
        <f ca="1">IFERROR(VALUE(_xll.BDH(AB$4,"PX_LAST",$Q118,$Q118)),AB119)</f>
        <v>0</v>
      </c>
      <c r="AC118" s="4">
        <f ca="1">IFERROR(VALUE(_xll.BDH(AC$4,"PX_LAST",$Q118,$Q118)),AC119)</f>
        <v>0</v>
      </c>
      <c r="AD118" s="4">
        <f ca="1">IFERROR(VALUE(_xll.BDH(AD$4,"PX_LAST",$Q118,$Q118)),AD119)</f>
        <v>0</v>
      </c>
      <c r="AF118" s="4">
        <f t="shared" si="38"/>
        <v>0.83678756476683935</v>
      </c>
      <c r="AG118" s="4" t="e">
        <f t="shared" ca="1" si="39"/>
        <v>#DIV/0!</v>
      </c>
      <c r="AH118" s="4" t="e">
        <f t="shared" ca="1" si="40"/>
        <v>#DIV/0!</v>
      </c>
      <c r="AI118" s="4" t="e">
        <f t="shared" ca="1" si="41"/>
        <v>#DIV/0!</v>
      </c>
      <c r="AJ118" s="4" t="e">
        <f t="shared" ca="1" si="42"/>
        <v>#DIV/0!</v>
      </c>
      <c r="AK118" s="4" t="e">
        <f t="shared" ca="1" si="43"/>
        <v>#DIV/0!</v>
      </c>
      <c r="AM118" s="557">
        <f t="shared" ca="1" si="33"/>
        <v>45840</v>
      </c>
      <c r="AN118" s="558">
        <v>43.81</v>
      </c>
      <c r="AO118" s="558">
        <v>1568300</v>
      </c>
      <c r="AP118" s="558">
        <v>206.48981000000001</v>
      </c>
      <c r="AQ118" s="558">
        <v>9046.3185761000004</v>
      </c>
      <c r="AR118" s="558">
        <v>0.65110000000000001</v>
      </c>
    </row>
    <row r="119" spans="2:44">
      <c r="B119" s="559">
        <f t="shared" ca="1" si="44"/>
        <v>45156</v>
      </c>
      <c r="C119" s="555">
        <f ca="1">(IFERROR(IFERROR(VALUE(_xll.BDH(C$4,"CURRENT_EV_TO_T12M_EBITDA",$B119,$B119)),VALUE(_xll.BDH(C$4,"CURRENT_EV_TO_T12M_EBITDA",$B119+1,$B119+1))),C120))</f>
        <v>0</v>
      </c>
      <c r="D119" s="555">
        <f ca="1">(IFERROR(IFERROR(VALUE(_xll.BDH(D$4,"CURRENT_EV_TO_T12M_EBITDA",$B119,$B119)),VALUE(_xll.BDH(D$4,"CURRENT_EV_TO_T12M_EBITDA",$B119+1,$B119+1))),D120))</f>
        <v>0</v>
      </c>
      <c r="E119" s="555">
        <f ca="1">(IFERROR(IFERROR(VALUE(_xll.BDH(E$4,"CURRENT_EV_TO_T12M_EBITDA",$B119,$B119)),VALUE(_xll.BDH(E$4,"CURRENT_EV_TO_T12M_EBITDA",$B119+1,$B119+1))),E120))</f>
        <v>0</v>
      </c>
      <c r="F119" s="555">
        <f ca="1">(IFERROR(IFERROR(VALUE(_xll.BDH(F$4,"CURRENT_EV_TO_T12M_EBITDA",$B119,$B119)),VALUE(_xll.BDH(F$4,"CURRENT_EV_TO_T12M_EBITDA",$B119+1,$B119+1))),F120))</f>
        <v>0</v>
      </c>
      <c r="G119" s="555">
        <f ca="1">(IFERROR(IFERROR(VALUE(_xll.BDH(G$4,"CURRENT_EV_TO_T12M_EBITDA",$B119,$B119)),VALUE(_xll.BDH(G$4,"CURRENT_EV_TO_T12M_EBITDA",$B119+1,$B119+1))),G120))</f>
        <v>0</v>
      </c>
      <c r="H119" s="555">
        <f ca="1">(IFERROR(IFERROR(VALUE(_xll.BDH(H$4,"CURRENT_EV_TO_T12M_EBITDA",$B119,$B119)),VALUE(_xll.BDH(H$4,"CURRENT_EV_TO_T12M_EBITDA",$B119+1,$B119+1))),H120))</f>
        <v>0</v>
      </c>
      <c r="I119" s="559">
        <f t="shared" ca="1" si="35"/>
        <v>45156</v>
      </c>
      <c r="J119" s="555">
        <f ca="1">(IFERROR(IFERROR(VALUE(_xll.BDH(J$4,"PE_RATIO",$B119,$B119)),VALUE(_xll.BDH(J$4,"PE_RATIO",$B119+1,$B119+1))),J120))</f>
        <v>0</v>
      </c>
      <c r="K119" s="555">
        <f ca="1">(IFERROR(IFERROR(VALUE(_xll.BDH(K$4,"PE_RATIO",$B119,$B119)),VALUE(_xll.BDH(K$4,"PE_RATIO",$B119+1,$B119+1))),K120))</f>
        <v>0</v>
      </c>
      <c r="L119" s="555">
        <f ca="1">(IFERROR(IFERROR(VALUE(_xll.BDH(L$4,"PE_RATIO",$B119,$B119)),VALUE(_xll.BDH(L$4,"PE_RATIO",$B119+1,$B119+1))),L120))</f>
        <v>0</v>
      </c>
      <c r="M119" s="555">
        <f ca="1">(IFERROR(IFERROR(VALUE(_xll.BDH(M$4,"PE_RATIO",$B119,$B119)),VALUE(_xll.BDH(M$4,"PE_RATIO",$B119+1,$B119+1))),M120))</f>
        <v>0</v>
      </c>
      <c r="N119" s="555">
        <f ca="1">(IFERROR(IFERROR(VALUE(_xll.BDH(N$4,"PE_RATIO",$B119,$B119)),VALUE(_xll.BDH(N$4,"PE_RATIO",$B119+1,$B119+1))),N120))</f>
        <v>0</v>
      </c>
      <c r="O119" s="555">
        <f ca="1">(IFERROR(IFERROR(VALUE(_xll.BDH(O$4,"PE_RATIO",$B119,$B119)),VALUE(_xll.BDH(O$4,"PE_RATIO",$B119+1,$B119+1))),O120))</f>
        <v>0</v>
      </c>
      <c r="P119" s="555"/>
      <c r="Q119" s="559">
        <f t="shared" ca="1" si="36"/>
        <v>45156</v>
      </c>
      <c r="R119" s="4">
        <v>81.3</v>
      </c>
      <c r="S119" s="4">
        <v>119076.37</v>
      </c>
      <c r="T119" s="4">
        <v>0</v>
      </c>
      <c r="U119" s="4">
        <v>0.84248704663212437</v>
      </c>
      <c r="V119" s="4">
        <v>1.0987302118958608</v>
      </c>
      <c r="W119" s="4" t="e">
        <v>#DIV/0!</v>
      </c>
      <c r="Y119" s="555">
        <f t="shared" si="37"/>
        <v>81.3</v>
      </c>
      <c r="Z119" s="4">
        <f ca="1">IFERROR(VALUE(_xll.BDH(Z$4,"PX_LAST",$Q119,$Q119)),Z120)</f>
        <v>0</v>
      </c>
      <c r="AA119" s="4">
        <f ca="1">IFERROR(VALUE(_xll.BDH(AA$4,"PX_LAST",$Q119,$Q119)),AA120)</f>
        <v>0</v>
      </c>
      <c r="AB119" s="4">
        <f ca="1">IFERROR(VALUE(_xll.BDH(AB$4,"PX_LAST",$Q119,$Q119)),AB120)</f>
        <v>0</v>
      </c>
      <c r="AC119" s="4">
        <f ca="1">IFERROR(VALUE(_xll.BDH(AC$4,"PX_LAST",$Q119,$Q119)),AC120)</f>
        <v>0</v>
      </c>
      <c r="AD119" s="4">
        <f ca="1">IFERROR(VALUE(_xll.BDH(AD$4,"PX_LAST",$Q119,$Q119)),AD120)</f>
        <v>0</v>
      </c>
      <c r="AF119" s="4">
        <f t="shared" si="38"/>
        <v>0.84248704663212437</v>
      </c>
      <c r="AG119" s="4" t="e">
        <f t="shared" ca="1" si="39"/>
        <v>#DIV/0!</v>
      </c>
      <c r="AH119" s="4" t="e">
        <f t="shared" ca="1" si="40"/>
        <v>#DIV/0!</v>
      </c>
      <c r="AI119" s="4" t="e">
        <f t="shared" ca="1" si="41"/>
        <v>#DIV/0!</v>
      </c>
      <c r="AJ119" s="4" t="e">
        <f t="shared" ca="1" si="42"/>
        <v>#DIV/0!</v>
      </c>
      <c r="AK119" s="4" t="e">
        <f t="shared" ca="1" si="43"/>
        <v>#DIV/0!</v>
      </c>
      <c r="AM119" s="557">
        <f t="shared" ca="1" si="33"/>
        <v>45839</v>
      </c>
      <c r="AN119" s="558">
        <v>43.81</v>
      </c>
      <c r="AO119" s="558">
        <v>1568300</v>
      </c>
      <c r="AP119" s="558">
        <v>206.48981000000001</v>
      </c>
      <c r="AQ119" s="558">
        <v>9046.3185761000004</v>
      </c>
      <c r="AR119" s="558">
        <v>0.65110000000000001</v>
      </c>
    </row>
    <row r="120" spans="2:44">
      <c r="B120" s="559">
        <f t="shared" ca="1" si="44"/>
        <v>45149</v>
      </c>
      <c r="C120" s="555">
        <f ca="1">(IFERROR(IFERROR(VALUE(_xll.BDH(C$4,"CURRENT_EV_TO_T12M_EBITDA",$B120,$B120)),VALUE(_xll.BDH(C$4,"CURRENT_EV_TO_T12M_EBITDA",$B120+1,$B120+1))),C121))</f>
        <v>0</v>
      </c>
      <c r="D120" s="555">
        <f ca="1">(IFERROR(IFERROR(VALUE(_xll.BDH(D$4,"CURRENT_EV_TO_T12M_EBITDA",$B120,$B120)),VALUE(_xll.BDH(D$4,"CURRENT_EV_TO_T12M_EBITDA",$B120+1,$B120+1))),D121))</f>
        <v>0</v>
      </c>
      <c r="E120" s="555">
        <f ca="1">(IFERROR(IFERROR(VALUE(_xll.BDH(E$4,"CURRENT_EV_TO_T12M_EBITDA",$B120,$B120)),VALUE(_xll.BDH(E$4,"CURRENT_EV_TO_T12M_EBITDA",$B120+1,$B120+1))),E121))</f>
        <v>0</v>
      </c>
      <c r="F120" s="555">
        <f ca="1">(IFERROR(IFERROR(VALUE(_xll.BDH(F$4,"CURRENT_EV_TO_T12M_EBITDA",$B120,$B120)),VALUE(_xll.BDH(F$4,"CURRENT_EV_TO_T12M_EBITDA",$B120+1,$B120+1))),F121))</f>
        <v>0</v>
      </c>
      <c r="G120" s="555">
        <f ca="1">(IFERROR(IFERROR(VALUE(_xll.BDH(G$4,"CURRENT_EV_TO_T12M_EBITDA",$B120,$B120)),VALUE(_xll.BDH(G$4,"CURRENT_EV_TO_T12M_EBITDA",$B120+1,$B120+1))),G121))</f>
        <v>0</v>
      </c>
      <c r="H120" s="555">
        <f ca="1">(IFERROR(IFERROR(VALUE(_xll.BDH(H$4,"CURRENT_EV_TO_T12M_EBITDA",$B120,$B120)),VALUE(_xll.BDH(H$4,"CURRENT_EV_TO_T12M_EBITDA",$B120+1,$B120+1))),H121))</f>
        <v>0</v>
      </c>
      <c r="I120" s="559">
        <f t="shared" ca="1" si="35"/>
        <v>45149</v>
      </c>
      <c r="J120" s="555">
        <f ca="1">(IFERROR(IFERROR(VALUE(_xll.BDH(J$4,"PE_RATIO",$B120,$B120)),VALUE(_xll.BDH(J$4,"PE_RATIO",$B120+1,$B120+1))),J121))</f>
        <v>0</v>
      </c>
      <c r="K120" s="555">
        <f ca="1">(IFERROR(IFERROR(VALUE(_xll.BDH(K$4,"PE_RATIO",$B120,$B120)),VALUE(_xll.BDH(K$4,"PE_RATIO",$B120+1,$B120+1))),K121))</f>
        <v>0</v>
      </c>
      <c r="L120" s="555">
        <f ca="1">(IFERROR(IFERROR(VALUE(_xll.BDH(L$4,"PE_RATIO",$B120,$B120)),VALUE(_xll.BDH(L$4,"PE_RATIO",$B120+1,$B120+1))),L121))</f>
        <v>0</v>
      </c>
      <c r="M120" s="555">
        <f ca="1">(IFERROR(IFERROR(VALUE(_xll.BDH(M$4,"PE_RATIO",$B120,$B120)),VALUE(_xll.BDH(M$4,"PE_RATIO",$B120+1,$B120+1))),M121))</f>
        <v>0</v>
      </c>
      <c r="N120" s="555">
        <f ca="1">(IFERROR(IFERROR(VALUE(_xll.BDH(N$4,"PE_RATIO",$B120,$B120)),VALUE(_xll.BDH(N$4,"PE_RATIO",$B120+1,$B120+1))),N121))</f>
        <v>0</v>
      </c>
      <c r="O120" s="555">
        <f ca="1">(IFERROR(IFERROR(VALUE(_xll.BDH(O$4,"PE_RATIO",$B120,$B120)),VALUE(_xll.BDH(O$4,"PE_RATIO",$B120+1,$B120+1))),O121))</f>
        <v>0</v>
      </c>
      <c r="P120" s="555"/>
      <c r="Q120" s="559">
        <f t="shared" ca="1" si="36"/>
        <v>45149</v>
      </c>
      <c r="R120" s="4">
        <v>75.5</v>
      </c>
      <c r="S120" s="4">
        <v>117522.87</v>
      </c>
      <c r="T120" s="4">
        <v>0</v>
      </c>
      <c r="U120" s="4">
        <v>0.78238341968911918</v>
      </c>
      <c r="V120" s="4">
        <v>1.0843959037188462</v>
      </c>
      <c r="W120" s="4" t="e">
        <v>#DIV/0!</v>
      </c>
      <c r="Y120" s="555">
        <f t="shared" si="37"/>
        <v>75.5</v>
      </c>
      <c r="Z120" s="4">
        <f ca="1">IFERROR(VALUE(_xll.BDH(Z$4,"PX_LAST",$Q120,$Q120)),Z121)</f>
        <v>0</v>
      </c>
      <c r="AA120" s="4">
        <f ca="1">IFERROR(VALUE(_xll.BDH(AA$4,"PX_LAST",$Q120,$Q120)),AA121)</f>
        <v>0</v>
      </c>
      <c r="AB120" s="4">
        <f ca="1">IFERROR(VALUE(_xll.BDH(AB$4,"PX_LAST",$Q120,$Q120)),AB121)</f>
        <v>0</v>
      </c>
      <c r="AC120" s="4">
        <f ca="1">IFERROR(VALUE(_xll.BDH(AC$4,"PX_LAST",$Q120,$Q120)),AC121)</f>
        <v>0</v>
      </c>
      <c r="AD120" s="4">
        <f ca="1">IFERROR(VALUE(_xll.BDH(AD$4,"PX_LAST",$Q120,$Q120)),AD121)</f>
        <v>0</v>
      </c>
      <c r="AF120" s="4">
        <f t="shared" si="38"/>
        <v>0.78238341968911918</v>
      </c>
      <c r="AG120" s="4" t="e">
        <f t="shared" ca="1" si="39"/>
        <v>#DIV/0!</v>
      </c>
      <c r="AH120" s="4" t="e">
        <f t="shared" ca="1" si="40"/>
        <v>#DIV/0!</v>
      </c>
      <c r="AI120" s="4" t="e">
        <f t="shared" ca="1" si="41"/>
        <v>#DIV/0!</v>
      </c>
      <c r="AJ120" s="4" t="e">
        <f t="shared" ca="1" si="42"/>
        <v>#DIV/0!</v>
      </c>
      <c r="AK120" s="4" t="e">
        <f t="shared" ca="1" si="43"/>
        <v>#DIV/0!</v>
      </c>
      <c r="AM120" s="557">
        <f t="shared" ca="1" si="33"/>
        <v>45838</v>
      </c>
      <c r="AN120" s="558">
        <v>43.81</v>
      </c>
      <c r="AO120" s="558">
        <v>1568300</v>
      </c>
      <c r="AP120" s="558">
        <v>206.48981000000001</v>
      </c>
      <c r="AQ120" s="558">
        <v>9046.3185761000004</v>
      </c>
      <c r="AR120" s="558">
        <v>0.65110000000000001</v>
      </c>
    </row>
    <row r="121" spans="2:44">
      <c r="B121" s="559">
        <f t="shared" ca="1" si="44"/>
        <v>45142</v>
      </c>
      <c r="C121" s="555">
        <f ca="1">(IFERROR(IFERROR(VALUE(_xll.BDH(C$4,"CURRENT_EV_TO_T12M_EBITDA",$B121,$B121)),VALUE(_xll.BDH(C$4,"CURRENT_EV_TO_T12M_EBITDA",$B121+1,$B121+1))),C122))</f>
        <v>0</v>
      </c>
      <c r="D121" s="555">
        <f ca="1">(IFERROR(IFERROR(VALUE(_xll.BDH(D$4,"CURRENT_EV_TO_T12M_EBITDA",$B121,$B121)),VALUE(_xll.BDH(D$4,"CURRENT_EV_TO_T12M_EBITDA",$B121+1,$B121+1))),D122))</f>
        <v>0</v>
      </c>
      <c r="E121" s="555">
        <f ca="1">(IFERROR(IFERROR(VALUE(_xll.BDH(E$4,"CURRENT_EV_TO_T12M_EBITDA",$B121,$B121)),VALUE(_xll.BDH(E$4,"CURRENT_EV_TO_T12M_EBITDA",$B121+1,$B121+1))),E122))</f>
        <v>0</v>
      </c>
      <c r="F121" s="555">
        <f ca="1">(IFERROR(IFERROR(VALUE(_xll.BDH(F$4,"CURRENT_EV_TO_T12M_EBITDA",$B121,$B121)),VALUE(_xll.BDH(F$4,"CURRENT_EV_TO_T12M_EBITDA",$B121+1,$B121+1))),F122))</f>
        <v>0</v>
      </c>
      <c r="G121" s="555">
        <f ca="1">(IFERROR(IFERROR(VALUE(_xll.BDH(G$4,"CURRENT_EV_TO_T12M_EBITDA",$B121,$B121)),VALUE(_xll.BDH(G$4,"CURRENT_EV_TO_T12M_EBITDA",$B121+1,$B121+1))),G122))</f>
        <v>0</v>
      </c>
      <c r="H121" s="555">
        <f ca="1">(IFERROR(IFERROR(VALUE(_xll.BDH(H$4,"CURRENT_EV_TO_T12M_EBITDA",$B121,$B121)),VALUE(_xll.BDH(H$4,"CURRENT_EV_TO_T12M_EBITDA",$B121+1,$B121+1))),H122))</f>
        <v>0</v>
      </c>
      <c r="I121" s="559">
        <f t="shared" ca="1" si="35"/>
        <v>45142</v>
      </c>
      <c r="J121" s="555">
        <f ca="1">(IFERROR(IFERROR(VALUE(_xll.BDH(J$4,"PE_RATIO",$B121,$B121)),VALUE(_xll.BDH(J$4,"PE_RATIO",$B121+1,$B121+1))),J122))</f>
        <v>0</v>
      </c>
      <c r="K121" s="555">
        <f ca="1">(IFERROR(IFERROR(VALUE(_xll.BDH(K$4,"PE_RATIO",$B121,$B121)),VALUE(_xll.BDH(K$4,"PE_RATIO",$B121+1,$B121+1))),K122))</f>
        <v>0</v>
      </c>
      <c r="L121" s="555">
        <f ca="1">(IFERROR(IFERROR(VALUE(_xll.BDH(L$4,"PE_RATIO",$B121,$B121)),VALUE(_xll.BDH(L$4,"PE_RATIO",$B121+1,$B121+1))),L122))</f>
        <v>0</v>
      </c>
      <c r="M121" s="555">
        <f ca="1">(IFERROR(IFERROR(VALUE(_xll.BDH(M$4,"PE_RATIO",$B121,$B121)),VALUE(_xll.BDH(M$4,"PE_RATIO",$B121+1,$B121+1))),M122))</f>
        <v>0</v>
      </c>
      <c r="N121" s="555">
        <f ca="1">(IFERROR(IFERROR(VALUE(_xll.BDH(N$4,"PE_RATIO",$B121,$B121)),VALUE(_xll.BDH(N$4,"PE_RATIO",$B121+1,$B121+1))),N122))</f>
        <v>0</v>
      </c>
      <c r="O121" s="555">
        <f ca="1">(IFERROR(IFERROR(VALUE(_xll.BDH(O$4,"PE_RATIO",$B121,$B121)),VALUE(_xll.BDH(O$4,"PE_RATIO",$B121+1,$B121+1))),O122))</f>
        <v>0</v>
      </c>
      <c r="P121" s="555"/>
      <c r="Q121" s="559">
        <f t="shared" ca="1" si="36"/>
        <v>45142</v>
      </c>
      <c r="R121" s="4">
        <v>77.14</v>
      </c>
      <c r="S121" s="4">
        <v>119622.39999999999</v>
      </c>
      <c r="T121" s="4">
        <v>0</v>
      </c>
      <c r="U121" s="4">
        <v>0.79937823834196897</v>
      </c>
      <c r="V121" s="4">
        <v>1.1037684882356713</v>
      </c>
      <c r="W121" s="4" t="e">
        <v>#DIV/0!</v>
      </c>
      <c r="Y121" s="555">
        <f t="shared" si="37"/>
        <v>77.14</v>
      </c>
      <c r="Z121" s="4">
        <f ca="1">IFERROR(VALUE(_xll.BDH(Z$4,"PX_LAST",$Q121,$Q121)),Z122)</f>
        <v>0</v>
      </c>
      <c r="AA121" s="4">
        <f ca="1">IFERROR(VALUE(_xll.BDH(AA$4,"PX_LAST",$Q121,$Q121)),AA122)</f>
        <v>0</v>
      </c>
      <c r="AB121" s="4">
        <f ca="1">IFERROR(VALUE(_xll.BDH(AB$4,"PX_LAST",$Q121,$Q121)),AB122)</f>
        <v>0</v>
      </c>
      <c r="AC121" s="4">
        <f ca="1">IFERROR(VALUE(_xll.BDH(AC$4,"PX_LAST",$Q121,$Q121)),AC122)</f>
        <v>0</v>
      </c>
      <c r="AD121" s="4">
        <f ca="1">IFERROR(VALUE(_xll.BDH(AD$4,"PX_LAST",$Q121,$Q121)),AD122)</f>
        <v>0</v>
      </c>
      <c r="AF121" s="4">
        <f t="shared" si="38"/>
        <v>0.79937823834196897</v>
      </c>
      <c r="AG121" s="4" t="e">
        <f t="shared" ca="1" si="39"/>
        <v>#DIV/0!</v>
      </c>
      <c r="AH121" s="4" t="e">
        <f t="shared" ca="1" si="40"/>
        <v>#DIV/0!</v>
      </c>
      <c r="AI121" s="4" t="e">
        <f t="shared" ca="1" si="41"/>
        <v>#DIV/0!</v>
      </c>
      <c r="AJ121" s="4" t="e">
        <f t="shared" ca="1" si="42"/>
        <v>#DIV/0!</v>
      </c>
      <c r="AK121" s="4" t="e">
        <f t="shared" ca="1" si="43"/>
        <v>#DIV/0!</v>
      </c>
      <c r="AM121" s="557">
        <f t="shared" ca="1" si="33"/>
        <v>45837</v>
      </c>
      <c r="AN121" s="558">
        <v>43.185000000000002</v>
      </c>
      <c r="AO121" s="558">
        <v>2915100</v>
      </c>
      <c r="AP121" s="558">
        <v>206.48981000000001</v>
      </c>
      <c r="AQ121" s="558">
        <v>8917.262444850001</v>
      </c>
      <c r="AR121" s="558">
        <v>0.64239999999999997</v>
      </c>
    </row>
    <row r="122" spans="2:44">
      <c r="B122" s="559">
        <f t="shared" ca="1" si="44"/>
        <v>45135</v>
      </c>
      <c r="C122" s="555">
        <f ca="1">(IFERROR(IFERROR(VALUE(_xll.BDH(C$4,"CURRENT_EV_TO_T12M_EBITDA",$B122,$B122)),VALUE(_xll.BDH(C$4,"CURRENT_EV_TO_T12M_EBITDA",$B122+1,$B122+1))),C123))</f>
        <v>0</v>
      </c>
      <c r="D122" s="555">
        <f ca="1">(IFERROR(IFERROR(VALUE(_xll.BDH(D$4,"CURRENT_EV_TO_T12M_EBITDA",$B122,$B122)),VALUE(_xll.BDH(D$4,"CURRENT_EV_TO_T12M_EBITDA",$B122+1,$B122+1))),D123))</f>
        <v>0</v>
      </c>
      <c r="E122" s="555">
        <f ca="1">(IFERROR(IFERROR(VALUE(_xll.BDH(E$4,"CURRENT_EV_TO_T12M_EBITDA",$B122,$B122)),VALUE(_xll.BDH(E$4,"CURRENT_EV_TO_T12M_EBITDA",$B122+1,$B122+1))),E123))</f>
        <v>0</v>
      </c>
      <c r="F122" s="555">
        <f ca="1">(IFERROR(IFERROR(VALUE(_xll.BDH(F$4,"CURRENT_EV_TO_T12M_EBITDA",$B122,$B122)),VALUE(_xll.BDH(F$4,"CURRENT_EV_TO_T12M_EBITDA",$B122+1,$B122+1))),F123))</f>
        <v>0</v>
      </c>
      <c r="G122" s="555">
        <f ca="1">(IFERROR(IFERROR(VALUE(_xll.BDH(G$4,"CURRENT_EV_TO_T12M_EBITDA",$B122,$B122)),VALUE(_xll.BDH(G$4,"CURRENT_EV_TO_T12M_EBITDA",$B122+1,$B122+1))),G123))</f>
        <v>0</v>
      </c>
      <c r="H122" s="555">
        <f ca="1">(IFERROR(IFERROR(VALUE(_xll.BDH(H$4,"CURRENT_EV_TO_T12M_EBITDA",$B122,$B122)),VALUE(_xll.BDH(H$4,"CURRENT_EV_TO_T12M_EBITDA",$B122+1,$B122+1))),H123))</f>
        <v>0</v>
      </c>
      <c r="I122" s="559">
        <f t="shared" ca="1" si="35"/>
        <v>45135</v>
      </c>
      <c r="J122" s="555">
        <f ca="1">(IFERROR(IFERROR(VALUE(_xll.BDH(J$4,"PE_RATIO",$B122,$B122)),VALUE(_xll.BDH(J$4,"PE_RATIO",$B122+1,$B122+1))),J123))</f>
        <v>0</v>
      </c>
      <c r="K122" s="555">
        <f ca="1">(IFERROR(IFERROR(VALUE(_xll.BDH(K$4,"PE_RATIO",$B122,$B122)),VALUE(_xll.BDH(K$4,"PE_RATIO",$B122+1,$B122+1))),K123))</f>
        <v>0</v>
      </c>
      <c r="L122" s="555">
        <f ca="1">(IFERROR(IFERROR(VALUE(_xll.BDH(L$4,"PE_RATIO",$B122,$B122)),VALUE(_xll.BDH(L$4,"PE_RATIO",$B122+1,$B122+1))),L123))</f>
        <v>0</v>
      </c>
      <c r="M122" s="555">
        <f ca="1">(IFERROR(IFERROR(VALUE(_xll.BDH(M$4,"PE_RATIO",$B122,$B122)),VALUE(_xll.BDH(M$4,"PE_RATIO",$B122+1,$B122+1))),M123))</f>
        <v>0</v>
      </c>
      <c r="N122" s="555">
        <f ca="1">(IFERROR(IFERROR(VALUE(_xll.BDH(N$4,"PE_RATIO",$B122,$B122)),VALUE(_xll.BDH(N$4,"PE_RATIO",$B122+1,$B122+1))),N123))</f>
        <v>0</v>
      </c>
      <c r="O122" s="555">
        <f ca="1">(IFERROR(IFERROR(VALUE(_xll.BDH(O$4,"PE_RATIO",$B122,$B122)),VALUE(_xll.BDH(O$4,"PE_RATIO",$B122+1,$B122+1))),O123))</f>
        <v>0</v>
      </c>
      <c r="P122" s="555"/>
      <c r="Q122" s="559">
        <f t="shared" ca="1" si="36"/>
        <v>45135</v>
      </c>
      <c r="R122" s="4">
        <v>75.569999999999993</v>
      </c>
      <c r="S122" s="4">
        <v>116742.71</v>
      </c>
      <c r="T122" s="4">
        <v>0</v>
      </c>
      <c r="U122" s="4">
        <v>0.78310880829015539</v>
      </c>
      <c r="V122" s="4">
        <v>1.077197285201061</v>
      </c>
      <c r="W122" s="4" t="e">
        <v>#DIV/0!</v>
      </c>
      <c r="Y122" s="555">
        <f t="shared" si="37"/>
        <v>75.569999999999993</v>
      </c>
      <c r="Z122" s="4">
        <f ca="1">IFERROR(VALUE(_xll.BDH(Z$4,"PX_LAST",$Q122,$Q122)),Z123)</f>
        <v>0</v>
      </c>
      <c r="AA122" s="4">
        <f ca="1">IFERROR(VALUE(_xll.BDH(AA$4,"PX_LAST",$Q122,$Q122)),AA123)</f>
        <v>0</v>
      </c>
      <c r="AB122" s="4">
        <f ca="1">IFERROR(VALUE(_xll.BDH(AB$4,"PX_LAST",$Q122,$Q122)),AB123)</f>
        <v>0</v>
      </c>
      <c r="AC122" s="4">
        <f ca="1">IFERROR(VALUE(_xll.BDH(AC$4,"PX_LAST",$Q122,$Q122)),AC123)</f>
        <v>0</v>
      </c>
      <c r="AD122" s="4">
        <f ca="1">IFERROR(VALUE(_xll.BDH(AD$4,"PX_LAST",$Q122,$Q122)),AD123)</f>
        <v>0</v>
      </c>
      <c r="AF122" s="4">
        <f t="shared" si="38"/>
        <v>0.78310880829015539</v>
      </c>
      <c r="AG122" s="4" t="e">
        <f t="shared" ca="1" si="39"/>
        <v>#DIV/0!</v>
      </c>
      <c r="AH122" s="4" t="e">
        <f t="shared" ca="1" si="40"/>
        <v>#DIV/0!</v>
      </c>
      <c r="AI122" s="4" t="e">
        <f t="shared" ca="1" si="41"/>
        <v>#DIV/0!</v>
      </c>
      <c r="AJ122" s="4" t="e">
        <f t="shared" ca="1" si="42"/>
        <v>#DIV/0!</v>
      </c>
      <c r="AK122" s="4" t="e">
        <f t="shared" ca="1" si="43"/>
        <v>#DIV/0!</v>
      </c>
      <c r="AM122" s="557">
        <f t="shared" ca="1" si="33"/>
        <v>45836</v>
      </c>
      <c r="AN122" s="558">
        <v>41.854999999999997</v>
      </c>
      <c r="AO122" s="558">
        <v>1979500</v>
      </c>
      <c r="AP122" s="558">
        <v>206.48981000000001</v>
      </c>
      <c r="AQ122" s="558">
        <v>8642.6309975499989</v>
      </c>
      <c r="AR122" s="558">
        <v>0.62290000000000001</v>
      </c>
    </row>
    <row r="123" spans="2:44">
      <c r="B123" s="559">
        <f t="shared" ca="1" si="44"/>
        <v>45128</v>
      </c>
      <c r="C123" s="555">
        <f ca="1">(IFERROR(IFERROR(VALUE(_xll.BDH(C$4,"CURRENT_EV_TO_T12M_EBITDA",$B123,$B123)),VALUE(_xll.BDH(C$4,"CURRENT_EV_TO_T12M_EBITDA",$B123+1,$B123+1))),C124))</f>
        <v>0</v>
      </c>
      <c r="D123" s="555">
        <f ca="1">(IFERROR(IFERROR(VALUE(_xll.BDH(D$4,"CURRENT_EV_TO_T12M_EBITDA",$B123,$B123)),VALUE(_xll.BDH(D$4,"CURRENT_EV_TO_T12M_EBITDA",$B123+1,$B123+1))),D124))</f>
        <v>0</v>
      </c>
      <c r="E123" s="555">
        <f ca="1">(IFERROR(IFERROR(VALUE(_xll.BDH(E$4,"CURRENT_EV_TO_T12M_EBITDA",$B123,$B123)),VALUE(_xll.BDH(E$4,"CURRENT_EV_TO_T12M_EBITDA",$B123+1,$B123+1))),E124))</f>
        <v>0</v>
      </c>
      <c r="F123" s="555">
        <f ca="1">(IFERROR(IFERROR(VALUE(_xll.BDH(F$4,"CURRENT_EV_TO_T12M_EBITDA",$B123,$B123)),VALUE(_xll.BDH(F$4,"CURRENT_EV_TO_T12M_EBITDA",$B123+1,$B123+1))),F124))</f>
        <v>0</v>
      </c>
      <c r="G123" s="555">
        <f ca="1">(IFERROR(IFERROR(VALUE(_xll.BDH(G$4,"CURRENT_EV_TO_T12M_EBITDA",$B123,$B123)),VALUE(_xll.BDH(G$4,"CURRENT_EV_TO_T12M_EBITDA",$B123+1,$B123+1))),G124))</f>
        <v>0</v>
      </c>
      <c r="H123" s="555">
        <f ca="1">(IFERROR(IFERROR(VALUE(_xll.BDH(H$4,"CURRENT_EV_TO_T12M_EBITDA",$B123,$B123)),VALUE(_xll.BDH(H$4,"CURRENT_EV_TO_T12M_EBITDA",$B123+1,$B123+1))),H124))</f>
        <v>0</v>
      </c>
      <c r="I123" s="559">
        <f t="shared" ca="1" si="35"/>
        <v>45128</v>
      </c>
      <c r="J123" s="555">
        <f ca="1">(IFERROR(IFERROR(VALUE(_xll.BDH(J$4,"PE_RATIO",$B123,$B123)),VALUE(_xll.BDH(J$4,"PE_RATIO",$B123+1,$B123+1))),J124))</f>
        <v>0</v>
      </c>
      <c r="K123" s="555">
        <f ca="1">(IFERROR(IFERROR(VALUE(_xll.BDH(K$4,"PE_RATIO",$B123,$B123)),VALUE(_xll.BDH(K$4,"PE_RATIO",$B123+1,$B123+1))),K124))</f>
        <v>0</v>
      </c>
      <c r="L123" s="555">
        <f ca="1">(IFERROR(IFERROR(VALUE(_xll.BDH(L$4,"PE_RATIO",$B123,$B123)),VALUE(_xll.BDH(L$4,"PE_RATIO",$B123+1,$B123+1))),L124))</f>
        <v>0</v>
      </c>
      <c r="M123" s="555">
        <f ca="1">(IFERROR(IFERROR(VALUE(_xll.BDH(M$4,"PE_RATIO",$B123,$B123)),VALUE(_xll.BDH(M$4,"PE_RATIO",$B123+1,$B123+1))),M124))</f>
        <v>0</v>
      </c>
      <c r="N123" s="555">
        <f ca="1">(IFERROR(IFERROR(VALUE(_xll.BDH(N$4,"PE_RATIO",$B123,$B123)),VALUE(_xll.BDH(N$4,"PE_RATIO",$B123+1,$B123+1))),N124))</f>
        <v>0</v>
      </c>
      <c r="O123" s="555">
        <f ca="1">(IFERROR(IFERROR(VALUE(_xll.BDH(O$4,"PE_RATIO",$B123,$B123)),VALUE(_xll.BDH(O$4,"PE_RATIO",$B123+1,$B123+1))),O124))</f>
        <v>0</v>
      </c>
      <c r="P123" s="555"/>
      <c r="Q123" s="559">
        <f t="shared" ca="1" si="36"/>
        <v>45128</v>
      </c>
      <c r="R123" s="4">
        <v>77.59</v>
      </c>
      <c r="S123" s="4">
        <v>114610.1</v>
      </c>
      <c r="T123" s="4">
        <v>0</v>
      </c>
      <c r="U123" s="4">
        <v>0.80404145077720213</v>
      </c>
      <c r="V123" s="4">
        <v>1.0575194680389217</v>
      </c>
      <c r="W123" s="4" t="e">
        <v>#DIV/0!</v>
      </c>
      <c r="Y123" s="555">
        <f t="shared" si="37"/>
        <v>77.59</v>
      </c>
      <c r="Z123" s="4">
        <f ca="1">IFERROR(VALUE(_xll.BDH(Z$4,"PX_LAST",$Q123,$Q123)),Z124)</f>
        <v>0</v>
      </c>
      <c r="AA123" s="4">
        <f ca="1">IFERROR(VALUE(_xll.BDH(AA$4,"PX_LAST",$Q123,$Q123)),AA124)</f>
        <v>0</v>
      </c>
      <c r="AB123" s="4">
        <f ca="1">IFERROR(VALUE(_xll.BDH(AB$4,"PX_LAST",$Q123,$Q123)),AB124)</f>
        <v>0</v>
      </c>
      <c r="AC123" s="4">
        <f ca="1">IFERROR(VALUE(_xll.BDH(AC$4,"PX_LAST",$Q123,$Q123)),AC124)</f>
        <v>0</v>
      </c>
      <c r="AD123" s="4">
        <f ca="1">IFERROR(VALUE(_xll.BDH(AD$4,"PX_LAST",$Q123,$Q123)),AD124)</f>
        <v>0</v>
      </c>
      <c r="AF123" s="4">
        <f t="shared" si="38"/>
        <v>0.80404145077720213</v>
      </c>
      <c r="AG123" s="4" t="e">
        <f t="shared" ca="1" si="39"/>
        <v>#DIV/0!</v>
      </c>
      <c r="AH123" s="4" t="e">
        <f t="shared" ca="1" si="40"/>
        <v>#DIV/0!</v>
      </c>
      <c r="AI123" s="4" t="e">
        <f t="shared" ca="1" si="41"/>
        <v>#DIV/0!</v>
      </c>
      <c r="AJ123" s="4" t="e">
        <f t="shared" ca="1" si="42"/>
        <v>#DIV/0!</v>
      </c>
      <c r="AK123" s="4" t="e">
        <f t="shared" ca="1" si="43"/>
        <v>#DIV/0!</v>
      </c>
      <c r="AM123" s="557">
        <f t="shared" ca="1" si="33"/>
        <v>45835</v>
      </c>
      <c r="AN123" s="558">
        <v>41.244999999999997</v>
      </c>
      <c r="AO123" s="558">
        <v>3370300</v>
      </c>
      <c r="AP123" s="558">
        <v>206.48981000000001</v>
      </c>
      <c r="AQ123" s="558">
        <v>8516.6722134499996</v>
      </c>
      <c r="AR123" s="558">
        <v>0.61270000000000002</v>
      </c>
    </row>
    <row r="124" spans="2:44">
      <c r="B124" s="559">
        <f t="shared" ca="1" si="44"/>
        <v>45121</v>
      </c>
      <c r="C124" s="555">
        <f ca="1">(IFERROR(IFERROR(VALUE(_xll.BDH(C$4,"CURRENT_EV_TO_T12M_EBITDA",$B124,$B124)),VALUE(_xll.BDH(C$4,"CURRENT_EV_TO_T12M_EBITDA",$B124+1,$B124+1))),C125))</f>
        <v>0</v>
      </c>
      <c r="D124" s="555">
        <f ca="1">(IFERROR(IFERROR(VALUE(_xll.BDH(D$4,"CURRENT_EV_TO_T12M_EBITDA",$B124,$B124)),VALUE(_xll.BDH(D$4,"CURRENT_EV_TO_T12M_EBITDA",$B124+1,$B124+1))),D125))</f>
        <v>0</v>
      </c>
      <c r="E124" s="555">
        <f ca="1">(IFERROR(IFERROR(VALUE(_xll.BDH(E$4,"CURRENT_EV_TO_T12M_EBITDA",$B124,$B124)),VALUE(_xll.BDH(E$4,"CURRENT_EV_TO_T12M_EBITDA",$B124+1,$B124+1))),E125))</f>
        <v>0</v>
      </c>
      <c r="F124" s="555">
        <f ca="1">(IFERROR(IFERROR(VALUE(_xll.BDH(F$4,"CURRENT_EV_TO_T12M_EBITDA",$B124,$B124)),VALUE(_xll.BDH(F$4,"CURRENT_EV_TO_T12M_EBITDA",$B124+1,$B124+1))),F125))</f>
        <v>0</v>
      </c>
      <c r="G124" s="555">
        <f ca="1">(IFERROR(IFERROR(VALUE(_xll.BDH(G$4,"CURRENT_EV_TO_T12M_EBITDA",$B124,$B124)),VALUE(_xll.BDH(G$4,"CURRENT_EV_TO_T12M_EBITDA",$B124+1,$B124+1))),G125))</f>
        <v>0</v>
      </c>
      <c r="H124" s="555">
        <f ca="1">(IFERROR(IFERROR(VALUE(_xll.BDH(H$4,"CURRENT_EV_TO_T12M_EBITDA",$B124,$B124)),VALUE(_xll.BDH(H$4,"CURRENT_EV_TO_T12M_EBITDA",$B124+1,$B124+1))),H125))</f>
        <v>0</v>
      </c>
      <c r="I124" s="559">
        <f t="shared" ca="1" si="35"/>
        <v>45121</v>
      </c>
      <c r="J124" s="555">
        <f ca="1">(IFERROR(IFERROR(VALUE(_xll.BDH(J$4,"PE_RATIO",$B124,$B124)),VALUE(_xll.BDH(J$4,"PE_RATIO",$B124+1,$B124+1))),J125))</f>
        <v>0</v>
      </c>
      <c r="K124" s="555">
        <f ca="1">(IFERROR(IFERROR(VALUE(_xll.BDH(K$4,"PE_RATIO",$B124,$B124)),VALUE(_xll.BDH(K$4,"PE_RATIO",$B124+1,$B124+1))),K125))</f>
        <v>0</v>
      </c>
      <c r="L124" s="555">
        <f ca="1">(IFERROR(IFERROR(VALUE(_xll.BDH(L$4,"PE_RATIO",$B124,$B124)),VALUE(_xll.BDH(L$4,"PE_RATIO",$B124+1,$B124+1))),L125))</f>
        <v>0</v>
      </c>
      <c r="M124" s="555">
        <f ca="1">(IFERROR(IFERROR(VALUE(_xll.BDH(M$4,"PE_RATIO",$B124,$B124)),VALUE(_xll.BDH(M$4,"PE_RATIO",$B124+1,$B124+1))),M125))</f>
        <v>0</v>
      </c>
      <c r="N124" s="555">
        <f ca="1">(IFERROR(IFERROR(VALUE(_xll.BDH(N$4,"PE_RATIO",$B124,$B124)),VALUE(_xll.BDH(N$4,"PE_RATIO",$B124+1,$B124+1))),N125))</f>
        <v>0</v>
      </c>
      <c r="O124" s="555">
        <f ca="1">(IFERROR(IFERROR(VALUE(_xll.BDH(O$4,"PE_RATIO",$B124,$B124)),VALUE(_xll.BDH(O$4,"PE_RATIO",$B124+1,$B124+1))),O125))</f>
        <v>0</v>
      </c>
      <c r="P124" s="555"/>
      <c r="Q124" s="559">
        <f t="shared" ca="1" si="36"/>
        <v>45121</v>
      </c>
      <c r="R124" s="4">
        <v>73.8</v>
      </c>
      <c r="S124" s="4">
        <v>108967.03</v>
      </c>
      <c r="T124" s="4">
        <v>0</v>
      </c>
      <c r="U124" s="4">
        <v>0.76476683937823831</v>
      </c>
      <c r="V124" s="4">
        <v>1.0054502665941416</v>
      </c>
      <c r="W124" s="4" t="e">
        <v>#DIV/0!</v>
      </c>
      <c r="Y124" s="555">
        <f t="shared" si="37"/>
        <v>73.8</v>
      </c>
      <c r="Z124" s="4">
        <f ca="1">IFERROR(VALUE(_xll.BDH(Z$4,"PX_LAST",$Q124,$Q124)),Z125)</f>
        <v>0</v>
      </c>
      <c r="AA124" s="4">
        <f ca="1">IFERROR(VALUE(_xll.BDH(AA$4,"PX_LAST",$Q124,$Q124)),AA125)</f>
        <v>0</v>
      </c>
      <c r="AB124" s="4">
        <f ca="1">IFERROR(VALUE(_xll.BDH(AB$4,"PX_LAST",$Q124,$Q124)),AB125)</f>
        <v>0</v>
      </c>
      <c r="AC124" s="4">
        <f ca="1">IFERROR(VALUE(_xll.BDH(AC$4,"PX_LAST",$Q124,$Q124)),AC125)</f>
        <v>0</v>
      </c>
      <c r="AD124" s="4">
        <f ca="1">IFERROR(VALUE(_xll.BDH(AD$4,"PX_LAST",$Q124,$Q124)),AD125)</f>
        <v>0</v>
      </c>
      <c r="AF124" s="4">
        <f t="shared" si="38"/>
        <v>0.76476683937823831</v>
      </c>
      <c r="AG124" s="4" t="e">
        <f t="shared" ca="1" si="39"/>
        <v>#DIV/0!</v>
      </c>
      <c r="AH124" s="4" t="e">
        <f t="shared" ca="1" si="40"/>
        <v>#DIV/0!</v>
      </c>
      <c r="AI124" s="4" t="e">
        <f t="shared" ca="1" si="41"/>
        <v>#DIV/0!</v>
      </c>
      <c r="AJ124" s="4" t="e">
        <f t="shared" ca="1" si="42"/>
        <v>#DIV/0!</v>
      </c>
      <c r="AK124" s="4" t="e">
        <f t="shared" ca="1" si="43"/>
        <v>#DIV/0!</v>
      </c>
      <c r="AM124" s="557">
        <f t="shared" ca="1" si="33"/>
        <v>45834</v>
      </c>
      <c r="AN124" s="558">
        <v>39.4</v>
      </c>
      <c r="AO124" s="558">
        <v>2585600</v>
      </c>
      <c r="AP124" s="558">
        <v>206.48981000000001</v>
      </c>
      <c r="AQ124" s="558">
        <v>8135.6985139999997</v>
      </c>
      <c r="AR124" s="558">
        <v>0.58530000000000004</v>
      </c>
    </row>
    <row r="125" spans="2:44">
      <c r="B125" s="559">
        <f t="shared" ca="1" si="44"/>
        <v>45114</v>
      </c>
      <c r="C125" s="555">
        <f ca="1">(IFERROR(IFERROR(VALUE(_xll.BDH(C$4,"CURRENT_EV_TO_T12M_EBITDA",$B125,$B125)),VALUE(_xll.BDH(C$4,"CURRENT_EV_TO_T12M_EBITDA",$B125+1,$B125+1))),C126))</f>
        <v>0</v>
      </c>
      <c r="D125" s="555">
        <f ca="1">(IFERROR(IFERROR(VALUE(_xll.BDH(D$4,"CURRENT_EV_TO_T12M_EBITDA",$B125,$B125)),VALUE(_xll.BDH(D$4,"CURRENT_EV_TO_T12M_EBITDA",$B125+1,$B125+1))),D126))</f>
        <v>0</v>
      </c>
      <c r="E125" s="555">
        <f ca="1">(IFERROR(IFERROR(VALUE(_xll.BDH(E$4,"CURRENT_EV_TO_T12M_EBITDA",$B125,$B125)),VALUE(_xll.BDH(E$4,"CURRENT_EV_TO_T12M_EBITDA",$B125+1,$B125+1))),E126))</f>
        <v>0</v>
      </c>
      <c r="F125" s="555">
        <f ca="1">(IFERROR(IFERROR(VALUE(_xll.BDH(F$4,"CURRENT_EV_TO_T12M_EBITDA",$B125,$B125)),VALUE(_xll.BDH(F$4,"CURRENT_EV_TO_T12M_EBITDA",$B125+1,$B125+1))),F126))</f>
        <v>0</v>
      </c>
      <c r="G125" s="555">
        <f ca="1">(IFERROR(IFERROR(VALUE(_xll.BDH(G$4,"CURRENT_EV_TO_T12M_EBITDA",$B125,$B125)),VALUE(_xll.BDH(G$4,"CURRENT_EV_TO_T12M_EBITDA",$B125+1,$B125+1))),G126))</f>
        <v>0</v>
      </c>
      <c r="H125" s="555">
        <f ca="1">(IFERROR(IFERROR(VALUE(_xll.BDH(H$4,"CURRENT_EV_TO_T12M_EBITDA",$B125,$B125)),VALUE(_xll.BDH(H$4,"CURRENT_EV_TO_T12M_EBITDA",$B125+1,$B125+1))),H126))</f>
        <v>0</v>
      </c>
      <c r="I125" s="559">
        <f t="shared" ca="1" si="35"/>
        <v>45114</v>
      </c>
      <c r="J125" s="555">
        <f ca="1">(IFERROR(IFERROR(VALUE(_xll.BDH(J$4,"PE_RATIO",$B125,$B125)),VALUE(_xll.BDH(J$4,"PE_RATIO",$B125+1,$B125+1))),J126))</f>
        <v>0</v>
      </c>
      <c r="K125" s="555">
        <f ca="1">(IFERROR(IFERROR(VALUE(_xll.BDH(K$4,"PE_RATIO",$B125,$B125)),VALUE(_xll.BDH(K$4,"PE_RATIO",$B125+1,$B125+1))),K126))</f>
        <v>0</v>
      </c>
      <c r="L125" s="555">
        <f ca="1">(IFERROR(IFERROR(VALUE(_xll.BDH(L$4,"PE_RATIO",$B125,$B125)),VALUE(_xll.BDH(L$4,"PE_RATIO",$B125+1,$B125+1))),L126))</f>
        <v>0</v>
      </c>
      <c r="M125" s="555">
        <f ca="1">(IFERROR(IFERROR(VALUE(_xll.BDH(M$4,"PE_RATIO",$B125,$B125)),VALUE(_xll.BDH(M$4,"PE_RATIO",$B125+1,$B125+1))),M126))</f>
        <v>0</v>
      </c>
      <c r="N125" s="555">
        <f ca="1">(IFERROR(IFERROR(VALUE(_xll.BDH(N$4,"PE_RATIO",$B125,$B125)),VALUE(_xll.BDH(N$4,"PE_RATIO",$B125+1,$B125+1))),N126))</f>
        <v>0</v>
      </c>
      <c r="O125" s="555">
        <f ca="1">(IFERROR(IFERROR(VALUE(_xll.BDH(O$4,"PE_RATIO",$B125,$B125)),VALUE(_xll.BDH(O$4,"PE_RATIO",$B125+1,$B125+1))),O126))</f>
        <v>0</v>
      </c>
      <c r="P125" s="555"/>
      <c r="Q125" s="559">
        <f t="shared" ca="1" si="36"/>
        <v>45114</v>
      </c>
      <c r="R125" s="4">
        <v>69.36</v>
      </c>
      <c r="S125" s="4">
        <v>109928.53</v>
      </c>
      <c r="T125" s="4">
        <v>0</v>
      </c>
      <c r="U125" s="4">
        <v>0.71875647668393783</v>
      </c>
      <c r="V125" s="4">
        <v>1.0143221283979391</v>
      </c>
      <c r="W125" s="4" t="e">
        <v>#DIV/0!</v>
      </c>
      <c r="Y125" s="555">
        <f t="shared" si="37"/>
        <v>69.36</v>
      </c>
      <c r="Z125" s="4">
        <f ca="1">IFERROR(VALUE(_xll.BDH(Z$4,"PX_LAST",$Q125,$Q125)),Z126)</f>
        <v>0</v>
      </c>
      <c r="AA125" s="4">
        <f ca="1">IFERROR(VALUE(_xll.BDH(AA$4,"PX_LAST",$Q125,$Q125)),AA126)</f>
        <v>0</v>
      </c>
      <c r="AB125" s="4">
        <f ca="1">IFERROR(VALUE(_xll.BDH(AB$4,"PX_LAST",$Q125,$Q125)),AB126)</f>
        <v>0</v>
      </c>
      <c r="AC125" s="4">
        <f ca="1">IFERROR(VALUE(_xll.BDH(AC$4,"PX_LAST",$Q125,$Q125)),AC126)</f>
        <v>0</v>
      </c>
      <c r="AD125" s="4">
        <f ca="1">IFERROR(VALUE(_xll.BDH(AD$4,"PX_LAST",$Q125,$Q125)),AD126)</f>
        <v>0</v>
      </c>
      <c r="AF125" s="4">
        <f t="shared" si="38"/>
        <v>0.71875647668393783</v>
      </c>
      <c r="AG125" s="4" t="e">
        <f t="shared" ca="1" si="39"/>
        <v>#DIV/0!</v>
      </c>
      <c r="AH125" s="4" t="e">
        <f t="shared" ca="1" si="40"/>
        <v>#DIV/0!</v>
      </c>
      <c r="AI125" s="4" t="e">
        <f t="shared" ca="1" si="41"/>
        <v>#DIV/0!</v>
      </c>
      <c r="AJ125" s="4" t="e">
        <f t="shared" ca="1" si="42"/>
        <v>#DIV/0!</v>
      </c>
      <c r="AK125" s="4" t="e">
        <f t="shared" ca="1" si="43"/>
        <v>#DIV/0!</v>
      </c>
      <c r="AM125" s="557">
        <f t="shared" ca="1" si="33"/>
        <v>45833</v>
      </c>
      <c r="AN125" s="558">
        <v>38.19</v>
      </c>
      <c r="AO125" s="558">
        <v>3984900</v>
      </c>
      <c r="AP125" s="558">
        <v>206.48981000000001</v>
      </c>
      <c r="AQ125" s="558">
        <v>7885.8458438999996</v>
      </c>
      <c r="AR125" s="558">
        <v>0.56640000000000001</v>
      </c>
    </row>
    <row r="126" spans="2:44">
      <c r="B126" s="559">
        <f t="shared" ca="1" si="44"/>
        <v>45107</v>
      </c>
      <c r="C126" s="555">
        <f ca="1">(IFERROR(IFERROR(VALUE(_xll.BDH(C$4,"CURRENT_EV_TO_T12M_EBITDA",$B126,$B126)),VALUE(_xll.BDH(C$4,"CURRENT_EV_TO_T12M_EBITDA",$B126+1,$B126+1))),C127))</f>
        <v>0</v>
      </c>
      <c r="D126" s="555">
        <f ca="1">(IFERROR(IFERROR(VALUE(_xll.BDH(D$4,"CURRENT_EV_TO_T12M_EBITDA",$B126,$B126)),VALUE(_xll.BDH(D$4,"CURRENT_EV_TO_T12M_EBITDA",$B126+1,$B126+1))),D127))</f>
        <v>0</v>
      </c>
      <c r="E126" s="555">
        <f ca="1">(IFERROR(IFERROR(VALUE(_xll.BDH(E$4,"CURRENT_EV_TO_T12M_EBITDA",$B126,$B126)),VALUE(_xll.BDH(E$4,"CURRENT_EV_TO_T12M_EBITDA",$B126+1,$B126+1))),E127))</f>
        <v>0</v>
      </c>
      <c r="F126" s="555">
        <f ca="1">(IFERROR(IFERROR(VALUE(_xll.BDH(F$4,"CURRENT_EV_TO_T12M_EBITDA",$B126,$B126)),VALUE(_xll.BDH(F$4,"CURRENT_EV_TO_T12M_EBITDA",$B126+1,$B126+1))),F127))</f>
        <v>0</v>
      </c>
      <c r="G126" s="555">
        <f ca="1">(IFERROR(IFERROR(VALUE(_xll.BDH(G$4,"CURRENT_EV_TO_T12M_EBITDA",$B126,$B126)),VALUE(_xll.BDH(G$4,"CURRENT_EV_TO_T12M_EBITDA",$B126+1,$B126+1))),G127))</f>
        <v>0</v>
      </c>
      <c r="H126" s="555">
        <f ca="1">(IFERROR(IFERROR(VALUE(_xll.BDH(H$4,"CURRENT_EV_TO_T12M_EBITDA",$B126,$B126)),VALUE(_xll.BDH(H$4,"CURRENT_EV_TO_T12M_EBITDA",$B126+1,$B126+1))),H127))</f>
        <v>0</v>
      </c>
      <c r="I126" s="559">
        <f t="shared" ca="1" si="35"/>
        <v>45107</v>
      </c>
      <c r="J126" s="555">
        <f ca="1">(IFERROR(IFERROR(VALUE(_xll.BDH(J$4,"PE_RATIO",$B126,$B126)),VALUE(_xll.BDH(J$4,"PE_RATIO",$B126+1,$B126+1))),J127))</f>
        <v>0</v>
      </c>
      <c r="K126" s="555">
        <f ca="1">(IFERROR(IFERROR(VALUE(_xll.BDH(K$4,"PE_RATIO",$B126,$B126)),VALUE(_xll.BDH(K$4,"PE_RATIO",$B126+1,$B126+1))),K127))</f>
        <v>0</v>
      </c>
      <c r="L126" s="555">
        <f ca="1">(IFERROR(IFERROR(VALUE(_xll.BDH(L$4,"PE_RATIO",$B126,$B126)),VALUE(_xll.BDH(L$4,"PE_RATIO",$B126+1,$B126+1))),L127))</f>
        <v>0</v>
      </c>
      <c r="M126" s="555">
        <f ca="1">(IFERROR(IFERROR(VALUE(_xll.BDH(M$4,"PE_RATIO",$B126,$B126)),VALUE(_xll.BDH(M$4,"PE_RATIO",$B126+1,$B126+1))),M127))</f>
        <v>0</v>
      </c>
      <c r="N126" s="555">
        <f ca="1">(IFERROR(IFERROR(VALUE(_xll.BDH(N$4,"PE_RATIO",$B126,$B126)),VALUE(_xll.BDH(N$4,"PE_RATIO",$B126+1,$B126+1))),N127))</f>
        <v>0</v>
      </c>
      <c r="O126" s="555">
        <f ca="1">(IFERROR(IFERROR(VALUE(_xll.BDH(O$4,"PE_RATIO",$B126,$B126)),VALUE(_xll.BDH(O$4,"PE_RATIO",$B126+1,$B126+1))),O127))</f>
        <v>0</v>
      </c>
      <c r="P126" s="555"/>
      <c r="Q126" s="559">
        <f t="shared" ca="1" si="36"/>
        <v>45107</v>
      </c>
      <c r="R126" s="4">
        <v>68.58</v>
      </c>
      <c r="S126" s="4">
        <v>108193.68</v>
      </c>
      <c r="T126" s="4">
        <v>0</v>
      </c>
      <c r="U126" s="4">
        <v>0.71067357512953366</v>
      </c>
      <c r="V126" s="4">
        <v>0.99831448466385875</v>
      </c>
      <c r="W126" s="4" t="e">
        <v>#DIV/0!</v>
      </c>
      <c r="Y126" s="555">
        <f t="shared" si="37"/>
        <v>68.58</v>
      </c>
      <c r="Z126" s="4">
        <f ca="1">IFERROR(VALUE(_xll.BDH(Z$4,"PX_LAST",$Q126,$Q126)),Z127)</f>
        <v>0</v>
      </c>
      <c r="AA126" s="4">
        <f ca="1">IFERROR(VALUE(_xll.BDH(AA$4,"PX_LAST",$Q126,$Q126)),AA127)</f>
        <v>0</v>
      </c>
      <c r="AB126" s="4">
        <f ca="1">IFERROR(VALUE(_xll.BDH(AB$4,"PX_LAST",$Q126,$Q126)),AB127)</f>
        <v>0</v>
      </c>
      <c r="AC126" s="4">
        <f ca="1">IFERROR(VALUE(_xll.BDH(AC$4,"PX_LAST",$Q126,$Q126)),AC127)</f>
        <v>0</v>
      </c>
      <c r="AD126" s="4">
        <f ca="1">IFERROR(VALUE(_xll.BDH(AD$4,"PX_LAST",$Q126,$Q126)),AD127)</f>
        <v>0</v>
      </c>
      <c r="AF126" s="4">
        <f t="shared" si="38"/>
        <v>0.71067357512953366</v>
      </c>
      <c r="AG126" s="4" t="e">
        <f t="shared" ca="1" si="39"/>
        <v>#DIV/0!</v>
      </c>
      <c r="AH126" s="4" t="e">
        <f t="shared" ca="1" si="40"/>
        <v>#DIV/0!</v>
      </c>
      <c r="AI126" s="4" t="e">
        <f t="shared" ca="1" si="41"/>
        <v>#DIV/0!</v>
      </c>
      <c r="AJ126" s="4" t="e">
        <f t="shared" ca="1" si="42"/>
        <v>#DIV/0!</v>
      </c>
      <c r="AK126" s="4" t="e">
        <f t="shared" ca="1" si="43"/>
        <v>#DIV/0!</v>
      </c>
      <c r="AM126" s="557">
        <f t="shared" ca="1" si="33"/>
        <v>45832</v>
      </c>
      <c r="AN126" s="558">
        <v>38.19</v>
      </c>
      <c r="AO126" s="558">
        <v>3984900</v>
      </c>
      <c r="AP126" s="558">
        <v>206.48981000000001</v>
      </c>
      <c r="AQ126" s="558">
        <v>7885.8458438999996</v>
      </c>
      <c r="AR126" s="558">
        <v>0.56640000000000001</v>
      </c>
    </row>
    <row r="127" spans="2:44">
      <c r="B127" s="559">
        <f t="shared" ca="1" si="44"/>
        <v>45100</v>
      </c>
      <c r="C127" s="555">
        <f ca="1">(IFERROR(IFERROR(VALUE(_xll.BDH(C$4,"CURRENT_EV_TO_T12M_EBITDA",$B127,$B127)),VALUE(_xll.BDH(C$4,"CURRENT_EV_TO_T12M_EBITDA",$B127+1,$B127+1))),C128))</f>
        <v>0</v>
      </c>
      <c r="D127" s="555">
        <f ca="1">(IFERROR(IFERROR(VALUE(_xll.BDH(D$4,"CURRENT_EV_TO_T12M_EBITDA",$B127,$B127)),VALUE(_xll.BDH(D$4,"CURRENT_EV_TO_T12M_EBITDA",$B127+1,$B127+1))),D128))</f>
        <v>0</v>
      </c>
      <c r="E127" s="555">
        <f ca="1">(IFERROR(IFERROR(VALUE(_xll.BDH(E$4,"CURRENT_EV_TO_T12M_EBITDA",$B127,$B127)),VALUE(_xll.BDH(E$4,"CURRENT_EV_TO_T12M_EBITDA",$B127+1,$B127+1))),E128))</f>
        <v>0</v>
      </c>
      <c r="F127" s="555">
        <f ca="1">(IFERROR(IFERROR(VALUE(_xll.BDH(F$4,"CURRENT_EV_TO_T12M_EBITDA",$B127,$B127)),VALUE(_xll.BDH(F$4,"CURRENT_EV_TO_T12M_EBITDA",$B127+1,$B127+1))),F128))</f>
        <v>0</v>
      </c>
      <c r="G127" s="555">
        <f ca="1">(IFERROR(IFERROR(VALUE(_xll.BDH(G$4,"CURRENT_EV_TO_T12M_EBITDA",$B127,$B127)),VALUE(_xll.BDH(G$4,"CURRENT_EV_TO_T12M_EBITDA",$B127+1,$B127+1))),G128))</f>
        <v>0</v>
      </c>
      <c r="H127" s="555">
        <f ca="1">(IFERROR(IFERROR(VALUE(_xll.BDH(H$4,"CURRENT_EV_TO_T12M_EBITDA",$B127,$B127)),VALUE(_xll.BDH(H$4,"CURRENT_EV_TO_T12M_EBITDA",$B127+1,$B127+1))),H128))</f>
        <v>0</v>
      </c>
      <c r="I127" s="559">
        <f t="shared" ca="1" si="35"/>
        <v>45100</v>
      </c>
      <c r="J127" s="555">
        <f ca="1">(IFERROR(IFERROR(VALUE(_xll.BDH(J$4,"PE_RATIO",$B127,$B127)),VALUE(_xll.BDH(J$4,"PE_RATIO",$B127+1,$B127+1))),J128))</f>
        <v>0</v>
      </c>
      <c r="K127" s="555">
        <f ca="1">(IFERROR(IFERROR(VALUE(_xll.BDH(K$4,"PE_RATIO",$B127,$B127)),VALUE(_xll.BDH(K$4,"PE_RATIO",$B127+1,$B127+1))),K128))</f>
        <v>0</v>
      </c>
      <c r="L127" s="555">
        <f ca="1">(IFERROR(IFERROR(VALUE(_xll.BDH(L$4,"PE_RATIO",$B127,$B127)),VALUE(_xll.BDH(L$4,"PE_RATIO",$B127+1,$B127+1))),L128))</f>
        <v>0</v>
      </c>
      <c r="M127" s="555">
        <f ca="1">(IFERROR(IFERROR(VALUE(_xll.BDH(M$4,"PE_RATIO",$B127,$B127)),VALUE(_xll.BDH(M$4,"PE_RATIO",$B127+1,$B127+1))),M128))</f>
        <v>0</v>
      </c>
      <c r="N127" s="555">
        <f ca="1">(IFERROR(IFERROR(VALUE(_xll.BDH(N$4,"PE_RATIO",$B127,$B127)),VALUE(_xll.BDH(N$4,"PE_RATIO",$B127+1,$B127+1))),N128))</f>
        <v>0</v>
      </c>
      <c r="O127" s="555">
        <f ca="1">(IFERROR(IFERROR(VALUE(_xll.BDH(O$4,"PE_RATIO",$B127,$B127)),VALUE(_xll.BDH(O$4,"PE_RATIO",$B127+1,$B127+1))),O128))</f>
        <v>0</v>
      </c>
      <c r="P127" s="555"/>
      <c r="Q127" s="559">
        <f t="shared" ca="1" si="36"/>
        <v>45100</v>
      </c>
      <c r="R127" s="4">
        <v>64.510000000000005</v>
      </c>
      <c r="S127" s="4">
        <v>107113.66</v>
      </c>
      <c r="T127" s="4">
        <v>0</v>
      </c>
      <c r="U127" s="4">
        <v>0.66849740932642487</v>
      </c>
      <c r="V127" s="4">
        <v>0.98834902633277466</v>
      </c>
      <c r="W127" s="4" t="e">
        <v>#DIV/0!</v>
      </c>
      <c r="Y127" s="555">
        <f t="shared" si="37"/>
        <v>64.510000000000005</v>
      </c>
      <c r="Z127" s="4">
        <f ca="1">IFERROR(VALUE(_xll.BDH(Z$4,"PX_LAST",$Q127,$Q127)),Z128)</f>
        <v>0</v>
      </c>
      <c r="AA127" s="4">
        <f ca="1">IFERROR(VALUE(_xll.BDH(AA$4,"PX_LAST",$Q127,$Q127)),AA128)</f>
        <v>0</v>
      </c>
      <c r="AB127" s="4">
        <f ca="1">IFERROR(VALUE(_xll.BDH(AB$4,"PX_LAST",$Q127,$Q127)),AB128)</f>
        <v>0</v>
      </c>
      <c r="AC127" s="4">
        <f ca="1">IFERROR(VALUE(_xll.BDH(AC$4,"PX_LAST",$Q127,$Q127)),AC128)</f>
        <v>0</v>
      </c>
      <c r="AD127" s="4">
        <f ca="1">IFERROR(VALUE(_xll.BDH(AD$4,"PX_LAST",$Q127,$Q127)),AD128)</f>
        <v>0</v>
      </c>
      <c r="AF127" s="4">
        <f t="shared" si="38"/>
        <v>0.66849740932642487</v>
      </c>
      <c r="AG127" s="4" t="e">
        <f t="shared" ca="1" si="39"/>
        <v>#DIV/0!</v>
      </c>
      <c r="AH127" s="4" t="e">
        <f t="shared" ca="1" si="40"/>
        <v>#DIV/0!</v>
      </c>
      <c r="AI127" s="4" t="e">
        <f t="shared" ca="1" si="41"/>
        <v>#DIV/0!</v>
      </c>
      <c r="AJ127" s="4" t="e">
        <f t="shared" ca="1" si="42"/>
        <v>#DIV/0!</v>
      </c>
      <c r="AK127" s="4" t="e">
        <f t="shared" ca="1" si="43"/>
        <v>#DIV/0!</v>
      </c>
      <c r="AM127" s="557">
        <f t="shared" ca="1" si="33"/>
        <v>45831</v>
      </c>
      <c r="AN127" s="558">
        <v>38.19</v>
      </c>
      <c r="AO127" s="558">
        <v>3984900</v>
      </c>
      <c r="AP127" s="558">
        <v>206.48981000000001</v>
      </c>
      <c r="AQ127" s="558">
        <v>7885.8458438999996</v>
      </c>
      <c r="AR127" s="558">
        <v>0.56640000000000001</v>
      </c>
    </row>
    <row r="128" spans="2:44">
      <c r="B128" s="559">
        <f t="shared" ca="1" si="44"/>
        <v>45093</v>
      </c>
      <c r="C128" s="555">
        <f ca="1">(IFERROR(IFERROR(VALUE(_xll.BDH(C$4,"CURRENT_EV_TO_T12M_EBITDA",$B128,$B128)),VALUE(_xll.BDH(C$4,"CURRENT_EV_TO_T12M_EBITDA",$B128+1,$B128+1))),C129))</f>
        <v>0</v>
      </c>
      <c r="D128" s="555">
        <f ca="1">(IFERROR(IFERROR(VALUE(_xll.BDH(D$4,"CURRENT_EV_TO_T12M_EBITDA",$B128,$B128)),VALUE(_xll.BDH(D$4,"CURRENT_EV_TO_T12M_EBITDA",$B128+1,$B128+1))),D129))</f>
        <v>0</v>
      </c>
      <c r="E128" s="555">
        <f ca="1">(IFERROR(IFERROR(VALUE(_xll.BDH(E$4,"CURRENT_EV_TO_T12M_EBITDA",$B128,$B128)),VALUE(_xll.BDH(E$4,"CURRENT_EV_TO_T12M_EBITDA",$B128+1,$B128+1))),E129))</f>
        <v>0</v>
      </c>
      <c r="F128" s="555">
        <f ca="1">(IFERROR(IFERROR(VALUE(_xll.BDH(F$4,"CURRENT_EV_TO_T12M_EBITDA",$B128,$B128)),VALUE(_xll.BDH(F$4,"CURRENT_EV_TO_T12M_EBITDA",$B128+1,$B128+1))),F129))</f>
        <v>0</v>
      </c>
      <c r="G128" s="555">
        <f ca="1">(IFERROR(IFERROR(VALUE(_xll.BDH(G$4,"CURRENT_EV_TO_T12M_EBITDA",$B128,$B128)),VALUE(_xll.BDH(G$4,"CURRENT_EV_TO_T12M_EBITDA",$B128+1,$B128+1))),G129))</f>
        <v>0</v>
      </c>
      <c r="H128" s="555">
        <f ca="1">(IFERROR(IFERROR(VALUE(_xll.BDH(H$4,"CURRENT_EV_TO_T12M_EBITDA",$B128,$B128)),VALUE(_xll.BDH(H$4,"CURRENT_EV_TO_T12M_EBITDA",$B128+1,$B128+1))),H129))</f>
        <v>0</v>
      </c>
      <c r="I128" s="559">
        <f t="shared" ca="1" si="35"/>
        <v>45093</v>
      </c>
      <c r="J128" s="555">
        <f ca="1">(IFERROR(IFERROR(VALUE(_xll.BDH(J$4,"PE_RATIO",$B128,$B128)),VALUE(_xll.BDH(J$4,"PE_RATIO",$B128+1,$B128+1))),J129))</f>
        <v>0</v>
      </c>
      <c r="K128" s="555">
        <f ca="1">(IFERROR(IFERROR(VALUE(_xll.BDH(K$4,"PE_RATIO",$B128,$B128)),VALUE(_xll.BDH(K$4,"PE_RATIO",$B128+1,$B128+1))),K129))</f>
        <v>0</v>
      </c>
      <c r="L128" s="555">
        <f ca="1">(IFERROR(IFERROR(VALUE(_xll.BDH(L$4,"PE_RATIO",$B128,$B128)),VALUE(_xll.BDH(L$4,"PE_RATIO",$B128+1,$B128+1))),L129))</f>
        <v>0</v>
      </c>
      <c r="M128" s="555">
        <f ca="1">(IFERROR(IFERROR(VALUE(_xll.BDH(M$4,"PE_RATIO",$B128,$B128)),VALUE(_xll.BDH(M$4,"PE_RATIO",$B128+1,$B128+1))),M129))</f>
        <v>0</v>
      </c>
      <c r="N128" s="555">
        <f ca="1">(IFERROR(IFERROR(VALUE(_xll.BDH(N$4,"PE_RATIO",$B128,$B128)),VALUE(_xll.BDH(N$4,"PE_RATIO",$B128+1,$B128+1))),N129))</f>
        <v>0</v>
      </c>
      <c r="O128" s="555">
        <f ca="1">(IFERROR(IFERROR(VALUE(_xll.BDH(O$4,"PE_RATIO",$B128,$B128)),VALUE(_xll.BDH(O$4,"PE_RATIO",$B128+1,$B128+1))),O129))</f>
        <v>0</v>
      </c>
      <c r="P128" s="555"/>
      <c r="Q128" s="559">
        <f t="shared" ca="1" si="36"/>
        <v>45093</v>
      </c>
      <c r="R128" s="4">
        <v>63.93</v>
      </c>
      <c r="S128" s="4">
        <v>101926.95</v>
      </c>
      <c r="T128" s="4">
        <v>0</v>
      </c>
      <c r="U128" s="4">
        <v>0.66248704663212432</v>
      </c>
      <c r="V128" s="4">
        <v>0.94049070669015877</v>
      </c>
      <c r="W128" s="4" t="e">
        <v>#DIV/0!</v>
      </c>
      <c r="Y128" s="555">
        <f t="shared" si="37"/>
        <v>63.93</v>
      </c>
      <c r="Z128" s="4">
        <f ca="1">IFERROR(VALUE(_xll.BDH(Z$4,"PX_LAST",$Q128,$Q128)),Z129)</f>
        <v>0</v>
      </c>
      <c r="AA128" s="4">
        <f ca="1">IFERROR(VALUE(_xll.BDH(AA$4,"PX_LAST",$Q128,$Q128)),AA129)</f>
        <v>0</v>
      </c>
      <c r="AB128" s="4">
        <f ca="1">IFERROR(VALUE(_xll.BDH(AB$4,"PX_LAST",$Q128,$Q128)),AB129)</f>
        <v>0</v>
      </c>
      <c r="AC128" s="4">
        <f ca="1">IFERROR(VALUE(_xll.BDH(AC$4,"PX_LAST",$Q128,$Q128)),AC129)</f>
        <v>0</v>
      </c>
      <c r="AD128" s="4">
        <f ca="1">IFERROR(VALUE(_xll.BDH(AD$4,"PX_LAST",$Q128,$Q128)),AD129)</f>
        <v>0</v>
      </c>
      <c r="AF128" s="4">
        <f t="shared" si="38"/>
        <v>0.66248704663212432</v>
      </c>
      <c r="AG128" s="4" t="e">
        <f t="shared" ca="1" si="39"/>
        <v>#DIV/0!</v>
      </c>
      <c r="AH128" s="4" t="e">
        <f t="shared" ca="1" si="40"/>
        <v>#DIV/0!</v>
      </c>
      <c r="AI128" s="4" t="e">
        <f t="shared" ca="1" si="41"/>
        <v>#DIV/0!</v>
      </c>
      <c r="AJ128" s="4" t="e">
        <f t="shared" ca="1" si="42"/>
        <v>#DIV/0!</v>
      </c>
      <c r="AK128" s="4" t="e">
        <f t="shared" ca="1" si="43"/>
        <v>#DIV/0!</v>
      </c>
      <c r="AM128" s="557">
        <f t="shared" ca="1" si="33"/>
        <v>45830</v>
      </c>
      <c r="AN128" s="558">
        <v>38.424999999999997</v>
      </c>
      <c r="AO128" s="558">
        <v>13144600</v>
      </c>
      <c r="AP128" s="558">
        <v>206.48981000000001</v>
      </c>
      <c r="AQ128" s="558">
        <v>7934.3709492499993</v>
      </c>
      <c r="AR128" s="558">
        <v>0.57010000000000005</v>
      </c>
    </row>
    <row r="129" spans="2:44">
      <c r="B129" s="559">
        <f t="shared" ca="1" si="44"/>
        <v>45086</v>
      </c>
      <c r="C129" s="555">
        <f ca="1">(IFERROR(IFERROR(VALUE(_xll.BDH(C$4,"CURRENT_EV_TO_T12M_EBITDA",$B129,$B129)),VALUE(_xll.BDH(C$4,"CURRENT_EV_TO_T12M_EBITDA",$B129+1,$B129+1))),C130))</f>
        <v>0</v>
      </c>
      <c r="D129" s="555">
        <f ca="1">(IFERROR(IFERROR(VALUE(_xll.BDH(D$4,"CURRENT_EV_TO_T12M_EBITDA",$B129,$B129)),VALUE(_xll.BDH(D$4,"CURRENT_EV_TO_T12M_EBITDA",$B129+1,$B129+1))),D130))</f>
        <v>0</v>
      </c>
      <c r="E129" s="555">
        <f ca="1">(IFERROR(IFERROR(VALUE(_xll.BDH(E$4,"CURRENT_EV_TO_T12M_EBITDA",$B129,$B129)),VALUE(_xll.BDH(E$4,"CURRENT_EV_TO_T12M_EBITDA",$B129+1,$B129+1))),E130))</f>
        <v>0</v>
      </c>
      <c r="F129" s="555">
        <f ca="1">(IFERROR(IFERROR(VALUE(_xll.BDH(F$4,"CURRENT_EV_TO_T12M_EBITDA",$B129,$B129)),VALUE(_xll.BDH(F$4,"CURRENT_EV_TO_T12M_EBITDA",$B129+1,$B129+1))),F130))</f>
        <v>0</v>
      </c>
      <c r="G129" s="555">
        <f ca="1">(IFERROR(IFERROR(VALUE(_xll.BDH(G$4,"CURRENT_EV_TO_T12M_EBITDA",$B129,$B129)),VALUE(_xll.BDH(G$4,"CURRENT_EV_TO_T12M_EBITDA",$B129+1,$B129+1))),G130))</f>
        <v>0</v>
      </c>
      <c r="H129" s="555">
        <f ca="1">(IFERROR(IFERROR(VALUE(_xll.BDH(H$4,"CURRENT_EV_TO_T12M_EBITDA",$B129,$B129)),VALUE(_xll.BDH(H$4,"CURRENT_EV_TO_T12M_EBITDA",$B129+1,$B129+1))),H130))</f>
        <v>0</v>
      </c>
      <c r="I129" s="559">
        <f t="shared" ca="1" si="35"/>
        <v>45086</v>
      </c>
      <c r="J129" s="555">
        <f ca="1">(IFERROR(IFERROR(VALUE(_xll.BDH(J$4,"PE_RATIO",$B129,$B129)),VALUE(_xll.BDH(J$4,"PE_RATIO",$B129+1,$B129+1))),J130))</f>
        <v>0</v>
      </c>
      <c r="K129" s="555">
        <f ca="1">(IFERROR(IFERROR(VALUE(_xll.BDH(K$4,"PE_RATIO",$B129,$B129)),VALUE(_xll.BDH(K$4,"PE_RATIO",$B129+1,$B129+1))),K130))</f>
        <v>0</v>
      </c>
      <c r="L129" s="555">
        <f ca="1">(IFERROR(IFERROR(VALUE(_xll.BDH(L$4,"PE_RATIO",$B129,$B129)),VALUE(_xll.BDH(L$4,"PE_RATIO",$B129+1,$B129+1))),L130))</f>
        <v>0</v>
      </c>
      <c r="M129" s="555">
        <f ca="1">(IFERROR(IFERROR(VALUE(_xll.BDH(M$4,"PE_RATIO",$B129,$B129)),VALUE(_xll.BDH(M$4,"PE_RATIO",$B129+1,$B129+1))),M130))</f>
        <v>0</v>
      </c>
      <c r="N129" s="555">
        <f ca="1">(IFERROR(IFERROR(VALUE(_xll.BDH(N$4,"PE_RATIO",$B129,$B129)),VALUE(_xll.BDH(N$4,"PE_RATIO",$B129+1,$B129+1))),N130))</f>
        <v>0</v>
      </c>
      <c r="O129" s="555">
        <f ca="1">(IFERROR(IFERROR(VALUE(_xll.BDH(O$4,"PE_RATIO",$B129,$B129)),VALUE(_xll.BDH(O$4,"PE_RATIO",$B129+1,$B129+1))),O130))</f>
        <v>0</v>
      </c>
      <c r="P129" s="555"/>
      <c r="Q129" s="559">
        <f t="shared" ca="1" si="36"/>
        <v>45086</v>
      </c>
      <c r="R129" s="4">
        <v>62.4</v>
      </c>
      <c r="S129" s="4">
        <v>103220.09</v>
      </c>
      <c r="T129" s="4">
        <v>0</v>
      </c>
      <c r="U129" s="4">
        <v>0.64663212435233164</v>
      </c>
      <c r="V129" s="4">
        <v>0.9524226457156012</v>
      </c>
      <c r="W129" s="4" t="e">
        <v>#DIV/0!</v>
      </c>
      <c r="Y129" s="555">
        <f t="shared" si="37"/>
        <v>62.4</v>
      </c>
      <c r="Z129" s="4">
        <f ca="1">IFERROR(VALUE(_xll.BDH(Z$4,"PX_LAST",$Q129,$Q129)),Z130)</f>
        <v>0</v>
      </c>
      <c r="AA129" s="4">
        <f ca="1">IFERROR(VALUE(_xll.BDH(AA$4,"PX_LAST",$Q129,$Q129)),AA130)</f>
        <v>0</v>
      </c>
      <c r="AB129" s="4">
        <f ca="1">IFERROR(VALUE(_xll.BDH(AB$4,"PX_LAST",$Q129,$Q129)),AB130)</f>
        <v>0</v>
      </c>
      <c r="AC129" s="4">
        <f ca="1">IFERROR(VALUE(_xll.BDH(AC$4,"PX_LAST",$Q129,$Q129)),AC130)</f>
        <v>0</v>
      </c>
      <c r="AD129" s="4">
        <f ca="1">IFERROR(VALUE(_xll.BDH(AD$4,"PX_LAST",$Q129,$Q129)),AD130)</f>
        <v>0</v>
      </c>
      <c r="AF129" s="4">
        <f t="shared" si="38"/>
        <v>0.64663212435233164</v>
      </c>
      <c r="AG129" s="4" t="e">
        <f t="shared" ca="1" si="39"/>
        <v>#DIV/0!</v>
      </c>
      <c r="AH129" s="4" t="e">
        <f t="shared" ca="1" si="40"/>
        <v>#DIV/0!</v>
      </c>
      <c r="AI129" s="4" t="e">
        <f t="shared" ca="1" si="41"/>
        <v>#DIV/0!</v>
      </c>
      <c r="AJ129" s="4" t="e">
        <f t="shared" ca="1" si="42"/>
        <v>#DIV/0!</v>
      </c>
      <c r="AK129" s="4" t="e">
        <f t="shared" ca="1" si="43"/>
        <v>#DIV/0!</v>
      </c>
      <c r="AM129" s="557">
        <f t="shared" ca="1" si="33"/>
        <v>45829</v>
      </c>
      <c r="AN129" s="558">
        <v>31.63</v>
      </c>
      <c r="AO129" s="558">
        <v>2583800</v>
      </c>
      <c r="AP129" s="558">
        <v>206.48981000000001</v>
      </c>
      <c r="AQ129" s="558">
        <v>6531.2726903000002</v>
      </c>
      <c r="AR129" s="558">
        <v>0.4672</v>
      </c>
    </row>
    <row r="130" spans="2:44">
      <c r="B130" s="559">
        <f t="shared" ca="1" si="44"/>
        <v>45079</v>
      </c>
      <c r="C130" s="555">
        <f ca="1">(IFERROR(IFERROR(VALUE(_xll.BDH(C$4,"CURRENT_EV_TO_T12M_EBITDA",$B130,$B130)),VALUE(_xll.BDH(C$4,"CURRENT_EV_TO_T12M_EBITDA",$B130+1,$B130+1))),C131))</f>
        <v>0</v>
      </c>
      <c r="D130" s="555">
        <f ca="1">(IFERROR(IFERROR(VALUE(_xll.BDH(D$4,"CURRENT_EV_TO_T12M_EBITDA",$B130,$B130)),VALUE(_xll.BDH(D$4,"CURRENT_EV_TO_T12M_EBITDA",$B130+1,$B130+1))),D131))</f>
        <v>0</v>
      </c>
      <c r="E130" s="555">
        <f ca="1">(IFERROR(IFERROR(VALUE(_xll.BDH(E$4,"CURRENT_EV_TO_T12M_EBITDA",$B130,$B130)),VALUE(_xll.BDH(E$4,"CURRENT_EV_TO_T12M_EBITDA",$B130+1,$B130+1))),E131))</f>
        <v>0</v>
      </c>
      <c r="F130" s="555">
        <f ca="1">(IFERROR(IFERROR(VALUE(_xll.BDH(F$4,"CURRENT_EV_TO_T12M_EBITDA",$B130,$B130)),VALUE(_xll.BDH(F$4,"CURRENT_EV_TO_T12M_EBITDA",$B130+1,$B130+1))),F131))</f>
        <v>0</v>
      </c>
      <c r="G130" s="555">
        <f ca="1">(IFERROR(IFERROR(VALUE(_xll.BDH(G$4,"CURRENT_EV_TO_T12M_EBITDA",$B130,$B130)),VALUE(_xll.BDH(G$4,"CURRENT_EV_TO_T12M_EBITDA",$B130+1,$B130+1))),G131))</f>
        <v>0</v>
      </c>
      <c r="H130" s="555">
        <f ca="1">(IFERROR(IFERROR(VALUE(_xll.BDH(H$4,"CURRENT_EV_TO_T12M_EBITDA",$B130,$B130)),VALUE(_xll.BDH(H$4,"CURRENT_EV_TO_T12M_EBITDA",$B130+1,$B130+1))),H131))</f>
        <v>0</v>
      </c>
      <c r="I130" s="559">
        <f t="shared" ca="1" si="35"/>
        <v>45079</v>
      </c>
      <c r="J130" s="555">
        <f ca="1">(IFERROR(IFERROR(VALUE(_xll.BDH(J$4,"PE_RATIO",$B130,$B130)),VALUE(_xll.BDH(J$4,"PE_RATIO",$B130+1,$B130+1))),J131))</f>
        <v>0</v>
      </c>
      <c r="K130" s="555">
        <f ca="1">(IFERROR(IFERROR(VALUE(_xll.BDH(K$4,"PE_RATIO",$B130,$B130)),VALUE(_xll.BDH(K$4,"PE_RATIO",$B130+1,$B130+1))),K131))</f>
        <v>0</v>
      </c>
      <c r="L130" s="555">
        <f ca="1">(IFERROR(IFERROR(VALUE(_xll.BDH(L$4,"PE_RATIO",$B130,$B130)),VALUE(_xll.BDH(L$4,"PE_RATIO",$B130+1,$B130+1))),L131))</f>
        <v>0</v>
      </c>
      <c r="M130" s="555">
        <f ca="1">(IFERROR(IFERROR(VALUE(_xll.BDH(M$4,"PE_RATIO",$B130,$B130)),VALUE(_xll.BDH(M$4,"PE_RATIO",$B130+1,$B130+1))),M131))</f>
        <v>0</v>
      </c>
      <c r="N130" s="555">
        <f ca="1">(IFERROR(IFERROR(VALUE(_xll.BDH(N$4,"PE_RATIO",$B130,$B130)),VALUE(_xll.BDH(N$4,"PE_RATIO",$B130+1,$B130+1))),N131))</f>
        <v>0</v>
      </c>
      <c r="O130" s="555">
        <f ca="1">(IFERROR(IFERROR(VALUE(_xll.BDH(O$4,"PE_RATIO",$B130,$B130)),VALUE(_xll.BDH(O$4,"PE_RATIO",$B130+1,$B130+1))),O131))</f>
        <v>0</v>
      </c>
      <c r="P130" s="555"/>
      <c r="Q130" s="559">
        <f t="shared" ca="1" si="36"/>
        <v>45079</v>
      </c>
      <c r="R130" s="4">
        <v>67.17</v>
      </c>
      <c r="S130" s="4">
        <v>106163.23</v>
      </c>
      <c r="T130" s="4">
        <v>0</v>
      </c>
      <c r="U130" s="4">
        <v>0.69606217616580313</v>
      </c>
      <c r="V130" s="4">
        <v>0.97957930858531395</v>
      </c>
      <c r="W130" s="4" t="e">
        <v>#DIV/0!</v>
      </c>
      <c r="Y130" s="555">
        <f t="shared" si="37"/>
        <v>67.17</v>
      </c>
      <c r="Z130" s="4">
        <f ca="1">IFERROR(VALUE(_xll.BDH(Z$4,"PX_LAST",$Q130,$Q130)),Z131)</f>
        <v>0</v>
      </c>
      <c r="AA130" s="4">
        <f ca="1">IFERROR(VALUE(_xll.BDH(AA$4,"PX_LAST",$Q130,$Q130)),AA131)</f>
        <v>0</v>
      </c>
      <c r="AB130" s="4">
        <f ca="1">IFERROR(VALUE(_xll.BDH(AB$4,"PX_LAST",$Q130,$Q130)),AB131)</f>
        <v>0</v>
      </c>
      <c r="AC130" s="4">
        <f ca="1">IFERROR(VALUE(_xll.BDH(AC$4,"PX_LAST",$Q130,$Q130)),AC131)</f>
        <v>0</v>
      </c>
      <c r="AD130" s="4">
        <f ca="1">IFERROR(VALUE(_xll.BDH(AD$4,"PX_LAST",$Q130,$Q130)),AD131)</f>
        <v>0</v>
      </c>
      <c r="AF130" s="4">
        <f t="shared" si="38"/>
        <v>0.69606217616580313</v>
      </c>
      <c r="AG130" s="4" t="e">
        <f t="shared" ca="1" si="39"/>
        <v>#DIV/0!</v>
      </c>
      <c r="AH130" s="4" t="e">
        <f t="shared" ca="1" si="40"/>
        <v>#DIV/0!</v>
      </c>
      <c r="AI130" s="4" t="e">
        <f t="shared" ca="1" si="41"/>
        <v>#DIV/0!</v>
      </c>
      <c r="AJ130" s="4" t="e">
        <f t="shared" ca="1" si="42"/>
        <v>#DIV/0!</v>
      </c>
      <c r="AK130" s="4" t="e">
        <f t="shared" ca="1" si="43"/>
        <v>#DIV/0!</v>
      </c>
      <c r="AM130" s="557">
        <f t="shared" ca="1" si="33"/>
        <v>45828</v>
      </c>
      <c r="AN130" s="558">
        <v>32.75</v>
      </c>
      <c r="AO130" s="558">
        <v>2955700</v>
      </c>
      <c r="AP130" s="558">
        <v>206.48981000000001</v>
      </c>
      <c r="AQ130" s="558">
        <v>6762.5412775000004</v>
      </c>
      <c r="AR130" s="558">
        <v>0.48499999999999999</v>
      </c>
    </row>
    <row r="131" spans="2:44">
      <c r="B131" s="559">
        <f t="shared" ca="1" si="44"/>
        <v>45072</v>
      </c>
      <c r="C131" s="555">
        <f ca="1">(IFERROR(IFERROR(VALUE(_xll.BDH(C$4,"CURRENT_EV_TO_T12M_EBITDA",$B131,$B131)),VALUE(_xll.BDH(C$4,"CURRENT_EV_TO_T12M_EBITDA",$B131+1,$B131+1))),C132))</f>
        <v>0</v>
      </c>
      <c r="D131" s="555">
        <f ca="1">(IFERROR(IFERROR(VALUE(_xll.BDH(D$4,"CURRENT_EV_TO_T12M_EBITDA",$B131,$B131)),VALUE(_xll.BDH(D$4,"CURRENT_EV_TO_T12M_EBITDA",$B131+1,$B131+1))),D132))</f>
        <v>0</v>
      </c>
      <c r="E131" s="555">
        <f ca="1">(IFERROR(IFERROR(VALUE(_xll.BDH(E$4,"CURRENT_EV_TO_T12M_EBITDA",$B131,$B131)),VALUE(_xll.BDH(E$4,"CURRENT_EV_TO_T12M_EBITDA",$B131+1,$B131+1))),E132))</f>
        <v>0</v>
      </c>
      <c r="F131" s="555">
        <f ca="1">(IFERROR(IFERROR(VALUE(_xll.BDH(F$4,"CURRENT_EV_TO_T12M_EBITDA",$B131,$B131)),VALUE(_xll.BDH(F$4,"CURRENT_EV_TO_T12M_EBITDA",$B131+1,$B131+1))),F132))</f>
        <v>0</v>
      </c>
      <c r="G131" s="555">
        <f ca="1">(IFERROR(IFERROR(VALUE(_xll.BDH(G$4,"CURRENT_EV_TO_T12M_EBITDA",$B131,$B131)),VALUE(_xll.BDH(G$4,"CURRENT_EV_TO_T12M_EBITDA",$B131+1,$B131+1))),G132))</f>
        <v>0</v>
      </c>
      <c r="H131" s="555">
        <f ca="1">(IFERROR(IFERROR(VALUE(_xll.BDH(H$4,"CURRENT_EV_TO_T12M_EBITDA",$B131,$B131)),VALUE(_xll.BDH(H$4,"CURRENT_EV_TO_T12M_EBITDA",$B131+1,$B131+1))),H132))</f>
        <v>0</v>
      </c>
      <c r="I131" s="559">
        <f t="shared" ca="1" si="35"/>
        <v>45072</v>
      </c>
      <c r="J131" s="555">
        <f ca="1">(IFERROR(IFERROR(VALUE(_xll.BDH(J$4,"PE_RATIO",$B131,$B131)),VALUE(_xll.BDH(J$4,"PE_RATIO",$B131+1,$B131+1))),J132))</f>
        <v>0</v>
      </c>
      <c r="K131" s="555">
        <f ca="1">(IFERROR(IFERROR(VALUE(_xll.BDH(K$4,"PE_RATIO",$B131,$B131)),VALUE(_xll.BDH(K$4,"PE_RATIO",$B131+1,$B131+1))),K132))</f>
        <v>0</v>
      </c>
      <c r="L131" s="555">
        <f ca="1">(IFERROR(IFERROR(VALUE(_xll.BDH(L$4,"PE_RATIO",$B131,$B131)),VALUE(_xll.BDH(L$4,"PE_RATIO",$B131+1,$B131+1))),L132))</f>
        <v>0</v>
      </c>
      <c r="M131" s="555">
        <f ca="1">(IFERROR(IFERROR(VALUE(_xll.BDH(M$4,"PE_RATIO",$B131,$B131)),VALUE(_xll.BDH(M$4,"PE_RATIO",$B131+1,$B131+1))),M132))</f>
        <v>0</v>
      </c>
      <c r="N131" s="555">
        <f ca="1">(IFERROR(IFERROR(VALUE(_xll.BDH(N$4,"PE_RATIO",$B131,$B131)),VALUE(_xll.BDH(N$4,"PE_RATIO",$B131+1,$B131+1))),N132))</f>
        <v>0</v>
      </c>
      <c r="O131" s="555">
        <f ca="1">(IFERROR(IFERROR(VALUE(_xll.BDH(O$4,"PE_RATIO",$B131,$B131)),VALUE(_xll.BDH(O$4,"PE_RATIO",$B131+1,$B131+1))),O132))</f>
        <v>0</v>
      </c>
      <c r="P131" s="555"/>
      <c r="Q131" s="559">
        <f t="shared" ca="1" si="36"/>
        <v>45072</v>
      </c>
      <c r="R131" s="4">
        <v>69</v>
      </c>
      <c r="S131" s="4">
        <v>106213.75999999999</v>
      </c>
      <c r="T131" s="4">
        <v>0</v>
      </c>
      <c r="U131" s="4">
        <v>0.71502590673575128</v>
      </c>
      <c r="V131" s="4">
        <v>0.98004555421916306</v>
      </c>
      <c r="W131" s="4" t="e">
        <v>#DIV/0!</v>
      </c>
      <c r="Y131" s="555">
        <f t="shared" si="37"/>
        <v>69</v>
      </c>
      <c r="Z131" s="4">
        <f ca="1">IFERROR(VALUE(_xll.BDH(Z$4,"PX_LAST",$Q131,$Q131)),Z132)</f>
        <v>0</v>
      </c>
      <c r="AA131" s="4">
        <f ca="1">IFERROR(VALUE(_xll.BDH(AA$4,"PX_LAST",$Q131,$Q131)),AA132)</f>
        <v>0</v>
      </c>
      <c r="AB131" s="4">
        <f ca="1">IFERROR(VALUE(_xll.BDH(AB$4,"PX_LAST",$Q131,$Q131)),AB132)</f>
        <v>0</v>
      </c>
      <c r="AC131" s="4">
        <f ca="1">IFERROR(VALUE(_xll.BDH(AC$4,"PX_LAST",$Q131,$Q131)),AC132)</f>
        <v>0</v>
      </c>
      <c r="AD131" s="4">
        <f ca="1">IFERROR(VALUE(_xll.BDH(AD$4,"PX_LAST",$Q131,$Q131)),AD132)</f>
        <v>0</v>
      </c>
      <c r="AF131" s="4">
        <f t="shared" si="38"/>
        <v>0.71502590673575128</v>
      </c>
      <c r="AG131" s="4" t="e">
        <f t="shared" ca="1" si="39"/>
        <v>#DIV/0!</v>
      </c>
      <c r="AH131" s="4" t="e">
        <f t="shared" ca="1" si="40"/>
        <v>#DIV/0!</v>
      </c>
      <c r="AI131" s="4" t="e">
        <f t="shared" ca="1" si="41"/>
        <v>#DIV/0!</v>
      </c>
      <c r="AJ131" s="4" t="e">
        <f t="shared" ca="1" si="42"/>
        <v>#DIV/0!</v>
      </c>
      <c r="AK131" s="4" t="e">
        <f t="shared" ca="1" si="43"/>
        <v>#DIV/0!</v>
      </c>
      <c r="AM131" s="557">
        <f t="shared" ca="1" si="33"/>
        <v>45827</v>
      </c>
      <c r="AN131" s="558">
        <v>32.79</v>
      </c>
      <c r="AO131" s="558">
        <v>3015400</v>
      </c>
      <c r="AP131" s="558">
        <v>206.48981000000001</v>
      </c>
      <c r="AQ131" s="558">
        <v>6770.8008699000002</v>
      </c>
      <c r="AR131" s="558">
        <v>0.4859</v>
      </c>
    </row>
    <row r="132" spans="2:44">
      <c r="B132" s="559">
        <f t="shared" ca="1" si="44"/>
        <v>45065</v>
      </c>
      <c r="C132" s="555">
        <f ca="1">(IFERROR(IFERROR(VALUE(_xll.BDH(C$4,"CURRENT_EV_TO_T12M_EBITDA",$B132,$B132)),VALUE(_xll.BDH(C$4,"CURRENT_EV_TO_T12M_EBITDA",$B132+1,$B132+1))),C133))</f>
        <v>0</v>
      </c>
      <c r="D132" s="555">
        <f ca="1">(IFERROR(IFERROR(VALUE(_xll.BDH(D$4,"CURRENT_EV_TO_T12M_EBITDA",$B132,$B132)),VALUE(_xll.BDH(D$4,"CURRENT_EV_TO_T12M_EBITDA",$B132+1,$B132+1))),D133))</f>
        <v>0</v>
      </c>
      <c r="E132" s="555">
        <f ca="1">(IFERROR(IFERROR(VALUE(_xll.BDH(E$4,"CURRENT_EV_TO_T12M_EBITDA",$B132,$B132)),VALUE(_xll.BDH(E$4,"CURRENT_EV_TO_T12M_EBITDA",$B132+1,$B132+1))),E133))</f>
        <v>0</v>
      </c>
      <c r="F132" s="555">
        <f ca="1">(IFERROR(IFERROR(VALUE(_xll.BDH(F$4,"CURRENT_EV_TO_T12M_EBITDA",$B132,$B132)),VALUE(_xll.BDH(F$4,"CURRENT_EV_TO_T12M_EBITDA",$B132+1,$B132+1))),F133))</f>
        <v>0</v>
      </c>
      <c r="G132" s="555">
        <f ca="1">(IFERROR(IFERROR(VALUE(_xll.BDH(G$4,"CURRENT_EV_TO_T12M_EBITDA",$B132,$B132)),VALUE(_xll.BDH(G$4,"CURRENT_EV_TO_T12M_EBITDA",$B132+1,$B132+1))),G133))</f>
        <v>0</v>
      </c>
      <c r="H132" s="555">
        <f ca="1">(IFERROR(IFERROR(VALUE(_xll.BDH(H$4,"CURRENT_EV_TO_T12M_EBITDA",$B132,$B132)),VALUE(_xll.BDH(H$4,"CURRENT_EV_TO_T12M_EBITDA",$B132+1,$B132+1))),H133))</f>
        <v>0</v>
      </c>
      <c r="I132" s="559">
        <f t="shared" ca="1" si="35"/>
        <v>45065</v>
      </c>
      <c r="J132" s="555">
        <f ca="1">(IFERROR(IFERROR(VALUE(_xll.BDH(J$4,"PE_RATIO",$B132,$B132)),VALUE(_xll.BDH(J$4,"PE_RATIO",$B132+1,$B132+1))),J133))</f>
        <v>0</v>
      </c>
      <c r="K132" s="555">
        <f ca="1">(IFERROR(IFERROR(VALUE(_xll.BDH(K$4,"PE_RATIO",$B132,$B132)),VALUE(_xll.BDH(K$4,"PE_RATIO",$B132+1,$B132+1))),K133))</f>
        <v>0</v>
      </c>
      <c r="L132" s="555">
        <f ca="1">(IFERROR(IFERROR(VALUE(_xll.BDH(L$4,"PE_RATIO",$B132,$B132)),VALUE(_xll.BDH(L$4,"PE_RATIO",$B132+1,$B132+1))),L133))</f>
        <v>0</v>
      </c>
      <c r="M132" s="555">
        <f ca="1">(IFERROR(IFERROR(VALUE(_xll.BDH(M$4,"PE_RATIO",$B132,$B132)),VALUE(_xll.BDH(M$4,"PE_RATIO",$B132+1,$B132+1))),M133))</f>
        <v>0</v>
      </c>
      <c r="N132" s="555">
        <f ca="1">(IFERROR(IFERROR(VALUE(_xll.BDH(N$4,"PE_RATIO",$B132,$B132)),VALUE(_xll.BDH(N$4,"PE_RATIO",$B132+1,$B132+1))),N133))</f>
        <v>0</v>
      </c>
      <c r="O132" s="555">
        <f ca="1">(IFERROR(IFERROR(VALUE(_xll.BDH(O$4,"PE_RATIO",$B132,$B132)),VALUE(_xll.BDH(O$4,"PE_RATIO",$B132+1,$B132+1))),O133))</f>
        <v>0</v>
      </c>
      <c r="P132" s="555"/>
      <c r="Q132" s="559">
        <f t="shared" ca="1" si="36"/>
        <v>45065</v>
      </c>
      <c r="R132" s="4">
        <v>62.86</v>
      </c>
      <c r="S132" s="4">
        <v>101869.45</v>
      </c>
      <c r="T132" s="4">
        <v>0</v>
      </c>
      <c r="U132" s="4">
        <v>0.65139896373056994</v>
      </c>
      <c r="V132" s="4">
        <v>0.93996014813194939</v>
      </c>
      <c r="W132" s="4" t="e">
        <v>#DIV/0!</v>
      </c>
      <c r="Y132" s="555">
        <f t="shared" si="37"/>
        <v>62.86</v>
      </c>
      <c r="Z132" s="4">
        <f ca="1">IFERROR(VALUE(_xll.BDH(Z$4,"PX_LAST",$Q132,$Q132)),Z133)</f>
        <v>0</v>
      </c>
      <c r="AA132" s="4">
        <f ca="1">IFERROR(VALUE(_xll.BDH(AA$4,"PX_LAST",$Q132,$Q132)),AA133)</f>
        <v>0</v>
      </c>
      <c r="AB132" s="4">
        <f ca="1">IFERROR(VALUE(_xll.BDH(AB$4,"PX_LAST",$Q132,$Q132)),AB133)</f>
        <v>0</v>
      </c>
      <c r="AC132" s="4">
        <f ca="1">IFERROR(VALUE(_xll.BDH(AC$4,"PX_LAST",$Q132,$Q132)),AC133)</f>
        <v>0</v>
      </c>
      <c r="AD132" s="4">
        <f ca="1">IFERROR(VALUE(_xll.BDH(AD$4,"PX_LAST",$Q132,$Q132)),AD133)</f>
        <v>0</v>
      </c>
      <c r="AF132" s="4">
        <f t="shared" si="38"/>
        <v>0.65139896373056994</v>
      </c>
      <c r="AG132" s="4" t="e">
        <f t="shared" ca="1" si="39"/>
        <v>#DIV/0!</v>
      </c>
      <c r="AH132" s="4" t="e">
        <f t="shared" ca="1" si="40"/>
        <v>#DIV/0!</v>
      </c>
      <c r="AI132" s="4" t="e">
        <f t="shared" ca="1" si="41"/>
        <v>#DIV/0!</v>
      </c>
      <c r="AJ132" s="4" t="e">
        <f t="shared" ca="1" si="42"/>
        <v>#DIV/0!</v>
      </c>
      <c r="AK132" s="4" t="e">
        <f t="shared" ca="1" si="43"/>
        <v>#DIV/0!</v>
      </c>
      <c r="AM132" s="557">
        <f t="shared" ca="1" si="33"/>
        <v>45826</v>
      </c>
      <c r="AN132" s="558">
        <v>31.745000000000001</v>
      </c>
      <c r="AO132" s="558">
        <v>1570800</v>
      </c>
      <c r="AP132" s="558">
        <v>206.48981000000001</v>
      </c>
      <c r="AQ132" s="558">
        <v>6555.0190184500007</v>
      </c>
      <c r="AR132" s="558">
        <v>0.4713</v>
      </c>
    </row>
    <row r="133" spans="2:44">
      <c r="B133" s="559">
        <f t="shared" ca="1" si="44"/>
        <v>45058</v>
      </c>
      <c r="C133" s="555">
        <f ca="1">(IFERROR(IFERROR(VALUE(_xll.BDH(C$4,"CURRENT_EV_TO_T12M_EBITDA",$B133,$B133)),VALUE(_xll.BDH(C$4,"CURRENT_EV_TO_T12M_EBITDA",$B133+1,$B133+1))),C134))</f>
        <v>0</v>
      </c>
      <c r="D133" s="555">
        <f ca="1">(IFERROR(IFERROR(VALUE(_xll.BDH(D$4,"CURRENT_EV_TO_T12M_EBITDA",$B133,$B133)),VALUE(_xll.BDH(D$4,"CURRENT_EV_TO_T12M_EBITDA",$B133+1,$B133+1))),D134))</f>
        <v>0</v>
      </c>
      <c r="E133" s="555">
        <f ca="1">(IFERROR(IFERROR(VALUE(_xll.BDH(E$4,"CURRENT_EV_TO_T12M_EBITDA",$B133,$B133)),VALUE(_xll.BDH(E$4,"CURRENT_EV_TO_T12M_EBITDA",$B133+1,$B133+1))),E134))</f>
        <v>0</v>
      </c>
      <c r="F133" s="555">
        <f ca="1">(IFERROR(IFERROR(VALUE(_xll.BDH(F$4,"CURRENT_EV_TO_T12M_EBITDA",$B133,$B133)),VALUE(_xll.BDH(F$4,"CURRENT_EV_TO_T12M_EBITDA",$B133+1,$B133+1))),F134))</f>
        <v>0</v>
      </c>
      <c r="G133" s="555">
        <f ca="1">(IFERROR(IFERROR(VALUE(_xll.BDH(G$4,"CURRENT_EV_TO_T12M_EBITDA",$B133,$B133)),VALUE(_xll.BDH(G$4,"CURRENT_EV_TO_T12M_EBITDA",$B133+1,$B133+1))),G134))</f>
        <v>0</v>
      </c>
      <c r="H133" s="555">
        <f ca="1">(IFERROR(IFERROR(VALUE(_xll.BDH(H$4,"CURRENT_EV_TO_T12M_EBITDA",$B133,$B133)),VALUE(_xll.BDH(H$4,"CURRENT_EV_TO_T12M_EBITDA",$B133+1,$B133+1))),H134))</f>
        <v>0</v>
      </c>
      <c r="I133" s="559">
        <f t="shared" ref="I133:I162" ca="1" si="45">+B133</f>
        <v>45058</v>
      </c>
      <c r="J133" s="555">
        <f ca="1">(IFERROR(IFERROR(VALUE(_xll.BDH(J$4,"PE_RATIO",$B133,$B133)),VALUE(_xll.BDH(J$4,"PE_RATIO",$B133+1,$B133+1))),J134))</f>
        <v>0</v>
      </c>
      <c r="K133" s="555">
        <f ca="1">(IFERROR(IFERROR(VALUE(_xll.BDH(K$4,"PE_RATIO",$B133,$B133)),VALUE(_xll.BDH(K$4,"PE_RATIO",$B133+1,$B133+1))),K134))</f>
        <v>0</v>
      </c>
      <c r="L133" s="555">
        <f ca="1">(IFERROR(IFERROR(VALUE(_xll.BDH(L$4,"PE_RATIO",$B133,$B133)),VALUE(_xll.BDH(L$4,"PE_RATIO",$B133+1,$B133+1))),L134))</f>
        <v>0</v>
      </c>
      <c r="M133" s="555">
        <f ca="1">(IFERROR(IFERROR(VALUE(_xll.BDH(M$4,"PE_RATIO",$B133,$B133)),VALUE(_xll.BDH(M$4,"PE_RATIO",$B133+1,$B133+1))),M134))</f>
        <v>0</v>
      </c>
      <c r="N133" s="555">
        <f ca="1">(IFERROR(IFERROR(VALUE(_xll.BDH(N$4,"PE_RATIO",$B133,$B133)),VALUE(_xll.BDH(N$4,"PE_RATIO",$B133+1,$B133+1))),N134))</f>
        <v>0</v>
      </c>
      <c r="O133" s="555">
        <f ca="1">(IFERROR(IFERROR(VALUE(_xll.BDH(O$4,"PE_RATIO",$B133,$B133)),VALUE(_xll.BDH(O$4,"PE_RATIO",$B133+1,$B133+1))),O134))</f>
        <v>0</v>
      </c>
      <c r="P133" s="555"/>
      <c r="Q133" s="559">
        <f t="shared" ref="Q133:Q162" ca="1" si="46">+I133</f>
        <v>45058</v>
      </c>
      <c r="R133" s="4">
        <v>64.400000000000006</v>
      </c>
      <c r="S133" s="4">
        <v>101185.09</v>
      </c>
      <c r="T133" s="4">
        <v>0</v>
      </c>
      <c r="U133" s="4">
        <v>0.66735751295336798</v>
      </c>
      <c r="V133" s="4">
        <v>0.93364548630766764</v>
      </c>
      <c r="W133" s="4" t="e">
        <v>#DIV/0!</v>
      </c>
      <c r="Y133" s="555">
        <f t="shared" ref="Y133:Y159" si="47">+R133</f>
        <v>64.400000000000006</v>
      </c>
      <c r="Z133" s="4">
        <f ca="1">IFERROR(VALUE(_xll.BDH(Z$4,"PX_LAST",$Q133,$Q133)),Z134)</f>
        <v>0</v>
      </c>
      <c r="AA133" s="4">
        <f ca="1">IFERROR(VALUE(_xll.BDH(AA$4,"PX_LAST",$Q133,$Q133)),AA134)</f>
        <v>0</v>
      </c>
      <c r="AB133" s="4">
        <f ca="1">IFERROR(VALUE(_xll.BDH(AB$4,"PX_LAST",$Q133,$Q133)),AB134)</f>
        <v>0</v>
      </c>
      <c r="AC133" s="4">
        <f ca="1">IFERROR(VALUE(_xll.BDH(AC$4,"PX_LAST",$Q133,$Q133)),AC134)</f>
        <v>0</v>
      </c>
      <c r="AD133" s="4">
        <f ca="1">IFERROR(VALUE(_xll.BDH(AD$4,"PX_LAST",$Q133,$Q133)),AD134)</f>
        <v>0</v>
      </c>
      <c r="AF133" s="4">
        <f t="shared" ref="AF133:AF159" si="48">+Y133/Y$159</f>
        <v>0.66735751295336798</v>
      </c>
      <c r="AG133" s="4" t="e">
        <f t="shared" ref="AG133:AG159" ca="1" si="49">+Z133/Z$159</f>
        <v>#DIV/0!</v>
      </c>
      <c r="AH133" s="4" t="e">
        <f t="shared" ref="AH133:AH159" ca="1" si="50">+AA133/AA$159</f>
        <v>#DIV/0!</v>
      </c>
      <c r="AI133" s="4" t="e">
        <f t="shared" ref="AI133:AI159" ca="1" si="51">+AB133/AB$159</f>
        <v>#DIV/0!</v>
      </c>
      <c r="AJ133" s="4" t="e">
        <f t="shared" ref="AJ133:AJ159" ca="1" si="52">+AC133/AC$159</f>
        <v>#DIV/0!</v>
      </c>
      <c r="AK133" s="4" t="e">
        <f t="shared" ref="AK133:AK159" ca="1" si="53">+AD133/AD$159</f>
        <v>#DIV/0!</v>
      </c>
      <c r="AM133" s="557">
        <f t="shared" ref="AM133:AM196" ca="1" si="54">AM132-1</f>
        <v>45825</v>
      </c>
      <c r="AN133" s="558">
        <v>31.745000000000001</v>
      </c>
      <c r="AO133" s="558">
        <v>1570800</v>
      </c>
      <c r="AP133" s="558">
        <v>206.48981000000001</v>
      </c>
      <c r="AQ133" s="558">
        <v>6555.0190184500007</v>
      </c>
      <c r="AR133" s="558">
        <v>0.4713</v>
      </c>
    </row>
    <row r="134" spans="2:44">
      <c r="B134" s="559">
        <f t="shared" ref="B134:B162" ca="1" si="55">+B133-7</f>
        <v>45051</v>
      </c>
      <c r="C134" s="555">
        <f ca="1">(IFERROR(IFERROR(VALUE(_xll.BDH(C$4,"CURRENT_EV_TO_T12M_EBITDA",$B134,$B134)),VALUE(_xll.BDH(C$4,"CURRENT_EV_TO_T12M_EBITDA",$B134+1,$B134+1))),C135))</f>
        <v>0</v>
      </c>
      <c r="D134" s="555">
        <f ca="1">(IFERROR(IFERROR(VALUE(_xll.BDH(D$4,"CURRENT_EV_TO_T12M_EBITDA",$B134,$B134)),VALUE(_xll.BDH(D$4,"CURRENT_EV_TO_T12M_EBITDA",$B134+1,$B134+1))),D135))</f>
        <v>0</v>
      </c>
      <c r="E134" s="555">
        <f ca="1">(IFERROR(IFERROR(VALUE(_xll.BDH(E$4,"CURRENT_EV_TO_T12M_EBITDA",$B134,$B134)),VALUE(_xll.BDH(E$4,"CURRENT_EV_TO_T12M_EBITDA",$B134+1,$B134+1))),E135))</f>
        <v>0</v>
      </c>
      <c r="F134" s="555">
        <f ca="1">(IFERROR(IFERROR(VALUE(_xll.BDH(F$4,"CURRENT_EV_TO_T12M_EBITDA",$B134,$B134)),VALUE(_xll.BDH(F$4,"CURRENT_EV_TO_T12M_EBITDA",$B134+1,$B134+1))),F135))</f>
        <v>0</v>
      </c>
      <c r="G134" s="555">
        <f ca="1">(IFERROR(IFERROR(VALUE(_xll.BDH(G$4,"CURRENT_EV_TO_T12M_EBITDA",$B134,$B134)),VALUE(_xll.BDH(G$4,"CURRENT_EV_TO_T12M_EBITDA",$B134+1,$B134+1))),G135))</f>
        <v>0</v>
      </c>
      <c r="H134" s="555">
        <f ca="1">(IFERROR(IFERROR(VALUE(_xll.BDH(H$4,"CURRENT_EV_TO_T12M_EBITDA",$B134,$B134)),VALUE(_xll.BDH(H$4,"CURRENT_EV_TO_T12M_EBITDA",$B134+1,$B134+1))),H135))</f>
        <v>0</v>
      </c>
      <c r="I134" s="559">
        <f t="shared" ca="1" si="45"/>
        <v>45051</v>
      </c>
      <c r="J134" s="555">
        <f ca="1">(IFERROR(IFERROR(VALUE(_xll.BDH(J$4,"PE_RATIO",$B134,$B134)),VALUE(_xll.BDH(J$4,"PE_RATIO",$B134+1,$B134+1))),J135))</f>
        <v>0</v>
      </c>
      <c r="K134" s="555">
        <f ca="1">(IFERROR(IFERROR(VALUE(_xll.BDH(K$4,"PE_RATIO",$B134,$B134)),VALUE(_xll.BDH(K$4,"PE_RATIO",$B134+1,$B134+1))),K135))</f>
        <v>0</v>
      </c>
      <c r="L134" s="555">
        <f ca="1">(IFERROR(IFERROR(VALUE(_xll.BDH(L$4,"PE_RATIO",$B134,$B134)),VALUE(_xll.BDH(L$4,"PE_RATIO",$B134+1,$B134+1))),L135))</f>
        <v>0</v>
      </c>
      <c r="M134" s="555">
        <f ca="1">(IFERROR(IFERROR(VALUE(_xll.BDH(M$4,"PE_RATIO",$B134,$B134)),VALUE(_xll.BDH(M$4,"PE_RATIO",$B134+1,$B134+1))),M135))</f>
        <v>0</v>
      </c>
      <c r="N134" s="555">
        <f ca="1">(IFERROR(IFERROR(VALUE(_xll.BDH(N$4,"PE_RATIO",$B134,$B134)),VALUE(_xll.BDH(N$4,"PE_RATIO",$B134+1,$B134+1))),N135))</f>
        <v>0</v>
      </c>
      <c r="O134" s="555">
        <f ca="1">(IFERROR(IFERROR(VALUE(_xll.BDH(O$4,"PE_RATIO",$B134,$B134)),VALUE(_xll.BDH(O$4,"PE_RATIO",$B134+1,$B134+1))),O135))</f>
        <v>0</v>
      </c>
      <c r="P134" s="555"/>
      <c r="Q134" s="559">
        <f t="shared" ca="1" si="46"/>
        <v>45051</v>
      </c>
      <c r="R134" s="4">
        <v>64.209999999999994</v>
      </c>
      <c r="S134" s="4">
        <v>100998.13</v>
      </c>
      <c r="T134" s="4">
        <v>0</v>
      </c>
      <c r="U134" s="4">
        <v>0.6653886010362694</v>
      </c>
      <c r="V134" s="4">
        <v>0.93192038668953148</v>
      </c>
      <c r="W134" s="4" t="e">
        <v>#DIV/0!</v>
      </c>
      <c r="Y134" s="555">
        <f t="shared" si="47"/>
        <v>64.209999999999994</v>
      </c>
      <c r="Z134" s="4">
        <f ca="1">IFERROR(VALUE(_xll.BDH(Z$4,"PX_LAST",$Q134,$Q134)),Z135)</f>
        <v>0</v>
      </c>
      <c r="AA134" s="4">
        <f ca="1">IFERROR(VALUE(_xll.BDH(AA$4,"PX_LAST",$Q134,$Q134)),AA135)</f>
        <v>0</v>
      </c>
      <c r="AB134" s="4">
        <f ca="1">IFERROR(VALUE(_xll.BDH(AB$4,"PX_LAST",$Q134,$Q134)),AB135)</f>
        <v>0</v>
      </c>
      <c r="AC134" s="4">
        <f ca="1">IFERROR(VALUE(_xll.BDH(AC$4,"PX_LAST",$Q134,$Q134)),AC135)</f>
        <v>0</v>
      </c>
      <c r="AD134" s="4">
        <f ca="1">IFERROR(VALUE(_xll.BDH(AD$4,"PX_LAST",$Q134,$Q134)),AD135)</f>
        <v>0</v>
      </c>
      <c r="AF134" s="4">
        <f t="shared" si="48"/>
        <v>0.6653886010362694</v>
      </c>
      <c r="AG134" s="4" t="e">
        <f t="shared" ca="1" si="49"/>
        <v>#DIV/0!</v>
      </c>
      <c r="AH134" s="4" t="e">
        <f t="shared" ca="1" si="50"/>
        <v>#DIV/0!</v>
      </c>
      <c r="AI134" s="4" t="e">
        <f t="shared" ca="1" si="51"/>
        <v>#DIV/0!</v>
      </c>
      <c r="AJ134" s="4" t="e">
        <f t="shared" ca="1" si="52"/>
        <v>#DIV/0!</v>
      </c>
      <c r="AK134" s="4" t="e">
        <f t="shared" ca="1" si="53"/>
        <v>#DIV/0!</v>
      </c>
      <c r="AM134" s="557">
        <f t="shared" ca="1" si="54"/>
        <v>45824</v>
      </c>
      <c r="AN134" s="558">
        <v>31.745000000000001</v>
      </c>
      <c r="AO134" s="558">
        <v>1570800</v>
      </c>
      <c r="AP134" s="558">
        <v>206.48981000000001</v>
      </c>
      <c r="AQ134" s="558">
        <v>6555.0190184500007</v>
      </c>
      <c r="AR134" s="558">
        <v>0.4713</v>
      </c>
    </row>
    <row r="135" spans="2:44">
      <c r="B135" s="559">
        <f t="shared" ca="1" si="55"/>
        <v>45044</v>
      </c>
      <c r="C135" s="555">
        <f ca="1">(IFERROR(IFERROR(VALUE(_xll.BDH(C$4,"CURRENT_EV_TO_T12M_EBITDA",$B135,$B135)),VALUE(_xll.BDH(C$4,"CURRENT_EV_TO_T12M_EBITDA",$B135+1,$B135+1))),C136))</f>
        <v>0</v>
      </c>
      <c r="D135" s="555">
        <f ca="1">(IFERROR(IFERROR(VALUE(_xll.BDH(D$4,"CURRENT_EV_TO_T12M_EBITDA",$B135,$B135)),VALUE(_xll.BDH(D$4,"CURRENT_EV_TO_T12M_EBITDA",$B135+1,$B135+1))),D136))</f>
        <v>0</v>
      </c>
      <c r="E135" s="555">
        <f ca="1">(IFERROR(IFERROR(VALUE(_xll.BDH(E$4,"CURRENT_EV_TO_T12M_EBITDA",$B135,$B135)),VALUE(_xll.BDH(E$4,"CURRENT_EV_TO_T12M_EBITDA",$B135+1,$B135+1))),E136))</f>
        <v>0</v>
      </c>
      <c r="F135" s="555">
        <f ca="1">(IFERROR(IFERROR(VALUE(_xll.BDH(F$4,"CURRENT_EV_TO_T12M_EBITDA",$B135,$B135)),VALUE(_xll.BDH(F$4,"CURRENT_EV_TO_T12M_EBITDA",$B135+1,$B135+1))),F136))</f>
        <v>0</v>
      </c>
      <c r="G135" s="555">
        <f ca="1">(IFERROR(IFERROR(VALUE(_xll.BDH(G$4,"CURRENT_EV_TO_T12M_EBITDA",$B135,$B135)),VALUE(_xll.BDH(G$4,"CURRENT_EV_TO_T12M_EBITDA",$B135+1,$B135+1))),G136))</f>
        <v>0</v>
      </c>
      <c r="H135" s="555">
        <f ca="1">(IFERROR(IFERROR(VALUE(_xll.BDH(H$4,"CURRENT_EV_TO_T12M_EBITDA",$B135,$B135)),VALUE(_xll.BDH(H$4,"CURRENT_EV_TO_T12M_EBITDA",$B135+1,$B135+1))),H136))</f>
        <v>0</v>
      </c>
      <c r="I135" s="559">
        <f t="shared" ca="1" si="45"/>
        <v>45044</v>
      </c>
      <c r="J135" s="555">
        <f ca="1">(IFERROR(IFERROR(VALUE(_xll.BDH(J$4,"PE_RATIO",$B135,$B135)),VALUE(_xll.BDH(J$4,"PE_RATIO",$B135+1,$B135+1))),J136))</f>
        <v>0</v>
      </c>
      <c r="K135" s="555">
        <f ca="1">(IFERROR(IFERROR(VALUE(_xll.BDH(K$4,"PE_RATIO",$B135,$B135)),VALUE(_xll.BDH(K$4,"PE_RATIO",$B135+1,$B135+1))),K136))</f>
        <v>0</v>
      </c>
      <c r="L135" s="555">
        <f ca="1">(IFERROR(IFERROR(VALUE(_xll.BDH(L$4,"PE_RATIO",$B135,$B135)),VALUE(_xll.BDH(L$4,"PE_RATIO",$B135+1,$B135+1))),L136))</f>
        <v>0</v>
      </c>
      <c r="M135" s="555">
        <f ca="1">(IFERROR(IFERROR(VALUE(_xll.BDH(M$4,"PE_RATIO",$B135,$B135)),VALUE(_xll.BDH(M$4,"PE_RATIO",$B135+1,$B135+1))),M136))</f>
        <v>0</v>
      </c>
      <c r="N135" s="555">
        <f ca="1">(IFERROR(IFERROR(VALUE(_xll.BDH(N$4,"PE_RATIO",$B135,$B135)),VALUE(_xll.BDH(N$4,"PE_RATIO",$B135+1,$B135+1))),N136))</f>
        <v>0</v>
      </c>
      <c r="O135" s="555">
        <f ca="1">(IFERROR(IFERROR(VALUE(_xll.BDH(O$4,"PE_RATIO",$B135,$B135)),VALUE(_xll.BDH(O$4,"PE_RATIO",$B135+1,$B135+1))),O136))</f>
        <v>0</v>
      </c>
      <c r="P135" s="555"/>
      <c r="Q135" s="559">
        <f t="shared" ca="1" si="46"/>
        <v>45044</v>
      </c>
      <c r="R135" s="4">
        <v>66.98</v>
      </c>
      <c r="S135" s="4">
        <v>102932.38</v>
      </c>
      <c r="T135" s="4">
        <v>0</v>
      </c>
      <c r="U135" s="4">
        <v>0.69409326424870466</v>
      </c>
      <c r="V135" s="4">
        <v>0.94976791523242843</v>
      </c>
      <c r="W135" s="4" t="e">
        <v>#DIV/0!</v>
      </c>
      <c r="Y135" s="555">
        <f t="shared" si="47"/>
        <v>66.98</v>
      </c>
      <c r="Z135" s="4">
        <f ca="1">IFERROR(VALUE(_xll.BDH(Z$4,"PX_LAST",$Q135,$Q135)),Z136)</f>
        <v>0</v>
      </c>
      <c r="AA135" s="4">
        <f ca="1">IFERROR(VALUE(_xll.BDH(AA$4,"PX_LAST",$Q135,$Q135)),AA136)</f>
        <v>0</v>
      </c>
      <c r="AB135" s="4">
        <f ca="1">IFERROR(VALUE(_xll.BDH(AB$4,"PX_LAST",$Q135,$Q135)),AB136)</f>
        <v>0</v>
      </c>
      <c r="AC135" s="4">
        <f ca="1">IFERROR(VALUE(_xll.BDH(AC$4,"PX_LAST",$Q135,$Q135)),AC136)</f>
        <v>0</v>
      </c>
      <c r="AD135" s="4">
        <f ca="1">IFERROR(VALUE(_xll.BDH(AD$4,"PX_LAST",$Q135,$Q135)),AD136)</f>
        <v>0</v>
      </c>
      <c r="AF135" s="4">
        <f t="shared" si="48"/>
        <v>0.69409326424870466</v>
      </c>
      <c r="AG135" s="4" t="e">
        <f t="shared" ca="1" si="49"/>
        <v>#DIV/0!</v>
      </c>
      <c r="AH135" s="4" t="e">
        <f t="shared" ca="1" si="50"/>
        <v>#DIV/0!</v>
      </c>
      <c r="AI135" s="4" t="e">
        <f t="shared" ca="1" si="51"/>
        <v>#DIV/0!</v>
      </c>
      <c r="AJ135" s="4" t="e">
        <f t="shared" ca="1" si="52"/>
        <v>#DIV/0!</v>
      </c>
      <c r="AK135" s="4" t="e">
        <f t="shared" ca="1" si="53"/>
        <v>#DIV/0!</v>
      </c>
      <c r="AM135" s="557">
        <f t="shared" ca="1" si="54"/>
        <v>45823</v>
      </c>
      <c r="AN135" s="558">
        <v>31.625</v>
      </c>
      <c r="AO135" s="558">
        <v>2365200</v>
      </c>
      <c r="AP135" s="558">
        <v>206.48981000000001</v>
      </c>
      <c r="AQ135" s="558">
        <v>6530.2402412500005</v>
      </c>
      <c r="AR135" s="558">
        <v>0.47220000000000001</v>
      </c>
    </row>
    <row r="136" spans="2:44">
      <c r="B136" s="559">
        <f t="shared" ca="1" si="55"/>
        <v>45037</v>
      </c>
      <c r="C136" s="555">
        <f ca="1">(IFERROR(IFERROR(VALUE(_xll.BDH(C$4,"CURRENT_EV_TO_T12M_EBITDA",$B136,$B136)),VALUE(_xll.BDH(C$4,"CURRENT_EV_TO_T12M_EBITDA",$B136+1,$B136+1))),C137))</f>
        <v>0</v>
      </c>
      <c r="D136" s="555">
        <f ca="1">(IFERROR(IFERROR(VALUE(_xll.BDH(D$4,"CURRENT_EV_TO_T12M_EBITDA",$B136,$B136)),VALUE(_xll.BDH(D$4,"CURRENT_EV_TO_T12M_EBITDA",$B136+1,$B136+1))),D137))</f>
        <v>0</v>
      </c>
      <c r="E136" s="555">
        <f ca="1">(IFERROR(IFERROR(VALUE(_xll.BDH(E$4,"CURRENT_EV_TO_T12M_EBITDA",$B136,$B136)),VALUE(_xll.BDH(E$4,"CURRENT_EV_TO_T12M_EBITDA",$B136+1,$B136+1))),E137))</f>
        <v>0</v>
      </c>
      <c r="F136" s="555">
        <f ca="1">(IFERROR(IFERROR(VALUE(_xll.BDH(F$4,"CURRENT_EV_TO_T12M_EBITDA",$B136,$B136)),VALUE(_xll.BDH(F$4,"CURRENT_EV_TO_T12M_EBITDA",$B136+1,$B136+1))),F137))</f>
        <v>0</v>
      </c>
      <c r="G136" s="555">
        <f ca="1">(IFERROR(IFERROR(VALUE(_xll.BDH(G$4,"CURRENT_EV_TO_T12M_EBITDA",$B136,$B136)),VALUE(_xll.BDH(G$4,"CURRENT_EV_TO_T12M_EBITDA",$B136+1,$B136+1))),G137))</f>
        <v>0</v>
      </c>
      <c r="H136" s="555">
        <f ca="1">(IFERROR(IFERROR(VALUE(_xll.BDH(H$4,"CURRENT_EV_TO_T12M_EBITDA",$B136,$B136)),VALUE(_xll.BDH(H$4,"CURRENT_EV_TO_T12M_EBITDA",$B136+1,$B136+1))),H137))</f>
        <v>0</v>
      </c>
      <c r="I136" s="559">
        <f t="shared" ca="1" si="45"/>
        <v>45037</v>
      </c>
      <c r="J136" s="555">
        <f ca="1">(IFERROR(IFERROR(VALUE(_xll.BDH(J$4,"PE_RATIO",$B136,$B136)),VALUE(_xll.BDH(J$4,"PE_RATIO",$B136+1,$B136+1))),J137))</f>
        <v>0</v>
      </c>
      <c r="K136" s="555">
        <f ca="1">(IFERROR(IFERROR(VALUE(_xll.BDH(K$4,"PE_RATIO",$B136,$B136)),VALUE(_xll.BDH(K$4,"PE_RATIO",$B136+1,$B136+1))),K137))</f>
        <v>0</v>
      </c>
      <c r="L136" s="555">
        <f ca="1">(IFERROR(IFERROR(VALUE(_xll.BDH(L$4,"PE_RATIO",$B136,$B136)),VALUE(_xll.BDH(L$4,"PE_RATIO",$B136+1,$B136+1))),L137))</f>
        <v>0</v>
      </c>
      <c r="M136" s="555">
        <f ca="1">(IFERROR(IFERROR(VALUE(_xll.BDH(M$4,"PE_RATIO",$B136,$B136)),VALUE(_xll.BDH(M$4,"PE_RATIO",$B136+1,$B136+1))),M137))</f>
        <v>0</v>
      </c>
      <c r="N136" s="555">
        <f ca="1">(IFERROR(IFERROR(VALUE(_xll.BDH(N$4,"PE_RATIO",$B136,$B136)),VALUE(_xll.BDH(N$4,"PE_RATIO",$B136+1,$B136+1))),N137))</f>
        <v>0</v>
      </c>
      <c r="O136" s="555">
        <f ca="1">(IFERROR(IFERROR(VALUE(_xll.BDH(O$4,"PE_RATIO",$B136,$B136)),VALUE(_xll.BDH(O$4,"PE_RATIO",$B136+1,$B136+1))),O137))</f>
        <v>0</v>
      </c>
      <c r="P136" s="555"/>
      <c r="Q136" s="559">
        <f t="shared" ca="1" si="46"/>
        <v>45037</v>
      </c>
      <c r="R136" s="4">
        <v>75.14</v>
      </c>
      <c r="S136" s="4">
        <v>104227.93</v>
      </c>
      <c r="T136" s="4">
        <v>0</v>
      </c>
      <c r="U136" s="4">
        <v>0.77865284974093263</v>
      </c>
      <c r="V136" s="4">
        <v>0.96172209158178867</v>
      </c>
      <c r="W136" s="4" t="e">
        <v>#DIV/0!</v>
      </c>
      <c r="Y136" s="555">
        <f t="shared" si="47"/>
        <v>75.14</v>
      </c>
      <c r="Z136" s="4">
        <f ca="1">IFERROR(VALUE(_xll.BDH(Z$4,"PX_LAST",$Q136,$Q136)),Z137)</f>
        <v>0</v>
      </c>
      <c r="AA136" s="4">
        <f ca="1">IFERROR(VALUE(_xll.BDH(AA$4,"PX_LAST",$Q136,$Q136)),AA137)</f>
        <v>0</v>
      </c>
      <c r="AB136" s="4">
        <f ca="1">IFERROR(VALUE(_xll.BDH(AB$4,"PX_LAST",$Q136,$Q136)),AB137)</f>
        <v>0</v>
      </c>
      <c r="AC136" s="4">
        <f ca="1">IFERROR(VALUE(_xll.BDH(AC$4,"PX_LAST",$Q136,$Q136)),AC137)</f>
        <v>0</v>
      </c>
      <c r="AD136" s="4">
        <f ca="1">IFERROR(VALUE(_xll.BDH(AD$4,"PX_LAST",$Q136,$Q136)),AD137)</f>
        <v>0</v>
      </c>
      <c r="AF136" s="4">
        <f t="shared" si="48"/>
        <v>0.77865284974093263</v>
      </c>
      <c r="AG136" s="4" t="e">
        <f t="shared" ca="1" si="49"/>
        <v>#DIV/0!</v>
      </c>
      <c r="AH136" s="4" t="e">
        <f t="shared" ca="1" si="50"/>
        <v>#DIV/0!</v>
      </c>
      <c r="AI136" s="4" t="e">
        <f t="shared" ca="1" si="51"/>
        <v>#DIV/0!</v>
      </c>
      <c r="AJ136" s="4" t="e">
        <f t="shared" ca="1" si="52"/>
        <v>#DIV/0!</v>
      </c>
      <c r="AK136" s="4" t="e">
        <f t="shared" ca="1" si="53"/>
        <v>#DIV/0!</v>
      </c>
      <c r="AM136" s="557">
        <f t="shared" ca="1" si="54"/>
        <v>45822</v>
      </c>
      <c r="AN136" s="558">
        <v>31.625</v>
      </c>
      <c r="AO136" s="558">
        <v>2365200</v>
      </c>
      <c r="AP136" s="558">
        <v>206.48981000000001</v>
      </c>
      <c r="AQ136" s="558">
        <v>6530.2402412500005</v>
      </c>
      <c r="AR136" s="558">
        <v>0.47220000000000001</v>
      </c>
    </row>
    <row r="137" spans="2:44">
      <c r="B137" s="559">
        <f t="shared" ca="1" si="55"/>
        <v>45030</v>
      </c>
      <c r="C137" s="555">
        <f ca="1">(IFERROR(IFERROR(VALUE(_xll.BDH(C$4,"CURRENT_EV_TO_T12M_EBITDA",$B137,$B137)),VALUE(_xll.BDH(C$4,"CURRENT_EV_TO_T12M_EBITDA",$B137+1,$B137+1))),C138))</f>
        <v>0</v>
      </c>
      <c r="D137" s="555">
        <f ca="1">(IFERROR(IFERROR(VALUE(_xll.BDH(D$4,"CURRENT_EV_TO_T12M_EBITDA",$B137,$B137)),VALUE(_xll.BDH(D$4,"CURRENT_EV_TO_T12M_EBITDA",$B137+1,$B137+1))),D138))</f>
        <v>0</v>
      </c>
      <c r="E137" s="555">
        <f ca="1">(IFERROR(IFERROR(VALUE(_xll.BDH(E$4,"CURRENT_EV_TO_T12M_EBITDA",$B137,$B137)),VALUE(_xll.BDH(E$4,"CURRENT_EV_TO_T12M_EBITDA",$B137+1,$B137+1))),E138))</f>
        <v>0</v>
      </c>
      <c r="F137" s="555">
        <f ca="1">(IFERROR(IFERROR(VALUE(_xll.BDH(F$4,"CURRENT_EV_TO_T12M_EBITDA",$B137,$B137)),VALUE(_xll.BDH(F$4,"CURRENT_EV_TO_T12M_EBITDA",$B137+1,$B137+1))),F138))</f>
        <v>0</v>
      </c>
      <c r="G137" s="555">
        <f ca="1">(IFERROR(IFERROR(VALUE(_xll.BDH(G$4,"CURRENT_EV_TO_T12M_EBITDA",$B137,$B137)),VALUE(_xll.BDH(G$4,"CURRENT_EV_TO_T12M_EBITDA",$B137+1,$B137+1))),G138))</f>
        <v>0</v>
      </c>
      <c r="H137" s="555">
        <f ca="1">(IFERROR(IFERROR(VALUE(_xll.BDH(H$4,"CURRENT_EV_TO_T12M_EBITDA",$B137,$B137)),VALUE(_xll.BDH(H$4,"CURRENT_EV_TO_T12M_EBITDA",$B137+1,$B137+1))),H138))</f>
        <v>0</v>
      </c>
      <c r="I137" s="559">
        <f t="shared" ca="1" si="45"/>
        <v>45030</v>
      </c>
      <c r="J137" s="555">
        <f ca="1">(IFERROR(IFERROR(VALUE(_xll.BDH(J$4,"PE_RATIO",$B137,$B137)),VALUE(_xll.BDH(J$4,"PE_RATIO",$B137+1,$B137+1))),J138))</f>
        <v>0</v>
      </c>
      <c r="K137" s="555">
        <f ca="1">(IFERROR(IFERROR(VALUE(_xll.BDH(K$4,"PE_RATIO",$B137,$B137)),VALUE(_xll.BDH(K$4,"PE_RATIO",$B137+1,$B137+1))),K138))</f>
        <v>0</v>
      </c>
      <c r="L137" s="555">
        <f ca="1">(IFERROR(IFERROR(VALUE(_xll.BDH(L$4,"PE_RATIO",$B137,$B137)),VALUE(_xll.BDH(L$4,"PE_RATIO",$B137+1,$B137+1))),L138))</f>
        <v>0</v>
      </c>
      <c r="M137" s="555">
        <f ca="1">(IFERROR(IFERROR(VALUE(_xll.BDH(M$4,"PE_RATIO",$B137,$B137)),VALUE(_xll.BDH(M$4,"PE_RATIO",$B137+1,$B137+1))),M138))</f>
        <v>0</v>
      </c>
      <c r="N137" s="555">
        <f ca="1">(IFERROR(IFERROR(VALUE(_xll.BDH(N$4,"PE_RATIO",$B137,$B137)),VALUE(_xll.BDH(N$4,"PE_RATIO",$B137+1,$B137+1))),N138))</f>
        <v>0</v>
      </c>
      <c r="O137" s="555">
        <f ca="1">(IFERROR(IFERROR(VALUE(_xll.BDH(O$4,"PE_RATIO",$B137,$B137)),VALUE(_xll.BDH(O$4,"PE_RATIO",$B137+1,$B137+1))),O138))</f>
        <v>0</v>
      </c>
      <c r="P137" s="555"/>
      <c r="Q137" s="559">
        <f t="shared" ca="1" si="46"/>
        <v>45030</v>
      </c>
      <c r="R137" s="4">
        <v>74.599999999999994</v>
      </c>
      <c r="S137" s="4">
        <v>104931.93</v>
      </c>
      <c r="T137" s="4">
        <v>0</v>
      </c>
      <c r="U137" s="4">
        <v>0.77305699481865275</v>
      </c>
      <c r="V137" s="4">
        <v>0.96821797375534413</v>
      </c>
      <c r="W137" s="4" t="e">
        <v>#DIV/0!</v>
      </c>
      <c r="Y137" s="555">
        <f t="shared" si="47"/>
        <v>74.599999999999994</v>
      </c>
      <c r="Z137" s="4">
        <f ca="1">IFERROR(VALUE(_xll.BDH(Z$4,"PX_LAST",$Q137,$Q137)),Z138)</f>
        <v>0</v>
      </c>
      <c r="AA137" s="4">
        <f ca="1">IFERROR(VALUE(_xll.BDH(AA$4,"PX_LAST",$Q137,$Q137)),AA138)</f>
        <v>0</v>
      </c>
      <c r="AB137" s="4">
        <f ca="1">IFERROR(VALUE(_xll.BDH(AB$4,"PX_LAST",$Q137,$Q137)),AB138)</f>
        <v>0</v>
      </c>
      <c r="AC137" s="4">
        <f ca="1">IFERROR(VALUE(_xll.BDH(AC$4,"PX_LAST",$Q137,$Q137)),AC138)</f>
        <v>0</v>
      </c>
      <c r="AD137" s="4">
        <f ca="1">IFERROR(VALUE(_xll.BDH(AD$4,"PX_LAST",$Q137,$Q137)),AD138)</f>
        <v>0</v>
      </c>
      <c r="AF137" s="4">
        <f t="shared" si="48"/>
        <v>0.77305699481865275</v>
      </c>
      <c r="AG137" s="4" t="e">
        <f t="shared" ca="1" si="49"/>
        <v>#DIV/0!</v>
      </c>
      <c r="AH137" s="4" t="e">
        <f t="shared" ca="1" si="50"/>
        <v>#DIV/0!</v>
      </c>
      <c r="AI137" s="4" t="e">
        <f t="shared" ca="1" si="51"/>
        <v>#DIV/0!</v>
      </c>
      <c r="AJ137" s="4" t="e">
        <f t="shared" ca="1" si="52"/>
        <v>#DIV/0!</v>
      </c>
      <c r="AK137" s="4" t="e">
        <f t="shared" ca="1" si="53"/>
        <v>#DIV/0!</v>
      </c>
      <c r="AM137" s="557">
        <f t="shared" ca="1" si="54"/>
        <v>45821</v>
      </c>
      <c r="AN137" s="558">
        <v>30.895</v>
      </c>
      <c r="AO137" s="558">
        <v>1697000</v>
      </c>
      <c r="AP137" s="558">
        <v>206.48981000000001</v>
      </c>
      <c r="AQ137" s="558">
        <v>6379.5026799500001</v>
      </c>
      <c r="AR137" s="558">
        <v>0.45950000000000002</v>
      </c>
    </row>
    <row r="138" spans="2:44">
      <c r="B138" s="559">
        <f t="shared" ca="1" si="55"/>
        <v>45023</v>
      </c>
      <c r="C138" s="555">
        <f ca="1">(IFERROR(IFERROR(VALUE(_xll.BDH(C$4,"CURRENT_EV_TO_T12M_EBITDA",$B138,$B138)),VALUE(_xll.BDH(C$4,"CURRENT_EV_TO_T12M_EBITDA",$B138+1,$B138+1))),C139))</f>
        <v>0</v>
      </c>
      <c r="D138" s="555">
        <f ca="1">(IFERROR(IFERROR(VALUE(_xll.BDH(D$4,"CURRENT_EV_TO_T12M_EBITDA",$B138,$B138)),VALUE(_xll.BDH(D$4,"CURRENT_EV_TO_T12M_EBITDA",$B138+1,$B138+1))),D139))</f>
        <v>0</v>
      </c>
      <c r="E138" s="555">
        <f ca="1">(IFERROR(IFERROR(VALUE(_xll.BDH(E$4,"CURRENT_EV_TO_T12M_EBITDA",$B138,$B138)),VALUE(_xll.BDH(E$4,"CURRENT_EV_TO_T12M_EBITDA",$B138+1,$B138+1))),E139))</f>
        <v>0</v>
      </c>
      <c r="F138" s="555">
        <f ca="1">(IFERROR(IFERROR(VALUE(_xll.BDH(F$4,"CURRENT_EV_TO_T12M_EBITDA",$B138,$B138)),VALUE(_xll.BDH(F$4,"CURRENT_EV_TO_T12M_EBITDA",$B138+1,$B138+1))),F139))</f>
        <v>0</v>
      </c>
      <c r="G138" s="555">
        <f ca="1">(IFERROR(IFERROR(VALUE(_xll.BDH(G$4,"CURRENT_EV_TO_T12M_EBITDA",$B138,$B138)),VALUE(_xll.BDH(G$4,"CURRENT_EV_TO_T12M_EBITDA",$B138+1,$B138+1))),G139))</f>
        <v>0</v>
      </c>
      <c r="H138" s="555">
        <f ca="1">(IFERROR(IFERROR(VALUE(_xll.BDH(H$4,"CURRENT_EV_TO_T12M_EBITDA",$B138,$B138)),VALUE(_xll.BDH(H$4,"CURRENT_EV_TO_T12M_EBITDA",$B138+1,$B138+1))),H139))</f>
        <v>0</v>
      </c>
      <c r="I138" s="559">
        <f t="shared" ca="1" si="45"/>
        <v>45023</v>
      </c>
      <c r="J138" s="555">
        <f ca="1">(IFERROR(IFERROR(VALUE(_xll.BDH(J$4,"PE_RATIO",$B138,$B138)),VALUE(_xll.BDH(J$4,"PE_RATIO",$B138+1,$B138+1))),J139))</f>
        <v>0</v>
      </c>
      <c r="K138" s="555">
        <f ca="1">(IFERROR(IFERROR(VALUE(_xll.BDH(K$4,"PE_RATIO",$B138,$B138)),VALUE(_xll.BDH(K$4,"PE_RATIO",$B138+1,$B138+1))),K139))</f>
        <v>0</v>
      </c>
      <c r="L138" s="555">
        <f ca="1">(IFERROR(IFERROR(VALUE(_xll.BDH(L$4,"PE_RATIO",$B138,$B138)),VALUE(_xll.BDH(L$4,"PE_RATIO",$B138+1,$B138+1))),L139))</f>
        <v>0</v>
      </c>
      <c r="M138" s="555">
        <f ca="1">(IFERROR(IFERROR(VALUE(_xll.BDH(M$4,"PE_RATIO",$B138,$B138)),VALUE(_xll.BDH(M$4,"PE_RATIO",$B138+1,$B138+1))),M139))</f>
        <v>0</v>
      </c>
      <c r="N138" s="555">
        <f ca="1">(IFERROR(IFERROR(VALUE(_xll.BDH(N$4,"PE_RATIO",$B138,$B138)),VALUE(_xll.BDH(N$4,"PE_RATIO",$B138+1,$B138+1))),N139))</f>
        <v>0</v>
      </c>
      <c r="O138" s="555">
        <f ca="1">(IFERROR(IFERROR(VALUE(_xll.BDH(O$4,"PE_RATIO",$B138,$B138)),VALUE(_xll.BDH(O$4,"PE_RATIO",$B138+1,$B138+1))),O139))</f>
        <v>0</v>
      </c>
      <c r="P138" s="555"/>
      <c r="Q138" s="559">
        <f t="shared" ca="1" si="46"/>
        <v>45023</v>
      </c>
      <c r="R138" s="4">
        <v>77.52</v>
      </c>
      <c r="S138" s="4">
        <v>107848.81</v>
      </c>
      <c r="T138" s="4">
        <v>0</v>
      </c>
      <c r="U138" s="4">
        <v>0.8033160621761658</v>
      </c>
      <c r="V138" s="4">
        <v>0.99513233283829905</v>
      </c>
      <c r="W138" s="4" t="e">
        <v>#DIV/0!</v>
      </c>
      <c r="Y138" s="555">
        <f t="shared" si="47"/>
        <v>77.52</v>
      </c>
      <c r="Z138" s="4">
        <f ca="1">IFERROR(VALUE(_xll.BDH(Z$4,"PX_LAST",$Q138,$Q138)),Z139)</f>
        <v>0</v>
      </c>
      <c r="AA138" s="4">
        <f ca="1">IFERROR(VALUE(_xll.BDH(AA$4,"PX_LAST",$Q138,$Q138)),AA139)</f>
        <v>0</v>
      </c>
      <c r="AB138" s="4">
        <f ca="1">IFERROR(VALUE(_xll.BDH(AB$4,"PX_LAST",$Q138,$Q138)),AB139)</f>
        <v>0</v>
      </c>
      <c r="AC138" s="4">
        <f ca="1">IFERROR(VALUE(_xll.BDH(AC$4,"PX_LAST",$Q138,$Q138)),AC139)</f>
        <v>0</v>
      </c>
      <c r="AD138" s="4">
        <f ca="1">IFERROR(VALUE(_xll.BDH(AD$4,"PX_LAST",$Q138,$Q138)),AD139)</f>
        <v>0</v>
      </c>
      <c r="AF138" s="4">
        <f t="shared" si="48"/>
        <v>0.8033160621761658</v>
      </c>
      <c r="AG138" s="4" t="e">
        <f t="shared" ca="1" si="49"/>
        <v>#DIV/0!</v>
      </c>
      <c r="AH138" s="4" t="e">
        <f t="shared" ca="1" si="50"/>
        <v>#DIV/0!</v>
      </c>
      <c r="AI138" s="4" t="e">
        <f t="shared" ca="1" si="51"/>
        <v>#DIV/0!</v>
      </c>
      <c r="AJ138" s="4" t="e">
        <f t="shared" ca="1" si="52"/>
        <v>#DIV/0!</v>
      </c>
      <c r="AK138" s="4" t="e">
        <f t="shared" ca="1" si="53"/>
        <v>#DIV/0!</v>
      </c>
      <c r="AM138" s="557">
        <f t="shared" ca="1" si="54"/>
        <v>45820</v>
      </c>
      <c r="AN138" s="558">
        <v>30.905000000000001</v>
      </c>
      <c r="AO138" s="558">
        <v>2648700</v>
      </c>
      <c r="AP138" s="558">
        <v>206.48981000000001</v>
      </c>
      <c r="AQ138" s="558">
        <v>6381.5675780500005</v>
      </c>
      <c r="AR138" s="558">
        <v>0.45829999999999999</v>
      </c>
    </row>
    <row r="139" spans="2:44">
      <c r="B139" s="559">
        <f t="shared" ca="1" si="55"/>
        <v>45016</v>
      </c>
      <c r="C139" s="555">
        <f ca="1">(IFERROR(IFERROR(VALUE(_xll.BDH(C$4,"CURRENT_EV_TO_T12M_EBITDA",$B139,$B139)),VALUE(_xll.BDH(C$4,"CURRENT_EV_TO_T12M_EBITDA",$B139+1,$B139+1))),C140))</f>
        <v>0</v>
      </c>
      <c r="D139" s="555">
        <f ca="1">(IFERROR(IFERROR(VALUE(_xll.BDH(D$4,"CURRENT_EV_TO_T12M_EBITDA",$B139,$B139)),VALUE(_xll.BDH(D$4,"CURRENT_EV_TO_T12M_EBITDA",$B139+1,$B139+1))),D140))</f>
        <v>0</v>
      </c>
      <c r="E139" s="555">
        <f ca="1">(IFERROR(IFERROR(VALUE(_xll.BDH(E$4,"CURRENT_EV_TO_T12M_EBITDA",$B139,$B139)),VALUE(_xll.BDH(E$4,"CURRENT_EV_TO_T12M_EBITDA",$B139+1,$B139+1))),E140))</f>
        <v>0</v>
      </c>
      <c r="F139" s="555">
        <f ca="1">(IFERROR(IFERROR(VALUE(_xll.BDH(F$4,"CURRENT_EV_TO_T12M_EBITDA",$B139,$B139)),VALUE(_xll.BDH(F$4,"CURRENT_EV_TO_T12M_EBITDA",$B139+1,$B139+1))),F140))</f>
        <v>0</v>
      </c>
      <c r="G139" s="555">
        <f ca="1">(IFERROR(IFERROR(VALUE(_xll.BDH(G$4,"CURRENT_EV_TO_T12M_EBITDA",$B139,$B139)),VALUE(_xll.BDH(G$4,"CURRENT_EV_TO_T12M_EBITDA",$B139+1,$B139+1))),G140))</f>
        <v>0</v>
      </c>
      <c r="H139" s="555">
        <f ca="1">(IFERROR(IFERROR(VALUE(_xll.BDH(H$4,"CURRENT_EV_TO_T12M_EBITDA",$B139,$B139)),VALUE(_xll.BDH(H$4,"CURRENT_EV_TO_T12M_EBITDA",$B139+1,$B139+1))),H140))</f>
        <v>0</v>
      </c>
      <c r="I139" s="559">
        <f t="shared" ca="1" si="45"/>
        <v>45016</v>
      </c>
      <c r="J139" s="555">
        <f ca="1">(IFERROR(IFERROR(VALUE(_xll.BDH(J$4,"PE_RATIO",$B139,$B139)),VALUE(_xll.BDH(J$4,"PE_RATIO",$B139+1,$B139+1))),J140))</f>
        <v>0</v>
      </c>
      <c r="K139" s="555">
        <f ca="1">(IFERROR(IFERROR(VALUE(_xll.BDH(K$4,"PE_RATIO",$B139,$B139)),VALUE(_xll.BDH(K$4,"PE_RATIO",$B139+1,$B139+1))),K140))</f>
        <v>0</v>
      </c>
      <c r="L139" s="555">
        <f ca="1">(IFERROR(IFERROR(VALUE(_xll.BDH(L$4,"PE_RATIO",$B139,$B139)),VALUE(_xll.BDH(L$4,"PE_RATIO",$B139+1,$B139+1))),L140))</f>
        <v>0</v>
      </c>
      <c r="M139" s="555">
        <f ca="1">(IFERROR(IFERROR(VALUE(_xll.BDH(M$4,"PE_RATIO",$B139,$B139)),VALUE(_xll.BDH(M$4,"PE_RATIO",$B139+1,$B139+1))),M140))</f>
        <v>0</v>
      </c>
      <c r="N139" s="555">
        <f ca="1">(IFERROR(IFERROR(VALUE(_xll.BDH(N$4,"PE_RATIO",$B139,$B139)),VALUE(_xll.BDH(N$4,"PE_RATIO",$B139+1,$B139+1))),N140))</f>
        <v>0</v>
      </c>
      <c r="O139" s="555">
        <f ca="1">(IFERROR(IFERROR(VALUE(_xll.BDH(O$4,"PE_RATIO",$B139,$B139)),VALUE(_xll.BDH(O$4,"PE_RATIO",$B139+1,$B139+1))),O140))</f>
        <v>0</v>
      </c>
      <c r="P139" s="555"/>
      <c r="Q139" s="559">
        <f t="shared" ca="1" si="46"/>
        <v>45016</v>
      </c>
      <c r="R139" s="4">
        <v>77.52</v>
      </c>
      <c r="S139" s="4">
        <v>107848.81</v>
      </c>
      <c r="T139" s="4">
        <v>0</v>
      </c>
      <c r="U139" s="4">
        <v>0.8033160621761658</v>
      </c>
      <c r="V139" s="4">
        <v>0.99513233283829905</v>
      </c>
      <c r="W139" s="4" t="e">
        <v>#DIV/0!</v>
      </c>
      <c r="Y139" s="555">
        <f t="shared" si="47"/>
        <v>77.52</v>
      </c>
      <c r="Z139" s="4">
        <f ca="1">IFERROR(VALUE(_xll.BDH(Z$4,"PX_LAST",$Q139,$Q139)),Z140)</f>
        <v>0</v>
      </c>
      <c r="AA139" s="4">
        <f ca="1">IFERROR(VALUE(_xll.BDH(AA$4,"PX_LAST",$Q139,$Q139)),AA140)</f>
        <v>0</v>
      </c>
      <c r="AB139" s="4">
        <f ca="1">IFERROR(VALUE(_xll.BDH(AB$4,"PX_LAST",$Q139,$Q139)),AB140)</f>
        <v>0</v>
      </c>
      <c r="AC139" s="4">
        <f ca="1">IFERROR(VALUE(_xll.BDH(AC$4,"PX_LAST",$Q139,$Q139)),AC140)</f>
        <v>0</v>
      </c>
      <c r="AD139" s="4">
        <f ca="1">IFERROR(VALUE(_xll.BDH(AD$4,"PX_LAST",$Q139,$Q139)),AD140)</f>
        <v>0</v>
      </c>
      <c r="AF139" s="4">
        <f t="shared" si="48"/>
        <v>0.8033160621761658</v>
      </c>
      <c r="AG139" s="4" t="e">
        <f t="shared" ca="1" si="49"/>
        <v>#DIV/0!</v>
      </c>
      <c r="AH139" s="4" t="e">
        <f t="shared" ca="1" si="50"/>
        <v>#DIV/0!</v>
      </c>
      <c r="AI139" s="4" t="e">
        <f t="shared" ca="1" si="51"/>
        <v>#DIV/0!</v>
      </c>
      <c r="AJ139" s="4" t="e">
        <f t="shared" ca="1" si="52"/>
        <v>#DIV/0!</v>
      </c>
      <c r="AK139" s="4" t="e">
        <f t="shared" ca="1" si="53"/>
        <v>#DIV/0!</v>
      </c>
      <c r="AM139" s="557">
        <f t="shared" ca="1" si="54"/>
        <v>45819</v>
      </c>
      <c r="AN139" s="558">
        <v>30.344999999999999</v>
      </c>
      <c r="AO139" s="558">
        <v>2127600</v>
      </c>
      <c r="AP139" s="558">
        <v>206.48981000000001</v>
      </c>
      <c r="AQ139" s="558">
        <v>6265.9332844499995</v>
      </c>
      <c r="AR139" s="558">
        <v>0.45</v>
      </c>
    </row>
    <row r="140" spans="2:44">
      <c r="B140" s="559">
        <f t="shared" ca="1" si="55"/>
        <v>45009</v>
      </c>
      <c r="C140" s="555">
        <f ca="1">(IFERROR(IFERROR(VALUE(_xll.BDH(C$4,"CURRENT_EV_TO_T12M_EBITDA",$B140,$B140)),VALUE(_xll.BDH(C$4,"CURRENT_EV_TO_T12M_EBITDA",$B140+1,$B140+1))),C141))</f>
        <v>0</v>
      </c>
      <c r="D140" s="555">
        <f ca="1">(IFERROR(IFERROR(VALUE(_xll.BDH(D$4,"CURRENT_EV_TO_T12M_EBITDA",$B140,$B140)),VALUE(_xll.BDH(D$4,"CURRENT_EV_TO_T12M_EBITDA",$B140+1,$B140+1))),D141))</f>
        <v>0</v>
      </c>
      <c r="E140" s="555">
        <f ca="1">(IFERROR(IFERROR(VALUE(_xll.BDH(E$4,"CURRENT_EV_TO_T12M_EBITDA",$B140,$B140)),VALUE(_xll.BDH(E$4,"CURRENT_EV_TO_T12M_EBITDA",$B140+1,$B140+1))),E141))</f>
        <v>0</v>
      </c>
      <c r="F140" s="555">
        <f ca="1">(IFERROR(IFERROR(VALUE(_xll.BDH(F$4,"CURRENT_EV_TO_T12M_EBITDA",$B140,$B140)),VALUE(_xll.BDH(F$4,"CURRENT_EV_TO_T12M_EBITDA",$B140+1,$B140+1))),F141))</f>
        <v>0</v>
      </c>
      <c r="G140" s="555">
        <f ca="1">(IFERROR(IFERROR(VALUE(_xll.BDH(G$4,"CURRENT_EV_TO_T12M_EBITDA",$B140,$B140)),VALUE(_xll.BDH(G$4,"CURRENT_EV_TO_T12M_EBITDA",$B140+1,$B140+1))),G141))</f>
        <v>0</v>
      </c>
      <c r="H140" s="555">
        <f ca="1">(IFERROR(IFERROR(VALUE(_xll.BDH(H$4,"CURRENT_EV_TO_T12M_EBITDA",$B140,$B140)),VALUE(_xll.BDH(H$4,"CURRENT_EV_TO_T12M_EBITDA",$B140+1,$B140+1))),H141))</f>
        <v>0</v>
      </c>
      <c r="I140" s="559">
        <f t="shared" ca="1" si="45"/>
        <v>45009</v>
      </c>
      <c r="J140" s="555">
        <f ca="1">(IFERROR(IFERROR(VALUE(_xll.BDH(J$4,"PE_RATIO",$B140,$B140)),VALUE(_xll.BDH(J$4,"PE_RATIO",$B140+1,$B140+1))),J141))</f>
        <v>0</v>
      </c>
      <c r="K140" s="555">
        <f ca="1">(IFERROR(IFERROR(VALUE(_xll.BDH(K$4,"PE_RATIO",$B140,$B140)),VALUE(_xll.BDH(K$4,"PE_RATIO",$B140+1,$B140+1))),K141))</f>
        <v>0</v>
      </c>
      <c r="L140" s="555">
        <f ca="1">(IFERROR(IFERROR(VALUE(_xll.BDH(L$4,"PE_RATIO",$B140,$B140)),VALUE(_xll.BDH(L$4,"PE_RATIO",$B140+1,$B140+1))),L141))</f>
        <v>0</v>
      </c>
      <c r="M140" s="555">
        <f ca="1">(IFERROR(IFERROR(VALUE(_xll.BDH(M$4,"PE_RATIO",$B140,$B140)),VALUE(_xll.BDH(M$4,"PE_RATIO",$B140+1,$B140+1))),M141))</f>
        <v>0</v>
      </c>
      <c r="N140" s="555">
        <f ca="1">(IFERROR(IFERROR(VALUE(_xll.BDH(N$4,"PE_RATIO",$B140,$B140)),VALUE(_xll.BDH(N$4,"PE_RATIO",$B140+1,$B140+1))),N141))</f>
        <v>0</v>
      </c>
      <c r="O140" s="555">
        <f ca="1">(IFERROR(IFERROR(VALUE(_xll.BDH(O$4,"PE_RATIO",$B140,$B140)),VALUE(_xll.BDH(O$4,"PE_RATIO",$B140+1,$B140+1))),O141))</f>
        <v>0</v>
      </c>
      <c r="P140" s="555"/>
      <c r="Q140" s="559">
        <f t="shared" ca="1" si="46"/>
        <v>45009</v>
      </c>
      <c r="R140" s="4">
        <v>83.5</v>
      </c>
      <c r="S140" s="4">
        <v>107829.73</v>
      </c>
      <c r="T140" s="4">
        <v>0</v>
      </c>
      <c r="U140" s="4">
        <v>0.86528497409326421</v>
      </c>
      <c r="V140" s="4">
        <v>0.99495627966802713</v>
      </c>
      <c r="W140" s="4" t="e">
        <v>#DIV/0!</v>
      </c>
      <c r="Y140" s="555">
        <f t="shared" si="47"/>
        <v>83.5</v>
      </c>
      <c r="Z140" s="4">
        <f ca="1">IFERROR(VALUE(_xll.BDH(Z$4,"PX_LAST",$Q140,$Q140)),Z141)</f>
        <v>0</v>
      </c>
      <c r="AA140" s="4">
        <f ca="1">IFERROR(VALUE(_xll.BDH(AA$4,"PX_LAST",$Q140,$Q140)),AA141)</f>
        <v>0</v>
      </c>
      <c r="AB140" s="4">
        <f ca="1">IFERROR(VALUE(_xll.BDH(AB$4,"PX_LAST",$Q140,$Q140)),AB141)</f>
        <v>0</v>
      </c>
      <c r="AC140" s="4">
        <f ca="1">IFERROR(VALUE(_xll.BDH(AC$4,"PX_LAST",$Q140,$Q140)),AC141)</f>
        <v>0</v>
      </c>
      <c r="AD140" s="4">
        <f ca="1">IFERROR(VALUE(_xll.BDH(AD$4,"PX_LAST",$Q140,$Q140)),AD141)</f>
        <v>0</v>
      </c>
      <c r="AF140" s="4">
        <f t="shared" si="48"/>
        <v>0.86528497409326421</v>
      </c>
      <c r="AG140" s="4" t="e">
        <f t="shared" ca="1" si="49"/>
        <v>#DIV/0!</v>
      </c>
      <c r="AH140" s="4" t="e">
        <f t="shared" ca="1" si="50"/>
        <v>#DIV/0!</v>
      </c>
      <c r="AI140" s="4" t="e">
        <f t="shared" ca="1" si="51"/>
        <v>#DIV/0!</v>
      </c>
      <c r="AJ140" s="4" t="e">
        <f t="shared" ca="1" si="52"/>
        <v>#DIV/0!</v>
      </c>
      <c r="AK140" s="4" t="e">
        <f t="shared" ca="1" si="53"/>
        <v>#DIV/0!</v>
      </c>
      <c r="AM140" s="557">
        <f t="shared" ca="1" si="54"/>
        <v>45818</v>
      </c>
      <c r="AN140" s="558">
        <v>30.344999999999999</v>
      </c>
      <c r="AO140" s="558">
        <v>2127600</v>
      </c>
      <c r="AP140" s="558">
        <v>206.48981000000001</v>
      </c>
      <c r="AQ140" s="558">
        <v>6265.9332844499995</v>
      </c>
      <c r="AR140" s="558">
        <v>0.45</v>
      </c>
    </row>
    <row r="141" spans="2:44">
      <c r="B141" s="559">
        <f t="shared" ca="1" si="55"/>
        <v>45002</v>
      </c>
      <c r="C141" s="555">
        <f ca="1">(IFERROR(IFERROR(VALUE(_xll.BDH(C$4,"CURRENT_EV_TO_T12M_EBITDA",$B141,$B141)),VALUE(_xll.BDH(C$4,"CURRENT_EV_TO_T12M_EBITDA",$B141+1,$B141+1))),C142))</f>
        <v>0</v>
      </c>
      <c r="D141" s="555">
        <f ca="1">(IFERROR(IFERROR(VALUE(_xll.BDH(D$4,"CURRENT_EV_TO_T12M_EBITDA",$B141,$B141)),VALUE(_xll.BDH(D$4,"CURRENT_EV_TO_T12M_EBITDA",$B141+1,$B141+1))),D142))</f>
        <v>0</v>
      </c>
      <c r="E141" s="555">
        <f ca="1">(IFERROR(IFERROR(VALUE(_xll.BDH(E$4,"CURRENT_EV_TO_T12M_EBITDA",$B141,$B141)),VALUE(_xll.BDH(E$4,"CURRENT_EV_TO_T12M_EBITDA",$B141+1,$B141+1))),E142))</f>
        <v>0</v>
      </c>
      <c r="F141" s="555">
        <f ca="1">(IFERROR(IFERROR(VALUE(_xll.BDH(F$4,"CURRENT_EV_TO_T12M_EBITDA",$B141,$B141)),VALUE(_xll.BDH(F$4,"CURRENT_EV_TO_T12M_EBITDA",$B141+1,$B141+1))),F142))</f>
        <v>0</v>
      </c>
      <c r="G141" s="555">
        <f ca="1">(IFERROR(IFERROR(VALUE(_xll.BDH(G$4,"CURRENT_EV_TO_T12M_EBITDA",$B141,$B141)),VALUE(_xll.BDH(G$4,"CURRENT_EV_TO_T12M_EBITDA",$B141+1,$B141+1))),G142))</f>
        <v>0</v>
      </c>
      <c r="H141" s="555">
        <f ca="1">(IFERROR(IFERROR(VALUE(_xll.BDH(H$4,"CURRENT_EV_TO_T12M_EBITDA",$B141,$B141)),VALUE(_xll.BDH(H$4,"CURRENT_EV_TO_T12M_EBITDA",$B141+1,$B141+1))),H142))</f>
        <v>0</v>
      </c>
      <c r="I141" s="559">
        <f t="shared" ca="1" si="45"/>
        <v>45002</v>
      </c>
      <c r="J141" s="555">
        <f ca="1">(IFERROR(IFERROR(VALUE(_xll.BDH(J$4,"PE_RATIO",$B141,$B141)),VALUE(_xll.BDH(J$4,"PE_RATIO",$B141+1,$B141+1))),J142))</f>
        <v>0</v>
      </c>
      <c r="K141" s="555">
        <f ca="1">(IFERROR(IFERROR(VALUE(_xll.BDH(K$4,"PE_RATIO",$B141,$B141)),VALUE(_xll.BDH(K$4,"PE_RATIO",$B141+1,$B141+1))),K142))</f>
        <v>0</v>
      </c>
      <c r="L141" s="555">
        <f ca="1">(IFERROR(IFERROR(VALUE(_xll.BDH(L$4,"PE_RATIO",$B141,$B141)),VALUE(_xll.BDH(L$4,"PE_RATIO",$B141+1,$B141+1))),L142))</f>
        <v>0</v>
      </c>
      <c r="M141" s="555">
        <f ca="1">(IFERROR(IFERROR(VALUE(_xll.BDH(M$4,"PE_RATIO",$B141,$B141)),VALUE(_xll.BDH(M$4,"PE_RATIO",$B141+1,$B141+1))),M142))</f>
        <v>0</v>
      </c>
      <c r="N141" s="555">
        <f ca="1">(IFERROR(IFERROR(VALUE(_xll.BDH(N$4,"PE_RATIO",$B141,$B141)),VALUE(_xll.BDH(N$4,"PE_RATIO",$B141+1,$B141+1))),N142))</f>
        <v>0</v>
      </c>
      <c r="O141" s="555">
        <f ca="1">(IFERROR(IFERROR(VALUE(_xll.BDH(O$4,"PE_RATIO",$B141,$B141)),VALUE(_xll.BDH(O$4,"PE_RATIO",$B141+1,$B141+1))),O142))</f>
        <v>0</v>
      </c>
      <c r="P141" s="555"/>
      <c r="Q141" s="559">
        <f t="shared" ca="1" si="46"/>
        <v>45002</v>
      </c>
      <c r="R141" s="4">
        <v>87.6</v>
      </c>
      <c r="S141" s="4">
        <v>113430.54</v>
      </c>
      <c r="T141" s="4">
        <v>0</v>
      </c>
      <c r="U141" s="4">
        <v>0.90777202072538854</v>
      </c>
      <c r="V141" s="4">
        <v>1.0466355436402868</v>
      </c>
      <c r="W141" s="4" t="e">
        <v>#DIV/0!</v>
      </c>
      <c r="Y141" s="555">
        <f t="shared" si="47"/>
        <v>87.6</v>
      </c>
      <c r="Z141" s="4">
        <f ca="1">IFERROR(VALUE(_xll.BDH(Z$4,"PX_LAST",$Q141,$Q141)),Z142)</f>
        <v>0</v>
      </c>
      <c r="AA141" s="4">
        <f ca="1">IFERROR(VALUE(_xll.BDH(AA$4,"PX_LAST",$Q141,$Q141)),AA142)</f>
        <v>0</v>
      </c>
      <c r="AB141" s="4">
        <f ca="1">IFERROR(VALUE(_xll.BDH(AB$4,"PX_LAST",$Q141,$Q141)),AB142)</f>
        <v>0</v>
      </c>
      <c r="AC141" s="4">
        <f ca="1">IFERROR(VALUE(_xll.BDH(AC$4,"PX_LAST",$Q141,$Q141)),AC142)</f>
        <v>0</v>
      </c>
      <c r="AD141" s="4">
        <f ca="1">IFERROR(VALUE(_xll.BDH(AD$4,"PX_LAST",$Q141,$Q141)),AD142)</f>
        <v>0</v>
      </c>
      <c r="AF141" s="4">
        <f t="shared" si="48"/>
        <v>0.90777202072538854</v>
      </c>
      <c r="AG141" s="4" t="e">
        <f t="shared" ca="1" si="49"/>
        <v>#DIV/0!</v>
      </c>
      <c r="AH141" s="4" t="e">
        <f t="shared" ca="1" si="50"/>
        <v>#DIV/0!</v>
      </c>
      <c r="AI141" s="4" t="e">
        <f t="shared" ca="1" si="51"/>
        <v>#DIV/0!</v>
      </c>
      <c r="AJ141" s="4" t="e">
        <f t="shared" ca="1" si="52"/>
        <v>#DIV/0!</v>
      </c>
      <c r="AK141" s="4" t="e">
        <f t="shared" ca="1" si="53"/>
        <v>#DIV/0!</v>
      </c>
      <c r="AM141" s="557">
        <f t="shared" ca="1" si="54"/>
        <v>45817</v>
      </c>
      <c r="AN141" s="558">
        <v>30.344999999999999</v>
      </c>
      <c r="AO141" s="558">
        <v>2127600</v>
      </c>
      <c r="AP141" s="558">
        <v>206.48981000000001</v>
      </c>
      <c r="AQ141" s="558">
        <v>6265.9332844499995</v>
      </c>
      <c r="AR141" s="558">
        <v>0.45</v>
      </c>
    </row>
    <row r="142" spans="2:44">
      <c r="B142" s="559">
        <f t="shared" ca="1" si="55"/>
        <v>44995</v>
      </c>
      <c r="C142" s="555">
        <f ca="1">(IFERROR(IFERROR(VALUE(_xll.BDH(C$4,"CURRENT_EV_TO_T12M_EBITDA",$B142,$B142)),VALUE(_xll.BDH(C$4,"CURRENT_EV_TO_T12M_EBITDA",$B142+1,$B142+1))),C143))</f>
        <v>0</v>
      </c>
      <c r="D142" s="555">
        <f ca="1">(IFERROR(IFERROR(VALUE(_xll.BDH(D$4,"CURRENT_EV_TO_T12M_EBITDA",$B142,$B142)),VALUE(_xll.BDH(D$4,"CURRENT_EV_TO_T12M_EBITDA",$B142+1,$B142+1))),D143))</f>
        <v>0</v>
      </c>
      <c r="E142" s="555">
        <f ca="1">(IFERROR(IFERROR(VALUE(_xll.BDH(E$4,"CURRENT_EV_TO_T12M_EBITDA",$B142,$B142)),VALUE(_xll.BDH(E$4,"CURRENT_EV_TO_T12M_EBITDA",$B142+1,$B142+1))),E143))</f>
        <v>0</v>
      </c>
      <c r="F142" s="555">
        <f ca="1">(IFERROR(IFERROR(VALUE(_xll.BDH(F$4,"CURRENT_EV_TO_T12M_EBITDA",$B142,$B142)),VALUE(_xll.BDH(F$4,"CURRENT_EV_TO_T12M_EBITDA",$B142+1,$B142+1))),F143))</f>
        <v>0</v>
      </c>
      <c r="G142" s="555">
        <f ca="1">(IFERROR(IFERROR(VALUE(_xll.BDH(G$4,"CURRENT_EV_TO_T12M_EBITDA",$B142,$B142)),VALUE(_xll.BDH(G$4,"CURRENT_EV_TO_T12M_EBITDA",$B142+1,$B142+1))),G143))</f>
        <v>0</v>
      </c>
      <c r="H142" s="555">
        <f ca="1">(IFERROR(IFERROR(VALUE(_xll.BDH(H$4,"CURRENT_EV_TO_T12M_EBITDA",$B142,$B142)),VALUE(_xll.BDH(H$4,"CURRENT_EV_TO_T12M_EBITDA",$B142+1,$B142+1))),H143))</f>
        <v>0</v>
      </c>
      <c r="I142" s="559">
        <f t="shared" ca="1" si="45"/>
        <v>44995</v>
      </c>
      <c r="J142" s="555">
        <f ca="1">(IFERROR(IFERROR(VALUE(_xll.BDH(J$4,"PE_RATIO",$B142,$B142)),VALUE(_xll.BDH(J$4,"PE_RATIO",$B142+1,$B142+1))),J143))</f>
        <v>0</v>
      </c>
      <c r="K142" s="555">
        <f ca="1">(IFERROR(IFERROR(VALUE(_xll.BDH(K$4,"PE_RATIO",$B142,$B142)),VALUE(_xll.BDH(K$4,"PE_RATIO",$B142+1,$B142+1))),K143))</f>
        <v>0</v>
      </c>
      <c r="L142" s="555">
        <f ca="1">(IFERROR(IFERROR(VALUE(_xll.BDH(L$4,"PE_RATIO",$B142,$B142)),VALUE(_xll.BDH(L$4,"PE_RATIO",$B142+1,$B142+1))),L143))</f>
        <v>0</v>
      </c>
      <c r="M142" s="555">
        <f ca="1">(IFERROR(IFERROR(VALUE(_xll.BDH(M$4,"PE_RATIO",$B142,$B142)),VALUE(_xll.BDH(M$4,"PE_RATIO",$B142+1,$B142+1))),M143))</f>
        <v>0</v>
      </c>
      <c r="N142" s="555">
        <f ca="1">(IFERROR(IFERROR(VALUE(_xll.BDH(N$4,"PE_RATIO",$B142,$B142)),VALUE(_xll.BDH(N$4,"PE_RATIO",$B142+1,$B142+1))),N143))</f>
        <v>0</v>
      </c>
      <c r="O142" s="555">
        <f ca="1">(IFERROR(IFERROR(VALUE(_xll.BDH(O$4,"PE_RATIO",$B142,$B142)),VALUE(_xll.BDH(O$4,"PE_RATIO",$B142+1,$B142+1))),O143))</f>
        <v>0</v>
      </c>
      <c r="P142" s="555"/>
      <c r="Q142" s="559">
        <f t="shared" ca="1" si="46"/>
        <v>44995</v>
      </c>
      <c r="R142" s="4">
        <v>82.87</v>
      </c>
      <c r="S142" s="4">
        <v>113028.15</v>
      </c>
      <c r="T142" s="4">
        <v>0</v>
      </c>
      <c r="U142" s="4">
        <v>0.85875647668393784</v>
      </c>
      <c r="V142" s="4">
        <v>1.0429226487144103</v>
      </c>
      <c r="W142" s="4" t="e">
        <v>#DIV/0!</v>
      </c>
      <c r="Y142" s="555">
        <f t="shared" si="47"/>
        <v>82.87</v>
      </c>
      <c r="Z142" s="4">
        <f ca="1">IFERROR(VALUE(_xll.BDH(Z$4,"PX_LAST",$Q142,$Q142)),Z143)</f>
        <v>0</v>
      </c>
      <c r="AA142" s="4">
        <f ca="1">IFERROR(VALUE(_xll.BDH(AA$4,"PX_LAST",$Q142,$Q142)),AA143)</f>
        <v>0</v>
      </c>
      <c r="AB142" s="4">
        <f ca="1">IFERROR(VALUE(_xll.BDH(AB$4,"PX_LAST",$Q142,$Q142)),AB143)</f>
        <v>0</v>
      </c>
      <c r="AC142" s="4">
        <f ca="1">IFERROR(VALUE(_xll.BDH(AC$4,"PX_LAST",$Q142,$Q142)),AC143)</f>
        <v>0</v>
      </c>
      <c r="AD142" s="4">
        <f ca="1">IFERROR(VALUE(_xll.BDH(AD$4,"PX_LAST",$Q142,$Q142)),AD143)</f>
        <v>0</v>
      </c>
      <c r="AF142" s="4">
        <f t="shared" si="48"/>
        <v>0.85875647668393784</v>
      </c>
      <c r="AG142" s="4" t="e">
        <f t="shared" ca="1" si="49"/>
        <v>#DIV/0!</v>
      </c>
      <c r="AH142" s="4" t="e">
        <f t="shared" ca="1" si="50"/>
        <v>#DIV/0!</v>
      </c>
      <c r="AI142" s="4" t="e">
        <f t="shared" ca="1" si="51"/>
        <v>#DIV/0!</v>
      </c>
      <c r="AJ142" s="4" t="e">
        <f t="shared" ca="1" si="52"/>
        <v>#DIV/0!</v>
      </c>
      <c r="AK142" s="4" t="e">
        <f t="shared" ca="1" si="53"/>
        <v>#DIV/0!</v>
      </c>
      <c r="AM142" s="557">
        <f t="shared" ca="1" si="54"/>
        <v>45816</v>
      </c>
      <c r="AN142" s="558">
        <v>29.614999999999998</v>
      </c>
      <c r="AO142" s="558">
        <v>1826300</v>
      </c>
      <c r="AP142" s="558">
        <v>206.48981000000001</v>
      </c>
      <c r="AQ142" s="558">
        <v>6115.19572315</v>
      </c>
      <c r="AR142" s="558">
        <v>0.43890000000000001</v>
      </c>
    </row>
    <row r="143" spans="2:44">
      <c r="B143" s="559">
        <f t="shared" ca="1" si="55"/>
        <v>44988</v>
      </c>
      <c r="C143" s="555">
        <f ca="1">(IFERROR(IFERROR(VALUE(_xll.BDH(C$4,"CURRENT_EV_TO_T12M_EBITDA",$B143,$B143)),VALUE(_xll.BDH(C$4,"CURRENT_EV_TO_T12M_EBITDA",$B143+1,$B143+1))),C144))</f>
        <v>0</v>
      </c>
      <c r="D143" s="555">
        <f ca="1">(IFERROR(IFERROR(VALUE(_xll.BDH(D$4,"CURRENT_EV_TO_T12M_EBITDA",$B143,$B143)),VALUE(_xll.BDH(D$4,"CURRENT_EV_TO_T12M_EBITDA",$B143+1,$B143+1))),D144))</f>
        <v>0</v>
      </c>
      <c r="E143" s="555">
        <f ca="1">(IFERROR(IFERROR(VALUE(_xll.BDH(E$4,"CURRENT_EV_TO_T12M_EBITDA",$B143,$B143)),VALUE(_xll.BDH(E$4,"CURRENT_EV_TO_T12M_EBITDA",$B143+1,$B143+1))),E144))</f>
        <v>0</v>
      </c>
      <c r="F143" s="555">
        <f ca="1">(IFERROR(IFERROR(VALUE(_xll.BDH(F$4,"CURRENT_EV_TO_T12M_EBITDA",$B143,$B143)),VALUE(_xll.BDH(F$4,"CURRENT_EV_TO_T12M_EBITDA",$B143+1,$B143+1))),F144))</f>
        <v>0</v>
      </c>
      <c r="G143" s="555">
        <f ca="1">(IFERROR(IFERROR(VALUE(_xll.BDH(G$4,"CURRENT_EV_TO_T12M_EBITDA",$B143,$B143)),VALUE(_xll.BDH(G$4,"CURRENT_EV_TO_T12M_EBITDA",$B143+1,$B143+1))),G144))</f>
        <v>0</v>
      </c>
      <c r="H143" s="555">
        <f ca="1">(IFERROR(IFERROR(VALUE(_xll.BDH(H$4,"CURRENT_EV_TO_T12M_EBITDA",$B143,$B143)),VALUE(_xll.BDH(H$4,"CURRENT_EV_TO_T12M_EBITDA",$B143+1,$B143+1))),H144))</f>
        <v>0</v>
      </c>
      <c r="I143" s="559">
        <f t="shared" ca="1" si="45"/>
        <v>44988</v>
      </c>
      <c r="J143" s="555">
        <f ca="1">(IFERROR(IFERROR(VALUE(_xll.BDH(J$4,"PE_RATIO",$B143,$B143)),VALUE(_xll.BDH(J$4,"PE_RATIO",$B143+1,$B143+1))),J144))</f>
        <v>0</v>
      </c>
      <c r="K143" s="555">
        <f ca="1">(IFERROR(IFERROR(VALUE(_xll.BDH(K$4,"PE_RATIO",$B143,$B143)),VALUE(_xll.BDH(K$4,"PE_RATIO",$B143+1,$B143+1))),K144))</f>
        <v>0</v>
      </c>
      <c r="L143" s="555">
        <f ca="1">(IFERROR(IFERROR(VALUE(_xll.BDH(L$4,"PE_RATIO",$B143,$B143)),VALUE(_xll.BDH(L$4,"PE_RATIO",$B143+1,$B143+1))),L144))</f>
        <v>0</v>
      </c>
      <c r="M143" s="555">
        <f ca="1">(IFERROR(IFERROR(VALUE(_xll.BDH(M$4,"PE_RATIO",$B143,$B143)),VALUE(_xll.BDH(M$4,"PE_RATIO",$B143+1,$B143+1))),M144))</f>
        <v>0</v>
      </c>
      <c r="N143" s="555">
        <f ca="1">(IFERROR(IFERROR(VALUE(_xll.BDH(N$4,"PE_RATIO",$B143,$B143)),VALUE(_xll.BDH(N$4,"PE_RATIO",$B143+1,$B143+1))),N144))</f>
        <v>0</v>
      </c>
      <c r="O143" s="555">
        <f ca="1">(IFERROR(IFERROR(VALUE(_xll.BDH(O$4,"PE_RATIO",$B143,$B143)),VALUE(_xll.BDH(O$4,"PE_RATIO",$B143+1,$B143+1))),O144))</f>
        <v>0</v>
      </c>
      <c r="P143" s="555"/>
      <c r="Q143" s="559">
        <f t="shared" ca="1" si="46"/>
        <v>44988</v>
      </c>
      <c r="R143" s="4">
        <v>80</v>
      </c>
      <c r="S143" s="4">
        <v>111439.12</v>
      </c>
      <c r="T143" s="4">
        <v>0</v>
      </c>
      <c r="U143" s="4">
        <v>0.82901554404145072</v>
      </c>
      <c r="V143" s="4">
        <v>1.0282605014839492</v>
      </c>
      <c r="W143" s="4" t="e">
        <v>#DIV/0!</v>
      </c>
      <c r="Y143" s="555">
        <f t="shared" si="47"/>
        <v>80</v>
      </c>
      <c r="Z143" s="4">
        <f ca="1">IFERROR(VALUE(_xll.BDH(Z$4,"PX_LAST",$Q143,$Q143)),Z144)</f>
        <v>0</v>
      </c>
      <c r="AA143" s="4">
        <f ca="1">IFERROR(VALUE(_xll.BDH(AA$4,"PX_LAST",$Q143,$Q143)),AA144)</f>
        <v>0</v>
      </c>
      <c r="AB143" s="4">
        <f ca="1">IFERROR(VALUE(_xll.BDH(AB$4,"PX_LAST",$Q143,$Q143)),AB144)</f>
        <v>0</v>
      </c>
      <c r="AC143" s="4">
        <f ca="1">IFERROR(VALUE(_xll.BDH(AC$4,"PX_LAST",$Q143,$Q143)),AC144)</f>
        <v>0</v>
      </c>
      <c r="AD143" s="4">
        <f ca="1">IFERROR(VALUE(_xll.BDH(AD$4,"PX_LAST",$Q143,$Q143)),AD144)</f>
        <v>0</v>
      </c>
      <c r="AF143" s="4">
        <f t="shared" si="48"/>
        <v>0.82901554404145072</v>
      </c>
      <c r="AG143" s="4" t="e">
        <f t="shared" ca="1" si="49"/>
        <v>#DIV/0!</v>
      </c>
      <c r="AH143" s="4" t="e">
        <f t="shared" ca="1" si="50"/>
        <v>#DIV/0!</v>
      </c>
      <c r="AI143" s="4" t="e">
        <f t="shared" ca="1" si="51"/>
        <v>#DIV/0!</v>
      </c>
      <c r="AJ143" s="4" t="e">
        <f t="shared" ca="1" si="52"/>
        <v>#DIV/0!</v>
      </c>
      <c r="AK143" s="4" t="e">
        <f t="shared" ca="1" si="53"/>
        <v>#DIV/0!</v>
      </c>
      <c r="AM143" s="557">
        <f t="shared" ca="1" si="54"/>
        <v>45815</v>
      </c>
      <c r="AN143" s="558">
        <v>28.274999999999999</v>
      </c>
      <c r="AO143" s="558">
        <v>1710400</v>
      </c>
      <c r="AP143" s="558">
        <v>206.48981000000001</v>
      </c>
      <c r="AQ143" s="558">
        <v>5838.4993777499994</v>
      </c>
      <c r="AR143" s="558">
        <v>0.41909999999999997</v>
      </c>
    </row>
    <row r="144" spans="2:44">
      <c r="B144" s="559">
        <f t="shared" ca="1" si="55"/>
        <v>44981</v>
      </c>
      <c r="C144" s="555">
        <f ca="1">(IFERROR(IFERROR(VALUE(_xll.BDH(C$4,"CURRENT_EV_TO_T12M_EBITDA",$B144,$B144)),VALUE(_xll.BDH(C$4,"CURRENT_EV_TO_T12M_EBITDA",$B144+1,$B144+1))),C145))</f>
        <v>0</v>
      </c>
      <c r="D144" s="555">
        <f ca="1">(IFERROR(IFERROR(VALUE(_xll.BDH(D$4,"CURRENT_EV_TO_T12M_EBITDA",$B144,$B144)),VALUE(_xll.BDH(D$4,"CURRENT_EV_TO_T12M_EBITDA",$B144+1,$B144+1))),D145))</f>
        <v>0</v>
      </c>
      <c r="E144" s="555">
        <f ca="1">(IFERROR(IFERROR(VALUE(_xll.BDH(E$4,"CURRENT_EV_TO_T12M_EBITDA",$B144,$B144)),VALUE(_xll.BDH(E$4,"CURRENT_EV_TO_T12M_EBITDA",$B144+1,$B144+1))),E145))</f>
        <v>0</v>
      </c>
      <c r="F144" s="555">
        <f ca="1">(IFERROR(IFERROR(VALUE(_xll.BDH(F$4,"CURRENT_EV_TO_T12M_EBITDA",$B144,$B144)),VALUE(_xll.BDH(F$4,"CURRENT_EV_TO_T12M_EBITDA",$B144+1,$B144+1))),F145))</f>
        <v>0</v>
      </c>
      <c r="G144" s="555">
        <f ca="1">(IFERROR(IFERROR(VALUE(_xll.BDH(G$4,"CURRENT_EV_TO_T12M_EBITDA",$B144,$B144)),VALUE(_xll.BDH(G$4,"CURRENT_EV_TO_T12M_EBITDA",$B144+1,$B144+1))),G145))</f>
        <v>0</v>
      </c>
      <c r="H144" s="555">
        <f ca="1">(IFERROR(IFERROR(VALUE(_xll.BDH(H$4,"CURRENT_EV_TO_T12M_EBITDA",$B144,$B144)),VALUE(_xll.BDH(H$4,"CURRENT_EV_TO_T12M_EBITDA",$B144+1,$B144+1))),H145))</f>
        <v>0</v>
      </c>
      <c r="I144" s="559">
        <f t="shared" ca="1" si="45"/>
        <v>44981</v>
      </c>
      <c r="J144" s="555">
        <f ca="1">(IFERROR(IFERROR(VALUE(_xll.BDH(J$4,"PE_RATIO",$B144,$B144)),VALUE(_xll.BDH(J$4,"PE_RATIO",$B144+1,$B144+1))),J145))</f>
        <v>0</v>
      </c>
      <c r="K144" s="555">
        <f ca="1">(IFERROR(IFERROR(VALUE(_xll.BDH(K$4,"PE_RATIO",$B144,$B144)),VALUE(_xll.BDH(K$4,"PE_RATIO",$B144+1,$B144+1))),K145))</f>
        <v>0</v>
      </c>
      <c r="L144" s="555">
        <f ca="1">(IFERROR(IFERROR(VALUE(_xll.BDH(L$4,"PE_RATIO",$B144,$B144)),VALUE(_xll.BDH(L$4,"PE_RATIO",$B144+1,$B144+1))),L145))</f>
        <v>0</v>
      </c>
      <c r="M144" s="555">
        <f ca="1">(IFERROR(IFERROR(VALUE(_xll.BDH(M$4,"PE_RATIO",$B144,$B144)),VALUE(_xll.BDH(M$4,"PE_RATIO",$B144+1,$B144+1))),M145))</f>
        <v>0</v>
      </c>
      <c r="N144" s="555">
        <f ca="1">(IFERROR(IFERROR(VALUE(_xll.BDH(N$4,"PE_RATIO",$B144,$B144)),VALUE(_xll.BDH(N$4,"PE_RATIO",$B144+1,$B144+1))),N145))</f>
        <v>0</v>
      </c>
      <c r="O144" s="555">
        <f ca="1">(IFERROR(IFERROR(VALUE(_xll.BDH(O$4,"PE_RATIO",$B144,$B144)),VALUE(_xll.BDH(O$4,"PE_RATIO",$B144+1,$B144+1))),O145))</f>
        <v>0</v>
      </c>
      <c r="P144" s="555"/>
      <c r="Q144" s="559">
        <f t="shared" ca="1" si="46"/>
        <v>44981</v>
      </c>
      <c r="R144" s="4">
        <v>77.069999999999993</v>
      </c>
      <c r="S144" s="4">
        <v>110816.71</v>
      </c>
      <c r="T144" s="4">
        <v>0</v>
      </c>
      <c r="U144" s="4">
        <v>0.79865284974093254</v>
      </c>
      <c r="V144" s="4">
        <v>1.0225174588367296</v>
      </c>
      <c r="W144" s="4" t="e">
        <v>#DIV/0!</v>
      </c>
      <c r="Y144" s="555">
        <f t="shared" si="47"/>
        <v>77.069999999999993</v>
      </c>
      <c r="Z144" s="4">
        <f ca="1">IFERROR(VALUE(_xll.BDH(Z$4,"PX_LAST",$Q144,$Q144)),Z145)</f>
        <v>0</v>
      </c>
      <c r="AA144" s="4">
        <f ca="1">IFERROR(VALUE(_xll.BDH(AA$4,"PX_LAST",$Q144,$Q144)),AA145)</f>
        <v>0</v>
      </c>
      <c r="AB144" s="4">
        <f ca="1">IFERROR(VALUE(_xll.BDH(AB$4,"PX_LAST",$Q144,$Q144)),AB145)</f>
        <v>0</v>
      </c>
      <c r="AC144" s="4">
        <f ca="1">IFERROR(VALUE(_xll.BDH(AC$4,"PX_LAST",$Q144,$Q144)),AC145)</f>
        <v>0</v>
      </c>
      <c r="AD144" s="4">
        <f ca="1">IFERROR(VALUE(_xll.BDH(AD$4,"PX_LAST",$Q144,$Q144)),AD145)</f>
        <v>0</v>
      </c>
      <c r="AF144" s="4">
        <f t="shared" si="48"/>
        <v>0.79865284974093254</v>
      </c>
      <c r="AG144" s="4" t="e">
        <f t="shared" ca="1" si="49"/>
        <v>#DIV/0!</v>
      </c>
      <c r="AH144" s="4" t="e">
        <f t="shared" ca="1" si="50"/>
        <v>#DIV/0!</v>
      </c>
      <c r="AI144" s="4" t="e">
        <f t="shared" ca="1" si="51"/>
        <v>#DIV/0!</v>
      </c>
      <c r="AJ144" s="4" t="e">
        <f t="shared" ca="1" si="52"/>
        <v>#DIV/0!</v>
      </c>
      <c r="AK144" s="4" t="e">
        <f t="shared" ca="1" si="53"/>
        <v>#DIV/0!</v>
      </c>
      <c r="AM144" s="557">
        <f t="shared" ca="1" si="54"/>
        <v>45814</v>
      </c>
      <c r="AN144" s="558">
        <v>28.01</v>
      </c>
      <c r="AO144" s="558">
        <v>1246800</v>
      </c>
      <c r="AP144" s="558">
        <v>206.48981000000001</v>
      </c>
      <c r="AQ144" s="558">
        <v>5783.7795781000004</v>
      </c>
      <c r="AR144" s="558">
        <v>0.4153</v>
      </c>
    </row>
    <row r="145" spans="2:44">
      <c r="B145" s="559">
        <f t="shared" ca="1" si="55"/>
        <v>44974</v>
      </c>
      <c r="C145" s="555">
        <f ca="1">(IFERROR(IFERROR(VALUE(_xll.BDH(C$4,"CURRENT_EV_TO_T12M_EBITDA",$B145,$B145)),VALUE(_xll.BDH(C$4,"CURRENT_EV_TO_T12M_EBITDA",$B145+1,$B145+1))),C146))</f>
        <v>0</v>
      </c>
      <c r="D145" s="555">
        <f ca="1">(IFERROR(IFERROR(VALUE(_xll.BDH(D$4,"CURRENT_EV_TO_T12M_EBITDA",$B145,$B145)),VALUE(_xll.BDH(D$4,"CURRENT_EV_TO_T12M_EBITDA",$B145+1,$B145+1))),D146))</f>
        <v>0</v>
      </c>
      <c r="E145" s="555">
        <f ca="1">(IFERROR(IFERROR(VALUE(_xll.BDH(E$4,"CURRENT_EV_TO_T12M_EBITDA",$B145,$B145)),VALUE(_xll.BDH(E$4,"CURRENT_EV_TO_T12M_EBITDA",$B145+1,$B145+1))),E146))</f>
        <v>0</v>
      </c>
      <c r="F145" s="555">
        <f ca="1">(IFERROR(IFERROR(VALUE(_xll.BDH(F$4,"CURRENT_EV_TO_T12M_EBITDA",$B145,$B145)),VALUE(_xll.BDH(F$4,"CURRENT_EV_TO_T12M_EBITDA",$B145+1,$B145+1))),F146))</f>
        <v>0</v>
      </c>
      <c r="G145" s="555">
        <f ca="1">(IFERROR(IFERROR(VALUE(_xll.BDH(G$4,"CURRENT_EV_TO_T12M_EBITDA",$B145,$B145)),VALUE(_xll.BDH(G$4,"CURRENT_EV_TO_T12M_EBITDA",$B145+1,$B145+1))),G146))</f>
        <v>0</v>
      </c>
      <c r="H145" s="555">
        <f ca="1">(IFERROR(IFERROR(VALUE(_xll.BDH(H$4,"CURRENT_EV_TO_T12M_EBITDA",$B145,$B145)),VALUE(_xll.BDH(H$4,"CURRENT_EV_TO_T12M_EBITDA",$B145+1,$B145+1))),H146))</f>
        <v>0</v>
      </c>
      <c r="I145" s="559">
        <f t="shared" ca="1" si="45"/>
        <v>44974</v>
      </c>
      <c r="J145" s="555">
        <f ca="1">(IFERROR(IFERROR(VALUE(_xll.BDH(J$4,"PE_RATIO",$B145,$B145)),VALUE(_xll.BDH(J$4,"PE_RATIO",$B145+1,$B145+1))),J146))</f>
        <v>0</v>
      </c>
      <c r="K145" s="555">
        <f ca="1">(IFERROR(IFERROR(VALUE(_xll.BDH(K$4,"PE_RATIO",$B145,$B145)),VALUE(_xll.BDH(K$4,"PE_RATIO",$B145+1,$B145+1))),K146))</f>
        <v>0</v>
      </c>
      <c r="L145" s="555">
        <f ca="1">(IFERROR(IFERROR(VALUE(_xll.BDH(L$4,"PE_RATIO",$B145,$B145)),VALUE(_xll.BDH(L$4,"PE_RATIO",$B145+1,$B145+1))),L146))</f>
        <v>0</v>
      </c>
      <c r="M145" s="555">
        <f ca="1">(IFERROR(IFERROR(VALUE(_xll.BDH(M$4,"PE_RATIO",$B145,$B145)),VALUE(_xll.BDH(M$4,"PE_RATIO",$B145+1,$B145+1))),M146))</f>
        <v>0</v>
      </c>
      <c r="N145" s="555">
        <f ca="1">(IFERROR(IFERROR(VALUE(_xll.BDH(N$4,"PE_RATIO",$B145,$B145)),VALUE(_xll.BDH(N$4,"PE_RATIO",$B145+1,$B145+1))),N146))</f>
        <v>0</v>
      </c>
      <c r="O145" s="555">
        <f ca="1">(IFERROR(IFERROR(VALUE(_xll.BDH(O$4,"PE_RATIO",$B145,$B145)),VALUE(_xll.BDH(O$4,"PE_RATIO",$B145+1,$B145+1))),O146))</f>
        <v>0</v>
      </c>
      <c r="P145" s="555"/>
      <c r="Q145" s="559">
        <f t="shared" ca="1" si="46"/>
        <v>44974</v>
      </c>
      <c r="R145" s="4">
        <v>71.81</v>
      </c>
      <c r="S145" s="4">
        <v>104165.74</v>
      </c>
      <c r="T145" s="4">
        <v>0</v>
      </c>
      <c r="U145" s="4">
        <v>0.74414507772020733</v>
      </c>
      <c r="V145" s="4">
        <v>0.96114825789944025</v>
      </c>
      <c r="W145" s="4" t="e">
        <v>#DIV/0!</v>
      </c>
      <c r="Y145" s="555">
        <f t="shared" si="47"/>
        <v>71.81</v>
      </c>
      <c r="Z145" s="4">
        <f ca="1">IFERROR(VALUE(_xll.BDH(Z$4,"PX_LAST",$Q145,$Q145)),Z146)</f>
        <v>0</v>
      </c>
      <c r="AA145" s="4">
        <f ca="1">IFERROR(VALUE(_xll.BDH(AA$4,"PX_LAST",$Q145,$Q145)),AA146)</f>
        <v>0</v>
      </c>
      <c r="AB145" s="4">
        <f ca="1">IFERROR(VALUE(_xll.BDH(AB$4,"PX_LAST",$Q145,$Q145)),AB146)</f>
        <v>0</v>
      </c>
      <c r="AC145" s="4">
        <f ca="1">IFERROR(VALUE(_xll.BDH(AC$4,"PX_LAST",$Q145,$Q145)),AC146)</f>
        <v>0</v>
      </c>
      <c r="AD145" s="4">
        <f ca="1">IFERROR(VALUE(_xll.BDH(AD$4,"PX_LAST",$Q145,$Q145)),AD146)</f>
        <v>0</v>
      </c>
      <c r="AF145" s="4">
        <f t="shared" si="48"/>
        <v>0.74414507772020733</v>
      </c>
      <c r="AG145" s="4" t="e">
        <f t="shared" ca="1" si="49"/>
        <v>#DIV/0!</v>
      </c>
      <c r="AH145" s="4" t="e">
        <f t="shared" ca="1" si="50"/>
        <v>#DIV/0!</v>
      </c>
      <c r="AI145" s="4" t="e">
        <f t="shared" ca="1" si="51"/>
        <v>#DIV/0!</v>
      </c>
      <c r="AJ145" s="4" t="e">
        <f t="shared" ca="1" si="52"/>
        <v>#DIV/0!</v>
      </c>
      <c r="AK145" s="4" t="e">
        <f t="shared" ca="1" si="53"/>
        <v>#DIV/0!</v>
      </c>
      <c r="AM145" s="557">
        <f t="shared" ca="1" si="54"/>
        <v>45813</v>
      </c>
      <c r="AN145" s="558">
        <v>27.57</v>
      </c>
      <c r="AO145" s="558">
        <v>2002600</v>
      </c>
      <c r="AP145" s="558">
        <v>206.48981000000001</v>
      </c>
      <c r="AQ145" s="558">
        <v>5692.9240617000005</v>
      </c>
      <c r="AR145" s="558">
        <v>0.40939999999999999</v>
      </c>
    </row>
    <row r="146" spans="2:44">
      <c r="B146" s="559">
        <f t="shared" ca="1" si="55"/>
        <v>44967</v>
      </c>
      <c r="C146" s="555">
        <f ca="1">(IFERROR(IFERROR(VALUE(_xll.BDH(C$4,"CURRENT_EV_TO_T12M_EBITDA",$B146,$B146)),VALUE(_xll.BDH(C$4,"CURRENT_EV_TO_T12M_EBITDA",$B146+1,$B146+1))),C147))</f>
        <v>0</v>
      </c>
      <c r="D146" s="555">
        <f ca="1">(IFERROR(IFERROR(VALUE(_xll.BDH(D$4,"CURRENT_EV_TO_T12M_EBITDA",$B146,$B146)),VALUE(_xll.BDH(D$4,"CURRENT_EV_TO_T12M_EBITDA",$B146+1,$B146+1))),D147))</f>
        <v>0</v>
      </c>
      <c r="E146" s="555">
        <f ca="1">(IFERROR(IFERROR(VALUE(_xll.BDH(E$4,"CURRENT_EV_TO_T12M_EBITDA",$B146,$B146)),VALUE(_xll.BDH(E$4,"CURRENT_EV_TO_T12M_EBITDA",$B146+1,$B146+1))),E147))</f>
        <v>0</v>
      </c>
      <c r="F146" s="555">
        <f ca="1">(IFERROR(IFERROR(VALUE(_xll.BDH(F$4,"CURRENT_EV_TO_T12M_EBITDA",$B146,$B146)),VALUE(_xll.BDH(F$4,"CURRENT_EV_TO_T12M_EBITDA",$B146+1,$B146+1))),F147))</f>
        <v>0</v>
      </c>
      <c r="G146" s="555">
        <f ca="1">(IFERROR(IFERROR(VALUE(_xll.BDH(G$4,"CURRENT_EV_TO_T12M_EBITDA",$B146,$B146)),VALUE(_xll.BDH(G$4,"CURRENT_EV_TO_T12M_EBITDA",$B146+1,$B146+1))),G147))</f>
        <v>0</v>
      </c>
      <c r="H146" s="555">
        <f ca="1">(IFERROR(IFERROR(VALUE(_xll.BDH(H$4,"CURRENT_EV_TO_T12M_EBITDA",$B146,$B146)),VALUE(_xll.BDH(H$4,"CURRENT_EV_TO_T12M_EBITDA",$B146+1,$B146+1))),H147))</f>
        <v>0</v>
      </c>
      <c r="I146" s="559">
        <f t="shared" ca="1" si="45"/>
        <v>44967</v>
      </c>
      <c r="J146" s="555">
        <f ca="1">(IFERROR(IFERROR(VALUE(_xll.BDH(J$4,"PE_RATIO",$B146,$B146)),VALUE(_xll.BDH(J$4,"PE_RATIO",$B146+1,$B146+1))),J147))</f>
        <v>0</v>
      </c>
      <c r="K146" s="555">
        <f ca="1">(IFERROR(IFERROR(VALUE(_xll.BDH(K$4,"PE_RATIO",$B146,$B146)),VALUE(_xll.BDH(K$4,"PE_RATIO",$B146+1,$B146+1))),K147))</f>
        <v>0</v>
      </c>
      <c r="L146" s="555">
        <f ca="1">(IFERROR(IFERROR(VALUE(_xll.BDH(L$4,"PE_RATIO",$B146,$B146)),VALUE(_xll.BDH(L$4,"PE_RATIO",$B146+1,$B146+1))),L147))</f>
        <v>0</v>
      </c>
      <c r="M146" s="555">
        <f ca="1">(IFERROR(IFERROR(VALUE(_xll.BDH(M$4,"PE_RATIO",$B146,$B146)),VALUE(_xll.BDH(M$4,"PE_RATIO",$B146+1,$B146+1))),M147))</f>
        <v>0</v>
      </c>
      <c r="N146" s="555">
        <f ca="1">(IFERROR(IFERROR(VALUE(_xll.BDH(N$4,"PE_RATIO",$B146,$B146)),VALUE(_xll.BDH(N$4,"PE_RATIO",$B146+1,$B146+1))),N147))</f>
        <v>0</v>
      </c>
      <c r="O146" s="555">
        <f ca="1">(IFERROR(IFERROR(VALUE(_xll.BDH(O$4,"PE_RATIO",$B146,$B146)),VALUE(_xll.BDH(O$4,"PE_RATIO",$B146+1,$B146+1))),O147))</f>
        <v>0</v>
      </c>
      <c r="P146" s="555"/>
      <c r="Q146" s="559">
        <f t="shared" ca="1" si="46"/>
        <v>44967</v>
      </c>
      <c r="R146" s="4">
        <v>76.569999999999993</v>
      </c>
      <c r="S146" s="4">
        <v>108578.2</v>
      </c>
      <c r="T146" s="4">
        <v>0</v>
      </c>
      <c r="U146" s="4">
        <v>0.79347150259067345</v>
      </c>
      <c r="V146" s="4">
        <v>1.0018624912169489</v>
      </c>
      <c r="W146" s="4" t="e">
        <v>#DIV/0!</v>
      </c>
      <c r="Y146" s="555">
        <f t="shared" si="47"/>
        <v>76.569999999999993</v>
      </c>
      <c r="Z146" s="4">
        <f ca="1">IFERROR(VALUE(_xll.BDH(Z$4,"PX_LAST",$Q146,$Q146)),Z147)</f>
        <v>0</v>
      </c>
      <c r="AA146" s="4">
        <f ca="1">IFERROR(VALUE(_xll.BDH(AA$4,"PX_LAST",$Q146,$Q146)),AA147)</f>
        <v>0</v>
      </c>
      <c r="AB146" s="4">
        <f ca="1">IFERROR(VALUE(_xll.BDH(AB$4,"PX_LAST",$Q146,$Q146)),AB147)</f>
        <v>0</v>
      </c>
      <c r="AC146" s="4">
        <f ca="1">IFERROR(VALUE(_xll.BDH(AC$4,"PX_LAST",$Q146,$Q146)),AC147)</f>
        <v>0</v>
      </c>
      <c r="AD146" s="4">
        <f ca="1">IFERROR(VALUE(_xll.BDH(AD$4,"PX_LAST",$Q146,$Q146)),AD147)</f>
        <v>0</v>
      </c>
      <c r="AF146" s="4">
        <f t="shared" si="48"/>
        <v>0.79347150259067345</v>
      </c>
      <c r="AG146" s="4" t="e">
        <f t="shared" ca="1" si="49"/>
        <v>#DIV/0!</v>
      </c>
      <c r="AH146" s="4" t="e">
        <f t="shared" ca="1" si="50"/>
        <v>#DIV/0!</v>
      </c>
      <c r="AI146" s="4" t="e">
        <f t="shared" ca="1" si="51"/>
        <v>#DIV/0!</v>
      </c>
      <c r="AJ146" s="4" t="e">
        <f t="shared" ca="1" si="52"/>
        <v>#DIV/0!</v>
      </c>
      <c r="AK146" s="4" t="e">
        <f t="shared" ca="1" si="53"/>
        <v>#DIV/0!</v>
      </c>
      <c r="AM146" s="557">
        <f t="shared" ca="1" si="54"/>
        <v>45812</v>
      </c>
      <c r="AN146" s="558">
        <v>27.57</v>
      </c>
      <c r="AO146" s="558">
        <v>2002600</v>
      </c>
      <c r="AP146" s="558">
        <v>206.48981000000001</v>
      </c>
      <c r="AQ146" s="558">
        <v>5692.9240617000005</v>
      </c>
      <c r="AR146" s="558">
        <v>0.40939999999999999</v>
      </c>
    </row>
    <row r="147" spans="2:44">
      <c r="B147" s="559">
        <f t="shared" ca="1" si="55"/>
        <v>44960</v>
      </c>
      <c r="C147" s="555">
        <f ca="1">(IFERROR(IFERROR(VALUE(_xll.BDH(C$4,"CURRENT_EV_TO_T12M_EBITDA",$B147,$B147)),VALUE(_xll.BDH(C$4,"CURRENT_EV_TO_T12M_EBITDA",$B147+1,$B147+1))),C148))</f>
        <v>0</v>
      </c>
      <c r="D147" s="555">
        <f ca="1">(IFERROR(IFERROR(VALUE(_xll.BDH(D$4,"CURRENT_EV_TO_T12M_EBITDA",$B147,$B147)),VALUE(_xll.BDH(D$4,"CURRENT_EV_TO_T12M_EBITDA",$B147+1,$B147+1))),D148))</f>
        <v>0</v>
      </c>
      <c r="E147" s="555">
        <f ca="1">(IFERROR(IFERROR(VALUE(_xll.BDH(E$4,"CURRENT_EV_TO_T12M_EBITDA",$B147,$B147)),VALUE(_xll.BDH(E$4,"CURRENT_EV_TO_T12M_EBITDA",$B147+1,$B147+1))),E148))</f>
        <v>0</v>
      </c>
      <c r="F147" s="555">
        <f ca="1">(IFERROR(IFERROR(VALUE(_xll.BDH(F$4,"CURRENT_EV_TO_T12M_EBITDA",$B147,$B147)),VALUE(_xll.BDH(F$4,"CURRENT_EV_TO_T12M_EBITDA",$B147+1,$B147+1))),F148))</f>
        <v>0</v>
      </c>
      <c r="G147" s="555">
        <f ca="1">(IFERROR(IFERROR(VALUE(_xll.BDH(G$4,"CURRENT_EV_TO_T12M_EBITDA",$B147,$B147)),VALUE(_xll.BDH(G$4,"CURRENT_EV_TO_T12M_EBITDA",$B147+1,$B147+1))),G148))</f>
        <v>0</v>
      </c>
      <c r="H147" s="555">
        <f ca="1">(IFERROR(IFERROR(VALUE(_xll.BDH(H$4,"CURRENT_EV_TO_T12M_EBITDA",$B147,$B147)),VALUE(_xll.BDH(H$4,"CURRENT_EV_TO_T12M_EBITDA",$B147+1,$B147+1))),H148))</f>
        <v>0</v>
      </c>
      <c r="I147" s="559">
        <f t="shared" ca="1" si="45"/>
        <v>44960</v>
      </c>
      <c r="J147" s="555">
        <f ca="1">(IFERROR(IFERROR(VALUE(_xll.BDH(J$4,"PE_RATIO",$B147,$B147)),VALUE(_xll.BDH(J$4,"PE_RATIO",$B147+1,$B147+1))),J148))</f>
        <v>0</v>
      </c>
      <c r="K147" s="555">
        <f ca="1">(IFERROR(IFERROR(VALUE(_xll.BDH(K$4,"PE_RATIO",$B147,$B147)),VALUE(_xll.BDH(K$4,"PE_RATIO",$B147+1,$B147+1))),K148))</f>
        <v>0</v>
      </c>
      <c r="L147" s="555">
        <f ca="1">(IFERROR(IFERROR(VALUE(_xll.BDH(L$4,"PE_RATIO",$B147,$B147)),VALUE(_xll.BDH(L$4,"PE_RATIO",$B147+1,$B147+1))),L148))</f>
        <v>0</v>
      </c>
      <c r="M147" s="555">
        <f ca="1">(IFERROR(IFERROR(VALUE(_xll.BDH(M$4,"PE_RATIO",$B147,$B147)),VALUE(_xll.BDH(M$4,"PE_RATIO",$B147+1,$B147+1))),M148))</f>
        <v>0</v>
      </c>
      <c r="N147" s="555">
        <f ca="1">(IFERROR(IFERROR(VALUE(_xll.BDH(N$4,"PE_RATIO",$B147,$B147)),VALUE(_xll.BDH(N$4,"PE_RATIO",$B147+1,$B147+1))),N148))</f>
        <v>0</v>
      </c>
      <c r="O147" s="555">
        <f ca="1">(IFERROR(IFERROR(VALUE(_xll.BDH(O$4,"PE_RATIO",$B147,$B147)),VALUE(_xll.BDH(O$4,"PE_RATIO",$B147+1,$B147+1))),O148))</f>
        <v>0</v>
      </c>
      <c r="P147" s="555"/>
      <c r="Q147" s="559">
        <f t="shared" ca="1" si="46"/>
        <v>44960</v>
      </c>
      <c r="R147" s="4">
        <v>80.2</v>
      </c>
      <c r="S147" s="4">
        <v>106864.11</v>
      </c>
      <c r="T147" s="4">
        <v>0</v>
      </c>
      <c r="U147" s="4">
        <v>0.83108808290155445</v>
      </c>
      <c r="V147" s="4">
        <v>0.98604640219014572</v>
      </c>
      <c r="W147" s="4" t="e">
        <v>#DIV/0!</v>
      </c>
      <c r="Y147" s="555">
        <f t="shared" si="47"/>
        <v>80.2</v>
      </c>
      <c r="Z147" s="4">
        <f ca="1">IFERROR(VALUE(_xll.BDH(Z$4,"PX_LAST",$Q147,$Q147)),Z148)</f>
        <v>0</v>
      </c>
      <c r="AA147" s="4">
        <f ca="1">IFERROR(VALUE(_xll.BDH(AA$4,"PX_LAST",$Q147,$Q147)),AA148)</f>
        <v>0</v>
      </c>
      <c r="AB147" s="4">
        <f ca="1">IFERROR(VALUE(_xll.BDH(AB$4,"PX_LAST",$Q147,$Q147)),AB148)</f>
        <v>0</v>
      </c>
      <c r="AC147" s="4">
        <f ca="1">IFERROR(VALUE(_xll.BDH(AC$4,"PX_LAST",$Q147,$Q147)),AC148)</f>
        <v>0</v>
      </c>
      <c r="AD147" s="4">
        <f ca="1">IFERROR(VALUE(_xll.BDH(AD$4,"PX_LAST",$Q147,$Q147)),AD148)</f>
        <v>0</v>
      </c>
      <c r="AF147" s="4">
        <f t="shared" si="48"/>
        <v>0.83108808290155445</v>
      </c>
      <c r="AG147" s="4" t="e">
        <f t="shared" ca="1" si="49"/>
        <v>#DIV/0!</v>
      </c>
      <c r="AH147" s="4" t="e">
        <f t="shared" ca="1" si="50"/>
        <v>#DIV/0!</v>
      </c>
      <c r="AI147" s="4" t="e">
        <f t="shared" ca="1" si="51"/>
        <v>#DIV/0!</v>
      </c>
      <c r="AJ147" s="4" t="e">
        <f t="shared" ca="1" si="52"/>
        <v>#DIV/0!</v>
      </c>
      <c r="AK147" s="4" t="e">
        <f t="shared" ca="1" si="53"/>
        <v>#DIV/0!</v>
      </c>
      <c r="AM147" s="557">
        <f t="shared" ca="1" si="54"/>
        <v>45811</v>
      </c>
      <c r="AN147" s="558">
        <v>27.57</v>
      </c>
      <c r="AO147" s="558">
        <v>2002600</v>
      </c>
      <c r="AP147" s="558">
        <v>206.48981000000001</v>
      </c>
      <c r="AQ147" s="558">
        <v>5692.9240617000005</v>
      </c>
      <c r="AR147" s="558">
        <v>0.40939999999999999</v>
      </c>
    </row>
    <row r="148" spans="2:44">
      <c r="B148" s="559">
        <f t="shared" ca="1" si="55"/>
        <v>44953</v>
      </c>
      <c r="C148" s="555">
        <f ca="1">(IFERROR(IFERROR(VALUE(_xll.BDH(C$4,"CURRENT_EV_TO_T12M_EBITDA",$B148,$B148)),VALUE(_xll.BDH(C$4,"CURRENT_EV_TO_T12M_EBITDA",$B148+1,$B148+1))),C149))</f>
        <v>0</v>
      </c>
      <c r="D148" s="555">
        <f ca="1">(IFERROR(IFERROR(VALUE(_xll.BDH(D$4,"CURRENT_EV_TO_T12M_EBITDA",$B148,$B148)),VALUE(_xll.BDH(D$4,"CURRENT_EV_TO_T12M_EBITDA",$B148+1,$B148+1))),D149))</f>
        <v>0</v>
      </c>
      <c r="E148" s="555">
        <f ca="1">(IFERROR(IFERROR(VALUE(_xll.BDH(E$4,"CURRENT_EV_TO_T12M_EBITDA",$B148,$B148)),VALUE(_xll.BDH(E$4,"CURRENT_EV_TO_T12M_EBITDA",$B148+1,$B148+1))),E149))</f>
        <v>0</v>
      </c>
      <c r="F148" s="555">
        <f ca="1">(IFERROR(IFERROR(VALUE(_xll.BDH(F$4,"CURRENT_EV_TO_T12M_EBITDA",$B148,$B148)),VALUE(_xll.BDH(F$4,"CURRENT_EV_TO_T12M_EBITDA",$B148+1,$B148+1))),F149))</f>
        <v>0</v>
      </c>
      <c r="G148" s="555">
        <f ca="1">(IFERROR(IFERROR(VALUE(_xll.BDH(G$4,"CURRENT_EV_TO_T12M_EBITDA",$B148,$B148)),VALUE(_xll.BDH(G$4,"CURRENT_EV_TO_T12M_EBITDA",$B148+1,$B148+1))),G149))</f>
        <v>0</v>
      </c>
      <c r="H148" s="555">
        <f ca="1">(IFERROR(IFERROR(VALUE(_xll.BDH(H$4,"CURRENT_EV_TO_T12M_EBITDA",$B148,$B148)),VALUE(_xll.BDH(H$4,"CURRENT_EV_TO_T12M_EBITDA",$B148+1,$B148+1))),H149))</f>
        <v>0</v>
      </c>
      <c r="I148" s="559">
        <f t="shared" ca="1" si="45"/>
        <v>44953</v>
      </c>
      <c r="J148" s="555">
        <f ca="1">(IFERROR(IFERROR(VALUE(_xll.BDH(J$4,"PE_RATIO",$B148,$B148)),VALUE(_xll.BDH(J$4,"PE_RATIO",$B148+1,$B148+1))),J149))</f>
        <v>0</v>
      </c>
      <c r="K148" s="555">
        <f ca="1">(IFERROR(IFERROR(VALUE(_xll.BDH(K$4,"PE_RATIO",$B148,$B148)),VALUE(_xll.BDH(K$4,"PE_RATIO",$B148+1,$B148+1))),K149))</f>
        <v>0</v>
      </c>
      <c r="L148" s="555">
        <f ca="1">(IFERROR(IFERROR(VALUE(_xll.BDH(L$4,"PE_RATIO",$B148,$B148)),VALUE(_xll.BDH(L$4,"PE_RATIO",$B148+1,$B148+1))),L149))</f>
        <v>0</v>
      </c>
      <c r="M148" s="555">
        <f ca="1">(IFERROR(IFERROR(VALUE(_xll.BDH(M$4,"PE_RATIO",$B148,$B148)),VALUE(_xll.BDH(M$4,"PE_RATIO",$B148+1,$B148+1))),M149))</f>
        <v>0</v>
      </c>
      <c r="N148" s="555">
        <f ca="1">(IFERROR(IFERROR(VALUE(_xll.BDH(N$4,"PE_RATIO",$B148,$B148)),VALUE(_xll.BDH(N$4,"PE_RATIO",$B148+1,$B148+1))),N149))</f>
        <v>0</v>
      </c>
      <c r="O148" s="555">
        <f ca="1">(IFERROR(IFERROR(VALUE(_xll.BDH(O$4,"PE_RATIO",$B148,$B148)),VALUE(_xll.BDH(O$4,"PE_RATIO",$B148+1,$B148+1))),O149))</f>
        <v>0</v>
      </c>
      <c r="P148" s="555"/>
      <c r="Q148" s="559">
        <f t="shared" ca="1" si="46"/>
        <v>44953</v>
      </c>
      <c r="R148" s="4">
        <v>75.650000000000006</v>
      </c>
      <c r="S148" s="4">
        <v>103539.67</v>
      </c>
      <c r="T148" s="4">
        <v>0</v>
      </c>
      <c r="U148" s="4">
        <v>0.78393782383419697</v>
      </c>
      <c r="V148" s="4">
        <v>0.95537144404660235</v>
      </c>
      <c r="W148" s="4" t="e">
        <v>#DIV/0!</v>
      </c>
      <c r="Y148" s="555">
        <f t="shared" si="47"/>
        <v>75.650000000000006</v>
      </c>
      <c r="Z148" s="4">
        <f ca="1">IFERROR(VALUE(_xll.BDH(Z$4,"PX_LAST",$Q148,$Q148)),Z149)</f>
        <v>0</v>
      </c>
      <c r="AA148" s="4">
        <f ca="1">IFERROR(VALUE(_xll.BDH(AA$4,"PX_LAST",$Q148,$Q148)),AA149)</f>
        <v>0</v>
      </c>
      <c r="AB148" s="4">
        <f ca="1">IFERROR(VALUE(_xll.BDH(AB$4,"PX_LAST",$Q148,$Q148)),AB149)</f>
        <v>0</v>
      </c>
      <c r="AC148" s="4">
        <f ca="1">IFERROR(VALUE(_xll.BDH(AC$4,"PX_LAST",$Q148,$Q148)),AC149)</f>
        <v>0</v>
      </c>
      <c r="AD148" s="4">
        <f ca="1">IFERROR(VALUE(_xll.BDH(AD$4,"PX_LAST",$Q148,$Q148)),AD149)</f>
        <v>0</v>
      </c>
      <c r="AF148" s="4">
        <f t="shared" si="48"/>
        <v>0.78393782383419697</v>
      </c>
      <c r="AG148" s="4" t="e">
        <f t="shared" ca="1" si="49"/>
        <v>#DIV/0!</v>
      </c>
      <c r="AH148" s="4" t="e">
        <f t="shared" ca="1" si="50"/>
        <v>#DIV/0!</v>
      </c>
      <c r="AI148" s="4" t="e">
        <f t="shared" ca="1" si="51"/>
        <v>#DIV/0!</v>
      </c>
      <c r="AJ148" s="4" t="e">
        <f t="shared" ca="1" si="52"/>
        <v>#DIV/0!</v>
      </c>
      <c r="AK148" s="4" t="e">
        <f t="shared" ca="1" si="53"/>
        <v>#DIV/0!</v>
      </c>
      <c r="AM148" s="557">
        <f t="shared" ca="1" si="54"/>
        <v>45810</v>
      </c>
      <c r="AN148" s="558">
        <v>27.57</v>
      </c>
      <c r="AO148" s="558">
        <v>2002600</v>
      </c>
      <c r="AP148" s="558">
        <v>206.48981000000001</v>
      </c>
      <c r="AQ148" s="558">
        <v>5692.9240617000005</v>
      </c>
      <c r="AR148" s="558">
        <v>0.40939999999999999</v>
      </c>
    </row>
    <row r="149" spans="2:44">
      <c r="B149" s="559">
        <f t="shared" ca="1" si="55"/>
        <v>44946</v>
      </c>
      <c r="C149" s="555">
        <f ca="1">(IFERROR(IFERROR(VALUE(_xll.BDH(C$4,"CURRENT_EV_TO_T12M_EBITDA",$B149,$B149)),VALUE(_xll.BDH(C$4,"CURRENT_EV_TO_T12M_EBITDA",$B149+1,$B149+1))),C150))</f>
        <v>0</v>
      </c>
      <c r="D149" s="555">
        <f ca="1">(IFERROR(IFERROR(VALUE(_xll.BDH(D$4,"CURRENT_EV_TO_T12M_EBITDA",$B149,$B149)),VALUE(_xll.BDH(D$4,"CURRENT_EV_TO_T12M_EBITDA",$B149+1,$B149+1))),D150))</f>
        <v>0</v>
      </c>
      <c r="E149" s="555">
        <f ca="1">(IFERROR(IFERROR(VALUE(_xll.BDH(E$4,"CURRENT_EV_TO_T12M_EBITDA",$B149,$B149)),VALUE(_xll.BDH(E$4,"CURRENT_EV_TO_T12M_EBITDA",$B149+1,$B149+1))),E150))</f>
        <v>0</v>
      </c>
      <c r="F149" s="555">
        <f ca="1">(IFERROR(IFERROR(VALUE(_xll.BDH(F$4,"CURRENT_EV_TO_T12M_EBITDA",$B149,$B149)),VALUE(_xll.BDH(F$4,"CURRENT_EV_TO_T12M_EBITDA",$B149+1,$B149+1))),F150))</f>
        <v>0</v>
      </c>
      <c r="G149" s="555">
        <f ca="1">(IFERROR(IFERROR(VALUE(_xll.BDH(G$4,"CURRENT_EV_TO_T12M_EBITDA",$B149,$B149)),VALUE(_xll.BDH(G$4,"CURRENT_EV_TO_T12M_EBITDA",$B149+1,$B149+1))),G150))</f>
        <v>0</v>
      </c>
      <c r="H149" s="555">
        <f ca="1">(IFERROR(IFERROR(VALUE(_xll.BDH(H$4,"CURRENT_EV_TO_T12M_EBITDA",$B149,$B149)),VALUE(_xll.BDH(H$4,"CURRENT_EV_TO_T12M_EBITDA",$B149+1,$B149+1))),H150))</f>
        <v>0</v>
      </c>
      <c r="I149" s="559">
        <f t="shared" ca="1" si="45"/>
        <v>44946</v>
      </c>
      <c r="J149" s="555">
        <f ca="1">(IFERROR(IFERROR(VALUE(_xll.BDH(J$4,"PE_RATIO",$B149,$B149)),VALUE(_xll.BDH(J$4,"PE_RATIO",$B149+1,$B149+1))),J150))</f>
        <v>0</v>
      </c>
      <c r="K149" s="555">
        <f ca="1">(IFERROR(IFERROR(VALUE(_xll.BDH(K$4,"PE_RATIO",$B149,$B149)),VALUE(_xll.BDH(K$4,"PE_RATIO",$B149+1,$B149+1))),K150))</f>
        <v>0</v>
      </c>
      <c r="L149" s="555">
        <f ca="1">(IFERROR(IFERROR(VALUE(_xll.BDH(L$4,"PE_RATIO",$B149,$B149)),VALUE(_xll.BDH(L$4,"PE_RATIO",$B149+1,$B149+1))),L150))</f>
        <v>0</v>
      </c>
      <c r="M149" s="555">
        <f ca="1">(IFERROR(IFERROR(VALUE(_xll.BDH(M$4,"PE_RATIO",$B149,$B149)),VALUE(_xll.BDH(M$4,"PE_RATIO",$B149+1,$B149+1))),M150))</f>
        <v>0</v>
      </c>
      <c r="N149" s="555">
        <f ca="1">(IFERROR(IFERROR(VALUE(_xll.BDH(N$4,"PE_RATIO",$B149,$B149)),VALUE(_xll.BDH(N$4,"PE_RATIO",$B149+1,$B149+1))),N150))</f>
        <v>0</v>
      </c>
      <c r="O149" s="555">
        <f ca="1">(IFERROR(IFERROR(VALUE(_xll.BDH(O$4,"PE_RATIO",$B149,$B149)),VALUE(_xll.BDH(O$4,"PE_RATIO",$B149+1,$B149+1))),O150))</f>
        <v>0</v>
      </c>
      <c r="P149" s="555"/>
      <c r="Q149" s="559">
        <f t="shared" ca="1" si="46"/>
        <v>44946</v>
      </c>
      <c r="R149" s="4">
        <v>83.5</v>
      </c>
      <c r="S149" s="4">
        <v>110188.57</v>
      </c>
      <c r="T149" s="4">
        <v>0</v>
      </c>
      <c r="U149" s="4">
        <v>0.86528497409326421</v>
      </c>
      <c r="V149" s="4">
        <v>1.0167215448757962</v>
      </c>
      <c r="W149" s="4" t="e">
        <v>#DIV/0!</v>
      </c>
      <c r="Y149" s="555">
        <f t="shared" si="47"/>
        <v>83.5</v>
      </c>
      <c r="Z149" s="4">
        <f ca="1">IFERROR(VALUE(_xll.BDH(Z$4,"PX_LAST",$Q149,$Q149)),Z150)</f>
        <v>0</v>
      </c>
      <c r="AA149" s="4">
        <f ca="1">IFERROR(VALUE(_xll.BDH(AA$4,"PX_LAST",$Q149,$Q149)),AA150)</f>
        <v>0</v>
      </c>
      <c r="AB149" s="4">
        <f ca="1">IFERROR(VALUE(_xll.BDH(AB$4,"PX_LAST",$Q149,$Q149)),AB150)</f>
        <v>0</v>
      </c>
      <c r="AC149" s="4">
        <f ca="1">IFERROR(VALUE(_xll.BDH(AC$4,"PX_LAST",$Q149,$Q149)),AC150)</f>
        <v>0</v>
      </c>
      <c r="AD149" s="4">
        <f ca="1">IFERROR(VALUE(_xll.BDH(AD$4,"PX_LAST",$Q149,$Q149)),AD150)</f>
        <v>0</v>
      </c>
      <c r="AF149" s="4">
        <f t="shared" si="48"/>
        <v>0.86528497409326421</v>
      </c>
      <c r="AG149" s="4" t="e">
        <f t="shared" ca="1" si="49"/>
        <v>#DIV/0!</v>
      </c>
      <c r="AH149" s="4" t="e">
        <f t="shared" ca="1" si="50"/>
        <v>#DIV/0!</v>
      </c>
      <c r="AI149" s="4" t="e">
        <f t="shared" ca="1" si="51"/>
        <v>#DIV/0!</v>
      </c>
      <c r="AJ149" s="4" t="e">
        <f t="shared" ca="1" si="52"/>
        <v>#DIV/0!</v>
      </c>
      <c r="AK149" s="4" t="e">
        <f t="shared" ca="1" si="53"/>
        <v>#DIV/0!</v>
      </c>
      <c r="AM149" s="557">
        <f t="shared" ca="1" si="54"/>
        <v>45809</v>
      </c>
      <c r="AN149" s="558">
        <v>27.57</v>
      </c>
      <c r="AO149" s="558">
        <v>2002600</v>
      </c>
      <c r="AP149" s="558">
        <v>206.48981000000001</v>
      </c>
      <c r="AQ149" s="558">
        <v>5692.9240617000005</v>
      </c>
      <c r="AR149" s="558">
        <v>0.40939999999999999</v>
      </c>
    </row>
    <row r="150" spans="2:44">
      <c r="B150" s="559">
        <f t="shared" ca="1" si="55"/>
        <v>44939</v>
      </c>
      <c r="C150" s="555">
        <f ca="1">(IFERROR(IFERROR(VALUE(_xll.BDH(C$4,"CURRENT_EV_TO_T12M_EBITDA",$B150,$B150)),VALUE(_xll.BDH(C$4,"CURRENT_EV_TO_T12M_EBITDA",$B150+1,$B150+1))),C151))</f>
        <v>0</v>
      </c>
      <c r="D150" s="555">
        <f ca="1">(IFERROR(IFERROR(VALUE(_xll.BDH(D$4,"CURRENT_EV_TO_T12M_EBITDA",$B150,$B150)),VALUE(_xll.BDH(D$4,"CURRENT_EV_TO_T12M_EBITDA",$B150+1,$B150+1))),D151))</f>
        <v>0</v>
      </c>
      <c r="E150" s="555">
        <f ca="1">(IFERROR(IFERROR(VALUE(_xll.BDH(E$4,"CURRENT_EV_TO_T12M_EBITDA",$B150,$B150)),VALUE(_xll.BDH(E$4,"CURRENT_EV_TO_T12M_EBITDA",$B150+1,$B150+1))),E151))</f>
        <v>0</v>
      </c>
      <c r="F150" s="555">
        <f ca="1">(IFERROR(IFERROR(VALUE(_xll.BDH(F$4,"CURRENT_EV_TO_T12M_EBITDA",$B150,$B150)),VALUE(_xll.BDH(F$4,"CURRENT_EV_TO_T12M_EBITDA",$B150+1,$B150+1))),F151))</f>
        <v>0</v>
      </c>
      <c r="G150" s="555">
        <f ca="1">(IFERROR(IFERROR(VALUE(_xll.BDH(G$4,"CURRENT_EV_TO_T12M_EBITDA",$B150,$B150)),VALUE(_xll.BDH(G$4,"CURRENT_EV_TO_T12M_EBITDA",$B150+1,$B150+1))),G151))</f>
        <v>0</v>
      </c>
      <c r="H150" s="555">
        <f ca="1">(IFERROR(IFERROR(VALUE(_xll.BDH(H$4,"CURRENT_EV_TO_T12M_EBITDA",$B150,$B150)),VALUE(_xll.BDH(H$4,"CURRENT_EV_TO_T12M_EBITDA",$B150+1,$B150+1))),H151))</f>
        <v>0</v>
      </c>
      <c r="I150" s="559">
        <f t="shared" ca="1" si="45"/>
        <v>44939</v>
      </c>
      <c r="J150" s="555">
        <f ca="1">(IFERROR(IFERROR(VALUE(_xll.BDH(J$4,"PE_RATIO",$B150,$B150)),VALUE(_xll.BDH(J$4,"PE_RATIO",$B150+1,$B150+1))),J151))</f>
        <v>0</v>
      </c>
      <c r="K150" s="555">
        <f ca="1">(IFERROR(IFERROR(VALUE(_xll.BDH(K$4,"PE_RATIO",$B150,$B150)),VALUE(_xll.BDH(K$4,"PE_RATIO",$B150+1,$B150+1))),K151))</f>
        <v>0</v>
      </c>
      <c r="L150" s="555">
        <f ca="1">(IFERROR(IFERROR(VALUE(_xll.BDH(L$4,"PE_RATIO",$B150,$B150)),VALUE(_xll.BDH(L$4,"PE_RATIO",$B150+1,$B150+1))),L151))</f>
        <v>0</v>
      </c>
      <c r="M150" s="555">
        <f ca="1">(IFERROR(IFERROR(VALUE(_xll.BDH(M$4,"PE_RATIO",$B150,$B150)),VALUE(_xll.BDH(M$4,"PE_RATIO",$B150+1,$B150+1))),M151))</f>
        <v>0</v>
      </c>
      <c r="N150" s="555">
        <f ca="1">(IFERROR(IFERROR(VALUE(_xll.BDH(N$4,"PE_RATIO",$B150,$B150)),VALUE(_xll.BDH(N$4,"PE_RATIO",$B150+1,$B150+1))),N151))</f>
        <v>0</v>
      </c>
      <c r="O150" s="555">
        <f ca="1">(IFERROR(IFERROR(VALUE(_xll.BDH(O$4,"PE_RATIO",$B150,$B150)),VALUE(_xll.BDH(O$4,"PE_RATIO",$B150+1,$B150+1))),O151))</f>
        <v>0</v>
      </c>
      <c r="P150" s="555"/>
      <c r="Q150" s="559">
        <f t="shared" ca="1" si="46"/>
        <v>44939</v>
      </c>
      <c r="R150" s="4">
        <v>87.8</v>
      </c>
      <c r="S150" s="4">
        <v>110909.61</v>
      </c>
      <c r="T150" s="4">
        <v>0</v>
      </c>
      <c r="U150" s="4">
        <v>0.90984455958549215</v>
      </c>
      <c r="V150" s="4">
        <v>1.0233746569246889</v>
      </c>
      <c r="W150" s="4" t="e">
        <v>#DIV/0!</v>
      </c>
      <c r="Y150" s="555">
        <f t="shared" si="47"/>
        <v>87.8</v>
      </c>
      <c r="Z150" s="4">
        <f ca="1">IFERROR(VALUE(_xll.BDH(Z$4,"PX_LAST",$Q150,$Q150)),Z151)</f>
        <v>0</v>
      </c>
      <c r="AA150" s="4">
        <f ca="1">IFERROR(VALUE(_xll.BDH(AA$4,"PX_LAST",$Q150,$Q150)),AA151)</f>
        <v>0</v>
      </c>
      <c r="AB150" s="4">
        <f ca="1">IFERROR(VALUE(_xll.BDH(AB$4,"PX_LAST",$Q150,$Q150)),AB151)</f>
        <v>0</v>
      </c>
      <c r="AC150" s="4">
        <f ca="1">IFERROR(VALUE(_xll.BDH(AC$4,"PX_LAST",$Q150,$Q150)),AC151)</f>
        <v>0</v>
      </c>
      <c r="AD150" s="4">
        <f ca="1">IFERROR(VALUE(_xll.BDH(AD$4,"PX_LAST",$Q150,$Q150)),AD151)</f>
        <v>0</v>
      </c>
      <c r="AF150" s="4">
        <f t="shared" si="48"/>
        <v>0.90984455958549215</v>
      </c>
      <c r="AG150" s="4" t="e">
        <f t="shared" ca="1" si="49"/>
        <v>#DIV/0!</v>
      </c>
      <c r="AH150" s="4" t="e">
        <f t="shared" ca="1" si="50"/>
        <v>#DIV/0!</v>
      </c>
      <c r="AI150" s="4" t="e">
        <f t="shared" ca="1" si="51"/>
        <v>#DIV/0!</v>
      </c>
      <c r="AJ150" s="4" t="e">
        <f t="shared" ca="1" si="52"/>
        <v>#DIV/0!</v>
      </c>
      <c r="AK150" s="4" t="e">
        <f t="shared" ca="1" si="53"/>
        <v>#DIV/0!</v>
      </c>
      <c r="AM150" s="557">
        <f t="shared" ca="1" si="54"/>
        <v>45808</v>
      </c>
      <c r="AN150" s="558">
        <v>27.204999999999998</v>
      </c>
      <c r="AO150" s="558">
        <v>2343100</v>
      </c>
      <c r="AP150" s="558">
        <v>206.48981000000001</v>
      </c>
      <c r="AQ150" s="558">
        <v>5617.5552810499994</v>
      </c>
      <c r="AR150" s="558">
        <v>0.4037</v>
      </c>
    </row>
    <row r="151" spans="2:44">
      <c r="B151" s="559">
        <f t="shared" ca="1" si="55"/>
        <v>44932</v>
      </c>
      <c r="C151" s="555">
        <f ca="1">(IFERROR(IFERROR(VALUE(_xll.BDH(C$4,"CURRENT_EV_TO_T12M_EBITDA",$B151,$B151)),VALUE(_xll.BDH(C$4,"CURRENT_EV_TO_T12M_EBITDA",$B151+1,$B151+1))),C152))</f>
        <v>0</v>
      </c>
      <c r="D151" s="555">
        <f ca="1">(IFERROR(IFERROR(VALUE(_xll.BDH(D$4,"CURRENT_EV_TO_T12M_EBITDA",$B151,$B151)),VALUE(_xll.BDH(D$4,"CURRENT_EV_TO_T12M_EBITDA",$B151+1,$B151+1))),D152))</f>
        <v>0</v>
      </c>
      <c r="E151" s="555">
        <f ca="1">(IFERROR(IFERROR(VALUE(_xll.BDH(E$4,"CURRENT_EV_TO_T12M_EBITDA",$B151,$B151)),VALUE(_xll.BDH(E$4,"CURRENT_EV_TO_T12M_EBITDA",$B151+1,$B151+1))),E152))</f>
        <v>0</v>
      </c>
      <c r="F151" s="555">
        <f ca="1">(IFERROR(IFERROR(VALUE(_xll.BDH(F$4,"CURRENT_EV_TO_T12M_EBITDA",$B151,$B151)),VALUE(_xll.BDH(F$4,"CURRENT_EV_TO_T12M_EBITDA",$B151+1,$B151+1))),F152))</f>
        <v>0</v>
      </c>
      <c r="G151" s="555">
        <f ca="1">(IFERROR(IFERROR(VALUE(_xll.BDH(G$4,"CURRENT_EV_TO_T12M_EBITDA",$B151,$B151)),VALUE(_xll.BDH(G$4,"CURRENT_EV_TO_T12M_EBITDA",$B151+1,$B151+1))),G152))</f>
        <v>0</v>
      </c>
      <c r="H151" s="555">
        <f ca="1">(IFERROR(IFERROR(VALUE(_xll.BDH(H$4,"CURRENT_EV_TO_T12M_EBITDA",$B151,$B151)),VALUE(_xll.BDH(H$4,"CURRENT_EV_TO_T12M_EBITDA",$B151+1,$B151+1))),H152))</f>
        <v>0</v>
      </c>
      <c r="I151" s="559">
        <f t="shared" ca="1" si="45"/>
        <v>44932</v>
      </c>
      <c r="J151" s="555">
        <f ca="1">(IFERROR(IFERROR(VALUE(_xll.BDH(J$4,"PE_RATIO",$B151,$B151)),VALUE(_xll.BDH(J$4,"PE_RATIO",$B151+1,$B151+1))),J152))</f>
        <v>0</v>
      </c>
      <c r="K151" s="555">
        <f ca="1">(IFERROR(IFERROR(VALUE(_xll.BDH(K$4,"PE_RATIO",$B151,$B151)),VALUE(_xll.BDH(K$4,"PE_RATIO",$B151+1,$B151+1))),K152))</f>
        <v>0</v>
      </c>
      <c r="L151" s="555">
        <f ca="1">(IFERROR(IFERROR(VALUE(_xll.BDH(L$4,"PE_RATIO",$B151,$B151)),VALUE(_xll.BDH(L$4,"PE_RATIO",$B151+1,$B151+1))),L152))</f>
        <v>0</v>
      </c>
      <c r="M151" s="555">
        <f ca="1">(IFERROR(IFERROR(VALUE(_xll.BDH(M$4,"PE_RATIO",$B151,$B151)),VALUE(_xll.BDH(M$4,"PE_RATIO",$B151+1,$B151+1))),M152))</f>
        <v>0</v>
      </c>
      <c r="N151" s="555">
        <f ca="1">(IFERROR(IFERROR(VALUE(_xll.BDH(N$4,"PE_RATIO",$B151,$B151)),VALUE(_xll.BDH(N$4,"PE_RATIO",$B151+1,$B151+1))),N152))</f>
        <v>0</v>
      </c>
      <c r="O151" s="555">
        <f ca="1">(IFERROR(IFERROR(VALUE(_xll.BDH(O$4,"PE_RATIO",$B151,$B151)),VALUE(_xll.BDH(O$4,"PE_RATIO",$B151+1,$B151+1))),O152))</f>
        <v>0</v>
      </c>
      <c r="P151" s="555"/>
      <c r="Q151" s="559">
        <f t="shared" ca="1" si="46"/>
        <v>44932</v>
      </c>
      <c r="R151" s="4">
        <v>88.89</v>
      </c>
      <c r="S151" s="4">
        <v>109036.54</v>
      </c>
      <c r="T151" s="4">
        <v>0</v>
      </c>
      <c r="U151" s="4">
        <v>0.92113989637305704</v>
      </c>
      <c r="V151" s="4">
        <v>1.0060916426877264</v>
      </c>
      <c r="W151" s="4" t="e">
        <v>#DIV/0!</v>
      </c>
      <c r="Y151" s="555">
        <f t="shared" si="47"/>
        <v>88.89</v>
      </c>
      <c r="Z151" s="4">
        <f ca="1">IFERROR(VALUE(_xll.BDH(Z$4,"PX_LAST",$Q151,$Q151)),Z152)</f>
        <v>0</v>
      </c>
      <c r="AA151" s="4">
        <f ca="1">IFERROR(VALUE(_xll.BDH(AA$4,"PX_LAST",$Q151,$Q151)),AA152)</f>
        <v>0</v>
      </c>
      <c r="AB151" s="4">
        <f ca="1">IFERROR(VALUE(_xll.BDH(AB$4,"PX_LAST",$Q151,$Q151)),AB152)</f>
        <v>0</v>
      </c>
      <c r="AC151" s="4">
        <f ca="1">IFERROR(VALUE(_xll.BDH(AC$4,"PX_LAST",$Q151,$Q151)),AC152)</f>
        <v>0</v>
      </c>
      <c r="AD151" s="4">
        <f ca="1">IFERROR(VALUE(_xll.BDH(AD$4,"PX_LAST",$Q151,$Q151)),AD152)</f>
        <v>0</v>
      </c>
      <c r="AF151" s="4">
        <f t="shared" si="48"/>
        <v>0.92113989637305704</v>
      </c>
      <c r="AG151" s="4" t="e">
        <f t="shared" ca="1" si="49"/>
        <v>#DIV/0!</v>
      </c>
      <c r="AH151" s="4" t="e">
        <f t="shared" ca="1" si="50"/>
        <v>#DIV/0!</v>
      </c>
      <c r="AI151" s="4" t="e">
        <f t="shared" ca="1" si="51"/>
        <v>#DIV/0!</v>
      </c>
      <c r="AJ151" s="4" t="e">
        <f t="shared" ca="1" si="52"/>
        <v>#DIV/0!</v>
      </c>
      <c r="AK151" s="4" t="e">
        <f t="shared" ca="1" si="53"/>
        <v>#DIV/0!</v>
      </c>
      <c r="AM151" s="557">
        <f t="shared" ca="1" si="54"/>
        <v>45807</v>
      </c>
      <c r="AN151" s="558">
        <v>27</v>
      </c>
      <c r="AO151" s="558">
        <v>1127500</v>
      </c>
      <c r="AP151" s="558">
        <v>206.48981000000001</v>
      </c>
      <c r="AQ151" s="558">
        <v>5575.22487</v>
      </c>
      <c r="AR151" s="558">
        <v>0.40050000000000002</v>
      </c>
    </row>
    <row r="152" spans="2:44">
      <c r="B152" s="559">
        <f t="shared" ca="1" si="55"/>
        <v>44925</v>
      </c>
      <c r="C152" s="555">
        <f ca="1">(IFERROR(IFERROR(VALUE(_xll.BDH(C$4,"CURRENT_EV_TO_T12M_EBITDA",$B152,$B152)),VALUE(_xll.BDH(C$4,"CURRENT_EV_TO_T12M_EBITDA",$B152+1,$B152+1))),C153))</f>
        <v>0</v>
      </c>
      <c r="D152" s="555">
        <f ca="1">(IFERROR(IFERROR(VALUE(_xll.BDH(D$4,"CURRENT_EV_TO_T12M_EBITDA",$B152,$B152)),VALUE(_xll.BDH(D$4,"CURRENT_EV_TO_T12M_EBITDA",$B152+1,$B152+1))),D153))</f>
        <v>0</v>
      </c>
      <c r="E152" s="555">
        <f ca="1">(IFERROR(IFERROR(VALUE(_xll.BDH(E$4,"CURRENT_EV_TO_T12M_EBITDA",$B152,$B152)),VALUE(_xll.BDH(E$4,"CURRENT_EV_TO_T12M_EBITDA",$B152+1,$B152+1))),E153))</f>
        <v>0</v>
      </c>
      <c r="F152" s="555">
        <f ca="1">(IFERROR(IFERROR(VALUE(_xll.BDH(F$4,"CURRENT_EV_TO_T12M_EBITDA",$B152,$B152)),VALUE(_xll.BDH(F$4,"CURRENT_EV_TO_T12M_EBITDA",$B152+1,$B152+1))),F153))</f>
        <v>0</v>
      </c>
      <c r="G152" s="555">
        <f ca="1">(IFERROR(IFERROR(VALUE(_xll.BDH(G$4,"CURRENT_EV_TO_T12M_EBITDA",$B152,$B152)),VALUE(_xll.BDH(G$4,"CURRENT_EV_TO_T12M_EBITDA",$B152+1,$B152+1))),G153))</f>
        <v>0</v>
      </c>
      <c r="H152" s="555">
        <f ca="1">(IFERROR(IFERROR(VALUE(_xll.BDH(H$4,"CURRENT_EV_TO_T12M_EBITDA",$B152,$B152)),VALUE(_xll.BDH(H$4,"CURRENT_EV_TO_T12M_EBITDA",$B152+1,$B152+1))),H153))</f>
        <v>0</v>
      </c>
      <c r="I152" s="559">
        <f t="shared" ca="1" si="45"/>
        <v>44925</v>
      </c>
      <c r="J152" s="555">
        <f ca="1">(IFERROR(IFERROR(VALUE(_xll.BDH(J$4,"PE_RATIO",$B152,$B152)),VALUE(_xll.BDH(J$4,"PE_RATIO",$B152+1,$B152+1))),J153))</f>
        <v>0</v>
      </c>
      <c r="K152" s="555">
        <f ca="1">(IFERROR(IFERROR(VALUE(_xll.BDH(K$4,"PE_RATIO",$B152,$B152)),VALUE(_xll.BDH(K$4,"PE_RATIO",$B152+1,$B152+1))),K153))</f>
        <v>0</v>
      </c>
      <c r="L152" s="555">
        <f ca="1">(IFERROR(IFERROR(VALUE(_xll.BDH(L$4,"PE_RATIO",$B152,$B152)),VALUE(_xll.BDH(L$4,"PE_RATIO",$B152+1,$B152+1))),L153))</f>
        <v>0</v>
      </c>
      <c r="M152" s="555">
        <f ca="1">(IFERROR(IFERROR(VALUE(_xll.BDH(M$4,"PE_RATIO",$B152,$B152)),VALUE(_xll.BDH(M$4,"PE_RATIO",$B152+1,$B152+1))),M153))</f>
        <v>0</v>
      </c>
      <c r="N152" s="555">
        <f ca="1">(IFERROR(IFERROR(VALUE(_xll.BDH(N$4,"PE_RATIO",$B152,$B152)),VALUE(_xll.BDH(N$4,"PE_RATIO",$B152+1,$B152+1))),N153))</f>
        <v>0</v>
      </c>
      <c r="O152" s="555">
        <f ca="1">(IFERROR(IFERROR(VALUE(_xll.BDH(O$4,"PE_RATIO",$B152,$B152)),VALUE(_xll.BDH(O$4,"PE_RATIO",$B152+1,$B152+1))),O153))</f>
        <v>0</v>
      </c>
      <c r="P152" s="555"/>
      <c r="Q152" s="559">
        <f t="shared" ca="1" si="46"/>
        <v>44925</v>
      </c>
      <c r="R152" s="4">
        <v>97.73</v>
      </c>
      <c r="S152" s="4">
        <v>116160.35</v>
      </c>
      <c r="T152" s="4">
        <v>0</v>
      </c>
      <c r="U152" s="4">
        <v>1.0127461139896374</v>
      </c>
      <c r="V152" s="4">
        <v>1.071823788123516</v>
      </c>
      <c r="W152" s="4" t="e">
        <v>#DIV/0!</v>
      </c>
      <c r="Y152" s="555">
        <f t="shared" si="47"/>
        <v>97.73</v>
      </c>
      <c r="Z152" s="4">
        <f ca="1">IFERROR(VALUE(_xll.BDH(Z$4,"PX_LAST",$Q152,$Q152)),Z153)</f>
        <v>0</v>
      </c>
      <c r="AA152" s="4">
        <f ca="1">IFERROR(VALUE(_xll.BDH(AA$4,"PX_LAST",$Q152,$Q152)),AA153)</f>
        <v>0</v>
      </c>
      <c r="AB152" s="4">
        <f ca="1">IFERROR(VALUE(_xll.BDH(AB$4,"PX_LAST",$Q152,$Q152)),AB153)</f>
        <v>0</v>
      </c>
      <c r="AC152" s="4">
        <f ca="1">IFERROR(VALUE(_xll.BDH(AC$4,"PX_LAST",$Q152,$Q152)),AC153)</f>
        <v>0</v>
      </c>
      <c r="AD152" s="4">
        <f ca="1">IFERROR(VALUE(_xll.BDH(AD$4,"PX_LAST",$Q152,$Q152)),AD153)</f>
        <v>0</v>
      </c>
      <c r="AF152" s="4">
        <f t="shared" si="48"/>
        <v>1.0127461139896374</v>
      </c>
      <c r="AG152" s="4" t="e">
        <f t="shared" ca="1" si="49"/>
        <v>#DIV/0!</v>
      </c>
      <c r="AH152" s="4" t="e">
        <f t="shared" ca="1" si="50"/>
        <v>#DIV/0!</v>
      </c>
      <c r="AI152" s="4" t="e">
        <f t="shared" ca="1" si="51"/>
        <v>#DIV/0!</v>
      </c>
      <c r="AJ152" s="4" t="e">
        <f t="shared" ca="1" si="52"/>
        <v>#DIV/0!</v>
      </c>
      <c r="AK152" s="4" t="e">
        <f t="shared" ca="1" si="53"/>
        <v>#DIV/0!</v>
      </c>
      <c r="AM152" s="557">
        <f t="shared" ca="1" si="54"/>
        <v>45806</v>
      </c>
      <c r="AN152" s="558">
        <v>26.765000000000001</v>
      </c>
      <c r="AO152" s="558">
        <v>1063300</v>
      </c>
      <c r="AP152" s="558">
        <v>206.48981000000001</v>
      </c>
      <c r="AQ152" s="558">
        <v>5526.6997646500004</v>
      </c>
      <c r="AR152" s="558">
        <v>0.39729999999999999</v>
      </c>
    </row>
    <row r="153" spans="2:44">
      <c r="B153" s="559">
        <f t="shared" ca="1" si="55"/>
        <v>44918</v>
      </c>
      <c r="C153" s="555">
        <f ca="1">(IFERROR(IFERROR(VALUE(_xll.BDH(C$4,"CURRENT_EV_TO_T12M_EBITDA",$B153,$B153)),VALUE(_xll.BDH(C$4,"CURRENT_EV_TO_T12M_EBITDA",$B153+1,$B153+1))),C154))</f>
        <v>0</v>
      </c>
      <c r="D153" s="555">
        <f ca="1">(IFERROR(IFERROR(VALUE(_xll.BDH(D$4,"CURRENT_EV_TO_T12M_EBITDA",$B153,$B153)),VALUE(_xll.BDH(D$4,"CURRENT_EV_TO_T12M_EBITDA",$B153+1,$B153+1))),D154))</f>
        <v>0</v>
      </c>
      <c r="E153" s="555">
        <f ca="1">(IFERROR(IFERROR(VALUE(_xll.BDH(E$4,"CURRENT_EV_TO_T12M_EBITDA",$B153,$B153)),VALUE(_xll.BDH(E$4,"CURRENT_EV_TO_T12M_EBITDA",$B153+1,$B153+1))),E154))</f>
        <v>0</v>
      </c>
      <c r="F153" s="555">
        <f ca="1">(IFERROR(IFERROR(VALUE(_xll.BDH(F$4,"CURRENT_EV_TO_T12M_EBITDA",$B153,$B153)),VALUE(_xll.BDH(F$4,"CURRENT_EV_TO_T12M_EBITDA",$B153+1,$B153+1))),F154))</f>
        <v>0</v>
      </c>
      <c r="G153" s="555">
        <f ca="1">(IFERROR(IFERROR(VALUE(_xll.BDH(G$4,"CURRENT_EV_TO_T12M_EBITDA",$B153,$B153)),VALUE(_xll.BDH(G$4,"CURRENT_EV_TO_T12M_EBITDA",$B153+1,$B153+1))),G154))</f>
        <v>0</v>
      </c>
      <c r="H153" s="555">
        <f ca="1">(IFERROR(IFERROR(VALUE(_xll.BDH(H$4,"CURRENT_EV_TO_T12M_EBITDA",$B153,$B153)),VALUE(_xll.BDH(H$4,"CURRENT_EV_TO_T12M_EBITDA",$B153+1,$B153+1))),H154))</f>
        <v>0</v>
      </c>
      <c r="I153" s="559">
        <f t="shared" ca="1" si="45"/>
        <v>44918</v>
      </c>
      <c r="J153" s="555">
        <f ca="1">(IFERROR(IFERROR(VALUE(_xll.BDH(J$4,"PE_RATIO",$B153,$B153)),VALUE(_xll.BDH(J$4,"PE_RATIO",$B153+1,$B153+1))),J154))</f>
        <v>0</v>
      </c>
      <c r="K153" s="555">
        <f ca="1">(IFERROR(IFERROR(VALUE(_xll.BDH(K$4,"PE_RATIO",$B153,$B153)),VALUE(_xll.BDH(K$4,"PE_RATIO",$B153+1,$B153+1))),K154))</f>
        <v>0</v>
      </c>
      <c r="L153" s="555">
        <f ca="1">(IFERROR(IFERROR(VALUE(_xll.BDH(L$4,"PE_RATIO",$B153,$B153)),VALUE(_xll.BDH(L$4,"PE_RATIO",$B153+1,$B153+1))),L154))</f>
        <v>0</v>
      </c>
      <c r="M153" s="555">
        <f ca="1">(IFERROR(IFERROR(VALUE(_xll.BDH(M$4,"PE_RATIO",$B153,$B153)),VALUE(_xll.BDH(M$4,"PE_RATIO",$B153+1,$B153+1))),M154))</f>
        <v>0</v>
      </c>
      <c r="N153" s="555">
        <f ca="1">(IFERROR(IFERROR(VALUE(_xll.BDH(N$4,"PE_RATIO",$B153,$B153)),VALUE(_xll.BDH(N$4,"PE_RATIO",$B153+1,$B153+1))),N154))</f>
        <v>0</v>
      </c>
      <c r="O153" s="555">
        <f ca="1">(IFERROR(IFERROR(VALUE(_xll.BDH(O$4,"PE_RATIO",$B153,$B153)),VALUE(_xll.BDH(O$4,"PE_RATIO",$B153+1,$B153+1))),O154))</f>
        <v>0</v>
      </c>
      <c r="P153" s="555"/>
      <c r="Q153" s="559">
        <f t="shared" ca="1" si="46"/>
        <v>44918</v>
      </c>
      <c r="R153" s="4">
        <v>97.73</v>
      </c>
      <c r="S153" s="4">
        <v>116160.35</v>
      </c>
      <c r="T153" s="4">
        <v>0</v>
      </c>
      <c r="U153" s="4">
        <v>1.0127461139896374</v>
      </c>
      <c r="V153" s="4">
        <v>1.071823788123516</v>
      </c>
      <c r="W153" s="4" t="e">
        <v>#DIV/0!</v>
      </c>
      <c r="Y153" s="555">
        <f t="shared" si="47"/>
        <v>97.73</v>
      </c>
      <c r="Z153" s="4">
        <f ca="1">IFERROR(VALUE(_xll.BDH(Z$4,"PX_LAST",$Q153,$Q153)),Z154)</f>
        <v>0</v>
      </c>
      <c r="AA153" s="4">
        <f ca="1">IFERROR(VALUE(_xll.BDH(AA$4,"PX_LAST",$Q153,$Q153)),AA154)</f>
        <v>0</v>
      </c>
      <c r="AB153" s="4">
        <f ca="1">IFERROR(VALUE(_xll.BDH(AB$4,"PX_LAST",$Q153,$Q153)),AB154)</f>
        <v>0</v>
      </c>
      <c r="AC153" s="4">
        <f ca="1">IFERROR(VALUE(_xll.BDH(AC$4,"PX_LAST",$Q153,$Q153)),AC154)</f>
        <v>0</v>
      </c>
      <c r="AD153" s="4">
        <f ca="1">IFERROR(VALUE(_xll.BDH(AD$4,"PX_LAST",$Q153,$Q153)),AD154)</f>
        <v>0</v>
      </c>
      <c r="AF153" s="4">
        <f t="shared" si="48"/>
        <v>1.0127461139896374</v>
      </c>
      <c r="AG153" s="4" t="e">
        <f t="shared" ca="1" si="49"/>
        <v>#DIV/0!</v>
      </c>
      <c r="AH153" s="4" t="e">
        <f t="shared" ca="1" si="50"/>
        <v>#DIV/0!</v>
      </c>
      <c r="AI153" s="4" t="e">
        <f t="shared" ca="1" si="51"/>
        <v>#DIV/0!</v>
      </c>
      <c r="AJ153" s="4" t="e">
        <f t="shared" ca="1" si="52"/>
        <v>#DIV/0!</v>
      </c>
      <c r="AK153" s="4" t="e">
        <f t="shared" ca="1" si="53"/>
        <v>#DIV/0!</v>
      </c>
      <c r="AM153" s="557">
        <f t="shared" ca="1" si="54"/>
        <v>45805</v>
      </c>
      <c r="AN153" s="558">
        <v>26.234999999999999</v>
      </c>
      <c r="AO153" s="558">
        <v>2167800</v>
      </c>
      <c r="AP153" s="558">
        <v>206.48981000000001</v>
      </c>
      <c r="AQ153" s="558">
        <v>5417.2601653499996</v>
      </c>
      <c r="AR153" s="558">
        <v>0.38919999999999999</v>
      </c>
    </row>
    <row r="154" spans="2:44">
      <c r="B154" s="559">
        <f t="shared" ca="1" si="55"/>
        <v>44911</v>
      </c>
      <c r="C154" s="555">
        <f ca="1">(IFERROR(IFERROR(VALUE(_xll.BDH(C$4,"CURRENT_EV_TO_T12M_EBITDA",$B154,$B154)),VALUE(_xll.BDH(C$4,"CURRENT_EV_TO_T12M_EBITDA",$B154+1,$B154+1))),C155))</f>
        <v>0</v>
      </c>
      <c r="D154" s="555">
        <f ca="1">(IFERROR(IFERROR(VALUE(_xll.BDH(D$4,"CURRENT_EV_TO_T12M_EBITDA",$B154,$B154)),VALUE(_xll.BDH(D$4,"CURRENT_EV_TO_T12M_EBITDA",$B154+1,$B154+1))),D155))</f>
        <v>0</v>
      </c>
      <c r="E154" s="555">
        <f ca="1">(IFERROR(IFERROR(VALUE(_xll.BDH(E$4,"CURRENT_EV_TO_T12M_EBITDA",$B154,$B154)),VALUE(_xll.BDH(E$4,"CURRENT_EV_TO_T12M_EBITDA",$B154+1,$B154+1))),E155))</f>
        <v>0</v>
      </c>
      <c r="F154" s="555">
        <f ca="1">(IFERROR(IFERROR(VALUE(_xll.BDH(F$4,"CURRENT_EV_TO_T12M_EBITDA",$B154,$B154)),VALUE(_xll.BDH(F$4,"CURRENT_EV_TO_T12M_EBITDA",$B154+1,$B154+1))),F155))</f>
        <v>0</v>
      </c>
      <c r="G154" s="555">
        <f ca="1">(IFERROR(IFERROR(VALUE(_xll.BDH(G$4,"CURRENT_EV_TO_T12M_EBITDA",$B154,$B154)),VALUE(_xll.BDH(G$4,"CURRENT_EV_TO_T12M_EBITDA",$B154+1,$B154+1))),G155))</f>
        <v>0</v>
      </c>
      <c r="H154" s="555">
        <f ca="1">(IFERROR(IFERROR(VALUE(_xll.BDH(H$4,"CURRENT_EV_TO_T12M_EBITDA",$B154,$B154)),VALUE(_xll.BDH(H$4,"CURRENT_EV_TO_T12M_EBITDA",$B154+1,$B154+1))),H155))</f>
        <v>0</v>
      </c>
      <c r="I154" s="559">
        <f t="shared" ca="1" si="45"/>
        <v>44911</v>
      </c>
      <c r="J154" s="555">
        <f ca="1">(IFERROR(IFERROR(VALUE(_xll.BDH(J$4,"PE_RATIO",$B154,$B154)),VALUE(_xll.BDH(J$4,"PE_RATIO",$B154+1,$B154+1))),J155))</f>
        <v>0</v>
      </c>
      <c r="K154" s="555">
        <f ca="1">(IFERROR(IFERROR(VALUE(_xll.BDH(K$4,"PE_RATIO",$B154,$B154)),VALUE(_xll.BDH(K$4,"PE_RATIO",$B154+1,$B154+1))),K155))</f>
        <v>0</v>
      </c>
      <c r="L154" s="555">
        <f ca="1">(IFERROR(IFERROR(VALUE(_xll.BDH(L$4,"PE_RATIO",$B154,$B154)),VALUE(_xll.BDH(L$4,"PE_RATIO",$B154+1,$B154+1))),L155))</f>
        <v>0</v>
      </c>
      <c r="M154" s="555">
        <f ca="1">(IFERROR(IFERROR(VALUE(_xll.BDH(M$4,"PE_RATIO",$B154,$B154)),VALUE(_xll.BDH(M$4,"PE_RATIO",$B154+1,$B154+1))),M155))</f>
        <v>0</v>
      </c>
      <c r="N154" s="555">
        <f ca="1">(IFERROR(IFERROR(VALUE(_xll.BDH(N$4,"PE_RATIO",$B154,$B154)),VALUE(_xll.BDH(N$4,"PE_RATIO",$B154+1,$B154+1))),N155))</f>
        <v>0</v>
      </c>
      <c r="O154" s="555">
        <f ca="1">(IFERROR(IFERROR(VALUE(_xll.BDH(O$4,"PE_RATIO",$B154,$B154)),VALUE(_xll.BDH(O$4,"PE_RATIO",$B154+1,$B154+1))),O155))</f>
        <v>0</v>
      </c>
      <c r="P154" s="555"/>
      <c r="Q154" s="559">
        <f t="shared" ca="1" si="46"/>
        <v>44911</v>
      </c>
      <c r="R154" s="4">
        <v>102.95</v>
      </c>
      <c r="S154" s="4">
        <v>116928.66</v>
      </c>
      <c r="T154" s="4">
        <v>0</v>
      </c>
      <c r="U154" s="4">
        <v>1.0668393782383421</v>
      </c>
      <c r="V154" s="4">
        <v>1.0789130654427834</v>
      </c>
      <c r="W154" s="4" t="e">
        <v>#DIV/0!</v>
      </c>
      <c r="Y154" s="555">
        <f t="shared" si="47"/>
        <v>102.95</v>
      </c>
      <c r="Z154" s="4">
        <f ca="1">IFERROR(VALUE(_xll.BDH(Z$4,"PX_LAST",$Q154,$Q154)),Z155)</f>
        <v>0</v>
      </c>
      <c r="AA154" s="4">
        <f ca="1">IFERROR(VALUE(_xll.BDH(AA$4,"PX_LAST",$Q154,$Q154)),AA155)</f>
        <v>0</v>
      </c>
      <c r="AB154" s="4">
        <f ca="1">IFERROR(VALUE(_xll.BDH(AB$4,"PX_LAST",$Q154,$Q154)),AB155)</f>
        <v>0</v>
      </c>
      <c r="AC154" s="4">
        <f ca="1">IFERROR(VALUE(_xll.BDH(AC$4,"PX_LAST",$Q154,$Q154)),AC155)</f>
        <v>0</v>
      </c>
      <c r="AD154" s="4">
        <f ca="1">IFERROR(VALUE(_xll.BDH(AD$4,"PX_LAST",$Q154,$Q154)),AD155)</f>
        <v>0</v>
      </c>
      <c r="AF154" s="4">
        <f t="shared" si="48"/>
        <v>1.0668393782383421</v>
      </c>
      <c r="AG154" s="4" t="e">
        <f t="shared" ca="1" si="49"/>
        <v>#DIV/0!</v>
      </c>
      <c r="AH154" s="4" t="e">
        <f t="shared" ca="1" si="50"/>
        <v>#DIV/0!</v>
      </c>
      <c r="AI154" s="4" t="e">
        <f t="shared" ca="1" si="51"/>
        <v>#DIV/0!</v>
      </c>
      <c r="AJ154" s="4" t="e">
        <f t="shared" ca="1" si="52"/>
        <v>#DIV/0!</v>
      </c>
      <c r="AK154" s="4" t="e">
        <f t="shared" ca="1" si="53"/>
        <v>#DIV/0!</v>
      </c>
      <c r="AM154" s="557">
        <f t="shared" ca="1" si="54"/>
        <v>45804</v>
      </c>
      <c r="AN154" s="558">
        <v>26.234999999999999</v>
      </c>
      <c r="AO154" s="558">
        <v>2167800</v>
      </c>
      <c r="AP154" s="558">
        <v>206.48981000000001</v>
      </c>
      <c r="AQ154" s="558">
        <v>5417.2601653499996</v>
      </c>
      <c r="AR154" s="558">
        <v>0.38919999999999999</v>
      </c>
    </row>
    <row r="155" spans="2:44">
      <c r="B155" s="559">
        <f t="shared" ca="1" si="55"/>
        <v>44904</v>
      </c>
      <c r="C155" s="555">
        <f ca="1">(IFERROR(IFERROR(VALUE(_xll.BDH(C$4,"CURRENT_EV_TO_T12M_EBITDA",$B155,$B155)),VALUE(_xll.BDH(C$4,"CURRENT_EV_TO_T12M_EBITDA",$B155+1,$B155+1))),C156))</f>
        <v>0</v>
      </c>
      <c r="D155" s="555">
        <f ca="1">(IFERROR(IFERROR(VALUE(_xll.BDH(D$4,"CURRENT_EV_TO_T12M_EBITDA",$B155,$B155)),VALUE(_xll.BDH(D$4,"CURRENT_EV_TO_T12M_EBITDA",$B155+1,$B155+1))),D156))</f>
        <v>0</v>
      </c>
      <c r="E155" s="555">
        <f ca="1">(IFERROR(IFERROR(VALUE(_xll.BDH(E$4,"CURRENT_EV_TO_T12M_EBITDA",$B155,$B155)),VALUE(_xll.BDH(E$4,"CURRENT_EV_TO_T12M_EBITDA",$B155+1,$B155+1))),E156))</f>
        <v>0</v>
      </c>
      <c r="F155" s="555">
        <f ca="1">(IFERROR(IFERROR(VALUE(_xll.BDH(F$4,"CURRENT_EV_TO_T12M_EBITDA",$B155,$B155)),VALUE(_xll.BDH(F$4,"CURRENT_EV_TO_T12M_EBITDA",$B155+1,$B155+1))),F156))</f>
        <v>0</v>
      </c>
      <c r="G155" s="555">
        <f ca="1">(IFERROR(IFERROR(VALUE(_xll.BDH(G$4,"CURRENT_EV_TO_T12M_EBITDA",$B155,$B155)),VALUE(_xll.BDH(G$4,"CURRENT_EV_TO_T12M_EBITDA",$B155+1,$B155+1))),G156))</f>
        <v>0</v>
      </c>
      <c r="H155" s="555">
        <f ca="1">(IFERROR(IFERROR(VALUE(_xll.BDH(H$4,"CURRENT_EV_TO_T12M_EBITDA",$B155,$B155)),VALUE(_xll.BDH(H$4,"CURRENT_EV_TO_T12M_EBITDA",$B155+1,$B155+1))),H156))</f>
        <v>0</v>
      </c>
      <c r="I155" s="559">
        <f t="shared" ca="1" si="45"/>
        <v>44904</v>
      </c>
      <c r="J155" s="555">
        <f ca="1">(IFERROR(IFERROR(VALUE(_xll.BDH(J$4,"PE_RATIO",$B155,$B155)),VALUE(_xll.BDH(J$4,"PE_RATIO",$B155+1,$B155+1))),J156))</f>
        <v>0</v>
      </c>
      <c r="K155" s="555">
        <f ca="1">(IFERROR(IFERROR(VALUE(_xll.BDH(K$4,"PE_RATIO",$B155,$B155)),VALUE(_xll.BDH(K$4,"PE_RATIO",$B155+1,$B155+1))),K156))</f>
        <v>0</v>
      </c>
      <c r="L155" s="555">
        <f ca="1">(IFERROR(IFERROR(VALUE(_xll.BDH(L$4,"PE_RATIO",$B155,$B155)),VALUE(_xll.BDH(L$4,"PE_RATIO",$B155+1,$B155+1))),L156))</f>
        <v>0</v>
      </c>
      <c r="M155" s="555">
        <f ca="1">(IFERROR(IFERROR(VALUE(_xll.BDH(M$4,"PE_RATIO",$B155,$B155)),VALUE(_xll.BDH(M$4,"PE_RATIO",$B155+1,$B155+1))),M156))</f>
        <v>0</v>
      </c>
      <c r="N155" s="555">
        <f ca="1">(IFERROR(IFERROR(VALUE(_xll.BDH(N$4,"PE_RATIO",$B155,$B155)),VALUE(_xll.BDH(N$4,"PE_RATIO",$B155+1,$B155+1))),N156))</f>
        <v>0</v>
      </c>
      <c r="O155" s="555">
        <f ca="1">(IFERROR(IFERROR(VALUE(_xll.BDH(O$4,"PE_RATIO",$B155,$B155)),VALUE(_xll.BDH(O$4,"PE_RATIO",$B155+1,$B155+1))),O156))</f>
        <v>0</v>
      </c>
      <c r="P155" s="555"/>
      <c r="Q155" s="559">
        <f t="shared" ca="1" si="46"/>
        <v>44904</v>
      </c>
      <c r="R155" s="4">
        <v>99.81</v>
      </c>
      <c r="S155" s="4">
        <v>114625.59</v>
      </c>
      <c r="T155" s="4">
        <v>0</v>
      </c>
      <c r="U155" s="4">
        <v>1.0343005181347151</v>
      </c>
      <c r="V155" s="4">
        <v>1.0576623959009506</v>
      </c>
      <c r="W155" s="4" t="e">
        <v>#DIV/0!</v>
      </c>
      <c r="Y155" s="555">
        <f t="shared" si="47"/>
        <v>99.81</v>
      </c>
      <c r="Z155" s="4">
        <f ca="1">IFERROR(VALUE(_xll.BDH(Z$4,"PX_LAST",$Q155,$Q155)),Z156)</f>
        <v>0</v>
      </c>
      <c r="AA155" s="4">
        <f ca="1">IFERROR(VALUE(_xll.BDH(AA$4,"PX_LAST",$Q155,$Q155)),AA156)</f>
        <v>0</v>
      </c>
      <c r="AB155" s="4">
        <f ca="1">IFERROR(VALUE(_xll.BDH(AB$4,"PX_LAST",$Q155,$Q155)),AB156)</f>
        <v>0</v>
      </c>
      <c r="AC155" s="4">
        <f ca="1">IFERROR(VALUE(_xll.BDH(AC$4,"PX_LAST",$Q155,$Q155)),AC156)</f>
        <v>0</v>
      </c>
      <c r="AD155" s="4">
        <f ca="1">IFERROR(VALUE(_xll.BDH(AD$4,"PX_LAST",$Q155,$Q155)),AD156)</f>
        <v>0</v>
      </c>
      <c r="AF155" s="4">
        <f t="shared" si="48"/>
        <v>1.0343005181347151</v>
      </c>
      <c r="AG155" s="4" t="e">
        <f t="shared" ca="1" si="49"/>
        <v>#DIV/0!</v>
      </c>
      <c r="AH155" s="4" t="e">
        <f t="shared" ca="1" si="50"/>
        <v>#DIV/0!</v>
      </c>
      <c r="AI155" s="4" t="e">
        <f t="shared" ca="1" si="51"/>
        <v>#DIV/0!</v>
      </c>
      <c r="AJ155" s="4" t="e">
        <f t="shared" ca="1" si="52"/>
        <v>#DIV/0!</v>
      </c>
      <c r="AK155" s="4" t="e">
        <f t="shared" ca="1" si="53"/>
        <v>#DIV/0!</v>
      </c>
      <c r="AM155" s="557">
        <f t="shared" ca="1" si="54"/>
        <v>45803</v>
      </c>
      <c r="AN155" s="558">
        <v>26.234999999999999</v>
      </c>
      <c r="AO155" s="558">
        <v>2167800</v>
      </c>
      <c r="AP155" s="558">
        <v>206.48981000000001</v>
      </c>
      <c r="AQ155" s="558">
        <v>5417.2601653499996</v>
      </c>
      <c r="AR155" s="558">
        <v>0.38919999999999999</v>
      </c>
    </row>
    <row r="156" spans="2:44">
      <c r="B156" s="559">
        <f t="shared" ca="1" si="55"/>
        <v>44897</v>
      </c>
      <c r="C156" s="555">
        <f ca="1">(IFERROR(IFERROR(VALUE(_xll.BDH(C$4,"CURRENT_EV_TO_T12M_EBITDA",$B156,$B156)),VALUE(_xll.BDH(C$4,"CURRENT_EV_TO_T12M_EBITDA",$B156+1,$B156+1))),C157))</f>
        <v>0</v>
      </c>
      <c r="D156" s="555">
        <f ca="1">(IFERROR(IFERROR(VALUE(_xll.BDH(D$4,"CURRENT_EV_TO_T12M_EBITDA",$B156,$B156)),VALUE(_xll.BDH(D$4,"CURRENT_EV_TO_T12M_EBITDA",$B156+1,$B156+1))),D157))</f>
        <v>0</v>
      </c>
      <c r="E156" s="555">
        <f ca="1">(IFERROR(IFERROR(VALUE(_xll.BDH(E$4,"CURRENT_EV_TO_T12M_EBITDA",$B156,$B156)),VALUE(_xll.BDH(E$4,"CURRENT_EV_TO_T12M_EBITDA",$B156+1,$B156+1))),E157))</f>
        <v>0</v>
      </c>
      <c r="F156" s="555">
        <f ca="1">(IFERROR(IFERROR(VALUE(_xll.BDH(F$4,"CURRENT_EV_TO_T12M_EBITDA",$B156,$B156)),VALUE(_xll.BDH(F$4,"CURRENT_EV_TO_T12M_EBITDA",$B156+1,$B156+1))),F157))</f>
        <v>0</v>
      </c>
      <c r="G156" s="555">
        <f ca="1">(IFERROR(IFERROR(VALUE(_xll.BDH(G$4,"CURRENT_EV_TO_T12M_EBITDA",$B156,$B156)),VALUE(_xll.BDH(G$4,"CURRENT_EV_TO_T12M_EBITDA",$B156+1,$B156+1))),G157))</f>
        <v>0</v>
      </c>
      <c r="H156" s="555">
        <f ca="1">(IFERROR(IFERROR(VALUE(_xll.BDH(H$4,"CURRENT_EV_TO_T12M_EBITDA",$B156,$B156)),VALUE(_xll.BDH(H$4,"CURRENT_EV_TO_T12M_EBITDA",$B156+1,$B156+1))),H157))</f>
        <v>0</v>
      </c>
      <c r="I156" s="559">
        <f t="shared" ca="1" si="45"/>
        <v>44897</v>
      </c>
      <c r="J156" s="555">
        <f ca="1">(IFERROR(IFERROR(VALUE(_xll.BDH(J$4,"PE_RATIO",$B156,$B156)),VALUE(_xll.BDH(J$4,"PE_RATIO",$B156+1,$B156+1))),J157))</f>
        <v>0</v>
      </c>
      <c r="K156" s="555">
        <f ca="1">(IFERROR(IFERROR(VALUE(_xll.BDH(K$4,"PE_RATIO",$B156,$B156)),VALUE(_xll.BDH(K$4,"PE_RATIO",$B156+1,$B156+1))),K157))</f>
        <v>0</v>
      </c>
      <c r="L156" s="555">
        <f ca="1">(IFERROR(IFERROR(VALUE(_xll.BDH(L$4,"PE_RATIO",$B156,$B156)),VALUE(_xll.BDH(L$4,"PE_RATIO",$B156+1,$B156+1))),L157))</f>
        <v>0</v>
      </c>
      <c r="M156" s="555">
        <f ca="1">(IFERROR(IFERROR(VALUE(_xll.BDH(M$4,"PE_RATIO",$B156,$B156)),VALUE(_xll.BDH(M$4,"PE_RATIO",$B156+1,$B156+1))),M157))</f>
        <v>0</v>
      </c>
      <c r="N156" s="555">
        <f ca="1">(IFERROR(IFERROR(VALUE(_xll.BDH(N$4,"PE_RATIO",$B156,$B156)),VALUE(_xll.BDH(N$4,"PE_RATIO",$B156+1,$B156+1))),N157))</f>
        <v>0</v>
      </c>
      <c r="O156" s="555">
        <f ca="1">(IFERROR(IFERROR(VALUE(_xll.BDH(O$4,"PE_RATIO",$B156,$B156)),VALUE(_xll.BDH(O$4,"PE_RATIO",$B156+1,$B156+1))),O157))</f>
        <v>0</v>
      </c>
      <c r="P156" s="555"/>
      <c r="Q156" s="559">
        <f t="shared" ca="1" si="46"/>
        <v>44897</v>
      </c>
      <c r="R156" s="4">
        <v>100.62</v>
      </c>
      <c r="S156" s="4">
        <v>115743.07</v>
      </c>
      <c r="T156" s="4">
        <v>0</v>
      </c>
      <c r="U156" s="4">
        <v>1.0426943005181348</v>
      </c>
      <c r="V156" s="4">
        <v>1.0679735015988268</v>
      </c>
      <c r="W156" s="4" t="e">
        <v>#DIV/0!</v>
      </c>
      <c r="Y156" s="555">
        <f t="shared" si="47"/>
        <v>100.62</v>
      </c>
      <c r="Z156" s="4">
        <f ca="1">IFERROR(VALUE(_xll.BDH(Z$4,"PX_LAST",$Q156,$Q156)),Z157)</f>
        <v>0</v>
      </c>
      <c r="AA156" s="4">
        <f ca="1">IFERROR(VALUE(_xll.BDH(AA$4,"PX_LAST",$Q156,$Q156)),AA157)</f>
        <v>0</v>
      </c>
      <c r="AB156" s="4">
        <f ca="1">IFERROR(VALUE(_xll.BDH(AB$4,"PX_LAST",$Q156,$Q156)),AB157)</f>
        <v>0</v>
      </c>
      <c r="AC156" s="4">
        <f ca="1">IFERROR(VALUE(_xll.BDH(AC$4,"PX_LAST",$Q156,$Q156)),AC157)</f>
        <v>0</v>
      </c>
      <c r="AD156" s="4">
        <f ca="1">IFERROR(VALUE(_xll.BDH(AD$4,"PX_LAST",$Q156,$Q156)),AD157)</f>
        <v>0</v>
      </c>
      <c r="AF156" s="4">
        <f t="shared" si="48"/>
        <v>1.0426943005181348</v>
      </c>
      <c r="AG156" s="4" t="e">
        <f t="shared" ca="1" si="49"/>
        <v>#DIV/0!</v>
      </c>
      <c r="AH156" s="4" t="e">
        <f t="shared" ca="1" si="50"/>
        <v>#DIV/0!</v>
      </c>
      <c r="AI156" s="4" t="e">
        <f t="shared" ca="1" si="51"/>
        <v>#DIV/0!</v>
      </c>
      <c r="AJ156" s="4" t="e">
        <f t="shared" ca="1" si="52"/>
        <v>#DIV/0!</v>
      </c>
      <c r="AK156" s="4" t="e">
        <f t="shared" ca="1" si="53"/>
        <v>#DIV/0!</v>
      </c>
      <c r="AM156" s="557">
        <f t="shared" ca="1" si="54"/>
        <v>45802</v>
      </c>
      <c r="AN156" s="558">
        <v>25.245000000000001</v>
      </c>
      <c r="AO156" s="558">
        <v>973200</v>
      </c>
      <c r="AP156" s="558">
        <v>206.48981000000001</v>
      </c>
      <c r="AQ156" s="558">
        <v>5212.83525345</v>
      </c>
      <c r="AR156" s="558">
        <v>0.37419999999999998</v>
      </c>
    </row>
    <row r="157" spans="2:44">
      <c r="B157" s="559">
        <f t="shared" ca="1" si="55"/>
        <v>44890</v>
      </c>
      <c r="C157" s="555">
        <f ca="1">(IFERROR(IFERROR(VALUE(_xll.BDH(C$4,"CURRENT_EV_TO_T12M_EBITDA",$B157,$B157)),VALUE(_xll.BDH(C$4,"CURRENT_EV_TO_T12M_EBITDA",$B157+1,$B157+1))),C158))</f>
        <v>0</v>
      </c>
      <c r="D157" s="555">
        <f ca="1">(IFERROR(IFERROR(VALUE(_xll.BDH(D$4,"CURRENT_EV_TO_T12M_EBITDA",$B157,$B157)),VALUE(_xll.BDH(D$4,"CURRENT_EV_TO_T12M_EBITDA",$B157+1,$B157+1))),D158))</f>
        <v>0</v>
      </c>
      <c r="E157" s="555">
        <f ca="1">(IFERROR(IFERROR(VALUE(_xll.BDH(E$4,"CURRENT_EV_TO_T12M_EBITDA",$B157,$B157)),VALUE(_xll.BDH(E$4,"CURRENT_EV_TO_T12M_EBITDA",$B157+1,$B157+1))),E158))</f>
        <v>0</v>
      </c>
      <c r="F157" s="555">
        <f ca="1">(IFERROR(IFERROR(VALUE(_xll.BDH(F$4,"CURRENT_EV_TO_T12M_EBITDA",$B157,$B157)),VALUE(_xll.BDH(F$4,"CURRENT_EV_TO_T12M_EBITDA",$B157+1,$B157+1))),F158))</f>
        <v>0</v>
      </c>
      <c r="G157" s="555">
        <f ca="1">(IFERROR(IFERROR(VALUE(_xll.BDH(G$4,"CURRENT_EV_TO_T12M_EBITDA",$B157,$B157)),VALUE(_xll.BDH(G$4,"CURRENT_EV_TO_T12M_EBITDA",$B157+1,$B157+1))),G158))</f>
        <v>0</v>
      </c>
      <c r="H157" s="555">
        <f ca="1">(IFERROR(IFERROR(VALUE(_xll.BDH(H$4,"CURRENT_EV_TO_T12M_EBITDA",$B157,$B157)),VALUE(_xll.BDH(H$4,"CURRENT_EV_TO_T12M_EBITDA",$B157+1,$B157+1))),H158))</f>
        <v>0</v>
      </c>
      <c r="I157" s="559">
        <f t="shared" ca="1" si="45"/>
        <v>44890</v>
      </c>
      <c r="J157" s="555">
        <f ca="1">(IFERROR(IFERROR(VALUE(_xll.BDH(J$4,"PE_RATIO",$B157,$B157)),VALUE(_xll.BDH(J$4,"PE_RATIO",$B157+1,$B157+1))),J158))</f>
        <v>0</v>
      </c>
      <c r="K157" s="555">
        <f ca="1">(IFERROR(IFERROR(VALUE(_xll.BDH(K$4,"PE_RATIO",$B157,$B157)),VALUE(_xll.BDH(K$4,"PE_RATIO",$B157+1,$B157+1))),K158))</f>
        <v>0</v>
      </c>
      <c r="L157" s="555">
        <f ca="1">(IFERROR(IFERROR(VALUE(_xll.BDH(L$4,"PE_RATIO",$B157,$B157)),VALUE(_xll.BDH(L$4,"PE_RATIO",$B157+1,$B157+1))),L158))</f>
        <v>0</v>
      </c>
      <c r="M157" s="555">
        <f ca="1">(IFERROR(IFERROR(VALUE(_xll.BDH(M$4,"PE_RATIO",$B157,$B157)),VALUE(_xll.BDH(M$4,"PE_RATIO",$B157+1,$B157+1))),M158))</f>
        <v>0</v>
      </c>
      <c r="N157" s="555">
        <f ca="1">(IFERROR(IFERROR(VALUE(_xll.BDH(N$4,"PE_RATIO",$B157,$B157)),VALUE(_xll.BDH(N$4,"PE_RATIO",$B157+1,$B157+1))),N158))</f>
        <v>0</v>
      </c>
      <c r="O157" s="555">
        <f ca="1">(IFERROR(IFERROR(VALUE(_xll.BDH(O$4,"PE_RATIO",$B157,$B157)),VALUE(_xll.BDH(O$4,"PE_RATIO",$B157+1,$B157+1))),O158))</f>
        <v>0</v>
      </c>
      <c r="P157" s="555"/>
      <c r="Q157" s="559">
        <f t="shared" ca="1" si="46"/>
        <v>44890</v>
      </c>
      <c r="R157" s="4">
        <v>99.85</v>
      </c>
      <c r="S157" s="4">
        <v>114827.12</v>
      </c>
      <c r="T157" s="4">
        <v>0</v>
      </c>
      <c r="U157" s="4">
        <v>1.0347150259067357</v>
      </c>
      <c r="V157" s="4">
        <v>1.0595219344441844</v>
      </c>
      <c r="W157" s="4" t="e">
        <v>#DIV/0!</v>
      </c>
      <c r="Y157" s="555">
        <f t="shared" si="47"/>
        <v>99.85</v>
      </c>
      <c r="Z157" s="4">
        <f ca="1">IFERROR(VALUE(_xll.BDH(Z$4,"PX_LAST",$Q157,$Q157)),Z158)</f>
        <v>0</v>
      </c>
      <c r="AA157" s="4">
        <f ca="1">IFERROR(VALUE(_xll.BDH(AA$4,"PX_LAST",$Q157,$Q157)),AA158)</f>
        <v>0</v>
      </c>
      <c r="AB157" s="4">
        <f ca="1">IFERROR(VALUE(_xll.BDH(AB$4,"PX_LAST",$Q157,$Q157)),AB158)</f>
        <v>0</v>
      </c>
      <c r="AC157" s="4">
        <f ca="1">IFERROR(VALUE(_xll.BDH(AC$4,"PX_LAST",$Q157,$Q157)),AC158)</f>
        <v>0</v>
      </c>
      <c r="AD157" s="4">
        <f ca="1">IFERROR(VALUE(_xll.BDH(AD$4,"PX_LAST",$Q157,$Q157)),AD158)</f>
        <v>0</v>
      </c>
      <c r="AF157" s="4">
        <f t="shared" si="48"/>
        <v>1.0347150259067357</v>
      </c>
      <c r="AG157" s="4" t="e">
        <f t="shared" ca="1" si="49"/>
        <v>#DIV/0!</v>
      </c>
      <c r="AH157" s="4" t="e">
        <f t="shared" ca="1" si="50"/>
        <v>#DIV/0!</v>
      </c>
      <c r="AI157" s="4" t="e">
        <f t="shared" ca="1" si="51"/>
        <v>#DIV/0!</v>
      </c>
      <c r="AJ157" s="4" t="e">
        <f t="shared" ca="1" si="52"/>
        <v>#DIV/0!</v>
      </c>
      <c r="AK157" s="4" t="e">
        <f t="shared" ca="1" si="53"/>
        <v>#DIV/0!</v>
      </c>
      <c r="AM157" s="557">
        <f t="shared" ca="1" si="54"/>
        <v>45801</v>
      </c>
      <c r="AN157" s="558">
        <v>25.74</v>
      </c>
      <c r="AO157" s="558">
        <v>3623600</v>
      </c>
      <c r="AP157" s="558">
        <v>206.48981000000001</v>
      </c>
      <c r="AQ157" s="558">
        <v>5315.0477093999998</v>
      </c>
      <c r="AR157" s="558">
        <v>0.38159999999999999</v>
      </c>
    </row>
    <row r="158" spans="2:44">
      <c r="B158" s="559">
        <f t="shared" ca="1" si="55"/>
        <v>44883</v>
      </c>
      <c r="C158" s="555">
        <f ca="1">(IFERROR(IFERROR(VALUE(_xll.BDH(C$4,"CURRENT_EV_TO_T12M_EBITDA",$B158,$B158)),VALUE(_xll.BDH(C$4,"CURRENT_EV_TO_T12M_EBITDA",$B158+1,$B158+1))),C159))</f>
        <v>0</v>
      </c>
      <c r="D158" s="555">
        <f ca="1">(IFERROR(IFERROR(VALUE(_xll.BDH(D$4,"CURRENT_EV_TO_T12M_EBITDA",$B158,$B158)),VALUE(_xll.BDH(D$4,"CURRENT_EV_TO_T12M_EBITDA",$B158+1,$B158+1))),D159))</f>
        <v>0</v>
      </c>
      <c r="E158" s="555">
        <f ca="1">(IFERROR(IFERROR(VALUE(_xll.BDH(E$4,"CURRENT_EV_TO_T12M_EBITDA",$B158,$B158)),VALUE(_xll.BDH(E$4,"CURRENT_EV_TO_T12M_EBITDA",$B158+1,$B158+1))),E159))</f>
        <v>0</v>
      </c>
      <c r="F158" s="555">
        <f ca="1">(IFERROR(IFERROR(VALUE(_xll.BDH(F$4,"CURRENT_EV_TO_T12M_EBITDA",$B158,$B158)),VALUE(_xll.BDH(F$4,"CURRENT_EV_TO_T12M_EBITDA",$B158+1,$B158+1))),F159))</f>
        <v>0</v>
      </c>
      <c r="G158" s="555">
        <f ca="1">(IFERROR(IFERROR(VALUE(_xll.BDH(G$4,"CURRENT_EV_TO_T12M_EBITDA",$B158,$B158)),VALUE(_xll.BDH(G$4,"CURRENT_EV_TO_T12M_EBITDA",$B158+1,$B158+1))),G159))</f>
        <v>0</v>
      </c>
      <c r="H158" s="555">
        <f ca="1">(IFERROR(IFERROR(VALUE(_xll.BDH(H$4,"CURRENT_EV_TO_T12M_EBITDA",$B158,$B158)),VALUE(_xll.BDH(H$4,"CURRENT_EV_TO_T12M_EBITDA",$B158+1,$B158+1))),H159))</f>
        <v>0</v>
      </c>
      <c r="I158" s="559">
        <f t="shared" ca="1" si="45"/>
        <v>44883</v>
      </c>
      <c r="J158" s="555">
        <f ca="1">(IFERROR(IFERROR(VALUE(_xll.BDH(J$4,"PE_RATIO",$B158,$B158)),VALUE(_xll.BDH(J$4,"PE_RATIO",$B158+1,$B158+1))),J159))</f>
        <v>0</v>
      </c>
      <c r="K158" s="555">
        <f ca="1">(IFERROR(IFERROR(VALUE(_xll.BDH(K$4,"PE_RATIO",$B158,$B158)),VALUE(_xll.BDH(K$4,"PE_RATIO",$B158+1,$B158+1))),K159))</f>
        <v>0</v>
      </c>
      <c r="L158" s="555">
        <f ca="1">(IFERROR(IFERROR(VALUE(_xll.BDH(L$4,"PE_RATIO",$B158,$B158)),VALUE(_xll.BDH(L$4,"PE_RATIO",$B158+1,$B158+1))),L159))</f>
        <v>0</v>
      </c>
      <c r="M158" s="555">
        <f ca="1">(IFERROR(IFERROR(VALUE(_xll.BDH(M$4,"PE_RATIO",$B158,$B158)),VALUE(_xll.BDH(M$4,"PE_RATIO",$B158+1,$B158+1))),M159))</f>
        <v>0</v>
      </c>
      <c r="N158" s="555">
        <f ca="1">(IFERROR(IFERROR(VALUE(_xll.BDH(N$4,"PE_RATIO",$B158,$B158)),VALUE(_xll.BDH(N$4,"PE_RATIO",$B158+1,$B158+1))),N159))</f>
        <v>0</v>
      </c>
      <c r="O158" s="555">
        <f ca="1">(IFERROR(IFERROR(VALUE(_xll.BDH(O$4,"PE_RATIO",$B158,$B158)),VALUE(_xll.BDH(O$4,"PE_RATIO",$B158+1,$B158+1))),O159))</f>
        <v>0</v>
      </c>
      <c r="P158" s="555"/>
      <c r="Q158" s="559">
        <f t="shared" ca="1" si="46"/>
        <v>44883</v>
      </c>
      <c r="R158" s="4">
        <v>101</v>
      </c>
      <c r="S158" s="4">
        <v>116230.12</v>
      </c>
      <c r="T158" s="4">
        <v>0</v>
      </c>
      <c r="U158" s="4">
        <v>1.0466321243523315</v>
      </c>
      <c r="V158" s="4">
        <v>1.0724675632644944</v>
      </c>
      <c r="W158" s="4" t="e">
        <v>#DIV/0!</v>
      </c>
      <c r="Y158" s="555">
        <f t="shared" si="47"/>
        <v>101</v>
      </c>
      <c r="Z158" s="4">
        <f ca="1">IFERROR(VALUE(_xll.BDH(Z$4,"PX_LAST",$Q158,$Q158)),Z159)</f>
        <v>0</v>
      </c>
      <c r="AA158" s="4">
        <f ca="1">IFERROR(VALUE(_xll.BDH(AA$4,"PX_LAST",$Q158,$Q158)),AA159)</f>
        <v>0</v>
      </c>
      <c r="AB158" s="4">
        <f ca="1">IFERROR(VALUE(_xll.BDH(AB$4,"PX_LAST",$Q158,$Q158)),AB159)</f>
        <v>0</v>
      </c>
      <c r="AC158" s="4">
        <f ca="1">IFERROR(VALUE(_xll.BDH(AC$4,"PX_LAST",$Q158,$Q158)),AC159)</f>
        <v>0</v>
      </c>
      <c r="AD158" s="4">
        <f ca="1">IFERROR(VALUE(_xll.BDH(AD$4,"PX_LAST",$Q158,$Q158)),AD159)</f>
        <v>0</v>
      </c>
      <c r="AF158" s="4">
        <f t="shared" si="48"/>
        <v>1.0466321243523315</v>
      </c>
      <c r="AG158" s="4" t="e">
        <f t="shared" ca="1" si="49"/>
        <v>#DIV/0!</v>
      </c>
      <c r="AH158" s="4" t="e">
        <f t="shared" ca="1" si="50"/>
        <v>#DIV/0!</v>
      </c>
      <c r="AI158" s="4" t="e">
        <f t="shared" ca="1" si="51"/>
        <v>#DIV/0!</v>
      </c>
      <c r="AJ158" s="4" t="e">
        <f t="shared" ca="1" si="52"/>
        <v>#DIV/0!</v>
      </c>
      <c r="AK158" s="4" t="e">
        <f t="shared" ca="1" si="53"/>
        <v>#DIV/0!</v>
      </c>
      <c r="AM158" s="557">
        <f t="shared" ca="1" si="54"/>
        <v>45800</v>
      </c>
      <c r="AN158" s="558">
        <v>24.7</v>
      </c>
      <c r="AO158" s="558">
        <v>2780800</v>
      </c>
      <c r="AP158" s="558">
        <v>206.48981000000001</v>
      </c>
      <c r="AQ158" s="558">
        <v>5100.298307</v>
      </c>
      <c r="AR158" s="558">
        <v>0.36709999999999998</v>
      </c>
    </row>
    <row r="159" spans="2:44">
      <c r="B159" s="559">
        <f t="shared" ca="1" si="55"/>
        <v>44876</v>
      </c>
      <c r="C159" s="555">
        <f ca="1">(IFERROR(IFERROR(VALUE(_xll.BDH(C$4,"CURRENT_EV_TO_T12M_EBITDA",$B159,$B159)),VALUE(_xll.BDH(C$4,"CURRENT_EV_TO_T12M_EBITDA",$B159+1,$B159+1))),C160))</f>
        <v>0</v>
      </c>
      <c r="D159" s="555">
        <f ca="1">(IFERROR(IFERROR(VALUE(_xll.BDH(D$4,"CURRENT_EV_TO_T12M_EBITDA",$B159,$B159)),VALUE(_xll.BDH(D$4,"CURRENT_EV_TO_T12M_EBITDA",$B159+1,$B159+1))),D160))</f>
        <v>0</v>
      </c>
      <c r="E159" s="555">
        <f ca="1">(IFERROR(IFERROR(VALUE(_xll.BDH(E$4,"CURRENT_EV_TO_T12M_EBITDA",$B159,$B159)),VALUE(_xll.BDH(E$4,"CURRENT_EV_TO_T12M_EBITDA",$B159+1,$B159+1))),E160))</f>
        <v>0</v>
      </c>
      <c r="F159" s="555">
        <f ca="1">(IFERROR(IFERROR(VALUE(_xll.BDH(F$4,"CURRENT_EV_TO_T12M_EBITDA",$B159,$B159)),VALUE(_xll.BDH(F$4,"CURRENT_EV_TO_T12M_EBITDA",$B159+1,$B159+1))),F160))</f>
        <v>0</v>
      </c>
      <c r="G159" s="555">
        <f ca="1">(IFERROR(IFERROR(VALUE(_xll.BDH(G$4,"CURRENT_EV_TO_T12M_EBITDA",$B159,$B159)),VALUE(_xll.BDH(G$4,"CURRENT_EV_TO_T12M_EBITDA",$B159+1,$B159+1))),G160))</f>
        <v>0</v>
      </c>
      <c r="H159" s="555">
        <f ca="1">(IFERROR(IFERROR(VALUE(_xll.BDH(H$4,"CURRENT_EV_TO_T12M_EBITDA",$B159,$B159)),VALUE(_xll.BDH(H$4,"CURRENT_EV_TO_T12M_EBITDA",$B159+1,$B159+1))),H160))</f>
        <v>0</v>
      </c>
      <c r="I159" s="559">
        <f t="shared" ca="1" si="45"/>
        <v>44876</v>
      </c>
      <c r="J159" s="555">
        <f ca="1">(IFERROR(IFERROR(VALUE(_xll.BDH(J$4,"PE_RATIO",$B159,$B159)),VALUE(_xll.BDH(J$4,"PE_RATIO",$B159+1,$B159+1))),J160))</f>
        <v>0</v>
      </c>
      <c r="K159" s="555">
        <f ca="1">(IFERROR(IFERROR(VALUE(_xll.BDH(K$4,"PE_RATIO",$B159,$B159)),VALUE(_xll.BDH(K$4,"PE_RATIO",$B159+1,$B159+1))),K160))</f>
        <v>0</v>
      </c>
      <c r="L159" s="555">
        <f ca="1">(IFERROR(IFERROR(VALUE(_xll.BDH(L$4,"PE_RATIO",$B159,$B159)),VALUE(_xll.BDH(L$4,"PE_RATIO",$B159+1,$B159+1))),L160))</f>
        <v>0</v>
      </c>
      <c r="M159" s="555">
        <f ca="1">(IFERROR(IFERROR(VALUE(_xll.BDH(M$4,"PE_RATIO",$B159,$B159)),VALUE(_xll.BDH(M$4,"PE_RATIO",$B159+1,$B159+1))),M160))</f>
        <v>0</v>
      </c>
      <c r="N159" s="555">
        <f ca="1">(IFERROR(IFERROR(VALUE(_xll.BDH(N$4,"PE_RATIO",$B159,$B159)),VALUE(_xll.BDH(N$4,"PE_RATIO",$B159+1,$B159+1))),N160))</f>
        <v>0</v>
      </c>
      <c r="O159" s="555">
        <f ca="1">(IFERROR(IFERROR(VALUE(_xll.BDH(O$4,"PE_RATIO",$B159,$B159)),VALUE(_xll.BDH(O$4,"PE_RATIO",$B159+1,$B159+1))),O160))</f>
        <v>0</v>
      </c>
      <c r="P159" s="555"/>
      <c r="Q159" s="559">
        <f t="shared" ca="1" si="46"/>
        <v>44876</v>
      </c>
      <c r="R159" s="4">
        <v>96.5</v>
      </c>
      <c r="S159" s="4">
        <v>108376.35</v>
      </c>
      <c r="T159" s="4">
        <v>0</v>
      </c>
      <c r="U159" s="4">
        <v>1</v>
      </c>
      <c r="V159" s="4">
        <v>1</v>
      </c>
      <c r="W159" s="4" t="e">
        <v>#DIV/0!</v>
      </c>
      <c r="Y159" s="555">
        <f t="shared" si="47"/>
        <v>96.5</v>
      </c>
      <c r="Z159" s="4">
        <f ca="1">IFERROR(VALUE(_xll.BDH(Z$4,"PX_LAST",$Q159,$Q159)),Z160)</f>
        <v>0</v>
      </c>
      <c r="AA159" s="4">
        <f ca="1">IFERROR(VALUE(_xll.BDH(AA$4,"PX_LAST",$Q159,$Q159)),AA160)</f>
        <v>0</v>
      </c>
      <c r="AB159" s="4">
        <f ca="1">IFERROR(VALUE(_xll.BDH(AB$4,"PX_LAST",$Q159,$Q159)),AB160)</f>
        <v>0</v>
      </c>
      <c r="AC159" s="4">
        <f ca="1">IFERROR(VALUE(_xll.BDH(AC$4,"PX_LAST",$Q159,$Q159)),AC160)</f>
        <v>0</v>
      </c>
      <c r="AD159" s="4">
        <f ca="1">IFERROR(VALUE(_xll.BDH(AD$4,"PX_LAST",$Q159,$Q159)),AD160)</f>
        <v>0</v>
      </c>
      <c r="AF159" s="4">
        <f t="shared" si="48"/>
        <v>1</v>
      </c>
      <c r="AG159" s="4" t="e">
        <f t="shared" ca="1" si="49"/>
        <v>#DIV/0!</v>
      </c>
      <c r="AH159" s="4" t="e">
        <f t="shared" ca="1" si="50"/>
        <v>#DIV/0!</v>
      </c>
      <c r="AI159" s="4" t="e">
        <f t="shared" ca="1" si="51"/>
        <v>#DIV/0!</v>
      </c>
      <c r="AJ159" s="4" t="e">
        <f t="shared" ca="1" si="52"/>
        <v>#DIV/0!</v>
      </c>
      <c r="AK159" s="4" t="e">
        <f t="shared" ca="1" si="53"/>
        <v>#DIV/0!</v>
      </c>
      <c r="AM159" s="557">
        <f t="shared" ca="1" si="54"/>
        <v>45799</v>
      </c>
      <c r="AN159" s="558">
        <v>24.17</v>
      </c>
      <c r="AO159" s="558">
        <v>2822900</v>
      </c>
      <c r="AP159" s="558">
        <v>206.48981000000001</v>
      </c>
      <c r="AQ159" s="558">
        <v>4990.8587077000002</v>
      </c>
      <c r="AR159" s="558">
        <v>0.35920000000000002</v>
      </c>
    </row>
    <row r="160" spans="2:44">
      <c r="B160" s="559">
        <f t="shared" ca="1" si="55"/>
        <v>44869</v>
      </c>
      <c r="I160" s="559">
        <f t="shared" ca="1" si="45"/>
        <v>44869</v>
      </c>
      <c r="Q160" s="559">
        <f t="shared" ca="1" si="46"/>
        <v>44869</v>
      </c>
      <c r="R160" s="4">
        <v>98</v>
      </c>
      <c r="S160" s="4">
        <v>112516.91</v>
      </c>
      <c r="T160" s="4">
        <v>0</v>
      </c>
      <c r="AM160" s="557">
        <f t="shared" ca="1" si="54"/>
        <v>45798</v>
      </c>
      <c r="AN160" s="558">
        <v>24.59</v>
      </c>
      <c r="AO160" s="558">
        <v>2545700</v>
      </c>
      <c r="AP160" s="558">
        <v>206.48981000000001</v>
      </c>
      <c r="AQ160" s="558">
        <v>5077.5844279000003</v>
      </c>
      <c r="AR160" s="558">
        <v>0.3649</v>
      </c>
    </row>
    <row r="161" spans="2:44">
      <c r="B161" s="559">
        <f t="shared" ca="1" si="55"/>
        <v>44862</v>
      </c>
      <c r="I161" s="559">
        <f t="shared" ca="1" si="45"/>
        <v>44862</v>
      </c>
      <c r="Q161" s="559">
        <f t="shared" ca="1" si="46"/>
        <v>44862</v>
      </c>
      <c r="R161" s="4">
        <v>94</v>
      </c>
      <c r="S161" s="4">
        <v>110793.96</v>
      </c>
      <c r="T161" s="4">
        <v>0</v>
      </c>
      <c r="AM161" s="557">
        <f t="shared" ca="1" si="54"/>
        <v>45797</v>
      </c>
      <c r="AN161" s="558">
        <v>24.59</v>
      </c>
      <c r="AO161" s="558">
        <v>2545700</v>
      </c>
      <c r="AP161" s="558">
        <v>206.48981000000001</v>
      </c>
      <c r="AQ161" s="558">
        <v>5077.5844279000003</v>
      </c>
      <c r="AR161" s="558">
        <v>0.3649</v>
      </c>
    </row>
    <row r="162" spans="2:44">
      <c r="B162" s="559">
        <f t="shared" ca="1" si="55"/>
        <v>44855</v>
      </c>
      <c r="I162" s="559">
        <f t="shared" ca="1" si="45"/>
        <v>44855</v>
      </c>
      <c r="Q162" s="559">
        <f t="shared" ca="1" si="46"/>
        <v>44855</v>
      </c>
      <c r="R162" s="4">
        <v>91.66</v>
      </c>
      <c r="S162" s="4">
        <v>109763.77</v>
      </c>
      <c r="T162" s="4">
        <v>0</v>
      </c>
      <c r="AM162" s="557">
        <f t="shared" ca="1" si="54"/>
        <v>45796</v>
      </c>
      <c r="AN162" s="558">
        <v>24.59</v>
      </c>
      <c r="AO162" s="558">
        <v>2545700</v>
      </c>
      <c r="AP162" s="558">
        <v>206.48981000000001</v>
      </c>
      <c r="AQ162" s="558">
        <v>5077.5844279000003</v>
      </c>
      <c r="AR162" s="558">
        <v>0.3649</v>
      </c>
    </row>
    <row r="163" spans="2:44">
      <c r="AM163" s="557">
        <f t="shared" ca="1" si="54"/>
        <v>45795</v>
      </c>
      <c r="AN163" s="558">
        <v>25.585000000000001</v>
      </c>
      <c r="AO163" s="558">
        <v>1570300</v>
      </c>
      <c r="AP163" s="558">
        <v>206.48981000000001</v>
      </c>
      <c r="AQ163" s="558">
        <v>5283.0417888500006</v>
      </c>
      <c r="AR163" s="558">
        <v>0.37919999999999998</v>
      </c>
    </row>
    <row r="164" spans="2:44">
      <c r="B164" s="375" t="s">
        <v>20</v>
      </c>
      <c r="C164" s="548"/>
      <c r="D164" s="23"/>
      <c r="E164" s="4">
        <v>1.19737</v>
      </c>
      <c r="F164" s="4" t="s">
        <v>779</v>
      </c>
      <c r="AM164" s="557">
        <f t="shared" ca="1" si="54"/>
        <v>45794</v>
      </c>
      <c r="AN164" s="558">
        <v>25.045000000000002</v>
      </c>
      <c r="AO164" s="558">
        <v>1861400</v>
      </c>
      <c r="AP164" s="558">
        <v>206.48981000000001</v>
      </c>
      <c r="AQ164" s="558">
        <v>5171.5372914500003</v>
      </c>
      <c r="AR164" s="558">
        <v>0.37140000000000001</v>
      </c>
    </row>
    <row r="165" spans="2:44">
      <c r="B165" s="375" t="s">
        <v>21</v>
      </c>
      <c r="C165" s="23"/>
      <c r="D165" s="23"/>
      <c r="E165" s="4">
        <v>0.16420970000000001</v>
      </c>
      <c r="F165" s="4" t="s">
        <v>780</v>
      </c>
      <c r="AM165" s="557">
        <f t="shared" ca="1" si="54"/>
        <v>45793</v>
      </c>
      <c r="AN165" s="558">
        <v>24.704999999999998</v>
      </c>
      <c r="AO165" s="558">
        <v>1319600</v>
      </c>
      <c r="AP165" s="558">
        <v>206.48981000000001</v>
      </c>
      <c r="AQ165" s="558">
        <v>5101.3307560499998</v>
      </c>
      <c r="AR165" s="558">
        <v>0.36630000000000001</v>
      </c>
    </row>
    <row r="166" spans="2:44">
      <c r="B166" s="375" t="s">
        <v>22</v>
      </c>
      <c r="C166" s="23"/>
      <c r="D166" s="23"/>
      <c r="E166" s="4">
        <v>36.141500000000001</v>
      </c>
      <c r="F166" s="4" t="s">
        <v>781</v>
      </c>
      <c r="AM166" s="557">
        <f t="shared" ca="1" si="54"/>
        <v>45792</v>
      </c>
      <c r="AN166" s="558">
        <v>24.504999999999999</v>
      </c>
      <c r="AO166" s="558">
        <v>1909400</v>
      </c>
      <c r="AP166" s="558">
        <v>206.48981000000001</v>
      </c>
      <c r="AQ166" s="558">
        <v>5060.0327940500001</v>
      </c>
      <c r="AR166" s="558">
        <v>0.3634</v>
      </c>
    </row>
    <row r="167" spans="2:44">
      <c r="B167" s="375"/>
      <c r="C167" s="23"/>
      <c r="D167" s="23"/>
      <c r="AM167" s="557">
        <f t="shared" ca="1" si="54"/>
        <v>45791</v>
      </c>
      <c r="AN167" s="558">
        <v>24.72</v>
      </c>
      <c r="AO167" s="558">
        <v>2258800</v>
      </c>
      <c r="AP167" s="558">
        <v>206.48981000000001</v>
      </c>
      <c r="AQ167" s="558">
        <v>5104.4281031999999</v>
      </c>
      <c r="AR167" s="558">
        <v>0.38529999999999998</v>
      </c>
    </row>
    <row r="168" spans="2:44">
      <c r="B168" s="375" t="s">
        <v>24</v>
      </c>
      <c r="C168" s="23"/>
      <c r="D168" s="23"/>
      <c r="E168" s="4">
        <v>2277173</v>
      </c>
      <c r="F168" s="4" t="s">
        <v>782</v>
      </c>
      <c r="AM168" s="557">
        <f t="shared" ca="1" si="54"/>
        <v>45790</v>
      </c>
      <c r="AN168" s="558">
        <v>24.72</v>
      </c>
      <c r="AO168" s="558">
        <v>2258800</v>
      </c>
      <c r="AP168" s="558">
        <v>206.48981000000001</v>
      </c>
      <c r="AQ168" s="558">
        <v>5104.4281031999999</v>
      </c>
      <c r="AR168" s="558">
        <v>0.38529999999999998</v>
      </c>
    </row>
    <row r="169" spans="2:44">
      <c r="B169" s="375" t="s">
        <v>520</v>
      </c>
      <c r="C169" s="23"/>
      <c r="D169" s="23"/>
      <c r="E169" s="4">
        <v>206.4898</v>
      </c>
      <c r="F169" s="4" t="s">
        <v>783</v>
      </c>
      <c r="AM169" s="557">
        <f t="shared" ca="1" si="54"/>
        <v>45789</v>
      </c>
      <c r="AN169" s="558">
        <v>24.72</v>
      </c>
      <c r="AO169" s="558">
        <v>2258800</v>
      </c>
      <c r="AP169" s="558">
        <v>206.48981000000001</v>
      </c>
      <c r="AQ169" s="558">
        <v>5104.4281031999999</v>
      </c>
      <c r="AR169" s="558">
        <v>0.38529999999999998</v>
      </c>
    </row>
    <row r="170" spans="2:44">
      <c r="B170" s="375" t="s">
        <v>28</v>
      </c>
      <c r="C170" s="23"/>
      <c r="D170" s="23"/>
      <c r="E170" s="580">
        <v>0.60860000000000003</v>
      </c>
      <c r="F170" s="4" t="s">
        <v>784</v>
      </c>
      <c r="AM170" s="557">
        <f t="shared" ca="1" si="54"/>
        <v>45788</v>
      </c>
      <c r="AN170" s="558">
        <v>24.934999999999999</v>
      </c>
      <c r="AO170" s="558">
        <v>2007400</v>
      </c>
      <c r="AP170" s="558">
        <v>206.48981000000001</v>
      </c>
      <c r="AQ170" s="558">
        <v>5148.8234123499997</v>
      </c>
      <c r="AR170" s="558">
        <v>0.39040000000000002</v>
      </c>
    </row>
    <row r="171" spans="2:44">
      <c r="B171" s="375" t="s">
        <v>30</v>
      </c>
      <c r="C171" s="23"/>
      <c r="D171" s="23"/>
      <c r="E171" s="580" t="e">
        <v>#VALUE!</v>
      </c>
      <c r="F171" s="4" t="s">
        <v>785</v>
      </c>
      <c r="AM171" s="557">
        <f ca="1">AM170-1</f>
        <v>45787</v>
      </c>
      <c r="AN171" s="558">
        <v>24.225000000000001</v>
      </c>
      <c r="AO171" s="558">
        <v>2460800</v>
      </c>
      <c r="AP171" s="558">
        <v>206.48981000000001</v>
      </c>
      <c r="AQ171" s="558">
        <v>5002.2156472500001</v>
      </c>
      <c r="AR171" s="558">
        <v>0.37840000000000001</v>
      </c>
    </row>
    <row r="172" spans="2:44">
      <c r="B172" s="375"/>
      <c r="C172" s="23"/>
      <c r="D172" s="23"/>
      <c r="AM172" s="557">
        <f t="shared" ca="1" si="54"/>
        <v>45786</v>
      </c>
      <c r="AN172" s="558">
        <v>23.844999999999999</v>
      </c>
      <c r="AO172" s="558">
        <v>3117800</v>
      </c>
      <c r="AP172" s="558">
        <v>206.48981000000001</v>
      </c>
      <c r="AQ172" s="558">
        <v>4923.7495194499998</v>
      </c>
      <c r="AR172" s="558">
        <v>0.3715</v>
      </c>
    </row>
    <row r="173" spans="2:44">
      <c r="B173" s="375" t="s">
        <v>786</v>
      </c>
      <c r="C173" s="23"/>
      <c r="D173" s="23"/>
      <c r="E173" s="580">
        <v>0.15760000992203971</v>
      </c>
      <c r="F173" s="4" t="s">
        <v>787</v>
      </c>
      <c r="AM173" s="557">
        <f t="shared" ca="1" si="54"/>
        <v>45785</v>
      </c>
      <c r="AN173" s="558">
        <v>23.954999999999998</v>
      </c>
      <c r="AO173" s="558">
        <v>2148000</v>
      </c>
      <c r="AP173" s="558">
        <v>206.48981000000001</v>
      </c>
      <c r="AQ173" s="558">
        <v>4946.4633985499995</v>
      </c>
      <c r="AR173" s="558">
        <v>0.37340000000000001</v>
      </c>
    </row>
    <row r="174" spans="2:44">
      <c r="B174" s="375" t="s">
        <v>34</v>
      </c>
      <c r="C174" s="23"/>
      <c r="D174" s="23"/>
      <c r="E174" s="580">
        <v>0.7931779040727478</v>
      </c>
      <c r="F174" s="4" t="s">
        <v>788</v>
      </c>
      <c r="AM174" s="557">
        <f t="shared" ca="1" si="54"/>
        <v>45784</v>
      </c>
      <c r="AN174" s="558">
        <v>24.004999999999999</v>
      </c>
      <c r="AO174" s="558">
        <v>2878000</v>
      </c>
      <c r="AP174" s="558">
        <v>206.48981000000001</v>
      </c>
      <c r="AQ174" s="558">
        <v>4956.7878890499996</v>
      </c>
      <c r="AR174" s="558">
        <v>0.37480000000000002</v>
      </c>
    </row>
    <row r="175" spans="2:44">
      <c r="AM175" s="557">
        <f t="shared" ca="1" si="54"/>
        <v>45783</v>
      </c>
      <c r="AN175" s="558">
        <v>24.004999999999999</v>
      </c>
      <c r="AO175" s="558">
        <v>2878000</v>
      </c>
      <c r="AP175" s="558">
        <v>206.48981000000001</v>
      </c>
      <c r="AQ175" s="558">
        <v>4956.7878890499996</v>
      </c>
      <c r="AR175" s="558">
        <v>0.37480000000000002</v>
      </c>
    </row>
    <row r="176" spans="2:44">
      <c r="B176" s="375"/>
      <c r="C176" s="23"/>
      <c r="D176" s="23"/>
      <c r="AM176" s="557">
        <f t="shared" ca="1" si="54"/>
        <v>45782</v>
      </c>
      <c r="AN176" s="558">
        <v>24.004999999999999</v>
      </c>
      <c r="AO176" s="558">
        <v>2878000</v>
      </c>
      <c r="AP176" s="558">
        <v>206.48981000000001</v>
      </c>
      <c r="AQ176" s="558">
        <v>4956.7878890499996</v>
      </c>
      <c r="AR176" s="558">
        <v>0.37480000000000002</v>
      </c>
    </row>
    <row r="177" spans="2:44">
      <c r="B177" s="375"/>
      <c r="C177" s="23"/>
      <c r="D177" s="23"/>
      <c r="E177" s="580"/>
      <c r="AM177" s="557">
        <f t="shared" ca="1" si="54"/>
        <v>45781</v>
      </c>
      <c r="AN177" s="558">
        <v>23.76</v>
      </c>
      <c r="AO177" s="558">
        <v>2751100</v>
      </c>
      <c r="AP177" s="558">
        <v>206.48981000000001</v>
      </c>
      <c r="AQ177" s="558">
        <v>4906.1978856000005</v>
      </c>
      <c r="AR177" s="558">
        <v>0.3715</v>
      </c>
    </row>
    <row r="178" spans="2:44">
      <c r="B178" s="375"/>
      <c r="C178" s="23"/>
      <c r="D178" s="23"/>
      <c r="E178" s="580"/>
      <c r="AM178" s="557">
        <f t="shared" ca="1" si="54"/>
        <v>45780</v>
      </c>
      <c r="AN178" s="558">
        <v>23.44</v>
      </c>
      <c r="AO178" s="558">
        <v>6384400</v>
      </c>
      <c r="AP178" s="558">
        <v>206.48981000000001</v>
      </c>
      <c r="AQ178" s="558">
        <v>4840.1211464000007</v>
      </c>
      <c r="AR178" s="558">
        <v>0.36609999999999998</v>
      </c>
    </row>
    <row r="179" spans="2:44">
      <c r="B179" s="375"/>
      <c r="C179" s="23"/>
      <c r="D179" s="23"/>
      <c r="E179" s="580"/>
      <c r="AM179" s="557">
        <f t="shared" ca="1" si="54"/>
        <v>45779</v>
      </c>
      <c r="AN179" s="558">
        <v>23.004999999999999</v>
      </c>
      <c r="AO179" s="558">
        <v>8450600</v>
      </c>
      <c r="AP179" s="558">
        <v>206.48981000000001</v>
      </c>
      <c r="AQ179" s="558">
        <v>4750.2980790499996</v>
      </c>
      <c r="AR179" s="558">
        <v>0.35920000000000002</v>
      </c>
    </row>
    <row r="180" spans="2:44">
      <c r="AM180" s="557">
        <f t="shared" ca="1" si="54"/>
        <v>45778</v>
      </c>
      <c r="AN180" s="558">
        <v>21.754999999999999</v>
      </c>
      <c r="AO180" s="558">
        <v>10090600</v>
      </c>
      <c r="AP180" s="558">
        <v>206.48981000000001</v>
      </c>
      <c r="AQ180" s="558">
        <v>4492.1858165499998</v>
      </c>
      <c r="AR180" s="558">
        <v>0.33979999999999999</v>
      </c>
    </row>
    <row r="181" spans="2:44">
      <c r="AM181" s="557">
        <f t="shared" ca="1" si="54"/>
        <v>45777</v>
      </c>
      <c r="AN181" s="558">
        <v>21.49</v>
      </c>
      <c r="AO181" s="558">
        <v>12686700</v>
      </c>
      <c r="AP181" s="558">
        <v>206.48981000000001</v>
      </c>
      <c r="AQ181" s="558">
        <v>4437.4660168999999</v>
      </c>
      <c r="AR181" s="558">
        <v>0.33579999999999999</v>
      </c>
    </row>
    <row r="182" spans="2:44">
      <c r="AM182" s="557">
        <f t="shared" ca="1" si="54"/>
        <v>45776</v>
      </c>
      <c r="AN182" s="558">
        <v>21.49</v>
      </c>
      <c r="AO182" s="558">
        <v>12686700</v>
      </c>
      <c r="AP182" s="558">
        <v>206.48981000000001</v>
      </c>
      <c r="AQ182" s="558">
        <v>4437.4660168999999</v>
      </c>
      <c r="AR182" s="558">
        <v>0.33579999999999999</v>
      </c>
    </row>
    <row r="183" spans="2:44">
      <c r="AM183" s="557">
        <f t="shared" ca="1" si="54"/>
        <v>45775</v>
      </c>
      <c r="AN183" s="558">
        <v>21.49</v>
      </c>
      <c r="AO183" s="558">
        <v>12686700</v>
      </c>
      <c r="AP183" s="558">
        <v>206.48981000000001</v>
      </c>
      <c r="AQ183" s="558">
        <v>4437.4660168999999</v>
      </c>
      <c r="AR183" s="558">
        <v>0.33579999999999999</v>
      </c>
    </row>
    <row r="184" spans="2:44">
      <c r="AM184" s="557">
        <f t="shared" ca="1" si="54"/>
        <v>45774</v>
      </c>
      <c r="AN184" s="558">
        <v>23.99</v>
      </c>
      <c r="AO184" s="558">
        <v>5550300</v>
      </c>
      <c r="AP184" s="558">
        <v>206.48981000000001</v>
      </c>
      <c r="AQ184" s="558">
        <v>4953.6905418999995</v>
      </c>
      <c r="AR184" s="558">
        <v>0.37480000000000002</v>
      </c>
    </row>
    <row r="185" spans="2:44">
      <c r="AM185" s="557">
        <f t="shared" ca="1" si="54"/>
        <v>45773</v>
      </c>
      <c r="AN185" s="558">
        <v>22.925000000000001</v>
      </c>
      <c r="AO185" s="558">
        <v>16295500</v>
      </c>
      <c r="AP185" s="558">
        <v>206.48981000000001</v>
      </c>
      <c r="AQ185" s="558">
        <v>4733.7788942500001</v>
      </c>
      <c r="AR185" s="558">
        <v>0.35749999999999998</v>
      </c>
    </row>
    <row r="186" spans="2:44">
      <c r="AM186" s="557">
        <f t="shared" ca="1" si="54"/>
        <v>45772</v>
      </c>
      <c r="AN186" s="558">
        <v>26.515000000000001</v>
      </c>
      <c r="AO186" s="558">
        <v>1295500</v>
      </c>
      <c r="AP186" s="558">
        <v>206.48981000000001</v>
      </c>
      <c r="AQ186" s="558">
        <v>5475.0773121500006</v>
      </c>
      <c r="AR186" s="558">
        <v>0.4128</v>
      </c>
    </row>
    <row r="187" spans="2:44">
      <c r="AM187" s="557">
        <f t="shared" ca="1" si="54"/>
        <v>45771</v>
      </c>
      <c r="AN187" s="558">
        <v>26.265000000000001</v>
      </c>
      <c r="AO187" s="558">
        <v>1319600</v>
      </c>
      <c r="AP187" s="558">
        <v>206.48981000000001</v>
      </c>
      <c r="AQ187" s="558">
        <v>5423.4548596499999</v>
      </c>
      <c r="AR187" s="558">
        <v>0.41039999999999999</v>
      </c>
    </row>
    <row r="188" spans="2:44">
      <c r="AM188" s="557">
        <f t="shared" ca="1" si="54"/>
        <v>45770</v>
      </c>
      <c r="AN188" s="558">
        <v>26.65</v>
      </c>
      <c r="AO188" s="558">
        <v>1734900</v>
      </c>
      <c r="AP188" s="558">
        <v>206.48981000000001</v>
      </c>
      <c r="AQ188" s="558">
        <v>5502.9534365</v>
      </c>
      <c r="AR188" s="558">
        <v>0.41539999999999999</v>
      </c>
    </row>
    <row r="189" spans="2:44">
      <c r="AM189" s="557">
        <f t="shared" ca="1" si="54"/>
        <v>45769</v>
      </c>
      <c r="AN189" s="558">
        <v>26.65</v>
      </c>
      <c r="AO189" s="558">
        <v>1734900</v>
      </c>
      <c r="AP189" s="558">
        <v>206.48981000000001</v>
      </c>
      <c r="AQ189" s="558">
        <v>5502.9534365</v>
      </c>
      <c r="AR189" s="558">
        <v>0.41539999999999999</v>
      </c>
    </row>
    <row r="190" spans="2:44">
      <c r="AM190" s="557">
        <f t="shared" ca="1" si="54"/>
        <v>45768</v>
      </c>
      <c r="AN190" s="558">
        <v>26.65</v>
      </c>
      <c r="AO190" s="558">
        <v>1734900</v>
      </c>
      <c r="AP190" s="558">
        <v>206.48981000000001</v>
      </c>
      <c r="AQ190" s="558">
        <v>5502.9534365</v>
      </c>
      <c r="AR190" s="558">
        <v>0.41539999999999999</v>
      </c>
    </row>
    <row r="191" spans="2:44">
      <c r="AM191" s="557">
        <f t="shared" ca="1" si="54"/>
        <v>45767</v>
      </c>
      <c r="AN191" s="558">
        <v>25.8</v>
      </c>
      <c r="AO191" s="558">
        <v>1430000</v>
      </c>
      <c r="AP191" s="558">
        <v>206.48981000000001</v>
      </c>
      <c r="AQ191" s="558">
        <v>5327.4370980000003</v>
      </c>
      <c r="AR191" s="558">
        <v>0.40339999999999998</v>
      </c>
    </row>
    <row r="192" spans="2:44">
      <c r="AM192" s="557">
        <f t="shared" ca="1" si="54"/>
        <v>45766</v>
      </c>
      <c r="AN192" s="558">
        <v>25.73</v>
      </c>
      <c r="AO192" s="558">
        <v>1118900</v>
      </c>
      <c r="AP192" s="558">
        <v>206.48981000000001</v>
      </c>
      <c r="AQ192" s="558">
        <v>5312.9828113000003</v>
      </c>
      <c r="AR192" s="558">
        <v>0.40210000000000001</v>
      </c>
    </row>
    <row r="193" spans="39:44">
      <c r="AM193" s="557">
        <f t="shared" ca="1" si="54"/>
        <v>45765</v>
      </c>
      <c r="AN193" s="558">
        <v>26.02</v>
      </c>
      <c r="AO193" s="558">
        <v>2143100</v>
      </c>
      <c r="AP193" s="558">
        <v>206.48981000000001</v>
      </c>
      <c r="AQ193" s="558">
        <v>5372.8648561999998</v>
      </c>
      <c r="AR193" s="558">
        <v>0.40600000000000003</v>
      </c>
    </row>
    <row r="194" spans="39:44">
      <c r="AM194" s="557">
        <f t="shared" ca="1" si="54"/>
        <v>45764</v>
      </c>
      <c r="AN194" s="558">
        <v>26.02</v>
      </c>
      <c r="AO194" s="558">
        <v>2143100</v>
      </c>
      <c r="AP194" s="558">
        <v>206.48981000000001</v>
      </c>
      <c r="AQ194" s="558">
        <v>5372.8648561999998</v>
      </c>
      <c r="AR194" s="558">
        <v>0.40600000000000003</v>
      </c>
    </row>
    <row r="195" spans="39:44">
      <c r="AM195" s="557">
        <f t="shared" ca="1" si="54"/>
        <v>45763</v>
      </c>
      <c r="AN195" s="558">
        <v>26.02</v>
      </c>
      <c r="AO195" s="558">
        <v>2143100</v>
      </c>
      <c r="AP195" s="558">
        <v>206.48981000000001</v>
      </c>
      <c r="AQ195" s="558">
        <v>5372.8648561999998</v>
      </c>
      <c r="AR195" s="558">
        <v>0.40600000000000003</v>
      </c>
    </row>
    <row r="196" spans="39:44">
      <c r="AM196" s="557">
        <f t="shared" ca="1" si="54"/>
        <v>45762</v>
      </c>
      <c r="AN196" s="558">
        <v>26.02</v>
      </c>
      <c r="AO196" s="558">
        <v>2143100</v>
      </c>
      <c r="AP196" s="558">
        <v>206.48981000000001</v>
      </c>
      <c r="AQ196" s="558">
        <v>5372.8648561999998</v>
      </c>
      <c r="AR196" s="558">
        <v>0.40600000000000003</v>
      </c>
    </row>
    <row r="197" spans="39:44">
      <c r="AM197" s="557">
        <f t="shared" ref="AM197:AM260" ca="1" si="56">AM196-1</f>
        <v>45761</v>
      </c>
      <c r="AN197" s="558">
        <v>26.02</v>
      </c>
      <c r="AO197" s="558">
        <v>2143100</v>
      </c>
      <c r="AP197" s="558">
        <v>206.48981000000001</v>
      </c>
      <c r="AQ197" s="558">
        <v>5372.8648561999998</v>
      </c>
      <c r="AR197" s="558">
        <v>0.40600000000000003</v>
      </c>
    </row>
    <row r="198" spans="39:44">
      <c r="AM198" s="557">
        <f t="shared" ca="1" si="56"/>
        <v>45760</v>
      </c>
      <c r="AN198" s="558">
        <v>27.045000000000002</v>
      </c>
      <c r="AO198" s="558">
        <v>1964400</v>
      </c>
      <c r="AP198" s="558">
        <v>206.48981000000001</v>
      </c>
      <c r="AQ198" s="558">
        <v>5584.5169114500004</v>
      </c>
      <c r="AR198" s="558">
        <v>0.42280000000000001</v>
      </c>
    </row>
    <row r="199" spans="39:44">
      <c r="AM199" s="557">
        <f t="shared" ca="1" si="56"/>
        <v>45759</v>
      </c>
      <c r="AN199" s="558">
        <v>26.72</v>
      </c>
      <c r="AO199" s="558">
        <v>3126200</v>
      </c>
      <c r="AP199" s="558">
        <v>206.48981000000001</v>
      </c>
      <c r="AQ199" s="558">
        <v>5517.4077232</v>
      </c>
      <c r="AR199" s="558">
        <v>0.41839999999999999</v>
      </c>
    </row>
    <row r="200" spans="39:44">
      <c r="AM200" s="557">
        <f t="shared" ca="1" si="56"/>
        <v>45758</v>
      </c>
      <c r="AN200" s="558">
        <v>27.715</v>
      </c>
      <c r="AO200" s="558">
        <v>2764700</v>
      </c>
      <c r="AP200" s="558">
        <v>206.48981000000001</v>
      </c>
      <c r="AQ200" s="558">
        <v>5722.8650841500003</v>
      </c>
      <c r="AR200" s="558">
        <v>0.43290000000000001</v>
      </c>
    </row>
    <row r="201" spans="39:44">
      <c r="AM201" s="557">
        <f t="shared" ca="1" si="56"/>
        <v>45757</v>
      </c>
      <c r="AN201" s="558">
        <v>28.69</v>
      </c>
      <c r="AO201" s="558">
        <v>1631400</v>
      </c>
      <c r="AP201" s="558">
        <v>206.48981000000001</v>
      </c>
      <c r="AQ201" s="558">
        <v>5924.1926489000007</v>
      </c>
      <c r="AR201" s="558">
        <v>0.44800000000000001</v>
      </c>
    </row>
    <row r="202" spans="39:44">
      <c r="AM202" s="557">
        <f t="shared" ca="1" si="56"/>
        <v>45756</v>
      </c>
      <c r="AN202" s="558">
        <v>31.024999999999999</v>
      </c>
      <c r="AO202" s="558">
        <v>2264400</v>
      </c>
      <c r="AP202" s="558">
        <v>206.48981000000001</v>
      </c>
      <c r="AQ202" s="558">
        <v>6406.3463552499998</v>
      </c>
      <c r="AR202" s="558">
        <v>0.48409999999999997</v>
      </c>
    </row>
    <row r="203" spans="39:44">
      <c r="AM203" s="557">
        <f t="shared" ca="1" si="56"/>
        <v>45755</v>
      </c>
      <c r="AN203" s="558">
        <v>31.024999999999999</v>
      </c>
      <c r="AO203" s="558">
        <v>2264400</v>
      </c>
      <c r="AP203" s="558">
        <v>206.48981000000001</v>
      </c>
      <c r="AQ203" s="558">
        <v>6406.3463552499998</v>
      </c>
      <c r="AR203" s="558">
        <v>0.48409999999999997</v>
      </c>
    </row>
    <row r="204" spans="39:44">
      <c r="AM204" s="557">
        <f t="shared" ca="1" si="56"/>
        <v>45754</v>
      </c>
      <c r="AN204" s="558">
        <v>31.024999999999999</v>
      </c>
      <c r="AO204" s="558">
        <v>2264400</v>
      </c>
      <c r="AP204" s="558">
        <v>206.48981000000001</v>
      </c>
      <c r="AQ204" s="558">
        <v>6406.3463552499998</v>
      </c>
      <c r="AR204" s="558">
        <v>0.48409999999999997</v>
      </c>
    </row>
    <row r="205" spans="39:44">
      <c r="AM205" s="557">
        <f t="shared" ca="1" si="56"/>
        <v>45753</v>
      </c>
      <c r="AN205" s="558">
        <v>31.84</v>
      </c>
      <c r="AO205" s="558">
        <v>1656800</v>
      </c>
      <c r="AP205" s="558">
        <v>206.48981000000001</v>
      </c>
      <c r="AQ205" s="558">
        <v>6574.6355504000003</v>
      </c>
      <c r="AR205" s="558">
        <v>0.49659999999999999</v>
      </c>
    </row>
    <row r="206" spans="39:44">
      <c r="AM206" s="557">
        <f t="shared" ca="1" si="56"/>
        <v>45752</v>
      </c>
      <c r="AN206" s="558">
        <v>31.725000000000001</v>
      </c>
      <c r="AO206" s="558">
        <v>2434100</v>
      </c>
      <c r="AP206" s="558">
        <v>206.48981000000001</v>
      </c>
      <c r="AQ206" s="558">
        <v>6550.8892222500008</v>
      </c>
      <c r="AR206" s="558">
        <v>0.49380000000000002</v>
      </c>
    </row>
    <row r="207" spans="39:44">
      <c r="AM207" s="557">
        <f t="shared" ca="1" si="56"/>
        <v>45751</v>
      </c>
      <c r="AN207" s="558">
        <v>32.85</v>
      </c>
      <c r="AO207" s="558">
        <v>2180900</v>
      </c>
      <c r="AP207" s="558">
        <v>206.48981000000001</v>
      </c>
      <c r="AQ207" s="558">
        <v>6783.1902585000007</v>
      </c>
      <c r="AR207" s="558">
        <v>0.51239999999999997</v>
      </c>
    </row>
    <row r="208" spans="39:44">
      <c r="AM208" s="557">
        <f t="shared" ca="1" si="56"/>
        <v>45750</v>
      </c>
      <c r="AN208" s="558">
        <v>31.96</v>
      </c>
      <c r="AO208" s="558">
        <v>2760000</v>
      </c>
      <c r="AP208" s="558">
        <v>206.48981000000001</v>
      </c>
      <c r="AQ208" s="558">
        <v>6599.4143276000004</v>
      </c>
      <c r="AR208" s="558">
        <v>0.49959999999999999</v>
      </c>
    </row>
    <row r="209" spans="39:44">
      <c r="AM209" s="557">
        <f t="shared" ca="1" si="56"/>
        <v>45749</v>
      </c>
      <c r="AN209" s="558">
        <v>32.034999999999997</v>
      </c>
      <c r="AO209" s="558">
        <v>2174300</v>
      </c>
      <c r="AP209" s="558">
        <v>206.48981000000001</v>
      </c>
      <c r="AQ209" s="558">
        <v>6614.9010633499993</v>
      </c>
      <c r="AR209" s="558">
        <v>0.50009999999999999</v>
      </c>
    </row>
    <row r="210" spans="39:44">
      <c r="AM210" s="557">
        <f t="shared" ca="1" si="56"/>
        <v>45748</v>
      </c>
      <c r="AN210" s="558">
        <v>32.034999999999997</v>
      </c>
      <c r="AO210" s="558">
        <v>2174300</v>
      </c>
      <c r="AP210" s="558">
        <v>206.48981000000001</v>
      </c>
      <c r="AQ210" s="558">
        <v>6614.9010633499993</v>
      </c>
      <c r="AR210" s="558">
        <v>0.50009999999999999</v>
      </c>
    </row>
    <row r="211" spans="39:44">
      <c r="AM211" s="557">
        <f t="shared" ca="1" si="56"/>
        <v>45747</v>
      </c>
      <c r="AN211" s="558">
        <v>32.034999999999997</v>
      </c>
      <c r="AO211" s="558">
        <v>2174300</v>
      </c>
      <c r="AP211" s="558">
        <v>206.48981000000001</v>
      </c>
      <c r="AQ211" s="558">
        <v>6614.9010633499993</v>
      </c>
      <c r="AR211" s="558">
        <v>0.50009999999999999</v>
      </c>
    </row>
    <row r="212" spans="39:44">
      <c r="AM212" s="557">
        <f t="shared" ca="1" si="56"/>
        <v>45746</v>
      </c>
      <c r="AN212" s="558">
        <v>31.15</v>
      </c>
      <c r="AO212" s="558">
        <v>1604500</v>
      </c>
      <c r="AP212" s="558">
        <v>206.48981000000001</v>
      </c>
      <c r="AQ212" s="558">
        <v>6432.1575814999997</v>
      </c>
      <c r="AR212" s="558">
        <v>0.48720000000000002</v>
      </c>
    </row>
    <row r="213" spans="39:44">
      <c r="AM213" s="557">
        <f t="shared" ca="1" si="56"/>
        <v>45745</v>
      </c>
      <c r="AN213" s="558">
        <v>31.425000000000001</v>
      </c>
      <c r="AO213" s="558">
        <v>2165100</v>
      </c>
      <c r="AP213" s="558">
        <v>206.48981000000001</v>
      </c>
      <c r="AQ213" s="558">
        <v>6488.94227925</v>
      </c>
      <c r="AR213" s="558">
        <v>0.49159999999999998</v>
      </c>
    </row>
    <row r="214" spans="39:44">
      <c r="AM214" s="557">
        <f t="shared" ca="1" si="56"/>
        <v>45744</v>
      </c>
      <c r="AN214" s="558">
        <v>32.71</v>
      </c>
      <c r="AO214" s="558">
        <v>1623500</v>
      </c>
      <c r="AP214" s="558">
        <v>206.48981000000001</v>
      </c>
      <c r="AQ214" s="558">
        <v>6754.2816851000007</v>
      </c>
      <c r="AR214" s="558">
        <v>0.51070000000000004</v>
      </c>
    </row>
    <row r="215" spans="39:44">
      <c r="AM215" s="557">
        <f t="shared" ca="1" si="56"/>
        <v>45743</v>
      </c>
      <c r="AN215" s="558">
        <v>33.299999999999997</v>
      </c>
      <c r="AO215" s="558">
        <v>994400</v>
      </c>
      <c r="AP215" s="558">
        <v>206.48981000000001</v>
      </c>
      <c r="AQ215" s="558">
        <v>6876.1106729999992</v>
      </c>
      <c r="AR215" s="558">
        <v>0.5202</v>
      </c>
    </row>
    <row r="216" spans="39:44">
      <c r="AM216" s="557">
        <f t="shared" ca="1" si="56"/>
        <v>45742</v>
      </c>
      <c r="AN216" s="558">
        <v>33.83</v>
      </c>
      <c r="AO216" s="558">
        <v>3115700</v>
      </c>
      <c r="AP216" s="558">
        <v>206.48981000000001</v>
      </c>
      <c r="AQ216" s="558">
        <v>6985.5502723</v>
      </c>
      <c r="AR216" s="558">
        <v>0.52890000000000004</v>
      </c>
    </row>
    <row r="217" spans="39:44">
      <c r="AM217" s="557">
        <f t="shared" ca="1" si="56"/>
        <v>45741</v>
      </c>
      <c r="AN217" s="558">
        <v>33.83</v>
      </c>
      <c r="AO217" s="558">
        <v>3115700</v>
      </c>
      <c r="AP217" s="558">
        <v>206.48981000000001</v>
      </c>
      <c r="AQ217" s="558">
        <v>6985.5502723</v>
      </c>
      <c r="AR217" s="558">
        <v>0.52890000000000004</v>
      </c>
    </row>
    <row r="218" spans="39:44">
      <c r="AM218" s="557">
        <f t="shared" ca="1" si="56"/>
        <v>45740</v>
      </c>
      <c r="AN218" s="558">
        <v>33.83</v>
      </c>
      <c r="AO218" s="558">
        <v>3115700</v>
      </c>
      <c r="AP218" s="558">
        <v>206.48981000000001</v>
      </c>
      <c r="AQ218" s="558">
        <v>6985.5502723</v>
      </c>
      <c r="AR218" s="558">
        <v>0.52890000000000004</v>
      </c>
    </row>
    <row r="219" spans="39:44">
      <c r="AM219" s="557">
        <f t="shared" ca="1" si="56"/>
        <v>45739</v>
      </c>
      <c r="AN219" s="558">
        <v>34.32</v>
      </c>
      <c r="AO219" s="558">
        <v>2612500</v>
      </c>
      <c r="AP219" s="558">
        <v>206.48981000000001</v>
      </c>
      <c r="AQ219" s="558">
        <v>7086.7302792</v>
      </c>
      <c r="AR219" s="558">
        <v>0.53769999999999996</v>
      </c>
    </row>
    <row r="220" spans="39:44">
      <c r="AM220" s="557">
        <f t="shared" ca="1" si="56"/>
        <v>45738</v>
      </c>
      <c r="AN220" s="558">
        <v>33.475000000000001</v>
      </c>
      <c r="AO220" s="558">
        <v>2211300</v>
      </c>
      <c r="AP220" s="558">
        <v>206.48981000000001</v>
      </c>
      <c r="AQ220" s="558">
        <v>6912.2463897500002</v>
      </c>
      <c r="AR220" s="558">
        <v>0.52380000000000004</v>
      </c>
    </row>
    <row r="221" spans="39:44">
      <c r="AM221" s="557">
        <f t="shared" ca="1" si="56"/>
        <v>45737</v>
      </c>
      <c r="AN221" s="558">
        <v>33.68</v>
      </c>
      <c r="AO221" s="558">
        <v>1918600</v>
      </c>
      <c r="AP221" s="558">
        <v>206.48981000000001</v>
      </c>
      <c r="AQ221" s="558">
        <v>6954.5768008000005</v>
      </c>
      <c r="AR221" s="558">
        <v>0.52549999999999997</v>
      </c>
    </row>
    <row r="222" spans="39:44">
      <c r="AM222" s="557">
        <f t="shared" ca="1" si="56"/>
        <v>45736</v>
      </c>
      <c r="AN222" s="558">
        <v>34.164999999999999</v>
      </c>
      <c r="AO222" s="558">
        <v>1293900</v>
      </c>
      <c r="AP222" s="558">
        <v>206.48981000000001</v>
      </c>
      <c r="AQ222" s="558">
        <v>7054.7243586499999</v>
      </c>
      <c r="AR222" s="558">
        <v>0.53359999999999996</v>
      </c>
    </row>
    <row r="223" spans="39:44">
      <c r="AM223" s="557">
        <f t="shared" ca="1" si="56"/>
        <v>45735</v>
      </c>
      <c r="AN223" s="558">
        <v>34.17</v>
      </c>
      <c r="AO223" s="558">
        <v>1733600</v>
      </c>
      <c r="AP223" s="558">
        <v>206.48981000000001</v>
      </c>
      <c r="AQ223" s="558">
        <v>7055.7568077000005</v>
      </c>
      <c r="AR223" s="558">
        <v>0.5333</v>
      </c>
    </row>
    <row r="224" spans="39:44">
      <c r="AM224" s="557">
        <f t="shared" ca="1" si="56"/>
        <v>45734</v>
      </c>
      <c r="AN224" s="558">
        <v>34.17</v>
      </c>
      <c r="AO224" s="558">
        <v>1733600</v>
      </c>
      <c r="AP224" s="558">
        <v>206.48981000000001</v>
      </c>
      <c r="AQ224" s="558">
        <v>7055.7568077000005</v>
      </c>
      <c r="AR224" s="558">
        <v>0.5333</v>
      </c>
    </row>
    <row r="225" spans="39:44">
      <c r="AM225" s="557">
        <f t="shared" ca="1" si="56"/>
        <v>45733</v>
      </c>
      <c r="AN225" s="558">
        <v>34.17</v>
      </c>
      <c r="AO225" s="558">
        <v>1733600</v>
      </c>
      <c r="AP225" s="558">
        <v>206.48981000000001</v>
      </c>
      <c r="AQ225" s="558">
        <v>7055.7568077000005</v>
      </c>
      <c r="AR225" s="558">
        <v>0.5333</v>
      </c>
    </row>
    <row r="226" spans="39:44">
      <c r="AM226" s="557">
        <f t="shared" ca="1" si="56"/>
        <v>45732</v>
      </c>
      <c r="AN226" s="558">
        <v>34.755000000000003</v>
      </c>
      <c r="AO226" s="558">
        <v>3346500</v>
      </c>
      <c r="AP226" s="558">
        <v>206.48981000000001</v>
      </c>
      <c r="AQ226" s="558">
        <v>7176.5533465500012</v>
      </c>
      <c r="AR226" s="558">
        <v>0.54159999999999997</v>
      </c>
    </row>
    <row r="227" spans="39:44">
      <c r="AM227" s="557">
        <f t="shared" ca="1" si="56"/>
        <v>45731</v>
      </c>
      <c r="AN227" s="558">
        <v>33.65</v>
      </c>
      <c r="AO227" s="558">
        <v>1230400</v>
      </c>
      <c r="AP227" s="558">
        <v>206.48981000000001</v>
      </c>
      <c r="AQ227" s="558">
        <v>6948.3821065000002</v>
      </c>
      <c r="AR227" s="558">
        <v>0.52470000000000006</v>
      </c>
    </row>
    <row r="228" spans="39:44">
      <c r="AM228" s="557">
        <f t="shared" ca="1" si="56"/>
        <v>45730</v>
      </c>
      <c r="AN228" s="558">
        <v>33.734999999999999</v>
      </c>
      <c r="AO228" s="558">
        <v>1369500</v>
      </c>
      <c r="AP228" s="558">
        <v>206.48981000000001</v>
      </c>
      <c r="AQ228" s="558">
        <v>6965.9337403500003</v>
      </c>
      <c r="AR228" s="558">
        <v>0.52710000000000001</v>
      </c>
    </row>
    <row r="229" spans="39:44">
      <c r="AM229" s="557">
        <f t="shared" ca="1" si="56"/>
        <v>45729</v>
      </c>
      <c r="AN229" s="558">
        <v>33.234999999999999</v>
      </c>
      <c r="AO229" s="558">
        <v>1976200</v>
      </c>
      <c r="AP229" s="558">
        <v>206.48981000000001</v>
      </c>
      <c r="AQ229" s="558">
        <v>6862.6888353499999</v>
      </c>
      <c r="AR229" s="558">
        <v>0.51770000000000005</v>
      </c>
    </row>
    <row r="230" spans="39:44">
      <c r="AM230" s="557">
        <f t="shared" ca="1" si="56"/>
        <v>45728</v>
      </c>
      <c r="AN230" s="558">
        <v>31.82</v>
      </c>
      <c r="AO230" s="558">
        <v>905300</v>
      </c>
      <c r="AP230" s="558">
        <v>206.48981000000001</v>
      </c>
      <c r="AQ230" s="558">
        <v>6570.5057542000004</v>
      </c>
      <c r="AR230" s="558">
        <v>0.49659999999999999</v>
      </c>
    </row>
    <row r="231" spans="39:44">
      <c r="AM231" s="557">
        <f t="shared" ca="1" si="56"/>
        <v>45727</v>
      </c>
      <c r="AN231" s="558">
        <v>31.82</v>
      </c>
      <c r="AO231" s="558">
        <v>905300</v>
      </c>
      <c r="AP231" s="558">
        <v>206.48981000000001</v>
      </c>
      <c r="AQ231" s="558">
        <v>6570.5057542000004</v>
      </c>
      <c r="AR231" s="558">
        <v>0.49659999999999999</v>
      </c>
    </row>
    <row r="232" spans="39:44">
      <c r="AM232" s="557">
        <f t="shared" ca="1" si="56"/>
        <v>45726</v>
      </c>
      <c r="AN232" s="558">
        <v>31.82</v>
      </c>
      <c r="AO232" s="558">
        <v>905300</v>
      </c>
      <c r="AP232" s="558">
        <v>206.48981000000001</v>
      </c>
      <c r="AQ232" s="558">
        <v>6570.5057542000004</v>
      </c>
      <c r="AR232" s="558">
        <v>0.49659999999999999</v>
      </c>
    </row>
    <row r="233" spans="39:44">
      <c r="AM233" s="557">
        <f t="shared" ca="1" si="56"/>
        <v>45725</v>
      </c>
      <c r="AN233" s="558">
        <v>32.164999999999999</v>
      </c>
      <c r="AO233" s="558">
        <v>2031700</v>
      </c>
      <c r="AP233" s="558">
        <v>206.48981000000001</v>
      </c>
      <c r="AQ233" s="558">
        <v>6641.7447386499998</v>
      </c>
      <c r="AR233" s="558">
        <v>0.50209999999999999</v>
      </c>
    </row>
    <row r="234" spans="39:44">
      <c r="AM234" s="557">
        <f t="shared" ca="1" si="56"/>
        <v>45724</v>
      </c>
      <c r="AN234" s="558">
        <v>32.18</v>
      </c>
      <c r="AO234" s="558">
        <v>2873800</v>
      </c>
      <c r="AP234" s="558">
        <v>206.48981000000001</v>
      </c>
      <c r="AQ234" s="558">
        <v>6644.8420857999999</v>
      </c>
      <c r="AR234" s="558">
        <v>0.503</v>
      </c>
    </row>
    <row r="235" spans="39:44">
      <c r="AM235" s="557">
        <f t="shared" ca="1" si="56"/>
        <v>45723</v>
      </c>
      <c r="AN235" s="558">
        <v>31.475000000000001</v>
      </c>
      <c r="AO235" s="558">
        <v>1121800</v>
      </c>
      <c r="AP235" s="558">
        <v>206.48981000000001</v>
      </c>
      <c r="AQ235" s="558">
        <v>6499.2667697500001</v>
      </c>
      <c r="AR235" s="558">
        <v>0.49120000000000003</v>
      </c>
    </row>
    <row r="236" spans="39:44">
      <c r="AM236" s="557">
        <f t="shared" ca="1" si="56"/>
        <v>45722</v>
      </c>
      <c r="AN236" s="558">
        <v>31.385000000000002</v>
      </c>
      <c r="AO236" s="558">
        <v>1575900</v>
      </c>
      <c r="AP236" s="558">
        <v>206.48981000000001</v>
      </c>
      <c r="AQ236" s="558">
        <v>6480.6826868500002</v>
      </c>
      <c r="AR236" s="558">
        <v>0.4899</v>
      </c>
    </row>
    <row r="237" spans="39:44">
      <c r="AM237" s="557">
        <f t="shared" ca="1" si="56"/>
        <v>45721</v>
      </c>
      <c r="AN237" s="558">
        <v>30.35</v>
      </c>
      <c r="AO237" s="558">
        <v>1823300</v>
      </c>
      <c r="AP237" s="558">
        <v>206.48981000000001</v>
      </c>
      <c r="AQ237" s="558">
        <v>6266.9657335000002</v>
      </c>
      <c r="AR237" s="558">
        <v>0.47349999999999998</v>
      </c>
    </row>
    <row r="238" spans="39:44">
      <c r="AM238" s="557">
        <f t="shared" ca="1" si="56"/>
        <v>45720</v>
      </c>
      <c r="AN238" s="558">
        <v>30.35</v>
      </c>
      <c r="AO238" s="558">
        <v>1823300</v>
      </c>
      <c r="AP238" s="558">
        <v>206.48981000000001</v>
      </c>
      <c r="AQ238" s="558">
        <v>6266.9657335000002</v>
      </c>
      <c r="AR238" s="558">
        <v>0.47349999999999998</v>
      </c>
    </row>
    <row r="239" spans="39:44">
      <c r="AM239" s="557">
        <f t="shared" ca="1" si="56"/>
        <v>45719</v>
      </c>
      <c r="AN239" s="558">
        <v>30.35</v>
      </c>
      <c r="AO239" s="558">
        <v>1823300</v>
      </c>
      <c r="AP239" s="558">
        <v>206.48981000000001</v>
      </c>
      <c r="AQ239" s="558">
        <v>6266.9657335000002</v>
      </c>
      <c r="AR239" s="558">
        <v>0.47349999999999998</v>
      </c>
    </row>
    <row r="240" spans="39:44">
      <c r="AM240" s="557">
        <f t="shared" ca="1" si="56"/>
        <v>45718</v>
      </c>
      <c r="AN240" s="558">
        <v>30.69</v>
      </c>
      <c r="AO240" s="558">
        <v>1165000</v>
      </c>
      <c r="AP240" s="558">
        <v>206.48981000000001</v>
      </c>
      <c r="AQ240" s="558">
        <v>6337.1722689000007</v>
      </c>
      <c r="AR240" s="558">
        <v>0.47689999999999999</v>
      </c>
    </row>
    <row r="241" spans="39:44">
      <c r="AM241" s="557">
        <f t="shared" ca="1" si="56"/>
        <v>45717</v>
      </c>
      <c r="AN241" s="558">
        <v>31.405000000000001</v>
      </c>
      <c r="AO241" s="558">
        <v>1621400</v>
      </c>
      <c r="AP241" s="558">
        <v>206.48981000000001</v>
      </c>
      <c r="AQ241" s="558">
        <v>6484.8124830500001</v>
      </c>
      <c r="AR241" s="558">
        <v>0.49070000000000003</v>
      </c>
    </row>
    <row r="242" spans="39:44">
      <c r="AM242" s="557">
        <f t="shared" ca="1" si="56"/>
        <v>45716</v>
      </c>
      <c r="AN242" s="558">
        <v>30.29</v>
      </c>
      <c r="AO242" s="558">
        <v>1490300</v>
      </c>
      <c r="AP242" s="558">
        <v>206.48981000000001</v>
      </c>
      <c r="AQ242" s="558">
        <v>6254.5763448999996</v>
      </c>
      <c r="AR242" s="558">
        <v>0.47320000000000001</v>
      </c>
    </row>
    <row r="243" spans="39:44">
      <c r="AM243" s="557">
        <f t="shared" ca="1" si="56"/>
        <v>45715</v>
      </c>
      <c r="AN243" s="558">
        <v>29.725000000000001</v>
      </c>
      <c r="AO243" s="558">
        <v>1702200</v>
      </c>
      <c r="AP243" s="558">
        <v>206.48981000000001</v>
      </c>
      <c r="AQ243" s="558">
        <v>6137.9096022500007</v>
      </c>
      <c r="AR243" s="558">
        <v>0.46379999999999999</v>
      </c>
    </row>
    <row r="244" spans="39:44">
      <c r="AM244" s="557">
        <f t="shared" ca="1" si="56"/>
        <v>45714</v>
      </c>
      <c r="AN244" s="558">
        <v>30.12</v>
      </c>
      <c r="AO244" s="558">
        <v>785700</v>
      </c>
      <c r="AP244" s="558">
        <v>206.48981000000001</v>
      </c>
      <c r="AQ244" s="558">
        <v>6219.4730772000003</v>
      </c>
      <c r="AR244" s="558">
        <v>0.47020000000000001</v>
      </c>
    </row>
    <row r="245" spans="39:44">
      <c r="AM245" s="557">
        <f t="shared" ca="1" si="56"/>
        <v>45713</v>
      </c>
      <c r="AN245" s="558">
        <v>30.12</v>
      </c>
      <c r="AO245" s="558">
        <v>785700</v>
      </c>
      <c r="AP245" s="558">
        <v>206.48981000000001</v>
      </c>
      <c r="AQ245" s="558">
        <v>6219.4730772000003</v>
      </c>
      <c r="AR245" s="558">
        <v>0.47020000000000001</v>
      </c>
    </row>
    <row r="246" spans="39:44">
      <c r="AM246" s="557">
        <f t="shared" ca="1" si="56"/>
        <v>45712</v>
      </c>
      <c r="AN246" s="558">
        <v>30.12</v>
      </c>
      <c r="AO246" s="558">
        <v>785700</v>
      </c>
      <c r="AP246" s="558">
        <v>206.48981000000001</v>
      </c>
      <c r="AQ246" s="558">
        <v>6219.4730772000003</v>
      </c>
      <c r="AR246" s="558">
        <v>0.47020000000000001</v>
      </c>
    </row>
    <row r="247" spans="39:44">
      <c r="AM247" s="557">
        <f t="shared" ca="1" si="56"/>
        <v>45711</v>
      </c>
      <c r="AN247" s="558">
        <v>30.585000000000001</v>
      </c>
      <c r="AO247" s="558">
        <v>777000</v>
      </c>
      <c r="AP247" s="558">
        <v>206.48981000000001</v>
      </c>
      <c r="AQ247" s="558">
        <v>6315.4908388500007</v>
      </c>
      <c r="AR247" s="558">
        <v>0.47939999999999999</v>
      </c>
    </row>
    <row r="248" spans="39:44">
      <c r="AM248" s="557">
        <f t="shared" ca="1" si="56"/>
        <v>45710</v>
      </c>
      <c r="AN248" s="558">
        <v>30.675000000000001</v>
      </c>
      <c r="AO248" s="558">
        <v>1000400</v>
      </c>
      <c r="AP248" s="558">
        <v>206.48981000000001</v>
      </c>
      <c r="AQ248" s="558">
        <v>6334.0749217500006</v>
      </c>
      <c r="AR248" s="558">
        <v>0.47870000000000001</v>
      </c>
    </row>
    <row r="249" spans="39:44">
      <c r="AM249" s="557">
        <f t="shared" ca="1" si="56"/>
        <v>45709</v>
      </c>
      <c r="AN249" s="558">
        <v>31.36</v>
      </c>
      <c r="AO249" s="558">
        <v>2623200</v>
      </c>
      <c r="AP249" s="558">
        <v>206.48981000000001</v>
      </c>
      <c r="AQ249" s="558">
        <v>6475.5204415999997</v>
      </c>
      <c r="AR249" s="558">
        <v>0.48909999999999998</v>
      </c>
    </row>
    <row r="250" spans="39:44">
      <c r="AM250" s="557">
        <f t="shared" ca="1" si="56"/>
        <v>45708</v>
      </c>
      <c r="AN250" s="558">
        <v>30.515000000000001</v>
      </c>
      <c r="AO250" s="558">
        <v>1856700</v>
      </c>
      <c r="AP250" s="558">
        <v>206.48981000000001</v>
      </c>
      <c r="AQ250" s="558">
        <v>6301.0365521500007</v>
      </c>
      <c r="AR250" s="558">
        <v>0.47710000000000002</v>
      </c>
    </row>
    <row r="251" spans="39:44">
      <c r="AM251" s="557">
        <f t="shared" ca="1" si="56"/>
        <v>45707</v>
      </c>
      <c r="AN251" s="558">
        <v>28.925000000000001</v>
      </c>
      <c r="AO251" s="558">
        <v>1559300</v>
      </c>
      <c r="AP251" s="558">
        <v>206.48981000000001</v>
      </c>
      <c r="AQ251" s="558">
        <v>5972.7177542500003</v>
      </c>
      <c r="AR251" s="558">
        <v>0.45100000000000001</v>
      </c>
    </row>
    <row r="252" spans="39:44">
      <c r="AM252" s="557">
        <f t="shared" ca="1" si="56"/>
        <v>45706</v>
      </c>
      <c r="AN252" s="558">
        <v>28.925000000000001</v>
      </c>
      <c r="AO252" s="558">
        <v>1559300</v>
      </c>
      <c r="AP252" s="558">
        <v>206.48981000000001</v>
      </c>
      <c r="AQ252" s="558">
        <v>5972.7177542500003</v>
      </c>
      <c r="AR252" s="558">
        <v>0.45100000000000001</v>
      </c>
    </row>
    <row r="253" spans="39:44">
      <c r="AM253" s="557">
        <f t="shared" ca="1" si="56"/>
        <v>45705</v>
      </c>
      <c r="AN253" s="558">
        <v>28.925000000000001</v>
      </c>
      <c r="AO253" s="558">
        <v>1559300</v>
      </c>
      <c r="AP253" s="558">
        <v>206.48981000000001</v>
      </c>
      <c r="AQ253" s="558">
        <v>5972.7177542500003</v>
      </c>
      <c r="AR253" s="558">
        <v>0.45100000000000001</v>
      </c>
    </row>
    <row r="254" spans="39:44">
      <c r="AM254" s="557">
        <f t="shared" ca="1" si="56"/>
        <v>45704</v>
      </c>
      <c r="AN254" s="558">
        <v>29.135000000000002</v>
      </c>
      <c r="AO254" s="558">
        <v>2199700</v>
      </c>
      <c r="AP254" s="558">
        <v>206.48981000000001</v>
      </c>
      <c r="AQ254" s="558">
        <v>6016.0806143500004</v>
      </c>
      <c r="AR254" s="558">
        <v>0.4551</v>
      </c>
    </row>
    <row r="255" spans="39:44">
      <c r="AM255" s="557">
        <f t="shared" ca="1" si="56"/>
        <v>45703</v>
      </c>
      <c r="AN255" s="558">
        <v>29.5</v>
      </c>
      <c r="AO255" s="558">
        <v>1257400</v>
      </c>
      <c r="AP255" s="558">
        <v>206.48981000000001</v>
      </c>
      <c r="AQ255" s="558">
        <v>6091.4493950000005</v>
      </c>
      <c r="AR255" s="558">
        <v>0.5292</v>
      </c>
    </row>
    <row r="256" spans="39:44">
      <c r="AM256" s="557">
        <f t="shared" ca="1" si="56"/>
        <v>45702</v>
      </c>
      <c r="AN256" s="558">
        <v>29.5</v>
      </c>
      <c r="AO256" s="558">
        <v>1257400</v>
      </c>
      <c r="AP256" s="558">
        <v>206.48981000000001</v>
      </c>
      <c r="AQ256" s="558">
        <v>6091.4493950000005</v>
      </c>
      <c r="AR256" s="558">
        <v>0.5292</v>
      </c>
    </row>
    <row r="257" spans="39:44">
      <c r="AM257" s="557">
        <f t="shared" ca="1" si="56"/>
        <v>45701</v>
      </c>
      <c r="AN257" s="558">
        <v>29.5</v>
      </c>
      <c r="AO257" s="558">
        <v>1257400</v>
      </c>
      <c r="AP257" s="558">
        <v>206.48981000000001</v>
      </c>
      <c r="AQ257" s="558">
        <v>6091.4493950000005</v>
      </c>
      <c r="AR257" s="558">
        <v>0.5292</v>
      </c>
    </row>
    <row r="258" spans="39:44">
      <c r="AM258" s="557">
        <f t="shared" ca="1" si="56"/>
        <v>45700</v>
      </c>
      <c r="AN258" s="558">
        <v>29.11</v>
      </c>
      <c r="AO258" s="558">
        <v>1625000</v>
      </c>
      <c r="AP258" s="558">
        <v>206.48981000000001</v>
      </c>
      <c r="AQ258" s="558">
        <v>6010.9183690999998</v>
      </c>
      <c r="AR258" s="558">
        <v>0.52129999999999999</v>
      </c>
    </row>
    <row r="259" spans="39:44">
      <c r="AM259" s="557">
        <f t="shared" ca="1" si="56"/>
        <v>45699</v>
      </c>
      <c r="AN259" s="558">
        <v>29.11</v>
      </c>
      <c r="AO259" s="558">
        <v>1625000</v>
      </c>
      <c r="AP259" s="558">
        <v>206.48981000000001</v>
      </c>
      <c r="AQ259" s="558">
        <v>6010.9183690999998</v>
      </c>
      <c r="AR259" s="558">
        <v>0.52129999999999999</v>
      </c>
    </row>
    <row r="260" spans="39:44">
      <c r="AM260" s="557">
        <f t="shared" ca="1" si="56"/>
        <v>45698</v>
      </c>
      <c r="AN260" s="558">
        <v>29.11</v>
      </c>
      <c r="AO260" s="558">
        <v>1625000</v>
      </c>
      <c r="AP260" s="558">
        <v>206.48981000000001</v>
      </c>
      <c r="AQ260" s="558">
        <v>6010.9183690999998</v>
      </c>
      <c r="AR260" s="558">
        <v>0.52129999999999999</v>
      </c>
    </row>
    <row r="261" spans="39:44">
      <c r="AM261" s="557">
        <f t="shared" ref="AM261:AM324" ca="1" si="57">AM260-1</f>
        <v>45697</v>
      </c>
      <c r="AN261" s="558">
        <v>28.785</v>
      </c>
      <c r="AO261" s="558">
        <v>2312500</v>
      </c>
      <c r="AP261" s="558">
        <v>206.48981000000001</v>
      </c>
      <c r="AQ261" s="558">
        <v>5943.8091808500003</v>
      </c>
      <c r="AR261" s="558">
        <v>0.51570000000000005</v>
      </c>
    </row>
    <row r="262" spans="39:44">
      <c r="AM262" s="557">
        <f t="shared" ca="1" si="57"/>
        <v>45696</v>
      </c>
      <c r="AN262" s="558">
        <v>29.335000000000001</v>
      </c>
      <c r="AO262" s="558">
        <v>1580200</v>
      </c>
      <c r="AP262" s="558">
        <v>206.48981000000001</v>
      </c>
      <c r="AQ262" s="558">
        <v>6057.37857635</v>
      </c>
      <c r="AR262" s="558">
        <v>0.52490000000000003</v>
      </c>
    </row>
    <row r="263" spans="39:44">
      <c r="AM263" s="557">
        <f t="shared" ca="1" si="57"/>
        <v>45695</v>
      </c>
      <c r="AN263" s="558">
        <v>29.335000000000001</v>
      </c>
      <c r="AO263" s="558">
        <v>1580200</v>
      </c>
      <c r="AP263" s="558">
        <v>206.48981000000001</v>
      </c>
      <c r="AQ263" s="558">
        <v>6057.37857635</v>
      </c>
      <c r="AR263" s="558">
        <v>0.52490000000000003</v>
      </c>
    </row>
    <row r="264" spans="39:44">
      <c r="AM264" s="557">
        <f t="shared" ca="1" si="57"/>
        <v>45694</v>
      </c>
      <c r="AN264" s="558">
        <v>29.335000000000001</v>
      </c>
      <c r="AO264" s="558">
        <v>1580200</v>
      </c>
      <c r="AP264" s="558">
        <v>206.48981000000001</v>
      </c>
      <c r="AQ264" s="558">
        <v>6057.37857635</v>
      </c>
      <c r="AR264" s="558">
        <v>0.52490000000000003</v>
      </c>
    </row>
    <row r="265" spans="39:44">
      <c r="AM265" s="557">
        <f t="shared" ca="1" si="57"/>
        <v>45693</v>
      </c>
      <c r="AN265" s="558">
        <v>30.88</v>
      </c>
      <c r="AO265" s="558">
        <v>3665800</v>
      </c>
      <c r="AP265" s="558">
        <v>206.48981000000001</v>
      </c>
      <c r="AQ265" s="558">
        <v>6376.4053328</v>
      </c>
      <c r="AR265" s="558">
        <v>0.55459999999999998</v>
      </c>
    </row>
    <row r="266" spans="39:44">
      <c r="AM266" s="557">
        <f t="shared" ca="1" si="57"/>
        <v>45692</v>
      </c>
      <c r="AN266" s="558">
        <v>30.88</v>
      </c>
      <c r="AO266" s="558">
        <v>3665800</v>
      </c>
      <c r="AP266" s="558">
        <v>206.48981000000001</v>
      </c>
      <c r="AQ266" s="558">
        <v>6376.4053328</v>
      </c>
      <c r="AR266" s="558">
        <v>0.55459999999999998</v>
      </c>
    </row>
    <row r="267" spans="39:44">
      <c r="AM267" s="557">
        <f t="shared" ca="1" si="57"/>
        <v>45691</v>
      </c>
      <c r="AN267" s="558">
        <v>30.88</v>
      </c>
      <c r="AO267" s="558">
        <v>3665800</v>
      </c>
      <c r="AP267" s="558">
        <v>206.48981000000001</v>
      </c>
      <c r="AQ267" s="558">
        <v>6376.4053328</v>
      </c>
      <c r="AR267" s="558">
        <v>0.55459999999999998</v>
      </c>
    </row>
    <row r="268" spans="39:44">
      <c r="AM268" s="557">
        <f t="shared" ca="1" si="57"/>
        <v>45690</v>
      </c>
      <c r="AN268" s="558">
        <v>29.46</v>
      </c>
      <c r="AO268" s="558">
        <v>3489800</v>
      </c>
      <c r="AP268" s="558">
        <v>206.48981000000001</v>
      </c>
      <c r="AQ268" s="558">
        <v>6083.1898025999999</v>
      </c>
      <c r="AR268" s="558">
        <v>0.53039999999999998</v>
      </c>
    </row>
    <row r="269" spans="39:44">
      <c r="AM269" s="557">
        <f t="shared" ca="1" si="57"/>
        <v>45689</v>
      </c>
      <c r="AN269" s="558">
        <v>28.925000000000001</v>
      </c>
      <c r="AO269" s="558">
        <v>4361500</v>
      </c>
      <c r="AP269" s="558">
        <v>206.48981000000001</v>
      </c>
      <c r="AQ269" s="558">
        <v>5972.7177542500003</v>
      </c>
      <c r="AR269" s="558">
        <v>0.51880000000000004</v>
      </c>
    </row>
    <row r="270" spans="39:44">
      <c r="AM270" s="557">
        <f t="shared" ca="1" si="57"/>
        <v>45688</v>
      </c>
      <c r="AN270" s="558">
        <v>30.84</v>
      </c>
      <c r="AO270" s="558">
        <v>1921500</v>
      </c>
      <c r="AP270" s="558">
        <v>206.48981000000001</v>
      </c>
      <c r="AQ270" s="558">
        <v>6368.1457404000002</v>
      </c>
      <c r="AR270" s="558">
        <v>0.55300000000000005</v>
      </c>
    </row>
    <row r="271" spans="39:44">
      <c r="AM271" s="557">
        <f t="shared" ca="1" si="57"/>
        <v>45687</v>
      </c>
      <c r="AN271" s="558">
        <v>30.58</v>
      </c>
      <c r="AO271" s="558">
        <v>2873100</v>
      </c>
      <c r="AP271" s="558">
        <v>206.48981000000001</v>
      </c>
      <c r="AQ271" s="558">
        <v>6314.4583898000001</v>
      </c>
      <c r="AR271" s="558">
        <v>0.54559999999999997</v>
      </c>
    </row>
    <row r="272" spans="39:44">
      <c r="AM272" s="557">
        <f t="shared" ca="1" si="57"/>
        <v>45686</v>
      </c>
      <c r="AN272" s="558">
        <v>30.885000000000002</v>
      </c>
      <c r="AO272" s="558">
        <v>3657200</v>
      </c>
      <c r="AP272" s="558">
        <v>206.48981000000001</v>
      </c>
      <c r="AQ272" s="558">
        <v>6377.4377818500006</v>
      </c>
      <c r="AR272" s="558">
        <v>0.55400000000000005</v>
      </c>
    </row>
    <row r="273" spans="39:44">
      <c r="AM273" s="557">
        <f t="shared" ca="1" si="57"/>
        <v>45685</v>
      </c>
      <c r="AN273" s="558">
        <v>30.885000000000002</v>
      </c>
      <c r="AO273" s="558">
        <v>3657200</v>
      </c>
      <c r="AP273" s="558">
        <v>206.48981000000001</v>
      </c>
      <c r="AQ273" s="558">
        <v>6377.4377818500006</v>
      </c>
      <c r="AR273" s="558">
        <v>0.55400000000000005</v>
      </c>
    </row>
    <row r="274" spans="39:44">
      <c r="AM274" s="557">
        <f t="shared" ca="1" si="57"/>
        <v>45684</v>
      </c>
      <c r="AN274" s="558">
        <v>30.885000000000002</v>
      </c>
      <c r="AO274" s="558">
        <v>3657200</v>
      </c>
      <c r="AP274" s="558">
        <v>206.48981000000001</v>
      </c>
      <c r="AQ274" s="558">
        <v>6377.4377818500006</v>
      </c>
      <c r="AR274" s="558">
        <v>0.55400000000000005</v>
      </c>
    </row>
    <row r="275" spans="39:44">
      <c r="AM275" s="557">
        <f t="shared" ca="1" si="57"/>
        <v>45683</v>
      </c>
      <c r="AN275" s="558">
        <v>32.075000000000003</v>
      </c>
      <c r="AO275" s="558">
        <v>2314200</v>
      </c>
      <c r="AP275" s="558">
        <v>206.48981000000001</v>
      </c>
      <c r="AQ275" s="558">
        <v>6623.1606557500008</v>
      </c>
      <c r="AR275" s="558">
        <v>0.57299999999999995</v>
      </c>
    </row>
    <row r="276" spans="39:44">
      <c r="AM276" s="557">
        <f t="shared" ca="1" si="57"/>
        <v>45682</v>
      </c>
      <c r="AN276" s="558">
        <v>33.89</v>
      </c>
      <c r="AO276" s="558">
        <v>3335800</v>
      </c>
      <c r="AP276" s="558">
        <v>206.48981000000001</v>
      </c>
      <c r="AQ276" s="558">
        <v>6997.9396609000005</v>
      </c>
      <c r="AR276" s="558">
        <v>0.6079</v>
      </c>
    </row>
    <row r="277" spans="39:44">
      <c r="AM277" s="557">
        <f t="shared" ca="1" si="57"/>
        <v>45681</v>
      </c>
      <c r="AN277" s="558">
        <v>33.93</v>
      </c>
      <c r="AO277" s="558">
        <v>4487900</v>
      </c>
      <c r="AP277" s="558">
        <v>206.48981000000001</v>
      </c>
      <c r="AQ277" s="558">
        <v>7006.1992533000002</v>
      </c>
      <c r="AR277" s="558">
        <v>0.60640000000000005</v>
      </c>
    </row>
    <row r="278" spans="39:44">
      <c r="AM278" s="557">
        <f t="shared" ca="1" si="57"/>
        <v>45680</v>
      </c>
      <c r="AN278" s="558">
        <v>32.674999999999997</v>
      </c>
      <c r="AO278" s="558">
        <v>2651300</v>
      </c>
      <c r="AP278" s="558">
        <v>206.48981000000001</v>
      </c>
      <c r="AQ278" s="558">
        <v>6747.0545417499998</v>
      </c>
      <c r="AR278" s="558">
        <v>0.58430000000000004</v>
      </c>
    </row>
    <row r="279" spans="39:44">
      <c r="AM279" s="557">
        <f t="shared" ca="1" si="57"/>
        <v>45679</v>
      </c>
      <c r="AN279" s="558">
        <v>33.875</v>
      </c>
      <c r="AO279" s="558">
        <v>2726700</v>
      </c>
      <c r="AP279" s="558">
        <v>206.48981000000001</v>
      </c>
      <c r="AQ279" s="558">
        <v>6994.8423137500004</v>
      </c>
      <c r="AR279" s="558">
        <v>0.60809999999999997</v>
      </c>
    </row>
    <row r="280" spans="39:44">
      <c r="AM280" s="557">
        <f t="shared" ca="1" si="57"/>
        <v>45678</v>
      </c>
      <c r="AN280" s="558">
        <v>33.875</v>
      </c>
      <c r="AO280" s="558">
        <v>2726700</v>
      </c>
      <c r="AP280" s="558">
        <v>206.48981000000001</v>
      </c>
      <c r="AQ280" s="558">
        <v>6994.8423137500004</v>
      </c>
      <c r="AR280" s="558">
        <v>0.60809999999999997</v>
      </c>
    </row>
    <row r="281" spans="39:44">
      <c r="AM281" s="557">
        <f t="shared" ca="1" si="57"/>
        <v>45677</v>
      </c>
      <c r="AN281" s="558">
        <v>33.875</v>
      </c>
      <c r="AO281" s="558">
        <v>2726700</v>
      </c>
      <c r="AP281" s="558">
        <v>206.48981000000001</v>
      </c>
      <c r="AQ281" s="558">
        <v>6994.8423137500004</v>
      </c>
      <c r="AR281" s="558">
        <v>0.60809999999999997</v>
      </c>
    </row>
    <row r="282" spans="39:44">
      <c r="AM282" s="557">
        <f t="shared" ca="1" si="57"/>
        <v>45676</v>
      </c>
      <c r="AN282" s="558">
        <v>35.395000000000003</v>
      </c>
      <c r="AO282" s="558">
        <v>2721800</v>
      </c>
      <c r="AP282" s="558">
        <v>206.48981000000001</v>
      </c>
      <c r="AQ282" s="558">
        <v>7308.7068249500007</v>
      </c>
      <c r="AR282" s="558">
        <v>0.63329999999999997</v>
      </c>
    </row>
    <row r="283" spans="39:44">
      <c r="AM283" s="557">
        <f t="shared" ca="1" si="57"/>
        <v>45675</v>
      </c>
      <c r="AN283" s="558">
        <v>35.11</v>
      </c>
      <c r="AO283" s="558">
        <v>2725700</v>
      </c>
      <c r="AP283" s="558">
        <v>206.48981000000001</v>
      </c>
      <c r="AQ283" s="558">
        <v>7249.8572291</v>
      </c>
      <c r="AR283" s="558">
        <v>0.62770000000000004</v>
      </c>
    </row>
    <row r="284" spans="39:44">
      <c r="AM284" s="557">
        <f t="shared" ca="1" si="57"/>
        <v>45674</v>
      </c>
      <c r="AN284" s="558">
        <v>36.685000000000002</v>
      </c>
      <c r="AO284" s="558">
        <v>1047700</v>
      </c>
      <c r="AP284" s="558">
        <v>206.48981000000001</v>
      </c>
      <c r="AQ284" s="558">
        <v>7575.0786798500003</v>
      </c>
      <c r="AR284" s="558">
        <v>0.6573</v>
      </c>
    </row>
    <row r="285" spans="39:44">
      <c r="AM285" s="557">
        <f t="shared" ca="1" si="57"/>
        <v>45673</v>
      </c>
      <c r="AN285" s="558">
        <v>36.875</v>
      </c>
      <c r="AO285" s="558">
        <v>1550800</v>
      </c>
      <c r="AP285" s="558">
        <v>206.48981000000001</v>
      </c>
      <c r="AQ285" s="558">
        <v>7614.3117437500005</v>
      </c>
      <c r="AR285" s="558">
        <v>0.65939999999999999</v>
      </c>
    </row>
    <row r="286" spans="39:44">
      <c r="AM286" s="557">
        <f t="shared" ca="1" si="57"/>
        <v>45672</v>
      </c>
      <c r="AN286" s="558">
        <v>36.700000000000003</v>
      </c>
      <c r="AO286" s="558">
        <v>4103200</v>
      </c>
      <c r="AP286" s="558">
        <v>206.48981000000001</v>
      </c>
      <c r="AQ286" s="558">
        <v>7578.1760270000004</v>
      </c>
      <c r="AR286" s="558">
        <v>0.65639999999999998</v>
      </c>
    </row>
    <row r="287" spans="39:44">
      <c r="AM287" s="557">
        <f t="shared" ca="1" si="57"/>
        <v>45671</v>
      </c>
      <c r="AN287" s="558">
        <v>36.700000000000003</v>
      </c>
      <c r="AO287" s="558">
        <v>4103200</v>
      </c>
      <c r="AP287" s="558">
        <v>206.48981000000001</v>
      </c>
      <c r="AQ287" s="558">
        <v>7578.1760270000004</v>
      </c>
      <c r="AR287" s="558">
        <v>0.65639999999999998</v>
      </c>
    </row>
    <row r="288" spans="39:44">
      <c r="AM288" s="557">
        <f t="shared" ca="1" si="57"/>
        <v>45670</v>
      </c>
      <c r="AN288" s="558">
        <v>36.700000000000003</v>
      </c>
      <c r="AO288" s="558">
        <v>4103200</v>
      </c>
      <c r="AP288" s="558">
        <v>206.48981000000001</v>
      </c>
      <c r="AQ288" s="558">
        <v>7578.1760270000004</v>
      </c>
      <c r="AR288" s="558">
        <v>0.65639999999999998</v>
      </c>
    </row>
    <row r="289" spans="39:44">
      <c r="AM289" s="557">
        <f t="shared" ca="1" si="57"/>
        <v>45669</v>
      </c>
      <c r="AN289" s="558">
        <v>35.625</v>
      </c>
      <c r="AO289" s="558">
        <v>3653300</v>
      </c>
      <c r="AP289" s="558">
        <v>206.48981000000001</v>
      </c>
      <c r="AQ289" s="558">
        <v>7356.1994812500006</v>
      </c>
      <c r="AR289" s="558">
        <v>0.63790000000000002</v>
      </c>
    </row>
    <row r="290" spans="39:44">
      <c r="AM290" s="557">
        <f t="shared" ca="1" si="57"/>
        <v>45668</v>
      </c>
      <c r="AN290" s="558">
        <v>39.274999999999999</v>
      </c>
      <c r="AO290" s="558">
        <v>2226900</v>
      </c>
      <c r="AP290" s="558">
        <v>206.48981000000001</v>
      </c>
      <c r="AQ290" s="558">
        <v>8109.8872877499998</v>
      </c>
      <c r="AR290" s="558">
        <v>0.70479999999999998</v>
      </c>
    </row>
    <row r="291" spans="39:44">
      <c r="AM291" s="557">
        <f t="shared" ca="1" si="57"/>
        <v>45667</v>
      </c>
      <c r="AN291" s="558">
        <v>42.53</v>
      </c>
      <c r="AO291" s="558">
        <v>1907300</v>
      </c>
      <c r="AP291" s="558">
        <v>206.48981000000001</v>
      </c>
      <c r="AQ291" s="558">
        <v>8782.0116193000013</v>
      </c>
      <c r="AR291" s="558">
        <v>0.75960000000000005</v>
      </c>
    </row>
    <row r="292" spans="39:44">
      <c r="AM292" s="557">
        <f t="shared" ca="1" si="57"/>
        <v>45666</v>
      </c>
      <c r="AN292" s="558">
        <v>41.8</v>
      </c>
      <c r="AO292" s="558">
        <v>1556400</v>
      </c>
      <c r="AP292" s="558">
        <v>206.48981000000001</v>
      </c>
      <c r="AQ292" s="558">
        <v>8631.2740579999991</v>
      </c>
      <c r="AR292" s="558">
        <v>0.74560000000000004</v>
      </c>
    </row>
    <row r="293" spans="39:44">
      <c r="AM293" s="557">
        <f t="shared" ca="1" si="57"/>
        <v>45665</v>
      </c>
      <c r="AN293" s="558">
        <v>40.799999999999997</v>
      </c>
      <c r="AO293" s="558">
        <v>1060700</v>
      </c>
      <c r="AP293" s="558">
        <v>206.48981000000001</v>
      </c>
      <c r="AQ293" s="558">
        <v>8424.7842479999999</v>
      </c>
      <c r="AR293" s="558">
        <v>0.73060000000000003</v>
      </c>
    </row>
    <row r="294" spans="39:44">
      <c r="AM294" s="557">
        <f t="shared" ca="1" si="57"/>
        <v>45664</v>
      </c>
      <c r="AN294" s="558">
        <v>40.799999999999997</v>
      </c>
      <c r="AO294" s="558">
        <v>1060700</v>
      </c>
      <c r="AP294" s="558">
        <v>206.48981000000001</v>
      </c>
      <c r="AQ294" s="558">
        <v>8424.7842479999999</v>
      </c>
      <c r="AR294" s="558">
        <v>0.73060000000000003</v>
      </c>
    </row>
    <row r="295" spans="39:44">
      <c r="AM295" s="557">
        <f t="shared" ca="1" si="57"/>
        <v>45663</v>
      </c>
      <c r="AN295" s="558">
        <v>40.799999999999997</v>
      </c>
      <c r="AO295" s="558">
        <v>1060700</v>
      </c>
      <c r="AP295" s="558">
        <v>206.48981000000001</v>
      </c>
      <c r="AQ295" s="558">
        <v>8424.7842479999999</v>
      </c>
      <c r="AR295" s="558">
        <v>0.73060000000000003</v>
      </c>
    </row>
    <row r="296" spans="39:44">
      <c r="AM296" s="557">
        <f t="shared" ca="1" si="57"/>
        <v>45662</v>
      </c>
      <c r="AN296" s="558">
        <v>39.805</v>
      </c>
      <c r="AO296" s="558">
        <v>1691500</v>
      </c>
      <c r="AP296" s="558">
        <v>206.48981000000001</v>
      </c>
      <c r="AQ296" s="558">
        <v>8219.3268870499996</v>
      </c>
      <c r="AR296" s="558">
        <v>0.71220000000000006</v>
      </c>
    </row>
    <row r="297" spans="39:44">
      <c r="AM297" s="557">
        <f t="shared" ca="1" si="57"/>
        <v>45661</v>
      </c>
      <c r="AN297" s="558">
        <v>41.134999999999998</v>
      </c>
      <c r="AO297" s="558">
        <v>1624800</v>
      </c>
      <c r="AP297" s="558">
        <v>206.48981000000001</v>
      </c>
      <c r="AQ297" s="558">
        <v>8493.9583343499999</v>
      </c>
      <c r="AR297" s="558">
        <v>0.73670000000000002</v>
      </c>
    </row>
    <row r="298" spans="39:44">
      <c r="AM298" s="557">
        <f t="shared" ca="1" si="57"/>
        <v>45660</v>
      </c>
      <c r="AN298" s="558">
        <v>41.134999999999998</v>
      </c>
      <c r="AO298" s="558">
        <v>1624800</v>
      </c>
      <c r="AP298" s="558">
        <v>206.48981000000001</v>
      </c>
      <c r="AQ298" s="558">
        <v>8493.9583343499999</v>
      </c>
      <c r="AR298" s="558">
        <v>0.73670000000000002</v>
      </c>
    </row>
    <row r="299" spans="39:44">
      <c r="AM299" s="557">
        <f t="shared" ca="1" si="57"/>
        <v>45659</v>
      </c>
      <c r="AN299" s="558">
        <v>41.82</v>
      </c>
      <c r="AO299" s="558">
        <v>2369800</v>
      </c>
      <c r="AP299" s="558">
        <v>206.48981000000001</v>
      </c>
      <c r="AQ299" s="558">
        <v>8635.4038541999998</v>
      </c>
      <c r="AR299" s="558">
        <v>0.74780000000000002</v>
      </c>
    </row>
    <row r="300" spans="39:44">
      <c r="AM300" s="557">
        <f t="shared" ca="1" si="57"/>
        <v>45658</v>
      </c>
      <c r="AN300" s="558">
        <v>42.115000000000002</v>
      </c>
      <c r="AO300" s="558">
        <v>3400800</v>
      </c>
      <c r="AP300" s="558">
        <v>206.48981000000001</v>
      </c>
      <c r="AQ300" s="558">
        <v>8696.31834815</v>
      </c>
      <c r="AR300" s="558">
        <v>0.75329999999999997</v>
      </c>
    </row>
    <row r="301" spans="39:44">
      <c r="AM301" s="557">
        <f t="shared" ca="1" si="57"/>
        <v>45657</v>
      </c>
      <c r="AN301" s="558">
        <v>42.115000000000002</v>
      </c>
      <c r="AO301" s="558">
        <v>3400800</v>
      </c>
      <c r="AP301" s="558">
        <v>206.48981000000001</v>
      </c>
      <c r="AQ301" s="558">
        <v>8696.31834815</v>
      </c>
      <c r="AR301" s="558">
        <v>0.75329999999999997</v>
      </c>
    </row>
    <row r="302" spans="39:44">
      <c r="AM302" s="557">
        <f t="shared" ca="1" si="57"/>
        <v>45656</v>
      </c>
      <c r="AN302" s="558">
        <v>42.115000000000002</v>
      </c>
      <c r="AO302" s="558">
        <v>3400800</v>
      </c>
      <c r="AP302" s="558">
        <v>206.48981000000001</v>
      </c>
      <c r="AQ302" s="558">
        <v>8696.31834815</v>
      </c>
      <c r="AR302" s="558">
        <v>0.75329999999999997</v>
      </c>
    </row>
    <row r="303" spans="39:44">
      <c r="AM303" s="557">
        <f t="shared" ca="1" si="57"/>
        <v>45655</v>
      </c>
      <c r="AN303" s="558">
        <v>42.115000000000002</v>
      </c>
      <c r="AO303" s="558">
        <v>3400800</v>
      </c>
      <c r="AP303" s="558">
        <v>206.48981000000001</v>
      </c>
      <c r="AQ303" s="558">
        <v>8696.31834815</v>
      </c>
      <c r="AR303" s="558">
        <v>0.75329999999999997</v>
      </c>
    </row>
    <row r="304" spans="39:44">
      <c r="AM304" s="557">
        <f t="shared" ca="1" si="57"/>
        <v>45654</v>
      </c>
      <c r="AN304" s="558">
        <v>41.18</v>
      </c>
      <c r="AO304" s="558">
        <v>1643000</v>
      </c>
      <c r="AP304" s="558">
        <v>206.48981000000001</v>
      </c>
      <c r="AQ304" s="558">
        <v>8503.2503758000003</v>
      </c>
      <c r="AR304" s="558">
        <v>0.73670000000000002</v>
      </c>
    </row>
    <row r="305" spans="39:44">
      <c r="AM305" s="557">
        <f t="shared" ca="1" si="57"/>
        <v>45653</v>
      </c>
      <c r="AN305" s="558">
        <v>40.125</v>
      </c>
      <c r="AO305" s="558">
        <v>951400</v>
      </c>
      <c r="AP305" s="558">
        <v>206.48981000000001</v>
      </c>
      <c r="AQ305" s="558">
        <v>8285.4036262499994</v>
      </c>
      <c r="AR305" s="558">
        <v>0.71740000000000004</v>
      </c>
    </row>
    <row r="306" spans="39:44">
      <c r="AM306" s="557">
        <f t="shared" ca="1" si="57"/>
        <v>45652</v>
      </c>
      <c r="AN306" s="558">
        <v>40.44</v>
      </c>
      <c r="AO306" s="558">
        <v>1323200</v>
      </c>
      <c r="AP306" s="558">
        <v>206.48981000000001</v>
      </c>
      <c r="AQ306" s="558">
        <v>8350.4479164000004</v>
      </c>
      <c r="AR306" s="558">
        <v>0.72330000000000005</v>
      </c>
    </row>
    <row r="307" spans="39:44">
      <c r="AM307" s="557">
        <f t="shared" ca="1" si="57"/>
        <v>45651</v>
      </c>
      <c r="AN307" s="558">
        <v>40.25</v>
      </c>
      <c r="AO307" s="558">
        <v>2244600</v>
      </c>
      <c r="AP307" s="558">
        <v>206.48981000000001</v>
      </c>
      <c r="AQ307" s="558">
        <v>8311.2148524999993</v>
      </c>
      <c r="AR307" s="558">
        <v>0.72</v>
      </c>
    </row>
    <row r="308" spans="39:44">
      <c r="AM308" s="557">
        <f t="shared" ca="1" si="57"/>
        <v>45650</v>
      </c>
      <c r="AN308" s="558">
        <v>40.25</v>
      </c>
      <c r="AO308" s="558">
        <v>2244600</v>
      </c>
      <c r="AP308" s="558">
        <v>206.48981000000001</v>
      </c>
      <c r="AQ308" s="558">
        <v>8311.2148524999993</v>
      </c>
      <c r="AR308" s="558">
        <v>0.72</v>
      </c>
    </row>
    <row r="309" spans="39:44">
      <c r="AM309" s="557">
        <f t="shared" ca="1" si="57"/>
        <v>45649</v>
      </c>
      <c r="AN309" s="558">
        <v>40.25</v>
      </c>
      <c r="AO309" s="558">
        <v>2244600</v>
      </c>
      <c r="AP309" s="558">
        <v>206.48981000000001</v>
      </c>
      <c r="AQ309" s="558">
        <v>8311.2148524999993</v>
      </c>
      <c r="AR309" s="558">
        <v>0.72</v>
      </c>
    </row>
    <row r="310" spans="39:44">
      <c r="AM310" s="557">
        <f t="shared" ca="1" si="57"/>
        <v>45648</v>
      </c>
      <c r="AN310" s="558">
        <v>40.365000000000002</v>
      </c>
      <c r="AO310" s="558">
        <v>1032000</v>
      </c>
      <c r="AP310" s="558">
        <v>206.48981000000001</v>
      </c>
      <c r="AQ310" s="558">
        <v>8334.9611806499997</v>
      </c>
      <c r="AR310" s="558">
        <v>0.72219999999999995</v>
      </c>
    </row>
    <row r="311" spans="39:44">
      <c r="AM311" s="557">
        <f t="shared" ca="1" si="57"/>
        <v>45647</v>
      </c>
      <c r="AN311" s="558">
        <v>41.005000000000003</v>
      </c>
      <c r="AO311" s="558">
        <v>1833500</v>
      </c>
      <c r="AP311" s="558">
        <v>206.48981000000001</v>
      </c>
      <c r="AQ311" s="558">
        <v>8467.1146590500011</v>
      </c>
      <c r="AR311" s="558">
        <v>0.73350000000000004</v>
      </c>
    </row>
    <row r="312" spans="39:44">
      <c r="AM312" s="557">
        <f t="shared" ca="1" si="57"/>
        <v>45646</v>
      </c>
      <c r="AN312" s="558">
        <v>41.354999999999997</v>
      </c>
      <c r="AO312" s="558">
        <v>1238300</v>
      </c>
      <c r="AP312" s="558">
        <v>206.48981000000001</v>
      </c>
      <c r="AQ312" s="558">
        <v>8539.3860925499994</v>
      </c>
      <c r="AR312" s="558">
        <v>0.73939999999999995</v>
      </c>
    </row>
    <row r="313" spans="39:44">
      <c r="AM313" s="557">
        <f t="shared" ca="1" si="57"/>
        <v>45645</v>
      </c>
      <c r="AN313" s="558">
        <v>41.44</v>
      </c>
      <c r="AO313" s="558">
        <v>2131400</v>
      </c>
      <c r="AP313" s="558">
        <v>206.48981000000001</v>
      </c>
      <c r="AQ313" s="558">
        <v>8556.9377263999995</v>
      </c>
      <c r="AR313" s="558">
        <v>0.74119999999999997</v>
      </c>
    </row>
    <row r="314" spans="39:44">
      <c r="AM314" s="557">
        <f t="shared" ca="1" si="57"/>
        <v>45644</v>
      </c>
      <c r="AN314" s="558">
        <v>40.1</v>
      </c>
      <c r="AO314" s="558">
        <v>1688200</v>
      </c>
      <c r="AP314" s="558">
        <v>206.48981000000001</v>
      </c>
      <c r="AQ314" s="558">
        <v>8280.2413809999998</v>
      </c>
      <c r="AR314" s="558">
        <v>0.71560000000000001</v>
      </c>
    </row>
    <row r="315" spans="39:44">
      <c r="AM315" s="557">
        <f t="shared" ca="1" si="57"/>
        <v>45643</v>
      </c>
      <c r="AN315" s="558">
        <v>40.1</v>
      </c>
      <c r="AO315" s="558">
        <v>1688200</v>
      </c>
      <c r="AP315" s="558">
        <v>206.48981000000001</v>
      </c>
      <c r="AQ315" s="558">
        <v>8280.2413809999998</v>
      </c>
      <c r="AR315" s="558">
        <v>0.71560000000000001</v>
      </c>
    </row>
    <row r="316" spans="39:44">
      <c r="AM316" s="557">
        <f t="shared" ca="1" si="57"/>
        <v>45642</v>
      </c>
      <c r="AN316" s="558">
        <v>40.1</v>
      </c>
      <c r="AO316" s="558">
        <v>1688200</v>
      </c>
      <c r="AP316" s="558">
        <v>206.48981000000001</v>
      </c>
      <c r="AQ316" s="558">
        <v>8280.2413809999998</v>
      </c>
      <c r="AR316" s="558">
        <v>0.71560000000000001</v>
      </c>
    </row>
    <row r="317" spans="39:44">
      <c r="AM317" s="557">
        <f t="shared" ca="1" si="57"/>
        <v>45641</v>
      </c>
      <c r="AN317" s="558">
        <v>41.23</v>
      </c>
      <c r="AO317" s="558">
        <v>1308800</v>
      </c>
      <c r="AP317" s="558">
        <v>206.48981000000001</v>
      </c>
      <c r="AQ317" s="558">
        <v>8513.5748662999995</v>
      </c>
      <c r="AR317" s="558">
        <v>0.73780000000000001</v>
      </c>
    </row>
    <row r="318" spans="39:44">
      <c r="AM318" s="557">
        <f t="shared" ca="1" si="57"/>
        <v>45640</v>
      </c>
      <c r="AN318" s="558">
        <v>40.695</v>
      </c>
      <c r="AO318" s="558">
        <v>1411900</v>
      </c>
      <c r="AP318" s="558">
        <v>206.48981000000001</v>
      </c>
      <c r="AQ318" s="558">
        <v>8403.1028179500008</v>
      </c>
      <c r="AR318" s="558">
        <v>0.72809999999999997</v>
      </c>
    </row>
    <row r="319" spans="39:44">
      <c r="AM319" s="557">
        <f t="shared" ca="1" si="57"/>
        <v>45639</v>
      </c>
      <c r="AN319" s="558">
        <v>40.164999999999999</v>
      </c>
      <c r="AO319" s="558">
        <v>2387800</v>
      </c>
      <c r="AP319" s="558">
        <v>206.48981000000001</v>
      </c>
      <c r="AQ319" s="558">
        <v>8293.6632186499992</v>
      </c>
      <c r="AR319" s="558">
        <v>0.71840000000000004</v>
      </c>
    </row>
    <row r="320" spans="39:44">
      <c r="AM320" s="557">
        <f t="shared" ca="1" si="57"/>
        <v>45638</v>
      </c>
      <c r="AN320" s="558">
        <v>40.85</v>
      </c>
      <c r="AO320" s="558">
        <v>1015100</v>
      </c>
      <c r="AP320" s="558">
        <v>206.48981000000001</v>
      </c>
      <c r="AQ320" s="558">
        <v>8435.108738500001</v>
      </c>
      <c r="AR320" s="558">
        <v>0.73040000000000005</v>
      </c>
    </row>
    <row r="321" spans="39:44">
      <c r="AM321" s="557">
        <f t="shared" ca="1" si="57"/>
        <v>45637</v>
      </c>
      <c r="AN321" s="558">
        <v>40.534999999999997</v>
      </c>
      <c r="AO321" s="558">
        <v>1345200</v>
      </c>
      <c r="AP321" s="558">
        <v>206.48981000000001</v>
      </c>
      <c r="AQ321" s="558">
        <v>8370.06444835</v>
      </c>
      <c r="AR321" s="558">
        <v>0.72509999999999997</v>
      </c>
    </row>
    <row r="322" spans="39:44">
      <c r="AM322" s="557">
        <f t="shared" ca="1" si="57"/>
        <v>45636</v>
      </c>
      <c r="AN322" s="558">
        <v>40.534999999999997</v>
      </c>
      <c r="AO322" s="558">
        <v>1345200</v>
      </c>
      <c r="AP322" s="558">
        <v>206.48981000000001</v>
      </c>
      <c r="AQ322" s="558">
        <v>8370.06444835</v>
      </c>
      <c r="AR322" s="558">
        <v>0.72509999999999997</v>
      </c>
    </row>
    <row r="323" spans="39:44">
      <c r="AM323" s="557">
        <f t="shared" ca="1" si="57"/>
        <v>45635</v>
      </c>
      <c r="AN323" s="558">
        <v>40.534999999999997</v>
      </c>
      <c r="AO323" s="558">
        <v>1345200</v>
      </c>
      <c r="AP323" s="558">
        <v>206.48981000000001</v>
      </c>
      <c r="AQ323" s="558">
        <v>8370.06444835</v>
      </c>
      <c r="AR323" s="558">
        <v>0.72509999999999997</v>
      </c>
    </row>
    <row r="324" spans="39:44">
      <c r="AM324" s="557">
        <f t="shared" ca="1" si="57"/>
        <v>45634</v>
      </c>
      <c r="AN324" s="558">
        <v>41.524999999999999</v>
      </c>
      <c r="AO324" s="558">
        <v>1257000</v>
      </c>
      <c r="AP324" s="558">
        <v>206.48981000000001</v>
      </c>
      <c r="AQ324" s="558">
        <v>8574.4893602499997</v>
      </c>
      <c r="AR324" s="558">
        <v>0.74219999999999997</v>
      </c>
    </row>
    <row r="325" spans="39:44">
      <c r="AM325" s="557">
        <f t="shared" ref="AM325:AM388" ca="1" si="58">AM324-1</f>
        <v>45633</v>
      </c>
      <c r="AN325" s="558">
        <v>40.305</v>
      </c>
      <c r="AO325" s="558">
        <v>1003000</v>
      </c>
      <c r="AP325" s="558">
        <v>206.48981000000001</v>
      </c>
      <c r="AQ325" s="558">
        <v>8322.571792050001</v>
      </c>
      <c r="AR325" s="558">
        <v>0.72270000000000001</v>
      </c>
    </row>
    <row r="326" spans="39:44">
      <c r="AM326" s="557">
        <f t="shared" ca="1" si="58"/>
        <v>45632</v>
      </c>
      <c r="AN326" s="558">
        <v>40.234999999999999</v>
      </c>
      <c r="AO326" s="558">
        <v>1645200</v>
      </c>
      <c r="AP326" s="558">
        <v>206.48981000000001</v>
      </c>
      <c r="AQ326" s="558">
        <v>8308.117505350001</v>
      </c>
      <c r="AR326" s="558">
        <v>0.71970000000000001</v>
      </c>
    </row>
    <row r="327" spans="39:44">
      <c r="AM327" s="557">
        <f t="shared" ca="1" si="58"/>
        <v>45631</v>
      </c>
      <c r="AN327" s="558">
        <v>40.880000000000003</v>
      </c>
      <c r="AO327" s="558">
        <v>678300</v>
      </c>
      <c r="AP327" s="558">
        <v>206.48981000000001</v>
      </c>
      <c r="AQ327" s="558">
        <v>8441.3034328000012</v>
      </c>
      <c r="AR327" s="558">
        <v>0.73150000000000004</v>
      </c>
    </row>
    <row r="328" spans="39:44">
      <c r="AM328" s="557">
        <f t="shared" ca="1" si="58"/>
        <v>45630</v>
      </c>
      <c r="AN328" s="558">
        <v>40.39</v>
      </c>
      <c r="AO328" s="558">
        <v>1522000</v>
      </c>
      <c r="AP328" s="558">
        <v>206.48981000000001</v>
      </c>
      <c r="AQ328" s="558">
        <v>8340.1234259000012</v>
      </c>
      <c r="AR328" s="558">
        <v>0.72250000000000003</v>
      </c>
    </row>
    <row r="329" spans="39:44">
      <c r="AM329" s="557">
        <f t="shared" ca="1" si="58"/>
        <v>45629</v>
      </c>
      <c r="AN329" s="558">
        <v>40.39</v>
      </c>
      <c r="AO329" s="558">
        <v>1522000</v>
      </c>
      <c r="AP329" s="558">
        <v>206.48981000000001</v>
      </c>
      <c r="AQ329" s="558">
        <v>8340.1234259000012</v>
      </c>
      <c r="AR329" s="558">
        <v>0.72250000000000003</v>
      </c>
    </row>
    <row r="330" spans="39:44">
      <c r="AM330" s="557">
        <f t="shared" ca="1" si="58"/>
        <v>45628</v>
      </c>
      <c r="AN330" s="558">
        <v>40.39</v>
      </c>
      <c r="AO330" s="558">
        <v>1522000</v>
      </c>
      <c r="AP330" s="558">
        <v>206.48981000000001</v>
      </c>
      <c r="AQ330" s="558">
        <v>8340.1234259000012</v>
      </c>
      <c r="AR330" s="558">
        <v>0.72250000000000003</v>
      </c>
    </row>
    <row r="331" spans="39:44">
      <c r="AM331" s="557">
        <f t="shared" ca="1" si="58"/>
        <v>45627</v>
      </c>
      <c r="AN331" s="558">
        <v>41.01</v>
      </c>
      <c r="AO331" s="558">
        <v>1130700</v>
      </c>
      <c r="AP331" s="558">
        <v>206.48981000000001</v>
      </c>
      <c r="AQ331" s="558">
        <v>8468.1471081</v>
      </c>
      <c r="AR331" s="558">
        <v>0.73350000000000004</v>
      </c>
    </row>
    <row r="332" spans="39:44">
      <c r="AM332" s="557">
        <f t="shared" ca="1" si="58"/>
        <v>45626</v>
      </c>
      <c r="AN332" s="558">
        <v>41.354999999999997</v>
      </c>
      <c r="AO332" s="558">
        <v>2316700</v>
      </c>
      <c r="AP332" s="558">
        <v>206.48981000000001</v>
      </c>
      <c r="AQ332" s="558">
        <v>8539.3860925499994</v>
      </c>
      <c r="AR332" s="558">
        <v>0.7399</v>
      </c>
    </row>
    <row r="333" spans="39:44">
      <c r="AM333" s="557">
        <f t="shared" ca="1" si="58"/>
        <v>45625</v>
      </c>
      <c r="AN333" s="558">
        <v>42.024999999999999</v>
      </c>
      <c r="AO333" s="558">
        <v>1567400</v>
      </c>
      <c r="AP333" s="558">
        <v>206.48981000000001</v>
      </c>
      <c r="AQ333" s="558">
        <v>8677.7342652499992</v>
      </c>
      <c r="AR333" s="558">
        <v>0.75190000000000001</v>
      </c>
    </row>
    <row r="334" spans="39:44">
      <c r="AM334" s="557">
        <f t="shared" ca="1" si="58"/>
        <v>45624</v>
      </c>
      <c r="AN334" s="558">
        <v>42.04</v>
      </c>
      <c r="AO334" s="558">
        <v>940400</v>
      </c>
      <c r="AP334" s="558">
        <v>206.48981000000001</v>
      </c>
      <c r="AQ334" s="558">
        <v>8680.8316123999994</v>
      </c>
      <c r="AR334" s="558">
        <v>0.75209999999999999</v>
      </c>
    </row>
    <row r="335" spans="39:44">
      <c r="AM335" s="557">
        <f t="shared" ca="1" si="58"/>
        <v>45623</v>
      </c>
      <c r="AN335" s="558">
        <v>41.805</v>
      </c>
      <c r="AO335" s="558">
        <v>1402000</v>
      </c>
      <c r="AP335" s="558">
        <v>206.48981000000001</v>
      </c>
      <c r="AQ335" s="558">
        <v>8632.3065070499997</v>
      </c>
      <c r="AR335" s="558">
        <v>0.74780000000000002</v>
      </c>
    </row>
    <row r="336" spans="39:44">
      <c r="AM336" s="557">
        <f t="shared" ca="1" si="58"/>
        <v>45622</v>
      </c>
      <c r="AN336" s="558">
        <v>41.805</v>
      </c>
      <c r="AO336" s="558">
        <v>1402000</v>
      </c>
      <c r="AP336" s="558">
        <v>206.48981000000001</v>
      </c>
      <c r="AQ336" s="558">
        <v>8632.3065070499997</v>
      </c>
      <c r="AR336" s="558">
        <v>0.74780000000000002</v>
      </c>
    </row>
    <row r="337" spans="39:44">
      <c r="AM337" s="557">
        <f t="shared" ca="1" si="58"/>
        <v>45621</v>
      </c>
      <c r="AN337" s="558">
        <v>41.805</v>
      </c>
      <c r="AO337" s="558">
        <v>1402000</v>
      </c>
      <c r="AP337" s="558">
        <v>206.48981000000001</v>
      </c>
      <c r="AQ337" s="558">
        <v>8632.3065070499997</v>
      </c>
      <c r="AR337" s="558">
        <v>0.74780000000000002</v>
      </c>
    </row>
    <row r="338" spans="39:44">
      <c r="AM338" s="557">
        <f t="shared" ca="1" si="58"/>
        <v>45620</v>
      </c>
      <c r="AN338" s="558">
        <v>41.325000000000003</v>
      </c>
      <c r="AO338" s="558">
        <v>1146800</v>
      </c>
      <c r="AP338" s="558">
        <v>206.48981000000001</v>
      </c>
      <c r="AQ338" s="558">
        <v>8533.1913982500009</v>
      </c>
      <c r="AR338" s="558">
        <v>0.73970000000000002</v>
      </c>
    </row>
    <row r="339" spans="39:44">
      <c r="AM339" s="557">
        <f t="shared" ca="1" si="58"/>
        <v>45619</v>
      </c>
      <c r="AN339" s="558">
        <v>41.31</v>
      </c>
      <c r="AO339" s="558">
        <v>1835500</v>
      </c>
      <c r="AP339" s="558">
        <v>206.48981000000001</v>
      </c>
      <c r="AQ339" s="558">
        <v>8530.0940511000008</v>
      </c>
      <c r="AR339" s="558">
        <v>0.73970000000000002</v>
      </c>
    </row>
    <row r="340" spans="39:44">
      <c r="AM340" s="557">
        <f t="shared" ca="1" si="58"/>
        <v>45618</v>
      </c>
      <c r="AN340" s="558">
        <v>41.844999999999999</v>
      </c>
      <c r="AO340" s="558">
        <v>1815300</v>
      </c>
      <c r="AP340" s="558">
        <v>206.48981000000001</v>
      </c>
      <c r="AQ340" s="558">
        <v>8640.5660994499995</v>
      </c>
      <c r="AR340" s="558">
        <v>0.74829999999999997</v>
      </c>
    </row>
    <row r="341" spans="39:44">
      <c r="AM341" s="557">
        <f t="shared" ca="1" si="58"/>
        <v>45617</v>
      </c>
      <c r="AN341" s="558">
        <v>40.914999999999999</v>
      </c>
      <c r="AO341" s="558">
        <v>1214300</v>
      </c>
      <c r="AP341" s="558">
        <v>206.48981000000001</v>
      </c>
      <c r="AQ341" s="558">
        <v>8448.5305761500003</v>
      </c>
      <c r="AR341" s="558">
        <v>0.73170000000000002</v>
      </c>
    </row>
    <row r="342" spans="39:44">
      <c r="AM342" s="557">
        <f t="shared" ca="1" si="58"/>
        <v>45616</v>
      </c>
      <c r="AN342" s="558">
        <v>41.545000000000002</v>
      </c>
      <c r="AO342" s="558">
        <v>1909600</v>
      </c>
      <c r="AP342" s="558">
        <v>206.48981000000001</v>
      </c>
      <c r="AQ342" s="558">
        <v>8578.6191564500004</v>
      </c>
      <c r="AR342" s="558">
        <v>0.7429</v>
      </c>
    </row>
    <row r="343" spans="39:44">
      <c r="AM343" s="557">
        <f t="shared" ca="1" si="58"/>
        <v>45615</v>
      </c>
      <c r="AN343" s="558">
        <v>41.545000000000002</v>
      </c>
      <c r="AO343" s="558">
        <v>1909600</v>
      </c>
      <c r="AP343" s="558">
        <v>206.48981000000001</v>
      </c>
      <c r="AQ343" s="558">
        <v>8578.6191564500004</v>
      </c>
      <c r="AR343" s="558">
        <v>0.7429</v>
      </c>
    </row>
    <row r="344" spans="39:44">
      <c r="AM344" s="557">
        <f t="shared" ca="1" si="58"/>
        <v>45614</v>
      </c>
      <c r="AN344" s="558">
        <v>41.545000000000002</v>
      </c>
      <c r="AO344" s="558">
        <v>1909600</v>
      </c>
      <c r="AP344" s="558">
        <v>206.48981000000001</v>
      </c>
      <c r="AQ344" s="558">
        <v>8578.6191564500004</v>
      </c>
      <c r="AR344" s="558">
        <v>0.7429</v>
      </c>
    </row>
    <row r="345" spans="39:44">
      <c r="AM345" s="557">
        <f t="shared" ca="1" si="58"/>
        <v>45613</v>
      </c>
      <c r="AN345" s="558">
        <v>40.53</v>
      </c>
      <c r="AO345" s="558">
        <v>2523600</v>
      </c>
      <c r="AP345" s="558">
        <v>206.48981000000001</v>
      </c>
      <c r="AQ345" s="558">
        <v>8369.0319993000012</v>
      </c>
      <c r="AR345" s="558">
        <v>0.72519999999999996</v>
      </c>
    </row>
    <row r="346" spans="39:44">
      <c r="AM346" s="557">
        <f t="shared" ca="1" si="58"/>
        <v>45612</v>
      </c>
      <c r="AN346" s="558">
        <v>42.244999999999997</v>
      </c>
      <c r="AO346" s="558">
        <v>4913600</v>
      </c>
      <c r="AP346" s="558">
        <v>206.48981000000001</v>
      </c>
      <c r="AQ346" s="558">
        <v>8723.1620234500006</v>
      </c>
      <c r="AR346" s="558">
        <v>0.75729999999999997</v>
      </c>
    </row>
    <row r="347" spans="39:44">
      <c r="AM347" s="557">
        <f t="shared" ca="1" si="58"/>
        <v>45611</v>
      </c>
      <c r="AN347" s="558">
        <v>41.744999999999997</v>
      </c>
      <c r="AO347" s="558">
        <v>4024200</v>
      </c>
      <c r="AP347" s="558">
        <v>206.48981000000001</v>
      </c>
      <c r="AQ347" s="558">
        <v>8619.9171184499992</v>
      </c>
      <c r="AR347" s="558">
        <v>0.74709999999999999</v>
      </c>
    </row>
    <row r="348" spans="39:44">
      <c r="AM348" s="557">
        <f t="shared" ca="1" si="58"/>
        <v>45610</v>
      </c>
      <c r="AN348" s="558">
        <v>42.15</v>
      </c>
      <c r="AO348" s="558">
        <v>2994100</v>
      </c>
      <c r="AP348" s="558">
        <v>206.48981000000001</v>
      </c>
      <c r="AQ348" s="558">
        <v>8703.5454914999991</v>
      </c>
      <c r="AR348" s="558">
        <v>0.75439999999999996</v>
      </c>
    </row>
    <row r="349" spans="39:44">
      <c r="AM349" s="557">
        <f t="shared" ca="1" si="58"/>
        <v>45609</v>
      </c>
      <c r="AN349" s="558">
        <v>42.905000000000001</v>
      </c>
      <c r="AO349" s="558">
        <v>2086300</v>
      </c>
      <c r="AP349" s="558">
        <v>206.48981000000001</v>
      </c>
      <c r="AQ349" s="558">
        <v>8859.4452980500009</v>
      </c>
      <c r="AR349" s="558">
        <v>0.93089999999999995</v>
      </c>
    </row>
    <row r="350" spans="39:44">
      <c r="AM350" s="557">
        <f t="shared" ca="1" si="58"/>
        <v>45608</v>
      </c>
      <c r="AN350" s="558">
        <v>42.905000000000001</v>
      </c>
      <c r="AO350" s="558">
        <v>2086300</v>
      </c>
      <c r="AP350" s="558">
        <v>206.48981000000001</v>
      </c>
      <c r="AQ350" s="558">
        <v>8859.4452980500009</v>
      </c>
      <c r="AR350" s="558">
        <v>0.93089999999999995</v>
      </c>
    </row>
    <row r="351" spans="39:44">
      <c r="AM351" s="557">
        <f t="shared" ca="1" si="58"/>
        <v>45607</v>
      </c>
      <c r="AN351" s="558">
        <v>42.905000000000001</v>
      </c>
      <c r="AO351" s="558">
        <v>2086300</v>
      </c>
      <c r="AP351" s="558">
        <v>206.48981000000001</v>
      </c>
      <c r="AQ351" s="558">
        <v>8859.4452980500009</v>
      </c>
      <c r="AR351" s="558">
        <v>0.93089999999999995</v>
      </c>
    </row>
    <row r="352" spans="39:44">
      <c r="AM352" s="557">
        <f t="shared" ca="1" si="58"/>
        <v>45606</v>
      </c>
      <c r="AN352" s="558">
        <v>42.43</v>
      </c>
      <c r="AO352" s="558">
        <v>1145300</v>
      </c>
      <c r="AP352" s="558">
        <v>206.48981000000001</v>
      </c>
      <c r="AQ352" s="558">
        <v>8761.362638300001</v>
      </c>
      <c r="AR352" s="558">
        <v>0.92110000000000003</v>
      </c>
    </row>
    <row r="353" spans="39:44">
      <c r="AM353" s="557">
        <f t="shared" ca="1" si="58"/>
        <v>45605</v>
      </c>
      <c r="AN353" s="558">
        <v>42.965000000000003</v>
      </c>
      <c r="AO353" s="558">
        <v>1487100</v>
      </c>
      <c r="AP353" s="558">
        <v>206.48981000000001</v>
      </c>
      <c r="AQ353" s="558">
        <v>8871.8346866500015</v>
      </c>
      <c r="AR353" s="558">
        <v>0.93240000000000001</v>
      </c>
    </row>
    <row r="354" spans="39:44">
      <c r="AM354" s="557">
        <f t="shared" ca="1" si="58"/>
        <v>45604</v>
      </c>
      <c r="AN354" s="558">
        <v>44.83</v>
      </c>
      <c r="AO354" s="558">
        <v>1733800</v>
      </c>
      <c r="AP354" s="558">
        <v>206.48981000000001</v>
      </c>
      <c r="AQ354" s="558">
        <v>9256.9381823000003</v>
      </c>
      <c r="AR354" s="558">
        <v>0.97299999999999998</v>
      </c>
    </row>
    <row r="355" spans="39:44">
      <c r="AM355" s="557">
        <f t="shared" ca="1" si="58"/>
        <v>45603</v>
      </c>
      <c r="AN355" s="558">
        <v>45.19</v>
      </c>
      <c r="AO355" s="558">
        <v>2051300</v>
      </c>
      <c r="AP355" s="558">
        <v>206.48981000000001</v>
      </c>
      <c r="AQ355" s="558">
        <v>9331.2745138999999</v>
      </c>
      <c r="AR355" s="558">
        <v>0.98150000000000004</v>
      </c>
    </row>
    <row r="356" spans="39:44">
      <c r="AM356" s="557">
        <f t="shared" ca="1" si="58"/>
        <v>45602</v>
      </c>
      <c r="AN356" s="558">
        <v>44.655000000000001</v>
      </c>
      <c r="AO356" s="558">
        <v>3283400</v>
      </c>
      <c r="AP356" s="558">
        <v>206.48981000000001</v>
      </c>
      <c r="AQ356" s="558">
        <v>9220.8024655500012</v>
      </c>
      <c r="AR356" s="558">
        <v>0.96950000000000003</v>
      </c>
    </row>
    <row r="357" spans="39:44">
      <c r="AM357" s="557">
        <f t="shared" ca="1" si="58"/>
        <v>45601</v>
      </c>
      <c r="AN357" s="558">
        <v>44.655000000000001</v>
      </c>
      <c r="AO357" s="558">
        <v>3283400</v>
      </c>
      <c r="AP357" s="558">
        <v>206.48981000000001</v>
      </c>
      <c r="AQ357" s="558">
        <v>9220.8024655500012</v>
      </c>
      <c r="AR357" s="558">
        <v>0.96950000000000003</v>
      </c>
    </row>
    <row r="358" spans="39:44">
      <c r="AM358" s="557">
        <f t="shared" ca="1" si="58"/>
        <v>45600</v>
      </c>
      <c r="AN358" s="558">
        <v>44.655000000000001</v>
      </c>
      <c r="AO358" s="558">
        <v>3283400</v>
      </c>
      <c r="AP358" s="558">
        <v>206.48981000000001</v>
      </c>
      <c r="AQ358" s="558">
        <v>9220.8024655500012</v>
      </c>
      <c r="AR358" s="558">
        <v>0.96950000000000003</v>
      </c>
    </row>
    <row r="359" spans="39:44">
      <c r="AM359" s="557">
        <f t="shared" ca="1" si="58"/>
        <v>45599</v>
      </c>
      <c r="AN359" s="558">
        <v>46.325000000000003</v>
      </c>
      <c r="AO359" s="558">
        <v>1548700</v>
      </c>
      <c r="AP359" s="558">
        <v>206.48981000000001</v>
      </c>
      <c r="AQ359" s="558">
        <v>9565.6404482500002</v>
      </c>
      <c r="AR359" s="558">
        <v>1.0054000000000001</v>
      </c>
    </row>
    <row r="360" spans="39:44">
      <c r="AM360" s="557">
        <f t="shared" ca="1" si="58"/>
        <v>45598</v>
      </c>
      <c r="AN360" s="558">
        <v>47.76</v>
      </c>
      <c r="AO360" s="558">
        <v>3879900</v>
      </c>
      <c r="AP360" s="558">
        <v>206.48981000000001</v>
      </c>
      <c r="AQ360" s="558">
        <v>9861.9533255999995</v>
      </c>
      <c r="AR360" s="558">
        <v>1.0373000000000001</v>
      </c>
    </row>
    <row r="361" spans="39:44">
      <c r="AM361" s="557">
        <f t="shared" ca="1" si="58"/>
        <v>45597</v>
      </c>
      <c r="AN361" s="558">
        <v>47.134999999999998</v>
      </c>
      <c r="AO361" s="558">
        <v>1767100</v>
      </c>
      <c r="AP361" s="558">
        <v>206.48981000000001</v>
      </c>
      <c r="AQ361" s="558">
        <v>9732.8971943500001</v>
      </c>
      <c r="AR361" s="558">
        <v>1.0236000000000001</v>
      </c>
    </row>
    <row r="362" spans="39:44">
      <c r="AM362" s="557">
        <f t="shared" ca="1" si="58"/>
        <v>45596</v>
      </c>
      <c r="AN362" s="558">
        <v>47.76</v>
      </c>
      <c r="AO362" s="558">
        <v>1419600</v>
      </c>
      <c r="AP362" s="558">
        <v>206.48981000000001</v>
      </c>
      <c r="AQ362" s="558">
        <v>9861.9533255999995</v>
      </c>
      <c r="AR362" s="558">
        <v>1.0362</v>
      </c>
    </row>
    <row r="363" spans="39:44">
      <c r="AM363" s="557">
        <f t="shared" ca="1" si="58"/>
        <v>45595</v>
      </c>
      <c r="AN363" s="558">
        <v>48.295000000000002</v>
      </c>
      <c r="AO363" s="558">
        <v>2391700</v>
      </c>
      <c r="AP363" s="558">
        <v>206.48981000000001</v>
      </c>
      <c r="AQ363" s="558">
        <v>9972.42537395</v>
      </c>
      <c r="AR363" s="558">
        <v>1.0497000000000001</v>
      </c>
    </row>
    <row r="364" spans="39:44">
      <c r="AM364" s="557">
        <f t="shared" ca="1" si="58"/>
        <v>45594</v>
      </c>
      <c r="AN364" s="558">
        <v>48.295000000000002</v>
      </c>
      <c r="AO364" s="558">
        <v>2391700</v>
      </c>
      <c r="AP364" s="558">
        <v>206.48981000000001</v>
      </c>
      <c r="AQ364" s="558">
        <v>9972.42537395</v>
      </c>
      <c r="AR364" s="558">
        <v>1.0497000000000001</v>
      </c>
    </row>
    <row r="365" spans="39:44">
      <c r="AM365" s="557">
        <f t="shared" ca="1" si="58"/>
        <v>45593</v>
      </c>
      <c r="AN365" s="558">
        <v>48.295000000000002</v>
      </c>
      <c r="AO365" s="558">
        <v>2391700</v>
      </c>
      <c r="AP365" s="558">
        <v>206.48981000000001</v>
      </c>
      <c r="AQ365" s="558">
        <v>9972.42537395</v>
      </c>
      <c r="AR365" s="558">
        <v>1.0497000000000001</v>
      </c>
    </row>
    <row r="366" spans="39:44">
      <c r="AM366" s="557">
        <f t="shared" ca="1" si="58"/>
        <v>45592</v>
      </c>
      <c r="AN366" s="558">
        <v>47.524999999999999</v>
      </c>
      <c r="AO366" s="558">
        <v>2115700</v>
      </c>
      <c r="AP366" s="558">
        <v>206.48981000000001</v>
      </c>
      <c r="AQ366" s="558">
        <v>9813.4282202499999</v>
      </c>
      <c r="AR366" s="558">
        <v>1.0325</v>
      </c>
    </row>
    <row r="367" spans="39:44">
      <c r="AM367" s="557">
        <f t="shared" ca="1" si="58"/>
        <v>45591</v>
      </c>
      <c r="AN367" s="558">
        <v>48.225000000000001</v>
      </c>
      <c r="AO367" s="558">
        <v>1690200</v>
      </c>
      <c r="AP367" s="558">
        <v>206.48981000000001</v>
      </c>
      <c r="AQ367" s="558">
        <v>9957.97108725</v>
      </c>
      <c r="AR367" s="558">
        <v>1.0469999999999999</v>
      </c>
    </row>
    <row r="368" spans="39:44">
      <c r="AM368" s="557">
        <f t="shared" ca="1" si="58"/>
        <v>45590</v>
      </c>
      <c r="AN368" s="558">
        <v>47.505000000000003</v>
      </c>
      <c r="AO368" s="558">
        <v>1891500</v>
      </c>
      <c r="AP368" s="558">
        <v>206.48981000000001</v>
      </c>
      <c r="AQ368" s="558">
        <v>9809.2984240500009</v>
      </c>
      <c r="AR368" s="558">
        <v>1.0334000000000001</v>
      </c>
    </row>
    <row r="369" spans="39:44">
      <c r="AM369" s="557">
        <f t="shared" ca="1" si="58"/>
        <v>45589</v>
      </c>
      <c r="AN369" s="558">
        <v>46.505000000000003</v>
      </c>
      <c r="AO369" s="558">
        <v>2569000</v>
      </c>
      <c r="AP369" s="558">
        <v>206.48981000000001</v>
      </c>
      <c r="AQ369" s="558">
        <v>9602.80861405</v>
      </c>
      <c r="AR369" s="558">
        <v>1.0097</v>
      </c>
    </row>
    <row r="370" spans="39:44">
      <c r="AM370" s="557">
        <f t="shared" ca="1" si="58"/>
        <v>45588</v>
      </c>
      <c r="AN370" s="558">
        <v>47.305</v>
      </c>
      <c r="AO370" s="558">
        <v>1469400</v>
      </c>
      <c r="AP370" s="558">
        <v>206.48981000000001</v>
      </c>
      <c r="AQ370" s="558">
        <v>9768.0004620500004</v>
      </c>
      <c r="AR370" s="558">
        <v>1.0279</v>
      </c>
    </row>
    <row r="371" spans="39:44">
      <c r="AM371" s="557">
        <f t="shared" ca="1" si="58"/>
        <v>45587</v>
      </c>
      <c r="AN371" s="558">
        <v>47.305</v>
      </c>
      <c r="AO371" s="558">
        <v>1469400</v>
      </c>
      <c r="AP371" s="558">
        <v>206.48981000000001</v>
      </c>
      <c r="AQ371" s="558">
        <v>9768.0004620500004</v>
      </c>
      <c r="AR371" s="558">
        <v>1.0279</v>
      </c>
    </row>
    <row r="372" spans="39:44">
      <c r="AM372" s="557">
        <f t="shared" ca="1" si="58"/>
        <v>45586</v>
      </c>
      <c r="AN372" s="558">
        <v>47.305</v>
      </c>
      <c r="AO372" s="558">
        <v>1469400</v>
      </c>
      <c r="AP372" s="558">
        <v>206.48981000000001</v>
      </c>
      <c r="AQ372" s="558">
        <v>9768.0004620500004</v>
      </c>
      <c r="AR372" s="558">
        <v>1.0279</v>
      </c>
    </row>
    <row r="373" spans="39:44">
      <c r="AM373" s="557">
        <f t="shared" ca="1" si="58"/>
        <v>45585</v>
      </c>
      <c r="AN373" s="558">
        <v>47.51</v>
      </c>
      <c r="AO373" s="558">
        <v>3303500</v>
      </c>
      <c r="AP373" s="558">
        <v>206.48981000000001</v>
      </c>
      <c r="AQ373" s="558">
        <v>9810.3308730999997</v>
      </c>
      <c r="AR373" s="558">
        <v>1.0314000000000001</v>
      </c>
    </row>
    <row r="374" spans="39:44">
      <c r="AM374" s="557">
        <f t="shared" ca="1" si="58"/>
        <v>45584</v>
      </c>
      <c r="AN374" s="558">
        <v>48.005000000000003</v>
      </c>
      <c r="AO374" s="558">
        <v>1805000</v>
      </c>
      <c r="AP374" s="558">
        <v>206.48981000000001</v>
      </c>
      <c r="AQ374" s="558">
        <v>9912.5433290500005</v>
      </c>
      <c r="AR374" s="558">
        <v>1.0405</v>
      </c>
    </row>
    <row r="375" spans="39:44">
      <c r="AM375" s="557">
        <f t="shared" ca="1" si="58"/>
        <v>45583</v>
      </c>
      <c r="AN375" s="558">
        <v>47.42</v>
      </c>
      <c r="AO375" s="558">
        <v>2250800</v>
      </c>
      <c r="AP375" s="558">
        <v>206.48981000000001</v>
      </c>
      <c r="AQ375" s="558">
        <v>9791.7467902000008</v>
      </c>
      <c r="AR375" s="558">
        <v>1.0295000000000001</v>
      </c>
    </row>
    <row r="376" spans="39:44">
      <c r="AM376" s="557">
        <f t="shared" ca="1" si="58"/>
        <v>45582</v>
      </c>
      <c r="AN376" s="558">
        <v>48.03</v>
      </c>
      <c r="AO376" s="558">
        <v>1921100</v>
      </c>
      <c r="AP376" s="558">
        <v>206.48981000000001</v>
      </c>
      <c r="AQ376" s="558">
        <v>9917.7055743000001</v>
      </c>
      <c r="AR376" s="558">
        <v>1.0423</v>
      </c>
    </row>
    <row r="377" spans="39:44">
      <c r="AM377" s="557">
        <f t="shared" ca="1" si="58"/>
        <v>45581</v>
      </c>
      <c r="AN377" s="558">
        <v>49.05</v>
      </c>
      <c r="AO377" s="558">
        <v>4731200</v>
      </c>
      <c r="AP377" s="558">
        <v>206.48981000000001</v>
      </c>
      <c r="AQ377" s="558">
        <v>10128.3251805</v>
      </c>
      <c r="AR377" s="558">
        <v>1.0640000000000001</v>
      </c>
    </row>
    <row r="378" spans="39:44">
      <c r="AM378" s="557">
        <f t="shared" ca="1" si="58"/>
        <v>45580</v>
      </c>
      <c r="AN378" s="558">
        <v>49.05</v>
      </c>
      <c r="AO378" s="558">
        <v>4731200</v>
      </c>
      <c r="AP378" s="558">
        <v>206.48981000000001</v>
      </c>
      <c r="AQ378" s="558">
        <v>10128.3251805</v>
      </c>
      <c r="AR378" s="558">
        <v>1.0640000000000001</v>
      </c>
    </row>
    <row r="379" spans="39:44">
      <c r="AM379" s="557">
        <f t="shared" ca="1" si="58"/>
        <v>45579</v>
      </c>
      <c r="AN379" s="558">
        <v>49.05</v>
      </c>
      <c r="AO379" s="558">
        <v>4731200</v>
      </c>
      <c r="AP379" s="558">
        <v>206.48981000000001</v>
      </c>
      <c r="AQ379" s="558">
        <v>10128.3251805</v>
      </c>
      <c r="AR379" s="558">
        <v>1.0640000000000001</v>
      </c>
    </row>
    <row r="380" spans="39:44">
      <c r="AM380" s="557">
        <f t="shared" ca="1" si="58"/>
        <v>45578</v>
      </c>
      <c r="AN380" s="558">
        <v>50.71</v>
      </c>
      <c r="AO380" s="558">
        <v>3540400</v>
      </c>
      <c r="AP380" s="558">
        <v>206.48981000000001</v>
      </c>
      <c r="AQ380" s="558">
        <v>10471.098265100001</v>
      </c>
      <c r="AR380" s="558">
        <v>1.1012999999999999</v>
      </c>
    </row>
    <row r="381" spans="39:44">
      <c r="AM381" s="557">
        <f t="shared" ca="1" si="58"/>
        <v>45577</v>
      </c>
      <c r="AN381" s="558">
        <v>53.015000000000001</v>
      </c>
      <c r="AO381" s="558">
        <v>1161300</v>
      </c>
      <c r="AP381" s="558">
        <v>206.48981000000001</v>
      </c>
      <c r="AQ381" s="558">
        <v>10947.057277150001</v>
      </c>
      <c r="AR381" s="558">
        <v>1.1499999999999999</v>
      </c>
    </row>
    <row r="382" spans="39:44">
      <c r="AM382" s="557">
        <f t="shared" ca="1" si="58"/>
        <v>45576</v>
      </c>
      <c r="AN382" s="558">
        <v>53.81</v>
      </c>
      <c r="AO382" s="558">
        <v>1511000</v>
      </c>
      <c r="AP382" s="558">
        <v>206.48981000000001</v>
      </c>
      <c r="AQ382" s="558">
        <v>11111.216676100001</v>
      </c>
      <c r="AR382" s="558">
        <v>1.1681999999999999</v>
      </c>
    </row>
    <row r="383" spans="39:44">
      <c r="AM383" s="557">
        <f t="shared" ca="1" si="58"/>
        <v>45575</v>
      </c>
      <c r="AN383" s="558">
        <v>52.56</v>
      </c>
      <c r="AO383" s="558">
        <v>863400</v>
      </c>
      <c r="AP383" s="558">
        <v>206.48981000000001</v>
      </c>
      <c r="AQ383" s="558">
        <v>10853.1044136</v>
      </c>
      <c r="AR383" s="558">
        <v>1.1418999999999999</v>
      </c>
    </row>
    <row r="384" spans="39:44">
      <c r="AM384" s="557">
        <f t="shared" ca="1" si="58"/>
        <v>45574</v>
      </c>
      <c r="AN384" s="558">
        <v>52.45</v>
      </c>
      <c r="AO384" s="558">
        <v>1437600</v>
      </c>
      <c r="AP384" s="558">
        <v>206.48981000000001</v>
      </c>
      <c r="AQ384" s="558">
        <v>10830.3905345</v>
      </c>
      <c r="AR384" s="558">
        <v>1.1393</v>
      </c>
    </row>
    <row r="385" spans="39:44">
      <c r="AM385" s="557">
        <f t="shared" ca="1" si="58"/>
        <v>45573</v>
      </c>
      <c r="AN385" s="558">
        <v>52.45</v>
      </c>
      <c r="AO385" s="558">
        <v>1437600</v>
      </c>
      <c r="AP385" s="558">
        <v>206.48981000000001</v>
      </c>
      <c r="AQ385" s="558">
        <v>10830.3905345</v>
      </c>
      <c r="AR385" s="558">
        <v>1.1393</v>
      </c>
    </row>
    <row r="386" spans="39:44">
      <c r="AM386" s="557">
        <f t="shared" ca="1" si="58"/>
        <v>45572</v>
      </c>
      <c r="AN386" s="558">
        <v>52.45</v>
      </c>
      <c r="AO386" s="558">
        <v>1437600</v>
      </c>
      <c r="AP386" s="558">
        <v>206.48981000000001</v>
      </c>
      <c r="AQ386" s="558">
        <v>10830.3905345</v>
      </c>
      <c r="AR386" s="558">
        <v>1.1393</v>
      </c>
    </row>
    <row r="387" spans="39:44">
      <c r="AM387" s="557">
        <f t="shared" ca="1" si="58"/>
        <v>45571</v>
      </c>
      <c r="AN387" s="558">
        <v>50.22</v>
      </c>
      <c r="AO387" s="558">
        <v>1251900</v>
      </c>
      <c r="AP387" s="558">
        <v>206.48981000000001</v>
      </c>
      <c r="AQ387" s="558">
        <v>10369.918258199999</v>
      </c>
      <c r="AR387" s="558">
        <v>1.0911</v>
      </c>
    </row>
    <row r="388" spans="39:44">
      <c r="AM388" s="557">
        <f t="shared" ca="1" si="58"/>
        <v>45570</v>
      </c>
      <c r="AN388" s="558">
        <v>51.825000000000003</v>
      </c>
      <c r="AO388" s="558">
        <v>977400</v>
      </c>
      <c r="AP388" s="558">
        <v>206.48981000000001</v>
      </c>
      <c r="AQ388" s="558">
        <v>10701.334403250001</v>
      </c>
      <c r="AR388" s="558">
        <v>1.1241000000000001</v>
      </c>
    </row>
    <row r="389" spans="39:44">
      <c r="AM389" s="557">
        <f t="shared" ref="AM389:AM452" ca="1" si="59">AM388-1</f>
        <v>45569</v>
      </c>
      <c r="AN389" s="558">
        <v>52.16</v>
      </c>
      <c r="AO389" s="558">
        <v>1075800</v>
      </c>
      <c r="AP389" s="558">
        <v>206.48981000000001</v>
      </c>
      <c r="AQ389" s="558">
        <v>10770.508489599999</v>
      </c>
      <c r="AR389" s="558">
        <v>1.1348</v>
      </c>
    </row>
    <row r="390" spans="39:44">
      <c r="AM390" s="557">
        <f t="shared" ca="1" si="59"/>
        <v>45568</v>
      </c>
      <c r="AN390" s="558">
        <v>52.365000000000002</v>
      </c>
      <c r="AO390" s="558">
        <v>1655100</v>
      </c>
      <c r="AP390" s="558">
        <v>206.48981000000001</v>
      </c>
      <c r="AQ390" s="558">
        <v>10812.83890065</v>
      </c>
      <c r="AR390" s="558">
        <v>1.1377999999999999</v>
      </c>
    </row>
    <row r="391" spans="39:44">
      <c r="AM391" s="557">
        <f t="shared" ca="1" si="59"/>
        <v>45567</v>
      </c>
      <c r="AN391" s="558">
        <v>51.094999999999999</v>
      </c>
      <c r="AO391" s="558">
        <v>3142700</v>
      </c>
      <c r="AP391" s="558">
        <v>206.48981000000001</v>
      </c>
      <c r="AQ391" s="558">
        <v>10550.59684195</v>
      </c>
      <c r="AR391" s="558">
        <v>1.1095999999999999</v>
      </c>
    </row>
    <row r="392" spans="39:44">
      <c r="AM392" s="557">
        <f t="shared" ca="1" si="59"/>
        <v>45566</v>
      </c>
      <c r="AN392" s="558">
        <v>51.094999999999999</v>
      </c>
      <c r="AO392" s="558">
        <v>3142700</v>
      </c>
      <c r="AP392" s="558">
        <v>206.48981000000001</v>
      </c>
      <c r="AQ392" s="558">
        <v>10550.59684195</v>
      </c>
      <c r="AR392" s="558">
        <v>1.1095999999999999</v>
      </c>
    </row>
    <row r="393" spans="39:44">
      <c r="AM393" s="557">
        <f t="shared" ca="1" si="59"/>
        <v>45565</v>
      </c>
      <c r="AN393" s="558">
        <v>51.094999999999999</v>
      </c>
      <c r="AO393" s="558">
        <v>3142700</v>
      </c>
      <c r="AP393" s="558">
        <v>206.48981000000001</v>
      </c>
      <c r="AQ393" s="558">
        <v>10550.59684195</v>
      </c>
      <c r="AR393" s="558">
        <v>1.1095999999999999</v>
      </c>
    </row>
    <row r="394" spans="39:44">
      <c r="AM394" s="557">
        <f t="shared" ca="1" si="59"/>
        <v>45564</v>
      </c>
      <c r="AN394" s="558">
        <v>53.954999999999998</v>
      </c>
      <c r="AO394" s="558">
        <v>2644200</v>
      </c>
      <c r="AP394" s="558">
        <v>206.48981000000001</v>
      </c>
      <c r="AQ394" s="558">
        <v>11141.15769855</v>
      </c>
      <c r="AR394" s="558">
        <v>1.1713</v>
      </c>
    </row>
    <row r="395" spans="39:44">
      <c r="AM395" s="557">
        <f t="shared" ca="1" si="59"/>
        <v>45563</v>
      </c>
      <c r="AN395" s="558">
        <v>55.155000000000001</v>
      </c>
      <c r="AO395" s="558">
        <v>2141800</v>
      </c>
      <c r="AP395" s="558">
        <v>206.48981000000001</v>
      </c>
      <c r="AQ395" s="558">
        <v>11388.945470550001</v>
      </c>
      <c r="AR395" s="558">
        <v>1.1977</v>
      </c>
    </row>
    <row r="396" spans="39:44">
      <c r="AM396" s="557">
        <f t="shared" ca="1" si="59"/>
        <v>45562</v>
      </c>
      <c r="AN396" s="558">
        <v>54.405000000000001</v>
      </c>
      <c r="AO396" s="558">
        <v>1274600</v>
      </c>
      <c r="AP396" s="558">
        <v>206.48981000000001</v>
      </c>
      <c r="AQ396" s="558">
        <v>11234.07811305</v>
      </c>
      <c r="AR396" s="558">
        <v>1.1801999999999999</v>
      </c>
    </row>
    <row r="397" spans="39:44">
      <c r="AM397" s="557">
        <f t="shared" ca="1" si="59"/>
        <v>45561</v>
      </c>
      <c r="AN397" s="558">
        <v>53.484999999999999</v>
      </c>
      <c r="AO397" s="558">
        <v>1412200</v>
      </c>
      <c r="AP397" s="558">
        <v>206.48981000000001</v>
      </c>
      <c r="AQ397" s="558">
        <v>11044.10748785</v>
      </c>
      <c r="AR397" s="558">
        <v>1.1613</v>
      </c>
    </row>
    <row r="398" spans="39:44">
      <c r="AM398" s="557">
        <f t="shared" ca="1" si="59"/>
        <v>45560</v>
      </c>
      <c r="AN398" s="558">
        <v>53.86</v>
      </c>
      <c r="AO398" s="558">
        <v>3482000</v>
      </c>
      <c r="AP398" s="558">
        <v>206.48981000000001</v>
      </c>
      <c r="AQ398" s="558">
        <v>11121.5411666</v>
      </c>
      <c r="AR398" s="558">
        <v>1.1706000000000001</v>
      </c>
    </row>
    <row r="399" spans="39:44">
      <c r="AM399" s="557">
        <f t="shared" ca="1" si="59"/>
        <v>45559</v>
      </c>
      <c r="AN399" s="558">
        <v>53.86</v>
      </c>
      <c r="AO399" s="558">
        <v>3482000</v>
      </c>
      <c r="AP399" s="558">
        <v>206.48981000000001</v>
      </c>
      <c r="AQ399" s="558">
        <v>11121.5411666</v>
      </c>
      <c r="AR399" s="558">
        <v>1.1706000000000001</v>
      </c>
    </row>
    <row r="400" spans="39:44">
      <c r="AM400" s="557">
        <f t="shared" ca="1" si="59"/>
        <v>45558</v>
      </c>
      <c r="AN400" s="558">
        <v>53.86</v>
      </c>
      <c r="AO400" s="558">
        <v>3482000</v>
      </c>
      <c r="AP400" s="558">
        <v>206.48981000000001</v>
      </c>
      <c r="AQ400" s="558">
        <v>11121.5411666</v>
      </c>
      <c r="AR400" s="558">
        <v>1.1706000000000001</v>
      </c>
    </row>
    <row r="401" spans="39:44">
      <c r="AM401" s="557">
        <f t="shared" ca="1" si="59"/>
        <v>45557</v>
      </c>
      <c r="AN401" s="558">
        <v>51.36</v>
      </c>
      <c r="AO401" s="558">
        <v>1663200</v>
      </c>
      <c r="AP401" s="558">
        <v>206.4898</v>
      </c>
      <c r="AQ401" s="558">
        <v>10605.316128</v>
      </c>
      <c r="AR401" s="558">
        <v>1.1144000000000001</v>
      </c>
    </row>
    <row r="402" spans="39:44">
      <c r="AM402" s="557">
        <f t="shared" ca="1" si="59"/>
        <v>45556</v>
      </c>
      <c r="AN402" s="558">
        <v>50.354999999999997</v>
      </c>
      <c r="AO402" s="558">
        <v>1129200</v>
      </c>
      <c r="AP402" s="558">
        <v>206.48981000000001</v>
      </c>
      <c r="AQ402" s="558">
        <v>10397.794382549999</v>
      </c>
      <c r="AR402" s="558">
        <v>1.0926</v>
      </c>
    </row>
    <row r="403" spans="39:44">
      <c r="AM403" s="557">
        <f t="shared" ca="1" si="59"/>
        <v>45555</v>
      </c>
      <c r="AN403" s="558">
        <v>49.384999999999998</v>
      </c>
      <c r="AO403" s="558">
        <v>1127300</v>
      </c>
      <c r="AP403" s="558">
        <v>206.48981000000001</v>
      </c>
      <c r="AQ403" s="558">
        <v>10197.49926685</v>
      </c>
      <c r="AR403" s="558">
        <v>1.0722</v>
      </c>
    </row>
    <row r="404" spans="39:44">
      <c r="AM404" s="557">
        <f t="shared" ca="1" si="59"/>
        <v>45554</v>
      </c>
      <c r="AN404" s="558">
        <v>49.284999999999997</v>
      </c>
      <c r="AO404" s="558">
        <v>2085600</v>
      </c>
      <c r="AP404" s="558">
        <v>206.48981000000001</v>
      </c>
      <c r="AQ404" s="558">
        <v>10176.85028585</v>
      </c>
      <c r="AR404" s="558">
        <v>1.0681</v>
      </c>
    </row>
    <row r="405" spans="39:44">
      <c r="AM405" s="557">
        <f t="shared" ca="1" si="59"/>
        <v>45553</v>
      </c>
      <c r="AN405" s="558">
        <v>50.32</v>
      </c>
      <c r="AO405" s="558">
        <v>1276400</v>
      </c>
      <c r="AP405" s="558">
        <v>206.48981000000001</v>
      </c>
      <c r="AQ405" s="558">
        <v>10390.5672392</v>
      </c>
      <c r="AR405" s="558">
        <v>1.0932999999999999</v>
      </c>
    </row>
    <row r="406" spans="39:44">
      <c r="AM406" s="557">
        <f t="shared" ca="1" si="59"/>
        <v>45552</v>
      </c>
      <c r="AN406" s="558">
        <v>50.32</v>
      </c>
      <c r="AO406" s="558">
        <v>1276400</v>
      </c>
      <c r="AP406" s="558">
        <v>206.48981000000001</v>
      </c>
      <c r="AQ406" s="558">
        <v>10390.5672392</v>
      </c>
      <c r="AR406" s="558">
        <v>1.0932999999999999</v>
      </c>
    </row>
    <row r="407" spans="39:44">
      <c r="AM407" s="557">
        <f t="shared" ca="1" si="59"/>
        <v>45551</v>
      </c>
      <c r="AN407" s="558">
        <v>50.32</v>
      </c>
      <c r="AO407" s="558">
        <v>1276400</v>
      </c>
      <c r="AP407" s="558">
        <v>206.48981000000001</v>
      </c>
      <c r="AQ407" s="558">
        <v>10390.5672392</v>
      </c>
      <c r="AR407" s="558">
        <v>1.0932999999999999</v>
      </c>
    </row>
    <row r="408" spans="39:44">
      <c r="AM408" s="557">
        <f t="shared" ca="1" si="59"/>
        <v>45550</v>
      </c>
      <c r="AN408" s="558">
        <v>50.17</v>
      </c>
      <c r="AO408" s="558">
        <v>1160300</v>
      </c>
      <c r="AP408" s="558">
        <v>206.48981000000001</v>
      </c>
      <c r="AQ408" s="558">
        <v>10359.5937677</v>
      </c>
      <c r="AR408" s="558">
        <v>1.0942000000000001</v>
      </c>
    </row>
    <row r="409" spans="39:44">
      <c r="AM409" s="557">
        <f t="shared" ca="1" si="59"/>
        <v>45549</v>
      </c>
      <c r="AN409" s="558">
        <v>48.685000000000002</v>
      </c>
      <c r="AO409" s="558">
        <v>1740500</v>
      </c>
      <c r="AP409" s="558">
        <v>206.48981000000001</v>
      </c>
      <c r="AQ409" s="558">
        <v>10052.956399850002</v>
      </c>
      <c r="AR409" s="558">
        <v>1.0564</v>
      </c>
    </row>
    <row r="410" spans="39:44">
      <c r="AM410" s="557">
        <f t="shared" ca="1" si="59"/>
        <v>45548</v>
      </c>
      <c r="AN410" s="558">
        <v>48.67</v>
      </c>
      <c r="AO410" s="558">
        <v>943200</v>
      </c>
      <c r="AP410" s="558">
        <v>206.48981000000001</v>
      </c>
      <c r="AQ410" s="558">
        <v>10049.859052700001</v>
      </c>
      <c r="AR410" s="558">
        <v>1.0572999999999999</v>
      </c>
    </row>
    <row r="411" spans="39:44">
      <c r="AM411" s="557">
        <f t="shared" ca="1" si="59"/>
        <v>45547</v>
      </c>
      <c r="AN411" s="558">
        <v>49.74</v>
      </c>
      <c r="AO411" s="558">
        <v>932600</v>
      </c>
      <c r="AP411" s="558">
        <v>206.48981000000001</v>
      </c>
      <c r="AQ411" s="558">
        <v>10270.803149400001</v>
      </c>
      <c r="AR411" s="558">
        <v>1.0805</v>
      </c>
    </row>
    <row r="412" spans="39:44">
      <c r="AM412" s="557">
        <f t="shared" ca="1" si="59"/>
        <v>45546</v>
      </c>
      <c r="AN412" s="558">
        <v>50.975000000000001</v>
      </c>
      <c r="AO412" s="558">
        <v>797100</v>
      </c>
      <c r="AP412" s="558">
        <v>206.48981000000001</v>
      </c>
      <c r="AQ412" s="558">
        <v>10525.818064750001</v>
      </c>
      <c r="AR412" s="558">
        <v>1.1039000000000001</v>
      </c>
    </row>
    <row r="413" spans="39:44">
      <c r="AM413" s="557">
        <f t="shared" ca="1" si="59"/>
        <v>45545</v>
      </c>
      <c r="AN413" s="558">
        <v>50.975000000000001</v>
      </c>
      <c r="AO413" s="558">
        <v>797100</v>
      </c>
      <c r="AP413" s="558">
        <v>206.48981000000001</v>
      </c>
      <c r="AQ413" s="558">
        <v>10525.818064750001</v>
      </c>
      <c r="AR413" s="558">
        <v>1.1039000000000001</v>
      </c>
    </row>
    <row r="414" spans="39:44">
      <c r="AM414" s="557">
        <f t="shared" ca="1" si="59"/>
        <v>45544</v>
      </c>
      <c r="AN414" s="558">
        <v>50.975000000000001</v>
      </c>
      <c r="AO414" s="558">
        <v>797100</v>
      </c>
      <c r="AP414" s="558">
        <v>206.48981000000001</v>
      </c>
      <c r="AQ414" s="558">
        <v>10525.818064750001</v>
      </c>
      <c r="AR414" s="558">
        <v>1.1039000000000001</v>
      </c>
    </row>
    <row r="415" spans="39:44">
      <c r="AM415" s="557">
        <f t="shared" ca="1" si="59"/>
        <v>45543</v>
      </c>
      <c r="AN415" s="558">
        <v>50.344999999999999</v>
      </c>
      <c r="AO415" s="558">
        <v>1040000</v>
      </c>
      <c r="AP415" s="558">
        <v>206.48981000000001</v>
      </c>
      <c r="AQ415" s="558">
        <v>10395.729484449999</v>
      </c>
      <c r="AR415" s="558">
        <v>1.0944</v>
      </c>
    </row>
    <row r="416" spans="39:44">
      <c r="AM416" s="557">
        <f t="shared" ca="1" si="59"/>
        <v>45542</v>
      </c>
      <c r="AN416" s="558">
        <v>51.545000000000002</v>
      </c>
      <c r="AO416" s="558">
        <v>1042600</v>
      </c>
      <c r="AP416" s="558">
        <v>206.48981000000001</v>
      </c>
      <c r="AQ416" s="558">
        <v>10643.517256450001</v>
      </c>
      <c r="AR416" s="558">
        <v>1.1226</v>
      </c>
    </row>
    <row r="417" spans="39:44">
      <c r="AM417" s="557">
        <f t="shared" ca="1" si="59"/>
        <v>45541</v>
      </c>
      <c r="AN417" s="558">
        <v>52.625</v>
      </c>
      <c r="AO417" s="558">
        <v>891500</v>
      </c>
      <c r="AP417" s="558">
        <v>206.48981000000001</v>
      </c>
      <c r="AQ417" s="558">
        <v>10866.526251249999</v>
      </c>
      <c r="AR417" s="558">
        <v>1.1424000000000001</v>
      </c>
    </row>
    <row r="418" spans="39:44">
      <c r="AM418" s="557">
        <f t="shared" ca="1" si="59"/>
        <v>45540</v>
      </c>
      <c r="AN418" s="558">
        <v>53.53</v>
      </c>
      <c r="AO418" s="558">
        <v>1302500</v>
      </c>
      <c r="AP418" s="558">
        <v>206.48981000000001</v>
      </c>
      <c r="AQ418" s="558">
        <v>11053.399529300001</v>
      </c>
      <c r="AR418" s="558">
        <v>1.1601999999999999</v>
      </c>
    </row>
    <row r="419" spans="39:44">
      <c r="AM419" s="557">
        <f t="shared" ca="1" si="59"/>
        <v>45539</v>
      </c>
      <c r="AN419" s="558">
        <v>52.265000000000001</v>
      </c>
      <c r="AO419" s="558">
        <v>807800</v>
      </c>
      <c r="AP419" s="558">
        <v>206.48981000000001</v>
      </c>
      <c r="AQ419" s="558">
        <v>10792.18991965</v>
      </c>
      <c r="AR419" s="558">
        <v>1.1354</v>
      </c>
    </row>
    <row r="420" spans="39:44">
      <c r="AM420" s="557">
        <f t="shared" ca="1" si="59"/>
        <v>45538</v>
      </c>
      <c r="AN420" s="558">
        <v>52.265000000000001</v>
      </c>
      <c r="AO420" s="558">
        <v>807800</v>
      </c>
      <c r="AP420" s="558">
        <v>206.48981000000001</v>
      </c>
      <c r="AQ420" s="558">
        <v>10792.18991965</v>
      </c>
      <c r="AR420" s="558">
        <v>1.1354</v>
      </c>
    </row>
    <row r="421" spans="39:44">
      <c r="AM421" s="557">
        <f t="shared" ca="1" si="59"/>
        <v>45537</v>
      </c>
      <c r="AN421" s="558">
        <v>52.265000000000001</v>
      </c>
      <c r="AO421" s="558">
        <v>807800</v>
      </c>
      <c r="AP421" s="558">
        <v>206.48981000000001</v>
      </c>
      <c r="AQ421" s="558">
        <v>10792.18991965</v>
      </c>
      <c r="AR421" s="558">
        <v>1.1354</v>
      </c>
    </row>
    <row r="422" spans="39:44">
      <c r="AM422" s="557">
        <f t="shared" ca="1" si="59"/>
        <v>45536</v>
      </c>
      <c r="AN422" s="558">
        <v>52.564999999999998</v>
      </c>
      <c r="AO422" s="558">
        <v>2117800</v>
      </c>
      <c r="AP422" s="558">
        <v>206.48981000000001</v>
      </c>
      <c r="AQ422" s="558">
        <v>10854.136862650001</v>
      </c>
      <c r="AR422" s="558">
        <v>1.1416999999999999</v>
      </c>
    </row>
    <row r="423" spans="39:44">
      <c r="AM423" s="557">
        <f t="shared" ca="1" si="59"/>
        <v>45535</v>
      </c>
      <c r="AN423" s="558">
        <v>53.895000000000003</v>
      </c>
      <c r="AO423" s="558">
        <v>996600</v>
      </c>
      <c r="AP423" s="558">
        <v>206.48981000000001</v>
      </c>
      <c r="AQ423" s="558">
        <v>11128.768309950001</v>
      </c>
      <c r="AR423" s="558">
        <v>1.1704000000000001</v>
      </c>
    </row>
    <row r="424" spans="39:44">
      <c r="AM424" s="557">
        <f t="shared" ca="1" si="59"/>
        <v>45534</v>
      </c>
      <c r="AN424" s="558">
        <v>53.384999999999998</v>
      </c>
      <c r="AO424" s="558">
        <v>1494600</v>
      </c>
      <c r="AP424" s="558">
        <v>206.48981000000001</v>
      </c>
      <c r="AQ424" s="558">
        <v>11023.45850685</v>
      </c>
      <c r="AR424" s="558">
        <v>1.1591</v>
      </c>
    </row>
    <row r="425" spans="39:44">
      <c r="AM425" s="557">
        <f t="shared" ca="1" si="59"/>
        <v>45533</v>
      </c>
      <c r="AN425" s="558">
        <v>53.875</v>
      </c>
      <c r="AO425" s="558">
        <v>1477100</v>
      </c>
      <c r="AP425" s="558">
        <v>206.48981000000001</v>
      </c>
      <c r="AQ425" s="558">
        <v>11124.63851375</v>
      </c>
      <c r="AR425" s="558">
        <v>1.1693</v>
      </c>
    </row>
    <row r="426" spans="39:44">
      <c r="AM426" s="557">
        <f t="shared" ca="1" si="59"/>
        <v>45532</v>
      </c>
      <c r="AN426" s="558">
        <v>54.25</v>
      </c>
      <c r="AO426" s="558">
        <v>1543700</v>
      </c>
      <c r="AP426" s="558">
        <v>206.48981000000001</v>
      </c>
      <c r="AQ426" s="558">
        <v>11202.0721925</v>
      </c>
      <c r="AR426" s="558">
        <v>1.1791</v>
      </c>
    </row>
    <row r="427" spans="39:44">
      <c r="AM427" s="557">
        <f t="shared" ca="1" si="59"/>
        <v>45531</v>
      </c>
      <c r="AN427" s="558">
        <v>54.25</v>
      </c>
      <c r="AO427" s="558">
        <v>1543700</v>
      </c>
      <c r="AP427" s="558">
        <v>206.48981000000001</v>
      </c>
      <c r="AQ427" s="558">
        <v>11202.0721925</v>
      </c>
      <c r="AR427" s="558">
        <v>1.1791</v>
      </c>
    </row>
    <row r="428" spans="39:44">
      <c r="AM428" s="557">
        <f t="shared" ca="1" si="59"/>
        <v>45530</v>
      </c>
      <c r="AN428" s="558">
        <v>54.25</v>
      </c>
      <c r="AO428" s="558">
        <v>1543700</v>
      </c>
      <c r="AP428" s="558">
        <v>206.48981000000001</v>
      </c>
      <c r="AQ428" s="558">
        <v>11202.0721925</v>
      </c>
      <c r="AR428" s="558">
        <v>1.1791</v>
      </c>
    </row>
    <row r="429" spans="39:44">
      <c r="AM429" s="557">
        <f t="shared" ca="1" si="59"/>
        <v>45529</v>
      </c>
      <c r="AN429" s="558">
        <v>53.895000000000003</v>
      </c>
      <c r="AO429" s="558">
        <v>1247300</v>
      </c>
      <c r="AP429" s="558">
        <v>206.48981000000001</v>
      </c>
      <c r="AQ429" s="558">
        <v>11128.768309950001</v>
      </c>
      <c r="AR429" s="558">
        <v>1.1704000000000001</v>
      </c>
    </row>
    <row r="430" spans="39:44">
      <c r="AM430" s="557">
        <f t="shared" ca="1" si="59"/>
        <v>45528</v>
      </c>
      <c r="AN430" s="558">
        <v>53.76</v>
      </c>
      <c r="AO430" s="558">
        <v>1805200</v>
      </c>
      <c r="AP430" s="558">
        <v>206.48981000000001</v>
      </c>
      <c r="AQ430" s="558">
        <v>11100.8921856</v>
      </c>
      <c r="AR430" s="558">
        <v>1.1671</v>
      </c>
    </row>
    <row r="431" spans="39:44">
      <c r="AM431" s="557">
        <f t="shared" ca="1" si="59"/>
        <v>45527</v>
      </c>
      <c r="AN431" s="558">
        <v>53.914999999999999</v>
      </c>
      <c r="AO431" s="558">
        <v>1936400</v>
      </c>
      <c r="AP431" s="558">
        <v>206.48981000000001</v>
      </c>
      <c r="AQ431" s="558">
        <v>11132.89810615</v>
      </c>
      <c r="AR431" s="558">
        <v>1.1715</v>
      </c>
    </row>
    <row r="432" spans="39:44">
      <c r="AM432" s="557">
        <f t="shared" ca="1" si="59"/>
        <v>45526</v>
      </c>
      <c r="AN432" s="558">
        <v>53.13</v>
      </c>
      <c r="AO432" s="558">
        <v>1348900</v>
      </c>
      <c r="AP432" s="558">
        <v>206.48981000000001</v>
      </c>
      <c r="AQ432" s="558">
        <v>10970.803605300001</v>
      </c>
      <c r="AR432" s="558">
        <v>1.1534</v>
      </c>
    </row>
    <row r="433" spans="39:44">
      <c r="AM433" s="557">
        <f t="shared" ca="1" si="59"/>
        <v>45525</v>
      </c>
      <c r="AN433" s="558">
        <v>52.884999999999998</v>
      </c>
      <c r="AO433" s="558">
        <v>881800</v>
      </c>
      <c r="AP433" s="558">
        <v>206.48981000000001</v>
      </c>
      <c r="AQ433" s="558">
        <v>10920.21360185</v>
      </c>
      <c r="AR433" s="558">
        <v>1.1460999999999999</v>
      </c>
    </row>
    <row r="434" spans="39:44">
      <c r="AM434" s="557">
        <f t="shared" ca="1" si="59"/>
        <v>45524</v>
      </c>
      <c r="AN434" s="558">
        <v>52.884999999999998</v>
      </c>
      <c r="AO434" s="558">
        <v>881800</v>
      </c>
      <c r="AP434" s="558">
        <v>206.48981000000001</v>
      </c>
      <c r="AQ434" s="558">
        <v>10920.21360185</v>
      </c>
      <c r="AR434" s="558">
        <v>1.1460999999999999</v>
      </c>
    </row>
    <row r="435" spans="39:44">
      <c r="AM435" s="557">
        <f t="shared" ca="1" si="59"/>
        <v>45523</v>
      </c>
      <c r="AN435" s="558">
        <v>52.884999999999998</v>
      </c>
      <c r="AO435" s="558">
        <v>881800</v>
      </c>
      <c r="AP435" s="558">
        <v>206.48981000000001</v>
      </c>
      <c r="AQ435" s="558">
        <v>10920.21360185</v>
      </c>
      <c r="AR435" s="558">
        <v>1.1460999999999999</v>
      </c>
    </row>
    <row r="436" spans="39:44">
      <c r="AM436" s="557">
        <f t="shared" ca="1" si="59"/>
        <v>45522</v>
      </c>
      <c r="AN436" s="558">
        <v>51.935000000000002</v>
      </c>
      <c r="AO436" s="558">
        <v>1282700</v>
      </c>
      <c r="AP436" s="558">
        <v>206.48981000000001</v>
      </c>
      <c r="AQ436" s="558">
        <v>10724.048282350001</v>
      </c>
      <c r="AR436" s="558">
        <v>1.1263000000000001</v>
      </c>
    </row>
    <row r="437" spans="39:44">
      <c r="AM437" s="557">
        <f t="shared" ca="1" si="59"/>
        <v>45521</v>
      </c>
      <c r="AN437" s="558">
        <v>51.295000000000002</v>
      </c>
      <c r="AO437" s="558">
        <v>1595300</v>
      </c>
      <c r="AP437" s="558">
        <v>206.48981000000001</v>
      </c>
      <c r="AQ437" s="558">
        <v>10591.894803950001</v>
      </c>
      <c r="AR437" s="558">
        <v>1.1152</v>
      </c>
    </row>
    <row r="438" spans="39:44">
      <c r="AM438" s="557">
        <f t="shared" ca="1" si="59"/>
        <v>45520</v>
      </c>
      <c r="AN438" s="558">
        <v>50.835000000000001</v>
      </c>
      <c r="AO438" s="558">
        <v>1233500</v>
      </c>
      <c r="AP438" s="558">
        <v>206.48981000000001</v>
      </c>
      <c r="AQ438" s="558">
        <v>10496.909491350001</v>
      </c>
      <c r="AR438" s="558">
        <v>1.1032999999999999</v>
      </c>
    </row>
    <row r="439" spans="39:44">
      <c r="AM439" s="557">
        <f t="shared" ca="1" si="59"/>
        <v>45519</v>
      </c>
      <c r="AN439" s="558">
        <v>51.045000000000002</v>
      </c>
      <c r="AO439" s="558">
        <v>1003900</v>
      </c>
      <c r="AP439" s="558">
        <v>206.48981000000001</v>
      </c>
      <c r="AQ439" s="558">
        <v>10540.272351450001</v>
      </c>
      <c r="AR439" s="558">
        <v>1.1093999999999999</v>
      </c>
    </row>
    <row r="440" spans="39:44">
      <c r="AM440" s="557">
        <f t="shared" ca="1" si="59"/>
        <v>45518</v>
      </c>
      <c r="AN440" s="558">
        <v>51.37</v>
      </c>
      <c r="AO440" s="558">
        <v>1426700</v>
      </c>
      <c r="AP440" s="558">
        <v>206.48981000000001</v>
      </c>
      <c r="AQ440" s="558">
        <v>10607.3815397</v>
      </c>
      <c r="AR440" s="558">
        <v>1.1654</v>
      </c>
    </row>
    <row r="441" spans="39:44">
      <c r="AM441" s="557">
        <f t="shared" ca="1" si="59"/>
        <v>45517</v>
      </c>
      <c r="AN441" s="558">
        <v>51.37</v>
      </c>
      <c r="AO441" s="558">
        <v>1426700</v>
      </c>
      <c r="AP441" s="558">
        <v>206.48981000000001</v>
      </c>
      <c r="AQ441" s="558">
        <v>10607.3815397</v>
      </c>
      <c r="AR441" s="558">
        <v>1.1654</v>
      </c>
    </row>
    <row r="442" spans="39:44">
      <c r="AM442" s="557">
        <f t="shared" ca="1" si="59"/>
        <v>45516</v>
      </c>
      <c r="AN442" s="558">
        <v>51.37</v>
      </c>
      <c r="AO442" s="558">
        <v>1426700</v>
      </c>
      <c r="AP442" s="558">
        <v>206.48981000000001</v>
      </c>
      <c r="AQ442" s="558">
        <v>10607.3815397</v>
      </c>
      <c r="AR442" s="558">
        <v>1.1654</v>
      </c>
    </row>
    <row r="443" spans="39:44">
      <c r="AM443" s="557">
        <f t="shared" ca="1" si="59"/>
        <v>45515</v>
      </c>
      <c r="AN443" s="558">
        <v>51.814999999999998</v>
      </c>
      <c r="AO443" s="558">
        <v>2119200</v>
      </c>
      <c r="AP443" s="558">
        <v>206.48981000000001</v>
      </c>
      <c r="AQ443" s="558">
        <v>10699.26950515</v>
      </c>
      <c r="AR443" s="558">
        <v>1.1758999999999999</v>
      </c>
    </row>
    <row r="444" spans="39:44">
      <c r="AM444" s="557">
        <f t="shared" ca="1" si="59"/>
        <v>45514</v>
      </c>
      <c r="AN444" s="558">
        <v>50.475000000000001</v>
      </c>
      <c r="AO444" s="558">
        <v>821700</v>
      </c>
      <c r="AP444" s="558">
        <v>206.48981000000001</v>
      </c>
      <c r="AQ444" s="558">
        <v>10422.57315975</v>
      </c>
      <c r="AR444" s="558">
        <v>1.1452</v>
      </c>
    </row>
    <row r="445" spans="39:44">
      <c r="AM445" s="557">
        <f t="shared" ca="1" si="59"/>
        <v>45513</v>
      </c>
      <c r="AN445" s="558">
        <v>50.98</v>
      </c>
      <c r="AO445" s="558">
        <v>1188500</v>
      </c>
      <c r="AP445" s="558">
        <v>206.48981000000001</v>
      </c>
      <c r="AQ445" s="558">
        <v>10526.8505138</v>
      </c>
      <c r="AR445" s="558">
        <v>1.1558999999999999</v>
      </c>
    </row>
    <row r="446" spans="39:44">
      <c r="AM446" s="557">
        <f t="shared" ca="1" si="59"/>
        <v>45512</v>
      </c>
      <c r="AN446" s="558">
        <v>50.204999999999998</v>
      </c>
      <c r="AO446" s="558">
        <v>1597200</v>
      </c>
      <c r="AP446" s="558">
        <v>206.48981000000001</v>
      </c>
      <c r="AQ446" s="558">
        <v>10366.820911049999</v>
      </c>
      <c r="AR446" s="558">
        <v>1.1393</v>
      </c>
    </row>
    <row r="447" spans="39:44">
      <c r="AM447" s="557">
        <f t="shared" ca="1" si="59"/>
        <v>45511</v>
      </c>
      <c r="AN447" s="558">
        <v>49.585000000000001</v>
      </c>
      <c r="AO447" s="558">
        <v>3004000</v>
      </c>
      <c r="AP447" s="558">
        <v>206.48981000000001</v>
      </c>
      <c r="AQ447" s="558">
        <v>10238.79722885</v>
      </c>
      <c r="AR447" s="558">
        <v>1.1254999999999999</v>
      </c>
    </row>
    <row r="448" spans="39:44">
      <c r="AM448" s="557">
        <f t="shared" ca="1" si="59"/>
        <v>45510</v>
      </c>
      <c r="AN448" s="558">
        <v>49.585000000000001</v>
      </c>
      <c r="AO448" s="558">
        <v>3004000</v>
      </c>
      <c r="AP448" s="558">
        <v>206.48981000000001</v>
      </c>
      <c r="AQ448" s="558">
        <v>10238.79722885</v>
      </c>
      <c r="AR448" s="558">
        <v>1.1254999999999999</v>
      </c>
    </row>
    <row r="449" spans="39:44">
      <c r="AM449" s="557">
        <f t="shared" ca="1" si="59"/>
        <v>45509</v>
      </c>
      <c r="AN449" s="558">
        <v>49.585000000000001</v>
      </c>
      <c r="AO449" s="558">
        <v>3004000</v>
      </c>
      <c r="AP449" s="558">
        <v>206.48981000000001</v>
      </c>
      <c r="AQ449" s="558">
        <v>10238.79722885</v>
      </c>
      <c r="AR449" s="558">
        <v>1.1254999999999999</v>
      </c>
    </row>
    <row r="450" spans="39:44">
      <c r="AM450" s="557">
        <f t="shared" ca="1" si="59"/>
        <v>45508</v>
      </c>
      <c r="AN450" s="558">
        <v>49.92</v>
      </c>
      <c r="AO450" s="558">
        <v>2818000</v>
      </c>
      <c r="AP450" s="558">
        <v>206.48981000000001</v>
      </c>
      <c r="AQ450" s="558">
        <v>10307.9713152</v>
      </c>
      <c r="AR450" s="558">
        <v>1.1314</v>
      </c>
    </row>
    <row r="451" spans="39:44">
      <c r="AM451" s="557">
        <f t="shared" ca="1" si="59"/>
        <v>45507</v>
      </c>
      <c r="AN451" s="558">
        <v>49.93</v>
      </c>
      <c r="AO451" s="558">
        <v>2150900</v>
      </c>
      <c r="AP451" s="558">
        <v>206.48981000000001</v>
      </c>
      <c r="AQ451" s="558">
        <v>10310.0362133</v>
      </c>
      <c r="AR451" s="558">
        <v>1.1327</v>
      </c>
    </row>
    <row r="452" spans="39:44">
      <c r="AM452" s="557">
        <f t="shared" ca="1" si="59"/>
        <v>45506</v>
      </c>
      <c r="AN452" s="558">
        <v>50.09</v>
      </c>
      <c r="AO452" s="558">
        <v>2842900</v>
      </c>
      <c r="AP452" s="558">
        <v>206.48981000000001</v>
      </c>
      <c r="AQ452" s="558">
        <v>10343.074582900001</v>
      </c>
      <c r="AR452" s="558">
        <v>1.1391</v>
      </c>
    </row>
    <row r="453" spans="39:44">
      <c r="AM453" s="557">
        <f t="shared" ref="AM453:AM516" ca="1" si="60">AM452-1</f>
        <v>45505</v>
      </c>
      <c r="AN453" s="558">
        <v>50.41</v>
      </c>
      <c r="AO453" s="558">
        <v>1648100</v>
      </c>
      <c r="AP453" s="558">
        <v>110.98921</v>
      </c>
      <c r="AQ453" s="558">
        <v>5594.9660760999996</v>
      </c>
      <c r="AR453" s="558">
        <v>1.1427</v>
      </c>
    </row>
    <row r="454" spans="39:44">
      <c r="AM454" s="557">
        <f t="shared" ca="1" si="60"/>
        <v>45504</v>
      </c>
      <c r="AN454" s="558">
        <v>50.234999999999999</v>
      </c>
      <c r="AO454" s="558">
        <v>1971100</v>
      </c>
      <c r="AP454" s="558">
        <v>110.98921</v>
      </c>
      <c r="AQ454" s="558">
        <v>5575.5429643500001</v>
      </c>
      <c r="AR454" s="558">
        <v>1.1407</v>
      </c>
    </row>
    <row r="455" spans="39:44">
      <c r="AM455" s="557">
        <f t="shared" ca="1" si="60"/>
        <v>45503</v>
      </c>
      <c r="AN455" s="558">
        <v>50.234999999999999</v>
      </c>
      <c r="AO455" s="558">
        <v>1971100</v>
      </c>
      <c r="AP455" s="558">
        <v>110.98921</v>
      </c>
      <c r="AQ455" s="558">
        <v>5575.5429643500001</v>
      </c>
      <c r="AR455" s="558">
        <v>1.1407</v>
      </c>
    </row>
    <row r="456" spans="39:44">
      <c r="AM456" s="557">
        <f t="shared" ca="1" si="60"/>
        <v>45502</v>
      </c>
      <c r="AN456" s="558">
        <v>50.234999999999999</v>
      </c>
      <c r="AO456" s="558">
        <v>1971100</v>
      </c>
      <c r="AP456" s="558">
        <v>110.98921</v>
      </c>
      <c r="AQ456" s="558">
        <v>5575.5429643500001</v>
      </c>
      <c r="AR456" s="558">
        <v>1.1407</v>
      </c>
    </row>
    <row r="457" spans="39:44">
      <c r="AM457" s="557">
        <f t="shared" ca="1" si="60"/>
        <v>45501</v>
      </c>
      <c r="AN457" s="558">
        <v>49.104999999999997</v>
      </c>
      <c r="AO457" s="558">
        <v>2031900</v>
      </c>
      <c r="AP457" s="558">
        <v>110.98921</v>
      </c>
      <c r="AQ457" s="558">
        <v>5450.1251570499999</v>
      </c>
      <c r="AR457" s="558">
        <v>1.1144000000000001</v>
      </c>
    </row>
    <row r="458" spans="39:44">
      <c r="AM458" s="557">
        <f t="shared" ca="1" si="60"/>
        <v>45500</v>
      </c>
      <c r="AN458" s="558">
        <v>49.11</v>
      </c>
      <c r="AO458" s="558">
        <v>3061900</v>
      </c>
      <c r="AP458" s="558">
        <v>110.98921</v>
      </c>
      <c r="AQ458" s="558">
        <v>5450.6801030999995</v>
      </c>
      <c r="AR458" s="558">
        <v>1.1144000000000001</v>
      </c>
    </row>
    <row r="459" spans="39:44">
      <c r="AM459" s="557">
        <f t="shared" ca="1" si="60"/>
        <v>45499</v>
      </c>
      <c r="AN459" s="558">
        <v>49.564999999999998</v>
      </c>
      <c r="AO459" s="558">
        <v>2071700</v>
      </c>
      <c r="AP459" s="558">
        <v>110.98921</v>
      </c>
      <c r="AQ459" s="558">
        <v>5501.1801936499996</v>
      </c>
      <c r="AR459" s="558">
        <v>1.1248</v>
      </c>
    </row>
    <row r="460" spans="39:44">
      <c r="AM460" s="557">
        <f t="shared" ca="1" si="60"/>
        <v>45498</v>
      </c>
      <c r="AN460" s="558">
        <v>48.384999999999998</v>
      </c>
      <c r="AO460" s="558">
        <v>1798300</v>
      </c>
      <c r="AP460" s="558">
        <v>110.98921</v>
      </c>
      <c r="AQ460" s="558">
        <v>5370.2129258499999</v>
      </c>
      <c r="AR460" s="558">
        <v>1.0985</v>
      </c>
    </row>
    <row r="461" spans="39:44">
      <c r="AM461" s="557">
        <f t="shared" ca="1" si="60"/>
        <v>45497</v>
      </c>
      <c r="AN461" s="558">
        <v>50.475000000000001</v>
      </c>
      <c r="AO461" s="558">
        <v>1563200</v>
      </c>
      <c r="AP461" s="558">
        <v>110.98921</v>
      </c>
      <c r="AQ461" s="558">
        <v>5602.1803747499998</v>
      </c>
      <c r="AR461" s="558">
        <v>1.1458999999999999</v>
      </c>
    </row>
    <row r="462" spans="39:44">
      <c r="AM462" s="557">
        <f t="shared" ca="1" si="60"/>
        <v>45496</v>
      </c>
      <c r="AN462" s="558">
        <v>50.475000000000001</v>
      </c>
      <c r="AO462" s="558">
        <v>1563200</v>
      </c>
      <c r="AP462" s="558">
        <v>110.98921</v>
      </c>
      <c r="AQ462" s="558">
        <v>5602.1803747499998</v>
      </c>
      <c r="AR462" s="558">
        <v>1.1458999999999999</v>
      </c>
    </row>
    <row r="463" spans="39:44">
      <c r="AM463" s="557">
        <f t="shared" ca="1" si="60"/>
        <v>45495</v>
      </c>
      <c r="AN463" s="558">
        <v>50.475000000000001</v>
      </c>
      <c r="AO463" s="558">
        <v>1563200</v>
      </c>
      <c r="AP463" s="558">
        <v>110.98921</v>
      </c>
      <c r="AQ463" s="558">
        <v>5602.1803747499998</v>
      </c>
      <c r="AR463" s="558">
        <v>1.1458999999999999</v>
      </c>
    </row>
    <row r="464" spans="39:44">
      <c r="AM464" s="557">
        <f t="shared" ca="1" si="60"/>
        <v>45494</v>
      </c>
      <c r="AN464" s="558">
        <v>51.13</v>
      </c>
      <c r="AO464" s="558">
        <v>1220600</v>
      </c>
      <c r="AP464" s="558">
        <v>110.98921</v>
      </c>
      <c r="AQ464" s="558">
        <v>5674.8783073000004</v>
      </c>
      <c r="AR464" s="558">
        <v>1.1607000000000001</v>
      </c>
    </row>
    <row r="465" spans="39:44">
      <c r="AM465" s="557">
        <f t="shared" ca="1" si="60"/>
        <v>45493</v>
      </c>
      <c r="AN465" s="558">
        <v>50.935000000000002</v>
      </c>
      <c r="AO465" s="558">
        <v>2280100</v>
      </c>
      <c r="AP465" s="558">
        <v>110.98921</v>
      </c>
      <c r="AQ465" s="558">
        <v>5653.2354113500005</v>
      </c>
      <c r="AR465" s="558">
        <v>1.1566000000000001</v>
      </c>
    </row>
    <row r="466" spans="39:44">
      <c r="AM466" s="557">
        <f t="shared" ca="1" si="60"/>
        <v>45492</v>
      </c>
      <c r="AN466" s="558">
        <v>50.72</v>
      </c>
      <c r="AO466" s="558">
        <v>1930800</v>
      </c>
      <c r="AP466" s="558">
        <v>110.98921</v>
      </c>
      <c r="AQ466" s="558">
        <v>5629.3727312000001</v>
      </c>
      <c r="AR466" s="558">
        <v>1.1525000000000001</v>
      </c>
    </row>
    <row r="467" spans="39:44">
      <c r="AM467" s="557">
        <f t="shared" ca="1" si="60"/>
        <v>45491</v>
      </c>
      <c r="AN467" s="558">
        <v>50.814999999999998</v>
      </c>
      <c r="AO467" s="558">
        <v>1982400</v>
      </c>
      <c r="AP467" s="558">
        <v>110.98921</v>
      </c>
      <c r="AQ467" s="558">
        <v>5639.9167061499993</v>
      </c>
      <c r="AR467" s="558">
        <v>1.1538999999999999</v>
      </c>
    </row>
    <row r="468" spans="39:44">
      <c r="AM468" s="557">
        <f t="shared" ca="1" si="60"/>
        <v>45490</v>
      </c>
      <c r="AN468" s="558">
        <v>49.31</v>
      </c>
      <c r="AO468" s="558">
        <v>1214000</v>
      </c>
      <c r="AP468" s="558">
        <v>110.98921</v>
      </c>
      <c r="AQ468" s="558">
        <v>5472.8779451</v>
      </c>
      <c r="AR468" s="558">
        <v>1.1212</v>
      </c>
    </row>
    <row r="469" spans="39:44">
      <c r="AM469" s="557">
        <f t="shared" ca="1" si="60"/>
        <v>45489</v>
      </c>
      <c r="AN469" s="558">
        <v>49.31</v>
      </c>
      <c r="AO469" s="558">
        <v>1214000</v>
      </c>
      <c r="AP469" s="558">
        <v>110.98921</v>
      </c>
      <c r="AQ469" s="558">
        <v>5472.8779451</v>
      </c>
      <c r="AR469" s="558">
        <v>1.1212</v>
      </c>
    </row>
    <row r="470" spans="39:44">
      <c r="AM470" s="557">
        <f t="shared" ca="1" si="60"/>
        <v>45488</v>
      </c>
      <c r="AN470" s="558">
        <v>49.31</v>
      </c>
      <c r="AO470" s="558">
        <v>1214000</v>
      </c>
      <c r="AP470" s="558">
        <v>110.98921</v>
      </c>
      <c r="AQ470" s="558">
        <v>5472.8779451</v>
      </c>
      <c r="AR470" s="558">
        <v>1.1212</v>
      </c>
    </row>
    <row r="471" spans="39:44">
      <c r="AM471" s="557">
        <f t="shared" ca="1" si="60"/>
        <v>45487</v>
      </c>
      <c r="AN471" s="558">
        <v>50.17</v>
      </c>
      <c r="AO471" s="558">
        <v>1899600</v>
      </c>
      <c r="AP471" s="558">
        <v>110.98921</v>
      </c>
      <c r="AQ471" s="558">
        <v>5568.3286656999999</v>
      </c>
      <c r="AR471" s="558">
        <v>1.1389</v>
      </c>
    </row>
    <row r="472" spans="39:44">
      <c r="AM472" s="557">
        <f t="shared" ca="1" si="60"/>
        <v>45486</v>
      </c>
      <c r="AN472" s="558">
        <v>50.17</v>
      </c>
      <c r="AO472" s="558">
        <v>1899600</v>
      </c>
      <c r="AP472" s="558">
        <v>110.98921</v>
      </c>
      <c r="AQ472" s="558">
        <v>5568.3286656999999</v>
      </c>
      <c r="AR472" s="558">
        <v>1.1389</v>
      </c>
    </row>
    <row r="473" spans="39:44">
      <c r="AM473" s="557">
        <f t="shared" ca="1" si="60"/>
        <v>45485</v>
      </c>
      <c r="AN473" s="558">
        <v>50.965000000000003</v>
      </c>
      <c r="AO473" s="558">
        <v>1500200</v>
      </c>
      <c r="AP473" s="558">
        <v>110.98921</v>
      </c>
      <c r="AQ473" s="558">
        <v>5656.5650876500004</v>
      </c>
      <c r="AR473" s="558">
        <v>1.1573</v>
      </c>
    </row>
    <row r="474" spans="39:44">
      <c r="AM474" s="557">
        <f t="shared" ca="1" si="60"/>
        <v>45484</v>
      </c>
      <c r="AN474" s="558">
        <v>50.984999999999999</v>
      </c>
      <c r="AO474" s="558">
        <v>1027800</v>
      </c>
      <c r="AP474" s="558">
        <v>110.98921</v>
      </c>
      <c r="AQ474" s="558">
        <v>5658.7848718499999</v>
      </c>
      <c r="AR474" s="558">
        <v>1.1568000000000001</v>
      </c>
    </row>
    <row r="475" spans="39:44">
      <c r="AM475" s="557">
        <f t="shared" ca="1" si="60"/>
        <v>45483</v>
      </c>
      <c r="AN475" s="558">
        <v>50.99</v>
      </c>
      <c r="AO475" s="558">
        <v>1417100</v>
      </c>
      <c r="AP475" s="558">
        <v>110.98921</v>
      </c>
      <c r="AQ475" s="558">
        <v>5659.3398179000005</v>
      </c>
      <c r="AR475" s="558">
        <v>1.1566000000000001</v>
      </c>
    </row>
    <row r="476" spans="39:44">
      <c r="AM476" s="557">
        <f t="shared" ca="1" si="60"/>
        <v>45482</v>
      </c>
      <c r="AN476" s="558">
        <v>50.99</v>
      </c>
      <c r="AO476" s="558">
        <v>1417100</v>
      </c>
      <c r="AP476" s="558">
        <v>110.98921</v>
      </c>
      <c r="AQ476" s="558">
        <v>5659.3398179000005</v>
      </c>
      <c r="AR476" s="558">
        <v>1.1566000000000001</v>
      </c>
    </row>
    <row r="477" spans="39:44">
      <c r="AM477" s="557">
        <f t="shared" ca="1" si="60"/>
        <v>45481</v>
      </c>
      <c r="AN477" s="558">
        <v>50.99</v>
      </c>
      <c r="AO477" s="558">
        <v>1417100</v>
      </c>
      <c r="AP477" s="558">
        <v>110.98921</v>
      </c>
      <c r="AQ477" s="558">
        <v>5659.3398179000005</v>
      </c>
      <c r="AR477" s="558">
        <v>1.1566000000000001</v>
      </c>
    </row>
    <row r="478" spans="39:44">
      <c r="AM478" s="557">
        <f t="shared" ca="1" si="60"/>
        <v>45480</v>
      </c>
      <c r="AN478" s="558">
        <v>50.935000000000002</v>
      </c>
      <c r="AO478" s="558">
        <v>3576400</v>
      </c>
      <c r="AP478" s="558">
        <v>110.98921</v>
      </c>
      <c r="AQ478" s="558">
        <v>5653.2354113500005</v>
      </c>
      <c r="AR478" s="558">
        <v>1.1564000000000001</v>
      </c>
    </row>
    <row r="479" spans="39:44">
      <c r="AM479" s="557">
        <f t="shared" ca="1" si="60"/>
        <v>45479</v>
      </c>
      <c r="AN479" s="558">
        <v>50.695</v>
      </c>
      <c r="AO479" s="558">
        <v>7156200</v>
      </c>
      <c r="AP479" s="558">
        <v>110.98921</v>
      </c>
      <c r="AQ479" s="558">
        <v>5626.5980009499999</v>
      </c>
      <c r="AR479" s="558">
        <v>1.1495</v>
      </c>
    </row>
    <row r="480" spans="39:44">
      <c r="AM480" s="557">
        <f t="shared" ca="1" si="60"/>
        <v>45478</v>
      </c>
      <c r="AN480" s="558">
        <v>49.975000000000001</v>
      </c>
      <c r="AO480" s="558">
        <v>2137600</v>
      </c>
      <c r="AP480" s="558">
        <v>110.98921</v>
      </c>
      <c r="AQ480" s="558">
        <v>5546.68576975</v>
      </c>
      <c r="AR480" s="558">
        <v>1.1343000000000001</v>
      </c>
    </row>
    <row r="481" spans="39:44">
      <c r="AM481" s="557">
        <f t="shared" ca="1" si="60"/>
        <v>45477</v>
      </c>
      <c r="AN481" s="558">
        <v>49.454999999999998</v>
      </c>
      <c r="AO481" s="558">
        <v>1864500</v>
      </c>
      <c r="AP481" s="558">
        <v>110.98921</v>
      </c>
      <c r="AQ481" s="558">
        <v>5488.9713805499996</v>
      </c>
      <c r="AR481" s="558">
        <v>1.1214</v>
      </c>
    </row>
    <row r="482" spans="39:44">
      <c r="AM482" s="557">
        <f t="shared" ca="1" si="60"/>
        <v>45476</v>
      </c>
      <c r="AN482" s="558">
        <v>49.195</v>
      </c>
      <c r="AO482" s="558">
        <v>1637200</v>
      </c>
      <c r="AP482" s="558">
        <v>110.98921</v>
      </c>
      <c r="AQ482" s="558">
        <v>5460.1141859500003</v>
      </c>
      <c r="AR482" s="558">
        <v>1.1141000000000001</v>
      </c>
    </row>
    <row r="483" spans="39:44">
      <c r="AM483" s="557">
        <f t="shared" ca="1" si="60"/>
        <v>45475</v>
      </c>
      <c r="AN483" s="558">
        <v>49.195</v>
      </c>
      <c r="AO483" s="558">
        <v>1637200</v>
      </c>
      <c r="AP483" s="558">
        <v>110.98921</v>
      </c>
      <c r="AQ483" s="558">
        <v>5460.1141859500003</v>
      </c>
      <c r="AR483" s="558">
        <v>1.1141000000000001</v>
      </c>
    </row>
    <row r="484" spans="39:44">
      <c r="AM484" s="557">
        <f t="shared" ca="1" si="60"/>
        <v>45474</v>
      </c>
      <c r="AN484" s="558">
        <v>49.195</v>
      </c>
      <c r="AO484" s="558">
        <v>1637200</v>
      </c>
      <c r="AP484" s="558">
        <v>110.98921</v>
      </c>
      <c r="AQ484" s="558">
        <v>5460.1141859500003</v>
      </c>
      <c r="AR484" s="558">
        <v>1.1141000000000001</v>
      </c>
    </row>
    <row r="485" spans="39:44">
      <c r="AM485" s="557">
        <f t="shared" ca="1" si="60"/>
        <v>45473</v>
      </c>
      <c r="AN485" s="558">
        <v>48.75</v>
      </c>
      <c r="AO485" s="558">
        <v>1547700</v>
      </c>
      <c r="AP485" s="558">
        <v>110.98921</v>
      </c>
      <c r="AQ485" s="558">
        <v>5410.7239874999996</v>
      </c>
      <c r="AR485" s="558">
        <v>1.1048</v>
      </c>
    </row>
    <row r="486" spans="39:44">
      <c r="AM486" s="557">
        <f t="shared" ca="1" si="60"/>
        <v>45472</v>
      </c>
      <c r="AN486" s="558">
        <v>48.134999999999998</v>
      </c>
      <c r="AO486" s="558">
        <v>3029700</v>
      </c>
      <c r="AP486" s="558">
        <v>110.98921</v>
      </c>
      <c r="AQ486" s="558">
        <v>5342.46562335</v>
      </c>
      <c r="AR486" s="558">
        <v>1.091</v>
      </c>
    </row>
    <row r="487" spans="39:44">
      <c r="AM487" s="557">
        <f t="shared" ca="1" si="60"/>
        <v>45471</v>
      </c>
      <c r="AN487" s="558">
        <v>46.854999999999997</v>
      </c>
      <c r="AO487" s="558">
        <v>2147000</v>
      </c>
      <c r="AP487" s="558">
        <v>110.98921</v>
      </c>
      <c r="AQ487" s="558">
        <v>5200.3994345499996</v>
      </c>
      <c r="AR487" s="558">
        <v>1.0628</v>
      </c>
    </row>
    <row r="488" spans="39:44">
      <c r="AM488" s="557">
        <f t="shared" ca="1" si="60"/>
        <v>45470</v>
      </c>
      <c r="AN488" s="558">
        <v>47.204999999999998</v>
      </c>
      <c r="AO488" s="558">
        <v>1931800</v>
      </c>
      <c r="AP488" s="558">
        <v>110.98921</v>
      </c>
      <c r="AQ488" s="558">
        <v>5239.2456580500002</v>
      </c>
      <c r="AR488" s="558">
        <v>1.0714999999999999</v>
      </c>
    </row>
    <row r="489" spans="39:44">
      <c r="AM489" s="557">
        <f t="shared" ca="1" si="60"/>
        <v>45469</v>
      </c>
      <c r="AN489" s="558">
        <v>47.844999999999999</v>
      </c>
      <c r="AO489" s="558">
        <v>2999800</v>
      </c>
      <c r="AP489" s="558">
        <v>110.98921</v>
      </c>
      <c r="AQ489" s="558">
        <v>5310.27875245</v>
      </c>
      <c r="AR489" s="558">
        <v>1.0852999999999999</v>
      </c>
    </row>
    <row r="490" spans="39:44">
      <c r="AM490" s="557">
        <f t="shared" ca="1" si="60"/>
        <v>45468</v>
      </c>
      <c r="AN490" s="558">
        <v>47.844999999999999</v>
      </c>
      <c r="AO490" s="558">
        <v>2999800</v>
      </c>
      <c r="AP490" s="558">
        <v>110.98921</v>
      </c>
      <c r="AQ490" s="558">
        <v>5310.27875245</v>
      </c>
      <c r="AR490" s="558">
        <v>1.0852999999999999</v>
      </c>
    </row>
    <row r="491" spans="39:44">
      <c r="AM491" s="557">
        <f t="shared" ca="1" si="60"/>
        <v>45467</v>
      </c>
      <c r="AN491" s="558">
        <v>47.844999999999999</v>
      </c>
      <c r="AO491" s="558">
        <v>2999800</v>
      </c>
      <c r="AP491" s="558">
        <v>110.98921</v>
      </c>
      <c r="AQ491" s="558">
        <v>5310.27875245</v>
      </c>
      <c r="AR491" s="558">
        <v>1.0852999999999999</v>
      </c>
    </row>
    <row r="492" spans="39:44">
      <c r="AM492" s="557">
        <f t="shared" ca="1" si="60"/>
        <v>45466</v>
      </c>
      <c r="AN492" s="558">
        <v>49.74</v>
      </c>
      <c r="AO492" s="558">
        <v>4581800</v>
      </c>
      <c r="AP492" s="558">
        <v>110.98921</v>
      </c>
      <c r="AQ492" s="558">
        <v>5520.6033054</v>
      </c>
      <c r="AR492" s="558">
        <v>1.1291</v>
      </c>
    </row>
    <row r="493" spans="39:44">
      <c r="AM493" s="557">
        <f t="shared" ca="1" si="60"/>
        <v>45465</v>
      </c>
      <c r="AN493" s="558">
        <v>51.9</v>
      </c>
      <c r="AO493" s="558">
        <v>1735900</v>
      </c>
      <c r="AP493" s="558">
        <v>110.98921</v>
      </c>
      <c r="AQ493" s="558">
        <v>5760.3399989999998</v>
      </c>
      <c r="AR493" s="558">
        <v>1.1797</v>
      </c>
    </row>
    <row r="494" spans="39:44">
      <c r="AM494" s="557">
        <f t="shared" ca="1" si="60"/>
        <v>45464</v>
      </c>
      <c r="AN494" s="558">
        <v>51.84</v>
      </c>
      <c r="AO494" s="558">
        <v>1764800</v>
      </c>
      <c r="AP494" s="558">
        <v>110.98921</v>
      </c>
      <c r="AQ494" s="558">
        <v>5753.6806464000001</v>
      </c>
      <c r="AR494" s="558">
        <v>1.1754</v>
      </c>
    </row>
    <row r="495" spans="39:44">
      <c r="AM495" s="557">
        <f t="shared" ca="1" si="60"/>
        <v>45463</v>
      </c>
      <c r="AN495" s="558">
        <v>51.765000000000001</v>
      </c>
      <c r="AO495" s="558">
        <v>2125500</v>
      </c>
      <c r="AP495" s="558">
        <v>110.98921</v>
      </c>
      <c r="AQ495" s="558">
        <v>5745.3564556500005</v>
      </c>
      <c r="AR495" s="558">
        <v>1.1745000000000001</v>
      </c>
    </row>
    <row r="496" spans="39:44">
      <c r="AM496" s="557">
        <f t="shared" ca="1" si="60"/>
        <v>45462</v>
      </c>
      <c r="AN496" s="558">
        <v>52.63</v>
      </c>
      <c r="AO496" s="558">
        <v>2700900</v>
      </c>
      <c r="AP496" s="558">
        <v>110.98921</v>
      </c>
      <c r="AQ496" s="558">
        <v>5841.3621223</v>
      </c>
      <c r="AR496" s="558">
        <v>1.1944999999999999</v>
      </c>
    </row>
    <row r="497" spans="39:44">
      <c r="AM497" s="557">
        <f t="shared" ca="1" si="60"/>
        <v>45461</v>
      </c>
      <c r="AN497" s="558">
        <v>52.63</v>
      </c>
      <c r="AO497" s="558">
        <v>2700900</v>
      </c>
      <c r="AP497" s="558">
        <v>110.98921</v>
      </c>
      <c r="AQ497" s="558">
        <v>5841.3621223</v>
      </c>
      <c r="AR497" s="558">
        <v>1.1944999999999999</v>
      </c>
    </row>
    <row r="498" spans="39:44">
      <c r="AM498" s="557">
        <f t="shared" ca="1" si="60"/>
        <v>45460</v>
      </c>
      <c r="AN498" s="558">
        <v>52.63</v>
      </c>
      <c r="AO498" s="558">
        <v>2700900</v>
      </c>
      <c r="AP498" s="558">
        <v>110.98921</v>
      </c>
      <c r="AQ498" s="558">
        <v>5841.3621223</v>
      </c>
      <c r="AR498" s="558">
        <v>1.1944999999999999</v>
      </c>
    </row>
    <row r="499" spans="39:44">
      <c r="AM499" s="557">
        <f t="shared" ca="1" si="60"/>
        <v>45459</v>
      </c>
      <c r="AN499" s="558">
        <v>52.534999999999997</v>
      </c>
      <c r="AO499" s="558">
        <v>1806000</v>
      </c>
      <c r="AP499" s="558">
        <v>110.98921</v>
      </c>
      <c r="AQ499" s="558">
        <v>5830.8181473499999</v>
      </c>
      <c r="AR499" s="558">
        <v>1.1927000000000001</v>
      </c>
    </row>
    <row r="500" spans="39:44">
      <c r="AM500" s="557">
        <f t="shared" ca="1" si="60"/>
        <v>45458</v>
      </c>
      <c r="AN500" s="558">
        <v>51.95</v>
      </c>
      <c r="AO500" s="558">
        <v>3201400</v>
      </c>
      <c r="AP500" s="558">
        <v>110.98921</v>
      </c>
      <c r="AQ500" s="558">
        <v>5765.8894595000002</v>
      </c>
      <c r="AR500" s="558">
        <v>1.1783999999999999</v>
      </c>
    </row>
    <row r="501" spans="39:44">
      <c r="AM501" s="557">
        <f t="shared" ca="1" si="60"/>
        <v>45457</v>
      </c>
      <c r="AN501" s="558">
        <v>51.95</v>
      </c>
      <c r="AO501" s="558">
        <v>3201400</v>
      </c>
      <c r="AP501" s="558">
        <v>110.98921</v>
      </c>
      <c r="AQ501" s="558">
        <v>5765.8894595000002</v>
      </c>
      <c r="AR501" s="558">
        <v>1.1783999999999999</v>
      </c>
    </row>
    <row r="502" spans="39:44">
      <c r="AM502" s="557">
        <f t="shared" ca="1" si="60"/>
        <v>45456</v>
      </c>
      <c r="AN502" s="558">
        <v>51.77</v>
      </c>
      <c r="AO502" s="558">
        <v>2121900</v>
      </c>
      <c r="AP502" s="558">
        <v>110.98921</v>
      </c>
      <c r="AQ502" s="558">
        <v>5745.9114017000002</v>
      </c>
      <c r="AR502" s="558">
        <v>1.1777</v>
      </c>
    </row>
    <row r="503" spans="39:44">
      <c r="AM503" s="557">
        <f t="shared" ca="1" si="60"/>
        <v>45455</v>
      </c>
      <c r="AN503" s="558">
        <v>51.975000000000001</v>
      </c>
      <c r="AO503" s="558">
        <v>1935300</v>
      </c>
      <c r="AP503" s="558">
        <v>110.98921</v>
      </c>
      <c r="AQ503" s="558">
        <v>5768.6641897500003</v>
      </c>
      <c r="AR503" s="558">
        <v>1.1809000000000001</v>
      </c>
    </row>
    <row r="504" spans="39:44">
      <c r="AM504" s="557">
        <f t="shared" ca="1" si="60"/>
        <v>45454</v>
      </c>
      <c r="AN504" s="558">
        <v>51.975000000000001</v>
      </c>
      <c r="AO504" s="558">
        <v>1935300</v>
      </c>
      <c r="AP504" s="558">
        <v>110.98921</v>
      </c>
      <c r="AQ504" s="558">
        <v>5768.6641897500003</v>
      </c>
      <c r="AR504" s="558">
        <v>1.1809000000000001</v>
      </c>
    </row>
    <row r="505" spans="39:44">
      <c r="AM505" s="557">
        <f t="shared" ca="1" si="60"/>
        <v>45453</v>
      </c>
      <c r="AN505" s="558">
        <v>51.975000000000001</v>
      </c>
      <c r="AO505" s="558">
        <v>1935300</v>
      </c>
      <c r="AP505" s="558">
        <v>110.98921</v>
      </c>
      <c r="AQ505" s="558">
        <v>5768.6641897500003</v>
      </c>
      <c r="AR505" s="558">
        <v>1.1809000000000001</v>
      </c>
    </row>
    <row r="506" spans="39:44">
      <c r="AM506" s="557">
        <f t="shared" ca="1" si="60"/>
        <v>45452</v>
      </c>
      <c r="AN506" s="558">
        <v>51.56</v>
      </c>
      <c r="AO506" s="558">
        <v>1535600</v>
      </c>
      <c r="AP506" s="558">
        <v>110.98921</v>
      </c>
      <c r="AQ506" s="558">
        <v>5722.6036676000003</v>
      </c>
      <c r="AR506" s="558">
        <v>1.1701999999999999</v>
      </c>
    </row>
    <row r="507" spans="39:44">
      <c r="AM507" s="557">
        <f t="shared" ca="1" si="60"/>
        <v>45451</v>
      </c>
      <c r="AN507" s="558">
        <v>52.34</v>
      </c>
      <c r="AO507" s="558">
        <v>1908100</v>
      </c>
      <c r="AP507" s="558">
        <v>110.98921</v>
      </c>
      <c r="AQ507" s="558">
        <v>5809.1752514</v>
      </c>
      <c r="AR507" s="558">
        <v>1.1856</v>
      </c>
    </row>
    <row r="508" spans="39:44">
      <c r="AM508" s="557">
        <f t="shared" ca="1" si="60"/>
        <v>45450</v>
      </c>
      <c r="AN508" s="558">
        <v>52.274999999999999</v>
      </c>
      <c r="AO508" s="558">
        <v>2330900</v>
      </c>
      <c r="AP508" s="558">
        <v>110.98921</v>
      </c>
      <c r="AQ508" s="558">
        <v>5801.9609527499997</v>
      </c>
      <c r="AR508" s="558">
        <v>1.1859</v>
      </c>
    </row>
    <row r="509" spans="39:44">
      <c r="AM509" s="557">
        <f t="shared" ca="1" si="60"/>
        <v>45449</v>
      </c>
      <c r="AN509" s="558">
        <v>52.87</v>
      </c>
      <c r="AO509" s="558">
        <v>1747200</v>
      </c>
      <c r="AP509" s="558">
        <v>110.98921</v>
      </c>
      <c r="AQ509" s="558">
        <v>5867.9995326999997</v>
      </c>
      <c r="AR509" s="558">
        <v>1.2029000000000001</v>
      </c>
    </row>
    <row r="510" spans="39:44">
      <c r="AM510" s="557">
        <f t="shared" ca="1" si="60"/>
        <v>45448</v>
      </c>
      <c r="AN510" s="558">
        <v>51.365000000000002</v>
      </c>
      <c r="AO510" s="558">
        <v>2458300</v>
      </c>
      <c r="AP510" s="558">
        <v>110.98921</v>
      </c>
      <c r="AQ510" s="558">
        <v>5700.9607716500004</v>
      </c>
      <c r="AR510" s="558">
        <v>1.1686000000000001</v>
      </c>
    </row>
    <row r="511" spans="39:44">
      <c r="AM511" s="557">
        <f t="shared" ca="1" si="60"/>
        <v>45447</v>
      </c>
      <c r="AN511" s="558">
        <v>51.365000000000002</v>
      </c>
      <c r="AO511" s="558">
        <v>2458300</v>
      </c>
      <c r="AP511" s="558">
        <v>110.98921</v>
      </c>
      <c r="AQ511" s="558">
        <v>5700.9607716500004</v>
      </c>
      <c r="AR511" s="558">
        <v>1.1686000000000001</v>
      </c>
    </row>
    <row r="512" spans="39:44">
      <c r="AM512" s="557">
        <f t="shared" ca="1" si="60"/>
        <v>45446</v>
      </c>
      <c r="AN512" s="558">
        <v>51.365000000000002</v>
      </c>
      <c r="AO512" s="558">
        <v>2458300</v>
      </c>
      <c r="AP512" s="558">
        <v>110.98921</v>
      </c>
      <c r="AQ512" s="558">
        <v>5700.9607716500004</v>
      </c>
      <c r="AR512" s="558">
        <v>1.1686000000000001</v>
      </c>
    </row>
    <row r="513" spans="39:44">
      <c r="AM513" s="557">
        <f t="shared" ca="1" si="60"/>
        <v>45445</v>
      </c>
      <c r="AN513" s="558">
        <v>50.63</v>
      </c>
      <c r="AO513" s="558">
        <v>2358300</v>
      </c>
      <c r="AP513" s="558">
        <v>110.98921</v>
      </c>
      <c r="AQ513" s="558">
        <v>5619.3837023000006</v>
      </c>
      <c r="AR513" s="558">
        <v>1.1493</v>
      </c>
    </row>
    <row r="514" spans="39:44">
      <c r="AM514" s="557">
        <f t="shared" ca="1" si="60"/>
        <v>45444</v>
      </c>
      <c r="AN514" s="558">
        <v>50.87</v>
      </c>
      <c r="AO514" s="558">
        <v>3023100</v>
      </c>
      <c r="AP514" s="558">
        <v>110.98921</v>
      </c>
      <c r="AQ514" s="558">
        <v>5646.0211126999993</v>
      </c>
      <c r="AR514" s="558">
        <v>1.1538999999999999</v>
      </c>
    </row>
    <row r="515" spans="39:44">
      <c r="AM515" s="557">
        <f t="shared" ca="1" si="60"/>
        <v>45443</v>
      </c>
      <c r="AN515" s="558">
        <v>51.405000000000001</v>
      </c>
      <c r="AO515" s="558">
        <v>2986500</v>
      </c>
      <c r="AP515" s="558">
        <v>110.98921</v>
      </c>
      <c r="AQ515" s="558">
        <v>5705.4003400500005</v>
      </c>
      <c r="AR515" s="558">
        <v>1.1666000000000001</v>
      </c>
    </row>
    <row r="516" spans="39:44">
      <c r="AM516" s="557">
        <f t="shared" ca="1" si="60"/>
        <v>45442</v>
      </c>
      <c r="AN516" s="558">
        <v>50.954999999999998</v>
      </c>
      <c r="AO516" s="558">
        <v>3709200</v>
      </c>
      <c r="AP516" s="558">
        <v>110.98921</v>
      </c>
      <c r="AQ516" s="558">
        <v>5655.4551955500001</v>
      </c>
      <c r="AR516" s="558">
        <v>1.1566000000000001</v>
      </c>
    </row>
    <row r="517" spans="39:44">
      <c r="AM517" s="557">
        <f t="shared" ref="AM517:AM580" ca="1" si="61">AM516-1</f>
        <v>45441</v>
      </c>
      <c r="AN517" s="558">
        <v>52.65</v>
      </c>
      <c r="AO517" s="558">
        <v>2519900</v>
      </c>
      <c r="AP517" s="558">
        <v>110.98921</v>
      </c>
      <c r="AQ517" s="558">
        <v>5843.5819064999996</v>
      </c>
      <c r="AR517" s="558">
        <v>1.1952</v>
      </c>
    </row>
    <row r="518" spans="39:44">
      <c r="AM518" s="557">
        <f t="shared" ca="1" si="61"/>
        <v>45440</v>
      </c>
      <c r="AN518" s="558">
        <v>52.65</v>
      </c>
      <c r="AO518" s="558">
        <v>2519900</v>
      </c>
      <c r="AP518" s="558">
        <v>110.98921</v>
      </c>
      <c r="AQ518" s="558">
        <v>5843.5819064999996</v>
      </c>
      <c r="AR518" s="558">
        <v>1.1952</v>
      </c>
    </row>
    <row r="519" spans="39:44">
      <c r="AM519" s="557">
        <f t="shared" ca="1" si="61"/>
        <v>45439</v>
      </c>
      <c r="AN519" s="558">
        <v>52.65</v>
      </c>
      <c r="AO519" s="558">
        <v>2519900</v>
      </c>
      <c r="AP519" s="558">
        <v>110.98921</v>
      </c>
      <c r="AQ519" s="558">
        <v>5843.5819064999996</v>
      </c>
      <c r="AR519" s="558">
        <v>1.1952</v>
      </c>
    </row>
    <row r="520" spans="39:44">
      <c r="AM520" s="557">
        <f t="shared" ca="1" si="61"/>
        <v>45438</v>
      </c>
      <c r="AN520" s="558">
        <v>53.97</v>
      </c>
      <c r="AO520" s="558">
        <v>2448700</v>
      </c>
      <c r="AP520" s="558">
        <v>110.98921</v>
      </c>
      <c r="AQ520" s="558">
        <v>5990.0876637000001</v>
      </c>
      <c r="AR520" s="558">
        <v>1.2243999999999999</v>
      </c>
    </row>
    <row r="521" spans="39:44">
      <c r="AM521" s="557">
        <f t="shared" ca="1" si="61"/>
        <v>45437</v>
      </c>
      <c r="AN521" s="558">
        <v>53.96</v>
      </c>
      <c r="AO521" s="558">
        <v>4343000</v>
      </c>
      <c r="AP521" s="558">
        <v>110.98921</v>
      </c>
      <c r="AQ521" s="558">
        <v>5988.9777715999999</v>
      </c>
      <c r="AR521" s="558">
        <v>1.2243999999999999</v>
      </c>
    </row>
    <row r="522" spans="39:44">
      <c r="AM522" s="557">
        <f t="shared" ca="1" si="61"/>
        <v>45436</v>
      </c>
      <c r="AN522" s="558">
        <v>56.81</v>
      </c>
      <c r="AO522" s="558">
        <v>1725100</v>
      </c>
      <c r="AP522" s="558">
        <v>110.98921</v>
      </c>
      <c r="AQ522" s="558">
        <v>6305.2970200999998</v>
      </c>
      <c r="AR522" s="558">
        <v>1.2890999999999999</v>
      </c>
    </row>
    <row r="523" spans="39:44">
      <c r="AM523" s="557">
        <f t="shared" ca="1" si="61"/>
        <v>45435</v>
      </c>
      <c r="AN523" s="558">
        <v>56.674999999999997</v>
      </c>
      <c r="AO523" s="558">
        <v>1704700</v>
      </c>
      <c r="AP523" s="558">
        <v>110.98921</v>
      </c>
      <c r="AQ523" s="558">
        <v>6290.3134767499996</v>
      </c>
      <c r="AR523" s="558">
        <v>1.2846</v>
      </c>
    </row>
    <row r="524" spans="39:44">
      <c r="AM524" s="557">
        <f t="shared" ca="1" si="61"/>
        <v>45434</v>
      </c>
      <c r="AN524" s="558">
        <v>56.59</v>
      </c>
      <c r="AO524" s="558">
        <v>2024200</v>
      </c>
      <c r="AP524" s="558">
        <v>110.98921</v>
      </c>
      <c r="AQ524" s="558">
        <v>6280.8793939000007</v>
      </c>
      <c r="AR524" s="558">
        <v>1.2841</v>
      </c>
    </row>
    <row r="525" spans="39:44">
      <c r="AM525" s="557">
        <f t="shared" ca="1" si="61"/>
        <v>45433</v>
      </c>
      <c r="AN525" s="558">
        <v>56.59</v>
      </c>
      <c r="AO525" s="558">
        <v>2024200</v>
      </c>
      <c r="AP525" s="558">
        <v>110.98921</v>
      </c>
      <c r="AQ525" s="558">
        <v>6280.8793939000007</v>
      </c>
      <c r="AR525" s="558">
        <v>1.2841</v>
      </c>
    </row>
    <row r="526" spans="39:44">
      <c r="AM526" s="557">
        <f t="shared" ca="1" si="61"/>
        <v>45432</v>
      </c>
      <c r="AN526" s="558">
        <v>56.59</v>
      </c>
      <c r="AO526" s="558">
        <v>2024200</v>
      </c>
      <c r="AP526" s="558">
        <v>110.98921</v>
      </c>
      <c r="AQ526" s="558">
        <v>6280.8793939000007</v>
      </c>
      <c r="AR526" s="558">
        <v>1.2841</v>
      </c>
    </row>
    <row r="527" spans="39:44">
      <c r="AM527" s="557">
        <f t="shared" ca="1" si="61"/>
        <v>45431</v>
      </c>
      <c r="AN527" s="558">
        <v>57.015000000000001</v>
      </c>
      <c r="AO527" s="558">
        <v>3480400</v>
      </c>
      <c r="AP527" s="558">
        <v>110.98921</v>
      </c>
      <c r="AQ527" s="558">
        <v>6328.04980815</v>
      </c>
      <c r="AR527" s="558">
        <v>1.2943</v>
      </c>
    </row>
    <row r="528" spans="39:44">
      <c r="AM528" s="557">
        <f t="shared" ca="1" si="61"/>
        <v>45430</v>
      </c>
      <c r="AN528" s="558">
        <v>58.774999999999999</v>
      </c>
      <c r="AO528" s="558">
        <v>4614700</v>
      </c>
      <c r="AP528" s="558">
        <v>110.98921</v>
      </c>
      <c r="AQ528" s="558">
        <v>6523.3908177499998</v>
      </c>
      <c r="AR528" s="558">
        <v>1.3333999999999999</v>
      </c>
    </row>
    <row r="529" spans="39:44">
      <c r="AM529" s="557">
        <f t="shared" ca="1" si="61"/>
        <v>45429</v>
      </c>
      <c r="AN529" s="558">
        <v>62.645000000000003</v>
      </c>
      <c r="AO529" s="558">
        <v>1777300</v>
      </c>
      <c r="AP529" s="558">
        <v>110.98921</v>
      </c>
      <c r="AQ529" s="558">
        <v>6952.91906045</v>
      </c>
      <c r="AR529" s="558">
        <v>1.4212</v>
      </c>
    </row>
    <row r="530" spans="39:44">
      <c r="AM530" s="557">
        <f t="shared" ca="1" si="61"/>
        <v>45428</v>
      </c>
      <c r="AN530" s="558">
        <v>62.405000000000001</v>
      </c>
      <c r="AO530" s="558">
        <v>1442300</v>
      </c>
      <c r="AP530" s="558">
        <v>110.98921</v>
      </c>
      <c r="AQ530" s="558">
        <v>6926.2816500500003</v>
      </c>
      <c r="AR530" s="558">
        <v>1.4151</v>
      </c>
    </row>
    <row r="531" spans="39:44">
      <c r="AM531" s="557">
        <f t="shared" ca="1" si="61"/>
        <v>45427</v>
      </c>
      <c r="AN531" s="558">
        <v>64.260000000000005</v>
      </c>
      <c r="AO531" s="558">
        <v>2026400</v>
      </c>
      <c r="AP531" s="558">
        <v>110.98921</v>
      </c>
      <c r="AQ531" s="558">
        <v>7132.1666346000002</v>
      </c>
      <c r="AR531" s="558">
        <v>1.4705999999999999</v>
      </c>
    </row>
    <row r="532" spans="39:44">
      <c r="AM532" s="557">
        <f t="shared" ca="1" si="61"/>
        <v>45426</v>
      </c>
      <c r="AN532" s="558">
        <v>64.260000000000005</v>
      </c>
      <c r="AO532" s="558">
        <v>2026400</v>
      </c>
      <c r="AP532" s="558">
        <v>110.98921</v>
      </c>
      <c r="AQ532" s="558">
        <v>7132.1666346000002</v>
      </c>
      <c r="AR532" s="558">
        <v>1.4705999999999999</v>
      </c>
    </row>
    <row r="533" spans="39:44">
      <c r="AM533" s="557">
        <f t="shared" ca="1" si="61"/>
        <v>45425</v>
      </c>
      <c r="AN533" s="558">
        <v>64.260000000000005</v>
      </c>
      <c r="AO533" s="558">
        <v>2026400</v>
      </c>
      <c r="AP533" s="558">
        <v>110.98921</v>
      </c>
      <c r="AQ533" s="558">
        <v>7132.1666346000002</v>
      </c>
      <c r="AR533" s="558">
        <v>1.4705999999999999</v>
      </c>
    </row>
    <row r="534" spans="39:44">
      <c r="AM534" s="557">
        <f t="shared" ca="1" si="61"/>
        <v>45424</v>
      </c>
      <c r="AN534" s="558">
        <v>64.260000000000005</v>
      </c>
      <c r="AO534" s="558">
        <v>2026400</v>
      </c>
      <c r="AP534" s="558">
        <v>110.98921</v>
      </c>
      <c r="AQ534" s="558">
        <v>7132.1666346000002</v>
      </c>
      <c r="AR534" s="558">
        <v>1.4705999999999999</v>
      </c>
    </row>
    <row r="535" spans="39:44">
      <c r="AM535" s="557">
        <f t="shared" ca="1" si="61"/>
        <v>45423</v>
      </c>
      <c r="AN535" s="558">
        <v>63.475000000000001</v>
      </c>
      <c r="AO535" s="558">
        <v>3436900</v>
      </c>
      <c r="AP535" s="558">
        <v>110.98921</v>
      </c>
      <c r="AQ535" s="558">
        <v>7045.04010475</v>
      </c>
      <c r="AR535" s="558">
        <v>1.4522999999999999</v>
      </c>
    </row>
    <row r="536" spans="39:44">
      <c r="AM536" s="557">
        <f t="shared" ca="1" si="61"/>
        <v>45422</v>
      </c>
      <c r="AN536" s="558">
        <v>62.18</v>
      </c>
      <c r="AO536" s="558">
        <v>2652700</v>
      </c>
      <c r="AP536" s="558">
        <v>110.98921</v>
      </c>
      <c r="AQ536" s="558">
        <v>6901.3090777999996</v>
      </c>
      <c r="AR536" s="558">
        <v>1.4222999999999999</v>
      </c>
    </row>
    <row r="537" spans="39:44">
      <c r="AM537" s="557">
        <f t="shared" ca="1" si="61"/>
        <v>45421</v>
      </c>
      <c r="AN537" s="558">
        <v>61.41</v>
      </c>
      <c r="AO537" s="558">
        <v>1970000</v>
      </c>
      <c r="AP537" s="558">
        <v>110.98921</v>
      </c>
      <c r="AQ537" s="558">
        <v>6815.8473860999993</v>
      </c>
      <c r="AR537" s="558">
        <v>1.4051</v>
      </c>
    </row>
    <row r="538" spans="39:44">
      <c r="AM538" s="557">
        <f t="shared" ca="1" si="61"/>
        <v>45420</v>
      </c>
      <c r="AN538" s="558">
        <v>60.61</v>
      </c>
      <c r="AO538" s="558">
        <v>1737400</v>
      </c>
      <c r="AP538" s="558">
        <v>110.98921</v>
      </c>
      <c r="AQ538" s="558">
        <v>6727.0560181000001</v>
      </c>
      <c r="AR538" s="558">
        <v>1.3875</v>
      </c>
    </row>
    <row r="539" spans="39:44">
      <c r="AM539" s="557">
        <f t="shared" ca="1" si="61"/>
        <v>45419</v>
      </c>
      <c r="AN539" s="558">
        <v>60.61</v>
      </c>
      <c r="AO539" s="558">
        <v>1737400</v>
      </c>
      <c r="AP539" s="558">
        <v>110.98921</v>
      </c>
      <c r="AQ539" s="558">
        <v>6727.0560181000001</v>
      </c>
      <c r="AR539" s="558">
        <v>1.3875</v>
      </c>
    </row>
    <row r="540" spans="39:44">
      <c r="AM540" s="557">
        <f t="shared" ca="1" si="61"/>
        <v>45418</v>
      </c>
      <c r="AN540" s="558">
        <v>60.61</v>
      </c>
      <c r="AO540" s="558">
        <v>1737400</v>
      </c>
      <c r="AP540" s="558">
        <v>110.98921</v>
      </c>
      <c r="AQ540" s="558">
        <v>6727.0560181000001</v>
      </c>
      <c r="AR540" s="558">
        <v>1.3875</v>
      </c>
    </row>
    <row r="541" spans="39:44">
      <c r="AM541" s="557">
        <f t="shared" ca="1" si="61"/>
        <v>45417</v>
      </c>
      <c r="AN541" s="558">
        <v>62.664999999999999</v>
      </c>
      <c r="AO541" s="558">
        <v>2187200</v>
      </c>
      <c r="AP541" s="558">
        <v>110.98921</v>
      </c>
      <c r="AQ541" s="558">
        <v>6955.1388446499996</v>
      </c>
      <c r="AR541" s="558">
        <v>1.4335</v>
      </c>
    </row>
    <row r="542" spans="39:44">
      <c r="AM542" s="557">
        <f t="shared" ca="1" si="61"/>
        <v>45416</v>
      </c>
      <c r="AN542" s="558">
        <v>63.195</v>
      </c>
      <c r="AO542" s="558">
        <v>4708700</v>
      </c>
      <c r="AP542" s="558">
        <v>110.98921</v>
      </c>
      <c r="AQ542" s="558">
        <v>7013.9631259500002</v>
      </c>
      <c r="AR542" s="558">
        <v>1.4442999999999999</v>
      </c>
    </row>
    <row r="543" spans="39:44">
      <c r="AM543" s="557">
        <f t="shared" ca="1" si="61"/>
        <v>45415</v>
      </c>
      <c r="AN543" s="558">
        <v>59.625</v>
      </c>
      <c r="AO543" s="558">
        <v>1452700</v>
      </c>
      <c r="AP543" s="558">
        <v>110.98921</v>
      </c>
      <c r="AQ543" s="558">
        <v>6617.7316462500003</v>
      </c>
      <c r="AR543" s="558">
        <v>1.3636999999999999</v>
      </c>
    </row>
    <row r="544" spans="39:44">
      <c r="AM544" s="557">
        <f t="shared" ca="1" si="61"/>
        <v>45414</v>
      </c>
      <c r="AN544" s="558">
        <v>59.405000000000001</v>
      </c>
      <c r="AO544" s="558">
        <v>1274100</v>
      </c>
      <c r="AP544" s="558">
        <v>110.98921</v>
      </c>
      <c r="AQ544" s="558">
        <v>6593.3140200500002</v>
      </c>
      <c r="AR544" s="558">
        <v>1.3587</v>
      </c>
    </row>
    <row r="545" spans="39:44">
      <c r="AM545" s="557">
        <f t="shared" ca="1" si="61"/>
        <v>45413</v>
      </c>
      <c r="AN545" s="558">
        <v>59.905000000000001</v>
      </c>
      <c r="AO545" s="558">
        <v>1678600</v>
      </c>
      <c r="AP545" s="558">
        <v>110.98921</v>
      </c>
      <c r="AQ545" s="558">
        <v>6648.80862505</v>
      </c>
      <c r="AR545" s="558">
        <v>1.3701000000000001</v>
      </c>
    </row>
    <row r="546" spans="39:44">
      <c r="AM546" s="557">
        <f t="shared" ca="1" si="61"/>
        <v>45412</v>
      </c>
      <c r="AN546" s="558">
        <v>59.905000000000001</v>
      </c>
      <c r="AO546" s="558">
        <v>1678600</v>
      </c>
      <c r="AP546" s="558">
        <v>110.98921</v>
      </c>
      <c r="AQ546" s="558">
        <v>6648.80862505</v>
      </c>
      <c r="AR546" s="558">
        <v>1.3701000000000001</v>
      </c>
    </row>
    <row r="547" spans="39:44">
      <c r="AM547" s="557">
        <f t="shared" ca="1" si="61"/>
        <v>45411</v>
      </c>
      <c r="AN547" s="558">
        <v>59.905000000000001</v>
      </c>
      <c r="AO547" s="558">
        <v>1678600</v>
      </c>
      <c r="AP547" s="558">
        <v>110.98921</v>
      </c>
      <c r="AQ547" s="558">
        <v>6648.80862505</v>
      </c>
      <c r="AR547" s="558">
        <v>1.3701000000000001</v>
      </c>
    </row>
    <row r="548" spans="39:44">
      <c r="AM548" s="557">
        <f t="shared" ca="1" si="61"/>
        <v>45410</v>
      </c>
      <c r="AN548" s="558">
        <v>62.03</v>
      </c>
      <c r="AO548" s="558">
        <v>1837800</v>
      </c>
      <c r="AP548" s="558">
        <v>110.98921</v>
      </c>
      <c r="AQ548" s="558">
        <v>6884.6606963000004</v>
      </c>
      <c r="AR548" s="558">
        <v>1.4220999999999999</v>
      </c>
    </row>
    <row r="549" spans="39:44">
      <c r="AM549" s="557">
        <f t="shared" ca="1" si="61"/>
        <v>45409</v>
      </c>
      <c r="AN549" s="558">
        <v>61.515000000000001</v>
      </c>
      <c r="AO549" s="558">
        <v>2331500</v>
      </c>
      <c r="AP549" s="558">
        <v>110.98921</v>
      </c>
      <c r="AQ549" s="558">
        <v>6827.5012531499997</v>
      </c>
      <c r="AR549" s="558">
        <v>1.4072</v>
      </c>
    </row>
    <row r="550" spans="39:44">
      <c r="AM550" s="557">
        <f t="shared" ca="1" si="61"/>
        <v>45408</v>
      </c>
      <c r="AN550" s="558">
        <v>60.55</v>
      </c>
      <c r="AO550" s="558">
        <v>1972200</v>
      </c>
      <c r="AP550" s="558">
        <v>110.98921</v>
      </c>
      <c r="AQ550" s="558">
        <v>6720.3966654999995</v>
      </c>
      <c r="AR550" s="558">
        <v>1.3866000000000001</v>
      </c>
    </row>
    <row r="551" spans="39:44">
      <c r="AM551" s="557">
        <f t="shared" ca="1" si="61"/>
        <v>45407</v>
      </c>
      <c r="AN551" s="558">
        <v>58.54</v>
      </c>
      <c r="AO551" s="558">
        <v>970900</v>
      </c>
      <c r="AP551" s="558">
        <v>110.98921</v>
      </c>
      <c r="AQ551" s="558">
        <v>6497.3083533999998</v>
      </c>
      <c r="AR551" s="558">
        <v>1.3385</v>
      </c>
    </row>
    <row r="552" spans="39:44">
      <c r="AM552" s="557">
        <f t="shared" ca="1" si="61"/>
        <v>45406</v>
      </c>
      <c r="AN552" s="558">
        <v>58.79</v>
      </c>
      <c r="AO552" s="558">
        <v>2069100</v>
      </c>
      <c r="AP552" s="558">
        <v>110.98921</v>
      </c>
      <c r="AQ552" s="558">
        <v>6525.0556558999997</v>
      </c>
      <c r="AR552" s="558">
        <v>1.347</v>
      </c>
    </row>
    <row r="553" spans="39:44">
      <c r="AM553" s="557">
        <f t="shared" ca="1" si="61"/>
        <v>45405</v>
      </c>
      <c r="AN553" s="558">
        <v>58.79</v>
      </c>
      <c r="AO553" s="558">
        <v>2069100</v>
      </c>
      <c r="AP553" s="558">
        <v>110.98921</v>
      </c>
      <c r="AQ553" s="558">
        <v>6525.0556558999997</v>
      </c>
      <c r="AR553" s="558">
        <v>1.347</v>
      </c>
    </row>
    <row r="554" spans="39:44">
      <c r="AM554" s="557">
        <f t="shared" ca="1" si="61"/>
        <v>45404</v>
      </c>
      <c r="AN554" s="558">
        <v>58.79</v>
      </c>
      <c r="AO554" s="558">
        <v>2069100</v>
      </c>
      <c r="AP554" s="558">
        <v>110.98921</v>
      </c>
      <c r="AQ554" s="558">
        <v>6525.0556558999997</v>
      </c>
      <c r="AR554" s="558">
        <v>1.347</v>
      </c>
    </row>
    <row r="555" spans="39:44">
      <c r="AM555" s="557">
        <f t="shared" ca="1" si="61"/>
        <v>45403</v>
      </c>
      <c r="AN555" s="558">
        <v>58.774999999999999</v>
      </c>
      <c r="AO555" s="558">
        <v>1757800</v>
      </c>
      <c r="AP555" s="558">
        <v>110.98921</v>
      </c>
      <c r="AQ555" s="558">
        <v>6523.3908177499998</v>
      </c>
      <c r="AR555" s="558">
        <v>1.3435999999999999</v>
      </c>
    </row>
    <row r="556" spans="39:44">
      <c r="AM556" s="557">
        <f t="shared" ca="1" si="61"/>
        <v>45402</v>
      </c>
      <c r="AN556" s="558">
        <v>59.075000000000003</v>
      </c>
      <c r="AO556" s="558">
        <v>1904300</v>
      </c>
      <c r="AP556" s="558">
        <v>110.98921</v>
      </c>
      <c r="AQ556" s="558">
        <v>6556.6875807500001</v>
      </c>
      <c r="AR556" s="558">
        <v>1.3535999999999999</v>
      </c>
    </row>
    <row r="557" spans="39:44">
      <c r="AM557" s="557">
        <f t="shared" ca="1" si="61"/>
        <v>45401</v>
      </c>
      <c r="AN557" s="558">
        <v>57.92</v>
      </c>
      <c r="AO557" s="558">
        <v>1867600</v>
      </c>
      <c r="AP557" s="558">
        <v>110.98921</v>
      </c>
      <c r="AQ557" s="558">
        <v>6428.4950432000005</v>
      </c>
      <c r="AR557" s="558">
        <v>1.3248</v>
      </c>
    </row>
    <row r="558" spans="39:44">
      <c r="AM558" s="557">
        <f t="shared" ca="1" si="61"/>
        <v>45400</v>
      </c>
      <c r="AN558" s="558">
        <v>56.865000000000002</v>
      </c>
      <c r="AO558" s="558">
        <v>2470600</v>
      </c>
      <c r="AP558" s="558">
        <v>110.98921</v>
      </c>
      <c r="AQ558" s="558">
        <v>6311.4014266499998</v>
      </c>
      <c r="AR558" s="558">
        <v>1.3003</v>
      </c>
    </row>
    <row r="559" spans="39:44">
      <c r="AM559" s="557">
        <f t="shared" ca="1" si="61"/>
        <v>45399</v>
      </c>
      <c r="AN559" s="558">
        <v>59.284999999999997</v>
      </c>
      <c r="AO559" s="558">
        <v>1395300</v>
      </c>
      <c r="AP559" s="558">
        <v>110.98921</v>
      </c>
      <c r="AQ559" s="558">
        <v>6579.9953148499999</v>
      </c>
      <c r="AR559" s="558">
        <v>1.3580000000000001</v>
      </c>
    </row>
    <row r="560" spans="39:44">
      <c r="AM560" s="557">
        <f t="shared" ca="1" si="61"/>
        <v>45398</v>
      </c>
      <c r="AN560" s="558">
        <v>59.284999999999997</v>
      </c>
      <c r="AO560" s="558">
        <v>1395300</v>
      </c>
      <c r="AP560" s="558">
        <v>110.98921</v>
      </c>
      <c r="AQ560" s="558">
        <v>6579.9953148499999</v>
      </c>
      <c r="AR560" s="558">
        <v>1.3580000000000001</v>
      </c>
    </row>
    <row r="561" spans="39:44">
      <c r="AM561" s="557">
        <f t="shared" ca="1" si="61"/>
        <v>45397</v>
      </c>
      <c r="AN561" s="558">
        <v>59.284999999999997</v>
      </c>
      <c r="AO561" s="558">
        <v>1395300</v>
      </c>
      <c r="AP561" s="558">
        <v>110.98921</v>
      </c>
      <c r="AQ561" s="558">
        <v>6579.9953148499999</v>
      </c>
      <c r="AR561" s="558">
        <v>1.3580000000000001</v>
      </c>
    </row>
    <row r="562" spans="39:44">
      <c r="AM562" s="557">
        <f t="shared" ca="1" si="61"/>
        <v>45396</v>
      </c>
      <c r="AN562" s="558">
        <v>59.215000000000003</v>
      </c>
      <c r="AO562" s="558">
        <v>1591000</v>
      </c>
      <c r="AP562" s="558">
        <v>110.98921</v>
      </c>
      <c r="AQ562" s="558">
        <v>6572.2260701499999</v>
      </c>
      <c r="AR562" s="558">
        <v>1.3552</v>
      </c>
    </row>
    <row r="563" spans="39:44">
      <c r="AM563" s="557">
        <f t="shared" ca="1" si="61"/>
        <v>45395</v>
      </c>
      <c r="AN563" s="558">
        <v>59.384999999999998</v>
      </c>
      <c r="AO563" s="558">
        <v>1634300</v>
      </c>
      <c r="AP563" s="558">
        <v>110.98921</v>
      </c>
      <c r="AQ563" s="558">
        <v>6591.0942358499997</v>
      </c>
      <c r="AR563" s="558">
        <v>1.3591</v>
      </c>
    </row>
    <row r="564" spans="39:44">
      <c r="AM564" s="557">
        <f t="shared" ca="1" si="61"/>
        <v>45394</v>
      </c>
      <c r="AN564" s="558">
        <v>59.445</v>
      </c>
      <c r="AO564" s="558">
        <v>2965100</v>
      </c>
      <c r="AP564" s="558">
        <v>110.98921</v>
      </c>
      <c r="AQ564" s="558">
        <v>6597.7535884500003</v>
      </c>
      <c r="AR564" s="558">
        <v>1.361</v>
      </c>
    </row>
    <row r="565" spans="39:44">
      <c r="AM565" s="557">
        <f t="shared" ca="1" si="61"/>
        <v>45393</v>
      </c>
      <c r="AN565" s="558">
        <v>58.28</v>
      </c>
      <c r="AO565" s="558">
        <v>3189500</v>
      </c>
      <c r="AP565" s="558">
        <v>110.98921</v>
      </c>
      <c r="AQ565" s="558">
        <v>6468.4511588000005</v>
      </c>
      <c r="AR565" s="558">
        <v>1.3337000000000001</v>
      </c>
    </row>
    <row r="566" spans="39:44">
      <c r="AM566" s="557">
        <f t="shared" ca="1" si="61"/>
        <v>45392</v>
      </c>
      <c r="AN566" s="558">
        <v>59.865000000000002</v>
      </c>
      <c r="AO566" s="558">
        <v>2054400</v>
      </c>
      <c r="AP566" s="558">
        <v>110.98921</v>
      </c>
      <c r="AQ566" s="558">
        <v>6644.3690566499999</v>
      </c>
      <c r="AR566" s="558">
        <v>1.3722000000000001</v>
      </c>
    </row>
    <row r="567" spans="39:44">
      <c r="AM567" s="557">
        <f t="shared" ca="1" si="61"/>
        <v>45391</v>
      </c>
      <c r="AN567" s="558">
        <v>59.865000000000002</v>
      </c>
      <c r="AO567" s="558">
        <v>2054400</v>
      </c>
      <c r="AP567" s="558">
        <v>110.98921</v>
      </c>
      <c r="AQ567" s="558">
        <v>6644.3690566499999</v>
      </c>
      <c r="AR567" s="558">
        <v>1.3722000000000001</v>
      </c>
    </row>
    <row r="568" spans="39:44">
      <c r="AM568" s="557">
        <f t="shared" ca="1" si="61"/>
        <v>45390</v>
      </c>
      <c r="AN568" s="558">
        <v>59.865000000000002</v>
      </c>
      <c r="AO568" s="558">
        <v>2054400</v>
      </c>
      <c r="AP568" s="558">
        <v>110.98921</v>
      </c>
      <c r="AQ568" s="558">
        <v>6644.3690566499999</v>
      </c>
      <c r="AR568" s="558">
        <v>1.3722000000000001</v>
      </c>
    </row>
    <row r="569" spans="39:44">
      <c r="AM569" s="557">
        <f t="shared" ca="1" si="61"/>
        <v>45389</v>
      </c>
      <c r="AN569" s="558">
        <v>60.07</v>
      </c>
      <c r="AO569" s="558">
        <v>1530600</v>
      </c>
      <c r="AP569" s="558">
        <v>110.98921</v>
      </c>
      <c r="AQ569" s="558">
        <v>6667.1218447000001</v>
      </c>
      <c r="AR569" s="558">
        <v>1.3749</v>
      </c>
    </row>
    <row r="570" spans="39:44">
      <c r="AM570" s="557">
        <f t="shared" ca="1" si="61"/>
        <v>45388</v>
      </c>
      <c r="AN570" s="558">
        <v>60.024999999999999</v>
      </c>
      <c r="AO570" s="558">
        <v>1406700</v>
      </c>
      <c r="AP570" s="558">
        <v>110.98921</v>
      </c>
      <c r="AQ570" s="558">
        <v>6662.1273302499994</v>
      </c>
      <c r="AR570" s="558">
        <v>1.3740000000000001</v>
      </c>
    </row>
    <row r="571" spans="39:44">
      <c r="AM571" s="557">
        <f t="shared" ca="1" si="61"/>
        <v>45387</v>
      </c>
      <c r="AN571" s="558">
        <v>60.32</v>
      </c>
      <c r="AO571" s="558">
        <v>2079800</v>
      </c>
      <c r="AP571" s="558">
        <v>110.98921</v>
      </c>
      <c r="AQ571" s="558">
        <v>6694.8691472</v>
      </c>
      <c r="AR571" s="558">
        <v>1.3813</v>
      </c>
    </row>
    <row r="572" spans="39:44">
      <c r="AM572" s="557">
        <f t="shared" ca="1" si="61"/>
        <v>45386</v>
      </c>
      <c r="AN572" s="558">
        <v>59.005000000000003</v>
      </c>
      <c r="AO572" s="558">
        <v>1139900</v>
      </c>
      <c r="AP572" s="558">
        <v>110.98921</v>
      </c>
      <c r="AQ572" s="558">
        <v>6548.9183360500001</v>
      </c>
      <c r="AR572" s="558">
        <v>1.35</v>
      </c>
    </row>
    <row r="573" spans="39:44">
      <c r="AM573" s="557">
        <f t="shared" ca="1" si="61"/>
        <v>45385</v>
      </c>
      <c r="AN573" s="558">
        <v>58.74</v>
      </c>
      <c r="AO573" s="558">
        <v>2057100</v>
      </c>
      <c r="AP573" s="558">
        <v>110.98921</v>
      </c>
      <c r="AQ573" s="558">
        <v>6519.5061954000003</v>
      </c>
      <c r="AR573" s="558">
        <v>1.345</v>
      </c>
    </row>
    <row r="574" spans="39:44">
      <c r="AM574" s="557">
        <f t="shared" ca="1" si="61"/>
        <v>45384</v>
      </c>
      <c r="AN574" s="558">
        <v>58.74</v>
      </c>
      <c r="AO574" s="558">
        <v>2057100</v>
      </c>
      <c r="AP574" s="558">
        <v>110.98921</v>
      </c>
      <c r="AQ574" s="558">
        <v>6519.5061954000003</v>
      </c>
      <c r="AR574" s="558">
        <v>1.345</v>
      </c>
    </row>
    <row r="575" spans="39:44">
      <c r="AM575" s="557">
        <f t="shared" ca="1" si="61"/>
        <v>45383</v>
      </c>
      <c r="AN575" s="558">
        <v>58.74</v>
      </c>
      <c r="AO575" s="558">
        <v>2057100</v>
      </c>
      <c r="AP575" s="558">
        <v>110.98921</v>
      </c>
      <c r="AQ575" s="558">
        <v>6519.5061954000003</v>
      </c>
      <c r="AR575" s="558">
        <v>1.345</v>
      </c>
    </row>
    <row r="576" spans="39:44">
      <c r="AM576" s="557">
        <f t="shared" ca="1" si="61"/>
        <v>45382</v>
      </c>
      <c r="AN576" s="558">
        <v>58.47</v>
      </c>
      <c r="AO576" s="558">
        <v>1821000</v>
      </c>
      <c r="AP576" s="558">
        <v>110.98921</v>
      </c>
      <c r="AQ576" s="558">
        <v>6489.5391086999998</v>
      </c>
      <c r="AR576" s="558">
        <v>1.3414999999999999</v>
      </c>
    </row>
    <row r="577" spans="39:44">
      <c r="AM577" s="557">
        <f t="shared" ca="1" si="61"/>
        <v>45381</v>
      </c>
      <c r="AN577" s="558">
        <v>58.77</v>
      </c>
      <c r="AO577" s="558">
        <v>1043200</v>
      </c>
      <c r="AP577" s="558">
        <v>110.98921</v>
      </c>
      <c r="AQ577" s="558">
        <v>6522.8358717000001</v>
      </c>
      <c r="AR577" s="558">
        <v>1.345</v>
      </c>
    </row>
    <row r="578" spans="39:44">
      <c r="AM578" s="557">
        <f t="shared" ca="1" si="61"/>
        <v>45380</v>
      </c>
      <c r="AN578" s="558">
        <v>60.3</v>
      </c>
      <c r="AO578" s="558">
        <v>2102500</v>
      </c>
      <c r="AP578" s="558">
        <v>110.98921</v>
      </c>
      <c r="AQ578" s="558">
        <v>6692.6493629999995</v>
      </c>
      <c r="AR578" s="558">
        <v>1.3774</v>
      </c>
    </row>
    <row r="579" spans="39:44">
      <c r="AM579" s="557">
        <f t="shared" ca="1" si="61"/>
        <v>45379</v>
      </c>
      <c r="AN579" s="558">
        <v>60.3</v>
      </c>
      <c r="AO579" s="558">
        <v>2102500</v>
      </c>
      <c r="AP579" s="558">
        <v>110.98921</v>
      </c>
      <c r="AQ579" s="558">
        <v>6692.6493629999995</v>
      </c>
      <c r="AR579" s="558">
        <v>1.3774</v>
      </c>
    </row>
    <row r="580" spans="39:44">
      <c r="AM580" s="557">
        <f t="shared" ca="1" si="61"/>
        <v>45378</v>
      </c>
      <c r="AN580" s="558">
        <v>60.3</v>
      </c>
      <c r="AO580" s="558">
        <v>2102500</v>
      </c>
      <c r="AP580" s="558">
        <v>110.98921</v>
      </c>
      <c r="AQ580" s="558">
        <v>6692.6493629999995</v>
      </c>
      <c r="AR580" s="558">
        <v>1.3774</v>
      </c>
    </row>
    <row r="581" spans="39:44">
      <c r="AM581" s="557">
        <f t="shared" ref="AM581:AM644" ca="1" si="62">AM580-1</f>
        <v>45377</v>
      </c>
      <c r="AN581" s="558">
        <v>60.3</v>
      </c>
      <c r="AO581" s="558">
        <v>2102500</v>
      </c>
      <c r="AP581" s="558">
        <v>110.98921</v>
      </c>
      <c r="AQ581" s="558">
        <v>6692.6493629999995</v>
      </c>
      <c r="AR581" s="558">
        <v>1.3774</v>
      </c>
    </row>
    <row r="582" spans="39:44">
      <c r="AM582" s="557">
        <f t="shared" ca="1" si="62"/>
        <v>45376</v>
      </c>
      <c r="AN582" s="558">
        <v>60.3</v>
      </c>
      <c r="AO582" s="558">
        <v>2102500</v>
      </c>
      <c r="AP582" s="558">
        <v>110.98921</v>
      </c>
      <c r="AQ582" s="558">
        <v>6692.6493629999995</v>
      </c>
      <c r="AR582" s="558">
        <v>1.3774</v>
      </c>
    </row>
    <row r="583" spans="39:44">
      <c r="AM583" s="557">
        <f t="shared" ca="1" si="62"/>
        <v>45375</v>
      </c>
      <c r="AN583" s="558">
        <v>58.494999999999997</v>
      </c>
      <c r="AO583" s="558">
        <v>1720900</v>
      </c>
      <c r="AP583" s="558">
        <v>110.98921</v>
      </c>
      <c r="AQ583" s="558">
        <v>6492.31383895</v>
      </c>
      <c r="AR583" s="558">
        <v>1.3408</v>
      </c>
    </row>
    <row r="584" spans="39:44">
      <c r="AM584" s="557">
        <f t="shared" ca="1" si="62"/>
        <v>45374</v>
      </c>
      <c r="AN584" s="558">
        <v>60.01</v>
      </c>
      <c r="AO584" s="558">
        <v>2379400</v>
      </c>
      <c r="AP584" s="558">
        <v>110.98921</v>
      </c>
      <c r="AQ584" s="558">
        <v>6660.4624920999995</v>
      </c>
      <c r="AR584" s="558">
        <v>1.3735999999999999</v>
      </c>
    </row>
    <row r="585" spans="39:44">
      <c r="AM585" s="557">
        <f t="shared" ca="1" si="62"/>
        <v>45373</v>
      </c>
      <c r="AN585" s="558">
        <v>59.42</v>
      </c>
      <c r="AO585" s="558">
        <v>2889200</v>
      </c>
      <c r="AP585" s="558">
        <v>110.98921</v>
      </c>
      <c r="AQ585" s="558">
        <v>6594.9788582000001</v>
      </c>
      <c r="AR585" s="558">
        <v>1.3613999999999999</v>
      </c>
    </row>
    <row r="586" spans="39:44">
      <c r="AM586" s="557">
        <f t="shared" ca="1" si="62"/>
        <v>45372</v>
      </c>
      <c r="AN586" s="558">
        <v>59.4</v>
      </c>
      <c r="AO586" s="558">
        <v>7243800</v>
      </c>
      <c r="AP586" s="558">
        <v>110.98921</v>
      </c>
      <c r="AQ586" s="558">
        <v>6592.7590739999996</v>
      </c>
      <c r="AR586" s="558">
        <v>1.3580000000000001</v>
      </c>
    </row>
    <row r="587" spans="39:44">
      <c r="AM587" s="557">
        <f t="shared" ca="1" si="62"/>
        <v>45371</v>
      </c>
      <c r="AN587" s="558">
        <v>62.89</v>
      </c>
      <c r="AO587" s="558">
        <v>4615500</v>
      </c>
      <c r="AP587" s="558">
        <v>110.98921</v>
      </c>
      <c r="AQ587" s="558">
        <v>6980.1114169000002</v>
      </c>
      <c r="AR587" s="558">
        <v>1.4369000000000001</v>
      </c>
    </row>
    <row r="588" spans="39:44">
      <c r="AM588" s="557">
        <f t="shared" ca="1" si="62"/>
        <v>45370</v>
      </c>
      <c r="AN588" s="558">
        <v>62.89</v>
      </c>
      <c r="AO588" s="558">
        <v>4615500</v>
      </c>
      <c r="AP588" s="558">
        <v>110.98921</v>
      </c>
      <c r="AQ588" s="558">
        <v>6980.1114169000002</v>
      </c>
      <c r="AR588" s="558">
        <v>1.4369000000000001</v>
      </c>
    </row>
    <row r="589" spans="39:44">
      <c r="AM589" s="557">
        <f t="shared" ca="1" si="62"/>
        <v>45369</v>
      </c>
      <c r="AN589" s="558">
        <v>62.89</v>
      </c>
      <c r="AO589" s="558">
        <v>4615500</v>
      </c>
      <c r="AP589" s="558">
        <v>110.98921</v>
      </c>
      <c r="AQ589" s="558">
        <v>6980.1114169000002</v>
      </c>
      <c r="AR589" s="558">
        <v>1.4369000000000001</v>
      </c>
    </row>
    <row r="590" spans="39:44">
      <c r="AM590" s="557">
        <f t="shared" ca="1" si="62"/>
        <v>45368</v>
      </c>
      <c r="AN590" s="558">
        <v>62.9</v>
      </c>
      <c r="AO590" s="558">
        <v>6980400</v>
      </c>
      <c r="AP590" s="558">
        <v>110.98921</v>
      </c>
      <c r="AQ590" s="558">
        <v>6981.2213089999996</v>
      </c>
      <c r="AR590" s="558">
        <v>1.4380999999999999</v>
      </c>
    </row>
    <row r="591" spans="39:44">
      <c r="AM591" s="557">
        <f t="shared" ca="1" si="62"/>
        <v>45367</v>
      </c>
      <c r="AN591" s="558">
        <v>62.62</v>
      </c>
      <c r="AO591" s="558">
        <v>12581700</v>
      </c>
      <c r="AP591" s="558">
        <v>110.98921</v>
      </c>
      <c r="AQ591" s="558">
        <v>6950.1443301999998</v>
      </c>
      <c r="AR591" s="558">
        <v>1.4320999999999999</v>
      </c>
    </row>
    <row r="592" spans="39:44">
      <c r="AM592" s="557">
        <f t="shared" ca="1" si="62"/>
        <v>45366</v>
      </c>
      <c r="AN592" s="558">
        <v>55.83</v>
      </c>
      <c r="AO592" s="558">
        <v>1987400</v>
      </c>
      <c r="AP592" s="558">
        <v>110.98921</v>
      </c>
      <c r="AQ592" s="558">
        <v>6196.5275942999997</v>
      </c>
      <c r="AR592" s="558">
        <v>1.2777000000000001</v>
      </c>
    </row>
    <row r="593" spans="39:44">
      <c r="AM593" s="557">
        <f t="shared" ca="1" si="62"/>
        <v>45365</v>
      </c>
      <c r="AN593" s="558">
        <v>57.1</v>
      </c>
      <c r="AO593" s="558">
        <v>1650900</v>
      </c>
      <c r="AP593" s="558">
        <v>110.98921</v>
      </c>
      <c r="AQ593" s="558">
        <v>6337.4838909999999</v>
      </c>
      <c r="AR593" s="558">
        <v>1.3042</v>
      </c>
    </row>
    <row r="594" spans="39:44">
      <c r="AM594" s="557">
        <f t="shared" ca="1" si="62"/>
        <v>45364</v>
      </c>
      <c r="AN594" s="558">
        <v>57.89</v>
      </c>
      <c r="AO594" s="558">
        <v>3511600</v>
      </c>
      <c r="AP594" s="558">
        <v>110.98921</v>
      </c>
      <c r="AQ594" s="558">
        <v>6425.1653668999998</v>
      </c>
      <c r="AR594" s="558">
        <v>1.325</v>
      </c>
    </row>
    <row r="595" spans="39:44">
      <c r="AM595" s="557">
        <f t="shared" ca="1" si="62"/>
        <v>45363</v>
      </c>
      <c r="AN595" s="558">
        <v>57.89</v>
      </c>
      <c r="AO595" s="558">
        <v>3511600</v>
      </c>
      <c r="AP595" s="558">
        <v>110.98921</v>
      </c>
      <c r="AQ595" s="558">
        <v>6425.1653668999998</v>
      </c>
      <c r="AR595" s="558">
        <v>1.325</v>
      </c>
    </row>
    <row r="596" spans="39:44">
      <c r="AM596" s="557">
        <f t="shared" ca="1" si="62"/>
        <v>45362</v>
      </c>
      <c r="AN596" s="558">
        <v>57.89</v>
      </c>
      <c r="AO596" s="558">
        <v>3511600</v>
      </c>
      <c r="AP596" s="558">
        <v>110.98921</v>
      </c>
      <c r="AQ596" s="558">
        <v>6425.1653668999998</v>
      </c>
      <c r="AR596" s="558">
        <v>1.325</v>
      </c>
    </row>
    <row r="597" spans="39:44">
      <c r="AM597" s="557">
        <f t="shared" ca="1" si="62"/>
        <v>45361</v>
      </c>
      <c r="AN597" s="558">
        <v>57.24</v>
      </c>
      <c r="AO597" s="558">
        <v>2413300</v>
      </c>
      <c r="AP597" s="558">
        <v>110.98921</v>
      </c>
      <c r="AQ597" s="558">
        <v>6353.0223804000007</v>
      </c>
      <c r="AR597" s="558">
        <v>1.3099000000000001</v>
      </c>
    </row>
    <row r="598" spans="39:44">
      <c r="AM598" s="557">
        <f t="shared" ca="1" si="62"/>
        <v>45360</v>
      </c>
      <c r="AN598" s="558">
        <v>55.6</v>
      </c>
      <c r="AO598" s="558">
        <v>4785200</v>
      </c>
      <c r="AP598" s="558">
        <v>110.98921</v>
      </c>
      <c r="AQ598" s="558">
        <v>6171.0000760000003</v>
      </c>
      <c r="AR598" s="558">
        <v>1.2701</v>
      </c>
    </row>
    <row r="599" spans="39:44">
      <c r="AM599" s="557">
        <f t="shared" ca="1" si="62"/>
        <v>45359</v>
      </c>
      <c r="AN599" s="558">
        <v>57.43</v>
      </c>
      <c r="AO599" s="558">
        <v>1546200</v>
      </c>
      <c r="AP599" s="558">
        <v>110.98921</v>
      </c>
      <c r="AQ599" s="558">
        <v>6374.1103303</v>
      </c>
      <c r="AR599" s="558">
        <v>1.3157000000000001</v>
      </c>
    </row>
    <row r="600" spans="39:44">
      <c r="AM600" s="557">
        <f t="shared" ca="1" si="62"/>
        <v>45358</v>
      </c>
      <c r="AN600" s="558">
        <v>57.15</v>
      </c>
      <c r="AO600" s="558">
        <v>1969500</v>
      </c>
      <c r="AP600" s="558">
        <v>110.98921</v>
      </c>
      <c r="AQ600" s="558">
        <v>6343.0333515000002</v>
      </c>
      <c r="AR600" s="558">
        <v>1.3086</v>
      </c>
    </row>
    <row r="601" spans="39:44">
      <c r="AM601" s="557">
        <f t="shared" ca="1" si="62"/>
        <v>45357</v>
      </c>
      <c r="AN601" s="558">
        <v>58.66</v>
      </c>
      <c r="AO601" s="558">
        <v>3288800</v>
      </c>
      <c r="AP601" s="558">
        <v>110.98921</v>
      </c>
      <c r="AQ601" s="558">
        <v>6510.6270586000001</v>
      </c>
      <c r="AR601" s="558">
        <v>1.3388</v>
      </c>
    </row>
    <row r="602" spans="39:44">
      <c r="AM602" s="557">
        <f t="shared" ca="1" si="62"/>
        <v>45356</v>
      </c>
      <c r="AN602" s="558">
        <v>58.66</v>
      </c>
      <c r="AO602" s="558">
        <v>3288800</v>
      </c>
      <c r="AP602" s="558">
        <v>110.98921</v>
      </c>
      <c r="AQ602" s="558">
        <v>6510.6270586000001</v>
      </c>
      <c r="AR602" s="558">
        <v>1.3388</v>
      </c>
    </row>
    <row r="603" spans="39:44">
      <c r="AM603" s="557">
        <f t="shared" ca="1" si="62"/>
        <v>45355</v>
      </c>
      <c r="AN603" s="558">
        <v>58.66</v>
      </c>
      <c r="AO603" s="558">
        <v>3288800</v>
      </c>
      <c r="AP603" s="558">
        <v>110.98921</v>
      </c>
      <c r="AQ603" s="558">
        <v>6510.6270586000001</v>
      </c>
      <c r="AR603" s="558">
        <v>1.3388</v>
      </c>
    </row>
    <row r="604" spans="39:44">
      <c r="AM604" s="557">
        <f t="shared" ca="1" si="62"/>
        <v>45354</v>
      </c>
      <c r="AN604" s="558">
        <v>57.99</v>
      </c>
      <c r="AO604" s="558">
        <v>2361900</v>
      </c>
      <c r="AP604" s="558">
        <v>110.98921</v>
      </c>
      <c r="AQ604" s="558">
        <v>6436.2642879000005</v>
      </c>
      <c r="AR604" s="558">
        <v>1.3269</v>
      </c>
    </row>
    <row r="605" spans="39:44">
      <c r="AM605" s="557">
        <f t="shared" ca="1" si="62"/>
        <v>45353</v>
      </c>
      <c r="AN605" s="558">
        <v>59.024999999999999</v>
      </c>
      <c r="AO605" s="558">
        <v>3826600</v>
      </c>
      <c r="AP605" s="558">
        <v>110.98921</v>
      </c>
      <c r="AQ605" s="558">
        <v>6551.1381202499997</v>
      </c>
      <c r="AR605" s="558">
        <v>1.3507</v>
      </c>
    </row>
    <row r="606" spans="39:44">
      <c r="AM606" s="557">
        <f t="shared" ca="1" si="62"/>
        <v>45352</v>
      </c>
      <c r="AN606" s="558">
        <v>60.695</v>
      </c>
      <c r="AO606" s="558">
        <v>2150500</v>
      </c>
      <c r="AP606" s="558">
        <v>110.98921</v>
      </c>
      <c r="AQ606" s="558">
        <v>6736.4901009499999</v>
      </c>
      <c r="AR606" s="558">
        <v>1.3879999999999999</v>
      </c>
    </row>
    <row r="607" spans="39:44">
      <c r="AM607" s="557">
        <f t="shared" ca="1" si="62"/>
        <v>45351</v>
      </c>
      <c r="AN607" s="558">
        <v>61.37</v>
      </c>
      <c r="AO607" s="558">
        <v>1991700</v>
      </c>
      <c r="AP607" s="558">
        <v>110.98921</v>
      </c>
      <c r="AQ607" s="558">
        <v>6811.4078177000001</v>
      </c>
      <c r="AR607" s="558">
        <v>1.4026000000000001</v>
      </c>
    </row>
    <row r="608" spans="39:44">
      <c r="AM608" s="557">
        <f t="shared" ca="1" si="62"/>
        <v>45350</v>
      </c>
      <c r="AN608" s="558">
        <v>63.325000000000003</v>
      </c>
      <c r="AO608" s="558">
        <v>1699900</v>
      </c>
      <c r="AP608" s="558">
        <v>110.98921</v>
      </c>
      <c r="AQ608" s="558">
        <v>7028.3917232500007</v>
      </c>
      <c r="AR608" s="558">
        <v>1.4472</v>
      </c>
    </row>
    <row r="609" spans="39:44">
      <c r="AM609" s="557">
        <f t="shared" ca="1" si="62"/>
        <v>45349</v>
      </c>
      <c r="AN609" s="558">
        <v>63.325000000000003</v>
      </c>
      <c r="AO609" s="558">
        <v>1699900</v>
      </c>
      <c r="AP609" s="558">
        <v>110.98921</v>
      </c>
      <c r="AQ609" s="558">
        <v>7028.3917232500007</v>
      </c>
      <c r="AR609" s="558">
        <v>1.4472</v>
      </c>
    </row>
    <row r="610" spans="39:44">
      <c r="AM610" s="557">
        <f t="shared" ca="1" si="62"/>
        <v>45348</v>
      </c>
      <c r="AN610" s="558">
        <v>63.325000000000003</v>
      </c>
      <c r="AO610" s="558">
        <v>1699900</v>
      </c>
      <c r="AP610" s="558">
        <v>110.98921</v>
      </c>
      <c r="AQ610" s="558">
        <v>7028.3917232500007</v>
      </c>
      <c r="AR610" s="558">
        <v>1.4472</v>
      </c>
    </row>
    <row r="611" spans="39:44">
      <c r="AM611" s="557">
        <f t="shared" ca="1" si="62"/>
        <v>45347</v>
      </c>
      <c r="AN611" s="558">
        <v>63.405000000000001</v>
      </c>
      <c r="AO611" s="558">
        <v>1027400</v>
      </c>
      <c r="AP611" s="558">
        <v>110.98921</v>
      </c>
      <c r="AQ611" s="558">
        <v>7037.27086005</v>
      </c>
      <c r="AR611" s="558">
        <v>1.4483999999999999</v>
      </c>
    </row>
    <row r="612" spans="39:44">
      <c r="AM612" s="557">
        <f t="shared" ca="1" si="62"/>
        <v>45346</v>
      </c>
      <c r="AN612" s="558">
        <v>63.984999999999999</v>
      </c>
      <c r="AO612" s="558">
        <v>1338800</v>
      </c>
      <c r="AP612" s="558">
        <v>110.98921</v>
      </c>
      <c r="AQ612" s="558">
        <v>7101.6446018500001</v>
      </c>
      <c r="AR612" s="558">
        <v>1.4637</v>
      </c>
    </row>
    <row r="613" spans="39:44">
      <c r="AM613" s="557">
        <f t="shared" ca="1" si="62"/>
        <v>45345</v>
      </c>
      <c r="AN613" s="558">
        <v>64.064999999999998</v>
      </c>
      <c r="AO613" s="558">
        <v>1493900</v>
      </c>
      <c r="AP613" s="558">
        <v>110.98921</v>
      </c>
      <c r="AQ613" s="558">
        <v>7110.5237386499994</v>
      </c>
      <c r="AR613" s="558">
        <v>1.4651000000000001</v>
      </c>
    </row>
    <row r="614" spans="39:44">
      <c r="AM614" s="557">
        <f t="shared" ca="1" si="62"/>
        <v>45344</v>
      </c>
      <c r="AN614" s="558">
        <v>63.98</v>
      </c>
      <c r="AO614" s="558">
        <v>2261100</v>
      </c>
      <c r="AP614" s="558">
        <v>110.98921</v>
      </c>
      <c r="AQ614" s="558">
        <v>7101.0896557999995</v>
      </c>
      <c r="AR614" s="558">
        <v>1.4639</v>
      </c>
    </row>
    <row r="615" spans="39:44">
      <c r="AM615" s="557">
        <f t="shared" ca="1" si="62"/>
        <v>45343</v>
      </c>
      <c r="AN615" s="558">
        <v>60.67</v>
      </c>
      <c r="AO615" s="558">
        <v>1506100</v>
      </c>
      <c r="AP615" s="558">
        <v>110.98921</v>
      </c>
      <c r="AQ615" s="558">
        <v>6733.7153706999998</v>
      </c>
      <c r="AR615" s="558">
        <v>1.3884000000000001</v>
      </c>
    </row>
    <row r="616" spans="39:44">
      <c r="AM616" s="557">
        <f t="shared" ca="1" si="62"/>
        <v>45342</v>
      </c>
      <c r="AN616" s="558">
        <v>60.67</v>
      </c>
      <c r="AO616" s="558">
        <v>1506100</v>
      </c>
      <c r="AP616" s="558">
        <v>110.98921</v>
      </c>
      <c r="AQ616" s="558">
        <v>6733.7153706999998</v>
      </c>
      <c r="AR616" s="558">
        <v>1.3884000000000001</v>
      </c>
    </row>
    <row r="617" spans="39:44">
      <c r="AM617" s="557">
        <f t="shared" ca="1" si="62"/>
        <v>45341</v>
      </c>
      <c r="AN617" s="558">
        <v>60.67</v>
      </c>
      <c r="AO617" s="558">
        <v>1506100</v>
      </c>
      <c r="AP617" s="558">
        <v>110.98921</v>
      </c>
      <c r="AQ617" s="558">
        <v>6733.7153706999998</v>
      </c>
      <c r="AR617" s="558">
        <v>1.3884000000000001</v>
      </c>
    </row>
    <row r="618" spans="39:44">
      <c r="AM618" s="557">
        <f t="shared" ca="1" si="62"/>
        <v>45340</v>
      </c>
      <c r="AN618" s="558">
        <v>58.774999999999999</v>
      </c>
      <c r="AO618" s="558">
        <v>1756100</v>
      </c>
      <c r="AP618" s="558">
        <v>110.98921</v>
      </c>
      <c r="AQ618" s="558">
        <v>6523.3908177499998</v>
      </c>
      <c r="AR618" s="558">
        <v>1.3445</v>
      </c>
    </row>
    <row r="619" spans="39:44">
      <c r="AM619" s="557">
        <f t="shared" ca="1" si="62"/>
        <v>45339</v>
      </c>
      <c r="AN619" s="558">
        <v>61.564999999999998</v>
      </c>
      <c r="AO619" s="558">
        <v>1754000</v>
      </c>
      <c r="AP619" s="558">
        <v>110.98921</v>
      </c>
      <c r="AQ619" s="558">
        <v>6833.05071365</v>
      </c>
      <c r="AR619" s="558">
        <v>1.4078999999999999</v>
      </c>
    </row>
    <row r="620" spans="39:44">
      <c r="AM620" s="557">
        <f t="shared" ca="1" si="62"/>
        <v>45338</v>
      </c>
      <c r="AN620" s="558">
        <v>62.365000000000002</v>
      </c>
      <c r="AO620" s="558">
        <v>2316200</v>
      </c>
      <c r="AP620" s="558">
        <v>110.98921</v>
      </c>
      <c r="AQ620" s="558">
        <v>6921.8420816500002</v>
      </c>
      <c r="AR620" s="558">
        <v>1.4248000000000001</v>
      </c>
    </row>
    <row r="621" spans="39:44">
      <c r="AM621" s="557">
        <f t="shared" ca="1" si="62"/>
        <v>45337</v>
      </c>
      <c r="AN621" s="558">
        <v>64.64</v>
      </c>
      <c r="AO621" s="558">
        <v>1364500</v>
      </c>
      <c r="AP621" s="558">
        <v>110.98921</v>
      </c>
      <c r="AQ621" s="558">
        <v>7174.3425343999997</v>
      </c>
      <c r="AR621" s="558">
        <v>1.5047999999999999</v>
      </c>
    </row>
    <row r="622" spans="39:44">
      <c r="AM622" s="557">
        <f t="shared" ca="1" si="62"/>
        <v>45336</v>
      </c>
      <c r="AN622" s="558">
        <v>64.64</v>
      </c>
      <c r="AO622" s="558">
        <v>1364500</v>
      </c>
      <c r="AP622" s="558">
        <v>110.98921</v>
      </c>
      <c r="AQ622" s="558">
        <v>7174.3425343999997</v>
      </c>
      <c r="AR622" s="558">
        <v>1.5047999999999999</v>
      </c>
    </row>
    <row r="623" spans="39:44">
      <c r="AM623" s="557">
        <f t="shared" ca="1" si="62"/>
        <v>45335</v>
      </c>
      <c r="AN623" s="558">
        <v>64.64</v>
      </c>
      <c r="AO623" s="558">
        <v>1364500</v>
      </c>
      <c r="AP623" s="558">
        <v>110.98921</v>
      </c>
      <c r="AQ623" s="558">
        <v>7174.3425343999997</v>
      </c>
      <c r="AR623" s="558">
        <v>1.5047999999999999</v>
      </c>
    </row>
    <row r="624" spans="39:44">
      <c r="AM624" s="557">
        <f t="shared" ca="1" si="62"/>
        <v>45334</v>
      </c>
      <c r="AN624" s="558">
        <v>64.64</v>
      </c>
      <c r="AO624" s="558">
        <v>1364500</v>
      </c>
      <c r="AP624" s="558">
        <v>110.98921</v>
      </c>
      <c r="AQ624" s="558">
        <v>7174.3425343999997</v>
      </c>
      <c r="AR624" s="558">
        <v>1.5047999999999999</v>
      </c>
    </row>
    <row r="625" spans="39:44">
      <c r="AM625" s="557">
        <f t="shared" ca="1" si="62"/>
        <v>45333</v>
      </c>
      <c r="AN625" s="558">
        <v>64.64</v>
      </c>
      <c r="AO625" s="558">
        <v>1364500</v>
      </c>
      <c r="AP625" s="558">
        <v>110.98921</v>
      </c>
      <c r="AQ625" s="558">
        <v>7174.3425343999997</v>
      </c>
      <c r="AR625" s="558">
        <v>1.5047999999999999</v>
      </c>
    </row>
    <row r="626" spans="39:44">
      <c r="AM626" s="557">
        <f t="shared" ca="1" si="62"/>
        <v>45332</v>
      </c>
      <c r="AN626" s="558">
        <v>66.650000000000006</v>
      </c>
      <c r="AO626" s="558">
        <v>840800</v>
      </c>
      <c r="AP626" s="558">
        <v>110.98921</v>
      </c>
      <c r="AQ626" s="558">
        <v>7397.4308465000004</v>
      </c>
      <c r="AR626" s="558">
        <v>1.5538000000000001</v>
      </c>
    </row>
    <row r="627" spans="39:44">
      <c r="AM627" s="557">
        <f t="shared" ca="1" si="62"/>
        <v>45331</v>
      </c>
      <c r="AN627" s="558">
        <v>66.275000000000006</v>
      </c>
      <c r="AO627" s="558">
        <v>1209700</v>
      </c>
      <c r="AP627" s="558">
        <v>110.98921</v>
      </c>
      <c r="AQ627" s="558">
        <v>7355.8098927500005</v>
      </c>
      <c r="AR627" s="558">
        <v>1.5484</v>
      </c>
    </row>
    <row r="628" spans="39:44">
      <c r="AM628" s="557">
        <f t="shared" ca="1" si="62"/>
        <v>45330</v>
      </c>
      <c r="AN628" s="558">
        <v>66.495000000000005</v>
      </c>
      <c r="AO628" s="558">
        <v>1503200</v>
      </c>
      <c r="AP628" s="558">
        <v>110.98921</v>
      </c>
      <c r="AQ628" s="558">
        <v>7380.2275189500006</v>
      </c>
      <c r="AR628" s="558">
        <v>1.5543</v>
      </c>
    </row>
    <row r="629" spans="39:44">
      <c r="AM629" s="557">
        <f t="shared" ca="1" si="62"/>
        <v>45329</v>
      </c>
      <c r="AN629" s="558">
        <v>66.495000000000005</v>
      </c>
      <c r="AO629" s="558">
        <v>1503200</v>
      </c>
      <c r="AP629" s="558">
        <v>110.98921</v>
      </c>
      <c r="AQ629" s="558">
        <v>7380.2275189500006</v>
      </c>
      <c r="AR629" s="558">
        <v>1.5543</v>
      </c>
    </row>
    <row r="630" spans="39:44">
      <c r="AM630" s="557">
        <f t="shared" ca="1" si="62"/>
        <v>45328</v>
      </c>
      <c r="AN630" s="558">
        <v>66.495000000000005</v>
      </c>
      <c r="AO630" s="558">
        <v>1503200</v>
      </c>
      <c r="AP630" s="558">
        <v>110.98921</v>
      </c>
      <c r="AQ630" s="558">
        <v>7380.2275189500006</v>
      </c>
      <c r="AR630" s="558">
        <v>1.5543</v>
      </c>
    </row>
    <row r="631" spans="39:44">
      <c r="AM631" s="557">
        <f t="shared" ca="1" si="62"/>
        <v>45327</v>
      </c>
      <c r="AN631" s="558">
        <v>66.495000000000005</v>
      </c>
      <c r="AO631" s="558">
        <v>1503200</v>
      </c>
      <c r="AP631" s="558">
        <v>110.98921</v>
      </c>
      <c r="AQ631" s="558">
        <v>7380.2275189500006</v>
      </c>
      <c r="AR631" s="558">
        <v>1.5543</v>
      </c>
    </row>
    <row r="632" spans="39:44">
      <c r="AM632" s="557">
        <f t="shared" ca="1" si="62"/>
        <v>45326</v>
      </c>
      <c r="AN632" s="558">
        <v>66.194999999999993</v>
      </c>
      <c r="AO632" s="558">
        <v>1311100</v>
      </c>
      <c r="AP632" s="558">
        <v>110.98921</v>
      </c>
      <c r="AQ632" s="558">
        <v>7346.9307559499994</v>
      </c>
      <c r="AR632" s="558">
        <v>1.5427999999999999</v>
      </c>
    </row>
    <row r="633" spans="39:44">
      <c r="AM633" s="557">
        <f t="shared" ca="1" si="62"/>
        <v>45325</v>
      </c>
      <c r="AN633" s="558">
        <v>65.489999999999995</v>
      </c>
      <c r="AO633" s="558">
        <v>1787900</v>
      </c>
      <c r="AP633" s="558">
        <v>110.98921</v>
      </c>
      <c r="AQ633" s="558">
        <v>7268.6833628999993</v>
      </c>
      <c r="AR633" s="558">
        <v>1.5263</v>
      </c>
    </row>
    <row r="634" spans="39:44">
      <c r="AM634" s="557">
        <f t="shared" ca="1" si="62"/>
        <v>45324</v>
      </c>
      <c r="AN634" s="558">
        <v>66.45</v>
      </c>
      <c r="AO634" s="558">
        <v>1432700</v>
      </c>
      <c r="AP634" s="558">
        <v>110.98921</v>
      </c>
      <c r="AQ634" s="558">
        <v>7375.2330044999999</v>
      </c>
      <c r="AR634" s="558">
        <v>1.5501</v>
      </c>
    </row>
    <row r="635" spans="39:44">
      <c r="AM635" s="557">
        <f t="shared" ca="1" si="62"/>
        <v>45323</v>
      </c>
      <c r="AN635" s="558">
        <v>66.025000000000006</v>
      </c>
      <c r="AO635" s="558">
        <v>1265200</v>
      </c>
      <c r="AP635" s="558">
        <v>110.98921</v>
      </c>
      <c r="AQ635" s="558">
        <v>7328.0625902500005</v>
      </c>
      <c r="AR635" s="558">
        <v>1.5390999999999999</v>
      </c>
    </row>
    <row r="636" spans="39:44">
      <c r="AM636" s="557">
        <f t="shared" ca="1" si="62"/>
        <v>45322</v>
      </c>
      <c r="AN636" s="558">
        <v>65.665000000000006</v>
      </c>
      <c r="AO636" s="558">
        <v>2444100</v>
      </c>
      <c r="AP636" s="558">
        <v>110.98921</v>
      </c>
      <c r="AQ636" s="558">
        <v>7288.1064746500006</v>
      </c>
      <c r="AR636" s="558">
        <v>1.5306999999999999</v>
      </c>
    </row>
    <row r="637" spans="39:44">
      <c r="AM637" s="557">
        <f t="shared" ca="1" si="62"/>
        <v>45321</v>
      </c>
      <c r="AN637" s="558">
        <v>65.665000000000006</v>
      </c>
      <c r="AO637" s="558">
        <v>2444100</v>
      </c>
      <c r="AP637" s="558">
        <v>110.98921</v>
      </c>
      <c r="AQ637" s="558">
        <v>7288.1064746500006</v>
      </c>
      <c r="AR637" s="558">
        <v>1.5306999999999999</v>
      </c>
    </row>
    <row r="638" spans="39:44">
      <c r="AM638" s="557">
        <f t="shared" ca="1" si="62"/>
        <v>45320</v>
      </c>
      <c r="AN638" s="558">
        <v>65.665000000000006</v>
      </c>
      <c r="AO638" s="558">
        <v>2444100</v>
      </c>
      <c r="AP638" s="558">
        <v>110.98921</v>
      </c>
      <c r="AQ638" s="558">
        <v>7288.1064746500006</v>
      </c>
      <c r="AR638" s="558">
        <v>1.5306999999999999</v>
      </c>
    </row>
    <row r="639" spans="39:44">
      <c r="AM639" s="557">
        <f t="shared" ca="1" si="62"/>
        <v>45319</v>
      </c>
      <c r="AN639" s="558">
        <v>68.814999999999998</v>
      </c>
      <c r="AO639" s="558">
        <v>3166100</v>
      </c>
      <c r="AP639" s="558">
        <v>110.98921</v>
      </c>
      <c r="AQ639" s="558">
        <v>7637.7224861499999</v>
      </c>
      <c r="AR639" s="558">
        <v>1.6017999999999999</v>
      </c>
    </row>
    <row r="640" spans="39:44">
      <c r="AM640" s="557">
        <f t="shared" ca="1" si="62"/>
        <v>45318</v>
      </c>
      <c r="AN640" s="558">
        <v>66.8</v>
      </c>
      <c r="AO640" s="558">
        <v>1823500</v>
      </c>
      <c r="AP640" s="558">
        <v>110.98921</v>
      </c>
      <c r="AQ640" s="558">
        <v>7414.0792279999996</v>
      </c>
      <c r="AR640" s="558">
        <v>1.5582</v>
      </c>
    </row>
    <row r="641" spans="39:44">
      <c r="AM641" s="557">
        <f t="shared" ca="1" si="62"/>
        <v>45317</v>
      </c>
      <c r="AN641" s="558">
        <v>64.864999999999995</v>
      </c>
      <c r="AO641" s="558">
        <v>1637500</v>
      </c>
      <c r="AP641" s="558">
        <v>110.98921</v>
      </c>
      <c r="AQ641" s="558">
        <v>7199.3151066499995</v>
      </c>
      <c r="AR641" s="558">
        <v>1.5135000000000001</v>
      </c>
    </row>
    <row r="642" spans="39:44">
      <c r="AM642" s="557">
        <f t="shared" ca="1" si="62"/>
        <v>45316</v>
      </c>
      <c r="AN642" s="558">
        <v>64.25</v>
      </c>
      <c r="AO642" s="558">
        <v>2443900</v>
      </c>
      <c r="AP642" s="558">
        <v>110.98921</v>
      </c>
      <c r="AQ642" s="558">
        <v>7131.0567424999999</v>
      </c>
      <c r="AR642" s="558">
        <v>1.4981</v>
      </c>
    </row>
    <row r="643" spans="39:44">
      <c r="AM643" s="557">
        <f t="shared" ca="1" si="62"/>
        <v>45315</v>
      </c>
      <c r="AN643" s="558">
        <v>64.844999999999999</v>
      </c>
      <c r="AO643" s="558">
        <v>2995000</v>
      </c>
      <c r="AP643" s="558">
        <v>110.98921</v>
      </c>
      <c r="AQ643" s="558">
        <v>7197.0953224499999</v>
      </c>
      <c r="AR643" s="558">
        <v>1.5116000000000001</v>
      </c>
    </row>
    <row r="644" spans="39:44">
      <c r="AM644" s="557">
        <f t="shared" ca="1" si="62"/>
        <v>45314</v>
      </c>
      <c r="AN644" s="558">
        <v>64.844999999999999</v>
      </c>
      <c r="AO644" s="558">
        <v>2995000</v>
      </c>
      <c r="AP644" s="558">
        <v>110.98921</v>
      </c>
      <c r="AQ644" s="558">
        <v>7197.0953224499999</v>
      </c>
      <c r="AR644" s="558">
        <v>1.5116000000000001</v>
      </c>
    </row>
    <row r="645" spans="39:44">
      <c r="AM645" s="557">
        <f t="shared" ref="AM645:AM708" ca="1" si="63">AM644-1</f>
        <v>45313</v>
      </c>
      <c r="AN645" s="558">
        <v>64.844999999999999</v>
      </c>
      <c r="AO645" s="558">
        <v>2995000</v>
      </c>
      <c r="AP645" s="558">
        <v>110.98921</v>
      </c>
      <c r="AQ645" s="558">
        <v>7197.0953224499999</v>
      </c>
      <c r="AR645" s="558">
        <v>1.5116000000000001</v>
      </c>
    </row>
    <row r="646" spans="39:44">
      <c r="AM646" s="557">
        <f t="shared" ca="1" si="63"/>
        <v>45312</v>
      </c>
      <c r="AN646" s="558">
        <v>62.725000000000001</v>
      </c>
      <c r="AO646" s="558">
        <v>2653800</v>
      </c>
      <c r="AP646" s="558">
        <v>110.98921</v>
      </c>
      <c r="AQ646" s="558">
        <v>6961.7981972500002</v>
      </c>
      <c r="AR646" s="558">
        <v>1.4587000000000001</v>
      </c>
    </row>
    <row r="647" spans="39:44">
      <c r="AM647" s="557">
        <f t="shared" ca="1" si="63"/>
        <v>45311</v>
      </c>
      <c r="AN647" s="558">
        <v>61.164999999999999</v>
      </c>
      <c r="AO647" s="558">
        <v>1964100</v>
      </c>
      <c r="AP647" s="558">
        <v>110.98921</v>
      </c>
      <c r="AQ647" s="558">
        <v>6788.65502965</v>
      </c>
      <c r="AR647" s="558">
        <v>1.4267000000000001</v>
      </c>
    </row>
    <row r="648" spans="39:44">
      <c r="AM648" s="557">
        <f t="shared" ca="1" si="63"/>
        <v>45310</v>
      </c>
      <c r="AN648" s="558">
        <v>59.7</v>
      </c>
      <c r="AO648" s="558">
        <v>1755800</v>
      </c>
      <c r="AP648" s="558">
        <v>110.98921</v>
      </c>
      <c r="AQ648" s="558">
        <v>6626.0558369999999</v>
      </c>
      <c r="AR648" s="558">
        <v>1.3919999999999999</v>
      </c>
    </row>
    <row r="649" spans="39:44">
      <c r="AM649" s="557">
        <f t="shared" ca="1" si="63"/>
        <v>45309</v>
      </c>
      <c r="AN649" s="558">
        <v>57.6</v>
      </c>
      <c r="AO649" s="558">
        <v>1787700</v>
      </c>
      <c r="AP649" s="558">
        <v>110.98921</v>
      </c>
      <c r="AQ649" s="558">
        <v>6392.9784959999997</v>
      </c>
      <c r="AR649" s="558">
        <v>1.3409</v>
      </c>
    </row>
    <row r="650" spans="39:44">
      <c r="AM650" s="557">
        <f t="shared" ca="1" si="63"/>
        <v>45308</v>
      </c>
      <c r="AN650" s="558">
        <v>59.41</v>
      </c>
      <c r="AO650" s="558">
        <v>2341400</v>
      </c>
      <c r="AP650" s="558">
        <v>110.98921</v>
      </c>
      <c r="AQ650" s="558">
        <v>6593.8689660999999</v>
      </c>
      <c r="AR650" s="558">
        <v>1.3877999999999999</v>
      </c>
    </row>
    <row r="651" spans="39:44">
      <c r="AM651" s="557">
        <f t="shared" ca="1" si="63"/>
        <v>45307</v>
      </c>
      <c r="AN651" s="558">
        <v>59.41</v>
      </c>
      <c r="AO651" s="558">
        <v>2341400</v>
      </c>
      <c r="AP651" s="558">
        <v>110.98921</v>
      </c>
      <c r="AQ651" s="558">
        <v>6593.8689660999999</v>
      </c>
      <c r="AR651" s="558">
        <v>1.3877999999999999</v>
      </c>
    </row>
    <row r="652" spans="39:44">
      <c r="AM652" s="557">
        <f t="shared" ca="1" si="63"/>
        <v>45306</v>
      </c>
      <c r="AN652" s="558">
        <v>59.41</v>
      </c>
      <c r="AO652" s="558">
        <v>2341400</v>
      </c>
      <c r="AP652" s="558">
        <v>110.98921</v>
      </c>
      <c r="AQ652" s="558">
        <v>6593.8689660999999</v>
      </c>
      <c r="AR652" s="558">
        <v>1.3877999999999999</v>
      </c>
    </row>
    <row r="653" spans="39:44">
      <c r="AM653" s="557">
        <f t="shared" ca="1" si="63"/>
        <v>45305</v>
      </c>
      <c r="AN653" s="558">
        <v>59.32</v>
      </c>
      <c r="AO653" s="558">
        <v>2879900</v>
      </c>
      <c r="AP653" s="558">
        <v>110.98921</v>
      </c>
      <c r="AQ653" s="558">
        <v>6583.8799372000003</v>
      </c>
      <c r="AR653" s="558">
        <v>1.3837999999999999</v>
      </c>
    </row>
    <row r="654" spans="39:44">
      <c r="AM654" s="557">
        <f t="shared" ca="1" si="63"/>
        <v>45304</v>
      </c>
      <c r="AN654" s="558">
        <v>59.984999999999999</v>
      </c>
      <c r="AO654" s="558">
        <v>2972500</v>
      </c>
      <c r="AP654" s="558">
        <v>110.98921</v>
      </c>
      <c r="AQ654" s="558">
        <v>6657.6877618500002</v>
      </c>
      <c r="AR654" s="558">
        <v>1.3973</v>
      </c>
    </row>
    <row r="655" spans="39:44">
      <c r="AM655" s="557">
        <f t="shared" ca="1" si="63"/>
        <v>45303</v>
      </c>
      <c r="AN655" s="558">
        <v>60.85</v>
      </c>
      <c r="AO655" s="558">
        <v>2268800</v>
      </c>
      <c r="AP655" s="558">
        <v>110.98921</v>
      </c>
      <c r="AQ655" s="558">
        <v>6753.6934284999998</v>
      </c>
      <c r="AR655" s="558">
        <v>1.4177999999999999</v>
      </c>
    </row>
    <row r="656" spans="39:44">
      <c r="AM656" s="557">
        <f t="shared" ca="1" si="63"/>
        <v>45302</v>
      </c>
      <c r="AN656" s="558">
        <v>60.125</v>
      </c>
      <c r="AO656" s="558">
        <v>1285700</v>
      </c>
      <c r="AP656" s="558">
        <v>110.98921</v>
      </c>
      <c r="AQ656" s="558">
        <v>6673.2262512500001</v>
      </c>
      <c r="AR656" s="558">
        <v>1.4025000000000001</v>
      </c>
    </row>
    <row r="657" spans="39:44">
      <c r="AM657" s="557">
        <f t="shared" ca="1" si="63"/>
        <v>45301</v>
      </c>
      <c r="AN657" s="558">
        <v>59.42</v>
      </c>
      <c r="AO657" s="558">
        <v>1441200</v>
      </c>
      <c r="AP657" s="558">
        <v>110.98921</v>
      </c>
      <c r="AQ657" s="558">
        <v>6594.9788582000001</v>
      </c>
      <c r="AR657" s="558">
        <v>1.3856999999999999</v>
      </c>
    </row>
    <row r="658" spans="39:44">
      <c r="AM658" s="557">
        <f t="shared" ca="1" si="63"/>
        <v>45300</v>
      </c>
      <c r="AN658" s="558">
        <v>59.42</v>
      </c>
      <c r="AO658" s="558">
        <v>1441200</v>
      </c>
      <c r="AP658" s="558">
        <v>110.98921</v>
      </c>
      <c r="AQ658" s="558">
        <v>6594.9788582000001</v>
      </c>
      <c r="AR658" s="558">
        <v>1.3856999999999999</v>
      </c>
    </row>
    <row r="659" spans="39:44">
      <c r="AM659" s="557">
        <f t="shared" ca="1" si="63"/>
        <v>45299</v>
      </c>
      <c r="AN659" s="558">
        <v>59.42</v>
      </c>
      <c r="AO659" s="558">
        <v>1441200</v>
      </c>
      <c r="AP659" s="558">
        <v>110.98921</v>
      </c>
      <c r="AQ659" s="558">
        <v>6594.9788582000001</v>
      </c>
      <c r="AR659" s="558">
        <v>1.3856999999999999</v>
      </c>
    </row>
    <row r="660" spans="39:44">
      <c r="AM660" s="557">
        <f t="shared" ca="1" si="63"/>
        <v>45298</v>
      </c>
      <c r="AN660" s="558">
        <v>60.68</v>
      </c>
      <c r="AO660" s="558">
        <v>1394700</v>
      </c>
      <c r="AP660" s="558">
        <v>110.98921</v>
      </c>
      <c r="AQ660" s="558">
        <v>6734.8252628</v>
      </c>
      <c r="AR660" s="558">
        <v>1.4140999999999999</v>
      </c>
    </row>
    <row r="661" spans="39:44">
      <c r="AM661" s="557">
        <f t="shared" ca="1" si="63"/>
        <v>45297</v>
      </c>
      <c r="AN661" s="558">
        <v>60.88</v>
      </c>
      <c r="AO661" s="558">
        <v>2300100</v>
      </c>
      <c r="AP661" s="558">
        <v>110.98921</v>
      </c>
      <c r="AQ661" s="558">
        <v>6757.0231048000005</v>
      </c>
      <c r="AR661" s="558">
        <v>1.4195</v>
      </c>
    </row>
    <row r="662" spans="39:44">
      <c r="AM662" s="557">
        <f t="shared" ca="1" si="63"/>
        <v>45296</v>
      </c>
      <c r="AN662" s="558">
        <v>61.2</v>
      </c>
      <c r="AO662" s="558">
        <v>2209900</v>
      </c>
      <c r="AP662" s="558">
        <v>110.98921</v>
      </c>
      <c r="AQ662" s="558">
        <v>6792.5396520000004</v>
      </c>
      <c r="AR662" s="558">
        <v>1.4265000000000001</v>
      </c>
    </row>
    <row r="663" spans="39:44">
      <c r="AM663" s="557">
        <f t="shared" ca="1" si="63"/>
        <v>45295</v>
      </c>
      <c r="AN663" s="558">
        <v>63.204999999999998</v>
      </c>
      <c r="AO663" s="558">
        <v>1468400</v>
      </c>
      <c r="AP663" s="558">
        <v>110.98921</v>
      </c>
      <c r="AQ663" s="558">
        <v>7015.0730180499995</v>
      </c>
      <c r="AR663" s="558">
        <v>1.4725999999999999</v>
      </c>
    </row>
    <row r="664" spans="39:44">
      <c r="AM664" s="557">
        <f t="shared" ca="1" si="63"/>
        <v>45294</v>
      </c>
      <c r="AN664" s="558">
        <v>62.045000000000002</v>
      </c>
      <c r="AO664" s="558">
        <v>2579100</v>
      </c>
      <c r="AP664" s="558">
        <v>110.98921</v>
      </c>
      <c r="AQ664" s="558">
        <v>6886.3255344500003</v>
      </c>
      <c r="AR664" s="558">
        <v>1.454</v>
      </c>
    </row>
    <row r="665" spans="39:44">
      <c r="AM665" s="557">
        <f t="shared" ca="1" si="63"/>
        <v>45293</v>
      </c>
      <c r="AN665" s="558">
        <v>62.045000000000002</v>
      </c>
      <c r="AO665" s="558">
        <v>2579100</v>
      </c>
      <c r="AP665" s="558">
        <v>110.98921</v>
      </c>
      <c r="AQ665" s="558">
        <v>6886.3255344500003</v>
      </c>
      <c r="AR665" s="558">
        <v>1.454</v>
      </c>
    </row>
    <row r="666" spans="39:44">
      <c r="AM666" s="557">
        <f t="shared" ca="1" si="63"/>
        <v>45292</v>
      </c>
      <c r="AN666" s="558">
        <v>62.045000000000002</v>
      </c>
      <c r="AO666" s="558">
        <v>2579100</v>
      </c>
      <c r="AP666" s="558">
        <v>110.98921</v>
      </c>
      <c r="AQ666" s="558">
        <v>6886.3255344500003</v>
      </c>
      <c r="AR666" s="558">
        <v>1.454</v>
      </c>
    </row>
    <row r="667" spans="39:44">
      <c r="AM667" s="557">
        <f t="shared" ca="1" si="63"/>
        <v>45291</v>
      </c>
      <c r="AN667" s="558">
        <v>62.16</v>
      </c>
      <c r="AO667" s="558">
        <v>2155000</v>
      </c>
      <c r="AP667" s="558">
        <v>110.98921</v>
      </c>
      <c r="AQ667" s="558">
        <v>6899.0892936</v>
      </c>
      <c r="AR667" s="558">
        <v>1.4504999999999999</v>
      </c>
    </row>
    <row r="668" spans="39:44">
      <c r="AM668" s="557">
        <f t="shared" ca="1" si="63"/>
        <v>45290</v>
      </c>
      <c r="AN668" s="558">
        <v>60.52</v>
      </c>
      <c r="AO668" s="558">
        <v>2231100</v>
      </c>
      <c r="AP668" s="558">
        <v>110.98921</v>
      </c>
      <c r="AQ668" s="558">
        <v>6717.0669892000005</v>
      </c>
      <c r="AR668" s="558">
        <v>1.4113</v>
      </c>
    </row>
    <row r="669" spans="39:44">
      <c r="AM669" s="557">
        <f t="shared" ca="1" si="63"/>
        <v>45289</v>
      </c>
      <c r="AN669" s="558">
        <v>60.52</v>
      </c>
      <c r="AO669" s="558">
        <v>2231100</v>
      </c>
      <c r="AP669" s="558">
        <v>110.98921</v>
      </c>
      <c r="AQ669" s="558">
        <v>6717.0669892000005</v>
      </c>
      <c r="AR669" s="558">
        <v>1.4113</v>
      </c>
    </row>
    <row r="670" spans="39:44">
      <c r="AM670" s="557">
        <f t="shared" ca="1" si="63"/>
        <v>45288</v>
      </c>
      <c r="AN670" s="558">
        <v>57.825000000000003</v>
      </c>
      <c r="AO670" s="558">
        <v>1600500</v>
      </c>
      <c r="AP670" s="558">
        <v>110.98921</v>
      </c>
      <c r="AQ670" s="558">
        <v>6417.9510682500004</v>
      </c>
      <c r="AR670" s="558">
        <v>1.3452999999999999</v>
      </c>
    </row>
    <row r="671" spans="39:44">
      <c r="AM671" s="557">
        <f t="shared" ca="1" si="63"/>
        <v>45287</v>
      </c>
      <c r="AN671" s="558">
        <v>59.17</v>
      </c>
      <c r="AO671" s="558">
        <v>2627600</v>
      </c>
      <c r="AP671" s="558">
        <v>110.98921</v>
      </c>
      <c r="AQ671" s="558">
        <v>6567.2315557000002</v>
      </c>
      <c r="AR671" s="558">
        <v>1.3766</v>
      </c>
    </row>
    <row r="672" spans="39:44">
      <c r="AM672" s="557">
        <f t="shared" ca="1" si="63"/>
        <v>45286</v>
      </c>
      <c r="AN672" s="558">
        <v>59.17</v>
      </c>
      <c r="AO672" s="558">
        <v>2627600</v>
      </c>
      <c r="AP672" s="558">
        <v>110.98921</v>
      </c>
      <c r="AQ672" s="558">
        <v>6567.2315557000002</v>
      </c>
      <c r="AR672" s="558">
        <v>1.3766</v>
      </c>
    </row>
    <row r="673" spans="39:44">
      <c r="AM673" s="557">
        <f t="shared" ca="1" si="63"/>
        <v>45285</v>
      </c>
      <c r="AN673" s="558">
        <v>59.17</v>
      </c>
      <c r="AO673" s="558">
        <v>2627600</v>
      </c>
      <c r="AP673" s="558">
        <v>110.98921</v>
      </c>
      <c r="AQ673" s="558">
        <v>6567.2315557000002</v>
      </c>
      <c r="AR673" s="558">
        <v>1.3766</v>
      </c>
    </row>
    <row r="674" spans="39:44">
      <c r="AM674" s="557">
        <f t="shared" ca="1" si="63"/>
        <v>45284</v>
      </c>
      <c r="AN674" s="558">
        <v>57.86</v>
      </c>
      <c r="AO674" s="558">
        <v>2308900</v>
      </c>
      <c r="AP674" s="558">
        <v>110.98921</v>
      </c>
      <c r="AQ674" s="558">
        <v>6421.8356905999999</v>
      </c>
      <c r="AR674" s="558">
        <v>1.3460000000000001</v>
      </c>
    </row>
    <row r="675" spans="39:44">
      <c r="AM675" s="557">
        <f t="shared" ca="1" si="63"/>
        <v>45283</v>
      </c>
      <c r="AN675" s="558">
        <v>59.664999999999999</v>
      </c>
      <c r="AO675" s="558">
        <v>4050600</v>
      </c>
      <c r="AP675" s="558">
        <v>110.98921</v>
      </c>
      <c r="AQ675" s="558">
        <v>6622.1712146499995</v>
      </c>
      <c r="AR675" s="558">
        <v>1.3906000000000001</v>
      </c>
    </row>
    <row r="676" spans="39:44">
      <c r="AM676" s="557">
        <f t="shared" ca="1" si="63"/>
        <v>45282</v>
      </c>
      <c r="AN676" s="558">
        <v>62.65</v>
      </c>
      <c r="AO676" s="558">
        <v>3857500</v>
      </c>
      <c r="AP676" s="558">
        <v>110.98921</v>
      </c>
      <c r="AQ676" s="558">
        <v>6953.4740064999996</v>
      </c>
      <c r="AR676" s="558">
        <v>1.4591000000000001</v>
      </c>
    </row>
    <row r="677" spans="39:44">
      <c r="AM677" s="557">
        <f t="shared" ca="1" si="63"/>
        <v>45281</v>
      </c>
      <c r="AN677" s="558">
        <v>58.23</v>
      </c>
      <c r="AO677" s="558">
        <v>1638400</v>
      </c>
      <c r="AP677" s="558">
        <v>110.98921</v>
      </c>
      <c r="AQ677" s="558">
        <v>6462.9016982999992</v>
      </c>
      <c r="AR677" s="558">
        <v>1.357</v>
      </c>
    </row>
    <row r="678" spans="39:44">
      <c r="AM678" s="557">
        <f t="shared" ca="1" si="63"/>
        <v>45280</v>
      </c>
      <c r="AN678" s="558">
        <v>60.7</v>
      </c>
      <c r="AO678" s="558">
        <v>1542600</v>
      </c>
      <c r="AP678" s="558">
        <v>110.98921</v>
      </c>
      <c r="AQ678" s="558">
        <v>6737.0450470000005</v>
      </c>
      <c r="AR678" s="558">
        <v>1.4155</v>
      </c>
    </row>
    <row r="679" spans="39:44">
      <c r="AM679" s="557">
        <f t="shared" ca="1" si="63"/>
        <v>45279</v>
      </c>
      <c r="AN679" s="558">
        <v>60.7</v>
      </c>
      <c r="AO679" s="558">
        <v>1542600</v>
      </c>
      <c r="AP679" s="558">
        <v>110.98921</v>
      </c>
      <c r="AQ679" s="558">
        <v>6737.0450470000005</v>
      </c>
      <c r="AR679" s="558">
        <v>1.4155</v>
      </c>
    </row>
    <row r="680" spans="39:44">
      <c r="AM680" s="557">
        <f t="shared" ca="1" si="63"/>
        <v>45278</v>
      </c>
      <c r="AN680" s="558">
        <v>60.7</v>
      </c>
      <c r="AO680" s="558">
        <v>1542600</v>
      </c>
      <c r="AP680" s="558">
        <v>110.98921</v>
      </c>
      <c r="AQ680" s="558">
        <v>6737.0450470000005</v>
      </c>
      <c r="AR680" s="558">
        <v>1.4155</v>
      </c>
    </row>
    <row r="681" spans="39:44">
      <c r="AM681" s="557">
        <f t="shared" ca="1" si="63"/>
        <v>45277</v>
      </c>
      <c r="AN681" s="558">
        <v>58.115000000000002</v>
      </c>
      <c r="AO681" s="558">
        <v>2264300</v>
      </c>
      <c r="AP681" s="558">
        <v>110.98921</v>
      </c>
      <c r="AQ681" s="558">
        <v>6450.1379391500004</v>
      </c>
      <c r="AR681" s="558">
        <v>1.3551</v>
      </c>
    </row>
    <row r="682" spans="39:44">
      <c r="AM682" s="557">
        <f t="shared" ca="1" si="63"/>
        <v>45276</v>
      </c>
      <c r="AN682" s="558">
        <v>58.115000000000002</v>
      </c>
      <c r="AO682" s="558">
        <v>2264300</v>
      </c>
      <c r="AP682" s="558">
        <v>110.98921</v>
      </c>
      <c r="AQ682" s="558">
        <v>6450.1379391500004</v>
      </c>
      <c r="AR682" s="558">
        <v>1.3551</v>
      </c>
    </row>
    <row r="683" spans="39:44">
      <c r="AM683" s="557">
        <f t="shared" ca="1" si="63"/>
        <v>45275</v>
      </c>
      <c r="AN683" s="558">
        <v>58.524999999999999</v>
      </c>
      <c r="AO683" s="558">
        <v>1146700</v>
      </c>
      <c r="AP683" s="558">
        <v>110.98921</v>
      </c>
      <c r="AQ683" s="558">
        <v>6495.6435152499998</v>
      </c>
      <c r="AR683" s="558">
        <v>1.3615999999999999</v>
      </c>
    </row>
    <row r="684" spans="39:44">
      <c r="AM684" s="557">
        <f t="shared" ca="1" si="63"/>
        <v>45274</v>
      </c>
      <c r="AN684" s="558">
        <v>57.865000000000002</v>
      </c>
      <c r="AO684" s="558">
        <v>1004200</v>
      </c>
      <c r="AP684" s="558">
        <v>110.98921</v>
      </c>
      <c r="AQ684" s="558">
        <v>6422.3906366500005</v>
      </c>
      <c r="AR684" s="558">
        <v>1.347</v>
      </c>
    </row>
    <row r="685" spans="39:44">
      <c r="AM685" s="557">
        <f t="shared" ca="1" si="63"/>
        <v>45273</v>
      </c>
      <c r="AN685" s="558">
        <v>58.895000000000003</v>
      </c>
      <c r="AO685" s="558">
        <v>1343000</v>
      </c>
      <c r="AP685" s="558">
        <v>110.98921</v>
      </c>
      <c r="AQ685" s="558">
        <v>6536.7095229500001</v>
      </c>
      <c r="AR685" s="558">
        <v>1.3712</v>
      </c>
    </row>
    <row r="686" spans="39:44">
      <c r="AM686" s="557">
        <f t="shared" ca="1" si="63"/>
        <v>45272</v>
      </c>
      <c r="AN686" s="558">
        <v>58.895000000000003</v>
      </c>
      <c r="AO686" s="558">
        <v>1343000</v>
      </c>
      <c r="AP686" s="558">
        <v>110.98921</v>
      </c>
      <c r="AQ686" s="558">
        <v>6536.7095229500001</v>
      </c>
      <c r="AR686" s="558">
        <v>1.3712</v>
      </c>
    </row>
    <row r="687" spans="39:44">
      <c r="AM687" s="557">
        <f t="shared" ca="1" si="63"/>
        <v>45271</v>
      </c>
      <c r="AN687" s="558">
        <v>58.895000000000003</v>
      </c>
      <c r="AO687" s="558">
        <v>1343000</v>
      </c>
      <c r="AP687" s="558">
        <v>110.98921</v>
      </c>
      <c r="AQ687" s="558">
        <v>6536.7095229500001</v>
      </c>
      <c r="AR687" s="558">
        <v>1.3712</v>
      </c>
    </row>
    <row r="688" spans="39:44">
      <c r="AM688" s="557">
        <f t="shared" ca="1" si="63"/>
        <v>45270</v>
      </c>
      <c r="AN688" s="558">
        <v>61.104999999999997</v>
      </c>
      <c r="AO688" s="558">
        <v>1203200</v>
      </c>
      <c r="AP688" s="558">
        <v>110.98921</v>
      </c>
      <c r="AQ688" s="558">
        <v>6781.9956770499994</v>
      </c>
      <c r="AR688" s="558">
        <v>1.4248000000000001</v>
      </c>
    </row>
    <row r="689" spans="39:44">
      <c r="AM689" s="557">
        <f t="shared" ca="1" si="63"/>
        <v>45269</v>
      </c>
      <c r="AN689" s="558">
        <v>59.215000000000003</v>
      </c>
      <c r="AO689" s="558">
        <v>975700</v>
      </c>
      <c r="AP689" s="558">
        <v>110.98921</v>
      </c>
      <c r="AQ689" s="558">
        <v>6572.2260701499999</v>
      </c>
      <c r="AR689" s="558">
        <v>1.3787</v>
      </c>
    </row>
    <row r="690" spans="39:44">
      <c r="AM690" s="557">
        <f t="shared" ca="1" si="63"/>
        <v>45268</v>
      </c>
      <c r="AN690" s="558">
        <v>60.53</v>
      </c>
      <c r="AO690" s="558">
        <v>1107400</v>
      </c>
      <c r="AP690" s="558">
        <v>110.98921</v>
      </c>
      <c r="AQ690" s="558">
        <v>6718.1768812999999</v>
      </c>
      <c r="AR690" s="558">
        <v>1.4113</v>
      </c>
    </row>
    <row r="691" spans="39:44">
      <c r="AM691" s="557">
        <f t="shared" ca="1" si="63"/>
        <v>45267</v>
      </c>
      <c r="AN691" s="558">
        <v>60.064999999999998</v>
      </c>
      <c r="AO691" s="558">
        <v>2006800</v>
      </c>
      <c r="AP691" s="558">
        <v>110.98921</v>
      </c>
      <c r="AQ691" s="558">
        <v>6666.5668986499995</v>
      </c>
      <c r="AR691" s="558">
        <v>1.4017999999999999</v>
      </c>
    </row>
    <row r="692" spans="39:44">
      <c r="AM692" s="557">
        <f t="shared" ca="1" si="63"/>
        <v>45266</v>
      </c>
      <c r="AN692" s="558">
        <v>58.9</v>
      </c>
      <c r="AO692" s="558">
        <v>3639700</v>
      </c>
      <c r="AP692" s="558">
        <v>110.98921</v>
      </c>
      <c r="AQ692" s="558">
        <v>6537.2644689999997</v>
      </c>
      <c r="AR692" s="558">
        <v>1.3737999999999999</v>
      </c>
    </row>
    <row r="693" spans="39:44">
      <c r="AM693" s="557">
        <f t="shared" ca="1" si="63"/>
        <v>45265</v>
      </c>
      <c r="AN693" s="558">
        <v>58.9</v>
      </c>
      <c r="AO693" s="558">
        <v>3639700</v>
      </c>
      <c r="AP693" s="558">
        <v>110.98921</v>
      </c>
      <c r="AQ693" s="558">
        <v>6537.2644689999997</v>
      </c>
      <c r="AR693" s="558">
        <v>1.3737999999999999</v>
      </c>
    </row>
    <row r="694" spans="39:44">
      <c r="AM694" s="557">
        <f t="shared" ca="1" si="63"/>
        <v>45264</v>
      </c>
      <c r="AN694" s="558">
        <v>58.9</v>
      </c>
      <c r="AO694" s="558">
        <v>3639700</v>
      </c>
      <c r="AP694" s="558">
        <v>110.98921</v>
      </c>
      <c r="AQ694" s="558">
        <v>6537.2644689999997</v>
      </c>
      <c r="AR694" s="558">
        <v>1.3737999999999999</v>
      </c>
    </row>
    <row r="695" spans="39:44">
      <c r="AM695" s="557">
        <f t="shared" ca="1" si="63"/>
        <v>45263</v>
      </c>
      <c r="AN695" s="558">
        <v>58.715000000000003</v>
      </c>
      <c r="AO695" s="558">
        <v>3224100</v>
      </c>
      <c r="AP695" s="558">
        <v>110.98921</v>
      </c>
      <c r="AQ695" s="558">
        <v>6516.7314651500001</v>
      </c>
      <c r="AR695" s="558">
        <v>1.3684000000000001</v>
      </c>
    </row>
    <row r="696" spans="39:44">
      <c r="AM696" s="557">
        <f t="shared" ca="1" si="63"/>
        <v>45262</v>
      </c>
      <c r="AN696" s="558">
        <v>59.505000000000003</v>
      </c>
      <c r="AO696" s="558">
        <v>2254100</v>
      </c>
      <c r="AP696" s="558">
        <v>110.98921</v>
      </c>
      <c r="AQ696" s="558">
        <v>6604.41294105</v>
      </c>
      <c r="AR696" s="558">
        <v>1.3877999999999999</v>
      </c>
    </row>
    <row r="697" spans="39:44">
      <c r="AM697" s="557">
        <f t="shared" ca="1" si="63"/>
        <v>45261</v>
      </c>
      <c r="AN697" s="558">
        <v>62.88</v>
      </c>
      <c r="AO697" s="558">
        <v>722300</v>
      </c>
      <c r="AP697" s="558">
        <v>110.98921</v>
      </c>
      <c r="AQ697" s="558">
        <v>6979.0015248</v>
      </c>
      <c r="AR697" s="558">
        <v>1.464</v>
      </c>
    </row>
    <row r="698" spans="39:44">
      <c r="AM698" s="557">
        <f t="shared" ca="1" si="63"/>
        <v>45260</v>
      </c>
      <c r="AN698" s="558">
        <v>63.26</v>
      </c>
      <c r="AO698" s="558">
        <v>1324000</v>
      </c>
      <c r="AP698" s="558">
        <v>110.98921</v>
      </c>
      <c r="AQ698" s="558">
        <v>7021.1774245999995</v>
      </c>
      <c r="AR698" s="558">
        <v>1.4822</v>
      </c>
    </row>
    <row r="699" spans="39:44">
      <c r="AM699" s="557">
        <f t="shared" ca="1" si="63"/>
        <v>45259</v>
      </c>
      <c r="AN699" s="558">
        <v>63.865000000000002</v>
      </c>
      <c r="AO699" s="558">
        <v>1118000</v>
      </c>
      <c r="AP699" s="558">
        <v>110.98921</v>
      </c>
      <c r="AQ699" s="558">
        <v>7088.3258966499998</v>
      </c>
      <c r="AR699" s="558">
        <v>1.4884999999999999</v>
      </c>
    </row>
    <row r="700" spans="39:44">
      <c r="AM700" s="557">
        <f t="shared" ca="1" si="63"/>
        <v>45258</v>
      </c>
      <c r="AN700" s="558">
        <v>63.865000000000002</v>
      </c>
      <c r="AO700" s="558">
        <v>1118000</v>
      </c>
      <c r="AP700" s="558">
        <v>110.98921</v>
      </c>
      <c r="AQ700" s="558">
        <v>7088.3258966499998</v>
      </c>
      <c r="AR700" s="558">
        <v>1.4884999999999999</v>
      </c>
    </row>
    <row r="701" spans="39:44">
      <c r="AM701" s="557">
        <f t="shared" ca="1" si="63"/>
        <v>45257</v>
      </c>
      <c r="AN701" s="558">
        <v>63.865000000000002</v>
      </c>
      <c r="AO701" s="558">
        <v>1118000</v>
      </c>
      <c r="AP701" s="558">
        <v>110.98921</v>
      </c>
      <c r="AQ701" s="558">
        <v>7088.3258966499998</v>
      </c>
      <c r="AR701" s="558">
        <v>1.4884999999999999</v>
      </c>
    </row>
    <row r="702" spans="39:44">
      <c r="AM702" s="557">
        <f t="shared" ca="1" si="63"/>
        <v>45256</v>
      </c>
      <c r="AN702" s="558">
        <v>66.784999999999997</v>
      </c>
      <c r="AO702" s="558">
        <v>1098400</v>
      </c>
      <c r="AP702" s="558">
        <v>110.98921</v>
      </c>
      <c r="AQ702" s="558">
        <v>7412.4143898499997</v>
      </c>
      <c r="AR702" s="558">
        <v>1.5559000000000001</v>
      </c>
    </row>
    <row r="703" spans="39:44">
      <c r="AM703" s="557">
        <f t="shared" ca="1" si="63"/>
        <v>45255</v>
      </c>
      <c r="AN703" s="558">
        <v>66.784999999999997</v>
      </c>
      <c r="AO703" s="558">
        <v>1098400</v>
      </c>
      <c r="AP703" s="558">
        <v>110.98921</v>
      </c>
      <c r="AQ703" s="558">
        <v>7412.4143898499997</v>
      </c>
      <c r="AR703" s="558">
        <v>1.5559000000000001</v>
      </c>
    </row>
    <row r="704" spans="39:44">
      <c r="AM704" s="557">
        <f t="shared" ca="1" si="63"/>
        <v>45254</v>
      </c>
      <c r="AN704" s="558">
        <v>67.405000000000001</v>
      </c>
      <c r="AO704" s="558">
        <v>2359400</v>
      </c>
      <c r="AP704" s="558">
        <v>110.98921</v>
      </c>
      <c r="AQ704" s="558">
        <v>7481.2277000499998</v>
      </c>
      <c r="AR704" s="558">
        <v>1.5764</v>
      </c>
    </row>
    <row r="705" spans="39:44">
      <c r="AM705" s="557">
        <f t="shared" ca="1" si="63"/>
        <v>45253</v>
      </c>
      <c r="AN705" s="558">
        <v>64.5</v>
      </c>
      <c r="AO705" s="558">
        <v>1001600</v>
      </c>
      <c r="AP705" s="558">
        <v>110.98921</v>
      </c>
      <c r="AQ705" s="558">
        <v>7158.8040449999999</v>
      </c>
      <c r="AR705" s="558">
        <v>1.5032000000000001</v>
      </c>
    </row>
    <row r="706" spans="39:44">
      <c r="AM706" s="557">
        <f t="shared" ca="1" si="63"/>
        <v>45252</v>
      </c>
      <c r="AN706" s="558">
        <v>63.72</v>
      </c>
      <c r="AO706" s="558">
        <v>1335500</v>
      </c>
      <c r="AP706" s="558">
        <v>110.98921</v>
      </c>
      <c r="AQ706" s="558">
        <v>7072.2324612000002</v>
      </c>
      <c r="AR706" s="558">
        <v>1.4857</v>
      </c>
    </row>
    <row r="707" spans="39:44">
      <c r="AM707" s="557">
        <f t="shared" ca="1" si="63"/>
        <v>45251</v>
      </c>
      <c r="AN707" s="558">
        <v>63.72</v>
      </c>
      <c r="AO707" s="558">
        <v>1335500</v>
      </c>
      <c r="AP707" s="558">
        <v>110.98921</v>
      </c>
      <c r="AQ707" s="558">
        <v>7072.2324612000002</v>
      </c>
      <c r="AR707" s="558">
        <v>1.4857</v>
      </c>
    </row>
    <row r="708" spans="39:44">
      <c r="AM708" s="557">
        <f t="shared" ca="1" si="63"/>
        <v>45250</v>
      </c>
      <c r="AN708" s="558">
        <v>63.72</v>
      </c>
      <c r="AO708" s="558">
        <v>1335500</v>
      </c>
      <c r="AP708" s="558">
        <v>110.98921</v>
      </c>
      <c r="AQ708" s="558">
        <v>7072.2324612000002</v>
      </c>
      <c r="AR708" s="558">
        <v>1.4857</v>
      </c>
    </row>
    <row r="709" spans="39:44">
      <c r="AM709" s="557">
        <f t="shared" ref="AM709:AM772" ca="1" si="64">AM708-1</f>
        <v>45249</v>
      </c>
      <c r="AN709" s="558">
        <v>64.844999999999999</v>
      </c>
      <c r="AO709" s="558">
        <v>1799400</v>
      </c>
      <c r="AP709" s="558">
        <v>110.98921</v>
      </c>
      <c r="AQ709" s="558">
        <v>7197.0953224499999</v>
      </c>
      <c r="AR709" s="558">
        <v>1.5127999999999999</v>
      </c>
    </row>
    <row r="710" spans="39:44">
      <c r="AM710" s="557">
        <f t="shared" ca="1" si="64"/>
        <v>45248</v>
      </c>
      <c r="AN710" s="558">
        <v>65.564999999999998</v>
      </c>
      <c r="AO710" s="558">
        <v>3862900</v>
      </c>
      <c r="AP710" s="558">
        <v>110.98921</v>
      </c>
      <c r="AQ710" s="558">
        <v>7277.0075536499999</v>
      </c>
      <c r="AR710" s="558">
        <v>1.5279</v>
      </c>
    </row>
    <row r="711" spans="39:44">
      <c r="AM711" s="557">
        <f t="shared" ca="1" si="64"/>
        <v>45247</v>
      </c>
      <c r="AN711" s="558">
        <v>61.76</v>
      </c>
      <c r="AO711" s="558">
        <v>955100</v>
      </c>
      <c r="AP711" s="558">
        <v>110.98921</v>
      </c>
      <c r="AQ711" s="558">
        <v>6854.6936095999999</v>
      </c>
      <c r="AR711" s="558">
        <v>1.4391</v>
      </c>
    </row>
    <row r="712" spans="39:44">
      <c r="AM712" s="557">
        <f t="shared" ca="1" si="64"/>
        <v>45246</v>
      </c>
      <c r="AN712" s="558">
        <v>63.91</v>
      </c>
      <c r="AO712" s="558">
        <v>1190800</v>
      </c>
      <c r="AP712" s="558">
        <v>110.98921</v>
      </c>
      <c r="AQ712" s="558">
        <v>7093.3204110999995</v>
      </c>
      <c r="AR712" s="558">
        <v>1.4905999999999999</v>
      </c>
    </row>
    <row r="713" spans="39:44">
      <c r="AM713" s="557">
        <f t="shared" ca="1" si="64"/>
        <v>45245</v>
      </c>
      <c r="AN713" s="558">
        <v>64.98</v>
      </c>
      <c r="AO713" s="558">
        <v>2037300</v>
      </c>
      <c r="AP713" s="558">
        <v>110.98921</v>
      </c>
      <c r="AQ713" s="558">
        <v>7212.0788658000001</v>
      </c>
      <c r="AR713" s="558">
        <v>1.5536000000000001</v>
      </c>
    </row>
    <row r="714" spans="39:44">
      <c r="AM714" s="557">
        <f t="shared" ca="1" si="64"/>
        <v>45244</v>
      </c>
      <c r="AN714" s="558">
        <v>64.98</v>
      </c>
      <c r="AO714" s="558">
        <v>2037300</v>
      </c>
      <c r="AP714" s="558">
        <v>110.98921</v>
      </c>
      <c r="AQ714" s="558">
        <v>7212.0788658000001</v>
      </c>
      <c r="AR714" s="558">
        <v>1.5536000000000001</v>
      </c>
    </row>
    <row r="715" spans="39:44">
      <c r="AM715" s="557">
        <f t="shared" ca="1" si="64"/>
        <v>45243</v>
      </c>
      <c r="AN715" s="558">
        <v>64.98</v>
      </c>
      <c r="AO715" s="558">
        <v>2037300</v>
      </c>
      <c r="AP715" s="558">
        <v>110.98921</v>
      </c>
      <c r="AQ715" s="558">
        <v>7212.0788658000001</v>
      </c>
      <c r="AR715" s="558">
        <v>1.5536000000000001</v>
      </c>
    </row>
    <row r="716" spans="39:44">
      <c r="AM716" s="557">
        <f t="shared" ca="1" si="64"/>
        <v>45242</v>
      </c>
      <c r="AN716" s="558">
        <v>63.515000000000001</v>
      </c>
      <c r="AO716" s="558">
        <v>2329700</v>
      </c>
      <c r="AP716" s="558">
        <v>110.98921</v>
      </c>
      <c r="AQ716" s="558">
        <v>7049.4796731500001</v>
      </c>
      <c r="AR716" s="558">
        <v>1.5207999999999999</v>
      </c>
    </row>
    <row r="717" spans="39:44">
      <c r="AM717" s="557">
        <f t="shared" ca="1" si="64"/>
        <v>45241</v>
      </c>
      <c r="AN717" s="558">
        <v>61.03</v>
      </c>
      <c r="AO717" s="558">
        <v>2032800</v>
      </c>
      <c r="AP717" s="558">
        <v>110.98921</v>
      </c>
      <c r="AQ717" s="558">
        <v>6773.6714862999997</v>
      </c>
      <c r="AR717" s="558">
        <v>1.4594</v>
      </c>
    </row>
    <row r="718" spans="39:44">
      <c r="AM718" s="557">
        <f t="shared" ca="1" si="64"/>
        <v>45240</v>
      </c>
      <c r="AN718" s="558">
        <v>61.36</v>
      </c>
      <c r="AO718" s="558">
        <v>4469100</v>
      </c>
      <c r="AP718" s="558">
        <v>110.98921</v>
      </c>
      <c r="AQ718" s="558">
        <v>6810.2979255999999</v>
      </c>
      <c r="AR718" s="558">
        <v>1.4703999999999999</v>
      </c>
    </row>
    <row r="719" spans="39:44">
      <c r="AM719" s="557">
        <f t="shared" ca="1" si="64"/>
        <v>45239</v>
      </c>
      <c r="AN719" s="558">
        <v>63.405000000000001</v>
      </c>
      <c r="AO719" s="558">
        <v>953100</v>
      </c>
      <c r="AP719" s="558">
        <v>110.98921</v>
      </c>
      <c r="AQ719" s="558">
        <v>7037.27086005</v>
      </c>
      <c r="AR719" s="558">
        <v>1.5167999999999999</v>
      </c>
    </row>
    <row r="720" spans="39:44">
      <c r="AM720" s="557">
        <f t="shared" ca="1" si="64"/>
        <v>45238</v>
      </c>
      <c r="AN720" s="558">
        <v>63.725000000000001</v>
      </c>
      <c r="AO720" s="558">
        <v>1313500</v>
      </c>
      <c r="AP720" s="558">
        <v>110.98921</v>
      </c>
      <c r="AQ720" s="558">
        <v>7072.7874072499999</v>
      </c>
      <c r="AR720" s="558">
        <v>1.5239</v>
      </c>
    </row>
    <row r="721" spans="39:44">
      <c r="AM721" s="557">
        <f t="shared" ca="1" si="64"/>
        <v>45237</v>
      </c>
      <c r="AN721" s="558">
        <v>63.725000000000001</v>
      </c>
      <c r="AO721" s="558">
        <v>1313500</v>
      </c>
      <c r="AP721" s="558">
        <v>110.98921</v>
      </c>
      <c r="AQ721" s="558">
        <v>7072.7874072499999</v>
      </c>
      <c r="AR721" s="558">
        <v>1.5239</v>
      </c>
    </row>
    <row r="722" spans="39:44">
      <c r="AM722" s="557">
        <f t="shared" ca="1" si="64"/>
        <v>45236</v>
      </c>
      <c r="AN722" s="558">
        <v>63.725000000000001</v>
      </c>
      <c r="AO722" s="558">
        <v>1313500</v>
      </c>
      <c r="AP722" s="558">
        <v>110.98921</v>
      </c>
      <c r="AQ722" s="558">
        <v>7072.7874072499999</v>
      </c>
      <c r="AR722" s="558">
        <v>1.5239</v>
      </c>
    </row>
    <row r="723" spans="39:44">
      <c r="AM723" s="557">
        <f t="shared" ca="1" si="64"/>
        <v>45235</v>
      </c>
      <c r="AN723" s="558">
        <v>64.954999999999998</v>
      </c>
      <c r="AO723" s="558">
        <v>1563900</v>
      </c>
      <c r="AP723" s="558">
        <v>110.98921</v>
      </c>
      <c r="AQ723" s="558">
        <v>7209.30413555</v>
      </c>
      <c r="AR723" s="558">
        <v>1.5524</v>
      </c>
    </row>
    <row r="724" spans="39:44">
      <c r="AM724" s="557">
        <f t="shared" ca="1" si="64"/>
        <v>45234</v>
      </c>
      <c r="AN724" s="558">
        <v>68.87</v>
      </c>
      <c r="AO724" s="558">
        <v>1363700</v>
      </c>
      <c r="AP724" s="558">
        <v>110.98921</v>
      </c>
      <c r="AQ724" s="558">
        <v>7643.8268927000008</v>
      </c>
      <c r="AR724" s="558">
        <v>1.6464000000000001</v>
      </c>
    </row>
    <row r="725" spans="39:44">
      <c r="AM725" s="557">
        <f t="shared" ca="1" si="64"/>
        <v>45233</v>
      </c>
      <c r="AN725" s="558">
        <v>69.45</v>
      </c>
      <c r="AO725" s="558">
        <v>1091700</v>
      </c>
      <c r="AP725" s="558">
        <v>110.98921</v>
      </c>
      <c r="AQ725" s="558">
        <v>7708.2006345</v>
      </c>
      <c r="AR725" s="558">
        <v>1.6597999999999999</v>
      </c>
    </row>
    <row r="726" spans="39:44">
      <c r="AM726" s="557">
        <f t="shared" ca="1" si="64"/>
        <v>45232</v>
      </c>
      <c r="AN726" s="558">
        <v>70.174999999999997</v>
      </c>
      <c r="AO726" s="558">
        <v>561100</v>
      </c>
      <c r="AP726" s="558">
        <v>110.98921</v>
      </c>
      <c r="AQ726" s="558">
        <v>7788.6678117499996</v>
      </c>
      <c r="AR726" s="558">
        <v>1.6777</v>
      </c>
    </row>
    <row r="727" spans="39:44">
      <c r="AM727" s="557">
        <f t="shared" ca="1" si="64"/>
        <v>45231</v>
      </c>
      <c r="AN727" s="558">
        <v>70.3</v>
      </c>
      <c r="AO727" s="558">
        <v>889100</v>
      </c>
      <c r="AP727" s="558">
        <v>110.98921</v>
      </c>
      <c r="AQ727" s="558">
        <v>7802.5414629999996</v>
      </c>
      <c r="AR727" s="558">
        <v>1.6815</v>
      </c>
    </row>
    <row r="728" spans="39:44">
      <c r="AM728" s="557">
        <f t="shared" ca="1" si="64"/>
        <v>45230</v>
      </c>
      <c r="AN728" s="558">
        <v>70.3</v>
      </c>
      <c r="AO728" s="558">
        <v>889100</v>
      </c>
      <c r="AP728" s="558">
        <v>110.98921</v>
      </c>
      <c r="AQ728" s="558">
        <v>7802.5414629999996</v>
      </c>
      <c r="AR728" s="558">
        <v>1.6815</v>
      </c>
    </row>
    <row r="729" spans="39:44">
      <c r="AM729" s="557">
        <f t="shared" ca="1" si="64"/>
        <v>45229</v>
      </c>
      <c r="AN729" s="558">
        <v>70.3</v>
      </c>
      <c r="AO729" s="558">
        <v>889100</v>
      </c>
      <c r="AP729" s="558">
        <v>110.98921</v>
      </c>
      <c r="AQ729" s="558">
        <v>7802.5414629999996</v>
      </c>
      <c r="AR729" s="558">
        <v>1.6815</v>
      </c>
    </row>
    <row r="730" spans="39:44">
      <c r="AM730" s="557">
        <f t="shared" ca="1" si="64"/>
        <v>45228</v>
      </c>
      <c r="AN730" s="558">
        <v>72.275000000000006</v>
      </c>
      <c r="AO730" s="558">
        <v>809000</v>
      </c>
      <c r="AP730" s="558">
        <v>110.98921</v>
      </c>
      <c r="AQ730" s="558">
        <v>8021.7451527500007</v>
      </c>
      <c r="AR730" s="558">
        <v>1.7279</v>
      </c>
    </row>
    <row r="731" spans="39:44">
      <c r="AM731" s="557">
        <f t="shared" ca="1" si="64"/>
        <v>45227</v>
      </c>
      <c r="AN731" s="558">
        <v>72.08</v>
      </c>
      <c r="AO731" s="558">
        <v>1221500</v>
      </c>
      <c r="AP731" s="558">
        <v>110.98921</v>
      </c>
      <c r="AQ731" s="558">
        <v>8000.1022567999999</v>
      </c>
      <c r="AR731" s="558">
        <v>1.722</v>
      </c>
    </row>
    <row r="732" spans="39:44">
      <c r="AM732" s="557">
        <f t="shared" ca="1" si="64"/>
        <v>45226</v>
      </c>
      <c r="AN732" s="558">
        <v>70.385000000000005</v>
      </c>
      <c r="AO732" s="558">
        <v>643700</v>
      </c>
      <c r="AP732" s="558">
        <v>110.98921</v>
      </c>
      <c r="AQ732" s="558">
        <v>7811.9755458500003</v>
      </c>
      <c r="AR732" s="558">
        <v>1.6825000000000001</v>
      </c>
    </row>
    <row r="733" spans="39:44">
      <c r="AM733" s="557">
        <f t="shared" ca="1" si="64"/>
        <v>45225</v>
      </c>
      <c r="AN733" s="558">
        <v>68.760000000000005</v>
      </c>
      <c r="AO733" s="558">
        <v>771900</v>
      </c>
      <c r="AP733" s="558">
        <v>110.98921</v>
      </c>
      <c r="AQ733" s="558">
        <v>7631.6180796000008</v>
      </c>
      <c r="AR733" s="558">
        <v>1.6435</v>
      </c>
    </row>
    <row r="734" spans="39:44">
      <c r="AM734" s="557">
        <f t="shared" ca="1" si="64"/>
        <v>45224</v>
      </c>
      <c r="AN734" s="558">
        <v>67.58</v>
      </c>
      <c r="AO734" s="558">
        <v>1277800</v>
      </c>
      <c r="AP734" s="558">
        <v>110.98921</v>
      </c>
      <c r="AQ734" s="558">
        <v>7500.6508118000002</v>
      </c>
      <c r="AR734" s="558">
        <v>1.6143000000000001</v>
      </c>
    </row>
    <row r="735" spans="39:44">
      <c r="AM735" s="557">
        <f t="shared" ca="1" si="64"/>
        <v>45223</v>
      </c>
      <c r="AN735" s="558">
        <v>67.58</v>
      </c>
      <c r="AO735" s="558">
        <v>1277800</v>
      </c>
      <c r="AP735" s="558">
        <v>110.98921</v>
      </c>
      <c r="AQ735" s="558">
        <v>7500.6508118000002</v>
      </c>
      <c r="AR735" s="558">
        <v>1.6143000000000001</v>
      </c>
    </row>
    <row r="736" spans="39:44">
      <c r="AM736" s="557">
        <f t="shared" ca="1" si="64"/>
        <v>45222</v>
      </c>
      <c r="AN736" s="558">
        <v>67.58</v>
      </c>
      <c r="AO736" s="558">
        <v>1277800</v>
      </c>
      <c r="AP736" s="558">
        <v>110.98921</v>
      </c>
      <c r="AQ736" s="558">
        <v>7500.6508118000002</v>
      </c>
      <c r="AR736" s="558">
        <v>1.6143000000000001</v>
      </c>
    </row>
    <row r="737" spans="39:44">
      <c r="AM737" s="557">
        <f t="shared" ca="1" si="64"/>
        <v>45221</v>
      </c>
      <c r="AN737" s="558">
        <v>68.935000000000002</v>
      </c>
      <c r="AO737" s="558">
        <v>1898800</v>
      </c>
      <c r="AP737" s="558">
        <v>110.98921</v>
      </c>
      <c r="AQ737" s="558">
        <v>7651.0411913500002</v>
      </c>
      <c r="AR737" s="558">
        <v>1.6471</v>
      </c>
    </row>
    <row r="738" spans="39:44">
      <c r="AM738" s="557">
        <f t="shared" ca="1" si="64"/>
        <v>45220</v>
      </c>
      <c r="AN738" s="558">
        <v>68.935000000000002</v>
      </c>
      <c r="AO738" s="558">
        <v>1898800</v>
      </c>
      <c r="AP738" s="558">
        <v>110.98921</v>
      </c>
      <c r="AQ738" s="558">
        <v>7651.0411913500002</v>
      </c>
      <c r="AR738" s="558">
        <v>1.6471</v>
      </c>
    </row>
    <row r="739" spans="39:44">
      <c r="AM739" s="557">
        <f t="shared" ca="1" si="64"/>
        <v>45219</v>
      </c>
      <c r="AN739" s="558">
        <v>71.91</v>
      </c>
      <c r="AO739" s="558">
        <v>954000</v>
      </c>
      <c r="AP739" s="558">
        <v>110.98921</v>
      </c>
      <c r="AQ739" s="558">
        <v>7981.2340910999992</v>
      </c>
      <c r="AR739" s="558">
        <v>1.7179</v>
      </c>
    </row>
    <row r="740" spans="39:44">
      <c r="AM740" s="557">
        <f t="shared" ca="1" si="64"/>
        <v>45218</v>
      </c>
      <c r="AN740" s="558">
        <v>73.605000000000004</v>
      </c>
      <c r="AO740" s="558">
        <v>734500</v>
      </c>
      <c r="AP740" s="558">
        <v>110.98921</v>
      </c>
      <c r="AQ740" s="558">
        <v>8169.3608020500005</v>
      </c>
      <c r="AR740" s="558">
        <v>1.7583</v>
      </c>
    </row>
    <row r="741" spans="39:44">
      <c r="AM741" s="557">
        <f t="shared" ca="1" si="64"/>
        <v>45217</v>
      </c>
      <c r="AN741" s="558">
        <v>73.58</v>
      </c>
      <c r="AO741" s="558">
        <v>1806100</v>
      </c>
      <c r="AP741" s="558">
        <v>110.98921</v>
      </c>
      <c r="AQ741" s="558">
        <v>8166.5860717999994</v>
      </c>
      <c r="AR741" s="558">
        <v>1.7624</v>
      </c>
    </row>
    <row r="742" spans="39:44">
      <c r="AM742" s="557">
        <f t="shared" ca="1" si="64"/>
        <v>45216</v>
      </c>
      <c r="AN742" s="558">
        <v>73.58</v>
      </c>
      <c r="AO742" s="558">
        <v>1806100</v>
      </c>
      <c r="AP742" s="558">
        <v>110.98921</v>
      </c>
      <c r="AQ742" s="558">
        <v>8166.5860717999994</v>
      </c>
      <c r="AR742" s="558">
        <v>1.7624</v>
      </c>
    </row>
    <row r="743" spans="39:44">
      <c r="AM743" s="557">
        <f t="shared" ca="1" si="64"/>
        <v>45215</v>
      </c>
      <c r="AN743" s="558">
        <v>73.58</v>
      </c>
      <c r="AO743" s="558">
        <v>1806100</v>
      </c>
      <c r="AP743" s="558">
        <v>110.98921</v>
      </c>
      <c r="AQ743" s="558">
        <v>8166.5860717999994</v>
      </c>
      <c r="AR743" s="558">
        <v>1.7624</v>
      </c>
    </row>
    <row r="744" spans="39:44">
      <c r="AM744" s="557">
        <f t="shared" ca="1" si="64"/>
        <v>45214</v>
      </c>
      <c r="AN744" s="558">
        <v>70.685000000000002</v>
      </c>
      <c r="AO744" s="558">
        <v>2298000</v>
      </c>
      <c r="AP744" s="558">
        <v>110.98921</v>
      </c>
      <c r="AQ744" s="558">
        <v>7845.2723088500006</v>
      </c>
      <c r="AR744" s="558">
        <v>1.6901999999999999</v>
      </c>
    </row>
    <row r="745" spans="39:44">
      <c r="AM745" s="557">
        <f t="shared" ca="1" si="64"/>
        <v>45213</v>
      </c>
      <c r="AN745" s="558">
        <v>74.004999999999995</v>
      </c>
      <c r="AO745" s="558">
        <v>1402900</v>
      </c>
      <c r="AP745" s="558">
        <v>110.98921</v>
      </c>
      <c r="AQ745" s="558">
        <v>8213.7564860499988</v>
      </c>
      <c r="AR745" s="558">
        <v>1.7698</v>
      </c>
    </row>
    <row r="746" spans="39:44">
      <c r="AM746" s="557">
        <f t="shared" ca="1" si="64"/>
        <v>45212</v>
      </c>
      <c r="AN746" s="558">
        <v>73.704999999999998</v>
      </c>
      <c r="AO746" s="558">
        <v>1445200</v>
      </c>
      <c r="AP746" s="558">
        <v>110.98921</v>
      </c>
      <c r="AQ746" s="558">
        <v>8180.4597230499994</v>
      </c>
      <c r="AR746" s="558">
        <v>1.7589999999999999</v>
      </c>
    </row>
    <row r="747" spans="39:44">
      <c r="AM747" s="557">
        <f t="shared" ca="1" si="64"/>
        <v>45211</v>
      </c>
      <c r="AN747" s="558">
        <v>75.415000000000006</v>
      </c>
      <c r="AO747" s="558">
        <v>1760700</v>
      </c>
      <c r="AP747" s="558">
        <v>110.98921</v>
      </c>
      <c r="AQ747" s="558">
        <v>8370.2512721500007</v>
      </c>
      <c r="AR747" s="558">
        <v>1.8010999999999999</v>
      </c>
    </row>
    <row r="748" spans="39:44">
      <c r="AM748" s="557">
        <f t="shared" ca="1" si="64"/>
        <v>45210</v>
      </c>
      <c r="AN748" s="558">
        <v>76.459999999999994</v>
      </c>
      <c r="AO748" s="558">
        <v>1233100</v>
      </c>
      <c r="AP748" s="558">
        <v>110.98921</v>
      </c>
      <c r="AQ748" s="558">
        <v>8486.2349966000002</v>
      </c>
      <c r="AR748" s="558">
        <v>1.8281000000000001</v>
      </c>
    </row>
    <row r="749" spans="39:44">
      <c r="AM749" s="557">
        <f t="shared" ca="1" si="64"/>
        <v>45209</v>
      </c>
      <c r="AN749" s="558">
        <v>76.459999999999994</v>
      </c>
      <c r="AO749" s="558">
        <v>1233100</v>
      </c>
      <c r="AP749" s="558">
        <v>110.98921</v>
      </c>
      <c r="AQ749" s="558">
        <v>8486.2349966000002</v>
      </c>
      <c r="AR749" s="558">
        <v>1.8281000000000001</v>
      </c>
    </row>
    <row r="750" spans="39:44">
      <c r="AM750" s="557">
        <f t="shared" ca="1" si="64"/>
        <v>45208</v>
      </c>
      <c r="AN750" s="558">
        <v>76.459999999999994</v>
      </c>
      <c r="AO750" s="558">
        <v>1233100</v>
      </c>
      <c r="AP750" s="558">
        <v>110.98921</v>
      </c>
      <c r="AQ750" s="558">
        <v>8486.2349966000002</v>
      </c>
      <c r="AR750" s="558">
        <v>1.8281000000000001</v>
      </c>
    </row>
    <row r="751" spans="39:44">
      <c r="AM751" s="557">
        <f t="shared" ca="1" si="64"/>
        <v>45207</v>
      </c>
      <c r="AN751" s="558">
        <v>79.900000000000006</v>
      </c>
      <c r="AO751" s="558">
        <v>1229100</v>
      </c>
      <c r="AP751" s="558">
        <v>110.98921</v>
      </c>
      <c r="AQ751" s="558">
        <v>8868.0378790000013</v>
      </c>
      <c r="AR751" s="558">
        <v>1.9111</v>
      </c>
    </row>
    <row r="752" spans="39:44">
      <c r="AM752" s="557">
        <f t="shared" ca="1" si="64"/>
        <v>45206</v>
      </c>
      <c r="AN752" s="558">
        <v>82.75</v>
      </c>
      <c r="AO752" s="558">
        <v>1281600</v>
      </c>
      <c r="AP752" s="558">
        <v>110.98921</v>
      </c>
      <c r="AQ752" s="558">
        <v>9184.3571274999995</v>
      </c>
      <c r="AR752" s="558">
        <v>1.9817</v>
      </c>
    </row>
    <row r="753" spans="39:44">
      <c r="AM753" s="557">
        <f t="shared" ca="1" si="64"/>
        <v>45205</v>
      </c>
      <c r="AN753" s="558">
        <v>80.834999999999994</v>
      </c>
      <c r="AO753" s="558">
        <v>1526600</v>
      </c>
      <c r="AP753" s="558">
        <v>110.98921</v>
      </c>
      <c r="AQ753" s="558">
        <v>8971.812790349999</v>
      </c>
      <c r="AR753" s="558">
        <v>1.9418</v>
      </c>
    </row>
    <row r="754" spans="39:44">
      <c r="AM754" s="557">
        <f t="shared" ca="1" si="64"/>
        <v>45204</v>
      </c>
      <c r="AN754" s="558">
        <v>76.575000000000003</v>
      </c>
      <c r="AO754" s="558">
        <v>2019500</v>
      </c>
      <c r="AP754" s="558">
        <v>110.98921</v>
      </c>
      <c r="AQ754" s="558">
        <v>8498.9987557500008</v>
      </c>
      <c r="AR754" s="558">
        <v>1.8303</v>
      </c>
    </row>
    <row r="755" spans="39:44">
      <c r="AM755" s="557">
        <f t="shared" ca="1" si="64"/>
        <v>45203</v>
      </c>
      <c r="AN755" s="558">
        <v>80.3</v>
      </c>
      <c r="AO755" s="558">
        <v>1094300</v>
      </c>
      <c r="AP755" s="558">
        <v>110.98921</v>
      </c>
      <c r="AQ755" s="558">
        <v>8912.4335630000005</v>
      </c>
      <c r="AR755" s="558">
        <v>1.8919999999999999</v>
      </c>
    </row>
    <row r="756" spans="39:44">
      <c r="AM756" s="557">
        <f t="shared" ca="1" si="64"/>
        <v>45202</v>
      </c>
      <c r="AN756" s="558">
        <v>80.3</v>
      </c>
      <c r="AO756" s="558">
        <v>1094300</v>
      </c>
      <c r="AP756" s="558">
        <v>110.98921</v>
      </c>
      <c r="AQ756" s="558">
        <v>8912.4335630000005</v>
      </c>
      <c r="AR756" s="558">
        <v>1.8919999999999999</v>
      </c>
    </row>
    <row r="757" spans="39:44">
      <c r="AM757" s="557">
        <f t="shared" ca="1" si="64"/>
        <v>45201</v>
      </c>
      <c r="AN757" s="558">
        <v>80.3</v>
      </c>
      <c r="AO757" s="558">
        <v>1094300</v>
      </c>
      <c r="AP757" s="558">
        <v>110.98921</v>
      </c>
      <c r="AQ757" s="558">
        <v>8912.4335630000005</v>
      </c>
      <c r="AR757" s="558">
        <v>1.8919999999999999</v>
      </c>
    </row>
    <row r="758" spans="39:44">
      <c r="AM758" s="557">
        <f t="shared" ca="1" si="64"/>
        <v>45200</v>
      </c>
      <c r="AN758" s="558">
        <v>80.3</v>
      </c>
      <c r="AO758" s="558">
        <v>1981700</v>
      </c>
      <c r="AP758" s="558">
        <v>110.98921</v>
      </c>
      <c r="AQ758" s="558">
        <v>8912.4335630000005</v>
      </c>
      <c r="AR758" s="558">
        <v>1.9197</v>
      </c>
    </row>
    <row r="759" spans="39:44">
      <c r="AM759" s="557">
        <f t="shared" ca="1" si="64"/>
        <v>45199</v>
      </c>
      <c r="AN759" s="558">
        <v>81.040000000000006</v>
      </c>
      <c r="AO759" s="558">
        <v>1111500</v>
      </c>
      <c r="AP759" s="558">
        <v>110.98921</v>
      </c>
      <c r="AQ759" s="558">
        <v>8994.565578400001</v>
      </c>
      <c r="AR759" s="558">
        <v>1.9415</v>
      </c>
    </row>
    <row r="760" spans="39:44">
      <c r="AM760" s="557">
        <f t="shared" ca="1" si="64"/>
        <v>45198</v>
      </c>
      <c r="AN760" s="558">
        <v>80.995000000000005</v>
      </c>
      <c r="AO760" s="558">
        <v>1587000</v>
      </c>
      <c r="AP760" s="558">
        <v>110.98921</v>
      </c>
      <c r="AQ760" s="558">
        <v>8989.5710639500012</v>
      </c>
      <c r="AR760" s="558">
        <v>1.9443999999999999</v>
      </c>
    </row>
    <row r="761" spans="39:44">
      <c r="AM761" s="557">
        <f t="shared" ca="1" si="64"/>
        <v>45197</v>
      </c>
      <c r="AN761" s="558">
        <v>78.36</v>
      </c>
      <c r="AO761" s="558">
        <v>1832400</v>
      </c>
      <c r="AP761" s="558">
        <v>110.98921</v>
      </c>
      <c r="AQ761" s="558">
        <v>8697.1144956000007</v>
      </c>
      <c r="AR761" s="558">
        <v>1.8734</v>
      </c>
    </row>
    <row r="762" spans="39:44">
      <c r="AM762" s="557">
        <f t="shared" ca="1" si="64"/>
        <v>45196</v>
      </c>
      <c r="AN762" s="558">
        <v>79.495000000000005</v>
      </c>
      <c r="AO762" s="558">
        <v>3655500</v>
      </c>
      <c r="AP762" s="558">
        <v>110.98921</v>
      </c>
      <c r="AQ762" s="558">
        <v>8823.0872489499998</v>
      </c>
      <c r="AR762" s="558">
        <v>1.9011</v>
      </c>
    </row>
    <row r="763" spans="39:44">
      <c r="AM763" s="557">
        <f t="shared" ca="1" si="64"/>
        <v>45195</v>
      </c>
      <c r="AN763" s="558">
        <v>79.495000000000005</v>
      </c>
      <c r="AO763" s="558">
        <v>3655500</v>
      </c>
      <c r="AP763" s="558">
        <v>110.98921</v>
      </c>
      <c r="AQ763" s="558">
        <v>8823.0872489499998</v>
      </c>
      <c r="AR763" s="558">
        <v>1.9011</v>
      </c>
    </row>
    <row r="764" spans="39:44">
      <c r="AM764" s="557">
        <f t="shared" ca="1" si="64"/>
        <v>45194</v>
      </c>
      <c r="AN764" s="558">
        <v>79.495000000000005</v>
      </c>
      <c r="AO764" s="558">
        <v>3655500</v>
      </c>
      <c r="AP764" s="558">
        <v>110.98921</v>
      </c>
      <c r="AQ764" s="558">
        <v>8823.0872489499998</v>
      </c>
      <c r="AR764" s="558">
        <v>1.9011</v>
      </c>
    </row>
    <row r="765" spans="39:44">
      <c r="AM765" s="557">
        <f t="shared" ca="1" si="64"/>
        <v>45193</v>
      </c>
      <c r="AN765" s="558">
        <v>81.165000000000006</v>
      </c>
      <c r="AO765" s="558">
        <v>2785600</v>
      </c>
      <c r="AP765" s="558">
        <v>110.98921</v>
      </c>
      <c r="AQ765" s="558">
        <v>9008.4392296500009</v>
      </c>
      <c r="AR765" s="558">
        <v>1.9408000000000001</v>
      </c>
    </row>
    <row r="766" spans="39:44">
      <c r="AM766" s="557">
        <f t="shared" ca="1" si="64"/>
        <v>45192</v>
      </c>
      <c r="AN766" s="558">
        <v>82.85</v>
      </c>
      <c r="AO766" s="558">
        <v>1179600</v>
      </c>
      <c r="AP766" s="558">
        <v>110.98921</v>
      </c>
      <c r="AQ766" s="558">
        <v>9195.4560485000002</v>
      </c>
      <c r="AR766" s="558">
        <v>1.9806999999999999</v>
      </c>
    </row>
    <row r="767" spans="39:44">
      <c r="AM767" s="557">
        <f t="shared" ca="1" si="64"/>
        <v>45191</v>
      </c>
      <c r="AN767" s="558">
        <v>82.375</v>
      </c>
      <c r="AO767" s="558">
        <v>1046100</v>
      </c>
      <c r="AP767" s="558">
        <v>110.98921</v>
      </c>
      <c r="AQ767" s="558">
        <v>9142.7361737499996</v>
      </c>
      <c r="AR767" s="558">
        <v>1.9695</v>
      </c>
    </row>
    <row r="768" spans="39:44">
      <c r="AM768" s="557">
        <f t="shared" ca="1" si="64"/>
        <v>45190</v>
      </c>
      <c r="AN768" s="558">
        <v>82.855000000000004</v>
      </c>
      <c r="AO768" s="558">
        <v>992200</v>
      </c>
      <c r="AP768" s="558">
        <v>110.98921</v>
      </c>
      <c r="AQ768" s="558">
        <v>9196.0109945500008</v>
      </c>
      <c r="AR768" s="558">
        <v>1.9825999999999999</v>
      </c>
    </row>
    <row r="769" spans="39:44">
      <c r="AM769" s="557">
        <f t="shared" ca="1" si="64"/>
        <v>45189</v>
      </c>
      <c r="AN769" s="558">
        <v>82.515000000000001</v>
      </c>
      <c r="AO769" s="558">
        <v>1606600</v>
      </c>
      <c r="AP769" s="558">
        <v>110.98921</v>
      </c>
      <c r="AQ769" s="558">
        <v>9158.2746631499995</v>
      </c>
      <c r="AR769" s="558">
        <v>1.9771000000000001</v>
      </c>
    </row>
    <row r="770" spans="39:44">
      <c r="AM770" s="557">
        <f t="shared" ca="1" si="64"/>
        <v>45188</v>
      </c>
      <c r="AN770" s="558">
        <v>82.515000000000001</v>
      </c>
      <c r="AO770" s="558">
        <v>1606600</v>
      </c>
      <c r="AP770" s="558">
        <v>110.98921</v>
      </c>
      <c r="AQ770" s="558">
        <v>9158.2746631499995</v>
      </c>
      <c r="AR770" s="558">
        <v>1.9771000000000001</v>
      </c>
    </row>
    <row r="771" spans="39:44">
      <c r="AM771" s="557">
        <f t="shared" ca="1" si="64"/>
        <v>45187</v>
      </c>
      <c r="AN771" s="558">
        <v>82.515000000000001</v>
      </c>
      <c r="AO771" s="558">
        <v>1606600</v>
      </c>
      <c r="AP771" s="558">
        <v>110.98921</v>
      </c>
      <c r="AQ771" s="558">
        <v>9158.2746631499995</v>
      </c>
      <c r="AR771" s="558">
        <v>1.9771000000000001</v>
      </c>
    </row>
    <row r="772" spans="39:44">
      <c r="AM772" s="557">
        <f t="shared" ca="1" si="64"/>
        <v>45186</v>
      </c>
      <c r="AN772" s="558">
        <v>81.180000000000007</v>
      </c>
      <c r="AO772" s="558">
        <v>1785200</v>
      </c>
      <c r="AP772" s="558">
        <v>110.98921</v>
      </c>
      <c r="AQ772" s="558">
        <v>9010.1040678000008</v>
      </c>
      <c r="AR772" s="558">
        <v>1.9415</v>
      </c>
    </row>
    <row r="773" spans="39:44">
      <c r="AM773" s="557">
        <f t="shared" ref="AM773:AM836" ca="1" si="65">AM772-1</f>
        <v>45185</v>
      </c>
      <c r="AN773" s="558">
        <v>80.594999999999999</v>
      </c>
      <c r="AO773" s="558">
        <v>1087300</v>
      </c>
      <c r="AP773" s="558">
        <v>110.98921</v>
      </c>
      <c r="AQ773" s="558">
        <v>8945.1753799500002</v>
      </c>
      <c r="AR773" s="558">
        <v>1.9298</v>
      </c>
    </row>
    <row r="774" spans="39:44">
      <c r="AM774" s="557">
        <f t="shared" ca="1" si="65"/>
        <v>45184</v>
      </c>
      <c r="AN774" s="558">
        <v>79.709999999999994</v>
      </c>
      <c r="AO774" s="558">
        <v>2125900</v>
      </c>
      <c r="AP774" s="558">
        <v>110.98921</v>
      </c>
      <c r="AQ774" s="558">
        <v>8846.9499290999993</v>
      </c>
      <c r="AR774" s="558">
        <v>1.9060999999999999</v>
      </c>
    </row>
    <row r="775" spans="39:44">
      <c r="AM775" s="557">
        <f t="shared" ca="1" si="65"/>
        <v>45183</v>
      </c>
      <c r="AN775" s="558">
        <v>82.534999999999997</v>
      </c>
      <c r="AO775" s="558">
        <v>1176800</v>
      </c>
      <c r="AP775" s="558">
        <v>110.98921</v>
      </c>
      <c r="AQ775" s="558">
        <v>9160.49444735</v>
      </c>
      <c r="AR775" s="558">
        <v>1.9706999999999999</v>
      </c>
    </row>
    <row r="776" spans="39:44">
      <c r="AM776" s="557">
        <f t="shared" ca="1" si="65"/>
        <v>45182</v>
      </c>
      <c r="AN776" s="558">
        <v>82.215000000000003</v>
      </c>
      <c r="AO776" s="558">
        <v>986300</v>
      </c>
      <c r="AP776" s="558">
        <v>110.98921</v>
      </c>
      <c r="AQ776" s="558">
        <v>9124.977900150001</v>
      </c>
      <c r="AR776" s="558">
        <v>1.9657</v>
      </c>
    </row>
    <row r="777" spans="39:44">
      <c r="AM777" s="557">
        <f t="shared" ca="1" si="65"/>
        <v>45181</v>
      </c>
      <c r="AN777" s="558">
        <v>82.215000000000003</v>
      </c>
      <c r="AO777" s="558">
        <v>986300</v>
      </c>
      <c r="AP777" s="558">
        <v>110.98921</v>
      </c>
      <c r="AQ777" s="558">
        <v>9124.977900150001</v>
      </c>
      <c r="AR777" s="558">
        <v>1.9657</v>
      </c>
    </row>
    <row r="778" spans="39:44">
      <c r="AM778" s="557">
        <f t="shared" ca="1" si="65"/>
        <v>45180</v>
      </c>
      <c r="AN778" s="558">
        <v>82.215000000000003</v>
      </c>
      <c r="AO778" s="558">
        <v>986300</v>
      </c>
      <c r="AP778" s="558">
        <v>110.98921</v>
      </c>
      <c r="AQ778" s="558">
        <v>9124.977900150001</v>
      </c>
      <c r="AR778" s="558">
        <v>1.9657</v>
      </c>
    </row>
    <row r="779" spans="39:44">
      <c r="AM779" s="557">
        <f t="shared" ca="1" si="65"/>
        <v>45179</v>
      </c>
      <c r="AN779" s="558">
        <v>82.825000000000003</v>
      </c>
      <c r="AO779" s="558">
        <v>2104500</v>
      </c>
      <c r="AP779" s="558">
        <v>110.98921</v>
      </c>
      <c r="AQ779" s="558">
        <v>9192.6813182500009</v>
      </c>
      <c r="AR779" s="558">
        <v>1.9810000000000001</v>
      </c>
    </row>
    <row r="780" spans="39:44">
      <c r="AM780" s="557">
        <f t="shared" ca="1" si="65"/>
        <v>45178</v>
      </c>
      <c r="AN780" s="558">
        <v>83.17</v>
      </c>
      <c r="AO780" s="558">
        <v>1287000</v>
      </c>
      <c r="AP780" s="558">
        <v>110.98921</v>
      </c>
      <c r="AQ780" s="558">
        <v>9230.972595700001</v>
      </c>
      <c r="AR780" s="558">
        <v>1.9888999999999999</v>
      </c>
    </row>
    <row r="781" spans="39:44">
      <c r="AM781" s="557">
        <f t="shared" ca="1" si="65"/>
        <v>45177</v>
      </c>
      <c r="AN781" s="558">
        <v>82.995000000000005</v>
      </c>
      <c r="AO781" s="558">
        <v>1321000</v>
      </c>
      <c r="AP781" s="558">
        <v>110.98921</v>
      </c>
      <c r="AQ781" s="558">
        <v>9211.5494839500006</v>
      </c>
      <c r="AR781" s="558">
        <v>1.9850000000000001</v>
      </c>
    </row>
    <row r="782" spans="39:44">
      <c r="AM782" s="557">
        <f t="shared" ca="1" si="65"/>
        <v>45176</v>
      </c>
      <c r="AN782" s="558">
        <v>81.844999999999999</v>
      </c>
      <c r="AO782" s="558">
        <v>493900</v>
      </c>
      <c r="AP782" s="558">
        <v>110.98921</v>
      </c>
      <c r="AQ782" s="558">
        <v>9083.9118924499999</v>
      </c>
      <c r="AR782" s="558">
        <v>1.9605999999999999</v>
      </c>
    </row>
    <row r="783" spans="39:44">
      <c r="AM783" s="557">
        <f t="shared" ca="1" si="65"/>
        <v>45175</v>
      </c>
      <c r="AN783" s="558">
        <v>82.4</v>
      </c>
      <c r="AO783" s="558">
        <v>1203100</v>
      </c>
      <c r="AP783" s="558">
        <v>110.98921</v>
      </c>
      <c r="AQ783" s="558">
        <v>9145.5109040000007</v>
      </c>
      <c r="AR783" s="558">
        <v>1.9605999999999999</v>
      </c>
    </row>
    <row r="784" spans="39:44">
      <c r="AM784" s="557">
        <f t="shared" ca="1" si="65"/>
        <v>45174</v>
      </c>
      <c r="AN784" s="558">
        <v>82.4</v>
      </c>
      <c r="AO784" s="558">
        <v>1203100</v>
      </c>
      <c r="AP784" s="558">
        <v>110.98921</v>
      </c>
      <c r="AQ784" s="558">
        <v>9145.5109040000007</v>
      </c>
      <c r="AR784" s="558">
        <v>1.9605999999999999</v>
      </c>
    </row>
    <row r="785" spans="39:44">
      <c r="AM785" s="557">
        <f t="shared" ca="1" si="65"/>
        <v>45173</v>
      </c>
      <c r="AN785" s="558">
        <v>82.4</v>
      </c>
      <c r="AO785" s="558">
        <v>1203100</v>
      </c>
      <c r="AP785" s="558">
        <v>110.98921</v>
      </c>
      <c r="AQ785" s="558">
        <v>9145.5109040000007</v>
      </c>
      <c r="AR785" s="558">
        <v>1.9605999999999999</v>
      </c>
    </row>
    <row r="786" spans="39:44">
      <c r="AM786" s="557">
        <f t="shared" ca="1" si="65"/>
        <v>45172</v>
      </c>
      <c r="AN786" s="558">
        <v>80.015000000000001</v>
      </c>
      <c r="AO786" s="558">
        <v>958200</v>
      </c>
      <c r="AP786" s="558">
        <v>110.98921</v>
      </c>
      <c r="AQ786" s="558">
        <v>8880.8016381500001</v>
      </c>
      <c r="AR786" s="558">
        <v>1.9128000000000001</v>
      </c>
    </row>
    <row r="787" spans="39:44">
      <c r="AM787" s="557">
        <f t="shared" ca="1" si="65"/>
        <v>45171</v>
      </c>
      <c r="AN787" s="558">
        <v>79.185000000000002</v>
      </c>
      <c r="AO787" s="558">
        <v>1715200</v>
      </c>
      <c r="AP787" s="558">
        <v>110.98921</v>
      </c>
      <c r="AQ787" s="558">
        <v>8788.6805938500002</v>
      </c>
      <c r="AR787" s="558">
        <v>1.8927</v>
      </c>
    </row>
    <row r="788" spans="39:44">
      <c r="AM788" s="557">
        <f t="shared" ca="1" si="65"/>
        <v>45170</v>
      </c>
      <c r="AN788" s="558">
        <v>78.915000000000006</v>
      </c>
      <c r="AO788" s="558">
        <v>712100</v>
      </c>
      <c r="AP788" s="558">
        <v>110.98921</v>
      </c>
      <c r="AQ788" s="558">
        <v>8758.7135071500015</v>
      </c>
      <c r="AR788" s="558">
        <v>1.8895999999999999</v>
      </c>
    </row>
    <row r="789" spans="39:44">
      <c r="AM789" s="557">
        <f t="shared" ca="1" si="65"/>
        <v>45169</v>
      </c>
      <c r="AN789" s="558">
        <v>78.094999999999999</v>
      </c>
      <c r="AO789" s="558">
        <v>975800</v>
      </c>
      <c r="AP789" s="558">
        <v>110.98921</v>
      </c>
      <c r="AQ789" s="558">
        <v>8667.7023549499991</v>
      </c>
      <c r="AR789" s="558">
        <v>1.8714</v>
      </c>
    </row>
    <row r="790" spans="39:44">
      <c r="AM790" s="557">
        <f t="shared" ca="1" si="65"/>
        <v>45168</v>
      </c>
      <c r="AN790" s="558">
        <v>77.885000000000005</v>
      </c>
      <c r="AO790" s="558">
        <v>1786700</v>
      </c>
      <c r="AP790" s="558">
        <v>110.98921</v>
      </c>
      <c r="AQ790" s="558">
        <v>8644.3946208500001</v>
      </c>
      <c r="AR790" s="558">
        <v>1.8626</v>
      </c>
    </row>
    <row r="791" spans="39:44">
      <c r="AM791" s="557">
        <f t="shared" ca="1" si="65"/>
        <v>45167</v>
      </c>
      <c r="AN791" s="558">
        <v>77.885000000000005</v>
      </c>
      <c r="AO791" s="558">
        <v>1786700</v>
      </c>
      <c r="AP791" s="558">
        <v>110.98921</v>
      </c>
      <c r="AQ791" s="558">
        <v>8644.3946208500001</v>
      </c>
      <c r="AR791" s="558">
        <v>1.8626</v>
      </c>
    </row>
    <row r="792" spans="39:44">
      <c r="AM792" s="557">
        <f t="shared" ca="1" si="65"/>
        <v>45166</v>
      </c>
      <c r="AN792" s="558">
        <v>77.885000000000005</v>
      </c>
      <c r="AO792" s="558">
        <v>1786700</v>
      </c>
      <c r="AP792" s="558">
        <v>110.98921</v>
      </c>
      <c r="AQ792" s="558">
        <v>8644.3946208500001</v>
      </c>
      <c r="AR792" s="558">
        <v>1.8626</v>
      </c>
    </row>
    <row r="793" spans="39:44">
      <c r="AM793" s="557">
        <f t="shared" ca="1" si="65"/>
        <v>45165</v>
      </c>
      <c r="AN793" s="558">
        <v>80.204999999999998</v>
      </c>
      <c r="AO793" s="558">
        <v>1933400</v>
      </c>
      <c r="AP793" s="558">
        <v>110.98921</v>
      </c>
      <c r="AQ793" s="558">
        <v>8901.8895880500004</v>
      </c>
      <c r="AR793" s="558">
        <v>1.9193</v>
      </c>
    </row>
    <row r="794" spans="39:44">
      <c r="AM794" s="557">
        <f t="shared" ca="1" si="65"/>
        <v>45164</v>
      </c>
      <c r="AN794" s="558">
        <v>81.16</v>
      </c>
      <c r="AO794" s="558">
        <v>1747000</v>
      </c>
      <c r="AP794" s="558">
        <v>110.18608</v>
      </c>
      <c r="AQ794" s="558">
        <v>8942.7022527999998</v>
      </c>
      <c r="AR794" s="558">
        <v>1.9419999999999999</v>
      </c>
    </row>
    <row r="795" spans="39:44">
      <c r="AM795" s="557">
        <f t="shared" ca="1" si="65"/>
        <v>45163</v>
      </c>
      <c r="AN795" s="558">
        <v>80.739999999999995</v>
      </c>
      <c r="AO795" s="558">
        <v>1010000</v>
      </c>
      <c r="AP795" s="558">
        <v>110.18608</v>
      </c>
      <c r="AQ795" s="558">
        <v>8896.4240991999995</v>
      </c>
      <c r="AR795" s="558">
        <v>1.9312</v>
      </c>
    </row>
    <row r="796" spans="39:44">
      <c r="AM796" s="557">
        <f t="shared" ca="1" si="65"/>
        <v>45162</v>
      </c>
      <c r="AN796" s="558">
        <v>81.825000000000003</v>
      </c>
      <c r="AO796" s="558">
        <v>1121900</v>
      </c>
      <c r="AP796" s="558">
        <v>110.18608</v>
      </c>
      <c r="AQ796" s="558">
        <v>9015.975996000001</v>
      </c>
      <c r="AR796" s="558">
        <v>1.9575</v>
      </c>
    </row>
    <row r="797" spans="39:44">
      <c r="AM797" s="557">
        <f t="shared" ca="1" si="65"/>
        <v>45161</v>
      </c>
      <c r="AN797" s="558">
        <v>83.63</v>
      </c>
      <c r="AO797" s="558">
        <v>1057000</v>
      </c>
      <c r="AP797" s="558">
        <v>110.18608</v>
      </c>
      <c r="AQ797" s="558">
        <v>9214.8618704</v>
      </c>
      <c r="AR797" s="558">
        <v>1.9982</v>
      </c>
    </row>
    <row r="798" spans="39:44">
      <c r="AM798" s="557">
        <f t="shared" ca="1" si="65"/>
        <v>45160</v>
      </c>
      <c r="AN798" s="558">
        <v>83.63</v>
      </c>
      <c r="AO798" s="558">
        <v>1057000</v>
      </c>
      <c r="AP798" s="558">
        <v>110.18608</v>
      </c>
      <c r="AQ798" s="558">
        <v>9214.8618704</v>
      </c>
      <c r="AR798" s="558">
        <v>1.9982</v>
      </c>
    </row>
    <row r="799" spans="39:44">
      <c r="AM799" s="557">
        <f t="shared" ca="1" si="65"/>
        <v>45159</v>
      </c>
      <c r="AN799" s="558">
        <v>83.63</v>
      </c>
      <c r="AO799" s="558">
        <v>1057000</v>
      </c>
      <c r="AP799" s="558">
        <v>110.18608</v>
      </c>
      <c r="AQ799" s="558">
        <v>9214.8618704</v>
      </c>
      <c r="AR799" s="558">
        <v>1.9982</v>
      </c>
    </row>
    <row r="800" spans="39:44">
      <c r="AM800" s="557">
        <f t="shared" ca="1" si="65"/>
        <v>45158</v>
      </c>
      <c r="AN800" s="558">
        <v>83.69</v>
      </c>
      <c r="AO800" s="558">
        <v>1436600</v>
      </c>
      <c r="AP800" s="558">
        <v>110.18608</v>
      </c>
      <c r="AQ800" s="558">
        <v>9221.4730352000006</v>
      </c>
      <c r="AR800" s="558">
        <v>2.0005999999999999</v>
      </c>
    </row>
    <row r="801" spans="39:44">
      <c r="AM801" s="557">
        <f t="shared" ca="1" si="65"/>
        <v>45157</v>
      </c>
      <c r="AN801" s="558">
        <v>85.12</v>
      </c>
      <c r="AO801" s="558">
        <v>3132400</v>
      </c>
      <c r="AP801" s="558">
        <v>110.18608</v>
      </c>
      <c r="AQ801" s="558">
        <v>9379.0391296000016</v>
      </c>
      <c r="AR801" s="558">
        <v>2.0329000000000002</v>
      </c>
    </row>
    <row r="802" spans="39:44">
      <c r="AM802" s="557">
        <f t="shared" ca="1" si="65"/>
        <v>45156</v>
      </c>
      <c r="AN802" s="558">
        <v>81.3</v>
      </c>
      <c r="AO802" s="558">
        <v>843800</v>
      </c>
      <c r="AP802" s="558">
        <v>110.18608</v>
      </c>
      <c r="AQ802" s="558">
        <v>8958.1283039999998</v>
      </c>
      <c r="AR802" s="558">
        <v>1.9443999999999999</v>
      </c>
    </row>
    <row r="803" spans="39:44">
      <c r="AM803" s="557">
        <f t="shared" ca="1" si="65"/>
        <v>45155</v>
      </c>
      <c r="AN803" s="558">
        <v>80.924999999999997</v>
      </c>
      <c r="AO803" s="558">
        <v>1736000</v>
      </c>
      <c r="AP803" s="558">
        <v>110.18608</v>
      </c>
      <c r="AQ803" s="558">
        <v>8916.808524</v>
      </c>
      <c r="AR803" s="558">
        <v>1.9355</v>
      </c>
    </row>
    <row r="804" spans="39:44">
      <c r="AM804" s="557">
        <f t="shared" ca="1" si="65"/>
        <v>45154</v>
      </c>
      <c r="AN804" s="558">
        <v>79.084999999999994</v>
      </c>
      <c r="AO804" s="558">
        <v>3200600</v>
      </c>
      <c r="AP804" s="558">
        <v>110.18608</v>
      </c>
      <c r="AQ804" s="558">
        <v>8714.0661368000001</v>
      </c>
      <c r="AR804" s="558">
        <v>1.891</v>
      </c>
    </row>
    <row r="805" spans="39:44">
      <c r="AM805" s="557">
        <f t="shared" ca="1" si="65"/>
        <v>45153</v>
      </c>
      <c r="AN805" s="558">
        <v>79.084999999999994</v>
      </c>
      <c r="AO805" s="558">
        <v>3200600</v>
      </c>
      <c r="AP805" s="558">
        <v>110.18608</v>
      </c>
      <c r="AQ805" s="558">
        <v>8714.0661368000001</v>
      </c>
      <c r="AR805" s="558">
        <v>1.891</v>
      </c>
    </row>
    <row r="806" spans="39:44">
      <c r="AM806" s="557">
        <f t="shared" ca="1" si="65"/>
        <v>45152</v>
      </c>
      <c r="AN806" s="558">
        <v>79.084999999999994</v>
      </c>
      <c r="AO806" s="558">
        <v>3200600</v>
      </c>
      <c r="AP806" s="558">
        <v>110.18608</v>
      </c>
      <c r="AQ806" s="558">
        <v>8714.0661368000001</v>
      </c>
      <c r="AR806" s="558">
        <v>1.891</v>
      </c>
    </row>
    <row r="807" spans="39:44">
      <c r="AM807" s="557">
        <f t="shared" ca="1" si="65"/>
        <v>45151</v>
      </c>
      <c r="AN807" s="558">
        <v>77.875</v>
      </c>
      <c r="AO807" s="558">
        <v>1234100</v>
      </c>
      <c r="AP807" s="558">
        <v>110.18608</v>
      </c>
      <c r="AQ807" s="558">
        <v>8580.7409800000005</v>
      </c>
      <c r="AR807" s="558">
        <v>1.9386000000000001</v>
      </c>
    </row>
    <row r="808" spans="39:44">
      <c r="AM808" s="557">
        <f t="shared" ca="1" si="65"/>
        <v>45150</v>
      </c>
      <c r="AN808" s="558">
        <v>75.495000000000005</v>
      </c>
      <c r="AO808" s="558">
        <v>1099200</v>
      </c>
      <c r="AP808" s="558">
        <v>110.18608</v>
      </c>
      <c r="AQ808" s="558">
        <v>8318.498109600001</v>
      </c>
      <c r="AR808" s="558">
        <v>1.8791</v>
      </c>
    </row>
    <row r="809" spans="39:44">
      <c r="AM809" s="557">
        <f t="shared" ca="1" si="65"/>
        <v>45149</v>
      </c>
      <c r="AN809" s="558">
        <v>75.515000000000001</v>
      </c>
      <c r="AO809" s="558">
        <v>1996600</v>
      </c>
      <c r="AP809" s="558">
        <v>110.18608</v>
      </c>
      <c r="AQ809" s="558">
        <v>8320.7018312</v>
      </c>
      <c r="AR809" s="558">
        <v>1.8797999999999999</v>
      </c>
    </row>
    <row r="810" spans="39:44">
      <c r="AM810" s="557">
        <f t="shared" ca="1" si="65"/>
        <v>45148</v>
      </c>
      <c r="AN810" s="558">
        <v>77.31</v>
      </c>
      <c r="AO810" s="558">
        <v>979200</v>
      </c>
      <c r="AP810" s="558">
        <v>110.18608</v>
      </c>
      <c r="AQ810" s="558">
        <v>8518.4858448000014</v>
      </c>
      <c r="AR810" s="558">
        <v>1.9234</v>
      </c>
    </row>
    <row r="811" spans="39:44">
      <c r="AM811" s="557">
        <f t="shared" ca="1" si="65"/>
        <v>45147</v>
      </c>
      <c r="AN811" s="558">
        <v>79.715000000000003</v>
      </c>
      <c r="AO811" s="558">
        <v>2625700</v>
      </c>
      <c r="AP811" s="558">
        <v>110.18608</v>
      </c>
      <c r="AQ811" s="558">
        <v>8783.4833672000004</v>
      </c>
      <c r="AR811" s="558">
        <v>1.9831000000000001</v>
      </c>
    </row>
    <row r="812" spans="39:44">
      <c r="AM812" s="557">
        <f t="shared" ca="1" si="65"/>
        <v>45146</v>
      </c>
      <c r="AN812" s="558">
        <v>79.715000000000003</v>
      </c>
      <c r="AO812" s="558">
        <v>2625700</v>
      </c>
      <c r="AP812" s="558">
        <v>110.18608</v>
      </c>
      <c r="AQ812" s="558">
        <v>8783.4833672000004</v>
      </c>
      <c r="AR812" s="558">
        <v>1.9831000000000001</v>
      </c>
    </row>
    <row r="813" spans="39:44">
      <c r="AM813" s="557">
        <f t="shared" ca="1" si="65"/>
        <v>45145</v>
      </c>
      <c r="AN813" s="558">
        <v>79.715000000000003</v>
      </c>
      <c r="AO813" s="558">
        <v>2625700</v>
      </c>
      <c r="AP813" s="558">
        <v>110.18608</v>
      </c>
      <c r="AQ813" s="558">
        <v>8783.4833672000004</v>
      </c>
      <c r="AR813" s="558">
        <v>1.9831000000000001</v>
      </c>
    </row>
    <row r="814" spans="39:44">
      <c r="AM814" s="557">
        <f t="shared" ca="1" si="65"/>
        <v>45144</v>
      </c>
      <c r="AN814" s="558">
        <v>78.155000000000001</v>
      </c>
      <c r="AO814" s="558">
        <v>2338300</v>
      </c>
      <c r="AP814" s="558">
        <v>110.18608</v>
      </c>
      <c r="AQ814" s="558">
        <v>8611.5930824000006</v>
      </c>
      <c r="AR814" s="558">
        <v>1.9470000000000001</v>
      </c>
    </row>
    <row r="815" spans="39:44">
      <c r="AM815" s="557">
        <f t="shared" ca="1" si="65"/>
        <v>45143</v>
      </c>
      <c r="AN815" s="558">
        <v>79.855000000000004</v>
      </c>
      <c r="AO815" s="558">
        <v>2709200</v>
      </c>
      <c r="AP815" s="558">
        <v>110.18608</v>
      </c>
      <c r="AQ815" s="558">
        <v>8798.9094184000005</v>
      </c>
      <c r="AR815" s="558">
        <v>1.9883999999999999</v>
      </c>
    </row>
    <row r="816" spans="39:44">
      <c r="AM816" s="557">
        <f t="shared" ca="1" si="65"/>
        <v>45142</v>
      </c>
      <c r="AN816" s="558">
        <v>77.14</v>
      </c>
      <c r="AO816" s="558">
        <v>3032200</v>
      </c>
      <c r="AP816" s="558">
        <v>110.18608</v>
      </c>
      <c r="AQ816" s="558">
        <v>8499.754211200001</v>
      </c>
      <c r="AR816" s="558">
        <v>1.9207000000000001</v>
      </c>
    </row>
    <row r="817" spans="39:44">
      <c r="AM817" s="557">
        <f t="shared" ca="1" si="65"/>
        <v>45141</v>
      </c>
      <c r="AN817" s="558">
        <v>75.13</v>
      </c>
      <c r="AO817" s="558">
        <v>880300</v>
      </c>
      <c r="AP817" s="558">
        <v>110.18608</v>
      </c>
      <c r="AQ817" s="558">
        <v>8278.2801903999989</v>
      </c>
      <c r="AR817" s="558">
        <v>1.8701000000000001</v>
      </c>
    </row>
    <row r="818" spans="39:44">
      <c r="AM818" s="557">
        <f t="shared" ca="1" si="65"/>
        <v>45140</v>
      </c>
      <c r="AN818" s="558">
        <v>74.87</v>
      </c>
      <c r="AO818" s="558">
        <v>1838300</v>
      </c>
      <c r="AP818" s="558">
        <v>110.18608</v>
      </c>
      <c r="AQ818" s="558">
        <v>8249.6318096000014</v>
      </c>
      <c r="AR818" s="558">
        <v>1.8673999999999999</v>
      </c>
    </row>
    <row r="819" spans="39:44">
      <c r="AM819" s="557">
        <f t="shared" ca="1" si="65"/>
        <v>45139</v>
      </c>
      <c r="AN819" s="558">
        <v>74.87</v>
      </c>
      <c r="AO819" s="558">
        <v>1838300</v>
      </c>
      <c r="AP819" s="558">
        <v>110.18608</v>
      </c>
      <c r="AQ819" s="558">
        <v>8249.6318096000014</v>
      </c>
      <c r="AR819" s="558">
        <v>1.8673999999999999</v>
      </c>
    </row>
    <row r="820" spans="39:44">
      <c r="AM820" s="557">
        <f t="shared" ca="1" si="65"/>
        <v>45138</v>
      </c>
      <c r="AN820" s="558">
        <v>74.87</v>
      </c>
      <c r="AO820" s="558">
        <v>1838300</v>
      </c>
      <c r="AP820" s="558">
        <v>110.18608</v>
      </c>
      <c r="AQ820" s="558">
        <v>8249.6318096000014</v>
      </c>
      <c r="AR820" s="558">
        <v>1.8673999999999999</v>
      </c>
    </row>
    <row r="821" spans="39:44">
      <c r="AM821" s="557">
        <f t="shared" ca="1" si="65"/>
        <v>45137</v>
      </c>
      <c r="AN821" s="558">
        <v>76.13</v>
      </c>
      <c r="AO821" s="558">
        <v>1145500</v>
      </c>
      <c r="AP821" s="558">
        <v>110.18608</v>
      </c>
      <c r="AQ821" s="558">
        <v>8388.4662704000002</v>
      </c>
      <c r="AR821" s="558">
        <v>1.8965000000000001</v>
      </c>
    </row>
    <row r="822" spans="39:44">
      <c r="AM822" s="557">
        <f t="shared" ca="1" si="65"/>
        <v>45136</v>
      </c>
      <c r="AN822" s="558">
        <v>76.31</v>
      </c>
      <c r="AO822" s="558">
        <v>1655200</v>
      </c>
      <c r="AP822" s="558">
        <v>110.18608</v>
      </c>
      <c r="AQ822" s="558">
        <v>8408.2997648</v>
      </c>
      <c r="AR822" s="558">
        <v>1.8996999999999999</v>
      </c>
    </row>
    <row r="823" spans="39:44">
      <c r="AM823" s="557">
        <f t="shared" ca="1" si="65"/>
        <v>45135</v>
      </c>
      <c r="AN823" s="558">
        <v>75.584999999999994</v>
      </c>
      <c r="AO823" s="558">
        <v>1660800</v>
      </c>
      <c r="AP823" s="558">
        <v>110.18608</v>
      </c>
      <c r="AQ823" s="558">
        <v>8328.4148568000001</v>
      </c>
      <c r="AR823" s="558">
        <v>1.8815999999999999</v>
      </c>
    </row>
    <row r="824" spans="39:44">
      <c r="AM824" s="557">
        <f t="shared" ca="1" si="65"/>
        <v>45134</v>
      </c>
      <c r="AN824" s="558">
        <v>79.075000000000003</v>
      </c>
      <c r="AO824" s="558">
        <v>938200</v>
      </c>
      <c r="AP824" s="558">
        <v>110.18608</v>
      </c>
      <c r="AQ824" s="558">
        <v>8712.9642760000006</v>
      </c>
      <c r="AR824" s="558">
        <v>1.9690000000000001</v>
      </c>
    </row>
    <row r="825" spans="39:44">
      <c r="AM825" s="557">
        <f t="shared" ca="1" si="65"/>
        <v>45133</v>
      </c>
      <c r="AN825" s="558">
        <v>79.084999999999994</v>
      </c>
      <c r="AO825" s="558">
        <v>1649100</v>
      </c>
      <c r="AP825" s="558">
        <v>110.18608</v>
      </c>
      <c r="AQ825" s="558">
        <v>8714.0661368000001</v>
      </c>
      <c r="AR825" s="558">
        <v>1.9697</v>
      </c>
    </row>
    <row r="826" spans="39:44">
      <c r="AM826" s="557">
        <f t="shared" ca="1" si="65"/>
        <v>45132</v>
      </c>
      <c r="AN826" s="558">
        <v>79.084999999999994</v>
      </c>
      <c r="AO826" s="558">
        <v>1649100</v>
      </c>
      <c r="AP826" s="558">
        <v>110.18608</v>
      </c>
      <c r="AQ826" s="558">
        <v>8714.0661368000001</v>
      </c>
      <c r="AR826" s="558">
        <v>1.9697</v>
      </c>
    </row>
    <row r="827" spans="39:44">
      <c r="AM827" s="557">
        <f t="shared" ca="1" si="65"/>
        <v>45131</v>
      </c>
      <c r="AN827" s="558">
        <v>79.084999999999994</v>
      </c>
      <c r="AO827" s="558">
        <v>1649100</v>
      </c>
      <c r="AP827" s="558">
        <v>110.18608</v>
      </c>
      <c r="AQ827" s="558">
        <v>8714.0661368000001</v>
      </c>
      <c r="AR827" s="558">
        <v>1.9697</v>
      </c>
    </row>
    <row r="828" spans="39:44">
      <c r="AM828" s="557">
        <f t="shared" ca="1" si="65"/>
        <v>45130</v>
      </c>
      <c r="AN828" s="558">
        <v>78.599999999999994</v>
      </c>
      <c r="AO828" s="558">
        <v>1192800</v>
      </c>
      <c r="AP828" s="558">
        <v>110.18608</v>
      </c>
      <c r="AQ828" s="558">
        <v>8660.6258880000005</v>
      </c>
      <c r="AR828" s="558">
        <v>1.956</v>
      </c>
    </row>
    <row r="829" spans="39:44">
      <c r="AM829" s="557">
        <f t="shared" ca="1" si="65"/>
        <v>45129</v>
      </c>
      <c r="AN829" s="558">
        <v>78.599999999999994</v>
      </c>
      <c r="AO829" s="558">
        <v>1192800</v>
      </c>
      <c r="AP829" s="558">
        <v>110.18608</v>
      </c>
      <c r="AQ829" s="558">
        <v>8660.6258880000005</v>
      </c>
      <c r="AR829" s="558">
        <v>1.956</v>
      </c>
    </row>
    <row r="830" spans="39:44">
      <c r="AM830" s="557">
        <f t="shared" ca="1" si="65"/>
        <v>45128</v>
      </c>
      <c r="AN830" s="558">
        <v>77.584999999999994</v>
      </c>
      <c r="AO830" s="558">
        <v>966300</v>
      </c>
      <c r="AP830" s="558">
        <v>110.18608</v>
      </c>
      <c r="AQ830" s="558">
        <v>8548.787016799999</v>
      </c>
      <c r="AR830" s="558">
        <v>1.9319</v>
      </c>
    </row>
    <row r="831" spans="39:44">
      <c r="AM831" s="557">
        <f t="shared" ca="1" si="65"/>
        <v>45127</v>
      </c>
      <c r="AN831" s="558">
        <v>76.004999999999995</v>
      </c>
      <c r="AO831" s="558">
        <v>1412800</v>
      </c>
      <c r="AP831" s="558">
        <v>110.18608</v>
      </c>
      <c r="AQ831" s="558">
        <v>8374.6930104000003</v>
      </c>
      <c r="AR831" s="558">
        <v>1.8923000000000001</v>
      </c>
    </row>
    <row r="832" spans="39:44">
      <c r="AM832" s="557">
        <f t="shared" ca="1" si="65"/>
        <v>45126</v>
      </c>
      <c r="AN832" s="558">
        <v>75.805000000000007</v>
      </c>
      <c r="AO832" s="558">
        <v>1962100</v>
      </c>
      <c r="AP832" s="558">
        <v>110.18608</v>
      </c>
      <c r="AQ832" s="558">
        <v>8352.6557944000015</v>
      </c>
      <c r="AR832" s="558">
        <v>1.8835999999999999</v>
      </c>
    </row>
    <row r="833" spans="39:44">
      <c r="AM833" s="557">
        <f t="shared" ca="1" si="65"/>
        <v>45125</v>
      </c>
      <c r="AN833" s="558">
        <v>75.805000000000007</v>
      </c>
      <c r="AO833" s="558">
        <v>1962100</v>
      </c>
      <c r="AP833" s="558">
        <v>110.18608</v>
      </c>
      <c r="AQ833" s="558">
        <v>8352.6557944000015</v>
      </c>
      <c r="AR833" s="558">
        <v>1.8835999999999999</v>
      </c>
    </row>
    <row r="834" spans="39:44">
      <c r="AM834" s="557">
        <f t="shared" ca="1" si="65"/>
        <v>45124</v>
      </c>
      <c r="AN834" s="558">
        <v>75.805000000000007</v>
      </c>
      <c r="AO834" s="558">
        <v>1962100</v>
      </c>
      <c r="AP834" s="558">
        <v>110.18608</v>
      </c>
      <c r="AQ834" s="558">
        <v>8352.6557944000015</v>
      </c>
      <c r="AR834" s="558">
        <v>1.8835999999999999</v>
      </c>
    </row>
    <row r="835" spans="39:44">
      <c r="AM835" s="557">
        <f t="shared" ca="1" si="65"/>
        <v>45123</v>
      </c>
      <c r="AN835" s="558">
        <v>75.954999999999998</v>
      </c>
      <c r="AO835" s="558">
        <v>1483500</v>
      </c>
      <c r="AP835" s="558">
        <v>110.18608</v>
      </c>
      <c r="AQ835" s="558">
        <v>8369.1837063999992</v>
      </c>
      <c r="AR835" s="558">
        <v>1.8917999999999999</v>
      </c>
    </row>
    <row r="836" spans="39:44">
      <c r="AM836" s="557">
        <f t="shared" ca="1" si="65"/>
        <v>45122</v>
      </c>
      <c r="AN836" s="558">
        <v>73.704999999999998</v>
      </c>
      <c r="AO836" s="558">
        <v>844300</v>
      </c>
      <c r="AP836" s="558">
        <v>110.18608</v>
      </c>
      <c r="AQ836" s="558">
        <v>8121.2650264000004</v>
      </c>
      <c r="AR836" s="558">
        <v>1.8367</v>
      </c>
    </row>
    <row r="837" spans="39:44">
      <c r="AM837" s="557">
        <f t="shared" ref="AM837:AM900" ca="1" si="66">AM836-1</f>
        <v>45121</v>
      </c>
      <c r="AN837" s="558">
        <v>73.775000000000006</v>
      </c>
      <c r="AO837" s="558">
        <v>1809800</v>
      </c>
      <c r="AP837" s="558">
        <v>110.18608</v>
      </c>
      <c r="AQ837" s="558">
        <v>8128.9780520000013</v>
      </c>
      <c r="AR837" s="558">
        <v>1.8374999999999999</v>
      </c>
    </row>
    <row r="838" spans="39:44">
      <c r="AM838" s="557">
        <f t="shared" ca="1" si="66"/>
        <v>45120</v>
      </c>
      <c r="AN838" s="558">
        <v>74.34</v>
      </c>
      <c r="AO838" s="558">
        <v>900400</v>
      </c>
      <c r="AP838" s="558">
        <v>110.18608</v>
      </c>
      <c r="AQ838" s="558">
        <v>8191.2331872000004</v>
      </c>
      <c r="AR838" s="558">
        <v>1.8516999999999999</v>
      </c>
    </row>
    <row r="839" spans="39:44">
      <c r="AM839" s="557">
        <f t="shared" ca="1" si="66"/>
        <v>45119</v>
      </c>
      <c r="AN839" s="558">
        <v>74.930000000000007</v>
      </c>
      <c r="AO839" s="558">
        <v>1848300</v>
      </c>
      <c r="AP839" s="558">
        <v>110.18608</v>
      </c>
      <c r="AQ839" s="558">
        <v>8256.2429744000019</v>
      </c>
      <c r="AR839" s="558">
        <v>1.8658999999999999</v>
      </c>
    </row>
    <row r="840" spans="39:44">
      <c r="AM840" s="557">
        <f t="shared" ca="1" si="66"/>
        <v>45118</v>
      </c>
      <c r="AN840" s="558">
        <v>74.930000000000007</v>
      </c>
      <c r="AO840" s="558">
        <v>1848300</v>
      </c>
      <c r="AP840" s="558">
        <v>110.18608</v>
      </c>
      <c r="AQ840" s="558">
        <v>8256.2429744000019</v>
      </c>
      <c r="AR840" s="558">
        <v>1.8658999999999999</v>
      </c>
    </row>
    <row r="841" spans="39:44">
      <c r="AM841" s="557">
        <f t="shared" ca="1" si="66"/>
        <v>45117</v>
      </c>
      <c r="AN841" s="558">
        <v>74.930000000000007</v>
      </c>
      <c r="AO841" s="558">
        <v>1848300</v>
      </c>
      <c r="AP841" s="558">
        <v>110.18608</v>
      </c>
      <c r="AQ841" s="558">
        <v>8256.2429744000019</v>
      </c>
      <c r="AR841" s="558">
        <v>1.8658999999999999</v>
      </c>
    </row>
    <row r="842" spans="39:44">
      <c r="AM842" s="557">
        <f t="shared" ca="1" si="66"/>
        <v>45116</v>
      </c>
      <c r="AN842" s="558">
        <v>72.14</v>
      </c>
      <c r="AO842" s="558">
        <v>1370300</v>
      </c>
      <c r="AP842" s="558">
        <v>110.18608</v>
      </c>
      <c r="AQ842" s="558">
        <v>7948.8238111999999</v>
      </c>
      <c r="AR842" s="558">
        <v>1.7959000000000001</v>
      </c>
    </row>
    <row r="843" spans="39:44">
      <c r="AM843" s="557">
        <f t="shared" ca="1" si="66"/>
        <v>45115</v>
      </c>
      <c r="AN843" s="558">
        <v>69.734999999999999</v>
      </c>
      <c r="AO843" s="558">
        <v>1930900</v>
      </c>
      <c r="AP843" s="558">
        <v>110.18608</v>
      </c>
      <c r="AQ843" s="558">
        <v>7683.8262887999999</v>
      </c>
      <c r="AR843" s="558">
        <v>1.7363999999999999</v>
      </c>
    </row>
    <row r="844" spans="39:44">
      <c r="AM844" s="557">
        <f t="shared" ca="1" si="66"/>
        <v>45114</v>
      </c>
      <c r="AN844" s="558">
        <v>69.424999999999997</v>
      </c>
      <c r="AO844" s="558">
        <v>1273300</v>
      </c>
      <c r="AP844" s="558">
        <v>110.18608</v>
      </c>
      <c r="AQ844" s="558">
        <v>7649.6686040000004</v>
      </c>
      <c r="AR844" s="558">
        <v>1.7269000000000001</v>
      </c>
    </row>
    <row r="845" spans="39:44">
      <c r="AM845" s="557">
        <f t="shared" ca="1" si="66"/>
        <v>45113</v>
      </c>
      <c r="AN845" s="558">
        <v>70.83</v>
      </c>
      <c r="AO845" s="558">
        <v>1128400</v>
      </c>
      <c r="AP845" s="558">
        <v>110.18608</v>
      </c>
      <c r="AQ845" s="558">
        <v>7804.4800464</v>
      </c>
      <c r="AR845" s="558">
        <v>1.7643</v>
      </c>
    </row>
    <row r="846" spans="39:44">
      <c r="AM846" s="557">
        <f t="shared" ca="1" si="66"/>
        <v>45112</v>
      </c>
      <c r="AN846" s="558">
        <v>70.900000000000006</v>
      </c>
      <c r="AO846" s="558">
        <v>2001500</v>
      </c>
      <c r="AP846" s="558">
        <v>110.18608</v>
      </c>
      <c r="AQ846" s="558">
        <v>7812.1930720000009</v>
      </c>
      <c r="AR846" s="558">
        <v>1.772</v>
      </c>
    </row>
    <row r="847" spans="39:44">
      <c r="AM847" s="557">
        <f t="shared" ca="1" si="66"/>
        <v>45111</v>
      </c>
      <c r="AN847" s="558">
        <v>70.900000000000006</v>
      </c>
      <c r="AO847" s="558">
        <v>2001500</v>
      </c>
      <c r="AP847" s="558">
        <v>110.18608</v>
      </c>
      <c r="AQ847" s="558">
        <v>7812.1930720000009</v>
      </c>
      <c r="AR847" s="558">
        <v>1.772</v>
      </c>
    </row>
    <row r="848" spans="39:44">
      <c r="AM848" s="557">
        <f t="shared" ca="1" si="66"/>
        <v>45110</v>
      </c>
      <c r="AN848" s="558">
        <v>70.900000000000006</v>
      </c>
      <c r="AO848" s="558">
        <v>2001500</v>
      </c>
      <c r="AP848" s="558">
        <v>110.18608</v>
      </c>
      <c r="AQ848" s="558">
        <v>7812.1930720000009</v>
      </c>
      <c r="AR848" s="558">
        <v>1.772</v>
      </c>
    </row>
    <row r="849" spans="39:44">
      <c r="AM849" s="557">
        <f t="shared" ca="1" si="66"/>
        <v>45109</v>
      </c>
      <c r="AN849" s="558">
        <v>72.454999999999998</v>
      </c>
      <c r="AO849" s="558">
        <v>2058300</v>
      </c>
      <c r="AP849" s="558">
        <v>110.18608</v>
      </c>
      <c r="AQ849" s="558">
        <v>7983.5324264000001</v>
      </c>
      <c r="AR849" s="558">
        <v>1.8046</v>
      </c>
    </row>
    <row r="850" spans="39:44">
      <c r="AM850" s="557">
        <f t="shared" ca="1" si="66"/>
        <v>45108</v>
      </c>
      <c r="AN850" s="558">
        <v>71.55</v>
      </c>
      <c r="AO850" s="558">
        <v>2223300</v>
      </c>
      <c r="AP850" s="558">
        <v>110.18608</v>
      </c>
      <c r="AQ850" s="558">
        <v>7883.8140240000002</v>
      </c>
      <c r="AR850" s="558">
        <v>1.7825</v>
      </c>
    </row>
    <row r="851" spans="39:44">
      <c r="AM851" s="557">
        <f t="shared" ca="1" si="66"/>
        <v>45107</v>
      </c>
      <c r="AN851" s="558">
        <v>68.564999999999998</v>
      </c>
      <c r="AO851" s="558">
        <v>1795500</v>
      </c>
      <c r="AP851" s="558">
        <v>110.18608</v>
      </c>
      <c r="AQ851" s="558">
        <v>7554.9085752000001</v>
      </c>
      <c r="AR851" s="558">
        <v>1.7075</v>
      </c>
    </row>
    <row r="852" spans="39:44">
      <c r="AM852" s="557">
        <f t="shared" ca="1" si="66"/>
        <v>45106</v>
      </c>
      <c r="AN852" s="558">
        <v>69.825000000000003</v>
      </c>
      <c r="AO852" s="558">
        <v>1336800</v>
      </c>
      <c r="AP852" s="558">
        <v>110.18608</v>
      </c>
      <c r="AQ852" s="558">
        <v>7693.7430360000008</v>
      </c>
      <c r="AR852" s="558">
        <v>1.7352000000000001</v>
      </c>
    </row>
    <row r="853" spans="39:44">
      <c r="AM853" s="557">
        <f t="shared" ca="1" si="66"/>
        <v>45105</v>
      </c>
      <c r="AN853" s="558">
        <v>67.745000000000005</v>
      </c>
      <c r="AO853" s="558">
        <v>1933300</v>
      </c>
      <c r="AP853" s="558">
        <v>110.18608</v>
      </c>
      <c r="AQ853" s="558">
        <v>7464.5559896000004</v>
      </c>
      <c r="AR853" s="558">
        <v>1.6876</v>
      </c>
    </row>
    <row r="854" spans="39:44">
      <c r="AM854" s="557">
        <f t="shared" ca="1" si="66"/>
        <v>45104</v>
      </c>
      <c r="AN854" s="558">
        <v>67.745000000000005</v>
      </c>
      <c r="AO854" s="558">
        <v>1933300</v>
      </c>
      <c r="AP854" s="558">
        <v>110.18608</v>
      </c>
      <c r="AQ854" s="558">
        <v>7464.5559896000004</v>
      </c>
      <c r="AR854" s="558">
        <v>1.6876</v>
      </c>
    </row>
    <row r="855" spans="39:44">
      <c r="AM855" s="557">
        <f t="shared" ca="1" si="66"/>
        <v>45103</v>
      </c>
      <c r="AN855" s="558">
        <v>67.745000000000005</v>
      </c>
      <c r="AO855" s="558">
        <v>1933300</v>
      </c>
      <c r="AP855" s="558">
        <v>110.18608</v>
      </c>
      <c r="AQ855" s="558">
        <v>7464.5559896000004</v>
      </c>
      <c r="AR855" s="558">
        <v>1.6876</v>
      </c>
    </row>
    <row r="856" spans="39:44">
      <c r="AM856" s="557">
        <f t="shared" ca="1" si="66"/>
        <v>45102</v>
      </c>
      <c r="AN856" s="558">
        <v>67.36</v>
      </c>
      <c r="AO856" s="558">
        <v>3384900</v>
      </c>
      <c r="AP856" s="558">
        <v>110.18608</v>
      </c>
      <c r="AQ856" s="558">
        <v>7422.1343488000002</v>
      </c>
      <c r="AR856" s="558">
        <v>1.6774</v>
      </c>
    </row>
    <row r="857" spans="39:44">
      <c r="AM857" s="557">
        <f t="shared" ca="1" si="66"/>
        <v>45101</v>
      </c>
      <c r="AN857" s="558">
        <v>65.489999999999995</v>
      </c>
      <c r="AO857" s="558">
        <v>2060600</v>
      </c>
      <c r="AP857" s="558">
        <v>110.18608</v>
      </c>
      <c r="AQ857" s="558">
        <v>7216.0863792</v>
      </c>
      <c r="AR857" s="558">
        <v>1.6301000000000001</v>
      </c>
    </row>
    <row r="858" spans="39:44">
      <c r="AM858" s="557">
        <f t="shared" ca="1" si="66"/>
        <v>45100</v>
      </c>
      <c r="AN858" s="558">
        <v>64.495000000000005</v>
      </c>
      <c r="AO858" s="558">
        <v>2215000</v>
      </c>
      <c r="AP858" s="558">
        <v>110.18608</v>
      </c>
      <c r="AQ858" s="558">
        <v>7106.4512296000012</v>
      </c>
      <c r="AR858" s="558">
        <v>1.6062000000000001</v>
      </c>
    </row>
    <row r="859" spans="39:44">
      <c r="AM859" s="557">
        <f t="shared" ca="1" si="66"/>
        <v>45099</v>
      </c>
      <c r="AN859" s="558">
        <v>62.625</v>
      </c>
      <c r="AO859" s="558">
        <v>1895700</v>
      </c>
      <c r="AP859" s="558">
        <v>110.18608</v>
      </c>
      <c r="AQ859" s="558">
        <v>6900.40326</v>
      </c>
      <c r="AR859" s="558">
        <v>1.5576000000000001</v>
      </c>
    </row>
    <row r="860" spans="39:44">
      <c r="AM860" s="557">
        <f t="shared" ca="1" si="66"/>
        <v>45098</v>
      </c>
      <c r="AN860" s="558">
        <v>63.305</v>
      </c>
      <c r="AO860" s="558">
        <v>1887400</v>
      </c>
      <c r="AP860" s="558">
        <v>110.18608</v>
      </c>
      <c r="AQ860" s="558">
        <v>6975.3297944000005</v>
      </c>
      <c r="AR860" s="558">
        <v>1.5758000000000001</v>
      </c>
    </row>
    <row r="861" spans="39:44">
      <c r="AM861" s="557">
        <f t="shared" ca="1" si="66"/>
        <v>45097</v>
      </c>
      <c r="AN861" s="558">
        <v>63.305</v>
      </c>
      <c r="AO861" s="558">
        <v>1887400</v>
      </c>
      <c r="AP861" s="558">
        <v>110.18608</v>
      </c>
      <c r="AQ861" s="558">
        <v>6975.3297944000005</v>
      </c>
      <c r="AR861" s="558">
        <v>1.5758000000000001</v>
      </c>
    </row>
    <row r="862" spans="39:44">
      <c r="AM862" s="557">
        <f t="shared" ca="1" si="66"/>
        <v>45096</v>
      </c>
      <c r="AN862" s="558">
        <v>63.305</v>
      </c>
      <c r="AO862" s="558">
        <v>1887400</v>
      </c>
      <c r="AP862" s="558">
        <v>110.18608</v>
      </c>
      <c r="AQ862" s="558">
        <v>6975.3297944000005</v>
      </c>
      <c r="AR862" s="558">
        <v>1.5758000000000001</v>
      </c>
    </row>
    <row r="863" spans="39:44">
      <c r="AM863" s="557">
        <f t="shared" ca="1" si="66"/>
        <v>45095</v>
      </c>
      <c r="AN863" s="558">
        <v>59.494999999999997</v>
      </c>
      <c r="AO863" s="558">
        <v>3142800</v>
      </c>
      <c r="AP863" s="558">
        <v>110.18608</v>
      </c>
      <c r="AQ863" s="558">
        <v>6555.5208296000001</v>
      </c>
      <c r="AR863" s="558">
        <v>1.4814000000000001</v>
      </c>
    </row>
    <row r="864" spans="39:44">
      <c r="AM864" s="557">
        <f t="shared" ca="1" si="66"/>
        <v>45094</v>
      </c>
      <c r="AN864" s="558">
        <v>60.39</v>
      </c>
      <c r="AO864" s="558">
        <v>2419200</v>
      </c>
      <c r="AP864" s="558">
        <v>110.18608</v>
      </c>
      <c r="AQ864" s="558">
        <v>6654.1373712000004</v>
      </c>
      <c r="AR864" s="558">
        <v>1.5039</v>
      </c>
    </row>
    <row r="865" spans="39:44">
      <c r="AM865" s="557">
        <f t="shared" ca="1" si="66"/>
        <v>45093</v>
      </c>
      <c r="AN865" s="558">
        <v>63.914999999999999</v>
      </c>
      <c r="AO865" s="558">
        <v>1385200</v>
      </c>
      <c r="AP865" s="558">
        <v>110.18608</v>
      </c>
      <c r="AQ865" s="558">
        <v>7042.5433032000001</v>
      </c>
      <c r="AR865" s="558">
        <v>1.5916999999999999</v>
      </c>
    </row>
    <row r="866" spans="39:44">
      <c r="AM866" s="557">
        <f t="shared" ca="1" si="66"/>
        <v>45092</v>
      </c>
      <c r="AN866" s="558">
        <v>66.364999999999995</v>
      </c>
      <c r="AO866" s="558">
        <v>2039500</v>
      </c>
      <c r="AP866" s="558">
        <v>110.18608</v>
      </c>
      <c r="AQ866" s="558">
        <v>7312.4991991999996</v>
      </c>
      <c r="AR866" s="558">
        <v>1.6527000000000001</v>
      </c>
    </row>
    <row r="867" spans="39:44">
      <c r="AM867" s="557">
        <f t="shared" ca="1" si="66"/>
        <v>45091</v>
      </c>
      <c r="AN867" s="558">
        <v>66.364999999999995</v>
      </c>
      <c r="AO867" s="558">
        <v>2039500</v>
      </c>
      <c r="AP867" s="558">
        <v>110.18608</v>
      </c>
      <c r="AQ867" s="558">
        <v>7312.4991991999996</v>
      </c>
      <c r="AR867" s="558">
        <v>1.6527000000000001</v>
      </c>
    </row>
    <row r="868" spans="39:44">
      <c r="AM868" s="557">
        <f t="shared" ca="1" si="66"/>
        <v>45090</v>
      </c>
      <c r="AN868" s="558">
        <v>66.364999999999995</v>
      </c>
      <c r="AO868" s="558">
        <v>2039500</v>
      </c>
      <c r="AP868" s="558">
        <v>110.18608</v>
      </c>
      <c r="AQ868" s="558">
        <v>7312.4991991999996</v>
      </c>
      <c r="AR868" s="558">
        <v>1.6527000000000001</v>
      </c>
    </row>
    <row r="869" spans="39:44">
      <c r="AM869" s="557">
        <f t="shared" ca="1" si="66"/>
        <v>45089</v>
      </c>
      <c r="AN869" s="558">
        <v>66.364999999999995</v>
      </c>
      <c r="AO869" s="558">
        <v>2039500</v>
      </c>
      <c r="AP869" s="558">
        <v>110.18608</v>
      </c>
      <c r="AQ869" s="558">
        <v>7312.4991991999996</v>
      </c>
      <c r="AR869" s="558">
        <v>1.6527000000000001</v>
      </c>
    </row>
    <row r="870" spans="39:44">
      <c r="AM870" s="557">
        <f t="shared" ca="1" si="66"/>
        <v>45088</v>
      </c>
      <c r="AN870" s="558">
        <v>63.64</v>
      </c>
      <c r="AO870" s="558">
        <v>3022200</v>
      </c>
      <c r="AP870" s="558">
        <v>110.18608</v>
      </c>
      <c r="AQ870" s="558">
        <v>7012.2421312000006</v>
      </c>
      <c r="AR870" s="558">
        <v>1.5818000000000001</v>
      </c>
    </row>
    <row r="871" spans="39:44">
      <c r="AM871" s="557">
        <f t="shared" ca="1" si="66"/>
        <v>45087</v>
      </c>
      <c r="AN871" s="558">
        <v>62.634999999999998</v>
      </c>
      <c r="AO871" s="558">
        <v>2608300</v>
      </c>
      <c r="AP871" s="558">
        <v>110.18608</v>
      </c>
      <c r="AQ871" s="558">
        <v>6901.5051208000004</v>
      </c>
      <c r="AR871" s="558">
        <v>1.5593999999999999</v>
      </c>
    </row>
    <row r="872" spans="39:44">
      <c r="AM872" s="557">
        <f t="shared" ca="1" si="66"/>
        <v>45086</v>
      </c>
      <c r="AN872" s="558">
        <v>62.37</v>
      </c>
      <c r="AO872" s="558">
        <v>1828800</v>
      </c>
      <c r="AP872" s="558">
        <v>110.18608</v>
      </c>
      <c r="AQ872" s="558">
        <v>6872.3058095999995</v>
      </c>
      <c r="AR872" s="558">
        <v>1.5537000000000001</v>
      </c>
    </row>
    <row r="873" spans="39:44">
      <c r="AM873" s="557">
        <f t="shared" ca="1" si="66"/>
        <v>45085</v>
      </c>
      <c r="AN873" s="558">
        <v>64.650000000000006</v>
      </c>
      <c r="AO873" s="558">
        <v>1090400</v>
      </c>
      <c r="AP873" s="558">
        <v>110.18608</v>
      </c>
      <c r="AQ873" s="558">
        <v>7123.5300720000005</v>
      </c>
      <c r="AR873" s="558">
        <v>1.6102000000000001</v>
      </c>
    </row>
    <row r="874" spans="39:44">
      <c r="AM874" s="557">
        <f t="shared" ca="1" si="66"/>
        <v>45084</v>
      </c>
      <c r="AN874" s="558">
        <v>66.09</v>
      </c>
      <c r="AO874" s="558">
        <v>1490400</v>
      </c>
      <c r="AP874" s="558">
        <v>110.18608</v>
      </c>
      <c r="AQ874" s="558">
        <v>7282.198027200001</v>
      </c>
      <c r="AR874" s="558">
        <v>1.6455</v>
      </c>
    </row>
    <row r="875" spans="39:44">
      <c r="AM875" s="557">
        <f t="shared" ca="1" si="66"/>
        <v>45083</v>
      </c>
      <c r="AN875" s="558">
        <v>66.09</v>
      </c>
      <c r="AO875" s="558">
        <v>1490400</v>
      </c>
      <c r="AP875" s="558">
        <v>110.18608</v>
      </c>
      <c r="AQ875" s="558">
        <v>7282.198027200001</v>
      </c>
      <c r="AR875" s="558">
        <v>1.6455</v>
      </c>
    </row>
    <row r="876" spans="39:44">
      <c r="AM876" s="557">
        <f t="shared" ca="1" si="66"/>
        <v>45082</v>
      </c>
      <c r="AN876" s="558">
        <v>66.09</v>
      </c>
      <c r="AO876" s="558">
        <v>1490400</v>
      </c>
      <c r="AP876" s="558">
        <v>110.18608</v>
      </c>
      <c r="AQ876" s="558">
        <v>7282.198027200001</v>
      </c>
      <c r="AR876" s="558">
        <v>1.6455</v>
      </c>
    </row>
    <row r="877" spans="39:44">
      <c r="AM877" s="557">
        <f t="shared" ca="1" si="66"/>
        <v>45081</v>
      </c>
      <c r="AN877" s="558">
        <v>66.09</v>
      </c>
      <c r="AO877" s="558">
        <v>1490400</v>
      </c>
      <c r="AP877" s="558">
        <v>110.18608</v>
      </c>
      <c r="AQ877" s="558">
        <v>7282.198027200001</v>
      </c>
      <c r="AR877" s="558">
        <v>1.6455</v>
      </c>
    </row>
    <row r="878" spans="39:44">
      <c r="AM878" s="557">
        <f t="shared" ca="1" si="66"/>
        <v>45080</v>
      </c>
      <c r="AN878" s="558">
        <v>64.260000000000005</v>
      </c>
      <c r="AO878" s="558">
        <v>1514700</v>
      </c>
      <c r="AP878" s="558">
        <v>110.18608</v>
      </c>
      <c r="AQ878" s="558">
        <v>7080.5575008000005</v>
      </c>
      <c r="AR878" s="558">
        <v>1.5992</v>
      </c>
    </row>
    <row r="879" spans="39:44">
      <c r="AM879" s="557">
        <f t="shared" ca="1" si="66"/>
        <v>45079</v>
      </c>
      <c r="AN879" s="558">
        <v>67.114999999999995</v>
      </c>
      <c r="AO879" s="558">
        <v>1601600</v>
      </c>
      <c r="AP879" s="558">
        <v>110.18608</v>
      </c>
      <c r="AQ879" s="558">
        <v>7395.1387592000001</v>
      </c>
      <c r="AR879" s="558">
        <v>1.6724000000000001</v>
      </c>
    </row>
    <row r="880" spans="39:44">
      <c r="AM880" s="557">
        <f t="shared" ca="1" si="66"/>
        <v>45078</v>
      </c>
      <c r="AN880" s="558">
        <v>67.73</v>
      </c>
      <c r="AO880" s="558">
        <v>1070700</v>
      </c>
      <c r="AP880" s="558">
        <v>110.18608</v>
      </c>
      <c r="AQ880" s="558">
        <v>7462.9031984000003</v>
      </c>
      <c r="AR880" s="558">
        <v>1.6876</v>
      </c>
    </row>
    <row r="881" spans="39:44">
      <c r="AM881" s="557">
        <f t="shared" ca="1" si="66"/>
        <v>45077</v>
      </c>
      <c r="AN881" s="558">
        <v>67.849999999999994</v>
      </c>
      <c r="AO881" s="558">
        <v>1161500</v>
      </c>
      <c r="AP881" s="558">
        <v>110.18608</v>
      </c>
      <c r="AQ881" s="558">
        <v>7476.1255279999996</v>
      </c>
      <c r="AR881" s="558">
        <v>1.6896</v>
      </c>
    </row>
    <row r="882" spans="39:44">
      <c r="AM882" s="557">
        <f t="shared" ca="1" si="66"/>
        <v>45076</v>
      </c>
      <c r="AN882" s="558">
        <v>67.849999999999994</v>
      </c>
      <c r="AO882" s="558">
        <v>1161500</v>
      </c>
      <c r="AP882" s="558">
        <v>110.18608</v>
      </c>
      <c r="AQ882" s="558">
        <v>7476.1255279999996</v>
      </c>
      <c r="AR882" s="558">
        <v>1.6896</v>
      </c>
    </row>
    <row r="883" spans="39:44">
      <c r="AM883" s="557">
        <f t="shared" ca="1" si="66"/>
        <v>45075</v>
      </c>
      <c r="AN883" s="558">
        <v>67.849999999999994</v>
      </c>
      <c r="AO883" s="558">
        <v>1161500</v>
      </c>
      <c r="AP883" s="558">
        <v>110.18608</v>
      </c>
      <c r="AQ883" s="558">
        <v>7476.1255279999996</v>
      </c>
      <c r="AR883" s="558">
        <v>1.6896</v>
      </c>
    </row>
    <row r="884" spans="39:44">
      <c r="AM884" s="557">
        <f t="shared" ca="1" si="66"/>
        <v>45074</v>
      </c>
      <c r="AN884" s="558">
        <v>68.864999999999995</v>
      </c>
      <c r="AO884" s="558">
        <v>1855400</v>
      </c>
      <c r="AP884" s="558">
        <v>110.18608</v>
      </c>
      <c r="AQ884" s="558">
        <v>7587.9643992000001</v>
      </c>
      <c r="AR884" s="558">
        <v>1.7146999999999999</v>
      </c>
    </row>
    <row r="885" spans="39:44">
      <c r="AM885" s="557">
        <f t="shared" ca="1" si="66"/>
        <v>45073</v>
      </c>
      <c r="AN885" s="558">
        <v>68.905000000000001</v>
      </c>
      <c r="AO885" s="558">
        <v>2243900</v>
      </c>
      <c r="AP885" s="558">
        <v>110.18608</v>
      </c>
      <c r="AQ885" s="558">
        <v>7592.3718424000008</v>
      </c>
      <c r="AR885" s="558">
        <v>1.7157</v>
      </c>
    </row>
    <row r="886" spans="39:44">
      <c r="AM886" s="557">
        <f t="shared" ca="1" si="66"/>
        <v>45072</v>
      </c>
      <c r="AN886" s="558">
        <v>68.98</v>
      </c>
      <c r="AO886" s="558">
        <v>3872900</v>
      </c>
      <c r="AP886" s="558">
        <v>110.18608</v>
      </c>
      <c r="AQ886" s="558">
        <v>7600.6357984000006</v>
      </c>
      <c r="AR886" s="558">
        <v>1.718</v>
      </c>
    </row>
    <row r="887" spans="39:44">
      <c r="AM887" s="557">
        <f t="shared" ca="1" si="66"/>
        <v>45071</v>
      </c>
      <c r="AN887" s="558">
        <v>63.555</v>
      </c>
      <c r="AO887" s="558">
        <v>1309600</v>
      </c>
      <c r="AP887" s="558">
        <v>110.18608</v>
      </c>
      <c r="AQ887" s="558">
        <v>7002.8763144000004</v>
      </c>
      <c r="AR887" s="558">
        <v>1.5832999999999999</v>
      </c>
    </row>
    <row r="888" spans="39:44">
      <c r="AM888" s="557">
        <f t="shared" ca="1" si="66"/>
        <v>45070</v>
      </c>
      <c r="AN888" s="558">
        <v>62.45</v>
      </c>
      <c r="AO888" s="558">
        <v>1878400</v>
      </c>
      <c r="AP888" s="558">
        <v>110.18608</v>
      </c>
      <c r="AQ888" s="558">
        <v>6881.1206960000009</v>
      </c>
      <c r="AR888" s="558">
        <v>1.5553999999999999</v>
      </c>
    </row>
    <row r="889" spans="39:44">
      <c r="AM889" s="557">
        <f t="shared" ca="1" si="66"/>
        <v>45069</v>
      </c>
      <c r="AN889" s="558">
        <v>62.45</v>
      </c>
      <c r="AO889" s="558">
        <v>1878400</v>
      </c>
      <c r="AP889" s="558">
        <v>110.18608</v>
      </c>
      <c r="AQ889" s="558">
        <v>6881.1206960000009</v>
      </c>
      <c r="AR889" s="558">
        <v>1.5553999999999999</v>
      </c>
    </row>
    <row r="890" spans="39:44">
      <c r="AM890" s="557">
        <f t="shared" ca="1" si="66"/>
        <v>45068</v>
      </c>
      <c r="AN890" s="558">
        <v>62.45</v>
      </c>
      <c r="AO890" s="558">
        <v>1878400</v>
      </c>
      <c r="AP890" s="558">
        <v>110.18608</v>
      </c>
      <c r="AQ890" s="558">
        <v>6881.1206960000009</v>
      </c>
      <c r="AR890" s="558">
        <v>1.5553999999999999</v>
      </c>
    </row>
    <row r="891" spans="39:44">
      <c r="AM891" s="557">
        <f t="shared" ca="1" si="66"/>
        <v>45067</v>
      </c>
      <c r="AN891" s="558">
        <v>62.45</v>
      </c>
      <c r="AO891" s="558">
        <v>1878400</v>
      </c>
      <c r="AP891" s="558">
        <v>110.18608</v>
      </c>
      <c r="AQ891" s="558">
        <v>6881.1206960000009</v>
      </c>
      <c r="AR891" s="558">
        <v>1.5553999999999999</v>
      </c>
    </row>
    <row r="892" spans="39:44">
      <c r="AM892" s="557">
        <f t="shared" ca="1" si="66"/>
        <v>45066</v>
      </c>
      <c r="AN892" s="558">
        <v>59.674999999999997</v>
      </c>
      <c r="AO892" s="558">
        <v>3501200</v>
      </c>
      <c r="AP892" s="558">
        <v>110.18608</v>
      </c>
      <c r="AQ892" s="558">
        <v>6575.3543239999999</v>
      </c>
      <c r="AR892" s="558">
        <v>1.4854000000000001</v>
      </c>
    </row>
    <row r="893" spans="39:44">
      <c r="AM893" s="557">
        <f t="shared" ca="1" si="66"/>
        <v>45065</v>
      </c>
      <c r="AN893" s="558">
        <v>62.854999999999997</v>
      </c>
      <c r="AO893" s="558">
        <v>1481800</v>
      </c>
      <c r="AP893" s="558">
        <v>110.18608</v>
      </c>
      <c r="AQ893" s="558">
        <v>6925.7460584</v>
      </c>
      <c r="AR893" s="558">
        <v>1.5650999999999999</v>
      </c>
    </row>
    <row r="894" spans="39:44">
      <c r="AM894" s="557">
        <f t="shared" ca="1" si="66"/>
        <v>45064</v>
      </c>
      <c r="AN894" s="558">
        <v>62.104999999999997</v>
      </c>
      <c r="AO894" s="558">
        <v>2816800</v>
      </c>
      <c r="AP894" s="558">
        <v>110.18608</v>
      </c>
      <c r="AQ894" s="558">
        <v>6843.1064983999995</v>
      </c>
      <c r="AR894" s="558">
        <v>1.5448999999999999</v>
      </c>
    </row>
    <row r="895" spans="39:44">
      <c r="AM895" s="557">
        <f t="shared" ca="1" si="66"/>
        <v>45063</v>
      </c>
      <c r="AN895" s="558">
        <v>63.515000000000001</v>
      </c>
      <c r="AO895" s="558">
        <v>3841600</v>
      </c>
      <c r="AP895" s="558">
        <v>110.18608</v>
      </c>
      <c r="AQ895" s="558">
        <v>6998.4688712000006</v>
      </c>
      <c r="AR895" s="558">
        <v>1.5812999999999999</v>
      </c>
    </row>
    <row r="896" spans="39:44">
      <c r="AM896" s="557">
        <f t="shared" ca="1" si="66"/>
        <v>45062</v>
      </c>
      <c r="AN896" s="558">
        <v>63.515000000000001</v>
      </c>
      <c r="AO896" s="558">
        <v>3841600</v>
      </c>
      <c r="AP896" s="558">
        <v>110.18608</v>
      </c>
      <c r="AQ896" s="558">
        <v>6998.4688712000006</v>
      </c>
      <c r="AR896" s="558">
        <v>1.5812999999999999</v>
      </c>
    </row>
    <row r="897" spans="39:44">
      <c r="AM897" s="557">
        <f t="shared" ca="1" si="66"/>
        <v>45061</v>
      </c>
      <c r="AN897" s="558">
        <v>63.515000000000001</v>
      </c>
      <c r="AO897" s="558">
        <v>3841600</v>
      </c>
      <c r="AP897" s="558">
        <v>110.18608</v>
      </c>
      <c r="AQ897" s="558">
        <v>6998.4688712000006</v>
      </c>
      <c r="AR897" s="558">
        <v>1.5812999999999999</v>
      </c>
    </row>
    <row r="898" spans="39:44">
      <c r="AM898" s="557">
        <f t="shared" ca="1" si="66"/>
        <v>45060</v>
      </c>
      <c r="AN898" s="558">
        <v>65.954999999999998</v>
      </c>
      <c r="AO898" s="558">
        <v>1885800</v>
      </c>
      <c r="AP898" s="558">
        <v>110.18608</v>
      </c>
      <c r="AQ898" s="558">
        <v>7267.3229063999997</v>
      </c>
      <c r="AR898" s="558">
        <v>1.7034</v>
      </c>
    </row>
    <row r="899" spans="39:44">
      <c r="AM899" s="557">
        <f t="shared" ca="1" si="66"/>
        <v>45059</v>
      </c>
      <c r="AN899" s="558">
        <v>64.27</v>
      </c>
      <c r="AO899" s="558">
        <v>1829600</v>
      </c>
      <c r="AP899" s="558">
        <v>110.18608</v>
      </c>
      <c r="AQ899" s="558">
        <v>7081.6593616</v>
      </c>
      <c r="AR899" s="558">
        <v>1.6608000000000001</v>
      </c>
    </row>
    <row r="900" spans="39:44">
      <c r="AM900" s="557">
        <f t="shared" ca="1" si="66"/>
        <v>45058</v>
      </c>
      <c r="AN900" s="558">
        <v>64.41</v>
      </c>
      <c r="AO900" s="558">
        <v>1563200</v>
      </c>
      <c r="AP900" s="558">
        <v>110.18608</v>
      </c>
      <c r="AQ900" s="558">
        <v>7097.0854128000001</v>
      </c>
      <c r="AR900" s="558">
        <v>1.6637</v>
      </c>
    </row>
    <row r="901" spans="39:44">
      <c r="AM901" s="557">
        <f t="shared" ref="AM901:AM964" ca="1" si="67">AM900-1</f>
        <v>45057</v>
      </c>
      <c r="AN901" s="558">
        <v>62.354999999999997</v>
      </c>
      <c r="AO901" s="558">
        <v>575600</v>
      </c>
      <c r="AP901" s="558">
        <v>110.18608</v>
      </c>
      <c r="AQ901" s="558">
        <v>6870.6530184000003</v>
      </c>
      <c r="AR901" s="558">
        <v>1.611</v>
      </c>
    </row>
    <row r="902" spans="39:44">
      <c r="AM902" s="557">
        <f t="shared" ca="1" si="67"/>
        <v>45056</v>
      </c>
      <c r="AN902" s="558">
        <v>62.06</v>
      </c>
      <c r="AO902" s="558">
        <v>992700</v>
      </c>
      <c r="AP902" s="558">
        <v>110.18608</v>
      </c>
      <c r="AQ902" s="558">
        <v>6838.1481248000009</v>
      </c>
      <c r="AR902" s="558">
        <v>1.6054999999999999</v>
      </c>
    </row>
    <row r="903" spans="39:44">
      <c r="AM903" s="557">
        <f t="shared" ca="1" si="67"/>
        <v>45055</v>
      </c>
      <c r="AN903" s="558">
        <v>62.06</v>
      </c>
      <c r="AO903" s="558">
        <v>992700</v>
      </c>
      <c r="AP903" s="558">
        <v>110.18608</v>
      </c>
      <c r="AQ903" s="558">
        <v>6838.1481248000009</v>
      </c>
      <c r="AR903" s="558">
        <v>1.6054999999999999</v>
      </c>
    </row>
    <row r="904" spans="39:44">
      <c r="AM904" s="557">
        <f t="shared" ca="1" si="67"/>
        <v>45054</v>
      </c>
      <c r="AN904" s="558">
        <v>62.06</v>
      </c>
      <c r="AO904" s="558">
        <v>992700</v>
      </c>
      <c r="AP904" s="558">
        <v>110.18608</v>
      </c>
      <c r="AQ904" s="558">
        <v>6838.1481248000009</v>
      </c>
      <c r="AR904" s="558">
        <v>1.6054999999999999</v>
      </c>
    </row>
    <row r="905" spans="39:44">
      <c r="AM905" s="557">
        <f t="shared" ca="1" si="67"/>
        <v>45053</v>
      </c>
      <c r="AN905" s="558">
        <v>61.155000000000001</v>
      </c>
      <c r="AO905" s="558">
        <v>2262400</v>
      </c>
      <c r="AP905" s="558">
        <v>110.18608</v>
      </c>
      <c r="AQ905" s="558">
        <v>6738.4297224000002</v>
      </c>
      <c r="AR905" s="558">
        <v>1.5812999999999999</v>
      </c>
    </row>
    <row r="906" spans="39:44">
      <c r="AM906" s="557">
        <f t="shared" ca="1" si="67"/>
        <v>45052</v>
      </c>
      <c r="AN906" s="558">
        <v>62.505000000000003</v>
      </c>
      <c r="AO906" s="558">
        <v>1630000</v>
      </c>
      <c r="AP906" s="558">
        <v>110.18608</v>
      </c>
      <c r="AQ906" s="558">
        <v>6887.1809304000008</v>
      </c>
      <c r="AR906" s="558">
        <v>1.6146</v>
      </c>
    </row>
    <row r="907" spans="39:44">
      <c r="AM907" s="557">
        <f t="shared" ca="1" si="67"/>
        <v>45051</v>
      </c>
      <c r="AN907" s="558">
        <v>64.224999999999994</v>
      </c>
      <c r="AO907" s="558">
        <v>1995400</v>
      </c>
      <c r="AP907" s="558">
        <v>110.18608</v>
      </c>
      <c r="AQ907" s="558">
        <v>7076.7009879999996</v>
      </c>
      <c r="AR907" s="558">
        <v>1.6588000000000001</v>
      </c>
    </row>
    <row r="908" spans="39:44">
      <c r="AM908" s="557">
        <f t="shared" ca="1" si="67"/>
        <v>45050</v>
      </c>
      <c r="AN908" s="558">
        <v>63.98</v>
      </c>
      <c r="AO908" s="558">
        <v>1565200</v>
      </c>
      <c r="AP908" s="558">
        <v>110.18608</v>
      </c>
      <c r="AQ908" s="558">
        <v>7049.7053983999995</v>
      </c>
      <c r="AR908" s="558">
        <v>1.6523000000000001</v>
      </c>
    </row>
    <row r="909" spans="39:44">
      <c r="AM909" s="557">
        <f t="shared" ca="1" si="67"/>
        <v>45049</v>
      </c>
      <c r="AN909" s="558">
        <v>66.795000000000002</v>
      </c>
      <c r="AO909" s="558">
        <v>2502700</v>
      </c>
      <c r="AP909" s="558">
        <v>110.18608</v>
      </c>
      <c r="AQ909" s="558">
        <v>7359.8792136000002</v>
      </c>
      <c r="AR909" s="558">
        <v>1.7251000000000001</v>
      </c>
    </row>
    <row r="910" spans="39:44">
      <c r="AM910" s="557">
        <f t="shared" ca="1" si="67"/>
        <v>45048</v>
      </c>
      <c r="AN910" s="558">
        <v>66.795000000000002</v>
      </c>
      <c r="AO910" s="558">
        <v>2502700</v>
      </c>
      <c r="AP910" s="558">
        <v>110.18608</v>
      </c>
      <c r="AQ910" s="558">
        <v>7359.8792136000002</v>
      </c>
      <c r="AR910" s="558">
        <v>1.7251000000000001</v>
      </c>
    </row>
    <row r="911" spans="39:44">
      <c r="AM911" s="557">
        <f t="shared" ca="1" si="67"/>
        <v>45047</v>
      </c>
      <c r="AN911" s="558">
        <v>66.795000000000002</v>
      </c>
      <c r="AO911" s="558">
        <v>2502700</v>
      </c>
      <c r="AP911" s="558">
        <v>110.18608</v>
      </c>
      <c r="AQ911" s="558">
        <v>7359.8792136000002</v>
      </c>
      <c r="AR911" s="558">
        <v>1.7251000000000001</v>
      </c>
    </row>
    <row r="912" spans="39:44">
      <c r="AM912" s="557">
        <f t="shared" ca="1" si="67"/>
        <v>45046</v>
      </c>
      <c r="AN912" s="558">
        <v>68.924999999999997</v>
      </c>
      <c r="AO912" s="558">
        <v>1429000</v>
      </c>
      <c r="AP912" s="558">
        <v>110.18608</v>
      </c>
      <c r="AQ912" s="558">
        <v>7594.5755639999998</v>
      </c>
      <c r="AR912" s="558">
        <v>1.7804</v>
      </c>
    </row>
    <row r="913" spans="39:44">
      <c r="AM913" s="557">
        <f t="shared" ca="1" si="67"/>
        <v>45045</v>
      </c>
      <c r="AN913" s="558">
        <v>67.894999999999996</v>
      </c>
      <c r="AO913" s="558">
        <v>1939600</v>
      </c>
      <c r="AP913" s="558">
        <v>110.18608</v>
      </c>
      <c r="AQ913" s="558">
        <v>7481.0839016</v>
      </c>
      <c r="AR913" s="558">
        <v>1.7541</v>
      </c>
    </row>
    <row r="914" spans="39:44">
      <c r="AM914" s="557">
        <f t="shared" ca="1" si="67"/>
        <v>45044</v>
      </c>
      <c r="AN914" s="558">
        <v>66.984999999999999</v>
      </c>
      <c r="AO914" s="558">
        <v>2050100</v>
      </c>
      <c r="AP914" s="558">
        <v>110.18608</v>
      </c>
      <c r="AQ914" s="558">
        <v>7380.8145688000004</v>
      </c>
      <c r="AR914" s="558">
        <v>1.7302999999999999</v>
      </c>
    </row>
    <row r="915" spans="39:44">
      <c r="AM915" s="557">
        <f t="shared" ca="1" si="67"/>
        <v>45043</v>
      </c>
      <c r="AN915" s="558">
        <v>68.665000000000006</v>
      </c>
      <c r="AO915" s="558">
        <v>1777900</v>
      </c>
      <c r="AP915" s="558">
        <v>110.18608</v>
      </c>
      <c r="AQ915" s="558">
        <v>7565.9271832000013</v>
      </c>
      <c r="AR915" s="558">
        <v>1.7714000000000001</v>
      </c>
    </row>
    <row r="916" spans="39:44">
      <c r="AM916" s="557">
        <f t="shared" ca="1" si="67"/>
        <v>45042</v>
      </c>
      <c r="AN916" s="558">
        <v>68.599999999999994</v>
      </c>
      <c r="AO916" s="558">
        <v>7245300</v>
      </c>
      <c r="AP916" s="558">
        <v>110.18608</v>
      </c>
      <c r="AQ916" s="558">
        <v>7558.7650879999992</v>
      </c>
      <c r="AR916" s="558">
        <v>1.7746999999999999</v>
      </c>
    </row>
    <row r="917" spans="39:44">
      <c r="AM917" s="557">
        <f t="shared" ca="1" si="67"/>
        <v>45041</v>
      </c>
      <c r="AN917" s="558">
        <v>68.599999999999994</v>
      </c>
      <c r="AO917" s="558">
        <v>7245300</v>
      </c>
      <c r="AP917" s="558">
        <v>110.18608</v>
      </c>
      <c r="AQ917" s="558">
        <v>7558.7650879999992</v>
      </c>
      <c r="AR917" s="558">
        <v>1.7746999999999999</v>
      </c>
    </row>
    <row r="918" spans="39:44">
      <c r="AM918" s="557">
        <f t="shared" ca="1" si="67"/>
        <v>45040</v>
      </c>
      <c r="AN918" s="558">
        <v>68.599999999999994</v>
      </c>
      <c r="AO918" s="558">
        <v>7245300</v>
      </c>
      <c r="AP918" s="558">
        <v>110.18608</v>
      </c>
      <c r="AQ918" s="558">
        <v>7558.7650879999992</v>
      </c>
      <c r="AR918" s="558">
        <v>1.7746999999999999</v>
      </c>
    </row>
    <row r="919" spans="39:44">
      <c r="AM919" s="557">
        <f t="shared" ca="1" si="67"/>
        <v>45039</v>
      </c>
      <c r="AN919" s="558">
        <v>78.284999999999997</v>
      </c>
      <c r="AO919" s="558">
        <v>1667500</v>
      </c>
      <c r="AP919" s="558">
        <v>110.18608</v>
      </c>
      <c r="AQ919" s="558">
        <v>8625.9172727999994</v>
      </c>
      <c r="AR919" s="558">
        <v>2.0072000000000001</v>
      </c>
    </row>
    <row r="920" spans="39:44">
      <c r="AM920" s="557">
        <f t="shared" ca="1" si="67"/>
        <v>45038</v>
      </c>
      <c r="AN920" s="558">
        <v>77.484999999999999</v>
      </c>
      <c r="AO920" s="558">
        <v>1940100</v>
      </c>
      <c r="AP920" s="558">
        <v>110.18608</v>
      </c>
      <c r="AQ920" s="558">
        <v>8537.7684088000005</v>
      </c>
      <c r="AR920" s="558">
        <v>2.0051999999999999</v>
      </c>
    </row>
    <row r="921" spans="39:44">
      <c r="AM921" s="557">
        <f t="shared" ca="1" si="67"/>
        <v>45037</v>
      </c>
      <c r="AN921" s="558">
        <v>74.864999999999995</v>
      </c>
      <c r="AO921" s="558">
        <v>1087000</v>
      </c>
      <c r="AP921" s="558">
        <v>110.18608</v>
      </c>
      <c r="AQ921" s="558">
        <v>8249.0808791999989</v>
      </c>
      <c r="AR921" s="558">
        <v>1.9411</v>
      </c>
    </row>
    <row r="922" spans="39:44">
      <c r="AM922" s="557">
        <f t="shared" ca="1" si="67"/>
        <v>45036</v>
      </c>
      <c r="AN922" s="558">
        <v>74.8</v>
      </c>
      <c r="AO922" s="558">
        <v>2200900</v>
      </c>
      <c r="AP922" s="558">
        <v>110.18608</v>
      </c>
      <c r="AQ922" s="558">
        <v>8241.9187839999995</v>
      </c>
      <c r="AR922" s="558">
        <v>1.9272</v>
      </c>
    </row>
    <row r="923" spans="39:44">
      <c r="AM923" s="557">
        <f t="shared" ca="1" si="67"/>
        <v>45035</v>
      </c>
      <c r="AN923" s="558">
        <v>74.13</v>
      </c>
      <c r="AO923" s="558">
        <v>1750900</v>
      </c>
      <c r="AP923" s="558">
        <v>110.18608</v>
      </c>
      <c r="AQ923" s="558">
        <v>8168.0941103999994</v>
      </c>
      <c r="AR923" s="558">
        <v>1.9173</v>
      </c>
    </row>
    <row r="924" spans="39:44">
      <c r="AM924" s="557">
        <f t="shared" ca="1" si="67"/>
        <v>45034</v>
      </c>
      <c r="AN924" s="558">
        <v>74.13</v>
      </c>
      <c r="AO924" s="558">
        <v>1750900</v>
      </c>
      <c r="AP924" s="558">
        <v>110.18608</v>
      </c>
      <c r="AQ924" s="558">
        <v>8168.0941103999994</v>
      </c>
      <c r="AR924" s="558">
        <v>1.9173</v>
      </c>
    </row>
    <row r="925" spans="39:44">
      <c r="AM925" s="557">
        <f t="shared" ca="1" si="67"/>
        <v>45033</v>
      </c>
      <c r="AN925" s="558">
        <v>74.13</v>
      </c>
      <c r="AO925" s="558">
        <v>1750900</v>
      </c>
      <c r="AP925" s="558">
        <v>110.18608</v>
      </c>
      <c r="AQ925" s="558">
        <v>8168.0941103999994</v>
      </c>
      <c r="AR925" s="558">
        <v>1.9173</v>
      </c>
    </row>
    <row r="926" spans="39:44">
      <c r="AM926" s="557">
        <f t="shared" ca="1" si="67"/>
        <v>45032</v>
      </c>
      <c r="AN926" s="558">
        <v>72.734999999999999</v>
      </c>
      <c r="AO926" s="558">
        <v>609000</v>
      </c>
      <c r="AP926" s="558">
        <v>110.18608</v>
      </c>
      <c r="AQ926" s="558">
        <v>8014.3845288000002</v>
      </c>
      <c r="AR926" s="558">
        <v>1.8789</v>
      </c>
    </row>
    <row r="927" spans="39:44">
      <c r="AM927" s="557">
        <f t="shared" ca="1" si="67"/>
        <v>45031</v>
      </c>
      <c r="AN927" s="558">
        <v>74.010000000000005</v>
      </c>
      <c r="AO927" s="558">
        <v>825300</v>
      </c>
      <c r="AP927" s="558">
        <v>110.18608</v>
      </c>
      <c r="AQ927" s="558">
        <v>8154.871780800001</v>
      </c>
      <c r="AR927" s="558">
        <v>1.9096</v>
      </c>
    </row>
    <row r="928" spans="39:44">
      <c r="AM928" s="557">
        <f t="shared" ca="1" si="67"/>
        <v>45030</v>
      </c>
      <c r="AN928" s="558">
        <v>74.625</v>
      </c>
      <c r="AO928" s="558">
        <v>1051400</v>
      </c>
      <c r="AP928" s="558">
        <v>110.18608</v>
      </c>
      <c r="AQ928" s="558">
        <v>8222.6362200000003</v>
      </c>
      <c r="AR928" s="558">
        <v>1.9272</v>
      </c>
    </row>
    <row r="929" spans="39:44">
      <c r="AM929" s="557">
        <f t="shared" ca="1" si="67"/>
        <v>45029</v>
      </c>
      <c r="AN929" s="558">
        <v>74.885000000000005</v>
      </c>
      <c r="AO929" s="558">
        <v>595600</v>
      </c>
      <c r="AP929" s="558">
        <v>110.18608</v>
      </c>
      <c r="AQ929" s="558">
        <v>8251.2846008000015</v>
      </c>
      <c r="AR929" s="558">
        <v>1.9375</v>
      </c>
    </row>
    <row r="930" spans="39:44">
      <c r="AM930" s="557">
        <f t="shared" ca="1" si="67"/>
        <v>45028</v>
      </c>
      <c r="AN930" s="558">
        <v>74.67</v>
      </c>
      <c r="AO930" s="558">
        <v>1203600</v>
      </c>
      <c r="AP930" s="558">
        <v>110.18608</v>
      </c>
      <c r="AQ930" s="558">
        <v>8227.5945936000007</v>
      </c>
      <c r="AR930" s="558">
        <v>1.9281999999999999</v>
      </c>
    </row>
    <row r="931" spans="39:44">
      <c r="AM931" s="557">
        <f t="shared" ca="1" si="67"/>
        <v>45027</v>
      </c>
      <c r="AN931" s="558">
        <v>74.67</v>
      </c>
      <c r="AO931" s="558">
        <v>1203600</v>
      </c>
      <c r="AP931" s="558">
        <v>110.18608</v>
      </c>
      <c r="AQ931" s="558">
        <v>8227.5945936000007</v>
      </c>
      <c r="AR931" s="558">
        <v>1.9281999999999999</v>
      </c>
    </row>
    <row r="932" spans="39:44">
      <c r="AM932" s="557">
        <f t="shared" ca="1" si="67"/>
        <v>45026</v>
      </c>
      <c r="AN932" s="558">
        <v>74.67</v>
      </c>
      <c r="AO932" s="558">
        <v>1203600</v>
      </c>
      <c r="AP932" s="558">
        <v>110.18608</v>
      </c>
      <c r="AQ932" s="558">
        <v>8227.5945936000007</v>
      </c>
      <c r="AR932" s="558">
        <v>1.9281999999999999</v>
      </c>
    </row>
    <row r="933" spans="39:44">
      <c r="AM933" s="557">
        <f t="shared" ca="1" si="67"/>
        <v>45025</v>
      </c>
      <c r="AN933" s="558">
        <v>76.665000000000006</v>
      </c>
      <c r="AO933" s="558">
        <v>873700</v>
      </c>
      <c r="AP933" s="558">
        <v>110.18608</v>
      </c>
      <c r="AQ933" s="558">
        <v>8447.4158232000009</v>
      </c>
      <c r="AR933" s="558">
        <v>1.9814000000000001</v>
      </c>
    </row>
    <row r="934" spans="39:44">
      <c r="AM934" s="557">
        <f t="shared" ca="1" si="67"/>
        <v>45024</v>
      </c>
      <c r="AN934" s="558">
        <v>76.599999999999994</v>
      </c>
      <c r="AO934" s="558">
        <v>583600</v>
      </c>
      <c r="AP934" s="558">
        <v>110.18608</v>
      </c>
      <c r="AQ934" s="558">
        <v>8440.2537279999997</v>
      </c>
      <c r="AR934" s="558">
        <v>1.9787999999999999</v>
      </c>
    </row>
    <row r="935" spans="39:44">
      <c r="AM935" s="557">
        <f t="shared" ca="1" si="67"/>
        <v>45023</v>
      </c>
      <c r="AN935" s="558">
        <v>79.454999999999998</v>
      </c>
      <c r="AO935" s="558">
        <v>849900</v>
      </c>
      <c r="AP935" s="558">
        <v>110.18608</v>
      </c>
      <c r="AQ935" s="558">
        <v>8754.8349863999993</v>
      </c>
      <c r="AR935" s="558">
        <v>2.0499000000000001</v>
      </c>
    </row>
    <row r="936" spans="39:44">
      <c r="AM936" s="557">
        <f t="shared" ca="1" si="67"/>
        <v>45022</v>
      </c>
      <c r="AN936" s="558">
        <v>79.454999999999998</v>
      </c>
      <c r="AO936" s="558">
        <v>849900</v>
      </c>
      <c r="AP936" s="558">
        <v>110.18608</v>
      </c>
      <c r="AQ936" s="558">
        <v>8754.8349863999993</v>
      </c>
      <c r="AR936" s="558">
        <v>2.0499000000000001</v>
      </c>
    </row>
    <row r="937" spans="39:44">
      <c r="AM937" s="557">
        <f t="shared" ca="1" si="67"/>
        <v>45021</v>
      </c>
      <c r="AN937" s="558">
        <v>79.454999999999998</v>
      </c>
      <c r="AO937" s="558">
        <v>849900</v>
      </c>
      <c r="AP937" s="558">
        <v>110.18608</v>
      </c>
      <c r="AQ937" s="558">
        <v>8754.8349863999993</v>
      </c>
      <c r="AR937" s="558">
        <v>2.0499000000000001</v>
      </c>
    </row>
    <row r="938" spans="39:44">
      <c r="AM938" s="557">
        <f t="shared" ca="1" si="67"/>
        <v>45020</v>
      </c>
      <c r="AN938" s="558">
        <v>79.454999999999998</v>
      </c>
      <c r="AO938" s="558">
        <v>849900</v>
      </c>
      <c r="AP938" s="558">
        <v>110.18608</v>
      </c>
      <c r="AQ938" s="558">
        <v>8754.8349863999993</v>
      </c>
      <c r="AR938" s="558">
        <v>2.0499000000000001</v>
      </c>
    </row>
    <row r="939" spans="39:44">
      <c r="AM939" s="557">
        <f t="shared" ca="1" si="67"/>
        <v>45019</v>
      </c>
      <c r="AN939" s="558">
        <v>79.454999999999998</v>
      </c>
      <c r="AO939" s="558">
        <v>849900</v>
      </c>
      <c r="AP939" s="558">
        <v>110.18608</v>
      </c>
      <c r="AQ939" s="558">
        <v>8754.8349863999993</v>
      </c>
      <c r="AR939" s="558">
        <v>2.0499000000000001</v>
      </c>
    </row>
    <row r="940" spans="39:44">
      <c r="AM940" s="557">
        <f t="shared" ca="1" si="67"/>
        <v>45018</v>
      </c>
      <c r="AN940" s="558">
        <v>78.635000000000005</v>
      </c>
      <c r="AO940" s="558">
        <v>1141900</v>
      </c>
      <c r="AP940" s="558">
        <v>110.18608</v>
      </c>
      <c r="AQ940" s="558">
        <v>8664.4824008000014</v>
      </c>
      <c r="AR940" s="558">
        <v>2.0339</v>
      </c>
    </row>
    <row r="941" spans="39:44">
      <c r="AM941" s="557">
        <f t="shared" ca="1" si="67"/>
        <v>45017</v>
      </c>
      <c r="AN941" s="558">
        <v>78.194999999999993</v>
      </c>
      <c r="AO941" s="558">
        <v>1510700</v>
      </c>
      <c r="AP941" s="558">
        <v>110.18608</v>
      </c>
      <c r="AQ941" s="558">
        <v>8616.0005256000004</v>
      </c>
      <c r="AR941" s="558">
        <v>2.0225</v>
      </c>
    </row>
    <row r="942" spans="39:44">
      <c r="AM942" s="557">
        <f t="shared" ca="1" si="67"/>
        <v>45016</v>
      </c>
      <c r="AN942" s="558">
        <v>77.555000000000007</v>
      </c>
      <c r="AO942" s="558">
        <v>1463200</v>
      </c>
      <c r="AP942" s="558">
        <v>110.18608</v>
      </c>
      <c r="AQ942" s="558">
        <v>8545.4814344000006</v>
      </c>
      <c r="AR942" s="558">
        <v>2.0026000000000002</v>
      </c>
    </row>
    <row r="943" spans="39:44">
      <c r="AM943" s="557">
        <f t="shared" ca="1" si="67"/>
        <v>45015</v>
      </c>
      <c r="AN943" s="558">
        <v>79.924999999999997</v>
      </c>
      <c r="AO943" s="558">
        <v>1173200</v>
      </c>
      <c r="AP943" s="558">
        <v>110.18608</v>
      </c>
      <c r="AQ943" s="558">
        <v>8806.6224440000005</v>
      </c>
      <c r="AR943" s="558">
        <v>2.0691999999999999</v>
      </c>
    </row>
    <row r="944" spans="39:44">
      <c r="AM944" s="557">
        <f t="shared" ca="1" si="67"/>
        <v>45014</v>
      </c>
      <c r="AN944" s="558">
        <v>77.385000000000005</v>
      </c>
      <c r="AO944" s="558">
        <v>2640200</v>
      </c>
      <c r="AP944" s="558">
        <v>110.18608</v>
      </c>
      <c r="AQ944" s="558">
        <v>8526.7498008000002</v>
      </c>
      <c r="AR944" s="558">
        <v>2</v>
      </c>
    </row>
    <row r="945" spans="39:44">
      <c r="AM945" s="557">
        <f t="shared" ca="1" si="67"/>
        <v>45013</v>
      </c>
      <c r="AN945" s="558">
        <v>77.385000000000005</v>
      </c>
      <c r="AO945" s="558">
        <v>2640200</v>
      </c>
      <c r="AP945" s="558">
        <v>110.18608</v>
      </c>
      <c r="AQ945" s="558">
        <v>8526.7498008000002</v>
      </c>
      <c r="AR945" s="558">
        <v>2</v>
      </c>
    </row>
    <row r="946" spans="39:44">
      <c r="AM946" s="557">
        <f t="shared" ca="1" si="67"/>
        <v>45012</v>
      </c>
      <c r="AN946" s="558">
        <v>77.385000000000005</v>
      </c>
      <c r="AO946" s="558">
        <v>2640200</v>
      </c>
      <c r="AP946" s="558">
        <v>110.18608</v>
      </c>
      <c r="AQ946" s="558">
        <v>8526.7498008000002</v>
      </c>
      <c r="AR946" s="558">
        <v>2</v>
      </c>
    </row>
    <row r="947" spans="39:44">
      <c r="AM947" s="557">
        <f t="shared" ca="1" si="67"/>
        <v>45011</v>
      </c>
      <c r="AN947" s="558">
        <v>81.064999999999998</v>
      </c>
      <c r="AO947" s="558">
        <v>1263000</v>
      </c>
      <c r="AP947" s="558">
        <v>110.18608</v>
      </c>
      <c r="AQ947" s="558">
        <v>8932.2345752000001</v>
      </c>
      <c r="AR947" s="558">
        <v>2.0952999999999999</v>
      </c>
    </row>
    <row r="948" spans="39:44">
      <c r="AM948" s="557">
        <f t="shared" ca="1" si="67"/>
        <v>45010</v>
      </c>
      <c r="AN948" s="558">
        <v>84.33</v>
      </c>
      <c r="AO948" s="558">
        <v>947600</v>
      </c>
      <c r="AP948" s="558">
        <v>110.18608</v>
      </c>
      <c r="AQ948" s="558">
        <v>9291.9921264000004</v>
      </c>
      <c r="AR948" s="558">
        <v>2.1806000000000001</v>
      </c>
    </row>
    <row r="949" spans="39:44">
      <c r="AM949" s="557">
        <f t="shared" ca="1" si="67"/>
        <v>45009</v>
      </c>
      <c r="AN949" s="558">
        <v>83.405000000000001</v>
      </c>
      <c r="AO949" s="558">
        <v>1322800</v>
      </c>
      <c r="AP949" s="558">
        <v>110.18608</v>
      </c>
      <c r="AQ949" s="558">
        <v>9190.0700023999998</v>
      </c>
      <c r="AR949" s="558">
        <v>2.1570999999999998</v>
      </c>
    </row>
    <row r="950" spans="39:44">
      <c r="AM950" s="557">
        <f t="shared" ca="1" si="67"/>
        <v>45008</v>
      </c>
      <c r="AN950" s="558">
        <v>85.3</v>
      </c>
      <c r="AO950" s="558">
        <v>701100</v>
      </c>
      <c r="AP950" s="558">
        <v>110.18608</v>
      </c>
      <c r="AQ950" s="558">
        <v>9398.8726239999996</v>
      </c>
      <c r="AR950" s="558">
        <v>2.2063999999999999</v>
      </c>
    </row>
    <row r="951" spans="39:44">
      <c r="AM951" s="557">
        <f t="shared" ca="1" si="67"/>
        <v>45007</v>
      </c>
      <c r="AN951" s="558">
        <v>86.85</v>
      </c>
      <c r="AO951" s="558">
        <v>1435200</v>
      </c>
      <c r="AP951" s="558">
        <v>110.18608</v>
      </c>
      <c r="AQ951" s="558">
        <v>9569.6610479999999</v>
      </c>
      <c r="AR951" s="558">
        <v>2.2353999999999998</v>
      </c>
    </row>
    <row r="952" spans="39:44">
      <c r="AM952" s="557">
        <f t="shared" ca="1" si="67"/>
        <v>45006</v>
      </c>
      <c r="AN952" s="558">
        <v>86.85</v>
      </c>
      <c r="AO952" s="558">
        <v>1435200</v>
      </c>
      <c r="AP952" s="558">
        <v>110.18608</v>
      </c>
      <c r="AQ952" s="558">
        <v>9569.6610479999999</v>
      </c>
      <c r="AR952" s="558">
        <v>2.2353999999999998</v>
      </c>
    </row>
    <row r="953" spans="39:44">
      <c r="AM953" s="557">
        <f t="shared" ca="1" si="67"/>
        <v>45005</v>
      </c>
      <c r="AN953" s="558">
        <v>86.85</v>
      </c>
      <c r="AO953" s="558">
        <v>1435200</v>
      </c>
      <c r="AP953" s="558">
        <v>110.18608</v>
      </c>
      <c r="AQ953" s="558">
        <v>9569.6610479999999</v>
      </c>
      <c r="AR953" s="558">
        <v>2.2353999999999998</v>
      </c>
    </row>
    <row r="954" spans="39:44">
      <c r="AM954" s="557">
        <f t="shared" ca="1" si="67"/>
        <v>45004</v>
      </c>
      <c r="AN954" s="558">
        <v>88.715000000000003</v>
      </c>
      <c r="AO954" s="558">
        <v>1464600</v>
      </c>
      <c r="AP954" s="558">
        <v>110.18608</v>
      </c>
      <c r="AQ954" s="558">
        <v>9775.1580872000013</v>
      </c>
      <c r="AR954" s="558">
        <v>2.2900999999999998</v>
      </c>
    </row>
    <row r="955" spans="39:44">
      <c r="AM955" s="557">
        <f t="shared" ca="1" si="67"/>
        <v>45003</v>
      </c>
      <c r="AN955" s="558">
        <v>88.21</v>
      </c>
      <c r="AO955" s="558">
        <v>871100</v>
      </c>
      <c r="AP955" s="558">
        <v>110.18608</v>
      </c>
      <c r="AQ955" s="558">
        <v>9719.5141167999991</v>
      </c>
      <c r="AR955" s="558">
        <v>2.2795000000000001</v>
      </c>
    </row>
    <row r="956" spans="39:44">
      <c r="AM956" s="557">
        <f t="shared" ca="1" si="67"/>
        <v>45002</v>
      </c>
      <c r="AN956" s="558">
        <v>87.6</v>
      </c>
      <c r="AO956" s="558">
        <v>1366700</v>
      </c>
      <c r="AP956" s="558">
        <v>110.18608</v>
      </c>
      <c r="AQ956" s="558">
        <v>9652.3006079999996</v>
      </c>
      <c r="AR956" s="558">
        <v>2.2629999999999999</v>
      </c>
    </row>
    <row r="957" spans="39:44">
      <c r="AM957" s="557">
        <f t="shared" ca="1" si="67"/>
        <v>45001</v>
      </c>
      <c r="AN957" s="558">
        <v>88.094999999999999</v>
      </c>
      <c r="AO957" s="558">
        <v>2059600</v>
      </c>
      <c r="AP957" s="558">
        <v>110.18608</v>
      </c>
      <c r="AQ957" s="558">
        <v>9706.8427176000005</v>
      </c>
      <c r="AR957" s="558">
        <v>2.2761999999999998</v>
      </c>
    </row>
    <row r="958" spans="39:44">
      <c r="AM958" s="557">
        <f t="shared" ca="1" si="67"/>
        <v>45000</v>
      </c>
      <c r="AN958" s="558">
        <v>82.73</v>
      </c>
      <c r="AO958" s="558">
        <v>651400</v>
      </c>
      <c r="AP958" s="558">
        <v>110.18608</v>
      </c>
      <c r="AQ958" s="558">
        <v>9115.6943984000009</v>
      </c>
      <c r="AR958" s="558">
        <v>2.14</v>
      </c>
    </row>
    <row r="959" spans="39:44">
      <c r="AM959" s="557">
        <f t="shared" ca="1" si="67"/>
        <v>44999</v>
      </c>
      <c r="AN959" s="558">
        <v>82.73</v>
      </c>
      <c r="AO959" s="558">
        <v>651400</v>
      </c>
      <c r="AP959" s="558">
        <v>110.18608</v>
      </c>
      <c r="AQ959" s="558">
        <v>9115.6943984000009</v>
      </c>
      <c r="AR959" s="558">
        <v>2.14</v>
      </c>
    </row>
    <row r="960" spans="39:44">
      <c r="AM960" s="557">
        <f t="shared" ca="1" si="67"/>
        <v>44998</v>
      </c>
      <c r="AN960" s="558">
        <v>82.73</v>
      </c>
      <c r="AO960" s="558">
        <v>651400</v>
      </c>
      <c r="AP960" s="558">
        <v>110.18608</v>
      </c>
      <c r="AQ960" s="558">
        <v>9115.6943984000009</v>
      </c>
      <c r="AR960" s="558">
        <v>2.14</v>
      </c>
    </row>
    <row r="961" spans="39:44">
      <c r="AM961" s="557">
        <f t="shared" ca="1" si="67"/>
        <v>44997</v>
      </c>
      <c r="AN961" s="558">
        <v>83.47</v>
      </c>
      <c r="AO961" s="558">
        <v>1180200</v>
      </c>
      <c r="AP961" s="558">
        <v>110.18608</v>
      </c>
      <c r="AQ961" s="558">
        <v>9197.232097600001</v>
      </c>
      <c r="AR961" s="558">
        <v>2.1606999999999998</v>
      </c>
    </row>
    <row r="962" spans="39:44">
      <c r="AM962" s="557">
        <f t="shared" ca="1" si="67"/>
        <v>44996</v>
      </c>
      <c r="AN962" s="558">
        <v>84.4</v>
      </c>
      <c r="AO962" s="558">
        <v>984300</v>
      </c>
      <c r="AP962" s="558">
        <v>110.18608</v>
      </c>
      <c r="AQ962" s="558">
        <v>9299.7051520000005</v>
      </c>
      <c r="AR962" s="558">
        <v>2.1796000000000002</v>
      </c>
    </row>
    <row r="963" spans="39:44">
      <c r="AM963" s="557">
        <f t="shared" ca="1" si="67"/>
        <v>44995</v>
      </c>
      <c r="AN963" s="558">
        <v>82.885000000000005</v>
      </c>
      <c r="AO963" s="558">
        <v>707500</v>
      </c>
      <c r="AP963" s="558">
        <v>110.18608</v>
      </c>
      <c r="AQ963" s="558">
        <v>9132.7732408000011</v>
      </c>
      <c r="AR963" s="558">
        <v>2.1408</v>
      </c>
    </row>
    <row r="964" spans="39:44">
      <c r="AM964" s="557">
        <f t="shared" ca="1" si="67"/>
        <v>44994</v>
      </c>
      <c r="AN964" s="558">
        <v>82.155000000000001</v>
      </c>
      <c r="AO964" s="558">
        <v>1181700</v>
      </c>
      <c r="AP964" s="558">
        <v>110.18608</v>
      </c>
      <c r="AQ964" s="558">
        <v>9052.3374024000004</v>
      </c>
      <c r="AR964" s="558">
        <v>2.1185999999999998</v>
      </c>
    </row>
    <row r="965" spans="39:44">
      <c r="AM965" s="557">
        <f t="shared" ref="AM965:AM1028" ca="1" si="68">AM964-1</f>
        <v>44993</v>
      </c>
      <c r="AN965" s="558">
        <v>81.48</v>
      </c>
      <c r="AO965" s="558">
        <v>1291300</v>
      </c>
      <c r="AP965" s="558">
        <v>110.18608</v>
      </c>
      <c r="AQ965" s="558">
        <v>8977.9617984000015</v>
      </c>
      <c r="AR965" s="558">
        <v>2.1031</v>
      </c>
    </row>
    <row r="966" spans="39:44">
      <c r="AM966" s="557">
        <f t="shared" ca="1" si="68"/>
        <v>44992</v>
      </c>
      <c r="AN966" s="558">
        <v>81.48</v>
      </c>
      <c r="AO966" s="558">
        <v>1291300</v>
      </c>
      <c r="AP966" s="558">
        <v>110.18608</v>
      </c>
      <c r="AQ966" s="558">
        <v>8977.9617984000015</v>
      </c>
      <c r="AR966" s="558">
        <v>2.1031</v>
      </c>
    </row>
    <row r="967" spans="39:44">
      <c r="AM967" s="557">
        <f t="shared" ca="1" si="68"/>
        <v>44991</v>
      </c>
      <c r="AN967" s="558">
        <v>81.48</v>
      </c>
      <c r="AO967" s="558">
        <v>1291300</v>
      </c>
      <c r="AP967" s="558">
        <v>110.18608</v>
      </c>
      <c r="AQ967" s="558">
        <v>8977.9617984000015</v>
      </c>
      <c r="AR967" s="558">
        <v>2.1031</v>
      </c>
    </row>
    <row r="968" spans="39:44">
      <c r="AM968" s="557">
        <f t="shared" ca="1" si="68"/>
        <v>44990</v>
      </c>
      <c r="AN968" s="558">
        <v>81.93</v>
      </c>
      <c r="AO968" s="558">
        <v>1331700</v>
      </c>
      <c r="AP968" s="558">
        <v>110.18608</v>
      </c>
      <c r="AQ968" s="558">
        <v>9027.5455344000002</v>
      </c>
      <c r="AR968" s="558">
        <v>2.1133999999999999</v>
      </c>
    </row>
    <row r="969" spans="39:44">
      <c r="AM969" s="557">
        <f t="shared" ca="1" si="68"/>
        <v>44989</v>
      </c>
      <c r="AN969" s="558">
        <v>80.3</v>
      </c>
      <c r="AO969" s="558">
        <v>1558400</v>
      </c>
      <c r="AP969" s="558">
        <v>110.18608</v>
      </c>
      <c r="AQ969" s="558">
        <v>8847.9422240000004</v>
      </c>
      <c r="AR969" s="558">
        <v>2.0756999999999999</v>
      </c>
    </row>
    <row r="970" spans="39:44">
      <c r="AM970" s="557">
        <f t="shared" ca="1" si="68"/>
        <v>44988</v>
      </c>
      <c r="AN970" s="558">
        <v>79.900000000000006</v>
      </c>
      <c r="AO970" s="558">
        <v>1390300</v>
      </c>
      <c r="AP970" s="558">
        <v>110.18608</v>
      </c>
      <c r="AQ970" s="558">
        <v>8803.8677920000009</v>
      </c>
      <c r="AR970" s="558">
        <v>2.0667</v>
      </c>
    </row>
    <row r="971" spans="39:44">
      <c r="AM971" s="557">
        <f t="shared" ca="1" si="68"/>
        <v>44987</v>
      </c>
      <c r="AN971" s="558">
        <v>77.265000000000001</v>
      </c>
      <c r="AO971" s="558">
        <v>919600</v>
      </c>
      <c r="AP971" s="558">
        <v>110.18608</v>
      </c>
      <c r="AQ971" s="558">
        <v>8513.5274712000009</v>
      </c>
      <c r="AR971" s="558">
        <v>2.0003000000000002</v>
      </c>
    </row>
    <row r="972" spans="39:44">
      <c r="AM972" s="557">
        <f t="shared" ca="1" si="68"/>
        <v>44986</v>
      </c>
      <c r="AN972" s="558">
        <v>78.760000000000005</v>
      </c>
      <c r="AO972" s="558">
        <v>2095300</v>
      </c>
      <c r="AP972" s="558">
        <v>110.18608</v>
      </c>
      <c r="AQ972" s="558">
        <v>8678.2556608000014</v>
      </c>
      <c r="AR972" s="558">
        <v>2.0344000000000002</v>
      </c>
    </row>
    <row r="973" spans="39:44">
      <c r="AM973" s="557">
        <f t="shared" ca="1" si="68"/>
        <v>44985</v>
      </c>
      <c r="AN973" s="558">
        <v>78.760000000000005</v>
      </c>
      <c r="AO973" s="558">
        <v>2095300</v>
      </c>
      <c r="AP973" s="558">
        <v>110.18608</v>
      </c>
      <c r="AQ973" s="558">
        <v>8678.2556608000014</v>
      </c>
      <c r="AR973" s="558">
        <v>2.0344000000000002</v>
      </c>
    </row>
    <row r="974" spans="39:44">
      <c r="AM974" s="557">
        <f t="shared" ca="1" si="68"/>
        <v>44984</v>
      </c>
      <c r="AN974" s="558">
        <v>78.760000000000005</v>
      </c>
      <c r="AO974" s="558">
        <v>2095300</v>
      </c>
      <c r="AP974" s="558">
        <v>110.18608</v>
      </c>
      <c r="AQ974" s="558">
        <v>8678.2556608000014</v>
      </c>
      <c r="AR974" s="558">
        <v>2.0344000000000002</v>
      </c>
    </row>
    <row r="975" spans="39:44">
      <c r="AM975" s="557">
        <f t="shared" ca="1" si="68"/>
        <v>44983</v>
      </c>
      <c r="AN975" s="558">
        <v>79.41</v>
      </c>
      <c r="AO975" s="558">
        <v>1208200</v>
      </c>
      <c r="AP975" s="558">
        <v>110.18608</v>
      </c>
      <c r="AQ975" s="558">
        <v>8749.8766128000007</v>
      </c>
      <c r="AR975" s="558">
        <v>2.0562999999999998</v>
      </c>
    </row>
    <row r="976" spans="39:44">
      <c r="AM976" s="557">
        <f t="shared" ca="1" si="68"/>
        <v>44982</v>
      </c>
      <c r="AN976" s="558">
        <v>78.900000000000006</v>
      </c>
      <c r="AO976" s="558">
        <v>1046000</v>
      </c>
      <c r="AP976" s="558">
        <v>110.18608</v>
      </c>
      <c r="AQ976" s="558">
        <v>8693.6817120000014</v>
      </c>
      <c r="AR976" s="558">
        <v>2.0407999999999999</v>
      </c>
    </row>
    <row r="977" spans="39:44">
      <c r="AM977" s="557">
        <f t="shared" ca="1" si="68"/>
        <v>44981</v>
      </c>
      <c r="AN977" s="558">
        <v>77.004999999999995</v>
      </c>
      <c r="AO977" s="558">
        <v>1778600</v>
      </c>
      <c r="AP977" s="558">
        <v>110.18608</v>
      </c>
      <c r="AQ977" s="558">
        <v>8484.8790903999998</v>
      </c>
      <c r="AR977" s="558">
        <v>1.9910000000000001</v>
      </c>
    </row>
    <row r="978" spans="39:44">
      <c r="AM978" s="557">
        <f t="shared" ca="1" si="68"/>
        <v>44980</v>
      </c>
      <c r="AN978" s="558">
        <v>74.95</v>
      </c>
      <c r="AO978" s="558">
        <v>567200</v>
      </c>
      <c r="AP978" s="558">
        <v>110.18608</v>
      </c>
      <c r="AQ978" s="558">
        <v>8258.4466960000009</v>
      </c>
      <c r="AR978" s="558">
        <v>1.9382999999999999</v>
      </c>
    </row>
    <row r="979" spans="39:44">
      <c r="AM979" s="557">
        <f t="shared" ca="1" si="68"/>
        <v>44979</v>
      </c>
      <c r="AN979" s="558">
        <v>75.760000000000005</v>
      </c>
      <c r="AO979" s="558">
        <v>774500</v>
      </c>
      <c r="AP979" s="558">
        <v>110.18608</v>
      </c>
      <c r="AQ979" s="558">
        <v>8347.6974208000011</v>
      </c>
      <c r="AR979" s="558">
        <v>1.9581999999999999</v>
      </c>
    </row>
    <row r="980" spans="39:44">
      <c r="AM980" s="557">
        <f t="shared" ca="1" si="68"/>
        <v>44978</v>
      </c>
      <c r="AN980" s="558">
        <v>75.760000000000005</v>
      </c>
      <c r="AO980" s="558">
        <v>774500</v>
      </c>
      <c r="AP980" s="558">
        <v>110.18608</v>
      </c>
      <c r="AQ980" s="558">
        <v>8347.6974208000011</v>
      </c>
      <c r="AR980" s="558">
        <v>1.9581999999999999</v>
      </c>
    </row>
    <row r="981" spans="39:44">
      <c r="AM981" s="557">
        <f t="shared" ca="1" si="68"/>
        <v>44977</v>
      </c>
      <c r="AN981" s="558">
        <v>75.760000000000005</v>
      </c>
      <c r="AO981" s="558">
        <v>774500</v>
      </c>
      <c r="AP981" s="558">
        <v>110.18608</v>
      </c>
      <c r="AQ981" s="558">
        <v>8347.6974208000011</v>
      </c>
      <c r="AR981" s="558">
        <v>1.9581999999999999</v>
      </c>
    </row>
    <row r="982" spans="39:44">
      <c r="AM982" s="557">
        <f t="shared" ca="1" si="68"/>
        <v>44976</v>
      </c>
      <c r="AN982" s="558">
        <v>74.484999999999999</v>
      </c>
      <c r="AO982" s="558">
        <v>1661300</v>
      </c>
      <c r="AP982" s="558">
        <v>110.18608</v>
      </c>
      <c r="AQ982" s="558">
        <v>8207.2101688000002</v>
      </c>
      <c r="AR982" s="558">
        <v>1.9204000000000001</v>
      </c>
    </row>
    <row r="983" spans="39:44">
      <c r="AM983" s="557">
        <f t="shared" ca="1" si="68"/>
        <v>44975</v>
      </c>
      <c r="AN983" s="558">
        <v>73.765000000000001</v>
      </c>
      <c r="AO983" s="558">
        <v>1547600</v>
      </c>
      <c r="AP983" s="558">
        <v>110.18608</v>
      </c>
      <c r="AQ983" s="558">
        <v>8127.8761912</v>
      </c>
      <c r="AR983" s="558">
        <v>1.8976999999999999</v>
      </c>
    </row>
    <row r="984" spans="39:44">
      <c r="AM984" s="557">
        <f t="shared" ca="1" si="68"/>
        <v>44974</v>
      </c>
      <c r="AN984" s="558">
        <v>71.8</v>
      </c>
      <c r="AO984" s="558">
        <v>1359000</v>
      </c>
      <c r="AP984" s="558">
        <v>110.18608</v>
      </c>
      <c r="AQ984" s="558">
        <v>7911.3605440000001</v>
      </c>
      <c r="AR984" s="558">
        <v>1.8551</v>
      </c>
    </row>
    <row r="985" spans="39:44">
      <c r="AM985" s="557">
        <f t="shared" ca="1" si="68"/>
        <v>44973</v>
      </c>
      <c r="AN985" s="558">
        <v>74.2</v>
      </c>
      <c r="AO985" s="558">
        <v>1008600</v>
      </c>
      <c r="AP985" s="558">
        <v>110.18608</v>
      </c>
      <c r="AQ985" s="558">
        <v>8175.8071360000004</v>
      </c>
      <c r="AR985" s="558">
        <v>1.9148000000000001</v>
      </c>
    </row>
    <row r="986" spans="39:44">
      <c r="AM986" s="557">
        <f t="shared" ca="1" si="68"/>
        <v>44972</v>
      </c>
      <c r="AN986" s="558">
        <v>78.05</v>
      </c>
      <c r="AO986" s="558">
        <v>1199700</v>
      </c>
      <c r="AP986" s="558">
        <v>110.18608</v>
      </c>
      <c r="AQ986" s="558">
        <v>8600.0235439999997</v>
      </c>
      <c r="AR986" s="558">
        <v>2.0703</v>
      </c>
    </row>
    <row r="987" spans="39:44">
      <c r="AM987" s="557">
        <f t="shared" ca="1" si="68"/>
        <v>44971</v>
      </c>
      <c r="AN987" s="558">
        <v>78.05</v>
      </c>
      <c r="AO987" s="558">
        <v>1199700</v>
      </c>
      <c r="AP987" s="558">
        <v>110.18608</v>
      </c>
      <c r="AQ987" s="558">
        <v>8600.0235439999997</v>
      </c>
      <c r="AR987" s="558">
        <v>2.0703</v>
      </c>
    </row>
    <row r="988" spans="39:44">
      <c r="AM988" s="557">
        <f t="shared" ca="1" si="68"/>
        <v>44970</v>
      </c>
      <c r="AN988" s="558">
        <v>78.05</v>
      </c>
      <c r="AO988" s="558">
        <v>1199700</v>
      </c>
      <c r="AP988" s="558">
        <v>110.18608</v>
      </c>
      <c r="AQ988" s="558">
        <v>8600.0235439999997</v>
      </c>
      <c r="AR988" s="558">
        <v>2.0703</v>
      </c>
    </row>
    <row r="989" spans="39:44">
      <c r="AM989" s="557">
        <f t="shared" ca="1" si="68"/>
        <v>44969</v>
      </c>
      <c r="AN989" s="558">
        <v>78.05</v>
      </c>
      <c r="AO989" s="558">
        <v>1199700</v>
      </c>
      <c r="AP989" s="558">
        <v>110.18608</v>
      </c>
      <c r="AQ989" s="558">
        <v>8600.0235439999997</v>
      </c>
      <c r="AR989" s="558">
        <v>2.0703</v>
      </c>
    </row>
    <row r="990" spans="39:44">
      <c r="AM990" s="557">
        <f t="shared" ca="1" si="68"/>
        <v>44968</v>
      </c>
      <c r="AN990" s="558">
        <v>79.010000000000005</v>
      </c>
      <c r="AO990" s="558">
        <v>970700</v>
      </c>
      <c r="AP990" s="558">
        <v>110.18608</v>
      </c>
      <c r="AQ990" s="558">
        <v>8705.8021808000012</v>
      </c>
      <c r="AR990" s="558">
        <v>2.0817000000000001</v>
      </c>
    </row>
    <row r="991" spans="39:44">
      <c r="AM991" s="557">
        <f t="shared" ca="1" si="68"/>
        <v>44967</v>
      </c>
      <c r="AN991" s="558">
        <v>76.784999999999997</v>
      </c>
      <c r="AO991" s="558">
        <v>1218700</v>
      </c>
      <c r="AP991" s="558">
        <v>110.18608</v>
      </c>
      <c r="AQ991" s="558">
        <v>8460.6381528000002</v>
      </c>
      <c r="AR991" s="558">
        <v>2.0257999999999998</v>
      </c>
    </row>
    <row r="992" spans="39:44">
      <c r="AM992" s="557">
        <f t="shared" ca="1" si="68"/>
        <v>44966</v>
      </c>
      <c r="AN992" s="558">
        <v>78.709999999999994</v>
      </c>
      <c r="AO992" s="558">
        <v>525600</v>
      </c>
      <c r="AP992" s="558">
        <v>110.18608</v>
      </c>
      <c r="AQ992" s="558">
        <v>8672.7463568000003</v>
      </c>
      <c r="AR992" s="558">
        <v>2.0785</v>
      </c>
    </row>
    <row r="993" spans="39:44">
      <c r="AM993" s="557">
        <f t="shared" ca="1" si="68"/>
        <v>44965</v>
      </c>
      <c r="AN993" s="558">
        <v>80.97</v>
      </c>
      <c r="AO993" s="558">
        <v>2281900</v>
      </c>
      <c r="AP993" s="558">
        <v>110.18608</v>
      </c>
      <c r="AQ993" s="558">
        <v>8921.7668976000004</v>
      </c>
      <c r="AR993" s="558">
        <v>2.1391</v>
      </c>
    </row>
    <row r="994" spans="39:44">
      <c r="AM994" s="557">
        <f t="shared" ca="1" si="68"/>
        <v>44964</v>
      </c>
      <c r="AN994" s="558">
        <v>80.97</v>
      </c>
      <c r="AO994" s="558">
        <v>2281900</v>
      </c>
      <c r="AP994" s="558">
        <v>110.18608</v>
      </c>
      <c r="AQ994" s="558">
        <v>8921.7668976000004</v>
      </c>
      <c r="AR994" s="558">
        <v>2.1391</v>
      </c>
    </row>
    <row r="995" spans="39:44">
      <c r="AM995" s="557">
        <f t="shared" ca="1" si="68"/>
        <v>44963</v>
      </c>
      <c r="AN995" s="558">
        <v>80.97</v>
      </c>
      <c r="AO995" s="558">
        <v>2281900</v>
      </c>
      <c r="AP995" s="558">
        <v>110.18608</v>
      </c>
      <c r="AQ995" s="558">
        <v>8921.7668976000004</v>
      </c>
      <c r="AR995" s="558">
        <v>2.1391</v>
      </c>
    </row>
    <row r="996" spans="39:44">
      <c r="AM996" s="557">
        <f t="shared" ca="1" si="68"/>
        <v>44962</v>
      </c>
      <c r="AN996" s="558">
        <v>76.87</v>
      </c>
      <c r="AO996" s="558">
        <v>953600</v>
      </c>
      <c r="AP996" s="558">
        <v>110.18608</v>
      </c>
      <c r="AQ996" s="558">
        <v>8470.0039696000003</v>
      </c>
      <c r="AR996" s="558">
        <v>2.0364</v>
      </c>
    </row>
    <row r="997" spans="39:44">
      <c r="AM997" s="557">
        <f t="shared" ca="1" si="68"/>
        <v>44961</v>
      </c>
      <c r="AN997" s="558">
        <v>78.375</v>
      </c>
      <c r="AO997" s="558">
        <v>2327100</v>
      </c>
      <c r="AP997" s="558">
        <v>110.18608</v>
      </c>
      <c r="AQ997" s="558">
        <v>8635.8340200000002</v>
      </c>
      <c r="AR997" s="558">
        <v>2.0758000000000001</v>
      </c>
    </row>
    <row r="998" spans="39:44">
      <c r="AM998" s="557">
        <f t="shared" ca="1" si="68"/>
        <v>44960</v>
      </c>
      <c r="AN998" s="558">
        <v>80.025000000000006</v>
      </c>
      <c r="AO998" s="558">
        <v>2464500</v>
      </c>
      <c r="AP998" s="558">
        <v>110.18608</v>
      </c>
      <c r="AQ998" s="558">
        <v>8817.6410520000009</v>
      </c>
      <c r="AR998" s="558">
        <v>2.1219000000000001</v>
      </c>
    </row>
    <row r="999" spans="39:44">
      <c r="AM999" s="557">
        <f t="shared" ca="1" si="68"/>
        <v>44959</v>
      </c>
      <c r="AN999" s="558">
        <v>77.11</v>
      </c>
      <c r="AO999" s="558">
        <v>1155000</v>
      </c>
      <c r="AP999" s="558">
        <v>110.18608</v>
      </c>
      <c r="AQ999" s="558">
        <v>8496.4486288000007</v>
      </c>
      <c r="AR999" s="558">
        <v>2.0406</v>
      </c>
    </row>
    <row r="1000" spans="39:44">
      <c r="AM1000" s="557">
        <f t="shared" ca="1" si="68"/>
        <v>44958</v>
      </c>
      <c r="AN1000" s="558">
        <v>74.144999999999996</v>
      </c>
      <c r="AO1000" s="558">
        <v>1384700</v>
      </c>
      <c r="AP1000" s="558">
        <v>110.18608</v>
      </c>
      <c r="AQ1000" s="558">
        <v>8169.7469015999995</v>
      </c>
      <c r="AR1000" s="558">
        <v>1.9564999999999999</v>
      </c>
    </row>
    <row r="1001" spans="39:44">
      <c r="AM1001" s="557">
        <f t="shared" ca="1" si="68"/>
        <v>44957</v>
      </c>
      <c r="AN1001" s="558">
        <v>74.144999999999996</v>
      </c>
      <c r="AO1001" s="558">
        <v>1384700</v>
      </c>
      <c r="AP1001" s="558">
        <v>110.18608</v>
      </c>
      <c r="AQ1001" s="558">
        <v>8169.7469015999995</v>
      </c>
      <c r="AR1001" s="558">
        <v>1.9564999999999999</v>
      </c>
    </row>
    <row r="1002" spans="39:44">
      <c r="AM1002" s="557">
        <f t="shared" ca="1" si="68"/>
        <v>44956</v>
      </c>
      <c r="AN1002" s="558">
        <v>74.144999999999996</v>
      </c>
      <c r="AO1002" s="558">
        <v>1384700</v>
      </c>
      <c r="AP1002" s="558">
        <v>110.18608</v>
      </c>
      <c r="AQ1002" s="558">
        <v>8169.7469015999995</v>
      </c>
      <c r="AR1002" s="558">
        <v>1.9564999999999999</v>
      </c>
    </row>
    <row r="1003" spans="39:44">
      <c r="AM1003" s="557">
        <f t="shared" ca="1" si="68"/>
        <v>44955</v>
      </c>
      <c r="AN1003" s="558">
        <v>75.165000000000006</v>
      </c>
      <c r="AO1003" s="558">
        <v>1341200</v>
      </c>
      <c r="AP1003" s="558">
        <v>110.18608</v>
      </c>
      <c r="AQ1003" s="558">
        <v>8282.1367032000016</v>
      </c>
      <c r="AR1003" s="558">
        <v>1.9914000000000001</v>
      </c>
    </row>
    <row r="1004" spans="39:44">
      <c r="AM1004" s="557">
        <f t="shared" ca="1" si="68"/>
        <v>44954</v>
      </c>
      <c r="AN1004" s="558">
        <v>74.5</v>
      </c>
      <c r="AO1004" s="558">
        <v>3294900</v>
      </c>
      <c r="AP1004" s="558">
        <v>110.18608</v>
      </c>
      <c r="AQ1004" s="558">
        <v>8208.8629600000004</v>
      </c>
      <c r="AR1004" s="558">
        <v>1.9711000000000001</v>
      </c>
    </row>
    <row r="1005" spans="39:44">
      <c r="AM1005" s="557">
        <f t="shared" ca="1" si="68"/>
        <v>44953</v>
      </c>
      <c r="AN1005" s="558">
        <v>75.625</v>
      </c>
      <c r="AO1005" s="558">
        <v>1022200</v>
      </c>
      <c r="AP1005" s="558">
        <v>110.18608</v>
      </c>
      <c r="AQ1005" s="558">
        <v>8332.8222999999998</v>
      </c>
      <c r="AR1005" s="558">
        <v>2.0015000000000001</v>
      </c>
    </row>
    <row r="1006" spans="39:44">
      <c r="AM1006" s="557">
        <f t="shared" ca="1" si="68"/>
        <v>44952</v>
      </c>
      <c r="AN1006" s="558">
        <v>77.795000000000002</v>
      </c>
      <c r="AO1006" s="558">
        <v>1356700</v>
      </c>
      <c r="AP1006" s="558">
        <v>110.18608</v>
      </c>
      <c r="AQ1006" s="558">
        <v>8571.926093600001</v>
      </c>
      <c r="AR1006" s="558">
        <v>2.0581</v>
      </c>
    </row>
    <row r="1007" spans="39:44">
      <c r="AM1007" s="557">
        <f t="shared" ca="1" si="68"/>
        <v>44951</v>
      </c>
      <c r="AN1007" s="558">
        <v>79.569999999999993</v>
      </c>
      <c r="AO1007" s="558">
        <v>1256500</v>
      </c>
      <c r="AP1007" s="558">
        <v>110.18608</v>
      </c>
      <c r="AQ1007" s="558">
        <v>8767.5063855999997</v>
      </c>
      <c r="AR1007" s="558">
        <v>2.1046999999999998</v>
      </c>
    </row>
    <row r="1008" spans="39:44">
      <c r="AM1008" s="557">
        <f t="shared" ca="1" si="68"/>
        <v>44950</v>
      </c>
      <c r="AN1008" s="558">
        <v>79.569999999999993</v>
      </c>
      <c r="AO1008" s="558">
        <v>1256500</v>
      </c>
      <c r="AP1008" s="558">
        <v>110.18608</v>
      </c>
      <c r="AQ1008" s="558">
        <v>8767.5063855999997</v>
      </c>
      <c r="AR1008" s="558">
        <v>2.1046999999999998</v>
      </c>
    </row>
    <row r="1009" spans="39:44">
      <c r="AM1009" s="557">
        <f t="shared" ca="1" si="68"/>
        <v>44949</v>
      </c>
      <c r="AN1009" s="558">
        <v>79.569999999999993</v>
      </c>
      <c r="AO1009" s="558">
        <v>1256500</v>
      </c>
      <c r="AP1009" s="558">
        <v>110.18608</v>
      </c>
      <c r="AQ1009" s="558">
        <v>8767.5063855999997</v>
      </c>
      <c r="AR1009" s="558">
        <v>2.1046999999999998</v>
      </c>
    </row>
    <row r="1010" spans="39:44">
      <c r="AM1010" s="557">
        <f t="shared" ca="1" si="68"/>
        <v>44948</v>
      </c>
      <c r="AN1010" s="558">
        <v>82.13</v>
      </c>
      <c r="AO1010" s="558">
        <v>1761100</v>
      </c>
      <c r="AP1010" s="558">
        <v>110.18608</v>
      </c>
      <c r="AQ1010" s="558">
        <v>9049.582750399999</v>
      </c>
      <c r="AR1010" s="558">
        <v>2.1732</v>
      </c>
    </row>
    <row r="1011" spans="39:44">
      <c r="AM1011" s="557">
        <f t="shared" ca="1" si="68"/>
        <v>44947</v>
      </c>
      <c r="AN1011" s="558">
        <v>83.944999999999993</v>
      </c>
      <c r="AO1011" s="558">
        <v>681600</v>
      </c>
      <c r="AP1011" s="558">
        <v>110.18608</v>
      </c>
      <c r="AQ1011" s="558">
        <v>9249.5704855999993</v>
      </c>
      <c r="AR1011" s="558">
        <v>2.2195</v>
      </c>
    </row>
    <row r="1012" spans="39:44">
      <c r="AM1012" s="557">
        <f t="shared" ca="1" si="68"/>
        <v>44946</v>
      </c>
      <c r="AN1012" s="558">
        <v>83.52</v>
      </c>
      <c r="AO1012" s="558">
        <v>1941200</v>
      </c>
      <c r="AP1012" s="558">
        <v>110.18608</v>
      </c>
      <c r="AQ1012" s="558">
        <v>9202.7414016000002</v>
      </c>
      <c r="AR1012" s="558">
        <v>2.2092000000000001</v>
      </c>
    </row>
    <row r="1013" spans="39:44">
      <c r="AM1013" s="557">
        <f t="shared" ca="1" si="68"/>
        <v>44945</v>
      </c>
      <c r="AN1013" s="558">
        <v>84.22</v>
      </c>
      <c r="AO1013" s="558">
        <v>1258500</v>
      </c>
      <c r="AP1013" s="558">
        <v>110.18608</v>
      </c>
      <c r="AQ1013" s="558">
        <v>9279.8716576000006</v>
      </c>
      <c r="AR1013" s="558">
        <v>2.2313999999999998</v>
      </c>
    </row>
    <row r="1014" spans="39:44">
      <c r="AM1014" s="557">
        <f t="shared" ca="1" si="68"/>
        <v>44944</v>
      </c>
      <c r="AN1014" s="558">
        <v>87.295000000000002</v>
      </c>
      <c r="AO1014" s="558">
        <v>1410600</v>
      </c>
      <c r="AP1014" s="558">
        <v>110.18608</v>
      </c>
      <c r="AQ1014" s="558">
        <v>9618.6938535999998</v>
      </c>
      <c r="AR1014" s="558">
        <v>2.3092000000000001</v>
      </c>
    </row>
    <row r="1015" spans="39:44">
      <c r="AM1015" s="557">
        <f t="shared" ca="1" si="68"/>
        <v>44943</v>
      </c>
      <c r="AN1015" s="558">
        <v>87.295000000000002</v>
      </c>
      <c r="AO1015" s="558">
        <v>1410600</v>
      </c>
      <c r="AP1015" s="558">
        <v>110.18608</v>
      </c>
      <c r="AQ1015" s="558">
        <v>9618.6938535999998</v>
      </c>
      <c r="AR1015" s="558">
        <v>2.3092000000000001</v>
      </c>
    </row>
    <row r="1016" spans="39:44">
      <c r="AM1016" s="557">
        <f t="shared" ca="1" si="68"/>
        <v>44942</v>
      </c>
      <c r="AN1016" s="558">
        <v>87.295000000000002</v>
      </c>
      <c r="AO1016" s="558">
        <v>1410600</v>
      </c>
      <c r="AP1016" s="558">
        <v>110.18608</v>
      </c>
      <c r="AQ1016" s="558">
        <v>9618.6938535999998</v>
      </c>
      <c r="AR1016" s="558">
        <v>2.3092000000000001</v>
      </c>
    </row>
    <row r="1017" spans="39:44">
      <c r="AM1017" s="557">
        <f t="shared" ca="1" si="68"/>
        <v>44941</v>
      </c>
      <c r="AN1017" s="558">
        <v>85.29</v>
      </c>
      <c r="AO1017" s="558">
        <v>2177700</v>
      </c>
      <c r="AP1017" s="558">
        <v>110.18608</v>
      </c>
      <c r="AQ1017" s="558">
        <v>9397.7707632000001</v>
      </c>
      <c r="AR1017" s="558">
        <v>2.2599999999999998</v>
      </c>
    </row>
    <row r="1018" spans="39:44">
      <c r="AM1018" s="557">
        <f t="shared" ca="1" si="68"/>
        <v>44940</v>
      </c>
      <c r="AN1018" s="558">
        <v>89.76</v>
      </c>
      <c r="AO1018" s="558">
        <v>1487000</v>
      </c>
      <c r="AP1018" s="558">
        <v>110.18608</v>
      </c>
      <c r="AQ1018" s="558">
        <v>9890.3025408000012</v>
      </c>
      <c r="AR1018" s="558">
        <v>2.3698000000000001</v>
      </c>
    </row>
    <row r="1019" spans="39:44">
      <c r="AM1019" s="557">
        <f t="shared" ca="1" si="68"/>
        <v>44939</v>
      </c>
      <c r="AN1019" s="558">
        <v>87.85</v>
      </c>
      <c r="AO1019" s="558">
        <v>864600</v>
      </c>
      <c r="AP1019" s="558">
        <v>110.18608</v>
      </c>
      <c r="AQ1019" s="558">
        <v>9679.8471279999994</v>
      </c>
      <c r="AR1019" s="558">
        <v>2.3229000000000002</v>
      </c>
    </row>
    <row r="1020" spans="39:44">
      <c r="AM1020" s="557">
        <f t="shared" ca="1" si="68"/>
        <v>44938</v>
      </c>
      <c r="AN1020" s="558">
        <v>85.935000000000002</v>
      </c>
      <c r="AO1020" s="558">
        <v>556400</v>
      </c>
      <c r="AP1020" s="558">
        <v>110.18608</v>
      </c>
      <c r="AQ1020" s="558">
        <v>9468.8407848000006</v>
      </c>
      <c r="AR1020" s="558">
        <v>2.2736999999999998</v>
      </c>
    </row>
    <row r="1021" spans="39:44">
      <c r="AM1021" s="557">
        <f t="shared" ca="1" si="68"/>
        <v>44937</v>
      </c>
      <c r="AN1021" s="558">
        <v>87.11</v>
      </c>
      <c r="AO1021" s="558">
        <v>744400</v>
      </c>
      <c r="AP1021" s="558">
        <v>110.18608</v>
      </c>
      <c r="AQ1021" s="558">
        <v>9598.3094288000011</v>
      </c>
      <c r="AR1021" s="558">
        <v>2.2980999999999998</v>
      </c>
    </row>
    <row r="1022" spans="39:44">
      <c r="AM1022" s="557">
        <f t="shared" ca="1" si="68"/>
        <v>44936</v>
      </c>
      <c r="AN1022" s="558">
        <v>87.11</v>
      </c>
      <c r="AO1022" s="558">
        <v>744400</v>
      </c>
      <c r="AP1022" s="558">
        <v>110.18608</v>
      </c>
      <c r="AQ1022" s="558">
        <v>9598.3094288000011</v>
      </c>
      <c r="AR1022" s="558">
        <v>2.2980999999999998</v>
      </c>
    </row>
    <row r="1023" spans="39:44">
      <c r="AM1023" s="557">
        <f t="shared" ca="1" si="68"/>
        <v>44935</v>
      </c>
      <c r="AN1023" s="558">
        <v>87.11</v>
      </c>
      <c r="AO1023" s="558">
        <v>744400</v>
      </c>
      <c r="AP1023" s="558">
        <v>110.18608</v>
      </c>
      <c r="AQ1023" s="558">
        <v>9598.3094288000011</v>
      </c>
      <c r="AR1023" s="558">
        <v>2.2980999999999998</v>
      </c>
    </row>
    <row r="1024" spans="39:44">
      <c r="AM1024" s="557">
        <f t="shared" ca="1" si="68"/>
        <v>44934</v>
      </c>
      <c r="AN1024" s="558">
        <v>90.6</v>
      </c>
      <c r="AO1024" s="558">
        <v>780100</v>
      </c>
      <c r="AP1024" s="558">
        <v>110.18608</v>
      </c>
      <c r="AQ1024" s="558">
        <v>9982.8588479999999</v>
      </c>
      <c r="AR1024" s="558">
        <v>2.3997000000000002</v>
      </c>
    </row>
    <row r="1025" spans="39:44">
      <c r="AM1025" s="557">
        <f t="shared" ca="1" si="68"/>
        <v>44933</v>
      </c>
      <c r="AN1025" s="558">
        <v>85.665000000000006</v>
      </c>
      <c r="AO1025" s="558">
        <v>952700</v>
      </c>
      <c r="AP1025" s="558">
        <v>110.18608</v>
      </c>
      <c r="AQ1025" s="558">
        <v>9439.0905432000018</v>
      </c>
      <c r="AR1025" s="558">
        <v>2.2692000000000001</v>
      </c>
    </row>
    <row r="1026" spans="39:44">
      <c r="AM1026" s="557">
        <f t="shared" ca="1" si="68"/>
        <v>44932</v>
      </c>
      <c r="AN1026" s="558">
        <v>88.944999999999993</v>
      </c>
      <c r="AO1026" s="558">
        <v>1479700</v>
      </c>
      <c r="AP1026" s="558">
        <v>110.18608</v>
      </c>
      <c r="AQ1026" s="558">
        <v>9800.5008856000004</v>
      </c>
      <c r="AR1026" s="558">
        <v>2.3517999999999999</v>
      </c>
    </row>
    <row r="1027" spans="39:44">
      <c r="AM1027" s="557">
        <f t="shared" ca="1" si="68"/>
        <v>44931</v>
      </c>
      <c r="AN1027" s="558">
        <v>93.245000000000005</v>
      </c>
      <c r="AO1027" s="558">
        <v>2289000</v>
      </c>
      <c r="AP1027" s="558">
        <v>110.18608</v>
      </c>
      <c r="AQ1027" s="558">
        <v>10274.301029600001</v>
      </c>
      <c r="AR1027" s="558">
        <v>2.4722</v>
      </c>
    </row>
    <row r="1028" spans="39:44">
      <c r="AM1028" s="557">
        <f t="shared" ca="1" si="68"/>
        <v>44930</v>
      </c>
      <c r="AN1028" s="558">
        <v>88.3</v>
      </c>
      <c r="AO1028" s="558">
        <v>1668700</v>
      </c>
      <c r="AP1028" s="558">
        <v>110.18608</v>
      </c>
      <c r="AQ1028" s="558">
        <v>9729.4308639999999</v>
      </c>
      <c r="AR1028" s="558">
        <v>2.3388</v>
      </c>
    </row>
    <row r="1029" spans="39:44">
      <c r="AM1029" s="557">
        <f t="shared" ref="AM1029:AM1051" ca="1" si="69">AM1028-1</f>
        <v>44929</v>
      </c>
      <c r="AN1029" s="558">
        <v>88.3</v>
      </c>
      <c r="AO1029" s="558">
        <v>1668700</v>
      </c>
      <c r="AP1029" s="558">
        <v>110.18608</v>
      </c>
      <c r="AQ1029" s="558">
        <v>9729.4308639999999</v>
      </c>
      <c r="AR1029" s="558">
        <v>2.3388</v>
      </c>
    </row>
    <row r="1030" spans="39:44">
      <c r="AM1030" s="557">
        <f t="shared" ca="1" si="69"/>
        <v>44928</v>
      </c>
      <c r="AN1030" s="558">
        <v>88.3</v>
      </c>
      <c r="AO1030" s="558">
        <v>1668700</v>
      </c>
      <c r="AP1030" s="558">
        <v>110.18608</v>
      </c>
      <c r="AQ1030" s="558">
        <v>9729.4308639999999</v>
      </c>
      <c r="AR1030" s="558">
        <v>2.3388</v>
      </c>
    </row>
    <row r="1031" spans="39:44">
      <c r="AM1031" s="557">
        <f t="shared" ca="1" si="69"/>
        <v>44927</v>
      </c>
      <c r="AN1031" s="558">
        <v>87.06</v>
      </c>
      <c r="AO1031" s="558">
        <v>2692000</v>
      </c>
      <c r="AP1031" s="558">
        <v>110.18608</v>
      </c>
      <c r="AQ1031" s="558">
        <v>9592.8001248</v>
      </c>
      <c r="AR1031" s="558">
        <v>2.3028</v>
      </c>
    </row>
    <row r="1032" spans="39:44">
      <c r="AM1032" s="557">
        <f t="shared" ca="1" si="69"/>
        <v>44926</v>
      </c>
      <c r="AN1032" s="558">
        <v>86.05</v>
      </c>
      <c r="AO1032" s="558">
        <v>1662400</v>
      </c>
      <c r="AP1032" s="558">
        <v>110.18608</v>
      </c>
      <c r="AQ1032" s="558">
        <v>9481.5121839999993</v>
      </c>
      <c r="AR1032" s="558">
        <v>2.2776999999999998</v>
      </c>
    </row>
    <row r="1033" spans="39:44">
      <c r="AM1033" s="557">
        <f t="shared" ca="1" si="69"/>
        <v>44925</v>
      </c>
      <c r="AN1033" s="558">
        <v>88.234999999999999</v>
      </c>
      <c r="AO1033" s="558">
        <v>1412600</v>
      </c>
      <c r="AP1033" s="558">
        <v>110.18608</v>
      </c>
      <c r="AQ1033" s="558">
        <v>9722.2687688000005</v>
      </c>
      <c r="AR1033" s="558">
        <v>2.3355999999999999</v>
      </c>
    </row>
    <row r="1034" spans="39:44">
      <c r="AM1034" s="557">
        <f t="shared" ca="1" si="69"/>
        <v>44924</v>
      </c>
      <c r="AN1034" s="558">
        <v>88.234999999999999</v>
      </c>
      <c r="AO1034" s="558">
        <v>1412600</v>
      </c>
      <c r="AP1034" s="558">
        <v>110.18608</v>
      </c>
      <c r="AQ1034" s="558">
        <v>9722.2687688000005</v>
      </c>
      <c r="AR1034" s="558">
        <v>2.3355999999999999</v>
      </c>
    </row>
    <row r="1035" spans="39:44">
      <c r="AM1035" s="557">
        <f t="shared" ca="1" si="69"/>
        <v>44923</v>
      </c>
      <c r="AN1035" s="558">
        <v>86.834999999999994</v>
      </c>
      <c r="AO1035" s="558">
        <v>2664600</v>
      </c>
      <c r="AP1035" s="558">
        <v>110.18608</v>
      </c>
      <c r="AQ1035" s="558">
        <v>9568.0082567999998</v>
      </c>
      <c r="AR1035" s="558">
        <v>2.2980999999999998</v>
      </c>
    </row>
    <row r="1036" spans="39:44">
      <c r="AM1036" s="557">
        <f t="shared" ca="1" si="69"/>
        <v>44922</v>
      </c>
      <c r="AN1036" s="558">
        <v>86.834999999999994</v>
      </c>
      <c r="AO1036" s="558">
        <v>2664600</v>
      </c>
      <c r="AP1036" s="558">
        <v>110.18608</v>
      </c>
      <c r="AQ1036" s="558">
        <v>9568.0082567999998</v>
      </c>
      <c r="AR1036" s="558">
        <v>2.2980999999999998</v>
      </c>
    </row>
    <row r="1037" spans="39:44">
      <c r="AM1037" s="557">
        <f t="shared" ca="1" si="69"/>
        <v>44921</v>
      </c>
      <c r="AN1037" s="558">
        <v>86.834999999999994</v>
      </c>
      <c r="AO1037" s="558">
        <v>2664600</v>
      </c>
      <c r="AP1037" s="558">
        <v>110.18608</v>
      </c>
      <c r="AQ1037" s="558">
        <v>9568.0082567999998</v>
      </c>
      <c r="AR1037" s="558">
        <v>2.2980999999999998</v>
      </c>
    </row>
    <row r="1038" spans="39:44">
      <c r="AM1038" s="557">
        <f t="shared" ca="1" si="69"/>
        <v>44920</v>
      </c>
      <c r="AN1038" s="558">
        <v>86.405000000000001</v>
      </c>
      <c r="AO1038" s="558">
        <v>3642000</v>
      </c>
      <c r="AP1038" s="558">
        <v>110.18608</v>
      </c>
      <c r="AQ1038" s="558">
        <v>9520.6282424000001</v>
      </c>
      <c r="AR1038" s="558">
        <v>2.2953999999999999</v>
      </c>
    </row>
    <row r="1039" spans="39:44">
      <c r="AM1039" s="557">
        <f t="shared" ca="1" si="69"/>
        <v>44919</v>
      </c>
      <c r="AN1039" s="558">
        <v>93.504999999999995</v>
      </c>
      <c r="AO1039" s="558">
        <v>2178800</v>
      </c>
      <c r="AP1039" s="558">
        <v>110.18608</v>
      </c>
      <c r="AQ1039" s="558">
        <v>10302.9494104</v>
      </c>
      <c r="AR1039" s="558">
        <v>2.4756</v>
      </c>
    </row>
    <row r="1040" spans="39:44">
      <c r="AM1040" s="557">
        <f t="shared" ca="1" si="69"/>
        <v>44918</v>
      </c>
      <c r="AN1040" s="558">
        <v>97.74</v>
      </c>
      <c r="AO1040" s="558">
        <v>969800</v>
      </c>
      <c r="AP1040" s="558">
        <v>110.18608</v>
      </c>
      <c r="AQ1040" s="558">
        <v>10769.5874592</v>
      </c>
      <c r="AR1040" s="558">
        <v>2.5857000000000001</v>
      </c>
    </row>
    <row r="1041" spans="39:44">
      <c r="AM1041" s="557">
        <f t="shared" ca="1" si="69"/>
        <v>44917</v>
      </c>
      <c r="AN1041" s="558">
        <v>98.17</v>
      </c>
      <c r="AO1041" s="558">
        <v>1274000</v>
      </c>
      <c r="AP1041" s="558">
        <v>110.18608</v>
      </c>
      <c r="AQ1041" s="558">
        <v>10816.9674736</v>
      </c>
      <c r="AR1041" s="558">
        <v>2.597</v>
      </c>
    </row>
    <row r="1042" spans="39:44">
      <c r="AM1042" s="557">
        <f t="shared" ca="1" si="69"/>
        <v>44916</v>
      </c>
      <c r="AN1042" s="558">
        <v>101.815</v>
      </c>
      <c r="AO1042" s="558">
        <v>1234800</v>
      </c>
      <c r="AP1042" s="558">
        <v>110.18608</v>
      </c>
      <c r="AQ1042" s="558">
        <v>11218.5957352</v>
      </c>
      <c r="AR1042" s="558">
        <v>2.6932999999999998</v>
      </c>
    </row>
    <row r="1043" spans="39:44">
      <c r="AM1043" s="557">
        <f t="shared" ca="1" si="69"/>
        <v>44915</v>
      </c>
      <c r="AN1043" s="558">
        <v>101.815</v>
      </c>
      <c r="AO1043" s="558">
        <v>1234800</v>
      </c>
      <c r="AP1043" s="558">
        <v>110.18608</v>
      </c>
      <c r="AQ1043" s="558">
        <v>11218.5957352</v>
      </c>
      <c r="AR1043" s="558">
        <v>2.6932999999999998</v>
      </c>
    </row>
    <row r="1044" spans="39:44">
      <c r="AM1044" s="557">
        <f t="shared" ca="1" si="69"/>
        <v>44914</v>
      </c>
      <c r="AN1044" s="558">
        <v>101.815</v>
      </c>
      <c r="AO1044" s="558">
        <v>1234800</v>
      </c>
      <c r="AP1044" s="558">
        <v>110.18608</v>
      </c>
      <c r="AQ1044" s="558">
        <v>11218.5957352</v>
      </c>
      <c r="AR1044" s="558">
        <v>2.6932999999999998</v>
      </c>
    </row>
    <row r="1045" spans="39:44">
      <c r="AM1045" s="557">
        <f t="shared" ca="1" si="69"/>
        <v>44913</v>
      </c>
      <c r="AN1045" s="558">
        <v>103.52500000000001</v>
      </c>
      <c r="AO1045" s="558">
        <v>1298300</v>
      </c>
      <c r="AP1045" s="558">
        <v>110.18608</v>
      </c>
      <c r="AQ1045" s="558">
        <v>11407.013932000002</v>
      </c>
      <c r="AR1045" s="558">
        <v>2.7387999999999999</v>
      </c>
    </row>
    <row r="1046" spans="39:44">
      <c r="AM1046" s="557">
        <f t="shared" ca="1" si="69"/>
        <v>44912</v>
      </c>
      <c r="AN1046" s="558">
        <v>102.94499999999999</v>
      </c>
      <c r="AO1046" s="558">
        <v>1232800</v>
      </c>
      <c r="AP1046" s="558">
        <v>110.18608</v>
      </c>
      <c r="AQ1046" s="558">
        <v>11343.106005599999</v>
      </c>
      <c r="AR1046" s="558">
        <v>2.7238000000000002</v>
      </c>
    </row>
    <row r="1047" spans="39:44">
      <c r="AM1047" s="557">
        <f t="shared" ca="1" si="69"/>
        <v>44911</v>
      </c>
      <c r="AN1047" s="558">
        <v>102.94499999999999</v>
      </c>
      <c r="AO1047" s="558">
        <v>1232800</v>
      </c>
      <c r="AP1047" s="558">
        <v>110.18608</v>
      </c>
      <c r="AQ1047" s="558">
        <v>11343.106005599999</v>
      </c>
      <c r="AR1047" s="558">
        <v>2.7238000000000002</v>
      </c>
    </row>
    <row r="1048" spans="39:44">
      <c r="AM1048" s="557">
        <f t="shared" ca="1" si="69"/>
        <v>44910</v>
      </c>
      <c r="AN1048" s="558">
        <v>104.4</v>
      </c>
      <c r="AO1048" s="558">
        <v>1604100</v>
      </c>
      <c r="AP1048" s="558">
        <v>110.18608</v>
      </c>
      <c r="AQ1048" s="558">
        <v>11503.426752000001</v>
      </c>
      <c r="AR1048" s="558">
        <v>2.7648000000000001</v>
      </c>
    </row>
    <row r="1049" spans="39:44">
      <c r="AM1049" s="557">
        <f t="shared" ca="1" si="69"/>
        <v>44909</v>
      </c>
      <c r="AN1049" s="558">
        <v>98.594999999999999</v>
      </c>
      <c r="AO1049" s="558">
        <v>770200</v>
      </c>
      <c r="AP1049" s="558">
        <v>110.18608</v>
      </c>
      <c r="AQ1049" s="558">
        <v>10863.796557600001</v>
      </c>
      <c r="AR1049" s="558">
        <v>2.6097000000000001</v>
      </c>
    </row>
    <row r="1050" spans="39:44">
      <c r="AM1050" s="557">
        <f t="shared" ca="1" si="69"/>
        <v>44908</v>
      </c>
      <c r="AN1050" s="558">
        <v>98.594999999999999</v>
      </c>
      <c r="AO1050" s="558">
        <v>770200</v>
      </c>
      <c r="AP1050" s="558">
        <v>110.18608</v>
      </c>
      <c r="AQ1050" s="558">
        <v>10863.796557600001</v>
      </c>
      <c r="AR1050" s="558">
        <v>2.6097000000000001</v>
      </c>
    </row>
    <row r="1051" spans="39:44">
      <c r="AM1051" s="557">
        <f t="shared" ca="1" si="69"/>
        <v>44907</v>
      </c>
      <c r="AN1051" s="558">
        <v>98.594999999999999</v>
      </c>
      <c r="AO1051" s="558">
        <v>770200</v>
      </c>
      <c r="AP1051" s="558">
        <v>110.18608</v>
      </c>
      <c r="AQ1051" s="558">
        <v>10863.796557600001</v>
      </c>
      <c r="AR1051" s="558">
        <v>2.6097000000000001</v>
      </c>
    </row>
  </sheetData>
  <mergeCells count="5">
    <mergeCell ref="C3:H3"/>
    <mergeCell ref="J3:O3"/>
    <mergeCell ref="Y3:AD3"/>
    <mergeCell ref="AF3:AK3"/>
    <mergeCell ref="R3:W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feb2c5ef200143b90f0b07231141d1ea">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cb6e695611f8519c80c089278c6250c4"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79CB92-5331-4E6D-BCCA-3ED810C77402}"/>
</file>

<file path=customXml/itemProps2.xml><?xml version="1.0" encoding="utf-8"?>
<ds:datastoreItem xmlns:ds="http://schemas.openxmlformats.org/officeDocument/2006/customXml" ds:itemID="{23E540B9-6A49-4602-A908-CE81DAB3EFBC}"/>
</file>

<file path=customXml/itemProps3.xml><?xml version="1.0" encoding="utf-8"?>
<ds:datastoreItem xmlns:ds="http://schemas.openxmlformats.org/officeDocument/2006/customXml" ds:itemID="{64BB988D-8D01-4A93-B497-E21446BB3F17}"/>
</file>

<file path=docProps/app.xml><?xml version="1.0" encoding="utf-8"?>
<Properties xmlns="http://schemas.openxmlformats.org/officeDocument/2006/extended-properties" xmlns:vt="http://schemas.openxmlformats.org/officeDocument/2006/docPropsVTypes">
  <Application>Microsoft Excel Online</Application>
  <Manager/>
  <Company>Bloomberg LP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MORITZ ARNDT</cp:lastModifiedBy>
  <cp:revision/>
  <dcterms:created xsi:type="dcterms:W3CDTF">2025-02-25T16:23:47Z</dcterms:created>
  <dcterms:modified xsi:type="dcterms:W3CDTF">2025-10-24T13:06:34Z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